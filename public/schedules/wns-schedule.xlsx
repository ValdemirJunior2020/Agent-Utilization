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wpmfs1\WFM_MNL_Real Time Monitoring\Operational Sensitive\Private Non Sensitive\WFM OFFICERS\Ian\000 Hotel Planner Data\HP Service Schedules\"/>
    </mc:Choice>
  </mc:AlternateContent>
  <bookViews>
    <workbookView xWindow="0" yWindow="0" windowWidth="16815" windowHeight="6900" tabRatio="559" firstSheet="1" activeTab="1"/>
  </bookViews>
  <sheets>
    <sheet name="Masterlist" sheetId="10" state="hidden" r:id="rId1"/>
    <sheet name="Agent Sched" sheetId="1" r:id="rId2"/>
    <sheet name="Pavia" sheetId="18" r:id="rId3"/>
    <sheet name="Nesting Sched" sheetId="12" r:id="rId4"/>
    <sheet name="Nesting Staffing" sheetId="13" state="hidden" r:id="rId5"/>
    <sheet name="1G Staffing" sheetId="22" state="hidden" r:id="rId6"/>
    <sheet name="Pavia Staffing" sheetId="19" state="hidden" r:id="rId7"/>
    <sheet name="Nesting Phone time" sheetId="14" r:id="rId8"/>
    <sheet name="Total Staffing" sheetId="11" r:id="rId9"/>
    <sheet name="Ticket DOD HC" sheetId="23" state="hidden" r:id="rId10"/>
  </sheets>
  <definedNames>
    <definedName name="_xlnm._FilterDatabase" localSheetId="5" hidden="1">'1G Staffing'!$A$2:$CS$103</definedName>
    <definedName name="_xlnm._FilterDatabase" localSheetId="1" hidden="1">'Agent Sched'!$A$3:$AD$3</definedName>
    <definedName name="_xlnm._FilterDatabase" localSheetId="0" hidden="1">Masterlist!$A$1:$E$322</definedName>
    <definedName name="_xlnm._FilterDatabase" localSheetId="7" hidden="1">'Nesting Phone time'!$A$71:$AB$122</definedName>
    <definedName name="_xlnm._FilterDatabase" localSheetId="3" hidden="1">'Nesting Sched'!$A$2:$AC$42</definedName>
    <definedName name="_xlnm._FilterDatabase" localSheetId="2" hidden="1">Pavia!$A$87:$AD$155</definedName>
    <definedName name="_xlnm._FilterDatabase" localSheetId="6" hidden="1">'Pavia Staffing'!$A$2:$CS$2</definedName>
    <definedName name="_xlnm._FilterDatabase" localSheetId="8" hidden="1">'Total Staffing'!$A$2:$DP$121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03" i="22" l="1"/>
  <c r="AV103" i="22" s="1"/>
  <c r="AS103" i="22"/>
  <c r="AT103" i="22" s="1"/>
  <c r="AM103" i="22"/>
  <c r="AN103" i="22" s="1"/>
  <c r="AK103" i="22"/>
  <c r="AL103" i="22" s="1"/>
  <c r="AD103" i="22"/>
  <c r="AE103" i="22" s="1"/>
  <c r="AB103" i="22"/>
  <c r="AC103" i="22" s="1"/>
  <c r="V103" i="22"/>
  <c r="W103" i="22" s="1"/>
  <c r="T103" i="22"/>
  <c r="U103" i="22" s="1"/>
  <c r="L103" i="22"/>
  <c r="M103" i="22" s="1"/>
  <c r="J103" i="22"/>
  <c r="K103" i="22" s="1"/>
  <c r="D103" i="22"/>
  <c r="E103" i="22" s="1"/>
  <c r="B103" i="22"/>
  <c r="C103" i="22" s="1"/>
  <c r="A103" i="22"/>
  <c r="AQ103" i="22" s="1"/>
  <c r="AR103" i="22" s="1"/>
  <c r="AS102" i="22"/>
  <c r="AT102" i="22" s="1"/>
  <c r="V102" i="22"/>
  <c r="W102" i="22" s="1"/>
  <c r="H102" i="22"/>
  <c r="I102" i="22" s="1"/>
  <c r="D102" i="22"/>
  <c r="E102" i="22" s="1"/>
  <c r="A102" i="22"/>
  <c r="L102" i="22" s="1"/>
  <c r="M102" i="22" s="1"/>
  <c r="L101" i="22"/>
  <c r="M101" i="22" s="1"/>
  <c r="A101" i="22"/>
  <c r="AD101" i="22" s="1"/>
  <c r="AE101" i="22" s="1"/>
  <c r="AS100" i="22"/>
  <c r="AT100" i="22" s="1"/>
  <c r="AM100" i="22"/>
  <c r="AN100" i="22" s="1"/>
  <c r="AK100" i="22"/>
  <c r="AL100" i="22" s="1"/>
  <c r="AF100" i="22"/>
  <c r="AG100" i="22" s="1"/>
  <c r="AD100" i="22"/>
  <c r="AE100" i="22" s="1"/>
  <c r="V100" i="22"/>
  <c r="W100" i="22" s="1"/>
  <c r="T100" i="22"/>
  <c r="U100" i="22" s="1"/>
  <c r="N100" i="22"/>
  <c r="O100" i="22" s="1"/>
  <c r="D100" i="22"/>
  <c r="E100" i="22" s="1"/>
  <c r="B100" i="22"/>
  <c r="C100" i="22" s="1"/>
  <c r="A100" i="22"/>
  <c r="X100" i="22" s="1"/>
  <c r="Y100" i="22" s="1"/>
  <c r="A99" i="22"/>
  <c r="AU98" i="22"/>
  <c r="AV98" i="22" s="1"/>
  <c r="AS98" i="22"/>
  <c r="AT98" i="22" s="1"/>
  <c r="AQ98" i="22"/>
  <c r="AR98" i="22" s="1"/>
  <c r="AO98" i="22"/>
  <c r="AP98" i="22" s="1"/>
  <c r="AM98" i="22"/>
  <c r="AN98" i="22" s="1"/>
  <c r="AK98" i="22"/>
  <c r="AL98" i="22" s="1"/>
  <c r="AI98" i="22"/>
  <c r="AJ98" i="22" s="1"/>
  <c r="AF98" i="22"/>
  <c r="AG98" i="22" s="1"/>
  <c r="AD98" i="22"/>
  <c r="AE98" i="22" s="1"/>
  <c r="AB98" i="22"/>
  <c r="AC98" i="22" s="1"/>
  <c r="Z98" i="22"/>
  <c r="AA98" i="22" s="1"/>
  <c r="X98" i="22"/>
  <c r="Y98" i="22" s="1"/>
  <c r="V98" i="22"/>
  <c r="W98" i="22" s="1"/>
  <c r="T98" i="22"/>
  <c r="U98" i="22" s="1"/>
  <c r="Q98" i="22"/>
  <c r="R98" i="22" s="1"/>
  <c r="N98" i="22"/>
  <c r="O98" i="22" s="1"/>
  <c r="L98" i="22"/>
  <c r="M98" i="22" s="1"/>
  <c r="J98" i="22"/>
  <c r="K98" i="22" s="1"/>
  <c r="H98" i="22"/>
  <c r="I98" i="22" s="1"/>
  <c r="F98" i="22"/>
  <c r="G98" i="22" s="1"/>
  <c r="D98" i="22"/>
  <c r="E98" i="22" s="1"/>
  <c r="B98" i="22"/>
  <c r="C98" i="22" s="1"/>
  <c r="A98" i="22"/>
  <c r="AS97" i="22"/>
  <c r="AT97" i="22" s="1"/>
  <c r="AQ97" i="22"/>
  <c r="AR97" i="22" s="1"/>
  <c r="AK97" i="22"/>
  <c r="AL97" i="22" s="1"/>
  <c r="AI97" i="22"/>
  <c r="AJ97" i="22" s="1"/>
  <c r="AB97" i="22"/>
  <c r="AC97" i="22" s="1"/>
  <c r="Z97" i="22"/>
  <c r="AA97" i="22" s="1"/>
  <c r="T97" i="22"/>
  <c r="U97" i="22" s="1"/>
  <c r="Q97" i="22"/>
  <c r="R97" i="22" s="1"/>
  <c r="J97" i="22"/>
  <c r="K97" i="22" s="1"/>
  <c r="H97" i="22"/>
  <c r="I97" i="22" s="1"/>
  <c r="B97" i="22"/>
  <c r="C97" i="22" s="1"/>
  <c r="A97" i="22"/>
  <c r="AU96" i="22"/>
  <c r="AV96" i="22" s="1"/>
  <c r="AS96" i="22"/>
  <c r="AT96" i="22" s="1"/>
  <c r="AQ96" i="22"/>
  <c r="AR96" i="22" s="1"/>
  <c r="AO96" i="22"/>
  <c r="AP96" i="22" s="1"/>
  <c r="AN96" i="22"/>
  <c r="AM96" i="22"/>
  <c r="AK96" i="22"/>
  <c r="AL96" i="22" s="1"/>
  <c r="AI96" i="22"/>
  <c r="AJ96" i="22" s="1"/>
  <c r="AF96" i="22"/>
  <c r="AG96" i="22" s="1"/>
  <c r="AD96" i="22"/>
  <c r="AE96" i="22" s="1"/>
  <c r="AB96" i="22"/>
  <c r="AC96" i="22" s="1"/>
  <c r="Z96" i="22"/>
  <c r="AA96" i="22" s="1"/>
  <c r="X96" i="22"/>
  <c r="Y96" i="22" s="1"/>
  <c r="V96" i="22"/>
  <c r="W96" i="22" s="1"/>
  <c r="T96" i="22"/>
  <c r="U96" i="22" s="1"/>
  <c r="Q96" i="22"/>
  <c r="R96" i="22" s="1"/>
  <c r="N96" i="22"/>
  <c r="O96" i="22" s="1"/>
  <c r="L96" i="22"/>
  <c r="M96" i="22" s="1"/>
  <c r="J96" i="22"/>
  <c r="K96" i="22" s="1"/>
  <c r="H96" i="22"/>
  <c r="I96" i="22" s="1"/>
  <c r="F96" i="22"/>
  <c r="G96" i="22" s="1"/>
  <c r="D96" i="22"/>
  <c r="E96" i="22" s="1"/>
  <c r="B96" i="22"/>
  <c r="C96" i="22" s="1"/>
  <c r="A96" i="22"/>
  <c r="AS95" i="22"/>
  <c r="AT95" i="22" s="1"/>
  <c r="J95" i="22"/>
  <c r="K95" i="22" s="1"/>
  <c r="A95" i="22"/>
  <c r="Z94" i="22"/>
  <c r="AA94" i="22" s="1"/>
  <c r="T94" i="22"/>
  <c r="U94" i="22" s="1"/>
  <c r="A94" i="22"/>
  <c r="AQ94" i="22" s="1"/>
  <c r="AR94" i="22" s="1"/>
  <c r="AM93" i="22"/>
  <c r="AN93" i="22" s="1"/>
  <c r="N93" i="22"/>
  <c r="O93" i="22" s="1"/>
  <c r="D93" i="22"/>
  <c r="E93" i="22" s="1"/>
  <c r="A93" i="22"/>
  <c r="AF93" i="22" s="1"/>
  <c r="AG93" i="22" s="1"/>
  <c r="AU92" i="22"/>
  <c r="AV92" i="22" s="1"/>
  <c r="AS92" i="22"/>
  <c r="AT92" i="22" s="1"/>
  <c r="AQ92" i="22"/>
  <c r="AR92" i="22" s="1"/>
  <c r="AO92" i="22"/>
  <c r="AP92" i="22" s="1"/>
  <c r="AM92" i="22"/>
  <c r="AN92" i="22" s="1"/>
  <c r="AK92" i="22"/>
  <c r="AL92" i="22" s="1"/>
  <c r="AI92" i="22"/>
  <c r="AJ92" i="22" s="1"/>
  <c r="AD92" i="22"/>
  <c r="AE92" i="22" s="1"/>
  <c r="AB92" i="22"/>
  <c r="AC92" i="22" s="1"/>
  <c r="Z92" i="22"/>
  <c r="AA92" i="22" s="1"/>
  <c r="V92" i="22"/>
  <c r="W92" i="22" s="1"/>
  <c r="T92" i="22"/>
  <c r="U92" i="22" s="1"/>
  <c r="Q92" i="22"/>
  <c r="R92" i="22" s="1"/>
  <c r="N92" i="22"/>
  <c r="O92" i="22" s="1"/>
  <c r="L92" i="22"/>
  <c r="M92" i="22" s="1"/>
  <c r="J92" i="22"/>
  <c r="K92" i="22" s="1"/>
  <c r="H92" i="22"/>
  <c r="I92" i="22" s="1"/>
  <c r="F92" i="22"/>
  <c r="G92" i="22" s="1"/>
  <c r="D92" i="22"/>
  <c r="E92" i="22" s="1"/>
  <c r="B92" i="22"/>
  <c r="C92" i="22" s="1"/>
  <c r="A92" i="22"/>
  <c r="X92" i="22" s="1"/>
  <c r="Y92" i="22" s="1"/>
  <c r="AQ91" i="22"/>
  <c r="AR91" i="22" s="1"/>
  <c r="AF91" i="22"/>
  <c r="AG91" i="22" s="1"/>
  <c r="H91" i="22"/>
  <c r="I91" i="22" s="1"/>
  <c r="A91" i="22"/>
  <c r="AU90" i="22"/>
  <c r="AV90" i="22" s="1"/>
  <c r="AS90" i="22"/>
  <c r="AT90" i="22" s="1"/>
  <c r="AQ90" i="22"/>
  <c r="AR90" i="22" s="1"/>
  <c r="AO90" i="22"/>
  <c r="AP90" i="22" s="1"/>
  <c r="AM90" i="22"/>
  <c r="AN90" i="22" s="1"/>
  <c r="AK90" i="22"/>
  <c r="AL90" i="22" s="1"/>
  <c r="AI90" i="22"/>
  <c r="AJ90" i="22" s="1"/>
  <c r="AF90" i="22"/>
  <c r="AG90" i="22" s="1"/>
  <c r="AD90" i="22"/>
  <c r="AE90" i="22" s="1"/>
  <c r="AB90" i="22"/>
  <c r="AC90" i="22" s="1"/>
  <c r="Z90" i="22"/>
  <c r="AA90" i="22" s="1"/>
  <c r="X90" i="22"/>
  <c r="Y90" i="22" s="1"/>
  <c r="W90" i="22"/>
  <c r="V90" i="22"/>
  <c r="T90" i="22"/>
  <c r="U90" i="22" s="1"/>
  <c r="Q90" i="22"/>
  <c r="R90" i="22" s="1"/>
  <c r="N90" i="22"/>
  <c r="O90" i="22" s="1"/>
  <c r="L90" i="22"/>
  <c r="M90" i="22" s="1"/>
  <c r="J90" i="22"/>
  <c r="K90" i="22" s="1"/>
  <c r="H90" i="22"/>
  <c r="I90" i="22" s="1"/>
  <c r="F90" i="22"/>
  <c r="G90" i="22" s="1"/>
  <c r="D90" i="22"/>
  <c r="E90" i="22" s="1"/>
  <c r="B90" i="22"/>
  <c r="C90" i="22" s="1"/>
  <c r="A90" i="22"/>
  <c r="AS89" i="22"/>
  <c r="AT89" i="22" s="1"/>
  <c r="AK89" i="22"/>
  <c r="AL89" i="22" s="1"/>
  <c r="Q89" i="22"/>
  <c r="R89" i="22" s="1"/>
  <c r="A89" i="22"/>
  <c r="AQ89" i="22" s="1"/>
  <c r="AR89" i="22" s="1"/>
  <c r="AS88" i="22"/>
  <c r="AT88" i="22" s="1"/>
  <c r="AO88" i="22"/>
  <c r="AP88" i="22" s="1"/>
  <c r="AK88" i="22"/>
  <c r="AL88" i="22" s="1"/>
  <c r="AD88" i="22"/>
  <c r="AE88" i="22" s="1"/>
  <c r="Z88" i="22"/>
  <c r="AA88" i="22" s="1"/>
  <c r="V88" i="22"/>
  <c r="W88" i="22" s="1"/>
  <c r="T88" i="22"/>
  <c r="U88" i="22" s="1"/>
  <c r="N88" i="22"/>
  <c r="O88" i="22" s="1"/>
  <c r="L88" i="22"/>
  <c r="M88" i="22" s="1"/>
  <c r="J88" i="22"/>
  <c r="K88" i="22" s="1"/>
  <c r="H88" i="22"/>
  <c r="I88" i="22" s="1"/>
  <c r="F88" i="22"/>
  <c r="G88" i="22" s="1"/>
  <c r="B88" i="22"/>
  <c r="C88" i="22" s="1"/>
  <c r="A88" i="22"/>
  <c r="AI87" i="22"/>
  <c r="AJ87" i="22" s="1"/>
  <c r="A87" i="22"/>
  <c r="AU86" i="22"/>
  <c r="AV86" i="22" s="1"/>
  <c r="AS86" i="22"/>
  <c r="AT86" i="22" s="1"/>
  <c r="AQ86" i="22"/>
  <c r="AR86" i="22" s="1"/>
  <c r="AO86" i="22"/>
  <c r="AP86" i="22" s="1"/>
  <c r="AM86" i="22"/>
  <c r="AN86" i="22" s="1"/>
  <c r="AK86" i="22"/>
  <c r="AL86" i="22" s="1"/>
  <c r="AI86" i="22"/>
  <c r="AJ86" i="22" s="1"/>
  <c r="AF86" i="22"/>
  <c r="AG86" i="22" s="1"/>
  <c r="AD86" i="22"/>
  <c r="AE86" i="22" s="1"/>
  <c r="AB86" i="22"/>
  <c r="AC86" i="22" s="1"/>
  <c r="Z86" i="22"/>
  <c r="AA86" i="22" s="1"/>
  <c r="X86" i="22"/>
  <c r="Y86" i="22" s="1"/>
  <c r="V86" i="22"/>
  <c r="W86" i="22" s="1"/>
  <c r="T86" i="22"/>
  <c r="U86" i="22" s="1"/>
  <c r="Q86" i="22"/>
  <c r="R86" i="22" s="1"/>
  <c r="N86" i="22"/>
  <c r="O86" i="22" s="1"/>
  <c r="L86" i="22"/>
  <c r="M86" i="22" s="1"/>
  <c r="K86" i="22"/>
  <c r="J86" i="22"/>
  <c r="H86" i="22"/>
  <c r="I86" i="22" s="1"/>
  <c r="F86" i="22"/>
  <c r="G86" i="22" s="1"/>
  <c r="D86" i="22"/>
  <c r="E86" i="22" s="1"/>
  <c r="B86" i="22"/>
  <c r="C86" i="22" s="1"/>
  <c r="A86" i="22"/>
  <c r="AS85" i="22"/>
  <c r="AT85" i="22" s="1"/>
  <c r="AQ85" i="22"/>
  <c r="AR85" i="22" s="1"/>
  <c r="AI85" i="22"/>
  <c r="AJ85" i="22" s="1"/>
  <c r="AB85" i="22"/>
  <c r="AC85" i="22" s="1"/>
  <c r="T85" i="22"/>
  <c r="U85" i="22" s="1"/>
  <c r="Q85" i="22"/>
  <c r="R85" i="22" s="1"/>
  <c r="J85" i="22"/>
  <c r="K85" i="22" s="1"/>
  <c r="H85" i="22"/>
  <c r="I85" i="22" s="1"/>
  <c r="A85" i="22"/>
  <c r="AV84" i="22"/>
  <c r="AU84" i="22"/>
  <c r="AS84" i="22"/>
  <c r="AT84" i="22" s="1"/>
  <c r="AQ84" i="22"/>
  <c r="AR84" i="22" s="1"/>
  <c r="AO84" i="22"/>
  <c r="AP84" i="22" s="1"/>
  <c r="AM84" i="22"/>
  <c r="AN84" i="22" s="1"/>
  <c r="AK84" i="22"/>
  <c r="AL84" i="22" s="1"/>
  <c r="AI84" i="22"/>
  <c r="AJ84" i="22" s="1"/>
  <c r="AF84" i="22"/>
  <c r="AG84" i="22" s="1"/>
  <c r="AD84" i="22"/>
  <c r="AE84" i="22" s="1"/>
  <c r="AB84" i="22"/>
  <c r="AC84" i="22" s="1"/>
  <c r="Z84" i="22"/>
  <c r="AA84" i="22" s="1"/>
  <c r="X84" i="22"/>
  <c r="Y84" i="22" s="1"/>
  <c r="V84" i="22"/>
  <c r="W84" i="22" s="1"/>
  <c r="T84" i="22"/>
  <c r="U84" i="22" s="1"/>
  <c r="Q84" i="22"/>
  <c r="R84" i="22" s="1"/>
  <c r="N84" i="22"/>
  <c r="O84" i="22" s="1"/>
  <c r="L84" i="22"/>
  <c r="M84" i="22" s="1"/>
  <c r="J84" i="22"/>
  <c r="K84" i="22" s="1"/>
  <c r="H84" i="22"/>
  <c r="I84" i="22" s="1"/>
  <c r="F84" i="22"/>
  <c r="G84" i="22" s="1"/>
  <c r="D84" i="22"/>
  <c r="E84" i="22" s="1"/>
  <c r="B84" i="22"/>
  <c r="C84" i="22" s="1"/>
  <c r="A84" i="22"/>
  <c r="AS83" i="22"/>
  <c r="AT83" i="22" s="1"/>
  <c r="AK83" i="22"/>
  <c r="AL83" i="22" s="1"/>
  <c r="V83" i="22"/>
  <c r="W83" i="22" s="1"/>
  <c r="L83" i="22"/>
  <c r="M83" i="22" s="1"/>
  <c r="J83" i="22"/>
  <c r="K83" i="22" s="1"/>
  <c r="A83" i="22"/>
  <c r="AU82" i="22"/>
  <c r="AV82" i="22" s="1"/>
  <c r="AS82" i="22"/>
  <c r="AT82" i="22" s="1"/>
  <c r="AO82" i="22"/>
  <c r="AP82" i="22" s="1"/>
  <c r="AI82" i="22"/>
  <c r="AJ82" i="22" s="1"/>
  <c r="AF82" i="22"/>
  <c r="AG82" i="22" s="1"/>
  <c r="V82" i="22"/>
  <c r="W82" i="22" s="1"/>
  <c r="Q82" i="22"/>
  <c r="R82" i="22" s="1"/>
  <c r="H82" i="22"/>
  <c r="I82" i="22" s="1"/>
  <c r="A82" i="22"/>
  <c r="AD82" i="22" s="1"/>
  <c r="AE82" i="22" s="1"/>
  <c r="A81" i="22"/>
  <c r="AS80" i="22"/>
  <c r="AT80" i="22" s="1"/>
  <c r="AQ80" i="22"/>
  <c r="AR80" i="22" s="1"/>
  <c r="AO80" i="22"/>
  <c r="AP80" i="22" s="1"/>
  <c r="AK80" i="22"/>
  <c r="AL80" i="22" s="1"/>
  <c r="AI80" i="22"/>
  <c r="AJ80" i="22" s="1"/>
  <c r="AF80" i="22"/>
  <c r="AG80" i="22" s="1"/>
  <c r="AB80" i="22"/>
  <c r="AC80" i="22" s="1"/>
  <c r="Z80" i="22"/>
  <c r="AA80" i="22" s="1"/>
  <c r="X80" i="22"/>
  <c r="Y80" i="22" s="1"/>
  <c r="T80" i="22"/>
  <c r="U80" i="22" s="1"/>
  <c r="Q80" i="22"/>
  <c r="R80" i="22" s="1"/>
  <c r="N80" i="22"/>
  <c r="O80" i="22" s="1"/>
  <c r="J80" i="22"/>
  <c r="K80" i="22" s="1"/>
  <c r="H80" i="22"/>
  <c r="I80" i="22" s="1"/>
  <c r="F80" i="22"/>
  <c r="G80" i="22" s="1"/>
  <c r="B80" i="22"/>
  <c r="C80" i="22" s="1"/>
  <c r="A80" i="22"/>
  <c r="AU80" i="22" s="1"/>
  <c r="AV80" i="22" s="1"/>
  <c r="AU79" i="22"/>
  <c r="AV79" i="22" s="1"/>
  <c r="AS79" i="22"/>
  <c r="AT79" i="22" s="1"/>
  <c r="AQ79" i="22"/>
  <c r="AR79" i="22" s="1"/>
  <c r="AM79" i="22"/>
  <c r="AN79" i="22" s="1"/>
  <c r="AK79" i="22"/>
  <c r="AL79" i="22" s="1"/>
  <c r="AI79" i="22"/>
  <c r="AJ79" i="22" s="1"/>
  <c r="AD79" i="22"/>
  <c r="AE79" i="22" s="1"/>
  <c r="AC79" i="22"/>
  <c r="AB79" i="22"/>
  <c r="Z79" i="22"/>
  <c r="AA79" i="22" s="1"/>
  <c r="V79" i="22"/>
  <c r="W79" i="22" s="1"/>
  <c r="T79" i="22"/>
  <c r="U79" i="22" s="1"/>
  <c r="Q79" i="22"/>
  <c r="R79" i="22" s="1"/>
  <c r="N79" i="22"/>
  <c r="O79" i="22" s="1"/>
  <c r="L79" i="22"/>
  <c r="M79" i="22" s="1"/>
  <c r="J79" i="22"/>
  <c r="K79" i="22" s="1"/>
  <c r="H79" i="22"/>
  <c r="I79" i="22" s="1"/>
  <c r="F79" i="22"/>
  <c r="G79" i="22" s="1"/>
  <c r="D79" i="22"/>
  <c r="E79" i="22" s="1"/>
  <c r="B79" i="22"/>
  <c r="C79" i="22" s="1"/>
  <c r="A79" i="22"/>
  <c r="AO79" i="22" s="1"/>
  <c r="AP79" i="22" s="1"/>
  <c r="AU78" i="22"/>
  <c r="AV78" i="22" s="1"/>
  <c r="AQ78" i="22"/>
  <c r="AR78" i="22" s="1"/>
  <c r="AM78" i="22"/>
  <c r="AN78" i="22" s="1"/>
  <c r="AD78" i="22"/>
  <c r="AE78" i="22" s="1"/>
  <c r="AB78" i="22"/>
  <c r="AC78" i="22" s="1"/>
  <c r="Z78" i="22"/>
  <c r="AA78" i="22" s="1"/>
  <c r="V78" i="22"/>
  <c r="W78" i="22" s="1"/>
  <c r="T78" i="22"/>
  <c r="U78" i="22" s="1"/>
  <c r="L78" i="22"/>
  <c r="M78" i="22" s="1"/>
  <c r="J78" i="22"/>
  <c r="K78" i="22" s="1"/>
  <c r="H78" i="22"/>
  <c r="I78" i="22" s="1"/>
  <c r="D78" i="22"/>
  <c r="E78" i="22" s="1"/>
  <c r="B78" i="22"/>
  <c r="C78" i="22" s="1"/>
  <c r="A78" i="22"/>
  <c r="AQ77" i="22"/>
  <c r="AR77" i="22" s="1"/>
  <c r="AO77" i="22"/>
  <c r="AP77" i="22" s="1"/>
  <c r="AF77" i="22"/>
  <c r="AG77" i="22" s="1"/>
  <c r="AD77" i="22"/>
  <c r="AE77" i="22" s="1"/>
  <c r="AB77" i="22"/>
  <c r="AC77" i="22" s="1"/>
  <c r="V77" i="22"/>
  <c r="W77" i="22" s="1"/>
  <c r="T77" i="22"/>
  <c r="U77" i="22" s="1"/>
  <c r="Q77" i="22"/>
  <c r="R77" i="22" s="1"/>
  <c r="J77" i="22"/>
  <c r="K77" i="22" s="1"/>
  <c r="H77" i="22"/>
  <c r="I77" i="22" s="1"/>
  <c r="A77" i="22"/>
  <c r="A76" i="22"/>
  <c r="AU75" i="22"/>
  <c r="AV75" i="22" s="1"/>
  <c r="AO75" i="22"/>
  <c r="AP75" i="22" s="1"/>
  <c r="AM75" i="22"/>
  <c r="AN75" i="22" s="1"/>
  <c r="AK75" i="22"/>
  <c r="AL75" i="22" s="1"/>
  <c r="AB75" i="22"/>
  <c r="AC75" i="22" s="1"/>
  <c r="Z75" i="22"/>
  <c r="AA75" i="22" s="1"/>
  <c r="Q75" i="22"/>
  <c r="R75" i="22" s="1"/>
  <c r="L75" i="22"/>
  <c r="M75" i="22" s="1"/>
  <c r="F75" i="22"/>
  <c r="G75" i="22" s="1"/>
  <c r="B75" i="22"/>
  <c r="C75" i="22" s="1"/>
  <c r="A75" i="22"/>
  <c r="AS75" i="22" s="1"/>
  <c r="AT75" i="22" s="1"/>
  <c r="B74" i="22"/>
  <c r="C74" i="22" s="1"/>
  <c r="A74" i="22"/>
  <c r="AO74" i="22" s="1"/>
  <c r="AP74" i="22" s="1"/>
  <c r="AF73" i="22"/>
  <c r="AG73" i="22" s="1"/>
  <c r="T73" i="22"/>
  <c r="U73" i="22" s="1"/>
  <c r="J73" i="22"/>
  <c r="K73" i="22" s="1"/>
  <c r="A73" i="22"/>
  <c r="AU72" i="22"/>
  <c r="AV72" i="22" s="1"/>
  <c r="AS72" i="22"/>
  <c r="AT72" i="22" s="1"/>
  <c r="AQ72" i="22"/>
  <c r="AR72" i="22" s="1"/>
  <c r="AO72" i="22"/>
  <c r="AP72" i="22" s="1"/>
  <c r="AM72" i="22"/>
  <c r="AN72" i="22" s="1"/>
  <c r="AK72" i="22"/>
  <c r="AL72" i="22" s="1"/>
  <c r="AI72" i="22"/>
  <c r="AJ72" i="22" s="1"/>
  <c r="AF72" i="22"/>
  <c r="AG72" i="22" s="1"/>
  <c r="AD72" i="22"/>
  <c r="AE72" i="22" s="1"/>
  <c r="AB72" i="22"/>
  <c r="AC72" i="22" s="1"/>
  <c r="Z72" i="22"/>
  <c r="AA72" i="22" s="1"/>
  <c r="X72" i="22"/>
  <c r="Y72" i="22" s="1"/>
  <c r="V72" i="22"/>
  <c r="W72" i="22" s="1"/>
  <c r="T72" i="22"/>
  <c r="U72" i="22" s="1"/>
  <c r="Q72" i="22"/>
  <c r="R72" i="22" s="1"/>
  <c r="N72" i="22"/>
  <c r="O72" i="22" s="1"/>
  <c r="L72" i="22"/>
  <c r="M72" i="22" s="1"/>
  <c r="J72" i="22"/>
  <c r="K72" i="22" s="1"/>
  <c r="H72" i="22"/>
  <c r="I72" i="22" s="1"/>
  <c r="G72" i="22"/>
  <c r="F72" i="22"/>
  <c r="D72" i="22"/>
  <c r="E72" i="22" s="1"/>
  <c r="B72" i="22"/>
  <c r="C72" i="22" s="1"/>
  <c r="A72" i="22"/>
  <c r="J71" i="22"/>
  <c r="K71" i="22" s="1"/>
  <c r="A71" i="22"/>
  <c r="AD71" i="22" s="1"/>
  <c r="AE71" i="22" s="1"/>
  <c r="AM70" i="22"/>
  <c r="AN70" i="22" s="1"/>
  <c r="AK70" i="22"/>
  <c r="AL70" i="22" s="1"/>
  <c r="AD70" i="22"/>
  <c r="AE70" i="22" s="1"/>
  <c r="T70" i="22"/>
  <c r="U70" i="22" s="1"/>
  <c r="Q70" i="22"/>
  <c r="R70" i="22" s="1"/>
  <c r="J70" i="22"/>
  <c r="K70" i="22" s="1"/>
  <c r="A70" i="22"/>
  <c r="AM69" i="22"/>
  <c r="AN69" i="22" s="1"/>
  <c r="T69" i="22"/>
  <c r="U69" i="22" s="1"/>
  <c r="A69" i="22"/>
  <c r="AU68" i="22"/>
  <c r="AV68" i="22" s="1"/>
  <c r="AS68" i="22"/>
  <c r="AT68" i="22" s="1"/>
  <c r="AM68" i="22"/>
  <c r="AN68" i="22" s="1"/>
  <c r="AK68" i="22"/>
  <c r="AL68" i="22" s="1"/>
  <c r="AI68" i="22"/>
  <c r="AJ68" i="22" s="1"/>
  <c r="AC68" i="22"/>
  <c r="AB68" i="22"/>
  <c r="Z68" i="22"/>
  <c r="AA68" i="22" s="1"/>
  <c r="T68" i="22"/>
  <c r="U68" i="22" s="1"/>
  <c r="Q68" i="22"/>
  <c r="R68" i="22" s="1"/>
  <c r="N68" i="22"/>
  <c r="O68" i="22" s="1"/>
  <c r="H68" i="22"/>
  <c r="I68" i="22" s="1"/>
  <c r="F68" i="22"/>
  <c r="G68" i="22" s="1"/>
  <c r="D68" i="22"/>
  <c r="E68" i="22" s="1"/>
  <c r="A68" i="22"/>
  <c r="AQ68" i="22" s="1"/>
  <c r="AR68" i="22" s="1"/>
  <c r="AU67" i="22"/>
  <c r="AV67" i="22" s="1"/>
  <c r="AQ67" i="22"/>
  <c r="AR67" i="22" s="1"/>
  <c r="AM67" i="22"/>
  <c r="AN67" i="22" s="1"/>
  <c r="AI67" i="22"/>
  <c r="AJ67" i="22" s="1"/>
  <c r="Z67" i="22"/>
  <c r="AA67" i="22" s="1"/>
  <c r="X67" i="22"/>
  <c r="Y67" i="22" s="1"/>
  <c r="Q67" i="22"/>
  <c r="R67" i="22" s="1"/>
  <c r="N67" i="22"/>
  <c r="O67" i="22" s="1"/>
  <c r="H67" i="22"/>
  <c r="I67" i="22" s="1"/>
  <c r="F67" i="22"/>
  <c r="G67" i="22" s="1"/>
  <c r="D67" i="22"/>
  <c r="E67" i="22" s="1"/>
  <c r="A67" i="22"/>
  <c r="AD67" i="22" s="1"/>
  <c r="AE67" i="22" s="1"/>
  <c r="AU66" i="22"/>
  <c r="AV66" i="22" s="1"/>
  <c r="AS66" i="22"/>
  <c r="AT66" i="22" s="1"/>
  <c r="AQ66" i="22"/>
  <c r="AR66" i="22" s="1"/>
  <c r="AK66" i="22"/>
  <c r="AL66" i="22" s="1"/>
  <c r="AI66" i="22"/>
  <c r="AJ66" i="22" s="1"/>
  <c r="AF66" i="22"/>
  <c r="AG66" i="22" s="1"/>
  <c r="AB66" i="22"/>
  <c r="AC66" i="22" s="1"/>
  <c r="Z66" i="22"/>
  <c r="AA66" i="22" s="1"/>
  <c r="X66" i="22"/>
  <c r="Y66" i="22" s="1"/>
  <c r="Q66" i="22"/>
  <c r="R66" i="22" s="1"/>
  <c r="N66" i="22"/>
  <c r="O66" i="22" s="1"/>
  <c r="L66" i="22"/>
  <c r="M66" i="22" s="1"/>
  <c r="H66" i="22"/>
  <c r="I66" i="22" s="1"/>
  <c r="F66" i="22"/>
  <c r="G66" i="22" s="1"/>
  <c r="D66" i="22"/>
  <c r="E66" i="22" s="1"/>
  <c r="A66" i="22"/>
  <c r="AO66" i="22" s="1"/>
  <c r="AP66" i="22" s="1"/>
  <c r="AS65" i="22"/>
  <c r="AT65" i="22" s="1"/>
  <c r="AQ65" i="22"/>
  <c r="AR65" i="22" s="1"/>
  <c r="AK65" i="22"/>
  <c r="AL65" i="22" s="1"/>
  <c r="AI65" i="22"/>
  <c r="AJ65" i="22" s="1"/>
  <c r="AF65" i="22"/>
  <c r="AG65" i="22" s="1"/>
  <c r="AB65" i="22"/>
  <c r="AC65" i="22" s="1"/>
  <c r="Z65" i="22"/>
  <c r="AA65" i="22" s="1"/>
  <c r="X65" i="22"/>
  <c r="Y65" i="22" s="1"/>
  <c r="T65" i="22"/>
  <c r="U65" i="22" s="1"/>
  <c r="Q65" i="22"/>
  <c r="R65" i="22" s="1"/>
  <c r="N65" i="22"/>
  <c r="O65" i="22" s="1"/>
  <c r="H65" i="22"/>
  <c r="I65" i="22" s="1"/>
  <c r="F65" i="22"/>
  <c r="G65" i="22" s="1"/>
  <c r="B65" i="22"/>
  <c r="C65" i="22" s="1"/>
  <c r="A65" i="22"/>
  <c r="AU64" i="22"/>
  <c r="AV64" i="22" s="1"/>
  <c r="AS64" i="22"/>
  <c r="AT64" i="22" s="1"/>
  <c r="AQ64" i="22"/>
  <c r="AR64" i="22" s="1"/>
  <c r="AO64" i="22"/>
  <c r="AP64" i="22" s="1"/>
  <c r="AM64" i="22"/>
  <c r="AN64" i="22" s="1"/>
  <c r="AK64" i="22"/>
  <c r="AL64" i="22" s="1"/>
  <c r="AI64" i="22"/>
  <c r="AJ64" i="22" s="1"/>
  <c r="AF64" i="22"/>
  <c r="AG64" i="22" s="1"/>
  <c r="AD64" i="22"/>
  <c r="AE64" i="22" s="1"/>
  <c r="AB64" i="22"/>
  <c r="AC64" i="22" s="1"/>
  <c r="Z64" i="22"/>
  <c r="AA64" i="22" s="1"/>
  <c r="X64" i="22"/>
  <c r="Y64" i="22" s="1"/>
  <c r="V64" i="22"/>
  <c r="W64" i="22" s="1"/>
  <c r="T64" i="22"/>
  <c r="U64" i="22" s="1"/>
  <c r="Q64" i="22"/>
  <c r="R64" i="22" s="1"/>
  <c r="N64" i="22"/>
  <c r="O64" i="22" s="1"/>
  <c r="L64" i="22"/>
  <c r="M64" i="22" s="1"/>
  <c r="J64" i="22"/>
  <c r="K64" i="22" s="1"/>
  <c r="H64" i="22"/>
  <c r="I64" i="22" s="1"/>
  <c r="F64" i="22"/>
  <c r="G64" i="22" s="1"/>
  <c r="D64" i="22"/>
  <c r="E64" i="22" s="1"/>
  <c r="B64" i="22"/>
  <c r="C64" i="22" s="1"/>
  <c r="A64" i="22"/>
  <c r="AU63" i="22"/>
  <c r="AV63" i="22" s="1"/>
  <c r="AS63" i="22"/>
  <c r="AT63" i="22" s="1"/>
  <c r="AQ63" i="22"/>
  <c r="AR63" i="22" s="1"/>
  <c r="AM63" i="22"/>
  <c r="AN63" i="22" s="1"/>
  <c r="AK63" i="22"/>
  <c r="AL63" i="22" s="1"/>
  <c r="AI63" i="22"/>
  <c r="AJ63" i="22" s="1"/>
  <c r="AB63" i="22"/>
  <c r="AC63" i="22" s="1"/>
  <c r="Z63" i="22"/>
  <c r="AA63" i="22" s="1"/>
  <c r="V63" i="22"/>
  <c r="W63" i="22" s="1"/>
  <c r="T63" i="22"/>
  <c r="U63" i="22" s="1"/>
  <c r="Q63" i="22"/>
  <c r="R63" i="22" s="1"/>
  <c r="L63" i="22"/>
  <c r="M63" i="22" s="1"/>
  <c r="H63" i="22"/>
  <c r="I63" i="22" s="1"/>
  <c r="D63" i="22"/>
  <c r="E63" i="22" s="1"/>
  <c r="B63" i="22"/>
  <c r="C63" i="22" s="1"/>
  <c r="A63" i="22"/>
  <c r="AP62" i="22"/>
  <c r="AO62" i="22"/>
  <c r="AK62" i="22"/>
  <c r="AL62" i="22" s="1"/>
  <c r="V62" i="22"/>
  <c r="W62" i="22" s="1"/>
  <c r="Q62" i="22"/>
  <c r="R62" i="22" s="1"/>
  <c r="L62" i="22"/>
  <c r="M62" i="22" s="1"/>
  <c r="F62" i="22"/>
  <c r="G62" i="22" s="1"/>
  <c r="D62" i="22"/>
  <c r="E62" i="22" s="1"/>
  <c r="B62" i="22"/>
  <c r="C62" i="22" s="1"/>
  <c r="A62" i="22"/>
  <c r="AS62" i="22" s="1"/>
  <c r="AT62" i="22" s="1"/>
  <c r="AO61" i="22"/>
  <c r="AP61" i="22" s="1"/>
  <c r="AF61" i="22"/>
  <c r="AG61" i="22" s="1"/>
  <c r="AD61" i="22"/>
  <c r="AE61" i="22" s="1"/>
  <c r="AB61" i="22"/>
  <c r="AC61" i="22" s="1"/>
  <c r="V61" i="22"/>
  <c r="W61" i="22" s="1"/>
  <c r="N61" i="22"/>
  <c r="O61" i="22" s="1"/>
  <c r="J61" i="22"/>
  <c r="K61" i="22" s="1"/>
  <c r="F61" i="22"/>
  <c r="G61" i="22" s="1"/>
  <c r="D61" i="22"/>
  <c r="E61" i="22" s="1"/>
  <c r="A61" i="22"/>
  <c r="AR60" i="22"/>
  <c r="AQ60" i="22"/>
  <c r="AK60" i="22"/>
  <c r="AL60" i="22" s="1"/>
  <c r="AD60" i="22"/>
  <c r="AE60" i="22" s="1"/>
  <c r="Z60" i="22"/>
  <c r="AA60" i="22" s="1"/>
  <c r="X60" i="22"/>
  <c r="Y60" i="22" s="1"/>
  <c r="V60" i="22"/>
  <c r="W60" i="22" s="1"/>
  <c r="T60" i="22"/>
  <c r="U60" i="22" s="1"/>
  <c r="L60" i="22"/>
  <c r="M60" i="22" s="1"/>
  <c r="J60" i="22"/>
  <c r="K60" i="22" s="1"/>
  <c r="B60" i="22"/>
  <c r="C60" i="22" s="1"/>
  <c r="A60" i="22"/>
  <c r="AO59" i="22"/>
  <c r="AP59" i="22" s="1"/>
  <c r="Z59" i="22"/>
  <c r="AA59" i="22" s="1"/>
  <c r="L59" i="22"/>
  <c r="M59" i="22" s="1"/>
  <c r="A59" i="22"/>
  <c r="AM59" i="22" s="1"/>
  <c r="AN59" i="22" s="1"/>
  <c r="AU58" i="22"/>
  <c r="AV58" i="22" s="1"/>
  <c r="AQ58" i="22"/>
  <c r="AR58" i="22" s="1"/>
  <c r="AO58" i="22"/>
  <c r="AP58" i="22" s="1"/>
  <c r="AM58" i="22"/>
  <c r="AN58" i="22" s="1"/>
  <c r="AF58" i="22"/>
  <c r="AG58" i="22" s="1"/>
  <c r="AD58" i="22"/>
  <c r="AE58" i="22" s="1"/>
  <c r="AB58" i="22"/>
  <c r="AC58" i="22" s="1"/>
  <c r="Z58" i="22"/>
  <c r="AA58" i="22" s="1"/>
  <c r="X58" i="22"/>
  <c r="Y58" i="22" s="1"/>
  <c r="V58" i="22"/>
  <c r="W58" i="22" s="1"/>
  <c r="T58" i="22"/>
  <c r="U58" i="22" s="1"/>
  <c r="N58" i="22"/>
  <c r="O58" i="22" s="1"/>
  <c r="L58" i="22"/>
  <c r="M58" i="22" s="1"/>
  <c r="J58" i="22"/>
  <c r="K58" i="22" s="1"/>
  <c r="H58" i="22"/>
  <c r="I58" i="22" s="1"/>
  <c r="D58" i="22"/>
  <c r="E58" i="22" s="1"/>
  <c r="B58" i="22"/>
  <c r="C58" i="22" s="1"/>
  <c r="A58" i="22"/>
  <c r="AQ57" i="22"/>
  <c r="AR57" i="22" s="1"/>
  <c r="T57" i="22"/>
  <c r="U57" i="22" s="1"/>
  <c r="B57" i="22"/>
  <c r="C57" i="22" s="1"/>
  <c r="A57" i="22"/>
  <c r="J57" i="22" s="1"/>
  <c r="K57" i="22" s="1"/>
  <c r="AU56" i="22"/>
  <c r="AV56" i="22" s="1"/>
  <c r="AS56" i="22"/>
  <c r="AT56" i="22" s="1"/>
  <c r="AQ56" i="22"/>
  <c r="AR56" i="22" s="1"/>
  <c r="AO56" i="22"/>
  <c r="AP56" i="22" s="1"/>
  <c r="AM56" i="22"/>
  <c r="AN56" i="22" s="1"/>
  <c r="AK56" i="22"/>
  <c r="AL56" i="22" s="1"/>
  <c r="AI56" i="22"/>
  <c r="AJ56" i="22" s="1"/>
  <c r="AF56" i="22"/>
  <c r="AG56" i="22" s="1"/>
  <c r="AD56" i="22"/>
  <c r="AE56" i="22" s="1"/>
  <c r="AB56" i="22"/>
  <c r="AC56" i="22" s="1"/>
  <c r="Z56" i="22"/>
  <c r="AA56" i="22" s="1"/>
  <c r="X56" i="22"/>
  <c r="Y56" i="22" s="1"/>
  <c r="V56" i="22"/>
  <c r="W56" i="22" s="1"/>
  <c r="T56" i="22"/>
  <c r="U56" i="22" s="1"/>
  <c r="Q56" i="22"/>
  <c r="R56" i="22" s="1"/>
  <c r="N56" i="22"/>
  <c r="O56" i="22" s="1"/>
  <c r="M56" i="22"/>
  <c r="L56" i="22"/>
  <c r="J56" i="22"/>
  <c r="K56" i="22" s="1"/>
  <c r="H56" i="22"/>
  <c r="I56" i="22" s="1"/>
  <c r="F56" i="22"/>
  <c r="G56" i="22" s="1"/>
  <c r="D56" i="22"/>
  <c r="E56" i="22" s="1"/>
  <c r="B56" i="22"/>
  <c r="C56" i="22" s="1"/>
  <c r="A56" i="22"/>
  <c r="AQ55" i="22"/>
  <c r="AR55" i="22" s="1"/>
  <c r="AK55" i="22"/>
  <c r="AL55" i="22" s="1"/>
  <c r="AD55" i="22"/>
  <c r="AE55" i="22" s="1"/>
  <c r="T55" i="22"/>
  <c r="U55" i="22" s="1"/>
  <c r="J55" i="22"/>
  <c r="K55" i="22" s="1"/>
  <c r="H55" i="22"/>
  <c r="I55" i="22" s="1"/>
  <c r="B55" i="22"/>
  <c r="C55" i="22" s="1"/>
  <c r="A55" i="22"/>
  <c r="AU55" i="22" s="1"/>
  <c r="AV55" i="22" s="1"/>
  <c r="AQ54" i="22"/>
  <c r="AR54" i="22" s="1"/>
  <c r="AM54" i="22"/>
  <c r="AN54" i="22" s="1"/>
  <c r="AD54" i="22"/>
  <c r="AE54" i="22" s="1"/>
  <c r="Z54" i="22"/>
  <c r="AA54" i="22" s="1"/>
  <c r="Q54" i="22"/>
  <c r="R54" i="22" s="1"/>
  <c r="L54" i="22"/>
  <c r="M54" i="22" s="1"/>
  <c r="D54" i="22"/>
  <c r="E54" i="22" s="1"/>
  <c r="A54" i="22"/>
  <c r="AK54" i="22" s="1"/>
  <c r="AL54" i="22" s="1"/>
  <c r="AU53" i="22"/>
  <c r="AV53" i="22" s="1"/>
  <c r="AS53" i="22"/>
  <c r="AT53" i="22" s="1"/>
  <c r="AO53" i="22"/>
  <c r="AP53" i="22" s="1"/>
  <c r="AM53" i="22"/>
  <c r="AN53" i="22" s="1"/>
  <c r="AK53" i="22"/>
  <c r="AL53" i="22" s="1"/>
  <c r="AF53" i="22"/>
  <c r="AG53" i="22" s="1"/>
  <c r="AD53" i="22"/>
  <c r="AE53" i="22" s="1"/>
  <c r="AB53" i="22"/>
  <c r="AC53" i="22" s="1"/>
  <c r="V53" i="22"/>
  <c r="W53" i="22" s="1"/>
  <c r="T53" i="22"/>
  <c r="U53" i="22" s="1"/>
  <c r="N53" i="22"/>
  <c r="O53" i="22" s="1"/>
  <c r="L53" i="22"/>
  <c r="M53" i="22" s="1"/>
  <c r="J53" i="22"/>
  <c r="K53" i="22" s="1"/>
  <c r="F53" i="22"/>
  <c r="G53" i="22" s="1"/>
  <c r="B53" i="22"/>
  <c r="C53" i="22" s="1"/>
  <c r="A53" i="22"/>
  <c r="AU52" i="22"/>
  <c r="AV52" i="22" s="1"/>
  <c r="AM52" i="22"/>
  <c r="AN52" i="22" s="1"/>
  <c r="V52" i="22"/>
  <c r="W52" i="22" s="1"/>
  <c r="J52" i="22"/>
  <c r="K52" i="22" s="1"/>
  <c r="A52" i="22"/>
  <c r="Z52" i="22" s="1"/>
  <c r="AA52" i="22" s="1"/>
  <c r="AO51" i="22"/>
  <c r="AP51" i="22" s="1"/>
  <c r="AM51" i="22"/>
  <c r="AN51" i="22" s="1"/>
  <c r="AK51" i="22"/>
  <c r="AL51" i="22" s="1"/>
  <c r="AD51" i="22"/>
  <c r="AE51" i="22" s="1"/>
  <c r="AB51" i="22"/>
  <c r="AC51" i="22" s="1"/>
  <c r="V51" i="22"/>
  <c r="W51" i="22" s="1"/>
  <c r="R51" i="22"/>
  <c r="Q51" i="22"/>
  <c r="N51" i="22"/>
  <c r="O51" i="22" s="1"/>
  <c r="D51" i="22"/>
  <c r="E51" i="22" s="1"/>
  <c r="B51" i="22"/>
  <c r="C51" i="22" s="1"/>
  <c r="A51" i="22"/>
  <c r="J51" i="22" s="1"/>
  <c r="K51" i="22" s="1"/>
  <c r="AU50" i="22"/>
  <c r="AV50" i="22" s="1"/>
  <c r="AO50" i="22"/>
  <c r="AP50" i="22" s="1"/>
  <c r="AN50" i="22"/>
  <c r="AM50" i="22"/>
  <c r="AK50" i="22"/>
  <c r="AL50" i="22" s="1"/>
  <c r="AF50" i="22"/>
  <c r="AG50" i="22" s="1"/>
  <c r="AD50" i="22"/>
  <c r="AE50" i="22" s="1"/>
  <c r="AB50" i="22"/>
  <c r="AC50" i="22" s="1"/>
  <c r="X50" i="22"/>
  <c r="Y50" i="22" s="1"/>
  <c r="V50" i="22"/>
  <c r="W50" i="22" s="1"/>
  <c r="T50" i="22"/>
  <c r="U50" i="22" s="1"/>
  <c r="L50" i="22"/>
  <c r="M50" i="22" s="1"/>
  <c r="J50" i="22"/>
  <c r="K50" i="22" s="1"/>
  <c r="F50" i="22"/>
  <c r="G50" i="22" s="1"/>
  <c r="D50" i="22"/>
  <c r="E50" i="22" s="1"/>
  <c r="B50" i="22"/>
  <c r="C50" i="22" s="1"/>
  <c r="A50" i="22"/>
  <c r="AU49" i="22"/>
  <c r="AV49" i="22" s="1"/>
  <c r="AS49" i="22"/>
  <c r="AT49" i="22" s="1"/>
  <c r="AQ49" i="22"/>
  <c r="AR49" i="22" s="1"/>
  <c r="AK49" i="22"/>
  <c r="AL49" i="22" s="1"/>
  <c r="AF49" i="22"/>
  <c r="AG49" i="22" s="1"/>
  <c r="Z49" i="22"/>
  <c r="AA49" i="22" s="1"/>
  <c r="V49" i="22"/>
  <c r="W49" i="22" s="1"/>
  <c r="Q49" i="22"/>
  <c r="R49" i="22" s="1"/>
  <c r="L49" i="22"/>
  <c r="M49" i="22" s="1"/>
  <c r="J49" i="22"/>
  <c r="K49" i="22" s="1"/>
  <c r="F49" i="22"/>
  <c r="G49" i="22" s="1"/>
  <c r="B49" i="22"/>
  <c r="C49" i="22" s="1"/>
  <c r="A49" i="22"/>
  <c r="AD49" i="22" s="1"/>
  <c r="AE49" i="22" s="1"/>
  <c r="A48" i="22"/>
  <c r="AK47" i="22"/>
  <c r="AL47" i="22" s="1"/>
  <c r="H47" i="22"/>
  <c r="I47" i="22" s="1"/>
  <c r="A47" i="22"/>
  <c r="AS46" i="22"/>
  <c r="AT46" i="22" s="1"/>
  <c r="AK46" i="22"/>
  <c r="AL46" i="22" s="1"/>
  <c r="AI46" i="22"/>
  <c r="AJ46" i="22" s="1"/>
  <c r="AF46" i="22"/>
  <c r="AG46" i="22" s="1"/>
  <c r="AB46" i="22"/>
  <c r="AC46" i="22" s="1"/>
  <c r="Z46" i="22"/>
  <c r="AA46" i="22" s="1"/>
  <c r="Y46" i="22"/>
  <c r="X46" i="22"/>
  <c r="T46" i="22"/>
  <c r="U46" i="22" s="1"/>
  <c r="Q46" i="22"/>
  <c r="R46" i="22" s="1"/>
  <c r="N46" i="22"/>
  <c r="O46" i="22" s="1"/>
  <c r="H46" i="22"/>
  <c r="I46" i="22" s="1"/>
  <c r="F46" i="22"/>
  <c r="G46" i="22" s="1"/>
  <c r="B46" i="22"/>
  <c r="C46" i="22" s="1"/>
  <c r="A46" i="22"/>
  <c r="AU45" i="22"/>
  <c r="AV45" i="22" s="1"/>
  <c r="AS45" i="22"/>
  <c r="AT45" i="22" s="1"/>
  <c r="AQ45" i="22"/>
  <c r="AR45" i="22" s="1"/>
  <c r="AO45" i="22"/>
  <c r="AP45" i="22" s="1"/>
  <c r="AM45" i="22"/>
  <c r="AN45" i="22" s="1"/>
  <c r="AK45" i="22"/>
  <c r="AL45" i="22" s="1"/>
  <c r="AI45" i="22"/>
  <c r="AJ45" i="22" s="1"/>
  <c r="AF45" i="22"/>
  <c r="AG45" i="22" s="1"/>
  <c r="AD45" i="22"/>
  <c r="AE45" i="22" s="1"/>
  <c r="AB45" i="22"/>
  <c r="AC45" i="22" s="1"/>
  <c r="Z45" i="22"/>
  <c r="AA45" i="22" s="1"/>
  <c r="X45" i="22"/>
  <c r="Y45" i="22" s="1"/>
  <c r="V45" i="22"/>
  <c r="W45" i="22" s="1"/>
  <c r="T45" i="22"/>
  <c r="U45" i="22" s="1"/>
  <c r="Q45" i="22"/>
  <c r="R45" i="22" s="1"/>
  <c r="N45" i="22"/>
  <c r="O45" i="22" s="1"/>
  <c r="L45" i="22"/>
  <c r="M45" i="22" s="1"/>
  <c r="J45" i="22"/>
  <c r="K45" i="22" s="1"/>
  <c r="H45" i="22"/>
  <c r="I45" i="22" s="1"/>
  <c r="F45" i="22"/>
  <c r="G45" i="22" s="1"/>
  <c r="D45" i="22"/>
  <c r="E45" i="22" s="1"/>
  <c r="B45" i="22"/>
  <c r="C45" i="22" s="1"/>
  <c r="A45" i="22"/>
  <c r="AB44" i="22"/>
  <c r="AC44" i="22" s="1"/>
  <c r="J44" i="22"/>
  <c r="K44" i="22" s="1"/>
  <c r="A44" i="22"/>
  <c r="AF44" i="22" s="1"/>
  <c r="AG44" i="22" s="1"/>
  <c r="AO43" i="22"/>
  <c r="AP43" i="22" s="1"/>
  <c r="AF43" i="22"/>
  <c r="AG43" i="22" s="1"/>
  <c r="Y43" i="22"/>
  <c r="X43" i="22"/>
  <c r="N43" i="22"/>
  <c r="O43" i="22" s="1"/>
  <c r="F43" i="22"/>
  <c r="G43" i="22" s="1"/>
  <c r="A43" i="22"/>
  <c r="AU42" i="22"/>
  <c r="AV42" i="22" s="1"/>
  <c r="AT42" i="22"/>
  <c r="AS42" i="22"/>
  <c r="AQ42" i="22"/>
  <c r="AR42" i="22" s="1"/>
  <c r="AO42" i="22"/>
  <c r="AP42" i="22" s="1"/>
  <c r="AM42" i="22"/>
  <c r="AN42" i="22" s="1"/>
  <c r="AK42" i="22"/>
  <c r="AL42" i="22" s="1"/>
  <c r="AI42" i="22"/>
  <c r="AJ42" i="22" s="1"/>
  <c r="AF42" i="22"/>
  <c r="AG42" i="22" s="1"/>
  <c r="AD42" i="22"/>
  <c r="AE42" i="22" s="1"/>
  <c r="AB42" i="22"/>
  <c r="AC42" i="22" s="1"/>
  <c r="Z42" i="22"/>
  <c r="AA42" i="22" s="1"/>
  <c r="X42" i="22"/>
  <c r="Y42" i="22" s="1"/>
  <c r="V42" i="22"/>
  <c r="W42" i="22" s="1"/>
  <c r="T42" i="22"/>
  <c r="U42" i="22" s="1"/>
  <c r="Q42" i="22"/>
  <c r="R42" i="22" s="1"/>
  <c r="N42" i="22"/>
  <c r="O42" i="22" s="1"/>
  <c r="L42" i="22"/>
  <c r="M42" i="22" s="1"/>
  <c r="J42" i="22"/>
  <c r="K42" i="22" s="1"/>
  <c r="H42" i="22"/>
  <c r="I42" i="22" s="1"/>
  <c r="F42" i="22"/>
  <c r="G42" i="22" s="1"/>
  <c r="D42" i="22"/>
  <c r="E42" i="22" s="1"/>
  <c r="B42" i="22"/>
  <c r="C42" i="22" s="1"/>
  <c r="A42" i="22"/>
  <c r="AI41" i="22"/>
  <c r="AJ41" i="22" s="1"/>
  <c r="Z41" i="22"/>
  <c r="AA41" i="22" s="1"/>
  <c r="H41" i="22"/>
  <c r="I41" i="22" s="1"/>
  <c r="A41" i="22"/>
  <c r="AU40" i="22"/>
  <c r="AV40" i="22" s="1"/>
  <c r="AS40" i="22"/>
  <c r="AT40" i="22" s="1"/>
  <c r="AQ40" i="22"/>
  <c r="AR40" i="22" s="1"/>
  <c r="AO40" i="22"/>
  <c r="AP40" i="22" s="1"/>
  <c r="AM40" i="22"/>
  <c r="AN40" i="22" s="1"/>
  <c r="AK40" i="22"/>
  <c r="AL40" i="22" s="1"/>
  <c r="AI40" i="22"/>
  <c r="AJ40" i="22" s="1"/>
  <c r="AF40" i="22"/>
  <c r="AG40" i="22" s="1"/>
  <c r="AD40" i="22"/>
  <c r="AE40" i="22" s="1"/>
  <c r="AB40" i="22"/>
  <c r="AC40" i="22" s="1"/>
  <c r="Z40" i="22"/>
  <c r="AA40" i="22" s="1"/>
  <c r="X40" i="22"/>
  <c r="Y40" i="22" s="1"/>
  <c r="V40" i="22"/>
  <c r="W40" i="22" s="1"/>
  <c r="T40" i="22"/>
  <c r="U40" i="22" s="1"/>
  <c r="Q40" i="22"/>
  <c r="R40" i="22" s="1"/>
  <c r="N40" i="22"/>
  <c r="O40" i="22" s="1"/>
  <c r="L40" i="22"/>
  <c r="M40" i="22" s="1"/>
  <c r="J40" i="22"/>
  <c r="K40" i="22" s="1"/>
  <c r="H40" i="22"/>
  <c r="I40" i="22" s="1"/>
  <c r="F40" i="22"/>
  <c r="G40" i="22" s="1"/>
  <c r="D40" i="22"/>
  <c r="E40" i="22" s="1"/>
  <c r="B40" i="22"/>
  <c r="C40" i="22" s="1"/>
  <c r="A40" i="22"/>
  <c r="A39" i="22"/>
  <c r="AQ38" i="22"/>
  <c r="AR38" i="22" s="1"/>
  <c r="AO38" i="22"/>
  <c r="AP38" i="22" s="1"/>
  <c r="AM38" i="22"/>
  <c r="AN38" i="22" s="1"/>
  <c r="AK38" i="22"/>
  <c r="AL38" i="22" s="1"/>
  <c r="AF38" i="22"/>
  <c r="AG38" i="22" s="1"/>
  <c r="AD38" i="22"/>
  <c r="AE38" i="22" s="1"/>
  <c r="AB38" i="22"/>
  <c r="AC38" i="22" s="1"/>
  <c r="Z38" i="22"/>
  <c r="AA38" i="22" s="1"/>
  <c r="V38" i="22"/>
  <c r="W38" i="22" s="1"/>
  <c r="T38" i="22"/>
  <c r="U38" i="22" s="1"/>
  <c r="Q38" i="22"/>
  <c r="R38" i="22" s="1"/>
  <c r="N38" i="22"/>
  <c r="O38" i="22" s="1"/>
  <c r="H38" i="22"/>
  <c r="I38" i="22" s="1"/>
  <c r="F38" i="22"/>
  <c r="G38" i="22" s="1"/>
  <c r="D38" i="22"/>
  <c r="E38" i="22" s="1"/>
  <c r="B38" i="22"/>
  <c r="C38" i="22" s="1"/>
  <c r="A38" i="22"/>
  <c r="AU38" i="22" s="1"/>
  <c r="AV38" i="22" s="1"/>
  <c r="A37" i="22"/>
  <c r="AF37" i="22" s="1"/>
  <c r="AG37" i="22" s="1"/>
  <c r="AS36" i="22"/>
  <c r="AT36" i="22" s="1"/>
  <c r="AI36" i="22"/>
  <c r="AJ36" i="22" s="1"/>
  <c r="V36" i="22"/>
  <c r="W36" i="22" s="1"/>
  <c r="N36" i="22"/>
  <c r="O36" i="22" s="1"/>
  <c r="J36" i="22"/>
  <c r="K36" i="22" s="1"/>
  <c r="A36" i="22"/>
  <c r="AF36" i="22" s="1"/>
  <c r="AG36" i="22" s="1"/>
  <c r="A35" i="22"/>
  <c r="AU34" i="22"/>
  <c r="AV34" i="22" s="1"/>
  <c r="AS34" i="22"/>
  <c r="AT34" i="22" s="1"/>
  <c r="AQ34" i="22"/>
  <c r="AR34" i="22" s="1"/>
  <c r="AO34" i="22"/>
  <c r="AP34" i="22" s="1"/>
  <c r="AM34" i="22"/>
  <c r="AN34" i="22" s="1"/>
  <c r="AK34" i="22"/>
  <c r="AL34" i="22" s="1"/>
  <c r="AI34" i="22"/>
  <c r="AJ34" i="22" s="1"/>
  <c r="AF34" i="22"/>
  <c r="AG34" i="22" s="1"/>
  <c r="AD34" i="22"/>
  <c r="AE34" i="22" s="1"/>
  <c r="AB34" i="22"/>
  <c r="AC34" i="22" s="1"/>
  <c r="Z34" i="22"/>
  <c r="AA34" i="22" s="1"/>
  <c r="X34" i="22"/>
  <c r="Y34" i="22" s="1"/>
  <c r="V34" i="22"/>
  <c r="W34" i="22" s="1"/>
  <c r="T34" i="22"/>
  <c r="U34" i="22" s="1"/>
  <c r="Q34" i="22"/>
  <c r="R34" i="22" s="1"/>
  <c r="N34" i="22"/>
  <c r="O34" i="22" s="1"/>
  <c r="L34" i="22"/>
  <c r="M34" i="22" s="1"/>
  <c r="J34" i="22"/>
  <c r="K34" i="22" s="1"/>
  <c r="H34" i="22"/>
  <c r="I34" i="22" s="1"/>
  <c r="F34" i="22"/>
  <c r="G34" i="22" s="1"/>
  <c r="D34" i="22"/>
  <c r="E34" i="22" s="1"/>
  <c r="B34" i="22"/>
  <c r="C34" i="22" s="1"/>
  <c r="A34" i="22"/>
  <c r="AQ33" i="22"/>
  <c r="AR33" i="22" s="1"/>
  <c r="T33" i="22"/>
  <c r="U33" i="22" s="1"/>
  <c r="H33" i="22"/>
  <c r="I33" i="22" s="1"/>
  <c r="A33" i="22"/>
  <c r="AS33" i="22" s="1"/>
  <c r="AT33" i="22" s="1"/>
  <c r="AU32" i="22"/>
  <c r="AV32" i="22" s="1"/>
  <c r="AS32" i="22"/>
  <c r="AT32" i="22" s="1"/>
  <c r="AQ32" i="22"/>
  <c r="AR32" i="22" s="1"/>
  <c r="AO32" i="22"/>
  <c r="AP32" i="22" s="1"/>
  <c r="AM32" i="22"/>
  <c r="AN32" i="22" s="1"/>
  <c r="AK32" i="22"/>
  <c r="AL32" i="22" s="1"/>
  <c r="AI32" i="22"/>
  <c r="AJ32" i="22" s="1"/>
  <c r="AF32" i="22"/>
  <c r="AG32" i="22" s="1"/>
  <c r="AE32" i="22"/>
  <c r="AD32" i="22"/>
  <c r="AB32" i="22"/>
  <c r="AC32" i="22" s="1"/>
  <c r="Z32" i="22"/>
  <c r="AA32" i="22" s="1"/>
  <c r="X32" i="22"/>
  <c r="Y32" i="22" s="1"/>
  <c r="V32" i="22"/>
  <c r="W32" i="22" s="1"/>
  <c r="T32" i="22"/>
  <c r="U32" i="22" s="1"/>
  <c r="Q32" i="22"/>
  <c r="R32" i="22" s="1"/>
  <c r="N32" i="22"/>
  <c r="O32" i="22" s="1"/>
  <c r="L32" i="22"/>
  <c r="M32" i="22" s="1"/>
  <c r="J32" i="22"/>
  <c r="K32" i="22" s="1"/>
  <c r="H32" i="22"/>
  <c r="I32" i="22" s="1"/>
  <c r="F32" i="22"/>
  <c r="G32" i="22" s="1"/>
  <c r="D32" i="22"/>
  <c r="E32" i="22" s="1"/>
  <c r="B32" i="22"/>
  <c r="C32" i="22" s="1"/>
  <c r="A32" i="22"/>
  <c r="AM31" i="22"/>
  <c r="AN31" i="22" s="1"/>
  <c r="AD31" i="22"/>
  <c r="AE31" i="22" s="1"/>
  <c r="AB31" i="22"/>
  <c r="AC31" i="22" s="1"/>
  <c r="T31" i="22"/>
  <c r="U31" i="22" s="1"/>
  <c r="D31" i="22"/>
  <c r="E31" i="22" s="1"/>
  <c r="A31" i="22"/>
  <c r="AS31" i="22" s="1"/>
  <c r="AT31" i="22" s="1"/>
  <c r="AQ30" i="22"/>
  <c r="AR30" i="22" s="1"/>
  <c r="AO30" i="22"/>
  <c r="AP30" i="22" s="1"/>
  <c r="AM30" i="22"/>
  <c r="AN30" i="22" s="1"/>
  <c r="AK30" i="22"/>
  <c r="AL30" i="22" s="1"/>
  <c r="AF30" i="22"/>
  <c r="AG30" i="22" s="1"/>
  <c r="AD30" i="22"/>
  <c r="AE30" i="22" s="1"/>
  <c r="AB30" i="22"/>
  <c r="AC30" i="22" s="1"/>
  <c r="Z30" i="22"/>
  <c r="AA30" i="22" s="1"/>
  <c r="V30" i="22"/>
  <c r="W30" i="22" s="1"/>
  <c r="T30" i="22"/>
  <c r="U30" i="22" s="1"/>
  <c r="Q30" i="22"/>
  <c r="R30" i="22" s="1"/>
  <c r="N30" i="22"/>
  <c r="O30" i="22" s="1"/>
  <c r="H30" i="22"/>
  <c r="I30" i="22" s="1"/>
  <c r="F30" i="22"/>
  <c r="G30" i="22" s="1"/>
  <c r="D30" i="22"/>
  <c r="E30" i="22" s="1"/>
  <c r="B30" i="22"/>
  <c r="C30" i="22" s="1"/>
  <c r="A30" i="22"/>
  <c r="AU30" i="22" s="1"/>
  <c r="AV30" i="22" s="1"/>
  <c r="X29" i="22"/>
  <c r="Y29" i="22" s="1"/>
  <c r="L29" i="22"/>
  <c r="M29" i="22" s="1"/>
  <c r="A29" i="22"/>
  <c r="AS28" i="22"/>
  <c r="AT28" i="22" s="1"/>
  <c r="AI28" i="22"/>
  <c r="AJ28" i="22" s="1"/>
  <c r="V28" i="22"/>
  <c r="W28" i="22" s="1"/>
  <c r="N28" i="22"/>
  <c r="O28" i="22" s="1"/>
  <c r="J28" i="22"/>
  <c r="K28" i="22" s="1"/>
  <c r="A28" i="22"/>
  <c r="AF28" i="22" s="1"/>
  <c r="AG28" i="22" s="1"/>
  <c r="Q27" i="22"/>
  <c r="R27" i="22" s="1"/>
  <c r="F27" i="22"/>
  <c r="G27" i="22" s="1"/>
  <c r="A27" i="22"/>
  <c r="AO27" i="22" s="1"/>
  <c r="AP27" i="22" s="1"/>
  <c r="AU26" i="22"/>
  <c r="AV26" i="22" s="1"/>
  <c r="AS26" i="22"/>
  <c r="AT26" i="22" s="1"/>
  <c r="AQ26" i="22"/>
  <c r="AR26" i="22" s="1"/>
  <c r="AO26" i="22"/>
  <c r="AP26" i="22" s="1"/>
  <c r="AM26" i="22"/>
  <c r="AN26" i="22" s="1"/>
  <c r="AK26" i="22"/>
  <c r="AL26" i="22" s="1"/>
  <c r="AI26" i="22"/>
  <c r="AJ26" i="22" s="1"/>
  <c r="AF26" i="22"/>
  <c r="AG26" i="22" s="1"/>
  <c r="AD26" i="22"/>
  <c r="AE26" i="22" s="1"/>
  <c r="AB26" i="22"/>
  <c r="AC26" i="22" s="1"/>
  <c r="Z26" i="22"/>
  <c r="AA26" i="22" s="1"/>
  <c r="X26" i="22"/>
  <c r="Y26" i="22" s="1"/>
  <c r="V26" i="22"/>
  <c r="W26" i="22" s="1"/>
  <c r="T26" i="22"/>
  <c r="U26" i="22" s="1"/>
  <c r="Q26" i="22"/>
  <c r="R26" i="22" s="1"/>
  <c r="N26" i="22"/>
  <c r="O26" i="22" s="1"/>
  <c r="L26" i="22"/>
  <c r="M26" i="22" s="1"/>
  <c r="J26" i="22"/>
  <c r="K26" i="22" s="1"/>
  <c r="H26" i="22"/>
  <c r="I26" i="22" s="1"/>
  <c r="F26" i="22"/>
  <c r="G26" i="22" s="1"/>
  <c r="D26" i="22"/>
  <c r="E26" i="22" s="1"/>
  <c r="B26" i="22"/>
  <c r="C26" i="22" s="1"/>
  <c r="A26" i="22"/>
  <c r="AQ25" i="22"/>
  <c r="AR25" i="22" s="1"/>
  <c r="A25" i="22"/>
  <c r="AU24" i="22"/>
  <c r="AV24" i="22" s="1"/>
  <c r="AS24" i="22"/>
  <c r="AT24" i="22" s="1"/>
  <c r="AQ24" i="22"/>
  <c r="AR24" i="22" s="1"/>
  <c r="AO24" i="22"/>
  <c r="AP24" i="22" s="1"/>
  <c r="AM24" i="22"/>
  <c r="AN24" i="22" s="1"/>
  <c r="AK24" i="22"/>
  <c r="AL24" i="22" s="1"/>
  <c r="AI24" i="22"/>
  <c r="AJ24" i="22" s="1"/>
  <c r="AF24" i="22"/>
  <c r="AG24" i="22" s="1"/>
  <c r="AD24" i="22"/>
  <c r="AE24" i="22" s="1"/>
  <c r="AB24" i="22"/>
  <c r="AC24" i="22" s="1"/>
  <c r="Z24" i="22"/>
  <c r="AA24" i="22" s="1"/>
  <c r="X24" i="22"/>
  <c r="Y24" i="22" s="1"/>
  <c r="V24" i="22"/>
  <c r="W24" i="22" s="1"/>
  <c r="T24" i="22"/>
  <c r="U24" i="22" s="1"/>
  <c r="Q24" i="22"/>
  <c r="R24" i="22" s="1"/>
  <c r="N24" i="22"/>
  <c r="O24" i="22" s="1"/>
  <c r="L24" i="22"/>
  <c r="M24" i="22" s="1"/>
  <c r="J24" i="22"/>
  <c r="K24" i="22" s="1"/>
  <c r="H24" i="22"/>
  <c r="I24" i="22" s="1"/>
  <c r="F24" i="22"/>
  <c r="G24" i="22" s="1"/>
  <c r="D24" i="22"/>
  <c r="E24" i="22" s="1"/>
  <c r="B24" i="22"/>
  <c r="C24" i="22" s="1"/>
  <c r="A24" i="22"/>
  <c r="AM23" i="22"/>
  <c r="AN23" i="22" s="1"/>
  <c r="AD23" i="22"/>
  <c r="AE23" i="22" s="1"/>
  <c r="AB23" i="22"/>
  <c r="AC23" i="22" s="1"/>
  <c r="T23" i="22"/>
  <c r="U23" i="22" s="1"/>
  <c r="D23" i="22"/>
  <c r="E23" i="22" s="1"/>
  <c r="A23" i="22"/>
  <c r="AS23" i="22" s="1"/>
  <c r="AT23" i="22" s="1"/>
  <c r="AQ22" i="22"/>
  <c r="AR22" i="22" s="1"/>
  <c r="AO22" i="22"/>
  <c r="AP22" i="22" s="1"/>
  <c r="AM22" i="22"/>
  <c r="AN22" i="22" s="1"/>
  <c r="AK22" i="22"/>
  <c r="AL22" i="22" s="1"/>
  <c r="AF22" i="22"/>
  <c r="AG22" i="22" s="1"/>
  <c r="AD22" i="22"/>
  <c r="AE22" i="22" s="1"/>
  <c r="AB22" i="22"/>
  <c r="AC22" i="22" s="1"/>
  <c r="Z22" i="22"/>
  <c r="AA22" i="22" s="1"/>
  <c r="V22" i="22"/>
  <c r="W22" i="22" s="1"/>
  <c r="T22" i="22"/>
  <c r="U22" i="22" s="1"/>
  <c r="Q22" i="22"/>
  <c r="R22" i="22" s="1"/>
  <c r="N22" i="22"/>
  <c r="O22" i="22" s="1"/>
  <c r="J22" i="22"/>
  <c r="K22" i="22" s="1"/>
  <c r="H22" i="22"/>
  <c r="I22" i="22" s="1"/>
  <c r="F22" i="22"/>
  <c r="G22" i="22" s="1"/>
  <c r="D22" i="22"/>
  <c r="E22" i="22" s="1"/>
  <c r="B22" i="22"/>
  <c r="C22" i="22" s="1"/>
  <c r="A22" i="22"/>
  <c r="AU22" i="22" s="1"/>
  <c r="AV22" i="22" s="1"/>
  <c r="X21" i="22"/>
  <c r="Y21" i="22" s="1"/>
  <c r="V21" i="22"/>
  <c r="W21" i="22" s="1"/>
  <c r="L21" i="22"/>
  <c r="M21" i="22" s="1"/>
  <c r="A21" i="22"/>
  <c r="AS20" i="22"/>
  <c r="AT20" i="22" s="1"/>
  <c r="J20" i="22"/>
  <c r="K20" i="22" s="1"/>
  <c r="A20" i="22"/>
  <c r="X20" i="22" s="1"/>
  <c r="Y20" i="22" s="1"/>
  <c r="Z19" i="22"/>
  <c r="AA19" i="22" s="1"/>
  <c r="A19" i="22"/>
  <c r="AU18" i="22"/>
  <c r="AV18" i="22" s="1"/>
  <c r="AS18" i="22"/>
  <c r="AT18" i="22" s="1"/>
  <c r="AQ18" i="22"/>
  <c r="AR18" i="22" s="1"/>
  <c r="AO18" i="22"/>
  <c r="AP18" i="22" s="1"/>
  <c r="AM18" i="22"/>
  <c r="AN18" i="22" s="1"/>
  <c r="AK18" i="22"/>
  <c r="AL18" i="22" s="1"/>
  <c r="AI18" i="22"/>
  <c r="AJ18" i="22" s="1"/>
  <c r="AF18" i="22"/>
  <c r="AG18" i="22" s="1"/>
  <c r="AD18" i="22"/>
  <c r="AE18" i="22" s="1"/>
  <c r="AB18" i="22"/>
  <c r="AC18" i="22" s="1"/>
  <c r="Z18" i="22"/>
  <c r="AA18" i="22" s="1"/>
  <c r="X18" i="22"/>
  <c r="Y18" i="22" s="1"/>
  <c r="V18" i="22"/>
  <c r="W18" i="22" s="1"/>
  <c r="U18" i="22"/>
  <c r="T18" i="22"/>
  <c r="Q18" i="22"/>
  <c r="R18" i="22" s="1"/>
  <c r="N18" i="22"/>
  <c r="O18" i="22" s="1"/>
  <c r="L18" i="22"/>
  <c r="M18" i="22" s="1"/>
  <c r="J18" i="22"/>
  <c r="K18" i="22" s="1"/>
  <c r="H18" i="22"/>
  <c r="I18" i="22" s="1"/>
  <c r="F18" i="22"/>
  <c r="G18" i="22" s="1"/>
  <c r="E18" i="22"/>
  <c r="D18" i="22"/>
  <c r="B18" i="22"/>
  <c r="C18" i="22" s="1"/>
  <c r="A18" i="22"/>
  <c r="AQ17" i="22"/>
  <c r="AR17" i="22" s="1"/>
  <c r="AF17" i="22"/>
  <c r="AG17" i="22" s="1"/>
  <c r="Z17" i="22"/>
  <c r="AA17" i="22" s="1"/>
  <c r="X17" i="22"/>
  <c r="Y17" i="22" s="1"/>
  <c r="N17" i="22"/>
  <c r="O17" i="22" s="1"/>
  <c r="H17" i="22"/>
  <c r="I17" i="22" s="1"/>
  <c r="F17" i="22"/>
  <c r="G17" i="22" s="1"/>
  <c r="B17" i="22"/>
  <c r="C17" i="22" s="1"/>
  <c r="A17" i="22"/>
  <c r="AU16" i="22"/>
  <c r="AV16" i="22" s="1"/>
  <c r="AQ16" i="22"/>
  <c r="AR16" i="22" s="1"/>
  <c r="AO16" i="22"/>
  <c r="AP16" i="22" s="1"/>
  <c r="AM16" i="22"/>
  <c r="AN16" i="22" s="1"/>
  <c r="AI16" i="22"/>
  <c r="AJ16" i="22" s="1"/>
  <c r="AF16" i="22"/>
  <c r="AG16" i="22" s="1"/>
  <c r="AD16" i="22"/>
  <c r="AE16" i="22" s="1"/>
  <c r="Z16" i="22"/>
  <c r="AA16" i="22" s="1"/>
  <c r="X16" i="22"/>
  <c r="Y16" i="22" s="1"/>
  <c r="V16" i="22"/>
  <c r="W16" i="22" s="1"/>
  <c r="Q16" i="22"/>
  <c r="R16" i="22" s="1"/>
  <c r="N16" i="22"/>
  <c r="O16" i="22" s="1"/>
  <c r="L16" i="22"/>
  <c r="M16" i="22" s="1"/>
  <c r="H16" i="22"/>
  <c r="I16" i="22" s="1"/>
  <c r="F16" i="22"/>
  <c r="G16" i="22" s="1"/>
  <c r="D16" i="22"/>
  <c r="E16" i="22" s="1"/>
  <c r="A16" i="22"/>
  <c r="AS16" i="22" s="1"/>
  <c r="AT16" i="22" s="1"/>
  <c r="AU15" i="22"/>
  <c r="AV15" i="22" s="1"/>
  <c r="AS15" i="22"/>
  <c r="AT15" i="22" s="1"/>
  <c r="AQ15" i="22"/>
  <c r="AR15" i="22" s="1"/>
  <c r="AM15" i="22"/>
  <c r="AN15" i="22" s="1"/>
  <c r="AK15" i="22"/>
  <c r="AL15" i="22" s="1"/>
  <c r="AI15" i="22"/>
  <c r="AJ15" i="22" s="1"/>
  <c r="AD15" i="22"/>
  <c r="AE15" i="22" s="1"/>
  <c r="AB15" i="22"/>
  <c r="AC15" i="22" s="1"/>
  <c r="Z15" i="22"/>
  <c r="AA15" i="22" s="1"/>
  <c r="W15" i="22"/>
  <c r="V15" i="22"/>
  <c r="T15" i="22"/>
  <c r="U15" i="22" s="1"/>
  <c r="Q15" i="22"/>
  <c r="R15" i="22" s="1"/>
  <c r="L15" i="22"/>
  <c r="M15" i="22" s="1"/>
  <c r="J15" i="22"/>
  <c r="K15" i="22" s="1"/>
  <c r="H15" i="22"/>
  <c r="I15" i="22" s="1"/>
  <c r="D15" i="22"/>
  <c r="E15" i="22" s="1"/>
  <c r="B15" i="22"/>
  <c r="C15" i="22" s="1"/>
  <c r="A15" i="22"/>
  <c r="AO15" i="22" s="1"/>
  <c r="AP15" i="22" s="1"/>
  <c r="AS14" i="22"/>
  <c r="AT14" i="22" s="1"/>
  <c r="AK14" i="22"/>
  <c r="AL14" i="22" s="1"/>
  <c r="AI14" i="22"/>
  <c r="AJ14" i="22" s="1"/>
  <c r="Z14" i="22"/>
  <c r="AA14" i="22" s="1"/>
  <c r="T14" i="22"/>
  <c r="U14" i="22" s="1"/>
  <c r="J14" i="22"/>
  <c r="K14" i="22" s="1"/>
  <c r="A14" i="22"/>
  <c r="AU13" i="22"/>
  <c r="AV13" i="22" s="1"/>
  <c r="AS13" i="22"/>
  <c r="AT13" i="22" s="1"/>
  <c r="AQ13" i="22"/>
  <c r="AR13" i="22" s="1"/>
  <c r="AO13" i="22"/>
  <c r="AP13" i="22" s="1"/>
  <c r="AM13" i="22"/>
  <c r="AN13" i="22" s="1"/>
  <c r="AK13" i="22"/>
  <c r="AL13" i="22" s="1"/>
  <c r="AI13" i="22"/>
  <c r="AJ13" i="22" s="1"/>
  <c r="AF13" i="22"/>
  <c r="AG13" i="22" s="1"/>
  <c r="AE13" i="22"/>
  <c r="AD13" i="22"/>
  <c r="AB13" i="22"/>
  <c r="AC13" i="22" s="1"/>
  <c r="Z13" i="22"/>
  <c r="AA13" i="22" s="1"/>
  <c r="X13" i="22"/>
  <c r="Y13" i="22" s="1"/>
  <c r="V13" i="22"/>
  <c r="W13" i="22" s="1"/>
  <c r="T13" i="22"/>
  <c r="U13" i="22" s="1"/>
  <c r="Q13" i="22"/>
  <c r="R13" i="22" s="1"/>
  <c r="N13" i="22"/>
  <c r="O13" i="22" s="1"/>
  <c r="L13" i="22"/>
  <c r="M13" i="22" s="1"/>
  <c r="J13" i="22"/>
  <c r="K13" i="22" s="1"/>
  <c r="H13" i="22"/>
  <c r="I13" i="22" s="1"/>
  <c r="F13" i="22"/>
  <c r="G13" i="22" s="1"/>
  <c r="D13" i="22"/>
  <c r="E13" i="22" s="1"/>
  <c r="B13" i="22"/>
  <c r="C13" i="22" s="1"/>
  <c r="A13" i="22"/>
  <c r="AU12" i="22"/>
  <c r="AV12" i="22" s="1"/>
  <c r="AS12" i="22"/>
  <c r="AT12" i="22" s="1"/>
  <c r="AM12" i="22"/>
  <c r="AN12" i="22" s="1"/>
  <c r="AK12" i="22"/>
  <c r="AL12" i="22" s="1"/>
  <c r="AD12" i="22"/>
  <c r="AE12" i="22" s="1"/>
  <c r="V12" i="22"/>
  <c r="W12" i="22" s="1"/>
  <c r="U12" i="22"/>
  <c r="T12" i="22"/>
  <c r="J12" i="22"/>
  <c r="K12" i="22" s="1"/>
  <c r="D12" i="22"/>
  <c r="E12" i="22" s="1"/>
  <c r="B12" i="22"/>
  <c r="C12" i="22" s="1"/>
  <c r="A12" i="22"/>
  <c r="N11" i="22"/>
  <c r="O11" i="22" s="1"/>
  <c r="A11" i="22"/>
  <c r="AU10" i="22"/>
  <c r="AV10" i="22" s="1"/>
  <c r="AM10" i="22"/>
  <c r="AN10" i="22" s="1"/>
  <c r="AF10" i="22"/>
  <c r="AG10" i="22" s="1"/>
  <c r="AD10" i="22"/>
  <c r="AE10" i="22" s="1"/>
  <c r="X10" i="22"/>
  <c r="Y10" i="22" s="1"/>
  <c r="V10" i="22"/>
  <c r="W10" i="22" s="1"/>
  <c r="N10" i="22"/>
  <c r="O10" i="22" s="1"/>
  <c r="L10" i="22"/>
  <c r="M10" i="22" s="1"/>
  <c r="F10" i="22"/>
  <c r="G10" i="22" s="1"/>
  <c r="D10" i="22"/>
  <c r="E10" i="22" s="1"/>
  <c r="A10" i="22"/>
  <c r="A9" i="22"/>
  <c r="AU8" i="22"/>
  <c r="AV8" i="22" s="1"/>
  <c r="AQ8" i="22"/>
  <c r="AR8" i="22" s="1"/>
  <c r="AO8" i="22"/>
  <c r="AP8" i="22" s="1"/>
  <c r="AM8" i="22"/>
  <c r="AN8" i="22" s="1"/>
  <c r="AI8" i="22"/>
  <c r="AJ8" i="22" s="1"/>
  <c r="AF8" i="22"/>
  <c r="AG8" i="22" s="1"/>
  <c r="AD8" i="22"/>
  <c r="AE8" i="22" s="1"/>
  <c r="Z8" i="22"/>
  <c r="AA8" i="22" s="1"/>
  <c r="X8" i="22"/>
  <c r="Y8" i="22" s="1"/>
  <c r="W8" i="22"/>
  <c r="V8" i="22"/>
  <c r="Q8" i="22"/>
  <c r="R8" i="22" s="1"/>
  <c r="N8" i="22"/>
  <c r="O8" i="22" s="1"/>
  <c r="L8" i="22"/>
  <c r="M8" i="22" s="1"/>
  <c r="H8" i="22"/>
  <c r="I8" i="22" s="1"/>
  <c r="F8" i="22"/>
  <c r="G8" i="22" s="1"/>
  <c r="E8" i="22"/>
  <c r="D8" i="22"/>
  <c r="A8" i="22"/>
  <c r="AS8" i="22" s="1"/>
  <c r="AT8" i="22" s="1"/>
  <c r="AU7" i="22"/>
  <c r="AV7" i="22" s="1"/>
  <c r="AS7" i="22"/>
  <c r="AT7" i="22" s="1"/>
  <c r="AQ7" i="22"/>
  <c r="AR7" i="22" s="1"/>
  <c r="AM7" i="22"/>
  <c r="AN7" i="22" s="1"/>
  <c r="AK7" i="22"/>
  <c r="AL7" i="22" s="1"/>
  <c r="AI7" i="22"/>
  <c r="AJ7" i="22" s="1"/>
  <c r="AD7" i="22"/>
  <c r="AE7" i="22" s="1"/>
  <c r="AB7" i="22"/>
  <c r="AC7" i="22" s="1"/>
  <c r="Z7" i="22"/>
  <c r="AA7" i="22" s="1"/>
  <c r="V7" i="22"/>
  <c r="W7" i="22" s="1"/>
  <c r="T7" i="22"/>
  <c r="U7" i="22" s="1"/>
  <c r="Q7" i="22"/>
  <c r="R7" i="22" s="1"/>
  <c r="L7" i="22"/>
  <c r="M7" i="22" s="1"/>
  <c r="J7" i="22"/>
  <c r="K7" i="22" s="1"/>
  <c r="H7" i="22"/>
  <c r="I7" i="22" s="1"/>
  <c r="D7" i="22"/>
  <c r="E7" i="22" s="1"/>
  <c r="B7" i="22"/>
  <c r="C7" i="22" s="1"/>
  <c r="A7" i="22"/>
  <c r="AO7" i="22" s="1"/>
  <c r="AP7" i="22" s="1"/>
  <c r="X6" i="22"/>
  <c r="Y6" i="22" s="1"/>
  <c r="J6" i="22"/>
  <c r="K6" i="22" s="1"/>
  <c r="A6" i="22"/>
  <c r="AU5" i="22"/>
  <c r="AV5" i="22" s="1"/>
  <c r="AS5" i="22"/>
  <c r="AT5" i="22" s="1"/>
  <c r="AQ5" i="22"/>
  <c r="AR5" i="22" s="1"/>
  <c r="AO5" i="22"/>
  <c r="AP5" i="22" s="1"/>
  <c r="AM5" i="22"/>
  <c r="AN5" i="22" s="1"/>
  <c r="AK5" i="22"/>
  <c r="AL5" i="22" s="1"/>
  <c r="AI5" i="22"/>
  <c r="AJ5" i="22" s="1"/>
  <c r="AF5" i="22"/>
  <c r="AG5" i="22" s="1"/>
  <c r="AD5" i="22"/>
  <c r="AE5" i="22" s="1"/>
  <c r="AB5" i="22"/>
  <c r="AC5" i="22" s="1"/>
  <c r="Z5" i="22"/>
  <c r="AA5" i="22" s="1"/>
  <c r="X5" i="22"/>
  <c r="Y5" i="22" s="1"/>
  <c r="V5" i="22"/>
  <c r="W5" i="22" s="1"/>
  <c r="T5" i="22"/>
  <c r="U5" i="22" s="1"/>
  <c r="Q5" i="22"/>
  <c r="R5" i="22" s="1"/>
  <c r="N5" i="22"/>
  <c r="O5" i="22" s="1"/>
  <c r="L5" i="22"/>
  <c r="M5" i="22" s="1"/>
  <c r="J5" i="22"/>
  <c r="K5" i="22" s="1"/>
  <c r="H5" i="22"/>
  <c r="I5" i="22" s="1"/>
  <c r="F5" i="22"/>
  <c r="G5" i="22" s="1"/>
  <c r="E5" i="22"/>
  <c r="D5" i="22"/>
  <c r="B5" i="22"/>
  <c r="C5" i="22" s="1"/>
  <c r="A5" i="22"/>
  <c r="AU4" i="22"/>
  <c r="AV4" i="22" s="1"/>
  <c r="AS4" i="22"/>
  <c r="AT4" i="22" s="1"/>
  <c r="AM4" i="22"/>
  <c r="AN4" i="22" s="1"/>
  <c r="AK4" i="22"/>
  <c r="AL4" i="22" s="1"/>
  <c r="AI4" i="22"/>
  <c r="AJ4" i="22" s="1"/>
  <c r="AB4" i="22"/>
  <c r="AC4" i="22" s="1"/>
  <c r="Z4" i="22"/>
  <c r="AA4" i="22" s="1"/>
  <c r="V4" i="22"/>
  <c r="W4" i="22" s="1"/>
  <c r="Q4" i="22"/>
  <c r="R4" i="22" s="1"/>
  <c r="L4" i="22"/>
  <c r="M4" i="22" s="1"/>
  <c r="J4" i="22"/>
  <c r="K4" i="22" s="1"/>
  <c r="D4" i="22"/>
  <c r="E4" i="22" s="1"/>
  <c r="B4" i="22"/>
  <c r="C4" i="22" s="1"/>
  <c r="A4" i="22"/>
  <c r="AQ4" i="22" s="1"/>
  <c r="AR4" i="22" s="1"/>
  <c r="D66" i="19"/>
  <c r="E66" i="19" s="1"/>
  <c r="A66" i="19"/>
  <c r="V66" i="19" s="1"/>
  <c r="W66" i="19" s="1"/>
  <c r="F65" i="19"/>
  <c r="G65" i="19" s="1"/>
  <c r="A65" i="19"/>
  <c r="AO65" i="19" s="1"/>
  <c r="AP65" i="19" s="1"/>
  <c r="AU64" i="19"/>
  <c r="AV64" i="19" s="1"/>
  <c r="AQ64" i="19"/>
  <c r="AR64" i="19" s="1"/>
  <c r="AO64" i="19"/>
  <c r="AP64" i="19" s="1"/>
  <c r="AM64" i="19"/>
  <c r="AN64" i="19" s="1"/>
  <c r="AI64" i="19"/>
  <c r="AJ64" i="19" s="1"/>
  <c r="AF64" i="19"/>
  <c r="AG64" i="19" s="1"/>
  <c r="AD64" i="19"/>
  <c r="AE64" i="19" s="1"/>
  <c r="Z64" i="19"/>
  <c r="AA64" i="19" s="1"/>
  <c r="X64" i="19"/>
  <c r="Y64" i="19" s="1"/>
  <c r="V64" i="19"/>
  <c r="W64" i="19" s="1"/>
  <c r="Q64" i="19"/>
  <c r="R64" i="19" s="1"/>
  <c r="N64" i="19"/>
  <c r="O64" i="19" s="1"/>
  <c r="L64" i="19"/>
  <c r="M64" i="19" s="1"/>
  <c r="H64" i="19"/>
  <c r="I64" i="19" s="1"/>
  <c r="F64" i="19"/>
  <c r="G64" i="19" s="1"/>
  <c r="D64" i="19"/>
  <c r="E64" i="19" s="1"/>
  <c r="A64" i="19"/>
  <c r="AS64" i="19" s="1"/>
  <c r="AT64" i="19" s="1"/>
  <c r="A63" i="19"/>
  <c r="AV62" i="19"/>
  <c r="AS62" i="19"/>
  <c r="AT62" i="19" s="1"/>
  <c r="AQ62" i="19"/>
  <c r="AR62" i="19" s="1"/>
  <c r="AO62" i="19"/>
  <c r="AP62" i="19" s="1"/>
  <c r="AK62" i="19"/>
  <c r="AL62" i="19" s="1"/>
  <c r="AI62" i="19"/>
  <c r="AJ62" i="19" s="1"/>
  <c r="AF62" i="19"/>
  <c r="AG62" i="19" s="1"/>
  <c r="AB62" i="19"/>
  <c r="AC62" i="19" s="1"/>
  <c r="Z62" i="19"/>
  <c r="AA62" i="19" s="1"/>
  <c r="X62" i="19"/>
  <c r="Y62" i="19" s="1"/>
  <c r="T62" i="19"/>
  <c r="U62" i="19" s="1"/>
  <c r="Q62" i="19"/>
  <c r="R62" i="19" s="1"/>
  <c r="N62" i="19"/>
  <c r="O62" i="19" s="1"/>
  <c r="J62" i="19"/>
  <c r="K62" i="19" s="1"/>
  <c r="H62" i="19"/>
  <c r="I62" i="19" s="1"/>
  <c r="F62" i="19"/>
  <c r="G62" i="19" s="1"/>
  <c r="B62" i="19"/>
  <c r="C62" i="19" s="1"/>
  <c r="A62" i="19"/>
  <c r="AU62" i="19" s="1"/>
  <c r="AV61" i="19"/>
  <c r="AS61" i="19"/>
  <c r="AT61" i="19" s="1"/>
  <c r="AQ61" i="19"/>
  <c r="AR61" i="19" s="1"/>
  <c r="AP61" i="19"/>
  <c r="AO61" i="19"/>
  <c r="AK61" i="19"/>
  <c r="AL61" i="19" s="1"/>
  <c r="AI61" i="19"/>
  <c r="AJ61" i="19" s="1"/>
  <c r="AF61" i="19"/>
  <c r="AG61" i="19" s="1"/>
  <c r="AB61" i="19"/>
  <c r="AC61" i="19" s="1"/>
  <c r="Z61" i="19"/>
  <c r="AA61" i="19" s="1"/>
  <c r="Y61" i="19"/>
  <c r="X61" i="19"/>
  <c r="U61" i="19"/>
  <c r="T61" i="19"/>
  <c r="Q61" i="19"/>
  <c r="R61" i="19" s="1"/>
  <c r="O61" i="19"/>
  <c r="N61" i="19"/>
  <c r="J61" i="19"/>
  <c r="K61" i="19" s="1"/>
  <c r="H61" i="19"/>
  <c r="I61" i="19" s="1"/>
  <c r="F61" i="19"/>
  <c r="G61" i="19" s="1"/>
  <c r="B61" i="19"/>
  <c r="C61" i="19" s="1"/>
  <c r="A61" i="19"/>
  <c r="AU61" i="19" s="1"/>
  <c r="AU60" i="19"/>
  <c r="AV60" i="19" s="1"/>
  <c r="AS60" i="19"/>
  <c r="AT60" i="19" s="1"/>
  <c r="AQ60" i="19"/>
  <c r="AR60" i="19" s="1"/>
  <c r="AN60" i="19"/>
  <c r="AM60" i="19"/>
  <c r="AK60" i="19"/>
  <c r="AL60" i="19" s="1"/>
  <c r="AI60" i="19"/>
  <c r="AJ60" i="19" s="1"/>
  <c r="AE60" i="19"/>
  <c r="AD60" i="19"/>
  <c r="AC60" i="19"/>
  <c r="AB60" i="19"/>
  <c r="Z60" i="19"/>
  <c r="AA60" i="19" s="1"/>
  <c r="V60" i="19"/>
  <c r="W60" i="19" s="1"/>
  <c r="U60" i="19"/>
  <c r="T60" i="19"/>
  <c r="Q60" i="19"/>
  <c r="R60" i="19" s="1"/>
  <c r="L60" i="19"/>
  <c r="M60" i="19" s="1"/>
  <c r="J60" i="19"/>
  <c r="K60" i="19" s="1"/>
  <c r="H60" i="19"/>
  <c r="I60" i="19" s="1"/>
  <c r="E60" i="19"/>
  <c r="D60" i="19"/>
  <c r="B60" i="19"/>
  <c r="C60" i="19" s="1"/>
  <c r="A60" i="19"/>
  <c r="AO60" i="19" s="1"/>
  <c r="AP60" i="19" s="1"/>
  <c r="AR59" i="19"/>
  <c r="AQ59" i="19"/>
  <c r="AK59" i="19"/>
  <c r="AL59" i="19" s="1"/>
  <c r="AE59" i="19"/>
  <c r="AD59" i="19"/>
  <c r="AB59" i="19"/>
  <c r="AC59" i="19" s="1"/>
  <c r="Z59" i="19"/>
  <c r="AA59" i="19" s="1"/>
  <c r="V59" i="19"/>
  <c r="W59" i="19" s="1"/>
  <c r="T59" i="19"/>
  <c r="U59" i="19" s="1"/>
  <c r="R59" i="19"/>
  <c r="Q59" i="19"/>
  <c r="H59" i="19"/>
  <c r="I59" i="19" s="1"/>
  <c r="B59" i="19"/>
  <c r="C59" i="19" s="1"/>
  <c r="A59" i="19"/>
  <c r="AS59" i="19" s="1"/>
  <c r="AT59" i="19" s="1"/>
  <c r="AS58" i="19"/>
  <c r="AT58" i="19" s="1"/>
  <c r="AF58" i="19"/>
  <c r="AG58" i="19" s="1"/>
  <c r="AB58" i="19"/>
  <c r="AC58" i="19" s="1"/>
  <c r="X58" i="19"/>
  <c r="Y58" i="19" s="1"/>
  <c r="T58" i="19"/>
  <c r="U58" i="19" s="1"/>
  <c r="L58" i="19"/>
  <c r="M58" i="19" s="1"/>
  <c r="A58" i="19"/>
  <c r="AU57" i="19"/>
  <c r="AV57" i="19" s="1"/>
  <c r="AS57" i="19"/>
  <c r="AT57" i="19" s="1"/>
  <c r="AD57" i="19"/>
  <c r="AE57" i="19" s="1"/>
  <c r="V57" i="19"/>
  <c r="W57" i="19" s="1"/>
  <c r="N57" i="19"/>
  <c r="O57" i="19" s="1"/>
  <c r="K57" i="19"/>
  <c r="J57" i="19"/>
  <c r="B57" i="19"/>
  <c r="C57" i="19" s="1"/>
  <c r="A57" i="19"/>
  <c r="L57" i="19" s="1"/>
  <c r="M57" i="19" s="1"/>
  <c r="AO56" i="19"/>
  <c r="AP56" i="19" s="1"/>
  <c r="Q56" i="19"/>
  <c r="R56" i="19" s="1"/>
  <c r="D56" i="19"/>
  <c r="E56" i="19" s="1"/>
  <c r="A56" i="19"/>
  <c r="AQ55" i="19"/>
  <c r="AR55" i="19" s="1"/>
  <c r="AO55" i="19"/>
  <c r="AP55" i="19" s="1"/>
  <c r="AD55" i="19"/>
  <c r="AE55" i="19" s="1"/>
  <c r="X55" i="19"/>
  <c r="Y55" i="19" s="1"/>
  <c r="Q55" i="19"/>
  <c r="R55" i="19" s="1"/>
  <c r="N55" i="19"/>
  <c r="O55" i="19" s="1"/>
  <c r="L55" i="19"/>
  <c r="M55" i="19" s="1"/>
  <c r="F55" i="19"/>
  <c r="G55" i="19" s="1"/>
  <c r="D55" i="19"/>
  <c r="E55" i="19" s="1"/>
  <c r="A55" i="19"/>
  <c r="AS54" i="19"/>
  <c r="AT54" i="19" s="1"/>
  <c r="AQ54" i="19"/>
  <c r="AR54" i="19" s="1"/>
  <c r="AO54" i="19"/>
  <c r="AP54" i="19" s="1"/>
  <c r="AL54" i="19"/>
  <c r="AK54" i="19"/>
  <c r="AI54" i="19"/>
  <c r="AJ54" i="19" s="1"/>
  <c r="AF54" i="19"/>
  <c r="AG54" i="19" s="1"/>
  <c r="AA54" i="19"/>
  <c r="Z54" i="19"/>
  <c r="T54" i="19"/>
  <c r="U54" i="19" s="1"/>
  <c r="N54" i="19"/>
  <c r="O54" i="19" s="1"/>
  <c r="J54" i="19"/>
  <c r="K54" i="19" s="1"/>
  <c r="I54" i="19"/>
  <c r="H54" i="19"/>
  <c r="F54" i="19"/>
  <c r="G54" i="19" s="1"/>
  <c r="C54" i="19"/>
  <c r="B54" i="19"/>
  <c r="A54" i="19"/>
  <c r="AV53" i="19"/>
  <c r="AS53" i="19"/>
  <c r="AT53" i="19" s="1"/>
  <c r="AQ53" i="19"/>
  <c r="AR53" i="19" s="1"/>
  <c r="AO53" i="19"/>
  <c r="AP53" i="19" s="1"/>
  <c r="AK53" i="19"/>
  <c r="AL53" i="19" s="1"/>
  <c r="AI53" i="19"/>
  <c r="AJ53" i="19" s="1"/>
  <c r="AG53" i="19"/>
  <c r="AF53" i="19"/>
  <c r="AC53" i="19"/>
  <c r="AB53" i="19"/>
  <c r="Z53" i="19"/>
  <c r="AA53" i="19" s="1"/>
  <c r="X53" i="19"/>
  <c r="Y53" i="19" s="1"/>
  <c r="U53" i="19"/>
  <c r="T53" i="19"/>
  <c r="Q53" i="19"/>
  <c r="R53" i="19" s="1"/>
  <c r="O53" i="19"/>
  <c r="N53" i="19"/>
  <c r="K53" i="19"/>
  <c r="J53" i="19"/>
  <c r="H53" i="19"/>
  <c r="I53" i="19" s="1"/>
  <c r="F53" i="19"/>
  <c r="G53" i="19" s="1"/>
  <c r="B53" i="19"/>
  <c r="C53" i="19" s="1"/>
  <c r="A53" i="19"/>
  <c r="AU53" i="19" s="1"/>
  <c r="AU52" i="19"/>
  <c r="AV52" i="19" s="1"/>
  <c r="AS52" i="19"/>
  <c r="AT52" i="19" s="1"/>
  <c r="AQ52" i="19"/>
  <c r="AR52" i="19" s="1"/>
  <c r="AM52" i="19"/>
  <c r="AN52" i="19" s="1"/>
  <c r="AK52" i="19"/>
  <c r="AL52" i="19" s="1"/>
  <c r="AI52" i="19"/>
  <c r="AJ52" i="19" s="1"/>
  <c r="AE52" i="19"/>
  <c r="AD52" i="19"/>
  <c r="AB52" i="19"/>
  <c r="AC52" i="19" s="1"/>
  <c r="Z52" i="19"/>
  <c r="AA52" i="19" s="1"/>
  <c r="V52" i="19"/>
  <c r="W52" i="19" s="1"/>
  <c r="U52" i="19"/>
  <c r="T52" i="19"/>
  <c r="Q52" i="19"/>
  <c r="R52" i="19" s="1"/>
  <c r="M52" i="19"/>
  <c r="L52" i="19"/>
  <c r="J52" i="19"/>
  <c r="K52" i="19" s="1"/>
  <c r="H52" i="19"/>
  <c r="I52" i="19" s="1"/>
  <c r="G52" i="19"/>
  <c r="F52" i="19"/>
  <c r="E52" i="19"/>
  <c r="D52" i="19"/>
  <c r="C52" i="19"/>
  <c r="B52" i="19"/>
  <c r="A52" i="19"/>
  <c r="AO52" i="19" s="1"/>
  <c r="AP52" i="19" s="1"/>
  <c r="AQ51" i="19"/>
  <c r="AR51" i="19" s="1"/>
  <c r="AD51" i="19"/>
  <c r="AE51" i="19" s="1"/>
  <c r="V51" i="19"/>
  <c r="W51" i="19" s="1"/>
  <c r="L51" i="19"/>
  <c r="M51" i="19" s="1"/>
  <c r="D51" i="19"/>
  <c r="E51" i="19" s="1"/>
  <c r="A51" i="19"/>
  <c r="AK51" i="19" s="1"/>
  <c r="AL51" i="19" s="1"/>
  <c r="AQ50" i="19"/>
  <c r="AR50" i="19" s="1"/>
  <c r="AF50" i="19"/>
  <c r="AG50" i="19" s="1"/>
  <c r="X50" i="19"/>
  <c r="Y50" i="19" s="1"/>
  <c r="N50" i="19"/>
  <c r="O50" i="19" s="1"/>
  <c r="F50" i="19"/>
  <c r="G50" i="19" s="1"/>
  <c r="A50" i="19"/>
  <c r="L50" i="19" s="1"/>
  <c r="M50" i="19" s="1"/>
  <c r="AS49" i="19"/>
  <c r="AT49" i="19" s="1"/>
  <c r="AJ49" i="19"/>
  <c r="AI49" i="19"/>
  <c r="AF49" i="19"/>
  <c r="AG49" i="19" s="1"/>
  <c r="X49" i="19"/>
  <c r="Y49" i="19" s="1"/>
  <c r="N49" i="19"/>
  <c r="O49" i="19" s="1"/>
  <c r="F49" i="19"/>
  <c r="G49" i="19" s="1"/>
  <c r="A49" i="19"/>
  <c r="AV48" i="19"/>
  <c r="AT48" i="19"/>
  <c r="AS48" i="19"/>
  <c r="AQ48" i="19"/>
  <c r="AR48" i="19" s="1"/>
  <c r="AO48" i="19"/>
  <c r="AP48" i="19" s="1"/>
  <c r="AL48" i="19"/>
  <c r="AK48" i="19"/>
  <c r="AI48" i="19"/>
  <c r="AJ48" i="19" s="1"/>
  <c r="AF48" i="19"/>
  <c r="AG48" i="19" s="1"/>
  <c r="AC48" i="19"/>
  <c r="AB48" i="19"/>
  <c r="Z48" i="19"/>
  <c r="AA48" i="19" s="1"/>
  <c r="Y48" i="19"/>
  <c r="X48" i="19"/>
  <c r="U48" i="19"/>
  <c r="T48" i="19"/>
  <c r="Q48" i="19"/>
  <c r="R48" i="19" s="1"/>
  <c r="N48" i="19"/>
  <c r="O48" i="19" s="1"/>
  <c r="K48" i="19"/>
  <c r="J48" i="19"/>
  <c r="H48" i="19"/>
  <c r="I48" i="19" s="1"/>
  <c r="F48" i="19"/>
  <c r="G48" i="19" s="1"/>
  <c r="B48" i="19"/>
  <c r="C48" i="19" s="1"/>
  <c r="A48" i="19"/>
  <c r="AU48" i="19" s="1"/>
  <c r="AU47" i="19"/>
  <c r="AV47" i="19" s="1"/>
  <c r="AS47" i="19"/>
  <c r="AT47" i="19" s="1"/>
  <c r="AQ47" i="19"/>
  <c r="AR47" i="19" s="1"/>
  <c r="AP47" i="19"/>
  <c r="AO47" i="19"/>
  <c r="AN47" i="19"/>
  <c r="AM47" i="19"/>
  <c r="AL47" i="19"/>
  <c r="AK47" i="19"/>
  <c r="AI47" i="19"/>
  <c r="AJ47" i="19" s="1"/>
  <c r="AF47" i="19"/>
  <c r="AG47" i="19" s="1"/>
  <c r="AE47" i="19"/>
  <c r="AD47" i="19"/>
  <c r="AB47" i="19"/>
  <c r="AC47" i="19" s="1"/>
  <c r="Z47" i="19"/>
  <c r="AA47" i="19" s="1"/>
  <c r="Y47" i="19"/>
  <c r="X47" i="19"/>
  <c r="V47" i="19"/>
  <c r="W47" i="19" s="1"/>
  <c r="U47" i="19"/>
  <c r="T47" i="19"/>
  <c r="Q47" i="19"/>
  <c r="R47" i="19" s="1"/>
  <c r="N47" i="19"/>
  <c r="O47" i="19" s="1"/>
  <c r="L47" i="19"/>
  <c r="M47" i="19" s="1"/>
  <c r="K47" i="19"/>
  <c r="J47" i="19"/>
  <c r="H47" i="19"/>
  <c r="I47" i="19" s="1"/>
  <c r="G47" i="19"/>
  <c r="F47" i="19"/>
  <c r="E47" i="19"/>
  <c r="D47" i="19"/>
  <c r="B47" i="19"/>
  <c r="C47" i="19" s="1"/>
  <c r="A47" i="19"/>
  <c r="H46" i="19"/>
  <c r="I46" i="19" s="1"/>
  <c r="A46" i="19"/>
  <c r="AS46" i="19" s="1"/>
  <c r="AT46" i="19" s="1"/>
  <c r="AO45" i="19"/>
  <c r="AP45" i="19" s="1"/>
  <c r="A45" i="19"/>
  <c r="AU45" i="19" s="1"/>
  <c r="AV45" i="19" s="1"/>
  <c r="AR44" i="19"/>
  <c r="AO44" i="19"/>
  <c r="AP44" i="19" s="1"/>
  <c r="AM44" i="19"/>
  <c r="AN44" i="19" s="1"/>
  <c r="AK44" i="19"/>
  <c r="AL44" i="19" s="1"/>
  <c r="AI44" i="19"/>
  <c r="AJ44" i="19" s="1"/>
  <c r="AF44" i="19"/>
  <c r="AG44" i="19" s="1"/>
  <c r="AD44" i="19"/>
  <c r="AE44" i="19" s="1"/>
  <c r="AB44" i="19"/>
  <c r="AC44" i="19" s="1"/>
  <c r="Z44" i="19"/>
  <c r="AA44" i="19" s="1"/>
  <c r="X44" i="19"/>
  <c r="Y44" i="19" s="1"/>
  <c r="V44" i="19"/>
  <c r="W44" i="19" s="1"/>
  <c r="T44" i="19"/>
  <c r="U44" i="19" s="1"/>
  <c r="Q44" i="19"/>
  <c r="R44" i="19" s="1"/>
  <c r="N44" i="19"/>
  <c r="O44" i="19" s="1"/>
  <c r="M44" i="19"/>
  <c r="L44" i="19"/>
  <c r="J44" i="19"/>
  <c r="K44" i="19" s="1"/>
  <c r="H44" i="19"/>
  <c r="I44" i="19" s="1"/>
  <c r="F44" i="19"/>
  <c r="G44" i="19" s="1"/>
  <c r="E44" i="19"/>
  <c r="D44" i="19"/>
  <c r="B44" i="19"/>
  <c r="C44" i="19" s="1"/>
  <c r="A44" i="19"/>
  <c r="AQ44" i="19" s="1"/>
  <c r="AK43" i="19"/>
  <c r="AL43" i="19" s="1"/>
  <c r="T43" i="19"/>
  <c r="U43" i="19" s="1"/>
  <c r="B43" i="19"/>
  <c r="C43" i="19" s="1"/>
  <c r="A43" i="19"/>
  <c r="J43" i="19" s="1"/>
  <c r="K43" i="19" s="1"/>
  <c r="AU42" i="19"/>
  <c r="AV42" i="19" s="1"/>
  <c r="AS42" i="19"/>
  <c r="AT42" i="19" s="1"/>
  <c r="AQ42" i="19"/>
  <c r="AR42" i="19" s="1"/>
  <c r="AO42" i="19"/>
  <c r="AP42" i="19" s="1"/>
  <c r="AM42" i="19"/>
  <c r="AN42" i="19" s="1"/>
  <c r="AK42" i="19"/>
  <c r="AL42" i="19" s="1"/>
  <c r="AI42" i="19"/>
  <c r="AJ42" i="19" s="1"/>
  <c r="AF42" i="19"/>
  <c r="AG42" i="19" s="1"/>
  <c r="AD42" i="19"/>
  <c r="AE42" i="19" s="1"/>
  <c r="AB42" i="19"/>
  <c r="AC42" i="19" s="1"/>
  <c r="Z42" i="19"/>
  <c r="AA42" i="19" s="1"/>
  <c r="X42" i="19"/>
  <c r="Y42" i="19" s="1"/>
  <c r="V42" i="19"/>
  <c r="W42" i="19" s="1"/>
  <c r="T42" i="19"/>
  <c r="U42" i="19" s="1"/>
  <c r="Q42" i="19"/>
  <c r="R42" i="19" s="1"/>
  <c r="O42" i="19"/>
  <c r="N42" i="19"/>
  <c r="L42" i="19"/>
  <c r="M42" i="19" s="1"/>
  <c r="J42" i="19"/>
  <c r="K42" i="19" s="1"/>
  <c r="H42" i="19"/>
  <c r="I42" i="19" s="1"/>
  <c r="G42" i="19"/>
  <c r="F42" i="19"/>
  <c r="D42" i="19"/>
  <c r="E42" i="19" s="1"/>
  <c r="B42" i="19"/>
  <c r="C42" i="19" s="1"/>
  <c r="A42" i="19"/>
  <c r="AM41" i="19"/>
  <c r="AN41" i="19" s="1"/>
  <c r="AE41" i="19"/>
  <c r="AD41" i="19"/>
  <c r="V41" i="19"/>
  <c r="W41" i="19" s="1"/>
  <c r="L41" i="19"/>
  <c r="M41" i="19" s="1"/>
  <c r="D41" i="19"/>
  <c r="E41" i="19" s="1"/>
  <c r="A41" i="19"/>
  <c r="AS40" i="19"/>
  <c r="AT40" i="19" s="1"/>
  <c r="AM40" i="19"/>
  <c r="AN40" i="19" s="1"/>
  <c r="AF40" i="19"/>
  <c r="AG40" i="19" s="1"/>
  <c r="Z40" i="19"/>
  <c r="AA40" i="19" s="1"/>
  <c r="J40" i="19"/>
  <c r="K40" i="19" s="1"/>
  <c r="D40" i="19"/>
  <c r="E40" i="19" s="1"/>
  <c r="A40" i="19"/>
  <c r="AD40" i="19" s="1"/>
  <c r="AE40" i="19" s="1"/>
  <c r="AO39" i="19"/>
  <c r="AP39" i="19" s="1"/>
  <c r="AF39" i="19"/>
  <c r="AG39" i="19" s="1"/>
  <c r="Y39" i="19"/>
  <c r="X39" i="19"/>
  <c r="A39" i="19"/>
  <c r="AU38" i="19"/>
  <c r="AV38" i="19" s="1"/>
  <c r="AT38" i="19"/>
  <c r="AS38" i="19"/>
  <c r="AQ38" i="19"/>
  <c r="AR38" i="19" s="1"/>
  <c r="AO38" i="19"/>
  <c r="AP38" i="19" s="1"/>
  <c r="AM38" i="19"/>
  <c r="AN38" i="19" s="1"/>
  <c r="AL38" i="19"/>
  <c r="AK38" i="19"/>
  <c r="AI38" i="19"/>
  <c r="AJ38" i="19" s="1"/>
  <c r="AF38" i="19"/>
  <c r="AG38" i="19" s="1"/>
  <c r="AD38" i="19"/>
  <c r="AE38" i="19" s="1"/>
  <c r="AC38" i="19"/>
  <c r="AB38" i="19"/>
  <c r="Z38" i="19"/>
  <c r="AA38" i="19" s="1"/>
  <c r="X38" i="19"/>
  <c r="Y38" i="19" s="1"/>
  <c r="V38" i="19"/>
  <c r="W38" i="19" s="1"/>
  <c r="T38" i="19"/>
  <c r="U38" i="19" s="1"/>
  <c r="Q38" i="19"/>
  <c r="R38" i="19" s="1"/>
  <c r="N38" i="19"/>
  <c r="O38" i="19" s="1"/>
  <c r="L38" i="19"/>
  <c r="M38" i="19" s="1"/>
  <c r="K38" i="19"/>
  <c r="J38" i="19"/>
  <c r="H38" i="19"/>
  <c r="I38" i="19" s="1"/>
  <c r="F38" i="19"/>
  <c r="G38" i="19" s="1"/>
  <c r="D38" i="19"/>
  <c r="E38" i="19" s="1"/>
  <c r="B38" i="19"/>
  <c r="C38" i="19" s="1"/>
  <c r="A38" i="19"/>
  <c r="AQ37" i="19"/>
  <c r="AR37" i="19" s="1"/>
  <c r="AP37" i="19"/>
  <c r="AO37" i="19"/>
  <c r="AJ37" i="19"/>
  <c r="AI37" i="19"/>
  <c r="AF37" i="19"/>
  <c r="AG37" i="19" s="1"/>
  <c r="Y37" i="19"/>
  <c r="X37" i="19"/>
  <c r="R37" i="19"/>
  <c r="Q37" i="19"/>
  <c r="H37" i="19"/>
  <c r="I37" i="19" s="1"/>
  <c r="G37" i="19"/>
  <c r="F37" i="19"/>
  <c r="C37" i="19"/>
  <c r="B37" i="19"/>
  <c r="A37" i="19"/>
  <c r="AU36" i="19"/>
  <c r="AV36" i="19" s="1"/>
  <c r="AS36" i="19"/>
  <c r="AT36" i="19" s="1"/>
  <c r="AQ36" i="19"/>
  <c r="AR36" i="19" s="1"/>
  <c r="AP36" i="19"/>
  <c r="AO36" i="19"/>
  <c r="AM36" i="19"/>
  <c r="AN36" i="19" s="1"/>
  <c r="AK36" i="19"/>
  <c r="AL36" i="19" s="1"/>
  <c r="AI36" i="19"/>
  <c r="AJ36" i="19" s="1"/>
  <c r="AG36" i="19"/>
  <c r="AF36" i="19"/>
  <c r="AD36" i="19"/>
  <c r="AE36" i="19" s="1"/>
  <c r="AB36" i="19"/>
  <c r="AC36" i="19" s="1"/>
  <c r="Z36" i="19"/>
  <c r="AA36" i="19" s="1"/>
  <c r="Y36" i="19"/>
  <c r="X36" i="19"/>
  <c r="V36" i="19"/>
  <c r="W36" i="19" s="1"/>
  <c r="T36" i="19"/>
  <c r="U36" i="19" s="1"/>
  <c r="Q36" i="19"/>
  <c r="R36" i="19" s="1"/>
  <c r="O36" i="19"/>
  <c r="N36" i="19"/>
  <c r="L36" i="19"/>
  <c r="M36" i="19" s="1"/>
  <c r="J36" i="19"/>
  <c r="K36" i="19" s="1"/>
  <c r="H36" i="19"/>
  <c r="I36" i="19" s="1"/>
  <c r="G36" i="19"/>
  <c r="F36" i="19"/>
  <c r="D36" i="19"/>
  <c r="E36" i="19" s="1"/>
  <c r="B36" i="19"/>
  <c r="C36" i="19" s="1"/>
  <c r="A36" i="19"/>
  <c r="A35" i="19"/>
  <c r="AU34" i="19"/>
  <c r="AV34" i="19" s="1"/>
  <c r="AS34" i="19"/>
  <c r="AT34" i="19" s="1"/>
  <c r="AO34" i="19"/>
  <c r="AP34" i="19" s="1"/>
  <c r="AM34" i="19"/>
  <c r="AN34" i="19" s="1"/>
  <c r="AK34" i="19"/>
  <c r="AL34" i="19" s="1"/>
  <c r="AF34" i="19"/>
  <c r="AG34" i="19" s="1"/>
  <c r="AD34" i="19"/>
  <c r="AE34" i="19" s="1"/>
  <c r="AB34" i="19"/>
  <c r="AC34" i="19" s="1"/>
  <c r="X34" i="19"/>
  <c r="Y34" i="19" s="1"/>
  <c r="V34" i="19"/>
  <c r="W34" i="19" s="1"/>
  <c r="T34" i="19"/>
  <c r="U34" i="19" s="1"/>
  <c r="N34" i="19"/>
  <c r="O34" i="19" s="1"/>
  <c r="L34" i="19"/>
  <c r="M34" i="19" s="1"/>
  <c r="J34" i="19"/>
  <c r="K34" i="19" s="1"/>
  <c r="F34" i="19"/>
  <c r="G34" i="19" s="1"/>
  <c r="D34" i="19"/>
  <c r="E34" i="19" s="1"/>
  <c r="B34" i="19"/>
  <c r="C34" i="19" s="1"/>
  <c r="A34" i="19"/>
  <c r="AQ34" i="19" s="1"/>
  <c r="AR34" i="19" s="1"/>
  <c r="V33" i="19"/>
  <c r="W33" i="19" s="1"/>
  <c r="L33" i="19"/>
  <c r="M33" i="19" s="1"/>
  <c r="F33" i="19"/>
  <c r="G33" i="19" s="1"/>
  <c r="D33" i="19"/>
  <c r="E33" i="19" s="1"/>
  <c r="A33" i="19"/>
  <c r="AU32" i="19"/>
  <c r="AV32" i="19" s="1"/>
  <c r="AQ32" i="19"/>
  <c r="AR32" i="19" s="1"/>
  <c r="AO32" i="19"/>
  <c r="AP32" i="19" s="1"/>
  <c r="AM32" i="19"/>
  <c r="AN32" i="19" s="1"/>
  <c r="AI32" i="19"/>
  <c r="AJ32" i="19" s="1"/>
  <c r="AF32" i="19"/>
  <c r="AG32" i="19" s="1"/>
  <c r="N32" i="19"/>
  <c r="O32" i="19" s="1"/>
  <c r="L32" i="19"/>
  <c r="M32" i="19" s="1"/>
  <c r="F32" i="19"/>
  <c r="G32" i="19" s="1"/>
  <c r="D32" i="19"/>
  <c r="E32" i="19" s="1"/>
  <c r="A32" i="19"/>
  <c r="A31" i="19"/>
  <c r="AO31" i="19" s="1"/>
  <c r="AP31" i="19" s="1"/>
  <c r="T30" i="19"/>
  <c r="U30" i="19" s="1"/>
  <c r="B30" i="19"/>
  <c r="C30" i="19" s="1"/>
  <c r="A30" i="19"/>
  <c r="N30" i="19" s="1"/>
  <c r="O30" i="19" s="1"/>
  <c r="AV29" i="19"/>
  <c r="AS29" i="19"/>
  <c r="AT29" i="19" s="1"/>
  <c r="AQ29" i="19"/>
  <c r="AR29" i="19" s="1"/>
  <c r="AO29" i="19"/>
  <c r="AP29" i="19" s="1"/>
  <c r="AL29" i="19"/>
  <c r="AK29" i="19"/>
  <c r="AI29" i="19"/>
  <c r="AJ29" i="19" s="1"/>
  <c r="AF29" i="19"/>
  <c r="AG29" i="19" s="1"/>
  <c r="AC29" i="19"/>
  <c r="AB29" i="19"/>
  <c r="Z29" i="19"/>
  <c r="AA29" i="19" s="1"/>
  <c r="Y29" i="19"/>
  <c r="X29" i="19"/>
  <c r="U29" i="19"/>
  <c r="T29" i="19"/>
  <c r="Q29" i="19"/>
  <c r="R29" i="19" s="1"/>
  <c r="O29" i="19"/>
  <c r="N29" i="19"/>
  <c r="J29" i="19"/>
  <c r="K29" i="19" s="1"/>
  <c r="H29" i="19"/>
  <c r="I29" i="19" s="1"/>
  <c r="F29" i="19"/>
  <c r="G29" i="19" s="1"/>
  <c r="C29" i="19"/>
  <c r="B29" i="19"/>
  <c r="A29" i="19"/>
  <c r="AU29" i="19" s="1"/>
  <c r="AV28" i="19"/>
  <c r="AU28" i="19"/>
  <c r="AS28" i="19"/>
  <c r="AT28" i="19" s="1"/>
  <c r="AQ28" i="19"/>
  <c r="AR28" i="19" s="1"/>
  <c r="AP28" i="19"/>
  <c r="AO28" i="19"/>
  <c r="AM28" i="19"/>
  <c r="AN28" i="19" s="1"/>
  <c r="AL28" i="19"/>
  <c r="AK28" i="19"/>
  <c r="AI28" i="19"/>
  <c r="AJ28" i="19" s="1"/>
  <c r="AG28" i="19"/>
  <c r="AF28" i="19"/>
  <c r="AE28" i="19"/>
  <c r="AD28" i="19"/>
  <c r="AC28" i="19"/>
  <c r="AB28" i="19"/>
  <c r="Z28" i="19"/>
  <c r="AA28" i="19" s="1"/>
  <c r="Y28" i="19"/>
  <c r="X28" i="19"/>
  <c r="W28" i="19"/>
  <c r="V28" i="19"/>
  <c r="T28" i="19"/>
  <c r="U28" i="19" s="1"/>
  <c r="Q28" i="19"/>
  <c r="R28" i="19" s="1"/>
  <c r="O28" i="19"/>
  <c r="N28" i="19"/>
  <c r="L28" i="19"/>
  <c r="M28" i="19" s="1"/>
  <c r="K28" i="19"/>
  <c r="J28" i="19"/>
  <c r="H28" i="19"/>
  <c r="I28" i="19" s="1"/>
  <c r="G28" i="19"/>
  <c r="F28" i="19"/>
  <c r="E28" i="19"/>
  <c r="D28" i="19"/>
  <c r="C28" i="19"/>
  <c r="B28" i="19"/>
  <c r="A28" i="19"/>
  <c r="L27" i="19"/>
  <c r="M27" i="19" s="1"/>
  <c r="A27" i="19"/>
  <c r="AU26" i="19"/>
  <c r="AV26" i="19" s="1"/>
  <c r="AS26" i="19"/>
  <c r="AT26" i="19" s="1"/>
  <c r="AN26" i="19"/>
  <c r="AM26" i="19"/>
  <c r="AF26" i="19"/>
  <c r="AG26" i="19" s="1"/>
  <c r="AB26" i="19"/>
  <c r="AC26" i="19" s="1"/>
  <c r="Y26" i="19"/>
  <c r="X26" i="19"/>
  <c r="R26" i="19"/>
  <c r="Q26" i="19"/>
  <c r="N26" i="19"/>
  <c r="O26" i="19" s="1"/>
  <c r="M26" i="19"/>
  <c r="L26" i="19"/>
  <c r="H26" i="19"/>
  <c r="I26" i="19" s="1"/>
  <c r="E26" i="19"/>
  <c r="D26" i="19"/>
  <c r="B26" i="19"/>
  <c r="C26" i="19" s="1"/>
  <c r="A26" i="19"/>
  <c r="AO26" i="19" s="1"/>
  <c r="AP26" i="19" s="1"/>
  <c r="AU25" i="19"/>
  <c r="AV25" i="19" s="1"/>
  <c r="AP25" i="19"/>
  <c r="AO25" i="19"/>
  <c r="AL25" i="19"/>
  <c r="AK25" i="19"/>
  <c r="AG25" i="19"/>
  <c r="AF25" i="19"/>
  <c r="AB25" i="19"/>
  <c r="AC25" i="19" s="1"/>
  <c r="X25" i="19"/>
  <c r="Y25" i="19" s="1"/>
  <c r="W25" i="19"/>
  <c r="V25" i="19"/>
  <c r="L25" i="19"/>
  <c r="M25" i="19" s="1"/>
  <c r="G25" i="19"/>
  <c r="F25" i="19"/>
  <c r="D25" i="19"/>
  <c r="E25" i="19" s="1"/>
  <c r="C25" i="19"/>
  <c r="B25" i="19"/>
  <c r="A25" i="19"/>
  <c r="AM25" i="19" s="1"/>
  <c r="AN25" i="19" s="1"/>
  <c r="A24" i="19"/>
  <c r="A23" i="19"/>
  <c r="AI23" i="19" s="1"/>
  <c r="AJ23" i="19" s="1"/>
  <c r="AI22" i="19"/>
  <c r="AJ22" i="19" s="1"/>
  <c r="X22" i="19"/>
  <c r="Y22" i="19" s="1"/>
  <c r="T22" i="19"/>
  <c r="U22" i="19" s="1"/>
  <c r="B22" i="19"/>
  <c r="C22" i="19" s="1"/>
  <c r="A22" i="19"/>
  <c r="AS22" i="19" s="1"/>
  <c r="AT22" i="19" s="1"/>
  <c r="AO21" i="19"/>
  <c r="AP21" i="19" s="1"/>
  <c r="AI21" i="19"/>
  <c r="AJ21" i="19" s="1"/>
  <c r="T21" i="19"/>
  <c r="U21" i="19" s="1"/>
  <c r="A21" i="19"/>
  <c r="N21" i="19" s="1"/>
  <c r="O21" i="19" s="1"/>
  <c r="AV20" i="19"/>
  <c r="AU20" i="19"/>
  <c r="AT20" i="19"/>
  <c r="AS20" i="19"/>
  <c r="AQ20" i="19"/>
  <c r="AR20" i="19" s="1"/>
  <c r="AP20" i="19"/>
  <c r="AO20" i="19"/>
  <c r="AN20" i="19"/>
  <c r="AM20" i="19"/>
  <c r="AL20" i="19"/>
  <c r="AK20" i="19"/>
  <c r="AI20" i="19"/>
  <c r="AJ20" i="19" s="1"/>
  <c r="AG20" i="19"/>
  <c r="AF20" i="19"/>
  <c r="AD20" i="19"/>
  <c r="AE20" i="19" s="1"/>
  <c r="AC20" i="19"/>
  <c r="AB20" i="19"/>
  <c r="Z20" i="19"/>
  <c r="AA20" i="19" s="1"/>
  <c r="X20" i="19"/>
  <c r="Y20" i="19" s="1"/>
  <c r="W20" i="19"/>
  <c r="V20" i="19"/>
  <c r="T20" i="19"/>
  <c r="U20" i="19" s="1"/>
  <c r="Q20" i="19"/>
  <c r="R20" i="19" s="1"/>
  <c r="O20" i="19"/>
  <c r="N20" i="19"/>
  <c r="L20" i="19"/>
  <c r="M20" i="19" s="1"/>
  <c r="J20" i="19"/>
  <c r="K20" i="19" s="1"/>
  <c r="H20" i="19"/>
  <c r="I20" i="19" s="1"/>
  <c r="G20" i="19"/>
  <c r="F20" i="19"/>
  <c r="D20" i="19"/>
  <c r="E20" i="19" s="1"/>
  <c r="C20" i="19"/>
  <c r="B20" i="19"/>
  <c r="A20" i="19"/>
  <c r="AV19" i="19"/>
  <c r="AU19" i="19"/>
  <c r="AR19" i="19"/>
  <c r="AQ19" i="19"/>
  <c r="AL19" i="19"/>
  <c r="AK19" i="19"/>
  <c r="AI19" i="19"/>
  <c r="AJ19" i="19" s="1"/>
  <c r="AD19" i="19"/>
  <c r="AE19" i="19" s="1"/>
  <c r="T19" i="19"/>
  <c r="U19" i="19" s="1"/>
  <c r="R19" i="19"/>
  <c r="Q19" i="19"/>
  <c r="J19" i="19"/>
  <c r="K19" i="19" s="1"/>
  <c r="I19" i="19"/>
  <c r="H19" i="19"/>
  <c r="D19" i="19"/>
  <c r="E19" i="19" s="1"/>
  <c r="A19" i="19"/>
  <c r="AM19" i="19" s="1"/>
  <c r="AN19" i="19" s="1"/>
  <c r="AU18" i="19"/>
  <c r="AV18" i="19" s="1"/>
  <c r="AS18" i="19"/>
  <c r="AT18" i="19" s="1"/>
  <c r="AQ18" i="19"/>
  <c r="AR18" i="19" s="1"/>
  <c r="AN18" i="19"/>
  <c r="AM18" i="19"/>
  <c r="AK18" i="19"/>
  <c r="AL18" i="19" s="1"/>
  <c r="AG18" i="19"/>
  <c r="AF18" i="19"/>
  <c r="AD18" i="19"/>
  <c r="AE18" i="19" s="1"/>
  <c r="AB18" i="19"/>
  <c r="AC18" i="19" s="1"/>
  <c r="AA18" i="19"/>
  <c r="Z18" i="19"/>
  <c r="X18" i="19"/>
  <c r="Y18" i="19" s="1"/>
  <c r="T18" i="19"/>
  <c r="U18" i="19" s="1"/>
  <c r="R18" i="19"/>
  <c r="Q18" i="19"/>
  <c r="M18" i="19"/>
  <c r="L18" i="19"/>
  <c r="I18" i="19"/>
  <c r="H18" i="19"/>
  <c r="G18" i="19"/>
  <c r="F18" i="19"/>
  <c r="D18" i="19"/>
  <c r="E18" i="19" s="1"/>
  <c r="B18" i="19"/>
  <c r="C18" i="19" s="1"/>
  <c r="A18" i="19"/>
  <c r="AI18" i="19" s="1"/>
  <c r="AJ18" i="19" s="1"/>
  <c r="AV17" i="19"/>
  <c r="AU17" i="19"/>
  <c r="AS17" i="19"/>
  <c r="AT17" i="19" s="1"/>
  <c r="AP17" i="19"/>
  <c r="AO17" i="19"/>
  <c r="AM17" i="19"/>
  <c r="AN17" i="19" s="1"/>
  <c r="AL17" i="19"/>
  <c r="AK17" i="19"/>
  <c r="AF17" i="19"/>
  <c r="AG17" i="19" s="1"/>
  <c r="AC17" i="19"/>
  <c r="AB17" i="19"/>
  <c r="W17" i="19"/>
  <c r="V17" i="19"/>
  <c r="T17" i="19"/>
  <c r="U17" i="19" s="1"/>
  <c r="O17" i="19"/>
  <c r="N17" i="19"/>
  <c r="L17" i="19"/>
  <c r="M17" i="19" s="1"/>
  <c r="G17" i="19"/>
  <c r="F17" i="19"/>
  <c r="C17" i="19"/>
  <c r="B17" i="19"/>
  <c r="A17" i="19"/>
  <c r="AU16" i="19"/>
  <c r="AV16" i="19" s="1"/>
  <c r="AK16" i="19"/>
  <c r="AL16" i="19" s="1"/>
  <c r="AB16" i="19"/>
  <c r="AC16" i="19" s="1"/>
  <c r="V16" i="19"/>
  <c r="W16" i="19" s="1"/>
  <c r="J16" i="19"/>
  <c r="K16" i="19" s="1"/>
  <c r="H16" i="19"/>
  <c r="I16" i="19" s="1"/>
  <c r="B16" i="19"/>
  <c r="C16" i="19" s="1"/>
  <c r="A16" i="19"/>
  <c r="Z16" i="19" s="1"/>
  <c r="AA16" i="19" s="1"/>
  <c r="AR15" i="19"/>
  <c r="AQ15" i="19"/>
  <c r="AL15" i="19"/>
  <c r="AK15" i="19"/>
  <c r="AI15" i="19"/>
  <c r="AJ15" i="19" s="1"/>
  <c r="AF15" i="19"/>
  <c r="AG15" i="19" s="1"/>
  <c r="AA15" i="19"/>
  <c r="Z15" i="19"/>
  <c r="U15" i="19"/>
  <c r="T15" i="19"/>
  <c r="N15" i="19"/>
  <c r="O15" i="19" s="1"/>
  <c r="J15" i="19"/>
  <c r="K15" i="19" s="1"/>
  <c r="I15" i="19"/>
  <c r="H15" i="19"/>
  <c r="C15" i="19"/>
  <c r="B15" i="19"/>
  <c r="A15" i="19"/>
  <c r="AT14" i="19"/>
  <c r="AS14" i="19"/>
  <c r="AQ14" i="19"/>
  <c r="AR14" i="19" s="1"/>
  <c r="AO14" i="19"/>
  <c r="AP14" i="19" s="1"/>
  <c r="AK14" i="19"/>
  <c r="AL14" i="19" s="1"/>
  <c r="AI14" i="19"/>
  <c r="AJ14" i="19" s="1"/>
  <c r="AG14" i="19"/>
  <c r="AF14" i="19"/>
  <c r="AC14" i="19"/>
  <c r="AB14" i="19"/>
  <c r="Z14" i="19"/>
  <c r="AA14" i="19" s="1"/>
  <c r="Y14" i="19"/>
  <c r="X14" i="19"/>
  <c r="T14" i="19"/>
  <c r="U14" i="19" s="1"/>
  <c r="R14" i="19"/>
  <c r="Q14" i="19"/>
  <c r="O14" i="19"/>
  <c r="N14" i="19"/>
  <c r="I14" i="19"/>
  <c r="H14" i="19"/>
  <c r="F14" i="19"/>
  <c r="G14" i="19" s="1"/>
  <c r="C14" i="19"/>
  <c r="B14" i="19"/>
  <c r="A14" i="19"/>
  <c r="AU13" i="19"/>
  <c r="AV13" i="19" s="1"/>
  <c r="AS13" i="19"/>
  <c r="AT13" i="19" s="1"/>
  <c r="AQ13" i="19"/>
  <c r="AR13" i="19" s="1"/>
  <c r="AP13" i="19"/>
  <c r="AO13" i="19"/>
  <c r="AM13" i="19"/>
  <c r="AN13" i="19" s="1"/>
  <c r="AL13" i="19"/>
  <c r="AK13" i="19"/>
  <c r="AI13" i="19"/>
  <c r="AJ13" i="19" s="1"/>
  <c r="AG13" i="19"/>
  <c r="AF13" i="19"/>
  <c r="AE13" i="19"/>
  <c r="AD13" i="19"/>
  <c r="AB13" i="19"/>
  <c r="AC13" i="19" s="1"/>
  <c r="Z13" i="19"/>
  <c r="AA13" i="19" s="1"/>
  <c r="Y13" i="19"/>
  <c r="X13" i="19"/>
  <c r="W13" i="19"/>
  <c r="V13" i="19"/>
  <c r="T13" i="19"/>
  <c r="U13" i="19" s="1"/>
  <c r="Q13" i="19"/>
  <c r="R13" i="19" s="1"/>
  <c r="N13" i="19"/>
  <c r="O13" i="19" s="1"/>
  <c r="M13" i="19"/>
  <c r="L13" i="19"/>
  <c r="K13" i="19"/>
  <c r="J13" i="19"/>
  <c r="H13" i="19"/>
  <c r="I13" i="19" s="1"/>
  <c r="G13" i="19"/>
  <c r="F13" i="19"/>
  <c r="E13" i="19"/>
  <c r="D13" i="19"/>
  <c r="C13" i="19"/>
  <c r="B13" i="19"/>
  <c r="A13" i="19"/>
  <c r="AU12" i="19"/>
  <c r="AV12" i="19" s="1"/>
  <c r="AS12" i="19"/>
  <c r="AT12" i="19" s="1"/>
  <c r="AR12" i="19"/>
  <c r="AQ12" i="19"/>
  <c r="AM12" i="19"/>
  <c r="AN12" i="19" s="1"/>
  <c r="AJ12" i="19"/>
  <c r="AI12" i="19"/>
  <c r="AB12" i="19"/>
  <c r="AC12" i="19" s="1"/>
  <c r="Z12" i="19"/>
  <c r="AA12" i="19" s="1"/>
  <c r="Y12" i="19"/>
  <c r="X12" i="19"/>
  <c r="T12" i="19"/>
  <c r="U12" i="19" s="1"/>
  <c r="Q12" i="19"/>
  <c r="R12" i="19" s="1"/>
  <c r="O12" i="19"/>
  <c r="N12" i="19"/>
  <c r="J12" i="19"/>
  <c r="K12" i="19" s="1"/>
  <c r="H12" i="19"/>
  <c r="I12" i="19" s="1"/>
  <c r="G12" i="19"/>
  <c r="F12" i="19"/>
  <c r="B12" i="19"/>
  <c r="C12" i="19" s="1"/>
  <c r="A12" i="19"/>
  <c r="AV11" i="19"/>
  <c r="AU11" i="19"/>
  <c r="AT11" i="19"/>
  <c r="AS11" i="19"/>
  <c r="AQ11" i="19"/>
  <c r="AR11" i="19" s="1"/>
  <c r="AP11" i="19"/>
  <c r="AO11" i="19"/>
  <c r="AN11" i="19"/>
  <c r="AM11" i="19"/>
  <c r="AL11" i="19"/>
  <c r="AK11" i="19"/>
  <c r="AI11" i="19"/>
  <c r="AJ11" i="19" s="1"/>
  <c r="AG11" i="19"/>
  <c r="AF11" i="19"/>
  <c r="AE11" i="19"/>
  <c r="AD11" i="19"/>
  <c r="AC11" i="19"/>
  <c r="AB11" i="19"/>
  <c r="Z11" i="19"/>
  <c r="AA11" i="19" s="1"/>
  <c r="Y11" i="19"/>
  <c r="X11" i="19"/>
  <c r="W11" i="19"/>
  <c r="V11" i="19"/>
  <c r="U11" i="19"/>
  <c r="T11" i="19"/>
  <c r="Q11" i="19"/>
  <c r="R11" i="19" s="1"/>
  <c r="O11" i="19"/>
  <c r="N11" i="19"/>
  <c r="M11" i="19"/>
  <c r="L11" i="19"/>
  <c r="K11" i="19"/>
  <c r="J11" i="19"/>
  <c r="H11" i="19"/>
  <c r="I11" i="19" s="1"/>
  <c r="G11" i="19"/>
  <c r="F11" i="19"/>
  <c r="E11" i="19"/>
  <c r="D11" i="19"/>
  <c r="C11" i="19"/>
  <c r="B11" i="19"/>
  <c r="A11" i="19"/>
  <c r="AS10" i="19"/>
  <c r="AT10" i="19" s="1"/>
  <c r="AK10" i="19"/>
  <c r="AL10" i="19" s="1"/>
  <c r="AB10" i="19"/>
  <c r="AC10" i="19" s="1"/>
  <c r="T10" i="19"/>
  <c r="U10" i="19" s="1"/>
  <c r="J10" i="19"/>
  <c r="K10" i="19" s="1"/>
  <c r="B10" i="19"/>
  <c r="C10" i="19" s="1"/>
  <c r="A10" i="19"/>
  <c r="AQ10" i="19" s="1"/>
  <c r="AR10" i="19" s="1"/>
  <c r="AP9" i="19"/>
  <c r="AO9" i="19"/>
  <c r="AG9" i="19"/>
  <c r="AF9" i="19"/>
  <c r="Y9" i="19"/>
  <c r="X9" i="19"/>
  <c r="O9" i="19"/>
  <c r="N9" i="19"/>
  <c r="G9" i="19"/>
  <c r="F9" i="19"/>
  <c r="A9" i="19"/>
  <c r="AU9" i="19" s="1"/>
  <c r="AV9" i="19" s="1"/>
  <c r="AU8" i="19"/>
  <c r="AV8" i="19" s="1"/>
  <c r="AT8" i="19"/>
  <c r="AS8" i="19"/>
  <c r="AO8" i="19"/>
  <c r="AP8" i="19" s="1"/>
  <c r="AM8" i="19"/>
  <c r="AN8" i="19" s="1"/>
  <c r="AL8" i="19"/>
  <c r="AK8" i="19"/>
  <c r="AF8" i="19"/>
  <c r="AG8" i="19" s="1"/>
  <c r="AD8" i="19"/>
  <c r="AE8" i="19" s="1"/>
  <c r="AC8" i="19"/>
  <c r="AB8" i="19"/>
  <c r="X8" i="19"/>
  <c r="Y8" i="19" s="1"/>
  <c r="V8" i="19"/>
  <c r="W8" i="19" s="1"/>
  <c r="U8" i="19"/>
  <c r="T8" i="19"/>
  <c r="N8" i="19"/>
  <c r="O8" i="19" s="1"/>
  <c r="L8" i="19"/>
  <c r="M8" i="19" s="1"/>
  <c r="K8" i="19"/>
  <c r="J8" i="19"/>
  <c r="F8" i="19"/>
  <c r="G8" i="19" s="1"/>
  <c r="D8" i="19"/>
  <c r="E8" i="19" s="1"/>
  <c r="C8" i="19"/>
  <c r="B8" i="19"/>
  <c r="A8" i="19"/>
  <c r="AQ8" i="19" s="1"/>
  <c r="AR8" i="19" s="1"/>
  <c r="A7" i="19"/>
  <c r="AQ7" i="19" s="1"/>
  <c r="AR7" i="19" s="1"/>
  <c r="AV6" i="19"/>
  <c r="AU6" i="19"/>
  <c r="AQ6" i="19"/>
  <c r="AR6" i="19" s="1"/>
  <c r="AO6" i="19"/>
  <c r="AP6" i="19" s="1"/>
  <c r="AN6" i="19"/>
  <c r="AM6" i="19"/>
  <c r="AI6" i="19"/>
  <c r="AJ6" i="19" s="1"/>
  <c r="AF6" i="19"/>
  <c r="AG6" i="19" s="1"/>
  <c r="AE6" i="19"/>
  <c r="AD6" i="19"/>
  <c r="Z6" i="19"/>
  <c r="AA6" i="19" s="1"/>
  <c r="X6" i="19"/>
  <c r="Y6" i="19" s="1"/>
  <c r="W6" i="19"/>
  <c r="V6" i="19"/>
  <c r="Q6" i="19"/>
  <c r="R6" i="19" s="1"/>
  <c r="N6" i="19"/>
  <c r="O6" i="19" s="1"/>
  <c r="M6" i="19"/>
  <c r="L6" i="19"/>
  <c r="H6" i="19"/>
  <c r="I6" i="19" s="1"/>
  <c r="F6" i="19"/>
  <c r="G6" i="19" s="1"/>
  <c r="E6" i="19"/>
  <c r="D6" i="19"/>
  <c r="A6" i="19"/>
  <c r="AS6" i="19" s="1"/>
  <c r="AT6" i="19" s="1"/>
  <c r="AT5" i="19"/>
  <c r="AS5" i="19"/>
  <c r="AL5" i="19"/>
  <c r="AK5" i="19"/>
  <c r="AC5" i="19"/>
  <c r="AB5" i="19"/>
  <c r="U5" i="19"/>
  <c r="T5" i="19"/>
  <c r="K5" i="19"/>
  <c r="J5" i="19"/>
  <c r="C5" i="19"/>
  <c r="B5" i="19"/>
  <c r="A5" i="19"/>
  <c r="AQ5" i="19" s="1"/>
  <c r="AR5" i="19" s="1"/>
  <c r="AS4" i="19"/>
  <c r="AT4" i="19" s="1"/>
  <c r="AQ4" i="19"/>
  <c r="AR4" i="19" s="1"/>
  <c r="AP4" i="19"/>
  <c r="AO4" i="19"/>
  <c r="AK4" i="19"/>
  <c r="AL4" i="19" s="1"/>
  <c r="AI4" i="19"/>
  <c r="AJ4" i="19" s="1"/>
  <c r="AG4" i="19"/>
  <c r="AF4" i="19"/>
  <c r="AB4" i="19"/>
  <c r="AC4" i="19" s="1"/>
  <c r="Z4" i="19"/>
  <c r="AA4" i="19" s="1"/>
  <c r="Y4" i="19"/>
  <c r="X4" i="19"/>
  <c r="T4" i="19"/>
  <c r="U4" i="19" s="1"/>
  <c r="Q4" i="19"/>
  <c r="R4" i="19" s="1"/>
  <c r="O4" i="19"/>
  <c r="N4" i="19"/>
  <c r="J4" i="19"/>
  <c r="K4" i="19" s="1"/>
  <c r="H4" i="19"/>
  <c r="I4" i="19" s="1"/>
  <c r="G4" i="19"/>
  <c r="F4" i="19"/>
  <c r="B4" i="19"/>
  <c r="C4" i="19" s="1"/>
  <c r="A4" i="19"/>
  <c r="AU4" i="19" s="1"/>
  <c r="AV4" i="19" s="1"/>
  <c r="AU121" i="11"/>
  <c r="AV121" i="11" s="1"/>
  <c r="AS121" i="11"/>
  <c r="AT121" i="11" s="1"/>
  <c r="AQ121" i="11"/>
  <c r="AR121" i="11" s="1"/>
  <c r="AO121" i="11"/>
  <c r="AP121" i="11" s="1"/>
  <c r="AM121" i="11"/>
  <c r="AN121" i="11" s="1"/>
  <c r="AK121" i="11"/>
  <c r="AL121" i="11" s="1"/>
  <c r="AI121" i="11"/>
  <c r="AJ121" i="11" s="1"/>
  <c r="AF121" i="11"/>
  <c r="AG121" i="11" s="1"/>
  <c r="AD121" i="11"/>
  <c r="AE121" i="11" s="1"/>
  <c r="AB121" i="11"/>
  <c r="AC121" i="11" s="1"/>
  <c r="Z121" i="11"/>
  <c r="AA121" i="11" s="1"/>
  <c r="X121" i="11"/>
  <c r="Y121" i="11" s="1"/>
  <c r="V121" i="11"/>
  <c r="W121" i="11" s="1"/>
  <c r="T121" i="11"/>
  <c r="U121" i="11" s="1"/>
  <c r="Q121" i="11"/>
  <c r="R121" i="11" s="1"/>
  <c r="N121" i="11"/>
  <c r="O121" i="11" s="1"/>
  <c r="L121" i="11"/>
  <c r="M121" i="11" s="1"/>
  <c r="J121" i="11"/>
  <c r="K121" i="11" s="1"/>
  <c r="H121" i="11"/>
  <c r="I121" i="11" s="1"/>
  <c r="F121" i="11"/>
  <c r="G121" i="11" s="1"/>
  <c r="D121" i="11"/>
  <c r="E121" i="11" s="1"/>
  <c r="B121" i="11"/>
  <c r="C121" i="11" s="1"/>
  <c r="AU120" i="11"/>
  <c r="AV120" i="11" s="1"/>
  <c r="AS120" i="11"/>
  <c r="AT120" i="11" s="1"/>
  <c r="AQ120" i="11"/>
  <c r="AR120" i="11" s="1"/>
  <c r="AO120" i="11"/>
  <c r="AP120" i="11" s="1"/>
  <c r="AM120" i="11"/>
  <c r="AN120" i="11" s="1"/>
  <c r="AK120" i="11"/>
  <c r="AL120" i="11" s="1"/>
  <c r="AI120" i="11"/>
  <c r="AJ120" i="11" s="1"/>
  <c r="AF120" i="11"/>
  <c r="AG120" i="11" s="1"/>
  <c r="AD120" i="11"/>
  <c r="AE120" i="11" s="1"/>
  <c r="AB120" i="11"/>
  <c r="AC120" i="11" s="1"/>
  <c r="Z120" i="11"/>
  <c r="AA120" i="11" s="1"/>
  <c r="X120" i="11"/>
  <c r="Y120" i="11" s="1"/>
  <c r="V120" i="11"/>
  <c r="W120" i="11" s="1"/>
  <c r="T120" i="11"/>
  <c r="U120" i="11" s="1"/>
  <c r="Q120" i="11"/>
  <c r="R120" i="11" s="1"/>
  <c r="N120" i="11"/>
  <c r="O120" i="11" s="1"/>
  <c r="L120" i="11"/>
  <c r="M120" i="11" s="1"/>
  <c r="J120" i="11"/>
  <c r="K120" i="11" s="1"/>
  <c r="H120" i="11"/>
  <c r="I120" i="11" s="1"/>
  <c r="F120" i="11"/>
  <c r="G120" i="11" s="1"/>
  <c r="D120" i="11"/>
  <c r="E120" i="11" s="1"/>
  <c r="B120" i="11"/>
  <c r="C120" i="11" s="1"/>
  <c r="AU119" i="11"/>
  <c r="AV119" i="11" s="1"/>
  <c r="AS119" i="11"/>
  <c r="AT119" i="11" s="1"/>
  <c r="AQ119" i="11"/>
  <c r="AR119" i="11" s="1"/>
  <c r="AO119" i="11"/>
  <c r="AP119" i="11" s="1"/>
  <c r="AM119" i="11"/>
  <c r="AN119" i="11" s="1"/>
  <c r="AK119" i="11"/>
  <c r="AL119" i="11" s="1"/>
  <c r="AI119" i="11"/>
  <c r="AJ119" i="11" s="1"/>
  <c r="AF119" i="11"/>
  <c r="AG119" i="11" s="1"/>
  <c r="AD119" i="11"/>
  <c r="AE119" i="11" s="1"/>
  <c r="AB119" i="11"/>
  <c r="AC119" i="11" s="1"/>
  <c r="Z119" i="11"/>
  <c r="AA119" i="11" s="1"/>
  <c r="X119" i="11"/>
  <c r="Y119" i="11" s="1"/>
  <c r="V119" i="11"/>
  <c r="W119" i="11" s="1"/>
  <c r="T119" i="11"/>
  <c r="U119" i="11" s="1"/>
  <c r="Q119" i="11"/>
  <c r="R119" i="11" s="1"/>
  <c r="N119" i="11"/>
  <c r="O119" i="11" s="1"/>
  <c r="L119" i="11"/>
  <c r="M119" i="11" s="1"/>
  <c r="J119" i="11"/>
  <c r="K119" i="11" s="1"/>
  <c r="H119" i="11"/>
  <c r="I119" i="11" s="1"/>
  <c r="F119" i="11"/>
  <c r="G119" i="11" s="1"/>
  <c r="D119" i="11"/>
  <c r="E119" i="11" s="1"/>
  <c r="B119" i="11"/>
  <c r="C119" i="11" s="1"/>
  <c r="AU118" i="11"/>
  <c r="AV118" i="11" s="1"/>
  <c r="AS118" i="11"/>
  <c r="AT118" i="11" s="1"/>
  <c r="AQ118" i="11"/>
  <c r="AR118" i="11" s="1"/>
  <c r="AO118" i="11"/>
  <c r="AP118" i="11" s="1"/>
  <c r="AM118" i="11"/>
  <c r="AN118" i="11" s="1"/>
  <c r="AK118" i="11"/>
  <c r="AL118" i="11" s="1"/>
  <c r="AI118" i="11"/>
  <c r="AJ118" i="11" s="1"/>
  <c r="AF118" i="11"/>
  <c r="AG118" i="11" s="1"/>
  <c r="AD118" i="11"/>
  <c r="AE118" i="11" s="1"/>
  <c r="AB118" i="11"/>
  <c r="AC118" i="11" s="1"/>
  <c r="Z118" i="11"/>
  <c r="AA118" i="11" s="1"/>
  <c r="X118" i="11"/>
  <c r="Y118" i="11" s="1"/>
  <c r="V118" i="11"/>
  <c r="W118" i="11" s="1"/>
  <c r="T118" i="11"/>
  <c r="U118" i="11" s="1"/>
  <c r="Q118" i="11"/>
  <c r="R118" i="11" s="1"/>
  <c r="N118" i="11"/>
  <c r="O118" i="11" s="1"/>
  <c r="L118" i="11"/>
  <c r="M118" i="11" s="1"/>
  <c r="J118" i="11"/>
  <c r="K118" i="11" s="1"/>
  <c r="H118" i="11"/>
  <c r="I118" i="11" s="1"/>
  <c r="F118" i="11"/>
  <c r="G118" i="11" s="1"/>
  <c r="D118" i="11"/>
  <c r="E118" i="11" s="1"/>
  <c r="B118" i="11"/>
  <c r="C118" i="11" s="1"/>
  <c r="AU117" i="11"/>
  <c r="AV117" i="11" s="1"/>
  <c r="AS117" i="11"/>
  <c r="AT117" i="11" s="1"/>
  <c r="AQ117" i="11"/>
  <c r="AR117" i="11" s="1"/>
  <c r="AO117" i="11"/>
  <c r="AP117" i="11" s="1"/>
  <c r="AM117" i="11"/>
  <c r="AN117" i="11" s="1"/>
  <c r="AK117" i="11"/>
  <c r="AL117" i="11" s="1"/>
  <c r="AI117" i="11"/>
  <c r="AJ117" i="11" s="1"/>
  <c r="AF117" i="11"/>
  <c r="AG117" i="11" s="1"/>
  <c r="AD117" i="11"/>
  <c r="AE117" i="11" s="1"/>
  <c r="AB117" i="11"/>
  <c r="AC117" i="11" s="1"/>
  <c r="Z117" i="11"/>
  <c r="AA117" i="11" s="1"/>
  <c r="X117" i="11"/>
  <c r="Y117" i="11" s="1"/>
  <c r="V117" i="11"/>
  <c r="W117" i="11" s="1"/>
  <c r="T117" i="11"/>
  <c r="U117" i="11" s="1"/>
  <c r="Q117" i="11"/>
  <c r="R117" i="11" s="1"/>
  <c r="N117" i="11"/>
  <c r="O117" i="11" s="1"/>
  <c r="L117" i="11"/>
  <c r="M117" i="11" s="1"/>
  <c r="J117" i="11"/>
  <c r="K117" i="11" s="1"/>
  <c r="H117" i="11"/>
  <c r="I117" i="11" s="1"/>
  <c r="F117" i="11"/>
  <c r="G117" i="11" s="1"/>
  <c r="D117" i="11"/>
  <c r="E117" i="11" s="1"/>
  <c r="B117" i="11"/>
  <c r="C117" i="11" s="1"/>
  <c r="AU116" i="11"/>
  <c r="AV116" i="11" s="1"/>
  <c r="AS116" i="11"/>
  <c r="AT116" i="11" s="1"/>
  <c r="AQ116" i="11"/>
  <c r="AR116" i="11" s="1"/>
  <c r="AO116" i="11"/>
  <c r="AP116" i="11" s="1"/>
  <c r="AM116" i="11"/>
  <c r="AN116" i="11" s="1"/>
  <c r="AK116" i="11"/>
  <c r="AL116" i="11" s="1"/>
  <c r="AI116" i="11"/>
  <c r="AJ116" i="11" s="1"/>
  <c r="AF116" i="11"/>
  <c r="AG116" i="11" s="1"/>
  <c r="AD116" i="11"/>
  <c r="AE116" i="11" s="1"/>
  <c r="AB116" i="11"/>
  <c r="AC116" i="11" s="1"/>
  <c r="Z116" i="11"/>
  <c r="AA116" i="11" s="1"/>
  <c r="X116" i="11"/>
  <c r="Y116" i="11" s="1"/>
  <c r="V116" i="11"/>
  <c r="W116" i="11" s="1"/>
  <c r="T116" i="11"/>
  <c r="U116" i="11" s="1"/>
  <c r="Q116" i="11"/>
  <c r="R116" i="11" s="1"/>
  <c r="N116" i="11"/>
  <c r="O116" i="11" s="1"/>
  <c r="L116" i="11"/>
  <c r="M116" i="11" s="1"/>
  <c r="J116" i="11"/>
  <c r="K116" i="11" s="1"/>
  <c r="H116" i="11"/>
  <c r="I116" i="11" s="1"/>
  <c r="F116" i="11"/>
  <c r="G116" i="11" s="1"/>
  <c r="D116" i="11"/>
  <c r="E116" i="11" s="1"/>
  <c r="B116" i="11"/>
  <c r="C116" i="11" s="1"/>
  <c r="AU115" i="11"/>
  <c r="AV115" i="11" s="1"/>
  <c r="AS115" i="11"/>
  <c r="AT115" i="11" s="1"/>
  <c r="AQ115" i="11"/>
  <c r="AR115" i="11" s="1"/>
  <c r="AO115" i="11"/>
  <c r="AP115" i="11" s="1"/>
  <c r="AM115" i="11"/>
  <c r="AN115" i="11" s="1"/>
  <c r="AK115" i="11"/>
  <c r="AL115" i="11" s="1"/>
  <c r="AI115" i="11"/>
  <c r="AJ115" i="11" s="1"/>
  <c r="AF115" i="11"/>
  <c r="AG115" i="11" s="1"/>
  <c r="AD115" i="11"/>
  <c r="AE115" i="11" s="1"/>
  <c r="AB115" i="11"/>
  <c r="AC115" i="11" s="1"/>
  <c r="Z115" i="11"/>
  <c r="AA115" i="11" s="1"/>
  <c r="X115" i="11"/>
  <c r="Y115" i="11" s="1"/>
  <c r="V115" i="11"/>
  <c r="W115" i="11" s="1"/>
  <c r="T115" i="11"/>
  <c r="U115" i="11" s="1"/>
  <c r="Q115" i="11"/>
  <c r="R115" i="11" s="1"/>
  <c r="N115" i="11"/>
  <c r="O115" i="11" s="1"/>
  <c r="L115" i="11"/>
  <c r="M115" i="11" s="1"/>
  <c r="J115" i="11"/>
  <c r="K115" i="11" s="1"/>
  <c r="H115" i="11"/>
  <c r="I115" i="11" s="1"/>
  <c r="F115" i="11"/>
  <c r="G115" i="11" s="1"/>
  <c r="D115" i="11"/>
  <c r="E115" i="11" s="1"/>
  <c r="B115" i="11"/>
  <c r="C115" i="11" s="1"/>
  <c r="AU114" i="11"/>
  <c r="AV114" i="11" s="1"/>
  <c r="AS114" i="11"/>
  <c r="AT114" i="11" s="1"/>
  <c r="AQ114" i="11"/>
  <c r="AR114" i="11" s="1"/>
  <c r="AO114" i="11"/>
  <c r="AP114" i="11" s="1"/>
  <c r="AM114" i="11"/>
  <c r="AN114" i="11" s="1"/>
  <c r="AK114" i="11"/>
  <c r="AL114" i="11" s="1"/>
  <c r="AI114" i="11"/>
  <c r="AJ114" i="11" s="1"/>
  <c r="AF114" i="11"/>
  <c r="AG114" i="11" s="1"/>
  <c r="AD114" i="11"/>
  <c r="AE114" i="11" s="1"/>
  <c r="AB114" i="11"/>
  <c r="AC114" i="11" s="1"/>
  <c r="Z114" i="11"/>
  <c r="AA114" i="11" s="1"/>
  <c r="X114" i="11"/>
  <c r="Y114" i="11" s="1"/>
  <c r="V114" i="11"/>
  <c r="W114" i="11" s="1"/>
  <c r="T114" i="11"/>
  <c r="U114" i="11" s="1"/>
  <c r="Q114" i="11"/>
  <c r="R114" i="11" s="1"/>
  <c r="N114" i="11"/>
  <c r="O114" i="11" s="1"/>
  <c r="L114" i="11"/>
  <c r="M114" i="11" s="1"/>
  <c r="J114" i="11"/>
  <c r="K114" i="11" s="1"/>
  <c r="H114" i="11"/>
  <c r="I114" i="11" s="1"/>
  <c r="F114" i="11"/>
  <c r="G114" i="11" s="1"/>
  <c r="D114" i="11"/>
  <c r="E114" i="11" s="1"/>
  <c r="B114" i="11"/>
  <c r="C114" i="11" s="1"/>
  <c r="AU113" i="11"/>
  <c r="AV113" i="11" s="1"/>
  <c r="AS113" i="11"/>
  <c r="AT113" i="11" s="1"/>
  <c r="AQ113" i="11"/>
  <c r="AR113" i="11" s="1"/>
  <c r="AO113" i="11"/>
  <c r="AP113" i="11" s="1"/>
  <c r="AM113" i="11"/>
  <c r="AN113" i="11" s="1"/>
  <c r="AK113" i="11"/>
  <c r="AL113" i="11" s="1"/>
  <c r="AI113" i="11"/>
  <c r="AJ113" i="11" s="1"/>
  <c r="AF113" i="11"/>
  <c r="AG113" i="11" s="1"/>
  <c r="AD113" i="11"/>
  <c r="AE113" i="11" s="1"/>
  <c r="AB113" i="11"/>
  <c r="AC113" i="11" s="1"/>
  <c r="Z113" i="11"/>
  <c r="AA113" i="11" s="1"/>
  <c r="X113" i="11"/>
  <c r="Y113" i="11" s="1"/>
  <c r="V113" i="11"/>
  <c r="W113" i="11" s="1"/>
  <c r="T113" i="11"/>
  <c r="U113" i="11" s="1"/>
  <c r="Q113" i="11"/>
  <c r="R113" i="11" s="1"/>
  <c r="N113" i="11"/>
  <c r="O113" i="11" s="1"/>
  <c r="L113" i="11"/>
  <c r="M113" i="11" s="1"/>
  <c r="J113" i="11"/>
  <c r="K113" i="11" s="1"/>
  <c r="H113" i="11"/>
  <c r="I113" i="11" s="1"/>
  <c r="F113" i="11"/>
  <c r="G113" i="11" s="1"/>
  <c r="D113" i="11"/>
  <c r="E113" i="11" s="1"/>
  <c r="B113" i="11"/>
  <c r="C113" i="11" s="1"/>
  <c r="AU112" i="11"/>
  <c r="AV112" i="11" s="1"/>
  <c r="AS112" i="11"/>
  <c r="AT112" i="11" s="1"/>
  <c r="AQ112" i="11"/>
  <c r="AR112" i="11" s="1"/>
  <c r="AO112" i="11"/>
  <c r="AP112" i="11" s="1"/>
  <c r="AM112" i="11"/>
  <c r="AN112" i="11" s="1"/>
  <c r="AK112" i="11"/>
  <c r="AL112" i="11" s="1"/>
  <c r="AI112" i="11"/>
  <c r="AJ112" i="11" s="1"/>
  <c r="AF112" i="11"/>
  <c r="AG112" i="11" s="1"/>
  <c r="AD112" i="11"/>
  <c r="AE112" i="11" s="1"/>
  <c r="AB112" i="11"/>
  <c r="AC112" i="11" s="1"/>
  <c r="Z112" i="11"/>
  <c r="AA112" i="11" s="1"/>
  <c r="X112" i="11"/>
  <c r="Y112" i="11" s="1"/>
  <c r="V112" i="11"/>
  <c r="W112" i="11" s="1"/>
  <c r="T112" i="11"/>
  <c r="U112" i="11" s="1"/>
  <c r="Q112" i="11"/>
  <c r="R112" i="11" s="1"/>
  <c r="N112" i="11"/>
  <c r="O112" i="11" s="1"/>
  <c r="L112" i="11"/>
  <c r="M112" i="11" s="1"/>
  <c r="J112" i="11"/>
  <c r="K112" i="11" s="1"/>
  <c r="H112" i="11"/>
  <c r="I112" i="11" s="1"/>
  <c r="F112" i="11"/>
  <c r="G112" i="11" s="1"/>
  <c r="D112" i="11"/>
  <c r="E112" i="11" s="1"/>
  <c r="B112" i="11"/>
  <c r="C112" i="11" s="1"/>
  <c r="AU111" i="11"/>
  <c r="AV111" i="11" s="1"/>
  <c r="AS111" i="11"/>
  <c r="AT111" i="11" s="1"/>
  <c r="AQ111" i="11"/>
  <c r="AR111" i="11" s="1"/>
  <c r="AO111" i="11"/>
  <c r="AP111" i="11" s="1"/>
  <c r="AM111" i="11"/>
  <c r="AN111" i="11" s="1"/>
  <c r="AK111" i="11"/>
  <c r="AL111" i="11" s="1"/>
  <c r="AI111" i="11"/>
  <c r="AJ111" i="11" s="1"/>
  <c r="AF111" i="11"/>
  <c r="AG111" i="11" s="1"/>
  <c r="AD111" i="11"/>
  <c r="AE111" i="11" s="1"/>
  <c r="AB111" i="11"/>
  <c r="AC111" i="11" s="1"/>
  <c r="Z111" i="11"/>
  <c r="AA111" i="11" s="1"/>
  <c r="X111" i="11"/>
  <c r="Y111" i="11" s="1"/>
  <c r="V111" i="11"/>
  <c r="W111" i="11" s="1"/>
  <c r="T111" i="11"/>
  <c r="U111" i="11" s="1"/>
  <c r="Q111" i="11"/>
  <c r="R111" i="11" s="1"/>
  <c r="N111" i="11"/>
  <c r="O111" i="11" s="1"/>
  <c r="L111" i="11"/>
  <c r="M111" i="11" s="1"/>
  <c r="J111" i="11"/>
  <c r="K111" i="11" s="1"/>
  <c r="I111" i="11"/>
  <c r="H111" i="11"/>
  <c r="F111" i="11"/>
  <c r="G111" i="11" s="1"/>
  <c r="D111" i="11"/>
  <c r="E111" i="11" s="1"/>
  <c r="B111" i="11"/>
  <c r="C111" i="11" s="1"/>
  <c r="AU110" i="11"/>
  <c r="AV110" i="11" s="1"/>
  <c r="AS110" i="11"/>
  <c r="AT110" i="11" s="1"/>
  <c r="AQ110" i="11"/>
  <c r="AR110" i="11" s="1"/>
  <c r="AO110" i="11"/>
  <c r="AP110" i="11" s="1"/>
  <c r="AM110" i="11"/>
  <c r="AN110" i="11" s="1"/>
  <c r="AK110" i="11"/>
  <c r="AL110" i="11" s="1"/>
  <c r="AI110" i="11"/>
  <c r="AJ110" i="11" s="1"/>
  <c r="AF110" i="11"/>
  <c r="AG110" i="11" s="1"/>
  <c r="AD110" i="11"/>
  <c r="AE110" i="11" s="1"/>
  <c r="AB110" i="11"/>
  <c r="AC110" i="11" s="1"/>
  <c r="Z110" i="11"/>
  <c r="AA110" i="11" s="1"/>
  <c r="X110" i="11"/>
  <c r="Y110" i="11" s="1"/>
  <c r="V110" i="11"/>
  <c r="W110" i="11" s="1"/>
  <c r="T110" i="11"/>
  <c r="U110" i="11" s="1"/>
  <c r="Q110" i="11"/>
  <c r="R110" i="11" s="1"/>
  <c r="N110" i="11"/>
  <c r="O110" i="11" s="1"/>
  <c r="L110" i="11"/>
  <c r="M110" i="11" s="1"/>
  <c r="J110" i="11"/>
  <c r="K110" i="11" s="1"/>
  <c r="H110" i="11"/>
  <c r="I110" i="11" s="1"/>
  <c r="F110" i="11"/>
  <c r="G110" i="11" s="1"/>
  <c r="D110" i="11"/>
  <c r="E110" i="11" s="1"/>
  <c r="B110" i="11"/>
  <c r="C110" i="11" s="1"/>
  <c r="AU109" i="11"/>
  <c r="AV109" i="11" s="1"/>
  <c r="AS109" i="11"/>
  <c r="AT109" i="11" s="1"/>
  <c r="AQ109" i="11"/>
  <c r="AR109" i="11" s="1"/>
  <c r="AO109" i="11"/>
  <c r="AP109" i="11" s="1"/>
  <c r="AM109" i="11"/>
  <c r="AN109" i="11" s="1"/>
  <c r="AK109" i="11"/>
  <c r="AL109" i="11" s="1"/>
  <c r="AI109" i="11"/>
  <c r="AJ109" i="11" s="1"/>
  <c r="AF109" i="11"/>
  <c r="AG109" i="11" s="1"/>
  <c r="AD109" i="11"/>
  <c r="AE109" i="11" s="1"/>
  <c r="AB109" i="11"/>
  <c r="AC109" i="11" s="1"/>
  <c r="Z109" i="11"/>
  <c r="AA109" i="11" s="1"/>
  <c r="X109" i="11"/>
  <c r="Y109" i="11" s="1"/>
  <c r="V109" i="11"/>
  <c r="W109" i="11" s="1"/>
  <c r="T109" i="11"/>
  <c r="U109" i="11" s="1"/>
  <c r="Q109" i="11"/>
  <c r="R109" i="11" s="1"/>
  <c r="N109" i="11"/>
  <c r="O109" i="11" s="1"/>
  <c r="L109" i="11"/>
  <c r="M109" i="11" s="1"/>
  <c r="J109" i="11"/>
  <c r="K109" i="11" s="1"/>
  <c r="H109" i="11"/>
  <c r="I109" i="11" s="1"/>
  <c r="F109" i="11"/>
  <c r="G109" i="11" s="1"/>
  <c r="D109" i="11"/>
  <c r="E109" i="11" s="1"/>
  <c r="B109" i="11"/>
  <c r="C109" i="11" s="1"/>
  <c r="AU108" i="11"/>
  <c r="AV108" i="11" s="1"/>
  <c r="AS108" i="11"/>
  <c r="AT108" i="11" s="1"/>
  <c r="AQ108" i="11"/>
  <c r="AR108" i="11" s="1"/>
  <c r="AO108" i="11"/>
  <c r="AP108" i="11" s="1"/>
  <c r="AM108" i="11"/>
  <c r="AN108" i="11" s="1"/>
  <c r="AK108" i="11"/>
  <c r="AL108" i="11" s="1"/>
  <c r="AI108" i="11"/>
  <c r="AJ108" i="11" s="1"/>
  <c r="AF108" i="11"/>
  <c r="AG108" i="11" s="1"/>
  <c r="AD108" i="11"/>
  <c r="AE108" i="11" s="1"/>
  <c r="AB108" i="11"/>
  <c r="AC108" i="11" s="1"/>
  <c r="Z108" i="11"/>
  <c r="AA108" i="11" s="1"/>
  <c r="X108" i="11"/>
  <c r="Y108" i="11" s="1"/>
  <c r="V108" i="11"/>
  <c r="W108" i="11" s="1"/>
  <c r="T108" i="11"/>
  <c r="U108" i="11" s="1"/>
  <c r="Q108" i="11"/>
  <c r="R108" i="11" s="1"/>
  <c r="N108" i="11"/>
  <c r="O108" i="11" s="1"/>
  <c r="L108" i="11"/>
  <c r="M108" i="11" s="1"/>
  <c r="J108" i="11"/>
  <c r="K108" i="11" s="1"/>
  <c r="H108" i="11"/>
  <c r="I108" i="11" s="1"/>
  <c r="F108" i="11"/>
  <c r="G108" i="11" s="1"/>
  <c r="D108" i="11"/>
  <c r="E108" i="11" s="1"/>
  <c r="B108" i="11"/>
  <c r="C108" i="11" s="1"/>
  <c r="AU107" i="11"/>
  <c r="AV107" i="11" s="1"/>
  <c r="AS107" i="11"/>
  <c r="AT107" i="11" s="1"/>
  <c r="AQ107" i="11"/>
  <c r="AR107" i="11" s="1"/>
  <c r="AO107" i="11"/>
  <c r="AP107" i="11" s="1"/>
  <c r="AM107" i="11"/>
  <c r="AN107" i="11" s="1"/>
  <c r="AK107" i="11"/>
  <c r="AL107" i="11" s="1"/>
  <c r="AI107" i="11"/>
  <c r="AJ107" i="11" s="1"/>
  <c r="AF107" i="11"/>
  <c r="AG107" i="11" s="1"/>
  <c r="AD107" i="11"/>
  <c r="AE107" i="11" s="1"/>
  <c r="AB107" i="11"/>
  <c r="AC107" i="11" s="1"/>
  <c r="Z107" i="11"/>
  <c r="AA107" i="11" s="1"/>
  <c r="X107" i="11"/>
  <c r="Y107" i="11" s="1"/>
  <c r="W107" i="11"/>
  <c r="V107" i="11"/>
  <c r="T107" i="11"/>
  <c r="U107" i="11" s="1"/>
  <c r="Q107" i="11"/>
  <c r="R107" i="11" s="1"/>
  <c r="N107" i="11"/>
  <c r="O107" i="11" s="1"/>
  <c r="L107" i="11"/>
  <c r="M107" i="11" s="1"/>
  <c r="J107" i="11"/>
  <c r="K107" i="11" s="1"/>
  <c r="H107" i="11"/>
  <c r="I107" i="11" s="1"/>
  <c r="F107" i="11"/>
  <c r="G107" i="11" s="1"/>
  <c r="D107" i="11"/>
  <c r="E107" i="11" s="1"/>
  <c r="B107" i="11"/>
  <c r="C107" i="11" s="1"/>
  <c r="AU106" i="11"/>
  <c r="AV106" i="11" s="1"/>
  <c r="AS106" i="11"/>
  <c r="AT106" i="11" s="1"/>
  <c r="AQ106" i="11"/>
  <c r="AR106" i="11" s="1"/>
  <c r="AO106" i="11"/>
  <c r="AP106" i="11" s="1"/>
  <c r="AM106" i="11"/>
  <c r="AN106" i="11" s="1"/>
  <c r="AK106" i="11"/>
  <c r="AL106" i="11" s="1"/>
  <c r="AI106" i="11"/>
  <c r="AJ106" i="11" s="1"/>
  <c r="AF106" i="11"/>
  <c r="AG106" i="11" s="1"/>
  <c r="AD106" i="11"/>
  <c r="AE106" i="11" s="1"/>
  <c r="AB106" i="11"/>
  <c r="AC106" i="11" s="1"/>
  <c r="Z106" i="11"/>
  <c r="AA106" i="11" s="1"/>
  <c r="X106" i="11"/>
  <c r="Y106" i="11" s="1"/>
  <c r="V106" i="11"/>
  <c r="W106" i="11" s="1"/>
  <c r="T106" i="11"/>
  <c r="U106" i="11" s="1"/>
  <c r="Q106" i="11"/>
  <c r="R106" i="11" s="1"/>
  <c r="N106" i="11"/>
  <c r="O106" i="11" s="1"/>
  <c r="L106" i="11"/>
  <c r="M106" i="11" s="1"/>
  <c r="J106" i="11"/>
  <c r="K106" i="11" s="1"/>
  <c r="H106" i="11"/>
  <c r="I106" i="11" s="1"/>
  <c r="F106" i="11"/>
  <c r="G106" i="11" s="1"/>
  <c r="D106" i="11"/>
  <c r="E106" i="11" s="1"/>
  <c r="B106" i="11"/>
  <c r="C106" i="11" s="1"/>
  <c r="AU105" i="11"/>
  <c r="AV105" i="11" s="1"/>
  <c r="AS105" i="11"/>
  <c r="AT105" i="11" s="1"/>
  <c r="AQ105" i="11"/>
  <c r="AR105" i="11" s="1"/>
  <c r="AO105" i="11"/>
  <c r="AP105" i="11" s="1"/>
  <c r="AM105" i="11"/>
  <c r="AN105" i="11" s="1"/>
  <c r="AK105" i="11"/>
  <c r="AL105" i="11" s="1"/>
  <c r="AI105" i="11"/>
  <c r="AJ105" i="11" s="1"/>
  <c r="AF105" i="11"/>
  <c r="AG105" i="11" s="1"/>
  <c r="AD105" i="11"/>
  <c r="AE105" i="11" s="1"/>
  <c r="AB105" i="11"/>
  <c r="AC105" i="11" s="1"/>
  <c r="Z105" i="11"/>
  <c r="AA105" i="11" s="1"/>
  <c r="X105" i="11"/>
  <c r="Y105" i="11" s="1"/>
  <c r="V105" i="11"/>
  <c r="W105" i="11" s="1"/>
  <c r="T105" i="11"/>
  <c r="U105" i="11" s="1"/>
  <c r="Q105" i="11"/>
  <c r="R105" i="11" s="1"/>
  <c r="N105" i="11"/>
  <c r="O105" i="11" s="1"/>
  <c r="L105" i="11"/>
  <c r="M105" i="11" s="1"/>
  <c r="J105" i="11"/>
  <c r="K105" i="11" s="1"/>
  <c r="H105" i="11"/>
  <c r="I105" i="11" s="1"/>
  <c r="F105" i="11"/>
  <c r="G105" i="11" s="1"/>
  <c r="D105" i="11"/>
  <c r="E105" i="11" s="1"/>
  <c r="B105" i="11"/>
  <c r="C105" i="11" s="1"/>
  <c r="AU104" i="11"/>
  <c r="AV104" i="11" s="1"/>
  <c r="AS104" i="11"/>
  <c r="AT104" i="11" s="1"/>
  <c r="AQ104" i="11"/>
  <c r="AR104" i="11" s="1"/>
  <c r="AO104" i="11"/>
  <c r="AP104" i="11" s="1"/>
  <c r="AM104" i="11"/>
  <c r="AN104" i="11" s="1"/>
  <c r="AK104" i="11"/>
  <c r="AL104" i="11" s="1"/>
  <c r="AI104" i="11"/>
  <c r="AJ104" i="11" s="1"/>
  <c r="AF104" i="11"/>
  <c r="AG104" i="11" s="1"/>
  <c r="AD104" i="11"/>
  <c r="AE104" i="11" s="1"/>
  <c r="AB104" i="11"/>
  <c r="AC104" i="11" s="1"/>
  <c r="Z104" i="11"/>
  <c r="AA104" i="11" s="1"/>
  <c r="X104" i="11"/>
  <c r="Y104" i="11" s="1"/>
  <c r="V104" i="11"/>
  <c r="W104" i="11" s="1"/>
  <c r="T104" i="11"/>
  <c r="U104" i="11" s="1"/>
  <c r="Q104" i="11"/>
  <c r="R104" i="11" s="1"/>
  <c r="N104" i="11"/>
  <c r="O104" i="11" s="1"/>
  <c r="L104" i="11"/>
  <c r="M104" i="11" s="1"/>
  <c r="J104" i="11"/>
  <c r="K104" i="11" s="1"/>
  <c r="H104" i="11"/>
  <c r="I104" i="11" s="1"/>
  <c r="F104" i="11"/>
  <c r="G104" i="11" s="1"/>
  <c r="D104" i="11"/>
  <c r="E104" i="11" s="1"/>
  <c r="B104" i="11"/>
  <c r="C104" i="11" s="1"/>
  <c r="AU103" i="11"/>
  <c r="AV103" i="11" s="1"/>
  <c r="AS103" i="11"/>
  <c r="AT103" i="11" s="1"/>
  <c r="AQ103" i="11"/>
  <c r="AR103" i="11" s="1"/>
  <c r="AO103" i="11"/>
  <c r="AP103" i="11" s="1"/>
  <c r="AM103" i="11"/>
  <c r="AN103" i="11" s="1"/>
  <c r="AK103" i="11"/>
  <c r="AL103" i="11" s="1"/>
  <c r="AI103" i="11"/>
  <c r="AJ103" i="11" s="1"/>
  <c r="AF103" i="11"/>
  <c r="AG103" i="11" s="1"/>
  <c r="AD103" i="11"/>
  <c r="AE103" i="11" s="1"/>
  <c r="AB103" i="11"/>
  <c r="AC103" i="11" s="1"/>
  <c r="Z103" i="11"/>
  <c r="AA103" i="11" s="1"/>
  <c r="X103" i="11"/>
  <c r="Y103" i="11" s="1"/>
  <c r="V103" i="11"/>
  <c r="W103" i="11" s="1"/>
  <c r="T103" i="11"/>
  <c r="U103" i="11" s="1"/>
  <c r="Q103" i="11"/>
  <c r="R103" i="11" s="1"/>
  <c r="N103" i="11"/>
  <c r="O103" i="11" s="1"/>
  <c r="L103" i="11"/>
  <c r="M103" i="11" s="1"/>
  <c r="J103" i="11"/>
  <c r="K103" i="11" s="1"/>
  <c r="H103" i="11"/>
  <c r="I103" i="11" s="1"/>
  <c r="F103" i="11"/>
  <c r="G103" i="11" s="1"/>
  <c r="D103" i="11"/>
  <c r="E103" i="11" s="1"/>
  <c r="B103" i="11"/>
  <c r="C103" i="11" s="1"/>
  <c r="AU102" i="11"/>
  <c r="AV102" i="11" s="1"/>
  <c r="AS102" i="11"/>
  <c r="AT102" i="11" s="1"/>
  <c r="AQ102" i="11"/>
  <c r="AR102" i="11" s="1"/>
  <c r="AO102" i="11"/>
  <c r="AP102" i="11" s="1"/>
  <c r="AM102" i="11"/>
  <c r="AN102" i="11" s="1"/>
  <c r="AK102" i="11"/>
  <c r="AL102" i="11" s="1"/>
  <c r="AI102" i="11"/>
  <c r="AJ102" i="11" s="1"/>
  <c r="AF102" i="11"/>
  <c r="AG102" i="11" s="1"/>
  <c r="AD102" i="11"/>
  <c r="AE102" i="11" s="1"/>
  <c r="AB102" i="11"/>
  <c r="AC102" i="11" s="1"/>
  <c r="Z102" i="11"/>
  <c r="AA102" i="11" s="1"/>
  <c r="X102" i="11"/>
  <c r="Y102" i="11" s="1"/>
  <c r="V102" i="11"/>
  <c r="W102" i="11" s="1"/>
  <c r="T102" i="11"/>
  <c r="U102" i="11" s="1"/>
  <c r="Q102" i="11"/>
  <c r="R102" i="11" s="1"/>
  <c r="N102" i="11"/>
  <c r="O102" i="11" s="1"/>
  <c r="L102" i="11"/>
  <c r="M102" i="11" s="1"/>
  <c r="J102" i="11"/>
  <c r="K102" i="11" s="1"/>
  <c r="H102" i="11"/>
  <c r="I102" i="11" s="1"/>
  <c r="F102" i="11"/>
  <c r="G102" i="11" s="1"/>
  <c r="D102" i="11"/>
  <c r="E102" i="11" s="1"/>
  <c r="B102" i="11"/>
  <c r="C102" i="11" s="1"/>
  <c r="AU101" i="11"/>
  <c r="AV101" i="11" s="1"/>
  <c r="AS101" i="11"/>
  <c r="AT101" i="11" s="1"/>
  <c r="AQ101" i="11"/>
  <c r="AR101" i="11" s="1"/>
  <c r="AO101" i="11"/>
  <c r="AP101" i="11" s="1"/>
  <c r="AM101" i="11"/>
  <c r="AN101" i="11" s="1"/>
  <c r="AK101" i="11"/>
  <c r="AL101" i="11" s="1"/>
  <c r="AI101" i="11"/>
  <c r="AJ101" i="11" s="1"/>
  <c r="AF101" i="11"/>
  <c r="AG101" i="11" s="1"/>
  <c r="AD101" i="11"/>
  <c r="AE101" i="11" s="1"/>
  <c r="AB101" i="11"/>
  <c r="AC101" i="11" s="1"/>
  <c r="Z101" i="11"/>
  <c r="AA101" i="11" s="1"/>
  <c r="X101" i="11"/>
  <c r="Y101" i="11" s="1"/>
  <c r="V101" i="11"/>
  <c r="W101" i="11" s="1"/>
  <c r="T101" i="11"/>
  <c r="U101" i="11" s="1"/>
  <c r="Q101" i="11"/>
  <c r="R101" i="11" s="1"/>
  <c r="N101" i="11"/>
  <c r="O101" i="11" s="1"/>
  <c r="L101" i="11"/>
  <c r="M101" i="11" s="1"/>
  <c r="J101" i="11"/>
  <c r="K101" i="11" s="1"/>
  <c r="H101" i="11"/>
  <c r="I101" i="11" s="1"/>
  <c r="F101" i="11"/>
  <c r="G101" i="11" s="1"/>
  <c r="D101" i="11"/>
  <c r="E101" i="11" s="1"/>
  <c r="B101" i="11"/>
  <c r="C101" i="11" s="1"/>
  <c r="AU100" i="11"/>
  <c r="AV100" i="11" s="1"/>
  <c r="AS100" i="11"/>
  <c r="AT100" i="11" s="1"/>
  <c r="AQ100" i="11"/>
  <c r="AR100" i="11" s="1"/>
  <c r="AO100" i="11"/>
  <c r="AP100" i="11" s="1"/>
  <c r="AM100" i="11"/>
  <c r="AN100" i="11" s="1"/>
  <c r="AK100" i="11"/>
  <c r="AL100" i="11" s="1"/>
  <c r="AI100" i="11"/>
  <c r="AJ100" i="11" s="1"/>
  <c r="AF100" i="11"/>
  <c r="AG100" i="11" s="1"/>
  <c r="AD100" i="11"/>
  <c r="AE100" i="11" s="1"/>
  <c r="AB100" i="11"/>
  <c r="AC100" i="11" s="1"/>
  <c r="Z100" i="11"/>
  <c r="AA100" i="11" s="1"/>
  <c r="X100" i="11"/>
  <c r="Y100" i="11" s="1"/>
  <c r="V100" i="11"/>
  <c r="W100" i="11" s="1"/>
  <c r="T100" i="11"/>
  <c r="U100" i="11" s="1"/>
  <c r="Q100" i="11"/>
  <c r="R100" i="11" s="1"/>
  <c r="N100" i="11"/>
  <c r="O100" i="11" s="1"/>
  <c r="L100" i="11"/>
  <c r="M100" i="11" s="1"/>
  <c r="J100" i="11"/>
  <c r="K100" i="11" s="1"/>
  <c r="H100" i="11"/>
  <c r="I100" i="11" s="1"/>
  <c r="F100" i="11"/>
  <c r="G100" i="11" s="1"/>
  <c r="D100" i="11"/>
  <c r="E100" i="11" s="1"/>
  <c r="B100" i="11"/>
  <c r="C100" i="11" s="1"/>
  <c r="A39" i="11"/>
  <c r="AU9" i="22" l="1"/>
  <c r="AV9" i="22" s="1"/>
  <c r="AM9" i="22"/>
  <c r="AN9" i="22" s="1"/>
  <c r="AD9" i="22"/>
  <c r="AE9" i="22" s="1"/>
  <c r="V9" i="22"/>
  <c r="W9" i="22" s="1"/>
  <c r="L9" i="22"/>
  <c r="M9" i="22" s="1"/>
  <c r="D9" i="22"/>
  <c r="E9" i="22" s="1"/>
  <c r="AO6" i="22"/>
  <c r="AP6" i="22" s="1"/>
  <c r="AF6" i="22"/>
  <c r="AG6" i="22" s="1"/>
  <c r="AU6" i="22"/>
  <c r="AV6" i="22" s="1"/>
  <c r="AM6" i="22"/>
  <c r="AN6" i="22" s="1"/>
  <c r="AD6" i="22"/>
  <c r="AE6" i="22" s="1"/>
  <c r="V6" i="22"/>
  <c r="W6" i="22" s="1"/>
  <c r="L6" i="22"/>
  <c r="M6" i="22" s="1"/>
  <c r="D6" i="22"/>
  <c r="E6" i="22" s="1"/>
  <c r="AK6" i="22"/>
  <c r="AL6" i="22" s="1"/>
  <c r="B9" i="22"/>
  <c r="C9" i="22" s="1"/>
  <c r="Q9" i="22"/>
  <c r="R9" i="22" s="1"/>
  <c r="AS11" i="22"/>
  <c r="AT11" i="22" s="1"/>
  <c r="AK11" i="22"/>
  <c r="AL11" i="22" s="1"/>
  <c r="AB11" i="22"/>
  <c r="AC11" i="22" s="1"/>
  <c r="T11" i="22"/>
  <c r="U11" i="22" s="1"/>
  <c r="J11" i="22"/>
  <c r="K11" i="22" s="1"/>
  <c r="B11" i="22"/>
  <c r="C11" i="22" s="1"/>
  <c r="AD11" i="22"/>
  <c r="AE11" i="22" s="1"/>
  <c r="AQ11" i="22"/>
  <c r="AR11" i="22" s="1"/>
  <c r="AU19" i="22"/>
  <c r="AV19" i="22" s="1"/>
  <c r="AM19" i="22"/>
  <c r="AN19" i="22" s="1"/>
  <c r="AD19" i="22"/>
  <c r="AE19" i="22" s="1"/>
  <c r="V19" i="22"/>
  <c r="W19" i="22" s="1"/>
  <c r="L19" i="22"/>
  <c r="M19" i="22" s="1"/>
  <c r="D19" i="22"/>
  <c r="E19" i="22" s="1"/>
  <c r="AS19" i="22"/>
  <c r="AT19" i="22" s="1"/>
  <c r="AK19" i="22"/>
  <c r="AL19" i="22" s="1"/>
  <c r="AB19" i="22"/>
  <c r="AC19" i="22" s="1"/>
  <c r="T19" i="22"/>
  <c r="U19" i="22" s="1"/>
  <c r="J19" i="22"/>
  <c r="K19" i="22" s="1"/>
  <c r="B19" i="22"/>
  <c r="C19" i="22" s="1"/>
  <c r="AI19" i="22"/>
  <c r="AJ19" i="22" s="1"/>
  <c r="X19" i="22"/>
  <c r="Y19" i="22" s="1"/>
  <c r="AQ19" i="22"/>
  <c r="AR19" i="22" s="1"/>
  <c r="AF19" i="22"/>
  <c r="AG19" i="22" s="1"/>
  <c r="H19" i="22"/>
  <c r="I19" i="22" s="1"/>
  <c r="B6" i="22"/>
  <c r="C6" i="22" s="1"/>
  <c r="N6" i="22"/>
  <c r="O6" i="22" s="1"/>
  <c r="Z6" i="22"/>
  <c r="AA6" i="22" s="1"/>
  <c r="AF9" i="22"/>
  <c r="AG9" i="22" s="1"/>
  <c r="AS9" i="22"/>
  <c r="AT9" i="22" s="1"/>
  <c r="D11" i="22"/>
  <c r="E11" i="22" s="1"/>
  <c r="Q11" i="22"/>
  <c r="R11" i="22" s="1"/>
  <c r="AF11" i="22"/>
  <c r="AG11" i="22" s="1"/>
  <c r="N20" i="22"/>
  <c r="O20" i="22" s="1"/>
  <c r="AO25" i="22"/>
  <c r="AP25" i="22" s="1"/>
  <c r="AF25" i="22"/>
  <c r="AG25" i="22" s="1"/>
  <c r="X25" i="22"/>
  <c r="Y25" i="22" s="1"/>
  <c r="N25" i="22"/>
  <c r="O25" i="22" s="1"/>
  <c r="F25" i="22"/>
  <c r="G25" i="22" s="1"/>
  <c r="AU25" i="22"/>
  <c r="AV25" i="22" s="1"/>
  <c r="AM25" i="22"/>
  <c r="AN25" i="22" s="1"/>
  <c r="AD25" i="22"/>
  <c r="AE25" i="22" s="1"/>
  <c r="V25" i="22"/>
  <c r="W25" i="22" s="1"/>
  <c r="L25" i="22"/>
  <c r="M25" i="22" s="1"/>
  <c r="D25" i="22"/>
  <c r="E25" i="22" s="1"/>
  <c r="AB25" i="22"/>
  <c r="AC25" i="22" s="1"/>
  <c r="Q25" i="22"/>
  <c r="R25" i="22" s="1"/>
  <c r="AK25" i="22"/>
  <c r="AL25" i="22" s="1"/>
  <c r="Z25" i="22"/>
  <c r="AA25" i="22" s="1"/>
  <c r="B25" i="22"/>
  <c r="C25" i="22" s="1"/>
  <c r="AS25" i="22"/>
  <c r="AT25" i="22" s="1"/>
  <c r="AI25" i="22"/>
  <c r="AJ25" i="22" s="1"/>
  <c r="J25" i="22"/>
  <c r="K25" i="22" s="1"/>
  <c r="AU35" i="22"/>
  <c r="AV35" i="22" s="1"/>
  <c r="AM35" i="22"/>
  <c r="AN35" i="22" s="1"/>
  <c r="AD35" i="22"/>
  <c r="AE35" i="22" s="1"/>
  <c r="V35" i="22"/>
  <c r="W35" i="22" s="1"/>
  <c r="L35" i="22"/>
  <c r="M35" i="22" s="1"/>
  <c r="D35" i="22"/>
  <c r="E35" i="22" s="1"/>
  <c r="AS35" i="22"/>
  <c r="AT35" i="22" s="1"/>
  <c r="AK35" i="22"/>
  <c r="AL35" i="22" s="1"/>
  <c r="AB35" i="22"/>
  <c r="AC35" i="22" s="1"/>
  <c r="T35" i="22"/>
  <c r="U35" i="22" s="1"/>
  <c r="J35" i="22"/>
  <c r="K35" i="22" s="1"/>
  <c r="B35" i="22"/>
  <c r="C35" i="22" s="1"/>
  <c r="AI35" i="22"/>
  <c r="AJ35" i="22" s="1"/>
  <c r="X35" i="22"/>
  <c r="Y35" i="22" s="1"/>
  <c r="AQ35" i="22"/>
  <c r="AR35" i="22" s="1"/>
  <c r="AF35" i="22"/>
  <c r="AG35" i="22" s="1"/>
  <c r="H35" i="22"/>
  <c r="I35" i="22" s="1"/>
  <c r="AO35" i="22"/>
  <c r="AP35" i="22" s="1"/>
  <c r="Q35" i="22"/>
  <c r="R35" i="22" s="1"/>
  <c r="F35" i="22"/>
  <c r="G35" i="22" s="1"/>
  <c r="Z35" i="22"/>
  <c r="AA35" i="22" s="1"/>
  <c r="N35" i="22"/>
  <c r="O35" i="22" s="1"/>
  <c r="N9" i="22"/>
  <c r="O9" i="22" s="1"/>
  <c r="F9" i="22"/>
  <c r="G9" i="22" s="1"/>
  <c r="T9" i="22"/>
  <c r="U9" i="22" s="1"/>
  <c r="AI9" i="22"/>
  <c r="AJ9" i="22" s="1"/>
  <c r="F11" i="22"/>
  <c r="G11" i="22" s="1"/>
  <c r="AU11" i="22"/>
  <c r="AV11" i="22" s="1"/>
  <c r="AO14" i="22"/>
  <c r="AP14" i="22" s="1"/>
  <c r="AF14" i="22"/>
  <c r="AG14" i="22" s="1"/>
  <c r="X14" i="22"/>
  <c r="Y14" i="22" s="1"/>
  <c r="N14" i="22"/>
  <c r="O14" i="22" s="1"/>
  <c r="F14" i="22"/>
  <c r="G14" i="22" s="1"/>
  <c r="AU14" i="22"/>
  <c r="AV14" i="22" s="1"/>
  <c r="AM14" i="22"/>
  <c r="AN14" i="22" s="1"/>
  <c r="AD14" i="22"/>
  <c r="AE14" i="22" s="1"/>
  <c r="V14" i="22"/>
  <c r="W14" i="22" s="1"/>
  <c r="L14" i="22"/>
  <c r="M14" i="22" s="1"/>
  <c r="D14" i="22"/>
  <c r="E14" i="22" s="1"/>
  <c r="AB14" i="22"/>
  <c r="AC14" i="22" s="1"/>
  <c r="AQ14" i="22"/>
  <c r="AR14" i="22" s="1"/>
  <c r="F19" i="22"/>
  <c r="G19" i="22" s="1"/>
  <c r="V20" i="22"/>
  <c r="W20" i="22" s="1"/>
  <c r="AS21" i="22"/>
  <c r="AT21" i="22" s="1"/>
  <c r="AK21" i="22"/>
  <c r="AL21" i="22" s="1"/>
  <c r="AB21" i="22"/>
  <c r="AC21" i="22" s="1"/>
  <c r="T21" i="22"/>
  <c r="U21" i="22" s="1"/>
  <c r="J21" i="22"/>
  <c r="K21" i="22" s="1"/>
  <c r="B21" i="22"/>
  <c r="C21" i="22" s="1"/>
  <c r="AQ21" i="22"/>
  <c r="AR21" i="22" s="1"/>
  <c r="AI21" i="22"/>
  <c r="AJ21" i="22" s="1"/>
  <c r="Z21" i="22"/>
  <c r="AA21" i="22" s="1"/>
  <c r="Q21" i="22"/>
  <c r="R21" i="22" s="1"/>
  <c r="H21" i="22"/>
  <c r="I21" i="22" s="1"/>
  <c r="AO21" i="22"/>
  <c r="AP21" i="22" s="1"/>
  <c r="AD21" i="22"/>
  <c r="AE21" i="22" s="1"/>
  <c r="F21" i="22"/>
  <c r="G21" i="22" s="1"/>
  <c r="AM21" i="22"/>
  <c r="AN21" i="22" s="1"/>
  <c r="N21" i="22"/>
  <c r="O21" i="22" s="1"/>
  <c r="D21" i="22"/>
  <c r="E21" i="22" s="1"/>
  <c r="AF21" i="22"/>
  <c r="AG21" i="22" s="1"/>
  <c r="H25" i="22"/>
  <c r="I25" i="22" s="1"/>
  <c r="AQ9" i="22"/>
  <c r="AR9" i="22" s="1"/>
  <c r="H4" i="22"/>
  <c r="I4" i="22" s="1"/>
  <c r="T4" i="22"/>
  <c r="U4" i="22" s="1"/>
  <c r="AD4" i="22"/>
  <c r="AE4" i="22" s="1"/>
  <c r="F6" i="22"/>
  <c r="G6" i="22" s="1"/>
  <c r="Q6" i="22"/>
  <c r="R6" i="22" s="1"/>
  <c r="AB6" i="22"/>
  <c r="AC6" i="22" s="1"/>
  <c r="AQ6" i="22"/>
  <c r="AR6" i="22" s="1"/>
  <c r="H9" i="22"/>
  <c r="I9" i="22" s="1"/>
  <c r="AS10" i="22"/>
  <c r="AT10" i="22" s="1"/>
  <c r="AK10" i="22"/>
  <c r="AL10" i="22" s="1"/>
  <c r="AB10" i="22"/>
  <c r="AC10" i="22" s="1"/>
  <c r="T10" i="22"/>
  <c r="U10" i="22" s="1"/>
  <c r="J10" i="22"/>
  <c r="K10" i="22" s="1"/>
  <c r="B10" i="22"/>
  <c r="C10" i="22" s="1"/>
  <c r="AQ10" i="22"/>
  <c r="AR10" i="22" s="1"/>
  <c r="AI10" i="22"/>
  <c r="AJ10" i="22" s="1"/>
  <c r="Z10" i="22"/>
  <c r="AA10" i="22" s="1"/>
  <c r="Q10" i="22"/>
  <c r="R10" i="22" s="1"/>
  <c r="H10" i="22"/>
  <c r="I10" i="22" s="1"/>
  <c r="AO10" i="22"/>
  <c r="AP10" i="22" s="1"/>
  <c r="V11" i="22"/>
  <c r="W11" i="22" s="1"/>
  <c r="AI11" i="22"/>
  <c r="AJ11" i="22" s="1"/>
  <c r="AQ12" i="22"/>
  <c r="AR12" i="22" s="1"/>
  <c r="AI12" i="22"/>
  <c r="AJ12" i="22" s="1"/>
  <c r="Z12" i="22"/>
  <c r="AA12" i="22" s="1"/>
  <c r="Q12" i="22"/>
  <c r="R12" i="22" s="1"/>
  <c r="H12" i="22"/>
  <c r="I12" i="22" s="1"/>
  <c r="AO12" i="22"/>
  <c r="AP12" i="22" s="1"/>
  <c r="AF12" i="22"/>
  <c r="AG12" i="22" s="1"/>
  <c r="X12" i="22"/>
  <c r="Y12" i="22" s="1"/>
  <c r="N12" i="22"/>
  <c r="O12" i="22" s="1"/>
  <c r="F12" i="22"/>
  <c r="G12" i="22" s="1"/>
  <c r="L12" i="22"/>
  <c r="M12" i="22" s="1"/>
  <c r="AB12" i="22"/>
  <c r="AC12" i="22" s="1"/>
  <c r="B14" i="22"/>
  <c r="C14" i="22" s="1"/>
  <c r="Q14" i="22"/>
  <c r="R14" i="22" s="1"/>
  <c r="AO19" i="22"/>
  <c r="AP19" i="22" s="1"/>
  <c r="X9" i="22"/>
  <c r="Y9" i="22" s="1"/>
  <c r="AK9" i="22"/>
  <c r="AL9" i="22" s="1"/>
  <c r="H11" i="22"/>
  <c r="I11" i="22" s="1"/>
  <c r="X11" i="22"/>
  <c r="Y11" i="22" s="1"/>
  <c r="N19" i="22"/>
  <c r="O19" i="22" s="1"/>
  <c r="T25" i="22"/>
  <c r="U25" i="22" s="1"/>
  <c r="AU27" i="22"/>
  <c r="AV27" i="22" s="1"/>
  <c r="AM27" i="22"/>
  <c r="AN27" i="22" s="1"/>
  <c r="AD27" i="22"/>
  <c r="AE27" i="22" s="1"/>
  <c r="V27" i="22"/>
  <c r="W27" i="22" s="1"/>
  <c r="L27" i="22"/>
  <c r="M27" i="22" s="1"/>
  <c r="D27" i="22"/>
  <c r="E27" i="22" s="1"/>
  <c r="AS27" i="22"/>
  <c r="AT27" i="22" s="1"/>
  <c r="AK27" i="22"/>
  <c r="AL27" i="22" s="1"/>
  <c r="AB27" i="22"/>
  <c r="AC27" i="22" s="1"/>
  <c r="T27" i="22"/>
  <c r="U27" i="22" s="1"/>
  <c r="J27" i="22"/>
  <c r="K27" i="22" s="1"/>
  <c r="B27" i="22"/>
  <c r="C27" i="22" s="1"/>
  <c r="AI27" i="22"/>
  <c r="AJ27" i="22" s="1"/>
  <c r="X27" i="22"/>
  <c r="Y27" i="22" s="1"/>
  <c r="AQ27" i="22"/>
  <c r="AR27" i="22" s="1"/>
  <c r="AF27" i="22"/>
  <c r="AG27" i="22" s="1"/>
  <c r="H27" i="22"/>
  <c r="I27" i="22" s="1"/>
  <c r="Z27" i="22"/>
  <c r="AA27" i="22" s="1"/>
  <c r="N27" i="22"/>
  <c r="O27" i="22" s="1"/>
  <c r="H6" i="22"/>
  <c r="I6" i="22" s="1"/>
  <c r="T6" i="22"/>
  <c r="U6" i="22" s="1"/>
  <c r="AS6" i="22"/>
  <c r="AT6" i="22" s="1"/>
  <c r="J9" i="22"/>
  <c r="K9" i="22" s="1"/>
  <c r="Z9" i="22"/>
  <c r="AA9" i="22" s="1"/>
  <c r="AM11" i="22"/>
  <c r="AN11" i="22" s="1"/>
  <c r="Q19" i="22"/>
  <c r="R19" i="22" s="1"/>
  <c r="AF20" i="22"/>
  <c r="AG20" i="22" s="1"/>
  <c r="AQ20" i="22"/>
  <c r="AR20" i="22" s="1"/>
  <c r="AD20" i="22"/>
  <c r="AE20" i="22" s="1"/>
  <c r="T20" i="22"/>
  <c r="U20" i="22" s="1"/>
  <c r="H20" i="22"/>
  <c r="I20" i="22" s="1"/>
  <c r="AO20" i="22"/>
  <c r="AP20" i="22" s="1"/>
  <c r="F20" i="22"/>
  <c r="G20" i="22" s="1"/>
  <c r="AM20" i="22"/>
  <c r="AN20" i="22" s="1"/>
  <c r="AB20" i="22"/>
  <c r="AC20" i="22" s="1"/>
  <c r="Q20" i="22"/>
  <c r="R20" i="22" s="1"/>
  <c r="D20" i="22"/>
  <c r="E20" i="22" s="1"/>
  <c r="AU20" i="22"/>
  <c r="AV20" i="22" s="1"/>
  <c r="AK20" i="22"/>
  <c r="AL20" i="22" s="1"/>
  <c r="Z20" i="22"/>
  <c r="AA20" i="22" s="1"/>
  <c r="L20" i="22"/>
  <c r="M20" i="22" s="1"/>
  <c r="B20" i="22"/>
  <c r="C20" i="22" s="1"/>
  <c r="AI20" i="22"/>
  <c r="AJ20" i="22" s="1"/>
  <c r="AB9" i="22"/>
  <c r="AC9" i="22" s="1"/>
  <c r="AO4" i="22"/>
  <c r="AP4" i="22" s="1"/>
  <c r="AF4" i="22"/>
  <c r="AG4" i="22" s="1"/>
  <c r="X4" i="22"/>
  <c r="Y4" i="22" s="1"/>
  <c r="N4" i="22"/>
  <c r="O4" i="22" s="1"/>
  <c r="F4" i="22"/>
  <c r="G4" i="22" s="1"/>
  <c r="AI6" i="22"/>
  <c r="AJ6" i="22" s="1"/>
  <c r="AO9" i="22"/>
  <c r="AP9" i="22" s="1"/>
  <c r="L11" i="22"/>
  <c r="M11" i="22" s="1"/>
  <c r="Z11" i="22"/>
  <c r="AA11" i="22" s="1"/>
  <c r="AO11" i="22"/>
  <c r="AP11" i="22" s="1"/>
  <c r="H14" i="22"/>
  <c r="I14" i="22" s="1"/>
  <c r="AU17" i="22"/>
  <c r="AV17" i="22" s="1"/>
  <c r="AO17" i="22"/>
  <c r="AP17" i="22" s="1"/>
  <c r="AM17" i="22"/>
  <c r="AN17" i="22" s="1"/>
  <c r="AD17" i="22"/>
  <c r="AE17" i="22" s="1"/>
  <c r="V17" i="22"/>
  <c r="W17" i="22" s="1"/>
  <c r="L17" i="22"/>
  <c r="M17" i="22" s="1"/>
  <c r="D17" i="22"/>
  <c r="E17" i="22" s="1"/>
  <c r="AS17" i="22"/>
  <c r="AT17" i="22" s="1"/>
  <c r="AK17" i="22"/>
  <c r="AL17" i="22" s="1"/>
  <c r="AB17" i="22"/>
  <c r="AC17" i="22" s="1"/>
  <c r="T17" i="22"/>
  <c r="U17" i="22" s="1"/>
  <c r="J17" i="22"/>
  <c r="K17" i="22" s="1"/>
  <c r="Q17" i="22"/>
  <c r="R17" i="22" s="1"/>
  <c r="AI17" i="22"/>
  <c r="AJ17" i="22" s="1"/>
  <c r="AU21" i="22"/>
  <c r="AV21" i="22" s="1"/>
  <c r="AS29" i="22"/>
  <c r="AT29" i="22" s="1"/>
  <c r="AK29" i="22"/>
  <c r="AL29" i="22" s="1"/>
  <c r="AB29" i="22"/>
  <c r="AC29" i="22" s="1"/>
  <c r="T29" i="22"/>
  <c r="U29" i="22" s="1"/>
  <c r="J29" i="22"/>
  <c r="K29" i="22" s="1"/>
  <c r="B29" i="22"/>
  <c r="C29" i="22" s="1"/>
  <c r="AQ29" i="22"/>
  <c r="AR29" i="22" s="1"/>
  <c r="AI29" i="22"/>
  <c r="AJ29" i="22" s="1"/>
  <c r="Z29" i="22"/>
  <c r="AA29" i="22" s="1"/>
  <c r="Q29" i="22"/>
  <c r="R29" i="22" s="1"/>
  <c r="H29" i="22"/>
  <c r="I29" i="22" s="1"/>
  <c r="AO29" i="22"/>
  <c r="AP29" i="22" s="1"/>
  <c r="AD29" i="22"/>
  <c r="AE29" i="22" s="1"/>
  <c r="F29" i="22"/>
  <c r="G29" i="22" s="1"/>
  <c r="AM29" i="22"/>
  <c r="AN29" i="22" s="1"/>
  <c r="N29" i="22"/>
  <c r="O29" i="22" s="1"/>
  <c r="D29" i="22"/>
  <c r="E29" i="22" s="1"/>
  <c r="AF29" i="22"/>
  <c r="AG29" i="22" s="1"/>
  <c r="V29" i="22"/>
  <c r="W29" i="22" s="1"/>
  <c r="AU29" i="22"/>
  <c r="AV29" i="22" s="1"/>
  <c r="AS48" i="22"/>
  <c r="AT48" i="22" s="1"/>
  <c r="AK48" i="22"/>
  <c r="AL48" i="22" s="1"/>
  <c r="AB48" i="22"/>
  <c r="AC48" i="22" s="1"/>
  <c r="T48" i="22"/>
  <c r="U48" i="22" s="1"/>
  <c r="J48" i="22"/>
  <c r="K48" i="22" s="1"/>
  <c r="B48" i="22"/>
  <c r="C48" i="22" s="1"/>
  <c r="AD48" i="22"/>
  <c r="AE48" i="22" s="1"/>
  <c r="Z48" i="22"/>
  <c r="AA48" i="22" s="1"/>
  <c r="F48" i="22"/>
  <c r="G48" i="22" s="1"/>
  <c r="AI48" i="22"/>
  <c r="AJ48" i="22" s="1"/>
  <c r="N48" i="22"/>
  <c r="O48" i="22" s="1"/>
  <c r="AQ48" i="22"/>
  <c r="AR48" i="22" s="1"/>
  <c r="X48" i="22"/>
  <c r="Y48" i="22" s="1"/>
  <c r="D48" i="22"/>
  <c r="E48" i="22" s="1"/>
  <c r="AF48" i="22"/>
  <c r="AG48" i="22" s="1"/>
  <c r="L48" i="22"/>
  <c r="M48" i="22" s="1"/>
  <c r="V48" i="22"/>
  <c r="W48" i="22" s="1"/>
  <c r="AU48" i="22"/>
  <c r="AV48" i="22" s="1"/>
  <c r="AO48" i="22"/>
  <c r="AP48" i="22" s="1"/>
  <c r="Q48" i="22"/>
  <c r="R48" i="22" s="1"/>
  <c r="AM48" i="22"/>
  <c r="AN48" i="22" s="1"/>
  <c r="H48" i="22"/>
  <c r="I48" i="22" s="1"/>
  <c r="X28" i="22"/>
  <c r="Y28" i="22" s="1"/>
  <c r="X36" i="22"/>
  <c r="Y36" i="22" s="1"/>
  <c r="V37" i="22"/>
  <c r="W37" i="22" s="1"/>
  <c r="L44" i="22"/>
  <c r="M44" i="22" s="1"/>
  <c r="AD44" i="22"/>
  <c r="AE44" i="22" s="1"/>
  <c r="AM47" i="22"/>
  <c r="AN47" i="22" s="1"/>
  <c r="T47" i="22"/>
  <c r="U47" i="22" s="1"/>
  <c r="AS47" i="22"/>
  <c r="AT47" i="22" s="1"/>
  <c r="Z47" i="22"/>
  <c r="AA47" i="22" s="1"/>
  <c r="N47" i="22"/>
  <c r="O47" i="22" s="1"/>
  <c r="AI47" i="22"/>
  <c r="AJ47" i="22" s="1"/>
  <c r="X47" i="22"/>
  <c r="Y47" i="22" s="1"/>
  <c r="D47" i="22"/>
  <c r="E47" i="22" s="1"/>
  <c r="AQ47" i="22"/>
  <c r="AR47" i="22" s="1"/>
  <c r="AF47" i="22"/>
  <c r="AG47" i="22" s="1"/>
  <c r="L47" i="22"/>
  <c r="M47" i="22" s="1"/>
  <c r="AO47" i="22"/>
  <c r="AP47" i="22" s="1"/>
  <c r="V47" i="22"/>
  <c r="W47" i="22" s="1"/>
  <c r="B47" i="22"/>
  <c r="C47" i="22" s="1"/>
  <c r="AB47" i="22"/>
  <c r="AC47" i="22" s="1"/>
  <c r="B28" i="22"/>
  <c r="C28" i="22" s="1"/>
  <c r="L28" i="22"/>
  <c r="M28" i="22" s="1"/>
  <c r="Z28" i="22"/>
  <c r="AA28" i="22" s="1"/>
  <c r="AK28" i="22"/>
  <c r="AL28" i="22" s="1"/>
  <c r="AU28" i="22"/>
  <c r="AV28" i="22" s="1"/>
  <c r="J33" i="22"/>
  <c r="K33" i="22" s="1"/>
  <c r="AI33" i="22"/>
  <c r="AJ33" i="22" s="1"/>
  <c r="B36" i="22"/>
  <c r="C36" i="22" s="1"/>
  <c r="L36" i="22"/>
  <c r="M36" i="22" s="1"/>
  <c r="Z36" i="22"/>
  <c r="AA36" i="22" s="1"/>
  <c r="AK36" i="22"/>
  <c r="AL36" i="22" s="1"/>
  <c r="AU36" i="22"/>
  <c r="AV36" i="22" s="1"/>
  <c r="N44" i="22"/>
  <c r="O44" i="22" s="1"/>
  <c r="F47" i="22"/>
  <c r="G47" i="22" s="1"/>
  <c r="AD47" i="22"/>
  <c r="AE47" i="22" s="1"/>
  <c r="AO33" i="22"/>
  <c r="AP33" i="22" s="1"/>
  <c r="AF33" i="22"/>
  <c r="AG33" i="22" s="1"/>
  <c r="X33" i="22"/>
  <c r="Y33" i="22" s="1"/>
  <c r="N33" i="22"/>
  <c r="O33" i="22" s="1"/>
  <c r="F33" i="22"/>
  <c r="G33" i="22" s="1"/>
  <c r="AU33" i="22"/>
  <c r="AV33" i="22" s="1"/>
  <c r="AM33" i="22"/>
  <c r="AN33" i="22" s="1"/>
  <c r="AD33" i="22"/>
  <c r="AE33" i="22" s="1"/>
  <c r="V33" i="22"/>
  <c r="W33" i="22" s="1"/>
  <c r="L33" i="22"/>
  <c r="M33" i="22" s="1"/>
  <c r="D33" i="22"/>
  <c r="E33" i="22" s="1"/>
  <c r="AS37" i="22"/>
  <c r="AT37" i="22" s="1"/>
  <c r="AK37" i="22"/>
  <c r="AL37" i="22" s="1"/>
  <c r="AB37" i="22"/>
  <c r="AC37" i="22" s="1"/>
  <c r="T37" i="22"/>
  <c r="U37" i="22" s="1"/>
  <c r="J37" i="22"/>
  <c r="K37" i="22" s="1"/>
  <c r="B37" i="22"/>
  <c r="C37" i="22" s="1"/>
  <c r="AQ37" i="22"/>
  <c r="AR37" i="22" s="1"/>
  <c r="AI37" i="22"/>
  <c r="AJ37" i="22" s="1"/>
  <c r="Z37" i="22"/>
  <c r="AA37" i="22" s="1"/>
  <c r="Q37" i="22"/>
  <c r="R37" i="22" s="1"/>
  <c r="H37" i="22"/>
  <c r="I37" i="22" s="1"/>
  <c r="L37" i="22"/>
  <c r="M37" i="22" s="1"/>
  <c r="X37" i="22"/>
  <c r="Y37" i="22" s="1"/>
  <c r="AU37" i="22"/>
  <c r="AV37" i="22" s="1"/>
  <c r="AO44" i="22"/>
  <c r="AP44" i="22" s="1"/>
  <c r="AU44" i="22"/>
  <c r="AV44" i="22" s="1"/>
  <c r="AI44" i="22"/>
  <c r="AJ44" i="22" s="1"/>
  <c r="Z44" i="22"/>
  <c r="AA44" i="22" s="1"/>
  <c r="Q44" i="22"/>
  <c r="R44" i="22" s="1"/>
  <c r="H44" i="22"/>
  <c r="I44" i="22" s="1"/>
  <c r="AQ44" i="22"/>
  <c r="AR44" i="22" s="1"/>
  <c r="F7" i="22"/>
  <c r="G7" i="22" s="1"/>
  <c r="N7" i="22"/>
  <c r="O7" i="22" s="1"/>
  <c r="X7" i="22"/>
  <c r="Y7" i="22" s="1"/>
  <c r="AF7" i="22"/>
  <c r="AG7" i="22" s="1"/>
  <c r="F15" i="22"/>
  <c r="G15" i="22" s="1"/>
  <c r="N15" i="22"/>
  <c r="O15" i="22" s="1"/>
  <c r="X15" i="22"/>
  <c r="Y15" i="22" s="1"/>
  <c r="AF15" i="22"/>
  <c r="AG15" i="22" s="1"/>
  <c r="X22" i="22"/>
  <c r="Y22" i="22" s="1"/>
  <c r="AI22" i="22"/>
  <c r="AJ22" i="22" s="1"/>
  <c r="AS22" i="22"/>
  <c r="AT22" i="22" s="1"/>
  <c r="D28" i="22"/>
  <c r="E28" i="22" s="1"/>
  <c r="Q28" i="22"/>
  <c r="R28" i="22" s="1"/>
  <c r="AB28" i="22"/>
  <c r="AC28" i="22" s="1"/>
  <c r="AM28" i="22"/>
  <c r="AN28" i="22" s="1"/>
  <c r="J30" i="22"/>
  <c r="K30" i="22" s="1"/>
  <c r="X30" i="22"/>
  <c r="Y30" i="22" s="1"/>
  <c r="AI30" i="22"/>
  <c r="AJ30" i="22" s="1"/>
  <c r="AS30" i="22"/>
  <c r="AT30" i="22" s="1"/>
  <c r="B33" i="22"/>
  <c r="C33" i="22" s="1"/>
  <c r="Z33" i="22"/>
  <c r="AA33" i="22" s="1"/>
  <c r="AK33" i="22"/>
  <c r="AL33" i="22" s="1"/>
  <c r="D36" i="22"/>
  <c r="E36" i="22" s="1"/>
  <c r="Q36" i="22"/>
  <c r="R36" i="22" s="1"/>
  <c r="AB36" i="22"/>
  <c r="AC36" i="22" s="1"/>
  <c r="AM36" i="22"/>
  <c r="AN36" i="22" s="1"/>
  <c r="J38" i="22"/>
  <c r="K38" i="22" s="1"/>
  <c r="X38" i="22"/>
  <c r="Y38" i="22" s="1"/>
  <c r="AI38" i="22"/>
  <c r="AJ38" i="22" s="1"/>
  <c r="AS38" i="22"/>
  <c r="AT38" i="22" s="1"/>
  <c r="AS41" i="22"/>
  <c r="AT41" i="22" s="1"/>
  <c r="AK41" i="22"/>
  <c r="AL41" i="22" s="1"/>
  <c r="AB41" i="22"/>
  <c r="AC41" i="22" s="1"/>
  <c r="T41" i="22"/>
  <c r="U41" i="22" s="1"/>
  <c r="J41" i="22"/>
  <c r="K41" i="22" s="1"/>
  <c r="B41" i="22"/>
  <c r="C41" i="22" s="1"/>
  <c r="AO41" i="22"/>
  <c r="AP41" i="22" s="1"/>
  <c r="AF41" i="22"/>
  <c r="AG41" i="22" s="1"/>
  <c r="X41" i="22"/>
  <c r="Y41" i="22" s="1"/>
  <c r="N41" i="22"/>
  <c r="O41" i="22" s="1"/>
  <c r="F41" i="22"/>
  <c r="G41" i="22" s="1"/>
  <c r="AU41" i="22"/>
  <c r="AV41" i="22" s="1"/>
  <c r="AM41" i="22"/>
  <c r="AN41" i="22" s="1"/>
  <c r="AD41" i="22"/>
  <c r="AE41" i="22" s="1"/>
  <c r="V41" i="22"/>
  <c r="W41" i="22" s="1"/>
  <c r="L41" i="22"/>
  <c r="M41" i="22" s="1"/>
  <c r="D41" i="22"/>
  <c r="E41" i="22" s="1"/>
  <c r="AQ41" i="22"/>
  <c r="AR41" i="22" s="1"/>
  <c r="B44" i="22"/>
  <c r="C44" i="22" s="1"/>
  <c r="T44" i="22"/>
  <c r="U44" i="22" s="1"/>
  <c r="AK44" i="22"/>
  <c r="AL44" i="22" s="1"/>
  <c r="J47" i="22"/>
  <c r="K47" i="22" s="1"/>
  <c r="B8" i="22"/>
  <c r="C8" i="22" s="1"/>
  <c r="J8" i="22"/>
  <c r="K8" i="22" s="1"/>
  <c r="T8" i="22"/>
  <c r="U8" i="22" s="1"/>
  <c r="AB8" i="22"/>
  <c r="AC8" i="22" s="1"/>
  <c r="AK8" i="22"/>
  <c r="AL8" i="22" s="1"/>
  <c r="B16" i="22"/>
  <c r="C16" i="22" s="1"/>
  <c r="J16" i="22"/>
  <c r="K16" i="22" s="1"/>
  <c r="T16" i="22"/>
  <c r="U16" i="22" s="1"/>
  <c r="AB16" i="22"/>
  <c r="AC16" i="22" s="1"/>
  <c r="AK16" i="22"/>
  <c r="AL16" i="22" s="1"/>
  <c r="L22" i="22"/>
  <c r="M22" i="22" s="1"/>
  <c r="J23" i="22"/>
  <c r="K23" i="22" s="1"/>
  <c r="V23" i="22"/>
  <c r="W23" i="22" s="1"/>
  <c r="F28" i="22"/>
  <c r="G28" i="22" s="1"/>
  <c r="AO28" i="22"/>
  <c r="AP28" i="22" s="1"/>
  <c r="L30" i="22"/>
  <c r="M30" i="22" s="1"/>
  <c r="J31" i="22"/>
  <c r="K31" i="22" s="1"/>
  <c r="V31" i="22"/>
  <c r="W31" i="22" s="1"/>
  <c r="F36" i="22"/>
  <c r="G36" i="22" s="1"/>
  <c r="AO36" i="22"/>
  <c r="AP36" i="22" s="1"/>
  <c r="D37" i="22"/>
  <c r="E37" i="22" s="1"/>
  <c r="N37" i="22"/>
  <c r="O37" i="22" s="1"/>
  <c r="AM37" i="22"/>
  <c r="AN37" i="22" s="1"/>
  <c r="L38" i="22"/>
  <c r="M38" i="22" s="1"/>
  <c r="Q41" i="22"/>
  <c r="R41" i="22" s="1"/>
  <c r="AQ43" i="22"/>
  <c r="AR43" i="22" s="1"/>
  <c r="AI43" i="22"/>
  <c r="AJ43" i="22" s="1"/>
  <c r="Z43" i="22"/>
  <c r="AA43" i="22" s="1"/>
  <c r="Q43" i="22"/>
  <c r="R43" i="22" s="1"/>
  <c r="H43" i="22"/>
  <c r="I43" i="22" s="1"/>
  <c r="AU43" i="22"/>
  <c r="AV43" i="22" s="1"/>
  <c r="AM43" i="22"/>
  <c r="AN43" i="22" s="1"/>
  <c r="AD43" i="22"/>
  <c r="AE43" i="22" s="1"/>
  <c r="V43" i="22"/>
  <c r="W43" i="22" s="1"/>
  <c r="L43" i="22"/>
  <c r="M43" i="22" s="1"/>
  <c r="D43" i="22"/>
  <c r="E43" i="22" s="1"/>
  <c r="AS43" i="22"/>
  <c r="AT43" i="22" s="1"/>
  <c r="AK43" i="22"/>
  <c r="AL43" i="22" s="1"/>
  <c r="AB43" i="22"/>
  <c r="AC43" i="22" s="1"/>
  <c r="T43" i="22"/>
  <c r="U43" i="22" s="1"/>
  <c r="J43" i="22"/>
  <c r="K43" i="22" s="1"/>
  <c r="B43" i="22"/>
  <c r="C43" i="22" s="1"/>
  <c r="D44" i="22"/>
  <c r="E44" i="22" s="1"/>
  <c r="V44" i="22"/>
  <c r="W44" i="22" s="1"/>
  <c r="AM44" i="22"/>
  <c r="AN44" i="22" s="1"/>
  <c r="Q47" i="22"/>
  <c r="R47" i="22" s="1"/>
  <c r="AQ52" i="22"/>
  <c r="AR52" i="22" s="1"/>
  <c r="X52" i="22"/>
  <c r="Y52" i="22" s="1"/>
  <c r="N52" i="22"/>
  <c r="O52" i="22" s="1"/>
  <c r="F52" i="22"/>
  <c r="G52" i="22" s="1"/>
  <c r="Q52" i="22"/>
  <c r="R52" i="22" s="1"/>
  <c r="AK52" i="22"/>
  <c r="AL52" i="22" s="1"/>
  <c r="L52" i="22"/>
  <c r="M52" i="22" s="1"/>
  <c r="B52" i="22"/>
  <c r="C52" i="22" s="1"/>
  <c r="AS52" i="22"/>
  <c r="AT52" i="22" s="1"/>
  <c r="AF52" i="22"/>
  <c r="AG52" i="22" s="1"/>
  <c r="AD52" i="22"/>
  <c r="AE52" i="22" s="1"/>
  <c r="T52" i="22"/>
  <c r="U52" i="22" s="1"/>
  <c r="H52" i="22"/>
  <c r="I52" i="22" s="1"/>
  <c r="AO52" i="22"/>
  <c r="AP52" i="22" s="1"/>
  <c r="AB52" i="22"/>
  <c r="AC52" i="22" s="1"/>
  <c r="D52" i="22"/>
  <c r="E52" i="22" s="1"/>
  <c r="AI52" i="22"/>
  <c r="AJ52" i="22" s="1"/>
  <c r="AQ23" i="22"/>
  <c r="AR23" i="22" s="1"/>
  <c r="AI23" i="22"/>
  <c r="AJ23" i="22" s="1"/>
  <c r="Z23" i="22"/>
  <c r="AA23" i="22" s="1"/>
  <c r="Q23" i="22"/>
  <c r="R23" i="22" s="1"/>
  <c r="H23" i="22"/>
  <c r="I23" i="22" s="1"/>
  <c r="AO23" i="22"/>
  <c r="AP23" i="22" s="1"/>
  <c r="AF23" i="22"/>
  <c r="AG23" i="22" s="1"/>
  <c r="X23" i="22"/>
  <c r="Y23" i="22" s="1"/>
  <c r="N23" i="22"/>
  <c r="O23" i="22" s="1"/>
  <c r="F23" i="22"/>
  <c r="G23" i="22" s="1"/>
  <c r="H28" i="22"/>
  <c r="I28" i="22" s="1"/>
  <c r="T28" i="22"/>
  <c r="U28" i="22" s="1"/>
  <c r="AD28" i="22"/>
  <c r="AE28" i="22" s="1"/>
  <c r="AQ28" i="22"/>
  <c r="AR28" i="22" s="1"/>
  <c r="AQ31" i="22"/>
  <c r="AR31" i="22" s="1"/>
  <c r="AI31" i="22"/>
  <c r="AJ31" i="22" s="1"/>
  <c r="Z31" i="22"/>
  <c r="AA31" i="22" s="1"/>
  <c r="Q31" i="22"/>
  <c r="R31" i="22" s="1"/>
  <c r="H31" i="22"/>
  <c r="I31" i="22" s="1"/>
  <c r="AO31" i="22"/>
  <c r="AP31" i="22" s="1"/>
  <c r="AF31" i="22"/>
  <c r="AG31" i="22" s="1"/>
  <c r="X31" i="22"/>
  <c r="Y31" i="22" s="1"/>
  <c r="N31" i="22"/>
  <c r="O31" i="22" s="1"/>
  <c r="F31" i="22"/>
  <c r="G31" i="22" s="1"/>
  <c r="Q33" i="22"/>
  <c r="R33" i="22" s="1"/>
  <c r="AB33" i="22"/>
  <c r="AC33" i="22" s="1"/>
  <c r="H36" i="22"/>
  <c r="I36" i="22" s="1"/>
  <c r="T36" i="22"/>
  <c r="U36" i="22" s="1"/>
  <c r="AD36" i="22"/>
  <c r="AE36" i="22" s="1"/>
  <c r="AQ36" i="22"/>
  <c r="AR36" i="22" s="1"/>
  <c r="F44" i="22"/>
  <c r="G44" i="22" s="1"/>
  <c r="X44" i="22"/>
  <c r="Y44" i="22" s="1"/>
  <c r="AS44" i="22"/>
  <c r="AT44" i="22" s="1"/>
  <c r="B23" i="22"/>
  <c r="C23" i="22" s="1"/>
  <c r="L23" i="22"/>
  <c r="M23" i="22" s="1"/>
  <c r="AK23" i="22"/>
  <c r="AL23" i="22" s="1"/>
  <c r="AU23" i="22"/>
  <c r="AV23" i="22" s="1"/>
  <c r="B31" i="22"/>
  <c r="C31" i="22" s="1"/>
  <c r="L31" i="22"/>
  <c r="M31" i="22" s="1"/>
  <c r="AK31" i="22"/>
  <c r="AL31" i="22" s="1"/>
  <c r="AU31" i="22"/>
  <c r="AV31" i="22" s="1"/>
  <c r="F37" i="22"/>
  <c r="G37" i="22" s="1"/>
  <c r="AD37" i="22"/>
  <c r="AE37" i="22" s="1"/>
  <c r="AO37" i="22"/>
  <c r="AP37" i="22" s="1"/>
  <c r="AU47" i="22"/>
  <c r="AV47" i="22" s="1"/>
  <c r="AU46" i="22"/>
  <c r="AV46" i="22" s="1"/>
  <c r="AM46" i="22"/>
  <c r="AN46" i="22" s="1"/>
  <c r="AD46" i="22"/>
  <c r="AE46" i="22" s="1"/>
  <c r="V46" i="22"/>
  <c r="W46" i="22" s="1"/>
  <c r="L46" i="22"/>
  <c r="M46" i="22" s="1"/>
  <c r="D46" i="22"/>
  <c r="E46" i="22" s="1"/>
  <c r="J46" i="22"/>
  <c r="K46" i="22" s="1"/>
  <c r="AO46" i="22"/>
  <c r="AP46" i="22" s="1"/>
  <c r="AQ50" i="22"/>
  <c r="AR50" i="22" s="1"/>
  <c r="AI50" i="22"/>
  <c r="AJ50" i="22" s="1"/>
  <c r="Z50" i="22"/>
  <c r="AA50" i="22" s="1"/>
  <c r="Q50" i="22"/>
  <c r="R50" i="22" s="1"/>
  <c r="H50" i="22"/>
  <c r="I50" i="22" s="1"/>
  <c r="AS50" i="22"/>
  <c r="AT50" i="22" s="1"/>
  <c r="N50" i="22"/>
  <c r="O50" i="22" s="1"/>
  <c r="H51" i="22"/>
  <c r="I51" i="22" s="1"/>
  <c r="T51" i="22"/>
  <c r="U51" i="22" s="1"/>
  <c r="F54" i="22"/>
  <c r="G54" i="22" s="1"/>
  <c r="AF54" i="22"/>
  <c r="AG54" i="22" s="1"/>
  <c r="AS54" i="22"/>
  <c r="AT54" i="22" s="1"/>
  <c r="V55" i="22"/>
  <c r="W55" i="22" s="1"/>
  <c r="AI55" i="22"/>
  <c r="AJ55" i="22" s="1"/>
  <c r="AI57" i="22"/>
  <c r="AJ57" i="22" s="1"/>
  <c r="D59" i="22"/>
  <c r="E59" i="22" s="1"/>
  <c r="AI59" i="22"/>
  <c r="AJ59" i="22" s="1"/>
  <c r="AU60" i="22"/>
  <c r="AV60" i="22" s="1"/>
  <c r="AB60" i="22"/>
  <c r="AC60" i="22" s="1"/>
  <c r="H60" i="22"/>
  <c r="I60" i="22" s="1"/>
  <c r="AO60" i="22"/>
  <c r="AP60" i="22" s="1"/>
  <c r="Q60" i="22"/>
  <c r="R60" i="22" s="1"/>
  <c r="F60" i="22"/>
  <c r="G60" i="22" s="1"/>
  <c r="AM60" i="22"/>
  <c r="AN60" i="22" s="1"/>
  <c r="D60" i="22"/>
  <c r="E60" i="22" s="1"/>
  <c r="N60" i="22"/>
  <c r="O60" i="22" s="1"/>
  <c r="AF60" i="22"/>
  <c r="AG60" i="22" s="1"/>
  <c r="AS60" i="22"/>
  <c r="AT60" i="22" s="1"/>
  <c r="Z62" i="22"/>
  <c r="AA62" i="22" s="1"/>
  <c r="AQ62" i="22"/>
  <c r="AR62" i="22" s="1"/>
  <c r="V74" i="22"/>
  <c r="W74" i="22" s="1"/>
  <c r="AB49" i="22"/>
  <c r="AC49" i="22" s="1"/>
  <c r="AM49" i="22"/>
  <c r="AN49" i="22" s="1"/>
  <c r="AF51" i="22"/>
  <c r="AG51" i="22" s="1"/>
  <c r="AQ51" i="22"/>
  <c r="AR51" i="22" s="1"/>
  <c r="V54" i="22"/>
  <c r="W54" i="22" s="1"/>
  <c r="AU54" i="22"/>
  <c r="AV54" i="22" s="1"/>
  <c r="H57" i="22"/>
  <c r="I57" i="22" s="1"/>
  <c r="AK57" i="22"/>
  <c r="AL57" i="22" s="1"/>
  <c r="V71" i="22"/>
  <c r="W71" i="22" s="1"/>
  <c r="AD74" i="22"/>
  <c r="AE74" i="22" s="1"/>
  <c r="AQ46" i="22"/>
  <c r="AR46" i="22" s="1"/>
  <c r="AO49" i="22"/>
  <c r="AP49" i="22" s="1"/>
  <c r="X57" i="22"/>
  <c r="Y57" i="22" s="1"/>
  <c r="AO57" i="22"/>
  <c r="AP57" i="22" s="1"/>
  <c r="F59" i="22"/>
  <c r="G59" i="22" s="1"/>
  <c r="X59" i="22"/>
  <c r="Y59" i="22" s="1"/>
  <c r="AI60" i="22"/>
  <c r="AJ60" i="22" s="1"/>
  <c r="AQ61" i="22"/>
  <c r="AR61" i="22" s="1"/>
  <c r="AI61" i="22"/>
  <c r="AJ61" i="22" s="1"/>
  <c r="Z61" i="22"/>
  <c r="AA61" i="22" s="1"/>
  <c r="Q61" i="22"/>
  <c r="R61" i="22" s="1"/>
  <c r="H61" i="22"/>
  <c r="I61" i="22" s="1"/>
  <c r="AM61" i="22"/>
  <c r="AN61" i="22" s="1"/>
  <c r="T61" i="22"/>
  <c r="U61" i="22" s="1"/>
  <c r="AU61" i="22"/>
  <c r="AV61" i="22" s="1"/>
  <c r="AK61" i="22"/>
  <c r="AL61" i="22" s="1"/>
  <c r="X61" i="22"/>
  <c r="Y61" i="22" s="1"/>
  <c r="L61" i="22"/>
  <c r="M61" i="22" s="1"/>
  <c r="B61" i="22"/>
  <c r="C61" i="22" s="1"/>
  <c r="AS61" i="22"/>
  <c r="AT61" i="22" s="1"/>
  <c r="AQ69" i="22"/>
  <c r="AR69" i="22" s="1"/>
  <c r="AI69" i="22"/>
  <c r="AJ69" i="22" s="1"/>
  <c r="Z69" i="22"/>
  <c r="AA69" i="22" s="1"/>
  <c r="Q69" i="22"/>
  <c r="R69" i="22" s="1"/>
  <c r="H69" i="22"/>
  <c r="I69" i="22" s="1"/>
  <c r="AS69" i="22"/>
  <c r="AT69" i="22" s="1"/>
  <c r="N69" i="22"/>
  <c r="O69" i="22" s="1"/>
  <c r="X69" i="22"/>
  <c r="Y69" i="22" s="1"/>
  <c r="D69" i="22"/>
  <c r="E69" i="22" s="1"/>
  <c r="AF69" i="22"/>
  <c r="AG69" i="22" s="1"/>
  <c r="L69" i="22"/>
  <c r="M69" i="22" s="1"/>
  <c r="AO69" i="22"/>
  <c r="AP69" i="22" s="1"/>
  <c r="V69" i="22"/>
  <c r="W69" i="22" s="1"/>
  <c r="B69" i="22"/>
  <c r="C69" i="22" s="1"/>
  <c r="AK69" i="22"/>
  <c r="AL69" i="22" s="1"/>
  <c r="AD69" i="22"/>
  <c r="AE69" i="22" s="1"/>
  <c r="J69" i="22"/>
  <c r="K69" i="22" s="1"/>
  <c r="AU69" i="22"/>
  <c r="AV69" i="22" s="1"/>
  <c r="AB69" i="22"/>
  <c r="AC69" i="22" s="1"/>
  <c r="F69" i="22"/>
  <c r="G69" i="22" s="1"/>
  <c r="H49" i="22"/>
  <c r="I49" i="22" s="1"/>
  <c r="T49" i="22"/>
  <c r="U49" i="22" s="1"/>
  <c r="AS51" i="22"/>
  <c r="AT51" i="22" s="1"/>
  <c r="Z51" i="22"/>
  <c r="AA51" i="22" s="1"/>
  <c r="F51" i="22"/>
  <c r="G51" i="22" s="1"/>
  <c r="L51" i="22"/>
  <c r="M51" i="22" s="1"/>
  <c r="X51" i="22"/>
  <c r="Y51" i="22" s="1"/>
  <c r="AI51" i="22"/>
  <c r="AJ51" i="22" s="1"/>
  <c r="AU51" i="22"/>
  <c r="AV51" i="22" s="1"/>
  <c r="J54" i="22"/>
  <c r="K54" i="22" s="1"/>
  <c r="X54" i="22"/>
  <c r="Y54" i="22" s="1"/>
  <c r="AO55" i="22"/>
  <c r="AP55" i="22" s="1"/>
  <c r="AF55" i="22"/>
  <c r="AG55" i="22" s="1"/>
  <c r="X55" i="22"/>
  <c r="Y55" i="22" s="1"/>
  <c r="N55" i="22"/>
  <c r="O55" i="22" s="1"/>
  <c r="F55" i="22"/>
  <c r="G55" i="22" s="1"/>
  <c r="AS55" i="22"/>
  <c r="AT55" i="22" s="1"/>
  <c r="Z55" i="22"/>
  <c r="AA55" i="22" s="1"/>
  <c r="AM55" i="22"/>
  <c r="AN55" i="22" s="1"/>
  <c r="AB55" i="22"/>
  <c r="AC55" i="22" s="1"/>
  <c r="Q55" i="22"/>
  <c r="R55" i="22" s="1"/>
  <c r="D55" i="22"/>
  <c r="E55" i="22" s="1"/>
  <c r="L55" i="22"/>
  <c r="M55" i="22" s="1"/>
  <c r="AD62" i="22"/>
  <c r="AE62" i="22" s="1"/>
  <c r="T62" i="22"/>
  <c r="U62" i="22" s="1"/>
  <c r="AM62" i="22"/>
  <c r="AN62" i="22" s="1"/>
  <c r="AB62" i="22"/>
  <c r="AC62" i="22" s="1"/>
  <c r="X62" i="22"/>
  <c r="Y62" i="22" s="1"/>
  <c r="J62" i="22"/>
  <c r="K62" i="22" s="1"/>
  <c r="AU62" i="22"/>
  <c r="AV62" i="22" s="1"/>
  <c r="AI62" i="22"/>
  <c r="AJ62" i="22" s="1"/>
  <c r="H62" i="22"/>
  <c r="I62" i="22" s="1"/>
  <c r="N62" i="22"/>
  <c r="O62" i="22" s="1"/>
  <c r="AF62" i="22"/>
  <c r="AG62" i="22" s="1"/>
  <c r="AS74" i="22"/>
  <c r="AT74" i="22" s="1"/>
  <c r="AK74" i="22"/>
  <c r="AL74" i="22" s="1"/>
  <c r="AQ74" i="22"/>
  <c r="AR74" i="22" s="1"/>
  <c r="AM74" i="22"/>
  <c r="AN74" i="22" s="1"/>
  <c r="AB74" i="22"/>
  <c r="AC74" i="22" s="1"/>
  <c r="H74" i="22"/>
  <c r="I74" i="22" s="1"/>
  <c r="Q74" i="22"/>
  <c r="R74" i="22" s="1"/>
  <c r="F74" i="22"/>
  <c r="G74" i="22" s="1"/>
  <c r="AU74" i="22"/>
  <c r="AV74" i="22" s="1"/>
  <c r="Z74" i="22"/>
  <c r="AA74" i="22" s="1"/>
  <c r="N74" i="22"/>
  <c r="O74" i="22" s="1"/>
  <c r="AI74" i="22"/>
  <c r="AJ74" i="22" s="1"/>
  <c r="X74" i="22"/>
  <c r="Y74" i="22" s="1"/>
  <c r="D74" i="22"/>
  <c r="E74" i="22" s="1"/>
  <c r="T74" i="22"/>
  <c r="U74" i="22" s="1"/>
  <c r="AF74" i="22"/>
  <c r="AG74" i="22" s="1"/>
  <c r="L74" i="22"/>
  <c r="M74" i="22" s="1"/>
  <c r="AI54" i="22"/>
  <c r="AJ54" i="22" s="1"/>
  <c r="N54" i="22"/>
  <c r="O54" i="22" s="1"/>
  <c r="T54" i="22"/>
  <c r="U54" i="22" s="1"/>
  <c r="H54" i="22"/>
  <c r="I54" i="22" s="1"/>
  <c r="AO71" i="22"/>
  <c r="AP71" i="22" s="1"/>
  <c r="AF71" i="22"/>
  <c r="AG71" i="22" s="1"/>
  <c r="X71" i="22"/>
  <c r="Y71" i="22" s="1"/>
  <c r="N71" i="22"/>
  <c r="O71" i="22" s="1"/>
  <c r="F71" i="22"/>
  <c r="G71" i="22" s="1"/>
  <c r="AK71" i="22"/>
  <c r="AL71" i="22" s="1"/>
  <c r="Q71" i="22"/>
  <c r="R71" i="22" s="1"/>
  <c r="AS71" i="22"/>
  <c r="AT71" i="22" s="1"/>
  <c r="Z71" i="22"/>
  <c r="AA71" i="22" s="1"/>
  <c r="AI71" i="22"/>
  <c r="AJ71" i="22" s="1"/>
  <c r="D71" i="22"/>
  <c r="E71" i="22" s="1"/>
  <c r="AQ71" i="22"/>
  <c r="AR71" i="22" s="1"/>
  <c r="L71" i="22"/>
  <c r="M71" i="22" s="1"/>
  <c r="AM71" i="22"/>
  <c r="AN71" i="22" s="1"/>
  <c r="T71" i="22"/>
  <c r="U71" i="22" s="1"/>
  <c r="AU71" i="22"/>
  <c r="AV71" i="22" s="1"/>
  <c r="AB71" i="22"/>
  <c r="AC71" i="22" s="1"/>
  <c r="H71" i="22"/>
  <c r="I71" i="22" s="1"/>
  <c r="AU81" i="22"/>
  <c r="AV81" i="22" s="1"/>
  <c r="AM81" i="22"/>
  <c r="AN81" i="22" s="1"/>
  <c r="AD81" i="22"/>
  <c r="AE81" i="22" s="1"/>
  <c r="V81" i="22"/>
  <c r="W81" i="22" s="1"/>
  <c r="L81" i="22"/>
  <c r="M81" i="22" s="1"/>
  <c r="D81" i="22"/>
  <c r="E81" i="22" s="1"/>
  <c r="AO81" i="22"/>
  <c r="AP81" i="22" s="1"/>
  <c r="F81" i="22"/>
  <c r="G81" i="22" s="1"/>
  <c r="AB81" i="22"/>
  <c r="AC81" i="22" s="1"/>
  <c r="Q81" i="22"/>
  <c r="R81" i="22" s="1"/>
  <c r="N81" i="22"/>
  <c r="O81" i="22" s="1"/>
  <c r="AF81" i="22"/>
  <c r="AG81" i="22" s="1"/>
  <c r="AS81" i="22"/>
  <c r="AT81" i="22" s="1"/>
  <c r="AQ81" i="22"/>
  <c r="AR81" i="22" s="1"/>
  <c r="T81" i="22"/>
  <c r="U81" i="22" s="1"/>
  <c r="AK81" i="22"/>
  <c r="AL81" i="22" s="1"/>
  <c r="AI81" i="22"/>
  <c r="AJ81" i="22" s="1"/>
  <c r="J81" i="22"/>
  <c r="K81" i="22" s="1"/>
  <c r="H81" i="22"/>
  <c r="I81" i="22" s="1"/>
  <c r="Z81" i="22"/>
  <c r="AA81" i="22" s="1"/>
  <c r="B81" i="22"/>
  <c r="C81" i="22" s="1"/>
  <c r="X81" i="22"/>
  <c r="Y81" i="22" s="1"/>
  <c r="AI49" i="22"/>
  <c r="AJ49" i="22" s="1"/>
  <c r="N49" i="22"/>
  <c r="O49" i="22" s="1"/>
  <c r="D49" i="22"/>
  <c r="E49" i="22" s="1"/>
  <c r="X49" i="22"/>
  <c r="Y49" i="22" s="1"/>
  <c r="B54" i="22"/>
  <c r="C54" i="22" s="1"/>
  <c r="AB54" i="22"/>
  <c r="AC54" i="22" s="1"/>
  <c r="AO54" i="22"/>
  <c r="AP54" i="22" s="1"/>
  <c r="AU57" i="22"/>
  <c r="AV57" i="22" s="1"/>
  <c r="AM57" i="22"/>
  <c r="AN57" i="22" s="1"/>
  <c r="AD57" i="22"/>
  <c r="AE57" i="22" s="1"/>
  <c r="V57" i="22"/>
  <c r="W57" i="22" s="1"/>
  <c r="L57" i="22"/>
  <c r="M57" i="22" s="1"/>
  <c r="D57" i="22"/>
  <c r="E57" i="22" s="1"/>
  <c r="AS57" i="22"/>
  <c r="AT57" i="22" s="1"/>
  <c r="Z57" i="22"/>
  <c r="AA57" i="22" s="1"/>
  <c r="F57" i="22"/>
  <c r="G57" i="22" s="1"/>
  <c r="AB57" i="22"/>
  <c r="AC57" i="22" s="1"/>
  <c r="Q57" i="22"/>
  <c r="R57" i="22" s="1"/>
  <c r="N57" i="22"/>
  <c r="O57" i="22" s="1"/>
  <c r="AF57" i="22"/>
  <c r="AG57" i="22" s="1"/>
  <c r="AS59" i="22"/>
  <c r="AT59" i="22" s="1"/>
  <c r="AK59" i="22"/>
  <c r="AL59" i="22" s="1"/>
  <c r="AB59" i="22"/>
  <c r="AC59" i="22" s="1"/>
  <c r="T59" i="22"/>
  <c r="U59" i="22" s="1"/>
  <c r="J59" i="22"/>
  <c r="K59" i="22" s="1"/>
  <c r="B59" i="22"/>
  <c r="C59" i="22" s="1"/>
  <c r="AU59" i="22"/>
  <c r="AV59" i="22" s="1"/>
  <c r="Q59" i="22"/>
  <c r="R59" i="22" s="1"/>
  <c r="AQ59" i="22"/>
  <c r="AR59" i="22" s="1"/>
  <c r="AF59" i="22"/>
  <c r="AG59" i="22" s="1"/>
  <c r="V59" i="22"/>
  <c r="W59" i="22" s="1"/>
  <c r="H59" i="22"/>
  <c r="I59" i="22" s="1"/>
  <c r="N59" i="22"/>
  <c r="O59" i="22" s="1"/>
  <c r="AD59" i="22"/>
  <c r="AE59" i="22" s="1"/>
  <c r="B71" i="22"/>
  <c r="C71" i="22" s="1"/>
  <c r="J74" i="22"/>
  <c r="K74" i="22" s="1"/>
  <c r="AS70" i="22"/>
  <c r="AT70" i="22" s="1"/>
  <c r="Z70" i="22"/>
  <c r="AA70" i="22" s="1"/>
  <c r="F70" i="22"/>
  <c r="G70" i="22" s="1"/>
  <c r="AI70" i="22"/>
  <c r="AJ70" i="22" s="1"/>
  <c r="N70" i="22"/>
  <c r="O70" i="22" s="1"/>
  <c r="AQ70" i="22"/>
  <c r="AR70" i="22" s="1"/>
  <c r="X70" i="22"/>
  <c r="Y70" i="22" s="1"/>
  <c r="D70" i="22"/>
  <c r="E70" i="22" s="1"/>
  <c r="AF70" i="22"/>
  <c r="AG70" i="22" s="1"/>
  <c r="L70" i="22"/>
  <c r="M70" i="22" s="1"/>
  <c r="B70" i="22"/>
  <c r="C70" i="22" s="1"/>
  <c r="V70" i="22"/>
  <c r="W70" i="22" s="1"/>
  <c r="AO70" i="22"/>
  <c r="AP70" i="22" s="1"/>
  <c r="AU73" i="22"/>
  <c r="AV73" i="22" s="1"/>
  <c r="AM73" i="22"/>
  <c r="AN73" i="22" s="1"/>
  <c r="AD73" i="22"/>
  <c r="AE73" i="22" s="1"/>
  <c r="V73" i="22"/>
  <c r="W73" i="22" s="1"/>
  <c r="L73" i="22"/>
  <c r="M73" i="22" s="1"/>
  <c r="D73" i="22"/>
  <c r="E73" i="22" s="1"/>
  <c r="AK73" i="22"/>
  <c r="AL73" i="22" s="1"/>
  <c r="Q73" i="22"/>
  <c r="R73" i="22" s="1"/>
  <c r="AS73" i="22"/>
  <c r="AT73" i="22" s="1"/>
  <c r="Z73" i="22"/>
  <c r="AA73" i="22" s="1"/>
  <c r="F73" i="22"/>
  <c r="G73" i="22" s="1"/>
  <c r="AI73" i="22"/>
  <c r="AJ73" i="22" s="1"/>
  <c r="N73" i="22"/>
  <c r="O73" i="22" s="1"/>
  <c r="AQ73" i="22"/>
  <c r="AR73" i="22" s="1"/>
  <c r="X73" i="22"/>
  <c r="Y73" i="22" s="1"/>
  <c r="AO73" i="22"/>
  <c r="AP73" i="22" s="1"/>
  <c r="AQ76" i="22"/>
  <c r="AR76" i="22" s="1"/>
  <c r="AI76" i="22"/>
  <c r="AJ76" i="22" s="1"/>
  <c r="Z76" i="22"/>
  <c r="AA76" i="22" s="1"/>
  <c r="Q76" i="22"/>
  <c r="R76" i="22" s="1"/>
  <c r="H76" i="22"/>
  <c r="I76" i="22" s="1"/>
  <c r="AS76" i="22"/>
  <c r="AT76" i="22" s="1"/>
  <c r="N76" i="22"/>
  <c r="O76" i="22" s="1"/>
  <c r="AU76" i="22"/>
  <c r="AV76" i="22" s="1"/>
  <c r="AK76" i="22"/>
  <c r="AL76" i="22" s="1"/>
  <c r="X76" i="22"/>
  <c r="Y76" i="22" s="1"/>
  <c r="L76" i="22"/>
  <c r="M76" i="22" s="1"/>
  <c r="B76" i="22"/>
  <c r="C76" i="22" s="1"/>
  <c r="AF76" i="22"/>
  <c r="AG76" i="22" s="1"/>
  <c r="V76" i="22"/>
  <c r="W76" i="22" s="1"/>
  <c r="J76" i="22"/>
  <c r="K76" i="22" s="1"/>
  <c r="AO76" i="22"/>
  <c r="AP76" i="22" s="1"/>
  <c r="AD76" i="22"/>
  <c r="AE76" i="22" s="1"/>
  <c r="T76" i="22"/>
  <c r="U76" i="22" s="1"/>
  <c r="F76" i="22"/>
  <c r="G76" i="22" s="1"/>
  <c r="AM76" i="22"/>
  <c r="AN76" i="22" s="1"/>
  <c r="AB76" i="22"/>
  <c r="AC76" i="22" s="1"/>
  <c r="D76" i="22"/>
  <c r="E76" i="22" s="1"/>
  <c r="AQ53" i="22"/>
  <c r="AR53" i="22" s="1"/>
  <c r="AI53" i="22"/>
  <c r="AJ53" i="22" s="1"/>
  <c r="Z53" i="22"/>
  <c r="AA53" i="22" s="1"/>
  <c r="Q53" i="22"/>
  <c r="R53" i="22" s="1"/>
  <c r="H53" i="22"/>
  <c r="I53" i="22" s="1"/>
  <c r="X53" i="22"/>
  <c r="Y53" i="22" s="1"/>
  <c r="D53" i="22"/>
  <c r="E53" i="22" s="1"/>
  <c r="AK58" i="22"/>
  <c r="AL58" i="22" s="1"/>
  <c r="Q58" i="22"/>
  <c r="R58" i="22" s="1"/>
  <c r="F58" i="22"/>
  <c r="G58" i="22" s="1"/>
  <c r="AI58" i="22"/>
  <c r="AJ58" i="22" s="1"/>
  <c r="AS58" i="22"/>
  <c r="AT58" i="22" s="1"/>
  <c r="AU70" i="22"/>
  <c r="AV70" i="22" s="1"/>
  <c r="B73" i="22"/>
  <c r="C73" i="22" s="1"/>
  <c r="H70" i="22"/>
  <c r="I70" i="22" s="1"/>
  <c r="AB70" i="22"/>
  <c r="AC70" i="22" s="1"/>
  <c r="H73" i="22"/>
  <c r="I73" i="22" s="1"/>
  <c r="AB73" i="22"/>
  <c r="AC73" i="22" s="1"/>
  <c r="T66" i="22"/>
  <c r="U66" i="22" s="1"/>
  <c r="AM66" i="22"/>
  <c r="AN66" i="22" s="1"/>
  <c r="J68" i="22"/>
  <c r="K68" i="22" s="1"/>
  <c r="AD68" i="22"/>
  <c r="AE68" i="22" s="1"/>
  <c r="AO68" i="22"/>
  <c r="AP68" i="22" s="1"/>
  <c r="H75" i="22"/>
  <c r="I75" i="22" s="1"/>
  <c r="T75" i="22"/>
  <c r="U75" i="22" s="1"/>
  <c r="AD75" i="22"/>
  <c r="AE75" i="22" s="1"/>
  <c r="AS77" i="22"/>
  <c r="AT77" i="22" s="1"/>
  <c r="Z77" i="22"/>
  <c r="AA77" i="22" s="1"/>
  <c r="F77" i="22"/>
  <c r="G77" i="22" s="1"/>
  <c r="L77" i="22"/>
  <c r="M77" i="22" s="1"/>
  <c r="X77" i="22"/>
  <c r="Y77" i="22" s="1"/>
  <c r="AI77" i="22"/>
  <c r="AJ77" i="22" s="1"/>
  <c r="AU77" i="22"/>
  <c r="AV77" i="22" s="1"/>
  <c r="AU99" i="22"/>
  <c r="AV99" i="22" s="1"/>
  <c r="AM99" i="22"/>
  <c r="AN99" i="22" s="1"/>
  <c r="AD99" i="22"/>
  <c r="AE99" i="22" s="1"/>
  <c r="V99" i="22"/>
  <c r="W99" i="22" s="1"/>
  <c r="L99" i="22"/>
  <c r="M99" i="22" s="1"/>
  <c r="D99" i="22"/>
  <c r="E99" i="22" s="1"/>
  <c r="AS99" i="22"/>
  <c r="AT99" i="22" s="1"/>
  <c r="AK99" i="22"/>
  <c r="AL99" i="22" s="1"/>
  <c r="AB99" i="22"/>
  <c r="AC99" i="22" s="1"/>
  <c r="T99" i="22"/>
  <c r="U99" i="22" s="1"/>
  <c r="J99" i="22"/>
  <c r="K99" i="22" s="1"/>
  <c r="B99" i="22"/>
  <c r="C99" i="22" s="1"/>
  <c r="AI99" i="22"/>
  <c r="AJ99" i="22" s="1"/>
  <c r="F99" i="22"/>
  <c r="G99" i="22" s="1"/>
  <c r="AF99" i="22"/>
  <c r="AG99" i="22" s="1"/>
  <c r="Q99" i="22"/>
  <c r="R99" i="22" s="1"/>
  <c r="N99" i="22"/>
  <c r="O99" i="22" s="1"/>
  <c r="Z99" i="22"/>
  <c r="AA99" i="22" s="1"/>
  <c r="X99" i="22"/>
  <c r="Y99" i="22" s="1"/>
  <c r="AQ99" i="22"/>
  <c r="AR99" i="22" s="1"/>
  <c r="H99" i="22"/>
  <c r="I99" i="22" s="1"/>
  <c r="AO99" i="22"/>
  <c r="AP99" i="22" s="1"/>
  <c r="J66" i="22"/>
  <c r="K66" i="22" s="1"/>
  <c r="AD66" i="22"/>
  <c r="AE66" i="22" s="1"/>
  <c r="AS67" i="22"/>
  <c r="AT67" i="22" s="1"/>
  <c r="AK67" i="22"/>
  <c r="AL67" i="22" s="1"/>
  <c r="AB67" i="22"/>
  <c r="AC67" i="22" s="1"/>
  <c r="T67" i="22"/>
  <c r="U67" i="22" s="1"/>
  <c r="J67" i="22"/>
  <c r="K67" i="22" s="1"/>
  <c r="B67" i="22"/>
  <c r="C67" i="22" s="1"/>
  <c r="V67" i="22"/>
  <c r="W67" i="22" s="1"/>
  <c r="AO67" i="22"/>
  <c r="AP67" i="22" s="1"/>
  <c r="B68" i="22"/>
  <c r="C68" i="22" s="1"/>
  <c r="V68" i="22"/>
  <c r="W68" i="22" s="1"/>
  <c r="AF68" i="22"/>
  <c r="AG68" i="22" s="1"/>
  <c r="AF75" i="22"/>
  <c r="AG75" i="22" s="1"/>
  <c r="AQ75" i="22"/>
  <c r="AR75" i="22" s="1"/>
  <c r="B77" i="22"/>
  <c r="C77" i="22" s="1"/>
  <c r="AK77" i="22"/>
  <c r="AL77" i="22" s="1"/>
  <c r="AU87" i="22"/>
  <c r="AV87" i="22" s="1"/>
  <c r="AM87" i="22"/>
  <c r="AN87" i="22" s="1"/>
  <c r="AD87" i="22"/>
  <c r="AE87" i="22" s="1"/>
  <c r="V87" i="22"/>
  <c r="W87" i="22" s="1"/>
  <c r="L87" i="22"/>
  <c r="M87" i="22" s="1"/>
  <c r="D87" i="22"/>
  <c r="E87" i="22" s="1"/>
  <c r="AS87" i="22"/>
  <c r="AT87" i="22" s="1"/>
  <c r="AK87" i="22"/>
  <c r="AL87" i="22" s="1"/>
  <c r="AB87" i="22"/>
  <c r="AC87" i="22" s="1"/>
  <c r="T87" i="22"/>
  <c r="U87" i="22" s="1"/>
  <c r="J87" i="22"/>
  <c r="K87" i="22" s="1"/>
  <c r="B87" i="22"/>
  <c r="C87" i="22" s="1"/>
  <c r="AO87" i="22"/>
  <c r="AP87" i="22" s="1"/>
  <c r="Q87" i="22"/>
  <c r="R87" i="22" s="1"/>
  <c r="F87" i="22"/>
  <c r="G87" i="22" s="1"/>
  <c r="Z87" i="22"/>
  <c r="AA87" i="22" s="1"/>
  <c r="N87" i="22"/>
  <c r="O87" i="22" s="1"/>
  <c r="AF87" i="22"/>
  <c r="AG87" i="22" s="1"/>
  <c r="H87" i="22"/>
  <c r="I87" i="22" s="1"/>
  <c r="AQ87" i="22"/>
  <c r="AR87" i="22" s="1"/>
  <c r="X87" i="22"/>
  <c r="Y87" i="22" s="1"/>
  <c r="AO63" i="22"/>
  <c r="AP63" i="22" s="1"/>
  <c r="AF63" i="22"/>
  <c r="AG63" i="22" s="1"/>
  <c r="X63" i="22"/>
  <c r="Y63" i="22" s="1"/>
  <c r="N63" i="22"/>
  <c r="O63" i="22" s="1"/>
  <c r="F63" i="22"/>
  <c r="G63" i="22" s="1"/>
  <c r="J63" i="22"/>
  <c r="K63" i="22" s="1"/>
  <c r="AD63" i="22"/>
  <c r="AE63" i="22" s="1"/>
  <c r="AU65" i="22"/>
  <c r="AV65" i="22" s="1"/>
  <c r="AM65" i="22"/>
  <c r="AN65" i="22" s="1"/>
  <c r="AD65" i="22"/>
  <c r="AE65" i="22" s="1"/>
  <c r="V65" i="22"/>
  <c r="W65" i="22" s="1"/>
  <c r="L65" i="22"/>
  <c r="M65" i="22" s="1"/>
  <c r="D65" i="22"/>
  <c r="E65" i="22" s="1"/>
  <c r="J65" i="22"/>
  <c r="K65" i="22" s="1"/>
  <c r="AO65" i="22"/>
  <c r="AP65" i="22" s="1"/>
  <c r="B66" i="22"/>
  <c r="C66" i="22" s="1"/>
  <c r="V66" i="22"/>
  <c r="W66" i="22" s="1"/>
  <c r="L67" i="22"/>
  <c r="M67" i="22" s="1"/>
  <c r="AF67" i="22"/>
  <c r="AG67" i="22" s="1"/>
  <c r="L68" i="22"/>
  <c r="M68" i="22" s="1"/>
  <c r="X68" i="22"/>
  <c r="Y68" i="22" s="1"/>
  <c r="J75" i="22"/>
  <c r="K75" i="22" s="1"/>
  <c r="V75" i="22"/>
  <c r="W75" i="22" s="1"/>
  <c r="D77" i="22"/>
  <c r="E77" i="22" s="1"/>
  <c r="N77" i="22"/>
  <c r="O77" i="22" s="1"/>
  <c r="AM77" i="22"/>
  <c r="AN77" i="22" s="1"/>
  <c r="AO78" i="22"/>
  <c r="AP78" i="22" s="1"/>
  <c r="AF78" i="22"/>
  <c r="AG78" i="22" s="1"/>
  <c r="X78" i="22"/>
  <c r="Y78" i="22" s="1"/>
  <c r="N78" i="22"/>
  <c r="O78" i="22" s="1"/>
  <c r="F78" i="22"/>
  <c r="G78" i="22" s="1"/>
  <c r="AK78" i="22"/>
  <c r="AL78" i="22" s="1"/>
  <c r="Q78" i="22"/>
  <c r="R78" i="22" s="1"/>
  <c r="AI78" i="22"/>
  <c r="AJ78" i="22" s="1"/>
  <c r="AS78" i="22"/>
  <c r="AT78" i="22" s="1"/>
  <c r="AI75" i="22"/>
  <c r="AJ75" i="22" s="1"/>
  <c r="N75" i="22"/>
  <c r="O75" i="22" s="1"/>
  <c r="D75" i="22"/>
  <c r="E75" i="22" s="1"/>
  <c r="X75" i="22"/>
  <c r="Y75" i="22" s="1"/>
  <c r="F82" i="22"/>
  <c r="G82" i="22" s="1"/>
  <c r="AK94" i="22"/>
  <c r="AL94" i="22" s="1"/>
  <c r="AO89" i="22"/>
  <c r="AP89" i="22" s="1"/>
  <c r="AF89" i="22"/>
  <c r="AG89" i="22" s="1"/>
  <c r="X89" i="22"/>
  <c r="Y89" i="22" s="1"/>
  <c r="N89" i="22"/>
  <c r="O89" i="22" s="1"/>
  <c r="F89" i="22"/>
  <c r="G89" i="22" s="1"/>
  <c r="AU89" i="22"/>
  <c r="AV89" i="22" s="1"/>
  <c r="AM89" i="22"/>
  <c r="AN89" i="22" s="1"/>
  <c r="AD89" i="22"/>
  <c r="AE89" i="22" s="1"/>
  <c r="V89" i="22"/>
  <c r="W89" i="22" s="1"/>
  <c r="L89" i="22"/>
  <c r="M89" i="22" s="1"/>
  <c r="D89" i="22"/>
  <c r="E89" i="22" s="1"/>
  <c r="Z89" i="22"/>
  <c r="AA89" i="22" s="1"/>
  <c r="J89" i="22"/>
  <c r="K89" i="22" s="1"/>
  <c r="H89" i="22"/>
  <c r="I89" i="22" s="1"/>
  <c r="T89" i="22"/>
  <c r="U89" i="22" s="1"/>
  <c r="AK82" i="22"/>
  <c r="AL82" i="22" s="1"/>
  <c r="AB82" i="22"/>
  <c r="AC82" i="22" s="1"/>
  <c r="T82" i="22"/>
  <c r="U82" i="22" s="1"/>
  <c r="J82" i="22"/>
  <c r="K82" i="22" s="1"/>
  <c r="B82" i="22"/>
  <c r="C82" i="22" s="1"/>
  <c r="AQ82" i="22"/>
  <c r="AR82" i="22" s="1"/>
  <c r="L82" i="22"/>
  <c r="M82" i="22" s="1"/>
  <c r="X82" i="22"/>
  <c r="Y82" i="22" s="1"/>
  <c r="AQ83" i="22"/>
  <c r="AR83" i="22" s="1"/>
  <c r="AI83" i="22"/>
  <c r="AJ83" i="22" s="1"/>
  <c r="Z83" i="22"/>
  <c r="AA83" i="22" s="1"/>
  <c r="Q83" i="22"/>
  <c r="R83" i="22" s="1"/>
  <c r="H83" i="22"/>
  <c r="I83" i="22" s="1"/>
  <c r="AO83" i="22"/>
  <c r="AP83" i="22" s="1"/>
  <c r="AF83" i="22"/>
  <c r="AG83" i="22" s="1"/>
  <c r="X83" i="22"/>
  <c r="Y83" i="22" s="1"/>
  <c r="N83" i="22"/>
  <c r="O83" i="22" s="1"/>
  <c r="F83" i="22"/>
  <c r="G83" i="22" s="1"/>
  <c r="AM83" i="22"/>
  <c r="AN83" i="22" s="1"/>
  <c r="AB83" i="22"/>
  <c r="AC83" i="22" s="1"/>
  <c r="D83" i="22"/>
  <c r="E83" i="22" s="1"/>
  <c r="AD83" i="22"/>
  <c r="AE83" i="22" s="1"/>
  <c r="B89" i="22"/>
  <c r="C89" i="22" s="1"/>
  <c r="AB89" i="22"/>
  <c r="AC89" i="22" s="1"/>
  <c r="V94" i="22"/>
  <c r="W94" i="22" s="1"/>
  <c r="AD94" i="22"/>
  <c r="AE94" i="22" s="1"/>
  <c r="AM94" i="22"/>
  <c r="AN94" i="22" s="1"/>
  <c r="D94" i="22"/>
  <c r="E94" i="22" s="1"/>
  <c r="AO94" i="22"/>
  <c r="AP94" i="22" s="1"/>
  <c r="X94" i="22"/>
  <c r="Y94" i="22" s="1"/>
  <c r="B94" i="22"/>
  <c r="C94" i="22" s="1"/>
  <c r="Q94" i="22"/>
  <c r="R94" i="22" s="1"/>
  <c r="AI94" i="22"/>
  <c r="AJ94" i="22" s="1"/>
  <c r="N94" i="22"/>
  <c r="O94" i="22" s="1"/>
  <c r="AF94" i="22"/>
  <c r="AG94" i="22" s="1"/>
  <c r="L94" i="22"/>
  <c r="M94" i="22" s="1"/>
  <c r="AU94" i="22"/>
  <c r="AV94" i="22" s="1"/>
  <c r="AB94" i="22"/>
  <c r="AC94" i="22" s="1"/>
  <c r="J94" i="22"/>
  <c r="K94" i="22" s="1"/>
  <c r="AS94" i="22"/>
  <c r="AT94" i="22" s="1"/>
  <c r="Z82" i="22"/>
  <c r="AA82" i="22" s="1"/>
  <c r="B83" i="22"/>
  <c r="C83" i="22" s="1"/>
  <c r="AU83" i="22"/>
  <c r="AV83" i="22" s="1"/>
  <c r="F94" i="22"/>
  <c r="G94" i="22" s="1"/>
  <c r="D82" i="22"/>
  <c r="E82" i="22" s="1"/>
  <c r="N82" i="22"/>
  <c r="O82" i="22" s="1"/>
  <c r="AM82" i="22"/>
  <c r="AN82" i="22" s="1"/>
  <c r="T83" i="22"/>
  <c r="U83" i="22" s="1"/>
  <c r="AI89" i="22"/>
  <c r="AJ89" i="22" s="1"/>
  <c r="H94" i="22"/>
  <c r="I94" i="22" s="1"/>
  <c r="X79" i="22"/>
  <c r="Y79" i="22" s="1"/>
  <c r="AF79" i="22"/>
  <c r="AG79" i="22" s="1"/>
  <c r="AU88" i="22"/>
  <c r="AV88" i="22" s="1"/>
  <c r="AI88" i="22"/>
  <c r="AJ88" i="22" s="1"/>
  <c r="AQ88" i="22"/>
  <c r="AR88" i="22" s="1"/>
  <c r="AF88" i="22"/>
  <c r="AG88" i="22" s="1"/>
  <c r="X88" i="22"/>
  <c r="Y88" i="22" s="1"/>
  <c r="AM88" i="22"/>
  <c r="AN88" i="22" s="1"/>
  <c r="N101" i="22"/>
  <c r="O101" i="22" s="1"/>
  <c r="AQ95" i="22"/>
  <c r="AR95" i="22" s="1"/>
  <c r="AI95" i="22"/>
  <c r="AJ95" i="22" s="1"/>
  <c r="Z95" i="22"/>
  <c r="AA95" i="22" s="1"/>
  <c r="Q95" i="22"/>
  <c r="R95" i="22" s="1"/>
  <c r="H95" i="22"/>
  <c r="I95" i="22" s="1"/>
  <c r="AO95" i="22"/>
  <c r="AP95" i="22" s="1"/>
  <c r="AF95" i="22"/>
  <c r="AG95" i="22" s="1"/>
  <c r="X95" i="22"/>
  <c r="Y95" i="22" s="1"/>
  <c r="N95" i="22"/>
  <c r="O95" i="22" s="1"/>
  <c r="F95" i="22"/>
  <c r="G95" i="22" s="1"/>
  <c r="AD95" i="22"/>
  <c r="AE95" i="22" s="1"/>
  <c r="T95" i="22"/>
  <c r="U95" i="22" s="1"/>
  <c r="AM95" i="22"/>
  <c r="AN95" i="22" s="1"/>
  <c r="AB95" i="22"/>
  <c r="AC95" i="22" s="1"/>
  <c r="D95" i="22"/>
  <c r="E95" i="22" s="1"/>
  <c r="AU95" i="22"/>
  <c r="AV95" i="22" s="1"/>
  <c r="AK95" i="22"/>
  <c r="AL95" i="22" s="1"/>
  <c r="L95" i="22"/>
  <c r="M95" i="22" s="1"/>
  <c r="B95" i="22"/>
  <c r="C95" i="22" s="1"/>
  <c r="AO85" i="22"/>
  <c r="AP85" i="22" s="1"/>
  <c r="AF85" i="22"/>
  <c r="AG85" i="22" s="1"/>
  <c r="X85" i="22"/>
  <c r="Y85" i="22" s="1"/>
  <c r="N85" i="22"/>
  <c r="O85" i="22" s="1"/>
  <c r="F85" i="22"/>
  <c r="G85" i="22" s="1"/>
  <c r="AU85" i="22"/>
  <c r="AV85" i="22" s="1"/>
  <c r="AM85" i="22"/>
  <c r="AN85" i="22" s="1"/>
  <c r="AD85" i="22"/>
  <c r="AE85" i="22" s="1"/>
  <c r="V85" i="22"/>
  <c r="W85" i="22" s="1"/>
  <c r="L85" i="22"/>
  <c r="M85" i="22" s="1"/>
  <c r="D85" i="22"/>
  <c r="E85" i="22" s="1"/>
  <c r="AU91" i="22"/>
  <c r="AV91" i="22" s="1"/>
  <c r="AM91" i="22"/>
  <c r="AN91" i="22" s="1"/>
  <c r="AD91" i="22"/>
  <c r="AE91" i="22" s="1"/>
  <c r="V91" i="22"/>
  <c r="W91" i="22" s="1"/>
  <c r="L91" i="22"/>
  <c r="M91" i="22" s="1"/>
  <c r="D91" i="22"/>
  <c r="E91" i="22" s="1"/>
  <c r="AS91" i="22"/>
  <c r="AT91" i="22" s="1"/>
  <c r="AK91" i="22"/>
  <c r="AL91" i="22" s="1"/>
  <c r="AB91" i="22"/>
  <c r="AC91" i="22" s="1"/>
  <c r="T91" i="22"/>
  <c r="U91" i="22" s="1"/>
  <c r="J91" i="22"/>
  <c r="K91" i="22" s="1"/>
  <c r="B91" i="22"/>
  <c r="C91" i="22" s="1"/>
  <c r="AO91" i="22"/>
  <c r="AP91" i="22" s="1"/>
  <c r="Q91" i="22"/>
  <c r="R91" i="22" s="1"/>
  <c r="F91" i="22"/>
  <c r="G91" i="22" s="1"/>
  <c r="Z91" i="22"/>
  <c r="AA91" i="22" s="1"/>
  <c r="N91" i="22"/>
  <c r="O91" i="22" s="1"/>
  <c r="AI91" i="22"/>
  <c r="AJ91" i="22" s="1"/>
  <c r="X91" i="22"/>
  <c r="Y91" i="22" s="1"/>
  <c r="V95" i="22"/>
  <c r="W95" i="22" s="1"/>
  <c r="D80" i="22"/>
  <c r="E80" i="22" s="1"/>
  <c r="L80" i="22"/>
  <c r="M80" i="22" s="1"/>
  <c r="V80" i="22"/>
  <c r="W80" i="22" s="1"/>
  <c r="AD80" i="22"/>
  <c r="AE80" i="22" s="1"/>
  <c r="AM80" i="22"/>
  <c r="AN80" i="22" s="1"/>
  <c r="B85" i="22"/>
  <c r="C85" i="22" s="1"/>
  <c r="Z85" i="22"/>
  <c r="AA85" i="22" s="1"/>
  <c r="AK85" i="22"/>
  <c r="AL85" i="22" s="1"/>
  <c r="D88" i="22"/>
  <c r="E88" i="22" s="1"/>
  <c r="Q88" i="22"/>
  <c r="R88" i="22" s="1"/>
  <c r="AB88" i="22"/>
  <c r="AC88" i="22" s="1"/>
  <c r="AS101" i="22"/>
  <c r="AT101" i="22" s="1"/>
  <c r="AK101" i="22"/>
  <c r="AL101" i="22" s="1"/>
  <c r="AB101" i="22"/>
  <c r="AC101" i="22" s="1"/>
  <c r="T101" i="22"/>
  <c r="U101" i="22" s="1"/>
  <c r="J101" i="22"/>
  <c r="K101" i="22" s="1"/>
  <c r="B101" i="22"/>
  <c r="C101" i="22" s="1"/>
  <c r="AQ101" i="22"/>
  <c r="AR101" i="22" s="1"/>
  <c r="AI101" i="22"/>
  <c r="AJ101" i="22" s="1"/>
  <c r="Z101" i="22"/>
  <c r="AA101" i="22" s="1"/>
  <c r="Q101" i="22"/>
  <c r="R101" i="22" s="1"/>
  <c r="H101" i="22"/>
  <c r="I101" i="22" s="1"/>
  <c r="AM101" i="22"/>
  <c r="AN101" i="22" s="1"/>
  <c r="X101" i="22"/>
  <c r="Y101" i="22" s="1"/>
  <c r="V101" i="22"/>
  <c r="W101" i="22" s="1"/>
  <c r="F101" i="22"/>
  <c r="G101" i="22" s="1"/>
  <c r="AU101" i="22"/>
  <c r="AV101" i="22" s="1"/>
  <c r="AF101" i="22"/>
  <c r="AG101" i="22" s="1"/>
  <c r="D101" i="22"/>
  <c r="E101" i="22" s="1"/>
  <c r="AO101" i="22"/>
  <c r="AP101" i="22" s="1"/>
  <c r="AF92" i="22"/>
  <c r="AG92" i="22" s="1"/>
  <c r="F93" i="22"/>
  <c r="G93" i="22" s="1"/>
  <c r="AD93" i="22"/>
  <c r="AE93" i="22" s="1"/>
  <c r="AO93" i="22"/>
  <c r="AP93" i="22" s="1"/>
  <c r="F100" i="22"/>
  <c r="G100" i="22" s="1"/>
  <c r="AU100" i="22"/>
  <c r="AV100" i="22" s="1"/>
  <c r="T102" i="22"/>
  <c r="U102" i="22" s="1"/>
  <c r="AI102" i="22"/>
  <c r="AJ102" i="22" s="1"/>
  <c r="AU102" i="22"/>
  <c r="AV102" i="22" s="1"/>
  <c r="V93" i="22"/>
  <c r="W93" i="22" s="1"/>
  <c r="J100" i="22"/>
  <c r="K100" i="22" s="1"/>
  <c r="AK102" i="22"/>
  <c r="AL102" i="22" s="1"/>
  <c r="J102" i="22"/>
  <c r="K102" i="22" s="1"/>
  <c r="Z102" i="22"/>
  <c r="AA102" i="22" s="1"/>
  <c r="AM102" i="22"/>
  <c r="AN102" i="22" s="1"/>
  <c r="AS93" i="22"/>
  <c r="AT93" i="22" s="1"/>
  <c r="AK93" i="22"/>
  <c r="AL93" i="22" s="1"/>
  <c r="AB93" i="22"/>
  <c r="AC93" i="22" s="1"/>
  <c r="T93" i="22"/>
  <c r="U93" i="22" s="1"/>
  <c r="J93" i="22"/>
  <c r="K93" i="22" s="1"/>
  <c r="B93" i="22"/>
  <c r="C93" i="22" s="1"/>
  <c r="AQ93" i="22"/>
  <c r="AR93" i="22" s="1"/>
  <c r="AI93" i="22"/>
  <c r="AJ93" i="22" s="1"/>
  <c r="Z93" i="22"/>
  <c r="AA93" i="22" s="1"/>
  <c r="Q93" i="22"/>
  <c r="R93" i="22" s="1"/>
  <c r="H93" i="22"/>
  <c r="I93" i="22" s="1"/>
  <c r="L93" i="22"/>
  <c r="M93" i="22" s="1"/>
  <c r="X93" i="22"/>
  <c r="Y93" i="22" s="1"/>
  <c r="AU93" i="22"/>
  <c r="AV93" i="22" s="1"/>
  <c r="AO97" i="22"/>
  <c r="AP97" i="22" s="1"/>
  <c r="AF97" i="22"/>
  <c r="AG97" i="22" s="1"/>
  <c r="X97" i="22"/>
  <c r="Y97" i="22" s="1"/>
  <c r="N97" i="22"/>
  <c r="O97" i="22" s="1"/>
  <c r="F97" i="22"/>
  <c r="G97" i="22" s="1"/>
  <c r="AU97" i="22"/>
  <c r="AV97" i="22" s="1"/>
  <c r="AM97" i="22"/>
  <c r="AN97" i="22" s="1"/>
  <c r="AD97" i="22"/>
  <c r="AE97" i="22" s="1"/>
  <c r="V97" i="22"/>
  <c r="W97" i="22" s="1"/>
  <c r="L97" i="22"/>
  <c r="M97" i="22" s="1"/>
  <c r="D97" i="22"/>
  <c r="E97" i="22" s="1"/>
  <c r="AQ100" i="22"/>
  <c r="AR100" i="22" s="1"/>
  <c r="AI100" i="22"/>
  <c r="AJ100" i="22" s="1"/>
  <c r="Z100" i="22"/>
  <c r="AA100" i="22" s="1"/>
  <c r="Q100" i="22"/>
  <c r="R100" i="22" s="1"/>
  <c r="H100" i="22"/>
  <c r="I100" i="22" s="1"/>
  <c r="L100" i="22"/>
  <c r="M100" i="22" s="1"/>
  <c r="AB100" i="22"/>
  <c r="AC100" i="22" s="1"/>
  <c r="AO100" i="22"/>
  <c r="AP100" i="22" s="1"/>
  <c r="AO102" i="22"/>
  <c r="AP102" i="22" s="1"/>
  <c r="AF102" i="22"/>
  <c r="AG102" i="22" s="1"/>
  <c r="X102" i="22"/>
  <c r="Y102" i="22" s="1"/>
  <c r="N102" i="22"/>
  <c r="O102" i="22" s="1"/>
  <c r="F102" i="22"/>
  <c r="G102" i="22" s="1"/>
  <c r="AB102" i="22"/>
  <c r="AC102" i="22" s="1"/>
  <c r="AQ102" i="22"/>
  <c r="AR102" i="22" s="1"/>
  <c r="B102" i="22"/>
  <c r="C102" i="22" s="1"/>
  <c r="Q102" i="22"/>
  <c r="R102" i="22" s="1"/>
  <c r="AD102" i="22"/>
  <c r="AE102" i="22" s="1"/>
  <c r="F103" i="22"/>
  <c r="G103" i="22" s="1"/>
  <c r="N103" i="22"/>
  <c r="O103" i="22" s="1"/>
  <c r="X103" i="22"/>
  <c r="Y103" i="22" s="1"/>
  <c r="AF103" i="22"/>
  <c r="AG103" i="22" s="1"/>
  <c r="AO103" i="22"/>
  <c r="AP103" i="22" s="1"/>
  <c r="H103" i="22"/>
  <c r="I103" i="22" s="1"/>
  <c r="Q103" i="22"/>
  <c r="R103" i="22" s="1"/>
  <c r="Z103" i="22"/>
  <c r="AA103" i="22" s="1"/>
  <c r="AI103" i="22"/>
  <c r="AJ103" i="22" s="1"/>
  <c r="AM24" i="19"/>
  <c r="AN24" i="19" s="1"/>
  <c r="T24" i="19"/>
  <c r="U24" i="19" s="1"/>
  <c r="AU24" i="19"/>
  <c r="AV24" i="19" s="1"/>
  <c r="AB24" i="19"/>
  <c r="AC24" i="19" s="1"/>
  <c r="H24" i="19"/>
  <c r="I24" i="19" s="1"/>
  <c r="AI24" i="19"/>
  <c r="AJ24" i="19" s="1"/>
  <c r="N24" i="19"/>
  <c r="O24" i="19" s="1"/>
  <c r="D24" i="19"/>
  <c r="E24" i="19" s="1"/>
  <c r="AF24" i="19"/>
  <c r="AG24" i="19" s="1"/>
  <c r="D5" i="19"/>
  <c r="E5" i="19" s="1"/>
  <c r="L5" i="19"/>
  <c r="M5" i="19" s="1"/>
  <c r="V5" i="19"/>
  <c r="W5" i="19" s="1"/>
  <c r="AD5" i="19"/>
  <c r="AE5" i="19" s="1"/>
  <c r="AM5" i="19"/>
  <c r="AN5" i="19" s="1"/>
  <c r="AU5" i="19"/>
  <c r="AV5" i="19" s="1"/>
  <c r="B7" i="19"/>
  <c r="C7" i="19" s="1"/>
  <c r="J7" i="19"/>
  <c r="K7" i="19" s="1"/>
  <c r="T7" i="19"/>
  <c r="U7" i="19" s="1"/>
  <c r="AB7" i="19"/>
  <c r="AC7" i="19" s="1"/>
  <c r="AK7" i="19"/>
  <c r="AL7" i="19" s="1"/>
  <c r="AS7" i="19"/>
  <c r="AT7" i="19" s="1"/>
  <c r="H9" i="19"/>
  <c r="I9" i="19" s="1"/>
  <c r="Q9" i="19"/>
  <c r="R9" i="19" s="1"/>
  <c r="Z9" i="19"/>
  <c r="AA9" i="19" s="1"/>
  <c r="AI9" i="19"/>
  <c r="AJ9" i="19" s="1"/>
  <c r="AQ9" i="19"/>
  <c r="AR9" i="19" s="1"/>
  <c r="AO12" i="19"/>
  <c r="AP12" i="19" s="1"/>
  <c r="AF12" i="19"/>
  <c r="AG12" i="19" s="1"/>
  <c r="AK12" i="19"/>
  <c r="AL12" i="19" s="1"/>
  <c r="AS15" i="19"/>
  <c r="AT15" i="19" s="1"/>
  <c r="AM15" i="19"/>
  <c r="AN15" i="19" s="1"/>
  <c r="AD15" i="19"/>
  <c r="AE15" i="19" s="1"/>
  <c r="V15" i="19"/>
  <c r="W15" i="19" s="1"/>
  <c r="L15" i="19"/>
  <c r="M15" i="19" s="1"/>
  <c r="D15" i="19"/>
  <c r="E15" i="19" s="1"/>
  <c r="X15" i="19"/>
  <c r="Y15" i="19" s="1"/>
  <c r="AU15" i="19"/>
  <c r="AV15" i="19" s="1"/>
  <c r="D22" i="19"/>
  <c r="E22" i="19" s="1"/>
  <c r="B24" i="19"/>
  <c r="C24" i="19" s="1"/>
  <c r="Q24" i="19"/>
  <c r="R24" i="19" s="1"/>
  <c r="D31" i="19"/>
  <c r="E31" i="19" s="1"/>
  <c r="AS23" i="19"/>
  <c r="AT23" i="19" s="1"/>
  <c r="AK23" i="19"/>
  <c r="AL23" i="19" s="1"/>
  <c r="AB23" i="19"/>
  <c r="AC23" i="19" s="1"/>
  <c r="T23" i="19"/>
  <c r="U23" i="19" s="1"/>
  <c r="J23" i="19"/>
  <c r="K23" i="19" s="1"/>
  <c r="B23" i="19"/>
  <c r="C23" i="19" s="1"/>
  <c r="AM23" i="19"/>
  <c r="AN23" i="19" s="1"/>
  <c r="H23" i="19"/>
  <c r="I23" i="19" s="1"/>
  <c r="AU23" i="19"/>
  <c r="AV23" i="19" s="1"/>
  <c r="Q23" i="19"/>
  <c r="R23" i="19" s="1"/>
  <c r="AQ23" i="19"/>
  <c r="AR23" i="19" s="1"/>
  <c r="X23" i="19"/>
  <c r="Y23" i="19" s="1"/>
  <c r="D23" i="19"/>
  <c r="E23" i="19" s="1"/>
  <c r="AF23" i="19"/>
  <c r="AG23" i="19" s="1"/>
  <c r="AU31" i="19"/>
  <c r="AV31" i="19" s="1"/>
  <c r="AM31" i="19"/>
  <c r="AN31" i="19" s="1"/>
  <c r="AS31" i="19"/>
  <c r="AT31" i="19" s="1"/>
  <c r="AK31" i="19"/>
  <c r="AL31" i="19" s="1"/>
  <c r="AB31" i="19"/>
  <c r="AC31" i="19" s="1"/>
  <c r="T31" i="19"/>
  <c r="U31" i="19" s="1"/>
  <c r="J31" i="19"/>
  <c r="K31" i="19" s="1"/>
  <c r="B31" i="19"/>
  <c r="C31" i="19" s="1"/>
  <c r="H31" i="19"/>
  <c r="I31" i="19" s="1"/>
  <c r="AQ31" i="19"/>
  <c r="AR31" i="19" s="1"/>
  <c r="AD31" i="19"/>
  <c r="AE31" i="19" s="1"/>
  <c r="F31" i="19"/>
  <c r="G31" i="19" s="1"/>
  <c r="Z31" i="19"/>
  <c r="AA31" i="19" s="1"/>
  <c r="D10" i="19"/>
  <c r="E10" i="19" s="1"/>
  <c r="L10" i="19"/>
  <c r="M10" i="19" s="1"/>
  <c r="V10" i="19"/>
  <c r="W10" i="19" s="1"/>
  <c r="AD10" i="19"/>
  <c r="AE10" i="19" s="1"/>
  <c r="AM10" i="19"/>
  <c r="AN10" i="19" s="1"/>
  <c r="AU10" i="19"/>
  <c r="AV10" i="19" s="1"/>
  <c r="AQ16" i="19"/>
  <c r="AR16" i="19" s="1"/>
  <c r="X16" i="19"/>
  <c r="Y16" i="19" s="1"/>
  <c r="L16" i="19"/>
  <c r="M16" i="19" s="1"/>
  <c r="AM16" i="19"/>
  <c r="AN16" i="19" s="1"/>
  <c r="T16" i="19"/>
  <c r="U16" i="19" s="1"/>
  <c r="N16" i="19"/>
  <c r="O16" i="19" s="1"/>
  <c r="AO16" i="19"/>
  <c r="AP16" i="19" s="1"/>
  <c r="H21" i="19"/>
  <c r="I21" i="19" s="1"/>
  <c r="X21" i="19"/>
  <c r="Y21" i="19" s="1"/>
  <c r="V22" i="19"/>
  <c r="W22" i="19" s="1"/>
  <c r="AM22" i="19"/>
  <c r="AN22" i="19" s="1"/>
  <c r="V23" i="19"/>
  <c r="W23" i="19" s="1"/>
  <c r="AU30" i="19"/>
  <c r="AV30" i="19" s="1"/>
  <c r="AM30" i="19"/>
  <c r="AN30" i="19" s="1"/>
  <c r="AD30" i="19"/>
  <c r="AE30" i="19" s="1"/>
  <c r="V30" i="19"/>
  <c r="W30" i="19" s="1"/>
  <c r="L30" i="19"/>
  <c r="M30" i="19" s="1"/>
  <c r="D30" i="19"/>
  <c r="E30" i="19" s="1"/>
  <c r="AS30" i="19"/>
  <c r="AT30" i="19" s="1"/>
  <c r="AI30" i="19"/>
  <c r="AJ30" i="19" s="1"/>
  <c r="J30" i="19"/>
  <c r="K30" i="19" s="1"/>
  <c r="AF30" i="19"/>
  <c r="AG30" i="19" s="1"/>
  <c r="AB30" i="19"/>
  <c r="AC30" i="19" s="1"/>
  <c r="Q30" i="19"/>
  <c r="R30" i="19" s="1"/>
  <c r="AK30" i="19"/>
  <c r="AL30" i="19" s="1"/>
  <c r="X31" i="19"/>
  <c r="Y31" i="19" s="1"/>
  <c r="V31" i="19"/>
  <c r="W31" i="19" s="1"/>
  <c r="F5" i="19"/>
  <c r="G5" i="19" s="1"/>
  <c r="AO5" i="19"/>
  <c r="AP5" i="19" s="1"/>
  <c r="V7" i="19"/>
  <c r="W7" i="19" s="1"/>
  <c r="AB9" i="19"/>
  <c r="AC9" i="19" s="1"/>
  <c r="F23" i="19"/>
  <c r="G23" i="19" s="1"/>
  <c r="F24" i="19"/>
  <c r="G24" i="19" s="1"/>
  <c r="V24" i="19"/>
  <c r="W24" i="19" s="1"/>
  <c r="AO27" i="19"/>
  <c r="AP27" i="19" s="1"/>
  <c r="AF27" i="19"/>
  <c r="AG27" i="19" s="1"/>
  <c r="X27" i="19"/>
  <c r="Y27" i="19" s="1"/>
  <c r="N27" i="19"/>
  <c r="O27" i="19" s="1"/>
  <c r="F27" i="19"/>
  <c r="G27" i="19" s="1"/>
  <c r="AB27" i="19"/>
  <c r="AC27" i="19" s="1"/>
  <c r="Q27" i="19"/>
  <c r="R27" i="19" s="1"/>
  <c r="AM27" i="19"/>
  <c r="AN27" i="19" s="1"/>
  <c r="D27" i="19"/>
  <c r="E27" i="19" s="1"/>
  <c r="AS27" i="19"/>
  <c r="AT27" i="19" s="1"/>
  <c r="AI27" i="19"/>
  <c r="AJ27" i="19" s="1"/>
  <c r="J27" i="19"/>
  <c r="K27" i="19" s="1"/>
  <c r="T27" i="19"/>
  <c r="U27" i="19" s="1"/>
  <c r="AK27" i="19"/>
  <c r="AL27" i="19" s="1"/>
  <c r="L7" i="19"/>
  <c r="M7" i="19" s="1"/>
  <c r="AM7" i="19"/>
  <c r="AN7" i="19" s="1"/>
  <c r="T9" i="19"/>
  <c r="U9" i="19" s="1"/>
  <c r="AS9" i="19"/>
  <c r="AT9" i="19" s="1"/>
  <c r="D4" i="19"/>
  <c r="E4" i="19" s="1"/>
  <c r="L4" i="19"/>
  <c r="M4" i="19" s="1"/>
  <c r="V4" i="19"/>
  <c r="W4" i="19" s="1"/>
  <c r="AD4" i="19"/>
  <c r="AE4" i="19" s="1"/>
  <c r="AM4" i="19"/>
  <c r="AN4" i="19" s="1"/>
  <c r="B6" i="19"/>
  <c r="C6" i="19" s="1"/>
  <c r="J6" i="19"/>
  <c r="K6" i="19" s="1"/>
  <c r="T6" i="19"/>
  <c r="U6" i="19" s="1"/>
  <c r="AB6" i="19"/>
  <c r="AC6" i="19" s="1"/>
  <c r="AK6" i="19"/>
  <c r="AL6" i="19" s="1"/>
  <c r="H8" i="19"/>
  <c r="I8" i="19" s="1"/>
  <c r="Q8" i="19"/>
  <c r="R8" i="19" s="1"/>
  <c r="Z8" i="19"/>
  <c r="AA8" i="19" s="1"/>
  <c r="AI8" i="19"/>
  <c r="AJ8" i="19" s="1"/>
  <c r="F10" i="19"/>
  <c r="G10" i="19" s="1"/>
  <c r="N10" i="19"/>
  <c r="O10" i="19" s="1"/>
  <c r="X10" i="19"/>
  <c r="Y10" i="19" s="1"/>
  <c r="AF10" i="19"/>
  <c r="AG10" i="19" s="1"/>
  <c r="AO10" i="19"/>
  <c r="AP10" i="19" s="1"/>
  <c r="D12" i="19"/>
  <c r="E12" i="19" s="1"/>
  <c r="L12" i="19"/>
  <c r="M12" i="19" s="1"/>
  <c r="V12" i="19"/>
  <c r="W12" i="19" s="1"/>
  <c r="AD12" i="19"/>
  <c r="AE12" i="19" s="1"/>
  <c r="AU14" i="19"/>
  <c r="AV14" i="19" s="1"/>
  <c r="AM14" i="19"/>
  <c r="AN14" i="19" s="1"/>
  <c r="AD14" i="19"/>
  <c r="AE14" i="19" s="1"/>
  <c r="V14" i="19"/>
  <c r="W14" i="19" s="1"/>
  <c r="L14" i="19"/>
  <c r="M14" i="19" s="1"/>
  <c r="D14" i="19"/>
  <c r="E14" i="19" s="1"/>
  <c r="J14" i="19"/>
  <c r="K14" i="19" s="1"/>
  <c r="Q15" i="19"/>
  <c r="R15" i="19" s="1"/>
  <c r="AB15" i="19"/>
  <c r="AC15" i="19" s="1"/>
  <c r="D16" i="19"/>
  <c r="E16" i="19" s="1"/>
  <c r="Q16" i="19"/>
  <c r="R16" i="19" s="1"/>
  <c r="AD16" i="19"/>
  <c r="AE16" i="19" s="1"/>
  <c r="L19" i="19"/>
  <c r="M19" i="19" s="1"/>
  <c r="J21" i="19"/>
  <c r="K21" i="19" s="1"/>
  <c r="AB21" i="19"/>
  <c r="AC21" i="19" s="1"/>
  <c r="AQ21" i="19"/>
  <c r="AR21" i="19" s="1"/>
  <c r="J22" i="19"/>
  <c r="K22" i="19" s="1"/>
  <c r="Z22" i="19"/>
  <c r="AA22" i="19" s="1"/>
  <c r="AO22" i="19"/>
  <c r="AP22" i="19" s="1"/>
  <c r="AO23" i="19"/>
  <c r="AP23" i="19" s="1"/>
  <c r="X24" i="19"/>
  <c r="Y24" i="19" s="1"/>
  <c r="AO24" i="19"/>
  <c r="AP24" i="19" s="1"/>
  <c r="B27" i="19"/>
  <c r="C27" i="19" s="1"/>
  <c r="V27" i="19"/>
  <c r="W27" i="19" s="1"/>
  <c r="X30" i="19"/>
  <c r="Y30" i="19" s="1"/>
  <c r="AO30" i="19"/>
  <c r="AP30" i="19" s="1"/>
  <c r="AS32" i="19"/>
  <c r="AT32" i="19" s="1"/>
  <c r="AK32" i="19"/>
  <c r="AL32" i="19" s="1"/>
  <c r="AB32" i="19"/>
  <c r="AC32" i="19" s="1"/>
  <c r="T32" i="19"/>
  <c r="U32" i="19" s="1"/>
  <c r="J32" i="19"/>
  <c r="K32" i="19" s="1"/>
  <c r="B32" i="19"/>
  <c r="C32" i="19" s="1"/>
  <c r="X32" i="19"/>
  <c r="Y32" i="19" s="1"/>
  <c r="V32" i="19"/>
  <c r="W32" i="19" s="1"/>
  <c r="H32" i="19"/>
  <c r="I32" i="19" s="1"/>
  <c r="AD32" i="19"/>
  <c r="AE32" i="19" s="1"/>
  <c r="Q32" i="19"/>
  <c r="R32" i="19" s="1"/>
  <c r="Z32" i="19"/>
  <c r="AA32" i="19" s="1"/>
  <c r="N5" i="19"/>
  <c r="O5" i="19" s="1"/>
  <c r="X5" i="19"/>
  <c r="Y5" i="19" s="1"/>
  <c r="AF5" i="19"/>
  <c r="AG5" i="19" s="1"/>
  <c r="D7" i="19"/>
  <c r="E7" i="19" s="1"/>
  <c r="AD7" i="19"/>
  <c r="AE7" i="19" s="1"/>
  <c r="AU7" i="19"/>
  <c r="AV7" i="19" s="1"/>
  <c r="B9" i="19"/>
  <c r="C9" i="19" s="1"/>
  <c r="J9" i="19"/>
  <c r="K9" i="19" s="1"/>
  <c r="AK9" i="19"/>
  <c r="AL9" i="19" s="1"/>
  <c r="AK24" i="19"/>
  <c r="AL24" i="19" s="1"/>
  <c r="H5" i="19"/>
  <c r="I5" i="19" s="1"/>
  <c r="Q5" i="19"/>
  <c r="R5" i="19" s="1"/>
  <c r="Z5" i="19"/>
  <c r="AA5" i="19" s="1"/>
  <c r="AI5" i="19"/>
  <c r="AJ5" i="19" s="1"/>
  <c r="F7" i="19"/>
  <c r="G7" i="19" s="1"/>
  <c r="N7" i="19"/>
  <c r="O7" i="19" s="1"/>
  <c r="X7" i="19"/>
  <c r="Y7" i="19" s="1"/>
  <c r="AF7" i="19"/>
  <c r="AG7" i="19" s="1"/>
  <c r="AO7" i="19"/>
  <c r="AP7" i="19" s="1"/>
  <c r="D9" i="19"/>
  <c r="E9" i="19" s="1"/>
  <c r="L9" i="19"/>
  <c r="M9" i="19" s="1"/>
  <c r="V9" i="19"/>
  <c r="W9" i="19" s="1"/>
  <c r="AD9" i="19"/>
  <c r="AE9" i="19" s="1"/>
  <c r="AM9" i="19"/>
  <c r="AN9" i="19" s="1"/>
  <c r="F15" i="19"/>
  <c r="G15" i="19" s="1"/>
  <c r="AO15" i="19"/>
  <c r="AP15" i="19" s="1"/>
  <c r="F16" i="19"/>
  <c r="G16" i="19" s="1"/>
  <c r="AF16" i="19"/>
  <c r="AG16" i="19" s="1"/>
  <c r="AS16" i="19"/>
  <c r="AT16" i="19" s="1"/>
  <c r="AO19" i="19"/>
  <c r="AP19" i="19" s="1"/>
  <c r="AF19" i="19"/>
  <c r="AG19" i="19" s="1"/>
  <c r="X19" i="19"/>
  <c r="Y19" i="19" s="1"/>
  <c r="N19" i="19"/>
  <c r="O19" i="19" s="1"/>
  <c r="F19" i="19"/>
  <c r="G19" i="19" s="1"/>
  <c r="AS19" i="19"/>
  <c r="AT19" i="19" s="1"/>
  <c r="Z19" i="19"/>
  <c r="AA19" i="19" s="1"/>
  <c r="V19" i="19"/>
  <c r="W19" i="19" s="1"/>
  <c r="B19" i="19"/>
  <c r="C19" i="19" s="1"/>
  <c r="AB19" i="19"/>
  <c r="AC19" i="19" s="1"/>
  <c r="Z23" i="19"/>
  <c r="AA23" i="19" s="1"/>
  <c r="J24" i="19"/>
  <c r="K24" i="19" s="1"/>
  <c r="Z24" i="19"/>
  <c r="AA24" i="19" s="1"/>
  <c r="AQ27" i="19"/>
  <c r="AR27" i="19" s="1"/>
  <c r="F30" i="19"/>
  <c r="G30" i="19" s="1"/>
  <c r="Z30" i="19"/>
  <c r="AA30" i="19" s="1"/>
  <c r="AQ30" i="19"/>
  <c r="AR30" i="19" s="1"/>
  <c r="L31" i="19"/>
  <c r="M31" i="19" s="1"/>
  <c r="AF31" i="19"/>
  <c r="AG31" i="19" s="1"/>
  <c r="H10" i="19"/>
  <c r="I10" i="19" s="1"/>
  <c r="Q10" i="19"/>
  <c r="R10" i="19" s="1"/>
  <c r="Z10" i="19"/>
  <c r="AA10" i="19" s="1"/>
  <c r="AI10" i="19"/>
  <c r="AJ10" i="19" s="1"/>
  <c r="AI16" i="19"/>
  <c r="AJ16" i="19" s="1"/>
  <c r="AD22" i="19"/>
  <c r="AE22" i="19" s="1"/>
  <c r="L23" i="19"/>
  <c r="M23" i="19" s="1"/>
  <c r="AD23" i="19"/>
  <c r="AE23" i="19" s="1"/>
  <c r="AQ24" i="19"/>
  <c r="AR24" i="19" s="1"/>
  <c r="H27" i="19"/>
  <c r="I27" i="19" s="1"/>
  <c r="Z27" i="19"/>
  <c r="AA27" i="19" s="1"/>
  <c r="H30" i="19"/>
  <c r="I30" i="19" s="1"/>
  <c r="N31" i="19"/>
  <c r="O31" i="19" s="1"/>
  <c r="AI31" i="19"/>
  <c r="AJ31" i="19" s="1"/>
  <c r="H7" i="19"/>
  <c r="I7" i="19" s="1"/>
  <c r="Q7" i="19"/>
  <c r="R7" i="19" s="1"/>
  <c r="Z7" i="19"/>
  <c r="AA7" i="19" s="1"/>
  <c r="AI7" i="19"/>
  <c r="AJ7" i="19" s="1"/>
  <c r="AU21" i="19"/>
  <c r="AV21" i="19" s="1"/>
  <c r="AM21" i="19"/>
  <c r="AN21" i="19" s="1"/>
  <c r="AD21" i="19"/>
  <c r="AE21" i="19" s="1"/>
  <c r="V21" i="19"/>
  <c r="W21" i="19" s="1"/>
  <c r="L21" i="19"/>
  <c r="M21" i="19" s="1"/>
  <c r="D21" i="19"/>
  <c r="E21" i="19" s="1"/>
  <c r="AK21" i="19"/>
  <c r="AL21" i="19" s="1"/>
  <c r="Q21" i="19"/>
  <c r="R21" i="19" s="1"/>
  <c r="AS21" i="19"/>
  <c r="AT21" i="19" s="1"/>
  <c r="Z21" i="19"/>
  <c r="AA21" i="19" s="1"/>
  <c r="F21" i="19"/>
  <c r="G21" i="19" s="1"/>
  <c r="AF21" i="19"/>
  <c r="AG21" i="19" s="1"/>
  <c r="B21" i="19"/>
  <c r="C21" i="19" s="1"/>
  <c r="AU22" i="19"/>
  <c r="AV22" i="19" s="1"/>
  <c r="AB22" i="19"/>
  <c r="AC22" i="19" s="1"/>
  <c r="H22" i="19"/>
  <c r="I22" i="19" s="1"/>
  <c r="AK22" i="19"/>
  <c r="AL22" i="19" s="1"/>
  <c r="Q22" i="19"/>
  <c r="R22" i="19" s="1"/>
  <c r="F22" i="19"/>
  <c r="G22" i="19" s="1"/>
  <c r="AQ22" i="19"/>
  <c r="AR22" i="19" s="1"/>
  <c r="AF22" i="19"/>
  <c r="AG22" i="19" s="1"/>
  <c r="L22" i="19"/>
  <c r="M22" i="19" s="1"/>
  <c r="N22" i="19"/>
  <c r="O22" i="19" s="1"/>
  <c r="N23" i="19"/>
  <c r="O23" i="19" s="1"/>
  <c r="L24" i="19"/>
  <c r="M24" i="19" s="1"/>
  <c r="AD24" i="19"/>
  <c r="AE24" i="19" s="1"/>
  <c r="AS24" i="19"/>
  <c r="AT24" i="19" s="1"/>
  <c r="AD27" i="19"/>
  <c r="AE27" i="19" s="1"/>
  <c r="AU27" i="19"/>
  <c r="AV27" i="19" s="1"/>
  <c r="Q31" i="19"/>
  <c r="R31" i="19" s="1"/>
  <c r="AQ17" i="19"/>
  <c r="AR17" i="19" s="1"/>
  <c r="AI17" i="19"/>
  <c r="AJ17" i="19" s="1"/>
  <c r="Z17" i="19"/>
  <c r="AA17" i="19" s="1"/>
  <c r="Q17" i="19"/>
  <c r="R17" i="19" s="1"/>
  <c r="H17" i="19"/>
  <c r="I17" i="19" s="1"/>
  <c r="J17" i="19"/>
  <c r="K17" i="19" s="1"/>
  <c r="AD17" i="19"/>
  <c r="AE17" i="19" s="1"/>
  <c r="J18" i="19"/>
  <c r="K18" i="19" s="1"/>
  <c r="V18" i="19"/>
  <c r="W18" i="19" s="1"/>
  <c r="AO18" i="19"/>
  <c r="AP18" i="19" s="1"/>
  <c r="N25" i="19"/>
  <c r="O25" i="19" s="1"/>
  <c r="AS25" i="19"/>
  <c r="AT25" i="19" s="1"/>
  <c r="F26" i="19"/>
  <c r="G26" i="19" s="1"/>
  <c r="Z26" i="19"/>
  <c r="AA26" i="19" s="1"/>
  <c r="AK26" i="19"/>
  <c r="AL26" i="19" s="1"/>
  <c r="D17" i="19"/>
  <c r="E17" i="19" s="1"/>
  <c r="X17" i="19"/>
  <c r="Y17" i="19" s="1"/>
  <c r="N18" i="19"/>
  <c r="O18" i="19" s="1"/>
  <c r="T25" i="19"/>
  <c r="U25" i="19" s="1"/>
  <c r="T26" i="19"/>
  <c r="U26" i="19" s="1"/>
  <c r="AD26" i="19"/>
  <c r="AE26" i="19" s="1"/>
  <c r="AS33" i="19"/>
  <c r="AT33" i="19" s="1"/>
  <c r="AK33" i="19"/>
  <c r="AL33" i="19" s="1"/>
  <c r="AB33" i="19"/>
  <c r="AC33" i="19" s="1"/>
  <c r="T33" i="19"/>
  <c r="U33" i="19" s="1"/>
  <c r="J33" i="19"/>
  <c r="K33" i="19" s="1"/>
  <c r="B33" i="19"/>
  <c r="C33" i="19" s="1"/>
  <c r="AQ33" i="19"/>
  <c r="AR33" i="19" s="1"/>
  <c r="AI33" i="19"/>
  <c r="AJ33" i="19" s="1"/>
  <c r="Z33" i="19"/>
  <c r="AA33" i="19" s="1"/>
  <c r="Q33" i="19"/>
  <c r="R33" i="19" s="1"/>
  <c r="H33" i="19"/>
  <c r="I33" i="19" s="1"/>
  <c r="AO33" i="19"/>
  <c r="AP33" i="19" s="1"/>
  <c r="AF33" i="19"/>
  <c r="AG33" i="19" s="1"/>
  <c r="X33" i="19"/>
  <c r="Y33" i="19" s="1"/>
  <c r="AU33" i="19"/>
  <c r="AV33" i="19" s="1"/>
  <c r="AM33" i="19"/>
  <c r="AN33" i="19" s="1"/>
  <c r="AD33" i="19"/>
  <c r="AE33" i="19" s="1"/>
  <c r="N33" i="19"/>
  <c r="O33" i="19" s="1"/>
  <c r="AQ35" i="19"/>
  <c r="AR35" i="19" s="1"/>
  <c r="AI35" i="19"/>
  <c r="AJ35" i="19" s="1"/>
  <c r="Z35" i="19"/>
  <c r="AA35" i="19" s="1"/>
  <c r="Q35" i="19"/>
  <c r="R35" i="19" s="1"/>
  <c r="H35" i="19"/>
  <c r="I35" i="19" s="1"/>
  <c r="AO35" i="19"/>
  <c r="AP35" i="19" s="1"/>
  <c r="AF35" i="19"/>
  <c r="AG35" i="19" s="1"/>
  <c r="X35" i="19"/>
  <c r="Y35" i="19" s="1"/>
  <c r="N35" i="19"/>
  <c r="O35" i="19" s="1"/>
  <c r="F35" i="19"/>
  <c r="G35" i="19" s="1"/>
  <c r="AU35" i="19"/>
  <c r="AV35" i="19" s="1"/>
  <c r="AM35" i="19"/>
  <c r="AN35" i="19" s="1"/>
  <c r="AD35" i="19"/>
  <c r="AE35" i="19" s="1"/>
  <c r="V35" i="19"/>
  <c r="W35" i="19" s="1"/>
  <c r="L35" i="19"/>
  <c r="M35" i="19" s="1"/>
  <c r="D35" i="19"/>
  <c r="E35" i="19" s="1"/>
  <c r="AS35" i="19"/>
  <c r="AT35" i="19" s="1"/>
  <c r="AK35" i="19"/>
  <c r="AL35" i="19" s="1"/>
  <c r="AB35" i="19"/>
  <c r="AC35" i="19" s="1"/>
  <c r="T35" i="19"/>
  <c r="U35" i="19" s="1"/>
  <c r="J35" i="19"/>
  <c r="K35" i="19" s="1"/>
  <c r="B35" i="19"/>
  <c r="C35" i="19" s="1"/>
  <c r="AQ25" i="19"/>
  <c r="AR25" i="19" s="1"/>
  <c r="AI25" i="19"/>
  <c r="AJ25" i="19" s="1"/>
  <c r="Z25" i="19"/>
  <c r="AA25" i="19" s="1"/>
  <c r="Q25" i="19"/>
  <c r="R25" i="19" s="1"/>
  <c r="H25" i="19"/>
  <c r="I25" i="19" s="1"/>
  <c r="J25" i="19"/>
  <c r="K25" i="19" s="1"/>
  <c r="AD25" i="19"/>
  <c r="AE25" i="19" s="1"/>
  <c r="AQ26" i="19"/>
  <c r="AR26" i="19" s="1"/>
  <c r="AI26" i="19"/>
  <c r="AJ26" i="19" s="1"/>
  <c r="J26" i="19"/>
  <c r="K26" i="19" s="1"/>
  <c r="V26" i="19"/>
  <c r="W26" i="19" s="1"/>
  <c r="F40" i="19"/>
  <c r="G40" i="19" s="1"/>
  <c r="T40" i="19"/>
  <c r="U40" i="19" s="1"/>
  <c r="AI40" i="19"/>
  <c r="AJ40" i="19" s="1"/>
  <c r="AU40" i="19"/>
  <c r="AV40" i="19" s="1"/>
  <c r="J45" i="19"/>
  <c r="K45" i="19" s="1"/>
  <c r="J46" i="19"/>
  <c r="K46" i="19" s="1"/>
  <c r="Z46" i="19"/>
  <c r="AA46" i="19" s="1"/>
  <c r="AU49" i="19"/>
  <c r="AV49" i="19" s="1"/>
  <c r="AM49" i="19"/>
  <c r="AN49" i="19" s="1"/>
  <c r="AD49" i="19"/>
  <c r="AE49" i="19" s="1"/>
  <c r="V49" i="19"/>
  <c r="W49" i="19" s="1"/>
  <c r="L49" i="19"/>
  <c r="M49" i="19" s="1"/>
  <c r="D49" i="19"/>
  <c r="E49" i="19" s="1"/>
  <c r="AQ49" i="19"/>
  <c r="AR49" i="19" s="1"/>
  <c r="T49" i="19"/>
  <c r="U49" i="19" s="1"/>
  <c r="H49" i="19"/>
  <c r="I49" i="19" s="1"/>
  <c r="AB49" i="19"/>
  <c r="AC49" i="19" s="1"/>
  <c r="Q49" i="19"/>
  <c r="R49" i="19" s="1"/>
  <c r="AK49" i="19"/>
  <c r="AL49" i="19" s="1"/>
  <c r="Z49" i="19"/>
  <c r="AA49" i="19" s="1"/>
  <c r="B49" i="19"/>
  <c r="C49" i="19" s="1"/>
  <c r="H50" i="19"/>
  <c r="I50" i="19" s="1"/>
  <c r="AI51" i="19"/>
  <c r="AJ51" i="19" s="1"/>
  <c r="H34" i="19"/>
  <c r="I34" i="19" s="1"/>
  <c r="Q34" i="19"/>
  <c r="R34" i="19" s="1"/>
  <c r="Z34" i="19"/>
  <c r="AA34" i="19" s="1"/>
  <c r="AI34" i="19"/>
  <c r="AJ34" i="19" s="1"/>
  <c r="AU37" i="19"/>
  <c r="AV37" i="19" s="1"/>
  <c r="AM37" i="19"/>
  <c r="AN37" i="19" s="1"/>
  <c r="AD37" i="19"/>
  <c r="AE37" i="19" s="1"/>
  <c r="V37" i="19"/>
  <c r="W37" i="19" s="1"/>
  <c r="L37" i="19"/>
  <c r="M37" i="19" s="1"/>
  <c r="AS37" i="19"/>
  <c r="AT37" i="19" s="1"/>
  <c r="AK37" i="19"/>
  <c r="AL37" i="19" s="1"/>
  <c r="AB37" i="19"/>
  <c r="AC37" i="19" s="1"/>
  <c r="T37" i="19"/>
  <c r="U37" i="19" s="1"/>
  <c r="J37" i="19"/>
  <c r="K37" i="19" s="1"/>
  <c r="AU39" i="19"/>
  <c r="AV39" i="19" s="1"/>
  <c r="AM39" i="19"/>
  <c r="AN39" i="19" s="1"/>
  <c r="AD39" i="19"/>
  <c r="AE39" i="19" s="1"/>
  <c r="V39" i="19"/>
  <c r="W39" i="19" s="1"/>
  <c r="L39" i="19"/>
  <c r="M39" i="19" s="1"/>
  <c r="D39" i="19"/>
  <c r="E39" i="19" s="1"/>
  <c r="AS39" i="19"/>
  <c r="AT39" i="19" s="1"/>
  <c r="AK39" i="19"/>
  <c r="AL39" i="19" s="1"/>
  <c r="AB39" i="19"/>
  <c r="AC39" i="19" s="1"/>
  <c r="T39" i="19"/>
  <c r="U39" i="19" s="1"/>
  <c r="J39" i="19"/>
  <c r="K39" i="19" s="1"/>
  <c r="B39" i="19"/>
  <c r="C39" i="19" s="1"/>
  <c r="AQ39" i="19"/>
  <c r="AR39" i="19" s="1"/>
  <c r="AI39" i="19"/>
  <c r="AJ39" i="19" s="1"/>
  <c r="Z39" i="19"/>
  <c r="AA39" i="19" s="1"/>
  <c r="Q39" i="19"/>
  <c r="R39" i="19" s="1"/>
  <c r="H39" i="19"/>
  <c r="I39" i="19" s="1"/>
  <c r="N39" i="19"/>
  <c r="O39" i="19" s="1"/>
  <c r="H40" i="19"/>
  <c r="I40" i="19" s="1"/>
  <c r="V40" i="19"/>
  <c r="W40" i="19" s="1"/>
  <c r="AS41" i="19"/>
  <c r="AT41" i="19" s="1"/>
  <c r="AK41" i="19"/>
  <c r="AL41" i="19" s="1"/>
  <c r="AB41" i="19"/>
  <c r="AC41" i="19" s="1"/>
  <c r="T41" i="19"/>
  <c r="U41" i="19" s="1"/>
  <c r="J41" i="19"/>
  <c r="K41" i="19" s="1"/>
  <c r="B41" i="19"/>
  <c r="C41" i="19" s="1"/>
  <c r="AQ41" i="19"/>
  <c r="AR41" i="19" s="1"/>
  <c r="AI41" i="19"/>
  <c r="AJ41" i="19" s="1"/>
  <c r="Z41" i="19"/>
  <c r="AA41" i="19" s="1"/>
  <c r="Q41" i="19"/>
  <c r="R41" i="19" s="1"/>
  <c r="H41" i="19"/>
  <c r="I41" i="19" s="1"/>
  <c r="AO41" i="19"/>
  <c r="AP41" i="19" s="1"/>
  <c r="AF41" i="19"/>
  <c r="AG41" i="19" s="1"/>
  <c r="X41" i="19"/>
  <c r="Y41" i="19" s="1"/>
  <c r="N41" i="19"/>
  <c r="O41" i="19" s="1"/>
  <c r="F41" i="19"/>
  <c r="G41" i="19" s="1"/>
  <c r="L45" i="19"/>
  <c r="M45" i="19" s="1"/>
  <c r="AD45" i="19"/>
  <c r="AE45" i="19" s="1"/>
  <c r="AB46" i="19"/>
  <c r="AC46" i="19" s="1"/>
  <c r="AQ46" i="19"/>
  <c r="AR46" i="19" s="1"/>
  <c r="AO49" i="19"/>
  <c r="AP49" i="19" s="1"/>
  <c r="AD50" i="19"/>
  <c r="AE50" i="19" s="1"/>
  <c r="AU50" i="19"/>
  <c r="AV50" i="19" s="1"/>
  <c r="Q51" i="19"/>
  <c r="R51" i="19" s="1"/>
  <c r="X40" i="19"/>
  <c r="Y40" i="19" s="1"/>
  <c r="AK40" i="19"/>
  <c r="AL40" i="19" s="1"/>
  <c r="AQ43" i="19"/>
  <c r="AR43" i="19" s="1"/>
  <c r="AI43" i="19"/>
  <c r="AJ43" i="19" s="1"/>
  <c r="Z43" i="19"/>
  <c r="AA43" i="19" s="1"/>
  <c r="Q43" i="19"/>
  <c r="R43" i="19" s="1"/>
  <c r="H43" i="19"/>
  <c r="I43" i="19" s="1"/>
  <c r="AO43" i="19"/>
  <c r="AP43" i="19" s="1"/>
  <c r="AF43" i="19"/>
  <c r="AG43" i="19" s="1"/>
  <c r="X43" i="19"/>
  <c r="Y43" i="19" s="1"/>
  <c r="N43" i="19"/>
  <c r="O43" i="19" s="1"/>
  <c r="F43" i="19"/>
  <c r="G43" i="19" s="1"/>
  <c r="AU43" i="19"/>
  <c r="AV43" i="19" s="1"/>
  <c r="AM43" i="19"/>
  <c r="AN43" i="19" s="1"/>
  <c r="AD43" i="19"/>
  <c r="AE43" i="19" s="1"/>
  <c r="V43" i="19"/>
  <c r="W43" i="19" s="1"/>
  <c r="L43" i="19"/>
  <c r="M43" i="19" s="1"/>
  <c r="D43" i="19"/>
  <c r="E43" i="19" s="1"/>
  <c r="AB43" i="19"/>
  <c r="AC43" i="19" s="1"/>
  <c r="N45" i="19"/>
  <c r="O45" i="19" s="1"/>
  <c r="L46" i="19"/>
  <c r="M46" i="19" s="1"/>
  <c r="AD46" i="19"/>
  <c r="AE46" i="19" s="1"/>
  <c r="AO51" i="19"/>
  <c r="AP51" i="19" s="1"/>
  <c r="AF51" i="19"/>
  <c r="AG51" i="19" s="1"/>
  <c r="AU51" i="19"/>
  <c r="AV51" i="19" s="1"/>
  <c r="AB51" i="19"/>
  <c r="AC51" i="19" s="1"/>
  <c r="T51" i="19"/>
  <c r="U51" i="19" s="1"/>
  <c r="J51" i="19"/>
  <c r="K51" i="19" s="1"/>
  <c r="B51" i="19"/>
  <c r="C51" i="19" s="1"/>
  <c r="AM51" i="19"/>
  <c r="AN51" i="19" s="1"/>
  <c r="Z51" i="19"/>
  <c r="AA51" i="19" s="1"/>
  <c r="N51" i="19"/>
  <c r="O51" i="19" s="1"/>
  <c r="X51" i="19"/>
  <c r="Y51" i="19" s="1"/>
  <c r="AS51" i="19"/>
  <c r="AT51" i="19" s="1"/>
  <c r="H51" i="19"/>
  <c r="I51" i="19" s="1"/>
  <c r="AM45" i="19"/>
  <c r="AN45" i="19" s="1"/>
  <c r="AB45" i="19"/>
  <c r="AC45" i="19" s="1"/>
  <c r="H45" i="19"/>
  <c r="I45" i="19" s="1"/>
  <c r="AS45" i="19"/>
  <c r="AT45" i="19" s="1"/>
  <c r="Z45" i="19"/>
  <c r="AA45" i="19" s="1"/>
  <c r="F45" i="19"/>
  <c r="G45" i="19" s="1"/>
  <c r="AQ45" i="19"/>
  <c r="AR45" i="19" s="1"/>
  <c r="X45" i="19"/>
  <c r="Y45" i="19" s="1"/>
  <c r="D45" i="19"/>
  <c r="E45" i="19" s="1"/>
  <c r="Q45" i="19"/>
  <c r="R45" i="19" s="1"/>
  <c r="AF45" i="19"/>
  <c r="AG45" i="19" s="1"/>
  <c r="AO46" i="19"/>
  <c r="AP46" i="19" s="1"/>
  <c r="AF46" i="19"/>
  <c r="AG46" i="19" s="1"/>
  <c r="X46" i="19"/>
  <c r="Y46" i="19" s="1"/>
  <c r="N46" i="19"/>
  <c r="O46" i="19" s="1"/>
  <c r="F46" i="19"/>
  <c r="G46" i="19" s="1"/>
  <c r="AM46" i="19"/>
  <c r="AN46" i="19" s="1"/>
  <c r="T46" i="19"/>
  <c r="U46" i="19" s="1"/>
  <c r="AK46" i="19"/>
  <c r="AL46" i="19" s="1"/>
  <c r="Q46" i="19"/>
  <c r="R46" i="19" s="1"/>
  <c r="AI46" i="19"/>
  <c r="AJ46" i="19" s="1"/>
  <c r="D46" i="19"/>
  <c r="E46" i="19" s="1"/>
  <c r="AU46" i="19"/>
  <c r="AV46" i="19" s="1"/>
  <c r="D29" i="19"/>
  <c r="E29" i="19" s="1"/>
  <c r="L29" i="19"/>
  <c r="M29" i="19" s="1"/>
  <c r="V29" i="19"/>
  <c r="W29" i="19" s="1"/>
  <c r="AD29" i="19"/>
  <c r="AE29" i="19" s="1"/>
  <c r="AM29" i="19"/>
  <c r="AN29" i="19" s="1"/>
  <c r="D37" i="19"/>
  <c r="E37" i="19" s="1"/>
  <c r="N37" i="19"/>
  <c r="O37" i="19" s="1"/>
  <c r="Z37" i="19"/>
  <c r="AA37" i="19" s="1"/>
  <c r="F39" i="19"/>
  <c r="G39" i="19" s="1"/>
  <c r="L40" i="19"/>
  <c r="M40" i="19" s="1"/>
  <c r="AO40" i="19"/>
  <c r="AP40" i="19" s="1"/>
  <c r="AU41" i="19"/>
  <c r="AV41" i="19" s="1"/>
  <c r="AS43" i="19"/>
  <c r="AT43" i="19" s="1"/>
  <c r="B45" i="19"/>
  <c r="C45" i="19" s="1"/>
  <c r="T45" i="19"/>
  <c r="U45" i="19" s="1"/>
  <c r="AI45" i="19"/>
  <c r="AJ45" i="19" s="1"/>
  <c r="B46" i="19"/>
  <c r="C46" i="19" s="1"/>
  <c r="J49" i="19"/>
  <c r="K49" i="19" s="1"/>
  <c r="F51" i="19"/>
  <c r="G51" i="19" s="1"/>
  <c r="AS56" i="19"/>
  <c r="AT56" i="19" s="1"/>
  <c r="AK56" i="19"/>
  <c r="AL56" i="19" s="1"/>
  <c r="AB56" i="19"/>
  <c r="AC56" i="19" s="1"/>
  <c r="T56" i="19"/>
  <c r="U56" i="19" s="1"/>
  <c r="J56" i="19"/>
  <c r="K56" i="19" s="1"/>
  <c r="B56" i="19"/>
  <c r="C56" i="19" s="1"/>
  <c r="AI56" i="19"/>
  <c r="AJ56" i="19" s="1"/>
  <c r="X56" i="19"/>
  <c r="Y56" i="19" s="1"/>
  <c r="AQ56" i="19"/>
  <c r="AR56" i="19" s="1"/>
  <c r="AF56" i="19"/>
  <c r="AG56" i="19" s="1"/>
  <c r="H56" i="19"/>
  <c r="I56" i="19" s="1"/>
  <c r="AD56" i="19"/>
  <c r="AE56" i="19" s="1"/>
  <c r="AM56" i="19"/>
  <c r="AN56" i="19" s="1"/>
  <c r="V56" i="19"/>
  <c r="W56" i="19" s="1"/>
  <c r="N56" i="19"/>
  <c r="O56" i="19" s="1"/>
  <c r="L56" i="19"/>
  <c r="M56" i="19" s="1"/>
  <c r="AU56" i="19"/>
  <c r="AV56" i="19" s="1"/>
  <c r="Z56" i="19"/>
  <c r="AA56" i="19" s="1"/>
  <c r="F56" i="19"/>
  <c r="G56" i="19" s="1"/>
  <c r="N40" i="19"/>
  <c r="O40" i="19" s="1"/>
  <c r="AB40" i="19"/>
  <c r="AC40" i="19" s="1"/>
  <c r="AQ40" i="19"/>
  <c r="AR40" i="19" s="1"/>
  <c r="V45" i="19"/>
  <c r="W45" i="19" s="1"/>
  <c r="AK45" i="19"/>
  <c r="AL45" i="19" s="1"/>
  <c r="AS50" i="19"/>
  <c r="AT50" i="19" s="1"/>
  <c r="AK50" i="19"/>
  <c r="AL50" i="19" s="1"/>
  <c r="AB50" i="19"/>
  <c r="AC50" i="19" s="1"/>
  <c r="T50" i="19"/>
  <c r="U50" i="19" s="1"/>
  <c r="J50" i="19"/>
  <c r="K50" i="19" s="1"/>
  <c r="B50" i="19"/>
  <c r="C50" i="19" s="1"/>
  <c r="Q50" i="19"/>
  <c r="R50" i="19" s="1"/>
  <c r="Z50" i="19"/>
  <c r="AA50" i="19" s="1"/>
  <c r="AI50" i="19"/>
  <c r="AJ50" i="19" s="1"/>
  <c r="AM50" i="19"/>
  <c r="AN50" i="19" s="1"/>
  <c r="B40" i="19"/>
  <c r="C40" i="19" s="1"/>
  <c r="Q40" i="19"/>
  <c r="R40" i="19" s="1"/>
  <c r="V46" i="19"/>
  <c r="W46" i="19" s="1"/>
  <c r="D50" i="19"/>
  <c r="E50" i="19" s="1"/>
  <c r="V50" i="19"/>
  <c r="W50" i="19" s="1"/>
  <c r="AO50" i="19"/>
  <c r="AP50" i="19" s="1"/>
  <c r="AS55" i="19"/>
  <c r="AT55" i="19" s="1"/>
  <c r="AK55" i="19"/>
  <c r="AL55" i="19" s="1"/>
  <c r="AB55" i="19"/>
  <c r="AC55" i="19" s="1"/>
  <c r="T55" i="19"/>
  <c r="U55" i="19" s="1"/>
  <c r="J55" i="19"/>
  <c r="K55" i="19" s="1"/>
  <c r="B55" i="19"/>
  <c r="C55" i="19" s="1"/>
  <c r="Z55" i="19"/>
  <c r="AA55" i="19" s="1"/>
  <c r="AI55" i="19"/>
  <c r="AJ55" i="19" s="1"/>
  <c r="AF55" i="19"/>
  <c r="AG55" i="19" s="1"/>
  <c r="V55" i="19"/>
  <c r="W55" i="19" s="1"/>
  <c r="AM55" i="19"/>
  <c r="AN55" i="19" s="1"/>
  <c r="AQ58" i="19"/>
  <c r="AR58" i="19" s="1"/>
  <c r="AI58" i="19"/>
  <c r="AJ58" i="19" s="1"/>
  <c r="Z58" i="19"/>
  <c r="AA58" i="19" s="1"/>
  <c r="Q58" i="19"/>
  <c r="R58" i="19" s="1"/>
  <c r="H58" i="19"/>
  <c r="I58" i="19" s="1"/>
  <c r="AO58" i="19"/>
  <c r="AP58" i="19" s="1"/>
  <c r="AD58" i="19"/>
  <c r="AE58" i="19" s="1"/>
  <c r="F58" i="19"/>
  <c r="G58" i="19" s="1"/>
  <c r="AM58" i="19"/>
  <c r="AN58" i="19" s="1"/>
  <c r="N58" i="19"/>
  <c r="O58" i="19" s="1"/>
  <c r="D58" i="19"/>
  <c r="E58" i="19" s="1"/>
  <c r="AK58" i="19"/>
  <c r="AL58" i="19" s="1"/>
  <c r="B58" i="19"/>
  <c r="C58" i="19" s="1"/>
  <c r="V58" i="19"/>
  <c r="W58" i="19" s="1"/>
  <c r="AS44" i="19"/>
  <c r="AT44" i="19" s="1"/>
  <c r="AQ57" i="19"/>
  <c r="AR57" i="19" s="1"/>
  <c r="AI57" i="19"/>
  <c r="AJ57" i="19" s="1"/>
  <c r="Z57" i="19"/>
  <c r="AA57" i="19" s="1"/>
  <c r="Q57" i="19"/>
  <c r="R57" i="19" s="1"/>
  <c r="H57" i="19"/>
  <c r="I57" i="19" s="1"/>
  <c r="AF57" i="19"/>
  <c r="AG57" i="19" s="1"/>
  <c r="AO57" i="19"/>
  <c r="AP57" i="19" s="1"/>
  <c r="F57" i="19"/>
  <c r="G57" i="19" s="1"/>
  <c r="AM57" i="19"/>
  <c r="AN57" i="19" s="1"/>
  <c r="AB57" i="19"/>
  <c r="AC57" i="19" s="1"/>
  <c r="D57" i="19"/>
  <c r="E57" i="19" s="1"/>
  <c r="T57" i="19"/>
  <c r="U57" i="19" s="1"/>
  <c r="AK57" i="19"/>
  <c r="AL57" i="19" s="1"/>
  <c r="AU63" i="19"/>
  <c r="AV63" i="19" s="1"/>
  <c r="AM63" i="19"/>
  <c r="AN63" i="19" s="1"/>
  <c r="AD63" i="19"/>
  <c r="AE63" i="19" s="1"/>
  <c r="V63" i="19"/>
  <c r="W63" i="19" s="1"/>
  <c r="L63" i="19"/>
  <c r="M63" i="19" s="1"/>
  <c r="D63" i="19"/>
  <c r="E63" i="19" s="1"/>
  <c r="AS63" i="19"/>
  <c r="AT63" i="19" s="1"/>
  <c r="AK63" i="19"/>
  <c r="AL63" i="19" s="1"/>
  <c r="AB63" i="19"/>
  <c r="AC63" i="19" s="1"/>
  <c r="T63" i="19"/>
  <c r="U63" i="19" s="1"/>
  <c r="J63" i="19"/>
  <c r="K63" i="19" s="1"/>
  <c r="B63" i="19"/>
  <c r="C63" i="19" s="1"/>
  <c r="AO63" i="19"/>
  <c r="AP63" i="19" s="1"/>
  <c r="AF63" i="19"/>
  <c r="AG63" i="19" s="1"/>
  <c r="X63" i="19"/>
  <c r="Y63" i="19" s="1"/>
  <c r="N63" i="19"/>
  <c r="O63" i="19" s="1"/>
  <c r="F63" i="19"/>
  <c r="G63" i="19" s="1"/>
  <c r="AI63" i="19"/>
  <c r="AJ63" i="19" s="1"/>
  <c r="Q63" i="19"/>
  <c r="R63" i="19" s="1"/>
  <c r="AQ63" i="19"/>
  <c r="AR63" i="19" s="1"/>
  <c r="Z63" i="19"/>
  <c r="AA63" i="19" s="1"/>
  <c r="H63" i="19"/>
  <c r="I63" i="19" s="1"/>
  <c r="AU44" i="19"/>
  <c r="AV44" i="19" s="1"/>
  <c r="H55" i="19"/>
  <c r="I55" i="19" s="1"/>
  <c r="AU55" i="19"/>
  <c r="AV55" i="19" s="1"/>
  <c r="X57" i="19"/>
  <c r="Y57" i="19" s="1"/>
  <c r="J58" i="19"/>
  <c r="K58" i="19" s="1"/>
  <c r="AU58" i="19"/>
  <c r="AV58" i="19" s="1"/>
  <c r="AU54" i="19"/>
  <c r="AV54" i="19" s="1"/>
  <c r="AM54" i="19"/>
  <c r="AN54" i="19" s="1"/>
  <c r="AD54" i="19"/>
  <c r="AE54" i="19" s="1"/>
  <c r="V54" i="19"/>
  <c r="W54" i="19" s="1"/>
  <c r="L54" i="19"/>
  <c r="M54" i="19" s="1"/>
  <c r="D54" i="19"/>
  <c r="E54" i="19" s="1"/>
  <c r="X54" i="19"/>
  <c r="Y54" i="19" s="1"/>
  <c r="J59" i="19"/>
  <c r="K59" i="19" s="1"/>
  <c r="AI59" i="19"/>
  <c r="AJ59" i="19" s="1"/>
  <c r="AF65" i="19"/>
  <c r="AG65" i="19" s="1"/>
  <c r="F66" i="19"/>
  <c r="G66" i="19" s="1"/>
  <c r="AD66" i="19"/>
  <c r="AE66" i="19" s="1"/>
  <c r="AO59" i="19"/>
  <c r="AP59" i="19" s="1"/>
  <c r="AF59" i="19"/>
  <c r="AG59" i="19" s="1"/>
  <c r="X59" i="19"/>
  <c r="Y59" i="19" s="1"/>
  <c r="N59" i="19"/>
  <c r="O59" i="19" s="1"/>
  <c r="F59" i="19"/>
  <c r="G59" i="19" s="1"/>
  <c r="L59" i="19"/>
  <c r="M59" i="19" s="1"/>
  <c r="AU59" i="19"/>
  <c r="AV59" i="19" s="1"/>
  <c r="AF66" i="19"/>
  <c r="AG66" i="19" s="1"/>
  <c r="N65" i="19"/>
  <c r="O65" i="19" s="1"/>
  <c r="L66" i="19"/>
  <c r="M66" i="19" s="1"/>
  <c r="D48" i="19"/>
  <c r="E48" i="19" s="1"/>
  <c r="L48" i="19"/>
  <c r="M48" i="19" s="1"/>
  <c r="V48" i="19"/>
  <c r="W48" i="19" s="1"/>
  <c r="AD48" i="19"/>
  <c r="AE48" i="19" s="1"/>
  <c r="AM48" i="19"/>
  <c r="AN48" i="19" s="1"/>
  <c r="Q54" i="19"/>
  <c r="R54" i="19" s="1"/>
  <c r="AB54" i="19"/>
  <c r="AC54" i="19" s="1"/>
  <c r="D59" i="19"/>
  <c r="E59" i="19" s="1"/>
  <c r="AM59" i="19"/>
  <c r="AN59" i="19" s="1"/>
  <c r="N66" i="19"/>
  <c r="O66" i="19" s="1"/>
  <c r="AM66" i="19"/>
  <c r="AN66" i="19" s="1"/>
  <c r="AO66" i="19"/>
  <c r="AP66" i="19" s="1"/>
  <c r="AS65" i="19"/>
  <c r="AT65" i="19" s="1"/>
  <c r="AK65" i="19"/>
  <c r="AL65" i="19" s="1"/>
  <c r="AB65" i="19"/>
  <c r="AC65" i="19" s="1"/>
  <c r="T65" i="19"/>
  <c r="U65" i="19" s="1"/>
  <c r="J65" i="19"/>
  <c r="K65" i="19" s="1"/>
  <c r="B65" i="19"/>
  <c r="C65" i="19" s="1"/>
  <c r="AQ65" i="19"/>
  <c r="AR65" i="19" s="1"/>
  <c r="AI65" i="19"/>
  <c r="AJ65" i="19" s="1"/>
  <c r="Z65" i="19"/>
  <c r="AA65" i="19" s="1"/>
  <c r="Q65" i="19"/>
  <c r="R65" i="19" s="1"/>
  <c r="H65" i="19"/>
  <c r="I65" i="19" s="1"/>
  <c r="AU65" i="19"/>
  <c r="AV65" i="19" s="1"/>
  <c r="AM65" i="19"/>
  <c r="AN65" i="19" s="1"/>
  <c r="AD65" i="19"/>
  <c r="AE65" i="19" s="1"/>
  <c r="V65" i="19"/>
  <c r="W65" i="19" s="1"/>
  <c r="L65" i="19"/>
  <c r="M65" i="19" s="1"/>
  <c r="D65" i="19"/>
  <c r="E65" i="19" s="1"/>
  <c r="X65" i="19"/>
  <c r="Y65" i="19" s="1"/>
  <c r="AS66" i="19"/>
  <c r="AT66" i="19" s="1"/>
  <c r="AK66" i="19"/>
  <c r="AL66" i="19" s="1"/>
  <c r="AB66" i="19"/>
  <c r="AC66" i="19" s="1"/>
  <c r="T66" i="19"/>
  <c r="U66" i="19" s="1"/>
  <c r="J66" i="19"/>
  <c r="K66" i="19" s="1"/>
  <c r="B66" i="19"/>
  <c r="C66" i="19" s="1"/>
  <c r="AQ66" i="19"/>
  <c r="AR66" i="19" s="1"/>
  <c r="AI66" i="19"/>
  <c r="AJ66" i="19" s="1"/>
  <c r="Z66" i="19"/>
  <c r="AA66" i="19" s="1"/>
  <c r="Q66" i="19"/>
  <c r="R66" i="19" s="1"/>
  <c r="H66" i="19"/>
  <c r="I66" i="19" s="1"/>
  <c r="X66" i="19"/>
  <c r="Y66" i="19" s="1"/>
  <c r="AU66" i="19"/>
  <c r="AV66" i="19" s="1"/>
  <c r="N52" i="19"/>
  <c r="O52" i="19" s="1"/>
  <c r="X52" i="19"/>
  <c r="Y52" i="19" s="1"/>
  <c r="AF52" i="19"/>
  <c r="AG52" i="19" s="1"/>
  <c r="F60" i="19"/>
  <c r="G60" i="19" s="1"/>
  <c r="N60" i="19"/>
  <c r="O60" i="19" s="1"/>
  <c r="X60" i="19"/>
  <c r="Y60" i="19" s="1"/>
  <c r="AF60" i="19"/>
  <c r="AG60" i="19" s="1"/>
  <c r="D62" i="19"/>
  <c r="E62" i="19" s="1"/>
  <c r="L62" i="19"/>
  <c r="M62" i="19" s="1"/>
  <c r="V62" i="19"/>
  <c r="W62" i="19" s="1"/>
  <c r="AD62" i="19"/>
  <c r="AE62" i="19" s="1"/>
  <c r="AM62" i="19"/>
  <c r="AN62" i="19" s="1"/>
  <c r="B64" i="19"/>
  <c r="C64" i="19" s="1"/>
  <c r="J64" i="19"/>
  <c r="K64" i="19" s="1"/>
  <c r="T64" i="19"/>
  <c r="U64" i="19" s="1"/>
  <c r="AB64" i="19"/>
  <c r="AC64" i="19" s="1"/>
  <c r="AK64" i="19"/>
  <c r="AL64" i="19" s="1"/>
  <c r="D53" i="19"/>
  <c r="E53" i="19" s="1"/>
  <c r="L53" i="19"/>
  <c r="M53" i="19" s="1"/>
  <c r="V53" i="19"/>
  <c r="W53" i="19" s="1"/>
  <c r="AD53" i="19"/>
  <c r="AE53" i="19" s="1"/>
  <c r="AM53" i="19"/>
  <c r="AN53" i="19" s="1"/>
  <c r="D61" i="19"/>
  <c r="E61" i="19" s="1"/>
  <c r="L61" i="19"/>
  <c r="M61" i="19" s="1"/>
  <c r="V61" i="19"/>
  <c r="W61" i="19" s="1"/>
  <c r="AD61" i="19"/>
  <c r="AE61" i="19" s="1"/>
  <c r="AM61" i="19"/>
  <c r="AN61" i="19" s="1"/>
  <c r="AU99" i="11"/>
  <c r="AV99" i="11" s="1"/>
  <c r="AS99" i="11"/>
  <c r="AT99" i="11" s="1"/>
  <c r="AQ99" i="11"/>
  <c r="AR99" i="11" s="1"/>
  <c r="AO99" i="11"/>
  <c r="AP99" i="11" s="1"/>
  <c r="AM99" i="11"/>
  <c r="AN99" i="11" s="1"/>
  <c r="AK99" i="11"/>
  <c r="AL99" i="11" s="1"/>
  <c r="AI99" i="11"/>
  <c r="AJ99" i="11" s="1"/>
  <c r="AF99" i="11"/>
  <c r="AG99" i="11" s="1"/>
  <c r="AD99" i="11"/>
  <c r="AE99" i="11" s="1"/>
  <c r="AB99" i="11"/>
  <c r="AC99" i="11" s="1"/>
  <c r="Z99" i="11"/>
  <c r="AA99" i="11" s="1"/>
  <c r="X99" i="11"/>
  <c r="Y99" i="11" s="1"/>
  <c r="V99" i="11"/>
  <c r="W99" i="11" s="1"/>
  <c r="T99" i="11"/>
  <c r="U99" i="11" s="1"/>
  <c r="Q99" i="11"/>
  <c r="R99" i="11" s="1"/>
  <c r="N99" i="11"/>
  <c r="O99" i="11" s="1"/>
  <c r="L99" i="11"/>
  <c r="M99" i="11" s="1"/>
  <c r="J99" i="11"/>
  <c r="K99" i="11" s="1"/>
  <c r="H99" i="11"/>
  <c r="I99" i="11" s="1"/>
  <c r="F99" i="11"/>
  <c r="G99" i="11" s="1"/>
  <c r="D99" i="11"/>
  <c r="E99" i="11" s="1"/>
  <c r="B99" i="11"/>
  <c r="C99" i="11" s="1"/>
  <c r="AU98" i="11"/>
  <c r="AV98" i="11" s="1"/>
  <c r="AS98" i="11"/>
  <c r="AT98" i="11" s="1"/>
  <c r="AQ98" i="11"/>
  <c r="AR98" i="11" s="1"/>
  <c r="AO98" i="11"/>
  <c r="AP98" i="11" s="1"/>
  <c r="AM98" i="11"/>
  <c r="AN98" i="11" s="1"/>
  <c r="AK98" i="11"/>
  <c r="AL98" i="11" s="1"/>
  <c r="AI98" i="11"/>
  <c r="AJ98" i="11" s="1"/>
  <c r="AF98" i="11"/>
  <c r="AG98" i="11" s="1"/>
  <c r="AD98" i="11"/>
  <c r="AE98" i="11" s="1"/>
  <c r="AB98" i="11"/>
  <c r="AC98" i="11" s="1"/>
  <c r="Z98" i="11"/>
  <c r="AA98" i="11" s="1"/>
  <c r="X98" i="11"/>
  <c r="Y98" i="11" s="1"/>
  <c r="V98" i="11"/>
  <c r="W98" i="11" s="1"/>
  <c r="T98" i="11"/>
  <c r="U98" i="11" s="1"/>
  <c r="Q98" i="11"/>
  <c r="R98" i="11" s="1"/>
  <c r="N98" i="11"/>
  <c r="O98" i="11" s="1"/>
  <c r="L98" i="11"/>
  <c r="M98" i="11" s="1"/>
  <c r="J98" i="11"/>
  <c r="K98" i="11" s="1"/>
  <c r="H98" i="11"/>
  <c r="I98" i="11" s="1"/>
  <c r="F98" i="11"/>
  <c r="G98" i="11" s="1"/>
  <c r="D98" i="11"/>
  <c r="E98" i="11" s="1"/>
  <c r="B98" i="11"/>
  <c r="C98" i="11" s="1"/>
  <c r="AU97" i="11"/>
  <c r="AV97" i="11" s="1"/>
  <c r="AS97" i="11"/>
  <c r="AT97" i="11" s="1"/>
  <c r="AQ97" i="11"/>
  <c r="AR97" i="11" s="1"/>
  <c r="AO97" i="11"/>
  <c r="AP97" i="11" s="1"/>
  <c r="AM97" i="11"/>
  <c r="AN97" i="11" s="1"/>
  <c r="AK97" i="11"/>
  <c r="AL97" i="11" s="1"/>
  <c r="AI97" i="11"/>
  <c r="AJ97" i="11" s="1"/>
  <c r="AF97" i="11"/>
  <c r="AG97" i="11" s="1"/>
  <c r="AD97" i="11"/>
  <c r="AE97" i="11" s="1"/>
  <c r="AB97" i="11"/>
  <c r="AC97" i="11" s="1"/>
  <c r="Z97" i="11"/>
  <c r="AA97" i="11" s="1"/>
  <c r="X97" i="11"/>
  <c r="Y97" i="11" s="1"/>
  <c r="V97" i="11"/>
  <c r="W97" i="11" s="1"/>
  <c r="T97" i="11"/>
  <c r="U97" i="11" s="1"/>
  <c r="Q97" i="11"/>
  <c r="R97" i="11" s="1"/>
  <c r="N97" i="11"/>
  <c r="O97" i="11" s="1"/>
  <c r="L97" i="11"/>
  <c r="M97" i="11" s="1"/>
  <c r="J97" i="11"/>
  <c r="K97" i="11" s="1"/>
  <c r="H97" i="11"/>
  <c r="I97" i="11" s="1"/>
  <c r="F97" i="11"/>
  <c r="G97" i="11" s="1"/>
  <c r="D97" i="11"/>
  <c r="E97" i="11" s="1"/>
  <c r="B97" i="11"/>
  <c r="C97" i="11" s="1"/>
  <c r="AU96" i="11"/>
  <c r="AV96" i="11" s="1"/>
  <c r="AS96" i="11"/>
  <c r="AT96" i="11" s="1"/>
  <c r="AQ96" i="11"/>
  <c r="AR96" i="11" s="1"/>
  <c r="AO96" i="11"/>
  <c r="AP96" i="11" s="1"/>
  <c r="AM96" i="11"/>
  <c r="AN96" i="11" s="1"/>
  <c r="AK96" i="11"/>
  <c r="AL96" i="11" s="1"/>
  <c r="AI96" i="11"/>
  <c r="AJ96" i="11" s="1"/>
  <c r="AF96" i="11"/>
  <c r="AG96" i="11" s="1"/>
  <c r="AD96" i="11"/>
  <c r="AE96" i="11" s="1"/>
  <c r="AB96" i="11"/>
  <c r="AC96" i="11" s="1"/>
  <c r="Z96" i="11"/>
  <c r="AA96" i="11" s="1"/>
  <c r="X96" i="11"/>
  <c r="Y96" i="11" s="1"/>
  <c r="V96" i="11"/>
  <c r="W96" i="11" s="1"/>
  <c r="T96" i="11"/>
  <c r="U96" i="11" s="1"/>
  <c r="Q96" i="11"/>
  <c r="R96" i="11" s="1"/>
  <c r="N96" i="11"/>
  <c r="O96" i="11" s="1"/>
  <c r="L96" i="11"/>
  <c r="M96" i="11" s="1"/>
  <c r="J96" i="11"/>
  <c r="K96" i="11" s="1"/>
  <c r="H96" i="11"/>
  <c r="I96" i="11" s="1"/>
  <c r="F96" i="11"/>
  <c r="G96" i="11" s="1"/>
  <c r="D96" i="11"/>
  <c r="E96" i="11" s="1"/>
  <c r="B96" i="11"/>
  <c r="C96" i="11" s="1"/>
  <c r="AU95" i="11"/>
  <c r="AV95" i="11" s="1"/>
  <c r="AS95" i="11"/>
  <c r="AT95" i="11" s="1"/>
  <c r="AQ95" i="11"/>
  <c r="AR95" i="11" s="1"/>
  <c r="AO95" i="11"/>
  <c r="AP95" i="11" s="1"/>
  <c r="AM95" i="11"/>
  <c r="AN95" i="11" s="1"/>
  <c r="AK95" i="11"/>
  <c r="AL95" i="11" s="1"/>
  <c r="AI95" i="11"/>
  <c r="AJ95" i="11" s="1"/>
  <c r="AF95" i="11"/>
  <c r="AG95" i="11" s="1"/>
  <c r="AD95" i="11"/>
  <c r="AE95" i="11" s="1"/>
  <c r="AB95" i="11"/>
  <c r="AC95" i="11" s="1"/>
  <c r="Z95" i="11"/>
  <c r="AA95" i="11" s="1"/>
  <c r="X95" i="11"/>
  <c r="Y95" i="11" s="1"/>
  <c r="V95" i="11"/>
  <c r="W95" i="11" s="1"/>
  <c r="T95" i="11"/>
  <c r="U95" i="11" s="1"/>
  <c r="Q95" i="11"/>
  <c r="R95" i="11" s="1"/>
  <c r="N95" i="11"/>
  <c r="O95" i="11" s="1"/>
  <c r="L95" i="11"/>
  <c r="M95" i="11" s="1"/>
  <c r="J95" i="11"/>
  <c r="K95" i="11" s="1"/>
  <c r="H95" i="11"/>
  <c r="I95" i="11" s="1"/>
  <c r="F95" i="11"/>
  <c r="G95" i="11" s="1"/>
  <c r="D95" i="11"/>
  <c r="E95" i="11" s="1"/>
  <c r="B95" i="11"/>
  <c r="C95" i="11" s="1"/>
  <c r="AU94" i="11"/>
  <c r="AV94" i="11" s="1"/>
  <c r="AS94" i="11"/>
  <c r="AT94" i="11" s="1"/>
  <c r="AQ94" i="11"/>
  <c r="AR94" i="11" s="1"/>
  <c r="AO94" i="11"/>
  <c r="AP94" i="11" s="1"/>
  <c r="AM94" i="11"/>
  <c r="AN94" i="11" s="1"/>
  <c r="AK94" i="11"/>
  <c r="AL94" i="11" s="1"/>
  <c r="AI94" i="11"/>
  <c r="AJ94" i="11" s="1"/>
  <c r="AF94" i="11"/>
  <c r="AG94" i="11" s="1"/>
  <c r="AD94" i="11"/>
  <c r="AE94" i="11" s="1"/>
  <c r="AB94" i="11"/>
  <c r="AC94" i="11" s="1"/>
  <c r="Z94" i="11"/>
  <c r="AA94" i="11" s="1"/>
  <c r="X94" i="11"/>
  <c r="Y94" i="11" s="1"/>
  <c r="V94" i="11"/>
  <c r="W94" i="11" s="1"/>
  <c r="T94" i="11"/>
  <c r="U94" i="11" s="1"/>
  <c r="Q94" i="11"/>
  <c r="R94" i="11" s="1"/>
  <c r="N94" i="11"/>
  <c r="O94" i="11" s="1"/>
  <c r="L94" i="11"/>
  <c r="M94" i="11" s="1"/>
  <c r="J94" i="11"/>
  <c r="K94" i="11" s="1"/>
  <c r="H94" i="11"/>
  <c r="I94" i="11" s="1"/>
  <c r="F94" i="11"/>
  <c r="G94" i="11" s="1"/>
  <c r="D94" i="11"/>
  <c r="E94" i="11" s="1"/>
  <c r="B94" i="11"/>
  <c r="C94" i="11" s="1"/>
  <c r="AU93" i="11"/>
  <c r="AV93" i="11" s="1"/>
  <c r="AS93" i="11"/>
  <c r="AT93" i="11" s="1"/>
  <c r="AQ93" i="11"/>
  <c r="AR93" i="11" s="1"/>
  <c r="AO93" i="11"/>
  <c r="AP93" i="11" s="1"/>
  <c r="AM93" i="11"/>
  <c r="AN93" i="11" s="1"/>
  <c r="AK93" i="11"/>
  <c r="AL93" i="11" s="1"/>
  <c r="AI93" i="11"/>
  <c r="AJ93" i="11" s="1"/>
  <c r="AF93" i="11"/>
  <c r="AG93" i="11" s="1"/>
  <c r="AD93" i="11"/>
  <c r="AE93" i="11" s="1"/>
  <c r="AB93" i="11"/>
  <c r="AC93" i="11" s="1"/>
  <c r="Z93" i="11"/>
  <c r="AA93" i="11" s="1"/>
  <c r="X93" i="11"/>
  <c r="Y93" i="11" s="1"/>
  <c r="V93" i="11"/>
  <c r="W93" i="11" s="1"/>
  <c r="T93" i="11"/>
  <c r="U93" i="11" s="1"/>
  <c r="Q93" i="11"/>
  <c r="R93" i="11" s="1"/>
  <c r="N93" i="11"/>
  <c r="O93" i="11" s="1"/>
  <c r="L93" i="11"/>
  <c r="M93" i="11" s="1"/>
  <c r="J93" i="11"/>
  <c r="K93" i="11" s="1"/>
  <c r="H93" i="11"/>
  <c r="I93" i="11" s="1"/>
  <c r="F93" i="11"/>
  <c r="G93" i="11" s="1"/>
  <c r="D93" i="11"/>
  <c r="E93" i="11" s="1"/>
  <c r="B93" i="11"/>
  <c r="C93" i="11" s="1"/>
  <c r="AU92" i="11"/>
  <c r="AV92" i="11" s="1"/>
  <c r="AS92" i="11"/>
  <c r="AT92" i="11" s="1"/>
  <c r="AQ92" i="11"/>
  <c r="AR92" i="11" s="1"/>
  <c r="AO92" i="11"/>
  <c r="AP92" i="11" s="1"/>
  <c r="AM92" i="11"/>
  <c r="AN92" i="11" s="1"/>
  <c r="AK92" i="11"/>
  <c r="AL92" i="11" s="1"/>
  <c r="AI92" i="11"/>
  <c r="AJ92" i="11" s="1"/>
  <c r="AF92" i="11"/>
  <c r="AG92" i="11" s="1"/>
  <c r="AD92" i="11"/>
  <c r="AE92" i="11" s="1"/>
  <c r="AB92" i="11"/>
  <c r="AC92" i="11" s="1"/>
  <c r="Z92" i="11"/>
  <c r="AA92" i="11" s="1"/>
  <c r="X92" i="11"/>
  <c r="Y92" i="11" s="1"/>
  <c r="V92" i="11"/>
  <c r="W92" i="11" s="1"/>
  <c r="T92" i="11"/>
  <c r="U92" i="11" s="1"/>
  <c r="Q92" i="11"/>
  <c r="R92" i="11" s="1"/>
  <c r="N92" i="11"/>
  <c r="O92" i="11" s="1"/>
  <c r="L92" i="11"/>
  <c r="M92" i="11" s="1"/>
  <c r="J92" i="11"/>
  <c r="K92" i="11" s="1"/>
  <c r="H92" i="11"/>
  <c r="I92" i="11" s="1"/>
  <c r="F92" i="11"/>
  <c r="G92" i="11" s="1"/>
  <c r="D92" i="11"/>
  <c r="E92" i="11" s="1"/>
  <c r="B92" i="11"/>
  <c r="C92" i="11" s="1"/>
  <c r="AU91" i="11"/>
  <c r="AV91" i="11" s="1"/>
  <c r="AS91" i="11"/>
  <c r="AT91" i="11" s="1"/>
  <c r="AQ91" i="11"/>
  <c r="AR91" i="11" s="1"/>
  <c r="AO91" i="11"/>
  <c r="AP91" i="11" s="1"/>
  <c r="AM91" i="11"/>
  <c r="AN91" i="11" s="1"/>
  <c r="AK91" i="11"/>
  <c r="AL91" i="11" s="1"/>
  <c r="AI91" i="11"/>
  <c r="AJ91" i="11" s="1"/>
  <c r="AF91" i="11"/>
  <c r="AG91" i="11" s="1"/>
  <c r="AD91" i="11"/>
  <c r="AE91" i="11" s="1"/>
  <c r="AB91" i="11"/>
  <c r="AC91" i="11" s="1"/>
  <c r="Z91" i="11"/>
  <c r="AA91" i="11" s="1"/>
  <c r="X91" i="11"/>
  <c r="Y91" i="11" s="1"/>
  <c r="V91" i="11"/>
  <c r="W91" i="11" s="1"/>
  <c r="T91" i="11"/>
  <c r="U91" i="11" s="1"/>
  <c r="Q91" i="11"/>
  <c r="R91" i="11" s="1"/>
  <c r="N91" i="11"/>
  <c r="O91" i="11" s="1"/>
  <c r="L91" i="11"/>
  <c r="M91" i="11" s="1"/>
  <c r="J91" i="11"/>
  <c r="K91" i="11" s="1"/>
  <c r="H91" i="11"/>
  <c r="I91" i="11" s="1"/>
  <c r="F91" i="11"/>
  <c r="G91" i="11" s="1"/>
  <c r="D91" i="11"/>
  <c r="E91" i="11" s="1"/>
  <c r="B91" i="11"/>
  <c r="C91" i="11" s="1"/>
  <c r="AU90" i="11"/>
  <c r="AV90" i="11" s="1"/>
  <c r="AS90" i="11"/>
  <c r="AT90" i="11" s="1"/>
  <c r="AQ90" i="11"/>
  <c r="AR90" i="11" s="1"/>
  <c r="AO90" i="11"/>
  <c r="AP90" i="11" s="1"/>
  <c r="AM90" i="11"/>
  <c r="AN90" i="11" s="1"/>
  <c r="AK90" i="11"/>
  <c r="AL90" i="11" s="1"/>
  <c r="AI90" i="11"/>
  <c r="AJ90" i="11" s="1"/>
  <c r="AF90" i="11"/>
  <c r="AG90" i="11" s="1"/>
  <c r="AD90" i="11"/>
  <c r="AE90" i="11" s="1"/>
  <c r="AB90" i="11"/>
  <c r="AC90" i="11" s="1"/>
  <c r="Z90" i="11"/>
  <c r="AA90" i="11" s="1"/>
  <c r="X90" i="11"/>
  <c r="Y90" i="11" s="1"/>
  <c r="V90" i="11"/>
  <c r="W90" i="11" s="1"/>
  <c r="T90" i="11"/>
  <c r="U90" i="11" s="1"/>
  <c r="Q90" i="11"/>
  <c r="R90" i="11" s="1"/>
  <c r="N90" i="11"/>
  <c r="O90" i="11" s="1"/>
  <c r="L90" i="11"/>
  <c r="M90" i="11" s="1"/>
  <c r="J90" i="11"/>
  <c r="K90" i="11" s="1"/>
  <c r="H90" i="11"/>
  <c r="I90" i="11" s="1"/>
  <c r="F90" i="11"/>
  <c r="G90" i="11" s="1"/>
  <c r="D90" i="11"/>
  <c r="E90" i="11" s="1"/>
  <c r="B90" i="11"/>
  <c r="C90" i="11" s="1"/>
  <c r="AU89" i="11"/>
  <c r="AV89" i="11" s="1"/>
  <c r="AS89" i="11"/>
  <c r="AT89" i="11" s="1"/>
  <c r="AQ89" i="11"/>
  <c r="AR89" i="11" s="1"/>
  <c r="AO89" i="11"/>
  <c r="AP89" i="11" s="1"/>
  <c r="AM89" i="11"/>
  <c r="AN89" i="11" s="1"/>
  <c r="AK89" i="11"/>
  <c r="AL89" i="11" s="1"/>
  <c r="AI89" i="11"/>
  <c r="AJ89" i="11" s="1"/>
  <c r="AF89" i="11"/>
  <c r="AG89" i="11" s="1"/>
  <c r="AD89" i="11"/>
  <c r="AE89" i="11" s="1"/>
  <c r="AB89" i="11"/>
  <c r="AC89" i="11" s="1"/>
  <c r="Z89" i="11"/>
  <c r="AA89" i="11" s="1"/>
  <c r="X89" i="11"/>
  <c r="Y89" i="11" s="1"/>
  <c r="V89" i="11"/>
  <c r="W89" i="11" s="1"/>
  <c r="T89" i="11"/>
  <c r="U89" i="11" s="1"/>
  <c r="Q89" i="11"/>
  <c r="R89" i="11" s="1"/>
  <c r="N89" i="11"/>
  <c r="O89" i="11" s="1"/>
  <c r="L89" i="11"/>
  <c r="M89" i="11" s="1"/>
  <c r="J89" i="11"/>
  <c r="K89" i="11" s="1"/>
  <c r="H89" i="11"/>
  <c r="I89" i="11" s="1"/>
  <c r="F89" i="11"/>
  <c r="G89" i="11" s="1"/>
  <c r="D89" i="11"/>
  <c r="E89" i="11" s="1"/>
  <c r="B89" i="11"/>
  <c r="C89" i="11" s="1"/>
  <c r="AU88" i="11"/>
  <c r="AV88" i="11" s="1"/>
  <c r="AS88" i="11"/>
  <c r="AT88" i="11" s="1"/>
  <c r="AQ88" i="11"/>
  <c r="AR88" i="11" s="1"/>
  <c r="AO88" i="11"/>
  <c r="AP88" i="11" s="1"/>
  <c r="AM88" i="11"/>
  <c r="AN88" i="11" s="1"/>
  <c r="AK88" i="11"/>
  <c r="AL88" i="11" s="1"/>
  <c r="AI88" i="11"/>
  <c r="AJ88" i="11" s="1"/>
  <c r="AF88" i="11"/>
  <c r="AG88" i="11" s="1"/>
  <c r="AD88" i="11"/>
  <c r="AE88" i="11" s="1"/>
  <c r="AB88" i="11"/>
  <c r="AC88" i="11" s="1"/>
  <c r="Z88" i="11"/>
  <c r="AA88" i="11" s="1"/>
  <c r="X88" i="11"/>
  <c r="Y88" i="11" s="1"/>
  <c r="V88" i="11"/>
  <c r="W88" i="11" s="1"/>
  <c r="T88" i="11"/>
  <c r="U88" i="11" s="1"/>
  <c r="Q88" i="11"/>
  <c r="R88" i="11" s="1"/>
  <c r="N88" i="11"/>
  <c r="O88" i="11" s="1"/>
  <c r="L88" i="11"/>
  <c r="M88" i="11" s="1"/>
  <c r="J88" i="11"/>
  <c r="K88" i="11" s="1"/>
  <c r="H88" i="11"/>
  <c r="I88" i="11" s="1"/>
  <c r="F88" i="11"/>
  <c r="G88" i="11" s="1"/>
  <c r="D88" i="11"/>
  <c r="E88" i="11" s="1"/>
  <c r="B88" i="11"/>
  <c r="C88" i="11" s="1"/>
  <c r="AU87" i="11"/>
  <c r="AV87" i="11" s="1"/>
  <c r="AS87" i="11"/>
  <c r="AT87" i="11" s="1"/>
  <c r="AQ87" i="11"/>
  <c r="AR87" i="11" s="1"/>
  <c r="AO87" i="11"/>
  <c r="AP87" i="11" s="1"/>
  <c r="AM87" i="11"/>
  <c r="AN87" i="11" s="1"/>
  <c r="AK87" i="11"/>
  <c r="AL87" i="11" s="1"/>
  <c r="AI87" i="11"/>
  <c r="AJ87" i="11" s="1"/>
  <c r="AF87" i="11"/>
  <c r="AG87" i="11" s="1"/>
  <c r="AD87" i="11"/>
  <c r="AE87" i="11" s="1"/>
  <c r="AB87" i="11"/>
  <c r="AC87" i="11" s="1"/>
  <c r="Z87" i="11"/>
  <c r="AA87" i="11" s="1"/>
  <c r="X87" i="11"/>
  <c r="Y87" i="11" s="1"/>
  <c r="V87" i="11"/>
  <c r="W87" i="11" s="1"/>
  <c r="T87" i="11"/>
  <c r="U87" i="11" s="1"/>
  <c r="Q87" i="11"/>
  <c r="R87" i="11" s="1"/>
  <c r="N87" i="11"/>
  <c r="O87" i="11" s="1"/>
  <c r="L87" i="11"/>
  <c r="M87" i="11" s="1"/>
  <c r="J87" i="11"/>
  <c r="K87" i="11" s="1"/>
  <c r="H87" i="11"/>
  <c r="I87" i="11" s="1"/>
  <c r="F87" i="11"/>
  <c r="G87" i="11" s="1"/>
  <c r="D87" i="11"/>
  <c r="E87" i="11" s="1"/>
  <c r="B87" i="11"/>
  <c r="C87" i="11" s="1"/>
  <c r="AU86" i="11"/>
  <c r="AV86" i="11" s="1"/>
  <c r="AS86" i="11"/>
  <c r="AT86" i="11" s="1"/>
  <c r="AQ86" i="11"/>
  <c r="AR86" i="11" s="1"/>
  <c r="AO86" i="11"/>
  <c r="AP86" i="11" s="1"/>
  <c r="AM86" i="11"/>
  <c r="AN86" i="11" s="1"/>
  <c r="AK86" i="11"/>
  <c r="AL86" i="11" s="1"/>
  <c r="AI86" i="11"/>
  <c r="AJ86" i="11" s="1"/>
  <c r="AF86" i="11"/>
  <c r="AG86" i="11" s="1"/>
  <c r="AD86" i="11"/>
  <c r="AE86" i="11" s="1"/>
  <c r="AB86" i="11"/>
  <c r="AC86" i="11" s="1"/>
  <c r="Z86" i="11"/>
  <c r="AA86" i="11" s="1"/>
  <c r="X86" i="11"/>
  <c r="Y86" i="11" s="1"/>
  <c r="V86" i="11"/>
  <c r="W86" i="11" s="1"/>
  <c r="T86" i="11"/>
  <c r="U86" i="11" s="1"/>
  <c r="Q86" i="11"/>
  <c r="R86" i="11" s="1"/>
  <c r="N86" i="11"/>
  <c r="O86" i="11" s="1"/>
  <c r="L86" i="11"/>
  <c r="M86" i="11" s="1"/>
  <c r="J86" i="11"/>
  <c r="K86" i="11" s="1"/>
  <c r="H86" i="11"/>
  <c r="I86" i="11" s="1"/>
  <c r="F86" i="11"/>
  <c r="G86" i="11" s="1"/>
  <c r="D86" i="11"/>
  <c r="E86" i="11" s="1"/>
  <c r="B86" i="11"/>
  <c r="C86" i="11" s="1"/>
  <c r="AU85" i="11"/>
  <c r="AV85" i="11" s="1"/>
  <c r="AS85" i="11"/>
  <c r="AT85" i="11" s="1"/>
  <c r="AQ85" i="11"/>
  <c r="AR85" i="11" s="1"/>
  <c r="AO85" i="11"/>
  <c r="AP85" i="11" s="1"/>
  <c r="AM85" i="11"/>
  <c r="AN85" i="11" s="1"/>
  <c r="AK85" i="11"/>
  <c r="AL85" i="11" s="1"/>
  <c r="AI85" i="11"/>
  <c r="AJ85" i="11" s="1"/>
  <c r="AF85" i="11"/>
  <c r="AG85" i="11" s="1"/>
  <c r="AD85" i="11"/>
  <c r="AE85" i="11" s="1"/>
  <c r="AB85" i="11"/>
  <c r="AC85" i="11" s="1"/>
  <c r="Z85" i="11"/>
  <c r="AA85" i="11" s="1"/>
  <c r="X85" i="11"/>
  <c r="Y85" i="11" s="1"/>
  <c r="V85" i="11"/>
  <c r="W85" i="11" s="1"/>
  <c r="T85" i="11"/>
  <c r="U85" i="11" s="1"/>
  <c r="Q85" i="11"/>
  <c r="R85" i="11" s="1"/>
  <c r="N85" i="11"/>
  <c r="O85" i="11" s="1"/>
  <c r="L85" i="11"/>
  <c r="M85" i="11" s="1"/>
  <c r="J85" i="11"/>
  <c r="K85" i="11" s="1"/>
  <c r="H85" i="11"/>
  <c r="I85" i="11" s="1"/>
  <c r="F85" i="11"/>
  <c r="G85" i="11" s="1"/>
  <c r="D85" i="11"/>
  <c r="E85" i="11" s="1"/>
  <c r="B85" i="11"/>
  <c r="C85" i="11" s="1"/>
  <c r="AU84" i="11"/>
  <c r="AV84" i="11" s="1"/>
  <c r="AS84" i="11"/>
  <c r="AT84" i="11" s="1"/>
  <c r="AQ84" i="11"/>
  <c r="AR84" i="11" s="1"/>
  <c r="AO84" i="11"/>
  <c r="AP84" i="11" s="1"/>
  <c r="AM84" i="11"/>
  <c r="AN84" i="11" s="1"/>
  <c r="AK84" i="11"/>
  <c r="AL84" i="11" s="1"/>
  <c r="AI84" i="11"/>
  <c r="AJ84" i="11" s="1"/>
  <c r="AF84" i="11"/>
  <c r="AG84" i="11" s="1"/>
  <c r="AD84" i="11"/>
  <c r="AE84" i="11" s="1"/>
  <c r="AB84" i="11"/>
  <c r="AC84" i="11" s="1"/>
  <c r="Z84" i="11"/>
  <c r="AA84" i="11" s="1"/>
  <c r="X84" i="11"/>
  <c r="Y84" i="11" s="1"/>
  <c r="V84" i="11"/>
  <c r="W84" i="11" s="1"/>
  <c r="T84" i="11"/>
  <c r="U84" i="11" s="1"/>
  <c r="Q84" i="11"/>
  <c r="R84" i="11" s="1"/>
  <c r="N84" i="11"/>
  <c r="O84" i="11" s="1"/>
  <c r="L84" i="11"/>
  <c r="M84" i="11" s="1"/>
  <c r="J84" i="11"/>
  <c r="K84" i="11" s="1"/>
  <c r="H84" i="11"/>
  <c r="I84" i="11" s="1"/>
  <c r="F84" i="11"/>
  <c r="G84" i="11" s="1"/>
  <c r="D84" i="11"/>
  <c r="E84" i="11" s="1"/>
  <c r="B84" i="11"/>
  <c r="C84" i="11" s="1"/>
  <c r="AU83" i="11"/>
  <c r="AV83" i="11" s="1"/>
  <c r="AS83" i="11"/>
  <c r="AT83" i="11" s="1"/>
  <c r="AQ83" i="11"/>
  <c r="AR83" i="11" s="1"/>
  <c r="AO83" i="11"/>
  <c r="AP83" i="11" s="1"/>
  <c r="AM83" i="11"/>
  <c r="AN83" i="11" s="1"/>
  <c r="AK83" i="11"/>
  <c r="AL83" i="11" s="1"/>
  <c r="AI83" i="11"/>
  <c r="AJ83" i="11" s="1"/>
  <c r="AF83" i="11"/>
  <c r="AG83" i="11" s="1"/>
  <c r="AD83" i="11"/>
  <c r="AE83" i="11" s="1"/>
  <c r="AB83" i="11"/>
  <c r="AC83" i="11" s="1"/>
  <c r="Z83" i="11"/>
  <c r="AA83" i="11" s="1"/>
  <c r="X83" i="11"/>
  <c r="Y83" i="11" s="1"/>
  <c r="V83" i="11"/>
  <c r="W83" i="11" s="1"/>
  <c r="T83" i="11"/>
  <c r="U83" i="11" s="1"/>
  <c r="Q83" i="11"/>
  <c r="R83" i="11" s="1"/>
  <c r="N83" i="11"/>
  <c r="O83" i="11" s="1"/>
  <c r="L83" i="11"/>
  <c r="M83" i="11" s="1"/>
  <c r="J83" i="11"/>
  <c r="K83" i="11" s="1"/>
  <c r="H83" i="11"/>
  <c r="I83" i="11" s="1"/>
  <c r="F83" i="11"/>
  <c r="G83" i="11" s="1"/>
  <c r="D83" i="11"/>
  <c r="E83" i="11" s="1"/>
  <c r="B83" i="11"/>
  <c r="C83" i="11" s="1"/>
  <c r="AU82" i="11"/>
  <c r="AV82" i="11" s="1"/>
  <c r="AS82" i="11"/>
  <c r="AT82" i="11" s="1"/>
  <c r="AQ82" i="11"/>
  <c r="AR82" i="11" s="1"/>
  <c r="AO82" i="11"/>
  <c r="AP82" i="11" s="1"/>
  <c r="AM82" i="11"/>
  <c r="AN82" i="11" s="1"/>
  <c r="AK82" i="11"/>
  <c r="AL82" i="11" s="1"/>
  <c r="AI82" i="11"/>
  <c r="AJ82" i="11" s="1"/>
  <c r="AF82" i="11"/>
  <c r="AG82" i="11" s="1"/>
  <c r="AD82" i="11"/>
  <c r="AE82" i="11" s="1"/>
  <c r="AB82" i="11"/>
  <c r="AC82" i="11" s="1"/>
  <c r="Z82" i="11"/>
  <c r="AA82" i="11" s="1"/>
  <c r="X82" i="11"/>
  <c r="Y82" i="11" s="1"/>
  <c r="V82" i="11"/>
  <c r="W82" i="11" s="1"/>
  <c r="T82" i="11"/>
  <c r="U82" i="11" s="1"/>
  <c r="Q82" i="11"/>
  <c r="R82" i="11" s="1"/>
  <c r="N82" i="11"/>
  <c r="O82" i="11" s="1"/>
  <c r="L82" i="11"/>
  <c r="M82" i="11" s="1"/>
  <c r="J82" i="11"/>
  <c r="K82" i="11" s="1"/>
  <c r="H82" i="11"/>
  <c r="I82" i="11" s="1"/>
  <c r="F82" i="11"/>
  <c r="G82" i="11" s="1"/>
  <c r="D82" i="11"/>
  <c r="E82" i="11" s="1"/>
  <c r="B82" i="11"/>
  <c r="C82" i="11" s="1"/>
  <c r="AU81" i="11"/>
  <c r="AV81" i="11" s="1"/>
  <c r="AS81" i="11"/>
  <c r="AT81" i="11" s="1"/>
  <c r="AQ81" i="11"/>
  <c r="AR81" i="11" s="1"/>
  <c r="AO81" i="11"/>
  <c r="AP81" i="11" s="1"/>
  <c r="AM81" i="11"/>
  <c r="AN81" i="11" s="1"/>
  <c r="AK81" i="11"/>
  <c r="AL81" i="11" s="1"/>
  <c r="AI81" i="11"/>
  <c r="AJ81" i="11" s="1"/>
  <c r="AF81" i="11"/>
  <c r="AG81" i="11" s="1"/>
  <c r="AD81" i="11"/>
  <c r="AE81" i="11" s="1"/>
  <c r="AB81" i="11"/>
  <c r="AC81" i="11" s="1"/>
  <c r="Z81" i="11"/>
  <c r="AA81" i="11" s="1"/>
  <c r="X81" i="11"/>
  <c r="Y81" i="11" s="1"/>
  <c r="V81" i="11"/>
  <c r="W81" i="11" s="1"/>
  <c r="T81" i="11"/>
  <c r="U81" i="11" s="1"/>
  <c r="Q81" i="11"/>
  <c r="R81" i="11" s="1"/>
  <c r="N81" i="11"/>
  <c r="O81" i="11" s="1"/>
  <c r="L81" i="11"/>
  <c r="M81" i="11" s="1"/>
  <c r="J81" i="11"/>
  <c r="K81" i="11" s="1"/>
  <c r="H81" i="11"/>
  <c r="I81" i="11" s="1"/>
  <c r="F81" i="11"/>
  <c r="G81" i="11" s="1"/>
  <c r="D81" i="11"/>
  <c r="E81" i="11" s="1"/>
  <c r="B81" i="11"/>
  <c r="C81" i="11" s="1"/>
  <c r="AU80" i="11"/>
  <c r="AV80" i="11" s="1"/>
  <c r="AS80" i="11"/>
  <c r="AT80" i="11" s="1"/>
  <c r="AQ80" i="11"/>
  <c r="AR80" i="11" s="1"/>
  <c r="AO80" i="11"/>
  <c r="AP80" i="11" s="1"/>
  <c r="AM80" i="11"/>
  <c r="AN80" i="11" s="1"/>
  <c r="AK80" i="11"/>
  <c r="AL80" i="11" s="1"/>
  <c r="AI80" i="11"/>
  <c r="AJ80" i="11" s="1"/>
  <c r="AF80" i="11"/>
  <c r="AG80" i="11" s="1"/>
  <c r="AD80" i="11"/>
  <c r="AE80" i="11" s="1"/>
  <c r="AB80" i="11"/>
  <c r="AC80" i="11" s="1"/>
  <c r="Z80" i="11"/>
  <c r="AA80" i="11" s="1"/>
  <c r="X80" i="11"/>
  <c r="Y80" i="11" s="1"/>
  <c r="V80" i="11"/>
  <c r="W80" i="11" s="1"/>
  <c r="T80" i="11"/>
  <c r="U80" i="11" s="1"/>
  <c r="Q80" i="11"/>
  <c r="R80" i="11" s="1"/>
  <c r="N80" i="11"/>
  <c r="O80" i="11" s="1"/>
  <c r="L80" i="11"/>
  <c r="M80" i="11" s="1"/>
  <c r="J80" i="11"/>
  <c r="K80" i="11" s="1"/>
  <c r="H80" i="11"/>
  <c r="I80" i="11" s="1"/>
  <c r="F80" i="11"/>
  <c r="G80" i="11" s="1"/>
  <c r="D80" i="11"/>
  <c r="E80" i="11" s="1"/>
  <c r="B80" i="11"/>
  <c r="C80" i="11" s="1"/>
  <c r="AU79" i="11"/>
  <c r="AV79" i="11" s="1"/>
  <c r="AS79" i="11"/>
  <c r="AT79" i="11" s="1"/>
  <c r="AQ79" i="11"/>
  <c r="AR79" i="11" s="1"/>
  <c r="AO79" i="11"/>
  <c r="AP79" i="11" s="1"/>
  <c r="AM79" i="11"/>
  <c r="AN79" i="11" s="1"/>
  <c r="AK79" i="11"/>
  <c r="AL79" i="11" s="1"/>
  <c r="AI79" i="11"/>
  <c r="AJ79" i="11" s="1"/>
  <c r="AF79" i="11"/>
  <c r="AG79" i="11" s="1"/>
  <c r="AD79" i="11"/>
  <c r="AE79" i="11" s="1"/>
  <c r="AB79" i="11"/>
  <c r="AC79" i="11" s="1"/>
  <c r="Z79" i="11"/>
  <c r="AA79" i="11" s="1"/>
  <c r="X79" i="11"/>
  <c r="Y79" i="11" s="1"/>
  <c r="V79" i="11"/>
  <c r="W79" i="11" s="1"/>
  <c r="T79" i="11"/>
  <c r="U79" i="11" s="1"/>
  <c r="Q79" i="11"/>
  <c r="R79" i="11" s="1"/>
  <c r="N79" i="11"/>
  <c r="O79" i="11" s="1"/>
  <c r="L79" i="11"/>
  <c r="M79" i="11" s="1"/>
  <c r="J79" i="11"/>
  <c r="K79" i="11" s="1"/>
  <c r="H79" i="11"/>
  <c r="I79" i="11" s="1"/>
  <c r="F79" i="11"/>
  <c r="G79" i="11" s="1"/>
  <c r="D79" i="11"/>
  <c r="E79" i="11" s="1"/>
  <c r="B79" i="11"/>
  <c r="C79" i="11" s="1"/>
  <c r="AU78" i="11"/>
  <c r="AV78" i="11" s="1"/>
  <c r="AS78" i="11"/>
  <c r="AT78" i="11" s="1"/>
  <c r="AQ78" i="11"/>
  <c r="AR78" i="11" s="1"/>
  <c r="AO78" i="11"/>
  <c r="AP78" i="11" s="1"/>
  <c r="AM78" i="11"/>
  <c r="AN78" i="11" s="1"/>
  <c r="AK78" i="11"/>
  <c r="AL78" i="11" s="1"/>
  <c r="AI78" i="11"/>
  <c r="AJ78" i="11" s="1"/>
  <c r="AF78" i="11"/>
  <c r="AG78" i="11" s="1"/>
  <c r="AD78" i="11"/>
  <c r="AE78" i="11" s="1"/>
  <c r="AB78" i="11"/>
  <c r="AC78" i="11" s="1"/>
  <c r="Z78" i="11"/>
  <c r="AA78" i="11" s="1"/>
  <c r="X78" i="11"/>
  <c r="Y78" i="11" s="1"/>
  <c r="V78" i="11"/>
  <c r="W78" i="11" s="1"/>
  <c r="T78" i="11"/>
  <c r="U78" i="11" s="1"/>
  <c r="Q78" i="11"/>
  <c r="R78" i="11" s="1"/>
  <c r="N78" i="11"/>
  <c r="O78" i="11" s="1"/>
  <c r="L78" i="11"/>
  <c r="M78" i="11" s="1"/>
  <c r="J78" i="11"/>
  <c r="K78" i="11" s="1"/>
  <c r="H78" i="11"/>
  <c r="I78" i="11" s="1"/>
  <c r="F78" i="11"/>
  <c r="G78" i="11" s="1"/>
  <c r="D78" i="11"/>
  <c r="E78" i="11" s="1"/>
  <c r="B78" i="11"/>
  <c r="C78" i="11" s="1"/>
  <c r="AU77" i="11"/>
  <c r="AV77" i="11" s="1"/>
  <c r="AS77" i="11"/>
  <c r="AT77" i="11" s="1"/>
  <c r="AQ77" i="11"/>
  <c r="AR77" i="11" s="1"/>
  <c r="AO77" i="11"/>
  <c r="AP77" i="11" s="1"/>
  <c r="AM77" i="11"/>
  <c r="AN77" i="11" s="1"/>
  <c r="AK77" i="11"/>
  <c r="AL77" i="11" s="1"/>
  <c r="AI77" i="11"/>
  <c r="AJ77" i="11" s="1"/>
  <c r="AF77" i="11"/>
  <c r="AG77" i="11" s="1"/>
  <c r="AD77" i="11"/>
  <c r="AE77" i="11" s="1"/>
  <c r="AB77" i="11"/>
  <c r="AC77" i="11" s="1"/>
  <c r="Z77" i="11"/>
  <c r="AA77" i="11" s="1"/>
  <c r="X77" i="11"/>
  <c r="Y77" i="11" s="1"/>
  <c r="V77" i="11"/>
  <c r="W77" i="11" s="1"/>
  <c r="T77" i="11"/>
  <c r="U77" i="11" s="1"/>
  <c r="Q77" i="11"/>
  <c r="R77" i="11" s="1"/>
  <c r="N77" i="11"/>
  <c r="O77" i="11" s="1"/>
  <c r="L77" i="11"/>
  <c r="M77" i="11" s="1"/>
  <c r="J77" i="11"/>
  <c r="K77" i="11" s="1"/>
  <c r="H77" i="11"/>
  <c r="I77" i="11" s="1"/>
  <c r="F77" i="11"/>
  <c r="G77" i="11" s="1"/>
  <c r="D77" i="11"/>
  <c r="E77" i="11" s="1"/>
  <c r="B77" i="11"/>
  <c r="C77" i="11" s="1"/>
  <c r="AU76" i="11"/>
  <c r="AV76" i="11" s="1"/>
  <c r="AS76" i="11"/>
  <c r="AT76" i="11" s="1"/>
  <c r="AQ76" i="11"/>
  <c r="AR76" i="11" s="1"/>
  <c r="AO76" i="11"/>
  <c r="AP76" i="11" s="1"/>
  <c r="AM76" i="11"/>
  <c r="AN76" i="11" s="1"/>
  <c r="AK76" i="11"/>
  <c r="AL76" i="11" s="1"/>
  <c r="AI76" i="11"/>
  <c r="AJ76" i="11" s="1"/>
  <c r="AF76" i="11"/>
  <c r="AG76" i="11" s="1"/>
  <c r="AD76" i="11"/>
  <c r="AE76" i="11" s="1"/>
  <c r="AB76" i="11"/>
  <c r="AC76" i="11" s="1"/>
  <c r="Z76" i="11"/>
  <c r="AA76" i="11" s="1"/>
  <c r="X76" i="11"/>
  <c r="Y76" i="11" s="1"/>
  <c r="V76" i="11"/>
  <c r="W76" i="11" s="1"/>
  <c r="T76" i="11"/>
  <c r="U76" i="11" s="1"/>
  <c r="Q76" i="11"/>
  <c r="R76" i="11" s="1"/>
  <c r="N76" i="11"/>
  <c r="O76" i="11" s="1"/>
  <c r="L76" i="11"/>
  <c r="M76" i="11" s="1"/>
  <c r="J76" i="11"/>
  <c r="K76" i="11" s="1"/>
  <c r="H76" i="11"/>
  <c r="I76" i="11" s="1"/>
  <c r="F76" i="11"/>
  <c r="G76" i="11" s="1"/>
  <c r="D76" i="11"/>
  <c r="E76" i="11" s="1"/>
  <c r="B76" i="11"/>
  <c r="C76" i="11" s="1"/>
  <c r="AU75" i="11"/>
  <c r="AV75" i="11" s="1"/>
  <c r="AS75" i="11"/>
  <c r="AT75" i="11" s="1"/>
  <c r="AQ75" i="11"/>
  <c r="AR75" i="11" s="1"/>
  <c r="AO75" i="11"/>
  <c r="AP75" i="11" s="1"/>
  <c r="AM75" i="11"/>
  <c r="AN75" i="11" s="1"/>
  <c r="AK75" i="11"/>
  <c r="AL75" i="11" s="1"/>
  <c r="AI75" i="11"/>
  <c r="AJ75" i="11" s="1"/>
  <c r="AF75" i="11"/>
  <c r="AG75" i="11" s="1"/>
  <c r="AD75" i="11"/>
  <c r="AE75" i="11" s="1"/>
  <c r="AB75" i="11"/>
  <c r="AC75" i="11" s="1"/>
  <c r="Z75" i="11"/>
  <c r="AA75" i="11" s="1"/>
  <c r="X75" i="11"/>
  <c r="Y75" i="11" s="1"/>
  <c r="V75" i="11"/>
  <c r="W75" i="11" s="1"/>
  <c r="T75" i="11"/>
  <c r="U75" i="11" s="1"/>
  <c r="Q75" i="11"/>
  <c r="R75" i="11" s="1"/>
  <c r="N75" i="11"/>
  <c r="O75" i="11" s="1"/>
  <c r="L75" i="11"/>
  <c r="M75" i="11" s="1"/>
  <c r="J75" i="11"/>
  <c r="K75" i="11" s="1"/>
  <c r="H75" i="11"/>
  <c r="I75" i="11" s="1"/>
  <c r="F75" i="11"/>
  <c r="G75" i="11" s="1"/>
  <c r="D75" i="11"/>
  <c r="E75" i="11" s="1"/>
  <c r="B75" i="11"/>
  <c r="C75" i="11" s="1"/>
  <c r="AU74" i="11"/>
  <c r="AV74" i="11" s="1"/>
  <c r="AS74" i="11"/>
  <c r="AT74" i="11" s="1"/>
  <c r="AQ74" i="11"/>
  <c r="AR74" i="11" s="1"/>
  <c r="AO74" i="11"/>
  <c r="AP74" i="11" s="1"/>
  <c r="AM74" i="11"/>
  <c r="AN74" i="11" s="1"/>
  <c r="AK74" i="11"/>
  <c r="AL74" i="11" s="1"/>
  <c r="AI74" i="11"/>
  <c r="AJ74" i="11" s="1"/>
  <c r="AF74" i="11"/>
  <c r="AG74" i="11" s="1"/>
  <c r="AD74" i="11"/>
  <c r="AE74" i="11" s="1"/>
  <c r="AB74" i="11"/>
  <c r="AC74" i="11" s="1"/>
  <c r="Z74" i="11"/>
  <c r="AA74" i="11" s="1"/>
  <c r="X74" i="11"/>
  <c r="Y74" i="11" s="1"/>
  <c r="V74" i="11"/>
  <c r="W74" i="11" s="1"/>
  <c r="T74" i="11"/>
  <c r="U74" i="11" s="1"/>
  <c r="Q74" i="11"/>
  <c r="R74" i="11" s="1"/>
  <c r="N74" i="11"/>
  <c r="O74" i="11" s="1"/>
  <c r="L74" i="11"/>
  <c r="M74" i="11" s="1"/>
  <c r="J74" i="11"/>
  <c r="K74" i="11" s="1"/>
  <c r="H74" i="11"/>
  <c r="I74" i="11" s="1"/>
  <c r="F74" i="11"/>
  <c r="G74" i="11" s="1"/>
  <c r="D74" i="11"/>
  <c r="E74" i="11" s="1"/>
  <c r="B74" i="11"/>
  <c r="C74" i="11" s="1"/>
  <c r="AU73" i="11"/>
  <c r="AV73" i="11" s="1"/>
  <c r="AS73" i="11"/>
  <c r="AT73" i="11" s="1"/>
  <c r="AQ73" i="11"/>
  <c r="AR73" i="11" s="1"/>
  <c r="AO73" i="11"/>
  <c r="AP73" i="11" s="1"/>
  <c r="AM73" i="11"/>
  <c r="AN73" i="11" s="1"/>
  <c r="AK73" i="11"/>
  <c r="AL73" i="11" s="1"/>
  <c r="AI73" i="11"/>
  <c r="AJ73" i="11" s="1"/>
  <c r="AF73" i="11"/>
  <c r="AG73" i="11" s="1"/>
  <c r="AD73" i="11"/>
  <c r="AE73" i="11" s="1"/>
  <c r="AB73" i="11"/>
  <c r="AC73" i="11" s="1"/>
  <c r="Z73" i="11"/>
  <c r="AA73" i="11" s="1"/>
  <c r="X73" i="11"/>
  <c r="Y73" i="11" s="1"/>
  <c r="V73" i="11"/>
  <c r="W73" i="11" s="1"/>
  <c r="T73" i="11"/>
  <c r="U73" i="11" s="1"/>
  <c r="Q73" i="11"/>
  <c r="R73" i="11" s="1"/>
  <c r="N73" i="11"/>
  <c r="O73" i="11" s="1"/>
  <c r="L73" i="11"/>
  <c r="M73" i="11" s="1"/>
  <c r="J73" i="11"/>
  <c r="K73" i="11" s="1"/>
  <c r="H73" i="11"/>
  <c r="I73" i="11" s="1"/>
  <c r="F73" i="11"/>
  <c r="G73" i="11" s="1"/>
  <c r="D73" i="11"/>
  <c r="E73" i="11" s="1"/>
  <c r="B73" i="11"/>
  <c r="C73" i="11" s="1"/>
  <c r="AU72" i="11"/>
  <c r="AV72" i="11" s="1"/>
  <c r="AS72" i="11"/>
  <c r="AT72" i="11" s="1"/>
  <c r="AQ72" i="11"/>
  <c r="AR72" i="11" s="1"/>
  <c r="AO72" i="11"/>
  <c r="AP72" i="11" s="1"/>
  <c r="AM72" i="11"/>
  <c r="AN72" i="11" s="1"/>
  <c r="AK72" i="11"/>
  <c r="AL72" i="11" s="1"/>
  <c r="AI72" i="11"/>
  <c r="AJ72" i="11" s="1"/>
  <c r="AF72" i="11"/>
  <c r="AG72" i="11" s="1"/>
  <c r="AD72" i="11"/>
  <c r="AE72" i="11" s="1"/>
  <c r="AB72" i="11"/>
  <c r="AC72" i="11" s="1"/>
  <c r="Z72" i="11"/>
  <c r="AA72" i="11" s="1"/>
  <c r="X72" i="11"/>
  <c r="Y72" i="11" s="1"/>
  <c r="V72" i="11"/>
  <c r="W72" i="11" s="1"/>
  <c r="T72" i="11"/>
  <c r="U72" i="11" s="1"/>
  <c r="Q72" i="11"/>
  <c r="R72" i="11" s="1"/>
  <c r="N72" i="11"/>
  <c r="O72" i="11" s="1"/>
  <c r="L72" i="11"/>
  <c r="M72" i="11" s="1"/>
  <c r="J72" i="11"/>
  <c r="K72" i="11" s="1"/>
  <c r="H72" i="11"/>
  <c r="I72" i="11" s="1"/>
  <c r="F72" i="11"/>
  <c r="G72" i="11" s="1"/>
  <c r="D72" i="11"/>
  <c r="E72" i="11" s="1"/>
  <c r="B72" i="11"/>
  <c r="C72" i="11" s="1"/>
  <c r="AU71" i="11"/>
  <c r="AV71" i="11" s="1"/>
  <c r="AS71" i="11"/>
  <c r="AT71" i="11" s="1"/>
  <c r="AQ71" i="11"/>
  <c r="AR71" i="11" s="1"/>
  <c r="AO71" i="11"/>
  <c r="AP71" i="11" s="1"/>
  <c r="AM71" i="11"/>
  <c r="AN71" i="11" s="1"/>
  <c r="AK71" i="11"/>
  <c r="AL71" i="11" s="1"/>
  <c r="AI71" i="11"/>
  <c r="AJ71" i="11" s="1"/>
  <c r="AF71" i="11"/>
  <c r="AG71" i="11" s="1"/>
  <c r="AD71" i="11"/>
  <c r="AE71" i="11" s="1"/>
  <c r="AB71" i="11"/>
  <c r="AC71" i="11" s="1"/>
  <c r="Z71" i="11"/>
  <c r="AA71" i="11" s="1"/>
  <c r="X71" i="11"/>
  <c r="Y71" i="11" s="1"/>
  <c r="V71" i="11"/>
  <c r="W71" i="11" s="1"/>
  <c r="T71" i="11"/>
  <c r="U71" i="11" s="1"/>
  <c r="Q71" i="11"/>
  <c r="R71" i="11" s="1"/>
  <c r="N71" i="11"/>
  <c r="O71" i="11" s="1"/>
  <c r="L71" i="11"/>
  <c r="M71" i="11" s="1"/>
  <c r="J71" i="11"/>
  <c r="K71" i="11" s="1"/>
  <c r="H71" i="11"/>
  <c r="I71" i="11" s="1"/>
  <c r="F71" i="11"/>
  <c r="G71" i="11" s="1"/>
  <c r="D71" i="11"/>
  <c r="E71" i="11" s="1"/>
  <c r="B71" i="11"/>
  <c r="C71" i="11" s="1"/>
  <c r="AU70" i="11"/>
  <c r="AV70" i="11" s="1"/>
  <c r="AS70" i="11"/>
  <c r="AT70" i="11" s="1"/>
  <c r="AQ70" i="11"/>
  <c r="AR70" i="11" s="1"/>
  <c r="AO70" i="11"/>
  <c r="AP70" i="11" s="1"/>
  <c r="AM70" i="11"/>
  <c r="AN70" i="11" s="1"/>
  <c r="AK70" i="11"/>
  <c r="AL70" i="11" s="1"/>
  <c r="AI70" i="11"/>
  <c r="AJ70" i="11" s="1"/>
  <c r="AF70" i="11"/>
  <c r="AG70" i="11" s="1"/>
  <c r="AD70" i="11"/>
  <c r="AE70" i="11" s="1"/>
  <c r="AB70" i="11"/>
  <c r="AC70" i="11" s="1"/>
  <c r="Z70" i="11"/>
  <c r="AA70" i="11" s="1"/>
  <c r="X70" i="11"/>
  <c r="Y70" i="11" s="1"/>
  <c r="V70" i="11"/>
  <c r="W70" i="11" s="1"/>
  <c r="T70" i="11"/>
  <c r="U70" i="11" s="1"/>
  <c r="Q70" i="11"/>
  <c r="R70" i="11" s="1"/>
  <c r="N70" i="11"/>
  <c r="O70" i="11" s="1"/>
  <c r="L70" i="11"/>
  <c r="M70" i="11" s="1"/>
  <c r="J70" i="11"/>
  <c r="K70" i="11" s="1"/>
  <c r="H70" i="11"/>
  <c r="I70" i="11" s="1"/>
  <c r="F70" i="11"/>
  <c r="G70" i="11" s="1"/>
  <c r="D70" i="11"/>
  <c r="E70" i="11" s="1"/>
  <c r="B70" i="11"/>
  <c r="C70" i="11" s="1"/>
  <c r="AU69" i="11"/>
  <c r="AV69" i="11" s="1"/>
  <c r="AS69" i="11"/>
  <c r="AT69" i="11" s="1"/>
  <c r="AQ69" i="11"/>
  <c r="AR69" i="11" s="1"/>
  <c r="AO69" i="11"/>
  <c r="AP69" i="11" s="1"/>
  <c r="AM69" i="11"/>
  <c r="AN69" i="11" s="1"/>
  <c r="AK69" i="11"/>
  <c r="AL69" i="11" s="1"/>
  <c r="AI69" i="11"/>
  <c r="AJ69" i="11" s="1"/>
  <c r="AF69" i="11"/>
  <c r="AG69" i="11" s="1"/>
  <c r="AD69" i="11"/>
  <c r="AE69" i="11" s="1"/>
  <c r="AB69" i="11"/>
  <c r="AC69" i="11" s="1"/>
  <c r="Z69" i="11"/>
  <c r="AA69" i="11" s="1"/>
  <c r="X69" i="11"/>
  <c r="Y69" i="11" s="1"/>
  <c r="V69" i="11"/>
  <c r="W69" i="11" s="1"/>
  <c r="T69" i="11"/>
  <c r="U69" i="11" s="1"/>
  <c r="Q69" i="11"/>
  <c r="R69" i="11" s="1"/>
  <c r="N69" i="11"/>
  <c r="O69" i="11" s="1"/>
  <c r="L69" i="11"/>
  <c r="M69" i="11" s="1"/>
  <c r="J69" i="11"/>
  <c r="K69" i="11" s="1"/>
  <c r="H69" i="11"/>
  <c r="I69" i="11" s="1"/>
  <c r="F69" i="11"/>
  <c r="G69" i="11" s="1"/>
  <c r="D69" i="11"/>
  <c r="E69" i="11" s="1"/>
  <c r="B69" i="11"/>
  <c r="C69" i="11" s="1"/>
  <c r="AU68" i="11"/>
  <c r="AV68" i="11" s="1"/>
  <c r="AS68" i="11"/>
  <c r="AT68" i="11" s="1"/>
  <c r="AQ68" i="11"/>
  <c r="AR68" i="11" s="1"/>
  <c r="AO68" i="11"/>
  <c r="AP68" i="11" s="1"/>
  <c r="AM68" i="11"/>
  <c r="AN68" i="11" s="1"/>
  <c r="AK68" i="11"/>
  <c r="AL68" i="11" s="1"/>
  <c r="AI68" i="11"/>
  <c r="AJ68" i="11" s="1"/>
  <c r="AF68" i="11"/>
  <c r="AG68" i="11" s="1"/>
  <c r="AD68" i="11"/>
  <c r="AE68" i="11" s="1"/>
  <c r="AB68" i="11"/>
  <c r="AC68" i="11" s="1"/>
  <c r="Z68" i="11"/>
  <c r="AA68" i="11" s="1"/>
  <c r="X68" i="11"/>
  <c r="Y68" i="11" s="1"/>
  <c r="V68" i="11"/>
  <c r="W68" i="11" s="1"/>
  <c r="T68" i="11"/>
  <c r="U68" i="11" s="1"/>
  <c r="Q68" i="11"/>
  <c r="R68" i="11" s="1"/>
  <c r="N68" i="11"/>
  <c r="O68" i="11" s="1"/>
  <c r="L68" i="11"/>
  <c r="M68" i="11" s="1"/>
  <c r="J68" i="11"/>
  <c r="K68" i="11" s="1"/>
  <c r="H68" i="11"/>
  <c r="I68" i="11" s="1"/>
  <c r="F68" i="11"/>
  <c r="G68" i="11" s="1"/>
  <c r="D68" i="11"/>
  <c r="E68" i="11" s="1"/>
  <c r="B68" i="11"/>
  <c r="C68" i="11" s="1"/>
  <c r="AU67" i="11"/>
  <c r="AV67" i="11" s="1"/>
  <c r="AS67" i="11"/>
  <c r="AT67" i="11" s="1"/>
  <c r="AQ67" i="11"/>
  <c r="AR67" i="11" s="1"/>
  <c r="AO67" i="11"/>
  <c r="AP67" i="11" s="1"/>
  <c r="AM67" i="11"/>
  <c r="AN67" i="11" s="1"/>
  <c r="AK67" i="11"/>
  <c r="AL67" i="11" s="1"/>
  <c r="AI67" i="11"/>
  <c r="AJ67" i="11" s="1"/>
  <c r="AF67" i="11"/>
  <c r="AG67" i="11" s="1"/>
  <c r="AD67" i="11"/>
  <c r="AE67" i="11" s="1"/>
  <c r="AB67" i="11"/>
  <c r="AC67" i="11" s="1"/>
  <c r="Z67" i="11"/>
  <c r="AA67" i="11" s="1"/>
  <c r="X67" i="11"/>
  <c r="Y67" i="11" s="1"/>
  <c r="V67" i="11"/>
  <c r="W67" i="11" s="1"/>
  <c r="T67" i="11"/>
  <c r="U67" i="11" s="1"/>
  <c r="Q67" i="11"/>
  <c r="R67" i="11" s="1"/>
  <c r="N67" i="11"/>
  <c r="O67" i="11" s="1"/>
  <c r="L67" i="11"/>
  <c r="M67" i="11" s="1"/>
  <c r="J67" i="11"/>
  <c r="K67" i="11" s="1"/>
  <c r="H67" i="11"/>
  <c r="I67" i="11" s="1"/>
  <c r="F67" i="11"/>
  <c r="G67" i="11" s="1"/>
  <c r="D67" i="11"/>
  <c r="E67" i="11" s="1"/>
  <c r="B67" i="11"/>
  <c r="C67" i="11" s="1"/>
  <c r="AU66" i="11"/>
  <c r="AV66" i="11" s="1"/>
  <c r="AS66" i="11"/>
  <c r="AT66" i="11" s="1"/>
  <c r="AQ66" i="11"/>
  <c r="AR66" i="11" s="1"/>
  <c r="AO66" i="11"/>
  <c r="AP66" i="11" s="1"/>
  <c r="AM66" i="11"/>
  <c r="AN66" i="11" s="1"/>
  <c r="AK66" i="11"/>
  <c r="AL66" i="11" s="1"/>
  <c r="AI66" i="11"/>
  <c r="AJ66" i="11" s="1"/>
  <c r="AF66" i="11"/>
  <c r="AG66" i="11" s="1"/>
  <c r="AD66" i="11"/>
  <c r="AE66" i="11" s="1"/>
  <c r="AB66" i="11"/>
  <c r="AC66" i="11" s="1"/>
  <c r="Z66" i="11"/>
  <c r="AA66" i="11" s="1"/>
  <c r="X66" i="11"/>
  <c r="Y66" i="11" s="1"/>
  <c r="V66" i="11"/>
  <c r="W66" i="11" s="1"/>
  <c r="T66" i="11"/>
  <c r="U66" i="11" s="1"/>
  <c r="Q66" i="11"/>
  <c r="R66" i="11" s="1"/>
  <c r="N66" i="11"/>
  <c r="O66" i="11" s="1"/>
  <c r="L66" i="11"/>
  <c r="M66" i="11" s="1"/>
  <c r="J66" i="11"/>
  <c r="K66" i="11" s="1"/>
  <c r="H66" i="11"/>
  <c r="I66" i="11" s="1"/>
  <c r="F66" i="11"/>
  <c r="G66" i="11" s="1"/>
  <c r="D66" i="11"/>
  <c r="E66" i="11" s="1"/>
  <c r="B66" i="11"/>
  <c r="C66" i="11" s="1"/>
  <c r="AU65" i="11"/>
  <c r="AV65" i="11" s="1"/>
  <c r="AS65" i="11"/>
  <c r="AT65" i="11" s="1"/>
  <c r="AQ65" i="11"/>
  <c r="AR65" i="11" s="1"/>
  <c r="AO65" i="11"/>
  <c r="AP65" i="11" s="1"/>
  <c r="AM65" i="11"/>
  <c r="AN65" i="11" s="1"/>
  <c r="AK65" i="11"/>
  <c r="AL65" i="11" s="1"/>
  <c r="AI65" i="11"/>
  <c r="AJ65" i="11" s="1"/>
  <c r="AF65" i="11"/>
  <c r="AG65" i="11" s="1"/>
  <c r="AD65" i="11"/>
  <c r="AE65" i="11" s="1"/>
  <c r="AB65" i="11"/>
  <c r="AC65" i="11" s="1"/>
  <c r="Z65" i="11"/>
  <c r="AA65" i="11" s="1"/>
  <c r="X65" i="11"/>
  <c r="Y65" i="11" s="1"/>
  <c r="V65" i="11"/>
  <c r="W65" i="11" s="1"/>
  <c r="T65" i="11"/>
  <c r="U65" i="11" s="1"/>
  <c r="Q65" i="11"/>
  <c r="R65" i="11" s="1"/>
  <c r="N65" i="11"/>
  <c r="O65" i="11" s="1"/>
  <c r="L65" i="11"/>
  <c r="M65" i="11" s="1"/>
  <c r="J65" i="11"/>
  <c r="K65" i="11" s="1"/>
  <c r="H65" i="11"/>
  <c r="I65" i="11" s="1"/>
  <c r="F65" i="11"/>
  <c r="G65" i="11" s="1"/>
  <c r="D65" i="11"/>
  <c r="E65" i="11" s="1"/>
  <c r="B65" i="11"/>
  <c r="C65" i="11" s="1"/>
  <c r="AU64" i="11"/>
  <c r="AV64" i="11" s="1"/>
  <c r="AS64" i="11"/>
  <c r="AT64" i="11" s="1"/>
  <c r="AQ64" i="11"/>
  <c r="AR64" i="11" s="1"/>
  <c r="AO64" i="11"/>
  <c r="AP64" i="11" s="1"/>
  <c r="AM64" i="11"/>
  <c r="AN64" i="11" s="1"/>
  <c r="AK64" i="11"/>
  <c r="AL64" i="11" s="1"/>
  <c r="AI64" i="11"/>
  <c r="AJ64" i="11" s="1"/>
  <c r="AF64" i="11"/>
  <c r="AG64" i="11" s="1"/>
  <c r="AD64" i="11"/>
  <c r="AE64" i="11" s="1"/>
  <c r="AB64" i="11"/>
  <c r="AC64" i="11" s="1"/>
  <c r="Z64" i="11"/>
  <c r="AA64" i="11" s="1"/>
  <c r="X64" i="11"/>
  <c r="Y64" i="11" s="1"/>
  <c r="V64" i="11"/>
  <c r="W64" i="11" s="1"/>
  <c r="T64" i="11"/>
  <c r="U64" i="11" s="1"/>
  <c r="Q64" i="11"/>
  <c r="R64" i="11" s="1"/>
  <c r="N64" i="11"/>
  <c r="O64" i="11" s="1"/>
  <c r="L64" i="11"/>
  <c r="M64" i="11" s="1"/>
  <c r="J64" i="11"/>
  <c r="K64" i="11" s="1"/>
  <c r="H64" i="11"/>
  <c r="I64" i="11" s="1"/>
  <c r="F64" i="11"/>
  <c r="G64" i="11" s="1"/>
  <c r="D64" i="11"/>
  <c r="E64" i="11" s="1"/>
  <c r="B64" i="11"/>
  <c r="C64" i="11" s="1"/>
  <c r="AU63" i="11"/>
  <c r="AV63" i="11" s="1"/>
  <c r="AS63" i="11"/>
  <c r="AT63" i="11" s="1"/>
  <c r="AQ63" i="11"/>
  <c r="AR63" i="11" s="1"/>
  <c r="AO63" i="11"/>
  <c r="AP63" i="11" s="1"/>
  <c r="AM63" i="11"/>
  <c r="AN63" i="11" s="1"/>
  <c r="AK63" i="11"/>
  <c r="AL63" i="11" s="1"/>
  <c r="AI63" i="11"/>
  <c r="AJ63" i="11" s="1"/>
  <c r="AF63" i="11"/>
  <c r="AG63" i="11" s="1"/>
  <c r="AD63" i="11"/>
  <c r="AE63" i="11" s="1"/>
  <c r="AB63" i="11"/>
  <c r="AC63" i="11" s="1"/>
  <c r="Z63" i="11"/>
  <c r="AA63" i="11" s="1"/>
  <c r="X63" i="11"/>
  <c r="Y63" i="11" s="1"/>
  <c r="V63" i="11"/>
  <c r="W63" i="11" s="1"/>
  <c r="T63" i="11"/>
  <c r="U63" i="11" s="1"/>
  <c r="Q63" i="11"/>
  <c r="R63" i="11" s="1"/>
  <c r="N63" i="11"/>
  <c r="O63" i="11" s="1"/>
  <c r="L63" i="11"/>
  <c r="M63" i="11" s="1"/>
  <c r="J63" i="11"/>
  <c r="K63" i="11" s="1"/>
  <c r="H63" i="11"/>
  <c r="I63" i="11" s="1"/>
  <c r="F63" i="11"/>
  <c r="G63" i="11" s="1"/>
  <c r="D63" i="11"/>
  <c r="E63" i="11" s="1"/>
  <c r="B63" i="11"/>
  <c r="C63" i="11" s="1"/>
  <c r="AU62" i="11"/>
  <c r="AV62" i="11" s="1"/>
  <c r="AS62" i="11"/>
  <c r="AT62" i="11" s="1"/>
  <c r="AQ62" i="11"/>
  <c r="AR62" i="11" s="1"/>
  <c r="AO62" i="11"/>
  <c r="AP62" i="11" s="1"/>
  <c r="AM62" i="11"/>
  <c r="AN62" i="11" s="1"/>
  <c r="AK62" i="11"/>
  <c r="AL62" i="11" s="1"/>
  <c r="AI62" i="11"/>
  <c r="AJ62" i="11" s="1"/>
  <c r="AF62" i="11"/>
  <c r="AG62" i="11" s="1"/>
  <c r="AD62" i="11"/>
  <c r="AE62" i="11" s="1"/>
  <c r="AB62" i="11"/>
  <c r="AC62" i="11" s="1"/>
  <c r="Z62" i="11"/>
  <c r="AA62" i="11" s="1"/>
  <c r="X62" i="11"/>
  <c r="Y62" i="11" s="1"/>
  <c r="V62" i="11"/>
  <c r="W62" i="11" s="1"/>
  <c r="T62" i="11"/>
  <c r="U62" i="11" s="1"/>
  <c r="Q62" i="11"/>
  <c r="R62" i="11" s="1"/>
  <c r="N62" i="11"/>
  <c r="O62" i="11" s="1"/>
  <c r="L62" i="11"/>
  <c r="M62" i="11" s="1"/>
  <c r="J62" i="11"/>
  <c r="K62" i="11" s="1"/>
  <c r="H62" i="11"/>
  <c r="I62" i="11" s="1"/>
  <c r="F62" i="11"/>
  <c r="G62" i="11" s="1"/>
  <c r="D62" i="11"/>
  <c r="E62" i="11" s="1"/>
  <c r="B62" i="11"/>
  <c r="C62" i="11" s="1"/>
  <c r="AU61" i="11"/>
  <c r="AV61" i="11" s="1"/>
  <c r="AS61" i="11"/>
  <c r="AT61" i="11" s="1"/>
  <c r="AQ61" i="11"/>
  <c r="AR61" i="11" s="1"/>
  <c r="AO61" i="11"/>
  <c r="AP61" i="11" s="1"/>
  <c r="AM61" i="11"/>
  <c r="AN61" i="11" s="1"/>
  <c r="AK61" i="11"/>
  <c r="AL61" i="11" s="1"/>
  <c r="AI61" i="11"/>
  <c r="AJ61" i="11" s="1"/>
  <c r="AF61" i="11"/>
  <c r="AG61" i="11" s="1"/>
  <c r="AD61" i="11"/>
  <c r="AE61" i="11" s="1"/>
  <c r="AB61" i="11"/>
  <c r="AC61" i="11" s="1"/>
  <c r="Z61" i="11"/>
  <c r="AA61" i="11" s="1"/>
  <c r="X61" i="11"/>
  <c r="Y61" i="11" s="1"/>
  <c r="V61" i="11"/>
  <c r="W61" i="11" s="1"/>
  <c r="T61" i="11"/>
  <c r="U61" i="11" s="1"/>
  <c r="Q61" i="11"/>
  <c r="R61" i="11" s="1"/>
  <c r="N61" i="11"/>
  <c r="O61" i="11" s="1"/>
  <c r="L61" i="11"/>
  <c r="M61" i="11" s="1"/>
  <c r="J61" i="11"/>
  <c r="K61" i="11" s="1"/>
  <c r="H61" i="11"/>
  <c r="I61" i="11" s="1"/>
  <c r="F61" i="11"/>
  <c r="G61" i="11" s="1"/>
  <c r="D61" i="11"/>
  <c r="E61" i="11" s="1"/>
  <c r="B61" i="11"/>
  <c r="C61" i="11" s="1"/>
  <c r="AU60" i="11"/>
  <c r="AV60" i="11" s="1"/>
  <c r="AS60" i="11"/>
  <c r="AT60" i="11" s="1"/>
  <c r="AQ60" i="11"/>
  <c r="AR60" i="11" s="1"/>
  <c r="AO60" i="11"/>
  <c r="AP60" i="11" s="1"/>
  <c r="AM60" i="11"/>
  <c r="AN60" i="11" s="1"/>
  <c r="AK60" i="11"/>
  <c r="AL60" i="11" s="1"/>
  <c r="AI60" i="11"/>
  <c r="AJ60" i="11" s="1"/>
  <c r="AF60" i="11"/>
  <c r="AG60" i="11" s="1"/>
  <c r="AD60" i="11"/>
  <c r="AE60" i="11" s="1"/>
  <c r="AB60" i="11"/>
  <c r="AC60" i="11" s="1"/>
  <c r="Z60" i="11"/>
  <c r="AA60" i="11" s="1"/>
  <c r="X60" i="11"/>
  <c r="Y60" i="11" s="1"/>
  <c r="V60" i="11"/>
  <c r="W60" i="11" s="1"/>
  <c r="T60" i="11"/>
  <c r="U60" i="11" s="1"/>
  <c r="Q60" i="11"/>
  <c r="R60" i="11" s="1"/>
  <c r="N60" i="11"/>
  <c r="O60" i="11" s="1"/>
  <c r="L60" i="11"/>
  <c r="M60" i="11" s="1"/>
  <c r="J60" i="11"/>
  <c r="K60" i="11" s="1"/>
  <c r="H60" i="11"/>
  <c r="I60" i="11" s="1"/>
  <c r="F60" i="11"/>
  <c r="G60" i="11" s="1"/>
  <c r="D60" i="11"/>
  <c r="E60" i="11" s="1"/>
  <c r="B60" i="11"/>
  <c r="C60" i="11" s="1"/>
  <c r="AU59" i="11"/>
  <c r="AV59" i="11" s="1"/>
  <c r="AS59" i="11"/>
  <c r="AT59" i="11" s="1"/>
  <c r="AQ59" i="11"/>
  <c r="AR59" i="11" s="1"/>
  <c r="AO59" i="11"/>
  <c r="AP59" i="11" s="1"/>
  <c r="AM59" i="11"/>
  <c r="AN59" i="11" s="1"/>
  <c r="AK59" i="11"/>
  <c r="AL59" i="11" s="1"/>
  <c r="AI59" i="11"/>
  <c r="AJ59" i="11" s="1"/>
  <c r="AF59" i="11"/>
  <c r="AG59" i="11" s="1"/>
  <c r="AD59" i="11"/>
  <c r="AE59" i="11" s="1"/>
  <c r="AB59" i="11"/>
  <c r="AC59" i="11" s="1"/>
  <c r="Z59" i="11"/>
  <c r="AA59" i="11" s="1"/>
  <c r="X59" i="11"/>
  <c r="Y59" i="11" s="1"/>
  <c r="V59" i="11"/>
  <c r="W59" i="11" s="1"/>
  <c r="T59" i="11"/>
  <c r="U59" i="11" s="1"/>
  <c r="Q59" i="11"/>
  <c r="R59" i="11" s="1"/>
  <c r="N59" i="11"/>
  <c r="O59" i="11" s="1"/>
  <c r="L59" i="11"/>
  <c r="M59" i="11" s="1"/>
  <c r="J59" i="11"/>
  <c r="K59" i="11" s="1"/>
  <c r="H59" i="11"/>
  <c r="I59" i="11" s="1"/>
  <c r="F59" i="11"/>
  <c r="G59" i="11" s="1"/>
  <c r="D59" i="11"/>
  <c r="E59" i="11" s="1"/>
  <c r="B59" i="11"/>
  <c r="C59" i="11" s="1"/>
  <c r="AU58" i="11"/>
  <c r="AV58" i="11" s="1"/>
  <c r="AS58" i="11"/>
  <c r="AT58" i="11" s="1"/>
  <c r="AQ58" i="11"/>
  <c r="AR58" i="11" s="1"/>
  <c r="AO58" i="11"/>
  <c r="AP58" i="11" s="1"/>
  <c r="AM58" i="11"/>
  <c r="AN58" i="11" s="1"/>
  <c r="AK58" i="11"/>
  <c r="AL58" i="11" s="1"/>
  <c r="AI58" i="11"/>
  <c r="AJ58" i="11" s="1"/>
  <c r="AF58" i="11"/>
  <c r="AG58" i="11" s="1"/>
  <c r="AD58" i="11"/>
  <c r="AE58" i="11" s="1"/>
  <c r="AB58" i="11"/>
  <c r="AC58" i="11" s="1"/>
  <c r="Z58" i="11"/>
  <c r="AA58" i="11" s="1"/>
  <c r="X58" i="11"/>
  <c r="Y58" i="11" s="1"/>
  <c r="V58" i="11"/>
  <c r="W58" i="11" s="1"/>
  <c r="T58" i="11"/>
  <c r="U58" i="11" s="1"/>
  <c r="Q58" i="11"/>
  <c r="R58" i="11" s="1"/>
  <c r="N58" i="11"/>
  <c r="O58" i="11" s="1"/>
  <c r="L58" i="11"/>
  <c r="M58" i="11" s="1"/>
  <c r="J58" i="11"/>
  <c r="K58" i="11" s="1"/>
  <c r="H58" i="11"/>
  <c r="I58" i="11" s="1"/>
  <c r="F58" i="11"/>
  <c r="G58" i="11" s="1"/>
  <c r="D58" i="11"/>
  <c r="E58" i="11" s="1"/>
  <c r="B58" i="11"/>
  <c r="C58" i="11" s="1"/>
  <c r="AU57" i="11"/>
  <c r="AV57" i="11" s="1"/>
  <c r="AS57" i="11"/>
  <c r="AT57" i="11" s="1"/>
  <c r="AQ57" i="11"/>
  <c r="AR57" i="11" s="1"/>
  <c r="AO57" i="11"/>
  <c r="AP57" i="11" s="1"/>
  <c r="AM57" i="11"/>
  <c r="AN57" i="11" s="1"/>
  <c r="AK57" i="11"/>
  <c r="AL57" i="11" s="1"/>
  <c r="AI57" i="11"/>
  <c r="AJ57" i="11" s="1"/>
  <c r="AF57" i="11"/>
  <c r="AG57" i="11" s="1"/>
  <c r="AD57" i="11"/>
  <c r="AE57" i="11" s="1"/>
  <c r="AB57" i="11"/>
  <c r="AC57" i="11" s="1"/>
  <c r="Z57" i="11"/>
  <c r="AA57" i="11" s="1"/>
  <c r="X57" i="11"/>
  <c r="Y57" i="11" s="1"/>
  <c r="V57" i="11"/>
  <c r="W57" i="11" s="1"/>
  <c r="T57" i="11"/>
  <c r="U57" i="11" s="1"/>
  <c r="Q57" i="11"/>
  <c r="R57" i="11" s="1"/>
  <c r="N57" i="11"/>
  <c r="O57" i="11" s="1"/>
  <c r="L57" i="11"/>
  <c r="M57" i="11" s="1"/>
  <c r="J57" i="11"/>
  <c r="K57" i="11" s="1"/>
  <c r="H57" i="11"/>
  <c r="I57" i="11" s="1"/>
  <c r="F57" i="11"/>
  <c r="G57" i="11" s="1"/>
  <c r="D57" i="11"/>
  <c r="E57" i="11" s="1"/>
  <c r="B57" i="11"/>
  <c r="C57" i="11" s="1"/>
  <c r="AU56" i="11"/>
  <c r="AV56" i="11" s="1"/>
  <c r="AS56" i="11"/>
  <c r="AT56" i="11" s="1"/>
  <c r="AQ56" i="11"/>
  <c r="AR56" i="11" s="1"/>
  <c r="AO56" i="11"/>
  <c r="AP56" i="11" s="1"/>
  <c r="AM56" i="11"/>
  <c r="AN56" i="11" s="1"/>
  <c r="AK56" i="11"/>
  <c r="AL56" i="11" s="1"/>
  <c r="AI56" i="11"/>
  <c r="AJ56" i="11" s="1"/>
  <c r="AF56" i="11"/>
  <c r="AG56" i="11" s="1"/>
  <c r="AD56" i="11"/>
  <c r="AE56" i="11" s="1"/>
  <c r="AB56" i="11"/>
  <c r="AC56" i="11" s="1"/>
  <c r="Z56" i="11"/>
  <c r="AA56" i="11" s="1"/>
  <c r="X56" i="11"/>
  <c r="Y56" i="11" s="1"/>
  <c r="V56" i="11"/>
  <c r="W56" i="11" s="1"/>
  <c r="T56" i="11"/>
  <c r="U56" i="11" s="1"/>
  <c r="Q56" i="11"/>
  <c r="R56" i="11" s="1"/>
  <c r="N56" i="11"/>
  <c r="O56" i="11" s="1"/>
  <c r="L56" i="11"/>
  <c r="M56" i="11" s="1"/>
  <c r="J56" i="11"/>
  <c r="K56" i="11" s="1"/>
  <c r="H56" i="11"/>
  <c r="I56" i="11" s="1"/>
  <c r="F56" i="11"/>
  <c r="G56" i="11" s="1"/>
  <c r="D56" i="11"/>
  <c r="E56" i="11" s="1"/>
  <c r="B56" i="11"/>
  <c r="C56" i="11" s="1"/>
  <c r="AU55" i="11"/>
  <c r="AV55" i="11" s="1"/>
  <c r="AS55" i="11"/>
  <c r="AT55" i="11" s="1"/>
  <c r="AQ55" i="11"/>
  <c r="AR55" i="11" s="1"/>
  <c r="AO55" i="11"/>
  <c r="AP55" i="11" s="1"/>
  <c r="AM55" i="11"/>
  <c r="AN55" i="11" s="1"/>
  <c r="AK55" i="11"/>
  <c r="AL55" i="11" s="1"/>
  <c r="AI55" i="11"/>
  <c r="AJ55" i="11" s="1"/>
  <c r="AF55" i="11"/>
  <c r="AG55" i="11" s="1"/>
  <c r="AD55" i="11"/>
  <c r="AE55" i="11" s="1"/>
  <c r="AB55" i="11"/>
  <c r="AC55" i="11" s="1"/>
  <c r="Z55" i="11"/>
  <c r="AA55" i="11" s="1"/>
  <c r="X55" i="11"/>
  <c r="Y55" i="11" s="1"/>
  <c r="V55" i="11"/>
  <c r="W55" i="11" s="1"/>
  <c r="T55" i="11"/>
  <c r="U55" i="11" s="1"/>
  <c r="Q55" i="11"/>
  <c r="R55" i="11" s="1"/>
  <c r="N55" i="11"/>
  <c r="O55" i="11" s="1"/>
  <c r="L55" i="11"/>
  <c r="M55" i="11" s="1"/>
  <c r="J55" i="11"/>
  <c r="K55" i="11" s="1"/>
  <c r="H55" i="11"/>
  <c r="I55" i="11" s="1"/>
  <c r="F55" i="11"/>
  <c r="G55" i="11" s="1"/>
  <c r="D55" i="11"/>
  <c r="E55" i="11" s="1"/>
  <c r="B55" i="11"/>
  <c r="C55" i="11" s="1"/>
  <c r="AU54" i="11"/>
  <c r="AV54" i="11" s="1"/>
  <c r="AS54" i="11"/>
  <c r="AT54" i="11" s="1"/>
  <c r="AQ54" i="11"/>
  <c r="AR54" i="11" s="1"/>
  <c r="AO54" i="11"/>
  <c r="AP54" i="11" s="1"/>
  <c r="AM54" i="11"/>
  <c r="AN54" i="11" s="1"/>
  <c r="AK54" i="11"/>
  <c r="AL54" i="11" s="1"/>
  <c r="AI54" i="11"/>
  <c r="AJ54" i="11" s="1"/>
  <c r="AF54" i="11"/>
  <c r="AG54" i="11" s="1"/>
  <c r="AD54" i="11"/>
  <c r="AE54" i="11" s="1"/>
  <c r="AB54" i="11"/>
  <c r="AC54" i="11" s="1"/>
  <c r="Z54" i="11"/>
  <c r="AA54" i="11" s="1"/>
  <c r="X54" i="11"/>
  <c r="Y54" i="11" s="1"/>
  <c r="V54" i="11"/>
  <c r="W54" i="11" s="1"/>
  <c r="T54" i="11"/>
  <c r="U54" i="11" s="1"/>
  <c r="Q54" i="11"/>
  <c r="R54" i="11" s="1"/>
  <c r="N54" i="11"/>
  <c r="O54" i="11" s="1"/>
  <c r="L54" i="11"/>
  <c r="M54" i="11" s="1"/>
  <c r="J54" i="11"/>
  <c r="K54" i="11" s="1"/>
  <c r="H54" i="11"/>
  <c r="I54" i="11" s="1"/>
  <c r="F54" i="11"/>
  <c r="G54" i="11" s="1"/>
  <c r="D54" i="11"/>
  <c r="E54" i="11" s="1"/>
  <c r="B54" i="11"/>
  <c r="C54" i="11" s="1"/>
  <c r="AU53" i="11"/>
  <c r="AV53" i="11" s="1"/>
  <c r="AS53" i="11"/>
  <c r="AT53" i="11" s="1"/>
  <c r="AQ53" i="11"/>
  <c r="AR53" i="11" s="1"/>
  <c r="AO53" i="11"/>
  <c r="AP53" i="11" s="1"/>
  <c r="AM53" i="11"/>
  <c r="AN53" i="11" s="1"/>
  <c r="AK53" i="11"/>
  <c r="AL53" i="11" s="1"/>
  <c r="AI53" i="11"/>
  <c r="AJ53" i="11" s="1"/>
  <c r="AF53" i="11"/>
  <c r="AG53" i="11" s="1"/>
  <c r="AD53" i="11"/>
  <c r="AE53" i="11" s="1"/>
  <c r="AB53" i="11"/>
  <c r="AC53" i="11" s="1"/>
  <c r="Z53" i="11"/>
  <c r="AA53" i="11" s="1"/>
  <c r="X53" i="11"/>
  <c r="Y53" i="11" s="1"/>
  <c r="V53" i="11"/>
  <c r="W53" i="11" s="1"/>
  <c r="T53" i="11"/>
  <c r="U53" i="11" s="1"/>
  <c r="Q53" i="11"/>
  <c r="R53" i="11" s="1"/>
  <c r="N53" i="11"/>
  <c r="O53" i="11" s="1"/>
  <c r="L53" i="11"/>
  <c r="M53" i="11" s="1"/>
  <c r="J53" i="11"/>
  <c r="K53" i="11" s="1"/>
  <c r="H53" i="11"/>
  <c r="I53" i="11" s="1"/>
  <c r="F53" i="11"/>
  <c r="G53" i="11" s="1"/>
  <c r="D53" i="11"/>
  <c r="E53" i="11" s="1"/>
  <c r="B53" i="11"/>
  <c r="C53" i="11" s="1"/>
  <c r="AU52" i="11"/>
  <c r="AV52" i="11" s="1"/>
  <c r="AS52" i="11"/>
  <c r="AT52" i="11" s="1"/>
  <c r="AQ52" i="11"/>
  <c r="AR52" i="11" s="1"/>
  <c r="AO52" i="11"/>
  <c r="AP52" i="11" s="1"/>
  <c r="AM52" i="11"/>
  <c r="AN52" i="11" s="1"/>
  <c r="AK52" i="11"/>
  <c r="AL52" i="11" s="1"/>
  <c r="AI52" i="11"/>
  <c r="AJ52" i="11" s="1"/>
  <c r="AF52" i="11"/>
  <c r="AG52" i="11" s="1"/>
  <c r="AD52" i="11"/>
  <c r="AE52" i="11" s="1"/>
  <c r="AB52" i="11"/>
  <c r="AC52" i="11" s="1"/>
  <c r="Z52" i="11"/>
  <c r="AA52" i="11" s="1"/>
  <c r="X52" i="11"/>
  <c r="Y52" i="11" s="1"/>
  <c r="V52" i="11"/>
  <c r="W52" i="11" s="1"/>
  <c r="T52" i="11"/>
  <c r="U52" i="11" s="1"/>
  <c r="Q52" i="11"/>
  <c r="R52" i="11" s="1"/>
  <c r="N52" i="11"/>
  <c r="O52" i="11" s="1"/>
  <c r="L52" i="11"/>
  <c r="M52" i="11" s="1"/>
  <c r="J52" i="11"/>
  <c r="K52" i="11" s="1"/>
  <c r="H52" i="11"/>
  <c r="I52" i="11" s="1"/>
  <c r="F52" i="11"/>
  <c r="G52" i="11" s="1"/>
  <c r="D52" i="11"/>
  <c r="E52" i="11" s="1"/>
  <c r="B52" i="11"/>
  <c r="C52" i="11" s="1"/>
  <c r="AU51" i="11"/>
  <c r="AV51" i="11" s="1"/>
  <c r="AS51" i="11"/>
  <c r="AT51" i="11" s="1"/>
  <c r="AQ51" i="11"/>
  <c r="AR51" i="11" s="1"/>
  <c r="AO51" i="11"/>
  <c r="AP51" i="11" s="1"/>
  <c r="AM51" i="11"/>
  <c r="AN51" i="11" s="1"/>
  <c r="AK51" i="11"/>
  <c r="AL51" i="11" s="1"/>
  <c r="AI51" i="11"/>
  <c r="AJ51" i="11" s="1"/>
  <c r="AF51" i="11"/>
  <c r="AG51" i="11" s="1"/>
  <c r="AD51" i="11"/>
  <c r="AE51" i="11" s="1"/>
  <c r="AB51" i="11"/>
  <c r="AC51" i="11" s="1"/>
  <c r="Z51" i="11"/>
  <c r="AA51" i="11" s="1"/>
  <c r="X51" i="11"/>
  <c r="Y51" i="11" s="1"/>
  <c r="V51" i="11"/>
  <c r="W51" i="11" s="1"/>
  <c r="T51" i="11"/>
  <c r="U51" i="11" s="1"/>
  <c r="Q51" i="11"/>
  <c r="R51" i="11" s="1"/>
  <c r="N51" i="11"/>
  <c r="O51" i="11" s="1"/>
  <c r="L51" i="11"/>
  <c r="M51" i="11" s="1"/>
  <c r="J51" i="11"/>
  <c r="K51" i="11" s="1"/>
  <c r="H51" i="11"/>
  <c r="I51" i="11" s="1"/>
  <c r="F51" i="11"/>
  <c r="G51" i="11" s="1"/>
  <c r="D51" i="11"/>
  <c r="E51" i="11" s="1"/>
  <c r="B51" i="11"/>
  <c r="C51" i="11" s="1"/>
  <c r="AU50" i="11"/>
  <c r="AV50" i="11" s="1"/>
  <c r="AS50" i="11"/>
  <c r="AT50" i="11" s="1"/>
  <c r="AQ50" i="11"/>
  <c r="AR50" i="11" s="1"/>
  <c r="AO50" i="11"/>
  <c r="AP50" i="11" s="1"/>
  <c r="AM50" i="11"/>
  <c r="AN50" i="11" s="1"/>
  <c r="AK50" i="11"/>
  <c r="AL50" i="11" s="1"/>
  <c r="AI50" i="11"/>
  <c r="AJ50" i="11" s="1"/>
  <c r="AF50" i="11"/>
  <c r="AG50" i="11" s="1"/>
  <c r="AD50" i="11"/>
  <c r="AE50" i="11" s="1"/>
  <c r="AB50" i="11"/>
  <c r="AC50" i="11" s="1"/>
  <c r="Z50" i="11"/>
  <c r="AA50" i="11" s="1"/>
  <c r="X50" i="11"/>
  <c r="Y50" i="11" s="1"/>
  <c r="V50" i="11"/>
  <c r="W50" i="11" s="1"/>
  <c r="T50" i="11"/>
  <c r="U50" i="11" s="1"/>
  <c r="Q50" i="11"/>
  <c r="R50" i="11" s="1"/>
  <c r="N50" i="11"/>
  <c r="O50" i="11" s="1"/>
  <c r="L50" i="11"/>
  <c r="M50" i="11" s="1"/>
  <c r="J50" i="11"/>
  <c r="K50" i="11" s="1"/>
  <c r="H50" i="11"/>
  <c r="I50" i="11" s="1"/>
  <c r="F50" i="11"/>
  <c r="G50" i="11" s="1"/>
  <c r="D50" i="11"/>
  <c r="E50" i="11" s="1"/>
  <c r="B50" i="11"/>
  <c r="C50" i="11" s="1"/>
  <c r="AU49" i="11"/>
  <c r="AV49" i="11" s="1"/>
  <c r="AS49" i="11"/>
  <c r="AT49" i="11" s="1"/>
  <c r="AQ49" i="11"/>
  <c r="AR49" i="11" s="1"/>
  <c r="AO49" i="11"/>
  <c r="AP49" i="11" s="1"/>
  <c r="AM49" i="11"/>
  <c r="AN49" i="11" s="1"/>
  <c r="AK49" i="11"/>
  <c r="AL49" i="11" s="1"/>
  <c r="AI49" i="11"/>
  <c r="AJ49" i="11" s="1"/>
  <c r="AF49" i="11"/>
  <c r="AG49" i="11" s="1"/>
  <c r="AD49" i="11"/>
  <c r="AE49" i="11" s="1"/>
  <c r="AB49" i="11"/>
  <c r="AC49" i="11" s="1"/>
  <c r="Z49" i="11"/>
  <c r="AA49" i="11" s="1"/>
  <c r="X49" i="11"/>
  <c r="Y49" i="11" s="1"/>
  <c r="V49" i="11"/>
  <c r="W49" i="11" s="1"/>
  <c r="T49" i="11"/>
  <c r="U49" i="11" s="1"/>
  <c r="Q49" i="11"/>
  <c r="R49" i="11" s="1"/>
  <c r="N49" i="11"/>
  <c r="O49" i="11" s="1"/>
  <c r="L49" i="11"/>
  <c r="M49" i="11" s="1"/>
  <c r="J49" i="11"/>
  <c r="K49" i="11" s="1"/>
  <c r="H49" i="11"/>
  <c r="I49" i="11" s="1"/>
  <c r="F49" i="11"/>
  <c r="G49" i="11" s="1"/>
  <c r="D49" i="11"/>
  <c r="E49" i="11" s="1"/>
  <c r="B49" i="11"/>
  <c r="C49" i="11" s="1"/>
  <c r="AU48" i="11"/>
  <c r="AV48" i="11" s="1"/>
  <c r="AS48" i="11"/>
  <c r="AT48" i="11" s="1"/>
  <c r="AQ48" i="11"/>
  <c r="AR48" i="11" s="1"/>
  <c r="AO48" i="11"/>
  <c r="AP48" i="11" s="1"/>
  <c r="AM48" i="11"/>
  <c r="AN48" i="11" s="1"/>
  <c r="AK48" i="11"/>
  <c r="AL48" i="11" s="1"/>
  <c r="AI48" i="11"/>
  <c r="AJ48" i="11" s="1"/>
  <c r="AF48" i="11"/>
  <c r="AG48" i="11" s="1"/>
  <c r="AD48" i="11"/>
  <c r="AE48" i="11" s="1"/>
  <c r="AB48" i="11"/>
  <c r="AC48" i="11" s="1"/>
  <c r="Z48" i="11"/>
  <c r="AA48" i="11" s="1"/>
  <c r="X48" i="11"/>
  <c r="Y48" i="11" s="1"/>
  <c r="V48" i="11"/>
  <c r="W48" i="11" s="1"/>
  <c r="T48" i="11"/>
  <c r="U48" i="11" s="1"/>
  <c r="Q48" i="11"/>
  <c r="R48" i="11" s="1"/>
  <c r="N48" i="11"/>
  <c r="O48" i="11" s="1"/>
  <c r="L48" i="11"/>
  <c r="M48" i="11" s="1"/>
  <c r="J48" i="11"/>
  <c r="K48" i="11" s="1"/>
  <c r="H48" i="11"/>
  <c r="I48" i="11" s="1"/>
  <c r="F48" i="11"/>
  <c r="G48" i="11" s="1"/>
  <c r="D48" i="11"/>
  <c r="E48" i="11" s="1"/>
  <c r="B48" i="11"/>
  <c r="C48" i="11" s="1"/>
  <c r="AU47" i="11"/>
  <c r="AV47" i="11" s="1"/>
  <c r="AS47" i="11"/>
  <c r="AT47" i="11" s="1"/>
  <c r="AQ47" i="11"/>
  <c r="AR47" i="11" s="1"/>
  <c r="AO47" i="11"/>
  <c r="AP47" i="11" s="1"/>
  <c r="AM47" i="11"/>
  <c r="AN47" i="11" s="1"/>
  <c r="AK47" i="11"/>
  <c r="AL47" i="11" s="1"/>
  <c r="AI47" i="11"/>
  <c r="AJ47" i="11" s="1"/>
  <c r="AF47" i="11"/>
  <c r="AG47" i="11" s="1"/>
  <c r="AD47" i="11"/>
  <c r="AE47" i="11" s="1"/>
  <c r="AB47" i="11"/>
  <c r="AC47" i="11" s="1"/>
  <c r="Z47" i="11"/>
  <c r="AA47" i="11" s="1"/>
  <c r="X47" i="11"/>
  <c r="Y47" i="11" s="1"/>
  <c r="V47" i="11"/>
  <c r="W47" i="11" s="1"/>
  <c r="T47" i="11"/>
  <c r="U47" i="11" s="1"/>
  <c r="Q47" i="11"/>
  <c r="R47" i="11" s="1"/>
  <c r="N47" i="11"/>
  <c r="O47" i="11" s="1"/>
  <c r="L47" i="11"/>
  <c r="M47" i="11" s="1"/>
  <c r="J47" i="11"/>
  <c r="K47" i="11" s="1"/>
  <c r="H47" i="11"/>
  <c r="I47" i="11" s="1"/>
  <c r="F47" i="11"/>
  <c r="G47" i="11" s="1"/>
  <c r="D47" i="11"/>
  <c r="E47" i="11" s="1"/>
  <c r="B47" i="11"/>
  <c r="C47" i="11" s="1"/>
  <c r="AU46" i="11"/>
  <c r="AV46" i="11" s="1"/>
  <c r="AS46" i="11"/>
  <c r="AT46" i="11" s="1"/>
  <c r="AQ46" i="11"/>
  <c r="AR46" i="11" s="1"/>
  <c r="AO46" i="11"/>
  <c r="AP46" i="11" s="1"/>
  <c r="AM46" i="11"/>
  <c r="AN46" i="11" s="1"/>
  <c r="AK46" i="11"/>
  <c r="AL46" i="11" s="1"/>
  <c r="AI46" i="11"/>
  <c r="AJ46" i="11" s="1"/>
  <c r="AF46" i="11"/>
  <c r="AG46" i="11" s="1"/>
  <c r="AD46" i="11"/>
  <c r="AE46" i="11" s="1"/>
  <c r="AB46" i="11"/>
  <c r="AC46" i="11" s="1"/>
  <c r="Z46" i="11"/>
  <c r="AA46" i="11" s="1"/>
  <c r="X46" i="11"/>
  <c r="Y46" i="11" s="1"/>
  <c r="V46" i="11"/>
  <c r="W46" i="11" s="1"/>
  <c r="T46" i="11"/>
  <c r="U46" i="11" s="1"/>
  <c r="Q46" i="11"/>
  <c r="R46" i="11" s="1"/>
  <c r="N46" i="11"/>
  <c r="O46" i="11" s="1"/>
  <c r="L46" i="11"/>
  <c r="M46" i="11" s="1"/>
  <c r="J46" i="11"/>
  <c r="K46" i="11" s="1"/>
  <c r="H46" i="11"/>
  <c r="I46" i="11" s="1"/>
  <c r="F46" i="11"/>
  <c r="G46" i="11" s="1"/>
  <c r="D46" i="11"/>
  <c r="E46" i="11" s="1"/>
  <c r="B46" i="11"/>
  <c r="C46" i="11" s="1"/>
  <c r="AU45" i="11"/>
  <c r="AV45" i="11" s="1"/>
  <c r="AS45" i="11"/>
  <c r="AT45" i="11" s="1"/>
  <c r="AQ45" i="11"/>
  <c r="AR45" i="11" s="1"/>
  <c r="AO45" i="11"/>
  <c r="AP45" i="11" s="1"/>
  <c r="AM45" i="11"/>
  <c r="AN45" i="11" s="1"/>
  <c r="AK45" i="11"/>
  <c r="AL45" i="11" s="1"/>
  <c r="AI45" i="11"/>
  <c r="AJ45" i="11" s="1"/>
  <c r="AF45" i="11"/>
  <c r="AG45" i="11" s="1"/>
  <c r="AD45" i="11"/>
  <c r="AE45" i="11" s="1"/>
  <c r="AB45" i="11"/>
  <c r="AC45" i="11" s="1"/>
  <c r="Z45" i="11"/>
  <c r="AA45" i="11" s="1"/>
  <c r="X45" i="11"/>
  <c r="Y45" i="11" s="1"/>
  <c r="V45" i="11"/>
  <c r="W45" i="11" s="1"/>
  <c r="T45" i="11"/>
  <c r="U45" i="11" s="1"/>
  <c r="Q45" i="11"/>
  <c r="R45" i="11" s="1"/>
  <c r="N45" i="11"/>
  <c r="O45" i="11" s="1"/>
  <c r="L45" i="11"/>
  <c r="M45" i="11" s="1"/>
  <c r="J45" i="11"/>
  <c r="K45" i="11" s="1"/>
  <c r="H45" i="11"/>
  <c r="I45" i="11" s="1"/>
  <c r="F45" i="11"/>
  <c r="G45" i="11" s="1"/>
  <c r="D45" i="11"/>
  <c r="E45" i="11" s="1"/>
  <c r="B45" i="11"/>
  <c r="C45" i="11" s="1"/>
  <c r="AU44" i="11"/>
  <c r="AV44" i="11" s="1"/>
  <c r="AS44" i="11"/>
  <c r="AT44" i="11" s="1"/>
  <c r="AQ44" i="11"/>
  <c r="AR44" i="11" s="1"/>
  <c r="AO44" i="11"/>
  <c r="AP44" i="11" s="1"/>
  <c r="AM44" i="11"/>
  <c r="AN44" i="11" s="1"/>
  <c r="AK44" i="11"/>
  <c r="AL44" i="11" s="1"/>
  <c r="AI44" i="11"/>
  <c r="AJ44" i="11" s="1"/>
  <c r="AF44" i="11"/>
  <c r="AG44" i="11" s="1"/>
  <c r="AD44" i="11"/>
  <c r="AE44" i="11" s="1"/>
  <c r="AB44" i="11"/>
  <c r="AC44" i="11" s="1"/>
  <c r="Z44" i="11"/>
  <c r="AA44" i="11" s="1"/>
  <c r="X44" i="11"/>
  <c r="Y44" i="11" s="1"/>
  <c r="V44" i="11"/>
  <c r="W44" i="11" s="1"/>
  <c r="T44" i="11"/>
  <c r="U44" i="11" s="1"/>
  <c r="Q44" i="11"/>
  <c r="R44" i="11" s="1"/>
  <c r="N44" i="11"/>
  <c r="O44" i="11" s="1"/>
  <c r="L44" i="11"/>
  <c r="M44" i="11" s="1"/>
  <c r="J44" i="11"/>
  <c r="K44" i="11" s="1"/>
  <c r="H44" i="11"/>
  <c r="I44" i="11" s="1"/>
  <c r="F44" i="11"/>
  <c r="G44" i="11" s="1"/>
  <c r="D44" i="11"/>
  <c r="E44" i="11" s="1"/>
  <c r="B44" i="11"/>
  <c r="C44" i="11" s="1"/>
  <c r="AU43" i="11"/>
  <c r="AV43" i="11" s="1"/>
  <c r="AS43" i="11"/>
  <c r="AT43" i="11" s="1"/>
  <c r="AQ43" i="11"/>
  <c r="AR43" i="11" s="1"/>
  <c r="AO43" i="11"/>
  <c r="AP43" i="11" s="1"/>
  <c r="AM43" i="11"/>
  <c r="AN43" i="11" s="1"/>
  <c r="AK43" i="11"/>
  <c r="AL43" i="11" s="1"/>
  <c r="AI43" i="11"/>
  <c r="AJ43" i="11" s="1"/>
  <c r="AF43" i="11"/>
  <c r="AG43" i="11" s="1"/>
  <c r="AD43" i="11"/>
  <c r="AE43" i="11" s="1"/>
  <c r="AB43" i="11"/>
  <c r="AC43" i="11" s="1"/>
  <c r="Z43" i="11"/>
  <c r="AA43" i="11" s="1"/>
  <c r="X43" i="11"/>
  <c r="Y43" i="11" s="1"/>
  <c r="V43" i="11"/>
  <c r="W43" i="11" s="1"/>
  <c r="T43" i="11"/>
  <c r="U43" i="11" s="1"/>
  <c r="Q43" i="11"/>
  <c r="R43" i="11" s="1"/>
  <c r="N43" i="11"/>
  <c r="O43" i="11" s="1"/>
  <c r="L43" i="11"/>
  <c r="M43" i="11" s="1"/>
  <c r="J43" i="11"/>
  <c r="K43" i="11" s="1"/>
  <c r="H43" i="11"/>
  <c r="I43" i="11" s="1"/>
  <c r="F43" i="11"/>
  <c r="G43" i="11" s="1"/>
  <c r="D43" i="11"/>
  <c r="E43" i="11" s="1"/>
  <c r="B43" i="11"/>
  <c r="C43" i="11" s="1"/>
  <c r="AU42" i="11"/>
  <c r="AV42" i="11" s="1"/>
  <c r="AS42" i="11"/>
  <c r="AT42" i="11" s="1"/>
  <c r="AQ42" i="11"/>
  <c r="AR42" i="11" s="1"/>
  <c r="AO42" i="11"/>
  <c r="AP42" i="11" s="1"/>
  <c r="AM42" i="11"/>
  <c r="AN42" i="11" s="1"/>
  <c r="AK42" i="11"/>
  <c r="AL42" i="11" s="1"/>
  <c r="AI42" i="11"/>
  <c r="AJ42" i="11" s="1"/>
  <c r="AF42" i="11"/>
  <c r="AG42" i="11" s="1"/>
  <c r="AD42" i="11"/>
  <c r="AE42" i="11" s="1"/>
  <c r="AB42" i="11"/>
  <c r="AC42" i="11" s="1"/>
  <c r="Z42" i="11"/>
  <c r="AA42" i="11" s="1"/>
  <c r="X42" i="11"/>
  <c r="Y42" i="11" s="1"/>
  <c r="V42" i="11"/>
  <c r="W42" i="11" s="1"/>
  <c r="T42" i="11"/>
  <c r="U42" i="11" s="1"/>
  <c r="Q42" i="11"/>
  <c r="R42" i="11" s="1"/>
  <c r="N42" i="11"/>
  <c r="O42" i="11" s="1"/>
  <c r="L42" i="11"/>
  <c r="M42" i="11" s="1"/>
  <c r="J42" i="11"/>
  <c r="K42" i="11" s="1"/>
  <c r="H42" i="11"/>
  <c r="I42" i="11" s="1"/>
  <c r="F42" i="11"/>
  <c r="G42" i="11" s="1"/>
  <c r="D42" i="11"/>
  <c r="E42" i="11" s="1"/>
  <c r="B42" i="11"/>
  <c r="C42" i="11" s="1"/>
  <c r="AU41" i="11"/>
  <c r="AV41" i="11" s="1"/>
  <c r="AS41" i="11"/>
  <c r="AT41" i="11" s="1"/>
  <c r="AQ41" i="11"/>
  <c r="AR41" i="11" s="1"/>
  <c r="AO41" i="11"/>
  <c r="AP41" i="11" s="1"/>
  <c r="AM41" i="11"/>
  <c r="AN41" i="11" s="1"/>
  <c r="AK41" i="11"/>
  <c r="AL41" i="11" s="1"/>
  <c r="AI41" i="11"/>
  <c r="AJ41" i="11" s="1"/>
  <c r="AF41" i="11"/>
  <c r="AG41" i="11" s="1"/>
  <c r="AD41" i="11"/>
  <c r="AE41" i="11" s="1"/>
  <c r="AB41" i="11"/>
  <c r="AC41" i="11" s="1"/>
  <c r="Z41" i="11"/>
  <c r="AA41" i="11" s="1"/>
  <c r="X41" i="11"/>
  <c r="Y41" i="11" s="1"/>
  <c r="V41" i="11"/>
  <c r="W41" i="11" s="1"/>
  <c r="T41" i="11"/>
  <c r="U41" i="11" s="1"/>
  <c r="Q41" i="11"/>
  <c r="R41" i="11" s="1"/>
  <c r="N41" i="11"/>
  <c r="O41" i="11" s="1"/>
  <c r="L41" i="11"/>
  <c r="M41" i="11" s="1"/>
  <c r="J41" i="11"/>
  <c r="K41" i="11" s="1"/>
  <c r="H41" i="11"/>
  <c r="I41" i="11" s="1"/>
  <c r="F41" i="11"/>
  <c r="G41" i="11" s="1"/>
  <c r="D41" i="11"/>
  <c r="E41" i="11" s="1"/>
  <c r="B41" i="11"/>
  <c r="C41" i="11" s="1"/>
  <c r="AU40" i="11"/>
  <c r="AV40" i="11" s="1"/>
  <c r="AS40" i="11"/>
  <c r="AT40" i="11" s="1"/>
  <c r="AQ40" i="11"/>
  <c r="AR40" i="11" s="1"/>
  <c r="AO40" i="11"/>
  <c r="AP40" i="11" s="1"/>
  <c r="AM40" i="11"/>
  <c r="AN40" i="11" s="1"/>
  <c r="AK40" i="11"/>
  <c r="AL40" i="11" s="1"/>
  <c r="AI40" i="11"/>
  <c r="AJ40" i="11" s="1"/>
  <c r="AF40" i="11"/>
  <c r="AG40" i="11" s="1"/>
  <c r="AD40" i="11"/>
  <c r="AE40" i="11" s="1"/>
  <c r="AB40" i="11"/>
  <c r="AC40" i="11" s="1"/>
  <c r="Z40" i="11"/>
  <c r="AA40" i="11" s="1"/>
  <c r="X40" i="11"/>
  <c r="Y40" i="11" s="1"/>
  <c r="V40" i="11"/>
  <c r="W40" i="11" s="1"/>
  <c r="T40" i="11"/>
  <c r="U40" i="11" s="1"/>
  <c r="Q40" i="11"/>
  <c r="R40" i="11" s="1"/>
  <c r="N40" i="11"/>
  <c r="O40" i="11" s="1"/>
  <c r="L40" i="11"/>
  <c r="M40" i="11" s="1"/>
  <c r="J40" i="11"/>
  <c r="K40" i="11" s="1"/>
  <c r="H40" i="11"/>
  <c r="I40" i="11" s="1"/>
  <c r="F40" i="11"/>
  <c r="G40" i="11" s="1"/>
  <c r="D40" i="11"/>
  <c r="E40" i="11" s="1"/>
  <c r="B40" i="11"/>
  <c r="C40" i="11" s="1"/>
  <c r="AU38" i="11"/>
  <c r="AV38" i="11" s="1"/>
  <c r="AS38" i="11"/>
  <c r="AT38" i="11" s="1"/>
  <c r="AQ38" i="11"/>
  <c r="AR38" i="11" s="1"/>
  <c r="AO38" i="11"/>
  <c r="AP38" i="11" s="1"/>
  <c r="AM38" i="11"/>
  <c r="AN38" i="11" s="1"/>
  <c r="AK38" i="11"/>
  <c r="AL38" i="11" s="1"/>
  <c r="AI38" i="11"/>
  <c r="AJ38" i="11" s="1"/>
  <c r="AF38" i="11"/>
  <c r="AG38" i="11" s="1"/>
  <c r="AD38" i="11"/>
  <c r="AE38" i="11" s="1"/>
  <c r="AB38" i="11"/>
  <c r="AC38" i="11" s="1"/>
  <c r="Z38" i="11"/>
  <c r="AA38" i="11" s="1"/>
  <c r="X38" i="11"/>
  <c r="Y38" i="11" s="1"/>
  <c r="V38" i="11"/>
  <c r="W38" i="11" s="1"/>
  <c r="T38" i="11"/>
  <c r="U38" i="11" s="1"/>
  <c r="Q38" i="11"/>
  <c r="R38" i="11" s="1"/>
  <c r="N38" i="11"/>
  <c r="O38" i="11" s="1"/>
  <c r="L38" i="11"/>
  <c r="M38" i="11" s="1"/>
  <c r="J38" i="11"/>
  <c r="K38" i="11" s="1"/>
  <c r="H38" i="11"/>
  <c r="I38" i="11" s="1"/>
  <c r="F38" i="11"/>
  <c r="G38" i="11" s="1"/>
  <c r="D38" i="11"/>
  <c r="E38" i="11" s="1"/>
  <c r="B38" i="11"/>
  <c r="C38" i="11" s="1"/>
  <c r="AU37" i="11"/>
  <c r="AV37" i="11" s="1"/>
  <c r="AS37" i="11"/>
  <c r="AT37" i="11" s="1"/>
  <c r="AQ37" i="11"/>
  <c r="AR37" i="11" s="1"/>
  <c r="AO37" i="11"/>
  <c r="AP37" i="11" s="1"/>
  <c r="AM37" i="11"/>
  <c r="AN37" i="11" s="1"/>
  <c r="AK37" i="11"/>
  <c r="AL37" i="11" s="1"/>
  <c r="AI37" i="11"/>
  <c r="AJ37" i="11" s="1"/>
  <c r="AF37" i="11"/>
  <c r="AG37" i="11" s="1"/>
  <c r="AD37" i="11"/>
  <c r="AE37" i="11" s="1"/>
  <c r="AB37" i="11"/>
  <c r="AC37" i="11" s="1"/>
  <c r="Z37" i="11"/>
  <c r="AA37" i="11" s="1"/>
  <c r="X37" i="11"/>
  <c r="Y37" i="11" s="1"/>
  <c r="V37" i="11"/>
  <c r="W37" i="11" s="1"/>
  <c r="T37" i="11"/>
  <c r="U37" i="11" s="1"/>
  <c r="Q37" i="11"/>
  <c r="R37" i="11" s="1"/>
  <c r="N37" i="11"/>
  <c r="O37" i="11" s="1"/>
  <c r="L37" i="11"/>
  <c r="M37" i="11" s="1"/>
  <c r="J37" i="11"/>
  <c r="K37" i="11" s="1"/>
  <c r="H37" i="11"/>
  <c r="I37" i="11" s="1"/>
  <c r="F37" i="11"/>
  <c r="G37" i="11" s="1"/>
  <c r="D37" i="11"/>
  <c r="E37" i="11" s="1"/>
  <c r="B37" i="11"/>
  <c r="C37" i="11" s="1"/>
  <c r="AU36" i="11"/>
  <c r="AV36" i="11" s="1"/>
  <c r="AS36" i="11"/>
  <c r="AT36" i="11" s="1"/>
  <c r="AQ36" i="11"/>
  <c r="AR36" i="11" s="1"/>
  <c r="AO36" i="11"/>
  <c r="AP36" i="11" s="1"/>
  <c r="AM36" i="11"/>
  <c r="AN36" i="11" s="1"/>
  <c r="AK36" i="11"/>
  <c r="AL36" i="11" s="1"/>
  <c r="AI36" i="11"/>
  <c r="AJ36" i="11" s="1"/>
  <c r="AF36" i="11"/>
  <c r="AG36" i="11" s="1"/>
  <c r="AD36" i="11"/>
  <c r="AE36" i="11" s="1"/>
  <c r="AB36" i="11"/>
  <c r="AC36" i="11" s="1"/>
  <c r="Z36" i="11"/>
  <c r="AA36" i="11" s="1"/>
  <c r="X36" i="11"/>
  <c r="Y36" i="11" s="1"/>
  <c r="V36" i="11"/>
  <c r="W36" i="11" s="1"/>
  <c r="T36" i="11"/>
  <c r="U36" i="11" s="1"/>
  <c r="Q36" i="11"/>
  <c r="R36" i="11" s="1"/>
  <c r="N36" i="11"/>
  <c r="O36" i="11" s="1"/>
  <c r="L36" i="11"/>
  <c r="M36" i="11" s="1"/>
  <c r="J36" i="11"/>
  <c r="K36" i="11" s="1"/>
  <c r="H36" i="11"/>
  <c r="I36" i="11" s="1"/>
  <c r="F36" i="11"/>
  <c r="G36" i="11" s="1"/>
  <c r="D36" i="11"/>
  <c r="E36" i="11" s="1"/>
  <c r="B36" i="11"/>
  <c r="C36" i="11" s="1"/>
  <c r="AU35" i="11"/>
  <c r="AV35" i="11" s="1"/>
  <c r="AS35" i="11"/>
  <c r="AT35" i="11" s="1"/>
  <c r="AQ35" i="11"/>
  <c r="AR35" i="11" s="1"/>
  <c r="AO35" i="11"/>
  <c r="AP35" i="11" s="1"/>
  <c r="AM35" i="11"/>
  <c r="AN35" i="11" s="1"/>
  <c r="AK35" i="11"/>
  <c r="AL35" i="11" s="1"/>
  <c r="AI35" i="11"/>
  <c r="AJ35" i="11" s="1"/>
  <c r="AF35" i="11"/>
  <c r="AG35" i="11" s="1"/>
  <c r="AD35" i="11"/>
  <c r="AE35" i="11" s="1"/>
  <c r="AB35" i="11"/>
  <c r="AC35" i="11" s="1"/>
  <c r="Z35" i="11"/>
  <c r="AA35" i="11" s="1"/>
  <c r="X35" i="11"/>
  <c r="Y35" i="11" s="1"/>
  <c r="V35" i="11"/>
  <c r="W35" i="11" s="1"/>
  <c r="T35" i="11"/>
  <c r="U35" i="11" s="1"/>
  <c r="Q35" i="11"/>
  <c r="R35" i="11" s="1"/>
  <c r="N35" i="11"/>
  <c r="O35" i="11" s="1"/>
  <c r="L35" i="11"/>
  <c r="M35" i="11" s="1"/>
  <c r="J35" i="11"/>
  <c r="K35" i="11" s="1"/>
  <c r="H35" i="11"/>
  <c r="I35" i="11" s="1"/>
  <c r="F35" i="11"/>
  <c r="G35" i="11" s="1"/>
  <c r="D35" i="11"/>
  <c r="E35" i="11" s="1"/>
  <c r="B35" i="11"/>
  <c r="C35" i="11" s="1"/>
  <c r="AU34" i="11"/>
  <c r="AV34" i="11" s="1"/>
  <c r="AS34" i="11"/>
  <c r="AT34" i="11" s="1"/>
  <c r="AQ34" i="11"/>
  <c r="AR34" i="11" s="1"/>
  <c r="AO34" i="11"/>
  <c r="AP34" i="11" s="1"/>
  <c r="AM34" i="11"/>
  <c r="AN34" i="11" s="1"/>
  <c r="AK34" i="11"/>
  <c r="AL34" i="11" s="1"/>
  <c r="AI34" i="11"/>
  <c r="AJ34" i="11" s="1"/>
  <c r="AF34" i="11"/>
  <c r="AG34" i="11" s="1"/>
  <c r="AD34" i="11"/>
  <c r="AE34" i="11" s="1"/>
  <c r="AB34" i="11"/>
  <c r="AC34" i="11" s="1"/>
  <c r="Z34" i="11"/>
  <c r="AA34" i="11" s="1"/>
  <c r="X34" i="11"/>
  <c r="Y34" i="11" s="1"/>
  <c r="V34" i="11"/>
  <c r="W34" i="11" s="1"/>
  <c r="T34" i="11"/>
  <c r="U34" i="11" s="1"/>
  <c r="Q34" i="11"/>
  <c r="R34" i="11" s="1"/>
  <c r="N34" i="11"/>
  <c r="O34" i="11" s="1"/>
  <c r="L34" i="11"/>
  <c r="M34" i="11" s="1"/>
  <c r="J34" i="11"/>
  <c r="K34" i="11" s="1"/>
  <c r="H34" i="11"/>
  <c r="I34" i="11" s="1"/>
  <c r="F34" i="11"/>
  <c r="G34" i="11" s="1"/>
  <c r="D34" i="11"/>
  <c r="E34" i="11" s="1"/>
  <c r="B34" i="11"/>
  <c r="C34" i="11" s="1"/>
  <c r="AU33" i="11"/>
  <c r="AV33" i="11" s="1"/>
  <c r="AS33" i="11"/>
  <c r="AT33" i="11" s="1"/>
  <c r="AQ33" i="11"/>
  <c r="AR33" i="11" s="1"/>
  <c r="AO33" i="11"/>
  <c r="AP33" i="11" s="1"/>
  <c r="AM33" i="11"/>
  <c r="AN33" i="11" s="1"/>
  <c r="AK33" i="11"/>
  <c r="AL33" i="11" s="1"/>
  <c r="AI33" i="11"/>
  <c r="AJ33" i="11" s="1"/>
  <c r="AF33" i="11"/>
  <c r="AG33" i="11" s="1"/>
  <c r="AD33" i="11"/>
  <c r="AE33" i="11" s="1"/>
  <c r="AB33" i="11"/>
  <c r="AC33" i="11" s="1"/>
  <c r="Z33" i="11"/>
  <c r="AA33" i="11" s="1"/>
  <c r="X33" i="11"/>
  <c r="Y33" i="11" s="1"/>
  <c r="V33" i="11"/>
  <c r="W33" i="11" s="1"/>
  <c r="T33" i="11"/>
  <c r="U33" i="11" s="1"/>
  <c r="Q33" i="11"/>
  <c r="R33" i="11" s="1"/>
  <c r="N33" i="11"/>
  <c r="O33" i="11" s="1"/>
  <c r="L33" i="11"/>
  <c r="M33" i="11" s="1"/>
  <c r="J33" i="11"/>
  <c r="K33" i="11" s="1"/>
  <c r="H33" i="11"/>
  <c r="I33" i="11" s="1"/>
  <c r="F33" i="11"/>
  <c r="G33" i="11" s="1"/>
  <c r="D33" i="11"/>
  <c r="E33" i="11" s="1"/>
  <c r="B33" i="11"/>
  <c r="C33" i="11" s="1"/>
  <c r="AU32" i="11"/>
  <c r="AV32" i="11" s="1"/>
  <c r="AS32" i="11"/>
  <c r="AT32" i="11" s="1"/>
  <c r="AQ32" i="11"/>
  <c r="AR32" i="11" s="1"/>
  <c r="AO32" i="11"/>
  <c r="AP32" i="11" s="1"/>
  <c r="AM32" i="11"/>
  <c r="AN32" i="11" s="1"/>
  <c r="AK32" i="11"/>
  <c r="AL32" i="11" s="1"/>
  <c r="AI32" i="11"/>
  <c r="AJ32" i="11" s="1"/>
  <c r="AF32" i="11"/>
  <c r="AG32" i="11" s="1"/>
  <c r="AD32" i="11"/>
  <c r="AE32" i="11" s="1"/>
  <c r="AB32" i="11"/>
  <c r="AC32" i="11" s="1"/>
  <c r="Z32" i="11"/>
  <c r="AA32" i="11" s="1"/>
  <c r="X32" i="11"/>
  <c r="Y32" i="11" s="1"/>
  <c r="V32" i="11"/>
  <c r="W32" i="11" s="1"/>
  <c r="T32" i="11"/>
  <c r="U32" i="11" s="1"/>
  <c r="Q32" i="11"/>
  <c r="R32" i="11" s="1"/>
  <c r="N32" i="11"/>
  <c r="O32" i="11" s="1"/>
  <c r="L32" i="11"/>
  <c r="M32" i="11" s="1"/>
  <c r="J32" i="11"/>
  <c r="K32" i="11" s="1"/>
  <c r="H32" i="11"/>
  <c r="I32" i="11" s="1"/>
  <c r="F32" i="11"/>
  <c r="G32" i="11" s="1"/>
  <c r="D32" i="11"/>
  <c r="E32" i="11" s="1"/>
  <c r="B32" i="11"/>
  <c r="C32" i="11" s="1"/>
  <c r="AU31" i="11"/>
  <c r="AV31" i="11" s="1"/>
  <c r="AS31" i="11"/>
  <c r="AT31" i="11" s="1"/>
  <c r="AQ31" i="11"/>
  <c r="AR31" i="11" s="1"/>
  <c r="AO31" i="11"/>
  <c r="AP31" i="11" s="1"/>
  <c r="AM31" i="11"/>
  <c r="AN31" i="11" s="1"/>
  <c r="AK31" i="11"/>
  <c r="AL31" i="11" s="1"/>
  <c r="AI31" i="11"/>
  <c r="AJ31" i="11" s="1"/>
  <c r="AF31" i="11"/>
  <c r="AG31" i="11" s="1"/>
  <c r="AD31" i="11"/>
  <c r="AE31" i="11" s="1"/>
  <c r="AB31" i="11"/>
  <c r="AC31" i="11" s="1"/>
  <c r="Z31" i="11"/>
  <c r="AA31" i="11" s="1"/>
  <c r="X31" i="11"/>
  <c r="Y31" i="11" s="1"/>
  <c r="V31" i="11"/>
  <c r="W31" i="11" s="1"/>
  <c r="T31" i="11"/>
  <c r="U31" i="11" s="1"/>
  <c r="Q31" i="11"/>
  <c r="R31" i="11" s="1"/>
  <c r="N31" i="11"/>
  <c r="O31" i="11" s="1"/>
  <c r="L31" i="11"/>
  <c r="M31" i="11" s="1"/>
  <c r="J31" i="11"/>
  <c r="K31" i="11" s="1"/>
  <c r="H31" i="11"/>
  <c r="I31" i="11" s="1"/>
  <c r="F31" i="11"/>
  <c r="G31" i="11" s="1"/>
  <c r="D31" i="11"/>
  <c r="E31" i="11" s="1"/>
  <c r="B31" i="11"/>
  <c r="C31" i="11" s="1"/>
  <c r="AU30" i="11"/>
  <c r="AV30" i="11" s="1"/>
  <c r="AS30" i="11"/>
  <c r="AT30" i="11" s="1"/>
  <c r="AQ30" i="11"/>
  <c r="AR30" i="11" s="1"/>
  <c r="AO30" i="11"/>
  <c r="AP30" i="11" s="1"/>
  <c r="AM30" i="11"/>
  <c r="AN30" i="11" s="1"/>
  <c r="AK30" i="11"/>
  <c r="AL30" i="11" s="1"/>
  <c r="AI30" i="11"/>
  <c r="AJ30" i="11" s="1"/>
  <c r="AF30" i="11"/>
  <c r="AG30" i="11" s="1"/>
  <c r="AD30" i="11"/>
  <c r="AE30" i="11" s="1"/>
  <c r="AB30" i="11"/>
  <c r="AC30" i="11" s="1"/>
  <c r="Z30" i="11"/>
  <c r="AA30" i="11" s="1"/>
  <c r="X30" i="11"/>
  <c r="Y30" i="11" s="1"/>
  <c r="V30" i="11"/>
  <c r="W30" i="11" s="1"/>
  <c r="T30" i="11"/>
  <c r="U30" i="11" s="1"/>
  <c r="Q30" i="11"/>
  <c r="R30" i="11" s="1"/>
  <c r="N30" i="11"/>
  <c r="O30" i="11" s="1"/>
  <c r="L30" i="11"/>
  <c r="M30" i="11" s="1"/>
  <c r="J30" i="11"/>
  <c r="K30" i="11" s="1"/>
  <c r="H30" i="11"/>
  <c r="I30" i="11" s="1"/>
  <c r="F30" i="11"/>
  <c r="G30" i="11" s="1"/>
  <c r="D30" i="11"/>
  <c r="E30" i="11" s="1"/>
  <c r="B30" i="11"/>
  <c r="C30" i="11" s="1"/>
  <c r="AU29" i="11"/>
  <c r="AV29" i="11" s="1"/>
  <c r="AS29" i="11"/>
  <c r="AT29" i="11" s="1"/>
  <c r="AQ29" i="11"/>
  <c r="AR29" i="11" s="1"/>
  <c r="AO29" i="11"/>
  <c r="AP29" i="11" s="1"/>
  <c r="AM29" i="11"/>
  <c r="AN29" i="11" s="1"/>
  <c r="AK29" i="11"/>
  <c r="AL29" i="11" s="1"/>
  <c r="AI29" i="11"/>
  <c r="AJ29" i="11" s="1"/>
  <c r="AF29" i="11"/>
  <c r="AG29" i="11" s="1"/>
  <c r="AD29" i="11"/>
  <c r="AE29" i="11" s="1"/>
  <c r="AB29" i="11"/>
  <c r="AC29" i="11" s="1"/>
  <c r="Z29" i="11"/>
  <c r="AA29" i="11" s="1"/>
  <c r="X29" i="11"/>
  <c r="Y29" i="11" s="1"/>
  <c r="V29" i="11"/>
  <c r="W29" i="11" s="1"/>
  <c r="T29" i="11"/>
  <c r="U29" i="11" s="1"/>
  <c r="Q29" i="11"/>
  <c r="R29" i="11" s="1"/>
  <c r="N29" i="11"/>
  <c r="O29" i="11" s="1"/>
  <c r="L29" i="11"/>
  <c r="M29" i="11" s="1"/>
  <c r="J29" i="11"/>
  <c r="K29" i="11" s="1"/>
  <c r="H29" i="11"/>
  <c r="I29" i="11" s="1"/>
  <c r="F29" i="11"/>
  <c r="G29" i="11" s="1"/>
  <c r="D29" i="11"/>
  <c r="E29" i="11" s="1"/>
  <c r="B29" i="11"/>
  <c r="C29" i="11" s="1"/>
  <c r="AU28" i="11"/>
  <c r="AV28" i="11" s="1"/>
  <c r="AS28" i="11"/>
  <c r="AT28" i="11" s="1"/>
  <c r="AQ28" i="11"/>
  <c r="AR28" i="11" s="1"/>
  <c r="AO28" i="11"/>
  <c r="AP28" i="11" s="1"/>
  <c r="AM28" i="11"/>
  <c r="AN28" i="11" s="1"/>
  <c r="AK28" i="11"/>
  <c r="AL28" i="11" s="1"/>
  <c r="AI28" i="11"/>
  <c r="AJ28" i="11" s="1"/>
  <c r="AF28" i="11"/>
  <c r="AG28" i="11" s="1"/>
  <c r="AD28" i="11"/>
  <c r="AE28" i="11" s="1"/>
  <c r="AB28" i="11"/>
  <c r="AC28" i="11" s="1"/>
  <c r="Z28" i="11"/>
  <c r="AA28" i="11" s="1"/>
  <c r="X28" i="11"/>
  <c r="Y28" i="11" s="1"/>
  <c r="V28" i="11"/>
  <c r="W28" i="11" s="1"/>
  <c r="T28" i="11"/>
  <c r="U28" i="11" s="1"/>
  <c r="Q28" i="11"/>
  <c r="R28" i="11" s="1"/>
  <c r="N28" i="11"/>
  <c r="O28" i="11" s="1"/>
  <c r="L28" i="11"/>
  <c r="M28" i="11" s="1"/>
  <c r="J28" i="11"/>
  <c r="K28" i="11" s="1"/>
  <c r="H28" i="11"/>
  <c r="I28" i="11" s="1"/>
  <c r="F28" i="11"/>
  <c r="G28" i="11" s="1"/>
  <c r="D28" i="11"/>
  <c r="E28" i="11" s="1"/>
  <c r="B28" i="11"/>
  <c r="C28" i="11" s="1"/>
  <c r="AU27" i="11"/>
  <c r="AV27" i="11" s="1"/>
  <c r="AS27" i="11"/>
  <c r="AT27" i="11" s="1"/>
  <c r="AQ27" i="11"/>
  <c r="AR27" i="11" s="1"/>
  <c r="AO27" i="11"/>
  <c r="AP27" i="11" s="1"/>
  <c r="AM27" i="11"/>
  <c r="AN27" i="11" s="1"/>
  <c r="AK27" i="11"/>
  <c r="AL27" i="11" s="1"/>
  <c r="AI27" i="11"/>
  <c r="AJ27" i="11" s="1"/>
  <c r="AF27" i="11"/>
  <c r="AG27" i="11" s="1"/>
  <c r="AD27" i="11"/>
  <c r="AE27" i="11" s="1"/>
  <c r="AB27" i="11"/>
  <c r="AC27" i="11" s="1"/>
  <c r="Z27" i="11"/>
  <c r="AA27" i="11" s="1"/>
  <c r="X27" i="11"/>
  <c r="Y27" i="11" s="1"/>
  <c r="V27" i="11"/>
  <c r="W27" i="11" s="1"/>
  <c r="T27" i="11"/>
  <c r="U27" i="11" s="1"/>
  <c r="Q27" i="11"/>
  <c r="R27" i="11" s="1"/>
  <c r="N27" i="11"/>
  <c r="O27" i="11" s="1"/>
  <c r="L27" i="11"/>
  <c r="M27" i="11" s="1"/>
  <c r="J27" i="11"/>
  <c r="K27" i="11" s="1"/>
  <c r="H27" i="11"/>
  <c r="I27" i="11" s="1"/>
  <c r="F27" i="11"/>
  <c r="G27" i="11" s="1"/>
  <c r="D27" i="11"/>
  <c r="E27" i="11" s="1"/>
  <c r="B27" i="11"/>
  <c r="C27" i="11" s="1"/>
  <c r="AU26" i="11"/>
  <c r="AV26" i="11" s="1"/>
  <c r="AS26" i="11"/>
  <c r="AT26" i="11" s="1"/>
  <c r="AQ26" i="11"/>
  <c r="AR26" i="11" s="1"/>
  <c r="AO26" i="11"/>
  <c r="AP26" i="11" s="1"/>
  <c r="AM26" i="11"/>
  <c r="AN26" i="11" s="1"/>
  <c r="AK26" i="11"/>
  <c r="AL26" i="11" s="1"/>
  <c r="AI26" i="11"/>
  <c r="AJ26" i="11" s="1"/>
  <c r="AF26" i="11"/>
  <c r="AG26" i="11" s="1"/>
  <c r="AD26" i="11"/>
  <c r="AE26" i="11" s="1"/>
  <c r="AB26" i="11"/>
  <c r="AC26" i="11" s="1"/>
  <c r="Z26" i="11"/>
  <c r="AA26" i="11" s="1"/>
  <c r="X26" i="11"/>
  <c r="Y26" i="11" s="1"/>
  <c r="V26" i="11"/>
  <c r="W26" i="11" s="1"/>
  <c r="T26" i="11"/>
  <c r="U26" i="11" s="1"/>
  <c r="Q26" i="11"/>
  <c r="R26" i="11" s="1"/>
  <c r="N26" i="11"/>
  <c r="O26" i="11" s="1"/>
  <c r="L26" i="11"/>
  <c r="M26" i="11" s="1"/>
  <c r="J26" i="11"/>
  <c r="K26" i="11" s="1"/>
  <c r="H26" i="11"/>
  <c r="I26" i="11" s="1"/>
  <c r="F26" i="11"/>
  <c r="G26" i="11" s="1"/>
  <c r="D26" i="11"/>
  <c r="E26" i="11" s="1"/>
  <c r="B26" i="11"/>
  <c r="C26" i="11" s="1"/>
  <c r="AU25" i="11"/>
  <c r="AV25" i="11" s="1"/>
  <c r="AS25" i="11"/>
  <c r="AT25" i="11" s="1"/>
  <c r="AQ25" i="11"/>
  <c r="AR25" i="11" s="1"/>
  <c r="AO25" i="11"/>
  <c r="AP25" i="11" s="1"/>
  <c r="AM25" i="11"/>
  <c r="AN25" i="11" s="1"/>
  <c r="AK25" i="11"/>
  <c r="AL25" i="11" s="1"/>
  <c r="AI25" i="11"/>
  <c r="AJ25" i="11" s="1"/>
  <c r="AF25" i="11"/>
  <c r="AG25" i="11" s="1"/>
  <c r="AD25" i="11"/>
  <c r="AE25" i="11" s="1"/>
  <c r="AB25" i="11"/>
  <c r="AC25" i="11" s="1"/>
  <c r="Z25" i="11"/>
  <c r="AA25" i="11" s="1"/>
  <c r="X25" i="11"/>
  <c r="Y25" i="11" s="1"/>
  <c r="V25" i="11"/>
  <c r="W25" i="11" s="1"/>
  <c r="T25" i="11"/>
  <c r="U25" i="11" s="1"/>
  <c r="Q25" i="11"/>
  <c r="R25" i="11" s="1"/>
  <c r="N25" i="11"/>
  <c r="O25" i="11" s="1"/>
  <c r="L25" i="11"/>
  <c r="M25" i="11" s="1"/>
  <c r="J25" i="11"/>
  <c r="K25" i="11" s="1"/>
  <c r="H25" i="11"/>
  <c r="I25" i="11" s="1"/>
  <c r="F25" i="11"/>
  <c r="G25" i="11" s="1"/>
  <c r="D25" i="11"/>
  <c r="E25" i="11" s="1"/>
  <c r="B25" i="11"/>
  <c r="C25" i="11" s="1"/>
  <c r="AU24" i="11"/>
  <c r="AV24" i="11" s="1"/>
  <c r="AS24" i="11"/>
  <c r="AT24" i="11" s="1"/>
  <c r="AQ24" i="11"/>
  <c r="AR24" i="11" s="1"/>
  <c r="AO24" i="11"/>
  <c r="AP24" i="11" s="1"/>
  <c r="AM24" i="11"/>
  <c r="AN24" i="11" s="1"/>
  <c r="AK24" i="11"/>
  <c r="AL24" i="11" s="1"/>
  <c r="AI24" i="11"/>
  <c r="AJ24" i="11" s="1"/>
  <c r="AF24" i="11"/>
  <c r="AG24" i="11" s="1"/>
  <c r="AD24" i="11"/>
  <c r="AE24" i="11" s="1"/>
  <c r="AB24" i="11"/>
  <c r="AC24" i="11" s="1"/>
  <c r="Z24" i="11"/>
  <c r="AA24" i="11" s="1"/>
  <c r="X24" i="11"/>
  <c r="Y24" i="11" s="1"/>
  <c r="V24" i="11"/>
  <c r="W24" i="11" s="1"/>
  <c r="T24" i="11"/>
  <c r="U24" i="11" s="1"/>
  <c r="Q24" i="11"/>
  <c r="R24" i="11" s="1"/>
  <c r="N24" i="11"/>
  <c r="O24" i="11" s="1"/>
  <c r="L24" i="11"/>
  <c r="M24" i="11" s="1"/>
  <c r="J24" i="11"/>
  <c r="K24" i="11" s="1"/>
  <c r="H24" i="11"/>
  <c r="I24" i="11" s="1"/>
  <c r="F24" i="11"/>
  <c r="G24" i="11" s="1"/>
  <c r="D24" i="11"/>
  <c r="E24" i="11" s="1"/>
  <c r="B24" i="11"/>
  <c r="C24" i="11" s="1"/>
  <c r="AU23" i="11"/>
  <c r="AV23" i="11" s="1"/>
  <c r="AS23" i="11"/>
  <c r="AT23" i="11" s="1"/>
  <c r="AQ23" i="11"/>
  <c r="AR23" i="11" s="1"/>
  <c r="AO23" i="11"/>
  <c r="AP23" i="11" s="1"/>
  <c r="AM23" i="11"/>
  <c r="AN23" i="11" s="1"/>
  <c r="AK23" i="11"/>
  <c r="AL23" i="11" s="1"/>
  <c r="AI23" i="11"/>
  <c r="AJ23" i="11" s="1"/>
  <c r="AF23" i="11"/>
  <c r="AG23" i="11" s="1"/>
  <c r="AD23" i="11"/>
  <c r="AE23" i="11" s="1"/>
  <c r="AB23" i="11"/>
  <c r="AC23" i="11" s="1"/>
  <c r="Z23" i="11"/>
  <c r="AA23" i="11" s="1"/>
  <c r="X23" i="11"/>
  <c r="Y23" i="11" s="1"/>
  <c r="V23" i="11"/>
  <c r="W23" i="11" s="1"/>
  <c r="T23" i="11"/>
  <c r="U23" i="11" s="1"/>
  <c r="Q23" i="11"/>
  <c r="R23" i="11" s="1"/>
  <c r="N23" i="11"/>
  <c r="O23" i="11" s="1"/>
  <c r="L23" i="11"/>
  <c r="M23" i="11" s="1"/>
  <c r="J23" i="11"/>
  <c r="K23" i="11" s="1"/>
  <c r="H23" i="11"/>
  <c r="I23" i="11" s="1"/>
  <c r="F23" i="11"/>
  <c r="G23" i="11" s="1"/>
  <c r="D23" i="11"/>
  <c r="E23" i="11" s="1"/>
  <c r="B23" i="11"/>
  <c r="C23" i="11" s="1"/>
  <c r="AU22" i="11"/>
  <c r="AV22" i="11" s="1"/>
  <c r="AS22" i="11"/>
  <c r="AT22" i="11" s="1"/>
  <c r="AQ22" i="11"/>
  <c r="AR22" i="11" s="1"/>
  <c r="AO22" i="11"/>
  <c r="AP22" i="11" s="1"/>
  <c r="AM22" i="11"/>
  <c r="AN22" i="11" s="1"/>
  <c r="AK22" i="11"/>
  <c r="AL22" i="11" s="1"/>
  <c r="AI22" i="11"/>
  <c r="AJ22" i="11" s="1"/>
  <c r="AF22" i="11"/>
  <c r="AG22" i="11" s="1"/>
  <c r="AD22" i="11"/>
  <c r="AE22" i="11" s="1"/>
  <c r="AB22" i="11"/>
  <c r="AC22" i="11" s="1"/>
  <c r="Z22" i="11"/>
  <c r="AA22" i="11" s="1"/>
  <c r="X22" i="11"/>
  <c r="Y22" i="11" s="1"/>
  <c r="V22" i="11"/>
  <c r="W22" i="11" s="1"/>
  <c r="T22" i="11"/>
  <c r="U22" i="11" s="1"/>
  <c r="Q22" i="11"/>
  <c r="R22" i="11" s="1"/>
  <c r="N22" i="11"/>
  <c r="O22" i="11" s="1"/>
  <c r="L22" i="11"/>
  <c r="M22" i="11" s="1"/>
  <c r="J22" i="11"/>
  <c r="K22" i="11" s="1"/>
  <c r="H22" i="11"/>
  <c r="I22" i="11" s="1"/>
  <c r="F22" i="11"/>
  <c r="G22" i="11" s="1"/>
  <c r="D22" i="11"/>
  <c r="E22" i="11" s="1"/>
  <c r="B22" i="11"/>
  <c r="C22" i="11" s="1"/>
  <c r="AU21" i="11"/>
  <c r="AV21" i="11" s="1"/>
  <c r="AS21" i="11"/>
  <c r="AT21" i="11" s="1"/>
  <c r="AQ21" i="11"/>
  <c r="AR21" i="11" s="1"/>
  <c r="AO21" i="11"/>
  <c r="AP21" i="11" s="1"/>
  <c r="AM21" i="11"/>
  <c r="AN21" i="11" s="1"/>
  <c r="AK21" i="11"/>
  <c r="AL21" i="11" s="1"/>
  <c r="AI21" i="11"/>
  <c r="AJ21" i="11" s="1"/>
  <c r="AF21" i="11"/>
  <c r="AG21" i="11" s="1"/>
  <c r="AD21" i="11"/>
  <c r="AE21" i="11" s="1"/>
  <c r="AB21" i="11"/>
  <c r="AC21" i="11" s="1"/>
  <c r="Z21" i="11"/>
  <c r="AA21" i="11" s="1"/>
  <c r="X21" i="11"/>
  <c r="Y21" i="11" s="1"/>
  <c r="V21" i="11"/>
  <c r="W21" i="11" s="1"/>
  <c r="T21" i="11"/>
  <c r="U21" i="11" s="1"/>
  <c r="Q21" i="11"/>
  <c r="R21" i="11" s="1"/>
  <c r="N21" i="11"/>
  <c r="O21" i="11" s="1"/>
  <c r="L21" i="11"/>
  <c r="M21" i="11" s="1"/>
  <c r="J21" i="11"/>
  <c r="K21" i="11" s="1"/>
  <c r="H21" i="11"/>
  <c r="I21" i="11" s="1"/>
  <c r="F21" i="11"/>
  <c r="G21" i="11" s="1"/>
  <c r="D21" i="11"/>
  <c r="E21" i="11" s="1"/>
  <c r="B21" i="11"/>
  <c r="C21" i="11" s="1"/>
  <c r="AU20" i="11"/>
  <c r="AV20" i="11" s="1"/>
  <c r="AS20" i="11"/>
  <c r="AT20" i="11" s="1"/>
  <c r="AQ20" i="11"/>
  <c r="AR20" i="11" s="1"/>
  <c r="AO20" i="11"/>
  <c r="AP20" i="11" s="1"/>
  <c r="AM20" i="11"/>
  <c r="AN20" i="11" s="1"/>
  <c r="AK20" i="11"/>
  <c r="AL20" i="11" s="1"/>
  <c r="AI20" i="11"/>
  <c r="AJ20" i="11" s="1"/>
  <c r="AF20" i="11"/>
  <c r="AG20" i="11" s="1"/>
  <c r="AD20" i="11"/>
  <c r="AE20" i="11" s="1"/>
  <c r="AB20" i="11"/>
  <c r="AC20" i="11" s="1"/>
  <c r="Z20" i="11"/>
  <c r="AA20" i="11" s="1"/>
  <c r="X20" i="11"/>
  <c r="Y20" i="11" s="1"/>
  <c r="V20" i="11"/>
  <c r="W20" i="11" s="1"/>
  <c r="T20" i="11"/>
  <c r="U20" i="11" s="1"/>
  <c r="Q20" i="11"/>
  <c r="R20" i="11" s="1"/>
  <c r="N20" i="11"/>
  <c r="O20" i="11" s="1"/>
  <c r="L20" i="11"/>
  <c r="M20" i="11" s="1"/>
  <c r="J20" i="11"/>
  <c r="K20" i="11" s="1"/>
  <c r="H20" i="11"/>
  <c r="I20" i="11" s="1"/>
  <c r="F20" i="11"/>
  <c r="G20" i="11" s="1"/>
  <c r="D20" i="11"/>
  <c r="E20" i="11" s="1"/>
  <c r="B20" i="11"/>
  <c r="C20" i="11" s="1"/>
  <c r="AU19" i="11"/>
  <c r="AV19" i="11" s="1"/>
  <c r="AS19" i="11"/>
  <c r="AT19" i="11" s="1"/>
  <c r="AQ19" i="11"/>
  <c r="AR19" i="11" s="1"/>
  <c r="AO19" i="11"/>
  <c r="AP19" i="11" s="1"/>
  <c r="AM19" i="11"/>
  <c r="AN19" i="11" s="1"/>
  <c r="AK19" i="11"/>
  <c r="AL19" i="11" s="1"/>
  <c r="AI19" i="11"/>
  <c r="AJ19" i="11" s="1"/>
  <c r="AF19" i="11"/>
  <c r="AG19" i="11" s="1"/>
  <c r="AD19" i="11"/>
  <c r="AE19" i="11" s="1"/>
  <c r="AB19" i="11"/>
  <c r="AC19" i="11" s="1"/>
  <c r="Z19" i="11"/>
  <c r="AA19" i="11" s="1"/>
  <c r="X19" i="11"/>
  <c r="Y19" i="11" s="1"/>
  <c r="V19" i="11"/>
  <c r="W19" i="11" s="1"/>
  <c r="T19" i="11"/>
  <c r="U19" i="11" s="1"/>
  <c r="Q19" i="11"/>
  <c r="R19" i="11" s="1"/>
  <c r="N19" i="11"/>
  <c r="O19" i="11" s="1"/>
  <c r="L19" i="11"/>
  <c r="M19" i="11" s="1"/>
  <c r="J19" i="11"/>
  <c r="K19" i="11" s="1"/>
  <c r="H19" i="11"/>
  <c r="I19" i="11" s="1"/>
  <c r="F19" i="11"/>
  <c r="G19" i="11" s="1"/>
  <c r="D19" i="11"/>
  <c r="E19" i="11" s="1"/>
  <c r="B19" i="11"/>
  <c r="C19" i="11" s="1"/>
  <c r="AU18" i="11"/>
  <c r="AV18" i="11" s="1"/>
  <c r="AS18" i="11"/>
  <c r="AT18" i="11" s="1"/>
  <c r="AQ18" i="11"/>
  <c r="AR18" i="11" s="1"/>
  <c r="AO18" i="11"/>
  <c r="AP18" i="11" s="1"/>
  <c r="AM18" i="11"/>
  <c r="AN18" i="11" s="1"/>
  <c r="AK18" i="11"/>
  <c r="AL18" i="11" s="1"/>
  <c r="AI18" i="11"/>
  <c r="AJ18" i="11" s="1"/>
  <c r="AF18" i="11"/>
  <c r="AG18" i="11" s="1"/>
  <c r="AD18" i="11"/>
  <c r="AE18" i="11" s="1"/>
  <c r="AB18" i="11"/>
  <c r="AC18" i="11" s="1"/>
  <c r="Z18" i="11"/>
  <c r="AA18" i="11" s="1"/>
  <c r="X18" i="11"/>
  <c r="Y18" i="11" s="1"/>
  <c r="V18" i="11"/>
  <c r="W18" i="11" s="1"/>
  <c r="T18" i="11"/>
  <c r="U18" i="11" s="1"/>
  <c r="Q18" i="11"/>
  <c r="R18" i="11" s="1"/>
  <c r="N18" i="11"/>
  <c r="O18" i="11" s="1"/>
  <c r="L18" i="11"/>
  <c r="M18" i="11" s="1"/>
  <c r="J18" i="11"/>
  <c r="K18" i="11" s="1"/>
  <c r="H18" i="11"/>
  <c r="I18" i="11" s="1"/>
  <c r="F18" i="11"/>
  <c r="G18" i="11" s="1"/>
  <c r="D18" i="11"/>
  <c r="E18" i="11" s="1"/>
  <c r="B18" i="11"/>
  <c r="C18" i="11" s="1"/>
  <c r="AU17" i="11"/>
  <c r="AV17" i="11" s="1"/>
  <c r="AS17" i="11"/>
  <c r="AT17" i="11" s="1"/>
  <c r="AQ17" i="11"/>
  <c r="AR17" i="11" s="1"/>
  <c r="AO17" i="11"/>
  <c r="AP17" i="11" s="1"/>
  <c r="AM17" i="11"/>
  <c r="AN17" i="11" s="1"/>
  <c r="AK17" i="11"/>
  <c r="AL17" i="11" s="1"/>
  <c r="AI17" i="11"/>
  <c r="AJ17" i="11" s="1"/>
  <c r="AF17" i="11"/>
  <c r="AG17" i="11" s="1"/>
  <c r="AD17" i="11"/>
  <c r="AE17" i="11" s="1"/>
  <c r="AB17" i="11"/>
  <c r="AC17" i="11" s="1"/>
  <c r="Z17" i="11"/>
  <c r="AA17" i="11" s="1"/>
  <c r="X17" i="11"/>
  <c r="Y17" i="11" s="1"/>
  <c r="V17" i="11"/>
  <c r="W17" i="11" s="1"/>
  <c r="T17" i="11"/>
  <c r="U17" i="11" s="1"/>
  <c r="Q17" i="11"/>
  <c r="R17" i="11" s="1"/>
  <c r="N17" i="11"/>
  <c r="O17" i="11" s="1"/>
  <c r="L17" i="11"/>
  <c r="M17" i="11" s="1"/>
  <c r="J17" i="11"/>
  <c r="K17" i="11" s="1"/>
  <c r="H17" i="11"/>
  <c r="I17" i="11" s="1"/>
  <c r="F17" i="11"/>
  <c r="G17" i="11" s="1"/>
  <c r="D17" i="11"/>
  <c r="E17" i="11" s="1"/>
  <c r="B17" i="11"/>
  <c r="C17" i="11" s="1"/>
  <c r="AU16" i="11"/>
  <c r="AV16" i="11" s="1"/>
  <c r="AS16" i="11"/>
  <c r="AT16" i="11" s="1"/>
  <c r="AQ16" i="11"/>
  <c r="AR16" i="11" s="1"/>
  <c r="AO16" i="11"/>
  <c r="AP16" i="11" s="1"/>
  <c r="AM16" i="11"/>
  <c r="AN16" i="11" s="1"/>
  <c r="AK16" i="11"/>
  <c r="AL16" i="11" s="1"/>
  <c r="AI16" i="11"/>
  <c r="AJ16" i="11" s="1"/>
  <c r="AF16" i="11"/>
  <c r="AG16" i="11" s="1"/>
  <c r="AD16" i="11"/>
  <c r="AE16" i="11" s="1"/>
  <c r="AB16" i="11"/>
  <c r="AC16" i="11" s="1"/>
  <c r="Z16" i="11"/>
  <c r="AA16" i="11" s="1"/>
  <c r="X16" i="11"/>
  <c r="Y16" i="11" s="1"/>
  <c r="V16" i="11"/>
  <c r="W16" i="11" s="1"/>
  <c r="T16" i="11"/>
  <c r="U16" i="11" s="1"/>
  <c r="Q16" i="11"/>
  <c r="R16" i="11" s="1"/>
  <c r="N16" i="11"/>
  <c r="O16" i="11" s="1"/>
  <c r="L16" i="11"/>
  <c r="M16" i="11" s="1"/>
  <c r="J16" i="11"/>
  <c r="K16" i="11" s="1"/>
  <c r="H16" i="11"/>
  <c r="I16" i="11" s="1"/>
  <c r="F16" i="11"/>
  <c r="G16" i="11" s="1"/>
  <c r="D16" i="11"/>
  <c r="E16" i="11" s="1"/>
  <c r="B16" i="11"/>
  <c r="C16" i="11" s="1"/>
  <c r="AU15" i="11"/>
  <c r="AV15" i="11" s="1"/>
  <c r="AS15" i="11"/>
  <c r="AT15" i="11" s="1"/>
  <c r="AQ15" i="11"/>
  <c r="AR15" i="11" s="1"/>
  <c r="AO15" i="11"/>
  <c r="AP15" i="11" s="1"/>
  <c r="AM15" i="11"/>
  <c r="AN15" i="11" s="1"/>
  <c r="AK15" i="11"/>
  <c r="AL15" i="11" s="1"/>
  <c r="AI15" i="11"/>
  <c r="AJ15" i="11" s="1"/>
  <c r="AF15" i="11"/>
  <c r="AG15" i="11" s="1"/>
  <c r="AD15" i="11"/>
  <c r="AE15" i="11" s="1"/>
  <c r="AB15" i="11"/>
  <c r="AC15" i="11" s="1"/>
  <c r="Z15" i="11"/>
  <c r="AA15" i="11" s="1"/>
  <c r="X15" i="11"/>
  <c r="Y15" i="11" s="1"/>
  <c r="V15" i="11"/>
  <c r="W15" i="11" s="1"/>
  <c r="T15" i="11"/>
  <c r="U15" i="11" s="1"/>
  <c r="Q15" i="11"/>
  <c r="R15" i="11" s="1"/>
  <c r="N15" i="11"/>
  <c r="O15" i="11" s="1"/>
  <c r="L15" i="11"/>
  <c r="M15" i="11" s="1"/>
  <c r="J15" i="11"/>
  <c r="K15" i="11" s="1"/>
  <c r="H15" i="11"/>
  <c r="I15" i="11" s="1"/>
  <c r="F15" i="11"/>
  <c r="G15" i="11" s="1"/>
  <c r="D15" i="11"/>
  <c r="E15" i="11" s="1"/>
  <c r="B15" i="11"/>
  <c r="C15" i="11" s="1"/>
  <c r="AU14" i="11"/>
  <c r="AV14" i="11" s="1"/>
  <c r="AS14" i="11"/>
  <c r="AT14" i="11" s="1"/>
  <c r="AQ14" i="11"/>
  <c r="AR14" i="11" s="1"/>
  <c r="AO14" i="11"/>
  <c r="AP14" i="11" s="1"/>
  <c r="AM14" i="11"/>
  <c r="AN14" i="11" s="1"/>
  <c r="AK14" i="11"/>
  <c r="AL14" i="11" s="1"/>
  <c r="AI14" i="11"/>
  <c r="AJ14" i="11" s="1"/>
  <c r="AF14" i="11"/>
  <c r="AG14" i="11" s="1"/>
  <c r="AD14" i="11"/>
  <c r="AE14" i="11" s="1"/>
  <c r="AB14" i="11"/>
  <c r="AC14" i="11" s="1"/>
  <c r="Z14" i="11"/>
  <c r="AA14" i="11" s="1"/>
  <c r="X14" i="11"/>
  <c r="Y14" i="11" s="1"/>
  <c r="V14" i="11"/>
  <c r="W14" i="11" s="1"/>
  <c r="T14" i="11"/>
  <c r="U14" i="11" s="1"/>
  <c r="Q14" i="11"/>
  <c r="R14" i="11" s="1"/>
  <c r="N14" i="11"/>
  <c r="O14" i="11" s="1"/>
  <c r="L14" i="11"/>
  <c r="M14" i="11" s="1"/>
  <c r="J14" i="11"/>
  <c r="K14" i="11" s="1"/>
  <c r="H14" i="11"/>
  <c r="I14" i="11" s="1"/>
  <c r="F14" i="11"/>
  <c r="G14" i="11" s="1"/>
  <c r="D14" i="11"/>
  <c r="E14" i="11" s="1"/>
  <c r="B14" i="11"/>
  <c r="C14" i="11" s="1"/>
  <c r="AU13" i="11"/>
  <c r="AV13" i="11" s="1"/>
  <c r="AS13" i="11"/>
  <c r="AT13" i="11" s="1"/>
  <c r="AQ13" i="11"/>
  <c r="AR13" i="11" s="1"/>
  <c r="AO13" i="11"/>
  <c r="AP13" i="11" s="1"/>
  <c r="AM13" i="11"/>
  <c r="AN13" i="11" s="1"/>
  <c r="AK13" i="11"/>
  <c r="AL13" i="11" s="1"/>
  <c r="AI13" i="11"/>
  <c r="AJ13" i="11" s="1"/>
  <c r="AF13" i="11"/>
  <c r="AG13" i="11" s="1"/>
  <c r="AD13" i="11"/>
  <c r="AE13" i="11" s="1"/>
  <c r="AB13" i="11"/>
  <c r="AC13" i="11" s="1"/>
  <c r="Z13" i="11"/>
  <c r="AA13" i="11" s="1"/>
  <c r="X13" i="11"/>
  <c r="Y13" i="11" s="1"/>
  <c r="V13" i="11"/>
  <c r="W13" i="11" s="1"/>
  <c r="T13" i="11"/>
  <c r="U13" i="11" s="1"/>
  <c r="Q13" i="11"/>
  <c r="R13" i="11" s="1"/>
  <c r="N13" i="11"/>
  <c r="O13" i="11" s="1"/>
  <c r="L13" i="11"/>
  <c r="M13" i="11" s="1"/>
  <c r="J13" i="11"/>
  <c r="K13" i="11" s="1"/>
  <c r="H13" i="11"/>
  <c r="I13" i="11" s="1"/>
  <c r="F13" i="11"/>
  <c r="G13" i="11" s="1"/>
  <c r="D13" i="11"/>
  <c r="E13" i="11" s="1"/>
  <c r="B13" i="11"/>
  <c r="C13" i="11" s="1"/>
  <c r="AU12" i="11"/>
  <c r="AV12" i="11" s="1"/>
  <c r="AS12" i="11"/>
  <c r="AT12" i="11" s="1"/>
  <c r="AQ12" i="11"/>
  <c r="AR12" i="11" s="1"/>
  <c r="AO12" i="11"/>
  <c r="AP12" i="11" s="1"/>
  <c r="AM12" i="11"/>
  <c r="AN12" i="11" s="1"/>
  <c r="AK12" i="11"/>
  <c r="AL12" i="11" s="1"/>
  <c r="AI12" i="11"/>
  <c r="AJ12" i="11" s="1"/>
  <c r="AF12" i="11"/>
  <c r="AG12" i="11" s="1"/>
  <c r="AD12" i="11"/>
  <c r="AE12" i="11" s="1"/>
  <c r="AB12" i="11"/>
  <c r="AC12" i="11" s="1"/>
  <c r="Z12" i="11"/>
  <c r="AA12" i="11" s="1"/>
  <c r="X12" i="11"/>
  <c r="Y12" i="11" s="1"/>
  <c r="V12" i="11"/>
  <c r="W12" i="11" s="1"/>
  <c r="T12" i="11"/>
  <c r="U12" i="11" s="1"/>
  <c r="Q12" i="11"/>
  <c r="R12" i="11" s="1"/>
  <c r="N12" i="11"/>
  <c r="O12" i="11" s="1"/>
  <c r="L12" i="11"/>
  <c r="M12" i="11" s="1"/>
  <c r="J12" i="11"/>
  <c r="K12" i="11" s="1"/>
  <c r="H12" i="11"/>
  <c r="I12" i="11" s="1"/>
  <c r="F12" i="11"/>
  <c r="G12" i="11" s="1"/>
  <c r="D12" i="11"/>
  <c r="E12" i="11" s="1"/>
  <c r="B12" i="11"/>
  <c r="C12" i="11" s="1"/>
  <c r="AU11" i="11"/>
  <c r="AV11" i="11" s="1"/>
  <c r="AS11" i="11"/>
  <c r="AT11" i="11" s="1"/>
  <c r="AQ11" i="11"/>
  <c r="AR11" i="11" s="1"/>
  <c r="AO11" i="11"/>
  <c r="AP11" i="11" s="1"/>
  <c r="AM11" i="11"/>
  <c r="AN11" i="11" s="1"/>
  <c r="AK11" i="11"/>
  <c r="AL11" i="11" s="1"/>
  <c r="AI11" i="11"/>
  <c r="AJ11" i="11" s="1"/>
  <c r="AF11" i="11"/>
  <c r="AG11" i="11" s="1"/>
  <c r="AD11" i="11"/>
  <c r="AE11" i="11" s="1"/>
  <c r="AB11" i="11"/>
  <c r="AC11" i="11" s="1"/>
  <c r="Z11" i="11"/>
  <c r="AA11" i="11" s="1"/>
  <c r="X11" i="11"/>
  <c r="Y11" i="11" s="1"/>
  <c r="V11" i="11"/>
  <c r="W11" i="11" s="1"/>
  <c r="T11" i="11"/>
  <c r="U11" i="11" s="1"/>
  <c r="Q11" i="11"/>
  <c r="R11" i="11" s="1"/>
  <c r="N11" i="11"/>
  <c r="O11" i="11" s="1"/>
  <c r="L11" i="11"/>
  <c r="M11" i="11" s="1"/>
  <c r="J11" i="11"/>
  <c r="K11" i="11" s="1"/>
  <c r="H11" i="11"/>
  <c r="I11" i="11" s="1"/>
  <c r="F11" i="11"/>
  <c r="G11" i="11" s="1"/>
  <c r="D11" i="11"/>
  <c r="E11" i="11" s="1"/>
  <c r="B11" i="11"/>
  <c r="C11" i="11" s="1"/>
  <c r="AU10" i="11"/>
  <c r="AV10" i="11" s="1"/>
  <c r="AS10" i="11"/>
  <c r="AT10" i="11" s="1"/>
  <c r="AQ10" i="11"/>
  <c r="AR10" i="11" s="1"/>
  <c r="AO10" i="11"/>
  <c r="AP10" i="11" s="1"/>
  <c r="AM10" i="11"/>
  <c r="AN10" i="11" s="1"/>
  <c r="AK10" i="11"/>
  <c r="AL10" i="11" s="1"/>
  <c r="AI10" i="11"/>
  <c r="AJ10" i="11" s="1"/>
  <c r="AF10" i="11"/>
  <c r="AG10" i="11" s="1"/>
  <c r="AD10" i="11"/>
  <c r="AE10" i="11" s="1"/>
  <c r="AB10" i="11"/>
  <c r="AC10" i="11" s="1"/>
  <c r="Z10" i="11"/>
  <c r="AA10" i="11" s="1"/>
  <c r="X10" i="11"/>
  <c r="Y10" i="11" s="1"/>
  <c r="V10" i="11"/>
  <c r="W10" i="11" s="1"/>
  <c r="T10" i="11"/>
  <c r="U10" i="11" s="1"/>
  <c r="Q10" i="11"/>
  <c r="R10" i="11" s="1"/>
  <c r="N10" i="11"/>
  <c r="O10" i="11" s="1"/>
  <c r="L10" i="11"/>
  <c r="M10" i="11" s="1"/>
  <c r="J10" i="11"/>
  <c r="K10" i="11" s="1"/>
  <c r="H10" i="11"/>
  <c r="I10" i="11" s="1"/>
  <c r="F10" i="11"/>
  <c r="G10" i="11" s="1"/>
  <c r="D10" i="11"/>
  <c r="E10" i="11" s="1"/>
  <c r="B10" i="11"/>
  <c r="C10" i="11" s="1"/>
  <c r="AU9" i="11"/>
  <c r="AV9" i="11" s="1"/>
  <c r="AS9" i="11"/>
  <c r="AT9" i="11" s="1"/>
  <c r="AQ9" i="11"/>
  <c r="AR9" i="11" s="1"/>
  <c r="AO9" i="11"/>
  <c r="AP9" i="11" s="1"/>
  <c r="AM9" i="11"/>
  <c r="AN9" i="11" s="1"/>
  <c r="AK9" i="11"/>
  <c r="AL9" i="11" s="1"/>
  <c r="AI9" i="11"/>
  <c r="AJ9" i="11" s="1"/>
  <c r="AF9" i="11"/>
  <c r="AG9" i="11" s="1"/>
  <c r="AD9" i="11"/>
  <c r="AE9" i="11" s="1"/>
  <c r="AB9" i="11"/>
  <c r="AC9" i="11" s="1"/>
  <c r="Z9" i="11"/>
  <c r="AA9" i="11" s="1"/>
  <c r="X9" i="11"/>
  <c r="Y9" i="11" s="1"/>
  <c r="V9" i="11"/>
  <c r="W9" i="11" s="1"/>
  <c r="T9" i="11"/>
  <c r="U9" i="11" s="1"/>
  <c r="Q9" i="11"/>
  <c r="R9" i="11" s="1"/>
  <c r="N9" i="11"/>
  <c r="O9" i="11" s="1"/>
  <c r="L9" i="11"/>
  <c r="M9" i="11" s="1"/>
  <c r="J9" i="11"/>
  <c r="K9" i="11" s="1"/>
  <c r="H9" i="11"/>
  <c r="I9" i="11" s="1"/>
  <c r="F9" i="11"/>
  <c r="G9" i="11" s="1"/>
  <c r="D9" i="11"/>
  <c r="E9" i="11" s="1"/>
  <c r="B9" i="11"/>
  <c r="C9" i="11" s="1"/>
  <c r="AU8" i="11"/>
  <c r="AV8" i="11" s="1"/>
  <c r="AS8" i="11"/>
  <c r="AT8" i="11" s="1"/>
  <c r="AQ8" i="11"/>
  <c r="AR8" i="11" s="1"/>
  <c r="AO8" i="11"/>
  <c r="AP8" i="11" s="1"/>
  <c r="AM8" i="11"/>
  <c r="AN8" i="11" s="1"/>
  <c r="AK8" i="11"/>
  <c r="AL8" i="11" s="1"/>
  <c r="AI8" i="11"/>
  <c r="AJ8" i="11" s="1"/>
  <c r="AF8" i="11"/>
  <c r="AG8" i="11" s="1"/>
  <c r="AD8" i="11"/>
  <c r="AE8" i="11" s="1"/>
  <c r="AB8" i="11"/>
  <c r="AC8" i="11" s="1"/>
  <c r="Z8" i="11"/>
  <c r="AA8" i="11" s="1"/>
  <c r="X8" i="11"/>
  <c r="Y8" i="11" s="1"/>
  <c r="V8" i="11"/>
  <c r="W8" i="11" s="1"/>
  <c r="T8" i="11"/>
  <c r="U8" i="11" s="1"/>
  <c r="Q8" i="11"/>
  <c r="R8" i="11" s="1"/>
  <c r="N8" i="11"/>
  <c r="O8" i="11" s="1"/>
  <c r="L8" i="11"/>
  <c r="M8" i="11" s="1"/>
  <c r="J8" i="11"/>
  <c r="K8" i="11" s="1"/>
  <c r="H8" i="11"/>
  <c r="I8" i="11" s="1"/>
  <c r="F8" i="11"/>
  <c r="G8" i="11" s="1"/>
  <c r="D8" i="11"/>
  <c r="E8" i="11" s="1"/>
  <c r="B8" i="11"/>
  <c r="C8" i="11" s="1"/>
  <c r="AU7" i="11"/>
  <c r="AV7" i="11" s="1"/>
  <c r="AS7" i="11"/>
  <c r="AT7" i="11" s="1"/>
  <c r="AQ7" i="11"/>
  <c r="AR7" i="11" s="1"/>
  <c r="AO7" i="11"/>
  <c r="AP7" i="11" s="1"/>
  <c r="AM7" i="11"/>
  <c r="AN7" i="11" s="1"/>
  <c r="AK7" i="11"/>
  <c r="AL7" i="11" s="1"/>
  <c r="AI7" i="11"/>
  <c r="AJ7" i="11" s="1"/>
  <c r="AF7" i="11"/>
  <c r="AG7" i="11" s="1"/>
  <c r="AD7" i="11"/>
  <c r="AE7" i="11" s="1"/>
  <c r="AB7" i="11"/>
  <c r="AC7" i="11" s="1"/>
  <c r="Z7" i="11"/>
  <c r="AA7" i="11" s="1"/>
  <c r="X7" i="11"/>
  <c r="Y7" i="11" s="1"/>
  <c r="V7" i="11"/>
  <c r="W7" i="11" s="1"/>
  <c r="T7" i="11"/>
  <c r="U7" i="11" s="1"/>
  <c r="Q7" i="11"/>
  <c r="R7" i="11" s="1"/>
  <c r="N7" i="11"/>
  <c r="O7" i="11" s="1"/>
  <c r="L7" i="11"/>
  <c r="M7" i="11" s="1"/>
  <c r="J7" i="11"/>
  <c r="K7" i="11" s="1"/>
  <c r="H7" i="11"/>
  <c r="I7" i="11" s="1"/>
  <c r="F7" i="11"/>
  <c r="G7" i="11" s="1"/>
  <c r="D7" i="11"/>
  <c r="E7" i="11" s="1"/>
  <c r="B7" i="11"/>
  <c r="C7" i="11" s="1"/>
  <c r="AU6" i="11"/>
  <c r="AV6" i="11" s="1"/>
  <c r="AS6" i="11"/>
  <c r="AT6" i="11" s="1"/>
  <c r="AQ6" i="11"/>
  <c r="AR6" i="11" s="1"/>
  <c r="AO6" i="11"/>
  <c r="AP6" i="11" s="1"/>
  <c r="AM6" i="11"/>
  <c r="AN6" i="11" s="1"/>
  <c r="AK6" i="11"/>
  <c r="AL6" i="11" s="1"/>
  <c r="AI6" i="11"/>
  <c r="AJ6" i="11" s="1"/>
  <c r="AF6" i="11"/>
  <c r="AG6" i="11" s="1"/>
  <c r="AD6" i="11"/>
  <c r="AE6" i="11" s="1"/>
  <c r="AB6" i="11"/>
  <c r="AC6" i="11" s="1"/>
  <c r="Z6" i="11"/>
  <c r="AA6" i="11" s="1"/>
  <c r="X6" i="11"/>
  <c r="Y6" i="11" s="1"/>
  <c r="V6" i="11"/>
  <c r="W6" i="11" s="1"/>
  <c r="T6" i="11"/>
  <c r="U6" i="11" s="1"/>
  <c r="Q6" i="11"/>
  <c r="R6" i="11" s="1"/>
  <c r="N6" i="11"/>
  <c r="O6" i="11" s="1"/>
  <c r="L6" i="11"/>
  <c r="M6" i="11" s="1"/>
  <c r="J6" i="11"/>
  <c r="K6" i="11" s="1"/>
  <c r="H6" i="11"/>
  <c r="I6" i="11" s="1"/>
  <c r="F6" i="11"/>
  <c r="G6" i="11" s="1"/>
  <c r="D6" i="11"/>
  <c r="E6" i="11" s="1"/>
  <c r="B6" i="11"/>
  <c r="C6" i="11" s="1"/>
  <c r="AU5" i="11"/>
  <c r="AV5" i="11" s="1"/>
  <c r="AS5" i="11"/>
  <c r="AT5" i="11" s="1"/>
  <c r="AQ5" i="11"/>
  <c r="AR5" i="11" s="1"/>
  <c r="AO5" i="11"/>
  <c r="AP5" i="11" s="1"/>
  <c r="AM5" i="11"/>
  <c r="AN5" i="11" s="1"/>
  <c r="AK5" i="11"/>
  <c r="AL5" i="11" s="1"/>
  <c r="AI5" i="11"/>
  <c r="AJ5" i="11" s="1"/>
  <c r="AF5" i="11"/>
  <c r="AG5" i="11" s="1"/>
  <c r="AD5" i="11"/>
  <c r="AE5" i="11" s="1"/>
  <c r="AB5" i="11"/>
  <c r="AC5" i="11" s="1"/>
  <c r="Z5" i="11"/>
  <c r="AA5" i="11" s="1"/>
  <c r="X5" i="11"/>
  <c r="Y5" i="11" s="1"/>
  <c r="V5" i="11"/>
  <c r="W5" i="11" s="1"/>
  <c r="T5" i="11"/>
  <c r="U5" i="11" s="1"/>
  <c r="Q5" i="11"/>
  <c r="R5" i="11" s="1"/>
  <c r="N5" i="11"/>
  <c r="O5" i="11" s="1"/>
  <c r="L5" i="11"/>
  <c r="M5" i="11" s="1"/>
  <c r="J5" i="11"/>
  <c r="K5" i="11" s="1"/>
  <c r="H5" i="11"/>
  <c r="I5" i="11" s="1"/>
  <c r="F5" i="11"/>
  <c r="G5" i="11" s="1"/>
  <c r="D5" i="11"/>
  <c r="E5" i="11" s="1"/>
  <c r="B5" i="11"/>
  <c r="C5" i="11" s="1"/>
  <c r="AU4" i="11"/>
  <c r="AV4" i="11" s="1"/>
  <c r="AS4" i="11"/>
  <c r="AT4" i="11" s="1"/>
  <c r="AQ4" i="11"/>
  <c r="AR4" i="11" s="1"/>
  <c r="AO4" i="11"/>
  <c r="AP4" i="11" s="1"/>
  <c r="AM4" i="11"/>
  <c r="AN4" i="11" s="1"/>
  <c r="AK4" i="11"/>
  <c r="AL4" i="11" s="1"/>
  <c r="AI4" i="11"/>
  <c r="AJ4" i="11" s="1"/>
  <c r="AF4" i="11"/>
  <c r="AG4" i="11" s="1"/>
  <c r="AD4" i="11"/>
  <c r="AE4" i="11" s="1"/>
  <c r="AB4" i="11"/>
  <c r="AC4" i="11" s="1"/>
  <c r="Z4" i="11"/>
  <c r="AA4" i="11" s="1"/>
  <c r="X4" i="11"/>
  <c r="Y4" i="11" s="1"/>
  <c r="V4" i="11"/>
  <c r="W4" i="11" s="1"/>
  <c r="T4" i="11"/>
  <c r="U4" i="11" s="1"/>
  <c r="Q4" i="11"/>
  <c r="R4" i="11" s="1"/>
  <c r="N4" i="11"/>
  <c r="O4" i="11" s="1"/>
  <c r="L4" i="11"/>
  <c r="M4" i="11" s="1"/>
  <c r="J4" i="11"/>
  <c r="K4" i="11" s="1"/>
  <c r="H4" i="11"/>
  <c r="I4" i="11" s="1"/>
  <c r="F4" i="11"/>
  <c r="G4" i="11" s="1"/>
  <c r="D4" i="11"/>
  <c r="E4" i="11" s="1"/>
  <c r="B4" i="11"/>
  <c r="C4" i="11" s="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G246" i="1" l="1"/>
  <c r="H246" i="1"/>
  <c r="W238" i="1" l="1"/>
  <c r="V238" i="1"/>
  <c r="U238" i="1"/>
  <c r="T238" i="1"/>
  <c r="S238" i="1"/>
  <c r="R238" i="1"/>
  <c r="Q238" i="1"/>
  <c r="W237" i="1"/>
  <c r="V237" i="1"/>
  <c r="U237" i="1"/>
  <c r="T237" i="1"/>
  <c r="S237" i="1"/>
  <c r="R237" i="1"/>
  <c r="Q237" i="1"/>
  <c r="W236" i="1"/>
  <c r="V236" i="1"/>
  <c r="U236" i="1"/>
  <c r="T236" i="1"/>
  <c r="S236" i="1"/>
  <c r="R236" i="1"/>
  <c r="Q236" i="1"/>
  <c r="P238" i="1"/>
  <c r="O238" i="1"/>
  <c r="N238" i="1"/>
  <c r="M238" i="1"/>
  <c r="L238" i="1"/>
  <c r="K238" i="1"/>
  <c r="J238" i="1"/>
  <c r="P237" i="1"/>
  <c r="O237" i="1"/>
  <c r="N237" i="1"/>
  <c r="M237" i="1"/>
  <c r="L237" i="1"/>
  <c r="K237" i="1"/>
  <c r="J237" i="1"/>
  <c r="P236" i="1"/>
  <c r="O236" i="1"/>
  <c r="N236" i="1"/>
  <c r="M236" i="1"/>
  <c r="L236" i="1"/>
  <c r="K236" i="1"/>
  <c r="J236" i="1"/>
  <c r="I238" i="1"/>
  <c r="H238" i="1"/>
  <c r="G238" i="1"/>
  <c r="F238" i="1"/>
  <c r="E238" i="1"/>
  <c r="D238" i="1"/>
  <c r="C238" i="1"/>
  <c r="I237" i="1"/>
  <c r="H237" i="1"/>
  <c r="G237" i="1"/>
  <c r="F237" i="1"/>
  <c r="E237" i="1"/>
  <c r="D237" i="1"/>
  <c r="C237" i="1"/>
  <c r="I236" i="1"/>
  <c r="H236" i="1"/>
  <c r="G236" i="1"/>
  <c r="F236" i="1"/>
  <c r="E236" i="1"/>
  <c r="D236" i="1"/>
  <c r="C236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C187" i="1" l="1"/>
  <c r="M113" i="18" l="1"/>
  <c r="C249" i="1" l="1"/>
  <c r="W266" i="1" l="1"/>
  <c r="V266" i="1"/>
  <c r="U266" i="1"/>
  <c r="T266" i="1"/>
  <c r="S266" i="1"/>
  <c r="R266" i="1"/>
  <c r="Q266" i="1"/>
  <c r="W265" i="1"/>
  <c r="V265" i="1"/>
  <c r="U265" i="1"/>
  <c r="T265" i="1"/>
  <c r="S265" i="1"/>
  <c r="R265" i="1"/>
  <c r="Q265" i="1"/>
  <c r="W264" i="1"/>
  <c r="V264" i="1"/>
  <c r="U264" i="1"/>
  <c r="T264" i="1"/>
  <c r="S264" i="1"/>
  <c r="R264" i="1"/>
  <c r="Q264" i="1"/>
  <c r="W263" i="1"/>
  <c r="V263" i="1"/>
  <c r="U263" i="1"/>
  <c r="T263" i="1"/>
  <c r="S263" i="1"/>
  <c r="R263" i="1"/>
  <c r="Q263" i="1"/>
  <c r="W262" i="1"/>
  <c r="V262" i="1"/>
  <c r="U262" i="1"/>
  <c r="T262" i="1"/>
  <c r="S262" i="1"/>
  <c r="R262" i="1"/>
  <c r="Q262" i="1"/>
  <c r="W261" i="1"/>
  <c r="V261" i="1"/>
  <c r="U261" i="1"/>
  <c r="T261" i="1"/>
  <c r="S261" i="1"/>
  <c r="R261" i="1"/>
  <c r="Q261" i="1"/>
  <c r="W260" i="1"/>
  <c r="V260" i="1"/>
  <c r="U260" i="1"/>
  <c r="T260" i="1"/>
  <c r="S260" i="1"/>
  <c r="R260" i="1"/>
  <c r="Q260" i="1"/>
  <c r="W259" i="1"/>
  <c r="V259" i="1"/>
  <c r="U259" i="1"/>
  <c r="T259" i="1"/>
  <c r="S259" i="1"/>
  <c r="R259" i="1"/>
  <c r="Q259" i="1"/>
  <c r="W258" i="1"/>
  <c r="V258" i="1"/>
  <c r="U258" i="1"/>
  <c r="T258" i="1"/>
  <c r="S258" i="1"/>
  <c r="R258" i="1"/>
  <c r="Q258" i="1"/>
  <c r="W257" i="1"/>
  <c r="V257" i="1"/>
  <c r="U257" i="1"/>
  <c r="T257" i="1"/>
  <c r="S257" i="1"/>
  <c r="R257" i="1"/>
  <c r="Q257" i="1"/>
  <c r="W256" i="1"/>
  <c r="V256" i="1"/>
  <c r="U256" i="1"/>
  <c r="T256" i="1"/>
  <c r="S256" i="1"/>
  <c r="R256" i="1"/>
  <c r="Q256" i="1"/>
  <c r="W255" i="1"/>
  <c r="V255" i="1"/>
  <c r="U255" i="1"/>
  <c r="T255" i="1"/>
  <c r="S255" i="1"/>
  <c r="R255" i="1"/>
  <c r="Q255" i="1"/>
  <c r="W254" i="1"/>
  <c r="V254" i="1"/>
  <c r="U254" i="1"/>
  <c r="T254" i="1"/>
  <c r="S254" i="1"/>
  <c r="R254" i="1"/>
  <c r="Q254" i="1"/>
  <c r="W253" i="1"/>
  <c r="V253" i="1"/>
  <c r="U253" i="1"/>
  <c r="T253" i="1"/>
  <c r="S253" i="1"/>
  <c r="R253" i="1"/>
  <c r="Q253" i="1"/>
  <c r="W252" i="1"/>
  <c r="V252" i="1"/>
  <c r="U252" i="1"/>
  <c r="T252" i="1"/>
  <c r="S252" i="1"/>
  <c r="R252" i="1"/>
  <c r="Q252" i="1"/>
  <c r="W251" i="1"/>
  <c r="V251" i="1"/>
  <c r="U251" i="1"/>
  <c r="T251" i="1"/>
  <c r="S251" i="1"/>
  <c r="R251" i="1"/>
  <c r="Q251" i="1"/>
  <c r="W250" i="1"/>
  <c r="V250" i="1"/>
  <c r="U250" i="1"/>
  <c r="T250" i="1"/>
  <c r="S250" i="1"/>
  <c r="R250" i="1"/>
  <c r="Q250" i="1"/>
  <c r="W249" i="1"/>
  <c r="V249" i="1"/>
  <c r="U249" i="1"/>
  <c r="T249" i="1"/>
  <c r="S249" i="1"/>
  <c r="R249" i="1"/>
  <c r="Q249" i="1"/>
  <c r="W248" i="1"/>
  <c r="V248" i="1"/>
  <c r="U248" i="1"/>
  <c r="T248" i="1"/>
  <c r="S248" i="1"/>
  <c r="R248" i="1"/>
  <c r="Q248" i="1"/>
  <c r="W247" i="1"/>
  <c r="V247" i="1"/>
  <c r="U247" i="1"/>
  <c r="T247" i="1"/>
  <c r="S247" i="1"/>
  <c r="R247" i="1"/>
  <c r="Q247" i="1"/>
  <c r="W246" i="1"/>
  <c r="V246" i="1"/>
  <c r="U246" i="1"/>
  <c r="T246" i="1"/>
  <c r="S246" i="1"/>
  <c r="R246" i="1"/>
  <c r="Q246" i="1"/>
  <c r="W245" i="1"/>
  <c r="V245" i="1"/>
  <c r="U245" i="1"/>
  <c r="T245" i="1"/>
  <c r="S245" i="1"/>
  <c r="R245" i="1"/>
  <c r="Q245" i="1"/>
  <c r="W244" i="1"/>
  <c r="V244" i="1"/>
  <c r="U244" i="1"/>
  <c r="T244" i="1"/>
  <c r="S244" i="1"/>
  <c r="R244" i="1"/>
  <c r="Q244" i="1"/>
  <c r="W243" i="1"/>
  <c r="V243" i="1"/>
  <c r="U243" i="1"/>
  <c r="T243" i="1"/>
  <c r="S243" i="1"/>
  <c r="R243" i="1"/>
  <c r="Q243" i="1"/>
  <c r="W242" i="1"/>
  <c r="V242" i="1"/>
  <c r="U242" i="1"/>
  <c r="T242" i="1"/>
  <c r="S242" i="1"/>
  <c r="R242" i="1"/>
  <c r="Q242" i="1"/>
  <c r="W241" i="1"/>
  <c r="V241" i="1"/>
  <c r="U241" i="1"/>
  <c r="T241" i="1"/>
  <c r="S241" i="1"/>
  <c r="R241" i="1"/>
  <c r="Q241" i="1"/>
  <c r="W240" i="1"/>
  <c r="V240" i="1"/>
  <c r="U240" i="1"/>
  <c r="T240" i="1"/>
  <c r="S240" i="1"/>
  <c r="R240" i="1"/>
  <c r="Q240" i="1"/>
  <c r="W239" i="1"/>
  <c r="V239" i="1"/>
  <c r="U239" i="1"/>
  <c r="T239" i="1"/>
  <c r="S239" i="1"/>
  <c r="R239" i="1"/>
  <c r="Q239" i="1"/>
  <c r="P266" i="1"/>
  <c r="O266" i="1"/>
  <c r="N266" i="1"/>
  <c r="M266" i="1"/>
  <c r="L266" i="1"/>
  <c r="K266" i="1"/>
  <c r="J266" i="1"/>
  <c r="P265" i="1"/>
  <c r="O265" i="1"/>
  <c r="N265" i="1"/>
  <c r="M265" i="1"/>
  <c r="L265" i="1"/>
  <c r="K265" i="1"/>
  <c r="J265" i="1"/>
  <c r="P264" i="1"/>
  <c r="O264" i="1"/>
  <c r="N264" i="1"/>
  <c r="M264" i="1"/>
  <c r="L264" i="1"/>
  <c r="K264" i="1"/>
  <c r="J264" i="1"/>
  <c r="P263" i="1"/>
  <c r="O263" i="1"/>
  <c r="N263" i="1"/>
  <c r="M263" i="1"/>
  <c r="L263" i="1"/>
  <c r="K263" i="1"/>
  <c r="J263" i="1"/>
  <c r="P262" i="1"/>
  <c r="O262" i="1"/>
  <c r="N262" i="1"/>
  <c r="M262" i="1"/>
  <c r="L262" i="1"/>
  <c r="K262" i="1"/>
  <c r="J262" i="1"/>
  <c r="P261" i="1"/>
  <c r="O261" i="1"/>
  <c r="N261" i="1"/>
  <c r="M261" i="1"/>
  <c r="L261" i="1"/>
  <c r="K261" i="1"/>
  <c r="J261" i="1"/>
  <c r="P260" i="1"/>
  <c r="O260" i="1"/>
  <c r="N260" i="1"/>
  <c r="M260" i="1"/>
  <c r="L260" i="1"/>
  <c r="K260" i="1"/>
  <c r="J260" i="1"/>
  <c r="P259" i="1"/>
  <c r="O259" i="1"/>
  <c r="N259" i="1"/>
  <c r="M259" i="1"/>
  <c r="L259" i="1"/>
  <c r="K259" i="1"/>
  <c r="J259" i="1"/>
  <c r="P258" i="1"/>
  <c r="O258" i="1"/>
  <c r="N258" i="1"/>
  <c r="M258" i="1"/>
  <c r="L258" i="1"/>
  <c r="K258" i="1"/>
  <c r="J258" i="1"/>
  <c r="P257" i="1"/>
  <c r="O257" i="1"/>
  <c r="N257" i="1"/>
  <c r="M257" i="1"/>
  <c r="L257" i="1"/>
  <c r="K257" i="1"/>
  <c r="J257" i="1"/>
  <c r="P256" i="1"/>
  <c r="O256" i="1"/>
  <c r="N256" i="1"/>
  <c r="M256" i="1"/>
  <c r="L256" i="1"/>
  <c r="K256" i="1"/>
  <c r="J256" i="1"/>
  <c r="P255" i="1"/>
  <c r="O255" i="1"/>
  <c r="N255" i="1"/>
  <c r="M255" i="1"/>
  <c r="L255" i="1"/>
  <c r="K255" i="1"/>
  <c r="J255" i="1"/>
  <c r="P254" i="1"/>
  <c r="O254" i="1"/>
  <c r="N254" i="1"/>
  <c r="M254" i="1"/>
  <c r="L254" i="1"/>
  <c r="K254" i="1"/>
  <c r="J254" i="1"/>
  <c r="P253" i="1"/>
  <c r="O253" i="1"/>
  <c r="N253" i="1"/>
  <c r="M253" i="1"/>
  <c r="L253" i="1"/>
  <c r="K253" i="1"/>
  <c r="J253" i="1"/>
  <c r="P252" i="1"/>
  <c r="O252" i="1"/>
  <c r="N252" i="1"/>
  <c r="M252" i="1"/>
  <c r="L252" i="1"/>
  <c r="K252" i="1"/>
  <c r="J252" i="1"/>
  <c r="P251" i="1"/>
  <c r="O251" i="1"/>
  <c r="N251" i="1"/>
  <c r="M251" i="1"/>
  <c r="L251" i="1"/>
  <c r="K251" i="1"/>
  <c r="J251" i="1"/>
  <c r="P250" i="1"/>
  <c r="O250" i="1"/>
  <c r="N250" i="1"/>
  <c r="M250" i="1"/>
  <c r="L250" i="1"/>
  <c r="K250" i="1"/>
  <c r="J250" i="1"/>
  <c r="P249" i="1"/>
  <c r="O249" i="1"/>
  <c r="N249" i="1"/>
  <c r="M249" i="1"/>
  <c r="L249" i="1"/>
  <c r="K249" i="1"/>
  <c r="J249" i="1"/>
  <c r="P248" i="1"/>
  <c r="O248" i="1"/>
  <c r="N248" i="1"/>
  <c r="M248" i="1"/>
  <c r="L248" i="1"/>
  <c r="K248" i="1"/>
  <c r="J248" i="1"/>
  <c r="P247" i="1"/>
  <c r="O247" i="1"/>
  <c r="N247" i="1"/>
  <c r="M247" i="1"/>
  <c r="L247" i="1"/>
  <c r="K247" i="1"/>
  <c r="J247" i="1"/>
  <c r="P246" i="1"/>
  <c r="O246" i="1"/>
  <c r="N246" i="1"/>
  <c r="M246" i="1"/>
  <c r="L246" i="1"/>
  <c r="K246" i="1"/>
  <c r="J246" i="1"/>
  <c r="P245" i="1"/>
  <c r="O245" i="1"/>
  <c r="N245" i="1"/>
  <c r="M245" i="1"/>
  <c r="L245" i="1"/>
  <c r="K245" i="1"/>
  <c r="J245" i="1"/>
  <c r="P244" i="1"/>
  <c r="O244" i="1"/>
  <c r="N244" i="1"/>
  <c r="M244" i="1"/>
  <c r="L244" i="1"/>
  <c r="K244" i="1"/>
  <c r="J244" i="1"/>
  <c r="P243" i="1"/>
  <c r="O243" i="1"/>
  <c r="N243" i="1"/>
  <c r="M243" i="1"/>
  <c r="L243" i="1"/>
  <c r="K243" i="1"/>
  <c r="J243" i="1"/>
  <c r="P242" i="1"/>
  <c r="O242" i="1"/>
  <c r="N242" i="1"/>
  <c r="M242" i="1"/>
  <c r="L242" i="1"/>
  <c r="K242" i="1"/>
  <c r="J242" i="1"/>
  <c r="P241" i="1"/>
  <c r="O241" i="1"/>
  <c r="N241" i="1"/>
  <c r="M241" i="1"/>
  <c r="L241" i="1"/>
  <c r="K241" i="1"/>
  <c r="J241" i="1"/>
  <c r="P240" i="1"/>
  <c r="O240" i="1"/>
  <c r="N240" i="1"/>
  <c r="M240" i="1"/>
  <c r="L240" i="1"/>
  <c r="K240" i="1"/>
  <c r="J240" i="1"/>
  <c r="P239" i="1"/>
  <c r="O239" i="1"/>
  <c r="N239" i="1"/>
  <c r="M239" i="1"/>
  <c r="L239" i="1"/>
  <c r="K239" i="1"/>
  <c r="J239" i="1"/>
  <c r="C252" i="1"/>
  <c r="I240" i="1"/>
  <c r="H240" i="1"/>
  <c r="G240" i="1"/>
  <c r="F240" i="1"/>
  <c r="E240" i="1"/>
  <c r="D240" i="1"/>
  <c r="C240" i="1"/>
  <c r="I239" i="1"/>
  <c r="H239" i="1"/>
  <c r="G239" i="1"/>
  <c r="F239" i="1"/>
  <c r="E239" i="1"/>
  <c r="D239" i="1"/>
  <c r="C239" i="1"/>
  <c r="C251" i="1"/>
  <c r="I251" i="1"/>
  <c r="H251" i="1"/>
  <c r="G251" i="1"/>
  <c r="F251" i="1"/>
  <c r="E251" i="1"/>
  <c r="D251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I266" i="1"/>
  <c r="H266" i="1"/>
  <c r="G266" i="1"/>
  <c r="F266" i="1"/>
  <c r="E266" i="1"/>
  <c r="D266" i="1"/>
  <c r="C266" i="1"/>
  <c r="I265" i="1"/>
  <c r="H265" i="1"/>
  <c r="G265" i="1"/>
  <c r="F265" i="1"/>
  <c r="E265" i="1"/>
  <c r="D265" i="1"/>
  <c r="C265" i="1"/>
  <c r="I264" i="1"/>
  <c r="H264" i="1"/>
  <c r="G264" i="1"/>
  <c r="F264" i="1"/>
  <c r="E264" i="1"/>
  <c r="D264" i="1"/>
  <c r="C264" i="1"/>
  <c r="I263" i="1"/>
  <c r="H263" i="1"/>
  <c r="G263" i="1"/>
  <c r="F263" i="1"/>
  <c r="E263" i="1"/>
  <c r="D263" i="1"/>
  <c r="C263" i="1"/>
  <c r="I262" i="1"/>
  <c r="H262" i="1"/>
  <c r="G262" i="1"/>
  <c r="F262" i="1"/>
  <c r="E262" i="1"/>
  <c r="D262" i="1"/>
  <c r="C262" i="1"/>
  <c r="I261" i="1"/>
  <c r="H261" i="1"/>
  <c r="G261" i="1"/>
  <c r="F261" i="1"/>
  <c r="E261" i="1"/>
  <c r="D261" i="1"/>
  <c r="C261" i="1"/>
  <c r="I260" i="1"/>
  <c r="H260" i="1"/>
  <c r="G260" i="1"/>
  <c r="F260" i="1"/>
  <c r="E260" i="1"/>
  <c r="D260" i="1"/>
  <c r="C260" i="1"/>
  <c r="I259" i="1"/>
  <c r="H259" i="1"/>
  <c r="G259" i="1"/>
  <c r="F259" i="1"/>
  <c r="E259" i="1"/>
  <c r="D259" i="1"/>
  <c r="C259" i="1"/>
  <c r="I258" i="1"/>
  <c r="H258" i="1"/>
  <c r="G258" i="1"/>
  <c r="F258" i="1"/>
  <c r="E258" i="1"/>
  <c r="D258" i="1"/>
  <c r="C258" i="1"/>
  <c r="I257" i="1"/>
  <c r="H257" i="1"/>
  <c r="G257" i="1"/>
  <c r="F257" i="1"/>
  <c r="E257" i="1"/>
  <c r="D257" i="1"/>
  <c r="C257" i="1"/>
  <c r="I256" i="1"/>
  <c r="H256" i="1"/>
  <c r="G256" i="1"/>
  <c r="F256" i="1"/>
  <c r="E256" i="1"/>
  <c r="D256" i="1"/>
  <c r="C256" i="1"/>
  <c r="I255" i="1"/>
  <c r="H255" i="1"/>
  <c r="G255" i="1"/>
  <c r="F255" i="1"/>
  <c r="E255" i="1"/>
  <c r="D255" i="1"/>
  <c r="C255" i="1"/>
  <c r="I254" i="1"/>
  <c r="H254" i="1"/>
  <c r="G254" i="1"/>
  <c r="F254" i="1"/>
  <c r="E254" i="1"/>
  <c r="D254" i="1"/>
  <c r="C254" i="1"/>
  <c r="I253" i="1"/>
  <c r="H253" i="1"/>
  <c r="G253" i="1"/>
  <c r="F253" i="1"/>
  <c r="E253" i="1"/>
  <c r="D253" i="1"/>
  <c r="C253" i="1"/>
  <c r="I252" i="1"/>
  <c r="H252" i="1"/>
  <c r="G252" i="1"/>
  <c r="F252" i="1"/>
  <c r="E252" i="1"/>
  <c r="D252" i="1"/>
  <c r="I250" i="1"/>
  <c r="H250" i="1"/>
  <c r="G250" i="1"/>
  <c r="F250" i="1"/>
  <c r="E250" i="1"/>
  <c r="D250" i="1"/>
  <c r="C250" i="1"/>
  <c r="I249" i="1"/>
  <c r="H249" i="1"/>
  <c r="G249" i="1"/>
  <c r="F249" i="1"/>
  <c r="E249" i="1"/>
  <c r="D249" i="1"/>
  <c r="I248" i="1"/>
  <c r="H248" i="1"/>
  <c r="G248" i="1"/>
  <c r="F248" i="1"/>
  <c r="E248" i="1"/>
  <c r="D248" i="1"/>
  <c r="C248" i="1"/>
  <c r="I247" i="1"/>
  <c r="H247" i="1"/>
  <c r="G247" i="1"/>
  <c r="F247" i="1"/>
  <c r="E247" i="1"/>
  <c r="D247" i="1"/>
  <c r="C247" i="1"/>
  <c r="I246" i="1"/>
  <c r="F246" i="1"/>
  <c r="E246" i="1"/>
  <c r="D246" i="1"/>
  <c r="C246" i="1"/>
  <c r="I245" i="1"/>
  <c r="H245" i="1"/>
  <c r="G245" i="1"/>
  <c r="F245" i="1"/>
  <c r="E245" i="1"/>
  <c r="D245" i="1"/>
  <c r="C245" i="1"/>
  <c r="I244" i="1"/>
  <c r="H244" i="1"/>
  <c r="G244" i="1"/>
  <c r="F244" i="1"/>
  <c r="E244" i="1"/>
  <c r="D244" i="1"/>
  <c r="C244" i="1"/>
  <c r="I243" i="1"/>
  <c r="H243" i="1"/>
  <c r="G243" i="1"/>
  <c r="F243" i="1"/>
  <c r="E243" i="1"/>
  <c r="D243" i="1"/>
  <c r="C243" i="1"/>
  <c r="I242" i="1"/>
  <c r="H242" i="1"/>
  <c r="G242" i="1"/>
  <c r="F242" i="1"/>
  <c r="E242" i="1"/>
  <c r="D242" i="1"/>
  <c r="C242" i="1"/>
  <c r="I241" i="1"/>
  <c r="H241" i="1"/>
  <c r="G241" i="1"/>
  <c r="F241" i="1"/>
  <c r="E241" i="1"/>
  <c r="D241" i="1"/>
  <c r="C241" i="1"/>
  <c r="W184" i="1" l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A272" i="1"/>
  <c r="A271" i="1"/>
  <c r="A270" i="1"/>
  <c r="A269" i="1"/>
  <c r="A268" i="1"/>
  <c r="X267" i="1"/>
  <c r="A267" i="1"/>
  <c r="B267" i="1" s="1"/>
  <c r="X266" i="1"/>
  <c r="A266" i="1"/>
  <c r="B266" i="1" s="1"/>
  <c r="X265" i="1"/>
  <c r="A265" i="1"/>
  <c r="B265" i="1" s="1"/>
  <c r="X264" i="1"/>
  <c r="A264" i="1"/>
  <c r="B264" i="1" s="1"/>
  <c r="X263" i="1"/>
  <c r="A263" i="1"/>
  <c r="B263" i="1" s="1"/>
  <c r="X262" i="1"/>
  <c r="A262" i="1"/>
  <c r="B262" i="1" s="1"/>
  <c r="X261" i="1"/>
  <c r="A261" i="1"/>
  <c r="B261" i="1" s="1"/>
  <c r="X260" i="1"/>
  <c r="A260" i="1"/>
  <c r="B260" i="1" s="1"/>
  <c r="X259" i="1"/>
  <c r="A259" i="1"/>
  <c r="B259" i="1" s="1"/>
  <c r="X258" i="1"/>
  <c r="A258" i="1"/>
  <c r="B258" i="1" s="1"/>
  <c r="X257" i="1"/>
  <c r="A257" i="1"/>
  <c r="B257" i="1" s="1"/>
  <c r="X256" i="1"/>
  <c r="A256" i="1"/>
  <c r="B256" i="1" s="1"/>
  <c r="X255" i="1"/>
  <c r="A255" i="1"/>
  <c r="B255" i="1" s="1"/>
  <c r="A155" i="18"/>
  <c r="A154" i="18"/>
  <c r="A153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A152" i="18"/>
  <c r="B152" i="18" s="1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A151" i="18"/>
  <c r="B151" i="18" s="1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A150" i="18"/>
  <c r="B150" i="18" s="1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A149" i="18"/>
  <c r="B149" i="18" s="1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A148" i="18"/>
  <c r="B148" i="18" s="1"/>
  <c r="W147" i="18"/>
  <c r="V147" i="18"/>
  <c r="U147" i="18"/>
  <c r="T147" i="18"/>
  <c r="S147" i="18"/>
  <c r="R147" i="18"/>
  <c r="Q147" i="18"/>
  <c r="P147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C147" i="18"/>
  <c r="A147" i="18"/>
  <c r="B147" i="18" s="1"/>
  <c r="W146" i="18"/>
  <c r="V146" i="18"/>
  <c r="U146" i="18"/>
  <c r="T146" i="18"/>
  <c r="S146" i="18"/>
  <c r="R146" i="18"/>
  <c r="Q146" i="18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C146" i="18"/>
  <c r="A146" i="18"/>
  <c r="B146" i="18" s="1"/>
  <c r="X67" i="18"/>
  <c r="X66" i="18"/>
  <c r="X65" i="18"/>
  <c r="X64" i="18"/>
  <c r="X63" i="18"/>
  <c r="X62" i="18"/>
  <c r="X61" i="18"/>
  <c r="X60" i="18"/>
  <c r="X59" i="18"/>
  <c r="X58" i="18"/>
  <c r="X57" i="18"/>
  <c r="X56" i="18"/>
  <c r="X55" i="18"/>
  <c r="X54" i="18"/>
  <c r="X53" i="18"/>
  <c r="X52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X51" i="18"/>
  <c r="X50" i="18"/>
  <c r="X49" i="18"/>
  <c r="X48" i="18"/>
  <c r="X47" i="18"/>
  <c r="X46" i="18"/>
  <c r="X45" i="18"/>
  <c r="X44" i="18"/>
  <c r="X43" i="18"/>
  <c r="X42" i="18"/>
  <c r="X41" i="18"/>
  <c r="X40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X152" i="18" l="1"/>
  <c r="X148" i="18"/>
  <c r="X147" i="18"/>
  <c r="X146" i="18"/>
  <c r="X150" i="18"/>
  <c r="X151" i="18"/>
  <c r="X149" i="18"/>
  <c r="A39" i="18"/>
  <c r="A38" i="18"/>
  <c r="A37" i="18"/>
  <c r="A36" i="18"/>
  <c r="A35" i="18"/>
  <c r="A34" i="18"/>
  <c r="A33" i="18"/>
  <c r="A32" i="18"/>
  <c r="A31" i="18"/>
  <c r="X39" i="18"/>
  <c r="X38" i="18"/>
  <c r="X37" i="18"/>
  <c r="X36" i="18"/>
  <c r="X35" i="18"/>
  <c r="X34" i="18"/>
  <c r="X33" i="18"/>
  <c r="X32" i="18"/>
  <c r="X31" i="18"/>
  <c r="X30" i="18" l="1"/>
  <c r="A30" i="18"/>
  <c r="X29" i="18" l="1"/>
  <c r="A29" i="18"/>
  <c r="A41" i="1" l="1"/>
  <c r="X41" i="1"/>
  <c r="W186" i="1" l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A186" i="1"/>
  <c r="B186" i="1" s="1"/>
  <c r="A185" i="1"/>
  <c r="X186" i="1" l="1"/>
  <c r="X13" i="14"/>
  <c r="X12" i="14"/>
  <c r="X11" i="14"/>
  <c r="X10" i="14"/>
  <c r="X9" i="14"/>
  <c r="X8" i="14"/>
  <c r="X7" i="14"/>
  <c r="X6" i="14"/>
  <c r="X5" i="14"/>
  <c r="X4" i="14"/>
  <c r="X250" i="1" l="1"/>
  <c r="X254" i="1"/>
  <c r="X252" i="1"/>
  <c r="X251" i="1"/>
  <c r="X253" i="1"/>
  <c r="A254" i="1"/>
  <c r="B254" i="1" s="1"/>
  <c r="A253" i="1"/>
  <c r="B253" i="1" s="1"/>
  <c r="A252" i="1"/>
  <c r="B252" i="1" s="1"/>
  <c r="A251" i="1"/>
  <c r="B251" i="1" s="1"/>
  <c r="A250" i="1"/>
  <c r="B250" i="1" s="1"/>
  <c r="A109" i="1"/>
  <c r="A108" i="1"/>
  <c r="A107" i="1"/>
  <c r="A106" i="1"/>
  <c r="A105" i="1"/>
  <c r="C119" i="18" l="1"/>
  <c r="J74" i="12"/>
  <c r="D74" i="12"/>
  <c r="C83" i="12"/>
  <c r="C82" i="12"/>
  <c r="C81" i="12"/>
  <c r="C80" i="12"/>
  <c r="C79" i="12"/>
  <c r="C78" i="12"/>
  <c r="C77" i="12"/>
  <c r="C76" i="12"/>
  <c r="C75" i="12"/>
  <c r="C74" i="12"/>
  <c r="A41" i="13" l="1"/>
  <c r="A40" i="13"/>
  <c r="A39" i="13"/>
  <c r="A38" i="13"/>
  <c r="A37" i="13"/>
  <c r="A36" i="13"/>
  <c r="A35" i="13"/>
  <c r="A34" i="13"/>
  <c r="A33" i="13"/>
  <c r="A249" i="1" l="1"/>
  <c r="B249" i="1" s="1"/>
  <c r="X249" i="1" l="1"/>
  <c r="A104" i="1" l="1"/>
  <c r="W187" i="1" l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A32" i="13" l="1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H127" i="18" l="1"/>
  <c r="F83" i="12" l="1"/>
  <c r="E83" i="12"/>
  <c r="D83" i="12"/>
  <c r="F82" i="12"/>
  <c r="E82" i="12"/>
  <c r="D82" i="12"/>
  <c r="F81" i="12"/>
  <c r="E81" i="12"/>
  <c r="D81" i="12"/>
  <c r="F80" i="12"/>
  <c r="E80" i="12"/>
  <c r="D80" i="12"/>
  <c r="F79" i="12"/>
  <c r="E79" i="12"/>
  <c r="D79" i="12"/>
  <c r="F78" i="12"/>
  <c r="E78" i="12"/>
  <c r="D78" i="12"/>
  <c r="F77" i="12"/>
  <c r="E77" i="12"/>
  <c r="D77" i="12"/>
  <c r="F76" i="12"/>
  <c r="E76" i="12"/>
  <c r="D76" i="12"/>
  <c r="F75" i="12"/>
  <c r="E75" i="12"/>
  <c r="D75" i="12"/>
  <c r="F74" i="12"/>
  <c r="E74" i="12"/>
  <c r="R142" i="18" l="1"/>
  <c r="R141" i="18"/>
  <c r="R140" i="18"/>
  <c r="R139" i="18"/>
  <c r="R138" i="18"/>
  <c r="O138" i="18" l="1"/>
  <c r="O137" i="18"/>
  <c r="F197" i="1" l="1"/>
  <c r="H74" i="12" l="1"/>
  <c r="F81" i="14"/>
  <c r="E81" i="14"/>
  <c r="D81" i="14"/>
  <c r="C81" i="14"/>
  <c r="F80" i="14"/>
  <c r="E80" i="14"/>
  <c r="D80" i="14"/>
  <c r="C80" i="14"/>
  <c r="F79" i="14"/>
  <c r="E79" i="14"/>
  <c r="D79" i="14"/>
  <c r="C79" i="14"/>
  <c r="F78" i="14"/>
  <c r="E78" i="14"/>
  <c r="D78" i="14"/>
  <c r="C78" i="14"/>
  <c r="F77" i="14"/>
  <c r="E77" i="14"/>
  <c r="D77" i="14"/>
  <c r="C77" i="14"/>
  <c r="F76" i="14"/>
  <c r="E76" i="14"/>
  <c r="D76" i="14"/>
  <c r="C76" i="14"/>
  <c r="F75" i="14"/>
  <c r="E75" i="14"/>
  <c r="D75" i="14"/>
  <c r="C75" i="14"/>
  <c r="F74" i="14"/>
  <c r="E74" i="14"/>
  <c r="D74" i="14"/>
  <c r="C74" i="14"/>
  <c r="F73" i="14"/>
  <c r="E73" i="14"/>
  <c r="D73" i="14"/>
  <c r="C73" i="14"/>
  <c r="F72" i="14"/>
  <c r="E72" i="14"/>
  <c r="D72" i="14"/>
  <c r="C72" i="14"/>
  <c r="H81" i="14" l="1"/>
  <c r="G81" i="14"/>
  <c r="H80" i="14"/>
  <c r="G80" i="14"/>
  <c r="H79" i="14"/>
  <c r="G79" i="14"/>
  <c r="H78" i="14"/>
  <c r="G78" i="14"/>
  <c r="H77" i="14"/>
  <c r="G77" i="14"/>
  <c r="H76" i="14"/>
  <c r="G76" i="14"/>
  <c r="H75" i="14"/>
  <c r="G75" i="14"/>
  <c r="H74" i="14"/>
  <c r="G74" i="14"/>
  <c r="H73" i="14"/>
  <c r="G73" i="14"/>
  <c r="H72" i="14"/>
  <c r="G72" i="14"/>
  <c r="I145" i="18" l="1"/>
  <c r="H145" i="18"/>
  <c r="G145" i="18"/>
  <c r="F145" i="18"/>
  <c r="E145" i="18"/>
  <c r="D145" i="18"/>
  <c r="C145" i="18"/>
  <c r="I144" i="18"/>
  <c r="H144" i="18"/>
  <c r="G144" i="18"/>
  <c r="F144" i="18"/>
  <c r="E144" i="18"/>
  <c r="D144" i="18"/>
  <c r="C144" i="18"/>
  <c r="I143" i="18"/>
  <c r="H143" i="18"/>
  <c r="G143" i="18"/>
  <c r="F143" i="18"/>
  <c r="E143" i="18"/>
  <c r="D143" i="18"/>
  <c r="C143" i="18"/>
  <c r="I142" i="18"/>
  <c r="H142" i="18"/>
  <c r="G142" i="18"/>
  <c r="F142" i="18"/>
  <c r="E142" i="18"/>
  <c r="D142" i="18"/>
  <c r="C142" i="18"/>
  <c r="I141" i="18"/>
  <c r="H141" i="18"/>
  <c r="G141" i="18"/>
  <c r="F141" i="18"/>
  <c r="E141" i="18"/>
  <c r="D141" i="18"/>
  <c r="C141" i="18"/>
  <c r="I140" i="18"/>
  <c r="H140" i="18"/>
  <c r="G140" i="18"/>
  <c r="F140" i="18"/>
  <c r="E140" i="18"/>
  <c r="D140" i="18"/>
  <c r="C140" i="18"/>
  <c r="I139" i="18"/>
  <c r="H139" i="18"/>
  <c r="G139" i="18"/>
  <c r="F139" i="18"/>
  <c r="E139" i="18"/>
  <c r="D139" i="18"/>
  <c r="C139" i="18"/>
  <c r="I138" i="18"/>
  <c r="H138" i="18"/>
  <c r="G138" i="18"/>
  <c r="F138" i="18"/>
  <c r="E138" i="18"/>
  <c r="D138" i="18"/>
  <c r="C138" i="18"/>
  <c r="I137" i="18"/>
  <c r="H137" i="18"/>
  <c r="G137" i="18"/>
  <c r="F137" i="18"/>
  <c r="E137" i="18"/>
  <c r="D137" i="18"/>
  <c r="C137" i="18"/>
  <c r="I136" i="18"/>
  <c r="H136" i="18"/>
  <c r="G136" i="18"/>
  <c r="F136" i="18"/>
  <c r="E136" i="18"/>
  <c r="D136" i="18"/>
  <c r="C136" i="18"/>
  <c r="I135" i="18"/>
  <c r="H135" i="18"/>
  <c r="G135" i="18"/>
  <c r="F135" i="18"/>
  <c r="E135" i="18"/>
  <c r="D135" i="18"/>
  <c r="C135" i="18"/>
  <c r="I134" i="18"/>
  <c r="H134" i="18"/>
  <c r="G134" i="18"/>
  <c r="F134" i="18"/>
  <c r="E134" i="18"/>
  <c r="D134" i="18"/>
  <c r="C134" i="18"/>
  <c r="H133" i="18"/>
  <c r="G133" i="18"/>
  <c r="F133" i="18"/>
  <c r="E133" i="18"/>
  <c r="D133" i="18"/>
  <c r="C133" i="18"/>
  <c r="F121" i="18"/>
  <c r="E121" i="18"/>
  <c r="D121" i="18"/>
  <c r="C121" i="18"/>
  <c r="I132" i="18"/>
  <c r="H132" i="18"/>
  <c r="G132" i="18"/>
  <c r="F132" i="18"/>
  <c r="E132" i="18"/>
  <c r="D132" i="18"/>
  <c r="C132" i="18"/>
  <c r="I131" i="18"/>
  <c r="H131" i="18"/>
  <c r="G131" i="18"/>
  <c r="F131" i="18"/>
  <c r="E131" i="18"/>
  <c r="D131" i="18"/>
  <c r="C131" i="18"/>
  <c r="I130" i="18"/>
  <c r="H130" i="18"/>
  <c r="G130" i="18"/>
  <c r="F130" i="18"/>
  <c r="E130" i="18"/>
  <c r="D130" i="18"/>
  <c r="C130" i="18"/>
  <c r="I129" i="18"/>
  <c r="H129" i="18"/>
  <c r="G129" i="18"/>
  <c r="F129" i="18"/>
  <c r="E129" i="18"/>
  <c r="D129" i="18"/>
  <c r="C129" i="18"/>
  <c r="I128" i="18"/>
  <c r="H128" i="18"/>
  <c r="G128" i="18"/>
  <c r="F128" i="18"/>
  <c r="E128" i="18"/>
  <c r="D128" i="18"/>
  <c r="C128" i="18"/>
  <c r="I127" i="18"/>
  <c r="G127" i="18"/>
  <c r="F127" i="18"/>
  <c r="E127" i="18"/>
  <c r="D127" i="18"/>
  <c r="C127" i="18"/>
  <c r="I126" i="18"/>
  <c r="H126" i="18"/>
  <c r="G126" i="18"/>
  <c r="F126" i="18"/>
  <c r="E126" i="18"/>
  <c r="D126" i="18"/>
  <c r="C126" i="18"/>
  <c r="I125" i="18"/>
  <c r="H125" i="18"/>
  <c r="G125" i="18"/>
  <c r="F125" i="18"/>
  <c r="E125" i="18"/>
  <c r="D125" i="18"/>
  <c r="C125" i="18"/>
  <c r="I124" i="18"/>
  <c r="H124" i="18"/>
  <c r="G124" i="18"/>
  <c r="F124" i="18"/>
  <c r="E124" i="18"/>
  <c r="D124" i="18"/>
  <c r="C124" i="18"/>
  <c r="I123" i="18"/>
  <c r="H123" i="18"/>
  <c r="G123" i="18"/>
  <c r="F123" i="18"/>
  <c r="E123" i="18"/>
  <c r="D123" i="18"/>
  <c r="C123" i="18"/>
  <c r="I122" i="18"/>
  <c r="H122" i="18"/>
  <c r="G122" i="18"/>
  <c r="F122" i="18"/>
  <c r="E122" i="18"/>
  <c r="D122" i="18"/>
  <c r="C122" i="18"/>
  <c r="I121" i="18"/>
  <c r="H121" i="18"/>
  <c r="G121" i="18"/>
  <c r="I120" i="18"/>
  <c r="H120" i="18"/>
  <c r="G120" i="18"/>
  <c r="F120" i="18"/>
  <c r="E120" i="18"/>
  <c r="D120" i="18"/>
  <c r="C120" i="18"/>
  <c r="I119" i="18"/>
  <c r="H119" i="18"/>
  <c r="G119" i="18"/>
  <c r="F119" i="18"/>
  <c r="E119" i="18"/>
  <c r="D119" i="18"/>
  <c r="I118" i="18"/>
  <c r="H118" i="18"/>
  <c r="G118" i="18"/>
  <c r="F118" i="18"/>
  <c r="E118" i="18"/>
  <c r="D118" i="18"/>
  <c r="C118" i="18"/>
  <c r="I117" i="18"/>
  <c r="H117" i="18"/>
  <c r="G117" i="18"/>
  <c r="F117" i="18"/>
  <c r="E117" i="18"/>
  <c r="D117" i="18"/>
  <c r="C117" i="18"/>
  <c r="I116" i="18"/>
  <c r="H116" i="18"/>
  <c r="G116" i="18"/>
  <c r="F116" i="18"/>
  <c r="E116" i="18"/>
  <c r="D116" i="18"/>
  <c r="C116" i="18"/>
  <c r="I115" i="18"/>
  <c r="H115" i="18"/>
  <c r="G115" i="18"/>
  <c r="F115" i="18"/>
  <c r="E115" i="18"/>
  <c r="D115" i="18"/>
  <c r="C115" i="18"/>
  <c r="I114" i="18"/>
  <c r="H114" i="18"/>
  <c r="G114" i="18"/>
  <c r="F114" i="18"/>
  <c r="E114" i="18"/>
  <c r="D114" i="18"/>
  <c r="C114" i="18"/>
  <c r="I113" i="18"/>
  <c r="H113" i="18"/>
  <c r="G113" i="18"/>
  <c r="F113" i="18"/>
  <c r="E113" i="18"/>
  <c r="D113" i="18"/>
  <c r="C113" i="18"/>
  <c r="I112" i="18"/>
  <c r="H112" i="18"/>
  <c r="G112" i="18"/>
  <c r="F112" i="18"/>
  <c r="E112" i="18"/>
  <c r="D112" i="18"/>
  <c r="C112" i="18"/>
  <c r="H111" i="18"/>
  <c r="G111" i="18"/>
  <c r="F111" i="18"/>
  <c r="E111" i="18"/>
  <c r="D111" i="18"/>
  <c r="C111" i="18"/>
  <c r="I110" i="18"/>
  <c r="H110" i="18"/>
  <c r="G110" i="18"/>
  <c r="F110" i="18"/>
  <c r="E110" i="18"/>
  <c r="D110" i="18"/>
  <c r="C110" i="18"/>
  <c r="I109" i="18"/>
  <c r="H109" i="18"/>
  <c r="G109" i="18"/>
  <c r="F109" i="18"/>
  <c r="E109" i="18"/>
  <c r="D109" i="18"/>
  <c r="C109" i="18"/>
  <c r="I108" i="18"/>
  <c r="H108" i="18"/>
  <c r="G108" i="18"/>
  <c r="F108" i="18"/>
  <c r="E108" i="18"/>
  <c r="D108" i="18"/>
  <c r="C108" i="18"/>
  <c r="I107" i="18"/>
  <c r="H107" i="18"/>
  <c r="G107" i="18"/>
  <c r="F107" i="18"/>
  <c r="E107" i="18"/>
  <c r="D107" i="18"/>
  <c r="C107" i="18"/>
  <c r="I106" i="18"/>
  <c r="H106" i="18"/>
  <c r="G106" i="18"/>
  <c r="F106" i="18"/>
  <c r="E106" i="18"/>
  <c r="D106" i="18"/>
  <c r="C106" i="18"/>
  <c r="I105" i="18"/>
  <c r="H105" i="18"/>
  <c r="G105" i="18"/>
  <c r="F105" i="18"/>
  <c r="E105" i="18"/>
  <c r="D105" i="18"/>
  <c r="C105" i="18"/>
  <c r="I104" i="18"/>
  <c r="H104" i="18"/>
  <c r="G104" i="18"/>
  <c r="F104" i="18"/>
  <c r="E104" i="18"/>
  <c r="D104" i="18"/>
  <c r="C104" i="18"/>
  <c r="I103" i="18"/>
  <c r="H103" i="18"/>
  <c r="G103" i="18"/>
  <c r="F103" i="18"/>
  <c r="E103" i="18"/>
  <c r="D103" i="18"/>
  <c r="C103" i="18"/>
  <c r="I102" i="18"/>
  <c r="H102" i="18"/>
  <c r="G102" i="18"/>
  <c r="F102" i="18"/>
  <c r="E102" i="18"/>
  <c r="D102" i="18"/>
  <c r="C102" i="18"/>
  <c r="I101" i="18"/>
  <c r="H101" i="18"/>
  <c r="G101" i="18"/>
  <c r="F101" i="18"/>
  <c r="E101" i="18"/>
  <c r="D101" i="18"/>
  <c r="C101" i="18"/>
  <c r="I100" i="18"/>
  <c r="H100" i="18"/>
  <c r="G100" i="18"/>
  <c r="F100" i="18"/>
  <c r="E100" i="18"/>
  <c r="D100" i="18"/>
  <c r="C100" i="18"/>
  <c r="I99" i="18"/>
  <c r="H99" i="18"/>
  <c r="G99" i="18"/>
  <c r="F99" i="18"/>
  <c r="E99" i="18"/>
  <c r="D99" i="18"/>
  <c r="C99" i="18"/>
  <c r="I98" i="18"/>
  <c r="H98" i="18"/>
  <c r="G98" i="18"/>
  <c r="F98" i="18"/>
  <c r="E98" i="18"/>
  <c r="D98" i="18"/>
  <c r="C98" i="18"/>
  <c r="I97" i="18"/>
  <c r="H97" i="18"/>
  <c r="G97" i="18"/>
  <c r="F97" i="18"/>
  <c r="E97" i="18"/>
  <c r="D97" i="18"/>
  <c r="C97" i="18"/>
  <c r="I96" i="18"/>
  <c r="H96" i="18"/>
  <c r="G96" i="18"/>
  <c r="F96" i="18"/>
  <c r="E96" i="18"/>
  <c r="D96" i="18"/>
  <c r="C96" i="18"/>
  <c r="I95" i="18"/>
  <c r="H95" i="18"/>
  <c r="G95" i="18"/>
  <c r="F95" i="18"/>
  <c r="E95" i="18"/>
  <c r="D95" i="18"/>
  <c r="C95" i="18"/>
  <c r="I94" i="18"/>
  <c r="H94" i="18"/>
  <c r="G94" i="18"/>
  <c r="F94" i="18"/>
  <c r="E94" i="18"/>
  <c r="D94" i="18"/>
  <c r="C94" i="18"/>
  <c r="I93" i="18"/>
  <c r="H93" i="18"/>
  <c r="G93" i="18"/>
  <c r="F93" i="18"/>
  <c r="E93" i="18"/>
  <c r="D93" i="18"/>
  <c r="C93" i="18"/>
  <c r="I92" i="18"/>
  <c r="H92" i="18"/>
  <c r="G92" i="18"/>
  <c r="F92" i="18"/>
  <c r="E92" i="18"/>
  <c r="D92" i="18"/>
  <c r="C92" i="18"/>
  <c r="I91" i="18"/>
  <c r="H91" i="18"/>
  <c r="G91" i="18"/>
  <c r="F91" i="18"/>
  <c r="E91" i="18"/>
  <c r="D91" i="18"/>
  <c r="C91" i="18"/>
  <c r="I90" i="18"/>
  <c r="H90" i="18"/>
  <c r="G90" i="18"/>
  <c r="F90" i="18"/>
  <c r="E90" i="18"/>
  <c r="D90" i="18"/>
  <c r="C90" i="18"/>
  <c r="I89" i="18"/>
  <c r="H89" i="18"/>
  <c r="G89" i="18"/>
  <c r="F89" i="18"/>
  <c r="E89" i="18"/>
  <c r="D89" i="18"/>
  <c r="C89" i="18"/>
  <c r="F199" i="1"/>
  <c r="E199" i="1"/>
  <c r="D199" i="1"/>
  <c r="C199" i="1"/>
  <c r="F198" i="1"/>
  <c r="E198" i="1"/>
  <c r="D198" i="1"/>
  <c r="C198" i="1"/>
  <c r="E197" i="1"/>
  <c r="D197" i="1"/>
  <c r="C197" i="1"/>
  <c r="H199" i="1"/>
  <c r="G199" i="1"/>
  <c r="H198" i="1"/>
  <c r="G198" i="1"/>
  <c r="H197" i="1"/>
  <c r="G197" i="1"/>
  <c r="H196" i="1"/>
  <c r="G196" i="1"/>
  <c r="F196" i="1"/>
  <c r="E196" i="1"/>
  <c r="D196" i="1"/>
  <c r="C196" i="1"/>
  <c r="D195" i="1"/>
  <c r="D194" i="1"/>
  <c r="D193" i="1"/>
  <c r="D192" i="1"/>
  <c r="D191" i="1"/>
  <c r="D190" i="1"/>
  <c r="D189" i="1"/>
  <c r="D188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C195" i="1"/>
  <c r="C194" i="1"/>
  <c r="C193" i="1"/>
  <c r="C192" i="1"/>
  <c r="C191" i="1"/>
  <c r="C190" i="1"/>
  <c r="C189" i="1"/>
  <c r="C188" i="1"/>
  <c r="H149" i="1"/>
  <c r="G149" i="1"/>
  <c r="F149" i="1"/>
  <c r="E149" i="1"/>
  <c r="D149" i="1"/>
  <c r="C149" i="1"/>
  <c r="C148" i="1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I83" i="12"/>
  <c r="H83" i="12"/>
  <c r="G83" i="12"/>
  <c r="I82" i="12"/>
  <c r="H82" i="12"/>
  <c r="G82" i="12"/>
  <c r="I81" i="12"/>
  <c r="H81" i="12"/>
  <c r="G81" i="12"/>
  <c r="I80" i="12"/>
  <c r="H80" i="12"/>
  <c r="G80" i="12"/>
  <c r="I79" i="12"/>
  <c r="H79" i="12"/>
  <c r="G79" i="12"/>
  <c r="I78" i="12"/>
  <c r="H78" i="12"/>
  <c r="G78" i="12"/>
  <c r="I77" i="12"/>
  <c r="H77" i="12"/>
  <c r="G77" i="12"/>
  <c r="I76" i="12"/>
  <c r="H76" i="12"/>
  <c r="G76" i="12"/>
  <c r="I75" i="12"/>
  <c r="H75" i="12"/>
  <c r="G75" i="12"/>
  <c r="I74" i="12"/>
  <c r="G74" i="12"/>
  <c r="W136" i="1" l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X208" i="1" l="1"/>
  <c r="X207" i="1"/>
  <c r="X206" i="1"/>
  <c r="X211" i="1"/>
  <c r="X210" i="1"/>
  <c r="X209" i="1"/>
  <c r="X205" i="1" l="1"/>
  <c r="X28" i="18" l="1"/>
  <c r="W62" i="12" l="1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A42" i="1"/>
  <c r="A25" i="18"/>
  <c r="X233" i="1" l="1"/>
  <c r="X237" i="1"/>
  <c r="X241" i="1"/>
  <c r="X245" i="1"/>
  <c r="X244" i="1"/>
  <c r="X240" i="1"/>
  <c r="X248" i="1"/>
  <c r="X231" i="1"/>
  <c r="X235" i="1"/>
  <c r="X239" i="1"/>
  <c r="X243" i="1"/>
  <c r="X247" i="1"/>
  <c r="X232" i="1"/>
  <c r="X236" i="1"/>
  <c r="X230" i="1"/>
  <c r="X234" i="1"/>
  <c r="X238" i="1"/>
  <c r="X242" i="1"/>
  <c r="X246" i="1"/>
  <c r="A248" i="1" l="1"/>
  <c r="B248" i="1" s="1"/>
  <c r="A247" i="1"/>
  <c r="B247" i="1" s="1"/>
  <c r="A246" i="1"/>
  <c r="B246" i="1" s="1"/>
  <c r="A245" i="1"/>
  <c r="B245" i="1" s="1"/>
  <c r="A244" i="1"/>
  <c r="B244" i="1" s="1"/>
  <c r="A243" i="1"/>
  <c r="B243" i="1" s="1"/>
  <c r="A242" i="1"/>
  <c r="B242" i="1" s="1"/>
  <c r="A241" i="1"/>
  <c r="B241" i="1" s="1"/>
  <c r="A103" i="1"/>
  <c r="A102" i="1"/>
  <c r="A101" i="1"/>
  <c r="A100" i="1"/>
  <c r="A99" i="1" l="1"/>
  <c r="A98" i="1"/>
  <c r="A97" i="1"/>
  <c r="A96" i="1"/>
  <c r="A95" i="1"/>
  <c r="A94" i="1"/>
  <c r="A93" i="1"/>
  <c r="A92" i="1"/>
  <c r="W145" i="18" l="1"/>
  <c r="V145" i="18"/>
  <c r="U145" i="18"/>
  <c r="T145" i="18"/>
  <c r="S145" i="18"/>
  <c r="R145" i="18"/>
  <c r="Q145" i="18"/>
  <c r="P145" i="18"/>
  <c r="O145" i="18"/>
  <c r="N145" i="18"/>
  <c r="M145" i="18"/>
  <c r="L145" i="18"/>
  <c r="K145" i="18"/>
  <c r="J145" i="18"/>
  <c r="A145" i="18"/>
  <c r="B145" i="18" s="1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A144" i="18"/>
  <c r="B144" i="18" s="1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A143" i="18"/>
  <c r="B143" i="18" s="1"/>
  <c r="W142" i="18"/>
  <c r="V142" i="18"/>
  <c r="U142" i="18"/>
  <c r="T142" i="18"/>
  <c r="S142" i="18"/>
  <c r="Q142" i="18"/>
  <c r="P142" i="18"/>
  <c r="O142" i="18"/>
  <c r="N142" i="18"/>
  <c r="M142" i="18"/>
  <c r="L142" i="18"/>
  <c r="K142" i="18"/>
  <c r="J142" i="18"/>
  <c r="A142" i="18"/>
  <c r="B142" i="18" s="1"/>
  <c r="W141" i="18"/>
  <c r="V141" i="18"/>
  <c r="U141" i="18"/>
  <c r="T141" i="18"/>
  <c r="S141" i="18"/>
  <c r="Q141" i="18"/>
  <c r="P141" i="18"/>
  <c r="O141" i="18"/>
  <c r="N141" i="18"/>
  <c r="M141" i="18"/>
  <c r="L141" i="18"/>
  <c r="K141" i="18"/>
  <c r="J141" i="18"/>
  <c r="A141" i="18"/>
  <c r="B141" i="18" s="1"/>
  <c r="W140" i="18"/>
  <c r="V140" i="18"/>
  <c r="U140" i="18"/>
  <c r="T140" i="18"/>
  <c r="S140" i="18"/>
  <c r="Q140" i="18"/>
  <c r="P140" i="18"/>
  <c r="O140" i="18"/>
  <c r="N140" i="18"/>
  <c r="M140" i="18"/>
  <c r="L140" i="18"/>
  <c r="K140" i="18"/>
  <c r="J140" i="18"/>
  <c r="A140" i="18"/>
  <c r="B140" i="18" s="1"/>
  <c r="W139" i="18"/>
  <c r="V139" i="18"/>
  <c r="U139" i="18"/>
  <c r="T139" i="18"/>
  <c r="S139" i="18"/>
  <c r="Q139" i="18"/>
  <c r="P139" i="18"/>
  <c r="O139" i="18"/>
  <c r="N139" i="18"/>
  <c r="M139" i="18"/>
  <c r="L139" i="18"/>
  <c r="K139" i="18"/>
  <c r="J139" i="18"/>
  <c r="A139" i="18"/>
  <c r="B139" i="18" s="1"/>
  <c r="X140" i="18" l="1"/>
  <c r="X139" i="18"/>
  <c r="X143" i="18"/>
  <c r="X141" i="18"/>
  <c r="X144" i="18"/>
  <c r="X142" i="18"/>
  <c r="X145" i="18"/>
  <c r="W138" i="18"/>
  <c r="V138" i="18"/>
  <c r="U138" i="18"/>
  <c r="T138" i="18"/>
  <c r="S138" i="18"/>
  <c r="Q138" i="18"/>
  <c r="P138" i="18"/>
  <c r="N138" i="18"/>
  <c r="M138" i="18"/>
  <c r="L138" i="18"/>
  <c r="K138" i="18"/>
  <c r="J138" i="18"/>
  <c r="W137" i="18"/>
  <c r="V137" i="18"/>
  <c r="U137" i="18"/>
  <c r="T137" i="18"/>
  <c r="S137" i="18"/>
  <c r="R137" i="18"/>
  <c r="Q137" i="18"/>
  <c r="P137" i="18"/>
  <c r="N137" i="18"/>
  <c r="M137" i="18"/>
  <c r="L137" i="18"/>
  <c r="K137" i="18"/>
  <c r="J137" i="18"/>
  <c r="W136" i="18"/>
  <c r="V136" i="18"/>
  <c r="U136" i="18"/>
  <c r="T136" i="18"/>
  <c r="S136" i="18"/>
  <c r="R136" i="18"/>
  <c r="Q136" i="18"/>
  <c r="P136" i="18"/>
  <c r="O136" i="18"/>
  <c r="N136" i="18"/>
  <c r="M136" i="18"/>
  <c r="L136" i="18"/>
  <c r="K136" i="18"/>
  <c r="J136" i="18"/>
  <c r="W135" i="18"/>
  <c r="V135" i="18"/>
  <c r="U135" i="18"/>
  <c r="T135" i="18"/>
  <c r="S135" i="18"/>
  <c r="R135" i="18"/>
  <c r="Q135" i="18"/>
  <c r="P135" i="18"/>
  <c r="O135" i="18"/>
  <c r="N135" i="18"/>
  <c r="M135" i="18"/>
  <c r="L135" i="18"/>
  <c r="K135" i="18"/>
  <c r="J135" i="18"/>
  <c r="A138" i="18"/>
  <c r="B138" i="18" s="1"/>
  <c r="A137" i="18"/>
  <c r="B137" i="18" s="1"/>
  <c r="A136" i="18"/>
  <c r="B136" i="18" s="1"/>
  <c r="A135" i="18"/>
  <c r="B135" i="18" s="1"/>
  <c r="X138" i="18" l="1"/>
  <c r="X136" i="18"/>
  <c r="X135" i="18"/>
  <c r="X137" i="18"/>
  <c r="W134" i="18" l="1"/>
  <c r="V134" i="18"/>
  <c r="U134" i="18"/>
  <c r="T134" i="18"/>
  <c r="S134" i="18"/>
  <c r="R134" i="18"/>
  <c r="Q134" i="18"/>
  <c r="P134" i="18"/>
  <c r="O134" i="18"/>
  <c r="N134" i="18"/>
  <c r="M134" i="18"/>
  <c r="L134" i="18"/>
  <c r="K134" i="18"/>
  <c r="J134" i="18"/>
  <c r="A134" i="18"/>
  <c r="B134" i="18" s="1"/>
  <c r="X134" i="18" l="1"/>
  <c r="W81" i="14" l="1"/>
  <c r="V81" i="14"/>
  <c r="U81" i="14"/>
  <c r="T81" i="14"/>
  <c r="S81" i="14"/>
  <c r="R81" i="14"/>
  <c r="Q81" i="14"/>
  <c r="W80" i="14"/>
  <c r="V80" i="14"/>
  <c r="U80" i="14"/>
  <c r="T80" i="14"/>
  <c r="S80" i="14"/>
  <c r="R80" i="14"/>
  <c r="Q80" i="14"/>
  <c r="W79" i="14"/>
  <c r="V79" i="14"/>
  <c r="U79" i="14"/>
  <c r="T79" i="14"/>
  <c r="S79" i="14"/>
  <c r="R79" i="14"/>
  <c r="Q79" i="14"/>
  <c r="W78" i="14"/>
  <c r="V78" i="14"/>
  <c r="U78" i="14"/>
  <c r="T78" i="14"/>
  <c r="S78" i="14"/>
  <c r="R78" i="14"/>
  <c r="Q78" i="14"/>
  <c r="W77" i="14"/>
  <c r="V77" i="14"/>
  <c r="U77" i="14"/>
  <c r="T77" i="14"/>
  <c r="S77" i="14"/>
  <c r="R77" i="14"/>
  <c r="Q77" i="14"/>
  <c r="W76" i="14"/>
  <c r="V76" i="14"/>
  <c r="U76" i="14"/>
  <c r="T76" i="14"/>
  <c r="S76" i="14"/>
  <c r="R76" i="14"/>
  <c r="Q76" i="14"/>
  <c r="W75" i="14"/>
  <c r="V75" i="14"/>
  <c r="U75" i="14"/>
  <c r="T75" i="14"/>
  <c r="S75" i="14"/>
  <c r="R75" i="14"/>
  <c r="Q75" i="14"/>
  <c r="W74" i="14"/>
  <c r="V74" i="14"/>
  <c r="U74" i="14"/>
  <c r="T74" i="14"/>
  <c r="S74" i="14"/>
  <c r="R74" i="14"/>
  <c r="Q74" i="14"/>
  <c r="W73" i="14"/>
  <c r="V73" i="14"/>
  <c r="U73" i="14"/>
  <c r="T73" i="14"/>
  <c r="S73" i="14"/>
  <c r="R73" i="14"/>
  <c r="Q73" i="14"/>
  <c r="W72" i="14"/>
  <c r="V72" i="14"/>
  <c r="U72" i="14"/>
  <c r="T72" i="14"/>
  <c r="S72" i="14"/>
  <c r="R72" i="14"/>
  <c r="Q72" i="14"/>
  <c r="P81" i="14"/>
  <c r="O81" i="14"/>
  <c r="N81" i="14"/>
  <c r="M81" i="14"/>
  <c r="L81" i="14"/>
  <c r="K81" i="14"/>
  <c r="P80" i="14"/>
  <c r="O80" i="14"/>
  <c r="N80" i="14"/>
  <c r="M80" i="14"/>
  <c r="L80" i="14"/>
  <c r="K80" i="14"/>
  <c r="P79" i="14"/>
  <c r="O79" i="14"/>
  <c r="N79" i="14"/>
  <c r="M79" i="14"/>
  <c r="L79" i="14"/>
  <c r="K79" i="14"/>
  <c r="P78" i="14"/>
  <c r="O78" i="14"/>
  <c r="N78" i="14"/>
  <c r="M78" i="14"/>
  <c r="L78" i="14"/>
  <c r="K78" i="14"/>
  <c r="P77" i="14"/>
  <c r="O77" i="14"/>
  <c r="N77" i="14"/>
  <c r="M77" i="14"/>
  <c r="L77" i="14"/>
  <c r="K77" i="14"/>
  <c r="P76" i="14"/>
  <c r="O76" i="14"/>
  <c r="N76" i="14"/>
  <c r="M76" i="14"/>
  <c r="L76" i="14"/>
  <c r="K76" i="14"/>
  <c r="P75" i="14"/>
  <c r="O75" i="14"/>
  <c r="N75" i="14"/>
  <c r="M75" i="14"/>
  <c r="L75" i="14"/>
  <c r="K75" i="14"/>
  <c r="P74" i="14"/>
  <c r="O74" i="14"/>
  <c r="N74" i="14"/>
  <c r="M74" i="14"/>
  <c r="L74" i="14"/>
  <c r="K74" i="14"/>
  <c r="P73" i="14"/>
  <c r="O73" i="14"/>
  <c r="N73" i="14"/>
  <c r="M73" i="14"/>
  <c r="L73" i="14"/>
  <c r="K73" i="14"/>
  <c r="P72" i="14"/>
  <c r="O72" i="14"/>
  <c r="N72" i="14"/>
  <c r="M72" i="14"/>
  <c r="L72" i="14"/>
  <c r="K72" i="14"/>
  <c r="J81" i="14"/>
  <c r="J80" i="14"/>
  <c r="J79" i="14"/>
  <c r="J78" i="14"/>
  <c r="J77" i="14"/>
  <c r="J76" i="14"/>
  <c r="J75" i="14"/>
  <c r="J74" i="14"/>
  <c r="J73" i="14"/>
  <c r="J72" i="14"/>
  <c r="I81" i="14"/>
  <c r="I80" i="14"/>
  <c r="I79" i="14"/>
  <c r="I78" i="14"/>
  <c r="I77" i="14"/>
  <c r="I76" i="14"/>
  <c r="I75" i="14"/>
  <c r="I74" i="14"/>
  <c r="I73" i="14"/>
  <c r="I72" i="14"/>
  <c r="X13" i="12"/>
  <c r="X12" i="12"/>
  <c r="X11" i="12"/>
  <c r="X10" i="12"/>
  <c r="X9" i="12"/>
  <c r="X8" i="12"/>
  <c r="X7" i="12"/>
  <c r="X6" i="12"/>
  <c r="W133" i="18"/>
  <c r="V133" i="18"/>
  <c r="U133" i="18"/>
  <c r="T133" i="18"/>
  <c r="S133" i="18"/>
  <c r="R133" i="18"/>
  <c r="Q133" i="18"/>
  <c r="W132" i="18"/>
  <c r="V132" i="18"/>
  <c r="U132" i="18"/>
  <c r="T132" i="18"/>
  <c r="S132" i="18"/>
  <c r="R132" i="18"/>
  <c r="Q132" i="18"/>
  <c r="W131" i="18"/>
  <c r="V131" i="18"/>
  <c r="U131" i="18"/>
  <c r="T131" i="18"/>
  <c r="S131" i="18"/>
  <c r="R131" i="18"/>
  <c r="Q131" i="18"/>
  <c r="W130" i="18"/>
  <c r="V130" i="18"/>
  <c r="U130" i="18"/>
  <c r="T130" i="18"/>
  <c r="S130" i="18"/>
  <c r="R130" i="18"/>
  <c r="Q130" i="18"/>
  <c r="W129" i="18"/>
  <c r="V129" i="18"/>
  <c r="U129" i="18"/>
  <c r="T129" i="18"/>
  <c r="S129" i="18"/>
  <c r="R129" i="18"/>
  <c r="Q129" i="18"/>
  <c r="W128" i="18"/>
  <c r="V128" i="18"/>
  <c r="U128" i="18"/>
  <c r="T128" i="18"/>
  <c r="S128" i="18"/>
  <c r="R128" i="18"/>
  <c r="Q128" i="18"/>
  <c r="W127" i="18"/>
  <c r="V127" i="18"/>
  <c r="U127" i="18"/>
  <c r="T127" i="18"/>
  <c r="S127" i="18"/>
  <c r="R127" i="18"/>
  <c r="Q127" i="18"/>
  <c r="W126" i="18"/>
  <c r="V126" i="18"/>
  <c r="U126" i="18"/>
  <c r="T126" i="18"/>
  <c r="S126" i="18"/>
  <c r="R126" i="18"/>
  <c r="Q126" i="18"/>
  <c r="W125" i="18"/>
  <c r="V125" i="18"/>
  <c r="U125" i="18"/>
  <c r="T125" i="18"/>
  <c r="S125" i="18"/>
  <c r="R125" i="18"/>
  <c r="Q125" i="18"/>
  <c r="W124" i="18"/>
  <c r="V124" i="18"/>
  <c r="U124" i="18"/>
  <c r="T124" i="18"/>
  <c r="S124" i="18"/>
  <c r="R124" i="18"/>
  <c r="Q124" i="18"/>
  <c r="W123" i="18"/>
  <c r="V123" i="18"/>
  <c r="U123" i="18"/>
  <c r="T123" i="18"/>
  <c r="S123" i="18"/>
  <c r="R123" i="18"/>
  <c r="Q123" i="18"/>
  <c r="W122" i="18"/>
  <c r="V122" i="18"/>
  <c r="U122" i="18"/>
  <c r="T122" i="18"/>
  <c r="S122" i="18"/>
  <c r="R122" i="18"/>
  <c r="Q122" i="18"/>
  <c r="W121" i="18"/>
  <c r="V121" i="18"/>
  <c r="U121" i="18"/>
  <c r="T121" i="18"/>
  <c r="S121" i="18"/>
  <c r="R121" i="18"/>
  <c r="Q121" i="18"/>
  <c r="W120" i="18"/>
  <c r="V120" i="18"/>
  <c r="U120" i="18"/>
  <c r="T120" i="18"/>
  <c r="S120" i="18"/>
  <c r="R120" i="18"/>
  <c r="Q120" i="18"/>
  <c r="W119" i="18"/>
  <c r="V119" i="18"/>
  <c r="U119" i="18"/>
  <c r="T119" i="18"/>
  <c r="S119" i="18"/>
  <c r="R119" i="18"/>
  <c r="Q119" i="18"/>
  <c r="W118" i="18"/>
  <c r="V118" i="18"/>
  <c r="U118" i="18"/>
  <c r="T118" i="18"/>
  <c r="S118" i="18"/>
  <c r="R118" i="18"/>
  <c r="Q118" i="18"/>
  <c r="W117" i="18"/>
  <c r="V117" i="18"/>
  <c r="U117" i="18"/>
  <c r="T117" i="18"/>
  <c r="S117" i="18"/>
  <c r="R117" i="18"/>
  <c r="Q117" i="18"/>
  <c r="W116" i="18"/>
  <c r="V116" i="18"/>
  <c r="U116" i="18"/>
  <c r="T116" i="18"/>
  <c r="S116" i="18"/>
  <c r="R116" i="18"/>
  <c r="Q116" i="18"/>
  <c r="W115" i="18"/>
  <c r="V115" i="18"/>
  <c r="U115" i="18"/>
  <c r="T115" i="18"/>
  <c r="S115" i="18"/>
  <c r="R115" i="18"/>
  <c r="Q115" i="18"/>
  <c r="W114" i="18"/>
  <c r="V114" i="18"/>
  <c r="U114" i="18"/>
  <c r="T114" i="18"/>
  <c r="S114" i="18"/>
  <c r="R114" i="18"/>
  <c r="Q114" i="18"/>
  <c r="W113" i="18"/>
  <c r="V113" i="18"/>
  <c r="U113" i="18"/>
  <c r="T113" i="18"/>
  <c r="S113" i="18"/>
  <c r="R113" i="18"/>
  <c r="Q113" i="18"/>
  <c r="W112" i="18"/>
  <c r="V112" i="18"/>
  <c r="U112" i="18"/>
  <c r="T112" i="18"/>
  <c r="S112" i="18"/>
  <c r="R112" i="18"/>
  <c r="Q112" i="18"/>
  <c r="W111" i="18"/>
  <c r="V111" i="18"/>
  <c r="U111" i="18"/>
  <c r="T111" i="18"/>
  <c r="S111" i="18"/>
  <c r="R111" i="18"/>
  <c r="Q111" i="18"/>
  <c r="P133" i="18"/>
  <c r="O133" i="18"/>
  <c r="N133" i="18"/>
  <c r="M133" i="18"/>
  <c r="L133" i="18"/>
  <c r="K133" i="18"/>
  <c r="J133" i="18"/>
  <c r="P132" i="18"/>
  <c r="O132" i="18"/>
  <c r="N132" i="18"/>
  <c r="M132" i="18"/>
  <c r="L132" i="18"/>
  <c r="K132" i="18"/>
  <c r="J132" i="18"/>
  <c r="P131" i="18"/>
  <c r="O131" i="18"/>
  <c r="N131" i="18"/>
  <c r="M131" i="18"/>
  <c r="L131" i="18"/>
  <c r="K131" i="18"/>
  <c r="J131" i="18"/>
  <c r="P130" i="18"/>
  <c r="O130" i="18"/>
  <c r="N130" i="18"/>
  <c r="M130" i="18"/>
  <c r="L130" i="18"/>
  <c r="K130" i="18"/>
  <c r="J130" i="18"/>
  <c r="P129" i="18"/>
  <c r="O129" i="18"/>
  <c r="N129" i="18"/>
  <c r="M129" i="18"/>
  <c r="L129" i="18"/>
  <c r="K129" i="18"/>
  <c r="J129" i="18"/>
  <c r="P128" i="18"/>
  <c r="O128" i="18"/>
  <c r="N128" i="18"/>
  <c r="M128" i="18"/>
  <c r="L128" i="18"/>
  <c r="K128" i="18"/>
  <c r="J128" i="18"/>
  <c r="P127" i="18"/>
  <c r="O127" i="18"/>
  <c r="N127" i="18"/>
  <c r="M127" i="18"/>
  <c r="L127" i="18"/>
  <c r="K127" i="18"/>
  <c r="J127" i="18"/>
  <c r="P126" i="18"/>
  <c r="O126" i="18"/>
  <c r="N126" i="18"/>
  <c r="M126" i="18"/>
  <c r="L126" i="18"/>
  <c r="K126" i="18"/>
  <c r="J126" i="18"/>
  <c r="P125" i="18"/>
  <c r="O125" i="18"/>
  <c r="N125" i="18"/>
  <c r="M125" i="18"/>
  <c r="L125" i="18"/>
  <c r="K125" i="18"/>
  <c r="J125" i="18"/>
  <c r="P124" i="18"/>
  <c r="O124" i="18"/>
  <c r="N124" i="18"/>
  <c r="M124" i="18"/>
  <c r="L124" i="18"/>
  <c r="K124" i="18"/>
  <c r="J124" i="18"/>
  <c r="P123" i="18"/>
  <c r="O123" i="18"/>
  <c r="N123" i="18"/>
  <c r="M123" i="18"/>
  <c r="L123" i="18"/>
  <c r="K123" i="18"/>
  <c r="J123" i="18"/>
  <c r="P122" i="18"/>
  <c r="O122" i="18"/>
  <c r="N122" i="18"/>
  <c r="M122" i="18"/>
  <c r="L122" i="18"/>
  <c r="K122" i="18"/>
  <c r="J122" i="18"/>
  <c r="P121" i="18"/>
  <c r="O121" i="18"/>
  <c r="N121" i="18"/>
  <c r="M121" i="18"/>
  <c r="L121" i="18"/>
  <c r="K121" i="18"/>
  <c r="J121" i="18"/>
  <c r="P120" i="18"/>
  <c r="O120" i="18"/>
  <c r="N120" i="18"/>
  <c r="M120" i="18"/>
  <c r="L120" i="18"/>
  <c r="K120" i="18"/>
  <c r="J120" i="18"/>
  <c r="P119" i="18"/>
  <c r="O119" i="18"/>
  <c r="N119" i="18"/>
  <c r="M119" i="18"/>
  <c r="L119" i="18"/>
  <c r="K119" i="18"/>
  <c r="J119" i="18"/>
  <c r="P118" i="18"/>
  <c r="O118" i="18"/>
  <c r="N118" i="18"/>
  <c r="M118" i="18"/>
  <c r="L118" i="18"/>
  <c r="K118" i="18"/>
  <c r="J118" i="18"/>
  <c r="P117" i="18"/>
  <c r="O117" i="18"/>
  <c r="N117" i="18"/>
  <c r="M117" i="18"/>
  <c r="L117" i="18"/>
  <c r="K117" i="18"/>
  <c r="J117" i="18"/>
  <c r="P116" i="18"/>
  <c r="O116" i="18"/>
  <c r="N116" i="18"/>
  <c r="M116" i="18"/>
  <c r="L116" i="18"/>
  <c r="K116" i="18"/>
  <c r="J116" i="18"/>
  <c r="P115" i="18"/>
  <c r="O115" i="18"/>
  <c r="N115" i="18"/>
  <c r="M115" i="18"/>
  <c r="L115" i="18"/>
  <c r="K115" i="18"/>
  <c r="J115" i="18"/>
  <c r="P114" i="18"/>
  <c r="O114" i="18"/>
  <c r="N114" i="18"/>
  <c r="M114" i="18"/>
  <c r="L114" i="18"/>
  <c r="K114" i="18"/>
  <c r="J114" i="18"/>
  <c r="P113" i="18"/>
  <c r="O113" i="18"/>
  <c r="N113" i="18"/>
  <c r="L113" i="18"/>
  <c r="K113" i="18"/>
  <c r="J113" i="18"/>
  <c r="P112" i="18"/>
  <c r="O112" i="18"/>
  <c r="N112" i="18"/>
  <c r="M112" i="18"/>
  <c r="L112" i="18"/>
  <c r="K112" i="18"/>
  <c r="J112" i="18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X156" i="1" l="1"/>
  <c r="X164" i="1"/>
  <c r="X172" i="1"/>
  <c r="X180" i="1"/>
  <c r="X155" i="1"/>
  <c r="X163" i="1"/>
  <c r="X171" i="1"/>
  <c r="X179" i="1"/>
  <c r="X187" i="1"/>
  <c r="X162" i="1"/>
  <c r="X153" i="1"/>
  <c r="X152" i="1"/>
  <c r="X160" i="1"/>
  <c r="X168" i="1"/>
  <c r="X176" i="1"/>
  <c r="X184" i="1"/>
  <c r="X154" i="1"/>
  <c r="X178" i="1"/>
  <c r="X161" i="1"/>
  <c r="X177" i="1"/>
  <c r="X151" i="1"/>
  <c r="X159" i="1"/>
  <c r="X167" i="1"/>
  <c r="X175" i="1"/>
  <c r="X183" i="1"/>
  <c r="X169" i="1"/>
  <c r="X150" i="1"/>
  <c r="X158" i="1"/>
  <c r="X166" i="1"/>
  <c r="X174" i="1"/>
  <c r="X182" i="1"/>
  <c r="X170" i="1"/>
  <c r="X157" i="1"/>
  <c r="X165" i="1"/>
  <c r="X173" i="1"/>
  <c r="X181" i="1"/>
  <c r="A240" i="1" l="1"/>
  <c r="B240" i="1" s="1"/>
  <c r="A239" i="1"/>
  <c r="B239" i="1" s="1"/>
  <c r="A238" i="1"/>
  <c r="B238" i="1" s="1"/>
  <c r="A237" i="1"/>
  <c r="B237" i="1" s="1"/>
  <c r="A236" i="1"/>
  <c r="B236" i="1" s="1"/>
  <c r="A235" i="1"/>
  <c r="B235" i="1" s="1"/>
  <c r="A234" i="1"/>
  <c r="B234" i="1" s="1"/>
  <c r="A233" i="1"/>
  <c r="B233" i="1" s="1"/>
  <c r="A232" i="1"/>
  <c r="B232" i="1" s="1"/>
  <c r="A231" i="1"/>
  <c r="B231" i="1" s="1"/>
  <c r="A230" i="1"/>
  <c r="B230" i="1" s="1"/>
  <c r="A229" i="1"/>
  <c r="B229" i="1" s="1"/>
  <c r="A228" i="1"/>
  <c r="B228" i="1" s="1"/>
  <c r="A227" i="1"/>
  <c r="B227" i="1" s="1"/>
  <c r="A226" i="1"/>
  <c r="B226" i="1" s="1"/>
  <c r="A225" i="1"/>
  <c r="B225" i="1" s="1"/>
  <c r="A224" i="1"/>
  <c r="B224" i="1" s="1"/>
  <c r="A13" i="12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W110" i="18"/>
  <c r="V110" i="18"/>
  <c r="U110" i="18"/>
  <c r="T110" i="18"/>
  <c r="S110" i="18"/>
  <c r="R110" i="18"/>
  <c r="W109" i="18"/>
  <c r="V109" i="18"/>
  <c r="U109" i="18"/>
  <c r="T109" i="18"/>
  <c r="S109" i="18"/>
  <c r="R109" i="18"/>
  <c r="W108" i="18"/>
  <c r="V108" i="18"/>
  <c r="U108" i="18"/>
  <c r="T108" i="18"/>
  <c r="S108" i="18"/>
  <c r="R108" i="18"/>
  <c r="W107" i="18"/>
  <c r="V107" i="18"/>
  <c r="U107" i="18"/>
  <c r="T107" i="18"/>
  <c r="S107" i="18"/>
  <c r="R107" i="18"/>
  <c r="W106" i="18"/>
  <c r="V106" i="18"/>
  <c r="U106" i="18"/>
  <c r="T106" i="18"/>
  <c r="S106" i="18"/>
  <c r="R106" i="18"/>
  <c r="W105" i="18"/>
  <c r="V105" i="18"/>
  <c r="U105" i="18"/>
  <c r="T105" i="18"/>
  <c r="S105" i="18"/>
  <c r="R105" i="18"/>
  <c r="W104" i="18"/>
  <c r="V104" i="18"/>
  <c r="U104" i="18"/>
  <c r="T104" i="18"/>
  <c r="S104" i="18"/>
  <c r="R104" i="18"/>
  <c r="W103" i="18"/>
  <c r="V103" i="18"/>
  <c r="U103" i="18"/>
  <c r="T103" i="18"/>
  <c r="S103" i="18"/>
  <c r="R103" i="18"/>
  <c r="W102" i="18"/>
  <c r="V102" i="18"/>
  <c r="U102" i="18"/>
  <c r="T102" i="18"/>
  <c r="S102" i="18"/>
  <c r="R102" i="18"/>
  <c r="W101" i="18"/>
  <c r="V101" i="18"/>
  <c r="U101" i="18"/>
  <c r="T101" i="18"/>
  <c r="S101" i="18"/>
  <c r="R101" i="18"/>
  <c r="W100" i="18"/>
  <c r="V100" i="18"/>
  <c r="U100" i="18"/>
  <c r="T100" i="18"/>
  <c r="S100" i="18"/>
  <c r="R100" i="18"/>
  <c r="W99" i="18"/>
  <c r="V99" i="18"/>
  <c r="U99" i="18"/>
  <c r="T99" i="18"/>
  <c r="S99" i="18"/>
  <c r="R99" i="18"/>
  <c r="W98" i="18"/>
  <c r="V98" i="18"/>
  <c r="U98" i="18"/>
  <c r="T98" i="18"/>
  <c r="S98" i="18"/>
  <c r="R98" i="18"/>
  <c r="W97" i="18"/>
  <c r="V97" i="18"/>
  <c r="U97" i="18"/>
  <c r="T97" i="18"/>
  <c r="S97" i="18"/>
  <c r="R97" i="18"/>
  <c r="W96" i="18"/>
  <c r="V96" i="18"/>
  <c r="U96" i="18"/>
  <c r="T96" i="18"/>
  <c r="S96" i="18"/>
  <c r="R96" i="18"/>
  <c r="W95" i="18"/>
  <c r="V95" i="18"/>
  <c r="U95" i="18"/>
  <c r="T95" i="18"/>
  <c r="S95" i="18"/>
  <c r="R95" i="18"/>
  <c r="W94" i="18"/>
  <c r="V94" i="18"/>
  <c r="U94" i="18"/>
  <c r="T94" i="18"/>
  <c r="S94" i="18"/>
  <c r="R94" i="18"/>
  <c r="W93" i="18"/>
  <c r="V93" i="18"/>
  <c r="U93" i="18"/>
  <c r="T93" i="18"/>
  <c r="S93" i="18"/>
  <c r="R93" i="18"/>
  <c r="W92" i="18"/>
  <c r="V92" i="18"/>
  <c r="U92" i="18"/>
  <c r="T92" i="18"/>
  <c r="S92" i="18"/>
  <c r="R92" i="18"/>
  <c r="W91" i="18"/>
  <c r="V91" i="18"/>
  <c r="U91" i="18"/>
  <c r="T91" i="18"/>
  <c r="S91" i="18"/>
  <c r="R91" i="18"/>
  <c r="W90" i="18"/>
  <c r="V90" i="18"/>
  <c r="U90" i="18"/>
  <c r="T90" i="18"/>
  <c r="S90" i="18"/>
  <c r="R90" i="18"/>
  <c r="W89" i="18"/>
  <c r="V89" i="18"/>
  <c r="U89" i="18"/>
  <c r="T89" i="18"/>
  <c r="S89" i="18"/>
  <c r="R89" i="18"/>
  <c r="Q110" i="18"/>
  <c r="Q109" i="18"/>
  <c r="Q108" i="18"/>
  <c r="Q107" i="18"/>
  <c r="Q106" i="18"/>
  <c r="Q105" i="18"/>
  <c r="Q104" i="18"/>
  <c r="Q103" i="18"/>
  <c r="Q102" i="18"/>
  <c r="Q101" i="18"/>
  <c r="Q100" i="18"/>
  <c r="Q99" i="18"/>
  <c r="Q98" i="18"/>
  <c r="Q97" i="18"/>
  <c r="Q96" i="18"/>
  <c r="Q95" i="18"/>
  <c r="Q94" i="18"/>
  <c r="Q93" i="18"/>
  <c r="Q92" i="18"/>
  <c r="Q91" i="18"/>
  <c r="Q90" i="18"/>
  <c r="Q89" i="18"/>
  <c r="P110" i="18"/>
  <c r="O110" i="18"/>
  <c r="N110" i="18"/>
  <c r="M110" i="18"/>
  <c r="L110" i="18"/>
  <c r="K110" i="18"/>
  <c r="P109" i="18"/>
  <c r="O109" i="18"/>
  <c r="N109" i="18"/>
  <c r="M109" i="18"/>
  <c r="L109" i="18"/>
  <c r="K109" i="18"/>
  <c r="P108" i="18"/>
  <c r="O108" i="18"/>
  <c r="N108" i="18"/>
  <c r="M108" i="18"/>
  <c r="L108" i="18"/>
  <c r="K108" i="18"/>
  <c r="P107" i="18"/>
  <c r="O107" i="18"/>
  <c r="N107" i="18"/>
  <c r="M107" i="18"/>
  <c r="L107" i="18"/>
  <c r="K107" i="18"/>
  <c r="P106" i="18"/>
  <c r="O106" i="18"/>
  <c r="N106" i="18"/>
  <c r="M106" i="18"/>
  <c r="L106" i="18"/>
  <c r="K106" i="18"/>
  <c r="P105" i="18"/>
  <c r="O105" i="18"/>
  <c r="N105" i="18"/>
  <c r="M105" i="18"/>
  <c r="L105" i="18"/>
  <c r="K105" i="18"/>
  <c r="P104" i="18"/>
  <c r="O104" i="18"/>
  <c r="N104" i="18"/>
  <c r="M104" i="18"/>
  <c r="L104" i="18"/>
  <c r="K104" i="18"/>
  <c r="P103" i="18"/>
  <c r="O103" i="18"/>
  <c r="N103" i="18"/>
  <c r="M103" i="18"/>
  <c r="L103" i="18"/>
  <c r="K103" i="18"/>
  <c r="P102" i="18"/>
  <c r="O102" i="18"/>
  <c r="N102" i="18"/>
  <c r="M102" i="18"/>
  <c r="L102" i="18"/>
  <c r="K102" i="18"/>
  <c r="P101" i="18"/>
  <c r="O101" i="18"/>
  <c r="N101" i="18"/>
  <c r="M101" i="18"/>
  <c r="L101" i="18"/>
  <c r="K101" i="18"/>
  <c r="P100" i="18"/>
  <c r="O100" i="18"/>
  <c r="N100" i="18"/>
  <c r="M100" i="18"/>
  <c r="L100" i="18"/>
  <c r="K100" i="18"/>
  <c r="P99" i="18"/>
  <c r="O99" i="18"/>
  <c r="N99" i="18"/>
  <c r="M99" i="18"/>
  <c r="L99" i="18"/>
  <c r="K99" i="18"/>
  <c r="P98" i="18"/>
  <c r="O98" i="18"/>
  <c r="N98" i="18"/>
  <c r="M98" i="18"/>
  <c r="L98" i="18"/>
  <c r="K98" i="18"/>
  <c r="P97" i="18"/>
  <c r="O97" i="18"/>
  <c r="N97" i="18"/>
  <c r="M97" i="18"/>
  <c r="L97" i="18"/>
  <c r="K97" i="18"/>
  <c r="P96" i="18"/>
  <c r="O96" i="18"/>
  <c r="N96" i="18"/>
  <c r="M96" i="18"/>
  <c r="L96" i="18"/>
  <c r="K96" i="18"/>
  <c r="P95" i="18"/>
  <c r="O95" i="18"/>
  <c r="N95" i="18"/>
  <c r="M95" i="18"/>
  <c r="L95" i="18"/>
  <c r="K95" i="18"/>
  <c r="P94" i="18"/>
  <c r="O94" i="18"/>
  <c r="N94" i="18"/>
  <c r="M94" i="18"/>
  <c r="L94" i="18"/>
  <c r="K94" i="18"/>
  <c r="P93" i="18"/>
  <c r="O93" i="18"/>
  <c r="N93" i="18"/>
  <c r="M93" i="18"/>
  <c r="L93" i="18"/>
  <c r="K93" i="18"/>
  <c r="P92" i="18"/>
  <c r="O92" i="18"/>
  <c r="N92" i="18"/>
  <c r="M92" i="18"/>
  <c r="L92" i="18"/>
  <c r="K92" i="18"/>
  <c r="P91" i="18"/>
  <c r="O91" i="18"/>
  <c r="N91" i="18"/>
  <c r="M91" i="18"/>
  <c r="L91" i="18"/>
  <c r="K91" i="18"/>
  <c r="P90" i="18"/>
  <c r="O90" i="18"/>
  <c r="N90" i="18"/>
  <c r="M90" i="18"/>
  <c r="L90" i="18"/>
  <c r="K90" i="18"/>
  <c r="P89" i="18"/>
  <c r="O89" i="18"/>
  <c r="N89" i="18"/>
  <c r="M89" i="18"/>
  <c r="L89" i="18"/>
  <c r="K89" i="18"/>
  <c r="P111" i="18"/>
  <c r="O111" i="18"/>
  <c r="N111" i="18"/>
  <c r="M111" i="18"/>
  <c r="L111" i="18"/>
  <c r="K111" i="18"/>
  <c r="J111" i="18"/>
  <c r="I133" i="18"/>
  <c r="I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X225" i="1" l="1"/>
  <c r="X229" i="1"/>
  <c r="X224" i="1"/>
  <c r="X227" i="1"/>
  <c r="X228" i="1"/>
  <c r="X226" i="1"/>
  <c r="W199" i="1"/>
  <c r="V199" i="1"/>
  <c r="U199" i="1"/>
  <c r="T199" i="1"/>
  <c r="S199" i="1"/>
  <c r="R199" i="1"/>
  <c r="Q199" i="1"/>
  <c r="W198" i="1"/>
  <c r="V198" i="1"/>
  <c r="U198" i="1"/>
  <c r="T198" i="1"/>
  <c r="S198" i="1"/>
  <c r="R198" i="1"/>
  <c r="Q198" i="1"/>
  <c r="W197" i="1"/>
  <c r="V197" i="1"/>
  <c r="U197" i="1"/>
  <c r="T197" i="1"/>
  <c r="S197" i="1"/>
  <c r="R197" i="1"/>
  <c r="Q197" i="1"/>
  <c r="W196" i="1"/>
  <c r="V196" i="1"/>
  <c r="U196" i="1"/>
  <c r="T196" i="1"/>
  <c r="S196" i="1"/>
  <c r="R196" i="1"/>
  <c r="Q196" i="1"/>
  <c r="W195" i="1"/>
  <c r="V195" i="1"/>
  <c r="U195" i="1"/>
  <c r="T195" i="1"/>
  <c r="S195" i="1"/>
  <c r="R195" i="1"/>
  <c r="Q195" i="1"/>
  <c r="W194" i="1"/>
  <c r="V194" i="1"/>
  <c r="U194" i="1"/>
  <c r="T194" i="1"/>
  <c r="S194" i="1"/>
  <c r="R194" i="1"/>
  <c r="Q194" i="1"/>
  <c r="W193" i="1"/>
  <c r="V193" i="1"/>
  <c r="U193" i="1"/>
  <c r="T193" i="1"/>
  <c r="S193" i="1"/>
  <c r="R193" i="1"/>
  <c r="Q193" i="1"/>
  <c r="W192" i="1"/>
  <c r="V192" i="1"/>
  <c r="U192" i="1"/>
  <c r="T192" i="1"/>
  <c r="S192" i="1"/>
  <c r="R192" i="1"/>
  <c r="Q192" i="1"/>
  <c r="W191" i="1"/>
  <c r="V191" i="1"/>
  <c r="U191" i="1"/>
  <c r="T191" i="1"/>
  <c r="S191" i="1"/>
  <c r="R191" i="1"/>
  <c r="Q191" i="1"/>
  <c r="W190" i="1"/>
  <c r="V190" i="1"/>
  <c r="U190" i="1"/>
  <c r="T190" i="1"/>
  <c r="S190" i="1"/>
  <c r="R190" i="1"/>
  <c r="Q190" i="1"/>
  <c r="W189" i="1"/>
  <c r="V189" i="1"/>
  <c r="U189" i="1"/>
  <c r="T189" i="1"/>
  <c r="S189" i="1"/>
  <c r="R189" i="1"/>
  <c r="Q189" i="1"/>
  <c r="W188" i="1"/>
  <c r="V188" i="1"/>
  <c r="U188" i="1"/>
  <c r="T188" i="1"/>
  <c r="S188" i="1"/>
  <c r="R188" i="1"/>
  <c r="Q188" i="1"/>
  <c r="P199" i="1"/>
  <c r="O199" i="1"/>
  <c r="N199" i="1"/>
  <c r="M199" i="1"/>
  <c r="L199" i="1"/>
  <c r="K199" i="1"/>
  <c r="P198" i="1"/>
  <c r="O198" i="1"/>
  <c r="N198" i="1"/>
  <c r="M198" i="1"/>
  <c r="L198" i="1"/>
  <c r="K198" i="1"/>
  <c r="P197" i="1"/>
  <c r="O197" i="1"/>
  <c r="N197" i="1"/>
  <c r="M197" i="1"/>
  <c r="L197" i="1"/>
  <c r="K197" i="1"/>
  <c r="P196" i="1"/>
  <c r="O196" i="1"/>
  <c r="N196" i="1"/>
  <c r="M196" i="1"/>
  <c r="L196" i="1"/>
  <c r="K196" i="1"/>
  <c r="P195" i="1"/>
  <c r="O195" i="1"/>
  <c r="N195" i="1"/>
  <c r="M195" i="1"/>
  <c r="L195" i="1"/>
  <c r="K195" i="1"/>
  <c r="P194" i="1"/>
  <c r="O194" i="1"/>
  <c r="N194" i="1"/>
  <c r="M194" i="1"/>
  <c r="L194" i="1"/>
  <c r="K194" i="1"/>
  <c r="P193" i="1"/>
  <c r="O193" i="1"/>
  <c r="N193" i="1"/>
  <c r="M193" i="1"/>
  <c r="L193" i="1"/>
  <c r="K193" i="1"/>
  <c r="P192" i="1"/>
  <c r="O192" i="1"/>
  <c r="N192" i="1"/>
  <c r="M192" i="1"/>
  <c r="L192" i="1"/>
  <c r="K192" i="1"/>
  <c r="P191" i="1"/>
  <c r="O191" i="1"/>
  <c r="N191" i="1"/>
  <c r="M191" i="1"/>
  <c r="L191" i="1"/>
  <c r="K191" i="1"/>
  <c r="P190" i="1"/>
  <c r="O190" i="1"/>
  <c r="N190" i="1"/>
  <c r="M190" i="1"/>
  <c r="L190" i="1"/>
  <c r="K190" i="1"/>
  <c r="P189" i="1"/>
  <c r="O189" i="1"/>
  <c r="N189" i="1"/>
  <c r="M189" i="1"/>
  <c r="L189" i="1"/>
  <c r="K189" i="1"/>
  <c r="P188" i="1"/>
  <c r="O188" i="1"/>
  <c r="N188" i="1"/>
  <c r="M188" i="1"/>
  <c r="L188" i="1"/>
  <c r="K188" i="1"/>
  <c r="J199" i="1"/>
  <c r="J198" i="1"/>
  <c r="J197" i="1"/>
  <c r="J196" i="1"/>
  <c r="J195" i="1"/>
  <c r="J194" i="1"/>
  <c r="J193" i="1"/>
  <c r="J192" i="1"/>
  <c r="J191" i="1"/>
  <c r="J190" i="1"/>
  <c r="J189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J188" i="1"/>
  <c r="J149" i="1"/>
  <c r="I149" i="1"/>
  <c r="X189" i="1" l="1"/>
  <c r="X197" i="1"/>
  <c r="X219" i="1"/>
  <c r="X188" i="1"/>
  <c r="X196" i="1"/>
  <c r="X204" i="1"/>
  <c r="X218" i="1"/>
  <c r="X217" i="1"/>
  <c r="X194" i="1"/>
  <c r="X202" i="1"/>
  <c r="X216" i="1"/>
  <c r="X193" i="1"/>
  <c r="X201" i="1"/>
  <c r="X215" i="1"/>
  <c r="X223" i="1"/>
  <c r="X192" i="1"/>
  <c r="X200" i="1"/>
  <c r="X222" i="1"/>
  <c r="X195" i="1"/>
  <c r="X191" i="1"/>
  <c r="X199" i="1"/>
  <c r="X213" i="1"/>
  <c r="X221" i="1"/>
  <c r="X203" i="1"/>
  <c r="X190" i="1"/>
  <c r="X198" i="1"/>
  <c r="X220" i="1"/>
  <c r="X214" i="1"/>
  <c r="X212" i="1"/>
  <c r="A55" i="13" l="1"/>
  <c r="X23" i="18" l="1"/>
  <c r="X22" i="18"/>
  <c r="X21" i="18"/>
  <c r="X20" i="18"/>
  <c r="X19" i="18"/>
  <c r="X18" i="18"/>
  <c r="X17" i="18"/>
  <c r="X16" i="18"/>
  <c r="X15" i="18"/>
  <c r="X14" i="18"/>
  <c r="X13" i="18"/>
  <c r="X12" i="18"/>
  <c r="X11" i="18"/>
  <c r="X10" i="18"/>
  <c r="X9" i="18"/>
  <c r="E15" i="23" l="1"/>
  <c r="F15" i="23" s="1"/>
  <c r="G15" i="23" s="1"/>
  <c r="H15" i="23" s="1"/>
  <c r="I15" i="23" s="1"/>
  <c r="J15" i="23" s="1"/>
  <c r="K15" i="23" s="1"/>
  <c r="L15" i="23" s="1"/>
  <c r="M15" i="23" s="1"/>
  <c r="N15" i="23" s="1"/>
  <c r="O15" i="23" s="1"/>
  <c r="P15" i="23" s="1"/>
  <c r="Q15" i="23" s="1"/>
  <c r="R15" i="23" s="1"/>
  <c r="S15" i="23" s="1"/>
  <c r="T15" i="23" s="1"/>
  <c r="U15" i="23" s="1"/>
  <c r="V15" i="23" s="1"/>
  <c r="W15" i="23" s="1"/>
  <c r="D15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W4" i="23"/>
  <c r="W16" i="23" s="1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V16" i="23" l="1"/>
  <c r="D16" i="23"/>
  <c r="T16" i="23"/>
  <c r="L16" i="23"/>
  <c r="U16" i="23"/>
  <c r="R16" i="23"/>
  <c r="K16" i="23"/>
  <c r="S16" i="23"/>
  <c r="J16" i="23"/>
  <c r="E16" i="23"/>
  <c r="M16" i="23"/>
  <c r="F16" i="23"/>
  <c r="N16" i="23"/>
  <c r="G16" i="23"/>
  <c r="O16" i="23"/>
  <c r="H16" i="23"/>
  <c r="P16" i="23"/>
  <c r="I16" i="23"/>
  <c r="Q16" i="23"/>
  <c r="A3" i="22" l="1"/>
  <c r="W82" i="18" l="1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W65" i="12" l="1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W63" i="12"/>
  <c r="V63" i="12"/>
  <c r="U63" i="12"/>
  <c r="T63" i="12"/>
  <c r="S63" i="12"/>
  <c r="R63" i="12"/>
  <c r="Q63" i="12"/>
  <c r="P63" i="12"/>
  <c r="O63" i="12"/>
  <c r="N63" i="12"/>
  <c r="M63" i="12"/>
  <c r="M66" i="12" s="1"/>
  <c r="L63" i="12"/>
  <c r="K63" i="12"/>
  <c r="J63" i="12"/>
  <c r="W79" i="18"/>
  <c r="V79" i="18"/>
  <c r="U79" i="18"/>
  <c r="T79" i="18"/>
  <c r="S79" i="18"/>
  <c r="R79" i="18"/>
  <c r="Q79" i="18"/>
  <c r="P79" i="18"/>
  <c r="O79" i="18"/>
  <c r="O139" i="1" s="1"/>
  <c r="N79" i="18"/>
  <c r="M79" i="18"/>
  <c r="L79" i="18"/>
  <c r="K79" i="18"/>
  <c r="J79" i="18"/>
  <c r="W78" i="18"/>
  <c r="V78" i="18"/>
  <c r="U78" i="18"/>
  <c r="U138" i="1" s="1"/>
  <c r="T78" i="18"/>
  <c r="T138" i="1" s="1"/>
  <c r="S78" i="18"/>
  <c r="R78" i="18"/>
  <c r="Q78" i="18"/>
  <c r="P78" i="18"/>
  <c r="O78" i="18"/>
  <c r="N78" i="18"/>
  <c r="M78" i="18"/>
  <c r="M138" i="1" s="1"/>
  <c r="L78" i="18"/>
  <c r="L138" i="1" s="1"/>
  <c r="K78" i="18"/>
  <c r="J78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T139" i="1" l="1"/>
  <c r="W139" i="1"/>
  <c r="W80" i="18"/>
  <c r="W81" i="18" s="1"/>
  <c r="O80" i="18"/>
  <c r="O81" i="18" s="1"/>
  <c r="L66" i="12"/>
  <c r="L67" i="12" s="1"/>
  <c r="T66" i="12"/>
  <c r="T67" i="12" s="1"/>
  <c r="V80" i="18"/>
  <c r="V81" i="18" s="1"/>
  <c r="W66" i="12"/>
  <c r="W67" i="12" s="1"/>
  <c r="V66" i="12"/>
  <c r="V67" i="12" s="1"/>
  <c r="P66" i="12"/>
  <c r="P67" i="12" s="1"/>
  <c r="O66" i="12"/>
  <c r="N139" i="1"/>
  <c r="U66" i="12"/>
  <c r="U67" i="12" s="1"/>
  <c r="Q66" i="12"/>
  <c r="Q67" i="12" s="1"/>
  <c r="R66" i="12"/>
  <c r="R67" i="12" s="1"/>
  <c r="S66" i="12"/>
  <c r="S67" i="12" s="1"/>
  <c r="N66" i="12"/>
  <c r="N67" i="12" s="1"/>
  <c r="K66" i="12"/>
  <c r="K67" i="12" s="1"/>
  <c r="J66" i="12"/>
  <c r="J67" i="12" s="1"/>
  <c r="J138" i="1"/>
  <c r="N80" i="18"/>
  <c r="N81" i="18" s="1"/>
  <c r="Q80" i="18"/>
  <c r="Q81" i="18" s="1"/>
  <c r="P80" i="18"/>
  <c r="P81" i="18" s="1"/>
  <c r="J80" i="18"/>
  <c r="J81" i="18" s="1"/>
  <c r="R80" i="18"/>
  <c r="R81" i="18" s="1"/>
  <c r="K80" i="18"/>
  <c r="K81" i="18" s="1"/>
  <c r="S80" i="18"/>
  <c r="S81" i="18" s="1"/>
  <c r="L80" i="18"/>
  <c r="L81" i="18" s="1"/>
  <c r="T80" i="18"/>
  <c r="T81" i="18" s="1"/>
  <c r="M80" i="18"/>
  <c r="M81" i="18" s="1"/>
  <c r="U80" i="18"/>
  <c r="U81" i="18" s="1"/>
  <c r="P137" i="1"/>
  <c r="R137" i="1"/>
  <c r="S137" i="1"/>
  <c r="K137" i="1"/>
  <c r="P139" i="1"/>
  <c r="M67" i="12"/>
  <c r="O67" i="12"/>
  <c r="L137" i="1"/>
  <c r="T137" i="1"/>
  <c r="N138" i="1"/>
  <c r="W137" i="1"/>
  <c r="J137" i="1"/>
  <c r="N137" i="1"/>
  <c r="U137" i="1"/>
  <c r="R139" i="1"/>
  <c r="J139" i="1"/>
  <c r="S139" i="1"/>
  <c r="S138" i="1"/>
  <c r="L139" i="1"/>
  <c r="P138" i="1"/>
  <c r="M137" i="1"/>
  <c r="W138" i="1"/>
  <c r="K138" i="1"/>
  <c r="O137" i="1"/>
  <c r="M139" i="1"/>
  <c r="Q137" i="1"/>
  <c r="Q139" i="1"/>
  <c r="Q138" i="1"/>
  <c r="R138" i="1"/>
  <c r="V138" i="1"/>
  <c r="V137" i="1"/>
  <c r="V139" i="1"/>
  <c r="U139" i="1"/>
  <c r="K139" i="1"/>
  <c r="O138" i="1"/>
  <c r="T140" i="1" l="1"/>
  <c r="T141" i="1" s="1"/>
  <c r="U140" i="1"/>
  <c r="U141" i="1" s="1"/>
  <c r="M140" i="1"/>
  <c r="M141" i="1" s="1"/>
  <c r="S140" i="1"/>
  <c r="S141" i="1" s="1"/>
  <c r="J140" i="1"/>
  <c r="J141" i="1" s="1"/>
  <c r="N140" i="1"/>
  <c r="N141" i="1" s="1"/>
  <c r="R140" i="1"/>
  <c r="R141" i="1" s="1"/>
  <c r="W140" i="1"/>
  <c r="W141" i="1" s="1"/>
  <c r="Q140" i="1"/>
  <c r="Q141" i="1" s="1"/>
  <c r="P140" i="1"/>
  <c r="P141" i="1" s="1"/>
  <c r="O140" i="1"/>
  <c r="O141" i="1" s="1"/>
  <c r="L140" i="1"/>
  <c r="L141" i="1" s="1"/>
  <c r="V140" i="1"/>
  <c r="V141" i="1" s="1"/>
  <c r="K140" i="1"/>
  <c r="K141" i="1" s="1"/>
  <c r="C62" i="12"/>
  <c r="X5" i="12" l="1"/>
  <c r="W68" i="12" l="1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C10" i="23" l="1"/>
  <c r="X4" i="12" l="1"/>
  <c r="A11" i="12"/>
  <c r="A10" i="12"/>
  <c r="A9" i="12"/>
  <c r="A8" i="12"/>
  <c r="A7" i="12"/>
  <c r="A12" i="12"/>
  <c r="A6" i="12"/>
  <c r="A5" i="12"/>
  <c r="A5" i="14" s="1"/>
  <c r="A4" i="12"/>
  <c r="A53" i="1" l="1"/>
  <c r="A52" i="1"/>
  <c r="A51" i="1"/>
  <c r="A50" i="1"/>
  <c r="A49" i="1"/>
  <c r="A48" i="1"/>
  <c r="A47" i="1"/>
  <c r="A46" i="1"/>
  <c r="C3" i="18" l="1"/>
  <c r="D3" i="18" s="1"/>
  <c r="E3" i="18" s="1"/>
  <c r="F3" i="18" s="1"/>
  <c r="G3" i="18" s="1"/>
  <c r="H3" i="18" s="1"/>
  <c r="I3" i="18" s="1"/>
  <c r="J3" i="18" s="1"/>
  <c r="K3" i="18" s="1"/>
  <c r="L3" i="18" s="1"/>
  <c r="M3" i="18" s="1"/>
  <c r="N3" i="18" s="1"/>
  <c r="O3" i="18" s="1"/>
  <c r="P3" i="18" s="1"/>
  <c r="Q3" i="18" s="1"/>
  <c r="R3" i="18" s="1"/>
  <c r="S3" i="18" s="1"/>
  <c r="T3" i="18" s="1"/>
  <c r="U3" i="18" s="1"/>
  <c r="V3" i="18" s="1"/>
  <c r="W3" i="18" s="1"/>
  <c r="Y3" i="18" l="1"/>
  <c r="A45" i="1" l="1"/>
  <c r="A44" i="1"/>
  <c r="A43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28" i="18" l="1"/>
  <c r="X27" i="18"/>
  <c r="A27" i="18"/>
  <c r="X26" i="18"/>
  <c r="A26" i="18"/>
  <c r="X25" i="18"/>
  <c r="X24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X111" i="18" l="1"/>
  <c r="X113" i="18"/>
  <c r="X112" i="18"/>
  <c r="Q1" i="23"/>
  <c r="Q7" i="23" s="1"/>
  <c r="Q13" i="23" s="1"/>
  <c r="J1" i="23"/>
  <c r="J7" i="23" s="1"/>
  <c r="J13" i="23" s="1"/>
  <c r="C1" i="23"/>
  <c r="C7" i="23" s="1"/>
  <c r="C13" i="23" s="1"/>
  <c r="D9" i="23"/>
  <c r="E9" i="23" s="1"/>
  <c r="F9" i="23" s="1"/>
  <c r="G9" i="23" s="1"/>
  <c r="H9" i="23" s="1"/>
  <c r="I9" i="23" s="1"/>
  <c r="J9" i="23" s="1"/>
  <c r="K9" i="23" s="1"/>
  <c r="L9" i="23" s="1"/>
  <c r="M9" i="23" s="1"/>
  <c r="N9" i="23" s="1"/>
  <c r="O9" i="23" s="1"/>
  <c r="P9" i="23" s="1"/>
  <c r="Q9" i="23" s="1"/>
  <c r="R9" i="23" s="1"/>
  <c r="S9" i="23" s="1"/>
  <c r="T9" i="23" s="1"/>
  <c r="U9" i="23" s="1"/>
  <c r="V9" i="23" s="1"/>
  <c r="W9" i="23" s="1"/>
  <c r="D3" i="23"/>
  <c r="E3" i="23" s="1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115" i="18" l="1"/>
  <c r="X128" i="18"/>
  <c r="X133" i="18"/>
  <c r="X124" i="18"/>
  <c r="X120" i="18"/>
  <c r="X119" i="18"/>
  <c r="X129" i="18"/>
  <c r="X117" i="18"/>
  <c r="X131" i="18"/>
  <c r="X127" i="18"/>
  <c r="X125" i="18"/>
  <c r="X122" i="18"/>
  <c r="X132" i="18"/>
  <c r="X123" i="18"/>
  <c r="X126" i="18"/>
  <c r="X130" i="18"/>
  <c r="X121" i="18"/>
  <c r="X118" i="18"/>
  <c r="X116" i="18"/>
  <c r="C16" i="23"/>
  <c r="A184" i="1" l="1"/>
  <c r="A183" i="1"/>
  <c r="A113" i="18"/>
  <c r="B113" i="18" s="1"/>
  <c r="A112" i="18"/>
  <c r="B112" i="18" s="1"/>
  <c r="A111" i="18"/>
  <c r="B111" i="18" s="1"/>
  <c r="A110" i="18"/>
  <c r="B110" i="18" s="1"/>
  <c r="A109" i="18"/>
  <c r="B109" i="18" s="1"/>
  <c r="A108" i="18"/>
  <c r="B108" i="18" s="1"/>
  <c r="A107" i="18"/>
  <c r="B107" i="18" s="1"/>
  <c r="A106" i="18"/>
  <c r="B106" i="18" s="1"/>
  <c r="A105" i="18"/>
  <c r="B105" i="18" s="1"/>
  <c r="X106" i="18" l="1"/>
  <c r="X105" i="18"/>
  <c r="X107" i="18"/>
  <c r="X110" i="18"/>
  <c r="X108" i="18"/>
  <c r="X109" i="18"/>
  <c r="A222" i="1" l="1"/>
  <c r="B222" i="1" s="1"/>
  <c r="A223" i="1"/>
  <c r="B223" i="1" s="1"/>
  <c r="A214" i="1" l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90" i="18" l="1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X114" i="18" l="1"/>
  <c r="A75" i="12" l="1"/>
  <c r="A73" i="14" s="1"/>
  <c r="A76" i="12"/>
  <c r="A74" i="14" s="1"/>
  <c r="A77" i="12"/>
  <c r="A75" i="14" s="1"/>
  <c r="A78" i="12"/>
  <c r="B78" i="12" s="1"/>
  <c r="B76" i="14" s="1"/>
  <c r="A79" i="12"/>
  <c r="B79" i="12" s="1"/>
  <c r="B77" i="14" s="1"/>
  <c r="A80" i="12"/>
  <c r="B80" i="12" s="1"/>
  <c r="B78" i="14" s="1"/>
  <c r="A81" i="12"/>
  <c r="A79" i="14" s="1"/>
  <c r="A82" i="12"/>
  <c r="A80" i="14" s="1"/>
  <c r="A83" i="12"/>
  <c r="A81" i="14" s="1"/>
  <c r="A74" i="12"/>
  <c r="B74" i="12" s="1"/>
  <c r="B72" i="14" s="1"/>
  <c r="B77" i="12" l="1"/>
  <c r="B75" i="14" s="1"/>
  <c r="B76" i="12"/>
  <c r="B74" i="14" s="1"/>
  <c r="B81" i="12"/>
  <c r="B79" i="14" s="1"/>
  <c r="A72" i="14"/>
  <c r="A78" i="14"/>
  <c r="A77" i="14"/>
  <c r="A76" i="14"/>
  <c r="B82" i="12"/>
  <c r="B80" i="14" s="1"/>
  <c r="B75" i="12"/>
  <c r="B73" i="14" s="1"/>
  <c r="B83" i="12"/>
  <c r="B81" i="14" s="1"/>
  <c r="AO41" i="13" l="1"/>
  <c r="AP41" i="13" s="1"/>
  <c r="T40" i="13"/>
  <c r="U40" i="13" s="1"/>
  <c r="AS38" i="13"/>
  <c r="AT38" i="13" s="1"/>
  <c r="AI35" i="13"/>
  <c r="AJ35" i="13" s="1"/>
  <c r="AU34" i="13"/>
  <c r="AV34" i="13" s="1"/>
  <c r="L34" i="13"/>
  <c r="M34" i="13" s="1"/>
  <c r="Z33" i="13"/>
  <c r="AA33" i="13" s="1"/>
  <c r="F33" i="13"/>
  <c r="G33" i="13" s="1"/>
  <c r="AB41" i="13"/>
  <c r="AC41" i="13" s="1"/>
  <c r="F40" i="13"/>
  <c r="G40" i="13" s="1"/>
  <c r="AB38" i="13"/>
  <c r="AC38" i="13" s="1"/>
  <c r="AF35" i="13"/>
  <c r="AG35" i="13" s="1"/>
  <c r="AS34" i="13"/>
  <c r="AT34" i="13" s="1"/>
  <c r="J34" i="13"/>
  <c r="K34" i="13" s="1"/>
  <c r="X33" i="13"/>
  <c r="Y33" i="13" s="1"/>
  <c r="AM35" i="13"/>
  <c r="AN35" i="13" s="1"/>
  <c r="X41" i="13"/>
  <c r="Y41" i="13" s="1"/>
  <c r="B40" i="13"/>
  <c r="C40" i="13" s="1"/>
  <c r="J38" i="13"/>
  <c r="K38" i="13" s="1"/>
  <c r="V35" i="13"/>
  <c r="W35" i="13" s="1"/>
  <c r="AI34" i="13"/>
  <c r="AJ34" i="13" s="1"/>
  <c r="AU33" i="13"/>
  <c r="AV33" i="13" s="1"/>
  <c r="L33" i="13"/>
  <c r="M33" i="13" s="1"/>
  <c r="AO33" i="13"/>
  <c r="AP33" i="13" s="1"/>
  <c r="Q34" i="13"/>
  <c r="R34" i="13" s="1"/>
  <c r="J41" i="13"/>
  <c r="K41" i="13" s="1"/>
  <c r="AK39" i="13"/>
  <c r="AL39" i="13" s="1"/>
  <c r="AO37" i="13"/>
  <c r="AP37" i="13" s="1"/>
  <c r="T35" i="13"/>
  <c r="U35" i="13" s="1"/>
  <c r="AF34" i="13"/>
  <c r="AG34" i="13" s="1"/>
  <c r="AS33" i="13"/>
  <c r="AT33" i="13" s="1"/>
  <c r="J33" i="13"/>
  <c r="K33" i="13" s="1"/>
  <c r="F41" i="13"/>
  <c r="G41" i="13" s="1"/>
  <c r="AF39" i="13"/>
  <c r="AG39" i="13" s="1"/>
  <c r="X37" i="13"/>
  <c r="Y37" i="13" s="1"/>
  <c r="Q35" i="13"/>
  <c r="R35" i="13" s="1"/>
  <c r="AD34" i="13"/>
  <c r="AE34" i="13" s="1"/>
  <c r="AQ33" i="13"/>
  <c r="AR33" i="13" s="1"/>
  <c r="H33" i="13"/>
  <c r="I33" i="13" s="1"/>
  <c r="AO40" i="13"/>
  <c r="AP40" i="13" s="1"/>
  <c r="T39" i="13"/>
  <c r="U39" i="13" s="1"/>
  <c r="F37" i="13"/>
  <c r="G37" i="13" s="1"/>
  <c r="N35" i="13"/>
  <c r="O35" i="13" s="1"/>
  <c r="AB34" i="13"/>
  <c r="AC34" i="13" s="1"/>
  <c r="AD33" i="13"/>
  <c r="AE33" i="13" s="1"/>
  <c r="AK40" i="13"/>
  <c r="AL40" i="13" s="1"/>
  <c r="N39" i="13"/>
  <c r="O39" i="13" s="1"/>
  <c r="D35" i="13"/>
  <c r="E35" i="13" s="1"/>
  <c r="X40" i="13"/>
  <c r="Y40" i="13" s="1"/>
  <c r="B39" i="13"/>
  <c r="C39" i="13" s="1"/>
  <c r="AK35" i="13"/>
  <c r="AL35" i="13" s="1"/>
  <c r="B35" i="13"/>
  <c r="C35" i="13" s="1"/>
  <c r="N34" i="13"/>
  <c r="O34" i="13" s="1"/>
  <c r="AB33" i="13"/>
  <c r="AC33" i="13" s="1"/>
  <c r="AI40" i="13"/>
  <c r="AJ40" i="13" s="1"/>
  <c r="AU39" i="13"/>
  <c r="AV39" i="13" s="1"/>
  <c r="AD38" i="13"/>
  <c r="AE38" i="13" s="1"/>
  <c r="Z41" i="13"/>
  <c r="AA41" i="13" s="1"/>
  <c r="AD37" i="13"/>
  <c r="AE37" i="13" s="1"/>
  <c r="Z40" i="13"/>
  <c r="AA40" i="13" s="1"/>
  <c r="B34" i="13"/>
  <c r="C34" i="13" s="1"/>
  <c r="AS36" i="13"/>
  <c r="AT36" i="13" s="1"/>
  <c r="AO39" i="13"/>
  <c r="AP39" i="13" s="1"/>
  <c r="D34" i="13"/>
  <c r="E34" i="13" s="1"/>
  <c r="AU36" i="13"/>
  <c r="AV36" i="13" s="1"/>
  <c r="AQ39" i="13"/>
  <c r="AR39" i="13" s="1"/>
  <c r="AK33" i="13"/>
  <c r="AL33" i="13" s="1"/>
  <c r="AF36" i="13"/>
  <c r="AG36" i="13" s="1"/>
  <c r="AB39" i="13"/>
  <c r="AC39" i="13" s="1"/>
  <c r="F36" i="13"/>
  <c r="G36" i="13" s="1"/>
  <c r="D33" i="13"/>
  <c r="E33" i="13" s="1"/>
  <c r="V37" i="13"/>
  <c r="W37" i="13" s="1"/>
  <c r="H38" i="13"/>
  <c r="I38" i="13" s="1"/>
  <c r="AO36" i="13"/>
  <c r="AP36" i="13" s="1"/>
  <c r="AK37" i="13"/>
  <c r="AL37" i="13" s="1"/>
  <c r="L39" i="13"/>
  <c r="M39" i="13" s="1"/>
  <c r="AB37" i="13"/>
  <c r="AC37" i="13" s="1"/>
  <c r="X38" i="13"/>
  <c r="Y38" i="13" s="1"/>
  <c r="H39" i="13"/>
  <c r="I39" i="13" s="1"/>
  <c r="Q36" i="13"/>
  <c r="R36" i="13" s="1"/>
  <c r="AM41" i="13"/>
  <c r="AN41" i="13" s="1"/>
  <c r="D36" i="13"/>
  <c r="E36" i="13" s="1"/>
  <c r="AU38" i="13"/>
  <c r="AV38" i="13" s="1"/>
  <c r="AQ41" i="13"/>
  <c r="AR41" i="13" s="1"/>
  <c r="AU37" i="13"/>
  <c r="AV37" i="13" s="1"/>
  <c r="AQ40" i="13"/>
  <c r="AR40" i="13" s="1"/>
  <c r="T34" i="13"/>
  <c r="U34" i="13" s="1"/>
  <c r="N37" i="13"/>
  <c r="O37" i="13" s="1"/>
  <c r="J40" i="13"/>
  <c r="K40" i="13" s="1"/>
  <c r="V34" i="13"/>
  <c r="W34" i="13" s="1"/>
  <c r="Q37" i="13"/>
  <c r="R37" i="13" s="1"/>
  <c r="L40" i="13"/>
  <c r="M40" i="13" s="1"/>
  <c r="F34" i="13"/>
  <c r="G34" i="13" s="1"/>
  <c r="B37" i="13"/>
  <c r="C37" i="13" s="1"/>
  <c r="AS39" i="13"/>
  <c r="AT39" i="13" s="1"/>
  <c r="X36" i="13"/>
  <c r="Y36" i="13" s="1"/>
  <c r="V33" i="13"/>
  <c r="W33" i="13" s="1"/>
  <c r="N40" i="13"/>
  <c r="O40" i="13" s="1"/>
  <c r="Z38" i="13"/>
  <c r="AA38" i="13" s="1"/>
  <c r="J37" i="13"/>
  <c r="K37" i="13" s="1"/>
  <c r="F38" i="13"/>
  <c r="G38" i="13" s="1"/>
  <c r="AB35" i="13"/>
  <c r="AC35" i="13" s="1"/>
  <c r="L36" i="13"/>
  <c r="M36" i="13" s="1"/>
  <c r="D41" i="13"/>
  <c r="E41" i="13" s="1"/>
  <c r="AU35" i="13"/>
  <c r="AV35" i="13" s="1"/>
  <c r="V36" i="13"/>
  <c r="W36" i="13" s="1"/>
  <c r="Q39" i="13"/>
  <c r="R39" i="13" s="1"/>
  <c r="AK36" i="13"/>
  <c r="AL36" i="13" s="1"/>
  <c r="Q38" i="13"/>
  <c r="R38" i="13" s="1"/>
  <c r="L41" i="13"/>
  <c r="M41" i="13" s="1"/>
  <c r="AK34" i="13"/>
  <c r="AL34" i="13" s="1"/>
  <c r="AF37" i="13"/>
  <c r="AG37" i="13" s="1"/>
  <c r="AB40" i="13"/>
  <c r="AC40" i="13" s="1"/>
  <c r="AM34" i="13"/>
  <c r="AN34" i="13" s="1"/>
  <c r="AI37" i="13"/>
  <c r="AJ37" i="13" s="1"/>
  <c r="AD40" i="13"/>
  <c r="AE40" i="13" s="1"/>
  <c r="X34" i="13"/>
  <c r="Y34" i="13" s="1"/>
  <c r="T37" i="13"/>
  <c r="U37" i="13" s="1"/>
  <c r="H34" i="13"/>
  <c r="I34" i="13" s="1"/>
  <c r="Z34" i="13"/>
  <c r="AA34" i="13" s="1"/>
  <c r="B41" i="13"/>
  <c r="C41" i="13" s="1"/>
  <c r="AI41" i="13"/>
  <c r="AJ41" i="13" s="1"/>
  <c r="Q40" i="13"/>
  <c r="R40" i="13" s="1"/>
  <c r="N38" i="13"/>
  <c r="O38" i="13" s="1"/>
  <c r="AQ34" i="13"/>
  <c r="AR34" i="13" s="1"/>
  <c r="AM36" i="13"/>
  <c r="AN36" i="13" s="1"/>
  <c r="AI39" i="13"/>
  <c r="AJ39" i="13" s="1"/>
  <c r="AS41" i="13"/>
  <c r="AT41" i="13" s="1"/>
  <c r="AI38" i="13"/>
  <c r="AJ38" i="13" s="1"/>
  <c r="AD41" i="13"/>
  <c r="AE41" i="13" s="1"/>
  <c r="F35" i="13"/>
  <c r="G35" i="13" s="1"/>
  <c r="B38" i="13"/>
  <c r="C38" i="13" s="1"/>
  <c r="AS40" i="13"/>
  <c r="AT40" i="13" s="1"/>
  <c r="H35" i="13"/>
  <c r="I35" i="13" s="1"/>
  <c r="D38" i="13"/>
  <c r="E38" i="13" s="1"/>
  <c r="AU40" i="13"/>
  <c r="AV40" i="13" s="1"/>
  <c r="AO34" i="13"/>
  <c r="AP34" i="13" s="1"/>
  <c r="AF40" i="13"/>
  <c r="AG40" i="13" s="1"/>
  <c r="Q41" i="13"/>
  <c r="R41" i="13" s="1"/>
  <c r="L35" i="13"/>
  <c r="M35" i="13" s="1"/>
  <c r="AS37" i="13"/>
  <c r="AT37" i="13" s="1"/>
  <c r="B33" i="13"/>
  <c r="C33" i="13" s="1"/>
  <c r="D37" i="13"/>
  <c r="E37" i="13" s="1"/>
  <c r="AI36" i="13"/>
  <c r="AJ36" i="13" s="1"/>
  <c r="H37" i="13"/>
  <c r="I37" i="13" s="1"/>
  <c r="D40" i="13"/>
  <c r="E40" i="13" s="1"/>
  <c r="H36" i="13"/>
  <c r="I36" i="13" s="1"/>
  <c r="D39" i="13"/>
  <c r="E39" i="13" s="1"/>
  <c r="AU41" i="13"/>
  <c r="AV41" i="13" s="1"/>
  <c r="X35" i="13"/>
  <c r="Y35" i="13" s="1"/>
  <c r="T38" i="13"/>
  <c r="U38" i="13" s="1"/>
  <c r="N41" i="13"/>
  <c r="O41" i="13" s="1"/>
  <c r="Z35" i="13"/>
  <c r="AA35" i="13" s="1"/>
  <c r="V38" i="13"/>
  <c r="W38" i="13" s="1"/>
  <c r="J35" i="13"/>
  <c r="K35" i="13" s="1"/>
  <c r="AD39" i="13"/>
  <c r="AE39" i="13" s="1"/>
  <c r="AD35" i="13"/>
  <c r="AE35" i="13" s="1"/>
  <c r="AO38" i="13"/>
  <c r="AP38" i="13" s="1"/>
  <c r="AM37" i="13"/>
  <c r="AN37" i="13" s="1"/>
  <c r="Z37" i="13"/>
  <c r="AA37" i="13" s="1"/>
  <c r="V40" i="13"/>
  <c r="W40" i="13" s="1"/>
  <c r="Z36" i="13"/>
  <c r="AA36" i="13" s="1"/>
  <c r="V39" i="13"/>
  <c r="W39" i="13" s="1"/>
  <c r="B36" i="13"/>
  <c r="C36" i="13" s="1"/>
  <c r="AO35" i="13"/>
  <c r="AP35" i="13" s="1"/>
  <c r="AK38" i="13"/>
  <c r="AL38" i="13" s="1"/>
  <c r="AF41" i="13"/>
  <c r="AG41" i="13" s="1"/>
  <c r="AQ35" i="13"/>
  <c r="AR35" i="13" s="1"/>
  <c r="AM38" i="13"/>
  <c r="AN38" i="13" s="1"/>
  <c r="T41" i="13"/>
  <c r="U41" i="13" s="1"/>
  <c r="AS35" i="13"/>
  <c r="AT35" i="13" s="1"/>
  <c r="V41" i="13"/>
  <c r="W41" i="13" s="1"/>
  <c r="AQ38" i="13"/>
  <c r="AR38" i="13" s="1"/>
  <c r="AQ37" i="13"/>
  <c r="AR37" i="13" s="1"/>
  <c r="AM40" i="13"/>
  <c r="AN40" i="13" s="1"/>
  <c r="AQ36" i="13"/>
  <c r="AR36" i="13" s="1"/>
  <c r="AM39" i="13"/>
  <c r="AN39" i="13" s="1"/>
  <c r="N33" i="13"/>
  <c r="O33" i="13" s="1"/>
  <c r="J36" i="13"/>
  <c r="K36" i="13" s="1"/>
  <c r="F39" i="13"/>
  <c r="G39" i="13" s="1"/>
  <c r="Q33" i="13"/>
  <c r="R33" i="13" s="1"/>
  <c r="AK41" i="13"/>
  <c r="AL41" i="13" s="1"/>
  <c r="AM33" i="13"/>
  <c r="AN33" i="13" s="1"/>
  <c r="L38" i="13"/>
  <c r="M38" i="13" s="1"/>
  <c r="H41" i="13"/>
  <c r="I41" i="13" s="1"/>
  <c r="L37" i="13"/>
  <c r="M37" i="13" s="1"/>
  <c r="H40" i="13"/>
  <c r="I40" i="13" s="1"/>
  <c r="AF33" i="13"/>
  <c r="AG33" i="13" s="1"/>
  <c r="AB36" i="13"/>
  <c r="AC36" i="13" s="1"/>
  <c r="X39" i="13"/>
  <c r="Y39" i="13" s="1"/>
  <c r="AI33" i="13"/>
  <c r="AJ33" i="13" s="1"/>
  <c r="AD36" i="13"/>
  <c r="AE36" i="13" s="1"/>
  <c r="Z39" i="13"/>
  <c r="AA39" i="13" s="1"/>
  <c r="T33" i="13"/>
  <c r="U33" i="13" s="1"/>
  <c r="N36" i="13"/>
  <c r="O36" i="13" s="1"/>
  <c r="J39" i="13"/>
  <c r="K39" i="13" s="1"/>
  <c r="T36" i="13"/>
  <c r="U36" i="13" s="1"/>
  <c r="AF38" i="13"/>
  <c r="AG38" i="13" s="1"/>
  <c r="AI32" i="13"/>
  <c r="AJ32" i="13" s="1"/>
  <c r="AU24" i="13"/>
  <c r="AV24" i="13" s="1"/>
  <c r="AD26" i="13"/>
  <c r="AE26" i="13" s="1"/>
  <c r="F16" i="13"/>
  <c r="G16" i="13" s="1"/>
  <c r="X17" i="13"/>
  <c r="Y17" i="13" s="1"/>
  <c r="AI7" i="13"/>
  <c r="AJ7" i="13" s="1"/>
  <c r="Q21" i="13"/>
  <c r="R21" i="13" s="1"/>
  <c r="V5" i="13"/>
  <c r="W5" i="13" s="1"/>
  <c r="F14" i="13"/>
  <c r="G14" i="13" s="1"/>
  <c r="AO22" i="13"/>
  <c r="AP22" i="13" s="1"/>
  <c r="AU11" i="13"/>
  <c r="AV11" i="13" s="1"/>
  <c r="AM17" i="13"/>
  <c r="AN17" i="13" s="1"/>
  <c r="AM21" i="13"/>
  <c r="AN21" i="13" s="1"/>
  <c r="AK27" i="13"/>
  <c r="AL27" i="13" s="1"/>
  <c r="AK31" i="13"/>
  <c r="AL31" i="13" s="1"/>
  <c r="AD25" i="13"/>
  <c r="AE25" i="13" s="1"/>
  <c r="V31" i="13"/>
  <c r="W31" i="13" s="1"/>
  <c r="V7" i="13"/>
  <c r="W7" i="13" s="1"/>
  <c r="D12" i="13"/>
  <c r="E12" i="13" s="1"/>
  <c r="AQ17" i="13"/>
  <c r="AR17" i="13" s="1"/>
  <c r="AU22" i="13"/>
  <c r="AV22" i="13" s="1"/>
  <c r="AO27" i="13"/>
  <c r="AP27" i="13" s="1"/>
  <c r="Z28" i="13"/>
  <c r="AA28" i="13" s="1"/>
  <c r="AB9" i="13"/>
  <c r="AC9" i="13" s="1"/>
  <c r="AF14" i="13"/>
  <c r="AG14" i="13" s="1"/>
  <c r="T19" i="13"/>
  <c r="U19" i="13" s="1"/>
  <c r="Q25" i="13"/>
  <c r="R25" i="13" s="1"/>
  <c r="Q29" i="13"/>
  <c r="R29" i="13" s="1"/>
  <c r="AM11" i="13"/>
  <c r="AN11" i="13" s="1"/>
  <c r="AM15" i="13"/>
  <c r="AN15" i="13" s="1"/>
  <c r="AD21" i="13"/>
  <c r="AE21" i="13" s="1"/>
  <c r="X26" i="13"/>
  <c r="Y26" i="13" s="1"/>
  <c r="AB31" i="13"/>
  <c r="AC31" i="13" s="1"/>
  <c r="F5" i="13"/>
  <c r="G5" i="13" s="1"/>
  <c r="AQ25" i="13"/>
  <c r="AR25" i="13" s="1"/>
  <c r="J7" i="13"/>
  <c r="K7" i="13" s="1"/>
  <c r="X13" i="13"/>
  <c r="Y13" i="13" s="1"/>
  <c r="AS16" i="13"/>
  <c r="AT16" i="13" s="1"/>
  <c r="D32" i="13"/>
  <c r="E32" i="13" s="1"/>
  <c r="AB5" i="13"/>
  <c r="AC5" i="13" s="1"/>
  <c r="H5" i="13"/>
  <c r="I5" i="13" s="1"/>
  <c r="T17" i="13"/>
  <c r="U17" i="13" s="1"/>
  <c r="B28" i="13"/>
  <c r="C28" i="13" s="1"/>
  <c r="N19" i="13"/>
  <c r="O19" i="13" s="1"/>
  <c r="D10" i="13"/>
  <c r="E10" i="13" s="1"/>
  <c r="Q13" i="13"/>
  <c r="R13" i="13" s="1"/>
  <c r="V25" i="13"/>
  <c r="W25" i="13" s="1"/>
  <c r="V9" i="13"/>
  <c r="W9" i="13" s="1"/>
  <c r="AQ5" i="13"/>
  <c r="AR5" i="13" s="1"/>
  <c r="AO14" i="13"/>
  <c r="AP14" i="13" s="1"/>
  <c r="Q27" i="13"/>
  <c r="R27" i="13" s="1"/>
  <c r="Q12" i="13"/>
  <c r="R12" i="13" s="1"/>
  <c r="H18" i="13"/>
  <c r="I18" i="13" s="1"/>
  <c r="H22" i="13"/>
  <c r="I22" i="13" s="1"/>
  <c r="F28" i="13"/>
  <c r="G28" i="13" s="1"/>
  <c r="AU25" i="13"/>
  <c r="AV25" i="13" s="1"/>
  <c r="AM31" i="13"/>
  <c r="AN31" i="13" s="1"/>
  <c r="AM7" i="13"/>
  <c r="AN7" i="13" s="1"/>
  <c r="Z13" i="13"/>
  <c r="AA13" i="13" s="1"/>
  <c r="L18" i="13"/>
  <c r="M18" i="13" s="1"/>
  <c r="Q23" i="13"/>
  <c r="R23" i="13" s="1"/>
  <c r="J28" i="13"/>
  <c r="K28" i="13" s="1"/>
  <c r="N5" i="13"/>
  <c r="O5" i="13" s="1"/>
  <c r="AS9" i="13"/>
  <c r="AT9" i="13" s="1"/>
  <c r="B15" i="13"/>
  <c r="C15" i="13" s="1"/>
  <c r="AK19" i="13"/>
  <c r="AL19" i="13" s="1"/>
  <c r="AI25" i="13"/>
  <c r="AJ25" i="13" s="1"/>
  <c r="AM30" i="13"/>
  <c r="AN30" i="13" s="1"/>
  <c r="H12" i="13"/>
  <c r="I12" i="13" s="1"/>
  <c r="AB16" i="13"/>
  <c r="AC16" i="13" s="1"/>
  <c r="AU21" i="13"/>
  <c r="AV21" i="13" s="1"/>
  <c r="AS27" i="13"/>
  <c r="AT27" i="13" s="1"/>
  <c r="AS31" i="13"/>
  <c r="AT31" i="13" s="1"/>
  <c r="AO8" i="13"/>
  <c r="AP8" i="13" s="1"/>
  <c r="Q26" i="13"/>
  <c r="R26" i="13" s="1"/>
  <c r="H4" i="13"/>
  <c r="I4" i="13" s="1"/>
  <c r="X8" i="13"/>
  <c r="Y8" i="13" s="1"/>
  <c r="AQ13" i="13"/>
  <c r="AR13" i="13" s="1"/>
  <c r="AD18" i="13"/>
  <c r="AE18" i="13" s="1"/>
  <c r="AI23" i="13"/>
  <c r="AJ23" i="13" s="1"/>
  <c r="AF29" i="13"/>
  <c r="AG29" i="13" s="1"/>
  <c r="AF5" i="13"/>
  <c r="AG5" i="13" s="1"/>
  <c r="N10" i="13"/>
  <c r="O10" i="13" s="1"/>
  <c r="T15" i="13"/>
  <c r="U15" i="13" s="1"/>
  <c r="J21" i="13"/>
  <c r="K21" i="13" s="1"/>
  <c r="D26" i="13"/>
  <c r="E26" i="13" s="1"/>
  <c r="H31" i="13"/>
  <c r="I31" i="13" s="1"/>
  <c r="Z12" i="13"/>
  <c r="AA12" i="13" s="1"/>
  <c r="Q18" i="13"/>
  <c r="R18" i="13" s="1"/>
  <c r="Q22" i="13"/>
  <c r="R22" i="13" s="1"/>
  <c r="N28" i="13"/>
  <c r="O28" i="13" s="1"/>
  <c r="B5" i="13"/>
  <c r="C5" i="13" s="1"/>
  <c r="H25" i="13"/>
  <c r="I25" i="13" s="1"/>
  <c r="T24" i="13"/>
  <c r="U24" i="13" s="1"/>
  <c r="D4" i="13"/>
  <c r="E4" i="13" s="1"/>
  <c r="J10" i="13"/>
  <c r="K10" i="13" s="1"/>
  <c r="T7" i="13"/>
  <c r="U7" i="13" s="1"/>
  <c r="AF7" i="13"/>
  <c r="AG7" i="13" s="1"/>
  <c r="J26" i="13"/>
  <c r="K26" i="13" s="1"/>
  <c r="D16" i="13"/>
  <c r="E16" i="13" s="1"/>
  <c r="AF16" i="13"/>
  <c r="AG16" i="13" s="1"/>
  <c r="H15" i="13"/>
  <c r="I15" i="13" s="1"/>
  <c r="AU27" i="13"/>
  <c r="AV27" i="13" s="1"/>
  <c r="L8" i="13"/>
  <c r="M8" i="13" s="1"/>
  <c r="AF17" i="13"/>
  <c r="AG17" i="13" s="1"/>
  <c r="D14" i="13"/>
  <c r="E14" i="13" s="1"/>
  <c r="T28" i="13"/>
  <c r="U28" i="13" s="1"/>
  <c r="AU16" i="13"/>
  <c r="AV16" i="13" s="1"/>
  <c r="AB6" i="13"/>
  <c r="AC6" i="13" s="1"/>
  <c r="AQ15" i="13"/>
  <c r="AR15" i="13" s="1"/>
  <c r="B20" i="13"/>
  <c r="C20" i="13" s="1"/>
  <c r="AO23" i="13"/>
  <c r="AP23" i="13" s="1"/>
  <c r="H11" i="13"/>
  <c r="I11" i="13" s="1"/>
  <c r="Z7" i="13"/>
  <c r="AA7" i="13" s="1"/>
  <c r="Q31" i="13"/>
  <c r="R31" i="13" s="1"/>
  <c r="AM14" i="13"/>
  <c r="AN14" i="13" s="1"/>
  <c r="N27" i="13"/>
  <c r="O27" i="13" s="1"/>
  <c r="Z30" i="13"/>
  <c r="AA30" i="13" s="1"/>
  <c r="N13" i="13"/>
  <c r="O13" i="13" s="1"/>
  <c r="B9" i="13"/>
  <c r="C9" i="13" s="1"/>
  <c r="B17" i="13"/>
  <c r="C17" i="13" s="1"/>
  <c r="V29" i="13"/>
  <c r="W29" i="13" s="1"/>
  <c r="H14" i="13"/>
  <c r="I14" i="13" s="1"/>
  <c r="AQ18" i="13"/>
  <c r="AR18" i="13" s="1"/>
  <c r="AU23" i="13"/>
  <c r="AV23" i="13" s="1"/>
  <c r="AO28" i="13"/>
  <c r="AP28" i="13" s="1"/>
  <c r="AM27" i="13"/>
  <c r="AN27" i="13" s="1"/>
  <c r="Z4" i="13"/>
  <c r="AA4" i="13" s="1"/>
  <c r="H9" i="13"/>
  <c r="I9" i="13" s="1"/>
  <c r="L14" i="13"/>
  <c r="M14" i="13" s="1"/>
  <c r="D20" i="13"/>
  <c r="E20" i="13" s="1"/>
  <c r="Z24" i="13"/>
  <c r="AA24" i="13" s="1"/>
  <c r="B30" i="13"/>
  <c r="C30" i="13" s="1"/>
  <c r="B6" i="13"/>
  <c r="C6" i="13" s="1"/>
  <c r="AK11" i="13"/>
  <c r="AL11" i="13" s="1"/>
  <c r="AK15" i="13"/>
  <c r="AL15" i="13" s="1"/>
  <c r="AB21" i="13"/>
  <c r="AC21" i="13" s="1"/>
  <c r="V26" i="13"/>
  <c r="W26" i="13" s="1"/>
  <c r="Z31" i="13"/>
  <c r="AA31" i="13" s="1"/>
  <c r="AK8" i="13"/>
  <c r="AL8" i="13" s="1"/>
  <c r="AQ12" i="13"/>
  <c r="AR12" i="13" s="1"/>
  <c r="AI18" i="13"/>
  <c r="AJ18" i="13" s="1"/>
  <c r="AI22" i="13"/>
  <c r="AJ22" i="13" s="1"/>
  <c r="AF28" i="13"/>
  <c r="AG28" i="13" s="1"/>
  <c r="J18" i="13"/>
  <c r="K18" i="13" s="1"/>
  <c r="X15" i="13"/>
  <c r="Y15" i="13" s="1"/>
  <c r="Q24" i="13"/>
  <c r="R24" i="13" s="1"/>
  <c r="V24" i="13"/>
  <c r="W24" i="13" s="1"/>
  <c r="AS23" i="13"/>
  <c r="AT23" i="13" s="1"/>
  <c r="X21" i="13"/>
  <c r="Y21" i="13" s="1"/>
  <c r="AS18" i="13"/>
  <c r="AT18" i="13" s="1"/>
  <c r="L27" i="13"/>
  <c r="M27" i="13" s="1"/>
  <c r="L26" i="13"/>
  <c r="M26" i="13" s="1"/>
  <c r="J11" i="13"/>
  <c r="K11" i="13" s="1"/>
  <c r="AQ7" i="13"/>
  <c r="AR7" i="13" s="1"/>
  <c r="Z18" i="13"/>
  <c r="AA18" i="13" s="1"/>
  <c r="AD23" i="13"/>
  <c r="AE23" i="13" s="1"/>
  <c r="Z32" i="13"/>
  <c r="AA32" i="13" s="1"/>
  <c r="B4" i="13"/>
  <c r="C4" i="13" s="1"/>
  <c r="X19" i="13"/>
  <c r="Y19" i="13" s="1"/>
  <c r="AO25" i="13"/>
  <c r="AP25" i="13" s="1"/>
  <c r="AM28" i="13"/>
  <c r="AN28" i="13" s="1"/>
  <c r="AB19" i="13"/>
  <c r="AC19" i="13" s="1"/>
  <c r="AU30" i="13"/>
  <c r="AV30" i="13" s="1"/>
  <c r="AF32" i="13"/>
  <c r="AG32" i="13" s="1"/>
  <c r="L32" i="13"/>
  <c r="M32" i="13" s="1"/>
  <c r="AM24" i="13"/>
  <c r="AN24" i="13" s="1"/>
  <c r="T22" i="13"/>
  <c r="U22" i="13" s="1"/>
  <c r="AM29" i="13"/>
  <c r="AN29" i="13" s="1"/>
  <c r="AS15" i="13"/>
  <c r="AT15" i="13" s="1"/>
  <c r="X29" i="13"/>
  <c r="Y29" i="13" s="1"/>
  <c r="AF11" i="13"/>
  <c r="AG11" i="13" s="1"/>
  <c r="F19" i="13"/>
  <c r="G19" i="13" s="1"/>
  <c r="B32" i="13"/>
  <c r="C32" i="13" s="1"/>
  <c r="N7" i="13"/>
  <c r="O7" i="13" s="1"/>
  <c r="V18" i="13"/>
  <c r="W18" i="13" s="1"/>
  <c r="Q28" i="13"/>
  <c r="R28" i="13" s="1"/>
  <c r="AD4" i="13"/>
  <c r="AE4" i="13" s="1"/>
  <c r="AK16" i="13"/>
  <c r="AL16" i="13" s="1"/>
  <c r="AF9" i="13"/>
  <c r="AG9" i="13" s="1"/>
  <c r="AS19" i="13"/>
  <c r="AT19" i="13" s="1"/>
  <c r="L30" i="13"/>
  <c r="M30" i="13" s="1"/>
  <c r="Z14" i="13"/>
  <c r="AA14" i="13" s="1"/>
  <c r="L19" i="13"/>
  <c r="M19" i="13" s="1"/>
  <c r="J25" i="13"/>
  <c r="K25" i="13" s="1"/>
  <c r="N30" i="13"/>
  <c r="O30" i="13" s="1"/>
  <c r="H28" i="13"/>
  <c r="I28" i="13" s="1"/>
  <c r="AQ4" i="13"/>
  <c r="AR4" i="13" s="1"/>
  <c r="AD10" i="13"/>
  <c r="AE10" i="13" s="1"/>
  <c r="AD14" i="13"/>
  <c r="AE14" i="13" s="1"/>
  <c r="V20" i="13"/>
  <c r="W20" i="13" s="1"/>
  <c r="N25" i="13"/>
  <c r="O25" i="13" s="1"/>
  <c r="T30" i="13"/>
  <c r="U30" i="13" s="1"/>
  <c r="T6" i="13"/>
  <c r="U6" i="13" s="1"/>
  <c r="F12" i="13"/>
  <c r="G12" i="13" s="1"/>
  <c r="X16" i="13"/>
  <c r="Y16" i="13" s="1"/>
  <c r="AS21" i="13"/>
  <c r="AT21" i="13" s="1"/>
  <c r="AQ27" i="13"/>
  <c r="AR27" i="13" s="1"/>
  <c r="AQ31" i="13"/>
  <c r="AR31" i="13" s="1"/>
  <c r="L9" i="13"/>
  <c r="M9" i="13" s="1"/>
  <c r="L13" i="13"/>
  <c r="M13" i="13" s="1"/>
  <c r="D19" i="13"/>
  <c r="E19" i="13" s="1"/>
  <c r="B25" i="13"/>
  <c r="C25" i="13" s="1"/>
  <c r="B29" i="13"/>
  <c r="C29" i="13" s="1"/>
  <c r="N24" i="13"/>
  <c r="O24" i="13" s="1"/>
  <c r="V22" i="13"/>
  <c r="W22" i="13" s="1"/>
  <c r="N12" i="13"/>
  <c r="O12" i="13" s="1"/>
  <c r="AU26" i="13"/>
  <c r="AV26" i="13" s="1"/>
  <c r="AD12" i="13"/>
  <c r="AE12" i="13" s="1"/>
  <c r="L7" i="13"/>
  <c r="M7" i="13" s="1"/>
  <c r="F8" i="13"/>
  <c r="G8" i="13" s="1"/>
  <c r="D24" i="13"/>
  <c r="E24" i="13" s="1"/>
  <c r="H23" i="13"/>
  <c r="I23" i="13" s="1"/>
  <c r="V32" i="13"/>
  <c r="W32" i="13" s="1"/>
  <c r="X30" i="13"/>
  <c r="Y30" i="13" s="1"/>
  <c r="AB27" i="13"/>
  <c r="AC27" i="13" s="1"/>
  <c r="AM23" i="13"/>
  <c r="AN23" i="13" s="1"/>
  <c r="AQ20" i="13"/>
  <c r="AR20" i="13" s="1"/>
  <c r="AU17" i="13"/>
  <c r="AV17" i="13" s="1"/>
  <c r="Q14" i="13"/>
  <c r="R14" i="13" s="1"/>
  <c r="V11" i="13"/>
  <c r="W11" i="13" s="1"/>
  <c r="AI24" i="13"/>
  <c r="AJ24" i="13" s="1"/>
  <c r="V30" i="13"/>
  <c r="W30" i="13" s="1"/>
  <c r="Z27" i="13"/>
  <c r="AA27" i="13" s="1"/>
  <c r="AK23" i="13"/>
  <c r="AL23" i="13" s="1"/>
  <c r="AO20" i="13"/>
  <c r="AP20" i="13" s="1"/>
  <c r="AS17" i="13"/>
  <c r="AT17" i="13" s="1"/>
  <c r="N14" i="13"/>
  <c r="O14" i="13" s="1"/>
  <c r="T11" i="13"/>
  <c r="U11" i="13" s="1"/>
  <c r="AO7" i="13"/>
  <c r="AP7" i="13" s="1"/>
  <c r="AS4" i="13"/>
  <c r="AT4" i="13" s="1"/>
  <c r="N29" i="13"/>
  <c r="O29" i="13" s="1"/>
  <c r="T26" i="13"/>
  <c r="U26" i="13" s="1"/>
  <c r="AD22" i="13"/>
  <c r="AE22" i="13" s="1"/>
  <c r="AI19" i="13"/>
  <c r="AJ19" i="13" s="1"/>
  <c r="J16" i="13"/>
  <c r="K16" i="13" s="1"/>
  <c r="H13" i="13"/>
  <c r="I13" i="13" s="1"/>
  <c r="L10" i="13"/>
  <c r="M10" i="13" s="1"/>
  <c r="AI6" i="13"/>
  <c r="AJ6" i="13" s="1"/>
  <c r="L29" i="13"/>
  <c r="M29" i="13" s="1"/>
  <c r="D31" i="13"/>
  <c r="E31" i="13" s="1"/>
  <c r="V27" i="13"/>
  <c r="W27" i="13" s="1"/>
  <c r="AS29" i="13"/>
  <c r="AT29" i="13" s="1"/>
  <c r="B27" i="13"/>
  <c r="C27" i="13" s="1"/>
  <c r="L23" i="13"/>
  <c r="M23" i="13" s="1"/>
  <c r="Q20" i="13"/>
  <c r="R20" i="13" s="1"/>
  <c r="V17" i="13"/>
  <c r="W17" i="13" s="1"/>
  <c r="AM13" i="13"/>
  <c r="AN13" i="13" s="1"/>
  <c r="Z26" i="13"/>
  <c r="AA26" i="13" s="1"/>
  <c r="J19" i="13"/>
  <c r="K19" i="13" s="1"/>
  <c r="AF12" i="13"/>
  <c r="AG12" i="13" s="1"/>
  <c r="Q7" i="13"/>
  <c r="R7" i="13" s="1"/>
  <c r="AO6" i="13"/>
  <c r="AP6" i="13" s="1"/>
  <c r="Q5" i="13"/>
  <c r="R5" i="13" s="1"/>
  <c r="AS22" i="13"/>
  <c r="AT22" i="13" s="1"/>
  <c r="AB32" i="13"/>
  <c r="AC32" i="13" s="1"/>
  <c r="Z23" i="13"/>
  <c r="AA23" i="13" s="1"/>
  <c r="AI17" i="13"/>
  <c r="AJ17" i="13" s="1"/>
  <c r="L11" i="13"/>
  <c r="M11" i="13" s="1"/>
  <c r="T4" i="13"/>
  <c r="U4" i="13" s="1"/>
  <c r="AS20" i="13"/>
  <c r="AT20" i="13" s="1"/>
  <c r="AS7" i="13"/>
  <c r="AT7" i="13" s="1"/>
  <c r="H30" i="13"/>
  <c r="I30" i="13" s="1"/>
  <c r="B22" i="13"/>
  <c r="C22" i="13" s="1"/>
  <c r="B14" i="13"/>
  <c r="C14" i="13" s="1"/>
  <c r="F23" i="13"/>
  <c r="G23" i="13" s="1"/>
  <c r="J14" i="13"/>
  <c r="K14" i="13" s="1"/>
  <c r="AS30" i="13"/>
  <c r="AT30" i="13" s="1"/>
  <c r="AB22" i="13"/>
  <c r="AC22" i="13" s="1"/>
  <c r="B16" i="13"/>
  <c r="C16" i="13" s="1"/>
  <c r="Z10" i="13"/>
  <c r="AA10" i="13" s="1"/>
  <c r="AK5" i="13"/>
  <c r="AL5" i="13" s="1"/>
  <c r="J15" i="13"/>
  <c r="K15" i="13" s="1"/>
  <c r="H7" i="13"/>
  <c r="I7" i="13" s="1"/>
  <c r="T14" i="13"/>
  <c r="U14" i="13" s="1"/>
  <c r="F17" i="13"/>
  <c r="G17" i="13" s="1"/>
  <c r="D25" i="13"/>
  <c r="E25" i="13" s="1"/>
  <c r="AD11" i="13"/>
  <c r="AE11" i="13" s="1"/>
  <c r="J20" i="13"/>
  <c r="K20" i="13" s="1"/>
  <c r="AS5" i="13"/>
  <c r="AT5" i="13" s="1"/>
  <c r="AK28" i="13"/>
  <c r="AL28" i="13" s="1"/>
  <c r="AU20" i="13"/>
  <c r="AV20" i="13" s="1"/>
  <c r="V14" i="13"/>
  <c r="W14" i="13" s="1"/>
  <c r="N9" i="13"/>
  <c r="O9" i="13" s="1"/>
  <c r="AF4" i="13"/>
  <c r="AG4" i="13" s="1"/>
  <c r="AO15" i="13"/>
  <c r="AP15" i="13" s="1"/>
  <c r="AB18" i="13"/>
  <c r="AC18" i="13" s="1"/>
  <c r="AQ16" i="13"/>
  <c r="AR16" i="13" s="1"/>
  <c r="Q32" i="13"/>
  <c r="R32" i="13" s="1"/>
  <c r="F30" i="13"/>
  <c r="G30" i="13" s="1"/>
  <c r="J27" i="13"/>
  <c r="K27" i="13" s="1"/>
  <c r="V23" i="13"/>
  <c r="W23" i="13" s="1"/>
  <c r="Z20" i="13"/>
  <c r="AA20" i="13" s="1"/>
  <c r="AD17" i="13"/>
  <c r="AE17" i="13" s="1"/>
  <c r="AU13" i="13"/>
  <c r="AV13" i="13" s="1"/>
  <c r="D11" i="13"/>
  <c r="E11" i="13" s="1"/>
  <c r="D30" i="13"/>
  <c r="E30" i="13" s="1"/>
  <c r="H27" i="13"/>
  <c r="I27" i="13" s="1"/>
  <c r="T23" i="13"/>
  <c r="U23" i="13" s="1"/>
  <c r="X20" i="13"/>
  <c r="Y20" i="13" s="1"/>
  <c r="AB17" i="13"/>
  <c r="AC17" i="13" s="1"/>
  <c r="AS13" i="13"/>
  <c r="AT13" i="13" s="1"/>
  <c r="B11" i="13"/>
  <c r="C11" i="13" s="1"/>
  <c r="X7" i="13"/>
  <c r="Y7" i="13" s="1"/>
  <c r="AB4" i="13"/>
  <c r="AC4" i="13" s="1"/>
  <c r="AO31" i="13"/>
  <c r="AP31" i="13" s="1"/>
  <c r="AS28" i="13"/>
  <c r="AT28" i="13" s="1"/>
  <c r="B26" i="13"/>
  <c r="C26" i="13" s="1"/>
  <c r="L22" i="13"/>
  <c r="M22" i="13" s="1"/>
  <c r="Q19" i="13"/>
  <c r="R19" i="13" s="1"/>
  <c r="AI15" i="13"/>
  <c r="AJ15" i="13" s="1"/>
  <c r="AM12" i="13"/>
  <c r="AN12" i="13" s="1"/>
  <c r="AQ9" i="13"/>
  <c r="AR9" i="13" s="1"/>
  <c r="Q6" i="13"/>
  <c r="R6" i="13" s="1"/>
  <c r="J24" i="13"/>
  <c r="K24" i="13" s="1"/>
  <c r="AI30" i="13"/>
  <c r="AJ30" i="13" s="1"/>
  <c r="D27" i="13"/>
  <c r="E27" i="13" s="1"/>
  <c r="AB29" i="13"/>
  <c r="AC29" i="13" s="1"/>
  <c r="AF26" i="13"/>
  <c r="AG26" i="13" s="1"/>
  <c r="AQ22" i="13"/>
  <c r="AR22" i="13" s="1"/>
  <c r="AU19" i="13"/>
  <c r="AV19" i="13" s="1"/>
  <c r="D17" i="13"/>
  <c r="E17" i="13" s="1"/>
  <c r="V13" i="13"/>
  <c r="W13" i="13" s="1"/>
  <c r="X25" i="13"/>
  <c r="Y25" i="13" s="1"/>
  <c r="X18" i="13"/>
  <c r="Y18" i="13" s="1"/>
  <c r="AS11" i="13"/>
  <c r="AT11" i="13" s="1"/>
  <c r="AQ6" i="13"/>
  <c r="AR6" i="13" s="1"/>
  <c r="AO5" i="13"/>
  <c r="AP5" i="13" s="1"/>
  <c r="AO17" i="13"/>
  <c r="AP17" i="13" s="1"/>
  <c r="L31" i="13"/>
  <c r="M31" i="13" s="1"/>
  <c r="AM22" i="13"/>
  <c r="AN22" i="13" s="1"/>
  <c r="AO16" i="13"/>
  <c r="AP16" i="13" s="1"/>
  <c r="AK10" i="13"/>
  <c r="AL10" i="13" s="1"/>
  <c r="AK14" i="13"/>
  <c r="AL14" i="13" s="1"/>
  <c r="F15" i="13"/>
  <c r="G15" i="13" s="1"/>
  <c r="X4" i="13"/>
  <c r="Y4" i="13" s="1"/>
  <c r="F29" i="13"/>
  <c r="G29" i="13" s="1"/>
  <c r="N21" i="13"/>
  <c r="O21" i="13" s="1"/>
  <c r="AB12" i="13"/>
  <c r="AC12" i="13" s="1"/>
  <c r="B18" i="13"/>
  <c r="C18" i="13" s="1"/>
  <c r="D9" i="13"/>
  <c r="E9" i="13" s="1"/>
  <c r="AQ29" i="13"/>
  <c r="AR29" i="13" s="1"/>
  <c r="AO21" i="13"/>
  <c r="AP21" i="13" s="1"/>
  <c r="N15" i="13"/>
  <c r="O15" i="13" s="1"/>
  <c r="B10" i="13"/>
  <c r="C10" i="13" s="1"/>
  <c r="J5" i="13"/>
  <c r="K5" i="13" s="1"/>
  <c r="X14" i="13"/>
  <c r="Y14" i="13" s="1"/>
  <c r="H6" i="13"/>
  <c r="I6" i="13" s="1"/>
  <c r="AQ10" i="13"/>
  <c r="AR10" i="13" s="1"/>
  <c r="AK12" i="13"/>
  <c r="AL12" i="13" s="1"/>
  <c r="AI31" i="13"/>
  <c r="AJ31" i="13" s="1"/>
  <c r="J23" i="13"/>
  <c r="K23" i="13" s="1"/>
  <c r="AO9" i="13"/>
  <c r="AP9" i="13" s="1"/>
  <c r="AF13" i="13"/>
  <c r="AG13" i="13" s="1"/>
  <c r="AI27" i="13"/>
  <c r="AJ27" i="13" s="1"/>
  <c r="L20" i="13"/>
  <c r="M20" i="13" s="1"/>
  <c r="AI13" i="13"/>
  <c r="AJ13" i="13" s="1"/>
  <c r="B8" i="13"/>
  <c r="C8" i="13" s="1"/>
  <c r="F4" i="13"/>
  <c r="G4" i="13" s="1"/>
  <c r="Z11" i="13"/>
  <c r="AA11" i="13" s="1"/>
  <c r="AF15" i="13"/>
  <c r="AG15" i="13" s="1"/>
  <c r="N8" i="13"/>
  <c r="O8" i="13" s="1"/>
  <c r="T8" i="13"/>
  <c r="U8" i="13" s="1"/>
  <c r="AF24" i="13"/>
  <c r="AG24" i="13" s="1"/>
  <c r="V8" i="13"/>
  <c r="W8" i="13" s="1"/>
  <c r="AS32" i="13"/>
  <c r="AT32" i="13" s="1"/>
  <c r="H16" i="13"/>
  <c r="I16" i="13" s="1"/>
  <c r="AD24" i="13"/>
  <c r="AE24" i="13" s="1"/>
  <c r="Z16" i="13"/>
  <c r="AA16" i="13" s="1"/>
  <c r="AI5" i="13"/>
  <c r="AJ5" i="13" s="1"/>
  <c r="AQ30" i="13"/>
  <c r="AR30" i="13" s="1"/>
  <c r="AK21" i="13"/>
  <c r="AL21" i="13" s="1"/>
  <c r="AU7" i="13"/>
  <c r="AV7" i="13" s="1"/>
  <c r="AQ26" i="13"/>
  <c r="AR26" i="13" s="1"/>
  <c r="Z19" i="13"/>
  <c r="AA19" i="13" s="1"/>
  <c r="AB7" i="13"/>
  <c r="AC7" i="13" s="1"/>
  <c r="B12" i="13"/>
  <c r="C12" i="13" s="1"/>
  <c r="AS24" i="13"/>
  <c r="AT24" i="13" s="1"/>
  <c r="AD8" i="13"/>
  <c r="AE8" i="13" s="1"/>
  <c r="J32" i="13"/>
  <c r="K32" i="13" s="1"/>
  <c r="AD32" i="13"/>
  <c r="AE32" i="13" s="1"/>
  <c r="AK32" i="13"/>
  <c r="AL32" i="13" s="1"/>
  <c r="Q8" i="13"/>
  <c r="R8" i="13" s="1"/>
  <c r="AK29" i="13"/>
  <c r="AL29" i="13" s="1"/>
  <c r="AO26" i="13"/>
  <c r="AP26" i="13" s="1"/>
  <c r="D23" i="13"/>
  <c r="E23" i="13" s="1"/>
  <c r="H20" i="13"/>
  <c r="I20" i="13" s="1"/>
  <c r="L17" i="13"/>
  <c r="M17" i="13" s="1"/>
  <c r="AD13" i="13"/>
  <c r="AE13" i="13" s="1"/>
  <c r="AI10" i="13"/>
  <c r="AJ10" i="13" s="1"/>
  <c r="AI29" i="13"/>
  <c r="AJ29" i="13" s="1"/>
  <c r="AM26" i="13"/>
  <c r="AN26" i="13" s="1"/>
  <c r="B23" i="13"/>
  <c r="C23" i="13" s="1"/>
  <c r="F20" i="13"/>
  <c r="G20" i="13" s="1"/>
  <c r="J17" i="13"/>
  <c r="K17" i="13" s="1"/>
  <c r="AB13" i="13"/>
  <c r="AC13" i="13" s="1"/>
  <c r="AF10" i="13"/>
  <c r="AG10" i="13" s="1"/>
  <c r="F7" i="13"/>
  <c r="G7" i="13" s="1"/>
  <c r="J4" i="13"/>
  <c r="K4" i="13" s="1"/>
  <c r="X31" i="13"/>
  <c r="Y31" i="13" s="1"/>
  <c r="AB28" i="13"/>
  <c r="AC28" i="13" s="1"/>
  <c r="AF25" i="13"/>
  <c r="AG25" i="13" s="1"/>
  <c r="AQ21" i="13"/>
  <c r="AR21" i="13" s="1"/>
  <c r="AU18" i="13"/>
  <c r="AV18" i="13" s="1"/>
  <c r="Q15" i="13"/>
  <c r="R15" i="13" s="1"/>
  <c r="V12" i="13"/>
  <c r="W12" i="13" s="1"/>
  <c r="Z9" i="13"/>
  <c r="AA9" i="13" s="1"/>
  <c r="AU5" i="13"/>
  <c r="AV5" i="13" s="1"/>
  <c r="AQ8" i="13"/>
  <c r="AR8" i="13" s="1"/>
  <c r="Q30" i="13"/>
  <c r="R30" i="13" s="1"/>
  <c r="AI26" i="13"/>
  <c r="AJ26" i="13" s="1"/>
  <c r="AO32" i="13"/>
  <c r="AP32" i="13" s="1"/>
  <c r="J29" i="13"/>
  <c r="K29" i="13" s="1"/>
  <c r="N26" i="13"/>
  <c r="O26" i="13" s="1"/>
  <c r="Z22" i="13"/>
  <c r="AA22" i="13" s="1"/>
  <c r="AD19" i="13"/>
  <c r="AE19" i="13" s="1"/>
  <c r="AU15" i="13"/>
  <c r="AV15" i="13" s="1"/>
  <c r="D13" i="13"/>
  <c r="E13" i="13" s="1"/>
  <c r="AB23" i="13"/>
  <c r="AC23" i="13" s="1"/>
  <c r="AK17" i="13"/>
  <c r="AL17" i="13" s="1"/>
  <c r="N11" i="13"/>
  <c r="O11" i="13" s="1"/>
  <c r="V6" i="13"/>
  <c r="W6" i="13" s="1"/>
  <c r="AO4" i="13"/>
  <c r="AP4" i="13" s="1"/>
  <c r="AQ23" i="13"/>
  <c r="AR23" i="13" s="1"/>
  <c r="X11" i="13"/>
  <c r="Y11" i="13" s="1"/>
  <c r="J30" i="13"/>
  <c r="K30" i="13" s="1"/>
  <c r="D22" i="13"/>
  <c r="E22" i="13" s="1"/>
  <c r="Z15" i="13"/>
  <c r="AA15" i="13" s="1"/>
  <c r="F10" i="13"/>
  <c r="G10" i="13" s="1"/>
  <c r="AO11" i="13"/>
  <c r="AP11" i="13" s="1"/>
  <c r="T10" i="13"/>
  <c r="U10" i="13" s="1"/>
  <c r="D28" i="13"/>
  <c r="E28" i="13" s="1"/>
  <c r="AB20" i="13"/>
  <c r="AC20" i="13" s="1"/>
  <c r="AB10" i="13"/>
  <c r="AC10" i="13" s="1"/>
  <c r="J12" i="13"/>
  <c r="K12" i="13" s="1"/>
  <c r="X5" i="13"/>
  <c r="Y5" i="13" s="1"/>
  <c r="D29" i="13"/>
  <c r="E29" i="13" s="1"/>
  <c r="F21" i="13"/>
  <c r="G21" i="13" s="1"/>
  <c r="AB14" i="13"/>
  <c r="AC14" i="13" s="1"/>
  <c r="T9" i="13"/>
  <c r="U9" i="13" s="1"/>
  <c r="AK4" i="13"/>
  <c r="AL4" i="13" s="1"/>
  <c r="B13" i="13"/>
  <c r="C13" i="13" s="1"/>
  <c r="AU6" i="13"/>
  <c r="AV6" i="13" s="1"/>
  <c r="AO10" i="13"/>
  <c r="AP10" i="13" s="1"/>
  <c r="AD7" i="13"/>
  <c r="AE7" i="13" s="1"/>
  <c r="AU12" i="13"/>
  <c r="AV12" i="13" s="1"/>
  <c r="AK9" i="13"/>
  <c r="AL9" i="13" s="1"/>
  <c r="AQ24" i="13"/>
  <c r="AR24" i="13" s="1"/>
  <c r="N32" i="13"/>
  <c r="O32" i="13" s="1"/>
  <c r="AM32" i="13"/>
  <c r="AN32" i="13" s="1"/>
  <c r="Z6" i="13"/>
  <c r="AA6" i="13" s="1"/>
  <c r="AS14" i="13"/>
  <c r="AT14" i="13" s="1"/>
  <c r="Z29" i="13"/>
  <c r="AA29" i="13" s="1"/>
  <c r="D5" i="13"/>
  <c r="E5" i="13" s="1"/>
  <c r="T5" i="13"/>
  <c r="U5" i="13" s="1"/>
  <c r="AS6" i="13"/>
  <c r="AT6" i="13" s="1"/>
  <c r="AB15" i="13"/>
  <c r="AC15" i="13" s="1"/>
  <c r="X28" i="13"/>
  <c r="Y28" i="13" s="1"/>
  <c r="AF30" i="13"/>
  <c r="AG30" i="13" s="1"/>
  <c r="AQ28" i="13"/>
  <c r="AR28" i="13" s="1"/>
  <c r="L5" i="13"/>
  <c r="M5" i="13" s="1"/>
  <c r="AU10" i="13"/>
  <c r="AV10" i="13" s="1"/>
  <c r="AU14" i="13"/>
  <c r="AV14" i="13" s="1"/>
  <c r="AM20" i="13"/>
  <c r="AN20" i="13" s="1"/>
  <c r="AK26" i="13"/>
  <c r="AL26" i="13" s="1"/>
  <c r="AK30" i="13"/>
  <c r="AL30" i="13" s="1"/>
  <c r="AK6" i="13"/>
  <c r="AL6" i="13" s="1"/>
  <c r="X12" i="13"/>
  <c r="Y12" i="13" s="1"/>
  <c r="N18" i="13"/>
  <c r="O18" i="13" s="1"/>
  <c r="N22" i="13"/>
  <c r="O22" i="13" s="1"/>
  <c r="L28" i="13"/>
  <c r="M28" i="13" s="1"/>
  <c r="AD9" i="13"/>
  <c r="AE9" i="13" s="1"/>
  <c r="AI14" i="13"/>
  <c r="AJ14" i="13" s="1"/>
  <c r="V19" i="13"/>
  <c r="W19" i="13" s="1"/>
  <c r="T25" i="13"/>
  <c r="U25" i="13" s="1"/>
  <c r="T29" i="13"/>
  <c r="U29" i="13" s="1"/>
  <c r="N16" i="13"/>
  <c r="O16" i="13" s="1"/>
  <c r="AB11" i="13"/>
  <c r="AC11" i="13" s="1"/>
  <c r="AF21" i="13"/>
  <c r="AG21" i="13" s="1"/>
  <c r="AS8" i="13"/>
  <c r="AT8" i="13" s="1"/>
  <c r="H24" i="13"/>
  <c r="I24" i="13" s="1"/>
  <c r="L12" i="13"/>
  <c r="M12" i="13" s="1"/>
  <c r="AS26" i="13"/>
  <c r="AT26" i="13" s="1"/>
  <c r="Z8" i="13"/>
  <c r="AA8" i="13" s="1"/>
  <c r="F6" i="13"/>
  <c r="G6" i="13" s="1"/>
  <c r="AD6" i="13"/>
  <c r="AE6" i="13" s="1"/>
  <c r="F18" i="13"/>
  <c r="G18" i="13" s="1"/>
  <c r="AU31" i="13"/>
  <c r="AV31" i="13" s="1"/>
  <c r="Z25" i="13"/>
  <c r="AA25" i="13" s="1"/>
  <c r="AI12" i="13"/>
  <c r="AJ12" i="13" s="1"/>
  <c r="AI16" i="13"/>
  <c r="AJ16" i="13" s="1"/>
  <c r="L24" i="13"/>
  <c r="M24" i="13" s="1"/>
  <c r="T16" i="13"/>
  <c r="U16" i="13" s="1"/>
  <c r="AK13" i="13"/>
  <c r="AL13" i="13" s="1"/>
  <c r="AI4" i="13"/>
  <c r="AJ4" i="13" s="1"/>
  <c r="AF19" i="13"/>
  <c r="AG19" i="13" s="1"/>
  <c r="T18" i="13"/>
  <c r="U18" i="13" s="1"/>
  <c r="N6" i="13"/>
  <c r="O6" i="13" s="1"/>
  <c r="AB8" i="13"/>
  <c r="AC8" i="13" s="1"/>
  <c r="X24" i="13"/>
  <c r="Y24" i="13" s="1"/>
  <c r="X6" i="13"/>
  <c r="Y6" i="13" s="1"/>
  <c r="B7" i="13"/>
  <c r="C7" i="13" s="1"/>
  <c r="Q17" i="13"/>
  <c r="R17" i="13" s="1"/>
  <c r="AB26" i="13"/>
  <c r="AC26" i="13" s="1"/>
  <c r="AO29" i="13"/>
  <c r="AP29" i="13" s="1"/>
  <c r="J8" i="13"/>
  <c r="K8" i="13" s="1"/>
  <c r="X22" i="13"/>
  <c r="Y22" i="13" s="1"/>
  <c r="T20" i="13"/>
  <c r="U20" i="13" s="1"/>
  <c r="D6" i="13"/>
  <c r="E6" i="13" s="1"/>
  <c r="F24" i="13"/>
  <c r="G24" i="13" s="1"/>
  <c r="X32" i="13"/>
  <c r="Y32" i="13" s="1"/>
  <c r="AB24" i="13"/>
  <c r="AC24" i="13" s="1"/>
  <c r="AF8" i="13"/>
  <c r="AG8" i="13" s="1"/>
  <c r="AK24" i="13"/>
  <c r="AL24" i="13" s="1"/>
  <c r="AU32" i="13"/>
  <c r="AV32" i="13" s="1"/>
  <c r="AI9" i="13"/>
  <c r="AJ9" i="13" s="1"/>
  <c r="AF27" i="13"/>
  <c r="AG27" i="13" s="1"/>
  <c r="AM9" i="13"/>
  <c r="AN9" i="13" s="1"/>
  <c r="D18" i="13"/>
  <c r="E18" i="13" s="1"/>
  <c r="AD30" i="13"/>
  <c r="AE30" i="13" s="1"/>
  <c r="AO18" i="13"/>
  <c r="AP18" i="13" s="1"/>
  <c r="Q9" i="13"/>
  <c r="R9" i="13" s="1"/>
  <c r="N4" i="13"/>
  <c r="O4" i="13" s="1"/>
  <c r="T12" i="13"/>
  <c r="U12" i="13" s="1"/>
  <c r="N23" i="13"/>
  <c r="O23" i="13" s="1"/>
  <c r="Q4" i="13"/>
  <c r="R4" i="13" s="1"/>
  <c r="AO19" i="13"/>
  <c r="AP19" i="13" s="1"/>
  <c r="AI28" i="13"/>
  <c r="AJ28" i="13" s="1"/>
  <c r="AK7" i="13"/>
  <c r="AL7" i="13" s="1"/>
  <c r="H19" i="13"/>
  <c r="I19" i="13" s="1"/>
  <c r="H29" i="13"/>
  <c r="I29" i="13" s="1"/>
  <c r="F9" i="13"/>
  <c r="G9" i="13" s="1"/>
  <c r="AU8" i="13"/>
  <c r="AV8" i="13" s="1"/>
  <c r="H10" i="13"/>
  <c r="I10" i="13" s="1"/>
  <c r="AF20" i="13"/>
  <c r="AG20" i="13" s="1"/>
  <c r="N31" i="13"/>
  <c r="O31" i="13" s="1"/>
  <c r="AQ14" i="13"/>
  <c r="AR14" i="13" s="1"/>
  <c r="AI20" i="13"/>
  <c r="AJ20" i="13" s="1"/>
  <c r="AB25" i="13"/>
  <c r="AC25" i="13" s="1"/>
  <c r="T32" i="13"/>
  <c r="U32" i="13" s="1"/>
  <c r="AM16" i="13"/>
  <c r="AN16" i="13" s="1"/>
  <c r="D8" i="13"/>
  <c r="E8" i="13" s="1"/>
  <c r="Q16" i="13"/>
  <c r="R16" i="13" s="1"/>
  <c r="AQ32" i="13"/>
  <c r="AR32" i="13" s="1"/>
  <c r="H8" i="13"/>
  <c r="I8" i="13" s="1"/>
  <c r="J22" i="13"/>
  <c r="K22" i="13" s="1"/>
  <c r="AB30" i="13"/>
  <c r="AC30" i="13" s="1"/>
  <c r="V10" i="13"/>
  <c r="W10" i="13" s="1"/>
  <c r="AM18" i="13"/>
  <c r="AN18" i="13" s="1"/>
  <c r="AF31" i="13"/>
  <c r="AG31" i="13" s="1"/>
  <c r="AM25" i="13"/>
  <c r="AN25" i="13" s="1"/>
  <c r="N20" i="13"/>
  <c r="O20" i="13" s="1"/>
  <c r="Z5" i="13"/>
  <c r="AA5" i="13" s="1"/>
  <c r="X10" i="13"/>
  <c r="Y10" i="13" s="1"/>
  <c r="J6" i="13"/>
  <c r="K6" i="13" s="1"/>
  <c r="F13" i="13"/>
  <c r="G13" i="13" s="1"/>
  <c r="F25" i="13"/>
  <c r="G25" i="13" s="1"/>
  <c r="AM5" i="13"/>
  <c r="AN5" i="13" s="1"/>
  <c r="AK22" i="13"/>
  <c r="AL22" i="13" s="1"/>
  <c r="AM4" i="13"/>
  <c r="AN4" i="13" s="1"/>
  <c r="X9" i="13"/>
  <c r="Y9" i="13" s="1"/>
  <c r="AQ19" i="13"/>
  <c r="AR19" i="13" s="1"/>
  <c r="AS12" i="13"/>
  <c r="AT12" i="13" s="1"/>
  <c r="V4" i="13"/>
  <c r="W4" i="13" s="1"/>
  <c r="AM10" i="13"/>
  <c r="AN10" i="13" s="1"/>
  <c r="T21" i="13"/>
  <c r="U21" i="13" s="1"/>
  <c r="L15" i="13"/>
  <c r="M15" i="13" s="1"/>
  <c r="D21" i="13"/>
  <c r="E21" i="13" s="1"/>
  <c r="AS25" i="13"/>
  <c r="AT25" i="13" s="1"/>
  <c r="B31" i="13"/>
  <c r="C31" i="13" s="1"/>
  <c r="AD29" i="13"/>
  <c r="AE29" i="13" s="1"/>
  <c r="AD5" i="13"/>
  <c r="AE5" i="13" s="1"/>
  <c r="Q11" i="13"/>
  <c r="R11" i="13" s="1"/>
  <c r="H17" i="13"/>
  <c r="I17" i="13" s="1"/>
  <c r="H21" i="13"/>
  <c r="I21" i="13" s="1"/>
  <c r="F27" i="13"/>
  <c r="G27" i="13" s="1"/>
  <c r="F31" i="13"/>
  <c r="G31" i="13" s="1"/>
  <c r="V16" i="13"/>
  <c r="W16" i="13" s="1"/>
  <c r="AI8" i="13"/>
  <c r="AJ8" i="13" s="1"/>
  <c r="AO12" i="13"/>
  <c r="AP12" i="13" s="1"/>
  <c r="AF18" i="13"/>
  <c r="AG18" i="13" s="1"/>
  <c r="AF22" i="13"/>
  <c r="AG22" i="13" s="1"/>
  <c r="AD28" i="13"/>
  <c r="AE28" i="13" s="1"/>
  <c r="AU9" i="13"/>
  <c r="AV9" i="13" s="1"/>
  <c r="D15" i="13"/>
  <c r="E15" i="13" s="1"/>
  <c r="AM19" i="13"/>
  <c r="AN19" i="13" s="1"/>
  <c r="AK25" i="13"/>
  <c r="AL25" i="13" s="1"/>
  <c r="AO30" i="13"/>
  <c r="AP30" i="13" s="1"/>
  <c r="L16" i="13"/>
  <c r="M16" i="13" s="1"/>
  <c r="L4" i="13"/>
  <c r="M4" i="13" s="1"/>
  <c r="AD27" i="13"/>
  <c r="AE27" i="13" s="1"/>
  <c r="AD16" i="13"/>
  <c r="AE16" i="13" s="1"/>
  <c r="F32" i="13"/>
  <c r="G32" i="13" s="1"/>
  <c r="H32" i="13"/>
  <c r="I32" i="13" s="1"/>
  <c r="AM8" i="13"/>
  <c r="AN8" i="13" s="1"/>
  <c r="B24" i="13"/>
  <c r="C24" i="13" s="1"/>
  <c r="V28" i="13"/>
  <c r="W28" i="13" s="1"/>
  <c r="AS10" i="13"/>
  <c r="AT10" i="13" s="1"/>
  <c r="AI21" i="13"/>
  <c r="AJ21" i="13" s="1"/>
  <c r="AD31" i="13"/>
  <c r="AE31" i="13" s="1"/>
  <c r="B21" i="13"/>
  <c r="C21" i="13" s="1"/>
  <c r="N17" i="13"/>
  <c r="O17" i="13" s="1"/>
  <c r="F11" i="13"/>
  <c r="G11" i="13" s="1"/>
  <c r="AF6" i="13"/>
  <c r="AG6" i="13" s="1"/>
  <c r="AO13" i="13"/>
  <c r="AP13" i="13" s="1"/>
  <c r="H26" i="13"/>
  <c r="I26" i="13" s="1"/>
  <c r="AK20" i="13"/>
  <c r="AL20" i="13" s="1"/>
  <c r="AM6" i="13"/>
  <c r="AN6" i="13" s="1"/>
  <c r="X23" i="13"/>
  <c r="Y23" i="13" s="1"/>
  <c r="L6" i="13"/>
  <c r="M6" i="13" s="1"/>
  <c r="AQ11" i="13"/>
  <c r="AR11" i="13" s="1"/>
  <c r="AD20" i="13"/>
  <c r="AE20" i="13" s="1"/>
  <c r="AK18" i="13"/>
  <c r="AL18" i="13" s="1"/>
  <c r="AU4" i="13"/>
  <c r="AV4" i="13" s="1"/>
  <c r="T13" i="13"/>
  <c r="U13" i="13" s="1"/>
  <c r="F22" i="13"/>
  <c r="G22" i="13" s="1"/>
  <c r="AD15" i="13"/>
  <c r="AE15" i="13" s="1"/>
  <c r="V21" i="13"/>
  <c r="W21" i="13" s="1"/>
  <c r="T27" i="13"/>
  <c r="U27" i="13" s="1"/>
  <c r="T31" i="13"/>
  <c r="U31" i="13" s="1"/>
  <c r="AF23" i="13"/>
  <c r="AG23" i="13" s="1"/>
  <c r="AU29" i="13"/>
  <c r="AV29" i="13" s="1"/>
  <c r="D7" i="13"/>
  <c r="E7" i="13" s="1"/>
  <c r="AI11" i="13"/>
  <c r="AJ11" i="13" s="1"/>
  <c r="Z17" i="13"/>
  <c r="AA17" i="13" s="1"/>
  <c r="Z21" i="13"/>
  <c r="AA21" i="13" s="1"/>
  <c r="X27" i="13"/>
  <c r="Y27" i="13" s="1"/>
  <c r="L25" i="13"/>
  <c r="M25" i="13" s="1"/>
  <c r="J9" i="13"/>
  <c r="K9" i="13" s="1"/>
  <c r="J13" i="13"/>
  <c r="K13" i="13" s="1"/>
  <c r="B19" i="13"/>
  <c r="C19" i="13" s="1"/>
  <c r="AO24" i="13"/>
  <c r="AP24" i="13" s="1"/>
  <c r="AU28" i="13"/>
  <c r="AV28" i="13" s="1"/>
  <c r="Q10" i="13"/>
  <c r="R10" i="13" s="1"/>
  <c r="V15" i="13"/>
  <c r="W15" i="13" s="1"/>
  <c r="L21" i="13"/>
  <c r="M21" i="13" s="1"/>
  <c r="F26" i="13"/>
  <c r="G26" i="13" s="1"/>
  <c r="J31" i="13"/>
  <c r="K31" i="13" s="1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C77" i="18"/>
  <c r="D65" i="12"/>
  <c r="E65" i="12"/>
  <c r="F65" i="12"/>
  <c r="G65" i="12"/>
  <c r="H65" i="12"/>
  <c r="I65" i="12"/>
  <c r="C65" i="12"/>
  <c r="D64" i="12"/>
  <c r="E64" i="12"/>
  <c r="F64" i="12"/>
  <c r="G64" i="12"/>
  <c r="H64" i="12"/>
  <c r="I64" i="12"/>
  <c r="C64" i="12"/>
  <c r="D63" i="12"/>
  <c r="E63" i="12"/>
  <c r="F63" i="12"/>
  <c r="G63" i="12"/>
  <c r="H63" i="12"/>
  <c r="I63" i="12"/>
  <c r="C63" i="12"/>
  <c r="A213" i="1"/>
  <c r="B213" i="1" s="1"/>
  <c r="C66" i="12" l="1"/>
  <c r="E66" i="12"/>
  <c r="D66" i="12"/>
  <c r="I66" i="12"/>
  <c r="H66" i="12"/>
  <c r="G66" i="12"/>
  <c r="F66" i="12"/>
  <c r="C137" i="1"/>
  <c r="A6" i="14" l="1"/>
  <c r="A7" i="14"/>
  <c r="A12" i="14"/>
  <c r="A11" i="14"/>
  <c r="A10" i="14"/>
  <c r="A9" i="14"/>
  <c r="A8" i="14" l="1"/>
  <c r="A13" i="14"/>
  <c r="A208" i="1" l="1"/>
  <c r="B208" i="1" s="1"/>
  <c r="A209" i="1"/>
  <c r="B209" i="1" s="1"/>
  <c r="A210" i="1"/>
  <c r="B210" i="1" s="1"/>
  <c r="A211" i="1"/>
  <c r="B211" i="1" s="1"/>
  <c r="A212" i="1"/>
  <c r="B212" i="1" s="1"/>
  <c r="A204" i="1"/>
  <c r="B204" i="1" s="1"/>
  <c r="A205" i="1"/>
  <c r="B205" i="1" s="1"/>
  <c r="A206" i="1"/>
  <c r="B206" i="1" s="1"/>
  <c r="A207" i="1"/>
  <c r="B207" i="1" s="1"/>
  <c r="A194" i="1"/>
  <c r="A195" i="1"/>
  <c r="A196" i="1"/>
  <c r="A197" i="1"/>
  <c r="A198" i="1"/>
  <c r="A199" i="1"/>
  <c r="A200" i="1"/>
  <c r="A201" i="1"/>
  <c r="A202" i="1"/>
  <c r="B202" i="1" s="1"/>
  <c r="A203" i="1"/>
  <c r="B203" i="1" s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7" i="1"/>
  <c r="A188" i="1"/>
  <c r="A189" i="1"/>
  <c r="A190" i="1"/>
  <c r="A191" i="1"/>
  <c r="A192" i="1"/>
  <c r="A193" i="1"/>
  <c r="A3" i="11"/>
  <c r="X103" i="18" l="1"/>
  <c r="X104" i="18"/>
  <c r="A182" i="1"/>
  <c r="A181" i="1"/>
  <c r="A4" i="14" l="1"/>
  <c r="X4" i="1" l="1"/>
  <c r="X7" i="18"/>
  <c r="X8" i="18"/>
  <c r="D77" i="18" l="1"/>
  <c r="E77" i="18"/>
  <c r="F77" i="18"/>
  <c r="G77" i="18"/>
  <c r="H77" i="18"/>
  <c r="I77" i="18"/>
  <c r="F137" i="1" l="1"/>
  <c r="H137" i="1"/>
  <c r="E137" i="1"/>
  <c r="I137" i="1"/>
  <c r="G137" i="1"/>
  <c r="D137" i="1"/>
  <c r="CI1" i="11" l="1"/>
  <c r="CB1" i="11"/>
  <c r="A3" i="19"/>
  <c r="CI1" i="22"/>
  <c r="CB1" i="22"/>
  <c r="C3" i="14"/>
  <c r="C71" i="14" s="1"/>
  <c r="AB2" i="14"/>
  <c r="Q1" i="14"/>
  <c r="Q69" i="14" s="1"/>
  <c r="J1" i="14"/>
  <c r="J69" i="14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Q1" i="12"/>
  <c r="Q71" i="12" s="1"/>
  <c r="J1" i="12"/>
  <c r="J71" i="12" s="1"/>
  <c r="C1" i="12"/>
  <c r="C71" i="12" s="1"/>
  <c r="A89" i="18"/>
  <c r="B89" i="18" s="1"/>
  <c r="I79" i="18"/>
  <c r="I139" i="1" s="1"/>
  <c r="H79" i="18"/>
  <c r="H139" i="1" s="1"/>
  <c r="G79" i="18"/>
  <c r="G139" i="1" s="1"/>
  <c r="F79" i="18"/>
  <c r="F139" i="1" s="1"/>
  <c r="E79" i="18"/>
  <c r="E139" i="1" s="1"/>
  <c r="D79" i="18"/>
  <c r="D139" i="1" s="1"/>
  <c r="C79" i="18"/>
  <c r="C139" i="1" s="1"/>
  <c r="I78" i="18"/>
  <c r="H78" i="18"/>
  <c r="G78" i="18"/>
  <c r="F78" i="18"/>
  <c r="E78" i="18"/>
  <c r="D78" i="18"/>
  <c r="C78" i="18"/>
  <c r="X6" i="18"/>
  <c r="X5" i="18"/>
  <c r="X4" i="18"/>
  <c r="Q1" i="18"/>
  <c r="Q86" i="18" s="1"/>
  <c r="J1" i="18"/>
  <c r="J86" i="18" s="1"/>
  <c r="C1" i="18"/>
  <c r="C86" i="18" s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D148" i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Q146" i="1"/>
  <c r="J146" i="1"/>
  <c r="C146" i="1"/>
  <c r="Y3" i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AD39" i="22" l="1"/>
  <c r="AE39" i="22" s="1"/>
  <c r="AB39" i="22"/>
  <c r="AC39" i="22" s="1"/>
  <c r="T39" i="22"/>
  <c r="U39" i="22" s="1"/>
  <c r="D39" i="22"/>
  <c r="E39" i="22" s="1"/>
  <c r="AO39" i="11"/>
  <c r="AP39" i="11" s="1"/>
  <c r="AU39" i="22"/>
  <c r="AV39" i="22" s="1"/>
  <c r="AF39" i="22"/>
  <c r="AG39" i="22" s="1"/>
  <c r="H39" i="11"/>
  <c r="I39" i="11" s="1"/>
  <c r="AB39" i="11"/>
  <c r="AC39" i="11" s="1"/>
  <c r="AU39" i="11"/>
  <c r="AV39" i="11" s="1"/>
  <c r="V39" i="22"/>
  <c r="W39" i="22" s="1"/>
  <c r="AM39" i="22"/>
  <c r="AN39" i="22" s="1"/>
  <c r="X39" i="22"/>
  <c r="Y39" i="22" s="1"/>
  <c r="Q39" i="11"/>
  <c r="R39" i="11" s="1"/>
  <c r="AK39" i="11"/>
  <c r="AL39" i="11" s="1"/>
  <c r="F39" i="11"/>
  <c r="G39" i="11" s="1"/>
  <c r="J39" i="22"/>
  <c r="K39" i="22" s="1"/>
  <c r="AQ39" i="22"/>
  <c r="AR39" i="22" s="1"/>
  <c r="N39" i="22"/>
  <c r="O39" i="22" s="1"/>
  <c r="B39" i="22"/>
  <c r="C39" i="22" s="1"/>
  <c r="Z39" i="11"/>
  <c r="AA39" i="11" s="1"/>
  <c r="AS39" i="11"/>
  <c r="AT39" i="11" s="1"/>
  <c r="N39" i="11"/>
  <c r="O39" i="11" s="1"/>
  <c r="AS39" i="22"/>
  <c r="AT39" i="22" s="1"/>
  <c r="AI39" i="22"/>
  <c r="AJ39" i="22" s="1"/>
  <c r="F39" i="22"/>
  <c r="G39" i="22" s="1"/>
  <c r="L39" i="22"/>
  <c r="M39" i="22" s="1"/>
  <c r="AI39" i="11"/>
  <c r="AJ39" i="11" s="1"/>
  <c r="D39" i="11"/>
  <c r="E39" i="11" s="1"/>
  <c r="X39" i="11"/>
  <c r="Y39" i="11" s="1"/>
  <c r="Z39" i="22"/>
  <c r="AA39" i="22" s="1"/>
  <c r="AK39" i="22"/>
  <c r="AL39" i="22" s="1"/>
  <c r="AQ39" i="11"/>
  <c r="AR39" i="11" s="1"/>
  <c r="L39" i="11"/>
  <c r="M39" i="11" s="1"/>
  <c r="AF39" i="11"/>
  <c r="AG39" i="11" s="1"/>
  <c r="Q39" i="22"/>
  <c r="R39" i="22" s="1"/>
  <c r="B39" i="11"/>
  <c r="C39" i="11" s="1"/>
  <c r="V39" i="11"/>
  <c r="W39" i="11" s="1"/>
  <c r="H39" i="22"/>
  <c r="I39" i="22" s="1"/>
  <c r="J39" i="11"/>
  <c r="K39" i="11" s="1"/>
  <c r="AD39" i="11"/>
  <c r="AE39" i="11" s="1"/>
  <c r="AO39" i="22"/>
  <c r="AP39" i="22" s="1"/>
  <c r="T39" i="11"/>
  <c r="U39" i="11" s="1"/>
  <c r="AM39" i="11"/>
  <c r="AN39" i="11" s="1"/>
  <c r="G80" i="18"/>
  <c r="G83" i="18" s="1"/>
  <c r="G84" i="18" s="1"/>
  <c r="F80" i="18"/>
  <c r="F83" i="18" s="1"/>
  <c r="F84" i="18" s="1"/>
  <c r="E80" i="18"/>
  <c r="E83" i="18" s="1"/>
  <c r="E84" i="18" s="1"/>
  <c r="D80" i="18"/>
  <c r="D83" i="18" s="1"/>
  <c r="D84" i="18" s="1"/>
  <c r="H80" i="18"/>
  <c r="H83" i="18" s="1"/>
  <c r="H84" i="18" s="1"/>
  <c r="C80" i="18"/>
  <c r="C83" i="18" s="1"/>
  <c r="C84" i="18" s="1"/>
  <c r="I80" i="18"/>
  <c r="I83" i="18" s="1"/>
  <c r="I84" i="18" s="1"/>
  <c r="X92" i="18"/>
  <c r="X100" i="18"/>
  <c r="X96" i="18"/>
  <c r="X91" i="18"/>
  <c r="X90" i="18"/>
  <c r="X94" i="18"/>
  <c r="X98" i="18"/>
  <c r="X102" i="18"/>
  <c r="X99" i="18"/>
  <c r="X95" i="18"/>
  <c r="X93" i="18"/>
  <c r="X97" i="18"/>
  <c r="X101" i="18"/>
  <c r="O83" i="18"/>
  <c r="O84" i="18" s="1"/>
  <c r="C138" i="1"/>
  <c r="C140" i="1" s="1"/>
  <c r="Q83" i="18"/>
  <c r="Q84" i="18" s="1"/>
  <c r="S83" i="18"/>
  <c r="S84" i="18" s="1"/>
  <c r="T83" i="18"/>
  <c r="T84" i="18" s="1"/>
  <c r="N83" i="18"/>
  <c r="N84" i="18" s="1"/>
  <c r="M83" i="18"/>
  <c r="M84" i="18" s="1"/>
  <c r="U83" i="18"/>
  <c r="U84" i="18" s="1"/>
  <c r="AB8" i="1"/>
  <c r="A3" i="13"/>
  <c r="AQ3" i="13" s="1"/>
  <c r="AB4" i="1"/>
  <c r="AF3" i="19"/>
  <c r="AG3" i="19" s="1"/>
  <c r="X75" i="14"/>
  <c r="X73" i="14"/>
  <c r="X74" i="14"/>
  <c r="X79" i="14"/>
  <c r="X77" i="14"/>
  <c r="X72" i="14"/>
  <c r="X76" i="14"/>
  <c r="F138" i="1"/>
  <c r="F140" i="1" s="1"/>
  <c r="G138" i="1"/>
  <c r="G140" i="1" s="1"/>
  <c r="E138" i="1"/>
  <c r="E140" i="1" s="1"/>
  <c r="X80" i="14"/>
  <c r="X78" i="14"/>
  <c r="F67" i="12"/>
  <c r="H138" i="1"/>
  <c r="H140" i="1" s="1"/>
  <c r="E67" i="12"/>
  <c r="L3" i="11"/>
  <c r="M3" i="11" s="1"/>
  <c r="AI3" i="11"/>
  <c r="AJ3" i="11" s="1"/>
  <c r="B3" i="19"/>
  <c r="C3" i="19" s="1"/>
  <c r="AM3" i="11"/>
  <c r="AN3" i="11" s="1"/>
  <c r="X89" i="18"/>
  <c r="Q3" i="19"/>
  <c r="R3" i="19" s="1"/>
  <c r="AI3" i="19"/>
  <c r="AJ3" i="19" s="1"/>
  <c r="T3" i="11"/>
  <c r="AO3" i="11"/>
  <c r="AP3" i="11" s="1"/>
  <c r="C88" i="18"/>
  <c r="D88" i="18" s="1"/>
  <c r="E88" i="18" s="1"/>
  <c r="F88" i="18" s="1"/>
  <c r="G88" i="18" s="1"/>
  <c r="H88" i="18" s="1"/>
  <c r="I88" i="18" s="1"/>
  <c r="J88" i="18" s="1"/>
  <c r="K88" i="18" s="1"/>
  <c r="L88" i="18" s="1"/>
  <c r="M88" i="18" s="1"/>
  <c r="N88" i="18" s="1"/>
  <c r="O88" i="18" s="1"/>
  <c r="P88" i="18" s="1"/>
  <c r="Q88" i="18" s="1"/>
  <c r="R88" i="18" s="1"/>
  <c r="S88" i="18" s="1"/>
  <c r="T88" i="18" s="1"/>
  <c r="U88" i="18" s="1"/>
  <c r="V88" i="18" s="1"/>
  <c r="W88" i="18" s="1"/>
  <c r="V3" i="11"/>
  <c r="W3" i="11" s="1"/>
  <c r="AQ3" i="11"/>
  <c r="AR3" i="11" s="1"/>
  <c r="Y3" i="12"/>
  <c r="B3" i="11"/>
  <c r="C3" i="11" s="1"/>
  <c r="X3" i="11"/>
  <c r="Y3" i="11" s="1"/>
  <c r="AS3" i="11"/>
  <c r="AT3" i="11" s="1"/>
  <c r="D3" i="11"/>
  <c r="Z3" i="11"/>
  <c r="AA3" i="11" s="1"/>
  <c r="AU3" i="11"/>
  <c r="AV3" i="11" s="1"/>
  <c r="F3" i="11"/>
  <c r="G3" i="11" s="1"/>
  <c r="AB3" i="11"/>
  <c r="AC3" i="11" s="1"/>
  <c r="H3" i="11"/>
  <c r="I3" i="11" s="1"/>
  <c r="AD3" i="11"/>
  <c r="AE3" i="11" s="1"/>
  <c r="J3" i="11"/>
  <c r="K3" i="11" s="1"/>
  <c r="AK3" i="11"/>
  <c r="AL3" i="11" s="1"/>
  <c r="X81" i="14"/>
  <c r="X149" i="1"/>
  <c r="AB7" i="1"/>
  <c r="C1" i="14"/>
  <c r="C69" i="14" s="1"/>
  <c r="D3" i="14"/>
  <c r="C73" i="12"/>
  <c r="D73" i="12" s="1"/>
  <c r="E73" i="12" s="1"/>
  <c r="F73" i="12" s="1"/>
  <c r="G73" i="12" s="1"/>
  <c r="H73" i="12" s="1"/>
  <c r="I73" i="12" s="1"/>
  <c r="J73" i="12" s="1"/>
  <c r="K73" i="12" s="1"/>
  <c r="L73" i="12" s="1"/>
  <c r="M73" i="12" s="1"/>
  <c r="N73" i="12" s="1"/>
  <c r="O73" i="12" s="1"/>
  <c r="P73" i="12" s="1"/>
  <c r="Q73" i="12" s="1"/>
  <c r="R73" i="12" s="1"/>
  <c r="S73" i="12" s="1"/>
  <c r="T73" i="12" s="1"/>
  <c r="U73" i="12" s="1"/>
  <c r="V73" i="12" s="1"/>
  <c r="W73" i="12" s="1"/>
  <c r="Y3" i="14"/>
  <c r="H67" i="12"/>
  <c r="D67" i="12"/>
  <c r="AB6" i="1"/>
  <c r="AB5" i="1"/>
  <c r="AM3" i="22"/>
  <c r="AN3" i="22" s="1"/>
  <c r="V3" i="22"/>
  <c r="W3" i="22" s="1"/>
  <c r="D3" i="22"/>
  <c r="E3" i="22" s="1"/>
  <c r="AK3" i="22"/>
  <c r="AL3" i="22" s="1"/>
  <c r="T3" i="22"/>
  <c r="U3" i="22" s="1"/>
  <c r="B3" i="22"/>
  <c r="C3" i="22" s="1"/>
  <c r="AI3" i="22"/>
  <c r="AJ3" i="22" s="1"/>
  <c r="Q3" i="22"/>
  <c r="R3" i="22" s="1"/>
  <c r="X3" i="22"/>
  <c r="Y3" i="22" s="1"/>
  <c r="AF3" i="22"/>
  <c r="AG3" i="22" s="1"/>
  <c r="N3" i="22"/>
  <c r="O3" i="22" s="1"/>
  <c r="AU3" i="22"/>
  <c r="AV3" i="22" s="1"/>
  <c r="AD3" i="22"/>
  <c r="AE3" i="22" s="1"/>
  <c r="L3" i="22"/>
  <c r="M3" i="22" s="1"/>
  <c r="AS3" i="22"/>
  <c r="AT3" i="22" s="1"/>
  <c r="AB3" i="22"/>
  <c r="AC3" i="22" s="1"/>
  <c r="J3" i="22"/>
  <c r="K3" i="22" s="1"/>
  <c r="AO3" i="22"/>
  <c r="AP3" i="22" s="1"/>
  <c r="F3" i="22"/>
  <c r="G3" i="22" s="1"/>
  <c r="AQ3" i="22"/>
  <c r="AR3" i="22" s="1"/>
  <c r="Z3" i="22"/>
  <c r="AA3" i="22" s="1"/>
  <c r="H3" i="22"/>
  <c r="I3" i="22" s="1"/>
  <c r="N3" i="11"/>
  <c r="O3" i="11" s="1"/>
  <c r="AF3" i="11"/>
  <c r="AG3" i="11" s="1"/>
  <c r="Q3" i="11"/>
  <c r="R3" i="11" s="1"/>
  <c r="J83" i="18"/>
  <c r="J84" i="18" s="1"/>
  <c r="D138" i="1"/>
  <c r="D140" i="1" s="1"/>
  <c r="T3" i="19"/>
  <c r="U3" i="19" s="1"/>
  <c r="AK3" i="19"/>
  <c r="AL3" i="19" s="1"/>
  <c r="K83" i="18"/>
  <c r="K84" i="18" s="1"/>
  <c r="R83" i="18"/>
  <c r="R84" i="18" s="1"/>
  <c r="D3" i="19"/>
  <c r="E3" i="19" s="1"/>
  <c r="V3" i="19"/>
  <c r="W3" i="19" s="1"/>
  <c r="AM3" i="19"/>
  <c r="AN3" i="19" s="1"/>
  <c r="F3" i="19"/>
  <c r="G3" i="19" s="1"/>
  <c r="X3" i="19"/>
  <c r="Y3" i="19" s="1"/>
  <c r="AO3" i="19"/>
  <c r="AP3" i="19" s="1"/>
  <c r="H3" i="19"/>
  <c r="I3" i="19" s="1"/>
  <c r="Z3" i="19"/>
  <c r="AA3" i="19" s="1"/>
  <c r="AQ3" i="19"/>
  <c r="AR3" i="19" s="1"/>
  <c r="J3" i="19"/>
  <c r="K3" i="19" s="1"/>
  <c r="AB3" i="19"/>
  <c r="AC3" i="19" s="1"/>
  <c r="AS3" i="19"/>
  <c r="AT3" i="19" s="1"/>
  <c r="L3" i="19"/>
  <c r="AD3" i="19"/>
  <c r="AE3" i="19" s="1"/>
  <c r="AU3" i="19"/>
  <c r="AV3" i="19" s="1"/>
  <c r="N3" i="19"/>
  <c r="O3" i="19" s="1"/>
  <c r="V83" i="18"/>
  <c r="V84" i="18" s="1"/>
  <c r="P83" i="18"/>
  <c r="P84" i="18" s="1"/>
  <c r="L83" i="18"/>
  <c r="L84" i="18" s="1"/>
  <c r="W83" i="18"/>
  <c r="W84" i="18" s="1"/>
  <c r="I67" i="12"/>
  <c r="I138" i="1"/>
  <c r="I140" i="1" s="1"/>
  <c r="G67" i="12"/>
  <c r="AC3" i="12"/>
  <c r="C67" i="12"/>
  <c r="E3" i="11" l="1"/>
  <c r="U3" i="11"/>
  <c r="BJ26" i="22"/>
  <c r="BJ11" i="22"/>
  <c r="BJ4" i="22"/>
  <c r="BJ3" i="22"/>
  <c r="BJ8" i="22"/>
  <c r="BJ5" i="22"/>
  <c r="BJ10" i="22"/>
  <c r="BJ9" i="22"/>
  <c r="BJ7" i="22"/>
  <c r="BJ6" i="22"/>
  <c r="E3" i="14"/>
  <c r="D71" i="14"/>
  <c r="E143" i="1"/>
  <c r="E144" i="1" s="1"/>
  <c r="D143" i="1"/>
  <c r="D144" i="1" s="1"/>
  <c r="I143" i="1"/>
  <c r="I144" i="1" s="1"/>
  <c r="G143" i="1"/>
  <c r="G144" i="1" s="1"/>
  <c r="C141" i="1"/>
  <c r="H143" i="1"/>
  <c r="H144" i="1" s="1"/>
  <c r="T143" i="1"/>
  <c r="T144" i="1" s="1"/>
  <c r="K143" i="1"/>
  <c r="K144" i="1" s="1"/>
  <c r="L143" i="1"/>
  <c r="L144" i="1" s="1"/>
  <c r="V143" i="1"/>
  <c r="V144" i="1" s="1"/>
  <c r="F143" i="1"/>
  <c r="F144" i="1" s="1"/>
  <c r="AR3" i="13"/>
  <c r="N143" i="1"/>
  <c r="N144" i="1" s="1"/>
  <c r="L3" i="13"/>
  <c r="J3" i="13"/>
  <c r="H3" i="13"/>
  <c r="F3" i="13"/>
  <c r="D3" i="13"/>
  <c r="B3" i="13"/>
  <c r="N3" i="13"/>
  <c r="Q3" i="13"/>
  <c r="AU3" i="13"/>
  <c r="AD3" i="13"/>
  <c r="AF3" i="13"/>
  <c r="X3" i="13"/>
  <c r="AB3" i="13"/>
  <c r="AS3" i="13"/>
  <c r="Z3" i="13"/>
  <c r="V3" i="13"/>
  <c r="AK3" i="13"/>
  <c r="T3" i="13"/>
  <c r="AI3" i="13"/>
  <c r="AO3" i="13"/>
  <c r="AM3" i="13"/>
  <c r="AB6" i="18"/>
  <c r="G81" i="18"/>
  <c r="BU1" i="22"/>
  <c r="BU1" i="11"/>
  <c r="H81" i="18"/>
  <c r="D81" i="18"/>
  <c r="AB2" i="1"/>
  <c r="AB8" i="18"/>
  <c r="AB5" i="18"/>
  <c r="I81" i="18"/>
  <c r="BL12" i="19"/>
  <c r="BA22" i="19"/>
  <c r="BA22" i="22" s="1"/>
  <c r="BE11" i="19"/>
  <c r="BE11" i="22" s="1"/>
  <c r="BP11" i="19"/>
  <c r="BD5" i="19"/>
  <c r="BD5" i="22" s="1"/>
  <c r="M3" i="19"/>
  <c r="BF20" i="19" s="1"/>
  <c r="BF20" i="22" s="1"/>
  <c r="BB12" i="19"/>
  <c r="BB12" i="22" s="1"/>
  <c r="BL4" i="19"/>
  <c r="BL11" i="19"/>
  <c r="BK21" i="19"/>
  <c r="BC14" i="19"/>
  <c r="BC14" i="22" s="1"/>
  <c r="BL6" i="19"/>
  <c r="BP9" i="19"/>
  <c r="BL5" i="19"/>
  <c r="BE7" i="19"/>
  <c r="BE7" i="22" s="1"/>
  <c r="BL7" i="19"/>
  <c r="BL8" i="19"/>
  <c r="BO15" i="19"/>
  <c r="BL9" i="19"/>
  <c r="BL10" i="19"/>
  <c r="BA15" i="19"/>
  <c r="BA15" i="22" s="1"/>
  <c r="BL3" i="19"/>
  <c r="BE8" i="19"/>
  <c r="BE8" i="22" s="1"/>
  <c r="AZ22" i="19"/>
  <c r="AZ22" i="22" s="1"/>
  <c r="BB26" i="19"/>
  <c r="BB26" i="22" s="1"/>
  <c r="BP10" i="19"/>
  <c r="BB5" i="19"/>
  <c r="BB5" i="22" s="1"/>
  <c r="BA14" i="19"/>
  <c r="BA14" i="22" s="1"/>
  <c r="BB10" i="19"/>
  <c r="BB10" i="22" s="1"/>
  <c r="BP5" i="19"/>
  <c r="AZ12" i="19"/>
  <c r="AZ12" i="22" s="1"/>
  <c r="BA12" i="19"/>
  <c r="BA12" i="22" s="1"/>
  <c r="BB13" i="19"/>
  <c r="BB13" i="22" s="1"/>
  <c r="BB17" i="19"/>
  <c r="BB17" i="22" s="1"/>
  <c r="BB4" i="19"/>
  <c r="BB4" i="22" s="1"/>
  <c r="BB16" i="19"/>
  <c r="BB16" i="22" s="1"/>
  <c r="BB11" i="19"/>
  <c r="BB11" i="22" s="1"/>
  <c r="BW11" i="19"/>
  <c r="BB14" i="19"/>
  <c r="BB14" i="22" s="1"/>
  <c r="BA23" i="19"/>
  <c r="BA23" i="22" s="1"/>
  <c r="BB6" i="19"/>
  <c r="BB6" i="22" s="1"/>
  <c r="BA6" i="19"/>
  <c r="BA6" i="22" s="1"/>
  <c r="BP6" i="19"/>
  <c r="BA13" i="19"/>
  <c r="BA13" i="22" s="1"/>
  <c r="BA19" i="19"/>
  <c r="BA19" i="22" s="1"/>
  <c r="BP4" i="19"/>
  <c r="BB3" i="19"/>
  <c r="BB3" i="22" s="1"/>
  <c r="BB15" i="19"/>
  <c r="BB15" i="22" s="1"/>
  <c r="BP7" i="19"/>
  <c r="BA21" i="19"/>
  <c r="BA21" i="22" s="1"/>
  <c r="BA17" i="19"/>
  <c r="BA17" i="22" s="1"/>
  <c r="BP3" i="19"/>
  <c r="BC11" i="19"/>
  <c r="BC11" i="22" s="1"/>
  <c r="BB20" i="19"/>
  <c r="BB20" i="22" s="1"/>
  <c r="BP8" i="19"/>
  <c r="BA16" i="19"/>
  <c r="BA16" i="22" s="1"/>
  <c r="BA11" i="19"/>
  <c r="BA11" i="22" s="1"/>
  <c r="BA25" i="19"/>
  <c r="BA25" i="22" s="1"/>
  <c r="BB8" i="19"/>
  <c r="BB8" i="22" s="1"/>
  <c r="BA3" i="19"/>
  <c r="BA3" i="22" s="1"/>
  <c r="BA5" i="19"/>
  <c r="BA5" i="22" s="1"/>
  <c r="BA7" i="19"/>
  <c r="BA7" i="22" s="1"/>
  <c r="BB19" i="19"/>
  <c r="BB19" i="22" s="1"/>
  <c r="BE10" i="19"/>
  <c r="BE10" i="22" s="1"/>
  <c r="BA8" i="19"/>
  <c r="BA8" i="22" s="1"/>
  <c r="BE3" i="19"/>
  <c r="BE3" i="22" s="1"/>
  <c r="CI14" i="19"/>
  <c r="CF19" i="19"/>
  <c r="CM18" i="19"/>
  <c r="CD7" i="19"/>
  <c r="CO9" i="19"/>
  <c r="CN21" i="19"/>
  <c r="CF23" i="19"/>
  <c r="CH4" i="19"/>
  <c r="AZ13" i="19"/>
  <c r="AZ13" i="22" s="1"/>
  <c r="AZ26" i="19"/>
  <c r="AZ26" i="22" s="1"/>
  <c r="CN13" i="19"/>
  <c r="CN7" i="19"/>
  <c r="CG17" i="19"/>
  <c r="AZ17" i="19"/>
  <c r="AZ17" i="22" s="1"/>
  <c r="CD9" i="19"/>
  <c r="CI20" i="19"/>
  <c r="CD8" i="19"/>
  <c r="CN12" i="19"/>
  <c r="CF12" i="19"/>
  <c r="CH10" i="19"/>
  <c r="CG8" i="19"/>
  <c r="CI24" i="19"/>
  <c r="CN15" i="19"/>
  <c r="CF13" i="19"/>
  <c r="CN5" i="19"/>
  <c r="CG25" i="19"/>
  <c r="CN17" i="19"/>
  <c r="CF14" i="19"/>
  <c r="CH11" i="19"/>
  <c r="CN4" i="19"/>
  <c r="CJ10" i="19"/>
  <c r="AZ15" i="19"/>
  <c r="AZ15" i="22" s="1"/>
  <c r="CN20" i="19"/>
  <c r="CF16" i="19"/>
  <c r="AZ21" i="19"/>
  <c r="AZ21" i="22" s="1"/>
  <c r="BU22" i="19"/>
  <c r="CD6" i="19"/>
  <c r="CJ5" i="19"/>
  <c r="CM10" i="19"/>
  <c r="AZ23" i="19"/>
  <c r="AZ23" i="22" s="1"/>
  <c r="CJ4" i="19"/>
  <c r="CJ6" i="19"/>
  <c r="CN22" i="19"/>
  <c r="CF21" i="19"/>
  <c r="CN11" i="19"/>
  <c r="CN24" i="19"/>
  <c r="CF22" i="19"/>
  <c r="AZ25" i="19"/>
  <c r="AZ25" i="22" s="1"/>
  <c r="AZ14" i="19"/>
  <c r="AZ14" i="22" s="1"/>
  <c r="CD4" i="19"/>
  <c r="CF10" i="19"/>
  <c r="CF26" i="19"/>
  <c r="BO17" i="11"/>
  <c r="BO25" i="11"/>
  <c r="BN10" i="11"/>
  <c r="BP6" i="11"/>
  <c r="BN26" i="11"/>
  <c r="BP8" i="11"/>
  <c r="BN19" i="11"/>
  <c r="BO10" i="11"/>
  <c r="BL25" i="11"/>
  <c r="BL7" i="11"/>
  <c r="BJ9" i="11"/>
  <c r="BO12" i="11"/>
  <c r="BN11" i="11"/>
  <c r="BF7" i="11"/>
  <c r="BP17" i="11"/>
  <c r="BL11" i="11"/>
  <c r="BJ10" i="11"/>
  <c r="BO8" i="11"/>
  <c r="BN3" i="11"/>
  <c r="BL5" i="11"/>
  <c r="BO22" i="11"/>
  <c r="BP14" i="11"/>
  <c r="BJ8" i="11"/>
  <c r="BP16" i="11"/>
  <c r="BN23" i="11"/>
  <c r="BN5" i="11"/>
  <c r="BP15" i="11"/>
  <c r="BO14" i="11"/>
  <c r="BN25" i="11"/>
  <c r="BN6" i="11"/>
  <c r="BP9" i="11"/>
  <c r="BP12" i="11"/>
  <c r="BO23" i="11"/>
  <c r="BE21" i="11"/>
  <c r="BO5" i="11"/>
  <c r="BO16" i="11"/>
  <c r="BN12" i="11"/>
  <c r="BE11" i="11"/>
  <c r="BE22" i="11"/>
  <c r="BJ4" i="11"/>
  <c r="BO7" i="11"/>
  <c r="BN21" i="11"/>
  <c r="BN18" i="11"/>
  <c r="BP18" i="11"/>
  <c r="BN24" i="11"/>
  <c r="BJ11" i="11"/>
  <c r="BL4" i="11"/>
  <c r="BO6" i="11"/>
  <c r="BN20" i="11"/>
  <c r="BN15" i="11"/>
  <c r="BP5" i="11"/>
  <c r="BO26" i="11"/>
  <c r="BL6" i="11"/>
  <c r="BJ3" i="11"/>
  <c r="BO3" i="11"/>
  <c r="BO13" i="11"/>
  <c r="BO19" i="11"/>
  <c r="BN14" i="11"/>
  <c r="BP4" i="11"/>
  <c r="AZ5" i="11"/>
  <c r="BN9" i="11"/>
  <c r="BF3" i="11"/>
  <c r="BL10" i="11"/>
  <c r="BJ5" i="11"/>
  <c r="BN13" i="11"/>
  <c r="BO11" i="11"/>
  <c r="BN22" i="11"/>
  <c r="BN4" i="11"/>
  <c r="BP11" i="11"/>
  <c r="AZ6" i="11"/>
  <c r="BE9" i="11"/>
  <c r="BE6" i="11"/>
  <c r="BB10" i="11"/>
  <c r="BF6" i="11"/>
  <c r="AZ3" i="11"/>
  <c r="BA3" i="11"/>
  <c r="BE5" i="11"/>
  <c r="AZ4" i="11"/>
  <c r="BE7" i="11"/>
  <c r="BE20" i="11"/>
  <c r="BF4" i="11"/>
  <c r="AZ8" i="11"/>
  <c r="AZ9" i="11"/>
  <c r="BE4" i="11"/>
  <c r="BE23" i="11"/>
  <c r="BF11" i="11"/>
  <c r="BA7" i="11"/>
  <c r="AZ7" i="11"/>
  <c r="AZ10" i="11"/>
  <c r="BF5" i="11"/>
  <c r="BE16" i="11"/>
  <c r="BN7" i="11"/>
  <c r="BE8" i="11"/>
  <c r="BF9" i="11"/>
  <c r="AZ11" i="11"/>
  <c r="BO21" i="11"/>
  <c r="BE19" i="11"/>
  <c r="BE24" i="11"/>
  <c r="BE13" i="11"/>
  <c r="BE25" i="11"/>
  <c r="BE17" i="11"/>
  <c r="BA14" i="11"/>
  <c r="BF10" i="11"/>
  <c r="BE3" i="11"/>
  <c r="BE18" i="11"/>
  <c r="BL8" i="11"/>
  <c r="BJ6" i="11"/>
  <c r="BP3" i="11"/>
  <c r="BO9" i="11"/>
  <c r="BN17" i="11"/>
  <c r="BO20" i="11"/>
  <c r="BN8" i="11"/>
  <c r="BP7" i="11"/>
  <c r="BE26" i="11"/>
  <c r="BE15" i="11"/>
  <c r="BE12" i="11"/>
  <c r="BE14" i="11"/>
  <c r="BF8" i="11"/>
  <c r="BP13" i="11"/>
  <c r="BL9" i="11"/>
  <c r="BO24" i="11"/>
  <c r="BJ7" i="11"/>
  <c r="BO4" i="11"/>
  <c r="BO18" i="11"/>
  <c r="BN16" i="11"/>
  <c r="BO15" i="11"/>
  <c r="BL3" i="11"/>
  <c r="BP10" i="11"/>
  <c r="BE10" i="11"/>
  <c r="BA13" i="11"/>
  <c r="CO11" i="19"/>
  <c r="AZ14" i="11"/>
  <c r="AZ21" i="11"/>
  <c r="CO23" i="19"/>
  <c r="CO6" i="19"/>
  <c r="AZ22" i="11"/>
  <c r="AZ23" i="11"/>
  <c r="AZ12" i="11"/>
  <c r="AZ25" i="11"/>
  <c r="CO17" i="19"/>
  <c r="AZ19" i="11"/>
  <c r="AZ26" i="11"/>
  <c r="CO21" i="19"/>
  <c r="CO15" i="19"/>
  <c r="CD11" i="19"/>
  <c r="BL23" i="19"/>
  <c r="AZ13" i="11"/>
  <c r="AZ16" i="11"/>
  <c r="AZ18" i="11"/>
  <c r="CO24" i="19"/>
  <c r="AZ20" i="11"/>
  <c r="CO25" i="19"/>
  <c r="BM15" i="19"/>
  <c r="CO4" i="19"/>
  <c r="BA22" i="11"/>
  <c r="BA25" i="11"/>
  <c r="CJ11" i="19"/>
  <c r="CN16" i="19"/>
  <c r="CN25" i="19"/>
  <c r="CF18" i="19"/>
  <c r="CN8" i="19"/>
  <c r="CO12" i="19"/>
  <c r="CO18" i="19"/>
  <c r="CO20" i="19"/>
  <c r="CO5" i="19"/>
  <c r="BB7" i="19"/>
  <c r="BB7" i="22" s="1"/>
  <c r="BC25" i="19"/>
  <c r="BC25" i="22" s="1"/>
  <c r="BF6" i="19"/>
  <c r="BF6" i="22" s="1"/>
  <c r="BB21" i="19"/>
  <c r="BB21" i="22" s="1"/>
  <c r="BB9" i="19"/>
  <c r="BB9" i="22" s="1"/>
  <c r="BB22" i="19"/>
  <c r="BB22" i="22" s="1"/>
  <c r="BA24" i="19"/>
  <c r="BA24" i="22" s="1"/>
  <c r="BA18" i="19"/>
  <c r="BA18" i="22" s="1"/>
  <c r="BD11" i="19"/>
  <c r="BD11" i="22" s="1"/>
  <c r="BA4" i="19"/>
  <c r="BA4" i="22" s="1"/>
  <c r="BE6" i="19"/>
  <c r="BE6" i="22" s="1"/>
  <c r="CD10" i="19"/>
  <c r="CN19" i="19"/>
  <c r="CF11" i="19"/>
  <c r="CF20" i="19"/>
  <c r="AZ20" i="19"/>
  <c r="AZ20" i="22" s="1"/>
  <c r="CN6" i="19"/>
  <c r="CO10" i="19"/>
  <c r="CO22" i="19"/>
  <c r="CO8" i="19"/>
  <c r="CG16" i="19"/>
  <c r="BF4" i="19"/>
  <c r="BF4" i="22" s="1"/>
  <c r="BB24" i="19"/>
  <c r="BB24" i="22" s="1"/>
  <c r="BB18" i="19"/>
  <c r="BB18" i="22" s="1"/>
  <c r="BE4" i="19"/>
  <c r="BE4" i="22" s="1"/>
  <c r="BE9" i="19"/>
  <c r="BE9" i="22" s="1"/>
  <c r="BE24" i="19"/>
  <c r="BE24" i="22" s="1"/>
  <c r="BA20" i="19"/>
  <c r="BA20" i="22" s="1"/>
  <c r="BA26" i="19"/>
  <c r="BA26" i="22" s="1"/>
  <c r="BD24" i="19"/>
  <c r="BD24" i="22" s="1"/>
  <c r="BY3" i="19"/>
  <c r="BC4" i="19"/>
  <c r="BC4" i="22" s="1"/>
  <c r="BD12" i="19"/>
  <c r="BD12" i="22" s="1"/>
  <c r="BD26" i="19"/>
  <c r="BD26" i="22" s="1"/>
  <c r="AB4" i="18"/>
  <c r="BA17" i="11"/>
  <c r="BC13" i="19"/>
  <c r="BC13" i="22" s="1"/>
  <c r="BA12" i="11"/>
  <c r="BA21" i="11"/>
  <c r="BB4" i="11"/>
  <c r="CN14" i="19"/>
  <c r="CN23" i="19"/>
  <c r="CF15" i="19"/>
  <c r="CF24" i="19"/>
  <c r="CI10" i="19"/>
  <c r="CO13" i="19"/>
  <c r="AZ10" i="19"/>
  <c r="AZ10" i="22" s="1"/>
  <c r="CG10" i="19"/>
  <c r="CO16" i="19"/>
  <c r="CO14" i="19"/>
  <c r="AZ6" i="19"/>
  <c r="AZ6" i="22" s="1"/>
  <c r="CF6" i="19"/>
  <c r="BC7" i="19"/>
  <c r="BC7" i="22" s="1"/>
  <c r="BE5" i="19"/>
  <c r="BE5" i="22" s="1"/>
  <c r="BF14" i="19"/>
  <c r="BF14" i="22" s="1"/>
  <c r="BF21" i="19"/>
  <c r="BF21" i="22" s="1"/>
  <c r="BB23" i="19"/>
  <c r="BB23" i="22" s="1"/>
  <c r="BB25" i="19"/>
  <c r="BB25" i="22" s="1"/>
  <c r="BE26" i="19"/>
  <c r="BE26" i="22" s="1"/>
  <c r="BE16" i="19"/>
  <c r="BE16" i="22" s="1"/>
  <c r="BA10" i="19"/>
  <c r="BA10" i="22" s="1"/>
  <c r="BA9" i="19"/>
  <c r="BA9" i="22" s="1"/>
  <c r="BD3" i="19"/>
  <c r="BD3" i="22" s="1"/>
  <c r="BM25" i="19"/>
  <c r="BM14" i="19"/>
  <c r="BM23" i="19"/>
  <c r="BM22" i="19"/>
  <c r="BM20" i="19"/>
  <c r="AZ7" i="19"/>
  <c r="AZ7" i="22" s="1"/>
  <c r="CH5" i="19"/>
  <c r="CG11" i="19"/>
  <c r="CG9" i="19"/>
  <c r="CG12" i="19"/>
  <c r="CF7" i="19"/>
  <c r="CB6" i="19"/>
  <c r="BY16" i="19"/>
  <c r="BC21" i="19"/>
  <c r="BC21" i="22" s="1"/>
  <c r="BC15" i="19"/>
  <c r="BC15" i="22" s="1"/>
  <c r="BC18" i="19"/>
  <c r="BC18" i="22" s="1"/>
  <c r="BY25" i="19"/>
  <c r="BW5" i="19"/>
  <c r="CC5" i="19"/>
  <c r="BZ16" i="19"/>
  <c r="BZ8" i="19"/>
  <c r="BD6" i="19"/>
  <c r="BD6" i="22" s="1"/>
  <c r="BZ22" i="19"/>
  <c r="BZ25" i="19"/>
  <c r="C81" i="18"/>
  <c r="BA11" i="11"/>
  <c r="BA15" i="11"/>
  <c r="BA23" i="11"/>
  <c r="BA10" i="11"/>
  <c r="BA16" i="11"/>
  <c r="BA24" i="11"/>
  <c r="AZ15" i="11"/>
  <c r="AZ24" i="11"/>
  <c r="CN10" i="19"/>
  <c r="CN18" i="19"/>
  <c r="CN26" i="19"/>
  <c r="CF17" i="19"/>
  <c r="CF25" i="19"/>
  <c r="AZ24" i="19"/>
  <c r="AZ24" i="22" s="1"/>
  <c r="CN3" i="19"/>
  <c r="CL9" i="19"/>
  <c r="CH9" i="19"/>
  <c r="CN9" i="19"/>
  <c r="AZ18" i="19"/>
  <c r="AZ18" i="22" s="1"/>
  <c r="CO19" i="19"/>
  <c r="CO3" i="19"/>
  <c r="CO26" i="19"/>
  <c r="AZ8" i="19"/>
  <c r="AZ8" i="22" s="1"/>
  <c r="CG19" i="19"/>
  <c r="CG14" i="19"/>
  <c r="CG26" i="19"/>
  <c r="CF8" i="19"/>
  <c r="BP16" i="19"/>
  <c r="BX3" i="19"/>
  <c r="BY5" i="19"/>
  <c r="BC22" i="19"/>
  <c r="BC22" i="22" s="1"/>
  <c r="BY24" i="19"/>
  <c r="BY17" i="19"/>
  <c r="BC19" i="19"/>
  <c r="BC19" i="22" s="1"/>
  <c r="BY26" i="19"/>
  <c r="BY9" i="19"/>
  <c r="BZ13" i="19"/>
  <c r="BD22" i="19"/>
  <c r="BD22" i="22" s="1"/>
  <c r="BZ9" i="19"/>
  <c r="BD7" i="19"/>
  <c r="BD7" i="22" s="1"/>
  <c r="BD23" i="19"/>
  <c r="BD23" i="22" s="1"/>
  <c r="BW4" i="19"/>
  <c r="AZ9" i="19"/>
  <c r="AZ9" i="22" s="1"/>
  <c r="CJ7" i="19"/>
  <c r="CG3" i="19"/>
  <c r="CG20" i="19"/>
  <c r="CH7" i="19"/>
  <c r="CF9" i="19"/>
  <c r="BV10" i="19"/>
  <c r="BY6" i="19"/>
  <c r="BY14" i="19"/>
  <c r="BC20" i="19"/>
  <c r="BC20" i="22" s="1"/>
  <c r="BC26" i="19"/>
  <c r="BC26" i="22" s="1"/>
  <c r="BZ3" i="19"/>
  <c r="CA11" i="19"/>
  <c r="BY8" i="19"/>
  <c r="BD17" i="19"/>
  <c r="BD17" i="22" s="1"/>
  <c r="BZ15" i="19"/>
  <c r="BD10" i="19"/>
  <c r="BD10" i="22" s="1"/>
  <c r="BD15" i="19"/>
  <c r="BD15" i="22" s="1"/>
  <c r="BD8" i="19"/>
  <c r="BD8" i="22" s="1"/>
  <c r="AZ16" i="19"/>
  <c r="AZ16" i="22" s="1"/>
  <c r="AZ11" i="19"/>
  <c r="AZ11" i="22" s="1"/>
  <c r="CH6" i="19"/>
  <c r="CG4" i="19"/>
  <c r="CG21" i="19"/>
  <c r="CH8" i="19"/>
  <c r="BY4" i="19"/>
  <c r="BY7" i="19"/>
  <c r="BC16" i="19"/>
  <c r="BC16" i="22" s="1"/>
  <c r="BY11" i="19"/>
  <c r="BY13" i="19"/>
  <c r="CJ9" i="19"/>
  <c r="CA8" i="19"/>
  <c r="BC9" i="19"/>
  <c r="BC9" i="22" s="1"/>
  <c r="BD4" i="19"/>
  <c r="BD4" i="22" s="1"/>
  <c r="BW8" i="19"/>
  <c r="BZ6" i="19"/>
  <c r="BZ21" i="19"/>
  <c r="BZ20" i="19"/>
  <c r="BZ14" i="19"/>
  <c r="BZ17" i="19"/>
  <c r="BD9" i="19"/>
  <c r="BD9" i="22" s="1"/>
  <c r="BZ5" i="19"/>
  <c r="AZ3" i="19"/>
  <c r="AZ3" i="22" s="1"/>
  <c r="AZ19" i="19"/>
  <c r="AZ19" i="22" s="1"/>
  <c r="CJ3" i="19"/>
  <c r="CG5" i="19"/>
  <c r="CG22" i="19"/>
  <c r="CF3" i="19"/>
  <c r="CA3" i="19"/>
  <c r="BY15" i="19"/>
  <c r="BY18" i="19"/>
  <c r="BC12" i="19"/>
  <c r="BC12" i="22" s="1"/>
  <c r="BC17" i="19"/>
  <c r="BC17" i="22" s="1"/>
  <c r="BZ7" i="19"/>
  <c r="CA9" i="19"/>
  <c r="BC5" i="19"/>
  <c r="BC5" i="22" s="1"/>
  <c r="BW3" i="19"/>
  <c r="BW9" i="19"/>
  <c r="BC10" i="19"/>
  <c r="BC10" i="22" s="1"/>
  <c r="CA5" i="19"/>
  <c r="BZ23" i="19"/>
  <c r="BZ12" i="19"/>
  <c r="BD16" i="19"/>
  <c r="BD16" i="22" s="1"/>
  <c r="BD20" i="19"/>
  <c r="BD20" i="22" s="1"/>
  <c r="BD14" i="19"/>
  <c r="BD14" i="22" s="1"/>
  <c r="BC6" i="19"/>
  <c r="BC6" i="22" s="1"/>
  <c r="BC3" i="19"/>
  <c r="BC3" i="22" s="1"/>
  <c r="BZ4" i="19"/>
  <c r="F81" i="18"/>
  <c r="BA18" i="11"/>
  <c r="BA26" i="11"/>
  <c r="BA19" i="11"/>
  <c r="BA20" i="11"/>
  <c r="BB7" i="11"/>
  <c r="CE15" i="19"/>
  <c r="CO7" i="19"/>
  <c r="AZ4" i="19"/>
  <c r="AZ4" i="22" s="1"/>
  <c r="CG18" i="19"/>
  <c r="CL3" i="19"/>
  <c r="CG6" i="19"/>
  <c r="CG23" i="19"/>
  <c r="CF4" i="19"/>
  <c r="CH3" i="19"/>
  <c r="BY20" i="19"/>
  <c r="BY19" i="19"/>
  <c r="BY22" i="19"/>
  <c r="BY21" i="19"/>
  <c r="BW6" i="19"/>
  <c r="BC8" i="19"/>
  <c r="BC8" i="22" s="1"/>
  <c r="CA4" i="19"/>
  <c r="BD25" i="19"/>
  <c r="BD25" i="22" s="1"/>
  <c r="BD13" i="19"/>
  <c r="BD13" i="22" s="1"/>
  <c r="BZ18" i="19"/>
  <c r="BZ26" i="19"/>
  <c r="BD18" i="19"/>
  <c r="BD18" i="22" s="1"/>
  <c r="BL24" i="11"/>
  <c r="AZ5" i="19"/>
  <c r="AZ5" i="22" s="1"/>
  <c r="CG15" i="19"/>
  <c r="CG13" i="19"/>
  <c r="CG7" i="19"/>
  <c r="CG24" i="19"/>
  <c r="CF5" i="19"/>
  <c r="CJ8" i="19"/>
  <c r="CA7" i="19"/>
  <c r="BY10" i="19"/>
  <c r="BY12" i="19"/>
  <c r="BC24" i="19"/>
  <c r="BC24" i="22" s="1"/>
  <c r="BC23" i="19"/>
  <c r="BC23" i="22" s="1"/>
  <c r="BY23" i="19"/>
  <c r="BW10" i="19"/>
  <c r="CC18" i="19"/>
  <c r="BW7" i="19"/>
  <c r="CA6" i="19"/>
  <c r="BZ10" i="19"/>
  <c r="BD21" i="19"/>
  <c r="BD21" i="22" s="1"/>
  <c r="BZ19" i="19"/>
  <c r="BZ11" i="19"/>
  <c r="BD19" i="19"/>
  <c r="BD19" i="22" s="1"/>
  <c r="BU15" i="19"/>
  <c r="BU13" i="19"/>
  <c r="CD5" i="19"/>
  <c r="BM24" i="19"/>
  <c r="BL24" i="19"/>
  <c r="BM18" i="19"/>
  <c r="BM16" i="19"/>
  <c r="E81" i="18"/>
  <c r="BP25" i="19"/>
  <c r="BP24" i="19"/>
  <c r="CA25" i="19"/>
  <c r="BX24" i="19"/>
  <c r="BL14" i="19"/>
  <c r="BW26" i="19"/>
  <c r="CC20" i="19"/>
  <c r="CB3" i="19"/>
  <c r="CM20" i="19"/>
  <c r="BU12" i="19"/>
  <c r="CA19" i="19"/>
  <c r="CA22" i="19"/>
  <c r="BX18" i="19"/>
  <c r="BX23" i="19"/>
  <c r="BL19" i="19"/>
  <c r="BW22" i="19"/>
  <c r="BW13" i="19"/>
  <c r="CC12" i="19"/>
  <c r="CL8" i="19"/>
  <c r="CE10" i="19"/>
  <c r="CL12" i="19"/>
  <c r="BL22" i="19"/>
  <c r="BK22" i="19"/>
  <c r="BL25" i="19"/>
  <c r="BL18" i="19"/>
  <c r="BK19" i="19"/>
  <c r="BP22" i="19"/>
  <c r="BK23" i="19"/>
  <c r="BW14" i="19"/>
  <c r="CC17" i="19"/>
  <c r="CC9" i="19"/>
  <c r="CI7" i="19"/>
  <c r="CI6" i="19"/>
  <c r="CL7" i="19"/>
  <c r="CK4" i="19"/>
  <c r="BL21" i="19"/>
  <c r="BL26" i="19"/>
  <c r="BK17" i="19"/>
  <c r="BK18" i="19"/>
  <c r="BM21" i="19"/>
  <c r="BV6" i="19"/>
  <c r="BX5" i="19"/>
  <c r="CC23" i="19"/>
  <c r="CC19" i="19"/>
  <c r="CL4" i="19"/>
  <c r="BP18" i="19"/>
  <c r="BM19" i="19"/>
  <c r="BK25" i="19"/>
  <c r="BL20" i="19"/>
  <c r="BK20" i="19"/>
  <c r="BV5" i="19"/>
  <c r="CA12" i="19"/>
  <c r="BX17" i="19"/>
  <c r="BV7" i="19"/>
  <c r="BW12" i="19"/>
  <c r="BW18" i="19"/>
  <c r="CC25" i="19"/>
  <c r="CC26" i="19"/>
  <c r="BP15" i="19"/>
  <c r="BK11" i="19"/>
  <c r="BK26" i="19"/>
  <c r="BK15" i="19"/>
  <c r="CA24" i="19"/>
  <c r="BX12" i="19"/>
  <c r="BX16" i="19"/>
  <c r="CC13" i="19"/>
  <c r="CB23" i="19"/>
  <c r="BK13" i="19"/>
  <c r="BL17" i="19"/>
  <c r="BP26" i="19"/>
  <c r="BK14" i="19"/>
  <c r="BK24" i="19"/>
  <c r="BL15" i="19"/>
  <c r="CA21" i="19"/>
  <c r="CC16" i="19"/>
  <c r="BM17" i="19"/>
  <c r="CA23" i="19"/>
  <c r="BX22" i="19"/>
  <c r="BX13" i="19"/>
  <c r="BX26" i="19"/>
  <c r="BW15" i="19"/>
  <c r="CC15" i="19"/>
  <c r="CM4" i="19"/>
  <c r="CK20" i="19"/>
  <c r="CM12" i="19"/>
  <c r="CD22" i="19"/>
  <c r="CE17" i="19"/>
  <c r="CD17" i="19"/>
  <c r="CE24" i="19"/>
  <c r="CD24" i="19"/>
  <c r="BJ21" i="19"/>
  <c r="AB7" i="18"/>
  <c r="CL5" i="19"/>
  <c r="CL10" i="19"/>
  <c r="CL11" i="19"/>
  <c r="BJ22" i="19"/>
  <c r="CK25" i="19"/>
  <c r="BU26" i="19"/>
  <c r="CM26" i="19"/>
  <c r="CH19" i="19"/>
  <c r="BJ20" i="19"/>
  <c r="CE16" i="19"/>
  <c r="CB5" i="19"/>
  <c r="BV19" i="19"/>
  <c r="BV16" i="19"/>
  <c r="CB11" i="19"/>
  <c r="CB20" i="19"/>
  <c r="CB26" i="19"/>
  <c r="BX6" i="19"/>
  <c r="CD3" i="19"/>
  <c r="CI23" i="19"/>
  <c r="CE20" i="19"/>
  <c r="CD21" i="19"/>
  <c r="CB4" i="19"/>
  <c r="BP12" i="19"/>
  <c r="BV17" i="19"/>
  <c r="BV15" i="19"/>
  <c r="CB22" i="19"/>
  <c r="CB12" i="19"/>
  <c r="BM13" i="19"/>
  <c r="CI5" i="19"/>
  <c r="CI22" i="19"/>
  <c r="CE22" i="19"/>
  <c r="CD20" i="19"/>
  <c r="CI15" i="19"/>
  <c r="CA16" i="19"/>
  <c r="CA17" i="19"/>
  <c r="BX14" i="19"/>
  <c r="BX11" i="19"/>
  <c r="BX10" i="19"/>
  <c r="BP19" i="19"/>
  <c r="CC4" i="19"/>
  <c r="BW19" i="19"/>
  <c r="BW21" i="19"/>
  <c r="BW20" i="19"/>
  <c r="CC21" i="19"/>
  <c r="CC24" i="19"/>
  <c r="BK12" i="19"/>
  <c r="BV11" i="19"/>
  <c r="BV20" i="19"/>
  <c r="CB25" i="19"/>
  <c r="CB24" i="19"/>
  <c r="CI4" i="19"/>
  <c r="CI21" i="19"/>
  <c r="CI3" i="19"/>
  <c r="CJ13" i="19"/>
  <c r="CE23" i="19"/>
  <c r="CJ18" i="19"/>
  <c r="CE9" i="19"/>
  <c r="CK23" i="19"/>
  <c r="CJ23" i="19"/>
  <c r="BP20" i="19"/>
  <c r="BP23" i="19"/>
  <c r="BP21" i="19"/>
  <c r="BM26" i="19"/>
  <c r="BX7" i="19"/>
  <c r="CA13" i="19"/>
  <c r="CA26" i="19"/>
  <c r="BK16" i="19"/>
  <c r="BW23" i="19"/>
  <c r="BW25" i="19"/>
  <c r="BV3" i="19"/>
  <c r="CC10" i="19"/>
  <c r="CC8" i="19"/>
  <c r="BK10" i="19"/>
  <c r="BV22" i="19"/>
  <c r="BV25" i="19"/>
  <c r="CB13" i="19"/>
  <c r="CB14" i="19"/>
  <c r="CB9" i="19"/>
  <c r="BV13" i="19"/>
  <c r="BV12" i="19"/>
  <c r="CB21" i="19"/>
  <c r="CB18" i="19"/>
  <c r="BM12" i="19"/>
  <c r="CI9" i="19"/>
  <c r="CD12" i="19"/>
  <c r="CE25" i="19"/>
  <c r="CI13" i="19"/>
  <c r="BJ8" i="19"/>
  <c r="CJ17" i="19"/>
  <c r="BV8" i="19"/>
  <c r="CB10" i="19"/>
  <c r="BX4" i="19"/>
  <c r="CA15" i="19"/>
  <c r="CA14" i="19"/>
  <c r="BX15" i="19"/>
  <c r="BX19" i="19"/>
  <c r="BW17" i="19"/>
  <c r="BW16" i="19"/>
  <c r="BW24" i="19"/>
  <c r="CB8" i="19"/>
  <c r="CC11" i="19"/>
  <c r="CC6" i="19"/>
  <c r="CC14" i="19"/>
  <c r="BV9" i="19"/>
  <c r="BV21" i="19"/>
  <c r="BV24" i="19"/>
  <c r="CB16" i="19"/>
  <c r="CB19" i="19"/>
  <c r="BX9" i="19"/>
  <c r="CI8" i="19"/>
  <c r="CE26" i="19"/>
  <c r="CD25" i="19"/>
  <c r="BJ19" i="19"/>
  <c r="CA20" i="19"/>
  <c r="CA18" i="19"/>
  <c r="BX20" i="19"/>
  <c r="BX21" i="19"/>
  <c r="BX25" i="19"/>
  <c r="BV4" i="19"/>
  <c r="CC22" i="19"/>
  <c r="CC7" i="19"/>
  <c r="BV14" i="19"/>
  <c r="BV26" i="19"/>
  <c r="BV23" i="19"/>
  <c r="CB7" i="19"/>
  <c r="CB17" i="19"/>
  <c r="BX8" i="19"/>
  <c r="CC3" i="19"/>
  <c r="BV18" i="19"/>
  <c r="CB15" i="19"/>
  <c r="BP14" i="19"/>
  <c r="BP13" i="19"/>
  <c r="BP17" i="19"/>
  <c r="BL13" i="19"/>
  <c r="BM11" i="19"/>
  <c r="BM9" i="19"/>
  <c r="BM8" i="19"/>
  <c r="BM10" i="19"/>
  <c r="BL16" i="19"/>
  <c r="BM3" i="19"/>
  <c r="BM6" i="19"/>
  <c r="BM7" i="19"/>
  <c r="BM5" i="19"/>
  <c r="BM4" i="19"/>
  <c r="BK5" i="19"/>
  <c r="BK4" i="19"/>
  <c r="BK9" i="19"/>
  <c r="BK8" i="19"/>
  <c r="BK3" i="19"/>
  <c r="BK6" i="19"/>
  <c r="BK7" i="19"/>
  <c r="CL15" i="19"/>
  <c r="CM22" i="19"/>
  <c r="CH13" i="19"/>
  <c r="CL23" i="19"/>
  <c r="BJ7" i="19"/>
  <c r="BJ25" i="19"/>
  <c r="CJ19" i="19"/>
  <c r="CM13" i="19"/>
  <c r="CM23" i="19"/>
  <c r="CL21" i="19"/>
  <c r="CK10" i="19"/>
  <c r="CM24" i="19"/>
  <c r="CL26" i="19"/>
  <c r="CH16" i="19"/>
  <c r="CL20" i="19"/>
  <c r="BJ11" i="19"/>
  <c r="BJ18" i="19"/>
  <c r="CK22" i="19"/>
  <c r="CM25" i="19"/>
  <c r="CM9" i="19"/>
  <c r="CM19" i="19"/>
  <c r="CL14" i="19"/>
  <c r="CM8" i="19"/>
  <c r="CM11" i="19"/>
  <c r="CL25" i="19"/>
  <c r="CI16" i="19"/>
  <c r="CM21" i="19"/>
  <c r="CL17" i="19"/>
  <c r="CL24" i="19"/>
  <c r="BJ6" i="19"/>
  <c r="BJ24" i="19"/>
  <c r="CM15" i="19"/>
  <c r="CE11" i="19"/>
  <c r="BJ14" i="19"/>
  <c r="BJ12" i="19"/>
  <c r="BU8" i="19"/>
  <c r="BU19" i="19"/>
  <c r="CE6" i="19"/>
  <c r="CK17" i="19"/>
  <c r="CH17" i="19"/>
  <c r="CJ12" i="19"/>
  <c r="BU21" i="19"/>
  <c r="CE21" i="19"/>
  <c r="CD23" i="19"/>
  <c r="CL18" i="19"/>
  <c r="CL19" i="19"/>
  <c r="CL16" i="19"/>
  <c r="CL22" i="19"/>
  <c r="BJ17" i="19"/>
  <c r="BJ10" i="19"/>
  <c r="CJ14" i="19"/>
  <c r="CJ20" i="19"/>
  <c r="CE7" i="19"/>
  <c r="CK12" i="19"/>
  <c r="CJ26" i="19"/>
  <c r="CM5" i="19"/>
  <c r="CK3" i="19"/>
  <c r="CL6" i="19"/>
  <c r="CJ24" i="19"/>
  <c r="CH21" i="19"/>
  <c r="CH14" i="19"/>
  <c r="CH23" i="19"/>
  <c r="CH12" i="19"/>
  <c r="CH26" i="19"/>
  <c r="CH20" i="19"/>
  <c r="CH15" i="19"/>
  <c r="CH25" i="19"/>
  <c r="CH22" i="19"/>
  <c r="CH24" i="19"/>
  <c r="BJ4" i="19"/>
  <c r="BJ13" i="19"/>
  <c r="BJ3" i="19"/>
  <c r="BJ15" i="19"/>
  <c r="BJ5" i="19"/>
  <c r="BJ16" i="19"/>
  <c r="BU3" i="19"/>
  <c r="BU9" i="19"/>
  <c r="CE8" i="19"/>
  <c r="CK26" i="19"/>
  <c r="CJ25" i="19"/>
  <c r="CJ15" i="19"/>
  <c r="BU23" i="19"/>
  <c r="CM6" i="19"/>
  <c r="CL13" i="19"/>
  <c r="CK21" i="19"/>
  <c r="BJ26" i="19"/>
  <c r="CD26" i="19"/>
  <c r="CD13" i="19"/>
  <c r="CD15" i="19"/>
  <c r="CD16" i="19"/>
  <c r="CI17" i="19"/>
  <c r="CK13" i="19"/>
  <c r="CK5" i="19"/>
  <c r="CK15" i="19"/>
  <c r="CK6" i="19"/>
  <c r="BU7" i="19"/>
  <c r="BU14" i="19"/>
  <c r="BU24" i="19"/>
  <c r="CM7" i="19"/>
  <c r="CK24" i="19"/>
  <c r="CK8" i="19"/>
  <c r="BU18" i="19"/>
  <c r="BU25" i="19"/>
  <c r="CK11" i="19"/>
  <c r="CK19" i="19"/>
  <c r="CK14" i="19"/>
  <c r="CE13" i="19"/>
  <c r="CD14" i="19"/>
  <c r="CD19" i="19"/>
  <c r="BJ9" i="19"/>
  <c r="BJ23" i="19"/>
  <c r="CE19" i="19"/>
  <c r="CI18" i="19"/>
  <c r="CE3" i="19"/>
  <c r="CI25" i="19"/>
  <c r="CK18" i="19"/>
  <c r="CM16" i="19"/>
  <c r="BU4" i="19"/>
  <c r="BU17" i="19"/>
  <c r="CM14" i="19"/>
  <c r="CE18" i="19"/>
  <c r="BU11" i="19"/>
  <c r="CJ22" i="19"/>
  <c r="CH18" i="19"/>
  <c r="CE14" i="19"/>
  <c r="CE4" i="19"/>
  <c r="CD18" i="19"/>
  <c r="CK16" i="19"/>
  <c r="CE12" i="19"/>
  <c r="CK7" i="19"/>
  <c r="CJ16" i="19"/>
  <c r="BU6" i="19"/>
  <c r="CK9" i="19"/>
  <c r="BU10" i="19"/>
  <c r="CI12" i="19"/>
  <c r="BU16" i="19"/>
  <c r="CE5" i="19"/>
  <c r="CJ21" i="19"/>
  <c r="CM17" i="19"/>
  <c r="BU20" i="19"/>
  <c r="CM3" i="19"/>
  <c r="CI11" i="19"/>
  <c r="BU5" i="19"/>
  <c r="CI26" i="19"/>
  <c r="CI19" i="19"/>
  <c r="BB8" i="11"/>
  <c r="BB11" i="11"/>
  <c r="BP21" i="11"/>
  <c r="BP22" i="11"/>
  <c r="BP23" i="11"/>
  <c r="BP24" i="11"/>
  <c r="BP25" i="11"/>
  <c r="BL26" i="11"/>
  <c r="BC26" i="11"/>
  <c r="BK23" i="11"/>
  <c r="BM22" i="11"/>
  <c r="BF20" i="11"/>
  <c r="BF13" i="11"/>
  <c r="BL23" i="11"/>
  <c r="BC23" i="11"/>
  <c r="BF14" i="11"/>
  <c r="BD21" i="11"/>
  <c r="BB24" i="11"/>
  <c r="BB19" i="11"/>
  <c r="BB18" i="11"/>
  <c r="BF26" i="11"/>
  <c r="BC17" i="11"/>
  <c r="AZ17" i="11"/>
  <c r="BK21" i="11"/>
  <c r="BB6" i="11"/>
  <c r="BF17" i="11"/>
  <c r="BF21" i="11"/>
  <c r="BF16" i="11"/>
  <c r="BF23" i="11"/>
  <c r="BM21" i="11"/>
  <c r="BF12" i="11"/>
  <c r="BP20" i="11"/>
  <c r="BF24" i="11"/>
  <c r="BK24" i="11"/>
  <c r="BC19" i="11"/>
  <c r="BF25" i="11"/>
  <c r="BB9" i="11"/>
  <c r="BB5" i="11"/>
  <c r="BJ24" i="11"/>
  <c r="BC22" i="11"/>
  <c r="BD9" i="11"/>
  <c r="BD7" i="11"/>
  <c r="BD6" i="11"/>
  <c r="BC21" i="11"/>
  <c r="BC14" i="11"/>
  <c r="BD3" i="11"/>
  <c r="BD4" i="11"/>
  <c r="BD18" i="11"/>
  <c r="BD8" i="11"/>
  <c r="BD5" i="11"/>
  <c r="BC18" i="11"/>
  <c r="BD12" i="11"/>
  <c r="BD11" i="11"/>
  <c r="BD10" i="11"/>
  <c r="BD22" i="11"/>
  <c r="BB22" i="11"/>
  <c r="BM26" i="11"/>
  <c r="BL18" i="11"/>
  <c r="BJ25" i="11"/>
  <c r="BC20" i="11"/>
  <c r="BF22" i="11"/>
  <c r="BB23" i="11"/>
  <c r="BM20" i="11"/>
  <c r="BD14" i="11"/>
  <c r="BP19" i="11"/>
  <c r="BC6" i="11"/>
  <c r="BD26" i="11"/>
  <c r="BD20" i="11"/>
  <c r="BB3" i="11"/>
  <c r="BA9" i="11"/>
  <c r="BC7" i="11"/>
  <c r="BD24" i="11"/>
  <c r="BP26" i="11"/>
  <c r="BC8" i="11"/>
  <c r="BJ21" i="11"/>
  <c r="BD15" i="11"/>
  <c r="BL17" i="11"/>
  <c r="BL16" i="11"/>
  <c r="BL15" i="11"/>
  <c r="BL14" i="11"/>
  <c r="BL13" i="11"/>
  <c r="BM14" i="11"/>
  <c r="BM12" i="11"/>
  <c r="BM11" i="11"/>
  <c r="BM10" i="11"/>
  <c r="BM9" i="11"/>
  <c r="BM8" i="11"/>
  <c r="BM7" i="11"/>
  <c r="BM6" i="11"/>
  <c r="BL12" i="11"/>
  <c r="BM13" i="11"/>
  <c r="BM17" i="11"/>
  <c r="BM3" i="11"/>
  <c r="BM4" i="11"/>
  <c r="BM5" i="11"/>
  <c r="BB26" i="11"/>
  <c r="BC9" i="11"/>
  <c r="BC12" i="11"/>
  <c r="BD19" i="11"/>
  <c r="BB13" i="11"/>
  <c r="BB17" i="11"/>
  <c r="BJ22" i="11"/>
  <c r="BL22" i="11"/>
  <c r="BK22" i="11"/>
  <c r="BB12" i="11"/>
  <c r="BF19" i="11"/>
  <c r="BF15" i="11"/>
  <c r="BC10" i="11"/>
  <c r="BK15" i="11"/>
  <c r="BD23" i="11"/>
  <c r="BM16" i="11"/>
  <c r="BC16" i="11"/>
  <c r="BA5" i="11"/>
  <c r="BL21" i="11"/>
  <c r="BB14" i="11"/>
  <c r="BB20" i="11"/>
  <c r="BB16" i="11"/>
  <c r="BF18" i="11"/>
  <c r="BC3" i="11"/>
  <c r="BK19" i="11"/>
  <c r="BD13" i="11"/>
  <c r="BD25" i="11"/>
  <c r="BM15" i="11"/>
  <c r="BC24" i="11"/>
  <c r="BA4" i="11"/>
  <c r="BA6" i="11"/>
  <c r="BB25" i="11"/>
  <c r="BJ26" i="11"/>
  <c r="BB15" i="11"/>
  <c r="BC4" i="11"/>
  <c r="BK18" i="11"/>
  <c r="BD17" i="11"/>
  <c r="BM19" i="11"/>
  <c r="BK13" i="11"/>
  <c r="BJ17" i="11"/>
  <c r="BJ13" i="11"/>
  <c r="BK14" i="11"/>
  <c r="BJ18" i="11"/>
  <c r="BJ14" i="11"/>
  <c r="BK12" i="11"/>
  <c r="BK11" i="11"/>
  <c r="BK10" i="11"/>
  <c r="BK9" i="11"/>
  <c r="BK8" i="11"/>
  <c r="BJ12" i="11"/>
  <c r="BJ15" i="11"/>
  <c r="BK4" i="11"/>
  <c r="BJ20" i="11"/>
  <c r="BK5" i="11"/>
  <c r="BJ23" i="11"/>
  <c r="BK16" i="11"/>
  <c r="BJ16" i="11"/>
  <c r="BK7" i="11"/>
  <c r="BK6" i="11"/>
  <c r="BK3" i="11"/>
  <c r="BM24" i="11"/>
  <c r="BL20" i="11"/>
  <c r="BK26" i="11"/>
  <c r="BC11" i="11"/>
  <c r="BK25" i="11"/>
  <c r="BC15" i="11"/>
  <c r="BB21" i="11"/>
  <c r="BJ19" i="11"/>
  <c r="BC13" i="11"/>
  <c r="BM23" i="11"/>
  <c r="BL19" i="11"/>
  <c r="BK20" i="11"/>
  <c r="BC25" i="11"/>
  <c r="BC5" i="11"/>
  <c r="BK17" i="11"/>
  <c r="BD16" i="11"/>
  <c r="BM18" i="11"/>
  <c r="BM25" i="11"/>
  <c r="BA8" i="11"/>
  <c r="BJ18" i="22" l="1"/>
  <c r="BK18" i="22" s="1"/>
  <c r="BL18" i="22" s="1"/>
  <c r="BJ15" i="22"/>
  <c r="BK15" i="22" s="1"/>
  <c r="BL15" i="22" s="1"/>
  <c r="BF11" i="19"/>
  <c r="BF11" i="22" s="1"/>
  <c r="BF15" i="19"/>
  <c r="BF15" i="22" s="1"/>
  <c r="BF17" i="19"/>
  <c r="BF17" i="22" s="1"/>
  <c r="BE22" i="19"/>
  <c r="BE22" i="22" s="1"/>
  <c r="BF5" i="19"/>
  <c r="BF5" i="22" s="1"/>
  <c r="BE20" i="19"/>
  <c r="BE20" i="22" s="1"/>
  <c r="BE25" i="19"/>
  <c r="BE25" i="22" s="1"/>
  <c r="CA10" i="19"/>
  <c r="BF3" i="19"/>
  <c r="BF3" i="22" s="1"/>
  <c r="BJ21" i="22"/>
  <c r="BK21" i="22" s="1"/>
  <c r="BL21" i="22" s="1"/>
  <c r="BJ13" i="22"/>
  <c r="BK13" i="22" s="1"/>
  <c r="BL13" i="22" s="1"/>
  <c r="BJ20" i="22"/>
  <c r="BK20" i="22" s="1"/>
  <c r="BL20" i="22" s="1"/>
  <c r="BJ17" i="22"/>
  <c r="BK17" i="22" s="1"/>
  <c r="BL17" i="22" s="1"/>
  <c r="BK9" i="22"/>
  <c r="BL9" i="22" s="1"/>
  <c r="BM9" i="22" s="1"/>
  <c r="BJ16" i="22"/>
  <c r="BK16" i="22" s="1"/>
  <c r="BL16" i="22" s="1"/>
  <c r="BJ12" i="22"/>
  <c r="BK12" i="22" s="1"/>
  <c r="BL12" i="22" s="1"/>
  <c r="BJ23" i="22"/>
  <c r="BK23" i="22" s="1"/>
  <c r="BJ14" i="22"/>
  <c r="BK14" i="22" s="1"/>
  <c r="BL14" i="22" s="1"/>
  <c r="BJ24" i="22"/>
  <c r="BK24" i="22" s="1"/>
  <c r="BJ22" i="22"/>
  <c r="BK22" i="22" s="1"/>
  <c r="BL22" i="22" s="1"/>
  <c r="BJ25" i="22"/>
  <c r="BK25" i="22" s="1"/>
  <c r="BJ19" i="22"/>
  <c r="BK19" i="22" s="1"/>
  <c r="BL19" i="22" s="1"/>
  <c r="BK8" i="22"/>
  <c r="BL8" i="22" s="1"/>
  <c r="BK3" i="22"/>
  <c r="BL3" i="22" s="1"/>
  <c r="BK7" i="22"/>
  <c r="BL7" i="22" s="1"/>
  <c r="BK10" i="22"/>
  <c r="BL10" i="22" s="1"/>
  <c r="BK4" i="22"/>
  <c r="BL4" i="22" s="1"/>
  <c r="BK6" i="22"/>
  <c r="BL6" i="22" s="1"/>
  <c r="BK11" i="22"/>
  <c r="BL11" i="22" s="1"/>
  <c r="BK5" i="22"/>
  <c r="BL5" i="22" s="1"/>
  <c r="BK26" i="22"/>
  <c r="BL26" i="22" s="1"/>
  <c r="W143" i="1"/>
  <c r="W144" i="1" s="1"/>
  <c r="F3" i="14"/>
  <c r="E71" i="14"/>
  <c r="C143" i="1"/>
  <c r="C144" i="1" s="1"/>
  <c r="O143" i="1"/>
  <c r="O144" i="1" s="1"/>
  <c r="BJ21" i="13"/>
  <c r="BO20" i="13"/>
  <c r="BK20" i="13"/>
  <c r="BP20" i="13"/>
  <c r="BO21" i="13"/>
  <c r="BL19" i="13"/>
  <c r="BN21" i="13"/>
  <c r="BM19" i="13"/>
  <c r="BP19" i="13"/>
  <c r="BK19" i="13"/>
  <c r="BL20" i="13"/>
  <c r="BN19" i="13"/>
  <c r="BK21" i="13"/>
  <c r="BL21" i="13"/>
  <c r="BM21" i="13"/>
  <c r="BM20" i="13"/>
  <c r="BO19" i="13"/>
  <c r="BJ19" i="13"/>
  <c r="BP21" i="13"/>
  <c r="BJ20" i="13"/>
  <c r="BN20" i="13"/>
  <c r="M143" i="1"/>
  <c r="M144" i="1" s="1"/>
  <c r="BP23" i="13"/>
  <c r="P143" i="1"/>
  <c r="P144" i="1" s="1"/>
  <c r="S143" i="1"/>
  <c r="S144" i="1" s="1"/>
  <c r="Q143" i="1"/>
  <c r="Q144" i="1" s="1"/>
  <c r="U143" i="1"/>
  <c r="U144" i="1" s="1"/>
  <c r="J143" i="1"/>
  <c r="J144" i="1" s="1"/>
  <c r="R143" i="1"/>
  <c r="R144" i="1" s="1"/>
  <c r="BK23" i="13"/>
  <c r="R3" i="13"/>
  <c r="M3" i="13"/>
  <c r="BJ23" i="13"/>
  <c r="AV3" i="13"/>
  <c r="AT3" i="13"/>
  <c r="CN23" i="13" s="1"/>
  <c r="AC3" i="13"/>
  <c r="O3" i="13"/>
  <c r="K3" i="13"/>
  <c r="BZ10" i="13" s="1"/>
  <c r="AN3" i="13"/>
  <c r="W3" i="13"/>
  <c r="Y3" i="13"/>
  <c r="C3" i="13"/>
  <c r="BL23" i="13"/>
  <c r="BM23" i="13"/>
  <c r="U3" i="13"/>
  <c r="E3" i="13"/>
  <c r="BW13" i="13" s="1"/>
  <c r="AL3" i="13"/>
  <c r="BN23" i="13"/>
  <c r="BO23" i="13"/>
  <c r="AP3" i="13"/>
  <c r="CM23" i="13" s="1"/>
  <c r="AG3" i="13"/>
  <c r="G3" i="13"/>
  <c r="AJ3" i="13"/>
  <c r="AA3" i="13"/>
  <c r="CF3" i="13" s="1"/>
  <c r="AE3" i="13"/>
  <c r="I3" i="13"/>
  <c r="E141" i="1"/>
  <c r="D141" i="1"/>
  <c r="G141" i="1"/>
  <c r="F141" i="1"/>
  <c r="BF24" i="19"/>
  <c r="BF24" i="22" s="1"/>
  <c r="BF19" i="19"/>
  <c r="BF19" i="22" s="1"/>
  <c r="BO7" i="19"/>
  <c r="BN19" i="19"/>
  <c r="BL18" i="13"/>
  <c r="BL3" i="13"/>
  <c r="BL11" i="13"/>
  <c r="BL9" i="13"/>
  <c r="BL10" i="13"/>
  <c r="BL7" i="13"/>
  <c r="BL8" i="13"/>
  <c r="BL13" i="13"/>
  <c r="BK17" i="13"/>
  <c r="BJ18" i="13"/>
  <c r="BK25" i="13"/>
  <c r="BL14" i="13"/>
  <c r="BN16" i="13"/>
  <c r="BN11" i="13"/>
  <c r="BN8" i="13"/>
  <c r="BM7" i="13"/>
  <c r="BM14" i="13"/>
  <c r="BN15" i="13"/>
  <c r="BN10" i="13"/>
  <c r="BN13" i="13"/>
  <c r="BL25" i="13"/>
  <c r="BN3" i="13"/>
  <c r="BK4" i="13"/>
  <c r="BL16" i="13"/>
  <c r="BO16" i="13"/>
  <c r="BJ11" i="13"/>
  <c r="BN7" i="13"/>
  <c r="BN9" i="13"/>
  <c r="BN4" i="13"/>
  <c r="BN26" i="13"/>
  <c r="BN14" i="13"/>
  <c r="BO9" i="13"/>
  <c r="BN25" i="13"/>
  <c r="BN6" i="13"/>
  <c r="BK15" i="13"/>
  <c r="BM13" i="13"/>
  <c r="BK3" i="13"/>
  <c r="BL5" i="13"/>
  <c r="BL24" i="13"/>
  <c r="BL22" i="13"/>
  <c r="BM12" i="13"/>
  <c r="BM3" i="13"/>
  <c r="BL26" i="13"/>
  <c r="BN12" i="13"/>
  <c r="BN18" i="13"/>
  <c r="BK26" i="13"/>
  <c r="BO25" i="13"/>
  <c r="BL12" i="13"/>
  <c r="BL4" i="13"/>
  <c r="BN22" i="13"/>
  <c r="BN24" i="13"/>
  <c r="BL6" i="13"/>
  <c r="BL17" i="13"/>
  <c r="BN17" i="13"/>
  <c r="BL15" i="13"/>
  <c r="BM5" i="13"/>
  <c r="BM6" i="13"/>
  <c r="BN5" i="13"/>
  <c r="BM25" i="13"/>
  <c r="BM8" i="13"/>
  <c r="BM22" i="13"/>
  <c r="BM16" i="13"/>
  <c r="BJ17" i="13"/>
  <c r="BM10" i="13"/>
  <c r="BM4" i="13"/>
  <c r="BM18" i="13"/>
  <c r="BM24" i="13"/>
  <c r="BM9" i="13"/>
  <c r="BM26" i="13"/>
  <c r="BM15" i="13"/>
  <c r="BM17" i="13"/>
  <c r="BM11" i="13"/>
  <c r="BO13" i="13"/>
  <c r="BJ8" i="13"/>
  <c r="BP18" i="13"/>
  <c r="BJ10" i="13"/>
  <c r="BF13" i="19"/>
  <c r="BF13" i="22" s="1"/>
  <c r="BN4" i="19"/>
  <c r="BO4" i="19"/>
  <c r="BO23" i="19"/>
  <c r="BN25" i="19"/>
  <c r="BN8" i="19"/>
  <c r="BZ24" i="19"/>
  <c r="BN6" i="19"/>
  <c r="BO5" i="19"/>
  <c r="BN21" i="19"/>
  <c r="BN18" i="19"/>
  <c r="BN9" i="19"/>
  <c r="BO16" i="19"/>
  <c r="BF12" i="19"/>
  <c r="BF12" i="22" s="1"/>
  <c r="BO22" i="19"/>
  <c r="BO11" i="19"/>
  <c r="BO8" i="19"/>
  <c r="BN26" i="19"/>
  <c r="BO9" i="19"/>
  <c r="BO19" i="19"/>
  <c r="BO24" i="19"/>
  <c r="BN23" i="19"/>
  <c r="BO20" i="19"/>
  <c r="BO26" i="19"/>
  <c r="BN16" i="19"/>
  <c r="BN11" i="19"/>
  <c r="BN3" i="19"/>
  <c r="BN14" i="19"/>
  <c r="BN5" i="19"/>
  <c r="BN17" i="19"/>
  <c r="BN15" i="19"/>
  <c r="BO3" i="19"/>
  <c r="BN22" i="19"/>
  <c r="BO13" i="19"/>
  <c r="BO17" i="19"/>
  <c r="BO25" i="19"/>
  <c r="BO6" i="19"/>
  <c r="BN10" i="19"/>
  <c r="BN24" i="19"/>
  <c r="BO12" i="19"/>
  <c r="BO14" i="19"/>
  <c r="BN7" i="19"/>
  <c r="BE21" i="19"/>
  <c r="BE21" i="22" s="1"/>
  <c r="BO10" i="19"/>
  <c r="BO18" i="19"/>
  <c r="BN20" i="19"/>
  <c r="BN12" i="19"/>
  <c r="BO21" i="19"/>
  <c r="BN13" i="19"/>
  <c r="BE19" i="19"/>
  <c r="BE19" i="22" s="1"/>
  <c r="BP13" i="13"/>
  <c r="BJ22" i="13"/>
  <c r="BK24" i="13"/>
  <c r="BK5" i="13"/>
  <c r="BJ12" i="13"/>
  <c r="BK7" i="13"/>
  <c r="BK14" i="13"/>
  <c r="BK11" i="13"/>
  <c r="BK16" i="13"/>
  <c r="BJ26" i="13"/>
  <c r="BJ15" i="13"/>
  <c r="BJ7" i="13"/>
  <c r="BK18" i="13"/>
  <c r="BK9" i="13"/>
  <c r="BJ24" i="13"/>
  <c r="BJ13" i="13"/>
  <c r="BJ6" i="13"/>
  <c r="BJ9" i="13"/>
  <c r="BK13" i="13"/>
  <c r="BJ14" i="13"/>
  <c r="BK10" i="13"/>
  <c r="BK12" i="13"/>
  <c r="BK8" i="13"/>
  <c r="BJ3" i="13"/>
  <c r="BJ5" i="13"/>
  <c r="BJ4" i="13"/>
  <c r="BK6" i="13"/>
  <c r="BK22" i="13"/>
  <c r="BJ25" i="13"/>
  <c r="BJ16" i="13"/>
  <c r="BP26" i="13"/>
  <c r="BO14" i="13"/>
  <c r="BO4" i="13"/>
  <c r="BO8" i="13"/>
  <c r="BO18" i="13"/>
  <c r="BP5" i="13"/>
  <c r="BP24" i="13"/>
  <c r="BO24" i="13"/>
  <c r="BO17" i="13"/>
  <c r="BO22" i="13"/>
  <c r="BP16" i="13"/>
  <c r="BP12" i="13"/>
  <c r="BO15" i="13"/>
  <c r="BP11" i="13"/>
  <c r="BO10" i="13"/>
  <c r="BP22" i="13"/>
  <c r="BO3" i="13"/>
  <c r="BP25" i="13"/>
  <c r="BP14" i="13"/>
  <c r="BP6" i="13"/>
  <c r="BP4" i="13"/>
  <c r="BO5" i="13"/>
  <c r="BO12" i="13"/>
  <c r="BO6" i="13"/>
  <c r="BO26" i="13"/>
  <c r="BP15" i="13"/>
  <c r="BP9" i="13"/>
  <c r="BP3" i="13"/>
  <c r="BO7" i="13"/>
  <c r="BO11" i="13"/>
  <c r="BP17" i="13"/>
  <c r="BP7" i="13"/>
  <c r="BP10" i="13"/>
  <c r="BP8" i="13"/>
  <c r="BF22" i="19"/>
  <c r="BF22" i="22" s="1"/>
  <c r="BF16" i="19"/>
  <c r="BF16" i="22" s="1"/>
  <c r="BE17" i="19"/>
  <c r="BE17" i="22" s="1"/>
  <c r="BF26" i="19"/>
  <c r="BF26" i="22" s="1"/>
  <c r="BF10" i="19"/>
  <c r="BF10" i="22" s="1"/>
  <c r="BF23" i="19"/>
  <c r="BF23" i="22" s="1"/>
  <c r="BF7" i="19"/>
  <c r="BF7" i="22" s="1"/>
  <c r="BF18" i="19"/>
  <c r="BF18" i="22" s="1"/>
  <c r="BF8" i="19"/>
  <c r="BF8" i="22" s="1"/>
  <c r="BE15" i="19"/>
  <c r="BE15" i="22" s="1"/>
  <c r="BE14" i="19"/>
  <c r="BE14" i="22" s="1"/>
  <c r="BE12" i="19"/>
  <c r="BE12" i="22" s="1"/>
  <c r="BF9" i="19"/>
  <c r="BF9" i="22" s="1"/>
  <c r="BE23" i="19"/>
  <c r="BE23" i="22" s="1"/>
  <c r="BF25" i="19"/>
  <c r="BF25" i="22" s="1"/>
  <c r="BE18" i="19"/>
  <c r="BE18" i="22" s="1"/>
  <c r="BE13" i="19"/>
  <c r="BE13" i="22" s="1"/>
  <c r="AB9" i="18"/>
  <c r="H141" i="1"/>
  <c r="I141" i="1"/>
  <c r="BD6" i="13" l="1"/>
  <c r="CD4" i="13"/>
  <c r="CD4" i="11" s="1"/>
  <c r="BF6" i="13"/>
  <c r="BA16" i="13"/>
  <c r="CH16" i="13"/>
  <c r="CH16" i="11" s="1"/>
  <c r="CJ9" i="13"/>
  <c r="CJ9" i="11" s="1"/>
  <c r="CC4" i="13"/>
  <c r="CC4" i="11" s="1"/>
  <c r="BC12" i="13"/>
  <c r="CG15" i="13"/>
  <c r="CG15" i="11" s="1"/>
  <c r="BZ12" i="13"/>
  <c r="BZ9" i="13"/>
  <c r="BZ6" i="13"/>
  <c r="BZ15" i="13"/>
  <c r="BY23" i="13"/>
  <c r="BY8" i="13"/>
  <c r="BY5" i="13"/>
  <c r="BY4" i="13"/>
  <c r="BY6" i="13"/>
  <c r="BY12" i="13"/>
  <c r="BZ11" i="13"/>
  <c r="BZ13" i="13"/>
  <c r="BY10" i="13"/>
  <c r="BY13" i="13"/>
  <c r="BY20" i="13"/>
  <c r="BZ4" i="13"/>
  <c r="BZ17" i="13"/>
  <c r="BY18" i="13"/>
  <c r="BY26" i="13"/>
  <c r="BY21" i="13"/>
  <c r="BZ8" i="13"/>
  <c r="BZ7" i="13"/>
  <c r="BY17" i="13"/>
  <c r="BY9" i="13"/>
  <c r="BY11" i="13"/>
  <c r="BZ16" i="13"/>
  <c r="BZ14" i="13"/>
  <c r="BY25" i="13"/>
  <c r="BY7" i="13"/>
  <c r="BY19" i="13"/>
  <c r="BZ3" i="13"/>
  <c r="BZ5" i="13"/>
  <c r="BY16" i="13"/>
  <c r="BY14" i="13"/>
  <c r="BY3" i="13"/>
  <c r="CE18" i="13"/>
  <c r="CE18" i="11" s="1"/>
  <c r="BZ18" i="13"/>
  <c r="BY15" i="13"/>
  <c r="BY22" i="13"/>
  <c r="BY24" i="13"/>
  <c r="BL23" i="22"/>
  <c r="BM23" i="22" s="1"/>
  <c r="BL24" i="22"/>
  <c r="BM24" i="22" s="1"/>
  <c r="BW5" i="13"/>
  <c r="BX25" i="13"/>
  <c r="BU24" i="13"/>
  <c r="BW17" i="13"/>
  <c r="BW16" i="13"/>
  <c r="CA22" i="13"/>
  <c r="BW4" i="13"/>
  <c r="CD3" i="13"/>
  <c r="BW7" i="13"/>
  <c r="BW15" i="13"/>
  <c r="CD10" i="13"/>
  <c r="CD10" i="11" s="1"/>
  <c r="BW6" i="13"/>
  <c r="BW18" i="13"/>
  <c r="BW8" i="13"/>
  <c r="BV17" i="13"/>
  <c r="BW26" i="13"/>
  <c r="BW20" i="13"/>
  <c r="BW14" i="13"/>
  <c r="BX10" i="13"/>
  <c r="BX11" i="13"/>
  <c r="BX8" i="13"/>
  <c r="CA6" i="13"/>
  <c r="BV23" i="13"/>
  <c r="BX22" i="13"/>
  <c r="BU11" i="13"/>
  <c r="BW24" i="13"/>
  <c r="BV14" i="13"/>
  <c r="BX6" i="13"/>
  <c r="BU8" i="13"/>
  <c r="BV6" i="13"/>
  <c r="BX3" i="13"/>
  <c r="BU3" i="13"/>
  <c r="BW19" i="13"/>
  <c r="BW19" i="11" s="1"/>
  <c r="BV13" i="13"/>
  <c r="BX23" i="13"/>
  <c r="BU9" i="13"/>
  <c r="BW21" i="13"/>
  <c r="BV10" i="13"/>
  <c r="BX12" i="13"/>
  <c r="BU16" i="13"/>
  <c r="CA10" i="13"/>
  <c r="CA15" i="13"/>
  <c r="BU23" i="13"/>
  <c r="BZ26" i="13"/>
  <c r="BV21" i="13"/>
  <c r="BV4" i="13"/>
  <c r="BV18" i="13"/>
  <c r="BX18" i="13"/>
  <c r="BX13" i="13"/>
  <c r="BX20" i="13"/>
  <c r="CA13" i="13"/>
  <c r="CA8" i="13"/>
  <c r="CA23" i="13"/>
  <c r="BU14" i="13"/>
  <c r="BU15" i="13"/>
  <c r="BU17" i="13"/>
  <c r="BZ25" i="13"/>
  <c r="BZ22" i="13"/>
  <c r="BV5" i="13"/>
  <c r="BV11" i="13"/>
  <c r="BV26" i="13"/>
  <c r="BX9" i="13"/>
  <c r="BX21" i="13"/>
  <c r="BX17" i="13"/>
  <c r="CA4" i="13"/>
  <c r="CA16" i="13"/>
  <c r="CA12" i="13"/>
  <c r="BU13" i="13"/>
  <c r="BU20" i="13"/>
  <c r="BU25" i="13"/>
  <c r="BV12" i="13"/>
  <c r="BV19" i="13"/>
  <c r="BV16" i="13"/>
  <c r="BZ24" i="13"/>
  <c r="BZ23" i="13"/>
  <c r="CA26" i="13"/>
  <c r="CA24" i="13"/>
  <c r="CA19" i="13"/>
  <c r="BU21" i="13"/>
  <c r="BU22" i="13"/>
  <c r="BW9" i="13"/>
  <c r="BW23" i="13"/>
  <c r="BW3" i="13"/>
  <c r="BV20" i="13"/>
  <c r="BV8" i="13"/>
  <c r="BV24" i="13"/>
  <c r="BX7" i="13"/>
  <c r="BX26" i="13"/>
  <c r="BX24" i="13"/>
  <c r="CA9" i="13"/>
  <c r="CA21" i="13"/>
  <c r="CA18" i="13"/>
  <c r="BU12" i="13"/>
  <c r="BU10" i="13"/>
  <c r="BU6" i="13"/>
  <c r="BZ20" i="13"/>
  <c r="CD5" i="13"/>
  <c r="CD5" i="11" s="1"/>
  <c r="BW25" i="13"/>
  <c r="BW22" i="13"/>
  <c r="BW10" i="13"/>
  <c r="BV15" i="13"/>
  <c r="BV7" i="13"/>
  <c r="BV9" i="13"/>
  <c r="BX14" i="13"/>
  <c r="BX16" i="13"/>
  <c r="BX4" i="13"/>
  <c r="CA17" i="13"/>
  <c r="CA20" i="13"/>
  <c r="CA7" i="13"/>
  <c r="BU4" i="13"/>
  <c r="BU18" i="13"/>
  <c r="BU5" i="13"/>
  <c r="BZ19" i="13"/>
  <c r="CA25" i="13"/>
  <c r="CA14" i="13"/>
  <c r="BU26" i="13"/>
  <c r="CA11" i="13"/>
  <c r="CD14" i="13"/>
  <c r="CD14" i="11" s="1"/>
  <c r="BW12" i="13"/>
  <c r="BW11" i="13"/>
  <c r="BV22" i="13"/>
  <c r="BV3" i="13"/>
  <c r="BV25" i="13"/>
  <c r="BX15" i="13"/>
  <c r="BX5" i="13"/>
  <c r="BX19" i="13"/>
  <c r="CA5" i="13"/>
  <c r="CA3" i="13"/>
  <c r="BU19" i="13"/>
  <c r="BU7" i="13"/>
  <c r="BZ21" i="13"/>
  <c r="BL25" i="22"/>
  <c r="BM25" i="22" s="1"/>
  <c r="BM14" i="22"/>
  <c r="BN14" i="22" s="1"/>
  <c r="BM26" i="22"/>
  <c r="BN26" i="22" s="1"/>
  <c r="BM4" i="22"/>
  <c r="BN4" i="22" s="1"/>
  <c r="BM10" i="22"/>
  <c r="BN10" i="22" s="1"/>
  <c r="BM13" i="22"/>
  <c r="BM5" i="22"/>
  <c r="BN5" i="22" s="1"/>
  <c r="BM18" i="22"/>
  <c r="BM22" i="22"/>
  <c r="BN22" i="22" s="1"/>
  <c r="BM16" i="22"/>
  <c r="BN16" i="22" s="1"/>
  <c r="BM20" i="22"/>
  <c r="BN20" i="22" s="1"/>
  <c r="BM15" i="22"/>
  <c r="BN15" i="22" s="1"/>
  <c r="BM7" i="22"/>
  <c r="BN7" i="22" s="1"/>
  <c r="BM21" i="22"/>
  <c r="BN21" i="22" s="1"/>
  <c r="BM12" i="22"/>
  <c r="BN9" i="22"/>
  <c r="BO9" i="22" s="1"/>
  <c r="BM6" i="22"/>
  <c r="BN6" i="22" s="1"/>
  <c r="BM3" i="22"/>
  <c r="BM19" i="22"/>
  <c r="BM11" i="22"/>
  <c r="BN11" i="22" s="1"/>
  <c r="BM17" i="22"/>
  <c r="BN17" i="22" s="1"/>
  <c r="BM8" i="22"/>
  <c r="BN8" i="22" s="1"/>
  <c r="BA13" i="13"/>
  <c r="BA18" i="13"/>
  <c r="BA11" i="13"/>
  <c r="BA17" i="13"/>
  <c r="BA14" i="13"/>
  <c r="BA6" i="13"/>
  <c r="BA10" i="13"/>
  <c r="BA5" i="13"/>
  <c r="BA8" i="13"/>
  <c r="BA3" i="13"/>
  <c r="BA7" i="13"/>
  <c r="BA12" i="13"/>
  <c r="BA15" i="13"/>
  <c r="BA9" i="13"/>
  <c r="BA4" i="13"/>
  <c r="AZ23" i="13"/>
  <c r="CD16" i="13"/>
  <c r="CD16" i="11" s="1"/>
  <c r="CD6" i="13"/>
  <c r="CD6" i="11" s="1"/>
  <c r="BB6" i="13"/>
  <c r="CK23" i="13"/>
  <c r="BB8" i="13"/>
  <c r="BB3" i="13"/>
  <c r="BB13" i="13"/>
  <c r="BB15" i="13"/>
  <c r="BA26" i="13"/>
  <c r="BB5" i="13"/>
  <c r="BB17" i="13"/>
  <c r="BB4" i="13"/>
  <c r="BB12" i="13"/>
  <c r="BA22" i="13"/>
  <c r="BB10" i="13"/>
  <c r="CJ20" i="13"/>
  <c r="CC20" i="13"/>
  <c r="BB7" i="13"/>
  <c r="BA24" i="13"/>
  <c r="CJ19" i="13"/>
  <c r="CJ23" i="13"/>
  <c r="CI23" i="13"/>
  <c r="CD11" i="13"/>
  <c r="CD11" i="11" s="1"/>
  <c r="CD13" i="13"/>
  <c r="CD13" i="11" s="1"/>
  <c r="CD9" i="13"/>
  <c r="CD9" i="11" s="1"/>
  <c r="CD15" i="13"/>
  <c r="CD15" i="11" s="1"/>
  <c r="CD18" i="13"/>
  <c r="CD18" i="11" s="1"/>
  <c r="CD12" i="13"/>
  <c r="CD12" i="11" s="1"/>
  <c r="CD17" i="13"/>
  <c r="CD17" i="11" s="1"/>
  <c r="CD7" i="13"/>
  <c r="CD7" i="11" s="1"/>
  <c r="CD8" i="13"/>
  <c r="CD8" i="11" s="1"/>
  <c r="CB23" i="13"/>
  <c r="CD23" i="13"/>
  <c r="CC19" i="13"/>
  <c r="CC23" i="13"/>
  <c r="BB18" i="13"/>
  <c r="BB16" i="13"/>
  <c r="BB14" i="13"/>
  <c r="BB11" i="13"/>
  <c r="BB9" i="13"/>
  <c r="BA25" i="13"/>
  <c r="BA21" i="13"/>
  <c r="BA23" i="13"/>
  <c r="BA20" i="13"/>
  <c r="BA19" i="13"/>
  <c r="BE13" i="13"/>
  <c r="CB13" i="13"/>
  <c r="CB13" i="11" s="1"/>
  <c r="CM14" i="13"/>
  <c r="CM14" i="11" s="1"/>
  <c r="G3" i="14"/>
  <c r="F71" i="14"/>
  <c r="CM12" i="13"/>
  <c r="CM12" i="11" s="1"/>
  <c r="CG17" i="13"/>
  <c r="CG17" i="11" s="1"/>
  <c r="CG8" i="13"/>
  <c r="CG8" i="11" s="1"/>
  <c r="CG4" i="13"/>
  <c r="CG4" i="11" s="1"/>
  <c r="CG14" i="13"/>
  <c r="CG14" i="11" s="1"/>
  <c r="CG11" i="13"/>
  <c r="CG11" i="11" s="1"/>
  <c r="CL10" i="13"/>
  <c r="CL10" i="11" s="1"/>
  <c r="CG6" i="13"/>
  <c r="CG6" i="11" s="1"/>
  <c r="CG13" i="13"/>
  <c r="CG13" i="11" s="1"/>
  <c r="CG12" i="13"/>
  <c r="CG12" i="11" s="1"/>
  <c r="CG5" i="13"/>
  <c r="CG5" i="11" s="1"/>
  <c r="CG3" i="13"/>
  <c r="CG18" i="13"/>
  <c r="CG18" i="11" s="1"/>
  <c r="CG10" i="13"/>
  <c r="CG10" i="11" s="1"/>
  <c r="CO20" i="13"/>
  <c r="CG25" i="13"/>
  <c r="CG25" i="11" s="1"/>
  <c r="CG9" i="13"/>
  <c r="CG9" i="11" s="1"/>
  <c r="CG7" i="13"/>
  <c r="CG7" i="11" s="1"/>
  <c r="CE19" i="13"/>
  <c r="CG16" i="13"/>
  <c r="CG16" i="11" s="1"/>
  <c r="BF19" i="13"/>
  <c r="CF19" i="13"/>
  <c r="BF21" i="13"/>
  <c r="AZ20" i="13"/>
  <c r="BF20" i="13"/>
  <c r="CG19" i="13"/>
  <c r="CG19" i="11" s="1"/>
  <c r="BE21" i="13"/>
  <c r="BD19" i="13"/>
  <c r="CD19" i="13"/>
  <c r="AZ19" i="13"/>
  <c r="CE20" i="13"/>
  <c r="CH20" i="13"/>
  <c r="BB21" i="13"/>
  <c r="CH19" i="13"/>
  <c r="BD21" i="13"/>
  <c r="CO19" i="13"/>
  <c r="CI19" i="13"/>
  <c r="CK19" i="13"/>
  <c r="BB20" i="13"/>
  <c r="CI20" i="13"/>
  <c r="BD20" i="13"/>
  <c r="BC20" i="13"/>
  <c r="CK20" i="13"/>
  <c r="BB19" i="13"/>
  <c r="AZ21" i="13"/>
  <c r="CM20" i="13"/>
  <c r="CL20" i="13"/>
  <c r="CB19" i="13"/>
  <c r="BC21" i="13"/>
  <c r="CF20" i="13"/>
  <c r="CN20" i="13"/>
  <c r="CN20" i="11" s="1"/>
  <c r="BE20" i="13"/>
  <c r="CL19" i="13"/>
  <c r="CB20" i="13"/>
  <c r="BC19" i="13"/>
  <c r="CN19" i="13"/>
  <c r="CN19" i="11" s="1"/>
  <c r="CG20" i="13"/>
  <c r="CG20" i="11" s="1"/>
  <c r="BE19" i="13"/>
  <c r="CD20" i="13"/>
  <c r="CM19" i="13"/>
  <c r="AZ4" i="13"/>
  <c r="AZ15" i="13"/>
  <c r="CO23" i="13"/>
  <c r="BF7" i="13"/>
  <c r="BE3" i="13"/>
  <c r="AZ8" i="13"/>
  <c r="AZ13" i="13"/>
  <c r="BF17" i="13"/>
  <c r="AZ14" i="13"/>
  <c r="AZ25" i="13"/>
  <c r="AZ22" i="13"/>
  <c r="AZ16" i="13"/>
  <c r="AZ5" i="13"/>
  <c r="AZ26" i="13"/>
  <c r="AZ10" i="13"/>
  <c r="AZ24" i="13"/>
  <c r="AZ6" i="13"/>
  <c r="CG21" i="13"/>
  <c r="CG21" i="11" s="1"/>
  <c r="AZ17" i="13"/>
  <c r="AZ11" i="13"/>
  <c r="AZ12" i="13"/>
  <c r="AZ9" i="13"/>
  <c r="AZ18" i="13"/>
  <c r="CG22" i="13"/>
  <c r="CG22" i="11" s="1"/>
  <c r="CG26" i="13"/>
  <c r="CG26" i="11" s="1"/>
  <c r="CH18" i="13"/>
  <c r="CH18" i="11" s="1"/>
  <c r="BF3" i="13"/>
  <c r="BE17" i="13"/>
  <c r="AZ7" i="13"/>
  <c r="AZ3" i="13"/>
  <c r="CH7" i="13"/>
  <c r="CH7" i="11" s="1"/>
  <c r="BF26" i="13"/>
  <c r="BF4" i="13"/>
  <c r="BF18" i="13"/>
  <c r="BF8" i="13"/>
  <c r="BF12" i="13"/>
  <c r="BF16" i="13"/>
  <c r="BF15" i="13"/>
  <c r="BF5" i="13"/>
  <c r="BF22" i="13"/>
  <c r="CG24" i="13"/>
  <c r="CG24" i="11" s="1"/>
  <c r="CH6" i="13"/>
  <c r="CH6" i="11" s="1"/>
  <c r="BF9" i="13"/>
  <c r="BC14" i="13"/>
  <c r="CH3" i="13"/>
  <c r="BC5" i="13"/>
  <c r="BF11" i="13"/>
  <c r="CH17" i="13"/>
  <c r="CH17" i="11" s="1"/>
  <c r="BF14" i="13"/>
  <c r="BF10" i="13"/>
  <c r="BF24" i="13"/>
  <c r="CH8" i="13"/>
  <c r="CH8" i="11" s="1"/>
  <c r="CH4" i="13"/>
  <c r="CH4" i="11" s="1"/>
  <c r="CL23" i="13"/>
  <c r="BB24" i="13"/>
  <c r="BC18" i="13"/>
  <c r="BC11" i="13"/>
  <c r="BC8" i="13"/>
  <c r="CH5" i="13"/>
  <c r="CH5" i="11" s="1"/>
  <c r="CH10" i="13"/>
  <c r="CH10" i="11" s="1"/>
  <c r="BC13" i="13"/>
  <c r="CH14" i="13"/>
  <c r="CH14" i="11" s="1"/>
  <c r="CH25" i="13"/>
  <c r="CH25" i="11" s="1"/>
  <c r="BC26" i="13"/>
  <c r="CE23" i="13"/>
  <c r="CH12" i="13"/>
  <c r="CH12" i="11" s="1"/>
  <c r="BC22" i="13"/>
  <c r="BD5" i="13"/>
  <c r="CH13" i="13"/>
  <c r="CH13" i="11" s="1"/>
  <c r="BD11" i="13"/>
  <c r="CG23" i="13"/>
  <c r="CG23" i="11" s="1"/>
  <c r="BD15" i="13"/>
  <c r="BD3" i="13"/>
  <c r="BD23" i="13"/>
  <c r="BD13" i="13"/>
  <c r="BD9" i="13"/>
  <c r="BF25" i="13"/>
  <c r="BF13" i="13"/>
  <c r="BD10" i="13"/>
  <c r="BF23" i="13"/>
  <c r="BD16" i="13"/>
  <c r="BD12" i="13"/>
  <c r="CF23" i="13"/>
  <c r="BD14" i="13"/>
  <c r="BD18" i="13"/>
  <c r="BC25" i="13"/>
  <c r="BE16" i="13"/>
  <c r="BE14" i="13"/>
  <c r="BD25" i="13"/>
  <c r="BE11" i="13"/>
  <c r="BE4" i="13"/>
  <c r="BE6" i="13"/>
  <c r="BD24" i="13"/>
  <c r="CH15" i="13"/>
  <c r="CH15" i="11" s="1"/>
  <c r="BE9" i="13"/>
  <c r="BD8" i="13"/>
  <c r="BE7" i="13"/>
  <c r="BC10" i="13"/>
  <c r="BC17" i="13"/>
  <c r="BC16" i="13"/>
  <c r="BC15" i="13"/>
  <c r="BC6" i="13"/>
  <c r="BD7" i="13"/>
  <c r="BD17" i="13"/>
  <c r="BB22" i="13"/>
  <c r="BC23" i="13"/>
  <c r="BE23" i="13"/>
  <c r="CH9" i="13"/>
  <c r="CH9" i="11" s="1"/>
  <c r="BE12" i="13"/>
  <c r="BE25" i="13"/>
  <c r="BE15" i="13"/>
  <c r="BC3" i="13"/>
  <c r="BC4" i="13"/>
  <c r="BC7" i="13"/>
  <c r="BD26" i="13"/>
  <c r="BB23" i="13"/>
  <c r="BE5" i="13"/>
  <c r="BB25" i="13"/>
  <c r="BE18" i="13"/>
  <c r="BE10" i="13"/>
  <c r="BB26" i="13"/>
  <c r="BE24" i="13"/>
  <c r="BE8" i="13"/>
  <c r="BC9" i="13"/>
  <c r="BD22" i="13"/>
  <c r="CH23" i="13"/>
  <c r="CH11" i="13"/>
  <c r="CH11" i="11" s="1"/>
  <c r="BC24" i="13"/>
  <c r="BE26" i="13"/>
  <c r="BD4" i="13"/>
  <c r="BE22" i="13"/>
  <c r="CJ17" i="13"/>
  <c r="CJ17" i="11" s="1"/>
  <c r="CN4" i="13"/>
  <c r="CN4" i="11" s="1"/>
  <c r="CK18" i="13"/>
  <c r="CK18" i="11" s="1"/>
  <c r="CJ16" i="13"/>
  <c r="CJ16" i="11" s="1"/>
  <c r="CJ12" i="13"/>
  <c r="CJ12" i="11" s="1"/>
  <c r="CM18" i="13"/>
  <c r="CM18" i="11" s="1"/>
  <c r="CO17" i="13"/>
  <c r="CO17" i="11" s="1"/>
  <c r="CJ15" i="13"/>
  <c r="CJ15" i="11" s="1"/>
  <c r="CJ13" i="13"/>
  <c r="CJ13" i="11" s="1"/>
  <c r="CJ8" i="13"/>
  <c r="CJ8" i="11" s="1"/>
  <c r="CJ7" i="13"/>
  <c r="CJ7" i="11" s="1"/>
  <c r="CJ6" i="13"/>
  <c r="CJ6" i="11" s="1"/>
  <c r="CJ5" i="13"/>
  <c r="CJ5" i="11" s="1"/>
  <c r="CJ4" i="13"/>
  <c r="CJ4" i="11" s="1"/>
  <c r="CJ3" i="13"/>
  <c r="CM11" i="13"/>
  <c r="CM11" i="11" s="1"/>
  <c r="CJ10" i="13"/>
  <c r="CJ10" i="11" s="1"/>
  <c r="CJ14" i="13"/>
  <c r="CJ14" i="11" s="1"/>
  <c r="CJ11" i="13"/>
  <c r="CJ11" i="11" s="1"/>
  <c r="CJ18" i="13"/>
  <c r="CJ18" i="11" s="1"/>
  <c r="CM4" i="13"/>
  <c r="CM4" i="11" s="1"/>
  <c r="CM16" i="13"/>
  <c r="CM16" i="11" s="1"/>
  <c r="CM15" i="13"/>
  <c r="CM15" i="11" s="1"/>
  <c r="CM5" i="13"/>
  <c r="CM5" i="11" s="1"/>
  <c r="CM3" i="13"/>
  <c r="CM10" i="13"/>
  <c r="CM10" i="11" s="1"/>
  <c r="CM17" i="13"/>
  <c r="CM17" i="11" s="1"/>
  <c r="CM9" i="13"/>
  <c r="CM9" i="11" s="1"/>
  <c r="CM6" i="13"/>
  <c r="CM6" i="11" s="1"/>
  <c r="CM7" i="13"/>
  <c r="CM7" i="11" s="1"/>
  <c r="CM13" i="13"/>
  <c r="CM13" i="11" s="1"/>
  <c r="CM8" i="13"/>
  <c r="CM8" i="11" s="1"/>
  <c r="CO4" i="13"/>
  <c r="CO4" i="11" s="1"/>
  <c r="CO14" i="13"/>
  <c r="CO14" i="11" s="1"/>
  <c r="CN24" i="13"/>
  <c r="CN24" i="11" s="1"/>
  <c r="CN26" i="13"/>
  <c r="CN26" i="11" s="1"/>
  <c r="CN17" i="13"/>
  <c r="CN17" i="11" s="1"/>
  <c r="CO7" i="13"/>
  <c r="CO7" i="11" s="1"/>
  <c r="CO13" i="13"/>
  <c r="CO13" i="11" s="1"/>
  <c r="CO9" i="13"/>
  <c r="CO9" i="11" s="1"/>
  <c r="CO8" i="13"/>
  <c r="CO8" i="11" s="1"/>
  <c r="CO5" i="13"/>
  <c r="CO5" i="11" s="1"/>
  <c r="CO25" i="13"/>
  <c r="CO25" i="11" s="1"/>
  <c r="CO18" i="13"/>
  <c r="CO18" i="11" s="1"/>
  <c r="CN8" i="13"/>
  <c r="CN8" i="11" s="1"/>
  <c r="CO11" i="13"/>
  <c r="CO11" i="11" s="1"/>
  <c r="CO15" i="13"/>
  <c r="CO15" i="11" s="1"/>
  <c r="CO16" i="13"/>
  <c r="CO16" i="11" s="1"/>
  <c r="CO10" i="13"/>
  <c r="CO10" i="11" s="1"/>
  <c r="CN14" i="13"/>
  <c r="CN14" i="11" s="1"/>
  <c r="CN12" i="13"/>
  <c r="CN12" i="11" s="1"/>
  <c r="CN7" i="13"/>
  <c r="CN7" i="11" s="1"/>
  <c r="CN25" i="13"/>
  <c r="CN25" i="11" s="1"/>
  <c r="CN18" i="13"/>
  <c r="CN18" i="11" s="1"/>
  <c r="CN9" i="13"/>
  <c r="CN9" i="11" s="1"/>
  <c r="CO12" i="13"/>
  <c r="CO12" i="11" s="1"/>
  <c r="CO6" i="13"/>
  <c r="CO6" i="11" s="1"/>
  <c r="CN16" i="13"/>
  <c r="CN16" i="11" s="1"/>
  <c r="CN21" i="13"/>
  <c r="CN21" i="11" s="1"/>
  <c r="CN6" i="13"/>
  <c r="CN6" i="11" s="1"/>
  <c r="CN13" i="13"/>
  <c r="CN13" i="11" s="1"/>
  <c r="CN5" i="13"/>
  <c r="CN5" i="11" s="1"/>
  <c r="CN15" i="13"/>
  <c r="CN15" i="11" s="1"/>
  <c r="CN11" i="13"/>
  <c r="CN11" i="11" s="1"/>
  <c r="CN22" i="13"/>
  <c r="CN22" i="11" s="1"/>
  <c r="CO3" i="13"/>
  <c r="CM24" i="13"/>
  <c r="CM24" i="11" s="1"/>
  <c r="CN23" i="11"/>
  <c r="CN10" i="13"/>
  <c r="CN10" i="11" s="1"/>
  <c r="CN3" i="13"/>
  <c r="CH19" i="11"/>
  <c r="CH21" i="13"/>
  <c r="CH21" i="11" s="1"/>
  <c r="CI14" i="13"/>
  <c r="CI14" i="11" s="1"/>
  <c r="CM20" i="11"/>
  <c r="CC21" i="13"/>
  <c r="CC21" i="11" s="1"/>
  <c r="CI23" i="11"/>
  <c r="CD25" i="13"/>
  <c r="CD25" i="11" s="1"/>
  <c r="CM26" i="13"/>
  <c r="CM26" i="11" s="1"/>
  <c r="CH23" i="11"/>
  <c r="CI15" i="13"/>
  <c r="CI15" i="11" s="1"/>
  <c r="CO21" i="13"/>
  <c r="CO21" i="11" s="1"/>
  <c r="CK12" i="13"/>
  <c r="CK12" i="11" s="1"/>
  <c r="CI21" i="13"/>
  <c r="CI21" i="11" s="1"/>
  <c r="CH26" i="13"/>
  <c r="CH26" i="11" s="1"/>
  <c r="CH20" i="11"/>
  <c r="CH24" i="13"/>
  <c r="CH24" i="11" s="1"/>
  <c r="CI9" i="13"/>
  <c r="CI9" i="11" s="1"/>
  <c r="CI7" i="13"/>
  <c r="CI7" i="11" s="1"/>
  <c r="CD22" i="13"/>
  <c r="CD22" i="11" s="1"/>
  <c r="CD20" i="11"/>
  <c r="CI13" i="13"/>
  <c r="CI13" i="11" s="1"/>
  <c r="CK14" i="13"/>
  <c r="CK14" i="11" s="1"/>
  <c r="CC5" i="13"/>
  <c r="CC5" i="11" s="1"/>
  <c r="CD19" i="11"/>
  <c r="CC24" i="13"/>
  <c r="CC24" i="11" s="1"/>
  <c r="CI25" i="13"/>
  <c r="CI25" i="11" s="1"/>
  <c r="CD26" i="13"/>
  <c r="CD26" i="11" s="1"/>
  <c r="CK15" i="13"/>
  <c r="CK15" i="11" s="1"/>
  <c r="CJ22" i="13"/>
  <c r="CJ22" i="11" s="1"/>
  <c r="CC17" i="13"/>
  <c r="CC17" i="11" s="1"/>
  <c r="CK9" i="13"/>
  <c r="CK9" i="11" s="1"/>
  <c r="CJ20" i="11"/>
  <c r="CO23" i="11"/>
  <c r="CK7" i="13"/>
  <c r="CK7" i="11" s="1"/>
  <c r="CH22" i="13"/>
  <c r="CH22" i="11" s="1"/>
  <c r="CO19" i="11"/>
  <c r="CO22" i="13"/>
  <c r="CO22" i="11" s="1"/>
  <c r="CK13" i="13"/>
  <c r="CK13" i="11" s="1"/>
  <c r="CK3" i="13"/>
  <c r="CI26" i="13"/>
  <c r="CI26" i="11" s="1"/>
  <c r="CI8" i="13"/>
  <c r="CI8" i="11" s="1"/>
  <c r="CO26" i="13"/>
  <c r="CO26" i="11" s="1"/>
  <c r="CK16" i="13"/>
  <c r="CK16" i="11" s="1"/>
  <c r="CJ21" i="13"/>
  <c r="CJ21" i="11" s="1"/>
  <c r="CK11" i="13"/>
  <c r="CK11" i="11" s="1"/>
  <c r="CK20" i="11"/>
  <c r="CC19" i="11"/>
  <c r="CC20" i="11"/>
  <c r="CC25" i="13"/>
  <c r="CC25" i="11" s="1"/>
  <c r="CC11" i="13"/>
  <c r="CC11" i="11" s="1"/>
  <c r="CI10" i="13"/>
  <c r="CI10" i="11" s="1"/>
  <c r="CC26" i="13"/>
  <c r="CC26" i="11" s="1"/>
  <c r="CI3" i="13"/>
  <c r="CI6" i="13"/>
  <c r="CI6" i="11" s="1"/>
  <c r="CO20" i="11"/>
  <c r="CO24" i="13"/>
  <c r="CO24" i="11" s="1"/>
  <c r="CL20" i="11"/>
  <c r="CC22" i="13"/>
  <c r="CC22" i="11" s="1"/>
  <c r="CI11" i="13"/>
  <c r="CI11" i="11" s="1"/>
  <c r="CI4" i="13"/>
  <c r="CI4" i="11" s="1"/>
  <c r="CK19" i="11"/>
  <c r="CC9" i="13"/>
  <c r="CC9" i="11" s="1"/>
  <c r="CC8" i="13"/>
  <c r="CC8" i="11" s="1"/>
  <c r="CK26" i="13"/>
  <c r="CK26" i="11" s="1"/>
  <c r="CC7" i="13"/>
  <c r="CC7" i="11" s="1"/>
  <c r="CC14" i="13"/>
  <c r="CC14" i="11" s="1"/>
  <c r="CI20" i="11"/>
  <c r="CF3" i="11"/>
  <c r="CE26" i="13"/>
  <c r="CE26" i="11" s="1"/>
  <c r="CE11" i="13"/>
  <c r="CE11" i="11" s="1"/>
  <c r="CE23" i="11"/>
  <c r="CF26" i="13"/>
  <c r="CF26" i="11" s="1"/>
  <c r="CF23" i="11"/>
  <c r="CF6" i="13"/>
  <c r="CF6" i="11" s="1"/>
  <c r="CB5" i="13"/>
  <c r="CB5" i="11" s="1"/>
  <c r="CB11" i="13"/>
  <c r="CB11" i="11" s="1"/>
  <c r="CB15" i="13"/>
  <c r="CB15" i="11" s="1"/>
  <c r="CL24" i="13"/>
  <c r="CL24" i="11" s="1"/>
  <c r="CL11" i="13"/>
  <c r="CL11" i="11" s="1"/>
  <c r="CL23" i="11"/>
  <c r="CE5" i="13"/>
  <c r="CE5" i="11" s="1"/>
  <c r="CE7" i="13"/>
  <c r="CE7" i="11" s="1"/>
  <c r="CE21" i="13"/>
  <c r="CE21" i="11" s="1"/>
  <c r="CF19" i="11"/>
  <c r="CF18" i="13"/>
  <c r="CF18" i="11" s="1"/>
  <c r="CF9" i="13"/>
  <c r="CF9" i="11" s="1"/>
  <c r="CG3" i="11"/>
  <c r="CB3" i="13"/>
  <c r="CB19" i="11"/>
  <c r="CB22" i="13"/>
  <c r="CB22" i="11" s="1"/>
  <c r="CL7" i="13"/>
  <c r="CL7" i="11" s="1"/>
  <c r="CL18" i="13"/>
  <c r="CL18" i="11" s="1"/>
  <c r="CL21" i="13"/>
  <c r="CL21" i="11" s="1"/>
  <c r="CE10" i="13"/>
  <c r="CE10" i="11" s="1"/>
  <c r="CE24" i="13"/>
  <c r="CE24" i="11" s="1"/>
  <c r="CE16" i="13"/>
  <c r="CE16" i="11" s="1"/>
  <c r="CF14" i="13"/>
  <c r="CF14" i="11" s="1"/>
  <c r="CF20" i="11"/>
  <c r="CF24" i="13"/>
  <c r="CF24" i="11" s="1"/>
  <c r="CB21" i="13"/>
  <c r="CB21" i="11" s="1"/>
  <c r="CB12" i="13"/>
  <c r="CB12" i="11" s="1"/>
  <c r="CB16" i="13"/>
  <c r="CB16" i="11" s="1"/>
  <c r="CL5" i="13"/>
  <c r="CL5" i="11" s="1"/>
  <c r="CL19" i="11"/>
  <c r="CL3" i="13"/>
  <c r="CD3" i="11"/>
  <c r="CM3" i="11"/>
  <c r="CE15" i="13"/>
  <c r="CE15" i="11" s="1"/>
  <c r="CE4" i="13"/>
  <c r="CE4" i="11" s="1"/>
  <c r="CE22" i="13"/>
  <c r="CE22" i="11" s="1"/>
  <c r="CF15" i="13"/>
  <c r="CF15" i="11" s="1"/>
  <c r="CF21" i="13"/>
  <c r="CF21" i="11" s="1"/>
  <c r="CF4" i="13"/>
  <c r="CF4" i="11" s="1"/>
  <c r="CK24" i="13"/>
  <c r="CK24" i="11" s="1"/>
  <c r="CK10" i="13"/>
  <c r="CK10" i="11" s="1"/>
  <c r="CK5" i="13"/>
  <c r="CK5" i="11" s="1"/>
  <c r="CJ19" i="11"/>
  <c r="CJ25" i="13"/>
  <c r="CJ25" i="11" s="1"/>
  <c r="CB24" i="13"/>
  <c r="CB24" i="11" s="1"/>
  <c r="CB8" i="13"/>
  <c r="CB8" i="11" s="1"/>
  <c r="CB23" i="11"/>
  <c r="CL16" i="13"/>
  <c r="CL16" i="11" s="1"/>
  <c r="CL8" i="13"/>
  <c r="CL8" i="11" s="1"/>
  <c r="CL14" i="13"/>
  <c r="CL14" i="11" s="1"/>
  <c r="CC3" i="13"/>
  <c r="CC13" i="13"/>
  <c r="CC13" i="11" s="1"/>
  <c r="CC16" i="13"/>
  <c r="CC16" i="11" s="1"/>
  <c r="CI5" i="13"/>
  <c r="CI5" i="11" s="1"/>
  <c r="CI16" i="13"/>
  <c r="CI16" i="11" s="1"/>
  <c r="CI18" i="13"/>
  <c r="CI18" i="11" s="1"/>
  <c r="CE17" i="13"/>
  <c r="CE17" i="11" s="1"/>
  <c r="CE19" i="11"/>
  <c r="CE9" i="13"/>
  <c r="CE9" i="11" s="1"/>
  <c r="CF25" i="13"/>
  <c r="CF25" i="11" s="1"/>
  <c r="CF12" i="13"/>
  <c r="CF12" i="11" s="1"/>
  <c r="CF5" i="13"/>
  <c r="CF5" i="11" s="1"/>
  <c r="CB9" i="13"/>
  <c r="CB6" i="13"/>
  <c r="CB6" i="11" s="1"/>
  <c r="CB20" i="11"/>
  <c r="CL25" i="13"/>
  <c r="CL25" i="11" s="1"/>
  <c r="CL6" i="13"/>
  <c r="CL6" i="11" s="1"/>
  <c r="CL22" i="13"/>
  <c r="CL22" i="11" s="1"/>
  <c r="CD24" i="13"/>
  <c r="CD24" i="11" s="1"/>
  <c r="CE25" i="13"/>
  <c r="CE25" i="11" s="1"/>
  <c r="CE20" i="11"/>
  <c r="CE8" i="13"/>
  <c r="CE8" i="11" s="1"/>
  <c r="CF10" i="13"/>
  <c r="CF10" i="11" s="1"/>
  <c r="CF16" i="13"/>
  <c r="CF16" i="11" s="1"/>
  <c r="CF7" i="13"/>
  <c r="CF7" i="11" s="1"/>
  <c r="CK8" i="13"/>
  <c r="CK8" i="11" s="1"/>
  <c r="CK23" i="11"/>
  <c r="CK21" i="13"/>
  <c r="CK21" i="11" s="1"/>
  <c r="CJ23" i="11"/>
  <c r="CJ3" i="11"/>
  <c r="CB10" i="13"/>
  <c r="CB10" i="11" s="1"/>
  <c r="CB4" i="13"/>
  <c r="CB4" i="11" s="1"/>
  <c r="CB14" i="13"/>
  <c r="CB14" i="11" s="1"/>
  <c r="CL9" i="13"/>
  <c r="CL9" i="11" s="1"/>
  <c r="CL4" i="13"/>
  <c r="CL4" i="11" s="1"/>
  <c r="CL13" i="13"/>
  <c r="CL13" i="11" s="1"/>
  <c r="CC23" i="11"/>
  <c r="CC10" i="13"/>
  <c r="CC10" i="11" s="1"/>
  <c r="CI22" i="13"/>
  <c r="CI22" i="11" s="1"/>
  <c r="CM25" i="13"/>
  <c r="CM25" i="11" s="1"/>
  <c r="CD21" i="13"/>
  <c r="CD21" i="11" s="1"/>
  <c r="CD23" i="11"/>
  <c r="CE13" i="13"/>
  <c r="CE13" i="11" s="1"/>
  <c r="CE6" i="13"/>
  <c r="CE6" i="11" s="1"/>
  <c r="CE12" i="13"/>
  <c r="CE12" i="11" s="1"/>
  <c r="CF11" i="13"/>
  <c r="CF11" i="11" s="1"/>
  <c r="CF22" i="13"/>
  <c r="CF22" i="11" s="1"/>
  <c r="CF8" i="13"/>
  <c r="CF8" i="11" s="1"/>
  <c r="CK6" i="13"/>
  <c r="CK6" i="11" s="1"/>
  <c r="CK25" i="13"/>
  <c r="CK25" i="11" s="1"/>
  <c r="CK22" i="13"/>
  <c r="CK22" i="11" s="1"/>
  <c r="CJ24" i="13"/>
  <c r="CJ24" i="11" s="1"/>
  <c r="CJ26" i="13"/>
  <c r="CJ26" i="11" s="1"/>
  <c r="CB26" i="13"/>
  <c r="CB26" i="11" s="1"/>
  <c r="CB17" i="13"/>
  <c r="CB17" i="11" s="1"/>
  <c r="CB25" i="13"/>
  <c r="CB25" i="11" s="1"/>
  <c r="CL17" i="13"/>
  <c r="CL17" i="11" s="1"/>
  <c r="CL12" i="13"/>
  <c r="CL12" i="11" s="1"/>
  <c r="CC12" i="13"/>
  <c r="CC12" i="11" s="1"/>
  <c r="CC6" i="13"/>
  <c r="CC6" i="11" s="1"/>
  <c r="CC18" i="13"/>
  <c r="CC18" i="11" s="1"/>
  <c r="CH3" i="11"/>
  <c r="CI17" i="13"/>
  <c r="CI17" i="11" s="1"/>
  <c r="CI19" i="11"/>
  <c r="CI12" i="13"/>
  <c r="CI12" i="11" s="1"/>
  <c r="CE14" i="13"/>
  <c r="CE14" i="11" s="1"/>
  <c r="CE3" i="13"/>
  <c r="CF17" i="13"/>
  <c r="CF17" i="11" s="1"/>
  <c r="CF13" i="13"/>
  <c r="CF13" i="11" s="1"/>
  <c r="CK17" i="13"/>
  <c r="CK17" i="11" s="1"/>
  <c r="CK4" i="13"/>
  <c r="CK4" i="11" s="1"/>
  <c r="CB7" i="13"/>
  <c r="CB7" i="11" s="1"/>
  <c r="CB18" i="13"/>
  <c r="CB18" i="11" s="1"/>
  <c r="CL15" i="13"/>
  <c r="CL15" i="11" s="1"/>
  <c r="CL26" i="13"/>
  <c r="CL26" i="11" s="1"/>
  <c r="CM23" i="11"/>
  <c r="CM19" i="11"/>
  <c r="CM21" i="13"/>
  <c r="CM21" i="11" s="1"/>
  <c r="CC15" i="13"/>
  <c r="CC15" i="11" s="1"/>
  <c r="CI24" i="13"/>
  <c r="CI24" i="11" s="1"/>
  <c r="CM22" i="13"/>
  <c r="CM22" i="11" s="1"/>
  <c r="CL12" i="22" l="1"/>
  <c r="CM22" i="22"/>
  <c r="CB18" i="22"/>
  <c r="CI12" i="22"/>
  <c r="CL17" i="22"/>
  <c r="CK6" i="22"/>
  <c r="CD21" i="22"/>
  <c r="CB14" i="22"/>
  <c r="CF7" i="22"/>
  <c r="CL6" i="22"/>
  <c r="CE9" i="22"/>
  <c r="CJ19" i="22"/>
  <c r="CE4" i="22"/>
  <c r="CB12" i="22"/>
  <c r="CL21" i="22"/>
  <c r="CF18" i="22"/>
  <c r="CB15" i="22"/>
  <c r="CE26" i="22"/>
  <c r="CK19" i="22"/>
  <c r="CK11" i="22"/>
  <c r="CO22" i="22"/>
  <c r="CJ22" i="22"/>
  <c r="CI13" i="22"/>
  <c r="CI21" i="22"/>
  <c r="CC21" i="22"/>
  <c r="CM24" i="22"/>
  <c r="CN21" i="22"/>
  <c r="CN12" i="22"/>
  <c r="CO25" i="22"/>
  <c r="CN24" i="22"/>
  <c r="CM17" i="22"/>
  <c r="CJ11" i="22"/>
  <c r="CJ7" i="22"/>
  <c r="CK18" i="22"/>
  <c r="CH15" i="22"/>
  <c r="CH14" i="22"/>
  <c r="CG19" i="22"/>
  <c r="CG7" i="22"/>
  <c r="CG12" i="22"/>
  <c r="CG17" i="22"/>
  <c r="CD12" i="22"/>
  <c r="CL15" i="22"/>
  <c r="CI19" i="22"/>
  <c r="CB25" i="22"/>
  <c r="CF8" i="22"/>
  <c r="CM25" i="22"/>
  <c r="CB4" i="22"/>
  <c r="CF16" i="22"/>
  <c r="CL25" i="22"/>
  <c r="CE19" i="22"/>
  <c r="CL14" i="22"/>
  <c r="CK5" i="22"/>
  <c r="CE15" i="22"/>
  <c r="CB21" i="22"/>
  <c r="CL18" i="22"/>
  <c r="CF19" i="22"/>
  <c r="CB11" i="22"/>
  <c r="CI4" i="22"/>
  <c r="CC26" i="22"/>
  <c r="CJ21" i="22"/>
  <c r="CO19" i="22"/>
  <c r="CK15" i="22"/>
  <c r="CD20" i="22"/>
  <c r="CK12" i="22"/>
  <c r="CM20" i="22"/>
  <c r="CN16" i="22"/>
  <c r="CN14" i="22"/>
  <c r="CO5" i="22"/>
  <c r="CO14" i="22"/>
  <c r="CM10" i="22"/>
  <c r="CJ14" i="22"/>
  <c r="CJ8" i="22"/>
  <c r="CN4" i="22"/>
  <c r="CH13" i="22"/>
  <c r="CH4" i="22"/>
  <c r="CG20" i="22"/>
  <c r="CG9" i="22"/>
  <c r="CG13" i="22"/>
  <c r="CM12" i="22"/>
  <c r="CD18" i="22"/>
  <c r="CC4" i="22"/>
  <c r="CE14" i="22"/>
  <c r="CI17" i="22"/>
  <c r="CI22" i="22"/>
  <c r="CB10" i="22"/>
  <c r="CF10" i="22"/>
  <c r="CB20" i="22"/>
  <c r="CE17" i="22"/>
  <c r="CL8" i="22"/>
  <c r="CK10" i="22"/>
  <c r="CF24" i="22"/>
  <c r="CL7" i="22"/>
  <c r="CE21" i="22"/>
  <c r="CB5" i="22"/>
  <c r="CI20" i="22"/>
  <c r="CI11" i="22"/>
  <c r="CI10" i="22"/>
  <c r="CK16" i="22"/>
  <c r="CH22" i="22"/>
  <c r="CD26" i="22"/>
  <c r="CD22" i="22"/>
  <c r="CO21" i="22"/>
  <c r="CI14" i="22"/>
  <c r="CN22" i="22"/>
  <c r="CO6" i="22"/>
  <c r="CO10" i="22"/>
  <c r="CO8" i="22"/>
  <c r="CO4" i="22"/>
  <c r="CJ10" i="22"/>
  <c r="CJ13" i="22"/>
  <c r="CJ17" i="22"/>
  <c r="CH9" i="22"/>
  <c r="CH10" i="22"/>
  <c r="CH8" i="22"/>
  <c r="CN19" i="22"/>
  <c r="CG25" i="22"/>
  <c r="CG6" i="22"/>
  <c r="CD15" i="22"/>
  <c r="CD6" i="22"/>
  <c r="CD10" i="22"/>
  <c r="CJ9" i="22"/>
  <c r="CI24" i="22"/>
  <c r="CB17" i="22"/>
  <c r="CK17" i="22"/>
  <c r="CB26" i="22"/>
  <c r="CF11" i="22"/>
  <c r="CC10" i="22"/>
  <c r="CE8" i="22"/>
  <c r="CB6" i="22"/>
  <c r="CI18" i="22"/>
  <c r="CL16" i="22"/>
  <c r="CK24" i="22"/>
  <c r="CF20" i="22"/>
  <c r="CB22" i="22"/>
  <c r="CE7" i="22"/>
  <c r="CF6" i="22"/>
  <c r="CC14" i="22"/>
  <c r="CC22" i="22"/>
  <c r="CC11" i="22"/>
  <c r="CO26" i="22"/>
  <c r="CK7" i="22"/>
  <c r="CI25" i="22"/>
  <c r="CI7" i="22"/>
  <c r="CI15" i="22"/>
  <c r="CH21" i="22"/>
  <c r="CN11" i="22"/>
  <c r="CO12" i="22"/>
  <c r="CO16" i="22"/>
  <c r="CO9" i="22"/>
  <c r="CM8" i="22"/>
  <c r="CM5" i="22"/>
  <c r="CM11" i="22"/>
  <c r="CJ15" i="22"/>
  <c r="CH5" i="22"/>
  <c r="CL10" i="22"/>
  <c r="CD9" i="22"/>
  <c r="CD16" i="22"/>
  <c r="CE18" i="22"/>
  <c r="CH16" i="22"/>
  <c r="CK4" i="22"/>
  <c r="CM19" i="22"/>
  <c r="CC18" i="22"/>
  <c r="CJ26" i="22"/>
  <c r="CE12" i="22"/>
  <c r="CC23" i="22"/>
  <c r="CJ23" i="22"/>
  <c r="CE20" i="22"/>
  <c r="CI16" i="22"/>
  <c r="CB23" i="22"/>
  <c r="CF4" i="22"/>
  <c r="CF14" i="22"/>
  <c r="CB19" i="22"/>
  <c r="CE5" i="22"/>
  <c r="CF23" i="22"/>
  <c r="CC7" i="22"/>
  <c r="CL20" i="22"/>
  <c r="CC25" i="22"/>
  <c r="CI8" i="22"/>
  <c r="CO23" i="22"/>
  <c r="CC24" i="22"/>
  <c r="CI9" i="22"/>
  <c r="CH23" i="22"/>
  <c r="CH19" i="22"/>
  <c r="CN15" i="22"/>
  <c r="CN9" i="22"/>
  <c r="CO15" i="22"/>
  <c r="CO13" i="22"/>
  <c r="CM13" i="22"/>
  <c r="CM15" i="22"/>
  <c r="CO17" i="22"/>
  <c r="CH12" i="22"/>
  <c r="CH6" i="22"/>
  <c r="CH18" i="22"/>
  <c r="CG21" i="22"/>
  <c r="CG10" i="22"/>
  <c r="CG11" i="22"/>
  <c r="CM14" i="22"/>
  <c r="CD13" i="22"/>
  <c r="CD5" i="22"/>
  <c r="CC15" i="22"/>
  <c r="CM21" i="22"/>
  <c r="CM23" i="22"/>
  <c r="CF17" i="22"/>
  <c r="CC6" i="22"/>
  <c r="CJ24" i="22"/>
  <c r="CE6" i="22"/>
  <c r="CL13" i="22"/>
  <c r="CK21" i="22"/>
  <c r="CE25" i="22"/>
  <c r="CF5" i="22"/>
  <c r="CI5" i="22"/>
  <c r="CB8" i="22"/>
  <c r="CF21" i="22"/>
  <c r="CL19" i="22"/>
  <c r="CE16" i="22"/>
  <c r="CL23" i="22"/>
  <c r="CF26" i="22"/>
  <c r="CK26" i="22"/>
  <c r="CO24" i="22"/>
  <c r="CC20" i="22"/>
  <c r="CI26" i="22"/>
  <c r="CJ20" i="22"/>
  <c r="CD19" i="22"/>
  <c r="CH24" i="22"/>
  <c r="CM26" i="22"/>
  <c r="CN5" i="22"/>
  <c r="CN18" i="22"/>
  <c r="CO11" i="22"/>
  <c r="CO7" i="22"/>
  <c r="CM7" i="22"/>
  <c r="CM16" i="22"/>
  <c r="CJ4" i="22"/>
  <c r="CM18" i="22"/>
  <c r="CG24" i="22"/>
  <c r="CG26" i="22"/>
  <c r="CG18" i="22"/>
  <c r="CG14" i="22"/>
  <c r="CB13" i="22"/>
  <c r="CD8" i="22"/>
  <c r="CD11" i="22"/>
  <c r="CB7" i="22"/>
  <c r="CF22" i="22"/>
  <c r="CF13" i="22"/>
  <c r="CL26" i="22"/>
  <c r="CC12" i="22"/>
  <c r="CK22" i="22"/>
  <c r="CE13" i="22"/>
  <c r="CL4" i="22"/>
  <c r="CK23" i="22"/>
  <c r="CD24" i="22"/>
  <c r="CF12" i="22"/>
  <c r="CC16" i="22"/>
  <c r="CB24" i="22"/>
  <c r="CF15" i="22"/>
  <c r="CL5" i="22"/>
  <c r="CE24" i="22"/>
  <c r="CL11" i="22"/>
  <c r="CE23" i="22"/>
  <c r="CC8" i="22"/>
  <c r="CO20" i="22"/>
  <c r="CC19" i="22"/>
  <c r="CK9" i="22"/>
  <c r="CC5" i="22"/>
  <c r="CH20" i="22"/>
  <c r="CD25" i="22"/>
  <c r="CN10" i="22"/>
  <c r="CN13" i="22"/>
  <c r="CN25" i="22"/>
  <c r="CN8" i="22"/>
  <c r="CN17" i="22"/>
  <c r="CM6" i="22"/>
  <c r="CM4" i="22"/>
  <c r="CJ5" i="22"/>
  <c r="CJ12" i="22"/>
  <c r="CH17" i="22"/>
  <c r="CG22" i="22"/>
  <c r="CG16" i="22"/>
  <c r="CG4" i="22"/>
  <c r="CD7" i="22"/>
  <c r="CD4" i="22"/>
  <c r="CK25" i="22"/>
  <c r="CD23" i="22"/>
  <c r="CL9" i="22"/>
  <c r="CK8" i="22"/>
  <c r="CL22" i="22"/>
  <c r="CF25" i="22"/>
  <c r="CC13" i="22"/>
  <c r="CJ25" i="22"/>
  <c r="CE22" i="22"/>
  <c r="CB16" i="22"/>
  <c r="CE10" i="22"/>
  <c r="CF9" i="22"/>
  <c r="CL24" i="22"/>
  <c r="CE11" i="22"/>
  <c r="CC9" i="22"/>
  <c r="CI6" i="22"/>
  <c r="CK20" i="22"/>
  <c r="CK13" i="22"/>
  <c r="CC17" i="22"/>
  <c r="CK14" i="22"/>
  <c r="CH26" i="22"/>
  <c r="CI23" i="22"/>
  <c r="CN23" i="22"/>
  <c r="CN6" i="22"/>
  <c r="CN7" i="22"/>
  <c r="CO18" i="22"/>
  <c r="CN26" i="22"/>
  <c r="CM9" i="22"/>
  <c r="CJ18" i="22"/>
  <c r="CJ6" i="22"/>
  <c r="CJ16" i="22"/>
  <c r="CH11" i="22"/>
  <c r="CG23" i="22"/>
  <c r="CH25" i="22"/>
  <c r="CH7" i="22"/>
  <c r="CN20" i="22"/>
  <c r="CG5" i="22"/>
  <c r="CG8" i="22"/>
  <c r="CD17" i="22"/>
  <c r="CD14" i="22"/>
  <c r="CG15" i="22"/>
  <c r="CB9" i="11"/>
  <c r="BN25" i="22"/>
  <c r="BO25" i="22" s="1"/>
  <c r="BP25" i="22" s="1"/>
  <c r="BN24" i="22"/>
  <c r="BO24" i="22" s="1"/>
  <c r="BP24" i="22" s="1"/>
  <c r="BN23" i="22"/>
  <c r="BO23" i="22" s="1"/>
  <c r="BP23" i="22" s="1"/>
  <c r="BO22" i="22"/>
  <c r="BP22" i="22" s="1"/>
  <c r="BO5" i="22"/>
  <c r="BP5" i="22" s="1"/>
  <c r="BP9" i="22"/>
  <c r="BO8" i="22"/>
  <c r="BP8" i="22" s="1"/>
  <c r="BN12" i="22"/>
  <c r="BO12" i="22" s="1"/>
  <c r="BN13" i="22"/>
  <c r="BO13" i="22" s="1"/>
  <c r="BP13" i="22" s="1"/>
  <c r="BO17" i="22"/>
  <c r="BP17" i="22" s="1"/>
  <c r="BO21" i="22"/>
  <c r="BP21" i="22" s="1"/>
  <c r="BO11" i="22"/>
  <c r="BP11" i="22" s="1"/>
  <c r="BO7" i="22"/>
  <c r="BP7" i="22" s="1"/>
  <c r="BO26" i="22"/>
  <c r="BP26" i="22" s="1"/>
  <c r="BO15" i="22"/>
  <c r="BP15" i="22" s="1"/>
  <c r="BN19" i="22"/>
  <c r="BO19" i="22" s="1"/>
  <c r="BP19" i="22" s="1"/>
  <c r="BN3" i="22"/>
  <c r="BO3" i="22" s="1"/>
  <c r="BP3" i="22" s="1"/>
  <c r="BO20" i="22"/>
  <c r="BP20" i="22" s="1"/>
  <c r="BO16" i="22"/>
  <c r="BP16" i="22" s="1"/>
  <c r="BO10" i="22"/>
  <c r="BP10" i="22" s="1"/>
  <c r="BO6" i="22"/>
  <c r="BP6" i="22" s="1"/>
  <c r="BN18" i="22"/>
  <c r="BO4" i="22"/>
  <c r="BP4" i="22" s="1"/>
  <c r="BO14" i="22"/>
  <c r="BP14" i="22" s="1"/>
  <c r="CO3" i="11"/>
  <c r="CI3" i="11"/>
  <c r="CK3" i="11"/>
  <c r="H3" i="14"/>
  <c r="G71" i="14"/>
  <c r="CN3" i="11"/>
  <c r="CE3" i="11"/>
  <c r="CH3" i="22"/>
  <c r="CJ3" i="22"/>
  <c r="CC3" i="11"/>
  <c r="CM3" i="22"/>
  <c r="CD3" i="22"/>
  <c r="CL3" i="11"/>
  <c r="CB3" i="11"/>
  <c r="CG3" i="22"/>
  <c r="CF3" i="22"/>
  <c r="CB9" i="22" l="1"/>
  <c r="BP12" i="22"/>
  <c r="BO18" i="22"/>
  <c r="BP18" i="22" s="1"/>
  <c r="CO3" i="22"/>
  <c r="CK3" i="22"/>
  <c r="CI3" i="22"/>
  <c r="I3" i="14"/>
  <c r="H71" i="14"/>
  <c r="CN3" i="22"/>
  <c r="CB3" i="22"/>
  <c r="CL3" i="22"/>
  <c r="CC3" i="22"/>
  <c r="CE3" i="22"/>
  <c r="J3" i="14" l="1"/>
  <c r="I71" i="14"/>
  <c r="K3" i="14" l="1"/>
  <c r="J71" i="14"/>
  <c r="L3" i="14" l="1"/>
  <c r="K71" i="14"/>
  <c r="M3" i="14" l="1"/>
  <c r="L71" i="14"/>
  <c r="N3" i="14" l="1"/>
  <c r="M71" i="14"/>
  <c r="O3" i="14" l="1"/>
  <c r="N71" i="14"/>
  <c r="P3" i="14" l="1"/>
  <c r="O71" i="14"/>
  <c r="Q3" i="14" l="1"/>
  <c r="P71" i="14"/>
  <c r="R3" i="14" l="1"/>
  <c r="Q71" i="14"/>
  <c r="S3" i="14" l="1"/>
  <c r="R71" i="14"/>
  <c r="T3" i="14" l="1"/>
  <c r="S71" i="14"/>
  <c r="U3" i="14" l="1"/>
  <c r="T71" i="14"/>
  <c r="V3" i="14" l="1"/>
  <c r="U71" i="14"/>
  <c r="W3" i="14" l="1"/>
  <c r="W71" i="14" s="1"/>
  <c r="V71" i="14"/>
  <c r="CA26" i="11"/>
  <c r="BZ17" i="11"/>
  <c r="BY8" i="11"/>
  <c r="BW16" i="11"/>
  <c r="BW10" i="11"/>
  <c r="BW20" i="11"/>
  <c r="BV4" i="11"/>
  <c r="BZ18" i="11"/>
  <c r="BX8" i="11"/>
  <c r="BY12" i="11"/>
  <c r="CA8" i="11"/>
  <c r="BU22" i="11"/>
  <c r="CA4" i="11"/>
  <c r="BV26" i="11"/>
  <c r="BZ24" i="11"/>
  <c r="CA21" i="11"/>
  <c r="BZ12" i="11"/>
  <c r="BZ22" i="11"/>
  <c r="BZ7" i="11"/>
  <c r="BY22" i="11"/>
  <c r="BU19" i="11"/>
  <c r="BZ3" i="11"/>
  <c r="BX3" i="11"/>
  <c r="BX23" i="11"/>
  <c r="BW14" i="11"/>
  <c r="BV5" i="11"/>
  <c r="BV7" i="11"/>
  <c r="BX20" i="11"/>
  <c r="BY6" i="11"/>
  <c r="BX24" i="11"/>
  <c r="BW15" i="11"/>
  <c r="BY10" i="11"/>
  <c r="BU17" i="11"/>
  <c r="BU11" i="11"/>
  <c r="BY18" i="11"/>
  <c r="BY20" i="11"/>
  <c r="CA7" i="11"/>
  <c r="BW5" i="11"/>
  <c r="BX18" i="11"/>
  <c r="BW9" i="11"/>
  <c r="BU9" i="11"/>
  <c r="BY7" i="11"/>
  <c r="BW4" i="11"/>
  <c r="BX14" i="11"/>
  <c r="BU20" i="11"/>
  <c r="CA10" i="11"/>
  <c r="BW7" i="11"/>
  <c r="BX19" i="11"/>
  <c r="BZ6" i="11"/>
  <c r="BW13" i="11"/>
  <c r="BU21" i="11"/>
  <c r="CA11" i="11"/>
  <c r="CA22" i="11"/>
  <c r="CA24" i="11"/>
  <c r="BW24" i="11"/>
  <c r="BZ11" i="11"/>
  <c r="BU8" i="11"/>
  <c r="BU10" i="11"/>
  <c r="BV24" i="11"/>
  <c r="BU15" i="11"/>
  <c r="BZ13" i="11"/>
  <c r="BU18" i="11"/>
  <c r="BY23" i="11"/>
  <c r="BY21" i="11"/>
  <c r="BZ8" i="11"/>
  <c r="BY3" i="11"/>
  <c r="BU3" i="11"/>
  <c r="BZ25" i="11"/>
  <c r="BY16" i="11"/>
  <c r="BX7" i="11"/>
  <c r="CA12" i="11"/>
  <c r="BZ5" i="11"/>
  <c r="BY14" i="11"/>
  <c r="BZ26" i="11"/>
  <c r="BY17" i="11"/>
  <c r="BV6" i="11"/>
  <c r="CA6" i="11"/>
  <c r="BW21" i="11"/>
  <c r="CA20" i="11"/>
  <c r="CA5" i="11"/>
  <c r="BV18" i="11"/>
  <c r="CA17" i="11"/>
  <c r="BZ20" i="11"/>
  <c r="BY11" i="11"/>
  <c r="BW19" i="22"/>
  <c r="BX4" i="11"/>
  <c r="BW26" i="11"/>
  <c r="BV19" i="11"/>
  <c r="BX22" i="11"/>
  <c r="BW22" i="11"/>
  <c r="BV13" i="11"/>
  <c r="BU4" i="11"/>
  <c r="BU7" i="11"/>
  <c r="CA15" i="11"/>
  <c r="CA25" i="11"/>
  <c r="BW23" i="11"/>
  <c r="BV14" i="11"/>
  <c r="BU6" i="11"/>
  <c r="BX12" i="11"/>
  <c r="BY26" i="11"/>
  <c r="BX17" i="11"/>
  <c r="BV17" i="11"/>
  <c r="BU26" i="11"/>
  <c r="BX26" i="11"/>
  <c r="BW17" i="11"/>
  <c r="BZ4" i="11"/>
  <c r="BX6" i="11"/>
  <c r="CA3" i="11"/>
  <c r="BY24" i="11"/>
  <c r="CA18" i="11"/>
  <c r="BX15" i="11"/>
  <c r="BZ9" i="11"/>
  <c r="BW6" i="11"/>
  <c r="BU5" i="11"/>
  <c r="BX9" i="11"/>
  <c r="CA14" i="11"/>
  <c r="BU25" i="11"/>
  <c r="BX21" i="11"/>
  <c r="BV11" i="11"/>
  <c r="CA9" i="11"/>
  <c r="BY25" i="11"/>
  <c r="CA19" i="11"/>
  <c r="BX16" i="11"/>
  <c r="BZ10" i="11"/>
  <c r="BU14" i="11"/>
  <c r="BW18" i="11"/>
  <c r="CA23" i="11"/>
  <c r="BZ15" i="11"/>
  <c r="BZ16" i="11"/>
  <c r="BV23" i="11"/>
  <c r="BZ19" i="11"/>
  <c r="BW8" i="11"/>
  <c r="BV25" i="11"/>
  <c r="BY4" i="11"/>
  <c r="BY13" i="11"/>
  <c r="BX5" i="11"/>
  <c r="BV12" i="11"/>
  <c r="BU23" i="11"/>
  <c r="BY19" i="11"/>
  <c r="CA13" i="11"/>
  <c r="BX10" i="11"/>
  <c r="BV9" i="11"/>
  <c r="BZ14" i="11"/>
  <c r="BX13" i="11"/>
  <c r="BY15" i="11"/>
  <c r="BV10" i="11"/>
  <c r="BW12" i="11"/>
  <c r="BV3" i="11"/>
  <c r="BW3" i="11"/>
  <c r="BV21" i="11"/>
  <c r="BU12" i="11"/>
  <c r="BY9" i="11"/>
  <c r="BU24" i="11"/>
  <c r="BW11" i="11"/>
  <c r="BV20" i="11"/>
  <c r="BV22" i="11"/>
  <c r="BU13" i="11"/>
  <c r="BV8" i="11"/>
  <c r="BY5" i="11"/>
  <c r="BX25" i="11"/>
  <c r="BV15" i="11"/>
  <c r="BX11" i="11"/>
  <c r="CA16" i="11"/>
  <c r="BW25" i="11"/>
  <c r="BV16" i="11"/>
  <c r="BZ21" i="11"/>
  <c r="BZ23" i="11"/>
  <c r="BU16" i="11"/>
  <c r="BZ21" i="22" l="1"/>
  <c r="BV8" i="22"/>
  <c r="BV21" i="22"/>
  <c r="BV9" i="22"/>
  <c r="BY4" i="22"/>
  <c r="BW18" i="22"/>
  <c r="BX21" i="22"/>
  <c r="CA18" i="22"/>
  <c r="BV17" i="22"/>
  <c r="CA15" i="22"/>
  <c r="BX4" i="22"/>
  <c r="BW21" i="22"/>
  <c r="BX7" i="22"/>
  <c r="BU18" i="22"/>
  <c r="CA24" i="22"/>
  <c r="CA10" i="22"/>
  <c r="BW5" i="22"/>
  <c r="BX24" i="22"/>
  <c r="BV26" i="22"/>
  <c r="BW20" i="22"/>
  <c r="CA16" i="22"/>
  <c r="BV16" i="22"/>
  <c r="BU13" i="22"/>
  <c r="BX10" i="22"/>
  <c r="BV25" i="22"/>
  <c r="BU14" i="22"/>
  <c r="BU25" i="22"/>
  <c r="BY24" i="22"/>
  <c r="BX17" i="22"/>
  <c r="BU7" i="22"/>
  <c r="CA6" i="22"/>
  <c r="BY16" i="22"/>
  <c r="BZ13" i="22"/>
  <c r="CA22" i="22"/>
  <c r="BU20" i="22"/>
  <c r="CA7" i="22"/>
  <c r="BY6" i="22"/>
  <c r="BU19" i="22"/>
  <c r="CA4" i="22"/>
  <c r="BW10" i="22"/>
  <c r="BV22" i="22"/>
  <c r="CA13" i="22"/>
  <c r="BW8" i="22"/>
  <c r="BZ10" i="22"/>
  <c r="CA14" i="22"/>
  <c r="BY26" i="22"/>
  <c r="BU4" i="22"/>
  <c r="BY11" i="22"/>
  <c r="BV6" i="22"/>
  <c r="BZ25" i="22"/>
  <c r="BU15" i="22"/>
  <c r="CA11" i="22"/>
  <c r="BX14" i="22"/>
  <c r="BY20" i="22"/>
  <c r="BX20" i="22"/>
  <c r="BY22" i="22"/>
  <c r="BU22" i="22"/>
  <c r="BW16" i="22"/>
  <c r="BW25" i="22"/>
  <c r="BV20" i="22"/>
  <c r="BW12" i="22"/>
  <c r="BY19" i="22"/>
  <c r="BZ19" i="22"/>
  <c r="BX16" i="22"/>
  <c r="BX9" i="22"/>
  <c r="BX6" i="22"/>
  <c r="BX12" i="22"/>
  <c r="BV13" i="22"/>
  <c r="BZ20" i="22"/>
  <c r="BY17" i="22"/>
  <c r="BV24" i="22"/>
  <c r="BU21" i="22"/>
  <c r="BW4" i="22"/>
  <c r="BY18" i="22"/>
  <c r="BV7" i="22"/>
  <c r="BZ7" i="22"/>
  <c r="CA8" i="22"/>
  <c r="BY8" i="22"/>
  <c r="BX11" i="22"/>
  <c r="BW11" i="22"/>
  <c r="BV10" i="22"/>
  <c r="BU23" i="22"/>
  <c r="BV23" i="22"/>
  <c r="CA19" i="22"/>
  <c r="BU5" i="22"/>
  <c r="BZ4" i="22"/>
  <c r="BU6" i="22"/>
  <c r="BW22" i="22"/>
  <c r="CA17" i="22"/>
  <c r="BZ26" i="22"/>
  <c r="BU10" i="22"/>
  <c r="BW13" i="22"/>
  <c r="BY7" i="22"/>
  <c r="BU11" i="22"/>
  <c r="BV5" i="22"/>
  <c r="BZ22" i="22"/>
  <c r="BY12" i="22"/>
  <c r="BZ17" i="22"/>
  <c r="BV15" i="22"/>
  <c r="BU24" i="22"/>
  <c r="BY15" i="22"/>
  <c r="BV12" i="22"/>
  <c r="BZ16" i="22"/>
  <c r="BY25" i="22"/>
  <c r="BW6" i="22"/>
  <c r="BW17" i="22"/>
  <c r="BV14" i="22"/>
  <c r="BX22" i="22"/>
  <c r="BV18" i="22"/>
  <c r="BY14" i="22"/>
  <c r="BZ8" i="22"/>
  <c r="BU8" i="22"/>
  <c r="BZ6" i="22"/>
  <c r="BU9" i="22"/>
  <c r="BU17" i="22"/>
  <c r="BW14" i="22"/>
  <c r="BZ12" i="22"/>
  <c r="BX8" i="22"/>
  <c r="CA26" i="22"/>
  <c r="BU16" i="22"/>
  <c r="BX25" i="22"/>
  <c r="BY9" i="22"/>
  <c r="BX13" i="22"/>
  <c r="BX5" i="22"/>
  <c r="BZ15" i="22"/>
  <c r="CA9" i="22"/>
  <c r="BZ9" i="22"/>
  <c r="BX26" i="22"/>
  <c r="BW23" i="22"/>
  <c r="BV19" i="22"/>
  <c r="CA5" i="22"/>
  <c r="BZ5" i="22"/>
  <c r="BY21" i="22"/>
  <c r="BZ11" i="22"/>
  <c r="BX19" i="22"/>
  <c r="BW9" i="22"/>
  <c r="BY10" i="22"/>
  <c r="BX23" i="22"/>
  <c r="CA21" i="22"/>
  <c r="BZ18" i="22"/>
  <c r="BZ23" i="22"/>
  <c r="BY5" i="22"/>
  <c r="BU12" i="22"/>
  <c r="BZ14" i="22"/>
  <c r="BY13" i="22"/>
  <c r="CA23" i="22"/>
  <c r="BV11" i="22"/>
  <c r="BX15" i="22"/>
  <c r="BU26" i="22"/>
  <c r="CA25" i="22"/>
  <c r="BW26" i="22"/>
  <c r="CA20" i="22"/>
  <c r="CA12" i="22"/>
  <c r="BY23" i="22"/>
  <c r="BW24" i="22"/>
  <c r="BW7" i="22"/>
  <c r="BX18" i="22"/>
  <c r="BW15" i="22"/>
  <c r="BZ24" i="22"/>
  <c r="BV4" i="22"/>
  <c r="BW3" i="22"/>
  <c r="CA3" i="22"/>
  <c r="BZ3" i="22"/>
  <c r="BU3" i="22"/>
  <c r="BV3" i="22"/>
  <c r="BY3" i="22"/>
  <c r="BX3" i="22"/>
</calcChain>
</file>

<file path=xl/sharedStrings.xml><?xml version="1.0" encoding="utf-8"?>
<sst xmlns="http://schemas.openxmlformats.org/spreadsheetml/2006/main" count="3224" uniqueCount="387">
  <si>
    <t>Mon</t>
  </si>
  <si>
    <t>Tue</t>
  </si>
  <si>
    <t>Wed</t>
  </si>
  <si>
    <t>Thu</t>
  </si>
  <si>
    <t>Fri</t>
  </si>
  <si>
    <t>Sat</t>
  </si>
  <si>
    <t>Sun</t>
  </si>
  <si>
    <t>OFF</t>
  </si>
  <si>
    <t>Interval</t>
  </si>
  <si>
    <t>Agent Lookup</t>
  </si>
  <si>
    <t>Agent Name</t>
  </si>
  <si>
    <t>WNS Core Hours</t>
  </si>
  <si>
    <t>WNS Additional Support</t>
  </si>
  <si>
    <t>Schedule (EST)</t>
  </si>
  <si>
    <t>Schedule (MNL)</t>
  </si>
  <si>
    <t>Agents Scheduled</t>
  </si>
  <si>
    <t>Giuseppe,Samelo,Loriosa</t>
  </si>
  <si>
    <t>Frank Lina,Sey,Ituriaga</t>
  </si>
  <si>
    <t>Azenith,Canoy,Calanda</t>
  </si>
  <si>
    <t>Anthony,Fernandez,Tabladillo</t>
  </si>
  <si>
    <t>Romel,Concepcion,Resente</t>
  </si>
  <si>
    <t>Jean Rose,Garque,Malan</t>
  </si>
  <si>
    <t>Mark Gil Apil Villagracia</t>
  </si>
  <si>
    <t>Irene,Vasquez,Sarabia</t>
  </si>
  <si>
    <t>Shevannie,Villafuerte,Anabo</t>
  </si>
  <si>
    <t>Annje,Libo-on,Jardinaso</t>
  </si>
  <si>
    <t>Jackielyn,Cabanas,Faro</t>
  </si>
  <si>
    <t>Azalea Mae,Espora,Echavez</t>
  </si>
  <si>
    <t>Charlotte,Selirio,Escalona</t>
  </si>
  <si>
    <t>Verlyn Rose,Aurora,Villaram</t>
  </si>
  <si>
    <t>Ma Reslie,Estrellanes,Begaso</t>
  </si>
  <si>
    <t>Bob Jearson,Pinas,Cabaraca</t>
  </si>
  <si>
    <t>Lanie,Cabrera,Ramos</t>
  </si>
  <si>
    <t>Total FTE/Headcount</t>
  </si>
  <si>
    <t>Agents Absent</t>
  </si>
  <si>
    <t>Available VL</t>
  </si>
  <si>
    <t>Shift</t>
  </si>
  <si>
    <t>Prev Sun</t>
  </si>
  <si>
    <t>Jelyn Zarate</t>
  </si>
  <si>
    <t>VL Budget 6.5%</t>
  </si>
  <si>
    <t>Total</t>
  </si>
  <si>
    <t>Erl Joseph Gomez</t>
  </si>
  <si>
    <t>Jimuel Shan Matillano</t>
  </si>
  <si>
    <t>Carol Dalo</t>
  </si>
  <si>
    <t>Jelly Sanguenza</t>
  </si>
  <si>
    <t>Gabriel Philip Delfin</t>
  </si>
  <si>
    <t>UID</t>
  </si>
  <si>
    <t>NAME</t>
  </si>
  <si>
    <t>Louie Elmer Domingo</t>
  </si>
  <si>
    <t>Ariane Jane Mainar</t>
  </si>
  <si>
    <t>April Joy Misajon</t>
  </si>
  <si>
    <t>Thur</t>
  </si>
  <si>
    <t xml:space="preserve">Mon </t>
  </si>
  <si>
    <t>For next day</t>
  </si>
  <si>
    <t>WEEK 1</t>
  </si>
  <si>
    <t>WEEK 2</t>
  </si>
  <si>
    <t>WEEK 3</t>
  </si>
  <si>
    <t>NEXT DAY</t>
  </si>
  <si>
    <t>Shenna Mae Pudadera</t>
  </si>
  <si>
    <t>Maricel Aglobo</t>
  </si>
  <si>
    <t>Ednel Alagon</t>
  </si>
  <si>
    <t>Aya Banderado</t>
  </si>
  <si>
    <t>Erwin Jay Cabilitasan</t>
  </si>
  <si>
    <t>Rethea Jhanna Gealon</t>
  </si>
  <si>
    <t>Yron Angelo Llanda</t>
  </si>
  <si>
    <t>Ariel Mercado</t>
  </si>
  <si>
    <t>John Paul Rando</t>
  </si>
  <si>
    <t>Ma. Eva Karina Remandaban</t>
  </si>
  <si>
    <t>Cherry Tabanao</t>
  </si>
  <si>
    <t>Shaun Mario Octaviano</t>
  </si>
  <si>
    <t>Kent Gil</t>
  </si>
  <si>
    <t>Carole Guavino</t>
  </si>
  <si>
    <t>Vanthea  Maestre</t>
  </si>
  <si>
    <t>John Kelvin Tobias</t>
  </si>
  <si>
    <t>Francis Venise Armenton</t>
  </si>
  <si>
    <t>Christine Faith Basañes</t>
  </si>
  <si>
    <t>Tommy Harold Jamandron</t>
  </si>
  <si>
    <t>L-Jkaye Cunanan</t>
  </si>
  <si>
    <t>Trisha Ann Japitana</t>
  </si>
  <si>
    <t>Aileen Tumanon</t>
  </si>
  <si>
    <t>Lea May Orense</t>
  </si>
  <si>
    <t>Tim Justine Jover</t>
  </si>
  <si>
    <t>June Myel Bañares</t>
  </si>
  <si>
    <t>Edrine Aaron Verdejo</t>
  </si>
  <si>
    <t>Jovito Gadian</t>
  </si>
  <si>
    <t>Edamie Fajardo</t>
  </si>
  <si>
    <t>Carmen Mae Huyong</t>
  </si>
  <si>
    <t>Bryll Malones</t>
  </si>
  <si>
    <t>Rosella Nodera</t>
  </si>
  <si>
    <t>Rosevel Nagales</t>
  </si>
  <si>
    <t>Allyzza Mae Ibañez</t>
  </si>
  <si>
    <t>Karen kay Grijalvo</t>
  </si>
  <si>
    <t>Glennes Tolato</t>
  </si>
  <si>
    <t>Hyzell Donna Marie Seguia</t>
  </si>
  <si>
    <t>Mark Justine Paller</t>
  </si>
  <si>
    <t>Riva Joy Orario</t>
  </si>
  <si>
    <t>Reslyn Candao</t>
  </si>
  <si>
    <t>Team Manager</t>
  </si>
  <si>
    <t>Antonette Jean Almasol</t>
  </si>
  <si>
    <t>Emmanuel Alisbo</t>
  </si>
  <si>
    <t>Jasmine Sayat</t>
  </si>
  <si>
    <t>Rosally Maquirang Poblacion</t>
  </si>
  <si>
    <t>May Catherine Anotado Gortayo</t>
  </si>
  <si>
    <t>Eliza Grace Cortez</t>
  </si>
  <si>
    <t>Rodelyn Bayot Mingo</t>
  </si>
  <si>
    <t>Ann Dominique Ilustre Abada</t>
  </si>
  <si>
    <t>Mary Jay Canag Cantomayor</t>
  </si>
  <si>
    <t>Mae Ann Gito Garque</t>
  </si>
  <si>
    <t>Jeannie Gepaya Magbanua</t>
  </si>
  <si>
    <t>Noel Roman Delos Reyes</t>
  </si>
  <si>
    <t>Krizza Jenn Gardoce Ganzon</t>
  </si>
  <si>
    <t>Emilie Cabaluna Gentroles</t>
  </si>
  <si>
    <t>Remaliza Baylocon Ganancial</t>
  </si>
  <si>
    <t xml:space="preserve"> </t>
  </si>
  <si>
    <t>9 HOURS</t>
  </si>
  <si>
    <t>4 HOURS</t>
  </si>
  <si>
    <t>6 HOURS</t>
  </si>
  <si>
    <t>Mark Gofher,Tumamao,Estanes</t>
  </si>
  <si>
    <t>Rustan,Pecenio,Pepe</t>
  </si>
  <si>
    <t>Lyndon,Madulid,Pastorin</t>
  </si>
  <si>
    <t>Ariel,Marquez,Ulgado</t>
  </si>
  <si>
    <t>Florclaire,Ramos,Utana</t>
  </si>
  <si>
    <t>Kathleen Nova Mata</t>
  </si>
  <si>
    <t>Mariel Ann Narito</t>
  </si>
  <si>
    <r>
      <t xml:space="preserve">Agents on </t>
    </r>
    <r>
      <rPr>
        <b/>
        <sz val="10"/>
        <color theme="1"/>
        <rFont val="Calibri"/>
        <family val="2"/>
        <scheme val="minor"/>
      </rPr>
      <t>RD</t>
    </r>
  </si>
  <si>
    <r>
      <t xml:space="preserve">Agents on </t>
    </r>
    <r>
      <rPr>
        <b/>
        <sz val="10"/>
        <color theme="1"/>
        <rFont val="Calibri"/>
        <family val="2"/>
        <scheme val="minor"/>
      </rPr>
      <t>PTO</t>
    </r>
  </si>
  <si>
    <r>
      <t xml:space="preserve">Agents on </t>
    </r>
    <r>
      <rPr>
        <b/>
        <sz val="10"/>
        <color theme="1"/>
        <rFont val="Calibri"/>
        <family val="2"/>
        <scheme val="minor"/>
      </rPr>
      <t>LOA</t>
    </r>
  </si>
  <si>
    <t>Rovilou Bayog</t>
  </si>
  <si>
    <t>Rhea Mae Fungot</t>
  </si>
  <si>
    <t>Loralie Suan</t>
  </si>
  <si>
    <t>Emmanuel Togle</t>
  </si>
  <si>
    <t>OT NEEDED</t>
  </si>
  <si>
    <t>OT HOURS NEEDED</t>
  </si>
  <si>
    <t xml:space="preserve">Benjie  Alcabaza </t>
  </si>
  <si>
    <t xml:space="preserve">Mary Rose Alegre </t>
  </si>
  <si>
    <t>Jeoffrey  Gambe</t>
  </si>
  <si>
    <t xml:space="preserve">Michael Jason Lencioco </t>
  </si>
  <si>
    <t>Joseph Dominic Ambrocio</t>
  </si>
  <si>
    <t>Johannah Salay</t>
  </si>
  <si>
    <t>Regine Bajinting</t>
  </si>
  <si>
    <t>Leah May Baron</t>
  </si>
  <si>
    <t>Erlyn Joy Claro</t>
  </si>
  <si>
    <t>Ma. Jenny Gevela</t>
  </si>
  <si>
    <t>Xeline Mae Ideal</t>
  </si>
  <si>
    <t>Samfer Kim   Ventura</t>
  </si>
  <si>
    <t>Pressie Jean  Costas</t>
  </si>
  <si>
    <t>Ladyvanessa Jalbuena</t>
  </si>
  <si>
    <t>Senemeah Pagsugiron</t>
  </si>
  <si>
    <t>Michael Launio</t>
  </si>
  <si>
    <t>Jaudian Kenneth Ian</t>
  </si>
  <si>
    <t>Flores Irish</t>
  </si>
  <si>
    <t>Ma. Lobell Trestiza</t>
  </si>
  <si>
    <t>Llamas Kriska</t>
  </si>
  <si>
    <t>Lemarie Garcia  Aldaba</t>
  </si>
  <si>
    <t>Ma Joanne Girado Garcia</t>
  </si>
  <si>
    <t>Rogelio Avenido</t>
  </si>
  <si>
    <t>Judith Gardose</t>
  </si>
  <si>
    <t>Jared  Geduspan</t>
  </si>
  <si>
    <t>Edgardo Lacson</t>
  </si>
  <si>
    <t>Darren Patrick Gortayo</t>
  </si>
  <si>
    <t>May Charlene  Rana</t>
  </si>
  <si>
    <t>Jerson  Calantas</t>
  </si>
  <si>
    <t>Regina Angelica Duguran</t>
  </si>
  <si>
    <t>Perey Joy  Torino</t>
  </si>
  <si>
    <t>Annie Lyn  Dormido</t>
  </si>
  <si>
    <t>Anna Marie  Acuesta</t>
  </si>
  <si>
    <t>Cyglen Ann Casquejo</t>
  </si>
  <si>
    <t>Danissa Bautista</t>
  </si>
  <si>
    <t>Karen,Ganit,Orbigoso</t>
  </si>
  <si>
    <t>Jose Glory Mark,Rodrigo,Calopez</t>
  </si>
  <si>
    <t>John Lester,Tribunal,Lesin</t>
  </si>
  <si>
    <t>Jessamie,Castor,Umadhay</t>
  </si>
  <si>
    <t>Bona,Edangga,Palis</t>
  </si>
  <si>
    <t>Jeannette,Lacson,Paez</t>
  </si>
  <si>
    <t>Emely,Perez,Borra</t>
  </si>
  <si>
    <t>Gladys,Salcedo,Delgado</t>
  </si>
  <si>
    <t>Jane Sairah Mae,Camingay,Arac</t>
  </si>
  <si>
    <t>Samson,Gamelon,Galvez</t>
  </si>
  <si>
    <t>Mark Jayson Ofrancia</t>
  </si>
  <si>
    <t>Angelica Sealza</t>
  </si>
  <si>
    <t>Danicajoy Escanda</t>
  </si>
  <si>
    <t>Frinces Noreen Abogadil</t>
  </si>
  <si>
    <t>Sandra Jane Barber</t>
  </si>
  <si>
    <t>Carmichael Fernandez</t>
  </si>
  <si>
    <t>Kyle Albert Perez</t>
  </si>
  <si>
    <t>Honey Jane Umadhay Pacheco</t>
  </si>
  <si>
    <t>Abby Gayle Bagaforo Abancio</t>
  </si>
  <si>
    <t>Resa Fernandez Zarate</t>
  </si>
  <si>
    <t>Vincent Alvarino Lim</t>
  </si>
  <si>
    <t>Whennemie Blancaflor Tiangson</t>
  </si>
  <si>
    <t>Desnilie Caburnay Cordero</t>
  </si>
  <si>
    <t>Maevelyn Glory Fano</t>
  </si>
  <si>
    <t>Jude michael Santos Salaya</t>
  </si>
  <si>
    <t xml:space="preserve">Lalyn  Cabalfin </t>
  </si>
  <si>
    <t>Bless Amistas</t>
  </si>
  <si>
    <t>Mart Andrey  Anib</t>
  </si>
  <si>
    <t>Alexander  Burwell</t>
  </si>
  <si>
    <t>Christina Joy  De la Cruz</t>
  </si>
  <si>
    <t>Kenneth  Durban</t>
  </si>
  <si>
    <t>Baasim Abbas Pendioday</t>
  </si>
  <si>
    <t xml:space="preserve">Irish Mae  Santander </t>
  </si>
  <si>
    <t>June Martin  Tiangson</t>
  </si>
  <si>
    <t>John Vincent Vilchez</t>
  </si>
  <si>
    <t>Louise Solis Magdaluyo</t>
  </si>
  <si>
    <t>Lolette Annie Escobido</t>
  </si>
  <si>
    <t>Benna Vallery Martinez</t>
  </si>
  <si>
    <t>Delia de la Torre</t>
  </si>
  <si>
    <t>Jeremy Rae Tan</t>
  </si>
  <si>
    <t>Sybil Marie Umadhay</t>
  </si>
  <si>
    <t>Jason Jegonia</t>
  </si>
  <si>
    <t>Clarisse Aujero</t>
  </si>
  <si>
    <t>Cherry Anne Ganaba</t>
  </si>
  <si>
    <t>John Henry Gelilang</t>
  </si>
  <si>
    <t>Giline Javellana</t>
  </si>
  <si>
    <t>Rosemarie Manchures</t>
  </si>
  <si>
    <t>Hygeia Fides Mariae Pedalino</t>
  </si>
  <si>
    <t>Marck Lourence Racines</t>
  </si>
  <si>
    <t>Erra Lyn  Cabalquinto</t>
  </si>
  <si>
    <t>Allen Grace De Juan</t>
  </si>
  <si>
    <t>Daisy Dela Cruz</t>
  </si>
  <si>
    <t>Rialyn  Bojangin</t>
  </si>
  <si>
    <t>Ma. Fatima Camposano</t>
  </si>
  <si>
    <t>Klarisse Jane Hornada</t>
  </si>
  <si>
    <t>Edmark,Rimondo,Adorable</t>
  </si>
  <si>
    <t>-</t>
  </si>
  <si>
    <t>Samson Galvez</t>
  </si>
  <si>
    <t>Febie Joy Gadnao</t>
  </si>
  <si>
    <t>Eduardo Monterde Jr</t>
  </si>
  <si>
    <t>Josette Len Alde</t>
  </si>
  <si>
    <t>Daisy Erlano</t>
  </si>
  <si>
    <t>Glenn Peñaflorida</t>
  </si>
  <si>
    <t>John Casper Villegas</t>
  </si>
  <si>
    <t>Kyla Tacuyan</t>
  </si>
  <si>
    <t>Gicelle Dyan Carisma</t>
  </si>
  <si>
    <t>Archie Plete</t>
  </si>
  <si>
    <t>Albert Cerdaña</t>
  </si>
  <si>
    <t>Laurie Ann Billones</t>
  </si>
  <si>
    <t>Frenchy Llait</t>
  </si>
  <si>
    <t xml:space="preserve">Kenneth Ledesma </t>
  </si>
  <si>
    <t>Cassey Mhae Aniversario</t>
  </si>
  <si>
    <t>Mavel Batisla-ong</t>
  </si>
  <si>
    <t>Mary Krisly Bendali-an</t>
  </si>
  <si>
    <t>Sophia Lorraine Dela Cruz</t>
  </si>
  <si>
    <t>Merson Lemuel Teofi Nazareno</t>
  </si>
  <si>
    <t>King Mel Saromines</t>
  </si>
  <si>
    <t>Darlene Joy Lizada</t>
  </si>
  <si>
    <t>Aliraidah Mohammad Ali</t>
  </si>
  <si>
    <t>Blossom Pearl Villorente</t>
  </si>
  <si>
    <t>John Lord Divinagracia</t>
  </si>
  <si>
    <t>Karen Jay Villardar</t>
  </si>
  <si>
    <t>Ruby Ann Besin</t>
  </si>
  <si>
    <t>Chona Echano</t>
  </si>
  <si>
    <t>Yunus Ali Sangki</t>
  </si>
  <si>
    <t>Angelic Tagudar</t>
  </si>
  <si>
    <t>Khervin Campos</t>
  </si>
  <si>
    <t>Ashley Keith Piamonte</t>
  </si>
  <si>
    <t>Francis Klyde Zapanta</t>
  </si>
  <si>
    <t>Ralph Joshua Mercado</t>
  </si>
  <si>
    <t>Jenny Rose Cagayan</t>
  </si>
  <si>
    <t>Frances Rodriguez</t>
  </si>
  <si>
    <t>Derek Lance  Abong</t>
  </si>
  <si>
    <t>Rey Jay  Arnad</t>
  </si>
  <si>
    <t>Jelyn  Panaguiton</t>
  </si>
  <si>
    <t xml:space="preserve">Chzarl Mae  Distajo </t>
  </si>
  <si>
    <t>Antonio Tangente Jr</t>
  </si>
  <si>
    <t xml:space="preserve">Fevy Joy Legada </t>
  </si>
  <si>
    <t>Marigold Mesa</t>
  </si>
  <si>
    <t xml:space="preserve">Angel Lyca Saladan </t>
  </si>
  <si>
    <t>Teoderich Falsis</t>
  </si>
  <si>
    <t>Ma. Lilith  Lozada</t>
  </si>
  <si>
    <t>Chelly  Giluani</t>
  </si>
  <si>
    <t>Azenith Calanda</t>
  </si>
  <si>
    <t>Jean Rose Malan</t>
  </si>
  <si>
    <t>John Vincent Tio</t>
  </si>
  <si>
    <t>Shane  Iwag</t>
  </si>
  <si>
    <t>Kathleene Faye Villarin</t>
  </si>
  <si>
    <t>Nadine Amaguin</t>
  </si>
  <si>
    <t>Lyka Mhaey Cosalan</t>
  </si>
  <si>
    <t>Rencel Jan Hortillosa</t>
  </si>
  <si>
    <t>Krixan Roxy Labrador</t>
  </si>
  <si>
    <t>Fiona Joice Padilla</t>
  </si>
  <si>
    <t>Niña Remalyn Amoroto</t>
  </si>
  <si>
    <t>Hecel Isaac</t>
  </si>
  <si>
    <t>Catherine Mae Alingasa</t>
  </si>
  <si>
    <t>Christine Jessa Barillo</t>
  </si>
  <si>
    <t>Suzaine Joy Fernandez</t>
  </si>
  <si>
    <t>Anna Marie Netura</t>
  </si>
  <si>
    <t>Mary Joy Posadas</t>
  </si>
  <si>
    <t>Earl Jesri Siva</t>
  </si>
  <si>
    <t>Erika Teodore</t>
  </si>
  <si>
    <t>Ella Mae Alvarez</t>
  </si>
  <si>
    <t>John Risky Fundal</t>
  </si>
  <si>
    <t>Dyna Mae Bayog</t>
  </si>
  <si>
    <t>Fevy Joy Legada</t>
  </si>
  <si>
    <t>ONE GLOBAL</t>
  </si>
  <si>
    <t>PAVIA</t>
  </si>
  <si>
    <t xml:space="preserve">COMBINED </t>
  </si>
  <si>
    <t>Task / Position</t>
  </si>
  <si>
    <t>Ticket Agent</t>
  </si>
  <si>
    <t>Voice / Agent</t>
  </si>
  <si>
    <t>Voice / Agent (Groups)</t>
  </si>
  <si>
    <t>Kriska Malfore Llamas</t>
  </si>
  <si>
    <t>Floriden Aura Guino-o</t>
  </si>
  <si>
    <t xml:space="preserve">John Russel Alcon </t>
  </si>
  <si>
    <t>Amando Cadigal</t>
  </si>
  <si>
    <t>Ranel Lucas</t>
  </si>
  <si>
    <t>Daina May Salazar</t>
  </si>
  <si>
    <t>Ricky Labrada</t>
  </si>
  <si>
    <t>Veneille Florence Siva</t>
  </si>
  <si>
    <t>Sherry Monique Gamilong</t>
  </si>
  <si>
    <t>Medalyn Sealza</t>
  </si>
  <si>
    <t>April Grace Arrubio</t>
  </si>
  <si>
    <t>Winlord Christian Del Oeste</t>
  </si>
  <si>
    <t>Nigel Paul Sendrijas</t>
  </si>
  <si>
    <t>Joanne Magampo</t>
  </si>
  <si>
    <t>Cyro Babayen-on</t>
  </si>
  <si>
    <t>Sheila Marie Casta</t>
  </si>
  <si>
    <t>Valerie San Vicente</t>
  </si>
  <si>
    <t>Mary Anne Sermonia</t>
  </si>
  <si>
    <t>Marilyn De Mesa</t>
  </si>
  <si>
    <t>Marilyn Gargar</t>
  </si>
  <si>
    <t>Marnie David</t>
  </si>
  <si>
    <t>Reynalin Kae Velasco</t>
  </si>
  <si>
    <t>Marc Arthur Torres</t>
  </si>
  <si>
    <t>Mary Jane Vea</t>
  </si>
  <si>
    <t>Mary Chris Demafiles</t>
  </si>
  <si>
    <t>Stephanie Ancheta</t>
  </si>
  <si>
    <t>Vhart Galagnao</t>
  </si>
  <si>
    <t>Christopher Tolentino</t>
  </si>
  <si>
    <t>Jefferson Paralejas</t>
  </si>
  <si>
    <t>Eunice Jael Ruedas</t>
  </si>
  <si>
    <t>Conrado Abricanan</t>
  </si>
  <si>
    <t>Manuel Manoza</t>
  </si>
  <si>
    <t>Marco Matthew Magluyan</t>
  </si>
  <si>
    <t>Rizel De Guzman</t>
  </si>
  <si>
    <t>Marilyn Victorino</t>
  </si>
  <si>
    <t>Rufino Cateron</t>
  </si>
  <si>
    <t>Henry John Ferrer</t>
  </si>
  <si>
    <t>Denmark Deduyo</t>
  </si>
  <si>
    <t>Camalludin Mikunug</t>
  </si>
  <si>
    <t>Marjorie Naval</t>
  </si>
  <si>
    <t>Winchell Ann Galotera</t>
  </si>
  <si>
    <t>Ma Lourdes Logronio</t>
  </si>
  <si>
    <t>Reniell Galit</t>
  </si>
  <si>
    <t>Guilliane Lee Cantillas</t>
  </si>
  <si>
    <t>Angelo Llobrera</t>
  </si>
  <si>
    <t>Darryl Mitzi Subong</t>
  </si>
  <si>
    <t>Glen Kenedy Samson</t>
  </si>
  <si>
    <t>Jacqueline Valdez</t>
  </si>
  <si>
    <t>Joshua Catipunan</t>
  </si>
  <si>
    <t>William Vinluan</t>
  </si>
  <si>
    <t>Jovie Cervano</t>
  </si>
  <si>
    <t>Karren Rafallo</t>
  </si>
  <si>
    <t>Abigail Zyra Lorzano</t>
  </si>
  <si>
    <t>Angel Lacanaria</t>
  </si>
  <si>
    <t>Anna Liza Cruz</t>
  </si>
  <si>
    <t>Rochel Cortez</t>
  </si>
  <si>
    <t>Rodney Marzan</t>
  </si>
  <si>
    <t>Wallen Simbahan</t>
  </si>
  <si>
    <t>Shane Nicole Ladoing Provindido</t>
  </si>
  <si>
    <t>Maricris Bensing Glimada</t>
  </si>
  <si>
    <t>Carol De La Cruz</t>
  </si>
  <si>
    <t>Blessy Gien Alba</t>
  </si>
  <si>
    <t>John Piolo Dela Cruz</t>
  </si>
  <si>
    <t>Andrea De Los Reyes</t>
  </si>
  <si>
    <t>Lowella Jaruda</t>
  </si>
  <si>
    <t>Danica Alarilla</t>
  </si>
  <si>
    <t>John Mark Solis</t>
  </si>
  <si>
    <t>Marjorie Estope</t>
  </si>
  <si>
    <t>Flex QA</t>
  </si>
  <si>
    <t>Rico Balgame</t>
  </si>
  <si>
    <t>Lyndon Pastorin</t>
  </si>
  <si>
    <t>Anthony Aries Osacia</t>
  </si>
  <si>
    <t>Jane Sairah Arac</t>
  </si>
  <si>
    <t>Jave Lowelle Valiente Gayangos</t>
  </si>
  <si>
    <t>Nicka Mae De Los Reyes Porras</t>
  </si>
  <si>
    <t>Roxan Sabido Sacay</t>
  </si>
  <si>
    <t>Mikhaela Palma Detera</t>
  </si>
  <si>
    <t>Jenel Prieto Advincula</t>
  </si>
  <si>
    <t>John Federico Alfonso Tribunal Teruel</t>
  </si>
  <si>
    <t>Jevel Von Bance Grate</t>
  </si>
  <si>
    <t>Maxine Pabillo Duenas</t>
  </si>
  <si>
    <t>Sittie Sufiyah Macaumbang Dimaampao</t>
  </si>
  <si>
    <t>Ana Marie Albao</t>
  </si>
  <si>
    <t>WEEK BEGINNING 0427</t>
  </si>
  <si>
    <t>WEEK BEGINNING 0504</t>
  </si>
  <si>
    <t>WEEK BEGINNING 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</si>
</sst>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\ AM/PM;@"/>
    <numFmt numFmtId="165" formatCode="m/d;@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14" fillId="0" borderId="0" applyFont="0" applyFill="0" applyBorder="0" applyAlignment="0" applyProtection="0"/>
  </cellStyleXfs>
  <cellXfs count="350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8" fontId="4" fillId="0" borderId="0" xfId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18" fontId="5" fillId="0" borderId="0" xfId="0" applyNumberFormat="1" applyFont="1"/>
    <xf numFmtId="0" fontId="5" fillId="0" borderId="0" xfId="0" applyFont="1" applyAlignment="1">
      <alignment horizontal="center"/>
    </xf>
    <xf numFmtId="18" fontId="8" fillId="0" borderId="12" xfId="1" applyNumberFormat="1" applyFont="1" applyBorder="1" applyAlignment="1">
      <alignment horizontal="center"/>
    </xf>
    <xf numFmtId="18" fontId="8" fillId="7" borderId="12" xfId="1" applyNumberFormat="1" applyFont="1" applyFill="1" applyBorder="1" applyAlignment="1">
      <alignment horizontal="center"/>
    </xf>
    <xf numFmtId="0" fontId="5" fillId="8" borderId="16" xfId="0" applyFont="1" applyFill="1" applyBorder="1"/>
    <xf numFmtId="0" fontId="0" fillId="7" borderId="17" xfId="0" applyFill="1" applyBorder="1"/>
    <xf numFmtId="0" fontId="5" fillId="8" borderId="19" xfId="0" applyFont="1" applyFill="1" applyBorder="1"/>
    <xf numFmtId="0" fontId="5" fillId="8" borderId="18" xfId="0" applyFont="1" applyFill="1" applyBorder="1"/>
    <xf numFmtId="0" fontId="5" fillId="8" borderId="20" xfId="0" applyFont="1" applyFill="1" applyBorder="1"/>
    <xf numFmtId="0" fontId="5" fillId="8" borderId="21" xfId="0" applyFont="1" applyFill="1" applyBorder="1"/>
    <xf numFmtId="0" fontId="5" fillId="0" borderId="13" xfId="0" applyFont="1" applyBorder="1"/>
    <xf numFmtId="18" fontId="8" fillId="0" borderId="14" xfId="1" applyNumberFormat="1" applyFont="1" applyBorder="1" applyAlignment="1">
      <alignment horizontal="center"/>
    </xf>
    <xf numFmtId="18" fontId="8" fillId="0" borderId="23" xfId="1" applyNumberFormat="1" applyFont="1" applyBorder="1" applyAlignment="1">
      <alignment horizontal="center"/>
    </xf>
    <xf numFmtId="18" fontId="5" fillId="7" borderId="23" xfId="0" applyNumberFormat="1" applyFont="1" applyFill="1" applyBorder="1" applyAlignment="1">
      <alignment horizontal="center"/>
    </xf>
    <xf numFmtId="18" fontId="8" fillId="0" borderId="24" xfId="1" applyNumberFormat="1" applyFont="1" applyBorder="1" applyAlignment="1">
      <alignment horizontal="center"/>
    </xf>
    <xf numFmtId="18" fontId="8" fillId="0" borderId="13" xfId="1" applyNumberFormat="1" applyFont="1" applyBorder="1" applyAlignment="1">
      <alignment horizontal="center"/>
    </xf>
    <xf numFmtId="18" fontId="8" fillId="0" borderId="22" xfId="1" applyNumberFormat="1" applyFont="1" applyBorder="1" applyAlignment="1">
      <alignment horizontal="center"/>
    </xf>
    <xf numFmtId="0" fontId="9" fillId="0" borderId="0" xfId="0" applyFont="1"/>
    <xf numFmtId="0" fontId="5" fillId="0" borderId="4" xfId="0" applyFont="1" applyBorder="1"/>
    <xf numFmtId="0" fontId="5" fillId="0" borderId="5" xfId="0" applyFont="1" applyBorder="1"/>
    <xf numFmtId="18" fontId="5" fillId="0" borderId="4" xfId="0" applyNumberFormat="1" applyFont="1" applyBorder="1"/>
    <xf numFmtId="1" fontId="5" fillId="0" borderId="0" xfId="0" applyNumberFormat="1" applyFont="1"/>
    <xf numFmtId="1" fontId="5" fillId="0" borderId="5" xfId="0" applyNumberFormat="1" applyFont="1" applyBorder="1"/>
    <xf numFmtId="18" fontId="5" fillId="0" borderId="6" xfId="0" applyNumberFormat="1" applyFont="1" applyBorder="1"/>
    <xf numFmtId="18" fontId="5" fillId="0" borderId="7" xfId="0" applyNumberFormat="1" applyFont="1" applyBorder="1"/>
    <xf numFmtId="1" fontId="5" fillId="0" borderId="7" xfId="0" applyNumberFormat="1" applyFont="1" applyBorder="1"/>
    <xf numFmtId="1" fontId="5" fillId="0" borderId="8" xfId="0" applyNumberFormat="1" applyFont="1" applyBorder="1"/>
    <xf numFmtId="0" fontId="5" fillId="0" borderId="12" xfId="0" applyFont="1" applyBorder="1"/>
    <xf numFmtId="18" fontId="5" fillId="5" borderId="13" xfId="0" applyNumberFormat="1" applyFont="1" applyFill="1" applyBorder="1"/>
    <xf numFmtId="18" fontId="5" fillId="5" borderId="14" xfId="0" applyNumberFormat="1" applyFont="1" applyFill="1" applyBorder="1"/>
    <xf numFmtId="18" fontId="5" fillId="5" borderId="22" xfId="0" applyNumberFormat="1" applyFont="1" applyFill="1" applyBorder="1"/>
    <xf numFmtId="18" fontId="5" fillId="5" borderId="24" xfId="0" applyNumberFormat="1" applyFont="1" applyFill="1" applyBorder="1"/>
    <xf numFmtId="0" fontId="11" fillId="0" borderId="0" xfId="0" applyFont="1"/>
    <xf numFmtId="0" fontId="11" fillId="0" borderId="19" xfId="0" applyFont="1" applyBorder="1"/>
    <xf numFmtId="0" fontId="11" fillId="0" borderId="21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9" xfId="0" applyFont="1" applyBorder="1"/>
    <xf numFmtId="0" fontId="11" fillId="0" borderId="12" xfId="0" applyFont="1" applyBorder="1"/>
    <xf numFmtId="0" fontId="10" fillId="9" borderId="26" xfId="0" applyFont="1" applyFill="1" applyBorder="1"/>
    <xf numFmtId="0" fontId="10" fillId="9" borderId="26" xfId="0" applyFont="1" applyFill="1" applyBorder="1" applyAlignment="1">
      <alignment horizontal="center"/>
    </xf>
    <xf numFmtId="18" fontId="5" fillId="5" borderId="12" xfId="0" applyNumberFormat="1" applyFont="1" applyFill="1" applyBorder="1"/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1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0" fillId="9" borderId="0" xfId="0" applyFont="1" applyFill="1"/>
    <xf numFmtId="0" fontId="10" fillId="9" borderId="0" xfId="0" applyFont="1" applyFill="1" applyAlignment="1">
      <alignment horizontal="center"/>
    </xf>
    <xf numFmtId="0" fontId="10" fillId="9" borderId="4" xfId="0" applyFont="1" applyFill="1" applyBorder="1"/>
    <xf numFmtId="0" fontId="10" fillId="9" borderId="5" xfId="0" applyFont="1" applyFill="1" applyBorder="1" applyAlignment="1">
      <alignment horizontal="center"/>
    </xf>
    <xf numFmtId="0" fontId="10" fillId="9" borderId="29" xfId="0" applyFont="1" applyFill="1" applyBorder="1"/>
    <xf numFmtId="0" fontId="10" fillId="9" borderId="16" xfId="0" applyFont="1" applyFill="1" applyBorder="1"/>
    <xf numFmtId="0" fontId="10" fillId="9" borderId="16" xfId="0" applyFont="1" applyFill="1" applyBorder="1" applyAlignment="1">
      <alignment horizontal="center"/>
    </xf>
    <xf numFmtId="0" fontId="10" fillId="9" borderId="30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2" fillId="4" borderId="27" xfId="0" applyFont="1" applyFill="1" applyBorder="1"/>
    <xf numFmtId="0" fontId="5" fillId="0" borderId="15" xfId="0" applyFont="1" applyBorder="1"/>
    <xf numFmtId="18" fontId="5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left"/>
    </xf>
    <xf numFmtId="18" fontId="5" fillId="2" borderId="0" xfId="0" applyNumberFormat="1" applyFont="1" applyFill="1" applyAlignment="1">
      <alignment horizontal="left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8" fontId="5" fillId="0" borderId="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5" fillId="0" borderId="2" xfId="0" applyFont="1" applyBorder="1"/>
    <xf numFmtId="0" fontId="5" fillId="0" borderId="25" xfId="0" applyFont="1" applyBorder="1"/>
    <xf numFmtId="0" fontId="7" fillId="3" borderId="15" xfId="0" applyFont="1" applyFill="1" applyBorder="1" applyAlignment="1">
      <alignment horizontal="center"/>
    </xf>
    <xf numFmtId="0" fontId="11" fillId="0" borderId="15" xfId="0" applyFont="1" applyBorder="1"/>
    <xf numFmtId="0" fontId="1" fillId="0" borderId="0" xfId="0" applyFont="1" applyAlignment="1">
      <alignment horizontal="left"/>
    </xf>
    <xf numFmtId="165" fontId="1" fillId="3" borderId="1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65" fontId="1" fillId="3" borderId="3" xfId="0" applyNumberFormat="1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0" fillId="4" borderId="27" xfId="0" applyFill="1" applyBorder="1"/>
    <xf numFmtId="0" fontId="0" fillId="11" borderId="27" xfId="0" applyFill="1" applyBorder="1"/>
    <xf numFmtId="0" fontId="0" fillId="12" borderId="27" xfId="0" applyFill="1" applyBorder="1"/>
    <xf numFmtId="0" fontId="10" fillId="13" borderId="6" xfId="0" applyFont="1" applyFill="1" applyBorder="1"/>
    <xf numFmtId="164" fontId="5" fillId="0" borderId="25" xfId="0" applyNumberFormat="1" applyFont="1" applyBorder="1" applyAlignment="1">
      <alignment horizontal="center"/>
    </xf>
    <xf numFmtId="164" fontId="5" fillId="0" borderId="28" xfId="0" applyNumberFormat="1" applyFont="1" applyBorder="1" applyAlignment="1">
      <alignment horizontal="center"/>
    </xf>
    <xf numFmtId="9" fontId="5" fillId="0" borderId="0" xfId="2" applyFont="1"/>
    <xf numFmtId="0" fontId="5" fillId="4" borderId="27" xfId="0" applyFont="1" applyFill="1" applyBorder="1" applyAlignment="1">
      <alignment horizontal="center"/>
    </xf>
    <xf numFmtId="0" fontId="12" fillId="4" borderId="25" xfId="0" applyFont="1" applyFill="1" applyBorder="1"/>
    <xf numFmtId="0" fontId="13" fillId="4" borderId="25" xfId="0" applyFont="1" applyFill="1" applyBorder="1"/>
    <xf numFmtId="165" fontId="7" fillId="3" borderId="4" xfId="0" applyNumberFormat="1" applyFont="1" applyFill="1" applyBorder="1" applyAlignment="1">
      <alignment horizontal="center"/>
    </xf>
    <xf numFmtId="165" fontId="7" fillId="3" borderId="5" xfId="0" applyNumberFormat="1" applyFont="1" applyFill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/>
    </xf>
    <xf numFmtId="18" fontId="5" fillId="0" borderId="7" xfId="0" applyNumberFormat="1" applyFont="1" applyBorder="1" applyAlignment="1">
      <alignment horizontal="center"/>
    </xf>
    <xf numFmtId="18" fontId="5" fillId="0" borderId="8" xfId="0" applyNumberFormat="1" applyFont="1" applyBorder="1" applyAlignment="1">
      <alignment horizontal="center"/>
    </xf>
    <xf numFmtId="18" fontId="5" fillId="0" borderId="6" xfId="0" applyNumberFormat="1" applyFont="1" applyBorder="1" applyAlignment="1">
      <alignment horizontal="center"/>
    </xf>
    <xf numFmtId="18" fontId="5" fillId="0" borderId="0" xfId="0" applyNumberFormat="1" applyFont="1" applyBorder="1" applyAlignment="1">
      <alignment horizontal="center"/>
    </xf>
    <xf numFmtId="18" fontId="5" fillId="0" borderId="5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8" fontId="5" fillId="0" borderId="4" xfId="0" applyNumberFormat="1" applyFont="1" applyFill="1" applyBorder="1" applyAlignment="1">
      <alignment horizontal="center"/>
    </xf>
    <xf numFmtId="0" fontId="15" fillId="0" borderId="12" xfId="0" applyFont="1" applyFill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/>
    </xf>
    <xf numFmtId="0" fontId="0" fillId="0" borderId="0" xfId="0" applyBorder="1"/>
    <xf numFmtId="0" fontId="11" fillId="0" borderId="0" xfId="0" applyFont="1" applyBorder="1"/>
    <xf numFmtId="164" fontId="5" fillId="0" borderId="0" xfId="0" applyNumberFormat="1" applyFont="1" applyBorder="1" applyAlignment="1">
      <alignment horizontal="center"/>
    </xf>
    <xf numFmtId="18" fontId="5" fillId="0" borderId="0" xfId="0" applyNumberFormat="1" applyFont="1" applyFill="1" applyBorder="1" applyAlignment="1">
      <alignment horizontal="center"/>
    </xf>
    <xf numFmtId="165" fontId="7" fillId="3" borderId="0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center"/>
    </xf>
    <xf numFmtId="0" fontId="5" fillId="0" borderId="0" xfId="0" applyFont="1" applyBorder="1"/>
    <xf numFmtId="0" fontId="7" fillId="6" borderId="0" xfId="0" applyFont="1" applyFill="1" applyBorder="1" applyAlignment="1">
      <alignment horizontal="center"/>
    </xf>
    <xf numFmtId="165" fontId="7" fillId="3" borderId="15" xfId="0" applyNumberFormat="1" applyFont="1" applyFill="1" applyBorder="1" applyAlignment="1">
      <alignment horizontal="center"/>
    </xf>
    <xf numFmtId="0" fontId="5" fillId="0" borderId="35" xfId="0" applyFont="1" applyBorder="1"/>
    <xf numFmtId="18" fontId="5" fillId="5" borderId="35" xfId="0" applyNumberFormat="1" applyFont="1" applyFill="1" applyBorder="1"/>
    <xf numFmtId="0" fontId="11" fillId="0" borderId="13" xfId="0" applyFont="1" applyBorder="1"/>
    <xf numFmtId="0" fontId="11" fillId="0" borderId="14" xfId="0" applyFont="1" applyBorder="1"/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8" fontId="5" fillId="5" borderId="36" xfId="0" applyNumberFormat="1" applyFont="1" applyFill="1" applyBorder="1"/>
    <xf numFmtId="0" fontId="11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164" fontId="0" fillId="0" borderId="0" xfId="0" applyNumberForma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13" fillId="4" borderId="27" xfId="0" applyFont="1" applyFill="1" applyBorder="1"/>
    <xf numFmtId="0" fontId="5" fillId="0" borderId="28" xfId="0" applyFont="1" applyBorder="1"/>
    <xf numFmtId="0" fontId="7" fillId="3" borderId="18" xfId="0" applyFont="1" applyFill="1" applyBorder="1" applyAlignment="1">
      <alignment horizontal="center"/>
    </xf>
    <xf numFmtId="18" fontId="5" fillId="0" borderId="12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5" fontId="7" fillId="3" borderId="26" xfId="0" applyNumberFormat="1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165" fontId="7" fillId="3" borderId="39" xfId="0" applyNumberFormat="1" applyFont="1" applyFill="1" applyBorder="1" applyAlignment="1">
      <alignment horizontal="center"/>
    </xf>
    <xf numFmtId="165" fontId="7" fillId="3" borderId="40" xfId="0" applyNumberFormat="1" applyFont="1" applyFill="1" applyBorder="1" applyAlignment="1">
      <alignment horizontal="center"/>
    </xf>
    <xf numFmtId="0" fontId="7" fillId="3" borderId="41" xfId="0" applyFont="1" applyFill="1" applyBorder="1" applyAlignment="1">
      <alignment horizontal="left"/>
    </xf>
    <xf numFmtId="0" fontId="5" fillId="4" borderId="12" xfId="0" applyFont="1" applyFill="1" applyBorder="1" applyAlignment="1">
      <alignment horizontal="center"/>
    </xf>
    <xf numFmtId="0" fontId="5" fillId="4" borderId="27" xfId="0" applyFont="1" applyFill="1" applyBorder="1"/>
    <xf numFmtId="18" fontId="5" fillId="0" borderId="1" xfId="0" applyNumberFormat="1" applyFont="1" applyBorder="1" applyAlignment="1">
      <alignment horizontal="center"/>
    </xf>
    <xf numFmtId="18" fontId="5" fillId="0" borderId="2" xfId="0" applyNumberFormat="1" applyFont="1" applyBorder="1" applyAlignment="1">
      <alignment horizontal="center"/>
    </xf>
    <xf numFmtId="18" fontId="5" fillId="0" borderId="3" xfId="0" applyNumberFormat="1" applyFont="1" applyBorder="1" applyAlignment="1">
      <alignment horizontal="center"/>
    </xf>
    <xf numFmtId="0" fontId="7" fillId="3" borderId="42" xfId="0" applyFont="1" applyFill="1" applyBorder="1" applyAlignment="1">
      <alignment horizontal="left"/>
    </xf>
    <xf numFmtId="0" fontId="7" fillId="3" borderId="43" xfId="0" applyFont="1" applyFill="1" applyBorder="1" applyAlignment="1">
      <alignment horizontal="center"/>
    </xf>
    <xf numFmtId="165" fontId="7" fillId="3" borderId="44" xfId="0" applyNumberFormat="1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165" fontId="7" fillId="3" borderId="45" xfId="0" applyNumberFormat="1" applyFont="1" applyFill="1" applyBorder="1" applyAlignment="1">
      <alignment horizontal="center"/>
    </xf>
    <xf numFmtId="0" fontId="13" fillId="0" borderId="15" xfId="0" applyFont="1" applyBorder="1"/>
    <xf numFmtId="0" fontId="11" fillId="0" borderId="5" xfId="0" applyFont="1" applyFill="1" applyBorder="1"/>
    <xf numFmtId="0" fontId="5" fillId="0" borderId="5" xfId="0" applyFont="1" applyFill="1" applyBorder="1"/>
    <xf numFmtId="0" fontId="1" fillId="3" borderId="25" xfId="0" applyFont="1" applyFill="1" applyBorder="1" applyAlignment="1">
      <alignment horizontal="center"/>
    </xf>
    <xf numFmtId="165" fontId="1" fillId="3" borderId="15" xfId="0" applyNumberFormat="1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5" fillId="0" borderId="8" xfId="0" applyFont="1" applyFill="1" applyBorder="1"/>
    <xf numFmtId="0" fontId="5" fillId="0" borderId="0" xfId="0" applyFont="1" applyFill="1" applyBorder="1" applyAlignment="1">
      <alignment horizontal="center"/>
    </xf>
    <xf numFmtId="0" fontId="11" fillId="0" borderId="0" xfId="0" applyFont="1" applyFill="1" applyBorder="1"/>
    <xf numFmtId="18" fontId="5" fillId="0" borderId="7" xfId="0" applyNumberFormat="1" applyFont="1" applyFill="1" applyBorder="1" applyAlignment="1">
      <alignment horizontal="center"/>
    </xf>
    <xf numFmtId="18" fontId="5" fillId="0" borderId="6" xfId="0" applyNumberFormat="1" applyFont="1" applyFill="1" applyBorder="1" applyAlignment="1">
      <alignment horizontal="center"/>
    </xf>
    <xf numFmtId="18" fontId="5" fillId="0" borderId="8" xfId="0" applyNumberFormat="1" applyFont="1" applyFill="1" applyBorder="1" applyAlignment="1">
      <alignment horizontal="center"/>
    </xf>
    <xf numFmtId="0" fontId="7" fillId="3" borderId="9" xfId="0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164" fontId="5" fillId="0" borderId="8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7" fillId="3" borderId="48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164" fontId="5" fillId="0" borderId="3" xfId="0" applyNumberFormat="1" applyFont="1" applyBorder="1" applyAlignment="1">
      <alignment horizontal="center"/>
    </xf>
    <xf numFmtId="0" fontId="11" fillId="4" borderId="10" xfId="0" applyFont="1" applyFill="1" applyBorder="1"/>
    <xf numFmtId="0" fontId="7" fillId="14" borderId="2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165" fontId="7" fillId="14" borderId="8" xfId="0" applyNumberFormat="1" applyFont="1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0" fontId="5" fillId="0" borderId="0" xfId="0" applyFont="1" applyFill="1" applyBorder="1"/>
    <xf numFmtId="18" fontId="5" fillId="0" borderId="2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0" fillId="0" borderId="0" xfId="0" applyFill="1" applyBorder="1"/>
    <xf numFmtId="0" fontId="7" fillId="3" borderId="1" xfId="0" applyFont="1" applyFill="1" applyBorder="1" applyAlignment="1">
      <alignment horizontal="left"/>
    </xf>
    <xf numFmtId="0" fontId="1" fillId="3" borderId="52" xfId="0" applyFont="1" applyFill="1" applyBorder="1" applyAlignment="1">
      <alignment horizontal="center"/>
    </xf>
    <xf numFmtId="0" fontId="11" fillId="4" borderId="11" xfId="0" applyFont="1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28" xfId="0" applyFont="1" applyBorder="1"/>
    <xf numFmtId="0" fontId="0" fillId="0" borderId="28" xfId="0" applyBorder="1" applyAlignment="1">
      <alignment horizontal="center" vertical="center"/>
    </xf>
    <xf numFmtId="165" fontId="7" fillId="3" borderId="31" xfId="0" applyNumberFormat="1" applyFont="1" applyFill="1" applyBorder="1" applyAlignment="1">
      <alignment horizontal="center"/>
    </xf>
    <xf numFmtId="165" fontId="7" fillId="3" borderId="32" xfId="0" applyNumberFormat="1" applyFont="1" applyFill="1" applyBorder="1" applyAlignment="1">
      <alignment horizontal="center"/>
    </xf>
    <xf numFmtId="165" fontId="7" fillId="3" borderId="33" xfId="0" applyNumberFormat="1" applyFont="1" applyFill="1" applyBorder="1" applyAlignment="1">
      <alignment horizontal="center"/>
    </xf>
    <xf numFmtId="165" fontId="7" fillId="3" borderId="37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65" fontId="7" fillId="3" borderId="51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165" fontId="12" fillId="12" borderId="31" xfId="0" applyNumberFormat="1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7" xfId="0" applyBorder="1"/>
    <xf numFmtId="18" fontId="11" fillId="0" borderId="6" xfId="0" applyNumberFormat="1" applyFont="1" applyFill="1" applyBorder="1" applyAlignment="1">
      <alignment horizontal="center"/>
    </xf>
    <xf numFmtId="18" fontId="11" fillId="0" borderId="7" xfId="0" applyNumberFormat="1" applyFont="1" applyFill="1" applyBorder="1" applyAlignment="1">
      <alignment horizontal="center"/>
    </xf>
    <xf numFmtId="18" fontId="11" fillId="0" borderId="8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165" fontId="1" fillId="3" borderId="18" xfId="0" applyNumberFormat="1" applyFont="1" applyFill="1" applyBorder="1" applyAlignment="1">
      <alignment horizontal="center"/>
    </xf>
    <xf numFmtId="165" fontId="1" fillId="3" borderId="21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vertical="center"/>
    </xf>
    <xf numFmtId="0" fontId="7" fillId="3" borderId="25" xfId="0" applyFont="1" applyFill="1" applyBorder="1" applyAlignment="1">
      <alignment vertical="center"/>
    </xf>
    <xf numFmtId="0" fontId="7" fillId="3" borderId="49" xfId="0" applyFont="1" applyFill="1" applyBorder="1" applyAlignment="1">
      <alignment horizontal="center"/>
    </xf>
    <xf numFmtId="0" fontId="7" fillId="3" borderId="50" xfId="0" applyFont="1" applyFill="1" applyBorder="1" applyAlignment="1">
      <alignment horizontal="center"/>
    </xf>
    <xf numFmtId="0" fontId="7" fillId="3" borderId="48" xfId="0" applyFont="1" applyFill="1" applyBorder="1" applyAlignment="1">
      <alignment horizontal="center"/>
    </xf>
    <xf numFmtId="165" fontId="7" fillId="3" borderId="49" xfId="0" applyNumberFormat="1" applyFont="1" applyFill="1" applyBorder="1" applyAlignment="1">
      <alignment horizontal="center"/>
    </xf>
    <xf numFmtId="165" fontId="7" fillId="3" borderId="50" xfId="0" applyNumberFormat="1" applyFont="1" applyFill="1" applyBorder="1" applyAlignment="1">
      <alignment horizontal="center"/>
    </xf>
    <xf numFmtId="165" fontId="7" fillId="3" borderId="48" xfId="0" applyNumberFormat="1" applyFont="1" applyFill="1" applyBorder="1" applyAlignment="1">
      <alignment horizontal="center"/>
    </xf>
    <xf numFmtId="0" fontId="7" fillId="3" borderId="52" xfId="0" applyFont="1" applyFill="1" applyBorder="1" applyAlignment="1">
      <alignment horizontal="center"/>
    </xf>
    <xf numFmtId="0" fontId="5" fillId="0" borderId="3" xfId="0" applyFont="1" applyBorder="1"/>
    <xf numFmtId="0" fontId="5" fillId="0" borderId="2" xfId="0" applyFont="1" applyFill="1" applyBorder="1"/>
    <xf numFmtId="164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5" fillId="0" borderId="28" xfId="0" applyFont="1" applyFill="1" applyBorder="1"/>
    <xf numFmtId="0" fontId="5" fillId="0" borderId="13" xfId="0" applyFont="1" applyFill="1" applyBorder="1"/>
    <xf numFmtId="0" fontId="0" fillId="0" borderId="1" xfId="0" applyBorder="1" applyAlignment="1">
      <alignment horizontal="center"/>
    </xf>
    <xf numFmtId="164" fontId="5" fillId="0" borderId="5" xfId="0" applyNumberFormat="1" applyFont="1" applyFill="1" applyBorder="1" applyAlignment="1">
      <alignment horizontal="center"/>
    </xf>
    <xf numFmtId="0" fontId="5" fillId="0" borderId="0" xfId="0" applyFont="1" applyFill="1"/>
    <xf numFmtId="165" fontId="1" fillId="3" borderId="54" xfId="0" applyNumberFormat="1" applyFont="1" applyFill="1" applyBorder="1" applyAlignment="1">
      <alignment horizontal="center"/>
    </xf>
    <xf numFmtId="165" fontId="1" fillId="3" borderId="55" xfId="0" applyNumberFormat="1" applyFont="1" applyFill="1" applyBorder="1" applyAlignment="1">
      <alignment horizontal="center"/>
    </xf>
    <xf numFmtId="165" fontId="1" fillId="3" borderId="56" xfId="0" applyNumberFormat="1" applyFont="1" applyFill="1" applyBorder="1" applyAlignment="1">
      <alignment horizontal="center"/>
    </xf>
    <xf numFmtId="0" fontId="1" fillId="6" borderId="56" xfId="0" applyFont="1" applyFill="1" applyBorder="1" applyAlignment="1">
      <alignment horizontal="center"/>
    </xf>
    <xf numFmtId="0" fontId="5" fillId="0" borderId="7" xfId="0" applyNumberFormat="1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18" fontId="11" fillId="0" borderId="28" xfId="0" applyNumberFormat="1" applyFont="1" applyFill="1" applyBorder="1" applyAlignment="1">
      <alignment horizontal="center"/>
    </xf>
    <xf numFmtId="18" fontId="5" fillId="0" borderId="13" xfId="0" applyNumberFormat="1" applyFont="1" applyBorder="1"/>
    <xf numFmtId="0" fontId="5" fillId="0" borderId="3" xfId="0" applyFont="1" applyBorder="1" applyAlignment="1">
      <alignment horizontal="center"/>
    </xf>
    <xf numFmtId="0" fontId="11" fillId="0" borderId="15" xfId="0" applyFont="1" applyFill="1" applyBorder="1"/>
    <xf numFmtId="0" fontId="5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0" fontId="11" fillId="11" borderId="15" xfId="0" applyFont="1" applyFill="1" applyBorder="1"/>
    <xf numFmtId="0" fontId="13" fillId="0" borderId="27" xfId="0" applyFont="1" applyFill="1" applyBorder="1"/>
    <xf numFmtId="164" fontId="0" fillId="0" borderId="4" xfId="0" applyNumberFormat="1" applyFill="1" applyBorder="1" applyAlignment="1">
      <alignment horizontal="center"/>
    </xf>
    <xf numFmtId="0" fontId="16" fillId="0" borderId="5" xfId="0" applyFont="1" applyBorder="1" applyAlignment="1">
      <alignment vertical="center"/>
    </xf>
    <xf numFmtId="0" fontId="17" fillId="15" borderId="0" xfId="0" applyFont="1" applyFill="1" applyAlignment="1">
      <alignment horizontal="center" vertical="center"/>
    </xf>
    <xf numFmtId="18" fontId="16" fillId="0" borderId="0" xfId="0" applyNumberFormat="1" applyFont="1" applyAlignment="1">
      <alignment horizontal="center" vertical="center"/>
    </xf>
    <xf numFmtId="18" fontId="16" fillId="0" borderId="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8" fontId="16" fillId="0" borderId="4" xfId="0" applyNumberFormat="1" applyFont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/>
    </xf>
    <xf numFmtId="18" fontId="16" fillId="0" borderId="2" xfId="0" applyNumberFormat="1" applyFont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18" fontId="16" fillId="0" borderId="3" xfId="0" applyNumberFormat="1" applyFont="1" applyBorder="1" applyAlignment="1">
      <alignment horizontal="center" vertical="center"/>
    </xf>
    <xf numFmtId="0" fontId="17" fillId="15" borderId="8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6" fillId="0" borderId="15" xfId="0" applyFont="1" applyBorder="1" applyAlignment="1">
      <alignment vertical="center"/>
    </xf>
    <xf numFmtId="18" fontId="16" fillId="0" borderId="4" xfId="0" applyNumberFormat="1" applyFont="1" applyFill="1" applyBorder="1" applyAlignment="1">
      <alignment horizontal="center" vertical="center"/>
    </xf>
    <xf numFmtId="18" fontId="16" fillId="0" borderId="0" xfId="0" applyNumberFormat="1" applyFont="1" applyFill="1" applyAlignment="1">
      <alignment horizontal="center" vertical="center"/>
    </xf>
    <xf numFmtId="18" fontId="16" fillId="0" borderId="5" xfId="0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vertical="center"/>
    </xf>
    <xf numFmtId="0" fontId="11" fillId="12" borderId="15" xfId="0" applyFont="1" applyFill="1" applyBorder="1"/>
    <xf numFmtId="0" fontId="16" fillId="12" borderId="15" xfId="0" applyFont="1" applyFill="1" applyBorder="1" applyAlignment="1">
      <alignment vertical="center"/>
    </xf>
    <xf numFmtId="0" fontId="16" fillId="12" borderId="5" xfId="0" applyFont="1" applyFill="1" applyBorder="1" applyAlignment="1">
      <alignment vertical="center"/>
    </xf>
    <xf numFmtId="0" fontId="5" fillId="12" borderId="5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vertical="center"/>
    </xf>
    <xf numFmtId="18" fontId="5" fillId="0" borderId="5" xfId="0" applyNumberFormat="1" applyFont="1" applyFill="1" applyBorder="1" applyAlignment="1">
      <alignment horizontal="center" vertical="center"/>
    </xf>
    <xf numFmtId="18" fontId="16" fillId="0" borderId="6" xfId="0" applyNumberFormat="1" applyFont="1" applyFill="1" applyBorder="1" applyAlignment="1">
      <alignment horizontal="center" vertical="center"/>
    </xf>
    <xf numFmtId="18" fontId="16" fillId="0" borderId="7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5" fillId="16" borderId="5" xfId="0" applyFont="1" applyFill="1" applyBorder="1"/>
    <xf numFmtId="18" fontId="16" fillId="4" borderId="1" xfId="0" applyNumberFormat="1" applyFont="1" applyFill="1" applyBorder="1" applyAlignment="1">
      <alignment horizontal="center" vertical="center"/>
    </xf>
    <xf numFmtId="18" fontId="16" fillId="4" borderId="0" xfId="0" applyNumberFormat="1" applyFont="1" applyFill="1" applyAlignment="1">
      <alignment horizontal="center" vertical="center"/>
    </xf>
    <xf numFmtId="18" fontId="16" fillId="4" borderId="5" xfId="0" applyNumberFormat="1" applyFont="1" applyFill="1" applyBorder="1" applyAlignment="1">
      <alignment horizontal="center" vertical="center"/>
    </xf>
    <xf numFmtId="18" fontId="5" fillId="4" borderId="2" xfId="0" applyNumberFormat="1" applyFont="1" applyFill="1" applyBorder="1" applyAlignment="1">
      <alignment horizontal="center"/>
    </xf>
    <xf numFmtId="18" fontId="5" fillId="4" borderId="0" xfId="0" applyNumberFormat="1" applyFont="1" applyFill="1" applyBorder="1" applyAlignment="1">
      <alignment horizontal="center"/>
    </xf>
    <xf numFmtId="18" fontId="5" fillId="4" borderId="4" xfId="0" applyNumberFormat="1" applyFont="1" applyFill="1" applyBorder="1" applyAlignment="1">
      <alignment horizontal="center"/>
    </xf>
    <xf numFmtId="18" fontId="16" fillId="4" borderId="4" xfId="0" applyNumberFormat="1" applyFont="1" applyFill="1" applyBorder="1" applyAlignment="1">
      <alignment horizontal="center" vertical="center"/>
    </xf>
    <xf numFmtId="18" fontId="5" fillId="4" borderId="5" xfId="0" applyNumberFormat="1" applyFont="1" applyFill="1" applyBorder="1" applyAlignment="1">
      <alignment horizontal="center"/>
    </xf>
    <xf numFmtId="18" fontId="16" fillId="4" borderId="2" xfId="0" applyNumberFormat="1" applyFont="1" applyFill="1" applyBorder="1" applyAlignment="1">
      <alignment horizontal="center" vertical="center"/>
    </xf>
    <xf numFmtId="18" fontId="16" fillId="4" borderId="3" xfId="0" applyNumberFormat="1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7" fillId="3" borderId="47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0" fontId="7" fillId="9" borderId="35" xfId="0" applyFont="1" applyFill="1" applyBorder="1" applyAlignment="1">
      <alignment horizontal="center"/>
    </xf>
    <xf numFmtId="0" fontId="7" fillId="9" borderId="38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9" borderId="10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0" fontId="7" fillId="9" borderId="31" xfId="0" applyFont="1" applyFill="1" applyBorder="1" applyAlignment="1">
      <alignment horizontal="center"/>
    </xf>
    <xf numFmtId="0" fontId="7" fillId="9" borderId="32" xfId="0" applyFont="1" applyFill="1" applyBorder="1" applyAlignment="1">
      <alignment horizontal="center"/>
    </xf>
    <xf numFmtId="0" fontId="7" fillId="9" borderId="33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25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Percent" xfId="2" builtinId="5"/>
  </cellStyles>
  <dxfs count="3953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FDFFDD"/>
      <color rgb="FF99CCFF"/>
      <color rgb="FFFF0000"/>
      <color rgb="FF66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E322"/>
  <sheetViews>
    <sheetView workbookViewId="0"/>
  </sheetViews>
  <sheetFormatPr defaultRowHeight="15" x14ac:dyDescent="0.25"/>
  <cols>
    <col min="1" max="1" width="11.140625" style="8" customWidth="1"/>
    <col min="2" max="2" width="28.7109375" style="8" bestFit="1" customWidth="1"/>
    <col min="4" max="4" width="24.28515625" customWidth="1"/>
    <col min="5" max="5" width="18.7109375" bestFit="1" customWidth="1"/>
  </cols>
  <sheetData>
    <row r="1" spans="1:5" x14ac:dyDescent="0.25">
      <c r="A1" s="111" t="s">
        <v>46</v>
      </c>
      <c r="B1" s="111" t="s">
        <v>47</v>
      </c>
      <c r="C1" s="111" t="s">
        <v>46</v>
      </c>
      <c r="D1" s="57" t="s">
        <v>97</v>
      </c>
      <c r="E1" s="57" t="s">
        <v>297</v>
      </c>
    </row>
    <row r="2" spans="1:5" x14ac:dyDescent="0.25">
      <c r="A2" s="58">
        <v>426497</v>
      </c>
      <c r="B2" s="58" t="s">
        <v>26</v>
      </c>
      <c r="C2" s="58">
        <v>426497</v>
      </c>
      <c r="D2" s="58" t="s">
        <v>98</v>
      </c>
      <c r="E2" s="58" t="s">
        <v>298</v>
      </c>
    </row>
    <row r="3" spans="1:5" x14ac:dyDescent="0.25">
      <c r="A3" s="58">
        <v>264907</v>
      </c>
      <c r="B3" s="58" t="s">
        <v>32</v>
      </c>
      <c r="C3" s="58">
        <v>264907</v>
      </c>
      <c r="D3" s="58" t="s">
        <v>99</v>
      </c>
      <c r="E3" s="58" t="s">
        <v>298</v>
      </c>
    </row>
    <row r="4" spans="1:5" x14ac:dyDescent="0.25">
      <c r="A4" s="58">
        <v>394738</v>
      </c>
      <c r="B4" s="58" t="s">
        <v>166</v>
      </c>
      <c r="C4" s="58">
        <v>394738</v>
      </c>
      <c r="D4" s="58" t="s">
        <v>224</v>
      </c>
      <c r="E4" s="58" t="s">
        <v>224</v>
      </c>
    </row>
    <row r="5" spans="1:5" x14ac:dyDescent="0.25">
      <c r="A5" s="58">
        <v>388996</v>
      </c>
      <c r="B5" s="58" t="s">
        <v>38</v>
      </c>
      <c r="C5" s="58">
        <v>388996</v>
      </c>
      <c r="D5" s="58" t="s">
        <v>222</v>
      </c>
      <c r="E5" s="58" t="s">
        <v>298</v>
      </c>
    </row>
    <row r="6" spans="1:5" x14ac:dyDescent="0.25">
      <c r="A6" s="58">
        <v>388588</v>
      </c>
      <c r="B6" s="58" t="s">
        <v>167</v>
      </c>
      <c r="C6" s="58">
        <v>388588</v>
      </c>
      <c r="D6" s="58" t="s">
        <v>224</v>
      </c>
      <c r="E6" s="58" t="s">
        <v>224</v>
      </c>
    </row>
    <row r="7" spans="1:5" x14ac:dyDescent="0.25">
      <c r="A7" s="58">
        <v>426719</v>
      </c>
      <c r="B7" s="58" t="s">
        <v>168</v>
      </c>
      <c r="C7" s="58">
        <v>426719</v>
      </c>
      <c r="D7" s="58" t="s">
        <v>224</v>
      </c>
      <c r="E7" s="58" t="s">
        <v>224</v>
      </c>
    </row>
    <row r="8" spans="1:5" x14ac:dyDescent="0.25">
      <c r="A8" s="58">
        <v>318217</v>
      </c>
      <c r="B8" s="58" t="s">
        <v>169</v>
      </c>
      <c r="C8" s="58">
        <v>318217</v>
      </c>
      <c r="D8" s="58" t="s">
        <v>224</v>
      </c>
      <c r="E8" s="58" t="s">
        <v>224</v>
      </c>
    </row>
    <row r="9" spans="1:5" x14ac:dyDescent="0.25">
      <c r="A9" s="58">
        <v>380240</v>
      </c>
      <c r="B9" s="58" t="s">
        <v>22</v>
      </c>
      <c r="C9" s="58">
        <v>380240</v>
      </c>
      <c r="D9" s="58" t="s">
        <v>222</v>
      </c>
      <c r="E9" s="58" t="s">
        <v>298</v>
      </c>
    </row>
    <row r="10" spans="1:5" x14ac:dyDescent="0.25">
      <c r="A10" s="58">
        <v>380214</v>
      </c>
      <c r="B10" s="58" t="s">
        <v>20</v>
      </c>
      <c r="C10" s="58">
        <v>380214</v>
      </c>
      <c r="D10" s="58" t="s">
        <v>222</v>
      </c>
      <c r="E10" s="58" t="s">
        <v>298</v>
      </c>
    </row>
    <row r="11" spans="1:5" x14ac:dyDescent="0.25">
      <c r="A11" s="58">
        <v>328974</v>
      </c>
      <c r="B11" s="58" t="s">
        <v>21</v>
      </c>
      <c r="C11" s="58">
        <v>328974</v>
      </c>
      <c r="D11" s="58" t="s">
        <v>224</v>
      </c>
      <c r="E11" s="58" t="s">
        <v>224</v>
      </c>
    </row>
    <row r="12" spans="1:5" x14ac:dyDescent="0.25">
      <c r="A12" s="58">
        <v>333053</v>
      </c>
      <c r="B12" s="58" t="s">
        <v>17</v>
      </c>
      <c r="C12" s="58">
        <v>333053</v>
      </c>
      <c r="D12" s="58" t="s">
        <v>222</v>
      </c>
      <c r="E12" s="58" t="s">
        <v>298</v>
      </c>
    </row>
    <row r="13" spans="1:5" x14ac:dyDescent="0.25">
      <c r="A13" s="58">
        <v>317122</v>
      </c>
      <c r="B13" s="58" t="s">
        <v>29</v>
      </c>
      <c r="C13" s="58">
        <v>317122</v>
      </c>
      <c r="D13" s="58" t="s">
        <v>222</v>
      </c>
      <c r="E13" s="58" t="s">
        <v>298</v>
      </c>
    </row>
    <row r="14" spans="1:5" x14ac:dyDescent="0.25">
      <c r="A14" s="58">
        <v>315140</v>
      </c>
      <c r="B14" s="58" t="s">
        <v>24</v>
      </c>
      <c r="C14" s="58">
        <v>315140</v>
      </c>
      <c r="D14" s="58" t="s">
        <v>224</v>
      </c>
      <c r="E14" s="58" t="s">
        <v>224</v>
      </c>
    </row>
    <row r="15" spans="1:5" x14ac:dyDescent="0.25">
      <c r="A15" s="58">
        <v>260429</v>
      </c>
      <c r="B15" s="58" t="s">
        <v>28</v>
      </c>
      <c r="C15" s="58">
        <v>260429</v>
      </c>
      <c r="D15" s="58" t="s">
        <v>222</v>
      </c>
      <c r="E15" s="58" t="s">
        <v>298</v>
      </c>
    </row>
    <row r="16" spans="1:5" x14ac:dyDescent="0.25">
      <c r="A16" s="58">
        <v>379325</v>
      </c>
      <c r="B16" s="58" t="s">
        <v>25</v>
      </c>
      <c r="C16" s="58">
        <v>379325</v>
      </c>
      <c r="D16" s="58" t="s">
        <v>98</v>
      </c>
      <c r="E16" s="58" t="s">
        <v>298</v>
      </c>
    </row>
    <row r="17" spans="1:5" x14ac:dyDescent="0.25">
      <c r="A17" s="58">
        <v>339523</v>
      </c>
      <c r="B17" s="58" t="s">
        <v>30</v>
      </c>
      <c r="C17" s="58">
        <v>339523</v>
      </c>
      <c r="D17" s="58" t="s">
        <v>222</v>
      </c>
      <c r="E17" s="58" t="s">
        <v>298</v>
      </c>
    </row>
    <row r="18" spans="1:5" x14ac:dyDescent="0.25">
      <c r="A18" s="58">
        <v>339525</v>
      </c>
      <c r="B18" s="58" t="s">
        <v>31</v>
      </c>
      <c r="C18" s="58">
        <v>339525</v>
      </c>
      <c r="D18" s="58" t="s">
        <v>224</v>
      </c>
      <c r="E18" s="58" t="s">
        <v>224</v>
      </c>
    </row>
    <row r="19" spans="1:5" x14ac:dyDescent="0.25">
      <c r="A19" s="58">
        <v>308052</v>
      </c>
      <c r="B19" s="58" t="s">
        <v>170</v>
      </c>
      <c r="C19" s="58">
        <v>308052</v>
      </c>
      <c r="D19" s="58" t="s">
        <v>224</v>
      </c>
      <c r="E19" s="58" t="s">
        <v>224</v>
      </c>
    </row>
    <row r="20" spans="1:5" x14ac:dyDescent="0.25">
      <c r="A20" s="58">
        <v>332018</v>
      </c>
      <c r="B20" s="58" t="s">
        <v>27</v>
      </c>
      <c r="C20" s="58">
        <v>332018</v>
      </c>
      <c r="D20" s="58" t="s">
        <v>224</v>
      </c>
      <c r="E20" s="58" t="s">
        <v>298</v>
      </c>
    </row>
    <row r="21" spans="1:5" x14ac:dyDescent="0.25">
      <c r="A21" s="58">
        <v>333358</v>
      </c>
      <c r="B21" s="58" t="s">
        <v>23</v>
      </c>
      <c r="C21" s="58">
        <v>333358</v>
      </c>
      <c r="D21" s="58" t="s">
        <v>222</v>
      </c>
      <c r="E21" s="58" t="s">
        <v>298</v>
      </c>
    </row>
    <row r="22" spans="1:5" x14ac:dyDescent="0.25">
      <c r="A22" s="58">
        <v>377829</v>
      </c>
      <c r="B22" s="58" t="s">
        <v>98</v>
      </c>
      <c r="C22" s="58">
        <v>377829</v>
      </c>
      <c r="D22" s="58" t="s">
        <v>224</v>
      </c>
      <c r="E22" s="58" t="s">
        <v>224</v>
      </c>
    </row>
    <row r="23" spans="1:5" x14ac:dyDescent="0.25">
      <c r="A23" s="58">
        <v>316491</v>
      </c>
      <c r="B23" s="58" t="s">
        <v>171</v>
      </c>
      <c r="C23" s="58">
        <v>316491</v>
      </c>
      <c r="D23" s="58" t="s">
        <v>224</v>
      </c>
      <c r="E23" s="58" t="s">
        <v>224</v>
      </c>
    </row>
    <row r="24" spans="1:5" x14ac:dyDescent="0.25">
      <c r="A24" s="58">
        <v>351097</v>
      </c>
      <c r="B24" s="58" t="s">
        <v>19</v>
      </c>
      <c r="C24" s="58">
        <v>351097</v>
      </c>
      <c r="D24" s="58" t="s">
        <v>226</v>
      </c>
      <c r="E24" s="58" t="s">
        <v>299</v>
      </c>
    </row>
    <row r="25" spans="1:5" x14ac:dyDescent="0.25">
      <c r="A25" s="58">
        <v>268681</v>
      </c>
      <c r="B25" s="58" t="s">
        <v>172</v>
      </c>
      <c r="C25" s="58">
        <v>268681</v>
      </c>
      <c r="D25" s="58" t="s">
        <v>224</v>
      </c>
      <c r="E25" s="58" t="s">
        <v>224</v>
      </c>
    </row>
    <row r="26" spans="1:5" x14ac:dyDescent="0.25">
      <c r="A26" s="58">
        <v>266978</v>
      </c>
      <c r="B26" s="58" t="s">
        <v>173</v>
      </c>
      <c r="C26" s="58">
        <v>266978</v>
      </c>
      <c r="D26" s="58" t="s">
        <v>224</v>
      </c>
      <c r="E26" s="58" t="s">
        <v>224</v>
      </c>
    </row>
    <row r="27" spans="1:5" x14ac:dyDescent="0.25">
      <c r="A27" s="58">
        <v>261043</v>
      </c>
      <c r="B27" s="58" t="s">
        <v>174</v>
      </c>
      <c r="C27" s="58">
        <v>261043</v>
      </c>
      <c r="D27" s="58" t="s">
        <v>224</v>
      </c>
      <c r="E27" s="58" t="s">
        <v>224</v>
      </c>
    </row>
    <row r="28" spans="1:5" x14ac:dyDescent="0.25">
      <c r="A28" s="58">
        <v>335279</v>
      </c>
      <c r="B28" s="58" t="s">
        <v>18</v>
      </c>
      <c r="C28" s="58">
        <v>335279</v>
      </c>
      <c r="D28" s="58" t="s">
        <v>224</v>
      </c>
      <c r="E28" s="58" t="s">
        <v>224</v>
      </c>
    </row>
    <row r="29" spans="1:5" x14ac:dyDescent="0.25">
      <c r="A29" s="58">
        <v>426496</v>
      </c>
      <c r="B29" s="58" t="s">
        <v>175</v>
      </c>
      <c r="C29" s="58">
        <v>426496</v>
      </c>
      <c r="D29" s="58" t="s">
        <v>224</v>
      </c>
      <c r="E29" s="58" t="s">
        <v>224</v>
      </c>
    </row>
    <row r="30" spans="1:5" x14ac:dyDescent="0.25">
      <c r="A30" s="58">
        <v>333055</v>
      </c>
      <c r="B30" s="58" t="s">
        <v>176</v>
      </c>
      <c r="C30" s="58">
        <v>333055</v>
      </c>
      <c r="D30" s="58" t="s">
        <v>224</v>
      </c>
      <c r="E30" s="58" t="s">
        <v>224</v>
      </c>
    </row>
    <row r="31" spans="1:5" x14ac:dyDescent="0.25">
      <c r="A31" s="58">
        <v>353933</v>
      </c>
      <c r="B31" s="58" t="s">
        <v>177</v>
      </c>
      <c r="C31" s="58">
        <v>353933</v>
      </c>
      <c r="D31" s="58" t="s">
        <v>224</v>
      </c>
      <c r="E31" s="58" t="s">
        <v>224</v>
      </c>
    </row>
    <row r="32" spans="1:5" x14ac:dyDescent="0.25">
      <c r="A32" s="58">
        <v>357066</v>
      </c>
      <c r="B32" s="58" t="s">
        <v>16</v>
      </c>
      <c r="C32" s="58">
        <v>357066</v>
      </c>
      <c r="D32" s="58" t="s">
        <v>224</v>
      </c>
      <c r="E32" s="58" t="s">
        <v>224</v>
      </c>
    </row>
    <row r="33" spans="1:5" x14ac:dyDescent="0.25">
      <c r="A33" s="58">
        <v>455682</v>
      </c>
      <c r="B33" s="58" t="s">
        <v>43</v>
      </c>
      <c r="C33" s="58">
        <v>455682</v>
      </c>
      <c r="D33" s="58" t="s">
        <v>224</v>
      </c>
      <c r="E33" s="58" t="s">
        <v>299</v>
      </c>
    </row>
    <row r="34" spans="1:5" x14ac:dyDescent="0.25">
      <c r="A34" s="58">
        <v>455691</v>
      </c>
      <c r="B34" s="58" t="s">
        <v>41</v>
      </c>
      <c r="C34" s="58">
        <v>455691</v>
      </c>
      <c r="D34" s="58" t="s">
        <v>222</v>
      </c>
      <c r="E34" s="58" t="s">
        <v>298</v>
      </c>
    </row>
    <row r="35" spans="1:5" x14ac:dyDescent="0.25">
      <c r="A35" s="58">
        <v>455690</v>
      </c>
      <c r="B35" s="58" t="s">
        <v>44</v>
      </c>
      <c r="C35" s="58">
        <v>455690</v>
      </c>
      <c r="D35" s="58" t="s">
        <v>224</v>
      </c>
      <c r="E35" s="58" t="s">
        <v>224</v>
      </c>
    </row>
    <row r="36" spans="1:5" x14ac:dyDescent="0.25">
      <c r="A36" s="58">
        <v>456094</v>
      </c>
      <c r="B36" s="58" t="s">
        <v>45</v>
      </c>
      <c r="C36" s="58">
        <v>456094</v>
      </c>
      <c r="D36" s="58" t="s">
        <v>222</v>
      </c>
      <c r="E36" s="58" t="s">
        <v>298</v>
      </c>
    </row>
    <row r="37" spans="1:5" x14ac:dyDescent="0.25">
      <c r="A37" s="58">
        <v>456095</v>
      </c>
      <c r="B37" s="58" t="s">
        <v>42</v>
      </c>
      <c r="C37" s="58">
        <v>456095</v>
      </c>
      <c r="D37" s="58" t="s">
        <v>224</v>
      </c>
      <c r="E37" s="58" t="s">
        <v>224</v>
      </c>
    </row>
    <row r="38" spans="1:5" x14ac:dyDescent="0.25">
      <c r="A38" s="58">
        <v>472377</v>
      </c>
      <c r="B38" s="58" t="s">
        <v>48</v>
      </c>
      <c r="C38" s="58">
        <v>472377</v>
      </c>
      <c r="D38" s="58" t="s">
        <v>224</v>
      </c>
      <c r="E38" s="58" t="s">
        <v>224</v>
      </c>
    </row>
    <row r="39" spans="1:5" x14ac:dyDescent="0.25">
      <c r="A39" s="58">
        <v>472371</v>
      </c>
      <c r="B39" s="58" t="s">
        <v>49</v>
      </c>
      <c r="C39" s="58">
        <v>472371</v>
      </c>
      <c r="D39" s="58" t="s">
        <v>223</v>
      </c>
      <c r="E39" s="58" t="s">
        <v>300</v>
      </c>
    </row>
    <row r="40" spans="1:5" x14ac:dyDescent="0.25">
      <c r="A40" s="58">
        <v>472378</v>
      </c>
      <c r="B40" s="58" t="s">
        <v>50</v>
      </c>
      <c r="C40" s="58">
        <v>472378</v>
      </c>
      <c r="D40" s="58" t="s">
        <v>224</v>
      </c>
      <c r="E40" s="58" t="s">
        <v>224</v>
      </c>
    </row>
    <row r="41" spans="1:5" x14ac:dyDescent="0.25">
      <c r="A41" s="58">
        <v>472372</v>
      </c>
      <c r="B41" s="58" t="s">
        <v>178</v>
      </c>
      <c r="C41" s="58">
        <v>472372</v>
      </c>
      <c r="D41" s="58" t="s">
        <v>224</v>
      </c>
      <c r="E41" s="58" t="s">
        <v>224</v>
      </c>
    </row>
    <row r="42" spans="1:5" x14ac:dyDescent="0.25">
      <c r="A42" s="58">
        <v>472382</v>
      </c>
      <c r="B42" s="58" t="s">
        <v>179</v>
      </c>
      <c r="C42" s="58">
        <v>472382</v>
      </c>
      <c r="D42" s="58" t="s">
        <v>224</v>
      </c>
      <c r="E42" s="58" t="s">
        <v>224</v>
      </c>
    </row>
    <row r="43" spans="1:5" x14ac:dyDescent="0.25">
      <c r="A43" s="58">
        <v>357828</v>
      </c>
      <c r="B43" s="58" t="s">
        <v>99</v>
      </c>
      <c r="C43" s="58">
        <v>357828</v>
      </c>
      <c r="D43" s="58" t="s">
        <v>224</v>
      </c>
      <c r="E43" s="58" t="s">
        <v>224</v>
      </c>
    </row>
    <row r="44" spans="1:5" x14ac:dyDescent="0.25">
      <c r="A44" s="58">
        <v>394956</v>
      </c>
      <c r="B44" s="58" t="s">
        <v>180</v>
      </c>
      <c r="C44" s="58">
        <v>394956</v>
      </c>
      <c r="D44" s="58" t="s">
        <v>224</v>
      </c>
      <c r="E44" s="58" t="s">
        <v>224</v>
      </c>
    </row>
    <row r="45" spans="1:5" x14ac:dyDescent="0.25">
      <c r="A45" s="58">
        <v>486512</v>
      </c>
      <c r="B45" s="58" t="s">
        <v>71</v>
      </c>
      <c r="C45" s="58">
        <v>486512</v>
      </c>
      <c r="D45" s="58" t="s">
        <v>224</v>
      </c>
      <c r="E45" s="58" t="s">
        <v>224</v>
      </c>
    </row>
    <row r="46" spans="1:5" x14ac:dyDescent="0.25">
      <c r="A46" s="58">
        <v>486513</v>
      </c>
      <c r="B46" s="58" t="s">
        <v>72</v>
      </c>
      <c r="C46" s="58">
        <v>486513</v>
      </c>
      <c r="D46" s="58" t="s">
        <v>224</v>
      </c>
      <c r="E46" s="58" t="s">
        <v>224</v>
      </c>
    </row>
    <row r="47" spans="1:5" x14ac:dyDescent="0.25">
      <c r="A47" s="58">
        <v>486514</v>
      </c>
      <c r="B47" s="58" t="s">
        <v>73</v>
      </c>
      <c r="C47" s="58">
        <v>486514</v>
      </c>
      <c r="D47" s="58" t="s">
        <v>224</v>
      </c>
      <c r="E47" s="58" t="s">
        <v>224</v>
      </c>
    </row>
    <row r="48" spans="1:5" x14ac:dyDescent="0.25">
      <c r="A48" s="58">
        <v>486768</v>
      </c>
      <c r="B48" s="58" t="s">
        <v>74</v>
      </c>
      <c r="C48" s="58">
        <v>486768</v>
      </c>
      <c r="D48" s="58" t="s">
        <v>99</v>
      </c>
      <c r="E48" s="58" t="s">
        <v>298</v>
      </c>
    </row>
    <row r="49" spans="1:5" x14ac:dyDescent="0.25">
      <c r="A49" s="58">
        <v>486770</v>
      </c>
      <c r="B49" s="58" t="s">
        <v>75</v>
      </c>
      <c r="C49" s="58">
        <v>486770</v>
      </c>
      <c r="D49" s="58" t="s">
        <v>224</v>
      </c>
      <c r="E49" s="58" t="s">
        <v>224</v>
      </c>
    </row>
    <row r="50" spans="1:5" x14ac:dyDescent="0.25">
      <c r="A50" s="58">
        <v>486780</v>
      </c>
      <c r="B50" s="58" t="s">
        <v>76</v>
      </c>
      <c r="C50" s="58">
        <v>486780</v>
      </c>
      <c r="D50" s="58" t="s">
        <v>98</v>
      </c>
      <c r="E50" s="58" t="s">
        <v>298</v>
      </c>
    </row>
    <row r="51" spans="1:5" x14ac:dyDescent="0.25">
      <c r="A51" s="58">
        <v>486769</v>
      </c>
      <c r="B51" s="58" t="s">
        <v>77</v>
      </c>
      <c r="C51" s="58">
        <v>486769</v>
      </c>
      <c r="D51" s="58" t="s">
        <v>224</v>
      </c>
      <c r="E51" s="58" t="s">
        <v>224</v>
      </c>
    </row>
    <row r="52" spans="1:5" x14ac:dyDescent="0.25">
      <c r="A52" s="58">
        <v>486783</v>
      </c>
      <c r="B52" s="58" t="s">
        <v>78</v>
      </c>
      <c r="C52" s="58">
        <v>486783</v>
      </c>
      <c r="D52" s="58" t="s">
        <v>98</v>
      </c>
      <c r="E52" s="58" t="s">
        <v>298</v>
      </c>
    </row>
    <row r="53" spans="1:5" x14ac:dyDescent="0.25">
      <c r="A53" s="58">
        <v>486798</v>
      </c>
      <c r="B53" s="58" t="s">
        <v>79</v>
      </c>
      <c r="C53" s="58">
        <v>486798</v>
      </c>
      <c r="D53" s="58" t="s">
        <v>224</v>
      </c>
      <c r="E53" s="58" t="s">
        <v>224</v>
      </c>
    </row>
    <row r="54" spans="1:5" x14ac:dyDescent="0.25">
      <c r="A54" s="58">
        <v>486795</v>
      </c>
      <c r="B54" s="58" t="s">
        <v>80</v>
      </c>
      <c r="C54" s="58">
        <v>486795</v>
      </c>
      <c r="D54" s="58" t="s">
        <v>222</v>
      </c>
      <c r="E54" s="58" t="s">
        <v>298</v>
      </c>
    </row>
    <row r="55" spans="1:5" x14ac:dyDescent="0.25">
      <c r="A55" s="58">
        <v>486784</v>
      </c>
      <c r="B55" s="58" t="s">
        <v>81</v>
      </c>
      <c r="C55" s="58">
        <v>486784</v>
      </c>
      <c r="D55" s="58" t="s">
        <v>99</v>
      </c>
      <c r="E55" s="58" t="s">
        <v>298</v>
      </c>
    </row>
    <row r="56" spans="1:5" x14ac:dyDescent="0.25">
      <c r="A56" s="58">
        <v>486750</v>
      </c>
      <c r="B56" s="58" t="s">
        <v>82</v>
      </c>
      <c r="C56" s="58">
        <v>486750</v>
      </c>
      <c r="D56" s="58" t="s">
        <v>224</v>
      </c>
      <c r="E56" s="58" t="s">
        <v>224</v>
      </c>
    </row>
    <row r="57" spans="1:5" x14ac:dyDescent="0.25">
      <c r="A57" s="58">
        <v>486751</v>
      </c>
      <c r="B57" s="58" t="s">
        <v>83</v>
      </c>
      <c r="C57" s="58">
        <v>486751</v>
      </c>
      <c r="D57" s="58" t="s">
        <v>99</v>
      </c>
      <c r="E57" s="58" t="s">
        <v>298</v>
      </c>
    </row>
    <row r="58" spans="1:5" x14ac:dyDescent="0.25">
      <c r="A58" s="58">
        <v>486897</v>
      </c>
      <c r="B58" s="58" t="s">
        <v>84</v>
      </c>
      <c r="C58" s="58">
        <v>486897</v>
      </c>
      <c r="D58" s="58" t="s">
        <v>98</v>
      </c>
      <c r="E58" s="58" t="s">
        <v>298</v>
      </c>
    </row>
    <row r="59" spans="1:5" x14ac:dyDescent="0.25">
      <c r="A59" s="58">
        <v>486891</v>
      </c>
      <c r="B59" s="58" t="s">
        <v>85</v>
      </c>
      <c r="C59" s="58">
        <v>486891</v>
      </c>
      <c r="D59" s="58" t="s">
        <v>99</v>
      </c>
      <c r="E59" s="58" t="s">
        <v>298</v>
      </c>
    </row>
    <row r="60" spans="1:5" x14ac:dyDescent="0.25">
      <c r="A60" s="58">
        <v>486898</v>
      </c>
      <c r="B60" s="58" t="s">
        <v>86</v>
      </c>
      <c r="C60" s="58">
        <v>486898</v>
      </c>
      <c r="D60" s="58" t="s">
        <v>222</v>
      </c>
      <c r="E60" s="58" t="s">
        <v>298</v>
      </c>
    </row>
    <row r="61" spans="1:5" x14ac:dyDescent="0.25">
      <c r="A61" s="58">
        <v>486892</v>
      </c>
      <c r="B61" s="58" t="s">
        <v>87</v>
      </c>
      <c r="C61" s="58">
        <v>486892</v>
      </c>
      <c r="D61" s="58" t="s">
        <v>222</v>
      </c>
      <c r="E61" s="58" t="s">
        <v>298</v>
      </c>
    </row>
    <row r="62" spans="1:5" x14ac:dyDescent="0.25">
      <c r="A62" s="58">
        <v>486894</v>
      </c>
      <c r="B62" s="58" t="s">
        <v>88</v>
      </c>
      <c r="C62" s="58">
        <v>486894</v>
      </c>
      <c r="D62" s="58" t="s">
        <v>224</v>
      </c>
      <c r="E62" s="58" t="s">
        <v>224</v>
      </c>
    </row>
    <row r="63" spans="1:5" x14ac:dyDescent="0.25">
      <c r="A63" s="58">
        <v>486893</v>
      </c>
      <c r="B63" s="58" t="s">
        <v>89</v>
      </c>
      <c r="C63" s="58">
        <v>486893</v>
      </c>
      <c r="D63" s="58" t="s">
        <v>98</v>
      </c>
      <c r="E63" s="58" t="s">
        <v>298</v>
      </c>
    </row>
    <row r="64" spans="1:5" x14ac:dyDescent="0.25">
      <c r="A64" s="58">
        <v>486899</v>
      </c>
      <c r="B64" s="58" t="s">
        <v>90</v>
      </c>
      <c r="C64" s="58">
        <v>486899</v>
      </c>
      <c r="D64" s="58" t="s">
        <v>99</v>
      </c>
      <c r="E64" s="58" t="s">
        <v>298</v>
      </c>
    </row>
    <row r="65" spans="1:5" x14ac:dyDescent="0.25">
      <c r="A65" s="58">
        <v>486925</v>
      </c>
      <c r="B65" s="58" t="s">
        <v>58</v>
      </c>
      <c r="C65" s="58">
        <v>486925</v>
      </c>
      <c r="D65" s="58" t="s">
        <v>98</v>
      </c>
      <c r="E65" s="58" t="s">
        <v>298</v>
      </c>
    </row>
    <row r="66" spans="1:5" x14ac:dyDescent="0.25">
      <c r="A66" s="58">
        <v>487056</v>
      </c>
      <c r="B66" s="58" t="s">
        <v>181</v>
      </c>
      <c r="C66" s="58">
        <v>487056</v>
      </c>
      <c r="D66" s="58" t="s">
        <v>224</v>
      </c>
      <c r="E66" s="58" t="s">
        <v>224</v>
      </c>
    </row>
    <row r="67" spans="1:5" x14ac:dyDescent="0.25">
      <c r="A67" s="58">
        <v>487082</v>
      </c>
      <c r="B67" s="58" t="s">
        <v>59</v>
      </c>
      <c r="C67" s="58">
        <v>487082</v>
      </c>
      <c r="D67" s="58" t="s">
        <v>224</v>
      </c>
      <c r="E67" s="58" t="s">
        <v>224</v>
      </c>
    </row>
    <row r="68" spans="1:5" x14ac:dyDescent="0.25">
      <c r="A68" s="58">
        <v>487085</v>
      </c>
      <c r="B68" s="58" t="s">
        <v>60</v>
      </c>
      <c r="C68" s="58">
        <v>487085</v>
      </c>
      <c r="D68" s="58" t="s">
        <v>222</v>
      </c>
      <c r="E68" s="58" t="s">
        <v>298</v>
      </c>
    </row>
    <row r="69" spans="1:5" x14ac:dyDescent="0.25">
      <c r="A69" s="58">
        <v>487057</v>
      </c>
      <c r="B69" s="58" t="s">
        <v>61</v>
      </c>
      <c r="C69" s="58">
        <v>487057</v>
      </c>
      <c r="D69" s="58" t="s">
        <v>99</v>
      </c>
      <c r="E69" s="58" t="s">
        <v>298</v>
      </c>
    </row>
    <row r="70" spans="1:5" x14ac:dyDescent="0.25">
      <c r="A70" s="58">
        <v>487088</v>
      </c>
      <c r="B70" s="58" t="s">
        <v>182</v>
      </c>
      <c r="C70" s="58">
        <v>487088</v>
      </c>
      <c r="D70" s="58" t="s">
        <v>224</v>
      </c>
      <c r="E70" s="58" t="s">
        <v>224</v>
      </c>
    </row>
    <row r="71" spans="1:5" x14ac:dyDescent="0.25">
      <c r="A71" s="58">
        <v>487058</v>
      </c>
      <c r="B71" s="58" t="s">
        <v>62</v>
      </c>
      <c r="C71" s="58">
        <v>487058</v>
      </c>
      <c r="D71" s="58" t="s">
        <v>224</v>
      </c>
      <c r="E71" s="58" t="s">
        <v>224</v>
      </c>
    </row>
    <row r="72" spans="1:5" x14ac:dyDescent="0.25">
      <c r="A72" s="58">
        <v>487060</v>
      </c>
      <c r="B72" s="58" t="s">
        <v>183</v>
      </c>
      <c r="C72" s="58">
        <v>487060</v>
      </c>
      <c r="D72" s="58" t="s">
        <v>224</v>
      </c>
      <c r="E72" s="58" t="s">
        <v>224</v>
      </c>
    </row>
    <row r="73" spans="1:5" x14ac:dyDescent="0.25">
      <c r="A73" s="58">
        <v>487061</v>
      </c>
      <c r="B73" s="58" t="s">
        <v>63</v>
      </c>
      <c r="C73" s="58">
        <v>487061</v>
      </c>
      <c r="D73" s="58" t="s">
        <v>224</v>
      </c>
      <c r="E73" s="58" t="s">
        <v>224</v>
      </c>
    </row>
    <row r="74" spans="1:5" x14ac:dyDescent="0.25">
      <c r="A74" s="58">
        <v>487064</v>
      </c>
      <c r="B74" s="58" t="s">
        <v>64</v>
      </c>
      <c r="C74" s="58">
        <v>487064</v>
      </c>
      <c r="D74" s="58" t="s">
        <v>98</v>
      </c>
      <c r="E74" s="58" t="s">
        <v>298</v>
      </c>
    </row>
    <row r="75" spans="1:5" x14ac:dyDescent="0.25">
      <c r="A75" s="58">
        <v>487067</v>
      </c>
      <c r="B75" s="58" t="s">
        <v>65</v>
      </c>
      <c r="C75" s="58">
        <v>487067</v>
      </c>
      <c r="D75" s="58" t="s">
        <v>224</v>
      </c>
      <c r="E75" s="58" t="s">
        <v>224</v>
      </c>
    </row>
    <row r="76" spans="1:5" x14ac:dyDescent="0.25">
      <c r="A76" s="58">
        <v>487090</v>
      </c>
      <c r="B76" s="58" t="s">
        <v>184</v>
      </c>
      <c r="C76" s="58">
        <v>487090</v>
      </c>
      <c r="D76" s="58" t="s">
        <v>224</v>
      </c>
      <c r="E76" s="58" t="s">
        <v>224</v>
      </c>
    </row>
    <row r="77" spans="1:5" x14ac:dyDescent="0.25">
      <c r="A77" s="58">
        <v>487072</v>
      </c>
      <c r="B77" s="58" t="s">
        <v>66</v>
      </c>
      <c r="C77" s="58">
        <v>487072</v>
      </c>
      <c r="D77" s="58" t="s">
        <v>99</v>
      </c>
      <c r="E77" s="58" t="s">
        <v>298</v>
      </c>
    </row>
    <row r="78" spans="1:5" x14ac:dyDescent="0.25">
      <c r="A78" s="58">
        <v>487086</v>
      </c>
      <c r="B78" s="58" t="s">
        <v>67</v>
      </c>
      <c r="C78" s="58">
        <v>487086</v>
      </c>
      <c r="D78" s="58" t="s">
        <v>222</v>
      </c>
      <c r="E78" s="58" t="s">
        <v>298</v>
      </c>
    </row>
    <row r="79" spans="1:5" x14ac:dyDescent="0.25">
      <c r="A79" s="58">
        <v>487092</v>
      </c>
      <c r="B79" s="58" t="s">
        <v>100</v>
      </c>
      <c r="C79" s="58">
        <v>487092</v>
      </c>
      <c r="D79" s="58" t="s">
        <v>224</v>
      </c>
      <c r="E79" s="58" t="s">
        <v>224</v>
      </c>
    </row>
    <row r="80" spans="1:5" x14ac:dyDescent="0.25">
      <c r="A80" s="58">
        <v>487095</v>
      </c>
      <c r="B80" s="58" t="s">
        <v>68</v>
      </c>
      <c r="C80" s="58">
        <v>487095</v>
      </c>
      <c r="D80" s="58" t="s">
        <v>224</v>
      </c>
      <c r="E80" s="58" t="s">
        <v>224</v>
      </c>
    </row>
    <row r="81" spans="1:5" x14ac:dyDescent="0.25">
      <c r="A81" s="58">
        <v>487318</v>
      </c>
      <c r="B81" s="58" t="s">
        <v>69</v>
      </c>
      <c r="C81" s="58">
        <v>487318</v>
      </c>
      <c r="D81" s="58" t="s">
        <v>223</v>
      </c>
      <c r="E81" s="58" t="s">
        <v>300</v>
      </c>
    </row>
    <row r="82" spans="1:5" x14ac:dyDescent="0.25">
      <c r="A82" s="58">
        <v>487312</v>
      </c>
      <c r="B82" s="58" t="s">
        <v>70</v>
      </c>
      <c r="C82" s="58">
        <v>487312</v>
      </c>
      <c r="D82" s="58" t="s">
        <v>99</v>
      </c>
      <c r="E82" s="58" t="s">
        <v>298</v>
      </c>
    </row>
    <row r="83" spans="1:5" x14ac:dyDescent="0.25">
      <c r="A83" s="58">
        <v>492006</v>
      </c>
      <c r="B83" s="58" t="s">
        <v>91</v>
      </c>
      <c r="C83" s="58">
        <v>492006</v>
      </c>
      <c r="D83" s="58" t="s">
        <v>222</v>
      </c>
      <c r="E83" s="58" t="s">
        <v>298</v>
      </c>
    </row>
    <row r="84" spans="1:5" x14ac:dyDescent="0.25">
      <c r="A84" s="58">
        <v>492001</v>
      </c>
      <c r="B84" s="58" t="s">
        <v>92</v>
      </c>
      <c r="C84" s="58">
        <v>492001</v>
      </c>
      <c r="D84" s="58" t="s">
        <v>222</v>
      </c>
      <c r="E84" s="58" t="s">
        <v>298</v>
      </c>
    </row>
    <row r="85" spans="1:5" x14ac:dyDescent="0.25">
      <c r="A85" s="58">
        <v>492000</v>
      </c>
      <c r="B85" s="58" t="s">
        <v>93</v>
      </c>
      <c r="C85" s="58">
        <v>492000</v>
      </c>
      <c r="D85" s="58" t="s">
        <v>224</v>
      </c>
      <c r="E85" s="58" t="s">
        <v>224</v>
      </c>
    </row>
    <row r="86" spans="1:5" x14ac:dyDescent="0.25">
      <c r="A86" s="58">
        <v>492003</v>
      </c>
      <c r="B86" s="58" t="s">
        <v>94</v>
      </c>
      <c r="C86" s="58">
        <v>492003</v>
      </c>
      <c r="D86" s="58" t="s">
        <v>224</v>
      </c>
      <c r="E86" s="58" t="s">
        <v>224</v>
      </c>
    </row>
    <row r="87" spans="1:5" x14ac:dyDescent="0.25">
      <c r="A87" s="58">
        <v>482673</v>
      </c>
      <c r="B87" s="58" t="s">
        <v>95</v>
      </c>
      <c r="C87" s="58">
        <v>482673</v>
      </c>
      <c r="D87" s="58" t="s">
        <v>98</v>
      </c>
      <c r="E87" s="58" t="s">
        <v>298</v>
      </c>
    </row>
    <row r="88" spans="1:5" x14ac:dyDescent="0.25">
      <c r="A88" s="58">
        <v>482674</v>
      </c>
      <c r="B88" s="58" t="s">
        <v>96</v>
      </c>
      <c r="C88" s="58">
        <v>482674</v>
      </c>
      <c r="D88" s="58" t="s">
        <v>98</v>
      </c>
      <c r="E88" s="58" t="s">
        <v>298</v>
      </c>
    </row>
    <row r="89" spans="1:5" x14ac:dyDescent="0.25">
      <c r="A89" s="58">
        <v>245194</v>
      </c>
      <c r="B89" s="58" t="s">
        <v>101</v>
      </c>
      <c r="C89" s="58">
        <v>245194</v>
      </c>
      <c r="D89" s="58" t="s">
        <v>98</v>
      </c>
      <c r="E89" s="58" t="s">
        <v>298</v>
      </c>
    </row>
    <row r="90" spans="1:5" x14ac:dyDescent="0.25">
      <c r="A90" s="58">
        <v>251152</v>
      </c>
      <c r="B90" s="58" t="s">
        <v>107</v>
      </c>
      <c r="C90" s="58">
        <v>251152</v>
      </c>
      <c r="D90" s="58" t="s">
        <v>226</v>
      </c>
      <c r="E90" s="58" t="s">
        <v>299</v>
      </c>
    </row>
    <row r="91" spans="1:5" x14ac:dyDescent="0.25">
      <c r="A91" s="58">
        <v>267728</v>
      </c>
      <c r="B91" s="58" t="s">
        <v>102</v>
      </c>
      <c r="C91" s="58">
        <v>267728</v>
      </c>
      <c r="D91" s="58" t="s">
        <v>226</v>
      </c>
      <c r="E91" s="58" t="s">
        <v>299</v>
      </c>
    </row>
    <row r="92" spans="1:5" x14ac:dyDescent="0.25">
      <c r="A92" s="58">
        <v>268772</v>
      </c>
      <c r="B92" s="58" t="s">
        <v>108</v>
      </c>
      <c r="C92" s="58">
        <v>268772</v>
      </c>
      <c r="D92" s="58" t="s">
        <v>224</v>
      </c>
      <c r="E92" s="58" t="s">
        <v>299</v>
      </c>
    </row>
    <row r="93" spans="1:5" x14ac:dyDescent="0.25">
      <c r="A93" s="58">
        <v>268947</v>
      </c>
      <c r="B93" s="58" t="s">
        <v>109</v>
      </c>
      <c r="C93" s="58">
        <v>268947</v>
      </c>
      <c r="D93" s="58" t="s">
        <v>226</v>
      </c>
      <c r="E93" s="58" t="s">
        <v>299</v>
      </c>
    </row>
    <row r="94" spans="1:5" x14ac:dyDescent="0.25">
      <c r="A94" s="58">
        <v>284395</v>
      </c>
      <c r="B94" s="58" t="s">
        <v>185</v>
      </c>
      <c r="C94" s="58">
        <v>284395</v>
      </c>
      <c r="D94" s="58" t="s">
        <v>224</v>
      </c>
      <c r="E94" s="58" t="s">
        <v>224</v>
      </c>
    </row>
    <row r="95" spans="1:5" x14ac:dyDescent="0.25">
      <c r="A95" s="58">
        <v>293561</v>
      </c>
      <c r="B95" s="58" t="s">
        <v>186</v>
      </c>
      <c r="C95" s="58">
        <v>293561</v>
      </c>
      <c r="D95" s="58" t="s">
        <v>224</v>
      </c>
      <c r="E95" s="58" t="s">
        <v>224</v>
      </c>
    </row>
    <row r="96" spans="1:5" x14ac:dyDescent="0.25">
      <c r="A96" s="58">
        <v>296455</v>
      </c>
      <c r="B96" s="58" t="s">
        <v>110</v>
      </c>
      <c r="C96" s="58">
        <v>296455</v>
      </c>
      <c r="D96" s="58" t="s">
        <v>224</v>
      </c>
      <c r="E96" s="58" t="s">
        <v>299</v>
      </c>
    </row>
    <row r="97" spans="1:5" x14ac:dyDescent="0.25">
      <c r="A97" s="58">
        <v>299550</v>
      </c>
      <c r="B97" s="58" t="s">
        <v>187</v>
      </c>
      <c r="C97" s="58">
        <v>299550</v>
      </c>
      <c r="D97" s="58" t="s">
        <v>224</v>
      </c>
      <c r="E97" s="58" t="s">
        <v>224</v>
      </c>
    </row>
    <row r="98" spans="1:5" x14ac:dyDescent="0.25">
      <c r="A98" s="58">
        <v>305624</v>
      </c>
      <c r="B98" s="58" t="s">
        <v>111</v>
      </c>
      <c r="C98" s="58">
        <v>305624</v>
      </c>
      <c r="D98" s="58" t="s">
        <v>98</v>
      </c>
      <c r="E98" s="58" t="s">
        <v>298</v>
      </c>
    </row>
    <row r="99" spans="1:5" x14ac:dyDescent="0.25">
      <c r="A99" s="58">
        <v>332024</v>
      </c>
      <c r="B99" s="58" t="s">
        <v>112</v>
      </c>
      <c r="C99" s="58">
        <v>332024</v>
      </c>
      <c r="D99" s="58" t="s">
        <v>224</v>
      </c>
      <c r="E99" s="58" t="s">
        <v>299</v>
      </c>
    </row>
    <row r="100" spans="1:5" x14ac:dyDescent="0.25">
      <c r="A100" s="58">
        <v>357336</v>
      </c>
      <c r="B100" s="58" t="s">
        <v>188</v>
      </c>
      <c r="C100" s="58">
        <v>357336</v>
      </c>
      <c r="D100" s="58" t="s">
        <v>224</v>
      </c>
      <c r="E100" s="58" t="s">
        <v>224</v>
      </c>
    </row>
    <row r="101" spans="1:5" x14ac:dyDescent="0.25">
      <c r="A101" s="58">
        <v>417932</v>
      </c>
      <c r="B101" s="58" t="s">
        <v>103</v>
      </c>
      <c r="C101" s="58">
        <v>417932</v>
      </c>
      <c r="D101" s="58" t="s">
        <v>98</v>
      </c>
      <c r="E101" s="58" t="s">
        <v>298</v>
      </c>
    </row>
    <row r="102" spans="1:5" x14ac:dyDescent="0.25">
      <c r="A102" s="58">
        <v>422185</v>
      </c>
      <c r="B102" s="58" t="s">
        <v>189</v>
      </c>
      <c r="C102" s="58">
        <v>422185</v>
      </c>
      <c r="D102" s="58" t="s">
        <v>224</v>
      </c>
      <c r="E102" s="58" t="s">
        <v>299</v>
      </c>
    </row>
    <row r="103" spans="1:5" x14ac:dyDescent="0.25">
      <c r="A103" s="58">
        <v>424497</v>
      </c>
      <c r="B103" s="58" t="s">
        <v>190</v>
      </c>
      <c r="C103" s="58">
        <v>424497</v>
      </c>
      <c r="D103" s="58" t="s">
        <v>224</v>
      </c>
      <c r="E103" s="58" t="s">
        <v>224</v>
      </c>
    </row>
    <row r="104" spans="1:5" x14ac:dyDescent="0.25">
      <c r="A104" s="58">
        <v>485275</v>
      </c>
      <c r="B104" s="58" t="s">
        <v>191</v>
      </c>
      <c r="C104" s="58">
        <v>485275</v>
      </c>
      <c r="D104" s="58" t="s">
        <v>224</v>
      </c>
      <c r="E104" s="58" t="s">
        <v>224</v>
      </c>
    </row>
    <row r="105" spans="1:5" x14ac:dyDescent="0.25">
      <c r="A105" s="58">
        <v>485282</v>
      </c>
      <c r="B105" s="58" t="s">
        <v>192</v>
      </c>
      <c r="C105" s="58">
        <v>485282</v>
      </c>
      <c r="D105" s="58" t="s">
        <v>224</v>
      </c>
      <c r="E105" s="58" t="s">
        <v>224</v>
      </c>
    </row>
    <row r="106" spans="1:5" x14ac:dyDescent="0.25">
      <c r="A106" s="58">
        <v>485283</v>
      </c>
      <c r="B106" s="58" t="s">
        <v>104</v>
      </c>
      <c r="C106" s="58">
        <v>485283</v>
      </c>
      <c r="D106" s="58" t="s">
        <v>224</v>
      </c>
      <c r="E106" s="58" t="s">
        <v>298</v>
      </c>
    </row>
    <row r="107" spans="1:5" x14ac:dyDescent="0.25">
      <c r="A107" s="58">
        <v>271192</v>
      </c>
      <c r="B107" s="58" t="s">
        <v>105</v>
      </c>
      <c r="C107" s="58">
        <v>271192</v>
      </c>
      <c r="D107" s="58" t="s">
        <v>99</v>
      </c>
      <c r="E107" s="58" t="s">
        <v>298</v>
      </c>
    </row>
    <row r="108" spans="1:5" x14ac:dyDescent="0.25">
      <c r="A108" s="110">
        <v>287483</v>
      </c>
      <c r="B108" s="110" t="s">
        <v>106</v>
      </c>
      <c r="C108" s="110">
        <v>287483</v>
      </c>
      <c r="D108" s="58" t="s">
        <v>98</v>
      </c>
      <c r="E108" s="58" t="s">
        <v>298</v>
      </c>
    </row>
    <row r="109" spans="1:5" x14ac:dyDescent="0.25">
      <c r="A109" s="110">
        <v>268750</v>
      </c>
      <c r="B109" s="110" t="s">
        <v>127</v>
      </c>
      <c r="C109" s="110">
        <v>268750</v>
      </c>
      <c r="D109" s="58" t="s">
        <v>226</v>
      </c>
      <c r="E109" s="58" t="s">
        <v>299</v>
      </c>
    </row>
    <row r="110" spans="1:5" x14ac:dyDescent="0.25">
      <c r="A110" s="110">
        <v>268764</v>
      </c>
      <c r="B110" s="110" t="s">
        <v>128</v>
      </c>
      <c r="C110" s="110">
        <v>268764</v>
      </c>
      <c r="D110" s="58" t="s">
        <v>226</v>
      </c>
      <c r="E110" s="58" t="s">
        <v>299</v>
      </c>
    </row>
    <row r="111" spans="1:5" x14ac:dyDescent="0.25">
      <c r="A111" s="110">
        <v>319222</v>
      </c>
      <c r="B111" s="110" t="s">
        <v>129</v>
      </c>
      <c r="C111" s="110">
        <v>319222</v>
      </c>
      <c r="D111" s="58" t="s">
        <v>224</v>
      </c>
      <c r="E111" s="58" t="s">
        <v>299</v>
      </c>
    </row>
    <row r="112" spans="1:5" x14ac:dyDescent="0.25">
      <c r="A112" s="110">
        <v>335234</v>
      </c>
      <c r="B112" s="110" t="s">
        <v>130</v>
      </c>
      <c r="C112" s="110">
        <v>335234</v>
      </c>
      <c r="D112" s="58" t="s">
        <v>98</v>
      </c>
      <c r="E112" s="58" t="s">
        <v>298</v>
      </c>
    </row>
    <row r="113" spans="1:5" x14ac:dyDescent="0.25">
      <c r="A113" s="110">
        <v>501291</v>
      </c>
      <c r="B113" s="110" t="s">
        <v>133</v>
      </c>
      <c r="C113" s="110">
        <v>501291</v>
      </c>
      <c r="D113" s="58" t="s">
        <v>224</v>
      </c>
      <c r="E113" s="58" t="s">
        <v>224</v>
      </c>
    </row>
    <row r="114" spans="1:5" x14ac:dyDescent="0.25">
      <c r="A114" s="110">
        <v>501292</v>
      </c>
      <c r="B114" s="110" t="s">
        <v>134</v>
      </c>
      <c r="C114" s="110">
        <v>501292</v>
      </c>
      <c r="D114" s="58" t="s">
        <v>99</v>
      </c>
      <c r="E114" s="58" t="s">
        <v>298</v>
      </c>
    </row>
    <row r="115" spans="1:5" x14ac:dyDescent="0.25">
      <c r="A115" s="110">
        <v>494570</v>
      </c>
      <c r="B115" s="110" t="s">
        <v>193</v>
      </c>
      <c r="C115" s="110">
        <v>494570</v>
      </c>
      <c r="D115" s="58" t="s">
        <v>224</v>
      </c>
      <c r="E115" s="58" t="s">
        <v>224</v>
      </c>
    </row>
    <row r="116" spans="1:5" x14ac:dyDescent="0.25">
      <c r="A116" s="110">
        <v>501296</v>
      </c>
      <c r="B116" s="110" t="s">
        <v>135</v>
      </c>
      <c r="C116" s="110">
        <v>501296</v>
      </c>
      <c r="D116" s="58" t="s">
        <v>224</v>
      </c>
      <c r="E116" s="58" t="s">
        <v>299</v>
      </c>
    </row>
    <row r="117" spans="1:5" x14ac:dyDescent="0.25">
      <c r="A117" s="110">
        <v>501297</v>
      </c>
      <c r="B117" s="110" t="s">
        <v>136</v>
      </c>
      <c r="C117" s="110">
        <v>501297</v>
      </c>
      <c r="D117" s="58" t="s">
        <v>99</v>
      </c>
      <c r="E117" s="58" t="s">
        <v>298</v>
      </c>
    </row>
    <row r="118" spans="1:5" x14ac:dyDescent="0.25">
      <c r="A118" s="110">
        <v>501510</v>
      </c>
      <c r="B118" s="110" t="s">
        <v>137</v>
      </c>
      <c r="C118" s="110">
        <v>501510</v>
      </c>
      <c r="D118" s="58" t="s">
        <v>224</v>
      </c>
      <c r="E118" s="58" t="s">
        <v>224</v>
      </c>
    </row>
    <row r="119" spans="1:5" x14ac:dyDescent="0.25">
      <c r="A119" s="110">
        <v>501506</v>
      </c>
      <c r="B119" s="110" t="s">
        <v>138</v>
      </c>
      <c r="C119" s="110">
        <v>501506</v>
      </c>
      <c r="D119" s="58" t="s">
        <v>98</v>
      </c>
      <c r="E119" s="58" t="s">
        <v>298</v>
      </c>
    </row>
    <row r="120" spans="1:5" x14ac:dyDescent="0.25">
      <c r="A120" s="110">
        <v>501650</v>
      </c>
      <c r="B120" s="110" t="s">
        <v>139</v>
      </c>
      <c r="C120" s="110">
        <v>501650</v>
      </c>
      <c r="D120" s="58" t="s">
        <v>99</v>
      </c>
      <c r="E120" s="58" t="s">
        <v>298</v>
      </c>
    </row>
    <row r="121" spans="1:5" x14ac:dyDescent="0.25">
      <c r="A121" s="110">
        <v>501651</v>
      </c>
      <c r="B121" s="110" t="s">
        <v>140</v>
      </c>
      <c r="C121" s="110">
        <v>501651</v>
      </c>
      <c r="D121" s="58" t="s">
        <v>99</v>
      </c>
      <c r="E121" s="58" t="s">
        <v>298</v>
      </c>
    </row>
    <row r="122" spans="1:5" x14ac:dyDescent="0.25">
      <c r="A122" s="110">
        <v>501649</v>
      </c>
      <c r="B122" s="110" t="s">
        <v>141</v>
      </c>
      <c r="C122" s="110">
        <v>501649</v>
      </c>
      <c r="D122" s="58" t="s">
        <v>226</v>
      </c>
      <c r="E122" s="58" t="s">
        <v>299</v>
      </c>
    </row>
    <row r="123" spans="1:5" x14ac:dyDescent="0.25">
      <c r="A123" s="110">
        <v>501647</v>
      </c>
      <c r="B123" s="110" t="s">
        <v>142</v>
      </c>
      <c r="C123" s="110">
        <v>501647</v>
      </c>
      <c r="D123" s="58" t="s">
        <v>224</v>
      </c>
      <c r="E123" s="58" t="s">
        <v>299</v>
      </c>
    </row>
    <row r="124" spans="1:5" x14ac:dyDescent="0.25">
      <c r="A124" s="110">
        <v>501648</v>
      </c>
      <c r="B124" s="110" t="s">
        <v>143</v>
      </c>
      <c r="C124" s="110">
        <v>501648</v>
      </c>
      <c r="D124" s="58" t="s">
        <v>224</v>
      </c>
      <c r="E124" s="58" t="s">
        <v>224</v>
      </c>
    </row>
    <row r="125" spans="1:5" x14ac:dyDescent="0.25">
      <c r="A125" s="110">
        <v>490833</v>
      </c>
      <c r="B125" s="110" t="s">
        <v>144</v>
      </c>
      <c r="C125" s="110">
        <v>490833</v>
      </c>
      <c r="D125" s="58" t="s">
        <v>99</v>
      </c>
      <c r="E125" s="58" t="s">
        <v>298</v>
      </c>
    </row>
    <row r="126" spans="1:5" x14ac:dyDescent="0.25">
      <c r="A126" s="110">
        <v>379708</v>
      </c>
      <c r="B126" s="110" t="s">
        <v>145</v>
      </c>
      <c r="C126" s="110">
        <v>379708</v>
      </c>
      <c r="D126" s="58" t="s">
        <v>99</v>
      </c>
      <c r="E126" s="58" t="s">
        <v>298</v>
      </c>
    </row>
    <row r="127" spans="1:5" x14ac:dyDescent="0.25">
      <c r="A127" s="110">
        <v>432336</v>
      </c>
      <c r="B127" s="110" t="s">
        <v>146</v>
      </c>
      <c r="C127" s="110">
        <v>432336</v>
      </c>
      <c r="D127" s="58" t="s">
        <v>99</v>
      </c>
      <c r="E127" s="58" t="s">
        <v>298</v>
      </c>
    </row>
    <row r="128" spans="1:5" x14ac:dyDescent="0.25">
      <c r="A128" s="110">
        <v>392978</v>
      </c>
      <c r="B128" s="110" t="s">
        <v>147</v>
      </c>
      <c r="C128" s="110">
        <v>392978</v>
      </c>
      <c r="D128" s="58" t="s">
        <v>99</v>
      </c>
      <c r="E128" s="58" t="s">
        <v>298</v>
      </c>
    </row>
    <row r="129" spans="1:5" x14ac:dyDescent="0.25">
      <c r="A129" s="110">
        <v>350915</v>
      </c>
      <c r="B129" s="110" t="s">
        <v>148</v>
      </c>
      <c r="C129" s="110">
        <v>350915</v>
      </c>
      <c r="D129" s="58" t="s">
        <v>222</v>
      </c>
      <c r="E129" s="58" t="s">
        <v>298</v>
      </c>
    </row>
    <row r="130" spans="1:5" x14ac:dyDescent="0.25">
      <c r="A130" s="110">
        <v>412004</v>
      </c>
      <c r="B130" s="110" t="s">
        <v>149</v>
      </c>
      <c r="C130" s="110">
        <v>412004</v>
      </c>
      <c r="D130" s="58" t="s">
        <v>338</v>
      </c>
      <c r="E130" s="58" t="s">
        <v>299</v>
      </c>
    </row>
    <row r="131" spans="1:5" x14ac:dyDescent="0.25">
      <c r="A131" s="110">
        <v>395426</v>
      </c>
      <c r="B131" s="110" t="s">
        <v>150</v>
      </c>
      <c r="C131" s="110">
        <v>395426</v>
      </c>
      <c r="D131" s="58" t="s">
        <v>224</v>
      </c>
      <c r="E131" s="58" t="s">
        <v>299</v>
      </c>
    </row>
    <row r="132" spans="1:5" x14ac:dyDescent="0.25">
      <c r="A132" s="110">
        <v>420426</v>
      </c>
      <c r="B132" s="110" t="s">
        <v>151</v>
      </c>
      <c r="C132" s="110">
        <v>420426</v>
      </c>
      <c r="D132" s="58" t="s">
        <v>98</v>
      </c>
      <c r="E132" s="58" t="s">
        <v>298</v>
      </c>
    </row>
    <row r="133" spans="1:5" x14ac:dyDescent="0.25">
      <c r="A133" s="110">
        <v>292411</v>
      </c>
      <c r="B133" s="110" t="s">
        <v>152</v>
      </c>
      <c r="C133" s="110">
        <v>292411</v>
      </c>
      <c r="D133" s="58" t="s">
        <v>224</v>
      </c>
      <c r="E133" s="58" t="s">
        <v>224</v>
      </c>
    </row>
    <row r="134" spans="1:5" x14ac:dyDescent="0.25">
      <c r="A134" s="110">
        <v>333148</v>
      </c>
      <c r="B134" s="110" t="s">
        <v>153</v>
      </c>
      <c r="C134" s="110">
        <v>333148</v>
      </c>
      <c r="D134" s="58" t="s">
        <v>271</v>
      </c>
      <c r="E134" s="58" t="s">
        <v>299</v>
      </c>
    </row>
    <row r="135" spans="1:5" x14ac:dyDescent="0.25">
      <c r="A135" s="110">
        <v>436396</v>
      </c>
      <c r="B135" s="110" t="s">
        <v>154</v>
      </c>
      <c r="C135" s="110">
        <v>436396</v>
      </c>
      <c r="D135" s="58" t="s">
        <v>222</v>
      </c>
      <c r="E135" s="58" t="s">
        <v>298</v>
      </c>
    </row>
    <row r="136" spans="1:5" x14ac:dyDescent="0.25">
      <c r="A136" s="110">
        <v>268749</v>
      </c>
      <c r="B136" s="110" t="s">
        <v>155</v>
      </c>
      <c r="C136" s="110">
        <v>268749</v>
      </c>
      <c r="D136" s="58" t="s">
        <v>224</v>
      </c>
      <c r="E136" s="58" t="s">
        <v>298</v>
      </c>
    </row>
    <row r="137" spans="1:5" x14ac:dyDescent="0.25">
      <c r="A137" s="110">
        <v>304429</v>
      </c>
      <c r="B137" s="110" t="s">
        <v>156</v>
      </c>
      <c r="C137" s="110">
        <v>304429</v>
      </c>
      <c r="D137" s="58" t="s">
        <v>226</v>
      </c>
      <c r="E137" s="58" t="s">
        <v>299</v>
      </c>
    </row>
    <row r="138" spans="1:5" x14ac:dyDescent="0.25">
      <c r="A138" s="110">
        <v>267363</v>
      </c>
      <c r="B138" s="110" t="s">
        <v>157</v>
      </c>
      <c r="C138" s="110">
        <v>267363</v>
      </c>
      <c r="D138" s="58" t="s">
        <v>338</v>
      </c>
      <c r="E138" s="58" t="s">
        <v>299</v>
      </c>
    </row>
    <row r="139" spans="1:5" x14ac:dyDescent="0.25">
      <c r="A139" s="110">
        <v>303788</v>
      </c>
      <c r="B139" s="110" t="s">
        <v>158</v>
      </c>
      <c r="C139" s="110">
        <v>303788</v>
      </c>
      <c r="D139" s="58" t="s">
        <v>226</v>
      </c>
      <c r="E139" s="58" t="s">
        <v>299</v>
      </c>
    </row>
    <row r="140" spans="1:5" x14ac:dyDescent="0.25">
      <c r="A140" s="110">
        <v>353934</v>
      </c>
      <c r="B140" s="110" t="s">
        <v>159</v>
      </c>
      <c r="C140" s="110">
        <v>353934</v>
      </c>
      <c r="D140" s="58" t="s">
        <v>224</v>
      </c>
      <c r="E140" s="58" t="s">
        <v>224</v>
      </c>
    </row>
    <row r="141" spans="1:5" x14ac:dyDescent="0.25">
      <c r="A141" s="110">
        <v>379749</v>
      </c>
      <c r="B141" s="110" t="s">
        <v>160</v>
      </c>
      <c r="C141" s="110">
        <v>379749</v>
      </c>
      <c r="D141" s="58" t="s">
        <v>224</v>
      </c>
      <c r="E141" s="58" t="s">
        <v>299</v>
      </c>
    </row>
    <row r="142" spans="1:5" x14ac:dyDescent="0.25">
      <c r="A142" s="110">
        <v>455687</v>
      </c>
      <c r="B142" s="110" t="s">
        <v>161</v>
      </c>
      <c r="C142" s="110">
        <v>455687</v>
      </c>
      <c r="D142" s="58" t="s">
        <v>224</v>
      </c>
      <c r="E142" s="58" t="s">
        <v>299</v>
      </c>
    </row>
    <row r="143" spans="1:5" x14ac:dyDescent="0.25">
      <c r="A143" s="110">
        <v>299549</v>
      </c>
      <c r="B143" s="110" t="s">
        <v>162</v>
      </c>
      <c r="C143" s="110">
        <v>299549</v>
      </c>
      <c r="D143" s="58" t="s">
        <v>338</v>
      </c>
      <c r="E143" s="58" t="s">
        <v>299</v>
      </c>
    </row>
    <row r="144" spans="1:5" x14ac:dyDescent="0.25">
      <c r="A144" s="110">
        <v>482680</v>
      </c>
      <c r="B144" s="110" t="s">
        <v>163</v>
      </c>
      <c r="C144" s="110">
        <v>482680</v>
      </c>
      <c r="D144" s="58" t="s">
        <v>98</v>
      </c>
      <c r="E144" s="58" t="s">
        <v>298</v>
      </c>
    </row>
    <row r="145" spans="1:5" x14ac:dyDescent="0.25">
      <c r="A145" s="110">
        <v>269181</v>
      </c>
      <c r="B145" s="110" t="s">
        <v>164</v>
      </c>
      <c r="C145" s="110">
        <v>269181</v>
      </c>
      <c r="D145" s="58" t="s">
        <v>338</v>
      </c>
      <c r="E145" s="58" t="s">
        <v>299</v>
      </c>
    </row>
    <row r="146" spans="1:5" x14ac:dyDescent="0.25">
      <c r="A146" s="110">
        <v>260187</v>
      </c>
      <c r="B146" s="110" t="s">
        <v>165</v>
      </c>
      <c r="C146" s="110">
        <v>260187</v>
      </c>
      <c r="D146" s="58" t="s">
        <v>226</v>
      </c>
      <c r="E146" s="58" t="s">
        <v>299</v>
      </c>
    </row>
    <row r="147" spans="1:5" x14ac:dyDescent="0.25">
      <c r="A147" s="122">
        <v>486339</v>
      </c>
      <c r="B147" s="122" t="s">
        <v>123</v>
      </c>
      <c r="C147" s="122">
        <v>486339</v>
      </c>
      <c r="D147" s="58" t="s">
        <v>224</v>
      </c>
      <c r="E147" s="58" t="s">
        <v>299</v>
      </c>
    </row>
    <row r="148" spans="1:5" x14ac:dyDescent="0.25">
      <c r="A148" s="122">
        <v>486330</v>
      </c>
      <c r="B148" s="122" t="s">
        <v>122</v>
      </c>
      <c r="C148" s="122">
        <v>486330</v>
      </c>
      <c r="D148" s="58" t="s">
        <v>227</v>
      </c>
      <c r="E148" s="58" t="s">
        <v>299</v>
      </c>
    </row>
    <row r="149" spans="1:5" x14ac:dyDescent="0.25">
      <c r="A149" s="122">
        <v>418220</v>
      </c>
      <c r="B149" s="122" t="s">
        <v>117</v>
      </c>
      <c r="C149" s="122">
        <v>418220</v>
      </c>
      <c r="D149" s="58" t="s">
        <v>227</v>
      </c>
      <c r="E149" s="58" t="s">
        <v>299</v>
      </c>
    </row>
    <row r="150" spans="1:5" x14ac:dyDescent="0.25">
      <c r="A150" s="122">
        <v>418119</v>
      </c>
      <c r="B150" s="122" t="s">
        <v>118</v>
      </c>
      <c r="C150" s="122">
        <v>418119</v>
      </c>
      <c r="D150" s="58" t="s">
        <v>224</v>
      </c>
      <c r="E150" s="58" t="s">
        <v>299</v>
      </c>
    </row>
    <row r="151" spans="1:5" x14ac:dyDescent="0.25">
      <c r="A151" s="122">
        <v>337918</v>
      </c>
      <c r="B151" s="122" t="s">
        <v>119</v>
      </c>
      <c r="C151" s="122">
        <v>337918</v>
      </c>
      <c r="D151" s="58" t="s">
        <v>224</v>
      </c>
      <c r="E151" s="58" t="s">
        <v>299</v>
      </c>
    </row>
    <row r="152" spans="1:5" x14ac:dyDescent="0.25">
      <c r="A152" s="122">
        <v>337792</v>
      </c>
      <c r="B152" s="122" t="s">
        <v>121</v>
      </c>
      <c r="C152" s="122">
        <v>337792</v>
      </c>
      <c r="D152" s="58" t="s">
        <v>224</v>
      </c>
      <c r="E152" s="58" t="s">
        <v>299</v>
      </c>
    </row>
    <row r="153" spans="1:5" x14ac:dyDescent="0.25">
      <c r="A153" s="122">
        <v>270974</v>
      </c>
      <c r="B153" s="122" t="s">
        <v>120</v>
      </c>
      <c r="C153" s="122">
        <v>270974</v>
      </c>
      <c r="D153" s="58" t="s">
        <v>227</v>
      </c>
      <c r="E153" s="58" t="s">
        <v>299</v>
      </c>
    </row>
    <row r="154" spans="1:5" x14ac:dyDescent="0.25">
      <c r="A154" s="122">
        <v>505819</v>
      </c>
      <c r="B154" s="122" t="s">
        <v>194</v>
      </c>
      <c r="C154" s="122">
        <v>505819</v>
      </c>
      <c r="D154" s="58" t="s">
        <v>224</v>
      </c>
      <c r="E154" s="58" t="s">
        <v>299</v>
      </c>
    </row>
    <row r="155" spans="1:5" x14ac:dyDescent="0.25">
      <c r="A155" s="122">
        <v>505820</v>
      </c>
      <c r="B155" s="122" t="s">
        <v>195</v>
      </c>
      <c r="C155" s="122">
        <v>505820</v>
      </c>
      <c r="D155" s="58" t="s">
        <v>224</v>
      </c>
      <c r="E155" s="58" t="s">
        <v>224</v>
      </c>
    </row>
    <row r="156" spans="1:5" x14ac:dyDescent="0.25">
      <c r="A156" s="122">
        <v>505821</v>
      </c>
      <c r="B156" s="122" t="s">
        <v>261</v>
      </c>
      <c r="C156" s="122">
        <v>505821</v>
      </c>
      <c r="D156" s="58" t="s">
        <v>224</v>
      </c>
      <c r="E156" s="58" t="s">
        <v>299</v>
      </c>
    </row>
    <row r="157" spans="1:5" x14ac:dyDescent="0.25">
      <c r="A157" s="122">
        <v>505815</v>
      </c>
      <c r="B157" s="122" t="s">
        <v>196</v>
      </c>
      <c r="C157" s="122">
        <v>505815</v>
      </c>
      <c r="D157" s="58" t="s">
        <v>224</v>
      </c>
      <c r="E157" s="58" t="s">
        <v>224</v>
      </c>
    </row>
    <row r="158" spans="1:5" x14ac:dyDescent="0.25">
      <c r="A158" s="122">
        <v>505825</v>
      </c>
      <c r="B158" s="122" t="s">
        <v>197</v>
      </c>
      <c r="C158" s="122">
        <v>505825</v>
      </c>
      <c r="D158" s="58" t="s">
        <v>224</v>
      </c>
      <c r="E158" s="58" t="s">
        <v>224</v>
      </c>
    </row>
    <row r="159" spans="1:5" x14ac:dyDescent="0.25">
      <c r="A159" s="122">
        <v>505816</v>
      </c>
      <c r="B159" s="122" t="s">
        <v>263</v>
      </c>
      <c r="C159" s="122">
        <v>505816</v>
      </c>
      <c r="D159" s="58" t="s">
        <v>223</v>
      </c>
      <c r="E159" s="58" t="s">
        <v>299</v>
      </c>
    </row>
    <row r="160" spans="1:5" x14ac:dyDescent="0.25">
      <c r="A160" s="122">
        <v>505860</v>
      </c>
      <c r="B160" s="122" t="s">
        <v>198</v>
      </c>
      <c r="C160" s="122">
        <v>505860</v>
      </c>
      <c r="D160" s="58" t="s">
        <v>226</v>
      </c>
      <c r="E160" s="58" t="s">
        <v>299</v>
      </c>
    </row>
    <row r="161" spans="1:5" x14ac:dyDescent="0.25">
      <c r="A161" s="122">
        <v>505861</v>
      </c>
      <c r="B161" s="122" t="s">
        <v>199</v>
      </c>
      <c r="C161" s="122">
        <v>505861</v>
      </c>
      <c r="D161" s="58" t="s">
        <v>224</v>
      </c>
      <c r="E161" s="58" t="s">
        <v>299</v>
      </c>
    </row>
    <row r="162" spans="1:5" x14ac:dyDescent="0.25">
      <c r="A162" s="122">
        <v>505867</v>
      </c>
      <c r="B162" s="122" t="s">
        <v>200</v>
      </c>
      <c r="C162" s="122">
        <v>505867</v>
      </c>
      <c r="D162" s="58" t="s">
        <v>224</v>
      </c>
      <c r="E162" s="58" t="s">
        <v>224</v>
      </c>
    </row>
    <row r="163" spans="1:5" x14ac:dyDescent="0.25">
      <c r="A163" s="122">
        <v>505862</v>
      </c>
      <c r="B163" s="122" t="s">
        <v>264</v>
      </c>
      <c r="C163" s="122">
        <v>505862</v>
      </c>
      <c r="D163" s="58" t="s">
        <v>224</v>
      </c>
      <c r="E163" s="58" t="s">
        <v>224</v>
      </c>
    </row>
    <row r="164" spans="1:5" x14ac:dyDescent="0.25">
      <c r="A164" s="122">
        <v>505863</v>
      </c>
      <c r="B164" s="122" t="s">
        <v>201</v>
      </c>
      <c r="C164" s="122">
        <v>505863</v>
      </c>
      <c r="D164" s="58" t="s">
        <v>224</v>
      </c>
      <c r="E164" s="58" t="s">
        <v>224</v>
      </c>
    </row>
    <row r="165" spans="1:5" x14ac:dyDescent="0.25">
      <c r="A165" s="122">
        <v>505868</v>
      </c>
      <c r="B165" s="122" t="s">
        <v>202</v>
      </c>
      <c r="C165" s="122">
        <v>505868</v>
      </c>
      <c r="D165" s="58" t="s">
        <v>224</v>
      </c>
      <c r="E165" s="58" t="s">
        <v>299</v>
      </c>
    </row>
    <row r="166" spans="1:5" x14ac:dyDescent="0.25">
      <c r="A166" s="122">
        <v>505987</v>
      </c>
      <c r="B166" s="122" t="s">
        <v>260</v>
      </c>
      <c r="C166" s="122">
        <v>505987</v>
      </c>
      <c r="D166" s="58" t="s">
        <v>224</v>
      </c>
      <c r="E166" s="58" t="s">
        <v>299</v>
      </c>
    </row>
    <row r="167" spans="1:5" x14ac:dyDescent="0.25">
      <c r="A167" s="122">
        <v>506049</v>
      </c>
      <c r="B167" s="122" t="s">
        <v>262</v>
      </c>
      <c r="C167" s="122">
        <v>506049</v>
      </c>
      <c r="D167" s="58" t="s">
        <v>224</v>
      </c>
      <c r="E167" s="58" t="s">
        <v>369</v>
      </c>
    </row>
    <row r="168" spans="1:5" x14ac:dyDescent="0.25">
      <c r="A168" s="122">
        <v>436997</v>
      </c>
      <c r="B168" s="122" t="s">
        <v>203</v>
      </c>
      <c r="C168" s="122">
        <v>436997</v>
      </c>
      <c r="D168" s="58" t="s">
        <v>224</v>
      </c>
      <c r="E168" s="58" t="s">
        <v>299</v>
      </c>
    </row>
    <row r="169" spans="1:5" x14ac:dyDescent="0.25">
      <c r="A169" s="122">
        <v>291678</v>
      </c>
      <c r="B169" s="122" t="s">
        <v>204</v>
      </c>
      <c r="C169" s="122">
        <v>291678</v>
      </c>
      <c r="D169" s="58" t="s">
        <v>338</v>
      </c>
      <c r="E169" s="58" t="s">
        <v>299</v>
      </c>
    </row>
    <row r="170" spans="1:5" x14ac:dyDescent="0.25">
      <c r="A170" s="122">
        <v>437158</v>
      </c>
      <c r="B170" s="122" t="s">
        <v>205</v>
      </c>
      <c r="C170" s="122">
        <v>437158</v>
      </c>
      <c r="D170" s="58" t="s">
        <v>224</v>
      </c>
      <c r="E170" s="58" t="s">
        <v>299</v>
      </c>
    </row>
    <row r="171" spans="1:5" x14ac:dyDescent="0.25">
      <c r="A171" s="122">
        <v>306371</v>
      </c>
      <c r="B171" s="122" t="s">
        <v>206</v>
      </c>
      <c r="C171" s="122">
        <v>306371</v>
      </c>
      <c r="D171" s="58" t="s">
        <v>338</v>
      </c>
      <c r="E171" s="58" t="s">
        <v>299</v>
      </c>
    </row>
    <row r="172" spans="1:5" x14ac:dyDescent="0.25">
      <c r="A172" s="122">
        <v>380247</v>
      </c>
      <c r="B172" s="122" t="s">
        <v>207</v>
      </c>
      <c r="C172" s="122">
        <v>380247</v>
      </c>
      <c r="D172" s="58" t="s">
        <v>99</v>
      </c>
      <c r="E172" s="58" t="s">
        <v>298</v>
      </c>
    </row>
    <row r="173" spans="1:5" x14ac:dyDescent="0.25">
      <c r="A173" s="122">
        <v>346155</v>
      </c>
      <c r="B173" s="122" t="s">
        <v>208</v>
      </c>
      <c r="C173" s="122">
        <v>346155</v>
      </c>
      <c r="D173" s="58" t="s">
        <v>224</v>
      </c>
      <c r="E173" s="58" t="s">
        <v>299</v>
      </c>
    </row>
    <row r="174" spans="1:5" x14ac:dyDescent="0.25">
      <c r="A174" s="122">
        <v>339582</v>
      </c>
      <c r="B174" s="122" t="s">
        <v>209</v>
      </c>
      <c r="C174" s="122">
        <v>339582</v>
      </c>
      <c r="D174" s="58" t="s">
        <v>99</v>
      </c>
      <c r="E174" s="58" t="s">
        <v>298</v>
      </c>
    </row>
    <row r="175" spans="1:5" x14ac:dyDescent="0.25">
      <c r="A175" s="122">
        <v>509087</v>
      </c>
      <c r="B175" s="122" t="s">
        <v>210</v>
      </c>
      <c r="C175" s="122">
        <v>509087</v>
      </c>
      <c r="D175" s="58" t="s">
        <v>223</v>
      </c>
      <c r="E175" s="58" t="s">
        <v>299</v>
      </c>
    </row>
    <row r="176" spans="1:5" x14ac:dyDescent="0.25">
      <c r="A176" s="122">
        <v>509120</v>
      </c>
      <c r="B176" s="122" t="s">
        <v>211</v>
      </c>
      <c r="C176" s="122">
        <v>509120</v>
      </c>
      <c r="D176" s="58" t="s">
        <v>224</v>
      </c>
      <c r="E176" s="58" t="s">
        <v>224</v>
      </c>
    </row>
    <row r="177" spans="1:5" x14ac:dyDescent="0.25">
      <c r="A177" s="122">
        <v>509094</v>
      </c>
      <c r="B177" s="122" t="s">
        <v>212</v>
      </c>
      <c r="C177" s="122">
        <v>509094</v>
      </c>
      <c r="D177" s="58" t="s">
        <v>224</v>
      </c>
      <c r="E177" s="58" t="s">
        <v>224</v>
      </c>
    </row>
    <row r="178" spans="1:5" x14ac:dyDescent="0.25">
      <c r="A178" s="122">
        <v>509089</v>
      </c>
      <c r="B178" s="122" t="s">
        <v>213</v>
      </c>
      <c r="C178" s="122">
        <v>509089</v>
      </c>
      <c r="D178" s="58" t="s">
        <v>272</v>
      </c>
      <c r="E178" s="58" t="s">
        <v>299</v>
      </c>
    </row>
    <row r="179" spans="1:5" x14ac:dyDescent="0.25">
      <c r="A179" s="122">
        <v>509095</v>
      </c>
      <c r="B179" s="122" t="s">
        <v>265</v>
      </c>
      <c r="C179" s="122">
        <v>509095</v>
      </c>
      <c r="D179" s="58" t="s">
        <v>226</v>
      </c>
      <c r="E179" s="58" t="s">
        <v>299</v>
      </c>
    </row>
    <row r="180" spans="1:5" x14ac:dyDescent="0.25">
      <c r="A180" s="122">
        <v>509090</v>
      </c>
      <c r="B180" s="122" t="s">
        <v>214</v>
      </c>
      <c r="C180" s="122">
        <v>509090</v>
      </c>
      <c r="D180" s="58" t="s">
        <v>224</v>
      </c>
      <c r="E180" s="58" t="s">
        <v>224</v>
      </c>
    </row>
    <row r="181" spans="1:5" x14ac:dyDescent="0.25">
      <c r="A181" s="122">
        <v>509092</v>
      </c>
      <c r="B181" s="122" t="s">
        <v>215</v>
      </c>
      <c r="C181" s="122">
        <v>509092</v>
      </c>
      <c r="D181" s="58" t="s">
        <v>272</v>
      </c>
      <c r="E181" s="58" t="s">
        <v>299</v>
      </c>
    </row>
    <row r="182" spans="1:5" x14ac:dyDescent="0.25">
      <c r="A182" s="122">
        <v>509096</v>
      </c>
      <c r="B182" s="122" t="s">
        <v>216</v>
      </c>
      <c r="C182" s="122">
        <v>509096</v>
      </c>
      <c r="D182" s="58" t="s">
        <v>223</v>
      </c>
      <c r="E182" s="58" t="s">
        <v>299</v>
      </c>
    </row>
    <row r="183" spans="1:5" x14ac:dyDescent="0.25">
      <c r="A183" s="122">
        <v>509091</v>
      </c>
      <c r="B183" s="122" t="s">
        <v>266</v>
      </c>
      <c r="C183" s="122">
        <v>509091</v>
      </c>
      <c r="D183" s="58" t="s">
        <v>224</v>
      </c>
      <c r="E183" s="58" t="s">
        <v>224</v>
      </c>
    </row>
    <row r="184" spans="1:5" x14ac:dyDescent="0.25">
      <c r="A184" s="122">
        <v>509093</v>
      </c>
      <c r="B184" s="122" t="s">
        <v>267</v>
      </c>
      <c r="C184" s="122">
        <v>509093</v>
      </c>
      <c r="D184" s="58" t="s">
        <v>224</v>
      </c>
      <c r="E184" s="58" t="s">
        <v>224</v>
      </c>
    </row>
    <row r="185" spans="1:5" x14ac:dyDescent="0.25">
      <c r="A185" s="122">
        <v>509088</v>
      </c>
      <c r="B185" s="122" t="s">
        <v>217</v>
      </c>
      <c r="C185" s="122">
        <v>509088</v>
      </c>
      <c r="D185" s="58" t="s">
        <v>224</v>
      </c>
      <c r="E185" s="58" t="s">
        <v>224</v>
      </c>
    </row>
    <row r="186" spans="1:5" x14ac:dyDescent="0.25">
      <c r="A186" s="122">
        <v>509186</v>
      </c>
      <c r="B186" s="122" t="s">
        <v>218</v>
      </c>
      <c r="C186" s="122">
        <v>509186</v>
      </c>
      <c r="D186" s="58" t="s">
        <v>272</v>
      </c>
      <c r="E186" s="58" t="s">
        <v>299</v>
      </c>
    </row>
    <row r="187" spans="1:5" x14ac:dyDescent="0.25">
      <c r="A187" s="122">
        <v>509187</v>
      </c>
      <c r="B187" s="122" t="s">
        <v>219</v>
      </c>
      <c r="C187" s="122">
        <v>509187</v>
      </c>
      <c r="D187" s="58" t="s">
        <v>224</v>
      </c>
      <c r="E187" s="58" t="s">
        <v>224</v>
      </c>
    </row>
    <row r="188" spans="1:5" x14ac:dyDescent="0.25">
      <c r="A188" s="122">
        <v>509193</v>
      </c>
      <c r="B188" s="122" t="s">
        <v>268</v>
      </c>
      <c r="C188" s="122">
        <v>509193</v>
      </c>
      <c r="D188" s="58" t="s">
        <v>224</v>
      </c>
      <c r="E188" s="58" t="s">
        <v>224</v>
      </c>
    </row>
    <row r="189" spans="1:5" x14ac:dyDescent="0.25">
      <c r="A189" s="122">
        <v>509282</v>
      </c>
      <c r="B189" s="122" t="s">
        <v>220</v>
      </c>
      <c r="C189" s="122">
        <v>509282</v>
      </c>
      <c r="D189" s="58" t="s">
        <v>224</v>
      </c>
      <c r="E189" s="58" t="s">
        <v>224</v>
      </c>
    </row>
    <row r="190" spans="1:5" x14ac:dyDescent="0.25">
      <c r="A190" s="122">
        <v>509284</v>
      </c>
      <c r="B190" s="122" t="s">
        <v>221</v>
      </c>
      <c r="C190" s="122">
        <v>509284</v>
      </c>
      <c r="D190" s="58" t="s">
        <v>272</v>
      </c>
      <c r="E190" s="58" t="s">
        <v>299</v>
      </c>
    </row>
    <row r="191" spans="1:5" x14ac:dyDescent="0.25">
      <c r="A191" s="122">
        <v>509285</v>
      </c>
      <c r="B191" s="122" t="s">
        <v>269</v>
      </c>
      <c r="C191" s="122">
        <v>509285</v>
      </c>
      <c r="D191" s="58" t="s">
        <v>224</v>
      </c>
      <c r="E191" s="58" t="s">
        <v>224</v>
      </c>
    </row>
    <row r="192" spans="1:5" x14ac:dyDescent="0.25">
      <c r="A192" s="122">
        <v>509283</v>
      </c>
      <c r="B192" s="122" t="s">
        <v>270</v>
      </c>
      <c r="C192" s="122">
        <v>509283</v>
      </c>
      <c r="D192" s="58" t="s">
        <v>224</v>
      </c>
      <c r="E192" s="58" t="s">
        <v>224</v>
      </c>
    </row>
    <row r="193" spans="1:5" x14ac:dyDescent="0.25">
      <c r="A193" s="122">
        <v>509377</v>
      </c>
      <c r="B193" s="122" t="s">
        <v>228</v>
      </c>
      <c r="C193" s="122">
        <v>509377</v>
      </c>
      <c r="D193" s="58" t="s">
        <v>226</v>
      </c>
      <c r="E193" s="58" t="s">
        <v>299</v>
      </c>
    </row>
    <row r="194" spans="1:5" x14ac:dyDescent="0.25">
      <c r="A194" s="122">
        <v>509378</v>
      </c>
      <c r="B194" s="122" t="s">
        <v>229</v>
      </c>
      <c r="C194" s="122">
        <v>509378</v>
      </c>
      <c r="D194" s="58" t="s">
        <v>223</v>
      </c>
      <c r="E194" s="58" t="s">
        <v>299</v>
      </c>
    </row>
    <row r="195" spans="1:5" x14ac:dyDescent="0.25">
      <c r="A195" s="122">
        <v>509379</v>
      </c>
      <c r="B195" s="122" t="s">
        <v>230</v>
      </c>
      <c r="C195" s="122">
        <v>509379</v>
      </c>
      <c r="D195" s="58" t="s">
        <v>272</v>
      </c>
      <c r="E195" s="58" t="s">
        <v>299</v>
      </c>
    </row>
    <row r="196" spans="1:5" x14ac:dyDescent="0.25">
      <c r="A196" s="122">
        <v>509374</v>
      </c>
      <c r="B196" s="122" t="s">
        <v>231</v>
      </c>
      <c r="C196" s="122">
        <v>509374</v>
      </c>
      <c r="D196" s="58" t="s">
        <v>271</v>
      </c>
      <c r="E196" s="58" t="s">
        <v>299</v>
      </c>
    </row>
    <row r="197" spans="1:5" x14ac:dyDescent="0.25">
      <c r="A197" s="122">
        <v>509445</v>
      </c>
      <c r="B197" s="122" t="s">
        <v>232</v>
      </c>
      <c r="C197" s="122">
        <v>509445</v>
      </c>
      <c r="D197" s="58" t="s">
        <v>271</v>
      </c>
      <c r="E197" s="58" t="s">
        <v>299</v>
      </c>
    </row>
    <row r="198" spans="1:5" x14ac:dyDescent="0.25">
      <c r="A198" s="122">
        <v>509525</v>
      </c>
      <c r="B198" s="122" t="s">
        <v>233</v>
      </c>
      <c r="C198" s="122">
        <v>509525</v>
      </c>
      <c r="D198" s="58" t="s">
        <v>223</v>
      </c>
      <c r="E198" s="58" t="s">
        <v>299</v>
      </c>
    </row>
    <row r="199" spans="1:5" x14ac:dyDescent="0.25">
      <c r="A199" s="122">
        <v>509521</v>
      </c>
      <c r="B199" s="122" t="s">
        <v>234</v>
      </c>
      <c r="C199" s="122">
        <v>509521</v>
      </c>
      <c r="D199" s="58" t="s">
        <v>272</v>
      </c>
      <c r="E199" s="58" t="s">
        <v>299</v>
      </c>
    </row>
    <row r="200" spans="1:5" x14ac:dyDescent="0.25">
      <c r="A200" s="122">
        <v>509526</v>
      </c>
      <c r="B200" s="122" t="s">
        <v>235</v>
      </c>
      <c r="C200" s="122">
        <v>509526</v>
      </c>
      <c r="D200" s="58" t="s">
        <v>271</v>
      </c>
      <c r="E200" s="58" t="s">
        <v>299</v>
      </c>
    </row>
    <row r="201" spans="1:5" x14ac:dyDescent="0.25">
      <c r="A201" s="122">
        <v>509708</v>
      </c>
      <c r="B201" s="122" t="s">
        <v>236</v>
      </c>
      <c r="C201" s="122">
        <v>509708</v>
      </c>
      <c r="D201" s="58" t="s">
        <v>223</v>
      </c>
      <c r="E201" s="58" t="s">
        <v>299</v>
      </c>
    </row>
    <row r="202" spans="1:5" x14ac:dyDescent="0.25">
      <c r="A202" s="122">
        <v>509520</v>
      </c>
      <c r="B202" s="122" t="s">
        <v>237</v>
      </c>
      <c r="C202" s="122">
        <v>509520</v>
      </c>
      <c r="D202" s="58" t="s">
        <v>224</v>
      </c>
      <c r="E202" s="58" t="s">
        <v>299</v>
      </c>
    </row>
    <row r="203" spans="1:5" x14ac:dyDescent="0.25">
      <c r="A203" s="122">
        <v>509375</v>
      </c>
      <c r="B203" s="122" t="s">
        <v>238</v>
      </c>
      <c r="C203" s="122">
        <v>509375</v>
      </c>
      <c r="D203" s="58" t="s">
        <v>224</v>
      </c>
      <c r="E203" s="58" t="s">
        <v>224</v>
      </c>
    </row>
    <row r="204" spans="1:5" x14ac:dyDescent="0.25">
      <c r="A204" s="122">
        <v>509628</v>
      </c>
      <c r="B204" s="122" t="s">
        <v>239</v>
      </c>
      <c r="C204" s="122">
        <v>509628</v>
      </c>
      <c r="D204" s="58" t="s">
        <v>271</v>
      </c>
      <c r="E204" s="58" t="s">
        <v>299</v>
      </c>
    </row>
    <row r="205" spans="1:5" x14ac:dyDescent="0.25">
      <c r="A205" s="122">
        <v>510236</v>
      </c>
      <c r="B205" s="122" t="s">
        <v>240</v>
      </c>
      <c r="C205" s="122">
        <v>510236</v>
      </c>
      <c r="D205" s="58" t="s">
        <v>272</v>
      </c>
      <c r="E205" s="58" t="s">
        <v>299</v>
      </c>
    </row>
    <row r="206" spans="1:5" x14ac:dyDescent="0.25">
      <c r="A206" s="122">
        <v>510231</v>
      </c>
      <c r="B206" s="122" t="s">
        <v>241</v>
      </c>
      <c r="C206" s="122">
        <v>510231</v>
      </c>
      <c r="D206" s="58" t="s">
        <v>224</v>
      </c>
      <c r="E206" s="58" t="s">
        <v>299</v>
      </c>
    </row>
    <row r="207" spans="1:5" x14ac:dyDescent="0.25">
      <c r="A207" s="122">
        <v>510235</v>
      </c>
      <c r="B207" s="122" t="s">
        <v>242</v>
      </c>
      <c r="C207" s="122">
        <v>510235</v>
      </c>
      <c r="D207" s="58" t="s">
        <v>224</v>
      </c>
      <c r="E207" s="58" t="s">
        <v>224</v>
      </c>
    </row>
    <row r="208" spans="1:5" x14ac:dyDescent="0.25">
      <c r="A208" s="122">
        <v>510234</v>
      </c>
      <c r="B208" s="122" t="s">
        <v>243</v>
      </c>
      <c r="C208" s="122">
        <v>510234</v>
      </c>
      <c r="D208" s="58" t="s">
        <v>272</v>
      </c>
      <c r="E208" s="58" t="s">
        <v>299</v>
      </c>
    </row>
    <row r="209" spans="1:5" x14ac:dyDescent="0.25">
      <c r="A209" s="122">
        <v>510233</v>
      </c>
      <c r="B209" s="122" t="s">
        <v>244</v>
      </c>
      <c r="C209" s="122">
        <v>510233</v>
      </c>
      <c r="D209" s="58" t="s">
        <v>272</v>
      </c>
      <c r="E209" s="58" t="s">
        <v>299</v>
      </c>
    </row>
    <row r="210" spans="1:5" x14ac:dyDescent="0.25">
      <c r="A210" s="122">
        <v>510225</v>
      </c>
      <c r="B210" s="122" t="s">
        <v>245</v>
      </c>
      <c r="C210" s="122">
        <v>510225</v>
      </c>
      <c r="D210" s="58" t="s">
        <v>272</v>
      </c>
      <c r="E210" s="58" t="s">
        <v>299</v>
      </c>
    </row>
    <row r="211" spans="1:5" x14ac:dyDescent="0.25">
      <c r="A211" s="122">
        <v>510248</v>
      </c>
      <c r="B211" s="122" t="s">
        <v>246</v>
      </c>
      <c r="C211" s="122">
        <v>510248</v>
      </c>
      <c r="D211" s="58" t="s">
        <v>224</v>
      </c>
      <c r="E211" s="58" t="s">
        <v>299</v>
      </c>
    </row>
    <row r="212" spans="1:5" x14ac:dyDescent="0.25">
      <c r="A212" s="122">
        <v>510345</v>
      </c>
      <c r="B212" s="122" t="s">
        <v>247</v>
      </c>
      <c r="C212" s="122">
        <v>510345</v>
      </c>
      <c r="D212" s="58" t="s">
        <v>223</v>
      </c>
      <c r="E212" s="58" t="s">
        <v>299</v>
      </c>
    </row>
    <row r="213" spans="1:5" x14ac:dyDescent="0.25">
      <c r="A213" s="122">
        <v>510477</v>
      </c>
      <c r="B213" s="122" t="s">
        <v>248</v>
      </c>
      <c r="C213" s="122">
        <v>510477</v>
      </c>
      <c r="D213" s="58" t="s">
        <v>272</v>
      </c>
      <c r="E213" s="58" t="s">
        <v>299</v>
      </c>
    </row>
    <row r="214" spans="1:5" x14ac:dyDescent="0.25">
      <c r="A214" s="122">
        <v>510484</v>
      </c>
      <c r="B214" s="122" t="s">
        <v>249</v>
      </c>
      <c r="C214" s="122">
        <v>510484</v>
      </c>
      <c r="D214" s="58" t="s">
        <v>272</v>
      </c>
      <c r="E214" s="58" t="s">
        <v>299</v>
      </c>
    </row>
    <row r="215" spans="1:5" x14ac:dyDescent="0.25">
      <c r="A215" s="122">
        <v>511835</v>
      </c>
      <c r="B215" s="122" t="s">
        <v>250</v>
      </c>
      <c r="C215" s="122">
        <v>511835</v>
      </c>
      <c r="D215" s="58" t="s">
        <v>271</v>
      </c>
      <c r="E215" s="58" t="s">
        <v>299</v>
      </c>
    </row>
    <row r="216" spans="1:5" x14ac:dyDescent="0.25">
      <c r="A216" s="122">
        <v>511842</v>
      </c>
      <c r="B216" s="122" t="s">
        <v>251</v>
      </c>
      <c r="C216" s="122">
        <v>511842</v>
      </c>
      <c r="D216" s="58" t="s">
        <v>224</v>
      </c>
      <c r="E216" s="58" t="s">
        <v>299</v>
      </c>
    </row>
    <row r="217" spans="1:5" x14ac:dyDescent="0.25">
      <c r="A217" s="122">
        <v>511933</v>
      </c>
      <c r="B217" s="122" t="s">
        <v>252</v>
      </c>
      <c r="C217" s="122">
        <v>511933</v>
      </c>
      <c r="D217" s="58" t="s">
        <v>271</v>
      </c>
      <c r="E217" s="58" t="s">
        <v>299</v>
      </c>
    </row>
    <row r="218" spans="1:5" x14ac:dyDescent="0.25">
      <c r="A218" s="122">
        <v>511930</v>
      </c>
      <c r="B218" s="122" t="s">
        <v>253</v>
      </c>
      <c r="C218" s="122">
        <v>511930</v>
      </c>
      <c r="D218" s="58" t="s">
        <v>224</v>
      </c>
      <c r="E218" s="58" t="s">
        <v>299</v>
      </c>
    </row>
    <row r="219" spans="1:5" x14ac:dyDescent="0.25">
      <c r="A219" s="122">
        <v>512012</v>
      </c>
      <c r="B219" s="122" t="s">
        <v>254</v>
      </c>
      <c r="C219" s="122">
        <v>512012</v>
      </c>
      <c r="D219" s="58" t="s">
        <v>271</v>
      </c>
      <c r="E219" s="58" t="s">
        <v>299</v>
      </c>
    </row>
    <row r="220" spans="1:5" x14ac:dyDescent="0.25">
      <c r="A220" s="122">
        <v>512013</v>
      </c>
      <c r="B220" s="122" t="s">
        <v>255</v>
      </c>
      <c r="C220" s="122">
        <v>512013</v>
      </c>
      <c r="D220" s="58" t="s">
        <v>224</v>
      </c>
      <c r="E220" s="58" t="s">
        <v>299</v>
      </c>
    </row>
    <row r="221" spans="1:5" x14ac:dyDescent="0.25">
      <c r="A221" s="122">
        <v>512014</v>
      </c>
      <c r="B221" s="122" t="s">
        <v>256</v>
      </c>
      <c r="C221" s="122">
        <v>512014</v>
      </c>
      <c r="D221" s="58" t="s">
        <v>224</v>
      </c>
      <c r="E221" s="58" t="s">
        <v>299</v>
      </c>
    </row>
    <row r="222" spans="1:5" x14ac:dyDescent="0.25">
      <c r="A222" s="122">
        <v>512162</v>
      </c>
      <c r="B222" s="122" t="s">
        <v>257</v>
      </c>
      <c r="C222" s="122">
        <v>512162</v>
      </c>
      <c r="D222" s="58" t="s">
        <v>224</v>
      </c>
      <c r="E222" s="58" t="s">
        <v>299</v>
      </c>
    </row>
    <row r="223" spans="1:5" x14ac:dyDescent="0.25">
      <c r="A223" s="122">
        <v>512289</v>
      </c>
      <c r="B223" s="122" t="s">
        <v>258</v>
      </c>
      <c r="C223" s="122">
        <v>512289</v>
      </c>
      <c r="D223" s="58" t="s">
        <v>224</v>
      </c>
      <c r="E223" s="58" t="s">
        <v>299</v>
      </c>
    </row>
    <row r="224" spans="1:5" x14ac:dyDescent="0.25">
      <c r="A224" s="122">
        <v>512290</v>
      </c>
      <c r="B224" s="122" t="s">
        <v>259</v>
      </c>
      <c r="C224" s="122">
        <v>512290</v>
      </c>
      <c r="D224" s="58" t="s">
        <v>224</v>
      </c>
      <c r="E224" s="58" t="s">
        <v>299</v>
      </c>
    </row>
    <row r="225" spans="1:5" x14ac:dyDescent="0.25">
      <c r="A225" s="122">
        <v>514019</v>
      </c>
      <c r="B225" s="122" t="s">
        <v>273</v>
      </c>
      <c r="C225" s="122">
        <v>514019</v>
      </c>
      <c r="D225" s="58" t="s">
        <v>338</v>
      </c>
      <c r="E225" s="58" t="s">
        <v>299</v>
      </c>
    </row>
    <row r="226" spans="1:5" x14ac:dyDescent="0.25">
      <c r="A226" s="122">
        <v>514029</v>
      </c>
      <c r="B226" s="122" t="s">
        <v>274</v>
      </c>
      <c r="C226" s="122">
        <v>514029</v>
      </c>
      <c r="D226" s="58" t="s">
        <v>224</v>
      </c>
      <c r="E226" s="58" t="s">
        <v>299</v>
      </c>
    </row>
    <row r="227" spans="1:5" x14ac:dyDescent="0.25">
      <c r="A227" s="122">
        <v>514059</v>
      </c>
      <c r="B227" s="122" t="s">
        <v>275</v>
      </c>
      <c r="C227" s="122">
        <v>514059</v>
      </c>
      <c r="D227" s="58" t="s">
        <v>338</v>
      </c>
      <c r="E227" s="58" t="s">
        <v>299</v>
      </c>
    </row>
    <row r="228" spans="1:5" x14ac:dyDescent="0.25">
      <c r="A228" s="122">
        <v>514125</v>
      </c>
      <c r="B228" s="122" t="s">
        <v>276</v>
      </c>
      <c r="C228" s="122">
        <v>514125</v>
      </c>
      <c r="D228" s="58" t="s">
        <v>272</v>
      </c>
      <c r="E228" s="58" t="s">
        <v>299</v>
      </c>
    </row>
    <row r="229" spans="1:5" x14ac:dyDescent="0.25">
      <c r="A229" s="122">
        <v>514128</v>
      </c>
      <c r="B229" s="122" t="s">
        <v>277</v>
      </c>
      <c r="C229" s="122">
        <v>514128</v>
      </c>
      <c r="D229" s="58" t="s">
        <v>272</v>
      </c>
      <c r="E229" s="58" t="s">
        <v>299</v>
      </c>
    </row>
    <row r="230" spans="1:5" x14ac:dyDescent="0.25">
      <c r="A230" s="122">
        <v>514126</v>
      </c>
      <c r="B230" s="122" t="s">
        <v>278</v>
      </c>
      <c r="C230" s="122">
        <v>514126</v>
      </c>
      <c r="D230" s="58" t="s">
        <v>338</v>
      </c>
      <c r="E230" s="58" t="s">
        <v>299</v>
      </c>
    </row>
    <row r="231" spans="1:5" x14ac:dyDescent="0.25">
      <c r="A231" s="122">
        <v>514127</v>
      </c>
      <c r="B231" s="122" t="s">
        <v>279</v>
      </c>
      <c r="C231" s="122">
        <v>514127</v>
      </c>
      <c r="D231" s="58" t="s">
        <v>224</v>
      </c>
      <c r="E231" s="58" t="s">
        <v>299</v>
      </c>
    </row>
    <row r="232" spans="1:5" x14ac:dyDescent="0.25">
      <c r="A232" s="122">
        <v>514129</v>
      </c>
      <c r="B232" s="122" t="s">
        <v>280</v>
      </c>
      <c r="C232" s="122">
        <v>514129</v>
      </c>
      <c r="D232" s="58" t="s">
        <v>338</v>
      </c>
      <c r="E232" s="58" t="s">
        <v>299</v>
      </c>
    </row>
    <row r="233" spans="1:5" x14ac:dyDescent="0.25">
      <c r="A233" s="122">
        <v>514236</v>
      </c>
      <c r="B233" s="122" t="s">
        <v>281</v>
      </c>
      <c r="C233" s="122">
        <v>514236</v>
      </c>
      <c r="D233" s="58" t="s">
        <v>224</v>
      </c>
      <c r="E233" s="58" t="s">
        <v>299</v>
      </c>
    </row>
    <row r="234" spans="1:5" x14ac:dyDescent="0.25">
      <c r="A234" s="122">
        <v>514163</v>
      </c>
      <c r="B234" s="122" t="s">
        <v>282</v>
      </c>
      <c r="C234" s="122">
        <v>514163</v>
      </c>
      <c r="D234" s="58" t="s">
        <v>271</v>
      </c>
      <c r="E234" s="58" t="s">
        <v>299</v>
      </c>
    </row>
    <row r="235" spans="1:5" x14ac:dyDescent="0.25">
      <c r="A235" s="122">
        <v>514492</v>
      </c>
      <c r="B235" s="122" t="s">
        <v>283</v>
      </c>
      <c r="C235" s="122">
        <v>514492</v>
      </c>
      <c r="D235" s="58" t="s">
        <v>271</v>
      </c>
      <c r="E235" s="58" t="s">
        <v>299</v>
      </c>
    </row>
    <row r="236" spans="1:5" x14ac:dyDescent="0.25">
      <c r="A236" s="122">
        <v>514498</v>
      </c>
      <c r="B236" s="122" t="s">
        <v>284</v>
      </c>
      <c r="C236" s="122">
        <v>514498</v>
      </c>
      <c r="D236" s="58" t="s">
        <v>338</v>
      </c>
      <c r="E236" s="58" t="s">
        <v>299</v>
      </c>
    </row>
    <row r="237" spans="1:5" x14ac:dyDescent="0.25">
      <c r="A237" s="122">
        <v>514499</v>
      </c>
      <c r="B237" s="122" t="s">
        <v>285</v>
      </c>
      <c r="C237" s="122">
        <v>514499</v>
      </c>
      <c r="D237" s="58" t="s">
        <v>224</v>
      </c>
      <c r="E237" s="58" t="s">
        <v>299</v>
      </c>
    </row>
    <row r="238" spans="1:5" x14ac:dyDescent="0.25">
      <c r="A238" s="122">
        <v>514493</v>
      </c>
      <c r="B238" s="122" t="s">
        <v>286</v>
      </c>
      <c r="C238" s="122">
        <v>514493</v>
      </c>
      <c r="D238" s="58" t="s">
        <v>271</v>
      </c>
      <c r="E238" s="58" t="s">
        <v>299</v>
      </c>
    </row>
    <row r="239" spans="1:5" x14ac:dyDescent="0.25">
      <c r="A239" s="122">
        <v>514500</v>
      </c>
      <c r="B239" s="122" t="s">
        <v>287</v>
      </c>
      <c r="C239" s="122">
        <v>514500</v>
      </c>
      <c r="D239" s="58" t="s">
        <v>271</v>
      </c>
      <c r="E239" s="58" t="s">
        <v>299</v>
      </c>
    </row>
    <row r="240" spans="1:5" x14ac:dyDescent="0.25">
      <c r="A240" s="122">
        <v>514494</v>
      </c>
      <c r="B240" s="122" t="s">
        <v>288</v>
      </c>
      <c r="C240" s="122">
        <v>514494</v>
      </c>
      <c r="D240" s="58" t="s">
        <v>271</v>
      </c>
      <c r="E240" s="58" t="s">
        <v>299</v>
      </c>
    </row>
    <row r="241" spans="1:5" x14ac:dyDescent="0.25">
      <c r="A241" s="122">
        <v>514495</v>
      </c>
      <c r="B241" s="122" t="s">
        <v>289</v>
      </c>
      <c r="C241" s="122">
        <v>514495</v>
      </c>
      <c r="D241" s="58" t="s">
        <v>338</v>
      </c>
      <c r="E241" s="58" t="s">
        <v>299</v>
      </c>
    </row>
    <row r="242" spans="1:5" x14ac:dyDescent="0.25">
      <c r="A242" s="122">
        <v>514569</v>
      </c>
      <c r="B242" s="122" t="s">
        <v>290</v>
      </c>
      <c r="C242" s="122">
        <v>514569</v>
      </c>
      <c r="D242" s="58" t="s">
        <v>338</v>
      </c>
      <c r="E242" s="58" t="s">
        <v>299</v>
      </c>
    </row>
    <row r="243" spans="1:5" x14ac:dyDescent="0.25">
      <c r="A243" s="122">
        <v>514566</v>
      </c>
      <c r="B243" s="122" t="s">
        <v>291</v>
      </c>
      <c r="C243" s="122">
        <v>514566</v>
      </c>
      <c r="D243" s="58" t="s">
        <v>271</v>
      </c>
      <c r="E243" s="58" t="s">
        <v>299</v>
      </c>
    </row>
    <row r="244" spans="1:5" x14ac:dyDescent="0.25">
      <c r="A244" s="122">
        <v>514652</v>
      </c>
      <c r="B244" s="122" t="s">
        <v>292</v>
      </c>
      <c r="C244" s="122">
        <v>514652</v>
      </c>
      <c r="D244" s="58" t="s">
        <v>224</v>
      </c>
      <c r="E244" s="58" t="s">
        <v>299</v>
      </c>
    </row>
    <row r="245" spans="1:5" x14ac:dyDescent="0.25">
      <c r="A245" s="122">
        <v>509095</v>
      </c>
      <c r="B245" s="122" t="s">
        <v>293</v>
      </c>
      <c r="C245" s="122">
        <v>509095</v>
      </c>
      <c r="D245" s="58" t="s">
        <v>226</v>
      </c>
      <c r="E245" s="58" t="s">
        <v>299</v>
      </c>
    </row>
    <row r="246" spans="1:5" x14ac:dyDescent="0.25">
      <c r="A246" s="122">
        <v>292411</v>
      </c>
      <c r="B246" s="122" t="s">
        <v>301</v>
      </c>
      <c r="C246" s="122">
        <v>292411</v>
      </c>
      <c r="D246" s="58" t="s">
        <v>224</v>
      </c>
      <c r="E246" s="58" t="s">
        <v>224</v>
      </c>
    </row>
    <row r="247" spans="1:5" x14ac:dyDescent="0.25">
      <c r="A247" s="122">
        <v>512689</v>
      </c>
      <c r="B247" s="122" t="s">
        <v>302</v>
      </c>
      <c r="C247" s="122">
        <v>512689</v>
      </c>
      <c r="D247" s="58" t="s">
        <v>223</v>
      </c>
      <c r="E247" s="58" t="s">
        <v>299</v>
      </c>
    </row>
    <row r="248" spans="1:5" x14ac:dyDescent="0.25">
      <c r="A248" s="122">
        <v>516708</v>
      </c>
      <c r="B248" s="122" t="s">
        <v>303</v>
      </c>
      <c r="C248" s="122">
        <v>516708</v>
      </c>
      <c r="D248" s="58" t="s">
        <v>226</v>
      </c>
      <c r="E248" s="58" t="s">
        <v>299</v>
      </c>
    </row>
    <row r="249" spans="1:5" x14ac:dyDescent="0.25">
      <c r="A249" s="122">
        <v>516478</v>
      </c>
      <c r="B249" s="122" t="s">
        <v>304</v>
      </c>
      <c r="C249" s="122">
        <v>516478</v>
      </c>
      <c r="D249" s="58" t="s">
        <v>223</v>
      </c>
      <c r="E249" s="58" t="s">
        <v>299</v>
      </c>
    </row>
    <row r="250" spans="1:5" x14ac:dyDescent="0.25">
      <c r="A250" s="122">
        <v>516333</v>
      </c>
      <c r="B250" s="122" t="s">
        <v>305</v>
      </c>
      <c r="C250" s="122">
        <v>516333</v>
      </c>
      <c r="D250" s="58" t="s">
        <v>337</v>
      </c>
      <c r="E250" s="58" t="s">
        <v>299</v>
      </c>
    </row>
    <row r="251" spans="1:5" x14ac:dyDescent="0.25">
      <c r="A251" s="122">
        <v>516927</v>
      </c>
      <c r="B251" s="122" t="s">
        <v>306</v>
      </c>
      <c r="C251" s="122">
        <v>516927</v>
      </c>
      <c r="D251" s="58" t="s">
        <v>226</v>
      </c>
      <c r="E251" s="58" t="s">
        <v>299</v>
      </c>
    </row>
    <row r="252" spans="1:5" x14ac:dyDescent="0.25">
      <c r="A252" s="122">
        <v>512674</v>
      </c>
      <c r="B252" s="122" t="s">
        <v>307</v>
      </c>
      <c r="C252" s="122">
        <v>512674</v>
      </c>
      <c r="D252" s="58" t="s">
        <v>226</v>
      </c>
      <c r="E252" s="58" t="s">
        <v>299</v>
      </c>
    </row>
    <row r="253" spans="1:5" x14ac:dyDescent="0.25">
      <c r="A253" s="122">
        <v>516493</v>
      </c>
      <c r="B253" s="122" t="s">
        <v>308</v>
      </c>
      <c r="C253" s="122">
        <v>516493</v>
      </c>
      <c r="D253" s="58" t="s">
        <v>223</v>
      </c>
      <c r="E253" s="58" t="s">
        <v>299</v>
      </c>
    </row>
    <row r="254" spans="1:5" x14ac:dyDescent="0.25">
      <c r="A254" s="122">
        <v>516332</v>
      </c>
      <c r="B254" s="122" t="s">
        <v>309</v>
      </c>
      <c r="C254" s="122">
        <v>516332</v>
      </c>
      <c r="D254" s="58" t="s">
        <v>225</v>
      </c>
      <c r="E254" s="58" t="s">
        <v>299</v>
      </c>
    </row>
    <row r="255" spans="1:5" x14ac:dyDescent="0.25">
      <c r="A255" s="122">
        <v>512749</v>
      </c>
      <c r="B255" s="122" t="s">
        <v>310</v>
      </c>
      <c r="C255" s="122">
        <v>512749</v>
      </c>
      <c r="D255" s="58" t="s">
        <v>223</v>
      </c>
      <c r="E255" s="58" t="s">
        <v>299</v>
      </c>
    </row>
    <row r="256" spans="1:5" x14ac:dyDescent="0.25">
      <c r="A256" s="122">
        <v>512732</v>
      </c>
      <c r="B256" s="122" t="s">
        <v>311</v>
      </c>
      <c r="C256" s="122">
        <v>512732</v>
      </c>
      <c r="D256" s="58" t="s">
        <v>223</v>
      </c>
      <c r="E256" s="58" t="s">
        <v>299</v>
      </c>
    </row>
    <row r="257" spans="1:5" x14ac:dyDescent="0.25">
      <c r="A257" s="122">
        <v>516492</v>
      </c>
      <c r="B257" s="122" t="s">
        <v>312</v>
      </c>
      <c r="C257" s="122">
        <v>516492</v>
      </c>
      <c r="D257" s="58" t="s">
        <v>223</v>
      </c>
      <c r="E257" s="58" t="s">
        <v>299</v>
      </c>
    </row>
    <row r="258" spans="1:5" x14ac:dyDescent="0.25">
      <c r="A258" s="122">
        <v>516227</v>
      </c>
      <c r="B258" s="122" t="s">
        <v>313</v>
      </c>
      <c r="C258" s="122">
        <v>516227</v>
      </c>
      <c r="D258" s="58" t="s">
        <v>337</v>
      </c>
      <c r="E258" s="58" t="s">
        <v>299</v>
      </c>
    </row>
    <row r="259" spans="1:5" x14ac:dyDescent="0.25">
      <c r="A259" s="122">
        <v>516334</v>
      </c>
      <c r="B259" s="122" t="s">
        <v>314</v>
      </c>
      <c r="C259" s="122">
        <v>516334</v>
      </c>
      <c r="D259" s="58" t="s">
        <v>225</v>
      </c>
      <c r="E259" s="58" t="s">
        <v>299</v>
      </c>
    </row>
    <row r="260" spans="1:5" x14ac:dyDescent="0.25">
      <c r="A260" s="122">
        <v>513105</v>
      </c>
      <c r="B260" s="122" t="s">
        <v>315</v>
      </c>
      <c r="C260" s="122">
        <v>513105</v>
      </c>
      <c r="D260" s="58" t="s">
        <v>226</v>
      </c>
      <c r="E260" s="58" t="s">
        <v>299</v>
      </c>
    </row>
    <row r="261" spans="1:5" x14ac:dyDescent="0.25">
      <c r="A261" s="122">
        <v>512673</v>
      </c>
      <c r="B261" s="122" t="s">
        <v>316</v>
      </c>
      <c r="C261" s="122">
        <v>512673</v>
      </c>
      <c r="D261" s="58" t="s">
        <v>223</v>
      </c>
      <c r="E261" s="58" t="s">
        <v>299</v>
      </c>
    </row>
    <row r="262" spans="1:5" x14ac:dyDescent="0.25">
      <c r="A262" s="122">
        <v>513891</v>
      </c>
      <c r="B262" s="122" t="s">
        <v>317</v>
      </c>
      <c r="C262" s="122">
        <v>513891</v>
      </c>
      <c r="D262" s="58" t="s">
        <v>371</v>
      </c>
      <c r="E262" s="58" t="s">
        <v>299</v>
      </c>
    </row>
    <row r="263" spans="1:5" x14ac:dyDescent="0.25">
      <c r="A263" s="122">
        <v>494381</v>
      </c>
      <c r="B263" s="122" t="s">
        <v>318</v>
      </c>
      <c r="C263" s="122">
        <v>494381</v>
      </c>
      <c r="D263" s="58" t="s">
        <v>371</v>
      </c>
      <c r="E263" s="58" t="s">
        <v>299</v>
      </c>
    </row>
    <row r="264" spans="1:5" x14ac:dyDescent="0.25">
      <c r="A264" s="122">
        <v>513908</v>
      </c>
      <c r="B264" s="122" t="s">
        <v>319</v>
      </c>
      <c r="C264" s="122">
        <v>513908</v>
      </c>
      <c r="D264" s="58" t="s">
        <v>227</v>
      </c>
      <c r="E264" s="58" t="s">
        <v>299</v>
      </c>
    </row>
    <row r="265" spans="1:5" x14ac:dyDescent="0.25">
      <c r="A265" s="122">
        <v>514017</v>
      </c>
      <c r="B265" s="122" t="s">
        <v>320</v>
      </c>
      <c r="C265" s="122">
        <v>514017</v>
      </c>
      <c r="D265" s="58" t="s">
        <v>227</v>
      </c>
      <c r="E265" s="58" t="s">
        <v>299</v>
      </c>
    </row>
    <row r="266" spans="1:5" x14ac:dyDescent="0.25">
      <c r="A266" s="122">
        <v>516114</v>
      </c>
      <c r="B266" s="122" t="s">
        <v>321</v>
      </c>
      <c r="C266" s="122">
        <v>516114</v>
      </c>
      <c r="D266" s="58" t="s">
        <v>371</v>
      </c>
      <c r="E266" s="58" t="s">
        <v>299</v>
      </c>
    </row>
    <row r="267" spans="1:5" x14ac:dyDescent="0.25">
      <c r="A267" s="122">
        <v>515346</v>
      </c>
      <c r="B267" s="122" t="s">
        <v>322</v>
      </c>
      <c r="C267" s="122">
        <v>515346</v>
      </c>
      <c r="D267" s="58" t="s">
        <v>224</v>
      </c>
      <c r="E267" s="58" t="s">
        <v>299</v>
      </c>
    </row>
    <row r="268" spans="1:5" x14ac:dyDescent="0.25">
      <c r="A268" s="122">
        <v>513706</v>
      </c>
      <c r="B268" s="122" t="s">
        <v>323</v>
      </c>
      <c r="C268" s="122">
        <v>513706</v>
      </c>
      <c r="D268" s="58" t="s">
        <v>227</v>
      </c>
      <c r="E268" s="58" t="s">
        <v>299</v>
      </c>
    </row>
    <row r="269" spans="1:5" x14ac:dyDescent="0.25">
      <c r="A269" s="122">
        <v>141580</v>
      </c>
      <c r="B269" s="122" t="s">
        <v>324</v>
      </c>
      <c r="C269" s="122">
        <v>141580</v>
      </c>
      <c r="D269" s="58" t="s">
        <v>227</v>
      </c>
      <c r="E269" s="58" t="s">
        <v>299</v>
      </c>
    </row>
    <row r="270" spans="1:5" x14ac:dyDescent="0.25">
      <c r="A270" s="122">
        <v>513901</v>
      </c>
      <c r="B270" s="122" t="s">
        <v>325</v>
      </c>
      <c r="C270" s="122">
        <v>513901</v>
      </c>
      <c r="D270" s="58" t="s">
        <v>227</v>
      </c>
      <c r="E270" s="58" t="s">
        <v>299</v>
      </c>
    </row>
    <row r="271" spans="1:5" x14ac:dyDescent="0.25">
      <c r="A271" s="122">
        <v>409029</v>
      </c>
      <c r="B271" s="122" t="s">
        <v>326</v>
      </c>
      <c r="C271" s="122">
        <v>409029</v>
      </c>
      <c r="D271" s="58" t="s">
        <v>227</v>
      </c>
      <c r="E271" s="58" t="s">
        <v>299</v>
      </c>
    </row>
    <row r="272" spans="1:5" x14ac:dyDescent="0.25">
      <c r="A272" s="122">
        <v>514581</v>
      </c>
      <c r="B272" s="122" t="s">
        <v>327</v>
      </c>
      <c r="C272" s="122">
        <v>514581</v>
      </c>
      <c r="D272" s="58" t="s">
        <v>371</v>
      </c>
      <c r="E272" s="58" t="s">
        <v>299</v>
      </c>
    </row>
    <row r="273" spans="1:5" x14ac:dyDescent="0.25">
      <c r="A273" s="122">
        <v>514876</v>
      </c>
      <c r="B273" s="122" t="s">
        <v>328</v>
      </c>
      <c r="C273" s="122">
        <v>514876</v>
      </c>
      <c r="D273" s="58" t="s">
        <v>337</v>
      </c>
      <c r="E273" s="58" t="s">
        <v>299</v>
      </c>
    </row>
    <row r="274" spans="1:5" x14ac:dyDescent="0.25">
      <c r="A274" s="122">
        <v>514737</v>
      </c>
      <c r="B274" s="122" t="s">
        <v>329</v>
      </c>
      <c r="C274" s="122">
        <v>514737</v>
      </c>
      <c r="D274" s="58" t="s">
        <v>371</v>
      </c>
      <c r="E274" s="58" t="s">
        <v>299</v>
      </c>
    </row>
    <row r="275" spans="1:5" x14ac:dyDescent="0.25">
      <c r="A275" s="122">
        <v>317109</v>
      </c>
      <c r="B275" s="122" t="s">
        <v>330</v>
      </c>
      <c r="C275" s="122">
        <v>317109</v>
      </c>
      <c r="D275" s="58" t="s">
        <v>227</v>
      </c>
      <c r="E275" s="58" t="s">
        <v>299</v>
      </c>
    </row>
    <row r="276" spans="1:5" x14ac:dyDescent="0.25">
      <c r="A276" s="122">
        <v>514023</v>
      </c>
      <c r="B276" s="122" t="s">
        <v>331</v>
      </c>
      <c r="C276" s="122">
        <v>514023</v>
      </c>
      <c r="D276" s="58" t="s">
        <v>224</v>
      </c>
      <c r="E276" s="58" t="s">
        <v>299</v>
      </c>
    </row>
    <row r="277" spans="1:5" x14ac:dyDescent="0.25">
      <c r="A277" s="122">
        <v>443683</v>
      </c>
      <c r="B277" s="122" t="s">
        <v>332</v>
      </c>
      <c r="C277" s="122">
        <v>443683</v>
      </c>
      <c r="D277" s="58" t="s">
        <v>224</v>
      </c>
      <c r="E277" s="58" t="s">
        <v>299</v>
      </c>
    </row>
    <row r="278" spans="1:5" x14ac:dyDescent="0.25">
      <c r="A278" s="122">
        <v>514061</v>
      </c>
      <c r="B278" s="122" t="s">
        <v>333</v>
      </c>
      <c r="C278" s="122">
        <v>514061</v>
      </c>
      <c r="D278" s="58" t="s">
        <v>224</v>
      </c>
      <c r="E278" s="58" t="s">
        <v>299</v>
      </c>
    </row>
    <row r="279" spans="1:5" x14ac:dyDescent="0.25">
      <c r="A279" s="122">
        <v>516252</v>
      </c>
      <c r="B279" s="122" t="s">
        <v>334</v>
      </c>
      <c r="C279" s="122">
        <v>516252</v>
      </c>
      <c r="D279" s="58" t="s">
        <v>337</v>
      </c>
      <c r="E279" s="58" t="s">
        <v>299</v>
      </c>
    </row>
    <row r="280" spans="1:5" x14ac:dyDescent="0.25">
      <c r="A280" s="122">
        <v>513093</v>
      </c>
      <c r="B280" s="122" t="s">
        <v>335</v>
      </c>
      <c r="C280" s="122">
        <v>513093</v>
      </c>
      <c r="D280" s="58" t="s">
        <v>371</v>
      </c>
      <c r="E280" s="58" t="s">
        <v>299</v>
      </c>
    </row>
    <row r="281" spans="1:5" x14ac:dyDescent="0.25">
      <c r="A281" s="122">
        <v>515343</v>
      </c>
      <c r="B281" s="122" t="s">
        <v>336</v>
      </c>
      <c r="C281" s="122">
        <v>515343</v>
      </c>
      <c r="D281" s="58" t="s">
        <v>371</v>
      </c>
      <c r="E281" s="58" t="s">
        <v>299</v>
      </c>
    </row>
    <row r="282" spans="1:5" x14ac:dyDescent="0.25">
      <c r="A282" s="122">
        <v>514065</v>
      </c>
      <c r="B282" s="122" t="s">
        <v>339</v>
      </c>
      <c r="C282" s="122">
        <v>514065</v>
      </c>
      <c r="D282" s="58" t="s">
        <v>372</v>
      </c>
      <c r="E282" s="58" t="s">
        <v>299</v>
      </c>
    </row>
    <row r="283" spans="1:5" x14ac:dyDescent="0.25">
      <c r="A283" s="122">
        <v>515880</v>
      </c>
      <c r="B283" s="122" t="s">
        <v>340</v>
      </c>
      <c r="C283" s="122">
        <v>515880</v>
      </c>
      <c r="D283" s="58" t="s">
        <v>372</v>
      </c>
      <c r="E283" s="58" t="s">
        <v>299</v>
      </c>
    </row>
    <row r="284" spans="1:5" x14ac:dyDescent="0.25">
      <c r="A284" s="122">
        <v>514586</v>
      </c>
      <c r="B284" s="122" t="s">
        <v>341</v>
      </c>
      <c r="C284" s="122">
        <v>514586</v>
      </c>
      <c r="D284" s="58" t="s">
        <v>372</v>
      </c>
      <c r="E284" s="58" t="s">
        <v>299</v>
      </c>
    </row>
    <row r="285" spans="1:5" x14ac:dyDescent="0.25">
      <c r="A285" s="122">
        <v>312901</v>
      </c>
      <c r="B285" s="122" t="s">
        <v>342</v>
      </c>
      <c r="C285" s="122">
        <v>312901</v>
      </c>
      <c r="D285" s="58" t="s">
        <v>372</v>
      </c>
      <c r="E285" s="58" t="s">
        <v>299</v>
      </c>
    </row>
    <row r="286" spans="1:5" x14ac:dyDescent="0.25">
      <c r="A286" s="122">
        <v>515702</v>
      </c>
      <c r="B286" s="122" t="s">
        <v>343</v>
      </c>
      <c r="C286" s="122">
        <v>515702</v>
      </c>
      <c r="D286" s="58" t="s">
        <v>372</v>
      </c>
      <c r="E286" s="58" t="s">
        <v>299</v>
      </c>
    </row>
    <row r="287" spans="1:5" x14ac:dyDescent="0.25">
      <c r="A287" s="122">
        <v>516477</v>
      </c>
      <c r="B287" s="122" t="s">
        <v>344</v>
      </c>
      <c r="C287" s="122">
        <v>516477</v>
      </c>
      <c r="D287" s="58" t="s">
        <v>372</v>
      </c>
      <c r="E287" s="58" t="s">
        <v>299</v>
      </c>
    </row>
    <row r="288" spans="1:5" x14ac:dyDescent="0.25">
      <c r="A288" s="122">
        <v>513310</v>
      </c>
      <c r="B288" s="122" t="s">
        <v>345</v>
      </c>
      <c r="C288" s="122">
        <v>513310</v>
      </c>
      <c r="D288" s="58" t="s">
        <v>372</v>
      </c>
      <c r="E288" s="58" t="s">
        <v>299</v>
      </c>
    </row>
    <row r="289" spans="1:5" x14ac:dyDescent="0.25">
      <c r="A289" s="122">
        <v>337009</v>
      </c>
      <c r="B289" s="122" t="s">
        <v>346</v>
      </c>
      <c r="C289" s="122">
        <v>337009</v>
      </c>
      <c r="D289" s="58" t="s">
        <v>372</v>
      </c>
      <c r="E289" s="58" t="s">
        <v>299</v>
      </c>
    </row>
    <row r="290" spans="1:5" x14ac:dyDescent="0.25">
      <c r="A290" s="122">
        <v>512857</v>
      </c>
      <c r="B290" s="122" t="s">
        <v>347</v>
      </c>
      <c r="C290" s="122">
        <v>512857</v>
      </c>
      <c r="D290" s="58" t="s">
        <v>372</v>
      </c>
      <c r="E290" s="58" t="s">
        <v>299</v>
      </c>
    </row>
    <row r="291" spans="1:5" x14ac:dyDescent="0.25">
      <c r="A291" s="122">
        <v>485738</v>
      </c>
      <c r="B291" s="122" t="s">
        <v>348</v>
      </c>
      <c r="C291" s="122">
        <v>485738</v>
      </c>
      <c r="D291" s="58" t="s">
        <v>372</v>
      </c>
      <c r="E291" s="58" t="s">
        <v>299</v>
      </c>
    </row>
    <row r="292" spans="1:5" x14ac:dyDescent="0.25">
      <c r="A292" s="122">
        <v>514503</v>
      </c>
      <c r="B292" s="122" t="s">
        <v>349</v>
      </c>
      <c r="C292" s="122">
        <v>514503</v>
      </c>
      <c r="D292" s="58" t="s">
        <v>372</v>
      </c>
      <c r="E292" s="58" t="s">
        <v>299</v>
      </c>
    </row>
    <row r="293" spans="1:5" x14ac:dyDescent="0.25">
      <c r="A293" s="122">
        <v>513808</v>
      </c>
      <c r="B293" s="122" t="s">
        <v>350</v>
      </c>
      <c r="C293" s="122">
        <v>513808</v>
      </c>
      <c r="D293" s="58" t="s">
        <v>372</v>
      </c>
      <c r="E293" s="58" t="s">
        <v>299</v>
      </c>
    </row>
    <row r="294" spans="1:5" x14ac:dyDescent="0.25">
      <c r="A294" s="122">
        <v>518655</v>
      </c>
      <c r="B294" s="122" t="s">
        <v>351</v>
      </c>
      <c r="C294" s="122">
        <v>518655</v>
      </c>
      <c r="D294" s="58" t="s">
        <v>372</v>
      </c>
      <c r="E294" s="58" t="s">
        <v>299</v>
      </c>
    </row>
    <row r="295" spans="1:5" x14ac:dyDescent="0.25">
      <c r="A295" s="122">
        <v>518432</v>
      </c>
      <c r="B295" s="122" t="s">
        <v>352</v>
      </c>
      <c r="C295" s="122">
        <v>518432</v>
      </c>
      <c r="D295" s="58" t="s">
        <v>372</v>
      </c>
      <c r="E295" s="58" t="s">
        <v>299</v>
      </c>
    </row>
    <row r="296" spans="1:5" x14ac:dyDescent="0.25">
      <c r="A296" s="122">
        <v>516917</v>
      </c>
      <c r="B296" s="122" t="s">
        <v>353</v>
      </c>
      <c r="C296" s="122">
        <v>516917</v>
      </c>
      <c r="D296" s="58" t="s">
        <v>372</v>
      </c>
      <c r="E296" s="58" t="s">
        <v>299</v>
      </c>
    </row>
    <row r="297" spans="1:5" x14ac:dyDescent="0.25">
      <c r="A297" s="122">
        <v>516919</v>
      </c>
      <c r="B297" s="122" t="s">
        <v>354</v>
      </c>
      <c r="C297" s="122">
        <v>516919</v>
      </c>
      <c r="D297" s="58" t="s">
        <v>372</v>
      </c>
      <c r="E297" s="58" t="s">
        <v>299</v>
      </c>
    </row>
    <row r="298" spans="1:5" x14ac:dyDescent="0.25">
      <c r="A298" s="122">
        <v>513489</v>
      </c>
      <c r="B298" s="122" t="s">
        <v>355</v>
      </c>
      <c r="C298" s="122">
        <v>513489</v>
      </c>
      <c r="D298" s="58" t="s">
        <v>372</v>
      </c>
      <c r="E298" s="58" t="s">
        <v>299</v>
      </c>
    </row>
    <row r="299" spans="1:5" x14ac:dyDescent="0.25">
      <c r="A299" s="122">
        <v>517185</v>
      </c>
      <c r="B299" s="122" t="s">
        <v>356</v>
      </c>
      <c r="C299" s="122">
        <v>517185</v>
      </c>
      <c r="D299" s="58" t="s">
        <v>372</v>
      </c>
      <c r="E299" s="58" t="s">
        <v>299</v>
      </c>
    </row>
    <row r="300" spans="1:5" x14ac:dyDescent="0.25">
      <c r="A300" s="122">
        <v>516672</v>
      </c>
      <c r="B300" s="122" t="s">
        <v>357</v>
      </c>
      <c r="C300" s="122">
        <v>516672</v>
      </c>
      <c r="D300" s="58" t="s">
        <v>372</v>
      </c>
      <c r="E300" s="58" t="s">
        <v>299</v>
      </c>
    </row>
    <row r="301" spans="1:5" x14ac:dyDescent="0.25">
      <c r="A301" s="122">
        <v>216604</v>
      </c>
      <c r="B301" s="122" t="s">
        <v>358</v>
      </c>
      <c r="C301" s="122">
        <v>216604</v>
      </c>
      <c r="D301" s="58" t="s">
        <v>372</v>
      </c>
      <c r="E301" s="58" t="s">
        <v>299</v>
      </c>
    </row>
    <row r="302" spans="1:5" x14ac:dyDescent="0.25">
      <c r="A302" s="122">
        <v>516490</v>
      </c>
      <c r="B302" s="122" t="s">
        <v>359</v>
      </c>
      <c r="C302" s="122">
        <v>516490</v>
      </c>
      <c r="D302" s="58" t="s">
        <v>225</v>
      </c>
      <c r="E302" s="58" t="s">
        <v>299</v>
      </c>
    </row>
    <row r="303" spans="1:5" x14ac:dyDescent="0.25">
      <c r="A303" s="122">
        <v>516119</v>
      </c>
      <c r="B303" s="122" t="s">
        <v>360</v>
      </c>
      <c r="C303" s="122">
        <v>516119</v>
      </c>
      <c r="D303" s="58" t="s">
        <v>225</v>
      </c>
      <c r="E303" s="58" t="s">
        <v>299</v>
      </c>
    </row>
    <row r="304" spans="1:5" x14ac:dyDescent="0.25">
      <c r="A304" s="122">
        <v>513084</v>
      </c>
      <c r="B304" s="122" t="s">
        <v>361</v>
      </c>
      <c r="C304" s="122">
        <v>513084</v>
      </c>
      <c r="D304" s="58" t="s">
        <v>224</v>
      </c>
      <c r="E304" s="58" t="s">
        <v>299</v>
      </c>
    </row>
    <row r="305" spans="1:5" x14ac:dyDescent="0.25">
      <c r="A305" s="122">
        <v>516542</v>
      </c>
      <c r="B305" s="122" t="s">
        <v>362</v>
      </c>
      <c r="C305" s="122">
        <v>516542</v>
      </c>
      <c r="D305" s="58" t="s">
        <v>225</v>
      </c>
      <c r="E305" s="58" t="s">
        <v>299</v>
      </c>
    </row>
    <row r="306" spans="1:5" x14ac:dyDescent="0.25">
      <c r="A306" s="122">
        <v>516909</v>
      </c>
      <c r="B306" s="122" t="s">
        <v>363</v>
      </c>
      <c r="C306" s="122">
        <v>516909</v>
      </c>
      <c r="D306" s="58" t="s">
        <v>225</v>
      </c>
      <c r="E306" s="58" t="s">
        <v>299</v>
      </c>
    </row>
    <row r="307" spans="1:5" x14ac:dyDescent="0.25">
      <c r="A307" s="122">
        <v>512681</v>
      </c>
      <c r="B307" s="122" t="s">
        <v>364</v>
      </c>
      <c r="C307" s="122">
        <v>512681</v>
      </c>
      <c r="D307" s="58" t="s">
        <v>225</v>
      </c>
      <c r="E307" s="58" t="s">
        <v>299</v>
      </c>
    </row>
    <row r="308" spans="1:5" x14ac:dyDescent="0.25">
      <c r="A308" s="122">
        <v>512741</v>
      </c>
      <c r="B308" s="122" t="s">
        <v>365</v>
      </c>
      <c r="C308" s="122">
        <v>512741</v>
      </c>
      <c r="D308" s="58" t="s">
        <v>225</v>
      </c>
      <c r="E308" s="58" t="s">
        <v>299</v>
      </c>
    </row>
    <row r="309" spans="1:5" x14ac:dyDescent="0.25">
      <c r="A309" s="122">
        <v>512736</v>
      </c>
      <c r="B309" s="122" t="s">
        <v>366</v>
      </c>
      <c r="C309" s="122">
        <v>512736</v>
      </c>
      <c r="D309" s="58" t="s">
        <v>225</v>
      </c>
      <c r="E309" s="58" t="s">
        <v>299</v>
      </c>
    </row>
    <row r="310" spans="1:5" x14ac:dyDescent="0.25">
      <c r="A310" s="122">
        <v>516243</v>
      </c>
      <c r="B310" s="122" t="s">
        <v>367</v>
      </c>
      <c r="C310" s="122">
        <v>516243</v>
      </c>
      <c r="D310" s="58" t="s">
        <v>225</v>
      </c>
      <c r="E310" s="58" t="s">
        <v>299</v>
      </c>
    </row>
    <row r="311" spans="1:5" x14ac:dyDescent="0.25">
      <c r="A311" s="122">
        <v>516328</v>
      </c>
      <c r="B311" s="122" t="s">
        <v>368</v>
      </c>
      <c r="C311" s="122">
        <v>516328</v>
      </c>
      <c r="D311" s="58" t="s">
        <v>225</v>
      </c>
      <c r="E311" s="58" t="s">
        <v>299</v>
      </c>
    </row>
    <row r="312" spans="1:5" x14ac:dyDescent="0.25">
      <c r="A312" s="122">
        <v>516907</v>
      </c>
      <c r="B312" s="122" t="s">
        <v>370</v>
      </c>
      <c r="C312" s="122">
        <v>516907</v>
      </c>
      <c r="D312" s="58" t="s">
        <v>225</v>
      </c>
      <c r="E312" s="58" t="s">
        <v>299</v>
      </c>
    </row>
    <row r="313" spans="1:5" x14ac:dyDescent="0.25">
      <c r="A313" s="122">
        <v>524596</v>
      </c>
      <c r="B313" s="122" t="s">
        <v>374</v>
      </c>
      <c r="C313" s="122">
        <v>524596</v>
      </c>
      <c r="D313" s="58" t="s">
        <v>373</v>
      </c>
      <c r="E313" s="58" t="s">
        <v>299</v>
      </c>
    </row>
    <row r="314" spans="1:5" x14ac:dyDescent="0.25">
      <c r="A314" s="122">
        <v>524598</v>
      </c>
      <c r="B314" s="122" t="s">
        <v>375</v>
      </c>
      <c r="C314" s="122">
        <v>524598</v>
      </c>
      <c r="D314" s="58" t="s">
        <v>224</v>
      </c>
      <c r="E314" s="58" t="s">
        <v>299</v>
      </c>
    </row>
    <row r="315" spans="1:5" x14ac:dyDescent="0.25">
      <c r="A315" s="122">
        <v>524599</v>
      </c>
      <c r="B315" s="122" t="s">
        <v>376</v>
      </c>
      <c r="C315" s="122">
        <v>524599</v>
      </c>
      <c r="D315" s="58" t="s">
        <v>373</v>
      </c>
      <c r="E315" s="58" t="s">
        <v>299</v>
      </c>
    </row>
    <row r="316" spans="1:5" x14ac:dyDescent="0.25">
      <c r="A316" s="122">
        <v>524593</v>
      </c>
      <c r="B316" s="122" t="s">
        <v>377</v>
      </c>
      <c r="C316" s="122">
        <v>524593</v>
      </c>
      <c r="D316" s="58" t="s">
        <v>373</v>
      </c>
      <c r="E316" s="58" t="s">
        <v>299</v>
      </c>
    </row>
    <row r="317" spans="1:5" x14ac:dyDescent="0.25">
      <c r="A317" s="122">
        <v>524591</v>
      </c>
      <c r="B317" s="122" t="s">
        <v>378</v>
      </c>
      <c r="C317" s="122">
        <v>524591</v>
      </c>
      <c r="D317" s="58" t="s">
        <v>373</v>
      </c>
      <c r="E317" s="58" t="s">
        <v>299</v>
      </c>
    </row>
    <row r="318" spans="1:5" x14ac:dyDescent="0.25">
      <c r="A318" s="122">
        <v>524600</v>
      </c>
      <c r="B318" s="122" t="s">
        <v>379</v>
      </c>
      <c r="C318" s="122">
        <v>524600</v>
      </c>
      <c r="D318" s="58" t="s">
        <v>373</v>
      </c>
      <c r="E318" s="58" t="s">
        <v>299</v>
      </c>
    </row>
    <row r="319" spans="1:5" x14ac:dyDescent="0.25">
      <c r="A319" s="122">
        <v>524597</v>
      </c>
      <c r="B319" s="122" t="s">
        <v>380</v>
      </c>
      <c r="C319" s="122">
        <v>524597</v>
      </c>
      <c r="D319" s="58" t="s">
        <v>373</v>
      </c>
      <c r="E319" s="58" t="s">
        <v>299</v>
      </c>
    </row>
    <row r="320" spans="1:5" x14ac:dyDescent="0.25">
      <c r="A320" s="122">
        <v>524595</v>
      </c>
      <c r="B320" s="122" t="s">
        <v>381</v>
      </c>
      <c r="C320" s="122">
        <v>524595</v>
      </c>
      <c r="D320" s="58" t="s">
        <v>373</v>
      </c>
      <c r="E320" s="58" t="s">
        <v>299</v>
      </c>
    </row>
    <row r="321" spans="1:5" x14ac:dyDescent="0.25">
      <c r="A321" s="122">
        <v>524594</v>
      </c>
      <c r="B321" s="122" t="s">
        <v>382</v>
      </c>
      <c r="C321" s="122">
        <v>524594</v>
      </c>
      <c r="D321" s="58" t="s">
        <v>373</v>
      </c>
      <c r="E321" s="58" t="s">
        <v>299</v>
      </c>
    </row>
    <row r="322" spans="1:5" x14ac:dyDescent="0.25">
      <c r="A322" s="122">
        <v>524592</v>
      </c>
      <c r="B322" s="122" t="s">
        <v>383</v>
      </c>
      <c r="C322" s="122">
        <v>524592</v>
      </c>
      <c r="D322" s="58" t="s">
        <v>224</v>
      </c>
      <c r="E322" s="58" t="s">
        <v>299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/>
  </sheetPr>
  <dimension ref="A1:AD272"/>
  <sheetViews>
    <sheetView tabSelected="1" zoomScale="85" zoomScaleNormal="85" workbookViewId="0"/>
  </sheetViews>
  <sheetFormatPr defaultColWidth="9.140625" defaultRowHeight="12.75" x14ac:dyDescent="0.2"/>
  <cols>
    <col min="1" max="1" width="23.5703125" style="9" customWidth="1"/>
    <col min="2" max="2" width="33.140625" style="9" customWidth="1"/>
    <col min="3" max="5" width="9.140625" style="9" bestFit="1" customWidth="1"/>
    <col min="6" max="6" width="8.5703125" style="9" customWidth="1"/>
    <col min="7" max="23" width="9.140625" style="9" bestFit="1" customWidth="1"/>
    <col min="24" max="24" width="12.7109375" style="9" bestFit="1" customWidth="1"/>
    <col min="25" max="25" width="9.140625" style="9" bestFit="1" customWidth="1"/>
    <col min="26" max="26" width="9.140625" style="9"/>
    <col min="27" max="27" width="9.140625" style="9" bestFit="1" customWidth="1"/>
    <col min="28" max="28" width="6.28515625" style="9" customWidth="1"/>
    <col min="29" max="29" width="3" style="9" bestFit="1" customWidth="1"/>
    <col min="30" max="16384" width="9.140625" style="9"/>
  </cols>
  <sheetData>
    <row r="1" spans="1:30" ht="13.5" thickBot="1" x14ac:dyDescent="0.25">
      <c r="A1" s="106" t="s">
        <v>13</v>
      </c>
      <c r="B1" s="182"/>
      <c r="C1" s="311" t="s">
        <v>384</v>
      </c>
      <c r="D1" s="312"/>
      <c r="E1" s="312"/>
      <c r="F1" s="312"/>
      <c r="G1" s="312"/>
      <c r="H1" s="312"/>
      <c r="I1" s="313"/>
      <c r="J1" s="311" t="s">
        <v>385</v>
      </c>
      <c r="K1" s="312"/>
      <c r="L1" s="312"/>
      <c r="M1" s="312"/>
      <c r="N1" s="312"/>
      <c r="O1" s="312"/>
      <c r="P1" s="313"/>
      <c r="Q1" s="311" t="s">
        <v>386</v>
      </c>
      <c r="R1" s="312"/>
      <c r="S1" s="312"/>
      <c r="T1" s="312"/>
      <c r="U1" s="312"/>
      <c r="V1" s="312"/>
      <c r="W1" s="313"/>
      <c r="X1" s="132"/>
      <c r="Y1" s="90" t="s">
        <v>37</v>
      </c>
    </row>
    <row r="2" spans="1:30" ht="15.75" customHeight="1" x14ac:dyDescent="0.2">
      <c r="A2" s="307" t="s">
        <v>46</v>
      </c>
      <c r="B2" s="314" t="s">
        <v>10</v>
      </c>
      <c r="C2" s="118" t="s">
        <v>0</v>
      </c>
      <c r="D2" s="148" t="s">
        <v>1</v>
      </c>
      <c r="E2" s="148" t="s">
        <v>2</v>
      </c>
      <c r="F2" s="148" t="s">
        <v>3</v>
      </c>
      <c r="G2" s="148" t="s">
        <v>4</v>
      </c>
      <c r="H2" s="148" t="s">
        <v>5</v>
      </c>
      <c r="I2" s="149" t="s">
        <v>6</v>
      </c>
      <c r="J2" s="148" t="s">
        <v>0</v>
      </c>
      <c r="K2" s="148" t="s">
        <v>1</v>
      </c>
      <c r="L2" s="148" t="s">
        <v>2</v>
      </c>
      <c r="M2" s="148" t="s">
        <v>3</v>
      </c>
      <c r="N2" s="148" t="s">
        <v>4</v>
      </c>
      <c r="O2" s="148" t="s">
        <v>5</v>
      </c>
      <c r="P2" s="148" t="s">
        <v>6</v>
      </c>
      <c r="Q2" s="118" t="s">
        <v>0</v>
      </c>
      <c r="R2" s="148" t="s">
        <v>1</v>
      </c>
      <c r="S2" s="148" t="s">
        <v>2</v>
      </c>
      <c r="T2" s="148" t="s">
        <v>3</v>
      </c>
      <c r="U2" s="148" t="s">
        <v>4</v>
      </c>
      <c r="V2" s="148" t="s">
        <v>5</v>
      </c>
      <c r="W2" s="149" t="s">
        <v>6</v>
      </c>
      <c r="X2" s="156" t="s">
        <v>36</v>
      </c>
      <c r="Y2" s="88" t="s">
        <v>6</v>
      </c>
      <c r="AA2" s="88" t="s">
        <v>40</v>
      </c>
      <c r="AB2" s="11">
        <f>SUM(AB4:AB17)</f>
        <v>50</v>
      </c>
    </row>
    <row r="3" spans="1:30" ht="13.5" thickBot="1" x14ac:dyDescent="0.25">
      <c r="A3" s="308"/>
      <c r="B3" s="315"/>
      <c r="C3" s="108">
        <v>46139</v>
      </c>
      <c r="D3" s="128">
        <f t="shared" ref="D3:W3" si="0">C3+1</f>
        <v>46140</v>
      </c>
      <c r="E3" s="128">
        <f t="shared" si="0"/>
        <v>46141</v>
      </c>
      <c r="F3" s="128">
        <f t="shared" si="0"/>
        <v>46142</v>
      </c>
      <c r="G3" s="128">
        <f t="shared" si="0"/>
        <v>46143</v>
      </c>
      <c r="H3" s="128">
        <f t="shared" si="0"/>
        <v>46144</v>
      </c>
      <c r="I3" s="109">
        <f t="shared" si="0"/>
        <v>46145</v>
      </c>
      <c r="J3" s="128">
        <f t="shared" si="0"/>
        <v>46146</v>
      </c>
      <c r="K3" s="128">
        <f t="shared" si="0"/>
        <v>46147</v>
      </c>
      <c r="L3" s="128">
        <f t="shared" si="0"/>
        <v>46148</v>
      </c>
      <c r="M3" s="128">
        <f t="shared" si="0"/>
        <v>46149</v>
      </c>
      <c r="N3" s="128">
        <f t="shared" si="0"/>
        <v>46150</v>
      </c>
      <c r="O3" s="128">
        <f t="shared" si="0"/>
        <v>46151</v>
      </c>
      <c r="P3" s="128">
        <f t="shared" si="0"/>
        <v>46152</v>
      </c>
      <c r="Q3" s="108">
        <f t="shared" si="0"/>
        <v>46153</v>
      </c>
      <c r="R3" s="128">
        <f t="shared" si="0"/>
        <v>46154</v>
      </c>
      <c r="S3" s="128">
        <f t="shared" si="0"/>
        <v>46155</v>
      </c>
      <c r="T3" s="128">
        <f t="shared" si="0"/>
        <v>46156</v>
      </c>
      <c r="U3" s="128">
        <f t="shared" si="0"/>
        <v>46157</v>
      </c>
      <c r="V3" s="128">
        <f t="shared" si="0"/>
        <v>46158</v>
      </c>
      <c r="W3" s="109">
        <f t="shared" si="0"/>
        <v>46159</v>
      </c>
      <c r="X3" s="133"/>
      <c r="Y3" s="134">
        <f>C3-1</f>
        <v>46138</v>
      </c>
      <c r="AA3" s="91"/>
      <c r="AB3" s="11"/>
    </row>
    <row r="4" spans="1:30" x14ac:dyDescent="0.2">
      <c r="A4" s="178">
        <f>VLOOKUP(B4,Masterlist!B:E,2,)</f>
        <v>486925</v>
      </c>
      <c r="B4" s="243" t="s">
        <v>58</v>
      </c>
      <c r="C4" s="297">
        <v>0.375</v>
      </c>
      <c r="D4" s="305">
        <v>0.375</v>
      </c>
      <c r="E4" s="305">
        <v>0.375</v>
      </c>
      <c r="F4" s="275" t="s">
        <v>7</v>
      </c>
      <c r="G4" s="275" t="s">
        <v>7</v>
      </c>
      <c r="H4" s="305">
        <v>0.375</v>
      </c>
      <c r="I4" s="306">
        <v>0.375</v>
      </c>
      <c r="J4" s="267" t="s">
        <v>7</v>
      </c>
      <c r="K4" s="274">
        <v>0.375</v>
      </c>
      <c r="L4" s="268">
        <v>0.375</v>
      </c>
      <c r="M4" s="268">
        <v>0.375</v>
      </c>
      <c r="N4" s="268">
        <v>0.375</v>
      </c>
      <c r="O4" s="274">
        <v>0.375</v>
      </c>
      <c r="P4" s="275" t="s">
        <v>7</v>
      </c>
      <c r="Q4" s="267" t="s">
        <v>7</v>
      </c>
      <c r="R4" s="274">
        <v>0.375</v>
      </c>
      <c r="S4" s="268">
        <v>0.375</v>
      </c>
      <c r="T4" s="268">
        <v>0.375</v>
      </c>
      <c r="U4" s="268">
        <v>0.375</v>
      </c>
      <c r="V4" s="274">
        <v>0.375</v>
      </c>
      <c r="W4" s="275" t="s">
        <v>7</v>
      </c>
      <c r="X4" s="200">
        <f t="shared" ref="X4:X39" si="1">IFERROR(MODE(J4:P4),"OFF")</f>
        <v>0.375</v>
      </c>
      <c r="Y4" s="276">
        <v>0.375</v>
      </c>
      <c r="AA4" s="102">
        <v>0.875</v>
      </c>
      <c r="AB4" s="259">
        <f>COUNTIF($X$4:$X$58,AA4)</f>
        <v>0</v>
      </c>
      <c r="AD4" s="104"/>
    </row>
    <row r="5" spans="1:30" x14ac:dyDescent="0.2">
      <c r="A5" s="178">
        <f>VLOOKUP(B5,Masterlist!B:E,2,)</f>
        <v>482673</v>
      </c>
      <c r="B5" s="199" t="s">
        <v>95</v>
      </c>
      <c r="C5" s="303">
        <v>0.375</v>
      </c>
      <c r="D5" s="298">
        <v>0.375</v>
      </c>
      <c r="E5" s="298">
        <v>0.375</v>
      </c>
      <c r="F5" s="267" t="s">
        <v>7</v>
      </c>
      <c r="G5" s="267" t="s">
        <v>7</v>
      </c>
      <c r="H5" s="298">
        <v>0.375</v>
      </c>
      <c r="I5" s="299">
        <v>0.375</v>
      </c>
      <c r="J5" s="267" t="s">
        <v>7</v>
      </c>
      <c r="K5" s="268">
        <v>0.375</v>
      </c>
      <c r="L5" s="268">
        <v>0.375</v>
      </c>
      <c r="M5" s="268">
        <v>0.375</v>
      </c>
      <c r="N5" s="268">
        <v>0.375</v>
      </c>
      <c r="O5" s="268">
        <v>0.375</v>
      </c>
      <c r="P5" s="267" t="s">
        <v>7</v>
      </c>
      <c r="Q5" s="267" t="s">
        <v>7</v>
      </c>
      <c r="R5" s="268">
        <v>0.375</v>
      </c>
      <c r="S5" s="268">
        <v>0.375</v>
      </c>
      <c r="T5" s="268">
        <v>0.375</v>
      </c>
      <c r="U5" s="268">
        <v>0.375</v>
      </c>
      <c r="V5" s="268">
        <v>0.375</v>
      </c>
      <c r="W5" s="267" t="s">
        <v>7</v>
      </c>
      <c r="X5" s="127">
        <f t="shared" si="1"/>
        <v>0.375</v>
      </c>
      <c r="Y5" s="269">
        <v>0.375</v>
      </c>
      <c r="AA5" s="87">
        <v>0.5</v>
      </c>
      <c r="AB5" s="52">
        <f>COUNTIF($X$4:$X$58,AA5)</f>
        <v>12</v>
      </c>
      <c r="AD5" s="104"/>
    </row>
    <row r="6" spans="1:30" x14ac:dyDescent="0.2">
      <c r="A6" s="178">
        <f>VLOOKUP(B6,Masterlist!B:E,2,)</f>
        <v>417932</v>
      </c>
      <c r="B6" s="199" t="s">
        <v>103</v>
      </c>
      <c r="C6" s="303">
        <v>0.375</v>
      </c>
      <c r="D6" s="298">
        <v>0.375</v>
      </c>
      <c r="E6" s="298">
        <v>0.375</v>
      </c>
      <c r="F6" s="267" t="s">
        <v>7</v>
      </c>
      <c r="G6" s="267" t="s">
        <v>7</v>
      </c>
      <c r="H6" s="298">
        <v>0.375</v>
      </c>
      <c r="I6" s="299">
        <v>0.375</v>
      </c>
      <c r="J6" s="267" t="s">
        <v>7</v>
      </c>
      <c r="K6" s="268">
        <v>0.375</v>
      </c>
      <c r="L6" s="268">
        <v>0.375</v>
      </c>
      <c r="M6" s="268">
        <v>0.375</v>
      </c>
      <c r="N6" s="268">
        <v>0.375</v>
      </c>
      <c r="O6" s="268">
        <v>0.375</v>
      </c>
      <c r="P6" s="267" t="s">
        <v>7</v>
      </c>
      <c r="Q6" s="267" t="s">
        <v>7</v>
      </c>
      <c r="R6" s="268">
        <v>0.375</v>
      </c>
      <c r="S6" s="268">
        <v>0.375</v>
      </c>
      <c r="T6" s="268">
        <v>0.375</v>
      </c>
      <c r="U6" s="268">
        <v>0.375</v>
      </c>
      <c r="V6" s="268">
        <v>0.375</v>
      </c>
      <c r="W6" s="267" t="s">
        <v>7</v>
      </c>
      <c r="X6" s="127">
        <f t="shared" si="1"/>
        <v>0.375</v>
      </c>
      <c r="Y6" s="269">
        <v>0.375</v>
      </c>
      <c r="AA6" s="87">
        <v>0.66666666666666663</v>
      </c>
      <c r="AB6" s="52">
        <f>COUNTIF($X$4:$X$58,AA6)</f>
        <v>0</v>
      </c>
      <c r="AD6" s="104"/>
    </row>
    <row r="7" spans="1:30" x14ac:dyDescent="0.2">
      <c r="A7" s="178">
        <f>VLOOKUP(B7,Masterlist!B:E,2,)</f>
        <v>335234</v>
      </c>
      <c r="B7" s="199" t="s">
        <v>130</v>
      </c>
      <c r="C7" s="303">
        <v>0.375</v>
      </c>
      <c r="D7" s="298">
        <v>0.375</v>
      </c>
      <c r="E7" s="298">
        <v>0.375</v>
      </c>
      <c r="F7" s="267" t="s">
        <v>7</v>
      </c>
      <c r="G7" s="267" t="s">
        <v>7</v>
      </c>
      <c r="H7" s="298">
        <v>0.375</v>
      </c>
      <c r="I7" s="299">
        <v>0.375</v>
      </c>
      <c r="J7" s="267" t="s">
        <v>7</v>
      </c>
      <c r="K7" s="268">
        <v>0.375</v>
      </c>
      <c r="L7" s="268">
        <v>0.375</v>
      </c>
      <c r="M7" s="268">
        <v>0.375</v>
      </c>
      <c r="N7" s="268">
        <v>0.375</v>
      </c>
      <c r="O7" s="268">
        <v>0.375</v>
      </c>
      <c r="P7" s="267" t="s">
        <v>7</v>
      </c>
      <c r="Q7" s="267" t="s">
        <v>7</v>
      </c>
      <c r="R7" s="268">
        <v>0.375</v>
      </c>
      <c r="S7" s="268">
        <v>0.375</v>
      </c>
      <c r="T7" s="268">
        <v>0.375</v>
      </c>
      <c r="U7" s="268">
        <v>0.375</v>
      </c>
      <c r="V7" s="268">
        <v>0.375</v>
      </c>
      <c r="W7" s="267" t="s">
        <v>7</v>
      </c>
      <c r="X7" s="127">
        <f t="shared" si="1"/>
        <v>0.375</v>
      </c>
      <c r="Y7" s="269">
        <v>0.375</v>
      </c>
      <c r="AA7" s="87">
        <v>0.625</v>
      </c>
      <c r="AB7" s="52">
        <f>COUNTIF($X$4:$X$58,AA7)</f>
        <v>0</v>
      </c>
      <c r="AD7" s="104"/>
    </row>
    <row r="8" spans="1:30" ht="13.5" thickBot="1" x14ac:dyDescent="0.25">
      <c r="A8" s="178">
        <f>VLOOKUP(B8,Masterlist!B:E,2,)</f>
        <v>486780</v>
      </c>
      <c r="B8" s="199" t="s">
        <v>76</v>
      </c>
      <c r="C8" s="303">
        <v>0.375</v>
      </c>
      <c r="D8" s="298">
        <v>0.375</v>
      </c>
      <c r="E8" s="298">
        <v>0.375</v>
      </c>
      <c r="F8" s="267" t="s">
        <v>7</v>
      </c>
      <c r="G8" s="267" t="s">
        <v>7</v>
      </c>
      <c r="H8" s="298">
        <v>0.375</v>
      </c>
      <c r="I8" s="299">
        <v>0.375</v>
      </c>
      <c r="J8" s="267" t="s">
        <v>7</v>
      </c>
      <c r="K8" s="268">
        <v>0.375</v>
      </c>
      <c r="L8" s="268">
        <v>0.375</v>
      </c>
      <c r="M8" s="268">
        <v>0.375</v>
      </c>
      <c r="N8" s="268">
        <v>0.375</v>
      </c>
      <c r="O8" s="268">
        <v>0.375</v>
      </c>
      <c r="P8" s="267" t="s">
        <v>7</v>
      </c>
      <c r="Q8" s="267" t="s">
        <v>7</v>
      </c>
      <c r="R8" s="268">
        <v>0.375</v>
      </c>
      <c r="S8" s="268">
        <v>0.375</v>
      </c>
      <c r="T8" s="268">
        <v>0.375</v>
      </c>
      <c r="U8" s="268">
        <v>0.375</v>
      </c>
      <c r="V8" s="268">
        <v>0.375</v>
      </c>
      <c r="W8" s="267" t="s">
        <v>7</v>
      </c>
      <c r="X8" s="127">
        <f t="shared" si="1"/>
        <v>0.375</v>
      </c>
      <c r="Y8" s="269">
        <v>0.375</v>
      </c>
      <c r="AA8" s="103">
        <v>0.375</v>
      </c>
      <c r="AB8" s="55">
        <f>COUNTIF($X$4:$X$133,AA8)</f>
        <v>38</v>
      </c>
      <c r="AD8" s="104"/>
    </row>
    <row r="9" spans="1:30" x14ac:dyDescent="0.2">
      <c r="A9" s="178">
        <f>VLOOKUP(B9,Masterlist!B:E,2,)</f>
        <v>487064</v>
      </c>
      <c r="B9" s="199" t="s">
        <v>64</v>
      </c>
      <c r="C9" s="303">
        <v>0.375</v>
      </c>
      <c r="D9" s="298">
        <v>0.375</v>
      </c>
      <c r="E9" s="298">
        <v>0.375</v>
      </c>
      <c r="F9" s="267" t="s">
        <v>7</v>
      </c>
      <c r="G9" s="267" t="s">
        <v>7</v>
      </c>
      <c r="H9" s="298">
        <v>0.375</v>
      </c>
      <c r="I9" s="299">
        <v>0.375</v>
      </c>
      <c r="J9" s="267" t="s">
        <v>7</v>
      </c>
      <c r="K9" s="268">
        <v>0.375</v>
      </c>
      <c r="L9" s="268">
        <v>0.375</v>
      </c>
      <c r="M9" s="268">
        <v>0.375</v>
      </c>
      <c r="N9" s="268">
        <v>0.375</v>
      </c>
      <c r="O9" s="268">
        <v>0.375</v>
      </c>
      <c r="P9" s="267" t="s">
        <v>7</v>
      </c>
      <c r="Q9" s="267" t="s">
        <v>7</v>
      </c>
      <c r="R9" s="268">
        <v>0.375</v>
      </c>
      <c r="S9" s="268">
        <v>0.375</v>
      </c>
      <c r="T9" s="268">
        <v>0.375</v>
      </c>
      <c r="U9" s="268">
        <v>0.375</v>
      </c>
      <c r="V9" s="268">
        <v>0.375</v>
      </c>
      <c r="W9" s="267" t="s">
        <v>7</v>
      </c>
      <c r="X9" s="127">
        <f t="shared" si="1"/>
        <v>0.375</v>
      </c>
      <c r="Y9" s="269">
        <v>0.375</v>
      </c>
      <c r="AA9" s="126"/>
      <c r="AB9" s="139"/>
      <c r="AD9" s="104"/>
    </row>
    <row r="10" spans="1:30" x14ac:dyDescent="0.2">
      <c r="A10" s="178">
        <f>VLOOKUP(B10,Masterlist!B:E,2,)</f>
        <v>379325</v>
      </c>
      <c r="B10" s="199" t="s">
        <v>25</v>
      </c>
      <c r="C10" s="303">
        <v>0.375</v>
      </c>
      <c r="D10" s="298">
        <v>0.375</v>
      </c>
      <c r="E10" s="298">
        <v>0.375</v>
      </c>
      <c r="F10" s="267" t="s">
        <v>7</v>
      </c>
      <c r="G10" s="267" t="s">
        <v>7</v>
      </c>
      <c r="H10" s="298">
        <v>0.375</v>
      </c>
      <c r="I10" s="299">
        <v>0.375</v>
      </c>
      <c r="J10" s="267" t="s">
        <v>7</v>
      </c>
      <c r="K10" s="268">
        <v>0.375</v>
      </c>
      <c r="L10" s="268">
        <v>0.375</v>
      </c>
      <c r="M10" s="268">
        <v>0.375</v>
      </c>
      <c r="N10" s="268">
        <v>0.375</v>
      </c>
      <c r="O10" s="268">
        <v>0.375</v>
      </c>
      <c r="P10" s="267" t="s">
        <v>7</v>
      </c>
      <c r="Q10" s="267" t="s">
        <v>7</v>
      </c>
      <c r="R10" s="268">
        <v>0.375</v>
      </c>
      <c r="S10" s="268">
        <v>0.375</v>
      </c>
      <c r="T10" s="268">
        <v>0.375</v>
      </c>
      <c r="U10" s="268">
        <v>0.375</v>
      </c>
      <c r="V10" s="268">
        <v>0.375</v>
      </c>
      <c r="W10" s="267" t="s">
        <v>7</v>
      </c>
      <c r="X10" s="127">
        <f t="shared" si="1"/>
        <v>0.375</v>
      </c>
      <c r="Y10" s="269">
        <v>0.375</v>
      </c>
      <c r="AA10" s="126"/>
      <c r="AB10" s="139"/>
    </row>
    <row r="11" spans="1:30" x14ac:dyDescent="0.2">
      <c r="A11" s="178">
        <f>VLOOKUP(B11,Masterlist!B:E,2,)</f>
        <v>486897</v>
      </c>
      <c r="B11" s="182" t="s">
        <v>84</v>
      </c>
      <c r="C11" s="303">
        <v>0.375</v>
      </c>
      <c r="D11" s="298">
        <v>0.375</v>
      </c>
      <c r="E11" s="298">
        <v>0.375</v>
      </c>
      <c r="F11" s="267" t="s">
        <v>7</v>
      </c>
      <c r="G11" s="267" t="s">
        <v>7</v>
      </c>
      <c r="H11" s="298">
        <v>0.375</v>
      </c>
      <c r="I11" s="299">
        <v>0.375</v>
      </c>
      <c r="J11" s="267" t="s">
        <v>7</v>
      </c>
      <c r="K11" s="268">
        <v>0.375</v>
      </c>
      <c r="L11" s="268">
        <v>0.375</v>
      </c>
      <c r="M11" s="268">
        <v>0.375</v>
      </c>
      <c r="N11" s="268">
        <v>0.375</v>
      </c>
      <c r="O11" s="268">
        <v>0.375</v>
      </c>
      <c r="P11" s="267" t="s">
        <v>7</v>
      </c>
      <c r="Q11" s="267" t="s">
        <v>7</v>
      </c>
      <c r="R11" s="268">
        <v>0.375</v>
      </c>
      <c r="S11" s="268">
        <v>0.375</v>
      </c>
      <c r="T11" s="268">
        <v>0.375</v>
      </c>
      <c r="U11" s="268">
        <v>0.375</v>
      </c>
      <c r="V11" s="268">
        <v>0.375</v>
      </c>
      <c r="W11" s="267" t="s">
        <v>7</v>
      </c>
      <c r="X11" s="127">
        <f t="shared" si="1"/>
        <v>0.375</v>
      </c>
      <c r="Y11" s="269">
        <v>0.375</v>
      </c>
      <c r="AA11" s="126"/>
      <c r="AB11" s="139"/>
    </row>
    <row r="12" spans="1:30" x14ac:dyDescent="0.2">
      <c r="A12" s="178">
        <f>VLOOKUP(B12,Masterlist!B:E,2,)</f>
        <v>486783</v>
      </c>
      <c r="B12" s="199" t="s">
        <v>78</v>
      </c>
      <c r="C12" s="303">
        <v>0.375</v>
      </c>
      <c r="D12" s="298">
        <v>0.375</v>
      </c>
      <c r="E12" s="298">
        <v>0.375</v>
      </c>
      <c r="F12" s="267" t="s">
        <v>7</v>
      </c>
      <c r="G12" s="267" t="s">
        <v>7</v>
      </c>
      <c r="H12" s="298">
        <v>0.375</v>
      </c>
      <c r="I12" s="299">
        <v>0.375</v>
      </c>
      <c r="J12" s="267" t="s">
        <v>7</v>
      </c>
      <c r="K12" s="268">
        <v>0.375</v>
      </c>
      <c r="L12" s="268">
        <v>0.375</v>
      </c>
      <c r="M12" s="268">
        <v>0.375</v>
      </c>
      <c r="N12" s="268">
        <v>0.375</v>
      </c>
      <c r="O12" s="268">
        <v>0.375</v>
      </c>
      <c r="P12" s="267" t="s">
        <v>7</v>
      </c>
      <c r="Q12" s="267" t="s">
        <v>7</v>
      </c>
      <c r="R12" s="268">
        <v>0.375</v>
      </c>
      <c r="S12" s="268">
        <v>0.375</v>
      </c>
      <c r="T12" s="268">
        <v>0.375</v>
      </c>
      <c r="U12" s="268">
        <v>0.375</v>
      </c>
      <c r="V12" s="268">
        <v>0.375</v>
      </c>
      <c r="W12" s="267" t="s">
        <v>7</v>
      </c>
      <c r="X12" s="127">
        <f t="shared" si="1"/>
        <v>0.375</v>
      </c>
      <c r="Y12" s="269">
        <v>0.375</v>
      </c>
      <c r="AA12" s="126"/>
      <c r="AB12" s="139"/>
    </row>
    <row r="13" spans="1:30" x14ac:dyDescent="0.2">
      <c r="A13" s="178">
        <f>VLOOKUP(B13,Masterlist!B:E,2,)</f>
        <v>482674</v>
      </c>
      <c r="B13" s="199" t="s">
        <v>96</v>
      </c>
      <c r="C13" s="303">
        <v>0.375</v>
      </c>
      <c r="D13" s="298">
        <v>0.375</v>
      </c>
      <c r="E13" s="298">
        <v>0.375</v>
      </c>
      <c r="F13" s="267" t="s">
        <v>7</v>
      </c>
      <c r="G13" s="267" t="s">
        <v>7</v>
      </c>
      <c r="H13" s="298">
        <v>0.375</v>
      </c>
      <c r="I13" s="299">
        <v>0.375</v>
      </c>
      <c r="J13" s="267" t="s">
        <v>7</v>
      </c>
      <c r="K13" s="268">
        <v>0.375</v>
      </c>
      <c r="L13" s="268">
        <v>0.375</v>
      </c>
      <c r="M13" s="268">
        <v>0.375</v>
      </c>
      <c r="N13" s="268">
        <v>0.375</v>
      </c>
      <c r="O13" s="268">
        <v>0.375</v>
      </c>
      <c r="P13" s="267" t="s">
        <v>7</v>
      </c>
      <c r="Q13" s="267" t="s">
        <v>7</v>
      </c>
      <c r="R13" s="268">
        <v>0.375</v>
      </c>
      <c r="S13" s="268">
        <v>0.375</v>
      </c>
      <c r="T13" s="268">
        <v>0.375</v>
      </c>
      <c r="U13" s="268">
        <v>0.375</v>
      </c>
      <c r="V13" s="268">
        <v>0.375</v>
      </c>
      <c r="W13" s="267" t="s">
        <v>7</v>
      </c>
      <c r="X13" s="127">
        <f t="shared" si="1"/>
        <v>0.375</v>
      </c>
      <c r="Y13" s="269">
        <v>0.375</v>
      </c>
      <c r="AA13" s="126"/>
      <c r="AB13" s="139"/>
    </row>
    <row r="14" spans="1:30" x14ac:dyDescent="0.2">
      <c r="A14" s="178">
        <f>VLOOKUP(B14,Masterlist!B:E,2,)</f>
        <v>245194</v>
      </c>
      <c r="B14" s="199" t="s">
        <v>101</v>
      </c>
      <c r="C14" s="303">
        <v>0.375</v>
      </c>
      <c r="D14" s="298">
        <v>0.375</v>
      </c>
      <c r="E14" s="298">
        <v>0.375</v>
      </c>
      <c r="F14" s="267" t="s">
        <v>7</v>
      </c>
      <c r="G14" s="267" t="s">
        <v>7</v>
      </c>
      <c r="H14" s="298">
        <v>0.375</v>
      </c>
      <c r="I14" s="299">
        <v>0.375</v>
      </c>
      <c r="J14" s="267" t="s">
        <v>7</v>
      </c>
      <c r="K14" s="268">
        <v>0.375</v>
      </c>
      <c r="L14" s="268">
        <v>0.375</v>
      </c>
      <c r="M14" s="268">
        <v>0.375</v>
      </c>
      <c r="N14" s="268">
        <v>0.375</v>
      </c>
      <c r="O14" s="268">
        <v>0.375</v>
      </c>
      <c r="P14" s="267" t="s">
        <v>7</v>
      </c>
      <c r="Q14" s="267" t="s">
        <v>7</v>
      </c>
      <c r="R14" s="268">
        <v>0.375</v>
      </c>
      <c r="S14" s="268">
        <v>0.375</v>
      </c>
      <c r="T14" s="268">
        <v>0.375</v>
      </c>
      <c r="U14" s="268">
        <v>0.375</v>
      </c>
      <c r="V14" s="268">
        <v>0.375</v>
      </c>
      <c r="W14" s="267" t="s">
        <v>7</v>
      </c>
      <c r="X14" s="127">
        <f t="shared" si="1"/>
        <v>0.375</v>
      </c>
      <c r="Y14" s="269">
        <v>0.375</v>
      </c>
      <c r="AA14" s="126"/>
      <c r="AB14" s="139"/>
    </row>
    <row r="15" spans="1:30" x14ac:dyDescent="0.2">
      <c r="A15" s="178">
        <f>VLOOKUP(B15,Masterlist!B:E,2,)</f>
        <v>287483</v>
      </c>
      <c r="B15" s="199" t="s">
        <v>106</v>
      </c>
      <c r="C15" s="303">
        <v>0.375</v>
      </c>
      <c r="D15" s="298">
        <v>0.375</v>
      </c>
      <c r="E15" s="298">
        <v>0.375</v>
      </c>
      <c r="F15" s="267" t="s">
        <v>7</v>
      </c>
      <c r="G15" s="267" t="s">
        <v>7</v>
      </c>
      <c r="H15" s="298">
        <v>0.375</v>
      </c>
      <c r="I15" s="299">
        <v>0.375</v>
      </c>
      <c r="J15" s="267" t="s">
        <v>7</v>
      </c>
      <c r="K15" s="268">
        <v>0.375</v>
      </c>
      <c r="L15" s="268">
        <v>0.375</v>
      </c>
      <c r="M15" s="268">
        <v>0.375</v>
      </c>
      <c r="N15" s="268">
        <v>0.375</v>
      </c>
      <c r="O15" s="268">
        <v>0.375</v>
      </c>
      <c r="P15" s="267" t="s">
        <v>7</v>
      </c>
      <c r="Q15" s="267" t="s">
        <v>7</v>
      </c>
      <c r="R15" s="268">
        <v>0.375</v>
      </c>
      <c r="S15" s="268">
        <v>0.375</v>
      </c>
      <c r="T15" s="268">
        <v>0.375</v>
      </c>
      <c r="U15" s="268">
        <v>0.375</v>
      </c>
      <c r="V15" s="268">
        <v>0.375</v>
      </c>
      <c r="W15" s="267" t="s">
        <v>7</v>
      </c>
      <c r="X15" s="127">
        <f t="shared" si="1"/>
        <v>0.375</v>
      </c>
      <c r="Y15" s="269">
        <v>0.375</v>
      </c>
    </row>
    <row r="16" spans="1:30" x14ac:dyDescent="0.2">
      <c r="A16" s="178">
        <f>VLOOKUP(B16,Masterlist!B:E,2,)</f>
        <v>426497</v>
      </c>
      <c r="B16" s="199" t="s">
        <v>26</v>
      </c>
      <c r="C16" s="303">
        <v>0.375</v>
      </c>
      <c r="D16" s="298">
        <v>0.375</v>
      </c>
      <c r="E16" s="298">
        <v>0.375</v>
      </c>
      <c r="F16" s="267" t="s">
        <v>7</v>
      </c>
      <c r="G16" s="267" t="s">
        <v>7</v>
      </c>
      <c r="H16" s="298">
        <v>0.375</v>
      </c>
      <c r="I16" s="299">
        <v>0.375</v>
      </c>
      <c r="J16" s="267" t="s">
        <v>7</v>
      </c>
      <c r="K16" s="268">
        <v>0.375</v>
      </c>
      <c r="L16" s="268">
        <v>0.375</v>
      </c>
      <c r="M16" s="268">
        <v>0.375</v>
      </c>
      <c r="N16" s="268">
        <v>0.375</v>
      </c>
      <c r="O16" s="268">
        <v>0.375</v>
      </c>
      <c r="P16" s="267" t="s">
        <v>7</v>
      </c>
      <c r="Q16" s="267" t="s">
        <v>7</v>
      </c>
      <c r="R16" s="268">
        <v>0.375</v>
      </c>
      <c r="S16" s="268">
        <v>0.375</v>
      </c>
      <c r="T16" s="268">
        <v>0.375</v>
      </c>
      <c r="U16" s="268">
        <v>0.375</v>
      </c>
      <c r="V16" s="268">
        <v>0.375</v>
      </c>
      <c r="W16" s="267" t="s">
        <v>7</v>
      </c>
      <c r="X16" s="127">
        <f t="shared" si="1"/>
        <v>0.375</v>
      </c>
      <c r="Y16" s="269">
        <v>0.375</v>
      </c>
    </row>
    <row r="17" spans="1:28" x14ac:dyDescent="0.2">
      <c r="A17" s="178">
        <f>VLOOKUP(B17,Masterlist!B:E,2,)</f>
        <v>482680</v>
      </c>
      <c r="B17" s="199" t="s">
        <v>163</v>
      </c>
      <c r="C17" s="303">
        <v>0.375</v>
      </c>
      <c r="D17" s="298">
        <v>0.375</v>
      </c>
      <c r="E17" s="298">
        <v>0.375</v>
      </c>
      <c r="F17" s="267" t="s">
        <v>7</v>
      </c>
      <c r="G17" s="267" t="s">
        <v>7</v>
      </c>
      <c r="H17" s="298">
        <v>0.375</v>
      </c>
      <c r="I17" s="299">
        <v>0.375</v>
      </c>
      <c r="J17" s="267" t="s">
        <v>7</v>
      </c>
      <c r="K17" s="268">
        <v>0.375</v>
      </c>
      <c r="L17" s="268">
        <v>0.375</v>
      </c>
      <c r="M17" s="268">
        <v>0.375</v>
      </c>
      <c r="N17" s="268">
        <v>0.375</v>
      </c>
      <c r="O17" s="268">
        <v>0.375</v>
      </c>
      <c r="P17" s="267" t="s">
        <v>7</v>
      </c>
      <c r="Q17" s="267" t="s">
        <v>7</v>
      </c>
      <c r="R17" s="268">
        <v>0.375</v>
      </c>
      <c r="S17" s="268">
        <v>0.375</v>
      </c>
      <c r="T17" s="268">
        <v>0.375</v>
      </c>
      <c r="U17" s="268">
        <v>0.375</v>
      </c>
      <c r="V17" s="268">
        <v>0.375</v>
      </c>
      <c r="W17" s="267" t="s">
        <v>7</v>
      </c>
      <c r="X17" s="127">
        <f t="shared" si="1"/>
        <v>0.375</v>
      </c>
      <c r="Y17" s="269">
        <v>0.375</v>
      </c>
    </row>
    <row r="18" spans="1:28" x14ac:dyDescent="0.2">
      <c r="A18" s="178">
        <f>VLOOKUP(B18,Masterlist!B:E,2,)</f>
        <v>420426</v>
      </c>
      <c r="B18" s="199" t="s">
        <v>151</v>
      </c>
      <c r="C18" s="303">
        <v>0.375</v>
      </c>
      <c r="D18" s="298">
        <v>0.375</v>
      </c>
      <c r="E18" s="298">
        <v>0.375</v>
      </c>
      <c r="F18" s="267" t="s">
        <v>7</v>
      </c>
      <c r="G18" s="267" t="s">
        <v>7</v>
      </c>
      <c r="H18" s="298">
        <v>0.375</v>
      </c>
      <c r="I18" s="299">
        <v>0.375</v>
      </c>
      <c r="J18" s="267" t="s">
        <v>7</v>
      </c>
      <c r="K18" s="268">
        <v>0.375</v>
      </c>
      <c r="L18" s="268">
        <v>0.375</v>
      </c>
      <c r="M18" s="268">
        <v>0.375</v>
      </c>
      <c r="N18" s="268">
        <v>0.375</v>
      </c>
      <c r="O18" s="268">
        <v>0.375</v>
      </c>
      <c r="P18" s="267" t="s">
        <v>7</v>
      </c>
      <c r="Q18" s="267" t="s">
        <v>7</v>
      </c>
      <c r="R18" s="268">
        <v>0.375</v>
      </c>
      <c r="S18" s="268">
        <v>0.375</v>
      </c>
      <c r="T18" s="268">
        <v>0.375</v>
      </c>
      <c r="U18" s="268">
        <v>0.375</v>
      </c>
      <c r="V18" s="268">
        <v>0.375</v>
      </c>
      <c r="W18" s="267" t="s">
        <v>7</v>
      </c>
      <c r="X18" s="127">
        <f t="shared" si="1"/>
        <v>0.375</v>
      </c>
      <c r="Y18" s="269">
        <v>0.375</v>
      </c>
    </row>
    <row r="19" spans="1:28" x14ac:dyDescent="0.2">
      <c r="A19" s="178">
        <f>VLOOKUP(B19,Masterlist!B:E,2,)</f>
        <v>486893</v>
      </c>
      <c r="B19" s="199" t="s">
        <v>89</v>
      </c>
      <c r="C19" s="303">
        <v>0.375</v>
      </c>
      <c r="D19" s="298">
        <v>0.375</v>
      </c>
      <c r="E19" s="298">
        <v>0.375</v>
      </c>
      <c r="F19" s="267" t="s">
        <v>7</v>
      </c>
      <c r="G19" s="267" t="s">
        <v>7</v>
      </c>
      <c r="H19" s="298">
        <v>0.375</v>
      </c>
      <c r="I19" s="299">
        <v>0.375</v>
      </c>
      <c r="J19" s="267" t="s">
        <v>7</v>
      </c>
      <c r="K19" s="268">
        <v>0.375</v>
      </c>
      <c r="L19" s="268">
        <v>0.375</v>
      </c>
      <c r="M19" s="268">
        <v>0.375</v>
      </c>
      <c r="N19" s="268">
        <v>0.375</v>
      </c>
      <c r="O19" s="268">
        <v>0.375</v>
      </c>
      <c r="P19" s="267" t="s">
        <v>7</v>
      </c>
      <c r="Q19" s="267" t="s">
        <v>7</v>
      </c>
      <c r="R19" s="268">
        <v>0.375</v>
      </c>
      <c r="S19" s="268">
        <v>0.375</v>
      </c>
      <c r="T19" s="268">
        <v>0.375</v>
      </c>
      <c r="U19" s="268">
        <v>0.375</v>
      </c>
      <c r="V19" s="268">
        <v>0.375</v>
      </c>
      <c r="W19" s="267" t="s">
        <v>7</v>
      </c>
      <c r="X19" s="127">
        <f t="shared" si="1"/>
        <v>0.375</v>
      </c>
      <c r="Y19" s="269">
        <v>0.375</v>
      </c>
    </row>
    <row r="20" spans="1:28" x14ac:dyDescent="0.2">
      <c r="A20" s="178">
        <f>VLOOKUP(B20,Masterlist!B:E,2,)</f>
        <v>501506</v>
      </c>
      <c r="B20" s="199" t="s">
        <v>138</v>
      </c>
      <c r="C20" s="303">
        <v>0.375</v>
      </c>
      <c r="D20" s="298">
        <v>0.375</v>
      </c>
      <c r="E20" s="298">
        <v>0.375</v>
      </c>
      <c r="F20" s="267" t="s">
        <v>7</v>
      </c>
      <c r="G20" s="267" t="s">
        <v>7</v>
      </c>
      <c r="H20" s="298">
        <v>0.375</v>
      </c>
      <c r="I20" s="299">
        <v>0.375</v>
      </c>
      <c r="J20" s="267" t="s">
        <v>7</v>
      </c>
      <c r="K20" s="268">
        <v>0.375</v>
      </c>
      <c r="L20" s="268">
        <v>0.375</v>
      </c>
      <c r="M20" s="268">
        <v>0.375</v>
      </c>
      <c r="N20" s="268">
        <v>0.375</v>
      </c>
      <c r="O20" s="268">
        <v>0.375</v>
      </c>
      <c r="P20" s="267" t="s">
        <v>7</v>
      </c>
      <c r="Q20" s="267" t="s">
        <v>7</v>
      </c>
      <c r="R20" s="268">
        <v>0.375</v>
      </c>
      <c r="S20" s="268">
        <v>0.375</v>
      </c>
      <c r="T20" s="268">
        <v>0.375</v>
      </c>
      <c r="U20" s="268">
        <v>0.375</v>
      </c>
      <c r="V20" s="268">
        <v>0.375</v>
      </c>
      <c r="W20" s="267" t="s">
        <v>7</v>
      </c>
      <c r="X20" s="127">
        <f t="shared" si="1"/>
        <v>0.375</v>
      </c>
      <c r="Y20" s="269">
        <v>0.375</v>
      </c>
    </row>
    <row r="21" spans="1:28" x14ac:dyDescent="0.2">
      <c r="A21" s="178">
        <f>VLOOKUP(B21,Masterlist!B:E,2,)</f>
        <v>305624</v>
      </c>
      <c r="B21" s="199" t="s">
        <v>111</v>
      </c>
      <c r="C21" s="303">
        <v>0.375</v>
      </c>
      <c r="D21" s="298">
        <v>0.375</v>
      </c>
      <c r="E21" s="298">
        <v>0.375</v>
      </c>
      <c r="F21" s="267" t="s">
        <v>7</v>
      </c>
      <c r="G21" s="267" t="s">
        <v>7</v>
      </c>
      <c r="H21" s="298">
        <v>0.375</v>
      </c>
      <c r="I21" s="299">
        <v>0.375</v>
      </c>
      <c r="J21" s="267" t="s">
        <v>7</v>
      </c>
      <c r="K21" s="268">
        <v>0.375</v>
      </c>
      <c r="L21" s="268">
        <v>0.375</v>
      </c>
      <c r="M21" s="268">
        <v>0.375</v>
      </c>
      <c r="N21" s="268">
        <v>0.375</v>
      </c>
      <c r="O21" s="268">
        <v>0.375</v>
      </c>
      <c r="P21" s="267" t="s">
        <v>7</v>
      </c>
      <c r="Q21" s="267" t="s">
        <v>7</v>
      </c>
      <c r="R21" s="268">
        <v>0.375</v>
      </c>
      <c r="S21" s="268">
        <v>0.375</v>
      </c>
      <c r="T21" s="268">
        <v>0.375</v>
      </c>
      <c r="U21" s="268">
        <v>0.375</v>
      </c>
      <c r="V21" s="268">
        <v>0.375</v>
      </c>
      <c r="W21" s="267" t="s">
        <v>7</v>
      </c>
      <c r="X21" s="127">
        <f t="shared" si="1"/>
        <v>0.375</v>
      </c>
      <c r="Y21" s="269">
        <v>0.375</v>
      </c>
    </row>
    <row r="22" spans="1:28" x14ac:dyDescent="0.2">
      <c r="A22" s="178">
        <f>VLOOKUP(B22,Masterlist!B:E,2,)</f>
        <v>380214</v>
      </c>
      <c r="B22" s="199" t="s">
        <v>20</v>
      </c>
      <c r="C22" s="271">
        <v>0.375</v>
      </c>
      <c r="D22" s="268">
        <v>0.375</v>
      </c>
      <c r="E22" s="268">
        <v>0.375</v>
      </c>
      <c r="F22" s="268">
        <v>0.375</v>
      </c>
      <c r="G22" s="268">
        <v>0.375</v>
      </c>
      <c r="H22" s="267" t="s">
        <v>7</v>
      </c>
      <c r="I22" s="272" t="s">
        <v>7</v>
      </c>
      <c r="J22" s="268">
        <v>0.375</v>
      </c>
      <c r="K22" s="268">
        <v>0.375</v>
      </c>
      <c r="L22" s="268">
        <v>0.375</v>
      </c>
      <c r="M22" s="268">
        <v>0.375</v>
      </c>
      <c r="N22" s="268">
        <v>0.375</v>
      </c>
      <c r="O22" s="267" t="s">
        <v>7</v>
      </c>
      <c r="P22" s="272" t="s">
        <v>7</v>
      </c>
      <c r="Q22" s="121">
        <v>0.375</v>
      </c>
      <c r="R22" s="127">
        <v>0.375</v>
      </c>
      <c r="S22" s="127">
        <v>0.375</v>
      </c>
      <c r="T22" s="127">
        <v>0.375</v>
      </c>
      <c r="U22" s="127">
        <v>0.375</v>
      </c>
      <c r="V22" s="127" t="s">
        <v>7</v>
      </c>
      <c r="W22" s="117" t="s">
        <v>7</v>
      </c>
      <c r="X22" s="127">
        <f t="shared" si="1"/>
        <v>0.375</v>
      </c>
      <c r="Y22" s="272" t="s">
        <v>7</v>
      </c>
    </row>
    <row r="23" spans="1:28" x14ac:dyDescent="0.2">
      <c r="A23" s="178">
        <f>VLOOKUP(B23,Masterlist!B:E,2,)</f>
        <v>333358</v>
      </c>
      <c r="B23" s="199" t="s">
        <v>23</v>
      </c>
      <c r="C23" s="271">
        <v>0.375</v>
      </c>
      <c r="D23" s="268">
        <v>0.375</v>
      </c>
      <c r="E23" s="268">
        <v>0.375</v>
      </c>
      <c r="F23" s="268">
        <v>0.375</v>
      </c>
      <c r="G23" s="268">
        <v>0.375</v>
      </c>
      <c r="H23" s="267" t="s">
        <v>7</v>
      </c>
      <c r="I23" s="272" t="s">
        <v>7</v>
      </c>
      <c r="J23" s="268">
        <v>0.375</v>
      </c>
      <c r="K23" s="268">
        <v>0.375</v>
      </c>
      <c r="L23" s="268">
        <v>0.375</v>
      </c>
      <c r="M23" s="268">
        <v>0.375</v>
      </c>
      <c r="N23" s="268">
        <v>0.375</v>
      </c>
      <c r="O23" s="267" t="s">
        <v>7</v>
      </c>
      <c r="P23" s="272" t="s">
        <v>7</v>
      </c>
      <c r="Q23" s="121">
        <v>0.375</v>
      </c>
      <c r="R23" s="127">
        <v>0.375</v>
      </c>
      <c r="S23" s="127">
        <v>0.375</v>
      </c>
      <c r="T23" s="127">
        <v>0.375</v>
      </c>
      <c r="U23" s="127">
        <v>0.375</v>
      </c>
      <c r="V23" s="127" t="s">
        <v>7</v>
      </c>
      <c r="W23" s="117" t="s">
        <v>7</v>
      </c>
      <c r="X23" s="127">
        <f t="shared" si="1"/>
        <v>0.375</v>
      </c>
      <c r="Y23" s="272" t="s">
        <v>7</v>
      </c>
    </row>
    <row r="24" spans="1:28" x14ac:dyDescent="0.2">
      <c r="A24" s="178">
        <f>VLOOKUP(B24,Masterlist!B:E,2,)</f>
        <v>380240</v>
      </c>
      <c r="B24" s="199" t="s">
        <v>22</v>
      </c>
      <c r="C24" s="271">
        <v>0.375</v>
      </c>
      <c r="D24" s="268">
        <v>0.375</v>
      </c>
      <c r="E24" s="268">
        <v>0.375</v>
      </c>
      <c r="F24" s="268">
        <v>0.375</v>
      </c>
      <c r="G24" s="268">
        <v>0.375</v>
      </c>
      <c r="H24" s="267" t="s">
        <v>7</v>
      </c>
      <c r="I24" s="272" t="s">
        <v>7</v>
      </c>
      <c r="J24" s="268">
        <v>0.375</v>
      </c>
      <c r="K24" s="268">
        <v>0.375</v>
      </c>
      <c r="L24" s="268">
        <v>0.375</v>
      </c>
      <c r="M24" s="268">
        <v>0.375</v>
      </c>
      <c r="N24" s="268">
        <v>0.375</v>
      </c>
      <c r="O24" s="267" t="s">
        <v>7</v>
      </c>
      <c r="P24" s="272" t="s">
        <v>7</v>
      </c>
      <c r="Q24" s="121">
        <v>0.375</v>
      </c>
      <c r="R24" s="127">
        <v>0.375</v>
      </c>
      <c r="S24" s="127">
        <v>0.375</v>
      </c>
      <c r="T24" s="127">
        <v>0.375</v>
      </c>
      <c r="U24" s="127">
        <v>0.375</v>
      </c>
      <c r="V24" s="127" t="s">
        <v>7</v>
      </c>
      <c r="W24" s="117" t="s">
        <v>7</v>
      </c>
      <c r="X24" s="127">
        <f t="shared" si="1"/>
        <v>0.375</v>
      </c>
      <c r="Y24" s="272" t="s">
        <v>7</v>
      </c>
    </row>
    <row r="25" spans="1:28" x14ac:dyDescent="0.2">
      <c r="A25" s="178">
        <f>VLOOKUP(B25,Masterlist!B:E,2,)</f>
        <v>339523</v>
      </c>
      <c r="B25" s="199" t="s">
        <v>30</v>
      </c>
      <c r="C25" s="271">
        <v>0.375</v>
      </c>
      <c r="D25" s="268">
        <v>0.375</v>
      </c>
      <c r="E25" s="268">
        <v>0.375</v>
      </c>
      <c r="F25" s="268">
        <v>0.375</v>
      </c>
      <c r="G25" s="268">
        <v>0.375</v>
      </c>
      <c r="H25" s="267" t="s">
        <v>7</v>
      </c>
      <c r="I25" s="272" t="s">
        <v>7</v>
      </c>
      <c r="J25" s="268">
        <v>0.375</v>
      </c>
      <c r="K25" s="268">
        <v>0.375</v>
      </c>
      <c r="L25" s="268">
        <v>0.375</v>
      </c>
      <c r="M25" s="268">
        <v>0.375</v>
      </c>
      <c r="N25" s="268">
        <v>0.375</v>
      </c>
      <c r="O25" s="267" t="s">
        <v>7</v>
      </c>
      <c r="P25" s="272" t="s">
        <v>7</v>
      </c>
      <c r="Q25" s="121">
        <v>0.375</v>
      </c>
      <c r="R25" s="127">
        <v>0.375</v>
      </c>
      <c r="S25" s="127">
        <v>0.375</v>
      </c>
      <c r="T25" s="127">
        <v>0.375</v>
      </c>
      <c r="U25" s="127">
        <v>0.375</v>
      </c>
      <c r="V25" s="127" t="s">
        <v>7</v>
      </c>
      <c r="W25" s="117" t="s">
        <v>7</v>
      </c>
      <c r="X25" s="127">
        <f t="shared" si="1"/>
        <v>0.375</v>
      </c>
      <c r="Y25" s="272" t="s">
        <v>7</v>
      </c>
    </row>
    <row r="26" spans="1:28" x14ac:dyDescent="0.2">
      <c r="A26" s="178">
        <f>VLOOKUP(B26,Masterlist!B:E,2,)</f>
        <v>317122</v>
      </c>
      <c r="B26" s="199" t="s">
        <v>29</v>
      </c>
      <c r="C26" s="271">
        <v>0.375</v>
      </c>
      <c r="D26" s="268">
        <v>0.375</v>
      </c>
      <c r="E26" s="268">
        <v>0.375</v>
      </c>
      <c r="F26" s="268">
        <v>0.375</v>
      </c>
      <c r="G26" s="268">
        <v>0.375</v>
      </c>
      <c r="H26" s="267" t="s">
        <v>7</v>
      </c>
      <c r="I26" s="272" t="s">
        <v>7</v>
      </c>
      <c r="J26" s="268">
        <v>0.375</v>
      </c>
      <c r="K26" s="268">
        <v>0.375</v>
      </c>
      <c r="L26" s="268">
        <v>0.375</v>
      </c>
      <c r="M26" s="268">
        <v>0.375</v>
      </c>
      <c r="N26" s="268">
        <v>0.375</v>
      </c>
      <c r="O26" s="267" t="s">
        <v>7</v>
      </c>
      <c r="P26" s="272" t="s">
        <v>7</v>
      </c>
      <c r="Q26" s="121">
        <v>0.375</v>
      </c>
      <c r="R26" s="127">
        <v>0.375</v>
      </c>
      <c r="S26" s="127">
        <v>0.375</v>
      </c>
      <c r="T26" s="127">
        <v>0.375</v>
      </c>
      <c r="U26" s="127">
        <v>0.375</v>
      </c>
      <c r="V26" s="127" t="s">
        <v>7</v>
      </c>
      <c r="W26" s="117" t="s">
        <v>7</v>
      </c>
      <c r="X26" s="127">
        <f t="shared" si="1"/>
        <v>0.375</v>
      </c>
      <c r="Y26" s="272" t="s">
        <v>7</v>
      </c>
    </row>
    <row r="27" spans="1:28" x14ac:dyDescent="0.2">
      <c r="A27" s="178">
        <f>VLOOKUP(B27,Masterlist!B:E,2,)</f>
        <v>388996</v>
      </c>
      <c r="B27" s="199" t="s">
        <v>38</v>
      </c>
      <c r="C27" s="271">
        <v>0.375</v>
      </c>
      <c r="D27" s="268">
        <v>0.375</v>
      </c>
      <c r="E27" s="268">
        <v>0.375</v>
      </c>
      <c r="F27" s="268">
        <v>0.375</v>
      </c>
      <c r="G27" s="268">
        <v>0.375</v>
      </c>
      <c r="H27" s="267" t="s">
        <v>7</v>
      </c>
      <c r="I27" s="272" t="s">
        <v>7</v>
      </c>
      <c r="J27" s="268">
        <v>0.375</v>
      </c>
      <c r="K27" s="268">
        <v>0.375</v>
      </c>
      <c r="L27" s="268">
        <v>0.375</v>
      </c>
      <c r="M27" s="268">
        <v>0.375</v>
      </c>
      <c r="N27" s="268">
        <v>0.375</v>
      </c>
      <c r="O27" s="267" t="s">
        <v>7</v>
      </c>
      <c r="P27" s="272" t="s">
        <v>7</v>
      </c>
      <c r="Q27" s="121">
        <v>0.375</v>
      </c>
      <c r="R27" s="127">
        <v>0.375</v>
      </c>
      <c r="S27" s="127">
        <v>0.375</v>
      </c>
      <c r="T27" s="127">
        <v>0.375</v>
      </c>
      <c r="U27" s="127">
        <v>0.375</v>
      </c>
      <c r="V27" s="127" t="s">
        <v>7</v>
      </c>
      <c r="W27" s="117" t="s">
        <v>7</v>
      </c>
      <c r="X27" s="127">
        <f t="shared" si="1"/>
        <v>0.375</v>
      </c>
      <c r="Y27" s="272" t="s">
        <v>7</v>
      </c>
      <c r="AA27" s="244"/>
      <c r="AB27" s="245"/>
    </row>
    <row r="28" spans="1:28" x14ac:dyDescent="0.2">
      <c r="A28" s="178">
        <f>VLOOKUP(B28,Masterlist!B:E,2,)</f>
        <v>456094</v>
      </c>
      <c r="B28" s="199" t="s">
        <v>45</v>
      </c>
      <c r="C28" s="271">
        <v>0.375</v>
      </c>
      <c r="D28" s="268">
        <v>0.375</v>
      </c>
      <c r="E28" s="268">
        <v>0.375</v>
      </c>
      <c r="F28" s="268">
        <v>0.375</v>
      </c>
      <c r="G28" s="268">
        <v>0.375</v>
      </c>
      <c r="H28" s="267" t="s">
        <v>7</v>
      </c>
      <c r="I28" s="272" t="s">
        <v>7</v>
      </c>
      <c r="J28" s="268">
        <v>0.375</v>
      </c>
      <c r="K28" s="268">
        <v>0.375</v>
      </c>
      <c r="L28" s="268">
        <v>0.375</v>
      </c>
      <c r="M28" s="268">
        <v>0.375</v>
      </c>
      <c r="N28" s="268">
        <v>0.375</v>
      </c>
      <c r="O28" s="267" t="s">
        <v>7</v>
      </c>
      <c r="P28" s="272" t="s">
        <v>7</v>
      </c>
      <c r="Q28" s="121">
        <v>0.375</v>
      </c>
      <c r="R28" s="127">
        <v>0.375</v>
      </c>
      <c r="S28" s="127">
        <v>0.375</v>
      </c>
      <c r="T28" s="127">
        <v>0.375</v>
      </c>
      <c r="U28" s="127">
        <v>0.375</v>
      </c>
      <c r="V28" s="127" t="s">
        <v>7</v>
      </c>
      <c r="W28" s="117" t="s">
        <v>7</v>
      </c>
      <c r="X28" s="127">
        <f t="shared" si="1"/>
        <v>0.375</v>
      </c>
      <c r="Y28" s="272" t="s">
        <v>7</v>
      </c>
      <c r="AA28" s="244"/>
      <c r="AB28" s="245"/>
    </row>
    <row r="29" spans="1:28" x14ac:dyDescent="0.2">
      <c r="A29" s="178">
        <f>VLOOKUP(B29,Masterlist!B:E,2,)</f>
        <v>260429</v>
      </c>
      <c r="B29" s="199" t="s">
        <v>28</v>
      </c>
      <c r="C29" s="271">
        <v>0.375</v>
      </c>
      <c r="D29" s="268">
        <v>0.375</v>
      </c>
      <c r="E29" s="268">
        <v>0.375</v>
      </c>
      <c r="F29" s="268">
        <v>0.375</v>
      </c>
      <c r="G29" s="268">
        <v>0.375</v>
      </c>
      <c r="H29" s="267" t="s">
        <v>7</v>
      </c>
      <c r="I29" s="272" t="s">
        <v>7</v>
      </c>
      <c r="J29" s="268">
        <v>0.375</v>
      </c>
      <c r="K29" s="268">
        <v>0.375</v>
      </c>
      <c r="L29" s="268">
        <v>0.375</v>
      </c>
      <c r="M29" s="268">
        <v>0.375</v>
      </c>
      <c r="N29" s="268">
        <v>0.375</v>
      </c>
      <c r="O29" s="267" t="s">
        <v>7</v>
      </c>
      <c r="P29" s="272" t="s">
        <v>7</v>
      </c>
      <c r="Q29" s="121">
        <v>0.375</v>
      </c>
      <c r="R29" s="127">
        <v>0.375</v>
      </c>
      <c r="S29" s="127">
        <v>0.375</v>
      </c>
      <c r="T29" s="127">
        <v>0.375</v>
      </c>
      <c r="U29" s="127">
        <v>0.375</v>
      </c>
      <c r="V29" s="127" t="s">
        <v>7</v>
      </c>
      <c r="W29" s="117" t="s">
        <v>7</v>
      </c>
      <c r="X29" s="127">
        <f t="shared" si="1"/>
        <v>0.375</v>
      </c>
      <c r="Y29" s="272" t="s">
        <v>7</v>
      </c>
    </row>
    <row r="30" spans="1:28" x14ac:dyDescent="0.2">
      <c r="A30" s="178">
        <f>VLOOKUP(B30,Masterlist!B:E,2,)</f>
        <v>333053</v>
      </c>
      <c r="B30" s="199" t="s">
        <v>17</v>
      </c>
      <c r="C30" s="271">
        <v>0.375</v>
      </c>
      <c r="D30" s="268">
        <v>0.375</v>
      </c>
      <c r="E30" s="268">
        <v>0.375</v>
      </c>
      <c r="F30" s="268">
        <v>0.375</v>
      </c>
      <c r="G30" s="268">
        <v>0.375</v>
      </c>
      <c r="H30" s="267" t="s">
        <v>7</v>
      </c>
      <c r="I30" s="272" t="s">
        <v>7</v>
      </c>
      <c r="J30" s="268">
        <v>0.375</v>
      </c>
      <c r="K30" s="268">
        <v>0.375</v>
      </c>
      <c r="L30" s="268">
        <v>0.375</v>
      </c>
      <c r="M30" s="268">
        <v>0.375</v>
      </c>
      <c r="N30" s="268">
        <v>0.375</v>
      </c>
      <c r="O30" s="267" t="s">
        <v>7</v>
      </c>
      <c r="P30" s="272" t="s">
        <v>7</v>
      </c>
      <c r="Q30" s="121">
        <v>0.375</v>
      </c>
      <c r="R30" s="127">
        <v>0.375</v>
      </c>
      <c r="S30" s="127">
        <v>0.375</v>
      </c>
      <c r="T30" s="127">
        <v>0.375</v>
      </c>
      <c r="U30" s="127">
        <v>0.375</v>
      </c>
      <c r="V30" s="127" t="s">
        <v>7</v>
      </c>
      <c r="W30" s="117" t="s">
        <v>7</v>
      </c>
      <c r="X30" s="127">
        <f t="shared" si="1"/>
        <v>0.375</v>
      </c>
      <c r="Y30" s="272" t="s">
        <v>7</v>
      </c>
      <c r="Z30" s="75"/>
    </row>
    <row r="31" spans="1:28" x14ac:dyDescent="0.2">
      <c r="A31" s="178">
        <f>VLOOKUP(B31,Masterlist!B:E,2,)</f>
        <v>487086</v>
      </c>
      <c r="B31" s="199" t="s">
        <v>67</v>
      </c>
      <c r="C31" s="271">
        <v>0.375</v>
      </c>
      <c r="D31" s="268">
        <v>0.375</v>
      </c>
      <c r="E31" s="268">
        <v>0.375</v>
      </c>
      <c r="F31" s="268">
        <v>0.375</v>
      </c>
      <c r="G31" s="268">
        <v>0.375</v>
      </c>
      <c r="H31" s="267" t="s">
        <v>7</v>
      </c>
      <c r="I31" s="272" t="s">
        <v>7</v>
      </c>
      <c r="J31" s="268">
        <v>0.375</v>
      </c>
      <c r="K31" s="268">
        <v>0.375</v>
      </c>
      <c r="L31" s="268">
        <v>0.375</v>
      </c>
      <c r="M31" s="268">
        <v>0.375</v>
      </c>
      <c r="N31" s="268">
        <v>0.375</v>
      </c>
      <c r="O31" s="267" t="s">
        <v>7</v>
      </c>
      <c r="P31" s="272" t="s">
        <v>7</v>
      </c>
      <c r="Q31" s="121">
        <v>0.375</v>
      </c>
      <c r="R31" s="127">
        <v>0.375</v>
      </c>
      <c r="S31" s="127">
        <v>0.375</v>
      </c>
      <c r="T31" s="127">
        <v>0.375</v>
      </c>
      <c r="U31" s="127">
        <v>0.375</v>
      </c>
      <c r="V31" s="127" t="s">
        <v>7</v>
      </c>
      <c r="W31" s="117" t="s">
        <v>7</v>
      </c>
      <c r="X31" s="127">
        <f t="shared" si="1"/>
        <v>0.375</v>
      </c>
      <c r="Y31" s="272" t="s">
        <v>7</v>
      </c>
    </row>
    <row r="32" spans="1:28" x14ac:dyDescent="0.2">
      <c r="A32" s="178">
        <f>VLOOKUP(B32,Masterlist!B:E,2,)</f>
        <v>486898</v>
      </c>
      <c r="B32" s="199" t="s">
        <v>86</v>
      </c>
      <c r="C32" s="271">
        <v>0.375</v>
      </c>
      <c r="D32" s="268">
        <v>0.375</v>
      </c>
      <c r="E32" s="268">
        <v>0.375</v>
      </c>
      <c r="F32" s="268">
        <v>0.375</v>
      </c>
      <c r="G32" s="268">
        <v>0.375</v>
      </c>
      <c r="H32" s="267" t="s">
        <v>7</v>
      </c>
      <c r="I32" s="272" t="s">
        <v>7</v>
      </c>
      <c r="J32" s="268">
        <v>0.375</v>
      </c>
      <c r="K32" s="268">
        <v>0.375</v>
      </c>
      <c r="L32" s="268">
        <v>0.375</v>
      </c>
      <c r="M32" s="268">
        <v>0.375</v>
      </c>
      <c r="N32" s="268">
        <v>0.375</v>
      </c>
      <c r="O32" s="267" t="s">
        <v>7</v>
      </c>
      <c r="P32" s="272" t="s">
        <v>7</v>
      </c>
      <c r="Q32" s="121">
        <v>0.375</v>
      </c>
      <c r="R32" s="127">
        <v>0.375</v>
      </c>
      <c r="S32" s="127">
        <v>0.375</v>
      </c>
      <c r="T32" s="127">
        <v>0.375</v>
      </c>
      <c r="U32" s="127">
        <v>0.375</v>
      </c>
      <c r="V32" s="127" t="s">
        <v>7</v>
      </c>
      <c r="W32" s="117" t="s">
        <v>7</v>
      </c>
      <c r="X32" s="127">
        <f t="shared" si="1"/>
        <v>0.375</v>
      </c>
      <c r="Y32" s="272" t="s">
        <v>7</v>
      </c>
    </row>
    <row r="33" spans="1:25" x14ac:dyDescent="0.2">
      <c r="A33" s="178">
        <f>VLOOKUP(B33,Masterlist!B:E,2,)</f>
        <v>487085</v>
      </c>
      <c r="B33" s="199" t="s">
        <v>60</v>
      </c>
      <c r="C33" s="271">
        <v>0.375</v>
      </c>
      <c r="D33" s="268">
        <v>0.375</v>
      </c>
      <c r="E33" s="268">
        <v>0.375</v>
      </c>
      <c r="F33" s="268">
        <v>0.375</v>
      </c>
      <c r="G33" s="268">
        <v>0.375</v>
      </c>
      <c r="H33" s="267" t="s">
        <v>7</v>
      </c>
      <c r="I33" s="272" t="s">
        <v>7</v>
      </c>
      <c r="J33" s="268">
        <v>0.375</v>
      </c>
      <c r="K33" s="268">
        <v>0.375</v>
      </c>
      <c r="L33" s="268">
        <v>0.375</v>
      </c>
      <c r="M33" s="268">
        <v>0.375</v>
      </c>
      <c r="N33" s="268">
        <v>0.375</v>
      </c>
      <c r="O33" s="267" t="s">
        <v>7</v>
      </c>
      <c r="P33" s="272" t="s">
        <v>7</v>
      </c>
      <c r="Q33" s="121">
        <v>0.375</v>
      </c>
      <c r="R33" s="127">
        <v>0.375</v>
      </c>
      <c r="S33" s="127">
        <v>0.375</v>
      </c>
      <c r="T33" s="127">
        <v>0.375</v>
      </c>
      <c r="U33" s="127">
        <v>0.375</v>
      </c>
      <c r="V33" s="127" t="s">
        <v>7</v>
      </c>
      <c r="W33" s="117" t="s">
        <v>7</v>
      </c>
      <c r="X33" s="127">
        <f t="shared" si="1"/>
        <v>0.375</v>
      </c>
      <c r="Y33" s="272" t="s">
        <v>7</v>
      </c>
    </row>
    <row r="34" spans="1:25" x14ac:dyDescent="0.2">
      <c r="A34" s="178">
        <f>VLOOKUP(B34,Masterlist!B:E,2,)</f>
        <v>486892</v>
      </c>
      <c r="B34" s="199" t="s">
        <v>87</v>
      </c>
      <c r="C34" s="271">
        <v>0.375</v>
      </c>
      <c r="D34" s="268">
        <v>0.375</v>
      </c>
      <c r="E34" s="268">
        <v>0.375</v>
      </c>
      <c r="F34" s="268">
        <v>0.375</v>
      </c>
      <c r="G34" s="268">
        <v>0.375</v>
      </c>
      <c r="H34" s="267" t="s">
        <v>7</v>
      </c>
      <c r="I34" s="272" t="s">
        <v>7</v>
      </c>
      <c r="J34" s="268">
        <v>0.375</v>
      </c>
      <c r="K34" s="268">
        <v>0.375</v>
      </c>
      <c r="L34" s="268">
        <v>0.375</v>
      </c>
      <c r="M34" s="268">
        <v>0.375</v>
      </c>
      <c r="N34" s="268">
        <v>0.375</v>
      </c>
      <c r="O34" s="267" t="s">
        <v>7</v>
      </c>
      <c r="P34" s="272" t="s">
        <v>7</v>
      </c>
      <c r="Q34" s="121">
        <v>0.375</v>
      </c>
      <c r="R34" s="127">
        <v>0.375</v>
      </c>
      <c r="S34" s="127">
        <v>0.375</v>
      </c>
      <c r="T34" s="127">
        <v>0.375</v>
      </c>
      <c r="U34" s="127">
        <v>0.375</v>
      </c>
      <c r="V34" s="127" t="s">
        <v>7</v>
      </c>
      <c r="W34" s="117" t="s">
        <v>7</v>
      </c>
      <c r="X34" s="127">
        <f t="shared" si="1"/>
        <v>0.375</v>
      </c>
      <c r="Y34" s="272" t="s">
        <v>7</v>
      </c>
    </row>
    <row r="35" spans="1:25" x14ac:dyDescent="0.2">
      <c r="A35" s="178">
        <f>VLOOKUP(B35,Masterlist!B:E,2,)</f>
        <v>486795</v>
      </c>
      <c r="B35" s="199" t="s">
        <v>80</v>
      </c>
      <c r="C35" s="271">
        <v>0.375</v>
      </c>
      <c r="D35" s="268">
        <v>0.375</v>
      </c>
      <c r="E35" s="268">
        <v>0.375</v>
      </c>
      <c r="F35" s="268">
        <v>0.375</v>
      </c>
      <c r="G35" s="268">
        <v>0.375</v>
      </c>
      <c r="H35" s="267" t="s">
        <v>7</v>
      </c>
      <c r="I35" s="272" t="s">
        <v>7</v>
      </c>
      <c r="J35" s="268">
        <v>0.375</v>
      </c>
      <c r="K35" s="268">
        <v>0.375</v>
      </c>
      <c r="L35" s="268">
        <v>0.375</v>
      </c>
      <c r="M35" s="268">
        <v>0.375</v>
      </c>
      <c r="N35" s="268">
        <v>0.375</v>
      </c>
      <c r="O35" s="267" t="s">
        <v>7</v>
      </c>
      <c r="P35" s="272" t="s">
        <v>7</v>
      </c>
      <c r="Q35" s="121">
        <v>0.375</v>
      </c>
      <c r="R35" s="127">
        <v>0.375</v>
      </c>
      <c r="S35" s="127">
        <v>0.375</v>
      </c>
      <c r="T35" s="127">
        <v>0.375</v>
      </c>
      <c r="U35" s="127">
        <v>0.375</v>
      </c>
      <c r="V35" s="127" t="s">
        <v>7</v>
      </c>
      <c r="W35" s="117" t="s">
        <v>7</v>
      </c>
      <c r="X35" s="127">
        <f t="shared" si="1"/>
        <v>0.375</v>
      </c>
      <c r="Y35" s="272" t="s">
        <v>7</v>
      </c>
    </row>
    <row r="36" spans="1:25" x14ac:dyDescent="0.2">
      <c r="A36" s="178">
        <f>VLOOKUP(B36,Masterlist!B:E,2,)</f>
        <v>492006</v>
      </c>
      <c r="B36" s="199" t="s">
        <v>91</v>
      </c>
      <c r="C36" s="271">
        <v>0.375</v>
      </c>
      <c r="D36" s="268">
        <v>0.375</v>
      </c>
      <c r="E36" s="268">
        <v>0.375</v>
      </c>
      <c r="F36" s="268">
        <v>0.375</v>
      </c>
      <c r="G36" s="268">
        <v>0.375</v>
      </c>
      <c r="H36" s="267" t="s">
        <v>7</v>
      </c>
      <c r="I36" s="272" t="s">
        <v>7</v>
      </c>
      <c r="J36" s="268">
        <v>0.375</v>
      </c>
      <c r="K36" s="268">
        <v>0.375</v>
      </c>
      <c r="L36" s="268">
        <v>0.375</v>
      </c>
      <c r="M36" s="268">
        <v>0.375</v>
      </c>
      <c r="N36" s="268">
        <v>0.375</v>
      </c>
      <c r="O36" s="267" t="s">
        <v>7</v>
      </c>
      <c r="P36" s="272" t="s">
        <v>7</v>
      </c>
      <c r="Q36" s="121">
        <v>0.375</v>
      </c>
      <c r="R36" s="127">
        <v>0.375</v>
      </c>
      <c r="S36" s="127">
        <v>0.375</v>
      </c>
      <c r="T36" s="127">
        <v>0.375</v>
      </c>
      <c r="U36" s="127">
        <v>0.375</v>
      </c>
      <c r="V36" s="127" t="s">
        <v>7</v>
      </c>
      <c r="W36" s="117" t="s">
        <v>7</v>
      </c>
      <c r="X36" s="127">
        <f t="shared" si="1"/>
        <v>0.375</v>
      </c>
      <c r="Y36" s="272" t="s">
        <v>7</v>
      </c>
    </row>
    <row r="37" spans="1:25" x14ac:dyDescent="0.2">
      <c r="A37" s="178">
        <f>VLOOKUP(B37,Masterlist!B:E,2,)</f>
        <v>492001</v>
      </c>
      <c r="B37" s="199" t="s">
        <v>92</v>
      </c>
      <c r="C37" s="271">
        <v>0.375</v>
      </c>
      <c r="D37" s="268">
        <v>0.375</v>
      </c>
      <c r="E37" s="268">
        <v>0.375</v>
      </c>
      <c r="F37" s="268">
        <v>0.375</v>
      </c>
      <c r="G37" s="268">
        <v>0.375</v>
      </c>
      <c r="H37" s="267" t="s">
        <v>7</v>
      </c>
      <c r="I37" s="272" t="s">
        <v>7</v>
      </c>
      <c r="J37" s="268">
        <v>0.375</v>
      </c>
      <c r="K37" s="268">
        <v>0.375</v>
      </c>
      <c r="L37" s="268">
        <v>0.375</v>
      </c>
      <c r="M37" s="268">
        <v>0.375</v>
      </c>
      <c r="N37" s="268">
        <v>0.375</v>
      </c>
      <c r="O37" s="267" t="s">
        <v>7</v>
      </c>
      <c r="P37" s="272" t="s">
        <v>7</v>
      </c>
      <c r="Q37" s="121">
        <v>0.375</v>
      </c>
      <c r="R37" s="127">
        <v>0.375</v>
      </c>
      <c r="S37" s="127">
        <v>0.375</v>
      </c>
      <c r="T37" s="127">
        <v>0.375</v>
      </c>
      <c r="U37" s="127">
        <v>0.375</v>
      </c>
      <c r="V37" s="127" t="s">
        <v>7</v>
      </c>
      <c r="W37" s="117" t="s">
        <v>7</v>
      </c>
      <c r="X37" s="127">
        <f t="shared" si="1"/>
        <v>0.375</v>
      </c>
      <c r="Y37" s="272" t="s">
        <v>7</v>
      </c>
    </row>
    <row r="38" spans="1:25" x14ac:dyDescent="0.2">
      <c r="A38" s="178">
        <f>VLOOKUP(B38,Masterlist!B:E,2,)</f>
        <v>350915</v>
      </c>
      <c r="B38" s="199" t="s">
        <v>148</v>
      </c>
      <c r="C38" s="271">
        <v>0.375</v>
      </c>
      <c r="D38" s="268">
        <v>0.375</v>
      </c>
      <c r="E38" s="268">
        <v>0.375</v>
      </c>
      <c r="F38" s="268">
        <v>0.375</v>
      </c>
      <c r="G38" s="268">
        <v>0.375</v>
      </c>
      <c r="H38" s="267" t="s">
        <v>7</v>
      </c>
      <c r="I38" s="272" t="s">
        <v>7</v>
      </c>
      <c r="J38" s="268">
        <v>0.375</v>
      </c>
      <c r="K38" s="268">
        <v>0.375</v>
      </c>
      <c r="L38" s="268">
        <v>0.375</v>
      </c>
      <c r="M38" s="268">
        <v>0.375</v>
      </c>
      <c r="N38" s="268">
        <v>0.375</v>
      </c>
      <c r="O38" s="267" t="s">
        <v>7</v>
      </c>
      <c r="P38" s="272" t="s">
        <v>7</v>
      </c>
      <c r="Q38" s="121">
        <v>0.375</v>
      </c>
      <c r="R38" s="127">
        <v>0.375</v>
      </c>
      <c r="S38" s="127">
        <v>0.375</v>
      </c>
      <c r="T38" s="127">
        <v>0.375</v>
      </c>
      <c r="U38" s="127">
        <v>0.375</v>
      </c>
      <c r="V38" s="127" t="s">
        <v>7</v>
      </c>
      <c r="W38" s="117" t="s">
        <v>7</v>
      </c>
      <c r="X38" s="127">
        <f t="shared" si="1"/>
        <v>0.375</v>
      </c>
      <c r="Y38" s="272" t="s">
        <v>7</v>
      </c>
    </row>
    <row r="39" spans="1:25" x14ac:dyDescent="0.2">
      <c r="A39" s="178">
        <f>VLOOKUP(B39,Masterlist!B:E,2,)</f>
        <v>436396</v>
      </c>
      <c r="B39" s="199" t="s">
        <v>154</v>
      </c>
      <c r="C39" s="271">
        <v>0.375</v>
      </c>
      <c r="D39" s="268">
        <v>0.375</v>
      </c>
      <c r="E39" s="268">
        <v>0.375</v>
      </c>
      <c r="F39" s="268">
        <v>0.375</v>
      </c>
      <c r="G39" s="268">
        <v>0.375</v>
      </c>
      <c r="H39" s="267" t="s">
        <v>7</v>
      </c>
      <c r="I39" s="272" t="s">
        <v>7</v>
      </c>
      <c r="J39" s="268">
        <v>0.375</v>
      </c>
      <c r="K39" s="268">
        <v>0.375</v>
      </c>
      <c r="L39" s="268">
        <v>0.375</v>
      </c>
      <c r="M39" s="268">
        <v>0.375</v>
      </c>
      <c r="N39" s="268">
        <v>0.375</v>
      </c>
      <c r="O39" s="267" t="s">
        <v>7</v>
      </c>
      <c r="P39" s="272" t="s">
        <v>7</v>
      </c>
      <c r="Q39" s="121">
        <v>0.375</v>
      </c>
      <c r="R39" s="127">
        <v>0.375</v>
      </c>
      <c r="S39" s="127">
        <v>0.375</v>
      </c>
      <c r="T39" s="127">
        <v>0.375</v>
      </c>
      <c r="U39" s="127">
        <v>0.375</v>
      </c>
      <c r="V39" s="127" t="s">
        <v>7</v>
      </c>
      <c r="W39" s="117" t="s">
        <v>7</v>
      </c>
      <c r="X39" s="127">
        <f t="shared" si="1"/>
        <v>0.375</v>
      </c>
      <c r="Y39" s="272" t="s">
        <v>7</v>
      </c>
    </row>
    <row r="40" spans="1:25" ht="13.5" thickBot="1" x14ac:dyDescent="0.25">
      <c r="A40" s="262"/>
      <c r="B40" s="180"/>
      <c r="C40" s="292"/>
      <c r="D40" s="293"/>
      <c r="E40" s="293"/>
      <c r="F40" s="293"/>
      <c r="G40" s="293"/>
      <c r="H40" s="294"/>
      <c r="I40" s="295"/>
      <c r="J40" s="293"/>
      <c r="K40" s="293"/>
      <c r="L40" s="293"/>
      <c r="M40" s="293"/>
      <c r="N40" s="293"/>
      <c r="O40" s="294"/>
      <c r="P40" s="295"/>
      <c r="Q40" s="184"/>
      <c r="R40" s="183"/>
      <c r="S40" s="183"/>
      <c r="T40" s="183"/>
      <c r="U40" s="183"/>
      <c r="V40" s="183"/>
      <c r="W40" s="185"/>
      <c r="X40" s="114"/>
      <c r="Y40" s="277"/>
    </row>
    <row r="41" spans="1:25" x14ac:dyDescent="0.2">
      <c r="A41" s="178">
        <f>VLOOKUP(B41,Masterlist!B:E,2,)</f>
        <v>333148</v>
      </c>
      <c r="B41" s="199" t="s">
        <v>153</v>
      </c>
      <c r="C41" s="297">
        <v>0.5</v>
      </c>
      <c r="D41" s="267" t="s">
        <v>7</v>
      </c>
      <c r="E41" s="298">
        <v>0.5</v>
      </c>
      <c r="F41" s="298">
        <v>0.5</v>
      </c>
      <c r="G41" s="267" t="s">
        <v>7</v>
      </c>
      <c r="H41" s="298">
        <v>0.5</v>
      </c>
      <c r="I41" s="299">
        <v>0.5</v>
      </c>
      <c r="J41" s="121">
        <v>0.5</v>
      </c>
      <c r="K41" s="127">
        <v>0.5</v>
      </c>
      <c r="L41" s="127">
        <v>0.5</v>
      </c>
      <c r="M41" s="127" t="s">
        <v>7</v>
      </c>
      <c r="N41" s="127" t="s">
        <v>7</v>
      </c>
      <c r="O41" s="127">
        <v>0.5</v>
      </c>
      <c r="P41" s="117">
        <v>0.5</v>
      </c>
      <c r="Q41" s="121">
        <v>0.5</v>
      </c>
      <c r="R41" s="127">
        <v>0.5</v>
      </c>
      <c r="S41" s="127">
        <v>0.5</v>
      </c>
      <c r="T41" s="127" t="s">
        <v>7</v>
      </c>
      <c r="U41" s="127" t="s">
        <v>7</v>
      </c>
      <c r="V41" s="127">
        <v>0.5</v>
      </c>
      <c r="W41" s="117">
        <v>0.5</v>
      </c>
      <c r="X41" s="127">
        <f t="shared" ref="X41:X104" si="2">IFERROR(MODE(J41:P41),"OFF")</f>
        <v>0.5</v>
      </c>
      <c r="Y41" s="269">
        <v>0.5</v>
      </c>
    </row>
    <row r="42" spans="1:25" x14ac:dyDescent="0.2">
      <c r="A42" s="178">
        <f>VLOOKUP(B42,Masterlist!B:E,2,)</f>
        <v>509374</v>
      </c>
      <c r="B42" s="288" t="s">
        <v>231</v>
      </c>
      <c r="C42" s="267" t="s">
        <v>7</v>
      </c>
      <c r="D42" s="267" t="s">
        <v>7</v>
      </c>
      <c r="E42" s="267" t="s">
        <v>7</v>
      </c>
      <c r="F42" s="267" t="s">
        <v>7</v>
      </c>
      <c r="G42" s="267" t="s">
        <v>7</v>
      </c>
      <c r="H42" s="267" t="s">
        <v>7</v>
      </c>
      <c r="I42" s="272" t="s">
        <v>7</v>
      </c>
      <c r="J42" s="267" t="s">
        <v>7</v>
      </c>
      <c r="K42" s="267" t="s">
        <v>7</v>
      </c>
      <c r="L42" s="267" t="s">
        <v>7</v>
      </c>
      <c r="M42" s="267" t="s">
        <v>7</v>
      </c>
      <c r="N42" s="267" t="s">
        <v>7</v>
      </c>
      <c r="O42" s="267" t="s">
        <v>7</v>
      </c>
      <c r="P42" s="272" t="s">
        <v>7</v>
      </c>
      <c r="Q42" s="267" t="s">
        <v>7</v>
      </c>
      <c r="R42" s="267" t="s">
        <v>7</v>
      </c>
      <c r="S42" s="267" t="s">
        <v>7</v>
      </c>
      <c r="T42" s="267" t="s">
        <v>7</v>
      </c>
      <c r="U42" s="267" t="s">
        <v>7</v>
      </c>
      <c r="V42" s="267" t="s">
        <v>7</v>
      </c>
      <c r="W42" s="272" t="s">
        <v>7</v>
      </c>
      <c r="X42" s="127" t="str">
        <f t="shared" si="2"/>
        <v>OFF</v>
      </c>
      <c r="Y42" s="272" t="s">
        <v>7</v>
      </c>
    </row>
    <row r="43" spans="1:25" x14ac:dyDescent="0.2">
      <c r="A43" s="178">
        <f>VLOOKUP(B43,Masterlist!B:E,2,)</f>
        <v>509445</v>
      </c>
      <c r="B43" s="175" t="s">
        <v>232</v>
      </c>
      <c r="C43" s="298">
        <v>0.5</v>
      </c>
      <c r="D43" s="267" t="s">
        <v>7</v>
      </c>
      <c r="E43" s="298">
        <v>0.5</v>
      </c>
      <c r="F43" s="298">
        <v>0.5</v>
      </c>
      <c r="G43" s="267" t="s">
        <v>7</v>
      </c>
      <c r="H43" s="298">
        <v>0.5</v>
      </c>
      <c r="I43" s="299">
        <v>0.5</v>
      </c>
      <c r="J43" s="121">
        <v>0.5</v>
      </c>
      <c r="K43" s="127">
        <v>0.5</v>
      </c>
      <c r="L43" s="127">
        <v>0.5</v>
      </c>
      <c r="M43" s="127" t="s">
        <v>7</v>
      </c>
      <c r="N43" s="127" t="s">
        <v>7</v>
      </c>
      <c r="O43" s="127">
        <v>0.5</v>
      </c>
      <c r="P43" s="117">
        <v>0.5</v>
      </c>
      <c r="Q43" s="121">
        <v>0.5</v>
      </c>
      <c r="R43" s="127">
        <v>0.5</v>
      </c>
      <c r="S43" s="127">
        <v>0.5</v>
      </c>
      <c r="T43" s="127" t="s">
        <v>7</v>
      </c>
      <c r="U43" s="127" t="s">
        <v>7</v>
      </c>
      <c r="V43" s="127">
        <v>0.5</v>
      </c>
      <c r="W43" s="117">
        <v>0.5</v>
      </c>
      <c r="X43" s="127">
        <f t="shared" si="2"/>
        <v>0.5</v>
      </c>
      <c r="Y43" s="269">
        <v>0.5</v>
      </c>
    </row>
    <row r="44" spans="1:25" x14ac:dyDescent="0.2">
      <c r="A44" s="178">
        <f>VLOOKUP(B44,Masterlist!B:E,2,)</f>
        <v>509526</v>
      </c>
      <c r="B44" s="296" t="s">
        <v>235</v>
      </c>
      <c r="C44" s="267" t="s">
        <v>7</v>
      </c>
      <c r="D44" s="267" t="s">
        <v>7</v>
      </c>
      <c r="E44" s="267" t="s">
        <v>7</v>
      </c>
      <c r="F44" s="267" t="s">
        <v>7</v>
      </c>
      <c r="G44" s="267" t="s">
        <v>7</v>
      </c>
      <c r="H44" s="267" t="s">
        <v>7</v>
      </c>
      <c r="I44" s="272" t="s">
        <v>7</v>
      </c>
      <c r="J44" s="267" t="s">
        <v>7</v>
      </c>
      <c r="K44" s="267" t="s">
        <v>7</v>
      </c>
      <c r="L44" s="267" t="s">
        <v>7</v>
      </c>
      <c r="M44" s="267" t="s">
        <v>7</v>
      </c>
      <c r="N44" s="267" t="s">
        <v>7</v>
      </c>
      <c r="O44" s="267" t="s">
        <v>7</v>
      </c>
      <c r="P44" s="272" t="s">
        <v>7</v>
      </c>
      <c r="Q44" s="267" t="s">
        <v>7</v>
      </c>
      <c r="R44" s="267" t="s">
        <v>7</v>
      </c>
      <c r="S44" s="267" t="s">
        <v>7</v>
      </c>
      <c r="T44" s="267" t="s">
        <v>7</v>
      </c>
      <c r="U44" s="267" t="s">
        <v>7</v>
      </c>
      <c r="V44" s="267" t="s">
        <v>7</v>
      </c>
      <c r="W44" s="272" t="s">
        <v>7</v>
      </c>
      <c r="X44" s="127" t="str">
        <f t="shared" si="2"/>
        <v>OFF</v>
      </c>
      <c r="Y44" s="272" t="s">
        <v>7</v>
      </c>
    </row>
    <row r="45" spans="1:25" x14ac:dyDescent="0.2">
      <c r="A45" s="178">
        <f>VLOOKUP(B45,Masterlist!B:E,2,)</f>
        <v>509628</v>
      </c>
      <c r="B45" s="175" t="s">
        <v>239</v>
      </c>
      <c r="C45" s="298">
        <v>0.5</v>
      </c>
      <c r="D45" s="267" t="s">
        <v>7</v>
      </c>
      <c r="E45" s="298">
        <v>0.5</v>
      </c>
      <c r="F45" s="298">
        <v>0.5</v>
      </c>
      <c r="G45" s="267" t="s">
        <v>7</v>
      </c>
      <c r="H45" s="298">
        <v>0.5</v>
      </c>
      <c r="I45" s="299">
        <v>0.5</v>
      </c>
      <c r="J45" s="121">
        <v>0.5</v>
      </c>
      <c r="K45" s="127">
        <v>0.5</v>
      </c>
      <c r="L45" s="127">
        <v>0.5</v>
      </c>
      <c r="M45" s="127" t="s">
        <v>7</v>
      </c>
      <c r="N45" s="127" t="s">
        <v>7</v>
      </c>
      <c r="O45" s="127">
        <v>0.5</v>
      </c>
      <c r="P45" s="117">
        <v>0.5</v>
      </c>
      <c r="Q45" s="121">
        <v>0.5</v>
      </c>
      <c r="R45" s="127">
        <v>0.5</v>
      </c>
      <c r="S45" s="127">
        <v>0.5</v>
      </c>
      <c r="T45" s="127" t="s">
        <v>7</v>
      </c>
      <c r="U45" s="127" t="s">
        <v>7</v>
      </c>
      <c r="V45" s="127">
        <v>0.5</v>
      </c>
      <c r="W45" s="117">
        <v>0.5</v>
      </c>
      <c r="X45" s="127">
        <f t="shared" si="2"/>
        <v>0.5</v>
      </c>
      <c r="Y45" s="269">
        <v>0.5</v>
      </c>
    </row>
    <row r="46" spans="1:25" x14ac:dyDescent="0.2">
      <c r="A46" s="178">
        <f>VLOOKUP(B46,Masterlist!B:E,2,)</f>
        <v>511835</v>
      </c>
      <c r="B46" s="175" t="s">
        <v>250</v>
      </c>
      <c r="C46" s="298">
        <v>0.5</v>
      </c>
      <c r="D46" s="267" t="s">
        <v>7</v>
      </c>
      <c r="E46" s="298">
        <v>0.5</v>
      </c>
      <c r="F46" s="298">
        <v>0.5</v>
      </c>
      <c r="G46" s="267" t="s">
        <v>7</v>
      </c>
      <c r="H46" s="298">
        <v>0.5</v>
      </c>
      <c r="I46" s="299">
        <v>0.5</v>
      </c>
      <c r="J46" s="121">
        <v>0.5</v>
      </c>
      <c r="K46" s="127">
        <v>0.5</v>
      </c>
      <c r="L46" s="127">
        <v>0.5</v>
      </c>
      <c r="M46" s="127" t="s">
        <v>7</v>
      </c>
      <c r="N46" s="127" t="s">
        <v>7</v>
      </c>
      <c r="O46" s="127">
        <v>0.5</v>
      </c>
      <c r="P46" s="117">
        <v>0.5</v>
      </c>
      <c r="Q46" s="121">
        <v>0.5</v>
      </c>
      <c r="R46" s="127">
        <v>0.5</v>
      </c>
      <c r="S46" s="127">
        <v>0.5</v>
      </c>
      <c r="T46" s="127" t="s">
        <v>7</v>
      </c>
      <c r="U46" s="127" t="s">
        <v>7</v>
      </c>
      <c r="V46" s="127">
        <v>0.5</v>
      </c>
      <c r="W46" s="117">
        <v>0.5</v>
      </c>
      <c r="X46" s="127">
        <f t="shared" si="2"/>
        <v>0.5</v>
      </c>
      <c r="Y46" s="269">
        <v>0.5</v>
      </c>
    </row>
    <row r="47" spans="1:25" x14ac:dyDescent="0.2">
      <c r="A47" s="178">
        <f>VLOOKUP(B47,Masterlist!B:E,2,)</f>
        <v>511933</v>
      </c>
      <c r="B47" s="175" t="s">
        <v>252</v>
      </c>
      <c r="C47" s="298">
        <v>0.5</v>
      </c>
      <c r="D47" s="267" t="s">
        <v>7</v>
      </c>
      <c r="E47" s="298">
        <v>0.5</v>
      </c>
      <c r="F47" s="298">
        <v>0.5</v>
      </c>
      <c r="G47" s="267" t="s">
        <v>7</v>
      </c>
      <c r="H47" s="298">
        <v>0.5</v>
      </c>
      <c r="I47" s="299">
        <v>0.5</v>
      </c>
      <c r="J47" s="121">
        <v>0.5</v>
      </c>
      <c r="K47" s="127">
        <v>0.5</v>
      </c>
      <c r="L47" s="127">
        <v>0.5</v>
      </c>
      <c r="M47" s="127" t="s">
        <v>7</v>
      </c>
      <c r="N47" s="127" t="s">
        <v>7</v>
      </c>
      <c r="O47" s="127">
        <v>0.5</v>
      </c>
      <c r="P47" s="117">
        <v>0.5</v>
      </c>
      <c r="Q47" s="121">
        <v>0.5</v>
      </c>
      <c r="R47" s="127">
        <v>0.5</v>
      </c>
      <c r="S47" s="127">
        <v>0.5</v>
      </c>
      <c r="T47" s="127" t="s">
        <v>7</v>
      </c>
      <c r="U47" s="127" t="s">
        <v>7</v>
      </c>
      <c r="V47" s="127">
        <v>0.5</v>
      </c>
      <c r="W47" s="117">
        <v>0.5</v>
      </c>
      <c r="X47" s="127">
        <f t="shared" si="2"/>
        <v>0.5</v>
      </c>
      <c r="Y47" s="269">
        <v>0.5</v>
      </c>
    </row>
    <row r="48" spans="1:25" x14ac:dyDescent="0.2">
      <c r="A48" s="178">
        <f>VLOOKUP(B48,Masterlist!B:E,2,)</f>
        <v>512012</v>
      </c>
      <c r="B48" s="175" t="s">
        <v>254</v>
      </c>
      <c r="C48" s="298">
        <v>0.5</v>
      </c>
      <c r="D48" s="267" t="s">
        <v>7</v>
      </c>
      <c r="E48" s="298">
        <v>0.5</v>
      </c>
      <c r="F48" s="298">
        <v>0.5</v>
      </c>
      <c r="G48" s="267" t="s">
        <v>7</v>
      </c>
      <c r="H48" s="298">
        <v>0.5</v>
      </c>
      <c r="I48" s="299">
        <v>0.5</v>
      </c>
      <c r="J48" s="121">
        <v>0.5</v>
      </c>
      <c r="K48" s="127">
        <v>0.5</v>
      </c>
      <c r="L48" s="127">
        <v>0.5</v>
      </c>
      <c r="M48" s="127" t="s">
        <v>7</v>
      </c>
      <c r="N48" s="127" t="s">
        <v>7</v>
      </c>
      <c r="O48" s="127">
        <v>0.5</v>
      </c>
      <c r="P48" s="117">
        <v>0.5</v>
      </c>
      <c r="Q48" s="121">
        <v>0.5</v>
      </c>
      <c r="R48" s="127">
        <v>0.5</v>
      </c>
      <c r="S48" s="127">
        <v>0.5</v>
      </c>
      <c r="T48" s="127" t="s">
        <v>7</v>
      </c>
      <c r="U48" s="127" t="s">
        <v>7</v>
      </c>
      <c r="V48" s="127">
        <v>0.5</v>
      </c>
      <c r="W48" s="117">
        <v>0.5</v>
      </c>
      <c r="X48" s="127">
        <f t="shared" si="2"/>
        <v>0.5</v>
      </c>
      <c r="Y48" s="269">
        <v>0.5</v>
      </c>
    </row>
    <row r="49" spans="1:25" x14ac:dyDescent="0.2">
      <c r="A49" s="178">
        <f>VLOOKUP(B49,Masterlist!B:E,2,)</f>
        <v>514492</v>
      </c>
      <c r="B49" s="175" t="s">
        <v>283</v>
      </c>
      <c r="C49" s="298">
        <v>0.5</v>
      </c>
      <c r="D49" s="267" t="s">
        <v>7</v>
      </c>
      <c r="E49" s="298">
        <v>0.5</v>
      </c>
      <c r="F49" s="298">
        <v>0.5</v>
      </c>
      <c r="G49" s="267" t="s">
        <v>7</v>
      </c>
      <c r="H49" s="298">
        <v>0.5</v>
      </c>
      <c r="I49" s="299">
        <v>0.5</v>
      </c>
      <c r="J49" s="121">
        <v>0.5</v>
      </c>
      <c r="K49" s="127">
        <v>0.5</v>
      </c>
      <c r="L49" s="127">
        <v>0.5</v>
      </c>
      <c r="M49" s="127" t="s">
        <v>7</v>
      </c>
      <c r="N49" s="127" t="s">
        <v>7</v>
      </c>
      <c r="O49" s="127">
        <v>0.5</v>
      </c>
      <c r="P49" s="117">
        <v>0.5</v>
      </c>
      <c r="Q49" s="121">
        <v>0.5</v>
      </c>
      <c r="R49" s="127">
        <v>0.5</v>
      </c>
      <c r="S49" s="127">
        <v>0.5</v>
      </c>
      <c r="T49" s="127" t="s">
        <v>7</v>
      </c>
      <c r="U49" s="127" t="s">
        <v>7</v>
      </c>
      <c r="V49" s="127">
        <v>0.5</v>
      </c>
      <c r="W49" s="117">
        <v>0.5</v>
      </c>
      <c r="X49" s="127">
        <f t="shared" si="2"/>
        <v>0.5</v>
      </c>
      <c r="Y49" s="269">
        <v>0.5</v>
      </c>
    </row>
    <row r="50" spans="1:25" x14ac:dyDescent="0.2">
      <c r="A50" s="178">
        <f>VLOOKUP(B50,Masterlist!B:E,2,)</f>
        <v>514493</v>
      </c>
      <c r="B50" s="175" t="s">
        <v>286</v>
      </c>
      <c r="C50" s="298">
        <v>0.5</v>
      </c>
      <c r="D50" s="267" t="s">
        <v>7</v>
      </c>
      <c r="E50" s="298">
        <v>0.5</v>
      </c>
      <c r="F50" s="298">
        <v>0.5</v>
      </c>
      <c r="G50" s="267" t="s">
        <v>7</v>
      </c>
      <c r="H50" s="298">
        <v>0.5</v>
      </c>
      <c r="I50" s="299">
        <v>0.5</v>
      </c>
      <c r="J50" s="121">
        <v>0.5</v>
      </c>
      <c r="K50" s="127">
        <v>0.5</v>
      </c>
      <c r="L50" s="127">
        <v>0.5</v>
      </c>
      <c r="M50" s="127" t="s">
        <v>7</v>
      </c>
      <c r="N50" s="127" t="s">
        <v>7</v>
      </c>
      <c r="O50" s="127">
        <v>0.5</v>
      </c>
      <c r="P50" s="117">
        <v>0.5</v>
      </c>
      <c r="Q50" s="121">
        <v>0.5</v>
      </c>
      <c r="R50" s="127">
        <v>0.5</v>
      </c>
      <c r="S50" s="127">
        <v>0.5</v>
      </c>
      <c r="T50" s="127" t="s">
        <v>7</v>
      </c>
      <c r="U50" s="127" t="s">
        <v>7</v>
      </c>
      <c r="V50" s="127">
        <v>0.5</v>
      </c>
      <c r="W50" s="117">
        <v>0.5</v>
      </c>
      <c r="X50" s="127">
        <f t="shared" si="2"/>
        <v>0.5</v>
      </c>
      <c r="Y50" s="269">
        <v>0.5</v>
      </c>
    </row>
    <row r="51" spans="1:25" x14ac:dyDescent="0.2">
      <c r="A51" s="178">
        <f>VLOOKUP(B51,Masterlist!B:E,2,)</f>
        <v>514500</v>
      </c>
      <c r="B51" s="175" t="s">
        <v>287</v>
      </c>
      <c r="C51" s="298">
        <v>0.5</v>
      </c>
      <c r="D51" s="267" t="s">
        <v>7</v>
      </c>
      <c r="E51" s="298">
        <v>0.5</v>
      </c>
      <c r="F51" s="298">
        <v>0.5</v>
      </c>
      <c r="G51" s="267" t="s">
        <v>7</v>
      </c>
      <c r="H51" s="298">
        <v>0.5</v>
      </c>
      <c r="I51" s="299">
        <v>0.5</v>
      </c>
      <c r="J51" s="121">
        <v>0.5</v>
      </c>
      <c r="K51" s="127">
        <v>0.5</v>
      </c>
      <c r="L51" s="127">
        <v>0.5</v>
      </c>
      <c r="M51" s="127" t="s">
        <v>7</v>
      </c>
      <c r="N51" s="127" t="s">
        <v>7</v>
      </c>
      <c r="O51" s="127">
        <v>0.5</v>
      </c>
      <c r="P51" s="117">
        <v>0.5</v>
      </c>
      <c r="Q51" s="121">
        <v>0.5</v>
      </c>
      <c r="R51" s="127">
        <v>0.5</v>
      </c>
      <c r="S51" s="127">
        <v>0.5</v>
      </c>
      <c r="T51" s="127" t="s">
        <v>7</v>
      </c>
      <c r="U51" s="127" t="s">
        <v>7</v>
      </c>
      <c r="V51" s="127">
        <v>0.5</v>
      </c>
      <c r="W51" s="117">
        <v>0.5</v>
      </c>
      <c r="X51" s="127">
        <f t="shared" si="2"/>
        <v>0.5</v>
      </c>
      <c r="Y51" s="269">
        <v>0.5</v>
      </c>
    </row>
    <row r="52" spans="1:25" x14ac:dyDescent="0.2">
      <c r="A52" s="178">
        <f>VLOOKUP(B52,Masterlist!B:E,2,)</f>
        <v>514494</v>
      </c>
      <c r="B52" s="175" t="s">
        <v>288</v>
      </c>
      <c r="C52" s="298">
        <v>0.5</v>
      </c>
      <c r="D52" s="267" t="s">
        <v>7</v>
      </c>
      <c r="E52" s="298">
        <v>0.5</v>
      </c>
      <c r="F52" s="298">
        <v>0.5</v>
      </c>
      <c r="G52" s="267" t="s">
        <v>7</v>
      </c>
      <c r="H52" s="298">
        <v>0.5</v>
      </c>
      <c r="I52" s="299">
        <v>0.5</v>
      </c>
      <c r="J52" s="121">
        <v>0.5</v>
      </c>
      <c r="K52" s="127">
        <v>0.5</v>
      </c>
      <c r="L52" s="127">
        <v>0.5</v>
      </c>
      <c r="M52" s="127" t="s">
        <v>7</v>
      </c>
      <c r="N52" s="127" t="s">
        <v>7</v>
      </c>
      <c r="O52" s="127">
        <v>0.5</v>
      </c>
      <c r="P52" s="117">
        <v>0.5</v>
      </c>
      <c r="Q52" s="121">
        <v>0.5</v>
      </c>
      <c r="R52" s="127">
        <v>0.5</v>
      </c>
      <c r="S52" s="127">
        <v>0.5</v>
      </c>
      <c r="T52" s="127" t="s">
        <v>7</v>
      </c>
      <c r="U52" s="127" t="s">
        <v>7</v>
      </c>
      <c r="V52" s="127">
        <v>0.5</v>
      </c>
      <c r="W52" s="117">
        <v>0.5</v>
      </c>
      <c r="X52" s="127">
        <f t="shared" si="2"/>
        <v>0.5</v>
      </c>
      <c r="Y52" s="269">
        <v>0.5</v>
      </c>
    </row>
    <row r="53" spans="1:25" x14ac:dyDescent="0.2">
      <c r="A53" s="178">
        <f>VLOOKUP(B53,Masterlist!B:E,2,)</f>
        <v>514566</v>
      </c>
      <c r="B53" s="175" t="s">
        <v>291</v>
      </c>
      <c r="C53" s="298">
        <v>0.5</v>
      </c>
      <c r="D53" s="267" t="s">
        <v>7</v>
      </c>
      <c r="E53" s="298">
        <v>0.5</v>
      </c>
      <c r="F53" s="298">
        <v>0.5</v>
      </c>
      <c r="G53" s="267" t="s">
        <v>7</v>
      </c>
      <c r="H53" s="298">
        <v>0.5</v>
      </c>
      <c r="I53" s="299">
        <v>0.5</v>
      </c>
      <c r="J53" s="121">
        <v>0.5</v>
      </c>
      <c r="K53" s="127">
        <v>0.5</v>
      </c>
      <c r="L53" s="127">
        <v>0.5</v>
      </c>
      <c r="M53" s="127" t="s">
        <v>7</v>
      </c>
      <c r="N53" s="127" t="s">
        <v>7</v>
      </c>
      <c r="O53" s="127">
        <v>0.5</v>
      </c>
      <c r="P53" s="117">
        <v>0.5</v>
      </c>
      <c r="Q53" s="121">
        <v>0.5</v>
      </c>
      <c r="R53" s="127">
        <v>0.5</v>
      </c>
      <c r="S53" s="127">
        <v>0.5</v>
      </c>
      <c r="T53" s="127" t="s">
        <v>7</v>
      </c>
      <c r="U53" s="127" t="s">
        <v>7</v>
      </c>
      <c r="V53" s="127">
        <v>0.5</v>
      </c>
      <c r="W53" s="117">
        <v>0.5</v>
      </c>
      <c r="X53" s="127">
        <f t="shared" si="2"/>
        <v>0.5</v>
      </c>
      <c r="Y53" s="269">
        <v>0.5</v>
      </c>
    </row>
    <row r="54" spans="1:25" x14ac:dyDescent="0.2">
      <c r="A54" s="178">
        <f>VLOOKUP(B54,Masterlist!B:E,2,)</f>
        <v>514163</v>
      </c>
      <c r="B54" s="175" t="s">
        <v>282</v>
      </c>
      <c r="C54" s="298">
        <v>0.5</v>
      </c>
      <c r="D54" s="267" t="s">
        <v>7</v>
      </c>
      <c r="E54" s="298">
        <v>0.5</v>
      </c>
      <c r="F54" s="298">
        <v>0.5</v>
      </c>
      <c r="G54" s="267" t="s">
        <v>7</v>
      </c>
      <c r="H54" s="298">
        <v>0.5</v>
      </c>
      <c r="I54" s="299">
        <v>0.5</v>
      </c>
      <c r="J54" s="121">
        <v>0.5</v>
      </c>
      <c r="K54" s="268">
        <v>0.5</v>
      </c>
      <c r="L54" s="268">
        <v>0.5</v>
      </c>
      <c r="M54" s="267" t="s">
        <v>7</v>
      </c>
      <c r="N54" s="267" t="s">
        <v>7</v>
      </c>
      <c r="O54" s="127">
        <v>0.5</v>
      </c>
      <c r="P54" s="117">
        <v>0.5</v>
      </c>
      <c r="Q54" s="121">
        <v>0.5</v>
      </c>
      <c r="R54" s="268">
        <v>0.5</v>
      </c>
      <c r="S54" s="268">
        <v>0.5</v>
      </c>
      <c r="T54" s="267" t="s">
        <v>7</v>
      </c>
      <c r="U54" s="267" t="s">
        <v>7</v>
      </c>
      <c r="V54" s="127">
        <v>0.5</v>
      </c>
      <c r="W54" s="117">
        <v>0.5</v>
      </c>
      <c r="X54" s="127">
        <f t="shared" si="2"/>
        <v>0.5</v>
      </c>
      <c r="Y54" s="269">
        <v>0.5</v>
      </c>
    </row>
    <row r="55" spans="1:25" x14ac:dyDescent="0.2">
      <c r="A55" s="178">
        <f>VLOOKUP(B55,Masterlist!B:E,2,)</f>
        <v>418220</v>
      </c>
      <c r="B55" s="175" t="s">
        <v>117</v>
      </c>
      <c r="C55" s="268">
        <v>0.41666666666666669</v>
      </c>
      <c r="D55" s="267" t="s">
        <v>7</v>
      </c>
      <c r="E55" s="267" t="s">
        <v>7</v>
      </c>
      <c r="F55" s="268">
        <v>0.41666666666666669</v>
      </c>
      <c r="G55" s="268">
        <v>0.41666666666666669</v>
      </c>
      <c r="H55" s="268">
        <v>0.41666666666666669</v>
      </c>
      <c r="I55" s="269">
        <v>0.41666666666666669</v>
      </c>
      <c r="J55" s="268">
        <v>0.41666666666666669</v>
      </c>
      <c r="K55" s="267" t="s">
        <v>7</v>
      </c>
      <c r="L55" s="267" t="s">
        <v>7</v>
      </c>
      <c r="M55" s="268">
        <v>0.41666666666666669</v>
      </c>
      <c r="N55" s="268">
        <v>0.41666666666666669</v>
      </c>
      <c r="O55" s="268">
        <v>0.41666666666666669</v>
      </c>
      <c r="P55" s="269">
        <v>0.41666666666666669</v>
      </c>
      <c r="Q55" s="268">
        <v>0.41666666666666669</v>
      </c>
      <c r="R55" s="267" t="s">
        <v>7</v>
      </c>
      <c r="S55" s="267" t="s">
        <v>7</v>
      </c>
      <c r="T55" s="268">
        <v>0.41666666666666669</v>
      </c>
      <c r="U55" s="268">
        <v>0.41666666666666669</v>
      </c>
      <c r="V55" s="268">
        <v>0.41666666666666669</v>
      </c>
      <c r="W55" s="269">
        <v>0.41666666666666669</v>
      </c>
      <c r="X55" s="127">
        <f t="shared" si="2"/>
        <v>0.41666666666666669</v>
      </c>
      <c r="Y55" s="269">
        <v>0.41666666666666669</v>
      </c>
    </row>
    <row r="56" spans="1:25" x14ac:dyDescent="0.2">
      <c r="A56" s="178">
        <f>VLOOKUP(B56,Masterlist!B:E,2,)</f>
        <v>270974</v>
      </c>
      <c r="B56" s="175" t="s">
        <v>120</v>
      </c>
      <c r="C56" s="268">
        <v>0.41666666666666669</v>
      </c>
      <c r="D56" s="267" t="s">
        <v>7</v>
      </c>
      <c r="E56" s="267" t="s">
        <v>7</v>
      </c>
      <c r="F56" s="268">
        <v>0.41666666666666669</v>
      </c>
      <c r="G56" s="268">
        <v>0.41666666666666669</v>
      </c>
      <c r="H56" s="268">
        <v>0.41666666666666669</v>
      </c>
      <c r="I56" s="269">
        <v>0.41666666666666669</v>
      </c>
      <c r="J56" s="268">
        <v>0.41666666666666669</v>
      </c>
      <c r="K56" s="267" t="s">
        <v>7</v>
      </c>
      <c r="L56" s="267" t="s">
        <v>7</v>
      </c>
      <c r="M56" s="268">
        <v>0.41666666666666669</v>
      </c>
      <c r="N56" s="268">
        <v>0.41666666666666669</v>
      </c>
      <c r="O56" s="268">
        <v>0.41666666666666669</v>
      </c>
      <c r="P56" s="269">
        <v>0.41666666666666669</v>
      </c>
      <c r="Q56" s="268">
        <v>0.41666666666666669</v>
      </c>
      <c r="R56" s="267" t="s">
        <v>7</v>
      </c>
      <c r="S56" s="267" t="s">
        <v>7</v>
      </c>
      <c r="T56" s="268">
        <v>0.41666666666666669</v>
      </c>
      <c r="U56" s="268">
        <v>0.41666666666666669</v>
      </c>
      <c r="V56" s="268">
        <v>0.41666666666666669</v>
      </c>
      <c r="W56" s="269">
        <v>0.41666666666666669</v>
      </c>
      <c r="X56" s="127">
        <f t="shared" si="2"/>
        <v>0.41666666666666669</v>
      </c>
      <c r="Y56" s="269">
        <v>0.41666666666666669</v>
      </c>
    </row>
    <row r="57" spans="1:25" x14ac:dyDescent="0.2">
      <c r="A57" s="178">
        <f>VLOOKUP(B57,Masterlist!B:E,2,)</f>
        <v>513908</v>
      </c>
      <c r="B57" s="270" t="s">
        <v>319</v>
      </c>
      <c r="C57" s="268">
        <v>0.41666666666666669</v>
      </c>
      <c r="D57" s="267" t="s">
        <v>7</v>
      </c>
      <c r="E57" s="267" t="s">
        <v>7</v>
      </c>
      <c r="F57" s="268">
        <v>0.41666666666666669</v>
      </c>
      <c r="G57" s="268">
        <v>0.41666666666666669</v>
      </c>
      <c r="H57" s="268">
        <v>0.41666666666666669</v>
      </c>
      <c r="I57" s="269">
        <v>0.41666666666666669</v>
      </c>
      <c r="J57" s="268">
        <v>0.41666666666666669</v>
      </c>
      <c r="K57" s="267" t="s">
        <v>7</v>
      </c>
      <c r="L57" s="267" t="s">
        <v>7</v>
      </c>
      <c r="M57" s="268">
        <v>0.41666666666666669</v>
      </c>
      <c r="N57" s="268">
        <v>0.41666666666666669</v>
      </c>
      <c r="O57" s="268">
        <v>0.41666666666666669</v>
      </c>
      <c r="P57" s="269">
        <v>0.41666666666666669</v>
      </c>
      <c r="Q57" s="268">
        <v>0.41666666666666669</v>
      </c>
      <c r="R57" s="267" t="s">
        <v>7</v>
      </c>
      <c r="S57" s="267" t="s">
        <v>7</v>
      </c>
      <c r="T57" s="268">
        <v>0.41666666666666669</v>
      </c>
      <c r="U57" s="268">
        <v>0.41666666666666669</v>
      </c>
      <c r="V57" s="268">
        <v>0.41666666666666669</v>
      </c>
      <c r="W57" s="269">
        <v>0.41666666666666669</v>
      </c>
      <c r="X57" s="127">
        <f t="shared" si="2"/>
        <v>0.41666666666666669</v>
      </c>
      <c r="Y57" s="269">
        <v>0.41666666666666669</v>
      </c>
    </row>
    <row r="58" spans="1:25" x14ac:dyDescent="0.2">
      <c r="A58" s="178">
        <f>VLOOKUP(B58,Masterlist!B:E,2,)</f>
        <v>514017</v>
      </c>
      <c r="B58" s="270" t="s">
        <v>320</v>
      </c>
      <c r="C58" s="268">
        <v>0.41666666666666669</v>
      </c>
      <c r="D58" s="267" t="s">
        <v>7</v>
      </c>
      <c r="E58" s="267" t="s">
        <v>7</v>
      </c>
      <c r="F58" s="268">
        <v>0.41666666666666669</v>
      </c>
      <c r="G58" s="268">
        <v>0.41666666666666669</v>
      </c>
      <c r="H58" s="268">
        <v>0.41666666666666669</v>
      </c>
      <c r="I58" s="269">
        <v>0.41666666666666669</v>
      </c>
      <c r="J58" s="268">
        <v>0.41666666666666669</v>
      </c>
      <c r="K58" s="267" t="s">
        <v>7</v>
      </c>
      <c r="L58" s="267" t="s">
        <v>7</v>
      </c>
      <c r="M58" s="268">
        <v>0.41666666666666669</v>
      </c>
      <c r="N58" s="268">
        <v>0.41666666666666669</v>
      </c>
      <c r="O58" s="268">
        <v>0.41666666666666669</v>
      </c>
      <c r="P58" s="269">
        <v>0.41666666666666669</v>
      </c>
      <c r="Q58" s="268">
        <v>0.41666666666666669</v>
      </c>
      <c r="R58" s="267" t="s">
        <v>7</v>
      </c>
      <c r="S58" s="267" t="s">
        <v>7</v>
      </c>
      <c r="T58" s="268">
        <v>0.41666666666666669</v>
      </c>
      <c r="U58" s="268">
        <v>0.41666666666666669</v>
      </c>
      <c r="V58" s="268">
        <v>0.41666666666666669</v>
      </c>
      <c r="W58" s="269">
        <v>0.41666666666666669</v>
      </c>
      <c r="X58" s="127">
        <f t="shared" si="2"/>
        <v>0.41666666666666669</v>
      </c>
      <c r="Y58" s="269">
        <v>0.41666666666666669</v>
      </c>
    </row>
    <row r="59" spans="1:25" x14ac:dyDescent="0.2">
      <c r="A59" s="178">
        <f>VLOOKUP(B59,Masterlist!B:E,2,)</f>
        <v>513706</v>
      </c>
      <c r="B59" s="270" t="s">
        <v>323</v>
      </c>
      <c r="C59" s="268">
        <v>0.41666666666666669</v>
      </c>
      <c r="D59" s="267" t="s">
        <v>7</v>
      </c>
      <c r="E59" s="267" t="s">
        <v>7</v>
      </c>
      <c r="F59" s="268">
        <v>0.41666666666666669</v>
      </c>
      <c r="G59" s="268">
        <v>0.41666666666666669</v>
      </c>
      <c r="H59" s="268">
        <v>0.41666666666666669</v>
      </c>
      <c r="I59" s="269">
        <v>0.41666666666666669</v>
      </c>
      <c r="J59" s="268">
        <v>0.41666666666666669</v>
      </c>
      <c r="K59" s="267" t="s">
        <v>7</v>
      </c>
      <c r="L59" s="267" t="s">
        <v>7</v>
      </c>
      <c r="M59" s="268">
        <v>0.41666666666666669</v>
      </c>
      <c r="N59" s="268">
        <v>0.41666666666666669</v>
      </c>
      <c r="O59" s="268">
        <v>0.41666666666666669</v>
      </c>
      <c r="P59" s="269">
        <v>0.41666666666666669</v>
      </c>
      <c r="Q59" s="268">
        <v>0.41666666666666669</v>
      </c>
      <c r="R59" s="267" t="s">
        <v>7</v>
      </c>
      <c r="S59" s="267" t="s">
        <v>7</v>
      </c>
      <c r="T59" s="268">
        <v>0.41666666666666669</v>
      </c>
      <c r="U59" s="268">
        <v>0.41666666666666669</v>
      </c>
      <c r="V59" s="268">
        <v>0.41666666666666669</v>
      </c>
      <c r="W59" s="269">
        <v>0.41666666666666669</v>
      </c>
      <c r="X59" s="127">
        <f t="shared" si="2"/>
        <v>0.41666666666666669</v>
      </c>
      <c r="Y59" s="269">
        <v>0.41666666666666669</v>
      </c>
    </row>
    <row r="60" spans="1:25" x14ac:dyDescent="0.2">
      <c r="A60" s="178">
        <f>VLOOKUP(B60,Masterlist!B:E,2,)</f>
        <v>141580</v>
      </c>
      <c r="B60" s="270" t="s">
        <v>324</v>
      </c>
      <c r="C60" s="268">
        <v>0.41666666666666669</v>
      </c>
      <c r="D60" s="267" t="s">
        <v>7</v>
      </c>
      <c r="E60" s="267" t="s">
        <v>7</v>
      </c>
      <c r="F60" s="268">
        <v>0.41666666666666669</v>
      </c>
      <c r="G60" s="268">
        <v>0.41666666666666669</v>
      </c>
      <c r="H60" s="268">
        <v>0.41666666666666669</v>
      </c>
      <c r="I60" s="269">
        <v>0.41666666666666669</v>
      </c>
      <c r="J60" s="268">
        <v>0.41666666666666669</v>
      </c>
      <c r="K60" s="267" t="s">
        <v>7</v>
      </c>
      <c r="L60" s="267" t="s">
        <v>7</v>
      </c>
      <c r="M60" s="268">
        <v>0.41666666666666669</v>
      </c>
      <c r="N60" s="268">
        <v>0.41666666666666669</v>
      </c>
      <c r="O60" s="268">
        <v>0.41666666666666669</v>
      </c>
      <c r="P60" s="269">
        <v>0.41666666666666669</v>
      </c>
      <c r="Q60" s="268">
        <v>0.41666666666666669</v>
      </c>
      <c r="R60" s="267" t="s">
        <v>7</v>
      </c>
      <c r="S60" s="267" t="s">
        <v>7</v>
      </c>
      <c r="T60" s="268">
        <v>0.41666666666666669</v>
      </c>
      <c r="U60" s="268">
        <v>0.41666666666666669</v>
      </c>
      <c r="V60" s="268">
        <v>0.41666666666666669</v>
      </c>
      <c r="W60" s="269">
        <v>0.41666666666666669</v>
      </c>
      <c r="X60" s="127">
        <f t="shared" si="2"/>
        <v>0.41666666666666669</v>
      </c>
      <c r="Y60" s="269">
        <v>0.41666666666666669</v>
      </c>
    </row>
    <row r="61" spans="1:25" x14ac:dyDescent="0.2">
      <c r="A61" s="178">
        <f>VLOOKUP(B61,Masterlist!B:E,2,)</f>
        <v>513901</v>
      </c>
      <c r="B61" s="270" t="s">
        <v>325</v>
      </c>
      <c r="C61" s="268">
        <v>0.41666666666666669</v>
      </c>
      <c r="D61" s="267" t="s">
        <v>7</v>
      </c>
      <c r="E61" s="267" t="s">
        <v>7</v>
      </c>
      <c r="F61" s="268">
        <v>0.41666666666666669</v>
      </c>
      <c r="G61" s="268">
        <v>0.41666666666666669</v>
      </c>
      <c r="H61" s="268">
        <v>0.41666666666666669</v>
      </c>
      <c r="I61" s="269">
        <v>0.41666666666666669</v>
      </c>
      <c r="J61" s="268">
        <v>0.41666666666666669</v>
      </c>
      <c r="K61" s="267" t="s">
        <v>7</v>
      </c>
      <c r="L61" s="267" t="s">
        <v>7</v>
      </c>
      <c r="M61" s="268">
        <v>0.41666666666666669</v>
      </c>
      <c r="N61" s="268">
        <v>0.41666666666666669</v>
      </c>
      <c r="O61" s="268">
        <v>0.41666666666666669</v>
      </c>
      <c r="P61" s="269">
        <v>0.41666666666666669</v>
      </c>
      <c r="Q61" s="268">
        <v>0.41666666666666669</v>
      </c>
      <c r="R61" s="267" t="s">
        <v>7</v>
      </c>
      <c r="S61" s="267" t="s">
        <v>7</v>
      </c>
      <c r="T61" s="268">
        <v>0.41666666666666669</v>
      </c>
      <c r="U61" s="268">
        <v>0.41666666666666669</v>
      </c>
      <c r="V61" s="268">
        <v>0.41666666666666669</v>
      </c>
      <c r="W61" s="269">
        <v>0.41666666666666669</v>
      </c>
      <c r="X61" s="127">
        <f t="shared" si="2"/>
        <v>0.41666666666666669</v>
      </c>
      <c r="Y61" s="269">
        <v>0.41666666666666669</v>
      </c>
    </row>
    <row r="62" spans="1:25" x14ac:dyDescent="0.2">
      <c r="A62" s="178">
        <f>VLOOKUP(B62,Masterlist!B:E,2,)</f>
        <v>409029</v>
      </c>
      <c r="B62" s="270" t="s">
        <v>326</v>
      </c>
      <c r="C62" s="268">
        <v>0.41666666666666669</v>
      </c>
      <c r="D62" s="267" t="s">
        <v>7</v>
      </c>
      <c r="E62" s="267" t="s">
        <v>7</v>
      </c>
      <c r="F62" s="268">
        <v>0.41666666666666669</v>
      </c>
      <c r="G62" s="268">
        <v>0.41666666666666669</v>
      </c>
      <c r="H62" s="268">
        <v>0.41666666666666669</v>
      </c>
      <c r="I62" s="269">
        <v>0.41666666666666669</v>
      </c>
      <c r="J62" s="268">
        <v>0.41666666666666669</v>
      </c>
      <c r="K62" s="267" t="s">
        <v>7</v>
      </c>
      <c r="L62" s="267" t="s">
        <v>7</v>
      </c>
      <c r="M62" s="268">
        <v>0.41666666666666669</v>
      </c>
      <c r="N62" s="268">
        <v>0.41666666666666669</v>
      </c>
      <c r="O62" s="268">
        <v>0.41666666666666669</v>
      </c>
      <c r="P62" s="269">
        <v>0.41666666666666669</v>
      </c>
      <c r="Q62" s="268">
        <v>0.41666666666666669</v>
      </c>
      <c r="R62" s="267" t="s">
        <v>7</v>
      </c>
      <c r="S62" s="267" t="s">
        <v>7</v>
      </c>
      <c r="T62" s="268">
        <v>0.41666666666666669</v>
      </c>
      <c r="U62" s="268">
        <v>0.41666666666666669</v>
      </c>
      <c r="V62" s="268">
        <v>0.41666666666666669</v>
      </c>
      <c r="W62" s="269">
        <v>0.41666666666666669</v>
      </c>
      <c r="X62" s="127">
        <f t="shared" si="2"/>
        <v>0.41666666666666669</v>
      </c>
      <c r="Y62" s="269">
        <v>0.41666666666666669</v>
      </c>
    </row>
    <row r="63" spans="1:25" x14ac:dyDescent="0.2">
      <c r="A63" s="178">
        <f>VLOOKUP(B63,Masterlist!B:E,2,)</f>
        <v>317109</v>
      </c>
      <c r="B63" s="270" t="s">
        <v>330</v>
      </c>
      <c r="C63" s="268">
        <v>0.41666666666666669</v>
      </c>
      <c r="D63" s="267" t="s">
        <v>7</v>
      </c>
      <c r="E63" s="267" t="s">
        <v>7</v>
      </c>
      <c r="F63" s="268">
        <v>0.41666666666666669</v>
      </c>
      <c r="G63" s="268">
        <v>0.41666666666666669</v>
      </c>
      <c r="H63" s="268">
        <v>0.41666666666666669</v>
      </c>
      <c r="I63" s="269">
        <v>0.41666666666666669</v>
      </c>
      <c r="J63" s="268">
        <v>0.41666666666666669</v>
      </c>
      <c r="K63" s="267" t="s">
        <v>7</v>
      </c>
      <c r="L63" s="267" t="s">
        <v>7</v>
      </c>
      <c r="M63" s="268">
        <v>0.41666666666666669</v>
      </c>
      <c r="N63" s="268">
        <v>0.41666666666666669</v>
      </c>
      <c r="O63" s="268">
        <v>0.41666666666666669</v>
      </c>
      <c r="P63" s="269">
        <v>0.41666666666666669</v>
      </c>
      <c r="Q63" s="268">
        <v>0.41666666666666669</v>
      </c>
      <c r="R63" s="267" t="s">
        <v>7</v>
      </c>
      <c r="S63" s="267" t="s">
        <v>7</v>
      </c>
      <c r="T63" s="268">
        <v>0.41666666666666669</v>
      </c>
      <c r="U63" s="268">
        <v>0.41666666666666669</v>
      </c>
      <c r="V63" s="268">
        <v>0.41666666666666669</v>
      </c>
      <c r="W63" s="269">
        <v>0.41666666666666669</v>
      </c>
      <c r="X63" s="127">
        <f t="shared" si="2"/>
        <v>0.41666666666666669</v>
      </c>
      <c r="Y63" s="269">
        <v>0.41666666666666669</v>
      </c>
    </row>
    <row r="64" spans="1:25" x14ac:dyDescent="0.2">
      <c r="A64" s="178">
        <f>VLOOKUP(B64,Masterlist!B:E,2,)</f>
        <v>516114</v>
      </c>
      <c r="B64" s="270" t="s">
        <v>321</v>
      </c>
      <c r="C64" s="268">
        <v>0.41666666666666669</v>
      </c>
      <c r="D64" s="267" t="s">
        <v>7</v>
      </c>
      <c r="E64" s="267" t="s">
        <v>7</v>
      </c>
      <c r="F64" s="268">
        <v>0.41666666666666669</v>
      </c>
      <c r="G64" s="268">
        <v>0.41666666666666669</v>
      </c>
      <c r="H64" s="268">
        <v>0.41666666666666669</v>
      </c>
      <c r="I64" s="269">
        <v>0.41666666666666669</v>
      </c>
      <c r="J64" s="268">
        <v>0.41666666666666669</v>
      </c>
      <c r="K64" s="267" t="s">
        <v>7</v>
      </c>
      <c r="L64" s="267" t="s">
        <v>7</v>
      </c>
      <c r="M64" s="268">
        <v>0.41666666666666669</v>
      </c>
      <c r="N64" s="268">
        <v>0.41666666666666669</v>
      </c>
      <c r="O64" s="268">
        <v>0.41666666666666669</v>
      </c>
      <c r="P64" s="269">
        <v>0.41666666666666669</v>
      </c>
      <c r="Q64" s="268">
        <v>0.41666666666666669</v>
      </c>
      <c r="R64" s="267" t="s">
        <v>7</v>
      </c>
      <c r="S64" s="267" t="s">
        <v>7</v>
      </c>
      <c r="T64" s="268">
        <v>0.41666666666666669</v>
      </c>
      <c r="U64" s="268">
        <v>0.41666666666666669</v>
      </c>
      <c r="V64" s="268">
        <v>0.41666666666666669</v>
      </c>
      <c r="W64" s="269">
        <v>0.41666666666666669</v>
      </c>
      <c r="X64" s="127">
        <f t="shared" si="2"/>
        <v>0.41666666666666669</v>
      </c>
      <c r="Y64" s="269">
        <v>0.41666666666666669</v>
      </c>
    </row>
    <row r="65" spans="1:25" x14ac:dyDescent="0.2">
      <c r="A65" s="178">
        <f>VLOOKUP(B65,Masterlist!B:E,2,)</f>
        <v>513093</v>
      </c>
      <c r="B65" s="270" t="s">
        <v>335</v>
      </c>
      <c r="C65" s="268">
        <v>0.41666666666666669</v>
      </c>
      <c r="D65" s="267" t="s">
        <v>7</v>
      </c>
      <c r="E65" s="267" t="s">
        <v>7</v>
      </c>
      <c r="F65" s="268">
        <v>0.41666666666666669</v>
      </c>
      <c r="G65" s="268">
        <v>0.41666666666666669</v>
      </c>
      <c r="H65" s="268">
        <v>0.41666666666666669</v>
      </c>
      <c r="I65" s="269">
        <v>0.41666666666666669</v>
      </c>
      <c r="J65" s="268">
        <v>0.41666666666666669</v>
      </c>
      <c r="K65" s="267" t="s">
        <v>7</v>
      </c>
      <c r="L65" s="267" t="s">
        <v>7</v>
      </c>
      <c r="M65" s="268">
        <v>0.41666666666666669</v>
      </c>
      <c r="N65" s="268">
        <v>0.41666666666666669</v>
      </c>
      <c r="O65" s="268">
        <v>0.41666666666666669</v>
      </c>
      <c r="P65" s="269">
        <v>0.41666666666666669</v>
      </c>
      <c r="Q65" s="268">
        <v>0.41666666666666669</v>
      </c>
      <c r="R65" s="267" t="s">
        <v>7</v>
      </c>
      <c r="S65" s="267" t="s">
        <v>7</v>
      </c>
      <c r="T65" s="268">
        <v>0.41666666666666669</v>
      </c>
      <c r="U65" s="268">
        <v>0.41666666666666669</v>
      </c>
      <c r="V65" s="268">
        <v>0.41666666666666669</v>
      </c>
      <c r="W65" s="269">
        <v>0.41666666666666669</v>
      </c>
      <c r="X65" s="127">
        <f t="shared" si="2"/>
        <v>0.41666666666666669</v>
      </c>
      <c r="Y65" s="269">
        <v>0.41666666666666669</v>
      </c>
    </row>
    <row r="66" spans="1:25" x14ac:dyDescent="0.2">
      <c r="A66" s="178">
        <f>VLOOKUP(B66,Masterlist!B:E,2,)</f>
        <v>515343</v>
      </c>
      <c r="B66" s="270" t="s">
        <v>336</v>
      </c>
      <c r="C66" s="268">
        <v>0.41666666666666669</v>
      </c>
      <c r="D66" s="267" t="s">
        <v>7</v>
      </c>
      <c r="E66" s="267" t="s">
        <v>7</v>
      </c>
      <c r="F66" s="268">
        <v>0.41666666666666669</v>
      </c>
      <c r="G66" s="268">
        <v>0.41666666666666669</v>
      </c>
      <c r="H66" s="268">
        <v>0.41666666666666669</v>
      </c>
      <c r="I66" s="269">
        <v>0.41666666666666669</v>
      </c>
      <c r="J66" s="268">
        <v>0.41666666666666669</v>
      </c>
      <c r="K66" s="267" t="s">
        <v>7</v>
      </c>
      <c r="L66" s="267" t="s">
        <v>7</v>
      </c>
      <c r="M66" s="268">
        <v>0.41666666666666669</v>
      </c>
      <c r="N66" s="268">
        <v>0.41666666666666669</v>
      </c>
      <c r="O66" s="268">
        <v>0.41666666666666669</v>
      </c>
      <c r="P66" s="269">
        <v>0.41666666666666669</v>
      </c>
      <c r="Q66" s="268">
        <v>0.41666666666666669</v>
      </c>
      <c r="R66" s="267" t="s">
        <v>7</v>
      </c>
      <c r="S66" s="267" t="s">
        <v>7</v>
      </c>
      <c r="T66" s="268">
        <v>0.41666666666666669</v>
      </c>
      <c r="U66" s="268">
        <v>0.41666666666666669</v>
      </c>
      <c r="V66" s="268">
        <v>0.41666666666666669</v>
      </c>
      <c r="W66" s="269">
        <v>0.41666666666666669</v>
      </c>
      <c r="X66" s="127">
        <f t="shared" si="2"/>
        <v>0.41666666666666669</v>
      </c>
      <c r="Y66" s="269">
        <v>0.41666666666666669</v>
      </c>
    </row>
    <row r="67" spans="1:25" x14ac:dyDescent="0.2">
      <c r="A67" s="178">
        <f>VLOOKUP(B67,Masterlist!B:E,2,)</f>
        <v>513891</v>
      </c>
      <c r="B67" s="270" t="s">
        <v>317</v>
      </c>
      <c r="C67" s="268">
        <v>0.41666666666666669</v>
      </c>
      <c r="D67" s="267" t="s">
        <v>7</v>
      </c>
      <c r="E67" s="267" t="s">
        <v>7</v>
      </c>
      <c r="F67" s="268">
        <v>0.41666666666666669</v>
      </c>
      <c r="G67" s="268">
        <v>0.41666666666666669</v>
      </c>
      <c r="H67" s="268">
        <v>0.41666666666666669</v>
      </c>
      <c r="I67" s="269">
        <v>0.41666666666666669</v>
      </c>
      <c r="J67" s="268">
        <v>0.41666666666666669</v>
      </c>
      <c r="K67" s="267" t="s">
        <v>7</v>
      </c>
      <c r="L67" s="267" t="s">
        <v>7</v>
      </c>
      <c r="M67" s="268">
        <v>0.41666666666666669</v>
      </c>
      <c r="N67" s="268">
        <v>0.41666666666666669</v>
      </c>
      <c r="O67" s="268">
        <v>0.41666666666666669</v>
      </c>
      <c r="P67" s="269">
        <v>0.41666666666666669</v>
      </c>
      <c r="Q67" s="268">
        <v>0.41666666666666669</v>
      </c>
      <c r="R67" s="267" t="s">
        <v>7</v>
      </c>
      <c r="S67" s="267" t="s">
        <v>7</v>
      </c>
      <c r="T67" s="268">
        <v>0.41666666666666669</v>
      </c>
      <c r="U67" s="268">
        <v>0.41666666666666669</v>
      </c>
      <c r="V67" s="268">
        <v>0.41666666666666669</v>
      </c>
      <c r="W67" s="269">
        <v>0.41666666666666669</v>
      </c>
      <c r="X67" s="127">
        <f t="shared" si="2"/>
        <v>0.41666666666666669</v>
      </c>
      <c r="Y67" s="269">
        <v>0.41666666666666669</v>
      </c>
    </row>
    <row r="68" spans="1:25" x14ac:dyDescent="0.2">
      <c r="A68" s="178">
        <f>VLOOKUP(B68,Masterlist!B:E,2,)</f>
        <v>494381</v>
      </c>
      <c r="B68" s="270" t="s">
        <v>318</v>
      </c>
      <c r="C68" s="268">
        <v>0.41666666666666669</v>
      </c>
      <c r="D68" s="267" t="s">
        <v>7</v>
      </c>
      <c r="E68" s="267" t="s">
        <v>7</v>
      </c>
      <c r="F68" s="268">
        <v>0.41666666666666669</v>
      </c>
      <c r="G68" s="268">
        <v>0.41666666666666669</v>
      </c>
      <c r="H68" s="268">
        <v>0.41666666666666669</v>
      </c>
      <c r="I68" s="269">
        <v>0.41666666666666669</v>
      </c>
      <c r="J68" s="268">
        <v>0.41666666666666669</v>
      </c>
      <c r="K68" s="267" t="s">
        <v>7</v>
      </c>
      <c r="L68" s="267" t="s">
        <v>7</v>
      </c>
      <c r="M68" s="268">
        <v>0.41666666666666669</v>
      </c>
      <c r="N68" s="268">
        <v>0.41666666666666669</v>
      </c>
      <c r="O68" s="268">
        <v>0.41666666666666669</v>
      </c>
      <c r="P68" s="269">
        <v>0.41666666666666669</v>
      </c>
      <c r="Q68" s="268">
        <v>0.41666666666666669</v>
      </c>
      <c r="R68" s="267" t="s">
        <v>7</v>
      </c>
      <c r="S68" s="267" t="s">
        <v>7</v>
      </c>
      <c r="T68" s="268">
        <v>0.41666666666666669</v>
      </c>
      <c r="U68" s="268">
        <v>0.41666666666666669</v>
      </c>
      <c r="V68" s="268">
        <v>0.41666666666666669</v>
      </c>
      <c r="W68" s="269">
        <v>0.41666666666666669</v>
      </c>
      <c r="X68" s="127">
        <f t="shared" si="2"/>
        <v>0.41666666666666669</v>
      </c>
      <c r="Y68" s="269">
        <v>0.41666666666666669</v>
      </c>
    </row>
    <row r="69" spans="1:25" x14ac:dyDescent="0.2">
      <c r="A69" s="178">
        <f>VLOOKUP(B69,Masterlist!B:E,2,)</f>
        <v>514581</v>
      </c>
      <c r="B69" s="270" t="s">
        <v>327</v>
      </c>
      <c r="C69" s="268">
        <v>0.41666666666666669</v>
      </c>
      <c r="D69" s="267" t="s">
        <v>7</v>
      </c>
      <c r="E69" s="267" t="s">
        <v>7</v>
      </c>
      <c r="F69" s="268">
        <v>0.41666666666666669</v>
      </c>
      <c r="G69" s="268">
        <v>0.41666666666666669</v>
      </c>
      <c r="H69" s="268">
        <v>0.41666666666666669</v>
      </c>
      <c r="I69" s="269">
        <v>0.41666666666666669</v>
      </c>
      <c r="J69" s="268">
        <v>0.41666666666666669</v>
      </c>
      <c r="K69" s="267" t="s">
        <v>7</v>
      </c>
      <c r="L69" s="267" t="s">
        <v>7</v>
      </c>
      <c r="M69" s="268">
        <v>0.41666666666666669</v>
      </c>
      <c r="N69" s="268">
        <v>0.41666666666666669</v>
      </c>
      <c r="O69" s="268">
        <v>0.41666666666666669</v>
      </c>
      <c r="P69" s="269">
        <v>0.41666666666666669</v>
      </c>
      <c r="Q69" s="268">
        <v>0.41666666666666669</v>
      </c>
      <c r="R69" s="267" t="s">
        <v>7</v>
      </c>
      <c r="S69" s="267" t="s">
        <v>7</v>
      </c>
      <c r="T69" s="268">
        <v>0.41666666666666669</v>
      </c>
      <c r="U69" s="268">
        <v>0.41666666666666669</v>
      </c>
      <c r="V69" s="268">
        <v>0.41666666666666669</v>
      </c>
      <c r="W69" s="269">
        <v>0.41666666666666669</v>
      </c>
      <c r="X69" s="127">
        <f t="shared" si="2"/>
        <v>0.41666666666666669</v>
      </c>
      <c r="Y69" s="269">
        <v>0.41666666666666669</v>
      </c>
    </row>
    <row r="70" spans="1:25" x14ac:dyDescent="0.2">
      <c r="A70" s="178">
        <f>VLOOKUP(B70,Masterlist!B:E,2,)</f>
        <v>516252</v>
      </c>
      <c r="B70" s="270" t="s">
        <v>334</v>
      </c>
      <c r="C70" s="268">
        <v>0.41666666666666669</v>
      </c>
      <c r="D70" s="267" t="s">
        <v>7</v>
      </c>
      <c r="E70" s="267" t="s">
        <v>7</v>
      </c>
      <c r="F70" s="268">
        <v>0.41666666666666669</v>
      </c>
      <c r="G70" s="268">
        <v>0.41666666666666669</v>
      </c>
      <c r="H70" s="268">
        <v>0.41666666666666669</v>
      </c>
      <c r="I70" s="269">
        <v>0.41666666666666669</v>
      </c>
      <c r="J70" s="268">
        <v>0.41666666666666669</v>
      </c>
      <c r="K70" s="267" t="s">
        <v>7</v>
      </c>
      <c r="L70" s="267" t="s">
        <v>7</v>
      </c>
      <c r="M70" s="268">
        <v>0.41666666666666669</v>
      </c>
      <c r="N70" s="268">
        <v>0.41666666666666669</v>
      </c>
      <c r="O70" s="268">
        <v>0.41666666666666669</v>
      </c>
      <c r="P70" s="269">
        <v>0.41666666666666669</v>
      </c>
      <c r="Q70" s="268">
        <v>0.41666666666666669</v>
      </c>
      <c r="R70" s="267" t="s">
        <v>7</v>
      </c>
      <c r="S70" s="267" t="s">
        <v>7</v>
      </c>
      <c r="T70" s="268">
        <v>0.41666666666666669</v>
      </c>
      <c r="U70" s="268">
        <v>0.41666666666666669</v>
      </c>
      <c r="V70" s="268">
        <v>0.41666666666666669</v>
      </c>
      <c r="W70" s="269">
        <v>0.41666666666666669</v>
      </c>
      <c r="X70" s="127">
        <f t="shared" si="2"/>
        <v>0.41666666666666669</v>
      </c>
      <c r="Y70" s="269">
        <v>0.41666666666666669</v>
      </c>
    </row>
    <row r="71" spans="1:25" x14ac:dyDescent="0.2">
      <c r="A71" s="178">
        <f>VLOOKUP(B71,Masterlist!B:E,2,)</f>
        <v>514876</v>
      </c>
      <c r="B71" s="270" t="s">
        <v>328</v>
      </c>
      <c r="C71" s="268">
        <v>0.41666666666666669</v>
      </c>
      <c r="D71" s="267" t="s">
        <v>7</v>
      </c>
      <c r="E71" s="267" t="s">
        <v>7</v>
      </c>
      <c r="F71" s="268">
        <v>0.41666666666666669</v>
      </c>
      <c r="G71" s="268">
        <v>0.41666666666666669</v>
      </c>
      <c r="H71" s="268">
        <v>0.41666666666666669</v>
      </c>
      <c r="I71" s="269">
        <v>0.41666666666666669</v>
      </c>
      <c r="J71" s="268">
        <v>0.41666666666666669</v>
      </c>
      <c r="K71" s="267" t="s">
        <v>7</v>
      </c>
      <c r="L71" s="267" t="s">
        <v>7</v>
      </c>
      <c r="M71" s="268">
        <v>0.41666666666666669</v>
      </c>
      <c r="N71" s="268">
        <v>0.41666666666666669</v>
      </c>
      <c r="O71" s="268">
        <v>0.41666666666666669</v>
      </c>
      <c r="P71" s="269">
        <v>0.41666666666666669</v>
      </c>
      <c r="Q71" s="268">
        <v>0.41666666666666669</v>
      </c>
      <c r="R71" s="267" t="s">
        <v>7</v>
      </c>
      <c r="S71" s="267" t="s">
        <v>7</v>
      </c>
      <c r="T71" s="268">
        <v>0.41666666666666669</v>
      </c>
      <c r="U71" s="268">
        <v>0.41666666666666669</v>
      </c>
      <c r="V71" s="268">
        <v>0.41666666666666669</v>
      </c>
      <c r="W71" s="269">
        <v>0.41666666666666669</v>
      </c>
      <c r="X71" s="127">
        <f t="shared" si="2"/>
        <v>0.41666666666666669</v>
      </c>
      <c r="Y71" s="269">
        <v>0.41666666666666669</v>
      </c>
    </row>
    <row r="72" spans="1:25" x14ac:dyDescent="0.2">
      <c r="A72" s="178">
        <f>VLOOKUP(B72,Masterlist!B:E,2,)</f>
        <v>514023</v>
      </c>
      <c r="B72" s="286" t="s">
        <v>331</v>
      </c>
      <c r="C72" s="267" t="s">
        <v>7</v>
      </c>
      <c r="D72" s="267" t="s">
        <v>7</v>
      </c>
      <c r="E72" s="267" t="s">
        <v>7</v>
      </c>
      <c r="F72" s="267" t="s">
        <v>7</v>
      </c>
      <c r="G72" s="267" t="s">
        <v>7</v>
      </c>
      <c r="H72" s="267" t="s">
        <v>7</v>
      </c>
      <c r="I72" s="272" t="s">
        <v>7</v>
      </c>
      <c r="J72" s="267" t="s">
        <v>7</v>
      </c>
      <c r="K72" s="267" t="s">
        <v>7</v>
      </c>
      <c r="L72" s="267" t="s">
        <v>7</v>
      </c>
      <c r="M72" s="267" t="s">
        <v>7</v>
      </c>
      <c r="N72" s="267" t="s">
        <v>7</v>
      </c>
      <c r="O72" s="267" t="s">
        <v>7</v>
      </c>
      <c r="P72" s="272" t="s">
        <v>7</v>
      </c>
      <c r="Q72" s="267" t="s">
        <v>7</v>
      </c>
      <c r="R72" s="267" t="s">
        <v>7</v>
      </c>
      <c r="S72" s="267" t="s">
        <v>7</v>
      </c>
      <c r="T72" s="267" t="s">
        <v>7</v>
      </c>
      <c r="U72" s="267" t="s">
        <v>7</v>
      </c>
      <c r="V72" s="267" t="s">
        <v>7</v>
      </c>
      <c r="W72" s="272" t="s">
        <v>7</v>
      </c>
      <c r="X72" s="127" t="str">
        <f t="shared" si="2"/>
        <v>OFF</v>
      </c>
      <c r="Y72" s="272" t="s">
        <v>7</v>
      </c>
    </row>
    <row r="73" spans="1:25" x14ac:dyDescent="0.2">
      <c r="A73" s="178">
        <f>VLOOKUP(B73,Masterlist!B:E,2,)</f>
        <v>514065</v>
      </c>
      <c r="B73" s="280" t="s">
        <v>339</v>
      </c>
      <c r="C73" s="268">
        <v>0.41666666666666669</v>
      </c>
      <c r="D73" s="267" t="s">
        <v>7</v>
      </c>
      <c r="E73" s="267" t="s">
        <v>7</v>
      </c>
      <c r="F73" s="268">
        <v>0.41666666666666669</v>
      </c>
      <c r="G73" s="268">
        <v>0.41666666666666669</v>
      </c>
      <c r="H73" s="268">
        <v>0.41666666666666669</v>
      </c>
      <c r="I73" s="269">
        <v>0.41666666666666669</v>
      </c>
      <c r="J73" s="268">
        <v>0.41666666666666669</v>
      </c>
      <c r="K73" s="267" t="s">
        <v>7</v>
      </c>
      <c r="L73" s="267" t="s">
        <v>7</v>
      </c>
      <c r="M73" s="268">
        <v>0.41666666666666669</v>
      </c>
      <c r="N73" s="268">
        <v>0.41666666666666669</v>
      </c>
      <c r="O73" s="268">
        <v>0.41666666666666669</v>
      </c>
      <c r="P73" s="269">
        <v>0.41666666666666669</v>
      </c>
      <c r="Q73" s="268">
        <v>0.41666666666666669</v>
      </c>
      <c r="R73" s="267" t="s">
        <v>7</v>
      </c>
      <c r="S73" s="267" t="s">
        <v>7</v>
      </c>
      <c r="T73" s="268">
        <v>0.41666666666666669</v>
      </c>
      <c r="U73" s="268">
        <v>0.41666666666666669</v>
      </c>
      <c r="V73" s="268">
        <v>0.41666666666666669</v>
      </c>
      <c r="W73" s="269">
        <v>0.41666666666666669</v>
      </c>
      <c r="X73" s="127">
        <f t="shared" si="2"/>
        <v>0.41666666666666669</v>
      </c>
      <c r="Y73" s="269">
        <v>0.41666666666666669</v>
      </c>
    </row>
    <row r="74" spans="1:25" x14ac:dyDescent="0.2">
      <c r="A74" s="178">
        <f>VLOOKUP(B74,Masterlist!B:E,2,)</f>
        <v>515880</v>
      </c>
      <c r="B74" s="280" t="s">
        <v>340</v>
      </c>
      <c r="C74" s="268">
        <v>0.41666666666666669</v>
      </c>
      <c r="D74" s="267" t="s">
        <v>7</v>
      </c>
      <c r="E74" s="267" t="s">
        <v>7</v>
      </c>
      <c r="F74" s="268">
        <v>0.41666666666666669</v>
      </c>
      <c r="G74" s="268">
        <v>0.41666666666666669</v>
      </c>
      <c r="H74" s="268">
        <v>0.41666666666666669</v>
      </c>
      <c r="I74" s="269">
        <v>0.41666666666666669</v>
      </c>
      <c r="J74" s="268">
        <v>0.41666666666666669</v>
      </c>
      <c r="K74" s="267" t="s">
        <v>7</v>
      </c>
      <c r="L74" s="267" t="s">
        <v>7</v>
      </c>
      <c r="M74" s="268">
        <v>0.41666666666666669</v>
      </c>
      <c r="N74" s="268">
        <v>0.41666666666666669</v>
      </c>
      <c r="O74" s="268">
        <v>0.41666666666666669</v>
      </c>
      <c r="P74" s="269">
        <v>0.41666666666666669</v>
      </c>
      <c r="Q74" s="268">
        <v>0.41666666666666669</v>
      </c>
      <c r="R74" s="267" t="s">
        <v>7</v>
      </c>
      <c r="S74" s="267" t="s">
        <v>7</v>
      </c>
      <c r="T74" s="268">
        <v>0.41666666666666669</v>
      </c>
      <c r="U74" s="268">
        <v>0.41666666666666669</v>
      </c>
      <c r="V74" s="268">
        <v>0.41666666666666669</v>
      </c>
      <c r="W74" s="269">
        <v>0.41666666666666669</v>
      </c>
      <c r="X74" s="127">
        <f t="shared" si="2"/>
        <v>0.41666666666666669</v>
      </c>
      <c r="Y74" s="269">
        <v>0.41666666666666669</v>
      </c>
    </row>
    <row r="75" spans="1:25" x14ac:dyDescent="0.2">
      <c r="A75" s="178">
        <f>VLOOKUP(B75,Masterlist!B:E,2,)</f>
        <v>514586</v>
      </c>
      <c r="B75" s="280" t="s">
        <v>341</v>
      </c>
      <c r="C75" s="268">
        <v>0.41666666666666669</v>
      </c>
      <c r="D75" s="267" t="s">
        <v>7</v>
      </c>
      <c r="E75" s="267" t="s">
        <v>7</v>
      </c>
      <c r="F75" s="268">
        <v>0.41666666666666669</v>
      </c>
      <c r="G75" s="268">
        <v>0.41666666666666669</v>
      </c>
      <c r="H75" s="268">
        <v>0.41666666666666669</v>
      </c>
      <c r="I75" s="269">
        <v>0.41666666666666669</v>
      </c>
      <c r="J75" s="268">
        <v>0.41666666666666669</v>
      </c>
      <c r="K75" s="267" t="s">
        <v>7</v>
      </c>
      <c r="L75" s="267" t="s">
        <v>7</v>
      </c>
      <c r="M75" s="268">
        <v>0.41666666666666669</v>
      </c>
      <c r="N75" s="268">
        <v>0.41666666666666669</v>
      </c>
      <c r="O75" s="268">
        <v>0.41666666666666669</v>
      </c>
      <c r="P75" s="269">
        <v>0.41666666666666669</v>
      </c>
      <c r="Q75" s="268">
        <v>0.41666666666666669</v>
      </c>
      <c r="R75" s="267" t="s">
        <v>7</v>
      </c>
      <c r="S75" s="267" t="s">
        <v>7</v>
      </c>
      <c r="T75" s="268">
        <v>0.41666666666666669</v>
      </c>
      <c r="U75" s="268">
        <v>0.41666666666666669</v>
      </c>
      <c r="V75" s="268">
        <v>0.41666666666666669</v>
      </c>
      <c r="W75" s="269">
        <v>0.41666666666666669</v>
      </c>
      <c r="X75" s="127">
        <f t="shared" si="2"/>
        <v>0.41666666666666669</v>
      </c>
      <c r="Y75" s="269">
        <v>0.41666666666666669</v>
      </c>
    </row>
    <row r="76" spans="1:25" x14ac:dyDescent="0.2">
      <c r="A76" s="178">
        <f>VLOOKUP(B76,Masterlist!B:E,2,)</f>
        <v>312901</v>
      </c>
      <c r="B76" s="280" t="s">
        <v>342</v>
      </c>
      <c r="C76" s="268">
        <v>0.41666666666666669</v>
      </c>
      <c r="D76" s="267" t="s">
        <v>7</v>
      </c>
      <c r="E76" s="267" t="s">
        <v>7</v>
      </c>
      <c r="F76" s="268">
        <v>0.41666666666666669</v>
      </c>
      <c r="G76" s="268">
        <v>0.41666666666666669</v>
      </c>
      <c r="H76" s="268">
        <v>0.41666666666666669</v>
      </c>
      <c r="I76" s="269">
        <v>0.41666666666666669</v>
      </c>
      <c r="J76" s="268">
        <v>0.41666666666666669</v>
      </c>
      <c r="K76" s="267" t="s">
        <v>7</v>
      </c>
      <c r="L76" s="267" t="s">
        <v>7</v>
      </c>
      <c r="M76" s="268">
        <v>0.41666666666666669</v>
      </c>
      <c r="N76" s="268">
        <v>0.41666666666666669</v>
      </c>
      <c r="O76" s="268">
        <v>0.41666666666666669</v>
      </c>
      <c r="P76" s="269">
        <v>0.41666666666666669</v>
      </c>
      <c r="Q76" s="268">
        <v>0.41666666666666669</v>
      </c>
      <c r="R76" s="267" t="s">
        <v>7</v>
      </c>
      <c r="S76" s="267" t="s">
        <v>7</v>
      </c>
      <c r="T76" s="268">
        <v>0.41666666666666669</v>
      </c>
      <c r="U76" s="268">
        <v>0.41666666666666669</v>
      </c>
      <c r="V76" s="268">
        <v>0.41666666666666669</v>
      </c>
      <c r="W76" s="269">
        <v>0.41666666666666669</v>
      </c>
      <c r="X76" s="127">
        <f t="shared" si="2"/>
        <v>0.41666666666666669</v>
      </c>
      <c r="Y76" s="269">
        <v>0.41666666666666669</v>
      </c>
    </row>
    <row r="77" spans="1:25" x14ac:dyDescent="0.2">
      <c r="A77" s="178">
        <f>VLOOKUP(B77,Masterlist!B:E,2,)</f>
        <v>516477</v>
      </c>
      <c r="B77" s="280" t="s">
        <v>344</v>
      </c>
      <c r="C77" s="268">
        <v>0.41666666666666669</v>
      </c>
      <c r="D77" s="267" t="s">
        <v>7</v>
      </c>
      <c r="E77" s="267" t="s">
        <v>7</v>
      </c>
      <c r="F77" s="268">
        <v>0.41666666666666669</v>
      </c>
      <c r="G77" s="268">
        <v>0.41666666666666669</v>
      </c>
      <c r="H77" s="268">
        <v>0.41666666666666669</v>
      </c>
      <c r="I77" s="269">
        <v>0.41666666666666669</v>
      </c>
      <c r="J77" s="268">
        <v>0.41666666666666669</v>
      </c>
      <c r="K77" s="267" t="s">
        <v>7</v>
      </c>
      <c r="L77" s="267" t="s">
        <v>7</v>
      </c>
      <c r="M77" s="268">
        <v>0.41666666666666669</v>
      </c>
      <c r="N77" s="268">
        <v>0.41666666666666669</v>
      </c>
      <c r="O77" s="268">
        <v>0.41666666666666669</v>
      </c>
      <c r="P77" s="269">
        <v>0.41666666666666669</v>
      </c>
      <c r="Q77" s="268">
        <v>0.41666666666666669</v>
      </c>
      <c r="R77" s="267" t="s">
        <v>7</v>
      </c>
      <c r="S77" s="267" t="s">
        <v>7</v>
      </c>
      <c r="T77" s="268">
        <v>0.41666666666666669</v>
      </c>
      <c r="U77" s="268">
        <v>0.41666666666666669</v>
      </c>
      <c r="V77" s="268">
        <v>0.41666666666666669</v>
      </c>
      <c r="W77" s="269">
        <v>0.41666666666666669</v>
      </c>
      <c r="X77" s="127">
        <f t="shared" si="2"/>
        <v>0.41666666666666669</v>
      </c>
      <c r="Y77" s="269">
        <v>0.41666666666666669</v>
      </c>
    </row>
    <row r="78" spans="1:25" x14ac:dyDescent="0.2">
      <c r="A78" s="178">
        <f>VLOOKUP(B78,Masterlist!B:E,2,)</f>
        <v>513310</v>
      </c>
      <c r="B78" s="280" t="s">
        <v>345</v>
      </c>
      <c r="C78" s="268">
        <v>0.41666666666666669</v>
      </c>
      <c r="D78" s="267" t="s">
        <v>7</v>
      </c>
      <c r="E78" s="267" t="s">
        <v>7</v>
      </c>
      <c r="F78" s="268">
        <v>0.41666666666666669</v>
      </c>
      <c r="G78" s="268">
        <v>0.41666666666666669</v>
      </c>
      <c r="H78" s="268">
        <v>0.41666666666666669</v>
      </c>
      <c r="I78" s="269">
        <v>0.41666666666666669</v>
      </c>
      <c r="J78" s="268">
        <v>0.41666666666666669</v>
      </c>
      <c r="K78" s="267" t="s">
        <v>7</v>
      </c>
      <c r="L78" s="267" t="s">
        <v>7</v>
      </c>
      <c r="M78" s="268">
        <v>0.41666666666666669</v>
      </c>
      <c r="N78" s="268">
        <v>0.41666666666666669</v>
      </c>
      <c r="O78" s="268">
        <v>0.41666666666666669</v>
      </c>
      <c r="P78" s="269">
        <v>0.41666666666666669</v>
      </c>
      <c r="Q78" s="268">
        <v>0.41666666666666669</v>
      </c>
      <c r="R78" s="267" t="s">
        <v>7</v>
      </c>
      <c r="S78" s="267" t="s">
        <v>7</v>
      </c>
      <c r="T78" s="268">
        <v>0.41666666666666669</v>
      </c>
      <c r="U78" s="268">
        <v>0.41666666666666669</v>
      </c>
      <c r="V78" s="268">
        <v>0.41666666666666669</v>
      </c>
      <c r="W78" s="269">
        <v>0.41666666666666669</v>
      </c>
      <c r="X78" s="127">
        <f t="shared" si="2"/>
        <v>0.41666666666666669</v>
      </c>
      <c r="Y78" s="269">
        <v>0.41666666666666669</v>
      </c>
    </row>
    <row r="79" spans="1:25" x14ac:dyDescent="0.2">
      <c r="A79" s="178">
        <f>VLOOKUP(B79,Masterlist!B:E,2,)</f>
        <v>337009</v>
      </c>
      <c r="B79" s="280" t="s">
        <v>346</v>
      </c>
      <c r="C79" s="268">
        <v>0.41666666666666669</v>
      </c>
      <c r="D79" s="267" t="s">
        <v>7</v>
      </c>
      <c r="E79" s="267" t="s">
        <v>7</v>
      </c>
      <c r="F79" s="268">
        <v>0.41666666666666669</v>
      </c>
      <c r="G79" s="268">
        <v>0.41666666666666669</v>
      </c>
      <c r="H79" s="268">
        <v>0.41666666666666669</v>
      </c>
      <c r="I79" s="269">
        <v>0.41666666666666669</v>
      </c>
      <c r="J79" s="268">
        <v>0.41666666666666669</v>
      </c>
      <c r="K79" s="267" t="s">
        <v>7</v>
      </c>
      <c r="L79" s="267" t="s">
        <v>7</v>
      </c>
      <c r="M79" s="268">
        <v>0.41666666666666669</v>
      </c>
      <c r="N79" s="268">
        <v>0.41666666666666669</v>
      </c>
      <c r="O79" s="268">
        <v>0.41666666666666669</v>
      </c>
      <c r="P79" s="269">
        <v>0.41666666666666669</v>
      </c>
      <c r="Q79" s="268">
        <v>0.41666666666666669</v>
      </c>
      <c r="R79" s="267" t="s">
        <v>7</v>
      </c>
      <c r="S79" s="267" t="s">
        <v>7</v>
      </c>
      <c r="T79" s="268">
        <v>0.41666666666666669</v>
      </c>
      <c r="U79" s="268">
        <v>0.41666666666666669</v>
      </c>
      <c r="V79" s="268">
        <v>0.41666666666666669</v>
      </c>
      <c r="W79" s="269">
        <v>0.41666666666666669</v>
      </c>
      <c r="X79" s="127">
        <f t="shared" si="2"/>
        <v>0.41666666666666669</v>
      </c>
      <c r="Y79" s="269">
        <v>0.41666666666666669</v>
      </c>
    </row>
    <row r="80" spans="1:25" x14ac:dyDescent="0.2">
      <c r="A80" s="178">
        <f>VLOOKUP(B80,Masterlist!B:E,2,)</f>
        <v>512857</v>
      </c>
      <c r="B80" s="280" t="s">
        <v>347</v>
      </c>
      <c r="C80" s="268">
        <v>0.41666666666666669</v>
      </c>
      <c r="D80" s="267" t="s">
        <v>7</v>
      </c>
      <c r="E80" s="267" t="s">
        <v>7</v>
      </c>
      <c r="F80" s="268">
        <v>0.41666666666666669</v>
      </c>
      <c r="G80" s="268">
        <v>0.41666666666666669</v>
      </c>
      <c r="H80" s="268">
        <v>0.41666666666666669</v>
      </c>
      <c r="I80" s="269">
        <v>0.41666666666666669</v>
      </c>
      <c r="J80" s="268">
        <v>0.41666666666666669</v>
      </c>
      <c r="K80" s="267" t="s">
        <v>7</v>
      </c>
      <c r="L80" s="267" t="s">
        <v>7</v>
      </c>
      <c r="M80" s="268">
        <v>0.41666666666666669</v>
      </c>
      <c r="N80" s="268">
        <v>0.41666666666666669</v>
      </c>
      <c r="O80" s="268">
        <v>0.41666666666666669</v>
      </c>
      <c r="P80" s="269">
        <v>0.41666666666666669</v>
      </c>
      <c r="Q80" s="268">
        <v>0.41666666666666669</v>
      </c>
      <c r="R80" s="267" t="s">
        <v>7</v>
      </c>
      <c r="S80" s="267" t="s">
        <v>7</v>
      </c>
      <c r="T80" s="268">
        <v>0.41666666666666669</v>
      </c>
      <c r="U80" s="268">
        <v>0.41666666666666669</v>
      </c>
      <c r="V80" s="268">
        <v>0.41666666666666669</v>
      </c>
      <c r="W80" s="269">
        <v>0.41666666666666669</v>
      </c>
      <c r="X80" s="127">
        <f t="shared" si="2"/>
        <v>0.41666666666666669</v>
      </c>
      <c r="Y80" s="269">
        <v>0.41666666666666669</v>
      </c>
    </row>
    <row r="81" spans="1:25" x14ac:dyDescent="0.2">
      <c r="A81" s="178">
        <f>VLOOKUP(B81,Masterlist!B:E,2,)</f>
        <v>485738</v>
      </c>
      <c r="B81" s="280" t="s">
        <v>348</v>
      </c>
      <c r="C81" s="268">
        <v>0.41666666666666669</v>
      </c>
      <c r="D81" s="267" t="s">
        <v>7</v>
      </c>
      <c r="E81" s="267" t="s">
        <v>7</v>
      </c>
      <c r="F81" s="268">
        <v>0.41666666666666669</v>
      </c>
      <c r="G81" s="268">
        <v>0.41666666666666669</v>
      </c>
      <c r="H81" s="268">
        <v>0.41666666666666669</v>
      </c>
      <c r="I81" s="269">
        <v>0.41666666666666669</v>
      </c>
      <c r="J81" s="268">
        <v>0.41666666666666669</v>
      </c>
      <c r="K81" s="267" t="s">
        <v>7</v>
      </c>
      <c r="L81" s="267" t="s">
        <v>7</v>
      </c>
      <c r="M81" s="268">
        <v>0.41666666666666669</v>
      </c>
      <c r="N81" s="268">
        <v>0.41666666666666669</v>
      </c>
      <c r="O81" s="268">
        <v>0.41666666666666669</v>
      </c>
      <c r="P81" s="269">
        <v>0.41666666666666669</v>
      </c>
      <c r="Q81" s="268">
        <v>0.41666666666666669</v>
      </c>
      <c r="R81" s="267" t="s">
        <v>7</v>
      </c>
      <c r="S81" s="267" t="s">
        <v>7</v>
      </c>
      <c r="T81" s="268">
        <v>0.41666666666666669</v>
      </c>
      <c r="U81" s="268">
        <v>0.41666666666666669</v>
      </c>
      <c r="V81" s="268">
        <v>0.41666666666666669</v>
      </c>
      <c r="W81" s="269">
        <v>0.41666666666666669</v>
      </c>
      <c r="X81" s="127">
        <f t="shared" si="2"/>
        <v>0.41666666666666669</v>
      </c>
      <c r="Y81" s="269">
        <v>0.41666666666666669</v>
      </c>
    </row>
    <row r="82" spans="1:25" x14ac:dyDescent="0.2">
      <c r="A82" s="178">
        <f>VLOOKUP(B82,Masterlist!B:E,2,)</f>
        <v>514503</v>
      </c>
      <c r="B82" s="280" t="s">
        <v>349</v>
      </c>
      <c r="C82" s="268">
        <v>0.41666666666666669</v>
      </c>
      <c r="D82" s="267" t="s">
        <v>7</v>
      </c>
      <c r="E82" s="267" t="s">
        <v>7</v>
      </c>
      <c r="F82" s="268">
        <v>0.41666666666666669</v>
      </c>
      <c r="G82" s="268">
        <v>0.41666666666666669</v>
      </c>
      <c r="H82" s="268">
        <v>0.41666666666666669</v>
      </c>
      <c r="I82" s="269">
        <v>0.41666666666666669</v>
      </c>
      <c r="J82" s="268">
        <v>0.41666666666666669</v>
      </c>
      <c r="K82" s="267" t="s">
        <v>7</v>
      </c>
      <c r="L82" s="267" t="s">
        <v>7</v>
      </c>
      <c r="M82" s="268">
        <v>0.41666666666666669</v>
      </c>
      <c r="N82" s="268">
        <v>0.41666666666666669</v>
      </c>
      <c r="O82" s="268">
        <v>0.41666666666666669</v>
      </c>
      <c r="P82" s="269">
        <v>0.41666666666666669</v>
      </c>
      <c r="Q82" s="268">
        <v>0.41666666666666669</v>
      </c>
      <c r="R82" s="267" t="s">
        <v>7</v>
      </c>
      <c r="S82" s="267" t="s">
        <v>7</v>
      </c>
      <c r="T82" s="268">
        <v>0.41666666666666669</v>
      </c>
      <c r="U82" s="268">
        <v>0.41666666666666669</v>
      </c>
      <c r="V82" s="268">
        <v>0.41666666666666669</v>
      </c>
      <c r="W82" s="269">
        <v>0.41666666666666669</v>
      </c>
      <c r="X82" s="127">
        <f t="shared" si="2"/>
        <v>0.41666666666666669</v>
      </c>
      <c r="Y82" s="269">
        <v>0.41666666666666669</v>
      </c>
    </row>
    <row r="83" spans="1:25" x14ac:dyDescent="0.2">
      <c r="A83" s="178">
        <f>VLOOKUP(B83,Masterlist!B:E,2,)</f>
        <v>513808</v>
      </c>
      <c r="B83" s="280" t="s">
        <v>350</v>
      </c>
      <c r="C83" s="268">
        <v>0.41666666666666669</v>
      </c>
      <c r="D83" s="267" t="s">
        <v>7</v>
      </c>
      <c r="E83" s="267" t="s">
        <v>7</v>
      </c>
      <c r="F83" s="268">
        <v>0.41666666666666669</v>
      </c>
      <c r="G83" s="268">
        <v>0.41666666666666669</v>
      </c>
      <c r="H83" s="268">
        <v>0.41666666666666669</v>
      </c>
      <c r="I83" s="269">
        <v>0.41666666666666669</v>
      </c>
      <c r="J83" s="268">
        <v>0.41666666666666669</v>
      </c>
      <c r="K83" s="267" t="s">
        <v>7</v>
      </c>
      <c r="L83" s="267" t="s">
        <v>7</v>
      </c>
      <c r="M83" s="268">
        <v>0.41666666666666669</v>
      </c>
      <c r="N83" s="268">
        <v>0.41666666666666669</v>
      </c>
      <c r="O83" s="268">
        <v>0.41666666666666669</v>
      </c>
      <c r="P83" s="269">
        <v>0.41666666666666669</v>
      </c>
      <c r="Q83" s="268">
        <v>0.41666666666666669</v>
      </c>
      <c r="R83" s="267" t="s">
        <v>7</v>
      </c>
      <c r="S83" s="267" t="s">
        <v>7</v>
      </c>
      <c r="T83" s="268">
        <v>0.41666666666666669</v>
      </c>
      <c r="U83" s="268">
        <v>0.41666666666666669</v>
      </c>
      <c r="V83" s="268">
        <v>0.41666666666666669</v>
      </c>
      <c r="W83" s="269">
        <v>0.41666666666666669</v>
      </c>
      <c r="X83" s="127">
        <f t="shared" si="2"/>
        <v>0.41666666666666669</v>
      </c>
      <c r="Y83" s="269">
        <v>0.41666666666666669</v>
      </c>
    </row>
    <row r="84" spans="1:25" x14ac:dyDescent="0.2">
      <c r="A84" s="178">
        <f>VLOOKUP(B84,Masterlist!B:E,2,)</f>
        <v>518655</v>
      </c>
      <c r="B84" s="280" t="s">
        <v>351</v>
      </c>
      <c r="C84" s="268">
        <v>0.41666666666666669</v>
      </c>
      <c r="D84" s="267" t="s">
        <v>7</v>
      </c>
      <c r="E84" s="267" t="s">
        <v>7</v>
      </c>
      <c r="F84" s="268">
        <v>0.41666666666666669</v>
      </c>
      <c r="G84" s="268">
        <v>0.41666666666666669</v>
      </c>
      <c r="H84" s="268">
        <v>0.41666666666666669</v>
      </c>
      <c r="I84" s="269">
        <v>0.41666666666666669</v>
      </c>
      <c r="J84" s="268">
        <v>0.41666666666666669</v>
      </c>
      <c r="K84" s="267" t="s">
        <v>7</v>
      </c>
      <c r="L84" s="267" t="s">
        <v>7</v>
      </c>
      <c r="M84" s="268">
        <v>0.41666666666666669</v>
      </c>
      <c r="N84" s="268">
        <v>0.41666666666666669</v>
      </c>
      <c r="O84" s="268">
        <v>0.41666666666666669</v>
      </c>
      <c r="P84" s="269">
        <v>0.41666666666666669</v>
      </c>
      <c r="Q84" s="268">
        <v>0.41666666666666669</v>
      </c>
      <c r="R84" s="267" t="s">
        <v>7</v>
      </c>
      <c r="S84" s="267" t="s">
        <v>7</v>
      </c>
      <c r="T84" s="268">
        <v>0.41666666666666669</v>
      </c>
      <c r="U84" s="268">
        <v>0.41666666666666669</v>
      </c>
      <c r="V84" s="268">
        <v>0.41666666666666669</v>
      </c>
      <c r="W84" s="269">
        <v>0.41666666666666669</v>
      </c>
      <c r="X84" s="127">
        <f t="shared" si="2"/>
        <v>0.41666666666666669</v>
      </c>
      <c r="Y84" s="269">
        <v>0.41666666666666669</v>
      </c>
    </row>
    <row r="85" spans="1:25" x14ac:dyDescent="0.2">
      <c r="A85" s="178">
        <f>VLOOKUP(B85,Masterlist!B:E,2,)</f>
        <v>518432</v>
      </c>
      <c r="B85" s="280" t="s">
        <v>352</v>
      </c>
      <c r="C85" s="268">
        <v>0.41666666666666669</v>
      </c>
      <c r="D85" s="267" t="s">
        <v>7</v>
      </c>
      <c r="E85" s="267" t="s">
        <v>7</v>
      </c>
      <c r="F85" s="268">
        <v>0.41666666666666669</v>
      </c>
      <c r="G85" s="268">
        <v>0.41666666666666669</v>
      </c>
      <c r="H85" s="268">
        <v>0.41666666666666669</v>
      </c>
      <c r="I85" s="269">
        <v>0.41666666666666669</v>
      </c>
      <c r="J85" s="268">
        <v>0.41666666666666669</v>
      </c>
      <c r="K85" s="267" t="s">
        <v>7</v>
      </c>
      <c r="L85" s="267" t="s">
        <v>7</v>
      </c>
      <c r="M85" s="268">
        <v>0.41666666666666669</v>
      </c>
      <c r="N85" s="268">
        <v>0.41666666666666669</v>
      </c>
      <c r="O85" s="268">
        <v>0.41666666666666669</v>
      </c>
      <c r="P85" s="269">
        <v>0.41666666666666669</v>
      </c>
      <c r="Q85" s="268">
        <v>0.41666666666666669</v>
      </c>
      <c r="R85" s="267" t="s">
        <v>7</v>
      </c>
      <c r="S85" s="267" t="s">
        <v>7</v>
      </c>
      <c r="T85" s="268">
        <v>0.41666666666666669</v>
      </c>
      <c r="U85" s="268">
        <v>0.41666666666666669</v>
      </c>
      <c r="V85" s="268">
        <v>0.41666666666666669</v>
      </c>
      <c r="W85" s="269">
        <v>0.41666666666666669</v>
      </c>
      <c r="X85" s="127">
        <f t="shared" si="2"/>
        <v>0.41666666666666669</v>
      </c>
      <c r="Y85" s="269">
        <v>0.41666666666666669</v>
      </c>
    </row>
    <row r="86" spans="1:25" x14ac:dyDescent="0.2">
      <c r="A86" s="178">
        <f>VLOOKUP(B86,Masterlist!B:E,2,)</f>
        <v>516917</v>
      </c>
      <c r="B86" s="280" t="s">
        <v>353</v>
      </c>
      <c r="C86" s="268">
        <v>0.41666666666666669</v>
      </c>
      <c r="D86" s="267" t="s">
        <v>7</v>
      </c>
      <c r="E86" s="267" t="s">
        <v>7</v>
      </c>
      <c r="F86" s="268">
        <v>0.41666666666666669</v>
      </c>
      <c r="G86" s="268">
        <v>0.41666666666666669</v>
      </c>
      <c r="H86" s="268">
        <v>0.41666666666666669</v>
      </c>
      <c r="I86" s="269">
        <v>0.41666666666666669</v>
      </c>
      <c r="J86" s="268">
        <v>0.41666666666666669</v>
      </c>
      <c r="K86" s="267" t="s">
        <v>7</v>
      </c>
      <c r="L86" s="267" t="s">
        <v>7</v>
      </c>
      <c r="M86" s="268">
        <v>0.41666666666666669</v>
      </c>
      <c r="N86" s="268">
        <v>0.41666666666666669</v>
      </c>
      <c r="O86" s="268">
        <v>0.41666666666666669</v>
      </c>
      <c r="P86" s="269">
        <v>0.41666666666666669</v>
      </c>
      <c r="Q86" s="268">
        <v>0.41666666666666669</v>
      </c>
      <c r="R86" s="267" t="s">
        <v>7</v>
      </c>
      <c r="S86" s="267" t="s">
        <v>7</v>
      </c>
      <c r="T86" s="268">
        <v>0.41666666666666669</v>
      </c>
      <c r="U86" s="268">
        <v>0.41666666666666669</v>
      </c>
      <c r="V86" s="268">
        <v>0.41666666666666669</v>
      </c>
      <c r="W86" s="269">
        <v>0.41666666666666669</v>
      </c>
      <c r="X86" s="127">
        <f t="shared" si="2"/>
        <v>0.41666666666666669</v>
      </c>
      <c r="Y86" s="269">
        <v>0.41666666666666669</v>
      </c>
    </row>
    <row r="87" spans="1:25" x14ac:dyDescent="0.2">
      <c r="A87" s="178">
        <f>VLOOKUP(B87,Masterlist!B:E,2,)</f>
        <v>516919</v>
      </c>
      <c r="B87" s="280" t="s">
        <v>354</v>
      </c>
      <c r="C87" s="268">
        <v>0.41666666666666669</v>
      </c>
      <c r="D87" s="267" t="s">
        <v>7</v>
      </c>
      <c r="E87" s="267" t="s">
        <v>7</v>
      </c>
      <c r="F87" s="268">
        <v>0.41666666666666669</v>
      </c>
      <c r="G87" s="268">
        <v>0.41666666666666669</v>
      </c>
      <c r="H87" s="268">
        <v>0.41666666666666669</v>
      </c>
      <c r="I87" s="269">
        <v>0.41666666666666669</v>
      </c>
      <c r="J87" s="268">
        <v>0.41666666666666669</v>
      </c>
      <c r="K87" s="267" t="s">
        <v>7</v>
      </c>
      <c r="L87" s="267" t="s">
        <v>7</v>
      </c>
      <c r="M87" s="268">
        <v>0.41666666666666669</v>
      </c>
      <c r="N87" s="268">
        <v>0.41666666666666669</v>
      </c>
      <c r="O87" s="268">
        <v>0.41666666666666669</v>
      </c>
      <c r="P87" s="269">
        <v>0.41666666666666669</v>
      </c>
      <c r="Q87" s="268">
        <v>0.41666666666666669</v>
      </c>
      <c r="R87" s="267" t="s">
        <v>7</v>
      </c>
      <c r="S87" s="267" t="s">
        <v>7</v>
      </c>
      <c r="T87" s="268">
        <v>0.41666666666666669</v>
      </c>
      <c r="U87" s="268">
        <v>0.41666666666666669</v>
      </c>
      <c r="V87" s="268">
        <v>0.41666666666666669</v>
      </c>
      <c r="W87" s="269">
        <v>0.41666666666666669</v>
      </c>
      <c r="X87" s="127">
        <f t="shared" si="2"/>
        <v>0.41666666666666669</v>
      </c>
      <c r="Y87" s="269">
        <v>0.41666666666666669</v>
      </c>
    </row>
    <row r="88" spans="1:25" x14ac:dyDescent="0.2">
      <c r="A88" s="178">
        <f>VLOOKUP(B88,Masterlist!B:E,2,)</f>
        <v>517185</v>
      </c>
      <c r="B88" s="280" t="s">
        <v>356</v>
      </c>
      <c r="C88" s="268">
        <v>0.41666666666666669</v>
      </c>
      <c r="D88" s="267" t="s">
        <v>7</v>
      </c>
      <c r="E88" s="267" t="s">
        <v>7</v>
      </c>
      <c r="F88" s="268">
        <v>0.41666666666666669</v>
      </c>
      <c r="G88" s="268">
        <v>0.41666666666666669</v>
      </c>
      <c r="H88" s="268">
        <v>0.41666666666666669</v>
      </c>
      <c r="I88" s="269">
        <v>0.41666666666666669</v>
      </c>
      <c r="J88" s="268">
        <v>0.41666666666666669</v>
      </c>
      <c r="K88" s="267" t="s">
        <v>7</v>
      </c>
      <c r="L88" s="267" t="s">
        <v>7</v>
      </c>
      <c r="M88" s="268">
        <v>0.41666666666666669</v>
      </c>
      <c r="N88" s="268">
        <v>0.41666666666666669</v>
      </c>
      <c r="O88" s="268">
        <v>0.41666666666666669</v>
      </c>
      <c r="P88" s="269">
        <v>0.41666666666666669</v>
      </c>
      <c r="Q88" s="268">
        <v>0.41666666666666669</v>
      </c>
      <c r="R88" s="267" t="s">
        <v>7</v>
      </c>
      <c r="S88" s="267" t="s">
        <v>7</v>
      </c>
      <c r="T88" s="268">
        <v>0.41666666666666669</v>
      </c>
      <c r="U88" s="268">
        <v>0.41666666666666669</v>
      </c>
      <c r="V88" s="268">
        <v>0.41666666666666669</v>
      </c>
      <c r="W88" s="269">
        <v>0.41666666666666669</v>
      </c>
      <c r="X88" s="127">
        <f t="shared" si="2"/>
        <v>0.41666666666666669</v>
      </c>
      <c r="Y88" s="269">
        <v>0.41666666666666669</v>
      </c>
    </row>
    <row r="89" spans="1:25" x14ac:dyDescent="0.2">
      <c r="A89" s="178">
        <f>VLOOKUP(B89,Masterlist!B:E,2,)</f>
        <v>516672</v>
      </c>
      <c r="B89" s="280" t="s">
        <v>357</v>
      </c>
      <c r="C89" s="268">
        <v>0.41666666666666669</v>
      </c>
      <c r="D89" s="267" t="s">
        <v>7</v>
      </c>
      <c r="E89" s="267" t="s">
        <v>7</v>
      </c>
      <c r="F89" s="268">
        <v>0.41666666666666669</v>
      </c>
      <c r="G89" s="268">
        <v>0.41666666666666669</v>
      </c>
      <c r="H89" s="268">
        <v>0.41666666666666669</v>
      </c>
      <c r="I89" s="269">
        <v>0.41666666666666669</v>
      </c>
      <c r="J89" s="268">
        <v>0.41666666666666669</v>
      </c>
      <c r="K89" s="267" t="s">
        <v>7</v>
      </c>
      <c r="L89" s="267" t="s">
        <v>7</v>
      </c>
      <c r="M89" s="268">
        <v>0.41666666666666669</v>
      </c>
      <c r="N89" s="268">
        <v>0.41666666666666669</v>
      </c>
      <c r="O89" s="268">
        <v>0.41666666666666669</v>
      </c>
      <c r="P89" s="269">
        <v>0.41666666666666669</v>
      </c>
      <c r="Q89" s="268">
        <v>0.41666666666666669</v>
      </c>
      <c r="R89" s="267" t="s">
        <v>7</v>
      </c>
      <c r="S89" s="267" t="s">
        <v>7</v>
      </c>
      <c r="T89" s="268">
        <v>0.41666666666666669</v>
      </c>
      <c r="U89" s="268">
        <v>0.41666666666666669</v>
      </c>
      <c r="V89" s="268">
        <v>0.41666666666666669</v>
      </c>
      <c r="W89" s="269">
        <v>0.41666666666666669</v>
      </c>
      <c r="X89" s="127">
        <f t="shared" si="2"/>
        <v>0.41666666666666669</v>
      </c>
      <c r="Y89" s="269">
        <v>0.41666666666666669</v>
      </c>
    </row>
    <row r="90" spans="1:25" x14ac:dyDescent="0.2">
      <c r="A90" s="178">
        <f>VLOOKUP(B90,Masterlist!B:E,2,)</f>
        <v>216604</v>
      </c>
      <c r="B90" s="280" t="s">
        <v>358</v>
      </c>
      <c r="C90" s="268">
        <v>0.41666666666666669</v>
      </c>
      <c r="D90" s="267" t="s">
        <v>7</v>
      </c>
      <c r="E90" s="267" t="s">
        <v>7</v>
      </c>
      <c r="F90" s="268">
        <v>0.41666666666666669</v>
      </c>
      <c r="G90" s="268">
        <v>0.41666666666666669</v>
      </c>
      <c r="H90" s="268">
        <v>0.41666666666666669</v>
      </c>
      <c r="I90" s="269">
        <v>0.41666666666666669</v>
      </c>
      <c r="J90" s="268">
        <v>0.41666666666666669</v>
      </c>
      <c r="K90" s="267" t="s">
        <v>7</v>
      </c>
      <c r="L90" s="267" t="s">
        <v>7</v>
      </c>
      <c r="M90" s="268">
        <v>0.41666666666666669</v>
      </c>
      <c r="N90" s="268">
        <v>0.41666666666666669</v>
      </c>
      <c r="O90" s="268">
        <v>0.41666666666666669</v>
      </c>
      <c r="P90" s="269">
        <v>0.41666666666666669</v>
      </c>
      <c r="Q90" s="268">
        <v>0.41666666666666669</v>
      </c>
      <c r="R90" s="267" t="s">
        <v>7</v>
      </c>
      <c r="S90" s="267" t="s">
        <v>7</v>
      </c>
      <c r="T90" s="268">
        <v>0.41666666666666669</v>
      </c>
      <c r="U90" s="268">
        <v>0.41666666666666669</v>
      </c>
      <c r="V90" s="268">
        <v>0.41666666666666669</v>
      </c>
      <c r="W90" s="269">
        <v>0.41666666666666669</v>
      </c>
      <c r="X90" s="127">
        <f t="shared" si="2"/>
        <v>0.41666666666666669</v>
      </c>
      <c r="Y90" s="269">
        <v>0.41666666666666669</v>
      </c>
    </row>
    <row r="91" spans="1:25" x14ac:dyDescent="0.2">
      <c r="A91" s="178">
        <f>VLOOKUP(B91,Masterlist!B:E,2,)</f>
        <v>514059</v>
      </c>
      <c r="B91" s="280" t="s">
        <v>275</v>
      </c>
      <c r="C91" s="298">
        <v>0.66666666666666663</v>
      </c>
      <c r="D91" s="298">
        <v>0.66666666666666663</v>
      </c>
      <c r="E91" s="298">
        <v>0.66666666666666663</v>
      </c>
      <c r="F91" s="267" t="s">
        <v>7</v>
      </c>
      <c r="G91" s="298">
        <v>0.66666666666666663</v>
      </c>
      <c r="H91" s="267" t="s">
        <v>7</v>
      </c>
      <c r="I91" s="299">
        <v>0.66666666666666663</v>
      </c>
      <c r="J91" s="268">
        <v>0.66666666666666663</v>
      </c>
      <c r="K91" s="268">
        <v>0.66666666666666663</v>
      </c>
      <c r="L91" s="268">
        <v>0.66666666666666663</v>
      </c>
      <c r="M91" s="268">
        <v>0.66666666666666663</v>
      </c>
      <c r="N91" s="267" t="s">
        <v>7</v>
      </c>
      <c r="O91" s="267" t="s">
        <v>7</v>
      </c>
      <c r="P91" s="269">
        <v>0.66666666666666663</v>
      </c>
      <c r="Q91" s="268">
        <v>0.66666666666666663</v>
      </c>
      <c r="R91" s="268">
        <v>0.66666666666666663</v>
      </c>
      <c r="S91" s="268">
        <v>0.66666666666666663</v>
      </c>
      <c r="T91" s="268">
        <v>0.66666666666666663</v>
      </c>
      <c r="U91" s="267" t="s">
        <v>7</v>
      </c>
      <c r="V91" s="267" t="s">
        <v>7</v>
      </c>
      <c r="W91" s="269">
        <v>0.66666666666666663</v>
      </c>
      <c r="X91" s="127">
        <f t="shared" si="2"/>
        <v>0.66666666666666663</v>
      </c>
      <c r="Y91" s="269">
        <v>0.66666666666666663</v>
      </c>
    </row>
    <row r="92" spans="1:25" x14ac:dyDescent="0.2">
      <c r="A92" s="178">
        <f>VLOOKUP(B92,Masterlist!B:E,2,)</f>
        <v>514126</v>
      </c>
      <c r="B92" s="280" t="s">
        <v>278</v>
      </c>
      <c r="C92" s="298">
        <v>0.66666666666666663</v>
      </c>
      <c r="D92" s="298">
        <v>0.66666666666666663</v>
      </c>
      <c r="E92" s="298">
        <v>0.66666666666666663</v>
      </c>
      <c r="F92" s="267" t="s">
        <v>7</v>
      </c>
      <c r="G92" s="298">
        <v>0.66666666666666663</v>
      </c>
      <c r="H92" s="267" t="s">
        <v>7</v>
      </c>
      <c r="I92" s="299">
        <v>0.66666666666666663</v>
      </c>
      <c r="J92" s="268">
        <v>0.66666666666666663</v>
      </c>
      <c r="K92" s="268">
        <v>0.66666666666666663</v>
      </c>
      <c r="L92" s="268">
        <v>0.66666666666666663</v>
      </c>
      <c r="M92" s="268">
        <v>0.66666666666666663</v>
      </c>
      <c r="N92" s="267" t="s">
        <v>7</v>
      </c>
      <c r="O92" s="267" t="s">
        <v>7</v>
      </c>
      <c r="P92" s="269">
        <v>0.66666666666666663</v>
      </c>
      <c r="Q92" s="268">
        <v>0.66666666666666663</v>
      </c>
      <c r="R92" s="268">
        <v>0.66666666666666663</v>
      </c>
      <c r="S92" s="268">
        <v>0.66666666666666663</v>
      </c>
      <c r="T92" s="268">
        <v>0.66666666666666663</v>
      </c>
      <c r="U92" s="267" t="s">
        <v>7</v>
      </c>
      <c r="V92" s="267" t="s">
        <v>7</v>
      </c>
      <c r="W92" s="269">
        <v>0.66666666666666663</v>
      </c>
      <c r="X92" s="127">
        <f t="shared" si="2"/>
        <v>0.66666666666666663</v>
      </c>
      <c r="Y92" s="269">
        <v>0.66666666666666663</v>
      </c>
    </row>
    <row r="93" spans="1:25" x14ac:dyDescent="0.2">
      <c r="A93" s="178">
        <f>VLOOKUP(B93,Masterlist!B:E,2,)</f>
        <v>514129</v>
      </c>
      <c r="B93" s="280" t="s">
        <v>280</v>
      </c>
      <c r="C93" s="298">
        <v>0.66666666666666663</v>
      </c>
      <c r="D93" s="298">
        <v>0.66666666666666663</v>
      </c>
      <c r="E93" s="298">
        <v>0.66666666666666663</v>
      </c>
      <c r="F93" s="267" t="s">
        <v>7</v>
      </c>
      <c r="G93" s="298">
        <v>0.66666666666666663</v>
      </c>
      <c r="H93" s="267" t="s">
        <v>7</v>
      </c>
      <c r="I93" s="299">
        <v>0.66666666666666663</v>
      </c>
      <c r="J93" s="268">
        <v>0.66666666666666663</v>
      </c>
      <c r="K93" s="268">
        <v>0.66666666666666663</v>
      </c>
      <c r="L93" s="268">
        <v>0.66666666666666663</v>
      </c>
      <c r="M93" s="268">
        <v>0.66666666666666663</v>
      </c>
      <c r="N93" s="267" t="s">
        <v>7</v>
      </c>
      <c r="O93" s="267" t="s">
        <v>7</v>
      </c>
      <c r="P93" s="269">
        <v>0.66666666666666663</v>
      </c>
      <c r="Q93" s="268">
        <v>0.66666666666666663</v>
      </c>
      <c r="R93" s="268">
        <v>0.66666666666666663</v>
      </c>
      <c r="S93" s="268">
        <v>0.66666666666666663</v>
      </c>
      <c r="T93" s="268">
        <v>0.66666666666666663</v>
      </c>
      <c r="U93" s="267" t="s">
        <v>7</v>
      </c>
      <c r="V93" s="267" t="s">
        <v>7</v>
      </c>
      <c r="W93" s="269">
        <v>0.66666666666666663</v>
      </c>
      <c r="X93" s="127">
        <f t="shared" si="2"/>
        <v>0.66666666666666663</v>
      </c>
      <c r="Y93" s="269">
        <v>0.66666666666666663</v>
      </c>
    </row>
    <row r="94" spans="1:25" x14ac:dyDescent="0.2">
      <c r="A94" s="178">
        <f>VLOOKUP(B94,Masterlist!B:E,2,)</f>
        <v>514019</v>
      </c>
      <c r="B94" s="280" t="s">
        <v>273</v>
      </c>
      <c r="C94" s="298">
        <v>0.66666666666666663</v>
      </c>
      <c r="D94" s="298">
        <v>0.66666666666666663</v>
      </c>
      <c r="E94" s="298">
        <v>0.66666666666666663</v>
      </c>
      <c r="F94" s="267" t="s">
        <v>7</v>
      </c>
      <c r="G94" s="298">
        <v>0.66666666666666663</v>
      </c>
      <c r="H94" s="267" t="s">
        <v>7</v>
      </c>
      <c r="I94" s="299">
        <v>0.66666666666666663</v>
      </c>
      <c r="J94" s="268">
        <v>0.66666666666666663</v>
      </c>
      <c r="K94" s="268">
        <v>0.66666666666666663</v>
      </c>
      <c r="L94" s="268">
        <v>0.66666666666666663</v>
      </c>
      <c r="M94" s="268">
        <v>0.66666666666666663</v>
      </c>
      <c r="N94" s="267" t="s">
        <v>7</v>
      </c>
      <c r="O94" s="267" t="s">
        <v>7</v>
      </c>
      <c r="P94" s="269">
        <v>0.66666666666666663</v>
      </c>
      <c r="Q94" s="268">
        <v>0.66666666666666663</v>
      </c>
      <c r="R94" s="268">
        <v>0.66666666666666663</v>
      </c>
      <c r="S94" s="268">
        <v>0.66666666666666663</v>
      </c>
      <c r="T94" s="268">
        <v>0.66666666666666663</v>
      </c>
      <c r="U94" s="267" t="s">
        <v>7</v>
      </c>
      <c r="V94" s="267" t="s">
        <v>7</v>
      </c>
      <c r="W94" s="269">
        <v>0.66666666666666663</v>
      </c>
      <c r="X94" s="127">
        <f t="shared" si="2"/>
        <v>0.66666666666666663</v>
      </c>
      <c r="Y94" s="269">
        <v>0.66666666666666663</v>
      </c>
    </row>
    <row r="95" spans="1:25" x14ac:dyDescent="0.2">
      <c r="A95" s="178">
        <f>VLOOKUP(B95,Masterlist!B:E,2,)</f>
        <v>514498</v>
      </c>
      <c r="B95" s="280" t="s">
        <v>284</v>
      </c>
      <c r="C95" s="298">
        <v>0.66666666666666663</v>
      </c>
      <c r="D95" s="298">
        <v>0.66666666666666663</v>
      </c>
      <c r="E95" s="298">
        <v>0.66666666666666663</v>
      </c>
      <c r="F95" s="267" t="s">
        <v>7</v>
      </c>
      <c r="G95" s="298">
        <v>0.66666666666666663</v>
      </c>
      <c r="H95" s="267" t="s">
        <v>7</v>
      </c>
      <c r="I95" s="299">
        <v>0.66666666666666663</v>
      </c>
      <c r="J95" s="268">
        <v>0.66666666666666663</v>
      </c>
      <c r="K95" s="268">
        <v>0.66666666666666663</v>
      </c>
      <c r="L95" s="268">
        <v>0.66666666666666663</v>
      </c>
      <c r="M95" s="268">
        <v>0.66666666666666663</v>
      </c>
      <c r="N95" s="267" t="s">
        <v>7</v>
      </c>
      <c r="O95" s="267" t="s">
        <v>7</v>
      </c>
      <c r="P95" s="269">
        <v>0.66666666666666663</v>
      </c>
      <c r="Q95" s="268">
        <v>0.66666666666666663</v>
      </c>
      <c r="R95" s="268">
        <v>0.66666666666666663</v>
      </c>
      <c r="S95" s="268">
        <v>0.66666666666666663</v>
      </c>
      <c r="T95" s="268">
        <v>0.66666666666666663</v>
      </c>
      <c r="U95" s="267" t="s">
        <v>7</v>
      </c>
      <c r="V95" s="267" t="s">
        <v>7</v>
      </c>
      <c r="W95" s="269">
        <v>0.66666666666666663</v>
      </c>
      <c r="X95" s="127">
        <f t="shared" si="2"/>
        <v>0.66666666666666663</v>
      </c>
      <c r="Y95" s="269">
        <v>0.66666666666666663</v>
      </c>
    </row>
    <row r="96" spans="1:25" x14ac:dyDescent="0.2">
      <c r="A96" s="178">
        <f>VLOOKUP(B96,Masterlist!B:E,2,)</f>
        <v>514495</v>
      </c>
      <c r="B96" s="280" t="s">
        <v>289</v>
      </c>
      <c r="C96" s="298">
        <v>0.66666666666666663</v>
      </c>
      <c r="D96" s="298">
        <v>0.66666666666666663</v>
      </c>
      <c r="E96" s="298">
        <v>0.66666666666666663</v>
      </c>
      <c r="F96" s="267" t="s">
        <v>7</v>
      </c>
      <c r="G96" s="298">
        <v>0.66666666666666663</v>
      </c>
      <c r="H96" s="267" t="s">
        <v>7</v>
      </c>
      <c r="I96" s="299">
        <v>0.66666666666666663</v>
      </c>
      <c r="J96" s="268">
        <v>0.66666666666666663</v>
      </c>
      <c r="K96" s="268">
        <v>0.66666666666666663</v>
      </c>
      <c r="L96" s="268">
        <v>0.66666666666666663</v>
      </c>
      <c r="M96" s="268">
        <v>0.66666666666666663</v>
      </c>
      <c r="N96" s="267" t="s">
        <v>7</v>
      </c>
      <c r="O96" s="267" t="s">
        <v>7</v>
      </c>
      <c r="P96" s="269">
        <v>0.66666666666666663</v>
      </c>
      <c r="Q96" s="268">
        <v>0.66666666666666663</v>
      </c>
      <c r="R96" s="268">
        <v>0.66666666666666663</v>
      </c>
      <c r="S96" s="268">
        <v>0.66666666666666663</v>
      </c>
      <c r="T96" s="268">
        <v>0.66666666666666663</v>
      </c>
      <c r="U96" s="267" t="s">
        <v>7</v>
      </c>
      <c r="V96" s="267" t="s">
        <v>7</v>
      </c>
      <c r="W96" s="269">
        <v>0.66666666666666663</v>
      </c>
      <c r="X96" s="127">
        <f t="shared" si="2"/>
        <v>0.66666666666666663</v>
      </c>
      <c r="Y96" s="269">
        <v>0.66666666666666663</v>
      </c>
    </row>
    <row r="97" spans="1:25" x14ac:dyDescent="0.2">
      <c r="A97" s="178">
        <f>VLOOKUP(B97,Masterlist!B:E,2,)</f>
        <v>514569</v>
      </c>
      <c r="B97" s="280" t="s">
        <v>290</v>
      </c>
      <c r="C97" s="298">
        <v>0.66666666666666663</v>
      </c>
      <c r="D97" s="298">
        <v>0.66666666666666663</v>
      </c>
      <c r="E97" s="298">
        <v>0.66666666666666663</v>
      </c>
      <c r="F97" s="267" t="s">
        <v>7</v>
      </c>
      <c r="G97" s="298">
        <v>0.66666666666666663</v>
      </c>
      <c r="H97" s="267" t="s">
        <v>7</v>
      </c>
      <c r="I97" s="299">
        <v>0.66666666666666663</v>
      </c>
      <c r="J97" s="268">
        <v>0.66666666666666663</v>
      </c>
      <c r="K97" s="268">
        <v>0.66666666666666663</v>
      </c>
      <c r="L97" s="268">
        <v>0.66666666666666663</v>
      </c>
      <c r="M97" s="268">
        <v>0.66666666666666663</v>
      </c>
      <c r="N97" s="267" t="s">
        <v>7</v>
      </c>
      <c r="O97" s="267" t="s">
        <v>7</v>
      </c>
      <c r="P97" s="269">
        <v>0.66666666666666663</v>
      </c>
      <c r="Q97" s="268">
        <v>0.66666666666666663</v>
      </c>
      <c r="R97" s="268">
        <v>0.66666666666666663</v>
      </c>
      <c r="S97" s="268">
        <v>0.66666666666666663</v>
      </c>
      <c r="T97" s="268">
        <v>0.66666666666666663</v>
      </c>
      <c r="U97" s="267" t="s">
        <v>7</v>
      </c>
      <c r="V97" s="267" t="s">
        <v>7</v>
      </c>
      <c r="W97" s="269">
        <v>0.66666666666666663</v>
      </c>
      <c r="X97" s="127">
        <f t="shared" si="2"/>
        <v>0.66666666666666663</v>
      </c>
      <c r="Y97" s="269">
        <v>0.66666666666666663</v>
      </c>
    </row>
    <row r="98" spans="1:25" x14ac:dyDescent="0.2">
      <c r="A98" s="178">
        <f>VLOOKUP(B98,Masterlist!B:E,2,)</f>
        <v>267363</v>
      </c>
      <c r="B98" s="280" t="s">
        <v>157</v>
      </c>
      <c r="C98" s="298">
        <v>0.66666666666666663</v>
      </c>
      <c r="D98" s="298">
        <v>0.66666666666666663</v>
      </c>
      <c r="E98" s="298">
        <v>0.66666666666666663</v>
      </c>
      <c r="F98" s="267" t="s">
        <v>7</v>
      </c>
      <c r="G98" s="298">
        <v>0.66666666666666663</v>
      </c>
      <c r="H98" s="267" t="s">
        <v>7</v>
      </c>
      <c r="I98" s="299">
        <v>0.66666666666666663</v>
      </c>
      <c r="J98" s="268">
        <v>0.66666666666666663</v>
      </c>
      <c r="K98" s="268">
        <v>0.66666666666666663</v>
      </c>
      <c r="L98" s="268">
        <v>0.66666666666666663</v>
      </c>
      <c r="M98" s="268">
        <v>0.66666666666666663</v>
      </c>
      <c r="N98" s="267" t="s">
        <v>7</v>
      </c>
      <c r="O98" s="267" t="s">
        <v>7</v>
      </c>
      <c r="P98" s="269">
        <v>0.66666666666666663</v>
      </c>
      <c r="Q98" s="268">
        <v>0.66666666666666663</v>
      </c>
      <c r="R98" s="268">
        <v>0.66666666666666663</v>
      </c>
      <c r="S98" s="268">
        <v>0.66666666666666663</v>
      </c>
      <c r="T98" s="268">
        <v>0.66666666666666663</v>
      </c>
      <c r="U98" s="267" t="s">
        <v>7</v>
      </c>
      <c r="V98" s="267" t="s">
        <v>7</v>
      </c>
      <c r="W98" s="269">
        <v>0.66666666666666663</v>
      </c>
      <c r="X98" s="127">
        <f t="shared" si="2"/>
        <v>0.66666666666666663</v>
      </c>
      <c r="Y98" s="269">
        <v>0.66666666666666663</v>
      </c>
    </row>
    <row r="99" spans="1:25" x14ac:dyDescent="0.2">
      <c r="A99" s="178">
        <f>VLOOKUP(B99,Masterlist!B:E,2,)</f>
        <v>412004</v>
      </c>
      <c r="B99" s="280" t="s">
        <v>149</v>
      </c>
      <c r="C99" s="298">
        <v>0.66666666666666663</v>
      </c>
      <c r="D99" s="298">
        <v>0.66666666666666663</v>
      </c>
      <c r="E99" s="298">
        <v>0.66666666666666663</v>
      </c>
      <c r="F99" s="267" t="s">
        <v>7</v>
      </c>
      <c r="G99" s="298">
        <v>0.66666666666666663</v>
      </c>
      <c r="H99" s="267" t="s">
        <v>7</v>
      </c>
      <c r="I99" s="299">
        <v>0.66666666666666663</v>
      </c>
      <c r="J99" s="268">
        <v>0.66666666666666663</v>
      </c>
      <c r="K99" s="268">
        <v>0.66666666666666663</v>
      </c>
      <c r="L99" s="268">
        <v>0.66666666666666663</v>
      </c>
      <c r="M99" s="268">
        <v>0.66666666666666663</v>
      </c>
      <c r="N99" s="267" t="s">
        <v>7</v>
      </c>
      <c r="O99" s="267" t="s">
        <v>7</v>
      </c>
      <c r="P99" s="269">
        <v>0.66666666666666663</v>
      </c>
      <c r="Q99" s="268">
        <v>0.66666666666666663</v>
      </c>
      <c r="R99" s="268">
        <v>0.66666666666666663</v>
      </c>
      <c r="S99" s="268">
        <v>0.66666666666666663</v>
      </c>
      <c r="T99" s="268">
        <v>0.66666666666666663</v>
      </c>
      <c r="U99" s="267" t="s">
        <v>7</v>
      </c>
      <c r="V99" s="267" t="s">
        <v>7</v>
      </c>
      <c r="W99" s="269">
        <v>0.66666666666666663</v>
      </c>
      <c r="X99" s="127">
        <f t="shared" si="2"/>
        <v>0.66666666666666663</v>
      </c>
      <c r="Y99" s="269">
        <v>0.66666666666666663</v>
      </c>
    </row>
    <row r="100" spans="1:25" x14ac:dyDescent="0.2">
      <c r="A100" s="178">
        <f>VLOOKUP(B100,Masterlist!B:E,2,)</f>
        <v>299549</v>
      </c>
      <c r="B100" s="280" t="s">
        <v>162</v>
      </c>
      <c r="C100" s="298">
        <v>0.66666666666666663</v>
      </c>
      <c r="D100" s="298">
        <v>0.66666666666666663</v>
      </c>
      <c r="E100" s="298">
        <v>0.66666666666666663</v>
      </c>
      <c r="F100" s="267" t="s">
        <v>7</v>
      </c>
      <c r="G100" s="298">
        <v>0.66666666666666663</v>
      </c>
      <c r="H100" s="267" t="s">
        <v>7</v>
      </c>
      <c r="I100" s="299">
        <v>0.66666666666666663</v>
      </c>
      <c r="J100" s="268">
        <v>0.66666666666666663</v>
      </c>
      <c r="K100" s="268">
        <v>0.66666666666666663</v>
      </c>
      <c r="L100" s="268">
        <v>0.66666666666666663</v>
      </c>
      <c r="M100" s="268">
        <v>0.66666666666666663</v>
      </c>
      <c r="N100" s="267" t="s">
        <v>7</v>
      </c>
      <c r="O100" s="267" t="s">
        <v>7</v>
      </c>
      <c r="P100" s="269">
        <v>0.66666666666666663</v>
      </c>
      <c r="Q100" s="268">
        <v>0.66666666666666663</v>
      </c>
      <c r="R100" s="268">
        <v>0.66666666666666663</v>
      </c>
      <c r="S100" s="268">
        <v>0.66666666666666663</v>
      </c>
      <c r="T100" s="268">
        <v>0.66666666666666663</v>
      </c>
      <c r="U100" s="267" t="s">
        <v>7</v>
      </c>
      <c r="V100" s="267" t="s">
        <v>7</v>
      </c>
      <c r="W100" s="269">
        <v>0.66666666666666663</v>
      </c>
      <c r="X100" s="127">
        <f t="shared" si="2"/>
        <v>0.66666666666666663</v>
      </c>
      <c r="Y100" s="269">
        <v>0.66666666666666663</v>
      </c>
    </row>
    <row r="101" spans="1:25" x14ac:dyDescent="0.2">
      <c r="A101" s="178">
        <f>VLOOKUP(B101,Masterlist!B:E,2,)</f>
        <v>269181</v>
      </c>
      <c r="B101" s="286" t="s">
        <v>164</v>
      </c>
      <c r="C101" s="267" t="s">
        <v>7</v>
      </c>
      <c r="D101" s="267" t="s">
        <v>7</v>
      </c>
      <c r="E101" s="267" t="s">
        <v>7</v>
      </c>
      <c r="F101" s="268">
        <v>0.66666666666666663</v>
      </c>
      <c r="G101" s="267" t="s">
        <v>7</v>
      </c>
      <c r="H101" s="268">
        <v>0.66666666666666663</v>
      </c>
      <c r="I101" s="299">
        <v>0.66666666666666663</v>
      </c>
      <c r="J101" s="267" t="s">
        <v>7</v>
      </c>
      <c r="K101" s="268">
        <v>0.66666666666666663</v>
      </c>
      <c r="L101" s="268">
        <v>0.66666666666666663</v>
      </c>
      <c r="M101" s="268">
        <v>0.66666666666666663</v>
      </c>
      <c r="N101" s="267" t="s">
        <v>7</v>
      </c>
      <c r="O101" s="268">
        <v>0.66666666666666663</v>
      </c>
      <c r="P101" s="269">
        <v>0.66666666666666663</v>
      </c>
      <c r="Q101" s="267" t="s">
        <v>7</v>
      </c>
      <c r="R101" s="268">
        <v>0.66666666666666663</v>
      </c>
      <c r="S101" s="268">
        <v>0.66666666666666663</v>
      </c>
      <c r="T101" s="268">
        <v>0.66666666666666663</v>
      </c>
      <c r="U101" s="267" t="s">
        <v>7</v>
      </c>
      <c r="V101" s="268">
        <v>0.66666666666666663</v>
      </c>
      <c r="W101" s="269">
        <v>0.66666666666666663</v>
      </c>
      <c r="X101" s="127">
        <f t="shared" si="2"/>
        <v>0.66666666666666663</v>
      </c>
      <c r="Y101" s="272" t="s">
        <v>7</v>
      </c>
    </row>
    <row r="102" spans="1:25" x14ac:dyDescent="0.2">
      <c r="A102" s="178">
        <f>VLOOKUP(B102,Masterlist!B:E,2,)</f>
        <v>291678</v>
      </c>
      <c r="B102" s="280" t="s">
        <v>204</v>
      </c>
      <c r="C102" s="298">
        <v>0.66666666666666663</v>
      </c>
      <c r="D102" s="298">
        <v>0.66666666666666663</v>
      </c>
      <c r="E102" s="298">
        <v>0.66666666666666663</v>
      </c>
      <c r="F102" s="267" t="s">
        <v>7</v>
      </c>
      <c r="G102" s="298">
        <v>0.66666666666666663</v>
      </c>
      <c r="H102" s="267" t="s">
        <v>7</v>
      </c>
      <c r="I102" s="299">
        <v>0.66666666666666663</v>
      </c>
      <c r="J102" s="268">
        <v>0.66666666666666663</v>
      </c>
      <c r="K102" s="268">
        <v>0.66666666666666663</v>
      </c>
      <c r="L102" s="268">
        <v>0.66666666666666663</v>
      </c>
      <c r="M102" s="268">
        <v>0.66666666666666663</v>
      </c>
      <c r="N102" s="267" t="s">
        <v>7</v>
      </c>
      <c r="O102" s="267" t="s">
        <v>7</v>
      </c>
      <c r="P102" s="269">
        <v>0.66666666666666663</v>
      </c>
      <c r="Q102" s="268">
        <v>0.66666666666666663</v>
      </c>
      <c r="R102" s="268">
        <v>0.66666666666666663</v>
      </c>
      <c r="S102" s="268">
        <v>0.66666666666666663</v>
      </c>
      <c r="T102" s="268">
        <v>0.66666666666666663</v>
      </c>
      <c r="U102" s="267" t="s">
        <v>7</v>
      </c>
      <c r="V102" s="267" t="s">
        <v>7</v>
      </c>
      <c r="W102" s="269">
        <v>0.66666666666666663</v>
      </c>
      <c r="X102" s="127">
        <f t="shared" si="2"/>
        <v>0.66666666666666663</v>
      </c>
      <c r="Y102" s="269">
        <v>0.66666666666666663</v>
      </c>
    </row>
    <row r="103" spans="1:25" x14ac:dyDescent="0.2">
      <c r="A103" s="178">
        <f>VLOOKUP(B103,Masterlist!B:E,2,)</f>
        <v>306371</v>
      </c>
      <c r="B103" s="280" t="s">
        <v>206</v>
      </c>
      <c r="C103" s="298">
        <v>0.66666666666666663</v>
      </c>
      <c r="D103" s="298">
        <v>0.66666666666666663</v>
      </c>
      <c r="E103" s="298">
        <v>0.66666666666666663</v>
      </c>
      <c r="F103" s="267" t="s">
        <v>7</v>
      </c>
      <c r="G103" s="298">
        <v>0.66666666666666663</v>
      </c>
      <c r="H103" s="267" t="s">
        <v>7</v>
      </c>
      <c r="I103" s="299">
        <v>0.66666666666666663</v>
      </c>
      <c r="J103" s="268">
        <v>0.66666666666666663</v>
      </c>
      <c r="K103" s="268">
        <v>0.66666666666666663</v>
      </c>
      <c r="L103" s="268">
        <v>0.66666666666666663</v>
      </c>
      <c r="M103" s="268">
        <v>0.66666666666666663</v>
      </c>
      <c r="N103" s="267" t="s">
        <v>7</v>
      </c>
      <c r="O103" s="267" t="s">
        <v>7</v>
      </c>
      <c r="P103" s="269">
        <v>0.66666666666666663</v>
      </c>
      <c r="Q103" s="268">
        <v>0.66666666666666663</v>
      </c>
      <c r="R103" s="268">
        <v>0.66666666666666663</v>
      </c>
      <c r="S103" s="268">
        <v>0.66666666666666663</v>
      </c>
      <c r="T103" s="268">
        <v>0.66666666666666663</v>
      </c>
      <c r="U103" s="267" t="s">
        <v>7</v>
      </c>
      <c r="V103" s="267" t="s">
        <v>7</v>
      </c>
      <c r="W103" s="269">
        <v>0.66666666666666663</v>
      </c>
      <c r="X103" s="127">
        <f t="shared" si="2"/>
        <v>0.66666666666666663</v>
      </c>
      <c r="Y103" s="269">
        <v>0.66666666666666663</v>
      </c>
    </row>
    <row r="104" spans="1:25" x14ac:dyDescent="0.2">
      <c r="A104" s="178">
        <f>VLOOKUP(B104,Masterlist!B:E,2,)</f>
        <v>509089</v>
      </c>
      <c r="B104" s="280" t="s">
        <v>213</v>
      </c>
      <c r="C104" s="298">
        <v>0.625</v>
      </c>
      <c r="D104" s="298">
        <v>0.625</v>
      </c>
      <c r="E104" s="267" t="s">
        <v>7</v>
      </c>
      <c r="F104" s="298">
        <v>0.625</v>
      </c>
      <c r="G104" s="298">
        <v>0.625</v>
      </c>
      <c r="H104" s="298">
        <v>0.625</v>
      </c>
      <c r="I104" s="272" t="s">
        <v>7</v>
      </c>
      <c r="J104" s="267" t="s">
        <v>7</v>
      </c>
      <c r="K104" s="268">
        <v>0.625</v>
      </c>
      <c r="L104" s="268">
        <v>0.625</v>
      </c>
      <c r="M104" s="268">
        <v>0.625</v>
      </c>
      <c r="N104" s="268">
        <v>0.625</v>
      </c>
      <c r="O104" s="268">
        <v>0.625</v>
      </c>
      <c r="P104" s="272" t="s">
        <v>7</v>
      </c>
      <c r="Q104" s="267" t="s">
        <v>7</v>
      </c>
      <c r="R104" s="268">
        <v>0.625</v>
      </c>
      <c r="S104" s="268">
        <v>0.625</v>
      </c>
      <c r="T104" s="268">
        <v>0.625</v>
      </c>
      <c r="U104" s="268">
        <v>0.625</v>
      </c>
      <c r="V104" s="268">
        <v>0.625</v>
      </c>
      <c r="W104" s="272" t="s">
        <v>7</v>
      </c>
      <c r="X104" s="127">
        <f t="shared" si="2"/>
        <v>0.625</v>
      </c>
      <c r="Y104" s="269">
        <v>0.625</v>
      </c>
    </row>
    <row r="105" spans="1:25" x14ac:dyDescent="0.2">
      <c r="A105" s="178">
        <f>VLOOKUP(B105,Masterlist!B:E,2,)</f>
        <v>509092</v>
      </c>
      <c r="B105" s="280" t="s">
        <v>215</v>
      </c>
      <c r="C105" s="298">
        <v>0.625</v>
      </c>
      <c r="D105" s="298">
        <v>0.625</v>
      </c>
      <c r="E105" s="267" t="s">
        <v>7</v>
      </c>
      <c r="F105" s="298">
        <v>0.625</v>
      </c>
      <c r="G105" s="298">
        <v>0.625</v>
      </c>
      <c r="H105" s="298">
        <v>0.625</v>
      </c>
      <c r="I105" s="272" t="s">
        <v>7</v>
      </c>
      <c r="J105" s="267" t="s">
        <v>7</v>
      </c>
      <c r="K105" s="268">
        <v>0.625</v>
      </c>
      <c r="L105" s="268">
        <v>0.625</v>
      </c>
      <c r="M105" s="268">
        <v>0.625</v>
      </c>
      <c r="N105" s="268">
        <v>0.625</v>
      </c>
      <c r="O105" s="268">
        <v>0.625</v>
      </c>
      <c r="P105" s="272" t="s">
        <v>7</v>
      </c>
      <c r="Q105" s="267" t="s">
        <v>7</v>
      </c>
      <c r="R105" s="268">
        <v>0.625</v>
      </c>
      <c r="S105" s="268">
        <v>0.625</v>
      </c>
      <c r="T105" s="268">
        <v>0.625</v>
      </c>
      <c r="U105" s="268">
        <v>0.625</v>
      </c>
      <c r="V105" s="268">
        <v>0.625</v>
      </c>
      <c r="W105" s="272" t="s">
        <v>7</v>
      </c>
      <c r="X105" s="127">
        <f t="shared" ref="X105:X122" si="3">IFERROR(MODE(J105:P105),"OFF")</f>
        <v>0.625</v>
      </c>
      <c r="Y105" s="269">
        <v>0.625</v>
      </c>
    </row>
    <row r="106" spans="1:25" x14ac:dyDescent="0.2">
      <c r="A106" s="178">
        <f>VLOOKUP(B106,Masterlist!B:E,2,)</f>
        <v>509186</v>
      </c>
      <c r="B106" s="280" t="s">
        <v>218</v>
      </c>
      <c r="C106" s="298">
        <v>0.625</v>
      </c>
      <c r="D106" s="298">
        <v>0.625</v>
      </c>
      <c r="E106" s="267" t="s">
        <v>7</v>
      </c>
      <c r="F106" s="298">
        <v>0.625</v>
      </c>
      <c r="G106" s="298">
        <v>0.625</v>
      </c>
      <c r="H106" s="298">
        <v>0.625</v>
      </c>
      <c r="I106" s="272" t="s">
        <v>7</v>
      </c>
      <c r="J106" s="267" t="s">
        <v>7</v>
      </c>
      <c r="K106" s="268">
        <v>0.625</v>
      </c>
      <c r="L106" s="268">
        <v>0.625</v>
      </c>
      <c r="M106" s="268">
        <v>0.625</v>
      </c>
      <c r="N106" s="268">
        <v>0.625</v>
      </c>
      <c r="O106" s="268">
        <v>0.625</v>
      </c>
      <c r="P106" s="272" t="s">
        <v>7</v>
      </c>
      <c r="Q106" s="267" t="s">
        <v>7</v>
      </c>
      <c r="R106" s="268">
        <v>0.625</v>
      </c>
      <c r="S106" s="268">
        <v>0.625</v>
      </c>
      <c r="T106" s="268">
        <v>0.625</v>
      </c>
      <c r="U106" s="268">
        <v>0.625</v>
      </c>
      <c r="V106" s="268">
        <v>0.625</v>
      </c>
      <c r="W106" s="272" t="s">
        <v>7</v>
      </c>
      <c r="X106" s="127">
        <f t="shared" si="3"/>
        <v>0.625</v>
      </c>
      <c r="Y106" s="269">
        <v>0.625</v>
      </c>
    </row>
    <row r="107" spans="1:25" x14ac:dyDescent="0.2">
      <c r="A107" s="178">
        <f>VLOOKUP(B107,Masterlist!B:E,2,)</f>
        <v>509284</v>
      </c>
      <c r="B107" s="280" t="s">
        <v>221</v>
      </c>
      <c r="C107" s="298">
        <v>0.625</v>
      </c>
      <c r="D107" s="298">
        <v>0.625</v>
      </c>
      <c r="E107" s="267" t="s">
        <v>7</v>
      </c>
      <c r="F107" s="298">
        <v>0.625</v>
      </c>
      <c r="G107" s="298">
        <v>0.625</v>
      </c>
      <c r="H107" s="298">
        <v>0.625</v>
      </c>
      <c r="I107" s="272" t="s">
        <v>7</v>
      </c>
      <c r="J107" s="267" t="s">
        <v>7</v>
      </c>
      <c r="K107" s="268">
        <v>0.625</v>
      </c>
      <c r="L107" s="268">
        <v>0.625</v>
      </c>
      <c r="M107" s="268">
        <v>0.625</v>
      </c>
      <c r="N107" s="268">
        <v>0.625</v>
      </c>
      <c r="O107" s="268">
        <v>0.625</v>
      </c>
      <c r="P107" s="272" t="s">
        <v>7</v>
      </c>
      <c r="Q107" s="267" t="s">
        <v>7</v>
      </c>
      <c r="R107" s="268">
        <v>0.625</v>
      </c>
      <c r="S107" s="268">
        <v>0.625</v>
      </c>
      <c r="T107" s="268">
        <v>0.625</v>
      </c>
      <c r="U107" s="268">
        <v>0.625</v>
      </c>
      <c r="V107" s="268">
        <v>0.625</v>
      </c>
      <c r="W107" s="272" t="s">
        <v>7</v>
      </c>
      <c r="X107" s="127">
        <f t="shared" si="3"/>
        <v>0.625</v>
      </c>
      <c r="Y107" s="269">
        <v>0.625</v>
      </c>
    </row>
    <row r="108" spans="1:25" x14ac:dyDescent="0.2">
      <c r="A108" s="178">
        <f>VLOOKUP(B108,Masterlist!B:E,2,)</f>
        <v>510236</v>
      </c>
      <c r="B108" s="280" t="s">
        <v>240</v>
      </c>
      <c r="C108" s="298">
        <v>0.625</v>
      </c>
      <c r="D108" s="298">
        <v>0.625</v>
      </c>
      <c r="E108" s="267" t="s">
        <v>7</v>
      </c>
      <c r="F108" s="298">
        <v>0.625</v>
      </c>
      <c r="G108" s="298">
        <v>0.625</v>
      </c>
      <c r="H108" s="298">
        <v>0.625</v>
      </c>
      <c r="I108" s="272" t="s">
        <v>7</v>
      </c>
      <c r="J108" s="267" t="s">
        <v>7</v>
      </c>
      <c r="K108" s="268">
        <v>0.625</v>
      </c>
      <c r="L108" s="268">
        <v>0.625</v>
      </c>
      <c r="M108" s="268">
        <v>0.625</v>
      </c>
      <c r="N108" s="268">
        <v>0.625</v>
      </c>
      <c r="O108" s="268">
        <v>0.625</v>
      </c>
      <c r="P108" s="272" t="s">
        <v>7</v>
      </c>
      <c r="Q108" s="267" t="s">
        <v>7</v>
      </c>
      <c r="R108" s="268">
        <v>0.625</v>
      </c>
      <c r="S108" s="268">
        <v>0.625</v>
      </c>
      <c r="T108" s="268">
        <v>0.625</v>
      </c>
      <c r="U108" s="268">
        <v>0.625</v>
      </c>
      <c r="V108" s="268">
        <v>0.625</v>
      </c>
      <c r="W108" s="272" t="s">
        <v>7</v>
      </c>
      <c r="X108" s="127">
        <f t="shared" si="3"/>
        <v>0.625</v>
      </c>
      <c r="Y108" s="269">
        <v>0.625</v>
      </c>
    </row>
    <row r="109" spans="1:25" x14ac:dyDescent="0.2">
      <c r="A109" s="178">
        <f>VLOOKUP(B109,Masterlist!B:E,2,)</f>
        <v>510234</v>
      </c>
      <c r="B109" s="280" t="s">
        <v>243</v>
      </c>
      <c r="C109" s="298">
        <v>0.625</v>
      </c>
      <c r="D109" s="298">
        <v>0.625</v>
      </c>
      <c r="E109" s="267" t="s">
        <v>7</v>
      </c>
      <c r="F109" s="298">
        <v>0.625</v>
      </c>
      <c r="G109" s="298">
        <v>0.625</v>
      </c>
      <c r="H109" s="298">
        <v>0.625</v>
      </c>
      <c r="I109" s="272" t="s">
        <v>7</v>
      </c>
      <c r="J109" s="267" t="s">
        <v>7</v>
      </c>
      <c r="K109" s="268">
        <v>0.625</v>
      </c>
      <c r="L109" s="268">
        <v>0.625</v>
      </c>
      <c r="M109" s="268">
        <v>0.625</v>
      </c>
      <c r="N109" s="268">
        <v>0.625</v>
      </c>
      <c r="O109" s="268">
        <v>0.625</v>
      </c>
      <c r="P109" s="272" t="s">
        <v>7</v>
      </c>
      <c r="Q109" s="267" t="s">
        <v>7</v>
      </c>
      <c r="R109" s="268">
        <v>0.625</v>
      </c>
      <c r="S109" s="268">
        <v>0.625</v>
      </c>
      <c r="T109" s="268">
        <v>0.625</v>
      </c>
      <c r="U109" s="268">
        <v>0.625</v>
      </c>
      <c r="V109" s="268">
        <v>0.625</v>
      </c>
      <c r="W109" s="272" t="s">
        <v>7</v>
      </c>
      <c r="X109" s="127">
        <f t="shared" si="3"/>
        <v>0.625</v>
      </c>
      <c r="Y109" s="269">
        <v>0.625</v>
      </c>
    </row>
    <row r="110" spans="1:25" x14ac:dyDescent="0.2">
      <c r="A110" s="178">
        <f>VLOOKUP(B110,Masterlist!B:E,2,)</f>
        <v>510233</v>
      </c>
      <c r="B110" s="280" t="s">
        <v>244</v>
      </c>
      <c r="C110" s="298">
        <v>0.625</v>
      </c>
      <c r="D110" s="298">
        <v>0.625</v>
      </c>
      <c r="E110" s="267" t="s">
        <v>7</v>
      </c>
      <c r="F110" s="298">
        <v>0.625</v>
      </c>
      <c r="G110" s="298">
        <v>0.625</v>
      </c>
      <c r="H110" s="298">
        <v>0.625</v>
      </c>
      <c r="I110" s="272" t="s">
        <v>7</v>
      </c>
      <c r="J110" s="267" t="s">
        <v>7</v>
      </c>
      <c r="K110" s="268">
        <v>0.625</v>
      </c>
      <c r="L110" s="268">
        <v>0.625</v>
      </c>
      <c r="M110" s="268">
        <v>0.625</v>
      </c>
      <c r="N110" s="268">
        <v>0.625</v>
      </c>
      <c r="O110" s="268">
        <v>0.625</v>
      </c>
      <c r="P110" s="272" t="s">
        <v>7</v>
      </c>
      <c r="Q110" s="267" t="s">
        <v>7</v>
      </c>
      <c r="R110" s="268">
        <v>0.625</v>
      </c>
      <c r="S110" s="268">
        <v>0.625</v>
      </c>
      <c r="T110" s="268">
        <v>0.625</v>
      </c>
      <c r="U110" s="268">
        <v>0.625</v>
      </c>
      <c r="V110" s="268">
        <v>0.625</v>
      </c>
      <c r="W110" s="272" t="s">
        <v>7</v>
      </c>
      <c r="X110" s="127">
        <f t="shared" si="3"/>
        <v>0.625</v>
      </c>
      <c r="Y110" s="269">
        <v>0.625</v>
      </c>
    </row>
    <row r="111" spans="1:25" x14ac:dyDescent="0.2">
      <c r="A111" s="178">
        <f>VLOOKUP(B111,Masterlist!B:E,2,)</f>
        <v>510225</v>
      </c>
      <c r="B111" s="280" t="s">
        <v>245</v>
      </c>
      <c r="C111" s="298">
        <v>0.625</v>
      </c>
      <c r="D111" s="298">
        <v>0.625</v>
      </c>
      <c r="E111" s="267" t="s">
        <v>7</v>
      </c>
      <c r="F111" s="298">
        <v>0.625</v>
      </c>
      <c r="G111" s="298">
        <v>0.625</v>
      </c>
      <c r="H111" s="298">
        <v>0.625</v>
      </c>
      <c r="I111" s="272" t="s">
        <v>7</v>
      </c>
      <c r="J111" s="267" t="s">
        <v>7</v>
      </c>
      <c r="K111" s="268">
        <v>0.625</v>
      </c>
      <c r="L111" s="268">
        <v>0.625</v>
      </c>
      <c r="M111" s="268">
        <v>0.625</v>
      </c>
      <c r="N111" s="268">
        <v>0.625</v>
      </c>
      <c r="O111" s="268">
        <v>0.625</v>
      </c>
      <c r="P111" s="272" t="s">
        <v>7</v>
      </c>
      <c r="Q111" s="267" t="s">
        <v>7</v>
      </c>
      <c r="R111" s="268">
        <v>0.625</v>
      </c>
      <c r="S111" s="268">
        <v>0.625</v>
      </c>
      <c r="T111" s="268">
        <v>0.625</v>
      </c>
      <c r="U111" s="268">
        <v>0.625</v>
      </c>
      <c r="V111" s="268">
        <v>0.625</v>
      </c>
      <c r="W111" s="272" t="s">
        <v>7</v>
      </c>
      <c r="X111" s="127">
        <f t="shared" si="3"/>
        <v>0.625</v>
      </c>
      <c r="Y111" s="269">
        <v>0.625</v>
      </c>
    </row>
    <row r="112" spans="1:25" x14ac:dyDescent="0.2">
      <c r="A112" s="178">
        <f>VLOOKUP(B112,Masterlist!B:E,2,)</f>
        <v>509521</v>
      </c>
      <c r="B112" s="280" t="s">
        <v>234</v>
      </c>
      <c r="C112" s="298">
        <v>0.625</v>
      </c>
      <c r="D112" s="298">
        <v>0.625</v>
      </c>
      <c r="E112" s="267" t="s">
        <v>7</v>
      </c>
      <c r="F112" s="298">
        <v>0.625</v>
      </c>
      <c r="G112" s="298">
        <v>0.625</v>
      </c>
      <c r="H112" s="298">
        <v>0.625</v>
      </c>
      <c r="I112" s="272" t="s">
        <v>7</v>
      </c>
      <c r="J112" s="267" t="s">
        <v>7</v>
      </c>
      <c r="K112" s="268">
        <v>0.625</v>
      </c>
      <c r="L112" s="268">
        <v>0.625</v>
      </c>
      <c r="M112" s="268">
        <v>0.625</v>
      </c>
      <c r="N112" s="268">
        <v>0.625</v>
      </c>
      <c r="O112" s="268">
        <v>0.625</v>
      </c>
      <c r="P112" s="272" t="s">
        <v>7</v>
      </c>
      <c r="Q112" s="267" t="s">
        <v>7</v>
      </c>
      <c r="R112" s="268">
        <v>0.625</v>
      </c>
      <c r="S112" s="268">
        <v>0.625</v>
      </c>
      <c r="T112" s="268">
        <v>0.625</v>
      </c>
      <c r="U112" s="268">
        <v>0.625</v>
      </c>
      <c r="V112" s="268">
        <v>0.625</v>
      </c>
      <c r="W112" s="272" t="s">
        <v>7</v>
      </c>
      <c r="X112" s="127">
        <f t="shared" si="3"/>
        <v>0.625</v>
      </c>
      <c r="Y112" s="269">
        <v>0.625</v>
      </c>
    </row>
    <row r="113" spans="1:25" x14ac:dyDescent="0.2">
      <c r="A113" s="178">
        <f>VLOOKUP(B113,Masterlist!B:E,2,)</f>
        <v>510477</v>
      </c>
      <c r="B113" s="280" t="s">
        <v>248</v>
      </c>
      <c r="C113" s="298">
        <v>0.625</v>
      </c>
      <c r="D113" s="298">
        <v>0.625</v>
      </c>
      <c r="E113" s="267" t="s">
        <v>7</v>
      </c>
      <c r="F113" s="298">
        <v>0.625</v>
      </c>
      <c r="G113" s="298">
        <v>0.625</v>
      </c>
      <c r="H113" s="298">
        <v>0.625</v>
      </c>
      <c r="I113" s="272" t="s">
        <v>7</v>
      </c>
      <c r="J113" s="267" t="s">
        <v>7</v>
      </c>
      <c r="K113" s="268">
        <v>0.625</v>
      </c>
      <c r="L113" s="268">
        <v>0.625</v>
      </c>
      <c r="M113" s="268">
        <v>0.625</v>
      </c>
      <c r="N113" s="268">
        <v>0.625</v>
      </c>
      <c r="O113" s="268">
        <v>0.625</v>
      </c>
      <c r="P113" s="272" t="s">
        <v>7</v>
      </c>
      <c r="Q113" s="267" t="s">
        <v>7</v>
      </c>
      <c r="R113" s="268">
        <v>0.625</v>
      </c>
      <c r="S113" s="268">
        <v>0.625</v>
      </c>
      <c r="T113" s="268">
        <v>0.625</v>
      </c>
      <c r="U113" s="268">
        <v>0.625</v>
      </c>
      <c r="V113" s="268">
        <v>0.625</v>
      </c>
      <c r="W113" s="272" t="s">
        <v>7</v>
      </c>
      <c r="X113" s="127">
        <f t="shared" si="3"/>
        <v>0.625</v>
      </c>
      <c r="Y113" s="269">
        <v>0.625</v>
      </c>
    </row>
    <row r="114" spans="1:25" x14ac:dyDescent="0.2">
      <c r="A114" s="178">
        <f>VLOOKUP(B114,Masterlist!B:E,2,)</f>
        <v>510484</v>
      </c>
      <c r="B114" s="280" t="s">
        <v>249</v>
      </c>
      <c r="C114" s="298">
        <v>0.625</v>
      </c>
      <c r="D114" s="298">
        <v>0.625</v>
      </c>
      <c r="E114" s="267" t="s">
        <v>7</v>
      </c>
      <c r="F114" s="298">
        <v>0.625</v>
      </c>
      <c r="G114" s="298">
        <v>0.625</v>
      </c>
      <c r="H114" s="298">
        <v>0.625</v>
      </c>
      <c r="I114" s="272" t="s">
        <v>7</v>
      </c>
      <c r="J114" s="267" t="s">
        <v>7</v>
      </c>
      <c r="K114" s="268">
        <v>0.625</v>
      </c>
      <c r="L114" s="268">
        <v>0.625</v>
      </c>
      <c r="M114" s="268">
        <v>0.625</v>
      </c>
      <c r="N114" s="268">
        <v>0.625</v>
      </c>
      <c r="O114" s="268">
        <v>0.625</v>
      </c>
      <c r="P114" s="272" t="s">
        <v>7</v>
      </c>
      <c r="Q114" s="267" t="s">
        <v>7</v>
      </c>
      <c r="R114" s="268">
        <v>0.625</v>
      </c>
      <c r="S114" s="268">
        <v>0.625</v>
      </c>
      <c r="T114" s="268">
        <v>0.625</v>
      </c>
      <c r="U114" s="268">
        <v>0.625</v>
      </c>
      <c r="V114" s="268">
        <v>0.625</v>
      </c>
      <c r="W114" s="272" t="s">
        <v>7</v>
      </c>
      <c r="X114" s="127">
        <f t="shared" si="3"/>
        <v>0.625</v>
      </c>
      <c r="Y114" s="269">
        <v>0.625</v>
      </c>
    </row>
    <row r="115" spans="1:25" x14ac:dyDescent="0.2">
      <c r="A115" s="178">
        <f>VLOOKUP(B115,Masterlist!B:E,2,)</f>
        <v>509379</v>
      </c>
      <c r="B115" s="280" t="s">
        <v>230</v>
      </c>
      <c r="C115" s="298">
        <v>0.625</v>
      </c>
      <c r="D115" s="298">
        <v>0.625</v>
      </c>
      <c r="E115" s="267" t="s">
        <v>7</v>
      </c>
      <c r="F115" s="298">
        <v>0.625</v>
      </c>
      <c r="G115" s="298">
        <v>0.625</v>
      </c>
      <c r="H115" s="298">
        <v>0.625</v>
      </c>
      <c r="I115" s="272" t="s">
        <v>7</v>
      </c>
      <c r="J115" s="267" t="s">
        <v>7</v>
      </c>
      <c r="K115" s="268">
        <v>0.625</v>
      </c>
      <c r="L115" s="268">
        <v>0.625</v>
      </c>
      <c r="M115" s="268">
        <v>0.625</v>
      </c>
      <c r="N115" s="268">
        <v>0.625</v>
      </c>
      <c r="O115" s="268">
        <v>0.625</v>
      </c>
      <c r="P115" s="272" t="s">
        <v>7</v>
      </c>
      <c r="Q115" s="267" t="s">
        <v>7</v>
      </c>
      <c r="R115" s="268">
        <v>0.625</v>
      </c>
      <c r="S115" s="268">
        <v>0.625</v>
      </c>
      <c r="T115" s="268">
        <v>0.625</v>
      </c>
      <c r="U115" s="268">
        <v>0.625</v>
      </c>
      <c r="V115" s="268">
        <v>0.625</v>
      </c>
      <c r="W115" s="272" t="s">
        <v>7</v>
      </c>
      <c r="X115" s="127">
        <f t="shared" si="3"/>
        <v>0.625</v>
      </c>
      <c r="Y115" s="269">
        <v>0.625</v>
      </c>
    </row>
    <row r="116" spans="1:25" x14ac:dyDescent="0.2">
      <c r="A116" s="178">
        <f>VLOOKUP(B116,Masterlist!B:E,2,)</f>
        <v>514125</v>
      </c>
      <c r="B116" s="280" t="s">
        <v>276</v>
      </c>
      <c r="C116" s="298">
        <v>0.625</v>
      </c>
      <c r="D116" s="298">
        <v>0.625</v>
      </c>
      <c r="E116" s="267" t="s">
        <v>7</v>
      </c>
      <c r="F116" s="298">
        <v>0.625</v>
      </c>
      <c r="G116" s="298">
        <v>0.625</v>
      </c>
      <c r="H116" s="298">
        <v>0.625</v>
      </c>
      <c r="I116" s="272" t="s">
        <v>7</v>
      </c>
      <c r="J116" s="267" t="s">
        <v>7</v>
      </c>
      <c r="K116" s="268">
        <v>0.625</v>
      </c>
      <c r="L116" s="268">
        <v>0.625</v>
      </c>
      <c r="M116" s="268">
        <v>0.625</v>
      </c>
      <c r="N116" s="268">
        <v>0.625</v>
      </c>
      <c r="O116" s="268">
        <v>0.625</v>
      </c>
      <c r="P116" s="272" t="s">
        <v>7</v>
      </c>
      <c r="Q116" s="267" t="s">
        <v>7</v>
      </c>
      <c r="R116" s="268">
        <v>0.625</v>
      </c>
      <c r="S116" s="268">
        <v>0.625</v>
      </c>
      <c r="T116" s="268">
        <v>0.625</v>
      </c>
      <c r="U116" s="268">
        <v>0.625</v>
      </c>
      <c r="V116" s="268">
        <v>0.625</v>
      </c>
      <c r="W116" s="272" t="s">
        <v>7</v>
      </c>
      <c r="X116" s="127">
        <f t="shared" si="3"/>
        <v>0.625</v>
      </c>
      <c r="Y116" s="269">
        <v>0.625</v>
      </c>
    </row>
    <row r="117" spans="1:25" x14ac:dyDescent="0.2">
      <c r="A117" s="178">
        <f>VLOOKUP(B117,Masterlist!B:E,2,)</f>
        <v>514128</v>
      </c>
      <c r="B117" s="280" t="s">
        <v>277</v>
      </c>
      <c r="C117" s="298">
        <v>0.625</v>
      </c>
      <c r="D117" s="298">
        <v>0.625</v>
      </c>
      <c r="E117" s="267" t="s">
        <v>7</v>
      </c>
      <c r="F117" s="298">
        <v>0.625</v>
      </c>
      <c r="G117" s="298">
        <v>0.625</v>
      </c>
      <c r="H117" s="298">
        <v>0.625</v>
      </c>
      <c r="I117" s="272" t="s">
        <v>7</v>
      </c>
      <c r="J117" s="267" t="s">
        <v>7</v>
      </c>
      <c r="K117" s="268">
        <v>0.625</v>
      </c>
      <c r="L117" s="268">
        <v>0.625</v>
      </c>
      <c r="M117" s="268">
        <v>0.625</v>
      </c>
      <c r="N117" s="268">
        <v>0.625</v>
      </c>
      <c r="O117" s="268">
        <v>0.625</v>
      </c>
      <c r="P117" s="272" t="s">
        <v>7</v>
      </c>
      <c r="Q117" s="267" t="s">
        <v>7</v>
      </c>
      <c r="R117" s="268">
        <v>0.625</v>
      </c>
      <c r="S117" s="268">
        <v>0.625</v>
      </c>
      <c r="T117" s="268">
        <v>0.625</v>
      </c>
      <c r="U117" s="268">
        <v>0.625</v>
      </c>
      <c r="V117" s="268">
        <v>0.625</v>
      </c>
      <c r="W117" s="272" t="s">
        <v>7</v>
      </c>
      <c r="X117" s="127">
        <f t="shared" si="3"/>
        <v>0.625</v>
      </c>
      <c r="Y117" s="269">
        <v>0.625</v>
      </c>
    </row>
    <row r="118" spans="1:25" x14ac:dyDescent="0.2">
      <c r="A118" s="178">
        <f>VLOOKUP(B118,Masterlist!B:E,2,)</f>
        <v>333055</v>
      </c>
      <c r="B118" s="280" t="s">
        <v>176</v>
      </c>
      <c r="C118" s="268">
        <v>0.58333333333333337</v>
      </c>
      <c r="D118" s="268">
        <v>0.58333333333333337</v>
      </c>
      <c r="E118" s="268">
        <v>0.58333333333333337</v>
      </c>
      <c r="F118" s="268">
        <v>0.58333333333333337</v>
      </c>
      <c r="G118" s="268">
        <v>0.58333333333333337</v>
      </c>
      <c r="H118" s="267" t="s">
        <v>7</v>
      </c>
      <c r="I118" s="272" t="s">
        <v>7</v>
      </c>
      <c r="J118" s="268">
        <v>0.58333333333333337</v>
      </c>
      <c r="K118" s="268">
        <v>0.58333333333333337</v>
      </c>
      <c r="L118" s="268">
        <v>0.58333333333333337</v>
      </c>
      <c r="M118" s="268">
        <v>0.58333333333333337</v>
      </c>
      <c r="N118" s="268">
        <v>0.58333333333333337</v>
      </c>
      <c r="O118" s="267" t="s">
        <v>7</v>
      </c>
      <c r="P118" s="272" t="s">
        <v>7</v>
      </c>
      <c r="Q118" s="268">
        <v>0.58333333333333337</v>
      </c>
      <c r="R118" s="268">
        <v>0.58333333333333337</v>
      </c>
      <c r="S118" s="268">
        <v>0.58333333333333337</v>
      </c>
      <c r="T118" s="268">
        <v>0.58333333333333337</v>
      </c>
      <c r="U118" s="268">
        <v>0.58333333333333337</v>
      </c>
      <c r="V118" s="267" t="s">
        <v>7</v>
      </c>
      <c r="W118" s="272" t="s">
        <v>7</v>
      </c>
      <c r="X118" s="127">
        <f t="shared" si="3"/>
        <v>0.58333333333333337</v>
      </c>
      <c r="Y118" s="272" t="s">
        <v>7</v>
      </c>
    </row>
    <row r="119" spans="1:25" x14ac:dyDescent="0.2">
      <c r="A119" s="178">
        <f>VLOOKUP(B119,Masterlist!B:E,2,)</f>
        <v>486798</v>
      </c>
      <c r="B119" s="280" t="s">
        <v>79</v>
      </c>
      <c r="C119" s="268">
        <v>0.375</v>
      </c>
      <c r="D119" s="267" t="s">
        <v>7</v>
      </c>
      <c r="E119" s="267" t="s">
        <v>7</v>
      </c>
      <c r="F119" s="268">
        <v>0.375</v>
      </c>
      <c r="G119" s="268">
        <v>0.375</v>
      </c>
      <c r="H119" s="268">
        <v>0.375</v>
      </c>
      <c r="I119" s="269">
        <v>0.375</v>
      </c>
      <c r="J119" s="268">
        <v>0.375</v>
      </c>
      <c r="K119" s="267" t="s">
        <v>7</v>
      </c>
      <c r="L119" s="267" t="s">
        <v>7</v>
      </c>
      <c r="M119" s="268">
        <v>0.375</v>
      </c>
      <c r="N119" s="268">
        <v>0.375</v>
      </c>
      <c r="O119" s="268">
        <v>0.375</v>
      </c>
      <c r="P119" s="269">
        <v>0.375</v>
      </c>
      <c r="Q119" s="268">
        <v>0.375</v>
      </c>
      <c r="R119" s="267" t="s">
        <v>7</v>
      </c>
      <c r="S119" s="267" t="s">
        <v>7</v>
      </c>
      <c r="T119" s="268">
        <v>0.375</v>
      </c>
      <c r="U119" s="268">
        <v>0.375</v>
      </c>
      <c r="V119" s="268">
        <v>0.375</v>
      </c>
      <c r="W119" s="269">
        <v>0.375</v>
      </c>
      <c r="X119" s="127">
        <f t="shared" si="3"/>
        <v>0.375</v>
      </c>
      <c r="Y119" s="269">
        <v>0.375</v>
      </c>
    </row>
    <row r="120" spans="1:25" x14ac:dyDescent="0.2">
      <c r="A120" s="178">
        <f>VLOOKUP(B120,Masterlist!B:E,2,)</f>
        <v>337918</v>
      </c>
      <c r="B120" s="280" t="s">
        <v>119</v>
      </c>
      <c r="C120" s="268">
        <v>0.41666666666666669</v>
      </c>
      <c r="D120" s="267" t="s">
        <v>7</v>
      </c>
      <c r="E120" s="267" t="s">
        <v>7</v>
      </c>
      <c r="F120" s="268">
        <v>0.41666666666666669</v>
      </c>
      <c r="G120" s="268">
        <v>0.41666666666666669</v>
      </c>
      <c r="H120" s="268">
        <v>0.41666666666666669</v>
      </c>
      <c r="I120" s="269">
        <v>0.41666666666666669</v>
      </c>
      <c r="J120" s="268">
        <v>0.41666666666666669</v>
      </c>
      <c r="K120" s="267" t="s">
        <v>7</v>
      </c>
      <c r="L120" s="267" t="s">
        <v>7</v>
      </c>
      <c r="M120" s="268">
        <v>0.41666666666666669</v>
      </c>
      <c r="N120" s="268">
        <v>0.41666666666666669</v>
      </c>
      <c r="O120" s="268">
        <v>0.41666666666666669</v>
      </c>
      <c r="P120" s="269">
        <v>0.41666666666666669</v>
      </c>
      <c r="Q120" s="268">
        <v>0.41666666666666669</v>
      </c>
      <c r="R120" s="267" t="s">
        <v>7</v>
      </c>
      <c r="S120" s="267" t="s">
        <v>7</v>
      </c>
      <c r="T120" s="268">
        <v>0.41666666666666669</v>
      </c>
      <c r="U120" s="268">
        <v>0.41666666666666669</v>
      </c>
      <c r="V120" s="268">
        <v>0.41666666666666669</v>
      </c>
      <c r="W120" s="269">
        <v>0.41666666666666669</v>
      </c>
      <c r="X120" s="127">
        <f t="shared" si="3"/>
        <v>0.41666666666666669</v>
      </c>
      <c r="Y120" s="269">
        <v>0.41666666666666669</v>
      </c>
    </row>
    <row r="121" spans="1:25" x14ac:dyDescent="0.2">
      <c r="A121" s="178">
        <f>VLOOKUP(B121,Masterlist!B:E,2,)</f>
        <v>506049</v>
      </c>
      <c r="B121" s="280" t="s">
        <v>262</v>
      </c>
      <c r="C121" s="271">
        <v>0.375</v>
      </c>
      <c r="D121" s="268">
        <v>0.375</v>
      </c>
      <c r="E121" s="268">
        <v>0.375</v>
      </c>
      <c r="F121" s="268">
        <v>0.375</v>
      </c>
      <c r="G121" s="268">
        <v>0.375</v>
      </c>
      <c r="H121" s="267" t="s">
        <v>7</v>
      </c>
      <c r="I121" s="267" t="s">
        <v>7</v>
      </c>
      <c r="J121" s="271">
        <v>0.375</v>
      </c>
      <c r="K121" s="268">
        <v>0.375</v>
      </c>
      <c r="L121" s="268">
        <v>0.375</v>
      </c>
      <c r="M121" s="268">
        <v>0.375</v>
      </c>
      <c r="N121" s="268">
        <v>0.375</v>
      </c>
      <c r="O121" s="267" t="s">
        <v>7</v>
      </c>
      <c r="P121" s="267" t="s">
        <v>7</v>
      </c>
      <c r="Q121" s="271">
        <v>0.375</v>
      </c>
      <c r="R121" s="268">
        <v>0.375</v>
      </c>
      <c r="S121" s="268">
        <v>0.375</v>
      </c>
      <c r="T121" s="268">
        <v>0.375</v>
      </c>
      <c r="U121" s="268">
        <v>0.375</v>
      </c>
      <c r="V121" s="267" t="s">
        <v>7</v>
      </c>
      <c r="W121" s="267" t="s">
        <v>7</v>
      </c>
      <c r="X121" s="127">
        <f t="shared" si="3"/>
        <v>0.375</v>
      </c>
      <c r="Y121" s="267" t="s">
        <v>7</v>
      </c>
    </row>
    <row r="122" spans="1:25" x14ac:dyDescent="0.2">
      <c r="A122" s="178">
        <f>VLOOKUP(B122,Masterlist!B:E,2,)</f>
        <v>292411</v>
      </c>
      <c r="B122" s="280" t="s">
        <v>301</v>
      </c>
      <c r="C122" s="268">
        <v>0.41666666666666669</v>
      </c>
      <c r="D122" s="267" t="s">
        <v>7</v>
      </c>
      <c r="E122" s="267" t="s">
        <v>7</v>
      </c>
      <c r="F122" s="268">
        <v>0.41666666666666669</v>
      </c>
      <c r="G122" s="268">
        <v>0.41666666666666669</v>
      </c>
      <c r="H122" s="268">
        <v>0.41666666666666669</v>
      </c>
      <c r="I122" s="269">
        <v>0.41666666666666669</v>
      </c>
      <c r="J122" s="268">
        <v>0.41666666666666669</v>
      </c>
      <c r="K122" s="267" t="s">
        <v>7</v>
      </c>
      <c r="L122" s="267" t="s">
        <v>7</v>
      </c>
      <c r="M122" s="268">
        <v>0.41666666666666669</v>
      </c>
      <c r="N122" s="268">
        <v>0.41666666666666669</v>
      </c>
      <c r="O122" s="268">
        <v>0.41666666666666669</v>
      </c>
      <c r="P122" s="269">
        <v>0.41666666666666669</v>
      </c>
      <c r="Q122" s="268">
        <v>0.41666666666666669</v>
      </c>
      <c r="R122" s="267" t="s">
        <v>7</v>
      </c>
      <c r="S122" s="267" t="s">
        <v>7</v>
      </c>
      <c r="T122" s="268">
        <v>0.41666666666666669</v>
      </c>
      <c r="U122" s="268">
        <v>0.41666666666666669</v>
      </c>
      <c r="V122" s="268">
        <v>0.41666666666666669</v>
      </c>
      <c r="W122" s="269">
        <v>0.41666666666666669</v>
      </c>
      <c r="X122" s="127">
        <f t="shared" si="3"/>
        <v>0.41666666666666669</v>
      </c>
      <c r="Y122" s="269">
        <v>0.41666666666666669</v>
      </c>
    </row>
    <row r="123" spans="1:25" x14ac:dyDescent="0.2">
      <c r="A123" s="178"/>
      <c r="B123" s="290"/>
      <c r="C123" s="282"/>
      <c r="D123" s="279"/>
      <c r="E123" s="279"/>
      <c r="F123" s="282"/>
      <c r="G123" s="282"/>
      <c r="H123" s="282"/>
      <c r="I123" s="283"/>
      <c r="J123" s="282"/>
      <c r="K123" s="279"/>
      <c r="L123" s="279"/>
      <c r="M123" s="282"/>
      <c r="N123" s="282"/>
      <c r="O123" s="282"/>
      <c r="P123" s="283"/>
      <c r="Q123" s="282"/>
      <c r="R123" s="279"/>
      <c r="S123" s="279"/>
      <c r="T123" s="282"/>
      <c r="U123" s="282"/>
      <c r="V123" s="282"/>
      <c r="W123" s="283"/>
      <c r="X123" s="127"/>
      <c r="Y123" s="289"/>
    </row>
    <row r="124" spans="1:25" x14ac:dyDescent="0.2">
      <c r="A124" s="178"/>
      <c r="B124" s="290"/>
      <c r="C124" s="282"/>
      <c r="D124" s="282"/>
      <c r="E124" s="282"/>
      <c r="F124" s="282"/>
      <c r="G124" s="282"/>
      <c r="H124" s="279"/>
      <c r="I124" s="279"/>
      <c r="J124" s="281"/>
      <c r="K124" s="282"/>
      <c r="L124" s="282"/>
      <c r="M124" s="282"/>
      <c r="N124" s="282"/>
      <c r="O124" s="279"/>
      <c r="P124" s="279"/>
      <c r="Q124" s="281"/>
      <c r="R124" s="282"/>
      <c r="S124" s="282"/>
      <c r="T124" s="282"/>
      <c r="U124" s="282"/>
      <c r="V124" s="279"/>
      <c r="W124" s="283"/>
      <c r="X124" s="127"/>
      <c r="Y124" s="291"/>
    </row>
    <row r="125" spans="1:25" x14ac:dyDescent="0.2">
      <c r="A125" s="178"/>
      <c r="B125" s="290"/>
      <c r="C125" s="282"/>
      <c r="D125" s="279"/>
      <c r="E125" s="279"/>
      <c r="F125" s="282"/>
      <c r="G125" s="282"/>
      <c r="H125" s="282"/>
      <c r="I125" s="283"/>
      <c r="J125" s="282"/>
      <c r="K125" s="279"/>
      <c r="L125" s="279"/>
      <c r="M125" s="282"/>
      <c r="N125" s="282"/>
      <c r="O125" s="282"/>
      <c r="P125" s="283"/>
      <c r="Q125" s="282"/>
      <c r="R125" s="279"/>
      <c r="S125" s="279"/>
      <c r="T125" s="282"/>
      <c r="U125" s="282"/>
      <c r="V125" s="282"/>
      <c r="W125" s="283"/>
      <c r="X125" s="127"/>
      <c r="Y125" s="291"/>
    </row>
    <row r="126" spans="1:25" x14ac:dyDescent="0.2">
      <c r="A126" s="178"/>
      <c r="B126" s="278"/>
      <c r="C126" s="281"/>
      <c r="D126" s="282"/>
      <c r="E126" s="282"/>
      <c r="F126" s="282"/>
      <c r="G126" s="282"/>
      <c r="H126" s="279"/>
      <c r="I126" s="279"/>
      <c r="J126" s="281"/>
      <c r="K126" s="282"/>
      <c r="L126" s="282"/>
      <c r="M126" s="282"/>
      <c r="N126" s="282"/>
      <c r="O126" s="279"/>
      <c r="P126" s="279"/>
      <c r="Q126" s="281"/>
      <c r="R126" s="282"/>
      <c r="S126" s="282"/>
      <c r="T126" s="282"/>
      <c r="U126" s="282"/>
      <c r="V126" s="279"/>
      <c r="W126" s="269"/>
      <c r="X126" s="127"/>
      <c r="Y126" s="269"/>
    </row>
    <row r="127" spans="1:25" x14ac:dyDescent="0.2">
      <c r="A127" s="178"/>
      <c r="B127" s="278"/>
      <c r="C127" s="282"/>
      <c r="D127" s="279"/>
      <c r="E127" s="279"/>
      <c r="F127" s="282"/>
      <c r="G127" s="282"/>
      <c r="H127" s="282"/>
      <c r="I127" s="283"/>
      <c r="J127" s="282"/>
      <c r="K127" s="279"/>
      <c r="L127" s="279"/>
      <c r="M127" s="282"/>
      <c r="N127" s="282"/>
      <c r="O127" s="282"/>
      <c r="P127" s="283"/>
      <c r="Q127" s="282"/>
      <c r="R127" s="279"/>
      <c r="S127" s="279"/>
      <c r="T127" s="282"/>
      <c r="U127" s="282"/>
      <c r="V127" s="282"/>
      <c r="W127" s="269"/>
      <c r="X127" s="127"/>
      <c r="Y127" s="269"/>
    </row>
    <row r="128" spans="1:25" x14ac:dyDescent="0.2">
      <c r="A128" s="178"/>
      <c r="B128" s="182"/>
      <c r="C128" s="121"/>
      <c r="D128" s="127"/>
      <c r="E128" s="127"/>
      <c r="F128" s="127"/>
      <c r="G128" s="127"/>
      <c r="H128" s="127"/>
      <c r="I128" s="117"/>
      <c r="J128" s="127"/>
      <c r="K128" s="127"/>
      <c r="L128" s="127"/>
      <c r="M128" s="127"/>
      <c r="N128" s="127"/>
      <c r="O128" s="127"/>
      <c r="P128" s="127"/>
      <c r="Q128" s="121"/>
      <c r="R128" s="127"/>
      <c r="S128" s="127"/>
      <c r="T128" s="127"/>
      <c r="U128" s="127"/>
      <c r="V128" s="127"/>
      <c r="W128" s="269"/>
      <c r="X128" s="127"/>
      <c r="Y128" s="117"/>
    </row>
    <row r="129" spans="1:26" x14ac:dyDescent="0.2">
      <c r="A129" s="178"/>
      <c r="B129" s="182"/>
      <c r="C129" s="121"/>
      <c r="D129" s="127"/>
      <c r="E129" s="127"/>
      <c r="F129" s="127"/>
      <c r="G129" s="127"/>
      <c r="H129" s="127"/>
      <c r="I129" s="117"/>
      <c r="J129" s="127"/>
      <c r="K129" s="127"/>
      <c r="L129" s="127"/>
      <c r="M129" s="127"/>
      <c r="N129" s="127"/>
      <c r="O129" s="127"/>
      <c r="P129" s="127"/>
      <c r="Q129" s="121"/>
      <c r="R129" s="127"/>
      <c r="S129" s="127"/>
      <c r="T129" s="127"/>
      <c r="U129" s="127"/>
      <c r="V129" s="127"/>
      <c r="W129" s="269"/>
      <c r="X129" s="127"/>
      <c r="Y129" s="117"/>
    </row>
    <row r="130" spans="1:26" x14ac:dyDescent="0.2">
      <c r="A130" s="178"/>
      <c r="B130" s="182"/>
      <c r="C130" s="121"/>
      <c r="D130" s="127"/>
      <c r="E130" s="127"/>
      <c r="F130" s="127"/>
      <c r="G130" s="127"/>
      <c r="H130" s="127"/>
      <c r="I130" s="117"/>
      <c r="J130" s="127"/>
      <c r="K130" s="127"/>
      <c r="L130" s="127"/>
      <c r="M130" s="127"/>
      <c r="N130" s="127"/>
      <c r="O130" s="127"/>
      <c r="P130" s="127"/>
      <c r="Q130" s="121"/>
      <c r="R130" s="127"/>
      <c r="S130" s="127"/>
      <c r="T130" s="127"/>
      <c r="U130" s="127"/>
      <c r="V130" s="127"/>
      <c r="W130" s="269"/>
      <c r="X130" s="127"/>
      <c r="Y130" s="117"/>
    </row>
    <row r="131" spans="1:26" x14ac:dyDescent="0.2">
      <c r="A131" s="178"/>
      <c r="B131" s="182"/>
      <c r="C131" s="121"/>
      <c r="D131" s="127"/>
      <c r="E131" s="127"/>
      <c r="F131" s="127"/>
      <c r="G131" s="127"/>
      <c r="H131" s="127"/>
      <c r="I131" s="117"/>
      <c r="J131" s="127"/>
      <c r="K131" s="127"/>
      <c r="L131" s="127"/>
      <c r="M131" s="127"/>
      <c r="N131" s="127"/>
      <c r="O131" s="127"/>
      <c r="P131" s="127"/>
      <c r="Q131" s="121"/>
      <c r="R131" s="127"/>
      <c r="S131" s="127"/>
      <c r="T131" s="127"/>
      <c r="U131" s="127"/>
      <c r="V131" s="127"/>
      <c r="W131" s="269"/>
      <c r="X131" s="127"/>
      <c r="Y131" s="117"/>
    </row>
    <row r="132" spans="1:26" x14ac:dyDescent="0.2">
      <c r="A132" s="178"/>
      <c r="B132" s="199"/>
      <c r="C132" s="121"/>
      <c r="D132" s="127"/>
      <c r="E132" s="127"/>
      <c r="F132" s="127"/>
      <c r="G132" s="127"/>
      <c r="H132" s="127"/>
      <c r="I132" s="117"/>
      <c r="J132" s="127"/>
      <c r="K132" s="127"/>
      <c r="L132" s="127"/>
      <c r="M132" s="127"/>
      <c r="N132" s="127"/>
      <c r="O132" s="127"/>
      <c r="P132" s="127"/>
      <c r="Q132" s="121"/>
      <c r="R132" s="127"/>
      <c r="S132" s="127"/>
      <c r="T132" s="127"/>
      <c r="U132" s="127"/>
      <c r="V132" s="127"/>
      <c r="W132" s="117"/>
      <c r="X132" s="127"/>
      <c r="Y132" s="117"/>
    </row>
    <row r="133" spans="1:26" ht="13.5" thickBot="1" x14ac:dyDescent="0.25">
      <c r="A133" s="179"/>
      <c r="B133" s="246"/>
      <c r="C133" s="184"/>
      <c r="D133" s="183"/>
      <c r="E133" s="183"/>
      <c r="F133" s="183"/>
      <c r="G133" s="183"/>
      <c r="H133" s="183"/>
      <c r="I133" s="185"/>
      <c r="J133" s="183"/>
      <c r="K133" s="183"/>
      <c r="L133" s="183"/>
      <c r="M133" s="183"/>
      <c r="N133" s="183"/>
      <c r="O133" s="183"/>
      <c r="P133" s="183"/>
      <c r="Q133" s="184"/>
      <c r="R133" s="183"/>
      <c r="S133" s="183"/>
      <c r="T133" s="183"/>
      <c r="U133" s="183"/>
      <c r="V133" s="183"/>
      <c r="W133" s="185"/>
      <c r="X133" s="183"/>
      <c r="Y133" s="185"/>
    </row>
    <row r="134" spans="1:26" x14ac:dyDescent="0.2">
      <c r="A134" s="181"/>
      <c r="B134" s="182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32"/>
    </row>
    <row r="135" spans="1:26" ht="13.5" thickBot="1" x14ac:dyDescent="0.25"/>
    <row r="136" spans="1:26" x14ac:dyDescent="0.2">
      <c r="A136" s="76" t="s">
        <v>124</v>
      </c>
      <c r="B136" s="89"/>
      <c r="C136" s="77">
        <f>COUNTIF(C4:C124,"OFF")+'Nesting Sched'!C45+Pavia!C70</f>
        <v>4</v>
      </c>
      <c r="D136" s="78">
        <f>COUNTIF(D4:D124,"OFF")+'Nesting Sched'!D45+Pavia!D70</f>
        <v>54</v>
      </c>
      <c r="E136" s="78">
        <f>COUNTIF(E4:E124,"OFF")+'Nesting Sched'!E45+Pavia!E70</f>
        <v>56</v>
      </c>
      <c r="F136" s="78">
        <f>COUNTIF(F4:F124,"OFF")+'Nesting Sched'!F45+Pavia!F70</f>
        <v>33</v>
      </c>
      <c r="G136" s="78">
        <f>COUNTIF(G4:G124,"OFF")+'Nesting Sched'!G45+Pavia!G70</f>
        <v>34</v>
      </c>
      <c r="H136" s="78">
        <f>COUNTIF(H4:H124,"OFF")+'Nesting Sched'!H45+Pavia!H70</f>
        <v>35</v>
      </c>
      <c r="I136" s="79">
        <f>COUNTIF(I4:I124,"OFF")+'Nesting Sched'!I45+Pavia!I70</f>
        <v>37</v>
      </c>
      <c r="J136" s="77">
        <f>COUNTIF(J4:J124,"OFF")+'Nesting Sched'!J45+Pavia!J70</f>
        <v>36</v>
      </c>
      <c r="K136" s="78">
        <f>COUNTIF(K4:K124,"OFF")+'Nesting Sched'!K45+Pavia!K70</f>
        <v>41</v>
      </c>
      <c r="L136" s="78">
        <f>COUNTIF(L4:L124,"OFF")+'Nesting Sched'!L45+Pavia!L70</f>
        <v>41</v>
      </c>
      <c r="M136" s="78">
        <f>COUNTIF(M4:M124,"OFF")+'Nesting Sched'!M45+Pavia!M70</f>
        <v>15</v>
      </c>
      <c r="N136" s="78">
        <f>COUNTIF(N4:N124,"OFF")+'Nesting Sched'!N45+Pavia!N70</f>
        <v>28</v>
      </c>
      <c r="O136" s="78">
        <f>COUNTIF(O4:O124,"OFF")+'Nesting Sched'!O45+Pavia!O70</f>
        <v>35</v>
      </c>
      <c r="P136" s="79">
        <f>COUNTIF(P4:P124,"OFF")+'Nesting Sched'!P45+Pavia!P70</f>
        <v>55</v>
      </c>
      <c r="Q136" s="77">
        <f>COUNTIF(Q4:Q124,"OFF")+'Nesting Sched'!Q45+Pavia!Q70</f>
        <v>36</v>
      </c>
      <c r="R136" s="78">
        <f>COUNTIF(R4:R124,"OFF")+'Nesting Sched'!R45+Pavia!R70</f>
        <v>41</v>
      </c>
      <c r="S136" s="78">
        <f>COUNTIF(S4:S124,"OFF")+'Nesting Sched'!S45+Pavia!S70</f>
        <v>41</v>
      </c>
      <c r="T136" s="78">
        <f>COUNTIF(T4:T124,"OFF")+'Nesting Sched'!T45+Pavia!T70</f>
        <v>15</v>
      </c>
      <c r="U136" s="78">
        <f>COUNTIF(U4:U124,"OFF")+'Nesting Sched'!U45+Pavia!U70</f>
        <v>28</v>
      </c>
      <c r="V136" s="78">
        <f>COUNTIF(V4:V124,"OFF")+'Nesting Sched'!V45+Pavia!V70</f>
        <v>35</v>
      </c>
      <c r="W136" s="79">
        <f>COUNTIF(W4:W124,"OFF")+'Nesting Sched'!W45+Pavia!W70</f>
        <v>55</v>
      </c>
    </row>
    <row r="137" spans="1:26" x14ac:dyDescent="0.2">
      <c r="A137" s="28" t="s">
        <v>125</v>
      </c>
      <c r="C137" s="80">
        <f>COUNTIF(C4:C78,"PTO")+'Nesting Sched'!C63+Pavia!C77</f>
        <v>0</v>
      </c>
      <c r="D137" s="123">
        <f>COUNTIF(D4:D77,"PTO")+'Nesting Sched'!D63+Pavia!D77</f>
        <v>0</v>
      </c>
      <c r="E137" s="123">
        <f>COUNTIF(E4:E77,"PTO")+'Nesting Sched'!E63+Pavia!E77</f>
        <v>0</v>
      </c>
      <c r="F137" s="123">
        <f>COUNTIF(F4:F77,"PTO")+'Nesting Sched'!F63+Pavia!F77</f>
        <v>0</v>
      </c>
      <c r="G137" s="123">
        <f>COUNTIF(G4:G77,"PTO")+'Nesting Sched'!G63+Pavia!G77</f>
        <v>0</v>
      </c>
      <c r="H137" s="123">
        <f>COUNTIF(H4:H77,"PTO")+'Nesting Sched'!H63+Pavia!H77</f>
        <v>0</v>
      </c>
      <c r="I137" s="82">
        <f>COUNTIF(I4:I77,"PTO")+'Nesting Sched'!I63+Pavia!I77</f>
        <v>0</v>
      </c>
      <c r="J137" s="80">
        <f>COUNTIF(J4:J77,"PTO")+'Nesting Sched'!J63+Pavia!J77</f>
        <v>0</v>
      </c>
      <c r="K137" s="123">
        <f>COUNTIF(K4:K77,"PTO")+'Nesting Sched'!K63+Pavia!K77</f>
        <v>0</v>
      </c>
      <c r="L137" s="123">
        <f>COUNTIF(L4:L77,"PTO")+'Nesting Sched'!L63+Pavia!L77</f>
        <v>0</v>
      </c>
      <c r="M137" s="123">
        <f>COUNTIF(M4:M77,"PTO")+'Nesting Sched'!M63+Pavia!M77</f>
        <v>0</v>
      </c>
      <c r="N137" s="123">
        <f>COUNTIF(N4:N77,"PTO")+'Nesting Sched'!N63+Pavia!N77</f>
        <v>0</v>
      </c>
      <c r="O137" s="123">
        <f>COUNTIF(O4:O77,"PTO")+'Nesting Sched'!O63+Pavia!O77</f>
        <v>0</v>
      </c>
      <c r="P137" s="82">
        <f>COUNTIF(P4:P77,"PTO")+'Nesting Sched'!P63+Pavia!P77</f>
        <v>0</v>
      </c>
      <c r="Q137" s="80">
        <f>COUNTIF(Q4:Q77,"PTO")+'Nesting Sched'!Q63+Pavia!Q77</f>
        <v>0</v>
      </c>
      <c r="R137" s="123">
        <f>COUNTIF(R4:R77,"PTO")+'Nesting Sched'!R63+Pavia!R77</f>
        <v>0</v>
      </c>
      <c r="S137" s="123">
        <f>COUNTIF(S4:S77,"PTO")+'Nesting Sched'!S63+Pavia!S77</f>
        <v>0</v>
      </c>
      <c r="T137" s="123">
        <f>COUNTIF(T4:T77,"PTO")+'Nesting Sched'!T63+Pavia!T77</f>
        <v>0</v>
      </c>
      <c r="U137" s="123">
        <f>COUNTIF(U4:U77,"PTO")+'Nesting Sched'!U63+Pavia!U77</f>
        <v>0</v>
      </c>
      <c r="V137" s="123">
        <f>COUNTIF(V4:V77,"PTO")+'Nesting Sched'!V63+Pavia!V77</f>
        <v>0</v>
      </c>
      <c r="W137" s="82">
        <f>COUNTIF(W4:W77,"PTO")+'Nesting Sched'!W63+Pavia!W77</f>
        <v>0</v>
      </c>
    </row>
    <row r="138" spans="1:26" x14ac:dyDescent="0.2">
      <c r="A138" s="28" t="s">
        <v>126</v>
      </c>
      <c r="C138" s="80">
        <f>COUNTIF(C4:C77,"LOA")+'Nesting Sched'!C64+Pavia!C78</f>
        <v>0</v>
      </c>
      <c r="D138" s="123">
        <f>COUNTIF(D4:D58,"LOA")+'Nesting Sched'!D64+Pavia!D78</f>
        <v>0</v>
      </c>
      <c r="E138" s="123">
        <f>COUNTIF(E4:E58,"LOA")+'Nesting Sched'!E64+Pavia!E78</f>
        <v>0</v>
      </c>
      <c r="F138" s="123">
        <f>COUNTIF(F4:F58,"LOA")+'Nesting Sched'!F64+Pavia!F78</f>
        <v>0</v>
      </c>
      <c r="G138" s="123">
        <f>COUNTIF(G4:G58,"LOA")+'Nesting Sched'!G64+Pavia!G78</f>
        <v>0</v>
      </c>
      <c r="H138" s="123">
        <f>COUNTIF(H4:H58,"LOA")+'Nesting Sched'!H64+Pavia!H78</f>
        <v>0</v>
      </c>
      <c r="I138" s="82">
        <f>COUNTIF(I4:I58,"LOA")+'Nesting Sched'!I64+Pavia!I78</f>
        <v>0</v>
      </c>
      <c r="J138" s="80">
        <f>COUNTIF(J4:J77,"LOA")+'Nesting Sched'!J64+Pavia!J78</f>
        <v>0</v>
      </c>
      <c r="K138" s="123">
        <f>COUNTIF(K4:K58,"LOA")+'Nesting Sched'!K64+Pavia!K78</f>
        <v>0</v>
      </c>
      <c r="L138" s="123">
        <f>COUNTIF(L4:L58,"LOA")+'Nesting Sched'!L64+Pavia!L78</f>
        <v>0</v>
      </c>
      <c r="M138" s="123">
        <f>COUNTIF(M4:M58,"LOA")+'Nesting Sched'!M64+Pavia!M78</f>
        <v>0</v>
      </c>
      <c r="N138" s="123">
        <f>COUNTIF(N4:N58,"LOA")+'Nesting Sched'!N64+Pavia!N78</f>
        <v>0</v>
      </c>
      <c r="O138" s="123">
        <f>COUNTIF(O4:O58,"LOA")+'Nesting Sched'!O64+Pavia!O78</f>
        <v>0</v>
      </c>
      <c r="P138" s="82">
        <f>COUNTIF(P4:P58,"LOA")+'Nesting Sched'!P64+Pavia!P78</f>
        <v>0</v>
      </c>
      <c r="Q138" s="80">
        <f>COUNTIF(Q4:Q77,"LOA")+'Nesting Sched'!Q64+Pavia!Q78</f>
        <v>0</v>
      </c>
      <c r="R138" s="123">
        <f>COUNTIF(R4:R58,"LOA")+'Nesting Sched'!R64+Pavia!R78</f>
        <v>0</v>
      </c>
      <c r="S138" s="123">
        <f>COUNTIF(S4:S58,"LOA")+'Nesting Sched'!S64+Pavia!S78</f>
        <v>0</v>
      </c>
      <c r="T138" s="123">
        <f>COUNTIF(T4:T58,"LOA")+'Nesting Sched'!T64+Pavia!T78</f>
        <v>0</v>
      </c>
      <c r="U138" s="123">
        <f>COUNTIF(U4:U58,"LOA")+'Nesting Sched'!U64+Pavia!U78</f>
        <v>0</v>
      </c>
      <c r="V138" s="123">
        <f>COUNTIF(V4:V58,"LOA")+'Nesting Sched'!V64+Pavia!V78</f>
        <v>0</v>
      </c>
      <c r="W138" s="82">
        <f>COUNTIF(W4:W58,"LOA")+'Nesting Sched'!W64+Pavia!W78</f>
        <v>0</v>
      </c>
    </row>
    <row r="139" spans="1:26" x14ac:dyDescent="0.2">
      <c r="A139" s="28" t="s">
        <v>34</v>
      </c>
      <c r="C139" s="80">
        <f>COUNTIF(C4:C77,"A")+'Nesting Sched'!C65+Pavia!C79</f>
        <v>0</v>
      </c>
      <c r="D139" s="123">
        <f>COUNTIF(D4:D77,"A")+'Nesting Sched'!D65+Pavia!D79</f>
        <v>0</v>
      </c>
      <c r="E139" s="123">
        <f>COUNTIF(E4:E77,"A")+'Nesting Sched'!E65+Pavia!E79</f>
        <v>0</v>
      </c>
      <c r="F139" s="123">
        <f>COUNTIF(F4:F77,"A")+'Nesting Sched'!F65+Pavia!F79</f>
        <v>0</v>
      </c>
      <c r="G139" s="123">
        <f>COUNTIF(G4:G77,"A")+'Nesting Sched'!G65+Pavia!G79</f>
        <v>0</v>
      </c>
      <c r="H139" s="123">
        <f>COUNTIF(H4:H77,"A")+'Nesting Sched'!H65+Pavia!H79</f>
        <v>0</v>
      </c>
      <c r="I139" s="82">
        <f>COUNTIF(I4:I77,"A")+'Nesting Sched'!I65+Pavia!I79</f>
        <v>0</v>
      </c>
      <c r="J139" s="80">
        <f>COUNTIF(J4:J77,"A")+'Nesting Sched'!J65+Pavia!J79</f>
        <v>0</v>
      </c>
      <c r="K139" s="123">
        <f>COUNTIF(K4:K77,"A")+'Nesting Sched'!K65+Pavia!K79</f>
        <v>0</v>
      </c>
      <c r="L139" s="123">
        <f>COUNTIF(L4:L77,"A")+'Nesting Sched'!L65+Pavia!L79</f>
        <v>0</v>
      </c>
      <c r="M139" s="123">
        <f>COUNTIF(M4:M77,"A")+'Nesting Sched'!M65+Pavia!M79</f>
        <v>0</v>
      </c>
      <c r="N139" s="123">
        <f>COUNTIF(N4:N77,"A")+'Nesting Sched'!N65+Pavia!N79</f>
        <v>0</v>
      </c>
      <c r="O139" s="123">
        <f>COUNTIF(O4:O77,"A")+'Nesting Sched'!O65+Pavia!O79</f>
        <v>0</v>
      </c>
      <c r="P139" s="82">
        <f>COUNTIF(P4:P77,"A")+'Nesting Sched'!P65+Pavia!P79</f>
        <v>0</v>
      </c>
      <c r="Q139" s="80">
        <f>COUNTIF(Q4:Q77,"A")+'Nesting Sched'!Q65+Pavia!Q79</f>
        <v>0</v>
      </c>
      <c r="R139" s="123">
        <f>COUNTIF(R4:R77,"A")+'Nesting Sched'!R65+Pavia!R79</f>
        <v>0</v>
      </c>
      <c r="S139" s="123">
        <f>COUNTIF(S4:S77,"A")+'Nesting Sched'!S65+Pavia!S79</f>
        <v>0</v>
      </c>
      <c r="T139" s="123">
        <f>COUNTIF(T4:T77,"A")+'Nesting Sched'!T65+Pavia!T79</f>
        <v>0</v>
      </c>
      <c r="U139" s="123">
        <f>COUNTIF(U4:U77,"A")+'Nesting Sched'!U65+Pavia!U79</f>
        <v>0</v>
      </c>
      <c r="V139" s="123">
        <f>COUNTIF(V4:V77,"A")+'Nesting Sched'!V65+Pavia!V79</f>
        <v>0</v>
      </c>
      <c r="W139" s="82">
        <f>COUNTIF(W4:W77,"A")+'Nesting Sched'!W65+Pavia!W79</f>
        <v>0</v>
      </c>
    </row>
    <row r="140" spans="1:26" x14ac:dyDescent="0.2">
      <c r="A140" s="28" t="s">
        <v>15</v>
      </c>
      <c r="C140" s="80">
        <f>(100-C136-C137-C138-C139)</f>
        <v>96</v>
      </c>
      <c r="D140" s="123">
        <f t="shared" ref="D140:W140" si="4">(100-D136-D137-D138-D139)</f>
        <v>46</v>
      </c>
      <c r="E140" s="123">
        <f t="shared" si="4"/>
        <v>44</v>
      </c>
      <c r="F140" s="123">
        <f t="shared" si="4"/>
        <v>67</v>
      </c>
      <c r="G140" s="123">
        <f t="shared" si="4"/>
        <v>66</v>
      </c>
      <c r="H140" s="123">
        <f t="shared" si="4"/>
        <v>65</v>
      </c>
      <c r="I140" s="82">
        <f t="shared" si="4"/>
        <v>63</v>
      </c>
      <c r="J140" s="80">
        <f t="shared" si="4"/>
        <v>64</v>
      </c>
      <c r="K140" s="123">
        <f t="shared" si="4"/>
        <v>59</v>
      </c>
      <c r="L140" s="123">
        <f t="shared" si="4"/>
        <v>59</v>
      </c>
      <c r="M140" s="123">
        <f t="shared" si="4"/>
        <v>85</v>
      </c>
      <c r="N140" s="123">
        <f t="shared" si="4"/>
        <v>72</v>
      </c>
      <c r="O140" s="123">
        <f t="shared" si="4"/>
        <v>65</v>
      </c>
      <c r="P140" s="82">
        <f t="shared" si="4"/>
        <v>45</v>
      </c>
      <c r="Q140" s="80">
        <f t="shared" si="4"/>
        <v>64</v>
      </c>
      <c r="R140" s="123">
        <f t="shared" si="4"/>
        <v>59</v>
      </c>
      <c r="S140" s="123">
        <f t="shared" si="4"/>
        <v>59</v>
      </c>
      <c r="T140" s="123">
        <f t="shared" si="4"/>
        <v>85</v>
      </c>
      <c r="U140" s="123">
        <f t="shared" si="4"/>
        <v>72</v>
      </c>
      <c r="V140" s="123">
        <f t="shared" si="4"/>
        <v>65</v>
      </c>
      <c r="W140" s="82">
        <f t="shared" si="4"/>
        <v>45</v>
      </c>
    </row>
    <row r="141" spans="1:26" ht="13.5" thickBot="1" x14ac:dyDescent="0.25">
      <c r="A141" s="67" t="s">
        <v>33</v>
      </c>
      <c r="B141" s="68"/>
      <c r="C141" s="83">
        <f>SUM(C136:C140)</f>
        <v>100</v>
      </c>
      <c r="D141" s="84">
        <f t="shared" ref="D141:J141" si="5">SUM(D136:D140)</f>
        <v>100</v>
      </c>
      <c r="E141" s="84">
        <f>SUM(E136:E140)</f>
        <v>100</v>
      </c>
      <c r="F141" s="84">
        <f t="shared" si="5"/>
        <v>100</v>
      </c>
      <c r="G141" s="84">
        <f t="shared" si="5"/>
        <v>100</v>
      </c>
      <c r="H141" s="84">
        <f t="shared" si="5"/>
        <v>100</v>
      </c>
      <c r="I141" s="85">
        <f t="shared" si="5"/>
        <v>100</v>
      </c>
      <c r="J141" s="83">
        <f t="shared" si="5"/>
        <v>100</v>
      </c>
      <c r="K141" s="84">
        <f t="shared" ref="K141:W141" si="6">SUM(K136:K140)</f>
        <v>100</v>
      </c>
      <c r="L141" s="84">
        <f t="shared" si="6"/>
        <v>100</v>
      </c>
      <c r="M141" s="84">
        <f t="shared" si="6"/>
        <v>100</v>
      </c>
      <c r="N141" s="84">
        <f t="shared" si="6"/>
        <v>100</v>
      </c>
      <c r="O141" s="84">
        <f t="shared" si="6"/>
        <v>100</v>
      </c>
      <c r="P141" s="85">
        <f t="shared" si="6"/>
        <v>100</v>
      </c>
      <c r="Q141" s="83">
        <f t="shared" si="6"/>
        <v>100</v>
      </c>
      <c r="R141" s="84">
        <f t="shared" si="6"/>
        <v>100</v>
      </c>
      <c r="S141" s="84">
        <f t="shared" si="6"/>
        <v>100</v>
      </c>
      <c r="T141" s="84">
        <f t="shared" si="6"/>
        <v>100</v>
      </c>
      <c r="U141" s="84">
        <f t="shared" si="6"/>
        <v>100</v>
      </c>
      <c r="V141" s="84">
        <f t="shared" si="6"/>
        <v>100</v>
      </c>
      <c r="W141" s="85">
        <f t="shared" si="6"/>
        <v>100</v>
      </c>
    </row>
    <row r="142" spans="1:26" ht="13.7" customHeight="1" thickBot="1" x14ac:dyDescent="0.25">
      <c r="A142" s="101" t="s">
        <v>132</v>
      </c>
      <c r="B142" s="69"/>
      <c r="C142" s="84">
        <f>(COUNTIF(C4:C86,"OT"))*7.5+'Nesting Sched'!C57</f>
        <v>0</v>
      </c>
      <c r="D142" s="84">
        <f>(COUNTIF(D4:D86,"OT"))*7.5+'Nesting Sched'!D57</f>
        <v>0</v>
      </c>
      <c r="E142" s="84">
        <f>(COUNTIF(E4:E86,"OT"))*7.5+'Nesting Sched'!E57</f>
        <v>0</v>
      </c>
      <c r="F142" s="255">
        <f>(COUNTIF(F4:F86,"OT"))*7.5+'Nesting Sched'!F57</f>
        <v>0</v>
      </c>
      <c r="G142" s="84">
        <f>(COUNTIF(G4:G86,"OT"))*7.5+'Nesting Sched'!G57</f>
        <v>0</v>
      </c>
      <c r="H142" s="84">
        <f>(COUNTIF(H4:H86,"OT"))*7.5+'Nesting Sched'!H57</f>
        <v>0</v>
      </c>
      <c r="I142" s="85">
        <f>(COUNTIF(I4:I86,"OT"))*7.5+'Nesting Sched'!I57</f>
        <v>0</v>
      </c>
      <c r="J142" s="83">
        <f>(COUNTIF(J4:J86,"OT"))*7.5+'Nesting Sched'!J57</f>
        <v>0</v>
      </c>
      <c r="K142" s="84">
        <f>(COUNTIF(K4:K86,"OT"))*7.5+'Nesting Sched'!K57</f>
        <v>0</v>
      </c>
      <c r="L142" s="84">
        <f>(COUNTIF(L4:L86,"OT"))*7.5+'Nesting Sched'!L57</f>
        <v>0</v>
      </c>
      <c r="M142" s="84">
        <f>(COUNTIF(M4:M86,"OT"))*7.5+'Nesting Sched'!M57</f>
        <v>0</v>
      </c>
      <c r="N142" s="84">
        <f>(COUNTIF(N4:N86,"OT"))*7.5+'Nesting Sched'!N57</f>
        <v>0</v>
      </c>
      <c r="O142" s="84">
        <f>(COUNTIF(O4:O86,"OT"))*7.5+'Nesting Sched'!O57</f>
        <v>0</v>
      </c>
      <c r="P142" s="85">
        <f>(COUNTIF(P4:P86,"OT"))*7.5+'Nesting Sched'!P57</f>
        <v>0</v>
      </c>
      <c r="Q142" s="84">
        <f>(COUNTIF(Q4:Q86,"OT"))*7.5+'Nesting Sched'!Q57</f>
        <v>0</v>
      </c>
      <c r="R142" s="84">
        <f>(COUNTIF(R4:R86,"OT"))*7.5+'Nesting Sched'!R57</f>
        <v>0</v>
      </c>
      <c r="S142" s="84">
        <f>(COUNTIF(S4:S86,"OT"))*7.5+'Nesting Sched'!S57</f>
        <v>0</v>
      </c>
      <c r="T142" s="84">
        <f>(COUNTIF(T4:T86,"OT"))*7.5+'Nesting Sched'!T57</f>
        <v>0</v>
      </c>
      <c r="U142" s="84">
        <f>(COUNTIF(U4:U86,"OT"))*7.5+'Nesting Sched'!U57</f>
        <v>0</v>
      </c>
      <c r="V142" s="84">
        <f>(COUNTIF(V4:V86,"OT"))*7.5+'Nesting Sched'!V57</f>
        <v>0</v>
      </c>
      <c r="W142" s="85">
        <f>(COUNTIF(W4:W86,"OT"))*7.5+'Nesting Sched'!W57</f>
        <v>0</v>
      </c>
    </row>
    <row r="143" spans="1:26" ht="15.75" hidden="1" customHeight="1" x14ac:dyDescent="0.2">
      <c r="A143" s="9" t="s">
        <v>39</v>
      </c>
      <c r="C143" s="81">
        <f>(C140+C137)*0.065</f>
        <v>6.24</v>
      </c>
      <c r="D143" s="81">
        <f t="shared" ref="D143:I143" si="7">(D140+D137)*0.065</f>
        <v>2.99</v>
      </c>
      <c r="E143" s="81">
        <f t="shared" si="7"/>
        <v>2.8600000000000003</v>
      </c>
      <c r="F143" s="81">
        <f t="shared" si="7"/>
        <v>4.3550000000000004</v>
      </c>
      <c r="G143" s="81">
        <f t="shared" si="7"/>
        <v>4.29</v>
      </c>
      <c r="H143" s="81">
        <f t="shared" si="7"/>
        <v>4.2250000000000005</v>
      </c>
      <c r="I143" s="81">
        <f t="shared" si="7"/>
        <v>4.0949999999999998</v>
      </c>
      <c r="J143" s="81">
        <f t="shared" ref="J143:W143" si="8">(J140+J137)*0.065</f>
        <v>4.16</v>
      </c>
      <c r="K143" s="81">
        <f t="shared" si="8"/>
        <v>3.835</v>
      </c>
      <c r="L143" s="81">
        <f t="shared" si="8"/>
        <v>3.835</v>
      </c>
      <c r="M143" s="81">
        <f t="shared" si="8"/>
        <v>5.5250000000000004</v>
      </c>
      <c r="N143" s="81">
        <f t="shared" si="8"/>
        <v>4.68</v>
      </c>
      <c r="O143" s="81">
        <f t="shared" si="8"/>
        <v>4.2250000000000005</v>
      </c>
      <c r="P143" s="81">
        <f t="shared" si="8"/>
        <v>2.9250000000000003</v>
      </c>
      <c r="Q143" s="81">
        <f t="shared" si="8"/>
        <v>4.16</v>
      </c>
      <c r="R143" s="81">
        <f t="shared" si="8"/>
        <v>3.835</v>
      </c>
      <c r="S143" s="81">
        <f t="shared" si="8"/>
        <v>3.835</v>
      </c>
      <c r="T143" s="81">
        <f t="shared" si="8"/>
        <v>5.5250000000000004</v>
      </c>
      <c r="U143" s="81">
        <f t="shared" si="8"/>
        <v>4.68</v>
      </c>
      <c r="V143" s="81">
        <f t="shared" si="8"/>
        <v>4.2250000000000005</v>
      </c>
      <c r="W143" s="81">
        <f t="shared" si="8"/>
        <v>2.9250000000000003</v>
      </c>
    </row>
    <row r="144" spans="1:26" ht="15.75" hidden="1" customHeight="1" x14ac:dyDescent="0.2">
      <c r="A144" s="9" t="s">
        <v>35</v>
      </c>
      <c r="C144" s="81">
        <f t="shared" ref="C144:W144" si="9">IF(C143-C137&lt;0,0,(C143-C137))</f>
        <v>6.24</v>
      </c>
      <c r="D144" s="81">
        <f t="shared" si="9"/>
        <v>2.99</v>
      </c>
      <c r="E144" s="81">
        <f t="shared" si="9"/>
        <v>2.8600000000000003</v>
      </c>
      <c r="F144" s="81">
        <f t="shared" si="9"/>
        <v>4.3550000000000004</v>
      </c>
      <c r="G144" s="81">
        <f t="shared" si="9"/>
        <v>4.29</v>
      </c>
      <c r="H144" s="81">
        <f t="shared" si="9"/>
        <v>4.2250000000000005</v>
      </c>
      <c r="I144" s="81">
        <f t="shared" si="9"/>
        <v>4.0949999999999998</v>
      </c>
      <c r="J144" s="81">
        <f t="shared" si="9"/>
        <v>4.16</v>
      </c>
      <c r="K144" s="81">
        <f t="shared" si="9"/>
        <v>3.835</v>
      </c>
      <c r="L144" s="81">
        <f t="shared" si="9"/>
        <v>3.835</v>
      </c>
      <c r="M144" s="81">
        <f t="shared" si="9"/>
        <v>5.5250000000000004</v>
      </c>
      <c r="N144" s="81">
        <f t="shared" si="9"/>
        <v>4.68</v>
      </c>
      <c r="O144" s="81">
        <f t="shared" si="9"/>
        <v>4.2250000000000005</v>
      </c>
      <c r="P144" s="81">
        <f t="shared" si="9"/>
        <v>2.9250000000000003</v>
      </c>
      <c r="Q144" s="81">
        <f t="shared" si="9"/>
        <v>4.16</v>
      </c>
      <c r="R144" s="81">
        <f t="shared" si="9"/>
        <v>3.835</v>
      </c>
      <c r="S144" s="81">
        <f t="shared" si="9"/>
        <v>3.835</v>
      </c>
      <c r="T144" s="81">
        <f t="shared" si="9"/>
        <v>5.5250000000000004</v>
      </c>
      <c r="U144" s="81">
        <f t="shared" si="9"/>
        <v>4.68</v>
      </c>
      <c r="V144" s="81">
        <f t="shared" si="9"/>
        <v>4.2250000000000005</v>
      </c>
      <c r="W144" s="81">
        <f t="shared" si="9"/>
        <v>2.9250000000000003</v>
      </c>
    </row>
    <row r="145" spans="1:24" ht="13.5" thickBot="1" x14ac:dyDescent="0.25">
      <c r="C145" s="104"/>
    </row>
    <row r="146" spans="1:24" ht="13.5" thickBot="1" x14ac:dyDescent="0.25">
      <c r="A146" s="107" t="s">
        <v>14</v>
      </c>
      <c r="C146" s="311" t="str">
        <f>C1</f>
        <v>WEEK BEGINNING 0427</v>
      </c>
      <c r="D146" s="312"/>
      <c r="E146" s="312"/>
      <c r="F146" s="312"/>
      <c r="G146" s="312"/>
      <c r="H146" s="312"/>
      <c r="I146" s="312"/>
      <c r="J146" s="311" t="str">
        <f>J1</f>
        <v>WEEK BEGINNING 0504</v>
      </c>
      <c r="K146" s="312"/>
      <c r="L146" s="312"/>
      <c r="M146" s="312"/>
      <c r="N146" s="312"/>
      <c r="O146" s="312"/>
      <c r="P146" s="313"/>
      <c r="Q146" s="312" t="str">
        <f>Q1</f>
        <v>WEEK BEGINNING 0511</v>
      </c>
      <c r="R146" s="312"/>
      <c r="S146" s="312"/>
      <c r="T146" s="312"/>
      <c r="U146" s="312"/>
      <c r="V146" s="312"/>
      <c r="W146" s="313"/>
    </row>
    <row r="147" spans="1:24" ht="15.75" customHeight="1" thickBot="1" x14ac:dyDescent="0.25">
      <c r="A147" s="309" t="s">
        <v>10</v>
      </c>
      <c r="B147" s="233" t="s">
        <v>97</v>
      </c>
      <c r="C147" s="158" t="s">
        <v>0</v>
      </c>
      <c r="D147" s="152" t="s">
        <v>1</v>
      </c>
      <c r="E147" s="152" t="s">
        <v>2</v>
      </c>
      <c r="F147" s="152" t="s">
        <v>3</v>
      </c>
      <c r="G147" s="152" t="s">
        <v>4</v>
      </c>
      <c r="H147" s="152" t="s">
        <v>5</v>
      </c>
      <c r="I147" s="169" t="s">
        <v>6</v>
      </c>
      <c r="J147" s="235" t="s">
        <v>0</v>
      </c>
      <c r="K147" s="236" t="s">
        <v>1</v>
      </c>
      <c r="L147" s="236" t="s">
        <v>2</v>
      </c>
      <c r="M147" s="236" t="s">
        <v>3</v>
      </c>
      <c r="N147" s="236" t="s">
        <v>4</v>
      </c>
      <c r="O147" s="236" t="s">
        <v>5</v>
      </c>
      <c r="P147" s="237" t="s">
        <v>6</v>
      </c>
      <c r="Q147" s="241" t="s">
        <v>0</v>
      </c>
      <c r="R147" s="236" t="s">
        <v>1</v>
      </c>
      <c r="S147" s="236" t="s">
        <v>2</v>
      </c>
      <c r="T147" s="236" t="s">
        <v>3</v>
      </c>
      <c r="U147" s="236" t="s">
        <v>4</v>
      </c>
      <c r="V147" s="236" t="s">
        <v>5</v>
      </c>
      <c r="W147" s="237" t="s">
        <v>6</v>
      </c>
      <c r="X147" s="162" t="s">
        <v>9</v>
      </c>
    </row>
    <row r="148" spans="1:24" ht="13.5" thickBot="1" x14ac:dyDescent="0.25">
      <c r="A148" s="310"/>
      <c r="B148" s="234"/>
      <c r="C148" s="172">
        <f>C3</f>
        <v>46139</v>
      </c>
      <c r="D148" s="157">
        <f>C148+1</f>
        <v>46140</v>
      </c>
      <c r="E148" s="157">
        <f t="shared" ref="E148:W148" si="10">D148+1</f>
        <v>46141</v>
      </c>
      <c r="F148" s="157">
        <f t="shared" si="10"/>
        <v>46142</v>
      </c>
      <c r="G148" s="157">
        <f t="shared" si="10"/>
        <v>46143</v>
      </c>
      <c r="H148" s="157">
        <f t="shared" si="10"/>
        <v>46144</v>
      </c>
      <c r="I148" s="170">
        <f t="shared" si="10"/>
        <v>46145</v>
      </c>
      <c r="J148" s="238">
        <f t="shared" si="10"/>
        <v>46146</v>
      </c>
      <c r="K148" s="239">
        <f t="shared" si="10"/>
        <v>46147</v>
      </c>
      <c r="L148" s="239">
        <f t="shared" si="10"/>
        <v>46148</v>
      </c>
      <c r="M148" s="239">
        <f t="shared" si="10"/>
        <v>46149</v>
      </c>
      <c r="N148" s="239">
        <f t="shared" si="10"/>
        <v>46150</v>
      </c>
      <c r="O148" s="239">
        <f t="shared" si="10"/>
        <v>46151</v>
      </c>
      <c r="P148" s="240">
        <f>O148+1</f>
        <v>46152</v>
      </c>
      <c r="Q148" s="238">
        <f t="shared" si="10"/>
        <v>46153</v>
      </c>
      <c r="R148" s="239">
        <f t="shared" si="10"/>
        <v>46154</v>
      </c>
      <c r="S148" s="239">
        <f t="shared" si="10"/>
        <v>46155</v>
      </c>
      <c r="T148" s="239">
        <f t="shared" si="10"/>
        <v>46156</v>
      </c>
      <c r="U148" s="239">
        <f t="shared" si="10"/>
        <v>46157</v>
      </c>
      <c r="V148" s="239">
        <f t="shared" si="10"/>
        <v>46158</v>
      </c>
      <c r="W148" s="240">
        <f t="shared" si="10"/>
        <v>46159</v>
      </c>
      <c r="X148" s="168"/>
    </row>
    <row r="149" spans="1:24" x14ac:dyDescent="0.2">
      <c r="A149" s="90" t="str">
        <f t="shared" ref="A149:A180" si="11">IF(B4="","",B4)</f>
        <v>Shenna Mae Pudadera</v>
      </c>
      <c r="B149" s="242" t="str">
        <f>IFERROR(VLOOKUP(A149,Masterlist!B:D,3,),"-")</f>
        <v>Antonette Jean Almasol</v>
      </c>
      <c r="C149" s="166">
        <f t="shared" ref="C149:H149" si="12">IFERROR(IF(C4 = "PTO", "PTO",C4+"12:00"),"OFF")</f>
        <v>0.875</v>
      </c>
      <c r="D149" s="166">
        <f t="shared" si="12"/>
        <v>0.875</v>
      </c>
      <c r="E149" s="166">
        <f t="shared" si="12"/>
        <v>0.875</v>
      </c>
      <c r="F149" s="166" t="str">
        <f t="shared" si="12"/>
        <v>OFF</v>
      </c>
      <c r="G149" s="166" t="str">
        <f t="shared" si="12"/>
        <v>OFF</v>
      </c>
      <c r="H149" s="166">
        <f t="shared" si="12"/>
        <v>0.875</v>
      </c>
      <c r="I149" s="166">
        <f>IFERROR(IF(I4 = "PTO", "PTO",I4+"12:00"),"OFF")</f>
        <v>0.875</v>
      </c>
      <c r="J149" s="165" t="str">
        <f>IFERROR(IF(J4 = "PTO", "PTO",J4+"12:00"),"OFF")</f>
        <v>OFF</v>
      </c>
      <c r="K149" s="166">
        <f t="shared" ref="K149:P149" si="13">IFERROR(IF(K4 = "PTO", "PTO",K4+"12:00"),"OFF")</f>
        <v>0.875</v>
      </c>
      <c r="L149" s="166">
        <f t="shared" si="13"/>
        <v>0.875</v>
      </c>
      <c r="M149" s="166">
        <f t="shared" si="13"/>
        <v>0.875</v>
      </c>
      <c r="N149" s="166">
        <f t="shared" si="13"/>
        <v>0.875</v>
      </c>
      <c r="O149" s="166">
        <f t="shared" si="13"/>
        <v>0.875</v>
      </c>
      <c r="P149" s="167" t="str">
        <f t="shared" si="13"/>
        <v>OFF</v>
      </c>
      <c r="Q149" s="165" t="str">
        <f>IFERROR(IF(Q4 = "PTO", "PTO",Q4+"12:00"),"OFF")</f>
        <v>OFF</v>
      </c>
      <c r="R149" s="166">
        <f t="shared" ref="R149:W149" si="14">IFERROR(IF(R4 = "PTO", "PTO",R4+"12:00"),"OFF")</f>
        <v>0.875</v>
      </c>
      <c r="S149" s="166">
        <f t="shared" si="14"/>
        <v>0.875</v>
      </c>
      <c r="T149" s="166">
        <f t="shared" si="14"/>
        <v>0.875</v>
      </c>
      <c r="U149" s="166">
        <f t="shared" si="14"/>
        <v>0.875</v>
      </c>
      <c r="V149" s="166">
        <f t="shared" si="14"/>
        <v>0.875</v>
      </c>
      <c r="W149" s="167" t="str">
        <f t="shared" si="14"/>
        <v>OFF</v>
      </c>
      <c r="X149" s="167">
        <f>IFERROR(MODE(Q149:W149),"-")</f>
        <v>0.875</v>
      </c>
    </row>
    <row r="150" spans="1:24" x14ac:dyDescent="0.2">
      <c r="A150" s="71" t="str">
        <f t="shared" si="11"/>
        <v>Riva Joy Orario</v>
      </c>
      <c r="B150" s="29" t="str">
        <f>IFERROR(VLOOKUP(A150,Masterlist!B:D,3,),"-")</f>
        <v>Antonette Jean Almasol</v>
      </c>
      <c r="C150" s="116">
        <f t="shared" ref="C150:W150" si="15">IFERROR(IF(C5 = "PTO", "PTO",C5+"12:00"),"OFF")</f>
        <v>0.875</v>
      </c>
      <c r="D150" s="116">
        <f t="shared" si="15"/>
        <v>0.875</v>
      </c>
      <c r="E150" s="116">
        <f t="shared" si="15"/>
        <v>0.875</v>
      </c>
      <c r="F150" s="116" t="str">
        <f t="shared" si="15"/>
        <v>OFF</v>
      </c>
      <c r="G150" s="116" t="str">
        <f t="shared" si="15"/>
        <v>OFF</v>
      </c>
      <c r="H150" s="116">
        <f t="shared" si="15"/>
        <v>0.875</v>
      </c>
      <c r="I150" s="116">
        <f t="shared" si="15"/>
        <v>0.875</v>
      </c>
      <c r="J150" s="86" t="str">
        <f t="shared" si="15"/>
        <v>OFF</v>
      </c>
      <c r="K150" s="116">
        <f t="shared" si="15"/>
        <v>0.875</v>
      </c>
      <c r="L150" s="116">
        <f t="shared" si="15"/>
        <v>0.875</v>
      </c>
      <c r="M150" s="116">
        <f t="shared" si="15"/>
        <v>0.875</v>
      </c>
      <c r="N150" s="116">
        <f t="shared" si="15"/>
        <v>0.875</v>
      </c>
      <c r="O150" s="116">
        <f t="shared" si="15"/>
        <v>0.875</v>
      </c>
      <c r="P150" s="116" t="str">
        <f t="shared" si="15"/>
        <v>OFF</v>
      </c>
      <c r="Q150" s="86" t="str">
        <f t="shared" si="15"/>
        <v>OFF</v>
      </c>
      <c r="R150" s="116">
        <f t="shared" si="15"/>
        <v>0.875</v>
      </c>
      <c r="S150" s="116">
        <f t="shared" si="15"/>
        <v>0.875</v>
      </c>
      <c r="T150" s="116">
        <f t="shared" si="15"/>
        <v>0.875</v>
      </c>
      <c r="U150" s="116">
        <f t="shared" si="15"/>
        <v>0.875</v>
      </c>
      <c r="V150" s="116">
        <f t="shared" si="15"/>
        <v>0.875</v>
      </c>
      <c r="W150" s="72" t="str">
        <f t="shared" si="15"/>
        <v>OFF</v>
      </c>
      <c r="X150" s="72">
        <f t="shared" ref="X150:X213" si="16">IFERROR(MODE(Q150:W150),"-")</f>
        <v>0.875</v>
      </c>
    </row>
    <row r="151" spans="1:24" x14ac:dyDescent="0.2">
      <c r="A151" s="71" t="str">
        <f t="shared" si="11"/>
        <v>Eliza Grace Cortez</v>
      </c>
      <c r="B151" s="29" t="str">
        <f>IFERROR(VLOOKUP(A151,Masterlist!B:D,3,),"-")</f>
        <v>Antonette Jean Almasol</v>
      </c>
      <c r="C151" s="116">
        <f t="shared" ref="C151:W151" si="17">IFERROR(IF(C6 = "PTO", "PTO",C6+"12:00"),"OFF")</f>
        <v>0.875</v>
      </c>
      <c r="D151" s="116">
        <f t="shared" si="17"/>
        <v>0.875</v>
      </c>
      <c r="E151" s="116">
        <f t="shared" si="17"/>
        <v>0.875</v>
      </c>
      <c r="F151" s="116" t="str">
        <f t="shared" si="17"/>
        <v>OFF</v>
      </c>
      <c r="G151" s="116" t="str">
        <f t="shared" si="17"/>
        <v>OFF</v>
      </c>
      <c r="H151" s="116">
        <f t="shared" si="17"/>
        <v>0.875</v>
      </c>
      <c r="I151" s="116">
        <f t="shared" si="17"/>
        <v>0.875</v>
      </c>
      <c r="J151" s="86" t="str">
        <f t="shared" si="17"/>
        <v>OFF</v>
      </c>
      <c r="K151" s="116">
        <f t="shared" si="17"/>
        <v>0.875</v>
      </c>
      <c r="L151" s="116">
        <f t="shared" si="17"/>
        <v>0.875</v>
      </c>
      <c r="M151" s="116">
        <f t="shared" si="17"/>
        <v>0.875</v>
      </c>
      <c r="N151" s="116">
        <f t="shared" si="17"/>
        <v>0.875</v>
      </c>
      <c r="O151" s="116">
        <f t="shared" si="17"/>
        <v>0.875</v>
      </c>
      <c r="P151" s="116" t="str">
        <f t="shared" si="17"/>
        <v>OFF</v>
      </c>
      <c r="Q151" s="86" t="str">
        <f t="shared" si="17"/>
        <v>OFF</v>
      </c>
      <c r="R151" s="116">
        <f t="shared" si="17"/>
        <v>0.875</v>
      </c>
      <c r="S151" s="116">
        <f t="shared" si="17"/>
        <v>0.875</v>
      </c>
      <c r="T151" s="116">
        <f t="shared" si="17"/>
        <v>0.875</v>
      </c>
      <c r="U151" s="116">
        <f t="shared" si="17"/>
        <v>0.875</v>
      </c>
      <c r="V151" s="116">
        <f t="shared" si="17"/>
        <v>0.875</v>
      </c>
      <c r="W151" s="72" t="str">
        <f t="shared" si="17"/>
        <v>OFF</v>
      </c>
      <c r="X151" s="72">
        <f t="shared" si="16"/>
        <v>0.875</v>
      </c>
    </row>
    <row r="152" spans="1:24" x14ac:dyDescent="0.2">
      <c r="A152" s="71" t="str">
        <f t="shared" si="11"/>
        <v>Emmanuel Togle</v>
      </c>
      <c r="B152" s="29" t="str">
        <f>IFERROR(VLOOKUP(A152,Masterlist!B:D,3,),"-")</f>
        <v>Antonette Jean Almasol</v>
      </c>
      <c r="C152" s="116">
        <f t="shared" ref="C152:W152" si="18">IFERROR(IF(C7 = "PTO", "PTO",C7+"12:00"),"OFF")</f>
        <v>0.875</v>
      </c>
      <c r="D152" s="116">
        <f t="shared" si="18"/>
        <v>0.875</v>
      </c>
      <c r="E152" s="116">
        <f t="shared" si="18"/>
        <v>0.875</v>
      </c>
      <c r="F152" s="116" t="str">
        <f t="shared" si="18"/>
        <v>OFF</v>
      </c>
      <c r="G152" s="116" t="str">
        <f t="shared" si="18"/>
        <v>OFF</v>
      </c>
      <c r="H152" s="116">
        <f t="shared" si="18"/>
        <v>0.875</v>
      </c>
      <c r="I152" s="116">
        <f t="shared" si="18"/>
        <v>0.875</v>
      </c>
      <c r="J152" s="86" t="str">
        <f t="shared" si="18"/>
        <v>OFF</v>
      </c>
      <c r="K152" s="116">
        <f t="shared" si="18"/>
        <v>0.875</v>
      </c>
      <c r="L152" s="116">
        <f t="shared" si="18"/>
        <v>0.875</v>
      </c>
      <c r="M152" s="116">
        <f t="shared" si="18"/>
        <v>0.875</v>
      </c>
      <c r="N152" s="116">
        <f t="shared" si="18"/>
        <v>0.875</v>
      </c>
      <c r="O152" s="116">
        <f t="shared" si="18"/>
        <v>0.875</v>
      </c>
      <c r="P152" s="116" t="str">
        <f t="shared" si="18"/>
        <v>OFF</v>
      </c>
      <c r="Q152" s="86" t="str">
        <f t="shared" si="18"/>
        <v>OFF</v>
      </c>
      <c r="R152" s="116">
        <f t="shared" si="18"/>
        <v>0.875</v>
      </c>
      <c r="S152" s="116">
        <f t="shared" si="18"/>
        <v>0.875</v>
      </c>
      <c r="T152" s="116">
        <f t="shared" si="18"/>
        <v>0.875</v>
      </c>
      <c r="U152" s="116">
        <f t="shared" si="18"/>
        <v>0.875</v>
      </c>
      <c r="V152" s="116">
        <f t="shared" si="18"/>
        <v>0.875</v>
      </c>
      <c r="W152" s="72" t="str">
        <f t="shared" si="18"/>
        <v>OFF</v>
      </c>
      <c r="X152" s="72">
        <f t="shared" si="16"/>
        <v>0.875</v>
      </c>
    </row>
    <row r="153" spans="1:24" x14ac:dyDescent="0.2">
      <c r="A153" s="71" t="str">
        <f t="shared" si="11"/>
        <v>Tommy Harold Jamandron</v>
      </c>
      <c r="B153" s="29" t="str">
        <f>IFERROR(VLOOKUP(A153,Masterlist!B:D,3,),"-")</f>
        <v>Antonette Jean Almasol</v>
      </c>
      <c r="C153" s="116">
        <f t="shared" ref="C153:W153" si="19">IFERROR(IF(C8 = "PTO", "PTO",C8+"12:00"),"OFF")</f>
        <v>0.875</v>
      </c>
      <c r="D153" s="116">
        <f t="shared" si="19"/>
        <v>0.875</v>
      </c>
      <c r="E153" s="116">
        <f t="shared" si="19"/>
        <v>0.875</v>
      </c>
      <c r="F153" s="116" t="str">
        <f t="shared" si="19"/>
        <v>OFF</v>
      </c>
      <c r="G153" s="116" t="str">
        <f t="shared" si="19"/>
        <v>OFF</v>
      </c>
      <c r="H153" s="116">
        <f t="shared" si="19"/>
        <v>0.875</v>
      </c>
      <c r="I153" s="116">
        <f t="shared" si="19"/>
        <v>0.875</v>
      </c>
      <c r="J153" s="86" t="str">
        <f t="shared" si="19"/>
        <v>OFF</v>
      </c>
      <c r="K153" s="116">
        <f t="shared" si="19"/>
        <v>0.875</v>
      </c>
      <c r="L153" s="116">
        <f t="shared" si="19"/>
        <v>0.875</v>
      </c>
      <c r="M153" s="116">
        <f t="shared" si="19"/>
        <v>0.875</v>
      </c>
      <c r="N153" s="116">
        <f t="shared" si="19"/>
        <v>0.875</v>
      </c>
      <c r="O153" s="116">
        <f t="shared" si="19"/>
        <v>0.875</v>
      </c>
      <c r="P153" s="116" t="str">
        <f t="shared" si="19"/>
        <v>OFF</v>
      </c>
      <c r="Q153" s="86" t="str">
        <f t="shared" si="19"/>
        <v>OFF</v>
      </c>
      <c r="R153" s="116">
        <f t="shared" si="19"/>
        <v>0.875</v>
      </c>
      <c r="S153" s="116">
        <f t="shared" si="19"/>
        <v>0.875</v>
      </c>
      <c r="T153" s="116">
        <f t="shared" si="19"/>
        <v>0.875</v>
      </c>
      <c r="U153" s="116">
        <f t="shared" si="19"/>
        <v>0.875</v>
      </c>
      <c r="V153" s="116">
        <f t="shared" si="19"/>
        <v>0.875</v>
      </c>
      <c r="W153" s="72" t="str">
        <f t="shared" si="19"/>
        <v>OFF</v>
      </c>
      <c r="X153" s="72">
        <f t="shared" si="16"/>
        <v>0.875</v>
      </c>
    </row>
    <row r="154" spans="1:24" x14ac:dyDescent="0.2">
      <c r="A154" s="71" t="str">
        <f t="shared" si="11"/>
        <v>Yron Angelo Llanda</v>
      </c>
      <c r="B154" s="29" t="str">
        <f>IFERROR(VLOOKUP(A154,Masterlist!B:D,3,),"-")</f>
        <v>Antonette Jean Almasol</v>
      </c>
      <c r="C154" s="116">
        <f t="shared" ref="C154:W154" si="20">IFERROR(IF(C9 = "PTO", "PTO",C9+"12:00"),"OFF")</f>
        <v>0.875</v>
      </c>
      <c r="D154" s="116">
        <f t="shared" si="20"/>
        <v>0.875</v>
      </c>
      <c r="E154" s="116">
        <f t="shared" si="20"/>
        <v>0.875</v>
      </c>
      <c r="F154" s="116" t="str">
        <f t="shared" si="20"/>
        <v>OFF</v>
      </c>
      <c r="G154" s="116" t="str">
        <f t="shared" si="20"/>
        <v>OFF</v>
      </c>
      <c r="H154" s="116">
        <f t="shared" si="20"/>
        <v>0.875</v>
      </c>
      <c r="I154" s="116">
        <f t="shared" si="20"/>
        <v>0.875</v>
      </c>
      <c r="J154" s="86" t="str">
        <f t="shared" si="20"/>
        <v>OFF</v>
      </c>
      <c r="K154" s="116">
        <f t="shared" si="20"/>
        <v>0.875</v>
      </c>
      <c r="L154" s="116">
        <f t="shared" si="20"/>
        <v>0.875</v>
      </c>
      <c r="M154" s="116">
        <f t="shared" si="20"/>
        <v>0.875</v>
      </c>
      <c r="N154" s="116">
        <f t="shared" si="20"/>
        <v>0.875</v>
      </c>
      <c r="O154" s="116">
        <f t="shared" si="20"/>
        <v>0.875</v>
      </c>
      <c r="P154" s="116" t="str">
        <f t="shared" si="20"/>
        <v>OFF</v>
      </c>
      <c r="Q154" s="86" t="str">
        <f t="shared" si="20"/>
        <v>OFF</v>
      </c>
      <c r="R154" s="116">
        <f t="shared" si="20"/>
        <v>0.875</v>
      </c>
      <c r="S154" s="116">
        <f t="shared" si="20"/>
        <v>0.875</v>
      </c>
      <c r="T154" s="116">
        <f t="shared" si="20"/>
        <v>0.875</v>
      </c>
      <c r="U154" s="116">
        <f t="shared" si="20"/>
        <v>0.875</v>
      </c>
      <c r="V154" s="116">
        <f t="shared" si="20"/>
        <v>0.875</v>
      </c>
      <c r="W154" s="72" t="str">
        <f t="shared" si="20"/>
        <v>OFF</v>
      </c>
      <c r="X154" s="72">
        <f t="shared" si="16"/>
        <v>0.875</v>
      </c>
    </row>
    <row r="155" spans="1:24" x14ac:dyDescent="0.2">
      <c r="A155" s="71" t="str">
        <f t="shared" si="11"/>
        <v>Annje,Libo-on,Jardinaso</v>
      </c>
      <c r="B155" s="29" t="str">
        <f>IFERROR(VLOOKUP(A155,Masterlist!B:D,3,),"-")</f>
        <v>Antonette Jean Almasol</v>
      </c>
      <c r="C155" s="116">
        <f t="shared" ref="C155:W155" si="21">IFERROR(IF(C10 = "PTO", "PTO",C10+"12:00"),"OFF")</f>
        <v>0.875</v>
      </c>
      <c r="D155" s="116">
        <f t="shared" si="21"/>
        <v>0.875</v>
      </c>
      <c r="E155" s="116">
        <f t="shared" si="21"/>
        <v>0.875</v>
      </c>
      <c r="F155" s="116" t="str">
        <f t="shared" si="21"/>
        <v>OFF</v>
      </c>
      <c r="G155" s="116" t="str">
        <f t="shared" si="21"/>
        <v>OFF</v>
      </c>
      <c r="H155" s="116">
        <f t="shared" si="21"/>
        <v>0.875</v>
      </c>
      <c r="I155" s="116">
        <f t="shared" si="21"/>
        <v>0.875</v>
      </c>
      <c r="J155" s="86" t="str">
        <f t="shared" si="21"/>
        <v>OFF</v>
      </c>
      <c r="K155" s="116">
        <f t="shared" si="21"/>
        <v>0.875</v>
      </c>
      <c r="L155" s="116">
        <f t="shared" si="21"/>
        <v>0.875</v>
      </c>
      <c r="M155" s="116">
        <f t="shared" si="21"/>
        <v>0.875</v>
      </c>
      <c r="N155" s="116">
        <f t="shared" si="21"/>
        <v>0.875</v>
      </c>
      <c r="O155" s="116">
        <f t="shared" si="21"/>
        <v>0.875</v>
      </c>
      <c r="P155" s="116" t="str">
        <f t="shared" si="21"/>
        <v>OFF</v>
      </c>
      <c r="Q155" s="86" t="str">
        <f t="shared" si="21"/>
        <v>OFF</v>
      </c>
      <c r="R155" s="116">
        <f t="shared" si="21"/>
        <v>0.875</v>
      </c>
      <c r="S155" s="116">
        <f t="shared" si="21"/>
        <v>0.875</v>
      </c>
      <c r="T155" s="116">
        <f t="shared" si="21"/>
        <v>0.875</v>
      </c>
      <c r="U155" s="116">
        <f t="shared" si="21"/>
        <v>0.875</v>
      </c>
      <c r="V155" s="116">
        <f t="shared" si="21"/>
        <v>0.875</v>
      </c>
      <c r="W155" s="72" t="str">
        <f t="shared" si="21"/>
        <v>OFF</v>
      </c>
      <c r="X155" s="72">
        <f t="shared" si="16"/>
        <v>0.875</v>
      </c>
    </row>
    <row r="156" spans="1:24" x14ac:dyDescent="0.2">
      <c r="A156" s="71" t="str">
        <f t="shared" si="11"/>
        <v>Jovito Gadian</v>
      </c>
      <c r="B156" s="29" t="str">
        <f>IFERROR(VLOOKUP(A156,Masterlist!B:D,3,),"-")</f>
        <v>Antonette Jean Almasol</v>
      </c>
      <c r="C156" s="116">
        <f t="shared" ref="C156:W156" si="22">IFERROR(IF(C11 = "PTO", "PTO",C11+"12:00"),"OFF")</f>
        <v>0.875</v>
      </c>
      <c r="D156" s="116">
        <f t="shared" si="22"/>
        <v>0.875</v>
      </c>
      <c r="E156" s="116">
        <f t="shared" si="22"/>
        <v>0.875</v>
      </c>
      <c r="F156" s="116" t="str">
        <f t="shared" si="22"/>
        <v>OFF</v>
      </c>
      <c r="G156" s="116" t="str">
        <f t="shared" si="22"/>
        <v>OFF</v>
      </c>
      <c r="H156" s="116">
        <f t="shared" si="22"/>
        <v>0.875</v>
      </c>
      <c r="I156" s="116">
        <f t="shared" si="22"/>
        <v>0.875</v>
      </c>
      <c r="J156" s="86" t="str">
        <f t="shared" si="22"/>
        <v>OFF</v>
      </c>
      <c r="K156" s="116">
        <f t="shared" si="22"/>
        <v>0.875</v>
      </c>
      <c r="L156" s="116">
        <f t="shared" si="22"/>
        <v>0.875</v>
      </c>
      <c r="M156" s="116">
        <f t="shared" si="22"/>
        <v>0.875</v>
      </c>
      <c r="N156" s="116">
        <f t="shared" si="22"/>
        <v>0.875</v>
      </c>
      <c r="O156" s="116">
        <f t="shared" si="22"/>
        <v>0.875</v>
      </c>
      <c r="P156" s="116" t="str">
        <f t="shared" si="22"/>
        <v>OFF</v>
      </c>
      <c r="Q156" s="86" t="str">
        <f t="shared" si="22"/>
        <v>OFF</v>
      </c>
      <c r="R156" s="116">
        <f t="shared" si="22"/>
        <v>0.875</v>
      </c>
      <c r="S156" s="116">
        <f t="shared" si="22"/>
        <v>0.875</v>
      </c>
      <c r="T156" s="116">
        <f t="shared" si="22"/>
        <v>0.875</v>
      </c>
      <c r="U156" s="116">
        <f t="shared" si="22"/>
        <v>0.875</v>
      </c>
      <c r="V156" s="116">
        <f t="shared" si="22"/>
        <v>0.875</v>
      </c>
      <c r="W156" s="72" t="str">
        <f t="shared" si="22"/>
        <v>OFF</v>
      </c>
      <c r="X156" s="72">
        <f t="shared" si="16"/>
        <v>0.875</v>
      </c>
    </row>
    <row r="157" spans="1:24" x14ac:dyDescent="0.2">
      <c r="A157" s="71" t="str">
        <f t="shared" si="11"/>
        <v>Trisha Ann Japitana</v>
      </c>
      <c r="B157" s="29" t="str">
        <f>IFERROR(VLOOKUP(A157,Masterlist!B:D,3,),"-")</f>
        <v>Antonette Jean Almasol</v>
      </c>
      <c r="C157" s="116">
        <f t="shared" ref="C157:W157" si="23">IFERROR(IF(C12 = "PTO", "PTO",C12+"12:00"),"OFF")</f>
        <v>0.875</v>
      </c>
      <c r="D157" s="116">
        <f t="shared" si="23"/>
        <v>0.875</v>
      </c>
      <c r="E157" s="116">
        <f t="shared" si="23"/>
        <v>0.875</v>
      </c>
      <c r="F157" s="116" t="str">
        <f t="shared" si="23"/>
        <v>OFF</v>
      </c>
      <c r="G157" s="116" t="str">
        <f t="shared" si="23"/>
        <v>OFF</v>
      </c>
      <c r="H157" s="116">
        <f t="shared" si="23"/>
        <v>0.875</v>
      </c>
      <c r="I157" s="116">
        <f t="shared" si="23"/>
        <v>0.875</v>
      </c>
      <c r="J157" s="86" t="str">
        <f t="shared" si="23"/>
        <v>OFF</v>
      </c>
      <c r="K157" s="116">
        <f t="shared" si="23"/>
        <v>0.875</v>
      </c>
      <c r="L157" s="116">
        <f t="shared" si="23"/>
        <v>0.875</v>
      </c>
      <c r="M157" s="116">
        <f t="shared" si="23"/>
        <v>0.875</v>
      </c>
      <c r="N157" s="116">
        <f t="shared" si="23"/>
        <v>0.875</v>
      </c>
      <c r="O157" s="116">
        <f t="shared" si="23"/>
        <v>0.875</v>
      </c>
      <c r="P157" s="116" t="str">
        <f t="shared" si="23"/>
        <v>OFF</v>
      </c>
      <c r="Q157" s="86" t="str">
        <f t="shared" si="23"/>
        <v>OFF</v>
      </c>
      <c r="R157" s="116">
        <f t="shared" si="23"/>
        <v>0.875</v>
      </c>
      <c r="S157" s="116">
        <f t="shared" si="23"/>
        <v>0.875</v>
      </c>
      <c r="T157" s="116">
        <f t="shared" si="23"/>
        <v>0.875</v>
      </c>
      <c r="U157" s="116">
        <f t="shared" si="23"/>
        <v>0.875</v>
      </c>
      <c r="V157" s="116">
        <f t="shared" si="23"/>
        <v>0.875</v>
      </c>
      <c r="W157" s="72" t="str">
        <f t="shared" si="23"/>
        <v>OFF</v>
      </c>
      <c r="X157" s="72">
        <f t="shared" si="16"/>
        <v>0.875</v>
      </c>
    </row>
    <row r="158" spans="1:24" x14ac:dyDescent="0.2">
      <c r="A158" s="71" t="str">
        <f t="shared" si="11"/>
        <v>Reslyn Candao</v>
      </c>
      <c r="B158" s="29" t="str">
        <f>IFERROR(VLOOKUP(A158,Masterlist!B:D,3,),"-")</f>
        <v>Antonette Jean Almasol</v>
      </c>
      <c r="C158" s="116">
        <f t="shared" ref="C158:W158" si="24">IFERROR(IF(C13 = "PTO", "PTO",C13+"12:00"),"OFF")</f>
        <v>0.875</v>
      </c>
      <c r="D158" s="116">
        <f t="shared" si="24"/>
        <v>0.875</v>
      </c>
      <c r="E158" s="116">
        <f t="shared" si="24"/>
        <v>0.875</v>
      </c>
      <c r="F158" s="116" t="str">
        <f t="shared" si="24"/>
        <v>OFF</v>
      </c>
      <c r="G158" s="116" t="str">
        <f t="shared" si="24"/>
        <v>OFF</v>
      </c>
      <c r="H158" s="116">
        <f t="shared" si="24"/>
        <v>0.875</v>
      </c>
      <c r="I158" s="116">
        <f t="shared" si="24"/>
        <v>0.875</v>
      </c>
      <c r="J158" s="86" t="str">
        <f t="shared" si="24"/>
        <v>OFF</v>
      </c>
      <c r="K158" s="116">
        <f t="shared" si="24"/>
        <v>0.875</v>
      </c>
      <c r="L158" s="116">
        <f t="shared" si="24"/>
        <v>0.875</v>
      </c>
      <c r="M158" s="116">
        <f t="shared" si="24"/>
        <v>0.875</v>
      </c>
      <c r="N158" s="116">
        <f t="shared" si="24"/>
        <v>0.875</v>
      </c>
      <c r="O158" s="116">
        <f t="shared" si="24"/>
        <v>0.875</v>
      </c>
      <c r="P158" s="116" t="str">
        <f t="shared" si="24"/>
        <v>OFF</v>
      </c>
      <c r="Q158" s="86" t="str">
        <f t="shared" si="24"/>
        <v>OFF</v>
      </c>
      <c r="R158" s="116">
        <f t="shared" si="24"/>
        <v>0.875</v>
      </c>
      <c r="S158" s="116">
        <f t="shared" si="24"/>
        <v>0.875</v>
      </c>
      <c r="T158" s="116">
        <f t="shared" si="24"/>
        <v>0.875</v>
      </c>
      <c r="U158" s="116">
        <f t="shared" si="24"/>
        <v>0.875</v>
      </c>
      <c r="V158" s="116">
        <f t="shared" si="24"/>
        <v>0.875</v>
      </c>
      <c r="W158" s="72" t="str">
        <f t="shared" si="24"/>
        <v>OFF</v>
      </c>
      <c r="X158" s="72">
        <f t="shared" si="16"/>
        <v>0.875</v>
      </c>
    </row>
    <row r="159" spans="1:24" x14ac:dyDescent="0.2">
      <c r="A159" s="71" t="str">
        <f t="shared" si="11"/>
        <v>Rosally Maquirang Poblacion</v>
      </c>
      <c r="B159" s="29" t="str">
        <f>IFERROR(VLOOKUP(A159,Masterlist!B:D,3,),"-")</f>
        <v>Antonette Jean Almasol</v>
      </c>
      <c r="C159" s="116">
        <f t="shared" ref="C159:W159" si="25">IFERROR(IF(C14 = "PTO", "PTO",C14+"12:00"),"OFF")</f>
        <v>0.875</v>
      </c>
      <c r="D159" s="116">
        <f t="shared" si="25"/>
        <v>0.875</v>
      </c>
      <c r="E159" s="116">
        <f t="shared" si="25"/>
        <v>0.875</v>
      </c>
      <c r="F159" s="116" t="str">
        <f t="shared" si="25"/>
        <v>OFF</v>
      </c>
      <c r="G159" s="116" t="str">
        <f t="shared" si="25"/>
        <v>OFF</v>
      </c>
      <c r="H159" s="116">
        <f t="shared" si="25"/>
        <v>0.875</v>
      </c>
      <c r="I159" s="116">
        <f t="shared" si="25"/>
        <v>0.875</v>
      </c>
      <c r="J159" s="86" t="str">
        <f t="shared" si="25"/>
        <v>OFF</v>
      </c>
      <c r="K159" s="116">
        <f t="shared" si="25"/>
        <v>0.875</v>
      </c>
      <c r="L159" s="116">
        <f t="shared" si="25"/>
        <v>0.875</v>
      </c>
      <c r="M159" s="116">
        <f t="shared" si="25"/>
        <v>0.875</v>
      </c>
      <c r="N159" s="116">
        <f t="shared" si="25"/>
        <v>0.875</v>
      </c>
      <c r="O159" s="116">
        <f t="shared" si="25"/>
        <v>0.875</v>
      </c>
      <c r="P159" s="116" t="str">
        <f t="shared" si="25"/>
        <v>OFF</v>
      </c>
      <c r="Q159" s="86" t="str">
        <f t="shared" si="25"/>
        <v>OFF</v>
      </c>
      <c r="R159" s="116">
        <f t="shared" si="25"/>
        <v>0.875</v>
      </c>
      <c r="S159" s="116">
        <f t="shared" si="25"/>
        <v>0.875</v>
      </c>
      <c r="T159" s="116">
        <f t="shared" si="25"/>
        <v>0.875</v>
      </c>
      <c r="U159" s="116">
        <f t="shared" si="25"/>
        <v>0.875</v>
      </c>
      <c r="V159" s="116">
        <f t="shared" si="25"/>
        <v>0.875</v>
      </c>
      <c r="W159" s="72" t="str">
        <f t="shared" si="25"/>
        <v>OFF</v>
      </c>
      <c r="X159" s="72">
        <f t="shared" si="16"/>
        <v>0.875</v>
      </c>
    </row>
    <row r="160" spans="1:24" x14ac:dyDescent="0.2">
      <c r="A160" s="71" t="str">
        <f t="shared" si="11"/>
        <v>Mary Jay Canag Cantomayor</v>
      </c>
      <c r="B160" s="29" t="str">
        <f>IFERROR(VLOOKUP(A160,Masterlist!B:D,3,),"-")</f>
        <v>Antonette Jean Almasol</v>
      </c>
      <c r="C160" s="116">
        <f t="shared" ref="C160:W160" si="26">IFERROR(IF(C15 = "PTO", "PTO",C15+"12:00"),"OFF")</f>
        <v>0.875</v>
      </c>
      <c r="D160" s="116">
        <f t="shared" si="26"/>
        <v>0.875</v>
      </c>
      <c r="E160" s="116">
        <f t="shared" si="26"/>
        <v>0.875</v>
      </c>
      <c r="F160" s="116" t="str">
        <f t="shared" si="26"/>
        <v>OFF</v>
      </c>
      <c r="G160" s="116" t="str">
        <f t="shared" si="26"/>
        <v>OFF</v>
      </c>
      <c r="H160" s="116">
        <f t="shared" si="26"/>
        <v>0.875</v>
      </c>
      <c r="I160" s="116">
        <f t="shared" si="26"/>
        <v>0.875</v>
      </c>
      <c r="J160" s="86" t="str">
        <f t="shared" si="26"/>
        <v>OFF</v>
      </c>
      <c r="K160" s="116">
        <f t="shared" si="26"/>
        <v>0.875</v>
      </c>
      <c r="L160" s="116">
        <f t="shared" si="26"/>
        <v>0.875</v>
      </c>
      <c r="M160" s="116">
        <f t="shared" si="26"/>
        <v>0.875</v>
      </c>
      <c r="N160" s="116">
        <f t="shared" si="26"/>
        <v>0.875</v>
      </c>
      <c r="O160" s="116">
        <f t="shared" si="26"/>
        <v>0.875</v>
      </c>
      <c r="P160" s="116" t="str">
        <f t="shared" si="26"/>
        <v>OFF</v>
      </c>
      <c r="Q160" s="86" t="str">
        <f t="shared" si="26"/>
        <v>OFF</v>
      </c>
      <c r="R160" s="116">
        <f t="shared" si="26"/>
        <v>0.875</v>
      </c>
      <c r="S160" s="116">
        <f t="shared" si="26"/>
        <v>0.875</v>
      </c>
      <c r="T160" s="116">
        <f t="shared" si="26"/>
        <v>0.875</v>
      </c>
      <c r="U160" s="116">
        <f t="shared" si="26"/>
        <v>0.875</v>
      </c>
      <c r="V160" s="116">
        <f t="shared" si="26"/>
        <v>0.875</v>
      </c>
      <c r="W160" s="72" t="str">
        <f t="shared" si="26"/>
        <v>OFF</v>
      </c>
      <c r="X160" s="72">
        <f t="shared" si="16"/>
        <v>0.875</v>
      </c>
    </row>
    <row r="161" spans="1:24" x14ac:dyDescent="0.2">
      <c r="A161" s="92" t="str">
        <f t="shared" si="11"/>
        <v>Jackielyn,Cabanas,Faro</v>
      </c>
      <c r="B161" s="29" t="str">
        <f>IFERROR(VLOOKUP(A161,Masterlist!B:D,3,),"-")</f>
        <v>Antonette Jean Almasol</v>
      </c>
      <c r="C161" s="116">
        <f t="shared" ref="C161:W161" si="27">IFERROR(IF(C16 = "PTO", "PTO",C16+"12:00"),"OFF")</f>
        <v>0.875</v>
      </c>
      <c r="D161" s="116">
        <f t="shared" si="27"/>
        <v>0.875</v>
      </c>
      <c r="E161" s="116">
        <f t="shared" si="27"/>
        <v>0.875</v>
      </c>
      <c r="F161" s="116" t="str">
        <f t="shared" si="27"/>
        <v>OFF</v>
      </c>
      <c r="G161" s="116" t="str">
        <f t="shared" si="27"/>
        <v>OFF</v>
      </c>
      <c r="H161" s="116">
        <f t="shared" si="27"/>
        <v>0.875</v>
      </c>
      <c r="I161" s="116">
        <f t="shared" si="27"/>
        <v>0.875</v>
      </c>
      <c r="J161" s="86" t="str">
        <f t="shared" si="27"/>
        <v>OFF</v>
      </c>
      <c r="K161" s="116">
        <f t="shared" si="27"/>
        <v>0.875</v>
      </c>
      <c r="L161" s="116">
        <f t="shared" si="27"/>
        <v>0.875</v>
      </c>
      <c r="M161" s="116">
        <f t="shared" si="27"/>
        <v>0.875</v>
      </c>
      <c r="N161" s="116">
        <f t="shared" si="27"/>
        <v>0.875</v>
      </c>
      <c r="O161" s="116">
        <f t="shared" si="27"/>
        <v>0.875</v>
      </c>
      <c r="P161" s="116" t="str">
        <f t="shared" si="27"/>
        <v>OFF</v>
      </c>
      <c r="Q161" s="86" t="str">
        <f t="shared" si="27"/>
        <v>OFF</v>
      </c>
      <c r="R161" s="116">
        <f t="shared" si="27"/>
        <v>0.875</v>
      </c>
      <c r="S161" s="116">
        <f t="shared" si="27"/>
        <v>0.875</v>
      </c>
      <c r="T161" s="116">
        <f t="shared" si="27"/>
        <v>0.875</v>
      </c>
      <c r="U161" s="116">
        <f t="shared" si="27"/>
        <v>0.875</v>
      </c>
      <c r="V161" s="116">
        <f t="shared" si="27"/>
        <v>0.875</v>
      </c>
      <c r="W161" s="72" t="str">
        <f t="shared" si="27"/>
        <v>OFF</v>
      </c>
      <c r="X161" s="72">
        <f t="shared" si="16"/>
        <v>0.875</v>
      </c>
    </row>
    <row r="162" spans="1:24" x14ac:dyDescent="0.2">
      <c r="A162" s="71" t="str">
        <f t="shared" si="11"/>
        <v>Perey Joy  Torino</v>
      </c>
      <c r="B162" s="29" t="str">
        <f>IFERROR(VLOOKUP(A162,Masterlist!B:D,3,),"-")</f>
        <v>Antonette Jean Almasol</v>
      </c>
      <c r="C162" s="116">
        <f t="shared" ref="C162:W162" si="28">IFERROR(IF(C17 = "PTO", "PTO",C17+"12:00"),"OFF")</f>
        <v>0.875</v>
      </c>
      <c r="D162" s="116">
        <f t="shared" si="28"/>
        <v>0.875</v>
      </c>
      <c r="E162" s="116">
        <f t="shared" si="28"/>
        <v>0.875</v>
      </c>
      <c r="F162" s="116" t="str">
        <f t="shared" si="28"/>
        <v>OFF</v>
      </c>
      <c r="G162" s="116" t="str">
        <f t="shared" si="28"/>
        <v>OFF</v>
      </c>
      <c r="H162" s="116">
        <f t="shared" si="28"/>
        <v>0.875</v>
      </c>
      <c r="I162" s="116">
        <f t="shared" si="28"/>
        <v>0.875</v>
      </c>
      <c r="J162" s="86" t="str">
        <f t="shared" si="28"/>
        <v>OFF</v>
      </c>
      <c r="K162" s="116">
        <f t="shared" si="28"/>
        <v>0.875</v>
      </c>
      <c r="L162" s="116">
        <f t="shared" si="28"/>
        <v>0.875</v>
      </c>
      <c r="M162" s="116">
        <f t="shared" si="28"/>
        <v>0.875</v>
      </c>
      <c r="N162" s="116">
        <f t="shared" si="28"/>
        <v>0.875</v>
      </c>
      <c r="O162" s="116">
        <f t="shared" si="28"/>
        <v>0.875</v>
      </c>
      <c r="P162" s="116" t="str">
        <f t="shared" si="28"/>
        <v>OFF</v>
      </c>
      <c r="Q162" s="86" t="str">
        <f t="shared" si="28"/>
        <v>OFF</v>
      </c>
      <c r="R162" s="116">
        <f t="shared" si="28"/>
        <v>0.875</v>
      </c>
      <c r="S162" s="116">
        <f t="shared" si="28"/>
        <v>0.875</v>
      </c>
      <c r="T162" s="116">
        <f t="shared" si="28"/>
        <v>0.875</v>
      </c>
      <c r="U162" s="116">
        <f t="shared" si="28"/>
        <v>0.875</v>
      </c>
      <c r="V162" s="116">
        <f t="shared" si="28"/>
        <v>0.875</v>
      </c>
      <c r="W162" s="72" t="str">
        <f t="shared" si="28"/>
        <v>OFF</v>
      </c>
      <c r="X162" s="72">
        <f t="shared" si="16"/>
        <v>0.875</v>
      </c>
    </row>
    <row r="163" spans="1:24" x14ac:dyDescent="0.2">
      <c r="A163" s="71" t="str">
        <f t="shared" si="11"/>
        <v>Ma. Lobell Trestiza</v>
      </c>
      <c r="B163" s="29" t="str">
        <f>IFERROR(VLOOKUP(A163,Masterlist!B:D,3,),"-")</f>
        <v>Antonette Jean Almasol</v>
      </c>
      <c r="C163" s="116">
        <f t="shared" ref="C163:W163" si="29">IFERROR(IF(C18 = "PTO", "PTO",C18+"12:00"),"OFF")</f>
        <v>0.875</v>
      </c>
      <c r="D163" s="116">
        <f t="shared" si="29"/>
        <v>0.875</v>
      </c>
      <c r="E163" s="116">
        <f t="shared" si="29"/>
        <v>0.875</v>
      </c>
      <c r="F163" s="116" t="str">
        <f t="shared" si="29"/>
        <v>OFF</v>
      </c>
      <c r="G163" s="116" t="str">
        <f t="shared" si="29"/>
        <v>OFF</v>
      </c>
      <c r="H163" s="116">
        <f t="shared" si="29"/>
        <v>0.875</v>
      </c>
      <c r="I163" s="116">
        <f t="shared" si="29"/>
        <v>0.875</v>
      </c>
      <c r="J163" s="86" t="str">
        <f t="shared" si="29"/>
        <v>OFF</v>
      </c>
      <c r="K163" s="116">
        <f t="shared" si="29"/>
        <v>0.875</v>
      </c>
      <c r="L163" s="116">
        <f t="shared" si="29"/>
        <v>0.875</v>
      </c>
      <c r="M163" s="116">
        <f t="shared" si="29"/>
        <v>0.875</v>
      </c>
      <c r="N163" s="116">
        <f t="shared" si="29"/>
        <v>0.875</v>
      </c>
      <c r="O163" s="116">
        <f t="shared" si="29"/>
        <v>0.875</v>
      </c>
      <c r="P163" s="116" t="str">
        <f t="shared" si="29"/>
        <v>OFF</v>
      </c>
      <c r="Q163" s="86" t="str">
        <f t="shared" si="29"/>
        <v>OFF</v>
      </c>
      <c r="R163" s="116">
        <f t="shared" si="29"/>
        <v>0.875</v>
      </c>
      <c r="S163" s="116">
        <f t="shared" si="29"/>
        <v>0.875</v>
      </c>
      <c r="T163" s="116">
        <f t="shared" si="29"/>
        <v>0.875</v>
      </c>
      <c r="U163" s="116">
        <f t="shared" si="29"/>
        <v>0.875</v>
      </c>
      <c r="V163" s="116">
        <f t="shared" si="29"/>
        <v>0.875</v>
      </c>
      <c r="W163" s="72" t="str">
        <f t="shared" si="29"/>
        <v>OFF</v>
      </c>
      <c r="X163" s="72">
        <f t="shared" si="16"/>
        <v>0.875</v>
      </c>
    </row>
    <row r="164" spans="1:24" x14ac:dyDescent="0.2">
      <c r="A164" s="71" t="str">
        <f t="shared" si="11"/>
        <v>Rosevel Nagales</v>
      </c>
      <c r="B164" s="29" t="str">
        <f>IFERROR(VLOOKUP(A164,Masterlist!B:D,3,),"-")</f>
        <v>Antonette Jean Almasol</v>
      </c>
      <c r="C164" s="116">
        <f t="shared" ref="C164:W164" si="30">IFERROR(IF(C19 = "PTO", "PTO",C19+"12:00"),"OFF")</f>
        <v>0.875</v>
      </c>
      <c r="D164" s="116">
        <f t="shared" si="30"/>
        <v>0.875</v>
      </c>
      <c r="E164" s="116">
        <f t="shared" si="30"/>
        <v>0.875</v>
      </c>
      <c r="F164" s="116" t="str">
        <f t="shared" si="30"/>
        <v>OFF</v>
      </c>
      <c r="G164" s="116" t="str">
        <f t="shared" si="30"/>
        <v>OFF</v>
      </c>
      <c r="H164" s="116">
        <f t="shared" si="30"/>
        <v>0.875</v>
      </c>
      <c r="I164" s="116">
        <f t="shared" si="30"/>
        <v>0.875</v>
      </c>
      <c r="J164" s="86" t="str">
        <f t="shared" si="30"/>
        <v>OFF</v>
      </c>
      <c r="K164" s="116">
        <f t="shared" si="30"/>
        <v>0.875</v>
      </c>
      <c r="L164" s="116">
        <f t="shared" si="30"/>
        <v>0.875</v>
      </c>
      <c r="M164" s="116">
        <f t="shared" si="30"/>
        <v>0.875</v>
      </c>
      <c r="N164" s="116">
        <f t="shared" si="30"/>
        <v>0.875</v>
      </c>
      <c r="O164" s="116">
        <f t="shared" si="30"/>
        <v>0.875</v>
      </c>
      <c r="P164" s="116" t="str">
        <f t="shared" si="30"/>
        <v>OFF</v>
      </c>
      <c r="Q164" s="86" t="str">
        <f t="shared" si="30"/>
        <v>OFF</v>
      </c>
      <c r="R164" s="116">
        <f t="shared" si="30"/>
        <v>0.875</v>
      </c>
      <c r="S164" s="116">
        <f t="shared" si="30"/>
        <v>0.875</v>
      </c>
      <c r="T164" s="116">
        <f t="shared" si="30"/>
        <v>0.875</v>
      </c>
      <c r="U164" s="116">
        <f t="shared" si="30"/>
        <v>0.875</v>
      </c>
      <c r="V164" s="116">
        <f t="shared" si="30"/>
        <v>0.875</v>
      </c>
      <c r="W164" s="72" t="str">
        <f t="shared" si="30"/>
        <v>OFF</v>
      </c>
      <c r="X164" s="72">
        <f t="shared" si="16"/>
        <v>0.875</v>
      </c>
    </row>
    <row r="165" spans="1:24" x14ac:dyDescent="0.2">
      <c r="A165" s="71" t="str">
        <f t="shared" si="11"/>
        <v>Johannah Salay</v>
      </c>
      <c r="B165" s="29" t="str">
        <f>IFERROR(VLOOKUP(A165,Masterlist!B:D,3,),"-")</f>
        <v>Antonette Jean Almasol</v>
      </c>
      <c r="C165" s="116">
        <f t="shared" ref="C165:W165" si="31">IFERROR(IF(C20 = "PTO", "PTO",C20+"12:00"),"OFF")</f>
        <v>0.875</v>
      </c>
      <c r="D165" s="116">
        <f t="shared" si="31"/>
        <v>0.875</v>
      </c>
      <c r="E165" s="116">
        <f t="shared" si="31"/>
        <v>0.875</v>
      </c>
      <c r="F165" s="116" t="str">
        <f t="shared" si="31"/>
        <v>OFF</v>
      </c>
      <c r="G165" s="116" t="str">
        <f t="shared" si="31"/>
        <v>OFF</v>
      </c>
      <c r="H165" s="116">
        <f t="shared" si="31"/>
        <v>0.875</v>
      </c>
      <c r="I165" s="116">
        <f t="shared" si="31"/>
        <v>0.875</v>
      </c>
      <c r="J165" s="86" t="str">
        <f t="shared" si="31"/>
        <v>OFF</v>
      </c>
      <c r="K165" s="116">
        <f t="shared" si="31"/>
        <v>0.875</v>
      </c>
      <c r="L165" s="116">
        <f t="shared" si="31"/>
        <v>0.875</v>
      </c>
      <c r="M165" s="116">
        <f t="shared" si="31"/>
        <v>0.875</v>
      </c>
      <c r="N165" s="116">
        <f t="shared" si="31"/>
        <v>0.875</v>
      </c>
      <c r="O165" s="116">
        <f t="shared" si="31"/>
        <v>0.875</v>
      </c>
      <c r="P165" s="116" t="str">
        <f t="shared" si="31"/>
        <v>OFF</v>
      </c>
      <c r="Q165" s="86" t="str">
        <f t="shared" si="31"/>
        <v>OFF</v>
      </c>
      <c r="R165" s="116">
        <f t="shared" si="31"/>
        <v>0.875</v>
      </c>
      <c r="S165" s="116">
        <f t="shared" si="31"/>
        <v>0.875</v>
      </c>
      <c r="T165" s="116">
        <f t="shared" si="31"/>
        <v>0.875</v>
      </c>
      <c r="U165" s="116">
        <f t="shared" si="31"/>
        <v>0.875</v>
      </c>
      <c r="V165" s="116">
        <f t="shared" si="31"/>
        <v>0.875</v>
      </c>
      <c r="W165" s="72" t="str">
        <f t="shared" si="31"/>
        <v>OFF</v>
      </c>
      <c r="X165" s="72">
        <f t="shared" si="16"/>
        <v>0.875</v>
      </c>
    </row>
    <row r="166" spans="1:24" x14ac:dyDescent="0.2">
      <c r="A166" s="71" t="str">
        <f t="shared" si="11"/>
        <v>Emilie Cabaluna Gentroles</v>
      </c>
      <c r="B166" s="29" t="str">
        <f>IFERROR(VLOOKUP(A166,Masterlist!B:D,3,),"-")</f>
        <v>Antonette Jean Almasol</v>
      </c>
      <c r="C166" s="116">
        <f t="shared" ref="C166:W166" si="32">IFERROR(IF(C21 = "PTO", "PTO",C21+"12:00"),"OFF")</f>
        <v>0.875</v>
      </c>
      <c r="D166" s="116">
        <f t="shared" si="32"/>
        <v>0.875</v>
      </c>
      <c r="E166" s="116">
        <f t="shared" si="32"/>
        <v>0.875</v>
      </c>
      <c r="F166" s="116" t="str">
        <f t="shared" si="32"/>
        <v>OFF</v>
      </c>
      <c r="G166" s="116" t="str">
        <f t="shared" si="32"/>
        <v>OFF</v>
      </c>
      <c r="H166" s="116">
        <f t="shared" si="32"/>
        <v>0.875</v>
      </c>
      <c r="I166" s="116">
        <f t="shared" si="32"/>
        <v>0.875</v>
      </c>
      <c r="J166" s="86" t="str">
        <f t="shared" si="32"/>
        <v>OFF</v>
      </c>
      <c r="K166" s="116">
        <f t="shared" si="32"/>
        <v>0.875</v>
      </c>
      <c r="L166" s="116">
        <f t="shared" si="32"/>
        <v>0.875</v>
      </c>
      <c r="M166" s="116">
        <f t="shared" si="32"/>
        <v>0.875</v>
      </c>
      <c r="N166" s="116">
        <f t="shared" si="32"/>
        <v>0.875</v>
      </c>
      <c r="O166" s="116">
        <f t="shared" si="32"/>
        <v>0.875</v>
      </c>
      <c r="P166" s="116" t="str">
        <f t="shared" si="32"/>
        <v>OFF</v>
      </c>
      <c r="Q166" s="86" t="str">
        <f t="shared" si="32"/>
        <v>OFF</v>
      </c>
      <c r="R166" s="116">
        <f t="shared" si="32"/>
        <v>0.875</v>
      </c>
      <c r="S166" s="116">
        <f t="shared" si="32"/>
        <v>0.875</v>
      </c>
      <c r="T166" s="116">
        <f t="shared" si="32"/>
        <v>0.875</v>
      </c>
      <c r="U166" s="116">
        <f t="shared" si="32"/>
        <v>0.875</v>
      </c>
      <c r="V166" s="116">
        <f t="shared" si="32"/>
        <v>0.875</v>
      </c>
      <c r="W166" s="72" t="str">
        <f t="shared" si="32"/>
        <v>OFF</v>
      </c>
      <c r="X166" s="72">
        <f t="shared" si="16"/>
        <v>0.875</v>
      </c>
    </row>
    <row r="167" spans="1:24" x14ac:dyDescent="0.2">
      <c r="A167" s="71" t="str">
        <f t="shared" si="11"/>
        <v>Romel,Concepcion,Resente</v>
      </c>
      <c r="B167" s="29" t="str">
        <f>IFERROR(VLOOKUP(A167,Masterlist!B:D,3,),"-")</f>
        <v>Klarisse Jane Hornada</v>
      </c>
      <c r="C167" s="116">
        <f t="shared" ref="C167:W167" si="33">IFERROR(IF(C22 = "PTO", "PTO",C22+"12:00"),"OFF")</f>
        <v>0.875</v>
      </c>
      <c r="D167" s="116">
        <f t="shared" si="33"/>
        <v>0.875</v>
      </c>
      <c r="E167" s="116">
        <f t="shared" si="33"/>
        <v>0.875</v>
      </c>
      <c r="F167" s="116">
        <f t="shared" si="33"/>
        <v>0.875</v>
      </c>
      <c r="G167" s="116">
        <f t="shared" si="33"/>
        <v>0.875</v>
      </c>
      <c r="H167" s="116" t="str">
        <f t="shared" si="33"/>
        <v>OFF</v>
      </c>
      <c r="I167" s="116" t="str">
        <f t="shared" si="33"/>
        <v>OFF</v>
      </c>
      <c r="J167" s="86">
        <f t="shared" si="33"/>
        <v>0.875</v>
      </c>
      <c r="K167" s="116">
        <f t="shared" si="33"/>
        <v>0.875</v>
      </c>
      <c r="L167" s="116">
        <f t="shared" si="33"/>
        <v>0.875</v>
      </c>
      <c r="M167" s="116">
        <f t="shared" si="33"/>
        <v>0.875</v>
      </c>
      <c r="N167" s="116">
        <f t="shared" si="33"/>
        <v>0.875</v>
      </c>
      <c r="O167" s="116" t="str">
        <f t="shared" si="33"/>
        <v>OFF</v>
      </c>
      <c r="P167" s="116" t="str">
        <f t="shared" si="33"/>
        <v>OFF</v>
      </c>
      <c r="Q167" s="86">
        <f t="shared" si="33"/>
        <v>0.875</v>
      </c>
      <c r="R167" s="116">
        <f t="shared" si="33"/>
        <v>0.875</v>
      </c>
      <c r="S167" s="116">
        <f t="shared" si="33"/>
        <v>0.875</v>
      </c>
      <c r="T167" s="116">
        <f t="shared" si="33"/>
        <v>0.875</v>
      </c>
      <c r="U167" s="116">
        <f t="shared" si="33"/>
        <v>0.875</v>
      </c>
      <c r="V167" s="116" t="str">
        <f t="shared" si="33"/>
        <v>OFF</v>
      </c>
      <c r="W167" s="72" t="str">
        <f t="shared" si="33"/>
        <v>OFF</v>
      </c>
      <c r="X167" s="72">
        <f t="shared" si="16"/>
        <v>0.875</v>
      </c>
    </row>
    <row r="168" spans="1:24" x14ac:dyDescent="0.2">
      <c r="A168" s="71" t="str">
        <f t="shared" si="11"/>
        <v>Irene,Vasquez,Sarabia</v>
      </c>
      <c r="B168" s="29" t="str">
        <f>IFERROR(VLOOKUP(A168,Masterlist!B:D,3,),"-")</f>
        <v>Klarisse Jane Hornada</v>
      </c>
      <c r="C168" s="116">
        <f t="shared" ref="C168:W168" si="34">IFERROR(IF(C23 = "PTO", "PTO",C23+"12:00"),"OFF")</f>
        <v>0.875</v>
      </c>
      <c r="D168" s="116">
        <f t="shared" si="34"/>
        <v>0.875</v>
      </c>
      <c r="E168" s="116">
        <f t="shared" si="34"/>
        <v>0.875</v>
      </c>
      <c r="F168" s="116">
        <f t="shared" si="34"/>
        <v>0.875</v>
      </c>
      <c r="G168" s="116">
        <f t="shared" si="34"/>
        <v>0.875</v>
      </c>
      <c r="H168" s="116" t="str">
        <f t="shared" si="34"/>
        <v>OFF</v>
      </c>
      <c r="I168" s="116" t="str">
        <f t="shared" si="34"/>
        <v>OFF</v>
      </c>
      <c r="J168" s="86">
        <f t="shared" si="34"/>
        <v>0.875</v>
      </c>
      <c r="K168" s="116">
        <f t="shared" si="34"/>
        <v>0.875</v>
      </c>
      <c r="L168" s="116">
        <f t="shared" si="34"/>
        <v>0.875</v>
      </c>
      <c r="M168" s="116">
        <f t="shared" si="34"/>
        <v>0.875</v>
      </c>
      <c r="N168" s="116">
        <f t="shared" si="34"/>
        <v>0.875</v>
      </c>
      <c r="O168" s="116" t="str">
        <f t="shared" si="34"/>
        <v>OFF</v>
      </c>
      <c r="P168" s="116" t="str">
        <f t="shared" si="34"/>
        <v>OFF</v>
      </c>
      <c r="Q168" s="86">
        <f t="shared" si="34"/>
        <v>0.875</v>
      </c>
      <c r="R168" s="116">
        <f t="shared" si="34"/>
        <v>0.875</v>
      </c>
      <c r="S168" s="116">
        <f t="shared" si="34"/>
        <v>0.875</v>
      </c>
      <c r="T168" s="116">
        <f t="shared" si="34"/>
        <v>0.875</v>
      </c>
      <c r="U168" s="116">
        <f t="shared" si="34"/>
        <v>0.875</v>
      </c>
      <c r="V168" s="116" t="str">
        <f t="shared" si="34"/>
        <v>OFF</v>
      </c>
      <c r="W168" s="72" t="str">
        <f t="shared" si="34"/>
        <v>OFF</v>
      </c>
      <c r="X168" s="72">
        <f t="shared" si="16"/>
        <v>0.875</v>
      </c>
    </row>
    <row r="169" spans="1:24" x14ac:dyDescent="0.2">
      <c r="A169" s="71" t="str">
        <f t="shared" si="11"/>
        <v>Mark Gil Apil Villagracia</v>
      </c>
      <c r="B169" s="29" t="str">
        <f>IFERROR(VLOOKUP(A169,Masterlist!B:D,3,),"-")</f>
        <v>Klarisse Jane Hornada</v>
      </c>
      <c r="C169" s="116">
        <f t="shared" ref="C169:W169" si="35">IFERROR(IF(C24 = "PTO", "PTO",C24+"12:00"),"OFF")</f>
        <v>0.875</v>
      </c>
      <c r="D169" s="116">
        <f t="shared" si="35"/>
        <v>0.875</v>
      </c>
      <c r="E169" s="116">
        <f t="shared" si="35"/>
        <v>0.875</v>
      </c>
      <c r="F169" s="116">
        <f t="shared" si="35"/>
        <v>0.875</v>
      </c>
      <c r="G169" s="116">
        <f t="shared" si="35"/>
        <v>0.875</v>
      </c>
      <c r="H169" s="116" t="str">
        <f t="shared" si="35"/>
        <v>OFF</v>
      </c>
      <c r="I169" s="116" t="str">
        <f t="shared" si="35"/>
        <v>OFF</v>
      </c>
      <c r="J169" s="86">
        <f t="shared" si="35"/>
        <v>0.875</v>
      </c>
      <c r="K169" s="116">
        <f t="shared" si="35"/>
        <v>0.875</v>
      </c>
      <c r="L169" s="116">
        <f t="shared" si="35"/>
        <v>0.875</v>
      </c>
      <c r="M169" s="116">
        <f t="shared" si="35"/>
        <v>0.875</v>
      </c>
      <c r="N169" s="116">
        <f t="shared" si="35"/>
        <v>0.875</v>
      </c>
      <c r="O169" s="116" t="str">
        <f t="shared" si="35"/>
        <v>OFF</v>
      </c>
      <c r="P169" s="116" t="str">
        <f t="shared" si="35"/>
        <v>OFF</v>
      </c>
      <c r="Q169" s="86">
        <f t="shared" si="35"/>
        <v>0.875</v>
      </c>
      <c r="R169" s="116">
        <f t="shared" si="35"/>
        <v>0.875</v>
      </c>
      <c r="S169" s="116">
        <f t="shared" si="35"/>
        <v>0.875</v>
      </c>
      <c r="T169" s="116">
        <f t="shared" si="35"/>
        <v>0.875</v>
      </c>
      <c r="U169" s="116">
        <f t="shared" si="35"/>
        <v>0.875</v>
      </c>
      <c r="V169" s="116" t="str">
        <f t="shared" si="35"/>
        <v>OFF</v>
      </c>
      <c r="W169" s="72" t="str">
        <f t="shared" si="35"/>
        <v>OFF</v>
      </c>
      <c r="X169" s="72">
        <f t="shared" si="16"/>
        <v>0.875</v>
      </c>
    </row>
    <row r="170" spans="1:24" x14ac:dyDescent="0.2">
      <c r="A170" s="71" t="str">
        <f t="shared" si="11"/>
        <v>Ma Reslie,Estrellanes,Begaso</v>
      </c>
      <c r="B170" s="29" t="str">
        <f>IFERROR(VLOOKUP(A170,Masterlist!B:D,3,),"-")</f>
        <v>Klarisse Jane Hornada</v>
      </c>
      <c r="C170" s="116">
        <f t="shared" ref="C170:W170" si="36">IFERROR(IF(C25 = "PTO", "PTO",C25+"12:00"),"OFF")</f>
        <v>0.875</v>
      </c>
      <c r="D170" s="116">
        <f t="shared" si="36"/>
        <v>0.875</v>
      </c>
      <c r="E170" s="116">
        <f t="shared" si="36"/>
        <v>0.875</v>
      </c>
      <c r="F170" s="116">
        <f t="shared" si="36"/>
        <v>0.875</v>
      </c>
      <c r="G170" s="116">
        <f t="shared" si="36"/>
        <v>0.875</v>
      </c>
      <c r="H170" s="116" t="str">
        <f t="shared" si="36"/>
        <v>OFF</v>
      </c>
      <c r="I170" s="116" t="str">
        <f t="shared" si="36"/>
        <v>OFF</v>
      </c>
      <c r="J170" s="86">
        <f t="shared" si="36"/>
        <v>0.875</v>
      </c>
      <c r="K170" s="116">
        <f t="shared" si="36"/>
        <v>0.875</v>
      </c>
      <c r="L170" s="116">
        <f t="shared" si="36"/>
        <v>0.875</v>
      </c>
      <c r="M170" s="116">
        <f t="shared" si="36"/>
        <v>0.875</v>
      </c>
      <c r="N170" s="116">
        <f t="shared" si="36"/>
        <v>0.875</v>
      </c>
      <c r="O170" s="116" t="str">
        <f t="shared" si="36"/>
        <v>OFF</v>
      </c>
      <c r="P170" s="116" t="str">
        <f t="shared" si="36"/>
        <v>OFF</v>
      </c>
      <c r="Q170" s="86">
        <f t="shared" si="36"/>
        <v>0.875</v>
      </c>
      <c r="R170" s="116">
        <f t="shared" si="36"/>
        <v>0.875</v>
      </c>
      <c r="S170" s="116">
        <f t="shared" si="36"/>
        <v>0.875</v>
      </c>
      <c r="T170" s="116">
        <f t="shared" si="36"/>
        <v>0.875</v>
      </c>
      <c r="U170" s="116">
        <f t="shared" si="36"/>
        <v>0.875</v>
      </c>
      <c r="V170" s="116" t="str">
        <f t="shared" si="36"/>
        <v>OFF</v>
      </c>
      <c r="W170" s="72" t="str">
        <f t="shared" si="36"/>
        <v>OFF</v>
      </c>
      <c r="X170" s="72">
        <f t="shared" si="16"/>
        <v>0.875</v>
      </c>
    </row>
    <row r="171" spans="1:24" x14ac:dyDescent="0.2">
      <c r="A171" s="92" t="str">
        <f t="shared" si="11"/>
        <v>Verlyn Rose,Aurora,Villaram</v>
      </c>
      <c r="B171" s="29" t="str">
        <f>IFERROR(VLOOKUP(A171,Masterlist!B:D,3,),"-")</f>
        <v>Klarisse Jane Hornada</v>
      </c>
      <c r="C171" s="116">
        <f t="shared" ref="C171:W171" si="37">IFERROR(IF(C26 = "PTO", "PTO",C26+"12:00"),"OFF")</f>
        <v>0.875</v>
      </c>
      <c r="D171" s="116">
        <f t="shared" si="37"/>
        <v>0.875</v>
      </c>
      <c r="E171" s="116">
        <f t="shared" si="37"/>
        <v>0.875</v>
      </c>
      <c r="F171" s="116">
        <f t="shared" si="37"/>
        <v>0.875</v>
      </c>
      <c r="G171" s="116">
        <f t="shared" si="37"/>
        <v>0.875</v>
      </c>
      <c r="H171" s="116" t="str">
        <f t="shared" si="37"/>
        <v>OFF</v>
      </c>
      <c r="I171" s="116" t="str">
        <f t="shared" si="37"/>
        <v>OFF</v>
      </c>
      <c r="J171" s="86">
        <f t="shared" si="37"/>
        <v>0.875</v>
      </c>
      <c r="K171" s="116">
        <f t="shared" si="37"/>
        <v>0.875</v>
      </c>
      <c r="L171" s="116">
        <f t="shared" si="37"/>
        <v>0.875</v>
      </c>
      <c r="M171" s="116">
        <f t="shared" si="37"/>
        <v>0.875</v>
      </c>
      <c r="N171" s="116">
        <f t="shared" si="37"/>
        <v>0.875</v>
      </c>
      <c r="O171" s="116" t="str">
        <f t="shared" si="37"/>
        <v>OFF</v>
      </c>
      <c r="P171" s="116" t="str">
        <f t="shared" si="37"/>
        <v>OFF</v>
      </c>
      <c r="Q171" s="86">
        <f t="shared" si="37"/>
        <v>0.875</v>
      </c>
      <c r="R171" s="116">
        <f t="shared" si="37"/>
        <v>0.875</v>
      </c>
      <c r="S171" s="116">
        <f t="shared" si="37"/>
        <v>0.875</v>
      </c>
      <c r="T171" s="116">
        <f t="shared" si="37"/>
        <v>0.875</v>
      </c>
      <c r="U171" s="116">
        <f t="shared" si="37"/>
        <v>0.875</v>
      </c>
      <c r="V171" s="116" t="str">
        <f t="shared" si="37"/>
        <v>OFF</v>
      </c>
      <c r="W171" s="72" t="str">
        <f t="shared" si="37"/>
        <v>OFF</v>
      </c>
      <c r="X171" s="72">
        <f t="shared" si="16"/>
        <v>0.875</v>
      </c>
    </row>
    <row r="172" spans="1:24" x14ac:dyDescent="0.2">
      <c r="A172" s="71" t="str">
        <f t="shared" si="11"/>
        <v>Jelyn Zarate</v>
      </c>
      <c r="B172" s="29" t="str">
        <f>IFERROR(VLOOKUP(A172,Masterlist!B:D,3,),"-")</f>
        <v>Klarisse Jane Hornada</v>
      </c>
      <c r="C172" s="116">
        <f t="shared" ref="C172:W172" si="38">IFERROR(IF(C27 = "PTO", "PTO",C27+"12:00"),"OFF")</f>
        <v>0.875</v>
      </c>
      <c r="D172" s="116">
        <f t="shared" si="38"/>
        <v>0.875</v>
      </c>
      <c r="E172" s="116">
        <f t="shared" si="38"/>
        <v>0.875</v>
      </c>
      <c r="F172" s="116">
        <f t="shared" si="38"/>
        <v>0.875</v>
      </c>
      <c r="G172" s="116">
        <f t="shared" si="38"/>
        <v>0.875</v>
      </c>
      <c r="H172" s="116" t="str">
        <f t="shared" si="38"/>
        <v>OFF</v>
      </c>
      <c r="I172" s="116" t="str">
        <f t="shared" si="38"/>
        <v>OFF</v>
      </c>
      <c r="J172" s="86">
        <f t="shared" si="38"/>
        <v>0.875</v>
      </c>
      <c r="K172" s="116">
        <f t="shared" si="38"/>
        <v>0.875</v>
      </c>
      <c r="L172" s="116">
        <f t="shared" si="38"/>
        <v>0.875</v>
      </c>
      <c r="M172" s="116">
        <f t="shared" si="38"/>
        <v>0.875</v>
      </c>
      <c r="N172" s="116">
        <f t="shared" si="38"/>
        <v>0.875</v>
      </c>
      <c r="O172" s="116" t="str">
        <f t="shared" si="38"/>
        <v>OFF</v>
      </c>
      <c r="P172" s="116" t="str">
        <f t="shared" si="38"/>
        <v>OFF</v>
      </c>
      <c r="Q172" s="86">
        <f t="shared" si="38"/>
        <v>0.875</v>
      </c>
      <c r="R172" s="116">
        <f t="shared" si="38"/>
        <v>0.875</v>
      </c>
      <c r="S172" s="116">
        <f t="shared" si="38"/>
        <v>0.875</v>
      </c>
      <c r="T172" s="116">
        <f t="shared" si="38"/>
        <v>0.875</v>
      </c>
      <c r="U172" s="116">
        <f t="shared" si="38"/>
        <v>0.875</v>
      </c>
      <c r="V172" s="116" t="str">
        <f t="shared" si="38"/>
        <v>OFF</v>
      </c>
      <c r="W172" s="72" t="str">
        <f t="shared" si="38"/>
        <v>OFF</v>
      </c>
      <c r="X172" s="72">
        <f t="shared" si="16"/>
        <v>0.875</v>
      </c>
    </row>
    <row r="173" spans="1:24" x14ac:dyDescent="0.2">
      <c r="A173" s="71" t="str">
        <f t="shared" si="11"/>
        <v>Gabriel Philip Delfin</v>
      </c>
      <c r="B173" s="29" t="str">
        <f>IFERROR(VLOOKUP(A173,Masterlist!B:D,3,),"-")</f>
        <v>Klarisse Jane Hornada</v>
      </c>
      <c r="C173" s="116">
        <f t="shared" ref="C173:W173" si="39">IFERROR(IF(C28 = "PTO", "PTO",C28+"12:00"),"OFF")</f>
        <v>0.875</v>
      </c>
      <c r="D173" s="116">
        <f t="shared" si="39"/>
        <v>0.875</v>
      </c>
      <c r="E173" s="116">
        <f t="shared" si="39"/>
        <v>0.875</v>
      </c>
      <c r="F173" s="116">
        <f t="shared" si="39"/>
        <v>0.875</v>
      </c>
      <c r="G173" s="116">
        <f t="shared" si="39"/>
        <v>0.875</v>
      </c>
      <c r="H173" s="116" t="str">
        <f t="shared" si="39"/>
        <v>OFF</v>
      </c>
      <c r="I173" s="116" t="str">
        <f t="shared" si="39"/>
        <v>OFF</v>
      </c>
      <c r="J173" s="86">
        <f t="shared" si="39"/>
        <v>0.875</v>
      </c>
      <c r="K173" s="116">
        <f t="shared" si="39"/>
        <v>0.875</v>
      </c>
      <c r="L173" s="116">
        <f t="shared" si="39"/>
        <v>0.875</v>
      </c>
      <c r="M173" s="116">
        <f t="shared" si="39"/>
        <v>0.875</v>
      </c>
      <c r="N173" s="116">
        <f t="shared" si="39"/>
        <v>0.875</v>
      </c>
      <c r="O173" s="116" t="str">
        <f t="shared" si="39"/>
        <v>OFF</v>
      </c>
      <c r="P173" s="116" t="str">
        <f t="shared" si="39"/>
        <v>OFF</v>
      </c>
      <c r="Q173" s="86">
        <f t="shared" si="39"/>
        <v>0.875</v>
      </c>
      <c r="R173" s="116">
        <f t="shared" si="39"/>
        <v>0.875</v>
      </c>
      <c r="S173" s="116">
        <f t="shared" si="39"/>
        <v>0.875</v>
      </c>
      <c r="T173" s="116">
        <f t="shared" si="39"/>
        <v>0.875</v>
      </c>
      <c r="U173" s="116">
        <f t="shared" si="39"/>
        <v>0.875</v>
      </c>
      <c r="V173" s="116" t="str">
        <f t="shared" si="39"/>
        <v>OFF</v>
      </c>
      <c r="W173" s="72" t="str">
        <f t="shared" si="39"/>
        <v>OFF</v>
      </c>
      <c r="X173" s="72">
        <f t="shared" si="16"/>
        <v>0.875</v>
      </c>
    </row>
    <row r="174" spans="1:24" x14ac:dyDescent="0.2">
      <c r="A174" s="71" t="str">
        <f t="shared" si="11"/>
        <v>Charlotte,Selirio,Escalona</v>
      </c>
      <c r="B174" s="29" t="str">
        <f>IFERROR(VLOOKUP(A174,Masterlist!B:D,3,),"-")</f>
        <v>Klarisse Jane Hornada</v>
      </c>
      <c r="C174" s="116">
        <f t="shared" ref="C174:W174" si="40">IFERROR(IF(C29 = "PTO", "PTO",C29+"12:00"),"OFF")</f>
        <v>0.875</v>
      </c>
      <c r="D174" s="116">
        <f t="shared" si="40"/>
        <v>0.875</v>
      </c>
      <c r="E174" s="116">
        <f t="shared" si="40"/>
        <v>0.875</v>
      </c>
      <c r="F174" s="116">
        <f t="shared" si="40"/>
        <v>0.875</v>
      </c>
      <c r="G174" s="116">
        <f t="shared" si="40"/>
        <v>0.875</v>
      </c>
      <c r="H174" s="116" t="str">
        <f t="shared" si="40"/>
        <v>OFF</v>
      </c>
      <c r="I174" s="116" t="str">
        <f t="shared" si="40"/>
        <v>OFF</v>
      </c>
      <c r="J174" s="86">
        <f t="shared" si="40"/>
        <v>0.875</v>
      </c>
      <c r="K174" s="116">
        <f t="shared" si="40"/>
        <v>0.875</v>
      </c>
      <c r="L174" s="116">
        <f t="shared" si="40"/>
        <v>0.875</v>
      </c>
      <c r="M174" s="116">
        <f t="shared" si="40"/>
        <v>0.875</v>
      </c>
      <c r="N174" s="116">
        <f t="shared" si="40"/>
        <v>0.875</v>
      </c>
      <c r="O174" s="116" t="str">
        <f t="shared" si="40"/>
        <v>OFF</v>
      </c>
      <c r="P174" s="116" t="str">
        <f t="shared" si="40"/>
        <v>OFF</v>
      </c>
      <c r="Q174" s="86">
        <f t="shared" si="40"/>
        <v>0.875</v>
      </c>
      <c r="R174" s="116">
        <f t="shared" si="40"/>
        <v>0.875</v>
      </c>
      <c r="S174" s="116">
        <f t="shared" si="40"/>
        <v>0.875</v>
      </c>
      <c r="T174" s="116">
        <f t="shared" si="40"/>
        <v>0.875</v>
      </c>
      <c r="U174" s="116">
        <f t="shared" si="40"/>
        <v>0.875</v>
      </c>
      <c r="V174" s="116" t="str">
        <f t="shared" si="40"/>
        <v>OFF</v>
      </c>
      <c r="W174" s="72" t="str">
        <f t="shared" si="40"/>
        <v>OFF</v>
      </c>
      <c r="X174" s="72">
        <f t="shared" si="16"/>
        <v>0.875</v>
      </c>
    </row>
    <row r="175" spans="1:24" x14ac:dyDescent="0.2">
      <c r="A175" s="173" t="str">
        <f t="shared" si="11"/>
        <v>Frank Lina,Sey,Ituriaga</v>
      </c>
      <c r="B175" s="29" t="str">
        <f>IFERROR(VLOOKUP(A175,Masterlist!B:D,3,),"-")</f>
        <v>Klarisse Jane Hornada</v>
      </c>
      <c r="C175" s="116">
        <f t="shared" ref="C175:W175" si="41">IFERROR(IF(C30 = "PTO", "PTO",C30+"12:00"),"OFF")</f>
        <v>0.875</v>
      </c>
      <c r="D175" s="116">
        <f t="shared" si="41"/>
        <v>0.875</v>
      </c>
      <c r="E175" s="116">
        <f t="shared" si="41"/>
        <v>0.875</v>
      </c>
      <c r="F175" s="116">
        <f t="shared" si="41"/>
        <v>0.875</v>
      </c>
      <c r="G175" s="116">
        <f t="shared" si="41"/>
        <v>0.875</v>
      </c>
      <c r="H175" s="116" t="str">
        <f t="shared" si="41"/>
        <v>OFF</v>
      </c>
      <c r="I175" s="116" t="str">
        <f t="shared" si="41"/>
        <v>OFF</v>
      </c>
      <c r="J175" s="86">
        <f t="shared" si="41"/>
        <v>0.875</v>
      </c>
      <c r="K175" s="116">
        <f t="shared" si="41"/>
        <v>0.875</v>
      </c>
      <c r="L175" s="116">
        <f t="shared" si="41"/>
        <v>0.875</v>
      </c>
      <c r="M175" s="116">
        <f t="shared" si="41"/>
        <v>0.875</v>
      </c>
      <c r="N175" s="116">
        <f t="shared" si="41"/>
        <v>0.875</v>
      </c>
      <c r="O175" s="116" t="str">
        <f t="shared" si="41"/>
        <v>OFF</v>
      </c>
      <c r="P175" s="116" t="str">
        <f t="shared" si="41"/>
        <v>OFF</v>
      </c>
      <c r="Q175" s="86">
        <f t="shared" si="41"/>
        <v>0.875</v>
      </c>
      <c r="R175" s="116">
        <f t="shared" si="41"/>
        <v>0.875</v>
      </c>
      <c r="S175" s="116">
        <f t="shared" si="41"/>
        <v>0.875</v>
      </c>
      <c r="T175" s="116">
        <f t="shared" si="41"/>
        <v>0.875</v>
      </c>
      <c r="U175" s="116">
        <f t="shared" si="41"/>
        <v>0.875</v>
      </c>
      <c r="V175" s="116" t="str">
        <f t="shared" si="41"/>
        <v>OFF</v>
      </c>
      <c r="W175" s="72" t="str">
        <f t="shared" si="41"/>
        <v>OFF</v>
      </c>
      <c r="X175" s="72">
        <f t="shared" si="16"/>
        <v>0.875</v>
      </c>
    </row>
    <row r="176" spans="1:24" x14ac:dyDescent="0.2">
      <c r="A176" s="71" t="str">
        <f t="shared" si="11"/>
        <v>Ma. Eva Karina Remandaban</v>
      </c>
      <c r="B176" s="29" t="str">
        <f>IFERROR(VLOOKUP(A176,Masterlist!B:D,3,),"-")</f>
        <v>Klarisse Jane Hornada</v>
      </c>
      <c r="C176" s="116">
        <f t="shared" ref="C176:W176" si="42">IFERROR(IF(C31 = "PTO", "PTO",C31+"12:00"),"OFF")</f>
        <v>0.875</v>
      </c>
      <c r="D176" s="116">
        <f t="shared" si="42"/>
        <v>0.875</v>
      </c>
      <c r="E176" s="116">
        <f t="shared" si="42"/>
        <v>0.875</v>
      </c>
      <c r="F176" s="116">
        <f t="shared" si="42"/>
        <v>0.875</v>
      </c>
      <c r="G176" s="116">
        <f t="shared" si="42"/>
        <v>0.875</v>
      </c>
      <c r="H176" s="116" t="str">
        <f t="shared" si="42"/>
        <v>OFF</v>
      </c>
      <c r="I176" s="116" t="str">
        <f t="shared" si="42"/>
        <v>OFF</v>
      </c>
      <c r="J176" s="86">
        <f t="shared" si="42"/>
        <v>0.875</v>
      </c>
      <c r="K176" s="116">
        <f t="shared" si="42"/>
        <v>0.875</v>
      </c>
      <c r="L176" s="116">
        <f t="shared" si="42"/>
        <v>0.875</v>
      </c>
      <c r="M176" s="116">
        <f t="shared" si="42"/>
        <v>0.875</v>
      </c>
      <c r="N176" s="116">
        <f t="shared" si="42"/>
        <v>0.875</v>
      </c>
      <c r="O176" s="116" t="str">
        <f t="shared" si="42"/>
        <v>OFF</v>
      </c>
      <c r="P176" s="116" t="str">
        <f t="shared" si="42"/>
        <v>OFF</v>
      </c>
      <c r="Q176" s="86">
        <f t="shared" si="42"/>
        <v>0.875</v>
      </c>
      <c r="R176" s="116">
        <f t="shared" si="42"/>
        <v>0.875</v>
      </c>
      <c r="S176" s="116">
        <f t="shared" si="42"/>
        <v>0.875</v>
      </c>
      <c r="T176" s="116">
        <f t="shared" si="42"/>
        <v>0.875</v>
      </c>
      <c r="U176" s="116">
        <f t="shared" si="42"/>
        <v>0.875</v>
      </c>
      <c r="V176" s="116" t="str">
        <f t="shared" si="42"/>
        <v>OFF</v>
      </c>
      <c r="W176" s="72" t="str">
        <f t="shared" si="42"/>
        <v>OFF</v>
      </c>
      <c r="X176" s="72">
        <f t="shared" si="16"/>
        <v>0.875</v>
      </c>
    </row>
    <row r="177" spans="1:24" x14ac:dyDescent="0.2">
      <c r="A177" s="71" t="str">
        <f t="shared" si="11"/>
        <v>Carmen Mae Huyong</v>
      </c>
      <c r="B177" s="29" t="s">
        <v>222</v>
      </c>
      <c r="C177" s="116">
        <f t="shared" ref="C177:W177" si="43">IFERROR(IF(C32 = "PTO", "PTO",C32+"12:00"),"OFF")</f>
        <v>0.875</v>
      </c>
      <c r="D177" s="116">
        <f t="shared" si="43"/>
        <v>0.875</v>
      </c>
      <c r="E177" s="116">
        <f t="shared" si="43"/>
        <v>0.875</v>
      </c>
      <c r="F177" s="116">
        <f t="shared" si="43"/>
        <v>0.875</v>
      </c>
      <c r="G177" s="116">
        <f t="shared" si="43"/>
        <v>0.875</v>
      </c>
      <c r="H177" s="116" t="str">
        <f t="shared" si="43"/>
        <v>OFF</v>
      </c>
      <c r="I177" s="116" t="str">
        <f t="shared" si="43"/>
        <v>OFF</v>
      </c>
      <c r="J177" s="86">
        <f t="shared" si="43"/>
        <v>0.875</v>
      </c>
      <c r="K177" s="116">
        <f t="shared" si="43"/>
        <v>0.875</v>
      </c>
      <c r="L177" s="116">
        <f t="shared" si="43"/>
        <v>0.875</v>
      </c>
      <c r="M177" s="116">
        <f t="shared" si="43"/>
        <v>0.875</v>
      </c>
      <c r="N177" s="116">
        <f t="shared" si="43"/>
        <v>0.875</v>
      </c>
      <c r="O177" s="116" t="str">
        <f t="shared" si="43"/>
        <v>OFF</v>
      </c>
      <c r="P177" s="116" t="str">
        <f t="shared" si="43"/>
        <v>OFF</v>
      </c>
      <c r="Q177" s="86">
        <f t="shared" si="43"/>
        <v>0.875</v>
      </c>
      <c r="R177" s="116">
        <f t="shared" si="43"/>
        <v>0.875</v>
      </c>
      <c r="S177" s="116">
        <f t="shared" si="43"/>
        <v>0.875</v>
      </c>
      <c r="T177" s="116">
        <f t="shared" si="43"/>
        <v>0.875</v>
      </c>
      <c r="U177" s="116">
        <f t="shared" si="43"/>
        <v>0.875</v>
      </c>
      <c r="V177" s="116" t="str">
        <f t="shared" si="43"/>
        <v>OFF</v>
      </c>
      <c r="W177" s="72" t="str">
        <f t="shared" si="43"/>
        <v>OFF</v>
      </c>
      <c r="X177" s="72">
        <f t="shared" si="16"/>
        <v>0.875</v>
      </c>
    </row>
    <row r="178" spans="1:24" x14ac:dyDescent="0.2">
      <c r="A178" s="71" t="str">
        <f t="shared" si="11"/>
        <v>Ednel Alagon</v>
      </c>
      <c r="B178" s="29" t="s">
        <v>222</v>
      </c>
      <c r="C178" s="116">
        <f t="shared" ref="C178:W178" si="44">IFERROR(IF(C33 = "PTO", "PTO",C33+"12:00"),"OFF")</f>
        <v>0.875</v>
      </c>
      <c r="D178" s="116">
        <f t="shared" si="44"/>
        <v>0.875</v>
      </c>
      <c r="E178" s="116">
        <f t="shared" si="44"/>
        <v>0.875</v>
      </c>
      <c r="F178" s="116">
        <f t="shared" si="44"/>
        <v>0.875</v>
      </c>
      <c r="G178" s="116">
        <f t="shared" si="44"/>
        <v>0.875</v>
      </c>
      <c r="H178" s="116" t="str">
        <f t="shared" si="44"/>
        <v>OFF</v>
      </c>
      <c r="I178" s="116" t="str">
        <f t="shared" si="44"/>
        <v>OFF</v>
      </c>
      <c r="J178" s="86">
        <f t="shared" si="44"/>
        <v>0.875</v>
      </c>
      <c r="K178" s="116">
        <f t="shared" si="44"/>
        <v>0.875</v>
      </c>
      <c r="L178" s="116">
        <f t="shared" si="44"/>
        <v>0.875</v>
      </c>
      <c r="M178" s="116">
        <f t="shared" si="44"/>
        <v>0.875</v>
      </c>
      <c r="N178" s="116">
        <f t="shared" si="44"/>
        <v>0.875</v>
      </c>
      <c r="O178" s="116" t="str">
        <f t="shared" si="44"/>
        <v>OFF</v>
      </c>
      <c r="P178" s="116" t="str">
        <f t="shared" si="44"/>
        <v>OFF</v>
      </c>
      <c r="Q178" s="86">
        <f t="shared" si="44"/>
        <v>0.875</v>
      </c>
      <c r="R178" s="116">
        <f t="shared" si="44"/>
        <v>0.875</v>
      </c>
      <c r="S178" s="116">
        <f t="shared" si="44"/>
        <v>0.875</v>
      </c>
      <c r="T178" s="116">
        <f t="shared" si="44"/>
        <v>0.875</v>
      </c>
      <c r="U178" s="116">
        <f t="shared" si="44"/>
        <v>0.875</v>
      </c>
      <c r="V178" s="116" t="str">
        <f t="shared" si="44"/>
        <v>OFF</v>
      </c>
      <c r="W178" s="72" t="str">
        <f t="shared" si="44"/>
        <v>OFF</v>
      </c>
      <c r="X178" s="72">
        <f t="shared" si="16"/>
        <v>0.875</v>
      </c>
    </row>
    <row r="179" spans="1:24" x14ac:dyDescent="0.2">
      <c r="A179" s="71" t="str">
        <f t="shared" si="11"/>
        <v>Bryll Malones</v>
      </c>
      <c r="B179" s="29" t="s">
        <v>222</v>
      </c>
      <c r="C179" s="116">
        <f t="shared" ref="C179:W179" si="45">IFERROR(IF(C34 = "PTO", "PTO",C34+"12:00"),"OFF")</f>
        <v>0.875</v>
      </c>
      <c r="D179" s="116">
        <f t="shared" si="45"/>
        <v>0.875</v>
      </c>
      <c r="E179" s="116">
        <f t="shared" si="45"/>
        <v>0.875</v>
      </c>
      <c r="F179" s="116">
        <f t="shared" si="45"/>
        <v>0.875</v>
      </c>
      <c r="G179" s="116">
        <f t="shared" si="45"/>
        <v>0.875</v>
      </c>
      <c r="H179" s="116" t="str">
        <f t="shared" si="45"/>
        <v>OFF</v>
      </c>
      <c r="I179" s="116" t="str">
        <f t="shared" si="45"/>
        <v>OFF</v>
      </c>
      <c r="J179" s="86">
        <f t="shared" si="45"/>
        <v>0.875</v>
      </c>
      <c r="K179" s="116">
        <f t="shared" si="45"/>
        <v>0.875</v>
      </c>
      <c r="L179" s="116">
        <f t="shared" si="45"/>
        <v>0.875</v>
      </c>
      <c r="M179" s="116">
        <f t="shared" si="45"/>
        <v>0.875</v>
      </c>
      <c r="N179" s="116">
        <f t="shared" si="45"/>
        <v>0.875</v>
      </c>
      <c r="O179" s="116" t="str">
        <f t="shared" si="45"/>
        <v>OFF</v>
      </c>
      <c r="P179" s="116" t="str">
        <f t="shared" si="45"/>
        <v>OFF</v>
      </c>
      <c r="Q179" s="86">
        <f t="shared" si="45"/>
        <v>0.875</v>
      </c>
      <c r="R179" s="116">
        <f t="shared" si="45"/>
        <v>0.875</v>
      </c>
      <c r="S179" s="116">
        <f t="shared" si="45"/>
        <v>0.875</v>
      </c>
      <c r="T179" s="116">
        <f t="shared" si="45"/>
        <v>0.875</v>
      </c>
      <c r="U179" s="116">
        <f t="shared" si="45"/>
        <v>0.875</v>
      </c>
      <c r="V179" s="116" t="str">
        <f t="shared" si="45"/>
        <v>OFF</v>
      </c>
      <c r="W179" s="72" t="str">
        <f t="shared" si="45"/>
        <v>OFF</v>
      </c>
      <c r="X179" s="72">
        <f t="shared" si="16"/>
        <v>0.875</v>
      </c>
    </row>
    <row r="180" spans="1:24" x14ac:dyDescent="0.2">
      <c r="A180" s="71" t="str">
        <f t="shared" si="11"/>
        <v>Lea May Orense</v>
      </c>
      <c r="B180" s="29" t="s">
        <v>222</v>
      </c>
      <c r="C180" s="116">
        <f t="shared" ref="C180:W180" si="46">IFERROR(IF(C35 = "PTO", "PTO",C35+"12:00"),"OFF")</f>
        <v>0.875</v>
      </c>
      <c r="D180" s="116">
        <f t="shared" si="46"/>
        <v>0.875</v>
      </c>
      <c r="E180" s="116">
        <f t="shared" si="46"/>
        <v>0.875</v>
      </c>
      <c r="F180" s="116">
        <f t="shared" si="46"/>
        <v>0.875</v>
      </c>
      <c r="G180" s="116">
        <f t="shared" si="46"/>
        <v>0.875</v>
      </c>
      <c r="H180" s="116" t="str">
        <f t="shared" si="46"/>
        <v>OFF</v>
      </c>
      <c r="I180" s="116" t="str">
        <f t="shared" si="46"/>
        <v>OFF</v>
      </c>
      <c r="J180" s="86">
        <f t="shared" si="46"/>
        <v>0.875</v>
      </c>
      <c r="K180" s="116">
        <f t="shared" si="46"/>
        <v>0.875</v>
      </c>
      <c r="L180" s="116">
        <f t="shared" si="46"/>
        <v>0.875</v>
      </c>
      <c r="M180" s="116">
        <f t="shared" si="46"/>
        <v>0.875</v>
      </c>
      <c r="N180" s="116">
        <f t="shared" si="46"/>
        <v>0.875</v>
      </c>
      <c r="O180" s="116" t="str">
        <f t="shared" si="46"/>
        <v>OFF</v>
      </c>
      <c r="P180" s="116" t="str">
        <f t="shared" si="46"/>
        <v>OFF</v>
      </c>
      <c r="Q180" s="86">
        <f t="shared" si="46"/>
        <v>0.875</v>
      </c>
      <c r="R180" s="116">
        <f t="shared" si="46"/>
        <v>0.875</v>
      </c>
      <c r="S180" s="116">
        <f t="shared" si="46"/>
        <v>0.875</v>
      </c>
      <c r="T180" s="116">
        <f t="shared" si="46"/>
        <v>0.875</v>
      </c>
      <c r="U180" s="116">
        <f t="shared" si="46"/>
        <v>0.875</v>
      </c>
      <c r="V180" s="116" t="str">
        <f t="shared" si="46"/>
        <v>OFF</v>
      </c>
      <c r="W180" s="72" t="str">
        <f t="shared" si="46"/>
        <v>OFF</v>
      </c>
      <c r="X180" s="72">
        <f t="shared" si="16"/>
        <v>0.875</v>
      </c>
    </row>
    <row r="181" spans="1:24" x14ac:dyDescent="0.2">
      <c r="A181" s="71" t="str">
        <f t="shared" ref="A181:A212" si="47">IF(B36="","",B36)</f>
        <v>Karen kay Grijalvo</v>
      </c>
      <c r="B181" s="29" t="s">
        <v>222</v>
      </c>
      <c r="C181" s="116">
        <f t="shared" ref="C181:W181" si="48">IFERROR(IF(C36 = "PTO", "PTO",C36+"12:00"),"OFF")</f>
        <v>0.875</v>
      </c>
      <c r="D181" s="116">
        <f t="shared" si="48"/>
        <v>0.875</v>
      </c>
      <c r="E181" s="116">
        <f t="shared" si="48"/>
        <v>0.875</v>
      </c>
      <c r="F181" s="116">
        <f t="shared" si="48"/>
        <v>0.875</v>
      </c>
      <c r="G181" s="116">
        <f t="shared" si="48"/>
        <v>0.875</v>
      </c>
      <c r="H181" s="116" t="str">
        <f t="shared" si="48"/>
        <v>OFF</v>
      </c>
      <c r="I181" s="116" t="str">
        <f t="shared" si="48"/>
        <v>OFF</v>
      </c>
      <c r="J181" s="86">
        <f t="shared" si="48"/>
        <v>0.875</v>
      </c>
      <c r="K181" s="116">
        <f t="shared" si="48"/>
        <v>0.875</v>
      </c>
      <c r="L181" s="116">
        <f t="shared" si="48"/>
        <v>0.875</v>
      </c>
      <c r="M181" s="116">
        <f t="shared" si="48"/>
        <v>0.875</v>
      </c>
      <c r="N181" s="116">
        <f t="shared" si="48"/>
        <v>0.875</v>
      </c>
      <c r="O181" s="116" t="str">
        <f t="shared" si="48"/>
        <v>OFF</v>
      </c>
      <c r="P181" s="116" t="str">
        <f t="shared" si="48"/>
        <v>OFF</v>
      </c>
      <c r="Q181" s="86">
        <f t="shared" si="48"/>
        <v>0.875</v>
      </c>
      <c r="R181" s="116">
        <f t="shared" si="48"/>
        <v>0.875</v>
      </c>
      <c r="S181" s="116">
        <f t="shared" si="48"/>
        <v>0.875</v>
      </c>
      <c r="T181" s="116">
        <f t="shared" si="48"/>
        <v>0.875</v>
      </c>
      <c r="U181" s="116">
        <f t="shared" si="48"/>
        <v>0.875</v>
      </c>
      <c r="V181" s="116" t="str">
        <f t="shared" si="48"/>
        <v>OFF</v>
      </c>
      <c r="W181" s="72" t="str">
        <f t="shared" si="48"/>
        <v>OFF</v>
      </c>
      <c r="X181" s="72">
        <f t="shared" si="16"/>
        <v>0.875</v>
      </c>
    </row>
    <row r="182" spans="1:24" x14ac:dyDescent="0.2">
      <c r="A182" s="71" t="str">
        <f t="shared" si="47"/>
        <v>Glennes Tolato</v>
      </c>
      <c r="B182" s="29" t="s">
        <v>222</v>
      </c>
      <c r="C182" s="116">
        <f t="shared" ref="C182:W182" si="49">IFERROR(IF(C37 = "PTO", "PTO",C37+"12:00"),"OFF")</f>
        <v>0.875</v>
      </c>
      <c r="D182" s="116">
        <f t="shared" si="49"/>
        <v>0.875</v>
      </c>
      <c r="E182" s="116">
        <f t="shared" si="49"/>
        <v>0.875</v>
      </c>
      <c r="F182" s="116">
        <f t="shared" si="49"/>
        <v>0.875</v>
      </c>
      <c r="G182" s="116">
        <f t="shared" si="49"/>
        <v>0.875</v>
      </c>
      <c r="H182" s="116" t="str">
        <f t="shared" si="49"/>
        <v>OFF</v>
      </c>
      <c r="I182" s="116" t="str">
        <f t="shared" si="49"/>
        <v>OFF</v>
      </c>
      <c r="J182" s="86">
        <f t="shared" si="49"/>
        <v>0.875</v>
      </c>
      <c r="K182" s="116">
        <f t="shared" si="49"/>
        <v>0.875</v>
      </c>
      <c r="L182" s="116">
        <f t="shared" si="49"/>
        <v>0.875</v>
      </c>
      <c r="M182" s="116">
        <f t="shared" si="49"/>
        <v>0.875</v>
      </c>
      <c r="N182" s="116">
        <f t="shared" si="49"/>
        <v>0.875</v>
      </c>
      <c r="O182" s="116" t="str">
        <f t="shared" si="49"/>
        <v>OFF</v>
      </c>
      <c r="P182" s="116" t="str">
        <f t="shared" si="49"/>
        <v>OFF</v>
      </c>
      <c r="Q182" s="86">
        <f t="shared" si="49"/>
        <v>0.875</v>
      </c>
      <c r="R182" s="116">
        <f t="shared" si="49"/>
        <v>0.875</v>
      </c>
      <c r="S182" s="116">
        <f t="shared" si="49"/>
        <v>0.875</v>
      </c>
      <c r="T182" s="116">
        <f t="shared" si="49"/>
        <v>0.875</v>
      </c>
      <c r="U182" s="116">
        <f t="shared" si="49"/>
        <v>0.875</v>
      </c>
      <c r="V182" s="116" t="str">
        <f t="shared" si="49"/>
        <v>OFF</v>
      </c>
      <c r="W182" s="72" t="str">
        <f t="shared" si="49"/>
        <v>OFF</v>
      </c>
      <c r="X182" s="72">
        <f t="shared" si="16"/>
        <v>0.875</v>
      </c>
    </row>
    <row r="183" spans="1:24" x14ac:dyDescent="0.2">
      <c r="A183" s="71" t="str">
        <f t="shared" si="47"/>
        <v>Michael Launio</v>
      </c>
      <c r="B183" s="29" t="s">
        <v>222</v>
      </c>
      <c r="C183" s="116">
        <f t="shared" ref="C183:W183" si="50">IFERROR(IF(C38 = "PTO", "PTO",C38+"12:00"),"OFF")</f>
        <v>0.875</v>
      </c>
      <c r="D183" s="116">
        <f t="shared" si="50"/>
        <v>0.875</v>
      </c>
      <c r="E183" s="116">
        <f t="shared" si="50"/>
        <v>0.875</v>
      </c>
      <c r="F183" s="116">
        <f t="shared" si="50"/>
        <v>0.875</v>
      </c>
      <c r="G183" s="116">
        <f t="shared" si="50"/>
        <v>0.875</v>
      </c>
      <c r="H183" s="116" t="str">
        <f t="shared" si="50"/>
        <v>OFF</v>
      </c>
      <c r="I183" s="116" t="str">
        <f t="shared" si="50"/>
        <v>OFF</v>
      </c>
      <c r="J183" s="86">
        <f t="shared" si="50"/>
        <v>0.875</v>
      </c>
      <c r="K183" s="116">
        <f t="shared" si="50"/>
        <v>0.875</v>
      </c>
      <c r="L183" s="116">
        <f t="shared" si="50"/>
        <v>0.875</v>
      </c>
      <c r="M183" s="116">
        <f t="shared" si="50"/>
        <v>0.875</v>
      </c>
      <c r="N183" s="116">
        <f t="shared" si="50"/>
        <v>0.875</v>
      </c>
      <c r="O183" s="116" t="str">
        <f t="shared" si="50"/>
        <v>OFF</v>
      </c>
      <c r="P183" s="116" t="str">
        <f t="shared" si="50"/>
        <v>OFF</v>
      </c>
      <c r="Q183" s="86">
        <f t="shared" si="50"/>
        <v>0.875</v>
      </c>
      <c r="R183" s="116">
        <f t="shared" si="50"/>
        <v>0.875</v>
      </c>
      <c r="S183" s="116">
        <f t="shared" si="50"/>
        <v>0.875</v>
      </c>
      <c r="T183" s="116">
        <f t="shared" si="50"/>
        <v>0.875</v>
      </c>
      <c r="U183" s="116">
        <f t="shared" si="50"/>
        <v>0.875</v>
      </c>
      <c r="V183" s="116" t="str">
        <f t="shared" si="50"/>
        <v>OFF</v>
      </c>
      <c r="W183" s="72" t="str">
        <f t="shared" si="50"/>
        <v>OFF</v>
      </c>
      <c r="X183" s="72">
        <f t="shared" si="16"/>
        <v>0.875</v>
      </c>
    </row>
    <row r="184" spans="1:24" x14ac:dyDescent="0.2">
      <c r="A184" s="71" t="str">
        <f t="shared" si="47"/>
        <v>Ma Joanne Girado Garcia</v>
      </c>
      <c r="B184" s="29" t="s">
        <v>222</v>
      </c>
      <c r="C184" s="116">
        <f t="shared" ref="C184:W184" si="51">IFERROR(IF(C39 = "PTO", "PTO",C39+"12:00"),"OFF")</f>
        <v>0.875</v>
      </c>
      <c r="D184" s="116">
        <f t="shared" si="51"/>
        <v>0.875</v>
      </c>
      <c r="E184" s="116">
        <f t="shared" si="51"/>
        <v>0.875</v>
      </c>
      <c r="F184" s="116">
        <f t="shared" si="51"/>
        <v>0.875</v>
      </c>
      <c r="G184" s="116">
        <f t="shared" si="51"/>
        <v>0.875</v>
      </c>
      <c r="H184" s="116" t="str">
        <f t="shared" si="51"/>
        <v>OFF</v>
      </c>
      <c r="I184" s="116" t="str">
        <f t="shared" si="51"/>
        <v>OFF</v>
      </c>
      <c r="J184" s="86">
        <f t="shared" si="51"/>
        <v>0.875</v>
      </c>
      <c r="K184" s="116">
        <f t="shared" si="51"/>
        <v>0.875</v>
      </c>
      <c r="L184" s="116">
        <f t="shared" si="51"/>
        <v>0.875</v>
      </c>
      <c r="M184" s="116">
        <f t="shared" si="51"/>
        <v>0.875</v>
      </c>
      <c r="N184" s="116">
        <f t="shared" si="51"/>
        <v>0.875</v>
      </c>
      <c r="O184" s="116" t="str">
        <f t="shared" si="51"/>
        <v>OFF</v>
      </c>
      <c r="P184" s="116" t="str">
        <f t="shared" si="51"/>
        <v>OFF</v>
      </c>
      <c r="Q184" s="86">
        <f t="shared" si="51"/>
        <v>0.875</v>
      </c>
      <c r="R184" s="116">
        <f t="shared" si="51"/>
        <v>0.875</v>
      </c>
      <c r="S184" s="116">
        <f t="shared" si="51"/>
        <v>0.875</v>
      </c>
      <c r="T184" s="116">
        <f t="shared" si="51"/>
        <v>0.875</v>
      </c>
      <c r="U184" s="116">
        <f t="shared" si="51"/>
        <v>0.875</v>
      </c>
      <c r="V184" s="116" t="str">
        <f t="shared" si="51"/>
        <v>OFF</v>
      </c>
      <c r="W184" s="72" t="str">
        <f t="shared" si="51"/>
        <v>OFF</v>
      </c>
      <c r="X184" s="72">
        <f t="shared" si="16"/>
        <v>0.875</v>
      </c>
    </row>
    <row r="185" spans="1:24" ht="13.5" thickBot="1" x14ac:dyDescent="0.25">
      <c r="A185" s="151" t="str">
        <f t="shared" si="47"/>
        <v/>
      </c>
      <c r="B185" s="69"/>
      <c r="C185" s="113"/>
      <c r="D185" s="113"/>
      <c r="E185" s="113"/>
      <c r="F185" s="113"/>
      <c r="G185" s="113"/>
      <c r="H185" s="113"/>
      <c r="I185" s="113"/>
      <c r="J185" s="115"/>
      <c r="K185" s="113"/>
      <c r="L185" s="113"/>
      <c r="M185" s="113"/>
      <c r="N185" s="113"/>
      <c r="O185" s="113"/>
      <c r="P185" s="114"/>
      <c r="Q185" s="115"/>
      <c r="R185" s="113"/>
      <c r="S185" s="113"/>
      <c r="T185" s="113"/>
      <c r="U185" s="113"/>
      <c r="V185" s="113"/>
      <c r="W185" s="114"/>
      <c r="X185" s="114"/>
    </row>
    <row r="186" spans="1:24" x14ac:dyDescent="0.2">
      <c r="A186" s="71" t="str">
        <f t="shared" si="47"/>
        <v>Lemarie Garcia  Aldaba</v>
      </c>
      <c r="B186" s="29" t="str">
        <f>IFERROR(VLOOKUP(A186,Masterlist!B:D,3,),"-")</f>
        <v>Azenith Calanda</v>
      </c>
      <c r="C186" s="116">
        <f t="shared" ref="C186" si="52">IFERROR(IF(Y41 = "PTO", "PTO",Y41+"12:00"),"OFF")</f>
        <v>1</v>
      </c>
      <c r="D186" s="116">
        <f t="shared" ref="D186" si="53">IFERROR(IF(C41 = "PTO", "PTO",C41+"12:00"),"OFF")</f>
        <v>1</v>
      </c>
      <c r="E186" s="116" t="str">
        <f>IFERROR(IF(D41 = "PTO", "PTO",D41+"12:00"),"OFF")</f>
        <v>OFF</v>
      </c>
      <c r="F186" s="116">
        <f t="shared" ref="F186" si="54">IFERROR(IF(E41 = "PTO", "PTO",E41+"12:00"),"OFF")</f>
        <v>1</v>
      </c>
      <c r="G186" s="116">
        <f t="shared" ref="G186" si="55">IFERROR(IF(F41 = "PTO", "PTO",F41+"12:00"),"OFF")</f>
        <v>1</v>
      </c>
      <c r="H186" s="116" t="str">
        <f t="shared" ref="H186" si="56">IFERROR(IF(G41 = "PTO", "PTO",G41+"12:00"),"OFF")</f>
        <v>OFF</v>
      </c>
      <c r="I186" s="116">
        <f t="shared" ref="I186" si="57">IFERROR(IF(H41 = "PTO", "PTO",H41+"12:00"),"OFF")</f>
        <v>1</v>
      </c>
      <c r="J186" s="86">
        <f t="shared" ref="J186" si="58">IFERROR(IF(I41 = "PTO", "PTO",I41+"12:00"),"OFF")</f>
        <v>1</v>
      </c>
      <c r="K186" s="116">
        <f t="shared" ref="K186" si="59">IFERROR(IF(J41 = "PTO", "PTO",J41+"12:00"),"OFF")</f>
        <v>1</v>
      </c>
      <c r="L186" s="116">
        <f t="shared" ref="L186" si="60">IFERROR(IF(K41 = "PTO", "PTO",K41+"12:00"),"OFF")</f>
        <v>1</v>
      </c>
      <c r="M186" s="116">
        <f t="shared" ref="M186" si="61">IFERROR(IF(L41 = "PTO", "PTO",L41+"12:00"),"OFF")</f>
        <v>1</v>
      </c>
      <c r="N186" s="116" t="str">
        <f t="shared" ref="N186" si="62">IFERROR(IF(M41 = "PTO", "PTO",M41+"12:00"),"OFF")</f>
        <v>OFF</v>
      </c>
      <c r="O186" s="116" t="str">
        <f t="shared" ref="O186" si="63">IFERROR(IF(N41 = "PTO", "PTO",N41+"12:00"),"OFF")</f>
        <v>OFF</v>
      </c>
      <c r="P186" s="116">
        <f t="shared" ref="P186" si="64">IFERROR(IF(O41 = "PTO", "PTO",O41+"12:00"),"OFF")</f>
        <v>1</v>
      </c>
      <c r="Q186" s="86">
        <f>IFERROR(IF(P41 = "PTO", "PTO",P41+"12:00"),"OFF")</f>
        <v>1</v>
      </c>
      <c r="R186" s="116">
        <f t="shared" ref="R186" si="65">IFERROR(IF(Q41 = "PTO", "PTO",Q41+"12:00"),"OFF")</f>
        <v>1</v>
      </c>
      <c r="S186" s="116">
        <f t="shared" ref="S186" si="66">IFERROR(IF(R41 = "PTO", "PTO",R41+"12:00"),"OFF")</f>
        <v>1</v>
      </c>
      <c r="T186" s="116">
        <f t="shared" ref="T186" si="67">IFERROR(IF(S41 = "PTO", "PTO",S41+"12:00"),"OFF")</f>
        <v>1</v>
      </c>
      <c r="U186" s="116" t="str">
        <f t="shared" ref="U186" si="68">IFERROR(IF(T41 = "PTO", "PTO",T41+"12:00"),"OFF")</f>
        <v>OFF</v>
      </c>
      <c r="V186" s="116" t="str">
        <f t="shared" ref="V186" si="69">IFERROR(IF(U41 = "PTO", "PTO",U41+"12:00"),"OFF")</f>
        <v>OFF</v>
      </c>
      <c r="W186" s="72">
        <f t="shared" ref="W186" si="70">IFERROR(IF(V41 = "PTO", "PTO",V41+"12:00"),"OFF")</f>
        <v>1</v>
      </c>
      <c r="X186" s="72">
        <f t="shared" ref="X186" si="71">IFERROR(MODE(Q186:W186),"-")</f>
        <v>1</v>
      </c>
    </row>
    <row r="187" spans="1:24" x14ac:dyDescent="0.2">
      <c r="A187" s="71" t="str">
        <f t="shared" si="47"/>
        <v>John Casper Villegas</v>
      </c>
      <c r="B187" s="29" t="str">
        <f>IFERROR(VLOOKUP(A187,Masterlist!B:D,3,),"-")</f>
        <v>Azenith Calanda</v>
      </c>
      <c r="C187" s="116" t="str">
        <f>IFERROR(IF(Y42 = "PTO", "PTO",Y42+"12:00"),"OFF")</f>
        <v>OFF</v>
      </c>
      <c r="D187" s="116" t="str">
        <f t="shared" ref="D187" si="72">IFERROR(IF(C42 = "PTO", "PTO",C42+"12:00"),"OFF")</f>
        <v>OFF</v>
      </c>
      <c r="E187" s="116" t="str">
        <f>IFERROR(IF(D42 = "PTO", "PTO",D42+"12:00"),"OFF")</f>
        <v>OFF</v>
      </c>
      <c r="F187" s="116" t="str">
        <f t="shared" ref="F187" si="73">IFERROR(IF(E42 = "PTO", "PTO",E42+"12:00"),"OFF")</f>
        <v>OFF</v>
      </c>
      <c r="G187" s="116" t="str">
        <f t="shared" ref="G187:G196" si="74">IFERROR(IF(F42 = "PTO", "PTO",F42+"12:00"),"OFF")</f>
        <v>OFF</v>
      </c>
      <c r="H187" s="116" t="str">
        <f t="shared" ref="H187" si="75">IFERROR(IF(G42 = "PTO", "PTO",G42+"12:00"),"OFF")</f>
        <v>OFF</v>
      </c>
      <c r="I187" s="116" t="str">
        <f t="shared" ref="I187" si="76">IFERROR(IF(H42 = "PTO", "PTO",H42+"12:00"),"OFF")</f>
        <v>OFF</v>
      </c>
      <c r="J187" s="86" t="str">
        <f t="shared" ref="J187" si="77">IFERROR(IF(I42 = "PTO", "PTO",I42+"12:00"),"OFF")</f>
        <v>OFF</v>
      </c>
      <c r="K187" s="116" t="str">
        <f t="shared" ref="K187" si="78">IFERROR(IF(J42 = "PTO", "PTO",J42+"12:00"),"OFF")</f>
        <v>OFF</v>
      </c>
      <c r="L187" s="116" t="str">
        <f t="shared" ref="L187" si="79">IFERROR(IF(K42 = "PTO", "PTO",K42+"12:00"),"OFF")</f>
        <v>OFF</v>
      </c>
      <c r="M187" s="116" t="str">
        <f t="shared" ref="M187" si="80">IFERROR(IF(L42 = "PTO", "PTO",L42+"12:00"),"OFF")</f>
        <v>OFF</v>
      </c>
      <c r="N187" s="116" t="str">
        <f t="shared" ref="N187" si="81">IFERROR(IF(M42 = "PTO", "PTO",M42+"12:00"),"OFF")</f>
        <v>OFF</v>
      </c>
      <c r="O187" s="116" t="str">
        <f t="shared" ref="O187" si="82">IFERROR(IF(N42 = "PTO", "PTO",N42+"12:00"),"OFF")</f>
        <v>OFF</v>
      </c>
      <c r="P187" s="116" t="str">
        <f t="shared" ref="P187" si="83">IFERROR(IF(O42 = "PTO", "PTO",O42+"12:00"),"OFF")</f>
        <v>OFF</v>
      </c>
      <c r="Q187" s="86" t="str">
        <f>IFERROR(IF(P42 = "PTO", "PTO",P42+"12:00"),"OFF")</f>
        <v>OFF</v>
      </c>
      <c r="R187" s="116" t="str">
        <f t="shared" ref="R187" si="84">IFERROR(IF(Q42 = "PTO", "PTO",Q42+"12:00"),"OFF")</f>
        <v>OFF</v>
      </c>
      <c r="S187" s="116" t="str">
        <f t="shared" ref="S187" si="85">IFERROR(IF(R42 = "PTO", "PTO",R42+"12:00"),"OFF")</f>
        <v>OFF</v>
      </c>
      <c r="T187" s="116" t="str">
        <f t="shared" ref="T187" si="86">IFERROR(IF(S42 = "PTO", "PTO",S42+"12:00"),"OFF")</f>
        <v>OFF</v>
      </c>
      <c r="U187" s="116" t="str">
        <f t="shared" ref="U187" si="87">IFERROR(IF(T42 = "PTO", "PTO",T42+"12:00"),"OFF")</f>
        <v>OFF</v>
      </c>
      <c r="V187" s="116" t="str">
        <f t="shared" ref="V187" si="88">IFERROR(IF(U42 = "PTO", "PTO",U42+"12:00"),"OFF")</f>
        <v>OFF</v>
      </c>
      <c r="W187" s="72" t="str">
        <f t="shared" ref="W187" si="89">IFERROR(IF(V42 = "PTO", "PTO",V42+"12:00"),"OFF")</f>
        <v>OFF</v>
      </c>
      <c r="X187" s="72" t="str">
        <f t="shared" si="16"/>
        <v>-</v>
      </c>
    </row>
    <row r="188" spans="1:24" x14ac:dyDescent="0.2">
      <c r="A188" s="71" t="str">
        <f t="shared" si="47"/>
        <v>Kyla Tacuyan</v>
      </c>
      <c r="B188" s="29" t="str">
        <f>IFERROR(VLOOKUP(A188,Masterlist!B:D,3,),"-")</f>
        <v>Azenith Calanda</v>
      </c>
      <c r="C188" s="127">
        <f t="shared" ref="C188:C199" si="90">IFERROR(IF(Y43 = "PTO", "PTO",Y43+"12:00"),"OFF")</f>
        <v>1</v>
      </c>
      <c r="D188" s="127">
        <f t="shared" ref="D188:D196" si="91">IFERROR(IF(C43 = "PTO", "PTO",C43+"12:00"),"OFF")</f>
        <v>1</v>
      </c>
      <c r="E188" s="127" t="str">
        <f>IFERROR(IF(D43 = "PTO", "PTO",D43+"12:00"),"OFF")</f>
        <v>OFF</v>
      </c>
      <c r="F188" s="127">
        <f t="shared" ref="F188:F197" si="92">IFERROR(IF(E43 = "PTO", "PTO",E43+"12:00"),"OFF")</f>
        <v>1</v>
      </c>
      <c r="G188" s="127">
        <f t="shared" si="74"/>
        <v>1</v>
      </c>
      <c r="H188" s="127" t="str">
        <f t="shared" ref="H188:J199" si="93">IFERROR(IF(G43 = "PTO", "PTO",G43+"12:00"),"OFF")</f>
        <v>OFF</v>
      </c>
      <c r="I188" s="127">
        <f t="shared" si="93"/>
        <v>1</v>
      </c>
      <c r="J188" s="86">
        <f t="shared" si="93"/>
        <v>1</v>
      </c>
      <c r="K188" s="116">
        <f t="shared" ref="K188:P188" si="94">IFERROR(IF(J43 = "PTO", "PTO",J43+"12:00"),"OFF")</f>
        <v>1</v>
      </c>
      <c r="L188" s="116">
        <f t="shared" si="94"/>
        <v>1</v>
      </c>
      <c r="M188" s="116">
        <f t="shared" si="94"/>
        <v>1</v>
      </c>
      <c r="N188" s="116" t="str">
        <f t="shared" si="94"/>
        <v>OFF</v>
      </c>
      <c r="O188" s="116" t="str">
        <f t="shared" si="94"/>
        <v>OFF</v>
      </c>
      <c r="P188" s="116">
        <f t="shared" si="94"/>
        <v>1</v>
      </c>
      <c r="Q188" s="86">
        <f>IFERROR(IF(P43 = "PTO", "PTO",P43+"12:00"),"OFF")</f>
        <v>1</v>
      </c>
      <c r="R188" s="116">
        <f t="shared" ref="R188:W188" si="95">IFERROR(IF(Q43 = "PTO", "PTO",Q43+"12:00"),"OFF")</f>
        <v>1</v>
      </c>
      <c r="S188" s="116">
        <f t="shared" si="95"/>
        <v>1</v>
      </c>
      <c r="T188" s="116">
        <f t="shared" si="95"/>
        <v>1</v>
      </c>
      <c r="U188" s="116" t="str">
        <f t="shared" si="95"/>
        <v>OFF</v>
      </c>
      <c r="V188" s="116" t="str">
        <f t="shared" si="95"/>
        <v>OFF</v>
      </c>
      <c r="W188" s="72">
        <f t="shared" si="95"/>
        <v>1</v>
      </c>
      <c r="X188" s="72">
        <f t="shared" si="16"/>
        <v>1</v>
      </c>
    </row>
    <row r="189" spans="1:24" x14ac:dyDescent="0.2">
      <c r="A189" s="71" t="str">
        <f t="shared" si="47"/>
        <v>Albert Cerdaña</v>
      </c>
      <c r="B189" s="29" t="str">
        <f>IFERROR(VLOOKUP(A189,Masterlist!B:D,3,),"-")</f>
        <v>Azenith Calanda</v>
      </c>
      <c r="C189" s="116" t="str">
        <f t="shared" si="90"/>
        <v>OFF</v>
      </c>
      <c r="D189" s="116" t="str">
        <f t="shared" si="91"/>
        <v>OFF</v>
      </c>
      <c r="E189" s="116" t="str">
        <f t="shared" ref="E189" si="96">IFERROR(IF(D44 = "PTO", "PTO",D44+"12:00"),"OFF")</f>
        <v>OFF</v>
      </c>
      <c r="F189" s="116" t="str">
        <f t="shared" si="92"/>
        <v>OFF</v>
      </c>
      <c r="G189" s="116" t="str">
        <f t="shared" si="74"/>
        <v>OFF</v>
      </c>
      <c r="H189" s="116" t="str">
        <f t="shared" si="93"/>
        <v>OFF</v>
      </c>
      <c r="I189" s="116" t="str">
        <f t="shared" si="93"/>
        <v>OFF</v>
      </c>
      <c r="J189" s="86" t="str">
        <f t="shared" si="93"/>
        <v>OFF</v>
      </c>
      <c r="K189" s="116" t="str">
        <f t="shared" ref="K189:Q189" si="97">IFERROR(IF(J44 = "PTO", "PTO",J44+"12:00"),"OFF")</f>
        <v>OFF</v>
      </c>
      <c r="L189" s="116" t="str">
        <f t="shared" si="97"/>
        <v>OFF</v>
      </c>
      <c r="M189" s="116" t="str">
        <f t="shared" si="97"/>
        <v>OFF</v>
      </c>
      <c r="N189" s="116" t="str">
        <f t="shared" si="97"/>
        <v>OFF</v>
      </c>
      <c r="O189" s="116" t="str">
        <f t="shared" si="97"/>
        <v>OFF</v>
      </c>
      <c r="P189" s="116" t="str">
        <f t="shared" si="97"/>
        <v>OFF</v>
      </c>
      <c r="Q189" s="86" t="str">
        <f t="shared" si="97"/>
        <v>OFF</v>
      </c>
      <c r="R189" s="116" t="str">
        <f t="shared" ref="R189:W189" si="98">IFERROR(IF(Q44 = "PTO", "PTO",Q44+"12:00"),"OFF")</f>
        <v>OFF</v>
      </c>
      <c r="S189" s="116" t="str">
        <f t="shared" si="98"/>
        <v>OFF</v>
      </c>
      <c r="T189" s="116" t="str">
        <f t="shared" si="98"/>
        <v>OFF</v>
      </c>
      <c r="U189" s="116" t="str">
        <f t="shared" si="98"/>
        <v>OFF</v>
      </c>
      <c r="V189" s="116" t="str">
        <f t="shared" si="98"/>
        <v>OFF</v>
      </c>
      <c r="W189" s="72" t="str">
        <f t="shared" si="98"/>
        <v>OFF</v>
      </c>
      <c r="X189" s="72" t="str">
        <f t="shared" si="16"/>
        <v>-</v>
      </c>
    </row>
    <row r="190" spans="1:24" ht="12.75" customHeight="1" x14ac:dyDescent="0.2">
      <c r="A190" s="71" t="str">
        <f t="shared" si="47"/>
        <v>Cassey Mhae Aniversario</v>
      </c>
      <c r="B190" s="29" t="str">
        <f>IFERROR(VLOOKUP(A190,Masterlist!B:D,3,),"-")</f>
        <v>Azenith Calanda</v>
      </c>
      <c r="C190" s="116">
        <f t="shared" si="90"/>
        <v>1</v>
      </c>
      <c r="D190" s="116">
        <f t="shared" si="91"/>
        <v>1</v>
      </c>
      <c r="E190" s="116" t="str">
        <f t="shared" ref="E190" si="99">IFERROR(IF(D45 = "PTO", "PTO",D45+"12:00"),"OFF")</f>
        <v>OFF</v>
      </c>
      <c r="F190" s="116">
        <f t="shared" si="92"/>
        <v>1</v>
      </c>
      <c r="G190" s="116">
        <f t="shared" si="74"/>
        <v>1</v>
      </c>
      <c r="H190" s="116" t="str">
        <f t="shared" si="93"/>
        <v>OFF</v>
      </c>
      <c r="I190" s="116">
        <f t="shared" si="93"/>
        <v>1</v>
      </c>
      <c r="J190" s="86">
        <f t="shared" si="93"/>
        <v>1</v>
      </c>
      <c r="K190" s="116">
        <f t="shared" ref="K190:Q190" si="100">IFERROR(IF(J45 = "PTO", "PTO",J45+"12:00"),"OFF")</f>
        <v>1</v>
      </c>
      <c r="L190" s="116">
        <f t="shared" si="100"/>
        <v>1</v>
      </c>
      <c r="M190" s="116">
        <f t="shared" si="100"/>
        <v>1</v>
      </c>
      <c r="N190" s="116" t="str">
        <f t="shared" si="100"/>
        <v>OFF</v>
      </c>
      <c r="O190" s="116" t="str">
        <f t="shared" si="100"/>
        <v>OFF</v>
      </c>
      <c r="P190" s="116">
        <f t="shared" si="100"/>
        <v>1</v>
      </c>
      <c r="Q190" s="86">
        <f t="shared" si="100"/>
        <v>1</v>
      </c>
      <c r="R190" s="116">
        <f t="shared" ref="R190:W190" si="101">IFERROR(IF(Q45 = "PTO", "PTO",Q45+"12:00"),"OFF")</f>
        <v>1</v>
      </c>
      <c r="S190" s="116">
        <f t="shared" si="101"/>
        <v>1</v>
      </c>
      <c r="T190" s="116">
        <f t="shared" si="101"/>
        <v>1</v>
      </c>
      <c r="U190" s="116" t="str">
        <f t="shared" si="101"/>
        <v>OFF</v>
      </c>
      <c r="V190" s="116" t="str">
        <f t="shared" si="101"/>
        <v>OFF</v>
      </c>
      <c r="W190" s="72">
        <f t="shared" si="101"/>
        <v>1</v>
      </c>
      <c r="X190" s="72">
        <f t="shared" si="16"/>
        <v>1</v>
      </c>
    </row>
    <row r="191" spans="1:24" x14ac:dyDescent="0.2">
      <c r="A191" s="71" t="str">
        <f t="shared" si="47"/>
        <v>Ruby Ann Besin</v>
      </c>
      <c r="B191" s="29" t="str">
        <f>IFERROR(VLOOKUP(A191,Masterlist!B:D,3,),"-")</f>
        <v>Azenith Calanda</v>
      </c>
      <c r="C191" s="116">
        <f t="shared" si="90"/>
        <v>1</v>
      </c>
      <c r="D191" s="116">
        <f t="shared" si="91"/>
        <v>1</v>
      </c>
      <c r="E191" s="116" t="str">
        <f t="shared" ref="E191" si="102">IFERROR(IF(D46 = "PTO", "PTO",D46+"12:00"),"OFF")</f>
        <v>OFF</v>
      </c>
      <c r="F191" s="116">
        <f t="shared" si="92"/>
        <v>1</v>
      </c>
      <c r="G191" s="116">
        <f t="shared" si="74"/>
        <v>1</v>
      </c>
      <c r="H191" s="116" t="str">
        <f t="shared" si="93"/>
        <v>OFF</v>
      </c>
      <c r="I191" s="116">
        <f t="shared" si="93"/>
        <v>1</v>
      </c>
      <c r="J191" s="86">
        <f t="shared" si="93"/>
        <v>1</v>
      </c>
      <c r="K191" s="116">
        <f t="shared" ref="K191:Q191" si="103">IFERROR(IF(J46 = "PTO", "PTO",J46+"12:00"),"OFF")</f>
        <v>1</v>
      </c>
      <c r="L191" s="116">
        <f t="shared" si="103"/>
        <v>1</v>
      </c>
      <c r="M191" s="116">
        <f t="shared" si="103"/>
        <v>1</v>
      </c>
      <c r="N191" s="116" t="str">
        <f t="shared" si="103"/>
        <v>OFF</v>
      </c>
      <c r="O191" s="116" t="str">
        <f t="shared" si="103"/>
        <v>OFF</v>
      </c>
      <c r="P191" s="116">
        <f t="shared" si="103"/>
        <v>1</v>
      </c>
      <c r="Q191" s="86">
        <f t="shared" si="103"/>
        <v>1</v>
      </c>
      <c r="R191" s="116">
        <f t="shared" ref="R191:W191" si="104">IFERROR(IF(Q46 = "PTO", "PTO",Q46+"12:00"),"OFF")</f>
        <v>1</v>
      </c>
      <c r="S191" s="116">
        <f t="shared" si="104"/>
        <v>1</v>
      </c>
      <c r="T191" s="116">
        <f t="shared" si="104"/>
        <v>1</v>
      </c>
      <c r="U191" s="116" t="str">
        <f t="shared" si="104"/>
        <v>OFF</v>
      </c>
      <c r="V191" s="116" t="str">
        <f t="shared" si="104"/>
        <v>OFF</v>
      </c>
      <c r="W191" s="72">
        <f t="shared" si="104"/>
        <v>1</v>
      </c>
      <c r="X191" s="72">
        <f t="shared" si="16"/>
        <v>1</v>
      </c>
    </row>
    <row r="192" spans="1:24" x14ac:dyDescent="0.2">
      <c r="A192" s="71" t="str">
        <f t="shared" si="47"/>
        <v>Yunus Ali Sangki</v>
      </c>
      <c r="B192" s="29" t="str">
        <f>IFERROR(VLOOKUP(A192,Masterlist!B:D,3,),"-")</f>
        <v>Azenith Calanda</v>
      </c>
      <c r="C192" s="116">
        <f t="shared" si="90"/>
        <v>1</v>
      </c>
      <c r="D192" s="116">
        <f t="shared" si="91"/>
        <v>1</v>
      </c>
      <c r="E192" s="116" t="str">
        <f t="shared" ref="E192" si="105">IFERROR(IF(D47 = "PTO", "PTO",D47+"12:00"),"OFF")</f>
        <v>OFF</v>
      </c>
      <c r="F192" s="116">
        <f t="shared" si="92"/>
        <v>1</v>
      </c>
      <c r="G192" s="116">
        <f t="shared" si="74"/>
        <v>1</v>
      </c>
      <c r="H192" s="116" t="str">
        <f t="shared" si="93"/>
        <v>OFF</v>
      </c>
      <c r="I192" s="116">
        <f t="shared" si="93"/>
        <v>1</v>
      </c>
      <c r="J192" s="86">
        <f t="shared" si="93"/>
        <v>1</v>
      </c>
      <c r="K192" s="116">
        <f t="shared" ref="K192:Q192" si="106">IFERROR(IF(J47 = "PTO", "PTO",J47+"12:00"),"OFF")</f>
        <v>1</v>
      </c>
      <c r="L192" s="116">
        <f t="shared" si="106"/>
        <v>1</v>
      </c>
      <c r="M192" s="116">
        <f t="shared" si="106"/>
        <v>1</v>
      </c>
      <c r="N192" s="116" t="str">
        <f t="shared" si="106"/>
        <v>OFF</v>
      </c>
      <c r="O192" s="116" t="str">
        <f t="shared" si="106"/>
        <v>OFF</v>
      </c>
      <c r="P192" s="116">
        <f t="shared" si="106"/>
        <v>1</v>
      </c>
      <c r="Q192" s="86">
        <f t="shared" si="106"/>
        <v>1</v>
      </c>
      <c r="R192" s="116">
        <f t="shared" ref="R192:W192" si="107">IFERROR(IF(Q47 = "PTO", "PTO",Q47+"12:00"),"OFF")</f>
        <v>1</v>
      </c>
      <c r="S192" s="116">
        <f t="shared" si="107"/>
        <v>1</v>
      </c>
      <c r="T192" s="116">
        <f t="shared" si="107"/>
        <v>1</v>
      </c>
      <c r="U192" s="116" t="str">
        <f t="shared" si="107"/>
        <v>OFF</v>
      </c>
      <c r="V192" s="116" t="str">
        <f t="shared" si="107"/>
        <v>OFF</v>
      </c>
      <c r="W192" s="72">
        <f t="shared" si="107"/>
        <v>1</v>
      </c>
      <c r="X192" s="72">
        <f t="shared" si="16"/>
        <v>1</v>
      </c>
    </row>
    <row r="193" spans="1:24" x14ac:dyDescent="0.2">
      <c r="A193" s="71" t="str">
        <f t="shared" si="47"/>
        <v>Khervin Campos</v>
      </c>
      <c r="B193" s="29" t="str">
        <f>IFERROR(VLOOKUP(A193,Masterlist!B:D,3,),"-")</f>
        <v>Azenith Calanda</v>
      </c>
      <c r="C193" s="116">
        <f t="shared" si="90"/>
        <v>1</v>
      </c>
      <c r="D193" s="116">
        <f t="shared" si="91"/>
        <v>1</v>
      </c>
      <c r="E193" s="116" t="str">
        <f t="shared" ref="E193" si="108">IFERROR(IF(D48 = "PTO", "PTO",D48+"12:00"),"OFF")</f>
        <v>OFF</v>
      </c>
      <c r="F193" s="116">
        <f t="shared" si="92"/>
        <v>1</v>
      </c>
      <c r="G193" s="116">
        <f t="shared" si="74"/>
        <v>1</v>
      </c>
      <c r="H193" s="116" t="str">
        <f t="shared" si="93"/>
        <v>OFF</v>
      </c>
      <c r="I193" s="116">
        <f t="shared" si="93"/>
        <v>1</v>
      </c>
      <c r="J193" s="86">
        <f t="shared" si="93"/>
        <v>1</v>
      </c>
      <c r="K193" s="116">
        <f t="shared" ref="K193:Q193" si="109">IFERROR(IF(J48 = "PTO", "PTO",J48+"12:00"),"OFF")</f>
        <v>1</v>
      </c>
      <c r="L193" s="116">
        <f t="shared" si="109"/>
        <v>1</v>
      </c>
      <c r="M193" s="116">
        <f t="shared" si="109"/>
        <v>1</v>
      </c>
      <c r="N193" s="116" t="str">
        <f t="shared" si="109"/>
        <v>OFF</v>
      </c>
      <c r="O193" s="116" t="str">
        <f t="shared" si="109"/>
        <v>OFF</v>
      </c>
      <c r="P193" s="116">
        <f t="shared" si="109"/>
        <v>1</v>
      </c>
      <c r="Q193" s="86">
        <f t="shared" si="109"/>
        <v>1</v>
      </c>
      <c r="R193" s="116">
        <f t="shared" ref="R193:W193" si="110">IFERROR(IF(Q48 = "PTO", "PTO",Q48+"12:00"),"OFF")</f>
        <v>1</v>
      </c>
      <c r="S193" s="116">
        <f t="shared" si="110"/>
        <v>1</v>
      </c>
      <c r="T193" s="116">
        <f t="shared" si="110"/>
        <v>1</v>
      </c>
      <c r="U193" s="116" t="str">
        <f t="shared" si="110"/>
        <v>OFF</v>
      </c>
      <c r="V193" s="116" t="str">
        <f t="shared" si="110"/>
        <v>OFF</v>
      </c>
      <c r="W193" s="72">
        <f t="shared" si="110"/>
        <v>1</v>
      </c>
      <c r="X193" s="72">
        <f t="shared" si="16"/>
        <v>1</v>
      </c>
    </row>
    <row r="194" spans="1:24" x14ac:dyDescent="0.2">
      <c r="A194" s="71" t="str">
        <f t="shared" si="47"/>
        <v>Catherine Mae Alingasa</v>
      </c>
      <c r="B194" s="29" t="str">
        <f>IFERROR(VLOOKUP(A194,Masterlist!B:D,3,),"-")</f>
        <v>Azenith Calanda</v>
      </c>
      <c r="C194" s="116">
        <f t="shared" si="90"/>
        <v>1</v>
      </c>
      <c r="D194" s="116">
        <f t="shared" si="91"/>
        <v>1</v>
      </c>
      <c r="E194" s="116" t="str">
        <f t="shared" ref="E194" si="111">IFERROR(IF(D49 = "PTO", "PTO",D49+"12:00"),"OFF")</f>
        <v>OFF</v>
      </c>
      <c r="F194" s="116">
        <f t="shared" si="92"/>
        <v>1</v>
      </c>
      <c r="G194" s="116">
        <f t="shared" si="74"/>
        <v>1</v>
      </c>
      <c r="H194" s="116" t="str">
        <f t="shared" si="93"/>
        <v>OFF</v>
      </c>
      <c r="I194" s="116">
        <f t="shared" si="93"/>
        <v>1</v>
      </c>
      <c r="J194" s="86">
        <f t="shared" si="93"/>
        <v>1</v>
      </c>
      <c r="K194" s="116">
        <f t="shared" ref="K194:Q194" si="112">IFERROR(IF(J49 = "PTO", "PTO",J49+"12:00"),"OFF")</f>
        <v>1</v>
      </c>
      <c r="L194" s="116">
        <f t="shared" si="112"/>
        <v>1</v>
      </c>
      <c r="M194" s="116">
        <f t="shared" si="112"/>
        <v>1</v>
      </c>
      <c r="N194" s="116" t="str">
        <f t="shared" si="112"/>
        <v>OFF</v>
      </c>
      <c r="O194" s="116" t="str">
        <f t="shared" si="112"/>
        <v>OFF</v>
      </c>
      <c r="P194" s="116">
        <f t="shared" si="112"/>
        <v>1</v>
      </c>
      <c r="Q194" s="86">
        <f t="shared" si="112"/>
        <v>1</v>
      </c>
      <c r="R194" s="116">
        <f t="shared" ref="R194:W194" si="113">IFERROR(IF(Q49 = "PTO", "PTO",Q49+"12:00"),"OFF")</f>
        <v>1</v>
      </c>
      <c r="S194" s="116">
        <f t="shared" si="113"/>
        <v>1</v>
      </c>
      <c r="T194" s="116">
        <f t="shared" si="113"/>
        <v>1</v>
      </c>
      <c r="U194" s="116" t="str">
        <f t="shared" si="113"/>
        <v>OFF</v>
      </c>
      <c r="V194" s="116" t="str">
        <f t="shared" si="113"/>
        <v>OFF</v>
      </c>
      <c r="W194" s="72">
        <f t="shared" si="113"/>
        <v>1</v>
      </c>
      <c r="X194" s="72">
        <f t="shared" si="16"/>
        <v>1</v>
      </c>
    </row>
    <row r="195" spans="1:24" x14ac:dyDescent="0.2">
      <c r="A195" s="71" t="str">
        <f t="shared" si="47"/>
        <v>Anna Marie Netura</v>
      </c>
      <c r="B195" s="29" t="str">
        <f>IFERROR(VLOOKUP(A195,Masterlist!B:D,3,),"-")</f>
        <v>Azenith Calanda</v>
      </c>
      <c r="C195" s="116">
        <f t="shared" si="90"/>
        <v>1</v>
      </c>
      <c r="D195" s="116">
        <f t="shared" si="91"/>
        <v>1</v>
      </c>
      <c r="E195" s="116" t="str">
        <f t="shared" ref="E195" si="114">IFERROR(IF(D50 = "PTO", "PTO",D50+"12:00"),"OFF")</f>
        <v>OFF</v>
      </c>
      <c r="F195" s="116">
        <f t="shared" si="92"/>
        <v>1</v>
      </c>
      <c r="G195" s="116">
        <f t="shared" si="74"/>
        <v>1</v>
      </c>
      <c r="H195" s="116" t="str">
        <f t="shared" si="93"/>
        <v>OFF</v>
      </c>
      <c r="I195" s="116">
        <f t="shared" si="93"/>
        <v>1</v>
      </c>
      <c r="J195" s="86">
        <f t="shared" si="93"/>
        <v>1</v>
      </c>
      <c r="K195" s="116">
        <f t="shared" ref="K195:Q195" si="115">IFERROR(IF(J50 = "PTO", "PTO",J50+"12:00"),"OFF")</f>
        <v>1</v>
      </c>
      <c r="L195" s="116">
        <f t="shared" si="115"/>
        <v>1</v>
      </c>
      <c r="M195" s="116">
        <f t="shared" si="115"/>
        <v>1</v>
      </c>
      <c r="N195" s="116" t="str">
        <f t="shared" si="115"/>
        <v>OFF</v>
      </c>
      <c r="O195" s="116" t="str">
        <f t="shared" si="115"/>
        <v>OFF</v>
      </c>
      <c r="P195" s="116">
        <f t="shared" si="115"/>
        <v>1</v>
      </c>
      <c r="Q195" s="86">
        <f t="shared" si="115"/>
        <v>1</v>
      </c>
      <c r="R195" s="116">
        <f t="shared" ref="R195:W195" si="116">IFERROR(IF(Q50 = "PTO", "PTO",Q50+"12:00"),"OFF")</f>
        <v>1</v>
      </c>
      <c r="S195" s="116">
        <f t="shared" si="116"/>
        <v>1</v>
      </c>
      <c r="T195" s="116">
        <f t="shared" si="116"/>
        <v>1</v>
      </c>
      <c r="U195" s="116" t="str">
        <f t="shared" si="116"/>
        <v>OFF</v>
      </c>
      <c r="V195" s="116" t="str">
        <f t="shared" si="116"/>
        <v>OFF</v>
      </c>
      <c r="W195" s="72">
        <f t="shared" si="116"/>
        <v>1</v>
      </c>
      <c r="X195" s="72">
        <f t="shared" si="16"/>
        <v>1</v>
      </c>
    </row>
    <row r="196" spans="1:24" x14ac:dyDescent="0.2">
      <c r="A196" s="71" t="str">
        <f t="shared" si="47"/>
        <v>Mary Joy Posadas</v>
      </c>
      <c r="B196" s="29" t="str">
        <f>IFERROR(VLOOKUP(A196,Masterlist!B:D,3,),"-")</f>
        <v>Azenith Calanda</v>
      </c>
      <c r="C196" s="116">
        <f t="shared" si="90"/>
        <v>1</v>
      </c>
      <c r="D196" s="116">
        <f t="shared" si="91"/>
        <v>1</v>
      </c>
      <c r="E196" s="116" t="str">
        <f>IFERROR(IF(D51 = "PTO", "PTO",D51+"12:00"),"OFF")</f>
        <v>OFF</v>
      </c>
      <c r="F196" s="116">
        <f t="shared" si="92"/>
        <v>1</v>
      </c>
      <c r="G196" s="116">
        <f t="shared" si="74"/>
        <v>1</v>
      </c>
      <c r="H196" s="116" t="str">
        <f t="shared" si="93"/>
        <v>OFF</v>
      </c>
      <c r="I196" s="116">
        <f t="shared" si="93"/>
        <v>1</v>
      </c>
      <c r="J196" s="86">
        <f t="shared" si="93"/>
        <v>1</v>
      </c>
      <c r="K196" s="116">
        <f t="shared" ref="K196:Q196" si="117">IFERROR(IF(J51 = "PTO", "PTO",J51+"12:00"),"OFF")</f>
        <v>1</v>
      </c>
      <c r="L196" s="116">
        <f t="shared" si="117"/>
        <v>1</v>
      </c>
      <c r="M196" s="116">
        <f t="shared" si="117"/>
        <v>1</v>
      </c>
      <c r="N196" s="116" t="str">
        <f t="shared" si="117"/>
        <v>OFF</v>
      </c>
      <c r="O196" s="116" t="str">
        <f t="shared" si="117"/>
        <v>OFF</v>
      </c>
      <c r="P196" s="116">
        <f t="shared" si="117"/>
        <v>1</v>
      </c>
      <c r="Q196" s="86">
        <f t="shared" si="117"/>
        <v>1</v>
      </c>
      <c r="R196" s="116">
        <f t="shared" ref="R196:W196" si="118">IFERROR(IF(Q51 = "PTO", "PTO",Q51+"12:00"),"OFF")</f>
        <v>1</v>
      </c>
      <c r="S196" s="116">
        <f t="shared" si="118"/>
        <v>1</v>
      </c>
      <c r="T196" s="116">
        <f t="shared" si="118"/>
        <v>1</v>
      </c>
      <c r="U196" s="116" t="str">
        <f t="shared" si="118"/>
        <v>OFF</v>
      </c>
      <c r="V196" s="116" t="str">
        <f t="shared" si="118"/>
        <v>OFF</v>
      </c>
      <c r="W196" s="72">
        <f t="shared" si="118"/>
        <v>1</v>
      </c>
      <c r="X196" s="72">
        <f t="shared" si="16"/>
        <v>1</v>
      </c>
    </row>
    <row r="197" spans="1:24" x14ac:dyDescent="0.2">
      <c r="A197" s="71" t="str">
        <f t="shared" si="47"/>
        <v>Earl Jesri Siva</v>
      </c>
      <c r="B197" s="29" t="str">
        <f>IFERROR(VLOOKUP(A197,Masterlist!B:D,3,),"-")</f>
        <v>Azenith Calanda</v>
      </c>
      <c r="C197" s="116">
        <f t="shared" si="90"/>
        <v>1</v>
      </c>
      <c r="D197" s="116">
        <f t="shared" ref="D197:E197" si="119">IFERROR(IF(C52 = "PTO", "PTO",C52+"12:00"),"OFF")</f>
        <v>1</v>
      </c>
      <c r="E197" s="116" t="str">
        <f t="shared" si="119"/>
        <v>OFF</v>
      </c>
      <c r="F197" s="116">
        <f t="shared" si="92"/>
        <v>1</v>
      </c>
      <c r="G197" s="116">
        <f t="shared" ref="G197" si="120">IFERROR(IF(F52 = "PTO", "PTO",F52+"12:00"),"OFF")</f>
        <v>1</v>
      </c>
      <c r="H197" s="116" t="str">
        <f t="shared" si="93"/>
        <v>OFF</v>
      </c>
      <c r="I197" s="116">
        <f t="shared" si="93"/>
        <v>1</v>
      </c>
      <c r="J197" s="86">
        <f t="shared" si="93"/>
        <v>1</v>
      </c>
      <c r="K197" s="116">
        <f t="shared" ref="K197:Q197" si="121">IFERROR(IF(J52 = "PTO", "PTO",J52+"12:00"),"OFF")</f>
        <v>1</v>
      </c>
      <c r="L197" s="116">
        <f t="shared" si="121"/>
        <v>1</v>
      </c>
      <c r="M197" s="116">
        <f t="shared" si="121"/>
        <v>1</v>
      </c>
      <c r="N197" s="116" t="str">
        <f t="shared" si="121"/>
        <v>OFF</v>
      </c>
      <c r="O197" s="116" t="str">
        <f t="shared" si="121"/>
        <v>OFF</v>
      </c>
      <c r="P197" s="116">
        <f t="shared" si="121"/>
        <v>1</v>
      </c>
      <c r="Q197" s="86">
        <f t="shared" si="121"/>
        <v>1</v>
      </c>
      <c r="R197" s="116">
        <f t="shared" ref="R197:W197" si="122">IFERROR(IF(Q52 = "PTO", "PTO",Q52+"12:00"),"OFF")</f>
        <v>1</v>
      </c>
      <c r="S197" s="116">
        <f t="shared" si="122"/>
        <v>1</v>
      </c>
      <c r="T197" s="116">
        <f t="shared" si="122"/>
        <v>1</v>
      </c>
      <c r="U197" s="116" t="str">
        <f t="shared" si="122"/>
        <v>OFF</v>
      </c>
      <c r="V197" s="116" t="str">
        <f t="shared" si="122"/>
        <v>OFF</v>
      </c>
      <c r="W197" s="72">
        <f t="shared" si="122"/>
        <v>1</v>
      </c>
      <c r="X197" s="72">
        <f t="shared" si="16"/>
        <v>1</v>
      </c>
    </row>
    <row r="198" spans="1:24" x14ac:dyDescent="0.2">
      <c r="A198" s="71" t="str">
        <f t="shared" si="47"/>
        <v>John Risky Fundal</v>
      </c>
      <c r="B198" s="29" t="str">
        <f>IFERROR(VLOOKUP(A198,Masterlist!B:D,3,),"-")</f>
        <v>Azenith Calanda</v>
      </c>
      <c r="C198" s="116">
        <f t="shared" si="90"/>
        <v>1</v>
      </c>
      <c r="D198" s="116">
        <f t="shared" ref="D198:F198" si="123">IFERROR(IF(C53 = "PTO", "PTO",C53+"12:00"),"OFF")</f>
        <v>1</v>
      </c>
      <c r="E198" s="116" t="str">
        <f t="shared" si="123"/>
        <v>OFF</v>
      </c>
      <c r="F198" s="116">
        <f t="shared" si="123"/>
        <v>1</v>
      </c>
      <c r="G198" s="116">
        <f t="shared" ref="G198" si="124">IFERROR(IF(F53 = "PTO", "PTO",F53+"12:00"),"OFF")</f>
        <v>1</v>
      </c>
      <c r="H198" s="116" t="str">
        <f t="shared" si="93"/>
        <v>OFF</v>
      </c>
      <c r="I198" s="116">
        <f t="shared" si="93"/>
        <v>1</v>
      </c>
      <c r="J198" s="86">
        <f t="shared" si="93"/>
        <v>1</v>
      </c>
      <c r="K198" s="116">
        <f t="shared" ref="K198:Q198" si="125">IFERROR(IF(J53 = "PTO", "PTO",J53+"12:00"),"OFF")</f>
        <v>1</v>
      </c>
      <c r="L198" s="116">
        <f t="shared" si="125"/>
        <v>1</v>
      </c>
      <c r="M198" s="116">
        <f t="shared" si="125"/>
        <v>1</v>
      </c>
      <c r="N198" s="116" t="str">
        <f t="shared" si="125"/>
        <v>OFF</v>
      </c>
      <c r="O198" s="116" t="str">
        <f t="shared" si="125"/>
        <v>OFF</v>
      </c>
      <c r="P198" s="116">
        <f t="shared" si="125"/>
        <v>1</v>
      </c>
      <c r="Q198" s="86">
        <f t="shared" si="125"/>
        <v>1</v>
      </c>
      <c r="R198" s="116">
        <f t="shared" ref="R198:W198" si="126">IFERROR(IF(Q53 = "PTO", "PTO",Q53+"12:00"),"OFF")</f>
        <v>1</v>
      </c>
      <c r="S198" s="116">
        <f t="shared" si="126"/>
        <v>1</v>
      </c>
      <c r="T198" s="116">
        <f t="shared" si="126"/>
        <v>1</v>
      </c>
      <c r="U198" s="116" t="str">
        <f t="shared" si="126"/>
        <v>OFF</v>
      </c>
      <c r="V198" s="116" t="str">
        <f t="shared" si="126"/>
        <v>OFF</v>
      </c>
      <c r="W198" s="72">
        <f t="shared" si="126"/>
        <v>1</v>
      </c>
      <c r="X198" s="72">
        <f t="shared" si="16"/>
        <v>1</v>
      </c>
    </row>
    <row r="199" spans="1:24" x14ac:dyDescent="0.2">
      <c r="A199" s="71" t="str">
        <f t="shared" si="47"/>
        <v>Hecel Isaac</v>
      </c>
      <c r="B199" s="29" t="str">
        <f>IFERROR(VLOOKUP(A199,Masterlist!B:D,3,),"-")</f>
        <v>Azenith Calanda</v>
      </c>
      <c r="C199" s="116">
        <f t="shared" si="90"/>
        <v>1</v>
      </c>
      <c r="D199" s="116">
        <f t="shared" ref="D199:F199" si="127">IFERROR(IF(C54 = "PTO", "PTO",C54+"12:00"),"OFF")</f>
        <v>1</v>
      </c>
      <c r="E199" s="116" t="str">
        <f t="shared" si="127"/>
        <v>OFF</v>
      </c>
      <c r="F199" s="116">
        <f t="shared" si="127"/>
        <v>1</v>
      </c>
      <c r="G199" s="116">
        <f t="shared" ref="G199" si="128">IFERROR(IF(F54 = "PTO", "PTO",F54+"12:00"),"OFF")</f>
        <v>1</v>
      </c>
      <c r="H199" s="116" t="str">
        <f t="shared" si="93"/>
        <v>OFF</v>
      </c>
      <c r="I199" s="116">
        <f t="shared" si="93"/>
        <v>1</v>
      </c>
      <c r="J199" s="86">
        <f t="shared" si="93"/>
        <v>1</v>
      </c>
      <c r="K199" s="116">
        <f t="shared" ref="K199:Q199" si="129">IFERROR(IF(J54 = "PTO", "PTO",J54+"12:00"),"OFF")</f>
        <v>1</v>
      </c>
      <c r="L199" s="116">
        <f t="shared" si="129"/>
        <v>1</v>
      </c>
      <c r="M199" s="116">
        <f t="shared" si="129"/>
        <v>1</v>
      </c>
      <c r="N199" s="116" t="str">
        <f t="shared" si="129"/>
        <v>OFF</v>
      </c>
      <c r="O199" s="116" t="str">
        <f t="shared" si="129"/>
        <v>OFF</v>
      </c>
      <c r="P199" s="116">
        <f t="shared" si="129"/>
        <v>1</v>
      </c>
      <c r="Q199" s="86">
        <f t="shared" si="129"/>
        <v>1</v>
      </c>
      <c r="R199" s="116">
        <f t="shared" ref="R199:W199" si="130">IFERROR(IF(Q54 = "PTO", "PTO",Q54+"12:00"),"OFF")</f>
        <v>1</v>
      </c>
      <c r="S199" s="116">
        <f t="shared" si="130"/>
        <v>1</v>
      </c>
      <c r="T199" s="116">
        <f t="shared" si="130"/>
        <v>1</v>
      </c>
      <c r="U199" s="116" t="str">
        <f t="shared" si="130"/>
        <v>OFF</v>
      </c>
      <c r="V199" s="116" t="str">
        <f t="shared" si="130"/>
        <v>OFF</v>
      </c>
      <c r="W199" s="72">
        <f t="shared" si="130"/>
        <v>1</v>
      </c>
      <c r="X199" s="72">
        <f t="shared" si="16"/>
        <v>1</v>
      </c>
    </row>
    <row r="200" spans="1:24" x14ac:dyDescent="0.2">
      <c r="A200" s="71" t="str">
        <f t="shared" si="47"/>
        <v>Mark Gofher,Tumamao,Estanes</v>
      </c>
      <c r="B200" s="29" t="str">
        <f>IFERROR(VLOOKUP(A200,Masterlist!B:D,3,),"-")</f>
        <v>Eduardo Monterde Jr</v>
      </c>
      <c r="C200" s="116">
        <f t="shared" ref="C200:W200" si="131">IFERROR(IF(C55 = "PTO", "PTO",C55+"12:00"),"OFF")</f>
        <v>0.91666666666666674</v>
      </c>
      <c r="D200" s="116" t="str">
        <f t="shared" si="131"/>
        <v>OFF</v>
      </c>
      <c r="E200" s="116" t="str">
        <f t="shared" si="131"/>
        <v>OFF</v>
      </c>
      <c r="F200" s="116">
        <f t="shared" si="131"/>
        <v>0.91666666666666674</v>
      </c>
      <c r="G200" s="116">
        <f t="shared" si="131"/>
        <v>0.91666666666666674</v>
      </c>
      <c r="H200" s="116">
        <f t="shared" si="131"/>
        <v>0.91666666666666674</v>
      </c>
      <c r="I200" s="116">
        <f t="shared" si="131"/>
        <v>0.91666666666666674</v>
      </c>
      <c r="J200" s="86">
        <f t="shared" si="131"/>
        <v>0.91666666666666674</v>
      </c>
      <c r="K200" s="116" t="str">
        <f t="shared" si="131"/>
        <v>OFF</v>
      </c>
      <c r="L200" s="116" t="str">
        <f t="shared" si="131"/>
        <v>OFF</v>
      </c>
      <c r="M200" s="116">
        <f t="shared" si="131"/>
        <v>0.91666666666666674</v>
      </c>
      <c r="N200" s="116">
        <f t="shared" si="131"/>
        <v>0.91666666666666674</v>
      </c>
      <c r="O200" s="116">
        <f t="shared" si="131"/>
        <v>0.91666666666666674</v>
      </c>
      <c r="P200" s="116">
        <f t="shared" si="131"/>
        <v>0.91666666666666674</v>
      </c>
      <c r="Q200" s="86">
        <f t="shared" si="131"/>
        <v>0.91666666666666674</v>
      </c>
      <c r="R200" s="116" t="str">
        <f t="shared" si="131"/>
        <v>OFF</v>
      </c>
      <c r="S200" s="116" t="str">
        <f t="shared" si="131"/>
        <v>OFF</v>
      </c>
      <c r="T200" s="116">
        <f t="shared" si="131"/>
        <v>0.91666666666666674</v>
      </c>
      <c r="U200" s="116">
        <f t="shared" si="131"/>
        <v>0.91666666666666674</v>
      </c>
      <c r="V200" s="116">
        <f t="shared" si="131"/>
        <v>0.91666666666666674</v>
      </c>
      <c r="W200" s="72">
        <f t="shared" si="131"/>
        <v>0.91666666666666674</v>
      </c>
      <c r="X200" s="72">
        <f t="shared" si="16"/>
        <v>0.91666666666666674</v>
      </c>
    </row>
    <row r="201" spans="1:24" x14ac:dyDescent="0.2">
      <c r="A201" s="71" t="str">
        <f t="shared" si="47"/>
        <v>Ariel,Marquez,Ulgado</v>
      </c>
      <c r="B201" s="29" t="str">
        <f>IFERROR(VLOOKUP(A201,Masterlist!B:D,3,),"-")</f>
        <v>Eduardo Monterde Jr</v>
      </c>
      <c r="C201" s="116">
        <f t="shared" ref="C201:W201" si="132">IFERROR(IF(C56 = "PTO", "PTO",C56+"12:00"),"OFF")</f>
        <v>0.91666666666666674</v>
      </c>
      <c r="D201" s="116" t="str">
        <f t="shared" si="132"/>
        <v>OFF</v>
      </c>
      <c r="E201" s="116" t="str">
        <f t="shared" si="132"/>
        <v>OFF</v>
      </c>
      <c r="F201" s="116">
        <f t="shared" si="132"/>
        <v>0.91666666666666674</v>
      </c>
      <c r="G201" s="116">
        <f t="shared" si="132"/>
        <v>0.91666666666666674</v>
      </c>
      <c r="H201" s="116">
        <f t="shared" si="132"/>
        <v>0.91666666666666674</v>
      </c>
      <c r="I201" s="116">
        <f t="shared" si="132"/>
        <v>0.91666666666666674</v>
      </c>
      <c r="J201" s="86">
        <f t="shared" si="132"/>
        <v>0.91666666666666674</v>
      </c>
      <c r="K201" s="116" t="str">
        <f t="shared" si="132"/>
        <v>OFF</v>
      </c>
      <c r="L201" s="116" t="str">
        <f t="shared" si="132"/>
        <v>OFF</v>
      </c>
      <c r="M201" s="116">
        <f t="shared" si="132"/>
        <v>0.91666666666666674</v>
      </c>
      <c r="N201" s="116">
        <f t="shared" si="132"/>
        <v>0.91666666666666674</v>
      </c>
      <c r="O201" s="116">
        <f t="shared" si="132"/>
        <v>0.91666666666666674</v>
      </c>
      <c r="P201" s="116">
        <f t="shared" si="132"/>
        <v>0.91666666666666674</v>
      </c>
      <c r="Q201" s="86">
        <f t="shared" si="132"/>
        <v>0.91666666666666674</v>
      </c>
      <c r="R201" s="116" t="str">
        <f t="shared" si="132"/>
        <v>OFF</v>
      </c>
      <c r="S201" s="116" t="str">
        <f t="shared" si="132"/>
        <v>OFF</v>
      </c>
      <c r="T201" s="116">
        <f t="shared" si="132"/>
        <v>0.91666666666666674</v>
      </c>
      <c r="U201" s="116">
        <f t="shared" si="132"/>
        <v>0.91666666666666674</v>
      </c>
      <c r="V201" s="116">
        <f t="shared" si="132"/>
        <v>0.91666666666666674</v>
      </c>
      <c r="W201" s="72">
        <f t="shared" si="132"/>
        <v>0.91666666666666674</v>
      </c>
      <c r="X201" s="72">
        <f t="shared" si="16"/>
        <v>0.91666666666666674</v>
      </c>
    </row>
    <row r="202" spans="1:24" x14ac:dyDescent="0.2">
      <c r="A202" s="71" t="str">
        <f t="shared" si="47"/>
        <v>Marilyn De Mesa</v>
      </c>
      <c r="B202" s="29" t="str">
        <f>IFERROR(VLOOKUP(A202,Masterlist!B:D,3,),"-")</f>
        <v>Eduardo Monterde Jr</v>
      </c>
      <c r="C202" s="116">
        <f t="shared" ref="C202:W202" si="133">IFERROR(IF(C57 = "PTO", "PTO",C57+"12:00"),"OFF")</f>
        <v>0.91666666666666674</v>
      </c>
      <c r="D202" s="116" t="str">
        <f t="shared" si="133"/>
        <v>OFF</v>
      </c>
      <c r="E202" s="116" t="str">
        <f t="shared" si="133"/>
        <v>OFF</v>
      </c>
      <c r="F202" s="116">
        <f t="shared" si="133"/>
        <v>0.91666666666666674</v>
      </c>
      <c r="G202" s="116">
        <f t="shared" si="133"/>
        <v>0.91666666666666674</v>
      </c>
      <c r="H202" s="116">
        <f t="shared" si="133"/>
        <v>0.91666666666666674</v>
      </c>
      <c r="I202" s="116">
        <f t="shared" si="133"/>
        <v>0.91666666666666674</v>
      </c>
      <c r="J202" s="86">
        <f t="shared" si="133"/>
        <v>0.91666666666666674</v>
      </c>
      <c r="K202" s="116" t="str">
        <f t="shared" si="133"/>
        <v>OFF</v>
      </c>
      <c r="L202" s="116" t="str">
        <f t="shared" si="133"/>
        <v>OFF</v>
      </c>
      <c r="M202" s="116">
        <f t="shared" si="133"/>
        <v>0.91666666666666674</v>
      </c>
      <c r="N202" s="116">
        <f t="shared" si="133"/>
        <v>0.91666666666666674</v>
      </c>
      <c r="O202" s="116">
        <f t="shared" si="133"/>
        <v>0.91666666666666674</v>
      </c>
      <c r="P202" s="116">
        <f t="shared" si="133"/>
        <v>0.91666666666666674</v>
      </c>
      <c r="Q202" s="86">
        <f t="shared" si="133"/>
        <v>0.91666666666666674</v>
      </c>
      <c r="R202" s="116" t="str">
        <f t="shared" si="133"/>
        <v>OFF</v>
      </c>
      <c r="S202" s="116" t="str">
        <f t="shared" si="133"/>
        <v>OFF</v>
      </c>
      <c r="T202" s="116">
        <f t="shared" si="133"/>
        <v>0.91666666666666674</v>
      </c>
      <c r="U202" s="116">
        <f t="shared" si="133"/>
        <v>0.91666666666666674</v>
      </c>
      <c r="V202" s="116">
        <f t="shared" si="133"/>
        <v>0.91666666666666674</v>
      </c>
      <c r="W202" s="72">
        <f t="shared" si="133"/>
        <v>0.91666666666666674</v>
      </c>
      <c r="X202" s="72">
        <f t="shared" si="16"/>
        <v>0.91666666666666674</v>
      </c>
    </row>
    <row r="203" spans="1:24" x14ac:dyDescent="0.2">
      <c r="A203" s="71" t="str">
        <f t="shared" si="47"/>
        <v>Marilyn Gargar</v>
      </c>
      <c r="B203" s="29" t="str">
        <f>IFERROR(VLOOKUP(A203,Masterlist!B:D,3,),"-")</f>
        <v>Eduardo Monterde Jr</v>
      </c>
      <c r="C203" s="116">
        <f t="shared" ref="C203:W203" si="134">IFERROR(IF(C58 = "PTO", "PTO",C58+"12:00"),"OFF")</f>
        <v>0.91666666666666674</v>
      </c>
      <c r="D203" s="116" t="str">
        <f t="shared" si="134"/>
        <v>OFF</v>
      </c>
      <c r="E203" s="116" t="str">
        <f t="shared" si="134"/>
        <v>OFF</v>
      </c>
      <c r="F203" s="116">
        <f t="shared" si="134"/>
        <v>0.91666666666666674</v>
      </c>
      <c r="G203" s="116">
        <f t="shared" si="134"/>
        <v>0.91666666666666674</v>
      </c>
      <c r="H203" s="116">
        <f t="shared" si="134"/>
        <v>0.91666666666666674</v>
      </c>
      <c r="I203" s="116">
        <f t="shared" si="134"/>
        <v>0.91666666666666674</v>
      </c>
      <c r="J203" s="86">
        <f t="shared" si="134"/>
        <v>0.91666666666666674</v>
      </c>
      <c r="K203" s="116" t="str">
        <f t="shared" si="134"/>
        <v>OFF</v>
      </c>
      <c r="L203" s="116" t="str">
        <f t="shared" si="134"/>
        <v>OFF</v>
      </c>
      <c r="M203" s="116">
        <f t="shared" si="134"/>
        <v>0.91666666666666674</v>
      </c>
      <c r="N203" s="116">
        <f t="shared" si="134"/>
        <v>0.91666666666666674</v>
      </c>
      <c r="O203" s="116">
        <f t="shared" si="134"/>
        <v>0.91666666666666674</v>
      </c>
      <c r="P203" s="116">
        <f t="shared" si="134"/>
        <v>0.91666666666666674</v>
      </c>
      <c r="Q203" s="86">
        <f t="shared" si="134"/>
        <v>0.91666666666666674</v>
      </c>
      <c r="R203" s="116" t="str">
        <f t="shared" si="134"/>
        <v>OFF</v>
      </c>
      <c r="S203" s="116" t="str">
        <f t="shared" si="134"/>
        <v>OFF</v>
      </c>
      <c r="T203" s="116">
        <f t="shared" si="134"/>
        <v>0.91666666666666674</v>
      </c>
      <c r="U203" s="116">
        <f t="shared" si="134"/>
        <v>0.91666666666666674</v>
      </c>
      <c r="V203" s="116">
        <f t="shared" si="134"/>
        <v>0.91666666666666674</v>
      </c>
      <c r="W203" s="72">
        <f t="shared" si="134"/>
        <v>0.91666666666666674</v>
      </c>
      <c r="X203" s="72">
        <f t="shared" si="16"/>
        <v>0.91666666666666674</v>
      </c>
    </row>
    <row r="204" spans="1:24" x14ac:dyDescent="0.2">
      <c r="A204" s="71" t="str">
        <f t="shared" si="47"/>
        <v>Marc Arthur Torres</v>
      </c>
      <c r="B204" s="29" t="str">
        <f>IFERROR(VLOOKUP(A204,Masterlist!B:D,3,),"-")</f>
        <v>Eduardo Monterde Jr</v>
      </c>
      <c r="C204" s="116">
        <f t="shared" ref="C204:W204" si="135">IFERROR(IF(C59 = "PTO", "PTO",C59+"12:00"),"OFF")</f>
        <v>0.91666666666666674</v>
      </c>
      <c r="D204" s="116" t="str">
        <f t="shared" si="135"/>
        <v>OFF</v>
      </c>
      <c r="E204" s="116" t="str">
        <f t="shared" si="135"/>
        <v>OFF</v>
      </c>
      <c r="F204" s="116">
        <f t="shared" si="135"/>
        <v>0.91666666666666674</v>
      </c>
      <c r="G204" s="116">
        <f t="shared" si="135"/>
        <v>0.91666666666666674</v>
      </c>
      <c r="H204" s="116">
        <f t="shared" si="135"/>
        <v>0.91666666666666674</v>
      </c>
      <c r="I204" s="116">
        <f t="shared" si="135"/>
        <v>0.91666666666666674</v>
      </c>
      <c r="J204" s="86">
        <f t="shared" si="135"/>
        <v>0.91666666666666674</v>
      </c>
      <c r="K204" s="116" t="str">
        <f t="shared" si="135"/>
        <v>OFF</v>
      </c>
      <c r="L204" s="116" t="str">
        <f t="shared" si="135"/>
        <v>OFF</v>
      </c>
      <c r="M204" s="116">
        <f t="shared" si="135"/>
        <v>0.91666666666666674</v>
      </c>
      <c r="N204" s="116">
        <f t="shared" si="135"/>
        <v>0.91666666666666674</v>
      </c>
      <c r="O204" s="116">
        <f t="shared" si="135"/>
        <v>0.91666666666666674</v>
      </c>
      <c r="P204" s="116">
        <f t="shared" si="135"/>
        <v>0.91666666666666674</v>
      </c>
      <c r="Q204" s="86">
        <f t="shared" si="135"/>
        <v>0.91666666666666674</v>
      </c>
      <c r="R204" s="116" t="str">
        <f t="shared" si="135"/>
        <v>OFF</v>
      </c>
      <c r="S204" s="116" t="str">
        <f t="shared" si="135"/>
        <v>OFF</v>
      </c>
      <c r="T204" s="116">
        <f t="shared" si="135"/>
        <v>0.91666666666666674</v>
      </c>
      <c r="U204" s="116">
        <f t="shared" si="135"/>
        <v>0.91666666666666674</v>
      </c>
      <c r="V204" s="116">
        <f t="shared" si="135"/>
        <v>0.91666666666666674</v>
      </c>
      <c r="W204" s="72">
        <f t="shared" si="135"/>
        <v>0.91666666666666674</v>
      </c>
      <c r="X204" s="72">
        <f t="shared" si="16"/>
        <v>0.91666666666666674</v>
      </c>
    </row>
    <row r="205" spans="1:24" x14ac:dyDescent="0.2">
      <c r="A205" s="71" t="str">
        <f t="shared" si="47"/>
        <v>Mary Jane Vea</v>
      </c>
      <c r="B205" s="29" t="str">
        <f>IFERROR(VLOOKUP(A205,Masterlist!B:D,3,),"-")</f>
        <v>Eduardo Monterde Jr</v>
      </c>
      <c r="C205" s="116">
        <f t="shared" ref="C205:W205" si="136">IFERROR(IF(C60 = "PTO", "PTO",C60+"12:00"),"OFF")</f>
        <v>0.91666666666666674</v>
      </c>
      <c r="D205" s="116" t="str">
        <f t="shared" si="136"/>
        <v>OFF</v>
      </c>
      <c r="E205" s="116" t="str">
        <f t="shared" si="136"/>
        <v>OFF</v>
      </c>
      <c r="F205" s="116">
        <f t="shared" si="136"/>
        <v>0.91666666666666674</v>
      </c>
      <c r="G205" s="116">
        <f t="shared" si="136"/>
        <v>0.91666666666666674</v>
      </c>
      <c r="H205" s="116">
        <f t="shared" si="136"/>
        <v>0.91666666666666674</v>
      </c>
      <c r="I205" s="116">
        <f t="shared" si="136"/>
        <v>0.91666666666666674</v>
      </c>
      <c r="J205" s="86">
        <f t="shared" si="136"/>
        <v>0.91666666666666674</v>
      </c>
      <c r="K205" s="116" t="str">
        <f t="shared" si="136"/>
        <v>OFF</v>
      </c>
      <c r="L205" s="116" t="str">
        <f t="shared" si="136"/>
        <v>OFF</v>
      </c>
      <c r="M205" s="116">
        <f t="shared" si="136"/>
        <v>0.91666666666666674</v>
      </c>
      <c r="N205" s="116">
        <f t="shared" si="136"/>
        <v>0.91666666666666674</v>
      </c>
      <c r="O205" s="116">
        <f t="shared" si="136"/>
        <v>0.91666666666666674</v>
      </c>
      <c r="P205" s="116">
        <f t="shared" si="136"/>
        <v>0.91666666666666674</v>
      </c>
      <c r="Q205" s="86">
        <f t="shared" si="136"/>
        <v>0.91666666666666674</v>
      </c>
      <c r="R205" s="116" t="str">
        <f t="shared" si="136"/>
        <v>OFF</v>
      </c>
      <c r="S205" s="116" t="str">
        <f t="shared" si="136"/>
        <v>OFF</v>
      </c>
      <c r="T205" s="116">
        <f t="shared" si="136"/>
        <v>0.91666666666666674</v>
      </c>
      <c r="U205" s="116">
        <f t="shared" si="136"/>
        <v>0.91666666666666674</v>
      </c>
      <c r="V205" s="116">
        <f t="shared" si="136"/>
        <v>0.91666666666666674</v>
      </c>
      <c r="W205" s="72">
        <f t="shared" si="136"/>
        <v>0.91666666666666674</v>
      </c>
      <c r="X205" s="72">
        <f t="shared" si="16"/>
        <v>0.91666666666666674</v>
      </c>
    </row>
    <row r="206" spans="1:24" x14ac:dyDescent="0.2">
      <c r="A206" s="71" t="str">
        <f t="shared" si="47"/>
        <v>Mary Chris Demafiles</v>
      </c>
      <c r="B206" s="29" t="str">
        <f>IFERROR(VLOOKUP(A206,Masterlist!B:D,3,),"-")</f>
        <v>Eduardo Monterde Jr</v>
      </c>
      <c r="C206" s="116">
        <f t="shared" ref="C206:W206" si="137">IFERROR(IF(C61 = "PTO", "PTO",C61+"12:00"),"OFF")</f>
        <v>0.91666666666666674</v>
      </c>
      <c r="D206" s="116" t="str">
        <f t="shared" si="137"/>
        <v>OFF</v>
      </c>
      <c r="E206" s="116" t="str">
        <f t="shared" si="137"/>
        <v>OFF</v>
      </c>
      <c r="F206" s="116">
        <f t="shared" si="137"/>
        <v>0.91666666666666674</v>
      </c>
      <c r="G206" s="116">
        <f t="shared" si="137"/>
        <v>0.91666666666666674</v>
      </c>
      <c r="H206" s="116">
        <f t="shared" si="137"/>
        <v>0.91666666666666674</v>
      </c>
      <c r="I206" s="116">
        <f t="shared" si="137"/>
        <v>0.91666666666666674</v>
      </c>
      <c r="J206" s="86">
        <f t="shared" si="137"/>
        <v>0.91666666666666674</v>
      </c>
      <c r="K206" s="116" t="str">
        <f t="shared" si="137"/>
        <v>OFF</v>
      </c>
      <c r="L206" s="116" t="str">
        <f t="shared" si="137"/>
        <v>OFF</v>
      </c>
      <c r="M206" s="116">
        <f t="shared" si="137"/>
        <v>0.91666666666666674</v>
      </c>
      <c r="N206" s="116">
        <f t="shared" si="137"/>
        <v>0.91666666666666674</v>
      </c>
      <c r="O206" s="116">
        <f t="shared" si="137"/>
        <v>0.91666666666666674</v>
      </c>
      <c r="P206" s="116">
        <f t="shared" si="137"/>
        <v>0.91666666666666674</v>
      </c>
      <c r="Q206" s="86">
        <f t="shared" si="137"/>
        <v>0.91666666666666674</v>
      </c>
      <c r="R206" s="116" t="str">
        <f t="shared" si="137"/>
        <v>OFF</v>
      </c>
      <c r="S206" s="116" t="str">
        <f t="shared" si="137"/>
        <v>OFF</v>
      </c>
      <c r="T206" s="116">
        <f t="shared" si="137"/>
        <v>0.91666666666666674</v>
      </c>
      <c r="U206" s="116">
        <f t="shared" si="137"/>
        <v>0.91666666666666674</v>
      </c>
      <c r="V206" s="116">
        <f t="shared" si="137"/>
        <v>0.91666666666666674</v>
      </c>
      <c r="W206" s="72">
        <f t="shared" si="137"/>
        <v>0.91666666666666674</v>
      </c>
      <c r="X206" s="72">
        <f t="shared" si="16"/>
        <v>0.91666666666666674</v>
      </c>
    </row>
    <row r="207" spans="1:24" x14ac:dyDescent="0.2">
      <c r="A207" s="71" t="str">
        <f t="shared" si="47"/>
        <v>Stephanie Ancheta</v>
      </c>
      <c r="B207" s="29" t="str">
        <f>IFERROR(VLOOKUP(A207,Masterlist!B:D,3,),"-")</f>
        <v>Eduardo Monterde Jr</v>
      </c>
      <c r="C207" s="116">
        <f t="shared" ref="C207:W207" si="138">IFERROR(IF(C62 = "PTO", "PTO",C62+"12:00"),"OFF")</f>
        <v>0.91666666666666674</v>
      </c>
      <c r="D207" s="116" t="str">
        <f t="shared" si="138"/>
        <v>OFF</v>
      </c>
      <c r="E207" s="116" t="str">
        <f t="shared" si="138"/>
        <v>OFF</v>
      </c>
      <c r="F207" s="116">
        <f t="shared" si="138"/>
        <v>0.91666666666666674</v>
      </c>
      <c r="G207" s="116">
        <f t="shared" si="138"/>
        <v>0.91666666666666674</v>
      </c>
      <c r="H207" s="116">
        <f t="shared" si="138"/>
        <v>0.91666666666666674</v>
      </c>
      <c r="I207" s="116">
        <f t="shared" si="138"/>
        <v>0.91666666666666674</v>
      </c>
      <c r="J207" s="86">
        <f t="shared" si="138"/>
        <v>0.91666666666666674</v>
      </c>
      <c r="K207" s="116" t="str">
        <f t="shared" si="138"/>
        <v>OFF</v>
      </c>
      <c r="L207" s="116" t="str">
        <f t="shared" si="138"/>
        <v>OFF</v>
      </c>
      <c r="M207" s="116">
        <f t="shared" si="138"/>
        <v>0.91666666666666674</v>
      </c>
      <c r="N207" s="116">
        <f t="shared" si="138"/>
        <v>0.91666666666666674</v>
      </c>
      <c r="O207" s="116">
        <f t="shared" si="138"/>
        <v>0.91666666666666674</v>
      </c>
      <c r="P207" s="116">
        <f t="shared" si="138"/>
        <v>0.91666666666666674</v>
      </c>
      <c r="Q207" s="86">
        <f t="shared" si="138"/>
        <v>0.91666666666666674</v>
      </c>
      <c r="R207" s="116" t="str">
        <f t="shared" si="138"/>
        <v>OFF</v>
      </c>
      <c r="S207" s="116" t="str">
        <f t="shared" si="138"/>
        <v>OFF</v>
      </c>
      <c r="T207" s="116">
        <f t="shared" si="138"/>
        <v>0.91666666666666674</v>
      </c>
      <c r="U207" s="116">
        <f t="shared" si="138"/>
        <v>0.91666666666666674</v>
      </c>
      <c r="V207" s="116">
        <f t="shared" si="138"/>
        <v>0.91666666666666674</v>
      </c>
      <c r="W207" s="72">
        <f t="shared" si="138"/>
        <v>0.91666666666666674</v>
      </c>
      <c r="X207" s="72">
        <f t="shared" si="16"/>
        <v>0.91666666666666674</v>
      </c>
    </row>
    <row r="208" spans="1:24" x14ac:dyDescent="0.2">
      <c r="A208" s="71" t="str">
        <f t="shared" si="47"/>
        <v>Eunice Jael Ruedas</v>
      </c>
      <c r="B208" s="29" t="str">
        <f>IFERROR(VLOOKUP(A208,Masterlist!B:D,3,),"-")</f>
        <v>Eduardo Monterde Jr</v>
      </c>
      <c r="C208" s="116">
        <f t="shared" ref="C208:W208" si="139">IFERROR(IF(C63 = "PTO", "PTO",C63+"12:00"),"OFF")</f>
        <v>0.91666666666666674</v>
      </c>
      <c r="D208" s="116" t="str">
        <f t="shared" si="139"/>
        <v>OFF</v>
      </c>
      <c r="E208" s="116" t="str">
        <f t="shared" si="139"/>
        <v>OFF</v>
      </c>
      <c r="F208" s="116">
        <f t="shared" si="139"/>
        <v>0.91666666666666674</v>
      </c>
      <c r="G208" s="116">
        <f t="shared" si="139"/>
        <v>0.91666666666666674</v>
      </c>
      <c r="H208" s="116">
        <f t="shared" si="139"/>
        <v>0.91666666666666674</v>
      </c>
      <c r="I208" s="116">
        <f t="shared" si="139"/>
        <v>0.91666666666666674</v>
      </c>
      <c r="J208" s="86">
        <f t="shared" si="139"/>
        <v>0.91666666666666674</v>
      </c>
      <c r="K208" s="116" t="str">
        <f t="shared" si="139"/>
        <v>OFF</v>
      </c>
      <c r="L208" s="116" t="str">
        <f t="shared" si="139"/>
        <v>OFF</v>
      </c>
      <c r="M208" s="116">
        <f t="shared" si="139"/>
        <v>0.91666666666666674</v>
      </c>
      <c r="N208" s="116">
        <f t="shared" si="139"/>
        <v>0.91666666666666674</v>
      </c>
      <c r="O208" s="116">
        <f t="shared" si="139"/>
        <v>0.91666666666666674</v>
      </c>
      <c r="P208" s="116">
        <f t="shared" si="139"/>
        <v>0.91666666666666674</v>
      </c>
      <c r="Q208" s="86">
        <f t="shared" si="139"/>
        <v>0.91666666666666674</v>
      </c>
      <c r="R208" s="116" t="str">
        <f t="shared" si="139"/>
        <v>OFF</v>
      </c>
      <c r="S208" s="116" t="str">
        <f t="shared" si="139"/>
        <v>OFF</v>
      </c>
      <c r="T208" s="116">
        <f t="shared" si="139"/>
        <v>0.91666666666666674</v>
      </c>
      <c r="U208" s="116">
        <f t="shared" si="139"/>
        <v>0.91666666666666674</v>
      </c>
      <c r="V208" s="116">
        <f t="shared" si="139"/>
        <v>0.91666666666666674</v>
      </c>
      <c r="W208" s="72">
        <f t="shared" si="139"/>
        <v>0.91666666666666674</v>
      </c>
      <c r="X208" s="72">
        <f t="shared" si="16"/>
        <v>0.91666666666666674</v>
      </c>
    </row>
    <row r="209" spans="1:24" x14ac:dyDescent="0.2">
      <c r="A209" s="71" t="str">
        <f t="shared" si="47"/>
        <v>Marnie David</v>
      </c>
      <c r="B209" s="29" t="str">
        <f>IFERROR(VLOOKUP(A209,Masterlist!B:D,3,),"-")</f>
        <v>Lyndon Pastorin</v>
      </c>
      <c r="C209" s="116">
        <f t="shared" ref="C209:W209" si="140">IFERROR(IF(C64 = "PTO", "PTO",C64+"12:00"),"OFF")</f>
        <v>0.91666666666666674</v>
      </c>
      <c r="D209" s="116" t="str">
        <f t="shared" si="140"/>
        <v>OFF</v>
      </c>
      <c r="E209" s="116" t="str">
        <f t="shared" si="140"/>
        <v>OFF</v>
      </c>
      <c r="F209" s="116">
        <f t="shared" si="140"/>
        <v>0.91666666666666674</v>
      </c>
      <c r="G209" s="116">
        <f t="shared" si="140"/>
        <v>0.91666666666666674</v>
      </c>
      <c r="H209" s="116">
        <f t="shared" si="140"/>
        <v>0.91666666666666674</v>
      </c>
      <c r="I209" s="116">
        <f t="shared" si="140"/>
        <v>0.91666666666666674</v>
      </c>
      <c r="J209" s="86">
        <f t="shared" si="140"/>
        <v>0.91666666666666674</v>
      </c>
      <c r="K209" s="116" t="str">
        <f t="shared" si="140"/>
        <v>OFF</v>
      </c>
      <c r="L209" s="116" t="str">
        <f t="shared" si="140"/>
        <v>OFF</v>
      </c>
      <c r="M209" s="116">
        <f t="shared" si="140"/>
        <v>0.91666666666666674</v>
      </c>
      <c r="N209" s="116">
        <f t="shared" si="140"/>
        <v>0.91666666666666674</v>
      </c>
      <c r="O209" s="116">
        <f t="shared" si="140"/>
        <v>0.91666666666666674</v>
      </c>
      <c r="P209" s="116">
        <f t="shared" si="140"/>
        <v>0.91666666666666674</v>
      </c>
      <c r="Q209" s="86">
        <f t="shared" si="140"/>
        <v>0.91666666666666674</v>
      </c>
      <c r="R209" s="116" t="str">
        <f t="shared" si="140"/>
        <v>OFF</v>
      </c>
      <c r="S209" s="116" t="str">
        <f t="shared" si="140"/>
        <v>OFF</v>
      </c>
      <c r="T209" s="116">
        <f t="shared" si="140"/>
        <v>0.91666666666666674</v>
      </c>
      <c r="U209" s="116">
        <f t="shared" si="140"/>
        <v>0.91666666666666674</v>
      </c>
      <c r="V209" s="116">
        <f t="shared" si="140"/>
        <v>0.91666666666666674</v>
      </c>
      <c r="W209" s="72">
        <f t="shared" si="140"/>
        <v>0.91666666666666674</v>
      </c>
      <c r="X209" s="72">
        <f t="shared" si="16"/>
        <v>0.91666666666666674</v>
      </c>
    </row>
    <row r="210" spans="1:24" x14ac:dyDescent="0.2">
      <c r="A210" s="71" t="str">
        <f t="shared" si="47"/>
        <v>Marilyn Victorino</v>
      </c>
      <c r="B210" s="29" t="str">
        <f>IFERROR(VLOOKUP(A210,Masterlist!B:D,3,),"-")</f>
        <v>Lyndon Pastorin</v>
      </c>
      <c r="C210" s="116">
        <f t="shared" ref="C210:W210" si="141">IFERROR(IF(C65 = "PTO", "PTO",C65+"12:00"),"OFF")</f>
        <v>0.91666666666666674</v>
      </c>
      <c r="D210" s="116" t="str">
        <f t="shared" si="141"/>
        <v>OFF</v>
      </c>
      <c r="E210" s="116" t="str">
        <f t="shared" si="141"/>
        <v>OFF</v>
      </c>
      <c r="F210" s="116">
        <f t="shared" si="141"/>
        <v>0.91666666666666674</v>
      </c>
      <c r="G210" s="116">
        <f t="shared" si="141"/>
        <v>0.91666666666666674</v>
      </c>
      <c r="H210" s="116">
        <f t="shared" si="141"/>
        <v>0.91666666666666674</v>
      </c>
      <c r="I210" s="116">
        <f t="shared" si="141"/>
        <v>0.91666666666666674</v>
      </c>
      <c r="J210" s="86">
        <f t="shared" si="141"/>
        <v>0.91666666666666674</v>
      </c>
      <c r="K210" s="116" t="str">
        <f t="shared" si="141"/>
        <v>OFF</v>
      </c>
      <c r="L210" s="116" t="str">
        <f t="shared" si="141"/>
        <v>OFF</v>
      </c>
      <c r="M210" s="116">
        <f t="shared" si="141"/>
        <v>0.91666666666666674</v>
      </c>
      <c r="N210" s="116">
        <f t="shared" si="141"/>
        <v>0.91666666666666674</v>
      </c>
      <c r="O210" s="116">
        <f t="shared" si="141"/>
        <v>0.91666666666666674</v>
      </c>
      <c r="P210" s="116">
        <f t="shared" si="141"/>
        <v>0.91666666666666674</v>
      </c>
      <c r="Q210" s="86">
        <f t="shared" si="141"/>
        <v>0.91666666666666674</v>
      </c>
      <c r="R210" s="116" t="str">
        <f t="shared" si="141"/>
        <v>OFF</v>
      </c>
      <c r="S210" s="116" t="str">
        <f t="shared" si="141"/>
        <v>OFF</v>
      </c>
      <c r="T210" s="116">
        <f t="shared" si="141"/>
        <v>0.91666666666666674</v>
      </c>
      <c r="U210" s="116">
        <f t="shared" si="141"/>
        <v>0.91666666666666674</v>
      </c>
      <c r="V210" s="116">
        <f t="shared" si="141"/>
        <v>0.91666666666666674</v>
      </c>
      <c r="W210" s="72">
        <f t="shared" si="141"/>
        <v>0.91666666666666674</v>
      </c>
      <c r="X210" s="72">
        <f t="shared" si="16"/>
        <v>0.91666666666666674</v>
      </c>
    </row>
    <row r="211" spans="1:24" x14ac:dyDescent="0.2">
      <c r="A211" s="71" t="str">
        <f t="shared" si="47"/>
        <v>Rufino Cateron</v>
      </c>
      <c r="B211" s="29" t="str">
        <f>IFERROR(VLOOKUP(A211,Masterlist!B:D,3,),"-")</f>
        <v>Lyndon Pastorin</v>
      </c>
      <c r="C211" s="116">
        <f t="shared" ref="C211:W211" si="142">IFERROR(IF(C66 = "PTO", "PTO",C66+"12:00"),"OFF")</f>
        <v>0.91666666666666674</v>
      </c>
      <c r="D211" s="116" t="str">
        <f t="shared" si="142"/>
        <v>OFF</v>
      </c>
      <c r="E211" s="116" t="str">
        <f t="shared" si="142"/>
        <v>OFF</v>
      </c>
      <c r="F211" s="116">
        <f t="shared" si="142"/>
        <v>0.91666666666666674</v>
      </c>
      <c r="G211" s="116">
        <f t="shared" si="142"/>
        <v>0.91666666666666674</v>
      </c>
      <c r="H211" s="116">
        <f t="shared" si="142"/>
        <v>0.91666666666666674</v>
      </c>
      <c r="I211" s="116">
        <f t="shared" si="142"/>
        <v>0.91666666666666674</v>
      </c>
      <c r="J211" s="86">
        <f t="shared" si="142"/>
        <v>0.91666666666666674</v>
      </c>
      <c r="K211" s="116" t="str">
        <f t="shared" si="142"/>
        <v>OFF</v>
      </c>
      <c r="L211" s="116" t="str">
        <f t="shared" si="142"/>
        <v>OFF</v>
      </c>
      <c r="M211" s="116">
        <f t="shared" si="142"/>
        <v>0.91666666666666674</v>
      </c>
      <c r="N211" s="116">
        <f t="shared" si="142"/>
        <v>0.91666666666666674</v>
      </c>
      <c r="O211" s="116">
        <f t="shared" si="142"/>
        <v>0.91666666666666674</v>
      </c>
      <c r="P211" s="116">
        <f t="shared" si="142"/>
        <v>0.91666666666666674</v>
      </c>
      <c r="Q211" s="86">
        <f t="shared" si="142"/>
        <v>0.91666666666666674</v>
      </c>
      <c r="R211" s="116" t="str">
        <f t="shared" si="142"/>
        <v>OFF</v>
      </c>
      <c r="S211" s="116" t="str">
        <f t="shared" si="142"/>
        <v>OFF</v>
      </c>
      <c r="T211" s="116">
        <f t="shared" si="142"/>
        <v>0.91666666666666674</v>
      </c>
      <c r="U211" s="116">
        <f t="shared" si="142"/>
        <v>0.91666666666666674</v>
      </c>
      <c r="V211" s="116">
        <f t="shared" si="142"/>
        <v>0.91666666666666674</v>
      </c>
      <c r="W211" s="72">
        <f t="shared" si="142"/>
        <v>0.91666666666666674</v>
      </c>
      <c r="X211" s="72">
        <f t="shared" si="16"/>
        <v>0.91666666666666674</v>
      </c>
    </row>
    <row r="212" spans="1:24" x14ac:dyDescent="0.2">
      <c r="A212" s="71" t="str">
        <f t="shared" si="47"/>
        <v>Valerie San Vicente</v>
      </c>
      <c r="B212" s="29" t="str">
        <f>IFERROR(VLOOKUP(A212,Masterlist!B:D,3,),"-")</f>
        <v>Lyndon Pastorin</v>
      </c>
      <c r="C212" s="116">
        <f t="shared" ref="C212:W212" si="143">IFERROR(IF(C67 = "PTO", "PTO",C67+"12:00"),"OFF")</f>
        <v>0.91666666666666674</v>
      </c>
      <c r="D212" s="116" t="str">
        <f t="shared" si="143"/>
        <v>OFF</v>
      </c>
      <c r="E212" s="116" t="str">
        <f t="shared" si="143"/>
        <v>OFF</v>
      </c>
      <c r="F212" s="116">
        <f t="shared" si="143"/>
        <v>0.91666666666666674</v>
      </c>
      <c r="G212" s="116">
        <f t="shared" si="143"/>
        <v>0.91666666666666674</v>
      </c>
      <c r="H212" s="116">
        <f t="shared" si="143"/>
        <v>0.91666666666666674</v>
      </c>
      <c r="I212" s="116">
        <f t="shared" si="143"/>
        <v>0.91666666666666674</v>
      </c>
      <c r="J212" s="86">
        <f t="shared" si="143"/>
        <v>0.91666666666666674</v>
      </c>
      <c r="K212" s="116" t="str">
        <f t="shared" si="143"/>
        <v>OFF</v>
      </c>
      <c r="L212" s="116" t="str">
        <f t="shared" si="143"/>
        <v>OFF</v>
      </c>
      <c r="M212" s="116">
        <f t="shared" si="143"/>
        <v>0.91666666666666674</v>
      </c>
      <c r="N212" s="116">
        <f t="shared" si="143"/>
        <v>0.91666666666666674</v>
      </c>
      <c r="O212" s="116">
        <f t="shared" si="143"/>
        <v>0.91666666666666674</v>
      </c>
      <c r="P212" s="116">
        <f t="shared" si="143"/>
        <v>0.91666666666666674</v>
      </c>
      <c r="Q212" s="86">
        <f t="shared" si="143"/>
        <v>0.91666666666666674</v>
      </c>
      <c r="R212" s="116" t="str">
        <f t="shared" si="143"/>
        <v>OFF</v>
      </c>
      <c r="S212" s="116" t="str">
        <f t="shared" si="143"/>
        <v>OFF</v>
      </c>
      <c r="T212" s="116">
        <f t="shared" si="143"/>
        <v>0.91666666666666674</v>
      </c>
      <c r="U212" s="116">
        <f t="shared" si="143"/>
        <v>0.91666666666666674</v>
      </c>
      <c r="V212" s="116">
        <f t="shared" si="143"/>
        <v>0.91666666666666674</v>
      </c>
      <c r="W212" s="72">
        <f t="shared" si="143"/>
        <v>0.91666666666666674</v>
      </c>
      <c r="X212" s="72">
        <f t="shared" si="16"/>
        <v>0.91666666666666674</v>
      </c>
    </row>
    <row r="213" spans="1:24" x14ac:dyDescent="0.2">
      <c r="A213" s="71" t="str">
        <f t="shared" ref="A213:A244" si="144">IF(B68="","",B68)</f>
        <v>Mary Anne Sermonia</v>
      </c>
      <c r="B213" s="29" t="str">
        <f>IFERROR(VLOOKUP(A213,Masterlist!B:D,3,),"-")</f>
        <v>Lyndon Pastorin</v>
      </c>
      <c r="C213" s="116">
        <f t="shared" ref="C213:W213" si="145">IFERROR(IF(C68 = "PTO", "PTO",C68+"12:00"),"OFF")</f>
        <v>0.91666666666666674</v>
      </c>
      <c r="D213" s="116" t="str">
        <f t="shared" si="145"/>
        <v>OFF</v>
      </c>
      <c r="E213" s="116" t="str">
        <f t="shared" si="145"/>
        <v>OFF</v>
      </c>
      <c r="F213" s="116">
        <f t="shared" si="145"/>
        <v>0.91666666666666674</v>
      </c>
      <c r="G213" s="116">
        <f t="shared" si="145"/>
        <v>0.91666666666666674</v>
      </c>
      <c r="H213" s="116">
        <f t="shared" si="145"/>
        <v>0.91666666666666674</v>
      </c>
      <c r="I213" s="116">
        <f t="shared" si="145"/>
        <v>0.91666666666666674</v>
      </c>
      <c r="J213" s="86">
        <f t="shared" si="145"/>
        <v>0.91666666666666674</v>
      </c>
      <c r="K213" s="116" t="str">
        <f t="shared" si="145"/>
        <v>OFF</v>
      </c>
      <c r="L213" s="116" t="str">
        <f t="shared" si="145"/>
        <v>OFF</v>
      </c>
      <c r="M213" s="116">
        <f t="shared" si="145"/>
        <v>0.91666666666666674</v>
      </c>
      <c r="N213" s="116">
        <f t="shared" si="145"/>
        <v>0.91666666666666674</v>
      </c>
      <c r="O213" s="116">
        <f t="shared" si="145"/>
        <v>0.91666666666666674</v>
      </c>
      <c r="P213" s="116">
        <f t="shared" si="145"/>
        <v>0.91666666666666674</v>
      </c>
      <c r="Q213" s="86">
        <f t="shared" si="145"/>
        <v>0.91666666666666674</v>
      </c>
      <c r="R213" s="116" t="str">
        <f t="shared" si="145"/>
        <v>OFF</v>
      </c>
      <c r="S213" s="116" t="str">
        <f t="shared" si="145"/>
        <v>OFF</v>
      </c>
      <c r="T213" s="116">
        <f t="shared" si="145"/>
        <v>0.91666666666666674</v>
      </c>
      <c r="U213" s="116">
        <f t="shared" si="145"/>
        <v>0.91666666666666674</v>
      </c>
      <c r="V213" s="116">
        <f t="shared" si="145"/>
        <v>0.91666666666666674</v>
      </c>
      <c r="W213" s="72">
        <f t="shared" si="145"/>
        <v>0.91666666666666674</v>
      </c>
      <c r="X213" s="72">
        <f t="shared" si="16"/>
        <v>0.91666666666666674</v>
      </c>
    </row>
    <row r="214" spans="1:24" x14ac:dyDescent="0.2">
      <c r="A214" s="71" t="str">
        <f t="shared" si="144"/>
        <v>Vhart Galagnao</v>
      </c>
      <c r="B214" s="29" t="str">
        <f>IFERROR(VLOOKUP(A214,Masterlist!B:D,3,),"-")</f>
        <v>Lyndon Pastorin</v>
      </c>
      <c r="C214" s="116">
        <f t="shared" ref="C214:W214" si="146">IFERROR(IF(C69 = "PTO", "PTO",C69+"12:00"),"OFF")</f>
        <v>0.91666666666666674</v>
      </c>
      <c r="D214" s="116" t="str">
        <f t="shared" si="146"/>
        <v>OFF</v>
      </c>
      <c r="E214" s="116" t="str">
        <f t="shared" si="146"/>
        <v>OFF</v>
      </c>
      <c r="F214" s="116">
        <f t="shared" si="146"/>
        <v>0.91666666666666674</v>
      </c>
      <c r="G214" s="116">
        <f t="shared" si="146"/>
        <v>0.91666666666666674</v>
      </c>
      <c r="H214" s="116">
        <f t="shared" si="146"/>
        <v>0.91666666666666674</v>
      </c>
      <c r="I214" s="116">
        <f t="shared" si="146"/>
        <v>0.91666666666666674</v>
      </c>
      <c r="J214" s="86">
        <f t="shared" si="146"/>
        <v>0.91666666666666674</v>
      </c>
      <c r="K214" s="116" t="str">
        <f t="shared" si="146"/>
        <v>OFF</v>
      </c>
      <c r="L214" s="116" t="str">
        <f t="shared" si="146"/>
        <v>OFF</v>
      </c>
      <c r="M214" s="116">
        <f t="shared" si="146"/>
        <v>0.91666666666666674</v>
      </c>
      <c r="N214" s="116">
        <f t="shared" si="146"/>
        <v>0.91666666666666674</v>
      </c>
      <c r="O214" s="116">
        <f t="shared" si="146"/>
        <v>0.91666666666666674</v>
      </c>
      <c r="P214" s="116">
        <f t="shared" si="146"/>
        <v>0.91666666666666674</v>
      </c>
      <c r="Q214" s="86">
        <f t="shared" si="146"/>
        <v>0.91666666666666674</v>
      </c>
      <c r="R214" s="116" t="str">
        <f t="shared" si="146"/>
        <v>OFF</v>
      </c>
      <c r="S214" s="116" t="str">
        <f t="shared" si="146"/>
        <v>OFF</v>
      </c>
      <c r="T214" s="116">
        <f t="shared" si="146"/>
        <v>0.91666666666666674</v>
      </c>
      <c r="U214" s="116">
        <f t="shared" si="146"/>
        <v>0.91666666666666674</v>
      </c>
      <c r="V214" s="116">
        <f t="shared" si="146"/>
        <v>0.91666666666666674</v>
      </c>
      <c r="W214" s="72">
        <f t="shared" si="146"/>
        <v>0.91666666666666674</v>
      </c>
      <c r="X214" s="72">
        <f t="shared" ref="X214:X248" si="147">IFERROR(MODE(Q214:W214),"-")</f>
        <v>0.91666666666666674</v>
      </c>
    </row>
    <row r="215" spans="1:24" x14ac:dyDescent="0.2">
      <c r="A215" s="71" t="str">
        <f t="shared" si="144"/>
        <v>Rizel De Guzman</v>
      </c>
      <c r="B215" s="29" t="str">
        <f>IFERROR(VLOOKUP(A215,Masterlist!B:D,3,),"-")</f>
        <v>Henry John Ferrer</v>
      </c>
      <c r="C215" s="116">
        <f t="shared" ref="C215:W215" si="148">IFERROR(IF(C70 = "PTO", "PTO",C70+"12:00"),"OFF")</f>
        <v>0.91666666666666674</v>
      </c>
      <c r="D215" s="116" t="str">
        <f t="shared" si="148"/>
        <v>OFF</v>
      </c>
      <c r="E215" s="116" t="str">
        <f t="shared" si="148"/>
        <v>OFF</v>
      </c>
      <c r="F215" s="116">
        <f t="shared" si="148"/>
        <v>0.91666666666666674</v>
      </c>
      <c r="G215" s="116">
        <f t="shared" si="148"/>
        <v>0.91666666666666674</v>
      </c>
      <c r="H215" s="116">
        <f t="shared" si="148"/>
        <v>0.91666666666666674</v>
      </c>
      <c r="I215" s="116">
        <f t="shared" si="148"/>
        <v>0.91666666666666674</v>
      </c>
      <c r="J215" s="86">
        <f t="shared" si="148"/>
        <v>0.91666666666666674</v>
      </c>
      <c r="K215" s="116" t="str">
        <f t="shared" si="148"/>
        <v>OFF</v>
      </c>
      <c r="L215" s="116" t="str">
        <f t="shared" si="148"/>
        <v>OFF</v>
      </c>
      <c r="M215" s="116">
        <f t="shared" si="148"/>
        <v>0.91666666666666674</v>
      </c>
      <c r="N215" s="116">
        <f t="shared" si="148"/>
        <v>0.91666666666666674</v>
      </c>
      <c r="O215" s="116">
        <f t="shared" si="148"/>
        <v>0.91666666666666674</v>
      </c>
      <c r="P215" s="116">
        <f t="shared" si="148"/>
        <v>0.91666666666666674</v>
      </c>
      <c r="Q215" s="86">
        <f t="shared" si="148"/>
        <v>0.91666666666666674</v>
      </c>
      <c r="R215" s="116" t="str">
        <f t="shared" si="148"/>
        <v>OFF</v>
      </c>
      <c r="S215" s="116" t="str">
        <f t="shared" si="148"/>
        <v>OFF</v>
      </c>
      <c r="T215" s="116">
        <f t="shared" si="148"/>
        <v>0.91666666666666674</v>
      </c>
      <c r="U215" s="116">
        <f t="shared" si="148"/>
        <v>0.91666666666666674</v>
      </c>
      <c r="V215" s="116">
        <f t="shared" si="148"/>
        <v>0.91666666666666674</v>
      </c>
      <c r="W215" s="72">
        <f t="shared" si="148"/>
        <v>0.91666666666666674</v>
      </c>
      <c r="X215" s="72">
        <f t="shared" si="147"/>
        <v>0.91666666666666674</v>
      </c>
    </row>
    <row r="216" spans="1:24" x14ac:dyDescent="0.2">
      <c r="A216" s="71" t="str">
        <f t="shared" si="144"/>
        <v>Christopher Tolentino</v>
      </c>
      <c r="B216" s="29" t="str">
        <f>IFERROR(VLOOKUP(A216,Masterlist!B:D,3,),"-")</f>
        <v>Henry John Ferrer</v>
      </c>
      <c r="C216" s="116">
        <f t="shared" ref="C216:W216" si="149">IFERROR(IF(C71 = "PTO", "PTO",C71+"12:00"),"OFF")</f>
        <v>0.91666666666666674</v>
      </c>
      <c r="D216" s="116" t="str">
        <f t="shared" si="149"/>
        <v>OFF</v>
      </c>
      <c r="E216" s="116" t="str">
        <f t="shared" si="149"/>
        <v>OFF</v>
      </c>
      <c r="F216" s="116">
        <f t="shared" si="149"/>
        <v>0.91666666666666674</v>
      </c>
      <c r="G216" s="116">
        <f t="shared" si="149"/>
        <v>0.91666666666666674</v>
      </c>
      <c r="H216" s="116">
        <f t="shared" si="149"/>
        <v>0.91666666666666674</v>
      </c>
      <c r="I216" s="116">
        <f t="shared" si="149"/>
        <v>0.91666666666666674</v>
      </c>
      <c r="J216" s="86">
        <f t="shared" si="149"/>
        <v>0.91666666666666674</v>
      </c>
      <c r="K216" s="116" t="str">
        <f t="shared" si="149"/>
        <v>OFF</v>
      </c>
      <c r="L216" s="116" t="str">
        <f t="shared" si="149"/>
        <v>OFF</v>
      </c>
      <c r="M216" s="116">
        <f t="shared" si="149"/>
        <v>0.91666666666666674</v>
      </c>
      <c r="N216" s="116">
        <f t="shared" si="149"/>
        <v>0.91666666666666674</v>
      </c>
      <c r="O216" s="116">
        <f t="shared" si="149"/>
        <v>0.91666666666666674</v>
      </c>
      <c r="P216" s="116">
        <f t="shared" si="149"/>
        <v>0.91666666666666674</v>
      </c>
      <c r="Q216" s="86">
        <f t="shared" si="149"/>
        <v>0.91666666666666674</v>
      </c>
      <c r="R216" s="116" t="str">
        <f t="shared" si="149"/>
        <v>OFF</v>
      </c>
      <c r="S216" s="116" t="str">
        <f t="shared" si="149"/>
        <v>OFF</v>
      </c>
      <c r="T216" s="116">
        <f t="shared" si="149"/>
        <v>0.91666666666666674</v>
      </c>
      <c r="U216" s="116">
        <f t="shared" si="149"/>
        <v>0.91666666666666674</v>
      </c>
      <c r="V216" s="116">
        <f t="shared" si="149"/>
        <v>0.91666666666666674</v>
      </c>
      <c r="W216" s="72">
        <f t="shared" si="149"/>
        <v>0.91666666666666674</v>
      </c>
      <c r="X216" s="72">
        <f t="shared" si="147"/>
        <v>0.91666666666666674</v>
      </c>
    </row>
    <row r="217" spans="1:24" x14ac:dyDescent="0.2">
      <c r="A217" s="71" t="str">
        <f t="shared" si="144"/>
        <v>Conrado Abricanan</v>
      </c>
      <c r="B217" s="29" t="str">
        <f>IFERROR(VLOOKUP(A217,Masterlist!B:D,3,),"-")</f>
        <v>-</v>
      </c>
      <c r="C217" s="116" t="str">
        <f t="shared" ref="C217:W217" si="150">IFERROR(IF(C72 = "PTO", "PTO",C72+"12:00"),"OFF")</f>
        <v>OFF</v>
      </c>
      <c r="D217" s="116" t="str">
        <f t="shared" si="150"/>
        <v>OFF</v>
      </c>
      <c r="E217" s="116" t="str">
        <f t="shared" si="150"/>
        <v>OFF</v>
      </c>
      <c r="F217" s="116" t="str">
        <f t="shared" si="150"/>
        <v>OFF</v>
      </c>
      <c r="G217" s="116" t="str">
        <f t="shared" si="150"/>
        <v>OFF</v>
      </c>
      <c r="H217" s="116" t="str">
        <f t="shared" si="150"/>
        <v>OFF</v>
      </c>
      <c r="I217" s="116" t="str">
        <f t="shared" si="150"/>
        <v>OFF</v>
      </c>
      <c r="J217" s="86" t="str">
        <f t="shared" si="150"/>
        <v>OFF</v>
      </c>
      <c r="K217" s="116" t="str">
        <f t="shared" si="150"/>
        <v>OFF</v>
      </c>
      <c r="L217" s="116" t="str">
        <f t="shared" si="150"/>
        <v>OFF</v>
      </c>
      <c r="M217" s="116" t="str">
        <f t="shared" si="150"/>
        <v>OFF</v>
      </c>
      <c r="N217" s="116" t="str">
        <f t="shared" si="150"/>
        <v>OFF</v>
      </c>
      <c r="O217" s="116" t="str">
        <f t="shared" si="150"/>
        <v>OFF</v>
      </c>
      <c r="P217" s="116" t="str">
        <f t="shared" si="150"/>
        <v>OFF</v>
      </c>
      <c r="Q217" s="86" t="str">
        <f t="shared" si="150"/>
        <v>OFF</v>
      </c>
      <c r="R217" s="116" t="str">
        <f t="shared" si="150"/>
        <v>OFF</v>
      </c>
      <c r="S217" s="116" t="str">
        <f t="shared" si="150"/>
        <v>OFF</v>
      </c>
      <c r="T217" s="116" t="str">
        <f t="shared" si="150"/>
        <v>OFF</v>
      </c>
      <c r="U217" s="116" t="str">
        <f t="shared" si="150"/>
        <v>OFF</v>
      </c>
      <c r="V217" s="116" t="str">
        <f t="shared" si="150"/>
        <v>OFF</v>
      </c>
      <c r="W217" s="72" t="str">
        <f t="shared" si="150"/>
        <v>OFF</v>
      </c>
      <c r="X217" s="72" t="str">
        <f t="shared" si="147"/>
        <v>-</v>
      </c>
    </row>
    <row r="218" spans="1:24" x14ac:dyDescent="0.2">
      <c r="A218" s="71" t="str">
        <f t="shared" si="144"/>
        <v>Camalludin Mikunug</v>
      </c>
      <c r="B218" s="29" t="str">
        <f>IFERROR(VLOOKUP(A218,Masterlist!B:D,3,),"-")</f>
        <v>Anthony Aries Osacia</v>
      </c>
      <c r="C218" s="116">
        <f t="shared" ref="C218:W218" si="151">IFERROR(IF(C73 = "PTO", "PTO",C73+"12:00"),"OFF")</f>
        <v>0.91666666666666674</v>
      </c>
      <c r="D218" s="116" t="str">
        <f t="shared" si="151"/>
        <v>OFF</v>
      </c>
      <c r="E218" s="116" t="str">
        <f t="shared" si="151"/>
        <v>OFF</v>
      </c>
      <c r="F218" s="116">
        <f t="shared" si="151"/>
        <v>0.91666666666666674</v>
      </c>
      <c r="G218" s="116">
        <f t="shared" si="151"/>
        <v>0.91666666666666674</v>
      </c>
      <c r="H218" s="116">
        <f t="shared" si="151"/>
        <v>0.91666666666666674</v>
      </c>
      <c r="I218" s="116">
        <f t="shared" si="151"/>
        <v>0.91666666666666674</v>
      </c>
      <c r="J218" s="86">
        <f t="shared" si="151"/>
        <v>0.91666666666666674</v>
      </c>
      <c r="K218" s="116" t="str">
        <f t="shared" si="151"/>
        <v>OFF</v>
      </c>
      <c r="L218" s="116" t="str">
        <f t="shared" si="151"/>
        <v>OFF</v>
      </c>
      <c r="M218" s="116">
        <f t="shared" si="151"/>
        <v>0.91666666666666674</v>
      </c>
      <c r="N218" s="116">
        <f t="shared" si="151"/>
        <v>0.91666666666666674</v>
      </c>
      <c r="O218" s="116">
        <f t="shared" si="151"/>
        <v>0.91666666666666674</v>
      </c>
      <c r="P218" s="116">
        <f t="shared" si="151"/>
        <v>0.91666666666666674</v>
      </c>
      <c r="Q218" s="86">
        <f t="shared" si="151"/>
        <v>0.91666666666666674</v>
      </c>
      <c r="R218" s="116" t="str">
        <f t="shared" si="151"/>
        <v>OFF</v>
      </c>
      <c r="S218" s="116" t="str">
        <f t="shared" si="151"/>
        <v>OFF</v>
      </c>
      <c r="T218" s="116">
        <f t="shared" si="151"/>
        <v>0.91666666666666674</v>
      </c>
      <c r="U218" s="116">
        <f t="shared" si="151"/>
        <v>0.91666666666666674</v>
      </c>
      <c r="V218" s="116">
        <f t="shared" si="151"/>
        <v>0.91666666666666674</v>
      </c>
      <c r="W218" s="72">
        <f t="shared" si="151"/>
        <v>0.91666666666666674</v>
      </c>
      <c r="X218" s="72">
        <f t="shared" si="147"/>
        <v>0.91666666666666674</v>
      </c>
    </row>
    <row r="219" spans="1:24" x14ac:dyDescent="0.2">
      <c r="A219" s="71" t="str">
        <f t="shared" si="144"/>
        <v>Marjorie Naval</v>
      </c>
      <c r="B219" s="29" t="str">
        <f>IFERROR(VLOOKUP(A219,Masterlist!B:D,3,),"-")</f>
        <v>Anthony Aries Osacia</v>
      </c>
      <c r="C219" s="116">
        <f t="shared" ref="C219:W219" si="152">IFERROR(IF(C74 = "PTO", "PTO",C74+"12:00"),"OFF")</f>
        <v>0.91666666666666674</v>
      </c>
      <c r="D219" s="116" t="str">
        <f t="shared" si="152"/>
        <v>OFF</v>
      </c>
      <c r="E219" s="116" t="str">
        <f t="shared" si="152"/>
        <v>OFF</v>
      </c>
      <c r="F219" s="116">
        <f t="shared" si="152"/>
        <v>0.91666666666666674</v>
      </c>
      <c r="G219" s="116">
        <f t="shared" si="152"/>
        <v>0.91666666666666674</v>
      </c>
      <c r="H219" s="116">
        <f t="shared" si="152"/>
        <v>0.91666666666666674</v>
      </c>
      <c r="I219" s="116">
        <f t="shared" si="152"/>
        <v>0.91666666666666674</v>
      </c>
      <c r="J219" s="86">
        <f t="shared" si="152"/>
        <v>0.91666666666666674</v>
      </c>
      <c r="K219" s="116" t="str">
        <f t="shared" si="152"/>
        <v>OFF</v>
      </c>
      <c r="L219" s="116" t="str">
        <f t="shared" si="152"/>
        <v>OFF</v>
      </c>
      <c r="M219" s="116">
        <f t="shared" si="152"/>
        <v>0.91666666666666674</v>
      </c>
      <c r="N219" s="116">
        <f t="shared" si="152"/>
        <v>0.91666666666666674</v>
      </c>
      <c r="O219" s="116">
        <f t="shared" si="152"/>
        <v>0.91666666666666674</v>
      </c>
      <c r="P219" s="116">
        <f t="shared" si="152"/>
        <v>0.91666666666666674</v>
      </c>
      <c r="Q219" s="86">
        <f t="shared" si="152"/>
        <v>0.91666666666666674</v>
      </c>
      <c r="R219" s="116" t="str">
        <f t="shared" si="152"/>
        <v>OFF</v>
      </c>
      <c r="S219" s="116" t="str">
        <f t="shared" si="152"/>
        <v>OFF</v>
      </c>
      <c r="T219" s="116">
        <f t="shared" si="152"/>
        <v>0.91666666666666674</v>
      </c>
      <c r="U219" s="116">
        <f t="shared" si="152"/>
        <v>0.91666666666666674</v>
      </c>
      <c r="V219" s="116">
        <f t="shared" si="152"/>
        <v>0.91666666666666674</v>
      </c>
      <c r="W219" s="72">
        <f t="shared" si="152"/>
        <v>0.91666666666666674</v>
      </c>
      <c r="X219" s="72">
        <f t="shared" si="147"/>
        <v>0.91666666666666674</v>
      </c>
    </row>
    <row r="220" spans="1:24" x14ac:dyDescent="0.2">
      <c r="A220" s="71" t="str">
        <f t="shared" si="144"/>
        <v>Winchell Ann Galotera</v>
      </c>
      <c r="B220" s="29" t="str">
        <f>IFERROR(VLOOKUP(A220,Masterlist!B:D,3,),"-")</f>
        <v>Anthony Aries Osacia</v>
      </c>
      <c r="C220" s="116">
        <f t="shared" ref="C220:W220" si="153">IFERROR(IF(C75 = "PTO", "PTO",C75+"12:00"),"OFF")</f>
        <v>0.91666666666666674</v>
      </c>
      <c r="D220" s="116" t="str">
        <f t="shared" si="153"/>
        <v>OFF</v>
      </c>
      <c r="E220" s="116" t="str">
        <f t="shared" si="153"/>
        <v>OFF</v>
      </c>
      <c r="F220" s="116">
        <f t="shared" si="153"/>
        <v>0.91666666666666674</v>
      </c>
      <c r="G220" s="116">
        <f t="shared" si="153"/>
        <v>0.91666666666666674</v>
      </c>
      <c r="H220" s="116">
        <f t="shared" si="153"/>
        <v>0.91666666666666674</v>
      </c>
      <c r="I220" s="116">
        <f t="shared" si="153"/>
        <v>0.91666666666666674</v>
      </c>
      <c r="J220" s="86">
        <f t="shared" si="153"/>
        <v>0.91666666666666674</v>
      </c>
      <c r="K220" s="116" t="str">
        <f t="shared" si="153"/>
        <v>OFF</v>
      </c>
      <c r="L220" s="116" t="str">
        <f t="shared" si="153"/>
        <v>OFF</v>
      </c>
      <c r="M220" s="116">
        <f t="shared" si="153"/>
        <v>0.91666666666666674</v>
      </c>
      <c r="N220" s="116">
        <f t="shared" si="153"/>
        <v>0.91666666666666674</v>
      </c>
      <c r="O220" s="116">
        <f t="shared" si="153"/>
        <v>0.91666666666666674</v>
      </c>
      <c r="P220" s="116">
        <f t="shared" si="153"/>
        <v>0.91666666666666674</v>
      </c>
      <c r="Q220" s="86">
        <f t="shared" si="153"/>
        <v>0.91666666666666674</v>
      </c>
      <c r="R220" s="116" t="str">
        <f t="shared" si="153"/>
        <v>OFF</v>
      </c>
      <c r="S220" s="116" t="str">
        <f t="shared" si="153"/>
        <v>OFF</v>
      </c>
      <c r="T220" s="116">
        <f t="shared" si="153"/>
        <v>0.91666666666666674</v>
      </c>
      <c r="U220" s="116">
        <f t="shared" si="153"/>
        <v>0.91666666666666674</v>
      </c>
      <c r="V220" s="116">
        <f t="shared" si="153"/>
        <v>0.91666666666666674</v>
      </c>
      <c r="W220" s="72">
        <f t="shared" si="153"/>
        <v>0.91666666666666674</v>
      </c>
      <c r="X220" s="72">
        <f t="shared" si="147"/>
        <v>0.91666666666666674</v>
      </c>
    </row>
    <row r="221" spans="1:24" x14ac:dyDescent="0.2">
      <c r="A221" s="71" t="str">
        <f t="shared" si="144"/>
        <v>Ma Lourdes Logronio</v>
      </c>
      <c r="B221" s="29" t="str">
        <f>IFERROR(VLOOKUP(A221,Masterlist!B:D,3,),"-")</f>
        <v>Anthony Aries Osacia</v>
      </c>
      <c r="C221" s="116">
        <f t="shared" ref="C221:W221" si="154">IFERROR(IF(C76 = "PTO", "PTO",C76+"12:00"),"OFF")</f>
        <v>0.91666666666666674</v>
      </c>
      <c r="D221" s="116" t="str">
        <f t="shared" si="154"/>
        <v>OFF</v>
      </c>
      <c r="E221" s="116" t="str">
        <f t="shared" si="154"/>
        <v>OFF</v>
      </c>
      <c r="F221" s="116">
        <f t="shared" si="154"/>
        <v>0.91666666666666674</v>
      </c>
      <c r="G221" s="116">
        <f t="shared" si="154"/>
        <v>0.91666666666666674</v>
      </c>
      <c r="H221" s="116">
        <f t="shared" si="154"/>
        <v>0.91666666666666674</v>
      </c>
      <c r="I221" s="116">
        <f t="shared" si="154"/>
        <v>0.91666666666666674</v>
      </c>
      <c r="J221" s="86">
        <f t="shared" si="154"/>
        <v>0.91666666666666674</v>
      </c>
      <c r="K221" s="116" t="str">
        <f t="shared" si="154"/>
        <v>OFF</v>
      </c>
      <c r="L221" s="116" t="str">
        <f t="shared" si="154"/>
        <v>OFF</v>
      </c>
      <c r="M221" s="116">
        <f t="shared" si="154"/>
        <v>0.91666666666666674</v>
      </c>
      <c r="N221" s="116">
        <f t="shared" si="154"/>
        <v>0.91666666666666674</v>
      </c>
      <c r="O221" s="116">
        <f t="shared" si="154"/>
        <v>0.91666666666666674</v>
      </c>
      <c r="P221" s="116">
        <f t="shared" si="154"/>
        <v>0.91666666666666674</v>
      </c>
      <c r="Q221" s="86">
        <f t="shared" si="154"/>
        <v>0.91666666666666674</v>
      </c>
      <c r="R221" s="116" t="str">
        <f t="shared" si="154"/>
        <v>OFF</v>
      </c>
      <c r="S221" s="116" t="str">
        <f t="shared" si="154"/>
        <v>OFF</v>
      </c>
      <c r="T221" s="116">
        <f t="shared" si="154"/>
        <v>0.91666666666666674</v>
      </c>
      <c r="U221" s="116">
        <f t="shared" si="154"/>
        <v>0.91666666666666674</v>
      </c>
      <c r="V221" s="116">
        <f t="shared" si="154"/>
        <v>0.91666666666666674</v>
      </c>
      <c r="W221" s="72">
        <f t="shared" si="154"/>
        <v>0.91666666666666674</v>
      </c>
      <c r="X221" s="72">
        <f t="shared" si="147"/>
        <v>0.91666666666666674</v>
      </c>
    </row>
    <row r="222" spans="1:24" x14ac:dyDescent="0.2">
      <c r="A222" s="71" t="str">
        <f t="shared" si="144"/>
        <v>Guilliane Lee Cantillas</v>
      </c>
      <c r="B222" s="29" t="str">
        <f>IFERROR(VLOOKUP(A222,Masterlist!B:D,3,),"-")</f>
        <v>Anthony Aries Osacia</v>
      </c>
      <c r="C222" s="116">
        <f t="shared" ref="C222:W222" si="155">IFERROR(IF(C77 = "PTO", "PTO",C77+"12:00"),"OFF")</f>
        <v>0.91666666666666674</v>
      </c>
      <c r="D222" s="116" t="str">
        <f t="shared" si="155"/>
        <v>OFF</v>
      </c>
      <c r="E222" s="116" t="str">
        <f t="shared" si="155"/>
        <v>OFF</v>
      </c>
      <c r="F222" s="116">
        <f t="shared" si="155"/>
        <v>0.91666666666666674</v>
      </c>
      <c r="G222" s="116">
        <f t="shared" si="155"/>
        <v>0.91666666666666674</v>
      </c>
      <c r="H222" s="116">
        <f t="shared" si="155"/>
        <v>0.91666666666666674</v>
      </c>
      <c r="I222" s="116">
        <f t="shared" si="155"/>
        <v>0.91666666666666674</v>
      </c>
      <c r="J222" s="86">
        <f t="shared" si="155"/>
        <v>0.91666666666666674</v>
      </c>
      <c r="K222" s="116" t="str">
        <f t="shared" si="155"/>
        <v>OFF</v>
      </c>
      <c r="L222" s="116" t="str">
        <f t="shared" si="155"/>
        <v>OFF</v>
      </c>
      <c r="M222" s="116">
        <f t="shared" si="155"/>
        <v>0.91666666666666674</v>
      </c>
      <c r="N222" s="116">
        <f t="shared" si="155"/>
        <v>0.91666666666666674</v>
      </c>
      <c r="O222" s="116">
        <f t="shared" si="155"/>
        <v>0.91666666666666674</v>
      </c>
      <c r="P222" s="116">
        <f t="shared" si="155"/>
        <v>0.91666666666666674</v>
      </c>
      <c r="Q222" s="86">
        <f t="shared" si="155"/>
        <v>0.91666666666666674</v>
      </c>
      <c r="R222" s="116" t="str">
        <f t="shared" si="155"/>
        <v>OFF</v>
      </c>
      <c r="S222" s="116" t="str">
        <f t="shared" si="155"/>
        <v>OFF</v>
      </c>
      <c r="T222" s="116">
        <f t="shared" si="155"/>
        <v>0.91666666666666674</v>
      </c>
      <c r="U222" s="116">
        <f t="shared" si="155"/>
        <v>0.91666666666666674</v>
      </c>
      <c r="V222" s="116">
        <f t="shared" si="155"/>
        <v>0.91666666666666674</v>
      </c>
      <c r="W222" s="72">
        <f t="shared" si="155"/>
        <v>0.91666666666666674</v>
      </c>
      <c r="X222" s="72">
        <f t="shared" si="147"/>
        <v>0.91666666666666674</v>
      </c>
    </row>
    <row r="223" spans="1:24" x14ac:dyDescent="0.2">
      <c r="A223" s="71" t="str">
        <f t="shared" si="144"/>
        <v>Angelo Llobrera</v>
      </c>
      <c r="B223" s="29" t="str">
        <f>IFERROR(VLOOKUP(A223,Masterlist!B:D,3,),"-")</f>
        <v>Anthony Aries Osacia</v>
      </c>
      <c r="C223" s="116">
        <f t="shared" ref="C223:W223" si="156">IFERROR(IF(C78 = "PTO", "PTO",C78+"12:00"),"OFF")</f>
        <v>0.91666666666666674</v>
      </c>
      <c r="D223" s="116" t="str">
        <f t="shared" si="156"/>
        <v>OFF</v>
      </c>
      <c r="E223" s="116" t="str">
        <f t="shared" si="156"/>
        <v>OFF</v>
      </c>
      <c r="F223" s="116">
        <f t="shared" si="156"/>
        <v>0.91666666666666674</v>
      </c>
      <c r="G223" s="116">
        <f t="shared" si="156"/>
        <v>0.91666666666666674</v>
      </c>
      <c r="H223" s="116">
        <f t="shared" si="156"/>
        <v>0.91666666666666674</v>
      </c>
      <c r="I223" s="116">
        <f t="shared" si="156"/>
        <v>0.91666666666666674</v>
      </c>
      <c r="J223" s="86">
        <f t="shared" si="156"/>
        <v>0.91666666666666674</v>
      </c>
      <c r="K223" s="116" t="str">
        <f t="shared" si="156"/>
        <v>OFF</v>
      </c>
      <c r="L223" s="116" t="str">
        <f t="shared" si="156"/>
        <v>OFF</v>
      </c>
      <c r="M223" s="116">
        <f t="shared" si="156"/>
        <v>0.91666666666666674</v>
      </c>
      <c r="N223" s="116">
        <f t="shared" si="156"/>
        <v>0.91666666666666674</v>
      </c>
      <c r="O223" s="116">
        <f t="shared" si="156"/>
        <v>0.91666666666666674</v>
      </c>
      <c r="P223" s="116">
        <f t="shared" si="156"/>
        <v>0.91666666666666674</v>
      </c>
      <c r="Q223" s="86">
        <f t="shared" si="156"/>
        <v>0.91666666666666674</v>
      </c>
      <c r="R223" s="116" t="str">
        <f t="shared" si="156"/>
        <v>OFF</v>
      </c>
      <c r="S223" s="116" t="str">
        <f t="shared" si="156"/>
        <v>OFF</v>
      </c>
      <c r="T223" s="116">
        <f t="shared" si="156"/>
        <v>0.91666666666666674</v>
      </c>
      <c r="U223" s="116">
        <f t="shared" si="156"/>
        <v>0.91666666666666674</v>
      </c>
      <c r="V223" s="116">
        <f t="shared" si="156"/>
        <v>0.91666666666666674</v>
      </c>
      <c r="W223" s="72">
        <f t="shared" si="156"/>
        <v>0.91666666666666674</v>
      </c>
      <c r="X223" s="72">
        <f t="shared" si="147"/>
        <v>0.91666666666666674</v>
      </c>
    </row>
    <row r="224" spans="1:24" x14ac:dyDescent="0.2">
      <c r="A224" s="71" t="str">
        <f t="shared" si="144"/>
        <v>Darryl Mitzi Subong</v>
      </c>
      <c r="B224" s="29" t="str">
        <f>IFERROR(VLOOKUP(A224,Masterlist!B:D,3,),"-")</f>
        <v>Anthony Aries Osacia</v>
      </c>
      <c r="C224" s="116">
        <f t="shared" ref="C224:W224" si="157">IFERROR(IF(C79 = "PTO", "PTO",C79+"12:00"),"OFF")</f>
        <v>0.91666666666666674</v>
      </c>
      <c r="D224" s="116" t="str">
        <f t="shared" si="157"/>
        <v>OFF</v>
      </c>
      <c r="E224" s="116" t="str">
        <f t="shared" si="157"/>
        <v>OFF</v>
      </c>
      <c r="F224" s="116">
        <f t="shared" si="157"/>
        <v>0.91666666666666674</v>
      </c>
      <c r="G224" s="116">
        <f t="shared" si="157"/>
        <v>0.91666666666666674</v>
      </c>
      <c r="H224" s="116">
        <f t="shared" si="157"/>
        <v>0.91666666666666674</v>
      </c>
      <c r="I224" s="116">
        <f t="shared" si="157"/>
        <v>0.91666666666666674</v>
      </c>
      <c r="J224" s="86">
        <f t="shared" si="157"/>
        <v>0.91666666666666674</v>
      </c>
      <c r="K224" s="116" t="str">
        <f t="shared" si="157"/>
        <v>OFF</v>
      </c>
      <c r="L224" s="116" t="str">
        <f t="shared" si="157"/>
        <v>OFF</v>
      </c>
      <c r="M224" s="116">
        <f t="shared" si="157"/>
        <v>0.91666666666666674</v>
      </c>
      <c r="N224" s="116">
        <f t="shared" si="157"/>
        <v>0.91666666666666674</v>
      </c>
      <c r="O224" s="116">
        <f t="shared" si="157"/>
        <v>0.91666666666666674</v>
      </c>
      <c r="P224" s="116">
        <f t="shared" si="157"/>
        <v>0.91666666666666674</v>
      </c>
      <c r="Q224" s="86">
        <f t="shared" si="157"/>
        <v>0.91666666666666674</v>
      </c>
      <c r="R224" s="116" t="str">
        <f t="shared" si="157"/>
        <v>OFF</v>
      </c>
      <c r="S224" s="116" t="str">
        <f t="shared" si="157"/>
        <v>OFF</v>
      </c>
      <c r="T224" s="116">
        <f t="shared" si="157"/>
        <v>0.91666666666666674</v>
      </c>
      <c r="U224" s="116">
        <f t="shared" si="157"/>
        <v>0.91666666666666674</v>
      </c>
      <c r="V224" s="116">
        <f t="shared" si="157"/>
        <v>0.91666666666666674</v>
      </c>
      <c r="W224" s="72">
        <f t="shared" si="157"/>
        <v>0.91666666666666674</v>
      </c>
      <c r="X224" s="72">
        <f t="shared" si="147"/>
        <v>0.91666666666666674</v>
      </c>
    </row>
    <row r="225" spans="1:24" x14ac:dyDescent="0.2">
      <c r="A225" s="71" t="str">
        <f t="shared" si="144"/>
        <v>Glen Kenedy Samson</v>
      </c>
      <c r="B225" s="29" t="str">
        <f>IFERROR(VLOOKUP(A225,Masterlist!B:D,3,),"-")</f>
        <v>Anthony Aries Osacia</v>
      </c>
      <c r="C225" s="116">
        <f t="shared" ref="C225:W225" si="158">IFERROR(IF(C80 = "PTO", "PTO",C80+"12:00"),"OFF")</f>
        <v>0.91666666666666674</v>
      </c>
      <c r="D225" s="116" t="str">
        <f t="shared" si="158"/>
        <v>OFF</v>
      </c>
      <c r="E225" s="116" t="str">
        <f t="shared" si="158"/>
        <v>OFF</v>
      </c>
      <c r="F225" s="116">
        <f t="shared" si="158"/>
        <v>0.91666666666666674</v>
      </c>
      <c r="G225" s="116">
        <f t="shared" si="158"/>
        <v>0.91666666666666674</v>
      </c>
      <c r="H225" s="116">
        <f t="shared" si="158"/>
        <v>0.91666666666666674</v>
      </c>
      <c r="I225" s="116">
        <f t="shared" si="158"/>
        <v>0.91666666666666674</v>
      </c>
      <c r="J225" s="86">
        <f t="shared" si="158"/>
        <v>0.91666666666666674</v>
      </c>
      <c r="K225" s="116" t="str">
        <f t="shared" si="158"/>
        <v>OFF</v>
      </c>
      <c r="L225" s="116" t="str">
        <f t="shared" si="158"/>
        <v>OFF</v>
      </c>
      <c r="M225" s="116">
        <f t="shared" si="158"/>
        <v>0.91666666666666674</v>
      </c>
      <c r="N225" s="116">
        <f t="shared" si="158"/>
        <v>0.91666666666666674</v>
      </c>
      <c r="O225" s="116">
        <f t="shared" si="158"/>
        <v>0.91666666666666674</v>
      </c>
      <c r="P225" s="116">
        <f t="shared" si="158"/>
        <v>0.91666666666666674</v>
      </c>
      <c r="Q225" s="86">
        <f t="shared" si="158"/>
        <v>0.91666666666666674</v>
      </c>
      <c r="R225" s="116" t="str">
        <f t="shared" si="158"/>
        <v>OFF</v>
      </c>
      <c r="S225" s="116" t="str">
        <f t="shared" si="158"/>
        <v>OFF</v>
      </c>
      <c r="T225" s="116">
        <f t="shared" si="158"/>
        <v>0.91666666666666674</v>
      </c>
      <c r="U225" s="116">
        <f t="shared" si="158"/>
        <v>0.91666666666666674</v>
      </c>
      <c r="V225" s="116">
        <f t="shared" si="158"/>
        <v>0.91666666666666674</v>
      </c>
      <c r="W225" s="72">
        <f t="shared" si="158"/>
        <v>0.91666666666666674</v>
      </c>
      <c r="X225" s="72">
        <f t="shared" si="147"/>
        <v>0.91666666666666674</v>
      </c>
    </row>
    <row r="226" spans="1:24" x14ac:dyDescent="0.2">
      <c r="A226" s="71" t="str">
        <f t="shared" si="144"/>
        <v>Jacqueline Valdez</v>
      </c>
      <c r="B226" s="29" t="str">
        <f>IFERROR(VLOOKUP(A226,Masterlist!B:D,3,),"-")</f>
        <v>Anthony Aries Osacia</v>
      </c>
      <c r="C226" s="116">
        <f t="shared" ref="C226:W226" si="159">IFERROR(IF(C81 = "PTO", "PTO",C81+"12:00"),"OFF")</f>
        <v>0.91666666666666674</v>
      </c>
      <c r="D226" s="116" t="str">
        <f t="shared" si="159"/>
        <v>OFF</v>
      </c>
      <c r="E226" s="116" t="str">
        <f t="shared" si="159"/>
        <v>OFF</v>
      </c>
      <c r="F226" s="116">
        <f t="shared" si="159"/>
        <v>0.91666666666666674</v>
      </c>
      <c r="G226" s="116">
        <f t="shared" si="159"/>
        <v>0.91666666666666674</v>
      </c>
      <c r="H226" s="116">
        <f t="shared" si="159"/>
        <v>0.91666666666666674</v>
      </c>
      <c r="I226" s="116">
        <f t="shared" si="159"/>
        <v>0.91666666666666674</v>
      </c>
      <c r="J226" s="86">
        <f t="shared" si="159"/>
        <v>0.91666666666666674</v>
      </c>
      <c r="K226" s="116" t="str">
        <f t="shared" si="159"/>
        <v>OFF</v>
      </c>
      <c r="L226" s="116" t="str">
        <f t="shared" si="159"/>
        <v>OFF</v>
      </c>
      <c r="M226" s="116">
        <f t="shared" si="159"/>
        <v>0.91666666666666674</v>
      </c>
      <c r="N226" s="116">
        <f t="shared" si="159"/>
        <v>0.91666666666666674</v>
      </c>
      <c r="O226" s="116">
        <f t="shared" si="159"/>
        <v>0.91666666666666674</v>
      </c>
      <c r="P226" s="116">
        <f t="shared" si="159"/>
        <v>0.91666666666666674</v>
      </c>
      <c r="Q226" s="86">
        <f t="shared" si="159"/>
        <v>0.91666666666666674</v>
      </c>
      <c r="R226" s="116" t="str">
        <f t="shared" si="159"/>
        <v>OFF</v>
      </c>
      <c r="S226" s="116" t="str">
        <f t="shared" si="159"/>
        <v>OFF</v>
      </c>
      <c r="T226" s="116">
        <f t="shared" si="159"/>
        <v>0.91666666666666674</v>
      </c>
      <c r="U226" s="116">
        <f t="shared" si="159"/>
        <v>0.91666666666666674</v>
      </c>
      <c r="V226" s="116">
        <f t="shared" si="159"/>
        <v>0.91666666666666674</v>
      </c>
      <c r="W226" s="72">
        <f t="shared" si="159"/>
        <v>0.91666666666666674</v>
      </c>
      <c r="X226" s="72">
        <f t="shared" si="147"/>
        <v>0.91666666666666674</v>
      </c>
    </row>
    <row r="227" spans="1:24" x14ac:dyDescent="0.2">
      <c r="A227" s="71" t="str">
        <f t="shared" si="144"/>
        <v>Joshua Catipunan</v>
      </c>
      <c r="B227" s="29" t="str">
        <f>IFERROR(VLOOKUP(A227,Masterlist!B:D,3,),"-")</f>
        <v>Anthony Aries Osacia</v>
      </c>
      <c r="C227" s="116">
        <f t="shared" ref="C227:W227" si="160">IFERROR(IF(C82 = "PTO", "PTO",C82+"12:00"),"OFF")</f>
        <v>0.91666666666666674</v>
      </c>
      <c r="D227" s="116" t="str">
        <f t="shared" si="160"/>
        <v>OFF</v>
      </c>
      <c r="E227" s="116" t="str">
        <f t="shared" si="160"/>
        <v>OFF</v>
      </c>
      <c r="F227" s="116">
        <f t="shared" si="160"/>
        <v>0.91666666666666674</v>
      </c>
      <c r="G227" s="116">
        <f t="shared" si="160"/>
        <v>0.91666666666666674</v>
      </c>
      <c r="H227" s="116">
        <f t="shared" si="160"/>
        <v>0.91666666666666674</v>
      </c>
      <c r="I227" s="116">
        <f t="shared" si="160"/>
        <v>0.91666666666666674</v>
      </c>
      <c r="J227" s="86">
        <f t="shared" si="160"/>
        <v>0.91666666666666674</v>
      </c>
      <c r="K227" s="116" t="str">
        <f t="shared" si="160"/>
        <v>OFF</v>
      </c>
      <c r="L227" s="116" t="str">
        <f t="shared" si="160"/>
        <v>OFF</v>
      </c>
      <c r="M227" s="116">
        <f t="shared" si="160"/>
        <v>0.91666666666666674</v>
      </c>
      <c r="N227" s="116">
        <f t="shared" si="160"/>
        <v>0.91666666666666674</v>
      </c>
      <c r="O227" s="116">
        <f t="shared" si="160"/>
        <v>0.91666666666666674</v>
      </c>
      <c r="P227" s="116">
        <f t="shared" si="160"/>
        <v>0.91666666666666674</v>
      </c>
      <c r="Q227" s="86">
        <f t="shared" si="160"/>
        <v>0.91666666666666674</v>
      </c>
      <c r="R227" s="116" t="str">
        <f t="shared" si="160"/>
        <v>OFF</v>
      </c>
      <c r="S227" s="116" t="str">
        <f t="shared" si="160"/>
        <v>OFF</v>
      </c>
      <c r="T227" s="116">
        <f t="shared" si="160"/>
        <v>0.91666666666666674</v>
      </c>
      <c r="U227" s="116">
        <f t="shared" si="160"/>
        <v>0.91666666666666674</v>
      </c>
      <c r="V227" s="116">
        <f t="shared" si="160"/>
        <v>0.91666666666666674</v>
      </c>
      <c r="W227" s="72">
        <f t="shared" si="160"/>
        <v>0.91666666666666674</v>
      </c>
      <c r="X227" s="72">
        <f t="shared" si="147"/>
        <v>0.91666666666666674</v>
      </c>
    </row>
    <row r="228" spans="1:24" x14ac:dyDescent="0.2">
      <c r="A228" s="71" t="str">
        <f t="shared" si="144"/>
        <v>William Vinluan</v>
      </c>
      <c r="B228" s="29" t="str">
        <f>IFERROR(VLOOKUP(A228,Masterlist!B:D,3,),"-")</f>
        <v>Anthony Aries Osacia</v>
      </c>
      <c r="C228" s="116">
        <f t="shared" ref="C228:W228" si="161">IFERROR(IF(C83 = "PTO", "PTO",C83+"12:00"),"OFF")</f>
        <v>0.91666666666666674</v>
      </c>
      <c r="D228" s="116" t="str">
        <f t="shared" si="161"/>
        <v>OFF</v>
      </c>
      <c r="E228" s="116" t="str">
        <f t="shared" si="161"/>
        <v>OFF</v>
      </c>
      <c r="F228" s="116">
        <f t="shared" si="161"/>
        <v>0.91666666666666674</v>
      </c>
      <c r="G228" s="116">
        <f t="shared" si="161"/>
        <v>0.91666666666666674</v>
      </c>
      <c r="H228" s="116">
        <f t="shared" si="161"/>
        <v>0.91666666666666674</v>
      </c>
      <c r="I228" s="116">
        <f t="shared" si="161"/>
        <v>0.91666666666666674</v>
      </c>
      <c r="J228" s="86">
        <f t="shared" si="161"/>
        <v>0.91666666666666674</v>
      </c>
      <c r="K228" s="116" t="str">
        <f t="shared" si="161"/>
        <v>OFF</v>
      </c>
      <c r="L228" s="116" t="str">
        <f t="shared" si="161"/>
        <v>OFF</v>
      </c>
      <c r="M228" s="116">
        <f t="shared" si="161"/>
        <v>0.91666666666666674</v>
      </c>
      <c r="N228" s="116">
        <f t="shared" si="161"/>
        <v>0.91666666666666674</v>
      </c>
      <c r="O228" s="116">
        <f t="shared" si="161"/>
        <v>0.91666666666666674</v>
      </c>
      <c r="P228" s="116">
        <f t="shared" si="161"/>
        <v>0.91666666666666674</v>
      </c>
      <c r="Q228" s="86">
        <f t="shared" si="161"/>
        <v>0.91666666666666674</v>
      </c>
      <c r="R228" s="116" t="str">
        <f t="shared" si="161"/>
        <v>OFF</v>
      </c>
      <c r="S228" s="116" t="str">
        <f t="shared" si="161"/>
        <v>OFF</v>
      </c>
      <c r="T228" s="116">
        <f t="shared" si="161"/>
        <v>0.91666666666666674</v>
      </c>
      <c r="U228" s="116">
        <f t="shared" si="161"/>
        <v>0.91666666666666674</v>
      </c>
      <c r="V228" s="116">
        <f t="shared" si="161"/>
        <v>0.91666666666666674</v>
      </c>
      <c r="W228" s="72">
        <f t="shared" si="161"/>
        <v>0.91666666666666674</v>
      </c>
      <c r="X228" s="72">
        <f t="shared" si="147"/>
        <v>0.91666666666666674</v>
      </c>
    </row>
    <row r="229" spans="1:24" x14ac:dyDescent="0.2">
      <c r="A229" s="71" t="str">
        <f t="shared" si="144"/>
        <v>Jovie Cervano</v>
      </c>
      <c r="B229" s="29" t="str">
        <f>IFERROR(VLOOKUP(A229,Masterlist!B:D,3,),"-")</f>
        <v>Anthony Aries Osacia</v>
      </c>
      <c r="C229" s="116">
        <f t="shared" ref="C229:W229" si="162">IFERROR(IF(C84 = "PTO", "PTO",C84+"12:00"),"OFF")</f>
        <v>0.91666666666666674</v>
      </c>
      <c r="D229" s="116" t="str">
        <f t="shared" si="162"/>
        <v>OFF</v>
      </c>
      <c r="E229" s="116" t="str">
        <f t="shared" si="162"/>
        <v>OFF</v>
      </c>
      <c r="F229" s="116">
        <f t="shared" si="162"/>
        <v>0.91666666666666674</v>
      </c>
      <c r="G229" s="116">
        <f t="shared" si="162"/>
        <v>0.91666666666666674</v>
      </c>
      <c r="H229" s="116">
        <f t="shared" si="162"/>
        <v>0.91666666666666674</v>
      </c>
      <c r="I229" s="116">
        <f t="shared" si="162"/>
        <v>0.91666666666666674</v>
      </c>
      <c r="J229" s="86">
        <f t="shared" si="162"/>
        <v>0.91666666666666674</v>
      </c>
      <c r="K229" s="116" t="str">
        <f t="shared" si="162"/>
        <v>OFF</v>
      </c>
      <c r="L229" s="116" t="str">
        <f t="shared" si="162"/>
        <v>OFF</v>
      </c>
      <c r="M229" s="116">
        <f t="shared" si="162"/>
        <v>0.91666666666666674</v>
      </c>
      <c r="N229" s="116">
        <f t="shared" si="162"/>
        <v>0.91666666666666674</v>
      </c>
      <c r="O229" s="116">
        <f t="shared" si="162"/>
        <v>0.91666666666666674</v>
      </c>
      <c r="P229" s="116">
        <f t="shared" si="162"/>
        <v>0.91666666666666674</v>
      </c>
      <c r="Q229" s="86">
        <f t="shared" si="162"/>
        <v>0.91666666666666674</v>
      </c>
      <c r="R229" s="116" t="str">
        <f t="shared" si="162"/>
        <v>OFF</v>
      </c>
      <c r="S229" s="116" t="str">
        <f t="shared" si="162"/>
        <v>OFF</v>
      </c>
      <c r="T229" s="116">
        <f t="shared" si="162"/>
        <v>0.91666666666666674</v>
      </c>
      <c r="U229" s="116">
        <f t="shared" si="162"/>
        <v>0.91666666666666674</v>
      </c>
      <c r="V229" s="116">
        <f t="shared" si="162"/>
        <v>0.91666666666666674</v>
      </c>
      <c r="W229" s="72">
        <f t="shared" si="162"/>
        <v>0.91666666666666674</v>
      </c>
      <c r="X229" s="72">
        <f t="shared" si="147"/>
        <v>0.91666666666666674</v>
      </c>
    </row>
    <row r="230" spans="1:24" x14ac:dyDescent="0.2">
      <c r="A230" s="71" t="str">
        <f t="shared" si="144"/>
        <v>Karren Rafallo</v>
      </c>
      <c r="B230" s="29" t="str">
        <f>IFERROR(VLOOKUP(A230,Masterlist!B:D,3,),"-")</f>
        <v>Anthony Aries Osacia</v>
      </c>
      <c r="C230" s="116">
        <f t="shared" ref="C230:W230" si="163">IFERROR(IF(C85 = "PTO", "PTO",C85+"12:00"),"OFF")</f>
        <v>0.91666666666666674</v>
      </c>
      <c r="D230" s="116" t="str">
        <f t="shared" si="163"/>
        <v>OFF</v>
      </c>
      <c r="E230" s="116" t="str">
        <f t="shared" si="163"/>
        <v>OFF</v>
      </c>
      <c r="F230" s="116">
        <f t="shared" si="163"/>
        <v>0.91666666666666674</v>
      </c>
      <c r="G230" s="116">
        <f t="shared" si="163"/>
        <v>0.91666666666666674</v>
      </c>
      <c r="H230" s="116">
        <f t="shared" si="163"/>
        <v>0.91666666666666674</v>
      </c>
      <c r="I230" s="116">
        <f t="shared" si="163"/>
        <v>0.91666666666666674</v>
      </c>
      <c r="J230" s="86">
        <f t="shared" si="163"/>
        <v>0.91666666666666674</v>
      </c>
      <c r="K230" s="116" t="str">
        <f t="shared" si="163"/>
        <v>OFF</v>
      </c>
      <c r="L230" s="116" t="str">
        <f t="shared" si="163"/>
        <v>OFF</v>
      </c>
      <c r="M230" s="116">
        <f t="shared" si="163"/>
        <v>0.91666666666666674</v>
      </c>
      <c r="N230" s="116">
        <f t="shared" si="163"/>
        <v>0.91666666666666674</v>
      </c>
      <c r="O230" s="116">
        <f t="shared" si="163"/>
        <v>0.91666666666666674</v>
      </c>
      <c r="P230" s="116">
        <f t="shared" si="163"/>
        <v>0.91666666666666674</v>
      </c>
      <c r="Q230" s="86">
        <f t="shared" si="163"/>
        <v>0.91666666666666674</v>
      </c>
      <c r="R230" s="116" t="str">
        <f t="shared" si="163"/>
        <v>OFF</v>
      </c>
      <c r="S230" s="116" t="str">
        <f t="shared" si="163"/>
        <v>OFF</v>
      </c>
      <c r="T230" s="116">
        <f t="shared" si="163"/>
        <v>0.91666666666666674</v>
      </c>
      <c r="U230" s="116">
        <f t="shared" si="163"/>
        <v>0.91666666666666674</v>
      </c>
      <c r="V230" s="116">
        <f t="shared" si="163"/>
        <v>0.91666666666666674</v>
      </c>
      <c r="W230" s="72">
        <f t="shared" si="163"/>
        <v>0.91666666666666674</v>
      </c>
      <c r="X230" s="72">
        <f t="shared" si="147"/>
        <v>0.91666666666666674</v>
      </c>
    </row>
    <row r="231" spans="1:24" x14ac:dyDescent="0.2">
      <c r="A231" s="71" t="str">
        <f t="shared" si="144"/>
        <v>Abigail Zyra Lorzano</v>
      </c>
      <c r="B231" s="29" t="str">
        <f>IFERROR(VLOOKUP(A231,Masterlist!B:D,3,),"-")</f>
        <v>Anthony Aries Osacia</v>
      </c>
      <c r="C231" s="116">
        <f t="shared" ref="C231:W231" si="164">IFERROR(IF(C86 = "PTO", "PTO",C86+"12:00"),"OFF")</f>
        <v>0.91666666666666674</v>
      </c>
      <c r="D231" s="116" t="str">
        <f t="shared" si="164"/>
        <v>OFF</v>
      </c>
      <c r="E231" s="116" t="str">
        <f t="shared" si="164"/>
        <v>OFF</v>
      </c>
      <c r="F231" s="116">
        <f t="shared" si="164"/>
        <v>0.91666666666666674</v>
      </c>
      <c r="G231" s="116">
        <f t="shared" si="164"/>
        <v>0.91666666666666674</v>
      </c>
      <c r="H231" s="116">
        <f t="shared" si="164"/>
        <v>0.91666666666666674</v>
      </c>
      <c r="I231" s="116">
        <f t="shared" si="164"/>
        <v>0.91666666666666674</v>
      </c>
      <c r="J231" s="86">
        <f t="shared" si="164"/>
        <v>0.91666666666666674</v>
      </c>
      <c r="K231" s="116" t="str">
        <f t="shared" si="164"/>
        <v>OFF</v>
      </c>
      <c r="L231" s="116" t="str">
        <f t="shared" si="164"/>
        <v>OFF</v>
      </c>
      <c r="M231" s="116">
        <f t="shared" si="164"/>
        <v>0.91666666666666674</v>
      </c>
      <c r="N231" s="116">
        <f t="shared" si="164"/>
        <v>0.91666666666666674</v>
      </c>
      <c r="O231" s="116">
        <f t="shared" si="164"/>
        <v>0.91666666666666674</v>
      </c>
      <c r="P231" s="116">
        <f t="shared" si="164"/>
        <v>0.91666666666666674</v>
      </c>
      <c r="Q231" s="86">
        <f t="shared" si="164"/>
        <v>0.91666666666666674</v>
      </c>
      <c r="R231" s="116" t="str">
        <f t="shared" si="164"/>
        <v>OFF</v>
      </c>
      <c r="S231" s="116" t="str">
        <f t="shared" si="164"/>
        <v>OFF</v>
      </c>
      <c r="T231" s="116">
        <f t="shared" si="164"/>
        <v>0.91666666666666674</v>
      </c>
      <c r="U231" s="116">
        <f t="shared" si="164"/>
        <v>0.91666666666666674</v>
      </c>
      <c r="V231" s="116">
        <f t="shared" si="164"/>
        <v>0.91666666666666674</v>
      </c>
      <c r="W231" s="72">
        <f t="shared" si="164"/>
        <v>0.91666666666666674</v>
      </c>
      <c r="X231" s="72">
        <f t="shared" si="147"/>
        <v>0.91666666666666674</v>
      </c>
    </row>
    <row r="232" spans="1:24" x14ac:dyDescent="0.2">
      <c r="A232" s="71" t="str">
        <f t="shared" si="144"/>
        <v>Angel Lacanaria</v>
      </c>
      <c r="B232" s="29" t="str">
        <f>IFERROR(VLOOKUP(A232,Masterlist!B:D,3,),"-")</f>
        <v>Anthony Aries Osacia</v>
      </c>
      <c r="C232" s="116">
        <f t="shared" ref="C232:W232" si="165">IFERROR(IF(C87 = "PTO", "PTO",C87+"12:00"),"OFF")</f>
        <v>0.91666666666666674</v>
      </c>
      <c r="D232" s="116" t="str">
        <f t="shared" si="165"/>
        <v>OFF</v>
      </c>
      <c r="E232" s="116" t="str">
        <f t="shared" si="165"/>
        <v>OFF</v>
      </c>
      <c r="F232" s="116">
        <f t="shared" si="165"/>
        <v>0.91666666666666674</v>
      </c>
      <c r="G232" s="116">
        <f t="shared" si="165"/>
        <v>0.91666666666666674</v>
      </c>
      <c r="H232" s="116">
        <f t="shared" si="165"/>
        <v>0.91666666666666674</v>
      </c>
      <c r="I232" s="116">
        <f t="shared" si="165"/>
        <v>0.91666666666666674</v>
      </c>
      <c r="J232" s="86">
        <f t="shared" si="165"/>
        <v>0.91666666666666674</v>
      </c>
      <c r="K232" s="116" t="str">
        <f t="shared" si="165"/>
        <v>OFF</v>
      </c>
      <c r="L232" s="116" t="str">
        <f t="shared" si="165"/>
        <v>OFF</v>
      </c>
      <c r="M232" s="116">
        <f t="shared" si="165"/>
        <v>0.91666666666666674</v>
      </c>
      <c r="N232" s="116">
        <f t="shared" si="165"/>
        <v>0.91666666666666674</v>
      </c>
      <c r="O232" s="116">
        <f t="shared" si="165"/>
        <v>0.91666666666666674</v>
      </c>
      <c r="P232" s="116">
        <f t="shared" si="165"/>
        <v>0.91666666666666674</v>
      </c>
      <c r="Q232" s="86">
        <f t="shared" si="165"/>
        <v>0.91666666666666674</v>
      </c>
      <c r="R232" s="116" t="str">
        <f t="shared" si="165"/>
        <v>OFF</v>
      </c>
      <c r="S232" s="116" t="str">
        <f t="shared" si="165"/>
        <v>OFF</v>
      </c>
      <c r="T232" s="116">
        <f t="shared" si="165"/>
        <v>0.91666666666666674</v>
      </c>
      <c r="U232" s="116">
        <f t="shared" si="165"/>
        <v>0.91666666666666674</v>
      </c>
      <c r="V232" s="116">
        <f t="shared" si="165"/>
        <v>0.91666666666666674</v>
      </c>
      <c r="W232" s="72">
        <f t="shared" si="165"/>
        <v>0.91666666666666674</v>
      </c>
      <c r="X232" s="72">
        <f t="shared" si="147"/>
        <v>0.91666666666666674</v>
      </c>
    </row>
    <row r="233" spans="1:24" x14ac:dyDescent="0.2">
      <c r="A233" s="71" t="str">
        <f t="shared" si="144"/>
        <v>Rochel Cortez</v>
      </c>
      <c r="B233" s="29" t="str">
        <f>IFERROR(VLOOKUP(A233,Masterlist!B:D,3,),"-")</f>
        <v>Anthony Aries Osacia</v>
      </c>
      <c r="C233" s="116">
        <f t="shared" ref="C233:W233" si="166">IFERROR(IF(C88 = "PTO", "PTO",C88+"12:00"),"OFF")</f>
        <v>0.91666666666666674</v>
      </c>
      <c r="D233" s="116" t="str">
        <f t="shared" si="166"/>
        <v>OFF</v>
      </c>
      <c r="E233" s="116" t="str">
        <f t="shared" si="166"/>
        <v>OFF</v>
      </c>
      <c r="F233" s="116">
        <f t="shared" si="166"/>
        <v>0.91666666666666674</v>
      </c>
      <c r="G233" s="116">
        <f t="shared" si="166"/>
        <v>0.91666666666666674</v>
      </c>
      <c r="H233" s="116">
        <f t="shared" si="166"/>
        <v>0.91666666666666674</v>
      </c>
      <c r="I233" s="116">
        <f t="shared" si="166"/>
        <v>0.91666666666666674</v>
      </c>
      <c r="J233" s="86">
        <f t="shared" si="166"/>
        <v>0.91666666666666674</v>
      </c>
      <c r="K233" s="116" t="str">
        <f t="shared" si="166"/>
        <v>OFF</v>
      </c>
      <c r="L233" s="116" t="str">
        <f t="shared" si="166"/>
        <v>OFF</v>
      </c>
      <c r="M233" s="116">
        <f t="shared" si="166"/>
        <v>0.91666666666666674</v>
      </c>
      <c r="N233" s="116">
        <f t="shared" si="166"/>
        <v>0.91666666666666674</v>
      </c>
      <c r="O233" s="116">
        <f t="shared" si="166"/>
        <v>0.91666666666666674</v>
      </c>
      <c r="P233" s="116">
        <f t="shared" si="166"/>
        <v>0.91666666666666674</v>
      </c>
      <c r="Q233" s="86">
        <f t="shared" si="166"/>
        <v>0.91666666666666674</v>
      </c>
      <c r="R233" s="116" t="str">
        <f t="shared" si="166"/>
        <v>OFF</v>
      </c>
      <c r="S233" s="116" t="str">
        <f t="shared" si="166"/>
        <v>OFF</v>
      </c>
      <c r="T233" s="116">
        <f t="shared" si="166"/>
        <v>0.91666666666666674</v>
      </c>
      <c r="U233" s="116">
        <f t="shared" si="166"/>
        <v>0.91666666666666674</v>
      </c>
      <c r="V233" s="116">
        <f t="shared" si="166"/>
        <v>0.91666666666666674</v>
      </c>
      <c r="W233" s="72">
        <f t="shared" si="166"/>
        <v>0.91666666666666674</v>
      </c>
      <c r="X233" s="72">
        <f t="shared" si="147"/>
        <v>0.91666666666666674</v>
      </c>
    </row>
    <row r="234" spans="1:24" x14ac:dyDescent="0.2">
      <c r="A234" s="71" t="str">
        <f t="shared" si="144"/>
        <v>Rodney Marzan</v>
      </c>
      <c r="B234" s="29" t="str">
        <f>IFERROR(VLOOKUP(A234,Masterlist!B:D,3,),"-")</f>
        <v>Anthony Aries Osacia</v>
      </c>
      <c r="C234" s="116">
        <f t="shared" ref="C234:W234" si="167">IFERROR(IF(C89 = "PTO", "PTO",C89+"12:00"),"OFF")</f>
        <v>0.91666666666666674</v>
      </c>
      <c r="D234" s="116" t="str">
        <f t="shared" si="167"/>
        <v>OFF</v>
      </c>
      <c r="E234" s="116" t="str">
        <f t="shared" si="167"/>
        <v>OFF</v>
      </c>
      <c r="F234" s="116">
        <f t="shared" si="167"/>
        <v>0.91666666666666674</v>
      </c>
      <c r="G234" s="116">
        <f t="shared" si="167"/>
        <v>0.91666666666666674</v>
      </c>
      <c r="H234" s="116">
        <f t="shared" si="167"/>
        <v>0.91666666666666674</v>
      </c>
      <c r="I234" s="116">
        <f t="shared" si="167"/>
        <v>0.91666666666666674</v>
      </c>
      <c r="J234" s="86">
        <f t="shared" si="167"/>
        <v>0.91666666666666674</v>
      </c>
      <c r="K234" s="116" t="str">
        <f t="shared" si="167"/>
        <v>OFF</v>
      </c>
      <c r="L234" s="116" t="str">
        <f t="shared" si="167"/>
        <v>OFF</v>
      </c>
      <c r="M234" s="116">
        <f t="shared" si="167"/>
        <v>0.91666666666666674</v>
      </c>
      <c r="N234" s="116">
        <f t="shared" si="167"/>
        <v>0.91666666666666674</v>
      </c>
      <c r="O234" s="116">
        <f t="shared" si="167"/>
        <v>0.91666666666666674</v>
      </c>
      <c r="P234" s="116">
        <f t="shared" si="167"/>
        <v>0.91666666666666674</v>
      </c>
      <c r="Q234" s="86">
        <f t="shared" si="167"/>
        <v>0.91666666666666674</v>
      </c>
      <c r="R234" s="116" t="str">
        <f t="shared" si="167"/>
        <v>OFF</v>
      </c>
      <c r="S234" s="116" t="str">
        <f t="shared" si="167"/>
        <v>OFF</v>
      </c>
      <c r="T234" s="116">
        <f t="shared" si="167"/>
        <v>0.91666666666666674</v>
      </c>
      <c r="U234" s="116">
        <f t="shared" si="167"/>
        <v>0.91666666666666674</v>
      </c>
      <c r="V234" s="116">
        <f t="shared" si="167"/>
        <v>0.91666666666666674</v>
      </c>
      <c r="W234" s="72">
        <f t="shared" si="167"/>
        <v>0.91666666666666674</v>
      </c>
      <c r="X234" s="72">
        <f t="shared" si="147"/>
        <v>0.91666666666666674</v>
      </c>
    </row>
    <row r="235" spans="1:24" x14ac:dyDescent="0.2">
      <c r="A235" s="71" t="str">
        <f t="shared" si="144"/>
        <v>Wallen Simbahan</v>
      </c>
      <c r="B235" s="29" t="str">
        <f>IFERROR(VLOOKUP(A235,Masterlist!B:D,3,),"-")</f>
        <v>Anthony Aries Osacia</v>
      </c>
      <c r="C235" s="116">
        <f t="shared" ref="C235:W235" si="168">IFERROR(IF(C90 = "PTO", "PTO",C90+"12:00"),"OFF")</f>
        <v>0.91666666666666674</v>
      </c>
      <c r="D235" s="116" t="str">
        <f t="shared" si="168"/>
        <v>OFF</v>
      </c>
      <c r="E235" s="116" t="str">
        <f t="shared" si="168"/>
        <v>OFF</v>
      </c>
      <c r="F235" s="116">
        <f t="shared" si="168"/>
        <v>0.91666666666666674</v>
      </c>
      <c r="G235" s="116">
        <f t="shared" si="168"/>
        <v>0.91666666666666674</v>
      </c>
      <c r="H235" s="116">
        <f t="shared" si="168"/>
        <v>0.91666666666666674</v>
      </c>
      <c r="I235" s="116">
        <f t="shared" si="168"/>
        <v>0.91666666666666674</v>
      </c>
      <c r="J235" s="86">
        <f t="shared" si="168"/>
        <v>0.91666666666666674</v>
      </c>
      <c r="K235" s="116" t="str">
        <f t="shared" si="168"/>
        <v>OFF</v>
      </c>
      <c r="L235" s="116" t="str">
        <f t="shared" si="168"/>
        <v>OFF</v>
      </c>
      <c r="M235" s="116">
        <f t="shared" si="168"/>
        <v>0.91666666666666674</v>
      </c>
      <c r="N235" s="116">
        <f t="shared" si="168"/>
        <v>0.91666666666666674</v>
      </c>
      <c r="O235" s="116">
        <f t="shared" si="168"/>
        <v>0.91666666666666674</v>
      </c>
      <c r="P235" s="116">
        <f t="shared" si="168"/>
        <v>0.91666666666666674</v>
      </c>
      <c r="Q235" s="86">
        <f t="shared" si="168"/>
        <v>0.91666666666666674</v>
      </c>
      <c r="R235" s="116" t="str">
        <f t="shared" si="168"/>
        <v>OFF</v>
      </c>
      <c r="S235" s="116" t="str">
        <f t="shared" si="168"/>
        <v>OFF</v>
      </c>
      <c r="T235" s="116">
        <f t="shared" si="168"/>
        <v>0.91666666666666674</v>
      </c>
      <c r="U235" s="116">
        <f t="shared" si="168"/>
        <v>0.91666666666666674</v>
      </c>
      <c r="V235" s="116">
        <f t="shared" si="168"/>
        <v>0.91666666666666674</v>
      </c>
      <c r="W235" s="72">
        <f t="shared" si="168"/>
        <v>0.91666666666666674</v>
      </c>
      <c r="X235" s="72">
        <f t="shared" si="147"/>
        <v>0.91666666666666674</v>
      </c>
    </row>
    <row r="236" spans="1:24" x14ac:dyDescent="0.2">
      <c r="A236" s="71" t="str">
        <f t="shared" si="144"/>
        <v>Kathleene Faye Villarin</v>
      </c>
      <c r="B236" s="29" t="str">
        <f>IFERROR(VLOOKUP(A236,Masterlist!B:D,3,),"-")</f>
        <v>Denmark Deduyo</v>
      </c>
      <c r="C236" s="116">
        <f t="shared" ref="C236:C238" si="169">IFERROR(IF(Y91 = "PTO", "PTO",Y91+"12:00"),"OFF")</f>
        <v>1.1666666666666665</v>
      </c>
      <c r="D236" s="116">
        <f t="shared" ref="D236:D238" si="170">IFERROR(IF(C91 = "PTO", "PTO",C91+"12:00"),"OFF")</f>
        <v>1.1666666666666665</v>
      </c>
      <c r="E236" s="116">
        <f t="shared" ref="E236:E238" si="171">IFERROR(IF(D91 = "PTO", "PTO",D91+"12:00"),"OFF")</f>
        <v>1.1666666666666665</v>
      </c>
      <c r="F236" s="116">
        <f t="shared" ref="F236:F238" si="172">IFERROR(IF(E91 = "PTO", "PTO",E91+"12:00"),"OFF")</f>
        <v>1.1666666666666665</v>
      </c>
      <c r="G236" s="116" t="str">
        <f t="shared" ref="G236:G238" si="173">IFERROR(IF(F91 = "PTO", "PTO",F91+"12:00"),"OFF")</f>
        <v>OFF</v>
      </c>
      <c r="H236" s="116">
        <f t="shared" ref="H236:H238" si="174">IFERROR(IF(G91 = "PTO", "PTO",G91+"12:00"),"OFF")</f>
        <v>1.1666666666666665</v>
      </c>
      <c r="I236" s="116" t="str">
        <f t="shared" ref="I236:I238" si="175">IFERROR(IF(H91 = "PTO", "PTO",H91+"12:00"),"OFF")</f>
        <v>OFF</v>
      </c>
      <c r="J236" s="86">
        <f t="shared" ref="J236:J238" si="176">IFERROR(IF(I91 = "PTO", "PTO",I91+"12:00"),"OFF")</f>
        <v>1.1666666666666665</v>
      </c>
      <c r="K236" s="116">
        <f t="shared" ref="K236:K238" si="177">IFERROR(IF(J91 = "PTO", "PTO",J91+"12:00"),"OFF")</f>
        <v>1.1666666666666665</v>
      </c>
      <c r="L236" s="116">
        <f t="shared" ref="L236:L238" si="178">IFERROR(IF(K91 = "PTO", "PTO",K91+"12:00"),"OFF")</f>
        <v>1.1666666666666665</v>
      </c>
      <c r="M236" s="116">
        <f t="shared" ref="M236:M238" si="179">IFERROR(IF(L91 = "PTO", "PTO",L91+"12:00"),"OFF")</f>
        <v>1.1666666666666665</v>
      </c>
      <c r="N236" s="116">
        <f t="shared" ref="N236:N238" si="180">IFERROR(IF(M91 = "PTO", "PTO",M91+"12:00"),"OFF")</f>
        <v>1.1666666666666665</v>
      </c>
      <c r="O236" s="116" t="str">
        <f t="shared" ref="O236:O238" si="181">IFERROR(IF(N91 = "PTO", "PTO",N91+"12:00"),"OFF")</f>
        <v>OFF</v>
      </c>
      <c r="P236" s="116" t="str">
        <f t="shared" ref="P236:P238" si="182">IFERROR(IF(O91 = "PTO", "PTO",O91+"12:00"),"OFF")</f>
        <v>OFF</v>
      </c>
      <c r="Q236" s="86">
        <f t="shared" ref="Q236:Q238" si="183">IFERROR(IF(P91 = "PTO", "PTO",P91+"12:00"),"OFF")</f>
        <v>1.1666666666666665</v>
      </c>
      <c r="R236" s="116">
        <f t="shared" ref="R236:R238" si="184">IFERROR(IF(Q91 = "PTO", "PTO",Q91+"12:00"),"OFF")</f>
        <v>1.1666666666666665</v>
      </c>
      <c r="S236" s="116">
        <f t="shared" ref="S236:S238" si="185">IFERROR(IF(R91 = "PTO", "PTO",R91+"12:00"),"OFF")</f>
        <v>1.1666666666666665</v>
      </c>
      <c r="T236" s="116">
        <f t="shared" ref="T236:T238" si="186">IFERROR(IF(S91 = "PTO", "PTO",S91+"12:00"),"OFF")</f>
        <v>1.1666666666666665</v>
      </c>
      <c r="U236" s="116">
        <f t="shared" ref="U236:U238" si="187">IFERROR(IF(T91 = "PTO", "PTO",T91+"12:00"),"OFF")</f>
        <v>1.1666666666666665</v>
      </c>
      <c r="V236" s="116" t="str">
        <f t="shared" ref="V236:V238" si="188">IFERROR(IF(U91 = "PTO", "PTO",U91+"12:00"),"OFF")</f>
        <v>OFF</v>
      </c>
      <c r="W236" s="72" t="str">
        <f t="shared" ref="W236:W238" si="189">IFERROR(IF(V91 = "PTO", "PTO",V91+"12:00"),"OFF")</f>
        <v>OFF</v>
      </c>
      <c r="X236" s="72">
        <f t="shared" si="147"/>
        <v>1.1666666666666665</v>
      </c>
    </row>
    <row r="237" spans="1:24" x14ac:dyDescent="0.2">
      <c r="A237" s="71" t="str">
        <f t="shared" si="144"/>
        <v>Rencel Jan Hortillosa</v>
      </c>
      <c r="B237" s="29" t="str">
        <f>IFERROR(VLOOKUP(A237,Masterlist!B:D,3,),"-")</f>
        <v>Denmark Deduyo</v>
      </c>
      <c r="C237" s="116">
        <f t="shared" si="169"/>
        <v>1.1666666666666665</v>
      </c>
      <c r="D237" s="116">
        <f t="shared" si="170"/>
        <v>1.1666666666666665</v>
      </c>
      <c r="E237" s="116">
        <f t="shared" si="171"/>
        <v>1.1666666666666665</v>
      </c>
      <c r="F237" s="116">
        <f t="shared" si="172"/>
        <v>1.1666666666666665</v>
      </c>
      <c r="G237" s="116" t="str">
        <f t="shared" si="173"/>
        <v>OFF</v>
      </c>
      <c r="H237" s="116">
        <f t="shared" si="174"/>
        <v>1.1666666666666665</v>
      </c>
      <c r="I237" s="116" t="str">
        <f t="shared" si="175"/>
        <v>OFF</v>
      </c>
      <c r="J237" s="86">
        <f t="shared" si="176"/>
        <v>1.1666666666666665</v>
      </c>
      <c r="K237" s="116">
        <f t="shared" si="177"/>
        <v>1.1666666666666665</v>
      </c>
      <c r="L237" s="116">
        <f t="shared" si="178"/>
        <v>1.1666666666666665</v>
      </c>
      <c r="M237" s="116">
        <f t="shared" si="179"/>
        <v>1.1666666666666665</v>
      </c>
      <c r="N237" s="116">
        <f t="shared" si="180"/>
        <v>1.1666666666666665</v>
      </c>
      <c r="O237" s="116" t="str">
        <f t="shared" si="181"/>
        <v>OFF</v>
      </c>
      <c r="P237" s="116" t="str">
        <f t="shared" si="182"/>
        <v>OFF</v>
      </c>
      <c r="Q237" s="86">
        <f t="shared" si="183"/>
        <v>1.1666666666666665</v>
      </c>
      <c r="R237" s="116">
        <f t="shared" si="184"/>
        <v>1.1666666666666665</v>
      </c>
      <c r="S237" s="116">
        <f t="shared" si="185"/>
        <v>1.1666666666666665</v>
      </c>
      <c r="T237" s="116">
        <f t="shared" si="186"/>
        <v>1.1666666666666665</v>
      </c>
      <c r="U237" s="116">
        <f t="shared" si="187"/>
        <v>1.1666666666666665</v>
      </c>
      <c r="V237" s="116" t="str">
        <f t="shared" si="188"/>
        <v>OFF</v>
      </c>
      <c r="W237" s="72" t="str">
        <f t="shared" si="189"/>
        <v>OFF</v>
      </c>
      <c r="X237" s="72">
        <f t="shared" si="147"/>
        <v>1.1666666666666665</v>
      </c>
    </row>
    <row r="238" spans="1:24" x14ac:dyDescent="0.2">
      <c r="A238" s="71" t="str">
        <f t="shared" si="144"/>
        <v>Fiona Joice Padilla</v>
      </c>
      <c r="B238" s="29" t="str">
        <f>IFERROR(VLOOKUP(A238,Masterlist!B:D,3,),"-")</f>
        <v>Denmark Deduyo</v>
      </c>
      <c r="C238" s="116">
        <f t="shared" si="169"/>
        <v>1.1666666666666665</v>
      </c>
      <c r="D238" s="116">
        <f t="shared" si="170"/>
        <v>1.1666666666666665</v>
      </c>
      <c r="E238" s="116">
        <f t="shared" si="171"/>
        <v>1.1666666666666665</v>
      </c>
      <c r="F238" s="116">
        <f t="shared" si="172"/>
        <v>1.1666666666666665</v>
      </c>
      <c r="G238" s="116" t="str">
        <f t="shared" si="173"/>
        <v>OFF</v>
      </c>
      <c r="H238" s="116">
        <f t="shared" si="174"/>
        <v>1.1666666666666665</v>
      </c>
      <c r="I238" s="116" t="str">
        <f t="shared" si="175"/>
        <v>OFF</v>
      </c>
      <c r="J238" s="86">
        <f t="shared" si="176"/>
        <v>1.1666666666666665</v>
      </c>
      <c r="K238" s="116">
        <f t="shared" si="177"/>
        <v>1.1666666666666665</v>
      </c>
      <c r="L238" s="116">
        <f t="shared" si="178"/>
        <v>1.1666666666666665</v>
      </c>
      <c r="M238" s="116">
        <f t="shared" si="179"/>
        <v>1.1666666666666665</v>
      </c>
      <c r="N238" s="116">
        <f t="shared" si="180"/>
        <v>1.1666666666666665</v>
      </c>
      <c r="O238" s="116" t="str">
        <f t="shared" si="181"/>
        <v>OFF</v>
      </c>
      <c r="P238" s="116" t="str">
        <f t="shared" si="182"/>
        <v>OFF</v>
      </c>
      <c r="Q238" s="86">
        <f t="shared" si="183"/>
        <v>1.1666666666666665</v>
      </c>
      <c r="R238" s="116">
        <f t="shared" si="184"/>
        <v>1.1666666666666665</v>
      </c>
      <c r="S238" s="116">
        <f t="shared" si="185"/>
        <v>1.1666666666666665</v>
      </c>
      <c r="T238" s="116">
        <f t="shared" si="186"/>
        <v>1.1666666666666665</v>
      </c>
      <c r="U238" s="116">
        <f t="shared" si="187"/>
        <v>1.1666666666666665</v>
      </c>
      <c r="V238" s="116" t="str">
        <f t="shared" si="188"/>
        <v>OFF</v>
      </c>
      <c r="W238" s="72" t="str">
        <f t="shared" si="189"/>
        <v>OFF</v>
      </c>
      <c r="X238" s="72">
        <f t="shared" si="147"/>
        <v>1.1666666666666665</v>
      </c>
    </row>
    <row r="239" spans="1:24" x14ac:dyDescent="0.2">
      <c r="A239" s="71" t="str">
        <f t="shared" si="144"/>
        <v>John Vincent Tio</v>
      </c>
      <c r="B239" s="29" t="str">
        <f>IFERROR(VLOOKUP(A239,Masterlist!B:D,3,),"-")</f>
        <v>Denmark Deduyo</v>
      </c>
      <c r="C239" s="116">
        <f t="shared" ref="C239:C240" si="190">IFERROR(IF(Y94 = "PTO", "PTO",Y94+"12:00"),"OFF")</f>
        <v>1.1666666666666665</v>
      </c>
      <c r="D239" s="116">
        <f t="shared" ref="D239:D240" si="191">IFERROR(IF(C94 = "PTO", "PTO",C94+"12:00"),"OFF")</f>
        <v>1.1666666666666665</v>
      </c>
      <c r="E239" s="116">
        <f t="shared" ref="E239:E266" si="192">IFERROR(IF(D94 = "PTO", "PTO",D94+"12:00"),"OFF")</f>
        <v>1.1666666666666665</v>
      </c>
      <c r="F239" s="116">
        <f t="shared" ref="F239:F240" si="193">IFERROR(IF(E94 = "PTO", "PTO",E94+"12:00"),"OFF")</f>
        <v>1.1666666666666665</v>
      </c>
      <c r="G239" s="116" t="str">
        <f t="shared" ref="G239:G240" si="194">IFERROR(IF(F94 = "PTO", "PTO",F94+"12:00"),"OFF")</f>
        <v>OFF</v>
      </c>
      <c r="H239" s="116">
        <f t="shared" ref="H239:H240" si="195">IFERROR(IF(G94 = "PTO", "PTO",G94+"12:00"),"OFF")</f>
        <v>1.1666666666666665</v>
      </c>
      <c r="I239" s="116" t="str">
        <f t="shared" ref="I239:I240" si="196">IFERROR(IF(H94 = "PTO", "PTO",H94+"12:00"),"OFF")</f>
        <v>OFF</v>
      </c>
      <c r="J239" s="86">
        <f t="shared" ref="J239:J266" si="197">IFERROR(IF(I94 = "PTO", "PTO",I94+"12:00"),"OFF")</f>
        <v>1.1666666666666665</v>
      </c>
      <c r="K239" s="116">
        <f t="shared" ref="K239:K266" si="198">IFERROR(IF(J94 = "PTO", "PTO",J94+"12:00"),"OFF")</f>
        <v>1.1666666666666665</v>
      </c>
      <c r="L239" s="116">
        <f t="shared" ref="L239:L266" si="199">IFERROR(IF(K94 = "PTO", "PTO",K94+"12:00"),"OFF")</f>
        <v>1.1666666666666665</v>
      </c>
      <c r="M239" s="116">
        <f t="shared" ref="M239:M266" si="200">IFERROR(IF(L94 = "PTO", "PTO",L94+"12:00"),"OFF")</f>
        <v>1.1666666666666665</v>
      </c>
      <c r="N239" s="116">
        <f t="shared" ref="N239:N266" si="201">IFERROR(IF(M94 = "PTO", "PTO",M94+"12:00"),"OFF")</f>
        <v>1.1666666666666665</v>
      </c>
      <c r="O239" s="116" t="str">
        <f t="shared" ref="O239:O266" si="202">IFERROR(IF(N94 = "PTO", "PTO",N94+"12:00"),"OFF")</f>
        <v>OFF</v>
      </c>
      <c r="P239" s="116" t="str">
        <f t="shared" ref="P239:P266" si="203">IFERROR(IF(O94 = "PTO", "PTO",O94+"12:00"),"OFF")</f>
        <v>OFF</v>
      </c>
      <c r="Q239" s="86">
        <f t="shared" ref="Q239:Q266" si="204">IFERROR(IF(P94 = "PTO", "PTO",P94+"12:00"),"OFF")</f>
        <v>1.1666666666666665</v>
      </c>
      <c r="R239" s="116">
        <f t="shared" ref="R239:R266" si="205">IFERROR(IF(Q94 = "PTO", "PTO",Q94+"12:00"),"OFF")</f>
        <v>1.1666666666666665</v>
      </c>
      <c r="S239" s="116">
        <f t="shared" ref="S239:S266" si="206">IFERROR(IF(R94 = "PTO", "PTO",R94+"12:00"),"OFF")</f>
        <v>1.1666666666666665</v>
      </c>
      <c r="T239" s="116">
        <f t="shared" ref="T239:T266" si="207">IFERROR(IF(S94 = "PTO", "PTO",S94+"12:00"),"OFF")</f>
        <v>1.1666666666666665</v>
      </c>
      <c r="U239" s="116">
        <f t="shared" ref="U239:U266" si="208">IFERROR(IF(T94 = "PTO", "PTO",T94+"12:00"),"OFF")</f>
        <v>1.1666666666666665</v>
      </c>
      <c r="V239" s="116" t="str">
        <f t="shared" ref="V239:V266" si="209">IFERROR(IF(U94 = "PTO", "PTO",U94+"12:00"),"OFF")</f>
        <v>OFF</v>
      </c>
      <c r="W239" s="72" t="str">
        <f t="shared" ref="W239:W266" si="210">IFERROR(IF(V94 = "PTO", "PTO",V94+"12:00"),"OFF")</f>
        <v>OFF</v>
      </c>
      <c r="X239" s="72">
        <f t="shared" si="147"/>
        <v>1.1666666666666665</v>
      </c>
    </row>
    <row r="240" spans="1:24" x14ac:dyDescent="0.2">
      <c r="A240" s="71" t="str">
        <f t="shared" si="144"/>
        <v>Christine Jessa Barillo</v>
      </c>
      <c r="B240" s="29" t="str">
        <f>IFERROR(VLOOKUP(A240,Masterlist!B:D,3,),"-")</f>
        <v>Denmark Deduyo</v>
      </c>
      <c r="C240" s="116">
        <f t="shared" si="190"/>
        <v>1.1666666666666665</v>
      </c>
      <c r="D240" s="116">
        <f t="shared" si="191"/>
        <v>1.1666666666666665</v>
      </c>
      <c r="E240" s="116">
        <f t="shared" si="192"/>
        <v>1.1666666666666665</v>
      </c>
      <c r="F240" s="116">
        <f t="shared" si="193"/>
        <v>1.1666666666666665</v>
      </c>
      <c r="G240" s="116" t="str">
        <f t="shared" si="194"/>
        <v>OFF</v>
      </c>
      <c r="H240" s="116">
        <f t="shared" si="195"/>
        <v>1.1666666666666665</v>
      </c>
      <c r="I240" s="116" t="str">
        <f t="shared" si="196"/>
        <v>OFF</v>
      </c>
      <c r="J240" s="86">
        <f t="shared" si="197"/>
        <v>1.1666666666666665</v>
      </c>
      <c r="K240" s="116">
        <f t="shared" si="198"/>
        <v>1.1666666666666665</v>
      </c>
      <c r="L240" s="116">
        <f t="shared" si="199"/>
        <v>1.1666666666666665</v>
      </c>
      <c r="M240" s="116">
        <f t="shared" si="200"/>
        <v>1.1666666666666665</v>
      </c>
      <c r="N240" s="116">
        <f t="shared" si="201"/>
        <v>1.1666666666666665</v>
      </c>
      <c r="O240" s="116" t="str">
        <f t="shared" si="202"/>
        <v>OFF</v>
      </c>
      <c r="P240" s="116" t="str">
        <f t="shared" si="203"/>
        <v>OFF</v>
      </c>
      <c r="Q240" s="86">
        <f t="shared" si="204"/>
        <v>1.1666666666666665</v>
      </c>
      <c r="R240" s="116">
        <f t="shared" si="205"/>
        <v>1.1666666666666665</v>
      </c>
      <c r="S240" s="116">
        <f t="shared" si="206"/>
        <v>1.1666666666666665</v>
      </c>
      <c r="T240" s="116">
        <f t="shared" si="207"/>
        <v>1.1666666666666665</v>
      </c>
      <c r="U240" s="116">
        <f t="shared" si="208"/>
        <v>1.1666666666666665</v>
      </c>
      <c r="V240" s="116" t="str">
        <f t="shared" si="209"/>
        <v>OFF</v>
      </c>
      <c r="W240" s="72" t="str">
        <f t="shared" si="210"/>
        <v>OFF</v>
      </c>
      <c r="X240" s="72">
        <f t="shared" si="147"/>
        <v>1.1666666666666665</v>
      </c>
    </row>
    <row r="241" spans="1:24" x14ac:dyDescent="0.2">
      <c r="A241" s="71" t="str">
        <f t="shared" si="144"/>
        <v>Erika Teodore</v>
      </c>
      <c r="B241" s="29" t="str">
        <f>IFERROR(VLOOKUP(A241,Masterlist!B:D,3,),"-")</f>
        <v>Denmark Deduyo</v>
      </c>
      <c r="C241" s="116">
        <f t="shared" ref="C241:C266" si="211">IFERROR(IF(Y96 = "PTO", "PTO",Y96+"12:00"),"OFF")</f>
        <v>1.1666666666666665</v>
      </c>
      <c r="D241" s="116">
        <f t="shared" ref="D241:D266" si="212">IFERROR(IF(C96 = "PTO", "PTO",C96+"12:00"),"OFF")</f>
        <v>1.1666666666666665</v>
      </c>
      <c r="E241" s="116">
        <f t="shared" si="192"/>
        <v>1.1666666666666665</v>
      </c>
      <c r="F241" s="116">
        <f t="shared" ref="F241:F266" si="213">IFERROR(IF(E96 = "PTO", "PTO",E96+"12:00"),"OFF")</f>
        <v>1.1666666666666665</v>
      </c>
      <c r="G241" s="116" t="str">
        <f t="shared" ref="G241:H266" si="214">IFERROR(IF(F96 = "PTO", "PTO",F96+"12:00"),"OFF")</f>
        <v>OFF</v>
      </c>
      <c r="H241" s="116">
        <f t="shared" ref="H241:H266" si="215">IFERROR(IF(G96 = "PTO", "PTO",G96+"12:00"),"OFF")</f>
        <v>1.1666666666666665</v>
      </c>
      <c r="I241" s="116" t="str">
        <f t="shared" ref="I241:I266" si="216">IFERROR(IF(H96 = "PTO", "PTO",H96+"12:00"),"OFF")</f>
        <v>OFF</v>
      </c>
      <c r="J241" s="86">
        <f t="shared" si="197"/>
        <v>1.1666666666666665</v>
      </c>
      <c r="K241" s="116">
        <f t="shared" si="198"/>
        <v>1.1666666666666665</v>
      </c>
      <c r="L241" s="116">
        <f t="shared" si="199"/>
        <v>1.1666666666666665</v>
      </c>
      <c r="M241" s="116">
        <f t="shared" si="200"/>
        <v>1.1666666666666665</v>
      </c>
      <c r="N241" s="116">
        <f t="shared" si="201"/>
        <v>1.1666666666666665</v>
      </c>
      <c r="O241" s="116" t="str">
        <f t="shared" si="202"/>
        <v>OFF</v>
      </c>
      <c r="P241" s="116" t="str">
        <f t="shared" si="203"/>
        <v>OFF</v>
      </c>
      <c r="Q241" s="86">
        <f t="shared" si="204"/>
        <v>1.1666666666666665</v>
      </c>
      <c r="R241" s="116">
        <f t="shared" si="205"/>
        <v>1.1666666666666665</v>
      </c>
      <c r="S241" s="116">
        <f t="shared" si="206"/>
        <v>1.1666666666666665</v>
      </c>
      <c r="T241" s="116">
        <f t="shared" si="207"/>
        <v>1.1666666666666665</v>
      </c>
      <c r="U241" s="116">
        <f t="shared" si="208"/>
        <v>1.1666666666666665</v>
      </c>
      <c r="V241" s="116" t="str">
        <f t="shared" si="209"/>
        <v>OFF</v>
      </c>
      <c r="W241" s="72" t="str">
        <f t="shared" si="210"/>
        <v>OFF</v>
      </c>
      <c r="X241" s="72">
        <f t="shared" si="147"/>
        <v>1.1666666666666665</v>
      </c>
    </row>
    <row r="242" spans="1:24" x14ac:dyDescent="0.2">
      <c r="A242" s="71" t="str">
        <f t="shared" si="144"/>
        <v>Ella Mae Alvarez</v>
      </c>
      <c r="B242" s="29" t="str">
        <f>IFERROR(VLOOKUP(A242,Masterlist!B:D,3,),"-")</f>
        <v>Denmark Deduyo</v>
      </c>
      <c r="C242" s="116">
        <f t="shared" si="211"/>
        <v>1.1666666666666665</v>
      </c>
      <c r="D242" s="116">
        <f t="shared" si="212"/>
        <v>1.1666666666666665</v>
      </c>
      <c r="E242" s="116">
        <f t="shared" si="192"/>
        <v>1.1666666666666665</v>
      </c>
      <c r="F242" s="116">
        <f t="shared" si="213"/>
        <v>1.1666666666666665</v>
      </c>
      <c r="G242" s="116" t="str">
        <f t="shared" si="214"/>
        <v>OFF</v>
      </c>
      <c r="H242" s="116">
        <f t="shared" si="215"/>
        <v>1.1666666666666665</v>
      </c>
      <c r="I242" s="116" t="str">
        <f t="shared" si="216"/>
        <v>OFF</v>
      </c>
      <c r="J242" s="86">
        <f t="shared" si="197"/>
        <v>1.1666666666666665</v>
      </c>
      <c r="K242" s="116">
        <f t="shared" si="198"/>
        <v>1.1666666666666665</v>
      </c>
      <c r="L242" s="116">
        <f t="shared" si="199"/>
        <v>1.1666666666666665</v>
      </c>
      <c r="M242" s="116">
        <f t="shared" si="200"/>
        <v>1.1666666666666665</v>
      </c>
      <c r="N242" s="116">
        <f t="shared" si="201"/>
        <v>1.1666666666666665</v>
      </c>
      <c r="O242" s="116" t="str">
        <f t="shared" si="202"/>
        <v>OFF</v>
      </c>
      <c r="P242" s="116" t="str">
        <f t="shared" si="203"/>
        <v>OFF</v>
      </c>
      <c r="Q242" s="86">
        <f t="shared" si="204"/>
        <v>1.1666666666666665</v>
      </c>
      <c r="R242" s="116">
        <f t="shared" si="205"/>
        <v>1.1666666666666665</v>
      </c>
      <c r="S242" s="116">
        <f t="shared" si="206"/>
        <v>1.1666666666666665</v>
      </c>
      <c r="T242" s="116">
        <f t="shared" si="207"/>
        <v>1.1666666666666665</v>
      </c>
      <c r="U242" s="116">
        <f t="shared" si="208"/>
        <v>1.1666666666666665</v>
      </c>
      <c r="V242" s="116" t="str">
        <f t="shared" si="209"/>
        <v>OFF</v>
      </c>
      <c r="W242" s="72" t="str">
        <f t="shared" si="210"/>
        <v>OFF</v>
      </c>
      <c r="X242" s="72">
        <f t="shared" si="147"/>
        <v>1.1666666666666665</v>
      </c>
    </row>
    <row r="243" spans="1:24" x14ac:dyDescent="0.2">
      <c r="A243" s="71" t="str">
        <f t="shared" si="144"/>
        <v>Jared  Geduspan</v>
      </c>
      <c r="B243" s="29" t="str">
        <f>IFERROR(VLOOKUP(A243,Masterlist!B:D,3,),"-")</f>
        <v>Denmark Deduyo</v>
      </c>
      <c r="C243" s="116">
        <f t="shared" si="211"/>
        <v>1.1666666666666665</v>
      </c>
      <c r="D243" s="116">
        <f t="shared" si="212"/>
        <v>1.1666666666666665</v>
      </c>
      <c r="E243" s="116">
        <f t="shared" si="192"/>
        <v>1.1666666666666665</v>
      </c>
      <c r="F243" s="116">
        <f t="shared" si="213"/>
        <v>1.1666666666666665</v>
      </c>
      <c r="G243" s="116" t="str">
        <f t="shared" si="214"/>
        <v>OFF</v>
      </c>
      <c r="H243" s="116">
        <f t="shared" si="215"/>
        <v>1.1666666666666665</v>
      </c>
      <c r="I243" s="116" t="str">
        <f t="shared" si="216"/>
        <v>OFF</v>
      </c>
      <c r="J243" s="86">
        <f t="shared" si="197"/>
        <v>1.1666666666666665</v>
      </c>
      <c r="K243" s="116">
        <f t="shared" si="198"/>
        <v>1.1666666666666665</v>
      </c>
      <c r="L243" s="116">
        <f t="shared" si="199"/>
        <v>1.1666666666666665</v>
      </c>
      <c r="M243" s="116">
        <f t="shared" si="200"/>
        <v>1.1666666666666665</v>
      </c>
      <c r="N243" s="116">
        <f t="shared" si="201"/>
        <v>1.1666666666666665</v>
      </c>
      <c r="O243" s="116" t="str">
        <f t="shared" si="202"/>
        <v>OFF</v>
      </c>
      <c r="P243" s="116" t="str">
        <f t="shared" si="203"/>
        <v>OFF</v>
      </c>
      <c r="Q243" s="86">
        <f t="shared" si="204"/>
        <v>1.1666666666666665</v>
      </c>
      <c r="R243" s="116">
        <f t="shared" si="205"/>
        <v>1.1666666666666665</v>
      </c>
      <c r="S243" s="116">
        <f t="shared" si="206"/>
        <v>1.1666666666666665</v>
      </c>
      <c r="T243" s="116">
        <f t="shared" si="207"/>
        <v>1.1666666666666665</v>
      </c>
      <c r="U243" s="116">
        <f t="shared" si="208"/>
        <v>1.1666666666666665</v>
      </c>
      <c r="V243" s="116" t="str">
        <f t="shared" si="209"/>
        <v>OFF</v>
      </c>
      <c r="W243" s="72" t="str">
        <f t="shared" si="210"/>
        <v>OFF</v>
      </c>
      <c r="X243" s="72">
        <f t="shared" si="147"/>
        <v>1.1666666666666665</v>
      </c>
    </row>
    <row r="244" spans="1:24" x14ac:dyDescent="0.2">
      <c r="A244" s="71" t="str">
        <f t="shared" si="144"/>
        <v>Jaudian Kenneth Ian</v>
      </c>
      <c r="B244" s="29" t="str">
        <f>IFERROR(VLOOKUP(A244,Masterlist!B:D,3,),"-")</f>
        <v>Denmark Deduyo</v>
      </c>
      <c r="C244" s="116">
        <f t="shared" si="211"/>
        <v>1.1666666666666665</v>
      </c>
      <c r="D244" s="116">
        <f t="shared" si="212"/>
        <v>1.1666666666666665</v>
      </c>
      <c r="E244" s="116">
        <f t="shared" si="192"/>
        <v>1.1666666666666665</v>
      </c>
      <c r="F244" s="116">
        <f t="shared" si="213"/>
        <v>1.1666666666666665</v>
      </c>
      <c r="G244" s="116" t="str">
        <f t="shared" si="214"/>
        <v>OFF</v>
      </c>
      <c r="H244" s="116">
        <f t="shared" si="215"/>
        <v>1.1666666666666665</v>
      </c>
      <c r="I244" s="116" t="str">
        <f t="shared" si="216"/>
        <v>OFF</v>
      </c>
      <c r="J244" s="86">
        <f t="shared" si="197"/>
        <v>1.1666666666666665</v>
      </c>
      <c r="K244" s="116">
        <f t="shared" si="198"/>
        <v>1.1666666666666665</v>
      </c>
      <c r="L244" s="116">
        <f t="shared" si="199"/>
        <v>1.1666666666666665</v>
      </c>
      <c r="M244" s="116">
        <f t="shared" si="200"/>
        <v>1.1666666666666665</v>
      </c>
      <c r="N244" s="116">
        <f t="shared" si="201"/>
        <v>1.1666666666666665</v>
      </c>
      <c r="O244" s="116" t="str">
        <f t="shared" si="202"/>
        <v>OFF</v>
      </c>
      <c r="P244" s="116" t="str">
        <f t="shared" si="203"/>
        <v>OFF</v>
      </c>
      <c r="Q244" s="86">
        <f t="shared" si="204"/>
        <v>1.1666666666666665</v>
      </c>
      <c r="R244" s="116">
        <f t="shared" si="205"/>
        <v>1.1666666666666665</v>
      </c>
      <c r="S244" s="116">
        <f t="shared" si="206"/>
        <v>1.1666666666666665</v>
      </c>
      <c r="T244" s="116">
        <f t="shared" si="207"/>
        <v>1.1666666666666665</v>
      </c>
      <c r="U244" s="116">
        <f t="shared" si="208"/>
        <v>1.1666666666666665</v>
      </c>
      <c r="V244" s="116" t="str">
        <f t="shared" si="209"/>
        <v>OFF</v>
      </c>
      <c r="W244" s="72" t="str">
        <f t="shared" si="210"/>
        <v>OFF</v>
      </c>
      <c r="X244" s="72">
        <f t="shared" si="147"/>
        <v>1.1666666666666665</v>
      </c>
    </row>
    <row r="245" spans="1:24" x14ac:dyDescent="0.2">
      <c r="A245" s="71" t="str">
        <f t="shared" ref="A245:A254" si="217">IF(B100="","",B100)</f>
        <v>Regina Angelica Duguran</v>
      </c>
      <c r="B245" s="29" t="str">
        <f>IFERROR(VLOOKUP(A245,Masterlist!B:D,3,),"-")</f>
        <v>Denmark Deduyo</v>
      </c>
      <c r="C245" s="116">
        <f t="shared" si="211"/>
        <v>1.1666666666666665</v>
      </c>
      <c r="D245" s="116">
        <f t="shared" si="212"/>
        <v>1.1666666666666665</v>
      </c>
      <c r="E245" s="116">
        <f t="shared" si="192"/>
        <v>1.1666666666666665</v>
      </c>
      <c r="F245" s="116">
        <f t="shared" si="213"/>
        <v>1.1666666666666665</v>
      </c>
      <c r="G245" s="116" t="str">
        <f t="shared" si="214"/>
        <v>OFF</v>
      </c>
      <c r="H245" s="116">
        <f t="shared" si="215"/>
        <v>1.1666666666666665</v>
      </c>
      <c r="I245" s="116" t="str">
        <f t="shared" si="216"/>
        <v>OFF</v>
      </c>
      <c r="J245" s="86">
        <f t="shared" si="197"/>
        <v>1.1666666666666665</v>
      </c>
      <c r="K245" s="116">
        <f t="shared" si="198"/>
        <v>1.1666666666666665</v>
      </c>
      <c r="L245" s="116">
        <f t="shared" si="199"/>
        <v>1.1666666666666665</v>
      </c>
      <c r="M245" s="116">
        <f t="shared" si="200"/>
        <v>1.1666666666666665</v>
      </c>
      <c r="N245" s="116">
        <f t="shared" si="201"/>
        <v>1.1666666666666665</v>
      </c>
      <c r="O245" s="116" t="str">
        <f t="shared" si="202"/>
        <v>OFF</v>
      </c>
      <c r="P245" s="116" t="str">
        <f t="shared" si="203"/>
        <v>OFF</v>
      </c>
      <c r="Q245" s="86">
        <f t="shared" si="204"/>
        <v>1.1666666666666665</v>
      </c>
      <c r="R245" s="116">
        <f t="shared" si="205"/>
        <v>1.1666666666666665</v>
      </c>
      <c r="S245" s="116">
        <f t="shared" si="206"/>
        <v>1.1666666666666665</v>
      </c>
      <c r="T245" s="116">
        <f t="shared" si="207"/>
        <v>1.1666666666666665</v>
      </c>
      <c r="U245" s="116">
        <f t="shared" si="208"/>
        <v>1.1666666666666665</v>
      </c>
      <c r="V245" s="116" t="str">
        <f t="shared" si="209"/>
        <v>OFF</v>
      </c>
      <c r="W245" s="72" t="str">
        <f t="shared" si="210"/>
        <v>OFF</v>
      </c>
      <c r="X245" s="72">
        <f t="shared" si="147"/>
        <v>1.1666666666666665</v>
      </c>
    </row>
    <row r="246" spans="1:24" x14ac:dyDescent="0.2">
      <c r="A246" s="71" t="str">
        <f t="shared" si="217"/>
        <v>Annie Lyn  Dormido</v>
      </c>
      <c r="B246" s="29" t="str">
        <f>IFERROR(VLOOKUP(A246,Masterlist!B:D,3,),"-")</f>
        <v>Denmark Deduyo</v>
      </c>
      <c r="C246" s="116" t="str">
        <f t="shared" si="211"/>
        <v>OFF</v>
      </c>
      <c r="D246" s="116" t="str">
        <f t="shared" si="212"/>
        <v>OFF</v>
      </c>
      <c r="E246" s="116" t="str">
        <f t="shared" si="192"/>
        <v>OFF</v>
      </c>
      <c r="F246" s="116" t="str">
        <f t="shared" si="213"/>
        <v>OFF</v>
      </c>
      <c r="G246" s="116">
        <f t="shared" si="214"/>
        <v>1.1666666666666665</v>
      </c>
      <c r="H246" s="116" t="str">
        <f t="shared" si="214"/>
        <v>OFF</v>
      </c>
      <c r="I246" s="116">
        <f t="shared" si="216"/>
        <v>1.1666666666666665</v>
      </c>
      <c r="J246" s="86">
        <f t="shared" si="197"/>
        <v>1.1666666666666665</v>
      </c>
      <c r="K246" s="116" t="str">
        <f t="shared" si="198"/>
        <v>OFF</v>
      </c>
      <c r="L246" s="116">
        <f t="shared" si="199"/>
        <v>1.1666666666666665</v>
      </c>
      <c r="M246" s="116">
        <f t="shared" si="200"/>
        <v>1.1666666666666665</v>
      </c>
      <c r="N246" s="116">
        <f t="shared" si="201"/>
        <v>1.1666666666666665</v>
      </c>
      <c r="O246" s="116" t="str">
        <f t="shared" si="202"/>
        <v>OFF</v>
      </c>
      <c r="P246" s="116">
        <f t="shared" si="203"/>
        <v>1.1666666666666665</v>
      </c>
      <c r="Q246" s="86">
        <f t="shared" si="204"/>
        <v>1.1666666666666665</v>
      </c>
      <c r="R246" s="116" t="str">
        <f t="shared" si="205"/>
        <v>OFF</v>
      </c>
      <c r="S246" s="116">
        <f t="shared" si="206"/>
        <v>1.1666666666666665</v>
      </c>
      <c r="T246" s="116">
        <f t="shared" si="207"/>
        <v>1.1666666666666665</v>
      </c>
      <c r="U246" s="116">
        <f t="shared" si="208"/>
        <v>1.1666666666666665</v>
      </c>
      <c r="V246" s="116" t="str">
        <f t="shared" si="209"/>
        <v>OFF</v>
      </c>
      <c r="W246" s="72">
        <f t="shared" si="210"/>
        <v>1.1666666666666665</v>
      </c>
      <c r="X246" s="72">
        <f t="shared" si="147"/>
        <v>1.1666666666666665</v>
      </c>
    </row>
    <row r="247" spans="1:24" x14ac:dyDescent="0.2">
      <c r="A247" s="71" t="str">
        <f t="shared" si="217"/>
        <v>Lolette Annie Escobido</v>
      </c>
      <c r="B247" s="29" t="str">
        <f>IFERROR(VLOOKUP(A247,Masterlist!B:D,3,),"-")</f>
        <v>Denmark Deduyo</v>
      </c>
      <c r="C247" s="116">
        <f t="shared" si="211"/>
        <v>1.1666666666666665</v>
      </c>
      <c r="D247" s="116">
        <f t="shared" si="212"/>
        <v>1.1666666666666665</v>
      </c>
      <c r="E247" s="116">
        <f t="shared" si="192"/>
        <v>1.1666666666666665</v>
      </c>
      <c r="F247" s="116">
        <f t="shared" si="213"/>
        <v>1.1666666666666665</v>
      </c>
      <c r="G247" s="116" t="str">
        <f t="shared" si="214"/>
        <v>OFF</v>
      </c>
      <c r="H247" s="116">
        <f t="shared" si="215"/>
        <v>1.1666666666666665</v>
      </c>
      <c r="I247" s="116" t="str">
        <f t="shared" si="216"/>
        <v>OFF</v>
      </c>
      <c r="J247" s="86">
        <f t="shared" si="197"/>
        <v>1.1666666666666665</v>
      </c>
      <c r="K247" s="116">
        <f t="shared" si="198"/>
        <v>1.1666666666666665</v>
      </c>
      <c r="L247" s="116">
        <f t="shared" si="199"/>
        <v>1.1666666666666665</v>
      </c>
      <c r="M247" s="116">
        <f t="shared" si="200"/>
        <v>1.1666666666666665</v>
      </c>
      <c r="N247" s="116">
        <f t="shared" si="201"/>
        <v>1.1666666666666665</v>
      </c>
      <c r="O247" s="116" t="str">
        <f t="shared" si="202"/>
        <v>OFF</v>
      </c>
      <c r="P247" s="116" t="str">
        <f t="shared" si="203"/>
        <v>OFF</v>
      </c>
      <c r="Q247" s="86">
        <f t="shared" si="204"/>
        <v>1.1666666666666665</v>
      </c>
      <c r="R247" s="116">
        <f t="shared" si="205"/>
        <v>1.1666666666666665</v>
      </c>
      <c r="S247" s="116">
        <f t="shared" si="206"/>
        <v>1.1666666666666665</v>
      </c>
      <c r="T247" s="116">
        <f t="shared" si="207"/>
        <v>1.1666666666666665</v>
      </c>
      <c r="U247" s="116">
        <f t="shared" si="208"/>
        <v>1.1666666666666665</v>
      </c>
      <c r="V247" s="116" t="str">
        <f t="shared" si="209"/>
        <v>OFF</v>
      </c>
      <c r="W247" s="72" t="str">
        <f t="shared" si="210"/>
        <v>OFF</v>
      </c>
      <c r="X247" s="72">
        <f t="shared" si="147"/>
        <v>1.1666666666666665</v>
      </c>
    </row>
    <row r="248" spans="1:24" x14ac:dyDescent="0.2">
      <c r="A248" s="71" t="str">
        <f t="shared" si="217"/>
        <v>Delia de la Torre</v>
      </c>
      <c r="B248" s="29" t="str">
        <f>IFERROR(VLOOKUP(A248,Masterlist!B:D,3,),"-")</f>
        <v>Denmark Deduyo</v>
      </c>
      <c r="C248" s="116">
        <f t="shared" si="211"/>
        <v>1.1666666666666665</v>
      </c>
      <c r="D248" s="116">
        <f t="shared" si="212"/>
        <v>1.1666666666666665</v>
      </c>
      <c r="E248" s="116">
        <f t="shared" si="192"/>
        <v>1.1666666666666665</v>
      </c>
      <c r="F248" s="116">
        <f t="shared" si="213"/>
        <v>1.1666666666666665</v>
      </c>
      <c r="G248" s="116" t="str">
        <f t="shared" si="214"/>
        <v>OFF</v>
      </c>
      <c r="H248" s="116">
        <f t="shared" si="215"/>
        <v>1.1666666666666665</v>
      </c>
      <c r="I248" s="116" t="str">
        <f t="shared" si="216"/>
        <v>OFF</v>
      </c>
      <c r="J248" s="86">
        <f t="shared" si="197"/>
        <v>1.1666666666666665</v>
      </c>
      <c r="K248" s="116">
        <f t="shared" si="198"/>
        <v>1.1666666666666665</v>
      </c>
      <c r="L248" s="116">
        <f t="shared" si="199"/>
        <v>1.1666666666666665</v>
      </c>
      <c r="M248" s="116">
        <f t="shared" si="200"/>
        <v>1.1666666666666665</v>
      </c>
      <c r="N248" s="116">
        <f t="shared" si="201"/>
        <v>1.1666666666666665</v>
      </c>
      <c r="O248" s="116" t="str">
        <f t="shared" si="202"/>
        <v>OFF</v>
      </c>
      <c r="P248" s="116" t="str">
        <f t="shared" si="203"/>
        <v>OFF</v>
      </c>
      <c r="Q248" s="86">
        <f t="shared" si="204"/>
        <v>1.1666666666666665</v>
      </c>
      <c r="R248" s="116">
        <f t="shared" si="205"/>
        <v>1.1666666666666665</v>
      </c>
      <c r="S248" s="116">
        <f t="shared" si="206"/>
        <v>1.1666666666666665</v>
      </c>
      <c r="T248" s="116">
        <f t="shared" si="207"/>
        <v>1.1666666666666665</v>
      </c>
      <c r="U248" s="116">
        <f t="shared" si="208"/>
        <v>1.1666666666666665</v>
      </c>
      <c r="V248" s="116" t="str">
        <f t="shared" si="209"/>
        <v>OFF</v>
      </c>
      <c r="W248" s="72" t="str">
        <f t="shared" si="210"/>
        <v>OFF</v>
      </c>
      <c r="X248" s="72">
        <f t="shared" si="147"/>
        <v>1.1666666666666665</v>
      </c>
    </row>
    <row r="249" spans="1:24" x14ac:dyDescent="0.2">
      <c r="A249" s="71" t="str">
        <f t="shared" si="217"/>
        <v>Giline Javellana</v>
      </c>
      <c r="B249" s="29" t="str">
        <f>IFERROR(VLOOKUP(A249,Masterlist!B:D,3,),"-")</f>
        <v>Jean Rose Malan</v>
      </c>
      <c r="C249" s="116">
        <f t="shared" si="211"/>
        <v>1.125</v>
      </c>
      <c r="D249" s="116">
        <f t="shared" si="212"/>
        <v>1.125</v>
      </c>
      <c r="E249" s="116">
        <f t="shared" si="192"/>
        <v>1.125</v>
      </c>
      <c r="F249" s="116" t="str">
        <f t="shared" si="213"/>
        <v>OFF</v>
      </c>
      <c r="G249" s="116">
        <f t="shared" si="214"/>
        <v>1.125</v>
      </c>
      <c r="H249" s="116">
        <f t="shared" si="215"/>
        <v>1.125</v>
      </c>
      <c r="I249" s="116">
        <f t="shared" si="216"/>
        <v>1.125</v>
      </c>
      <c r="J249" s="86" t="str">
        <f t="shared" si="197"/>
        <v>OFF</v>
      </c>
      <c r="K249" s="116" t="str">
        <f t="shared" si="198"/>
        <v>OFF</v>
      </c>
      <c r="L249" s="116">
        <f t="shared" si="199"/>
        <v>1.125</v>
      </c>
      <c r="M249" s="116">
        <f t="shared" si="200"/>
        <v>1.125</v>
      </c>
      <c r="N249" s="116">
        <f t="shared" si="201"/>
        <v>1.125</v>
      </c>
      <c r="O249" s="116">
        <f t="shared" si="202"/>
        <v>1.125</v>
      </c>
      <c r="P249" s="116">
        <f t="shared" si="203"/>
        <v>1.125</v>
      </c>
      <c r="Q249" s="86" t="str">
        <f t="shared" si="204"/>
        <v>OFF</v>
      </c>
      <c r="R249" s="116" t="str">
        <f t="shared" si="205"/>
        <v>OFF</v>
      </c>
      <c r="S249" s="116">
        <f t="shared" si="206"/>
        <v>1.125</v>
      </c>
      <c r="T249" s="116">
        <f t="shared" si="207"/>
        <v>1.125</v>
      </c>
      <c r="U249" s="116">
        <f t="shared" si="208"/>
        <v>1.125</v>
      </c>
      <c r="V249" s="116">
        <f t="shared" si="209"/>
        <v>1.125</v>
      </c>
      <c r="W249" s="72">
        <f t="shared" si="210"/>
        <v>1.125</v>
      </c>
      <c r="X249" s="72">
        <f t="shared" ref="X249" si="218">IFERROR(MODE(Q249:W249),"-")</f>
        <v>1.125</v>
      </c>
    </row>
    <row r="250" spans="1:24" x14ac:dyDescent="0.2">
      <c r="A250" s="71" t="str">
        <f t="shared" si="217"/>
        <v>Hygeia Fides Mariae Pedalino</v>
      </c>
      <c r="B250" s="29" t="str">
        <f>IFERROR(VLOOKUP(A250,Masterlist!B:D,3,),"-")</f>
        <v>Jean Rose Malan</v>
      </c>
      <c r="C250" s="116">
        <f t="shared" si="211"/>
        <v>1.125</v>
      </c>
      <c r="D250" s="116">
        <f t="shared" si="212"/>
        <v>1.125</v>
      </c>
      <c r="E250" s="116">
        <f t="shared" si="192"/>
        <v>1.125</v>
      </c>
      <c r="F250" s="116" t="str">
        <f t="shared" si="213"/>
        <v>OFF</v>
      </c>
      <c r="G250" s="116">
        <f t="shared" si="214"/>
        <v>1.125</v>
      </c>
      <c r="H250" s="116">
        <f t="shared" si="215"/>
        <v>1.125</v>
      </c>
      <c r="I250" s="116">
        <f t="shared" si="216"/>
        <v>1.125</v>
      </c>
      <c r="J250" s="86" t="str">
        <f t="shared" si="197"/>
        <v>OFF</v>
      </c>
      <c r="K250" s="116" t="str">
        <f t="shared" si="198"/>
        <v>OFF</v>
      </c>
      <c r="L250" s="116">
        <f t="shared" si="199"/>
        <v>1.125</v>
      </c>
      <c r="M250" s="116">
        <f t="shared" si="200"/>
        <v>1.125</v>
      </c>
      <c r="N250" s="116">
        <f t="shared" si="201"/>
        <v>1.125</v>
      </c>
      <c r="O250" s="116">
        <f t="shared" si="202"/>
        <v>1.125</v>
      </c>
      <c r="P250" s="116">
        <f t="shared" si="203"/>
        <v>1.125</v>
      </c>
      <c r="Q250" s="86" t="str">
        <f t="shared" si="204"/>
        <v>OFF</v>
      </c>
      <c r="R250" s="116" t="str">
        <f t="shared" si="205"/>
        <v>OFF</v>
      </c>
      <c r="S250" s="116">
        <f t="shared" si="206"/>
        <v>1.125</v>
      </c>
      <c r="T250" s="116">
        <f t="shared" si="207"/>
        <v>1.125</v>
      </c>
      <c r="U250" s="116">
        <f t="shared" si="208"/>
        <v>1.125</v>
      </c>
      <c r="V250" s="116">
        <f t="shared" si="209"/>
        <v>1.125</v>
      </c>
      <c r="W250" s="72">
        <f t="shared" si="210"/>
        <v>1.125</v>
      </c>
      <c r="X250" s="72">
        <f t="shared" ref="X250:X254" si="219">IFERROR(MODE(Q250:W250),"-")</f>
        <v>1.125</v>
      </c>
    </row>
    <row r="251" spans="1:24" x14ac:dyDescent="0.2">
      <c r="A251" s="71" t="str">
        <f t="shared" si="217"/>
        <v>Allen Grace De Juan</v>
      </c>
      <c r="B251" s="29" t="str">
        <f>IFERROR(VLOOKUP(A251,Masterlist!B:D,3,),"-")</f>
        <v>Jean Rose Malan</v>
      </c>
      <c r="C251" s="116">
        <f>IFERROR(IF(Y106 = "PTO", "PTO",Y106+"12:00"),"OFF")</f>
        <v>1.125</v>
      </c>
      <c r="D251" s="116">
        <f t="shared" ref="D251" si="220">IFERROR(IF(C106 = "PTO", "PTO",C106+"12:00"),"OFF")</f>
        <v>1.125</v>
      </c>
      <c r="E251" s="116">
        <f t="shared" si="192"/>
        <v>1.125</v>
      </c>
      <c r="F251" s="116" t="str">
        <f t="shared" ref="F251" si="221">IFERROR(IF(E106 = "PTO", "PTO",E106+"12:00"),"OFF")</f>
        <v>OFF</v>
      </c>
      <c r="G251" s="116">
        <f t="shared" ref="G251" si="222">IFERROR(IF(F106 = "PTO", "PTO",F106+"12:00"),"OFF")</f>
        <v>1.125</v>
      </c>
      <c r="H251" s="116">
        <f t="shared" ref="H251" si="223">IFERROR(IF(G106 = "PTO", "PTO",G106+"12:00"),"OFF")</f>
        <v>1.125</v>
      </c>
      <c r="I251" s="116">
        <f t="shared" ref="I251" si="224">IFERROR(IF(H106 = "PTO", "PTO",H106+"12:00"),"OFF")</f>
        <v>1.125</v>
      </c>
      <c r="J251" s="86" t="str">
        <f t="shared" si="197"/>
        <v>OFF</v>
      </c>
      <c r="K251" s="116" t="str">
        <f t="shared" si="198"/>
        <v>OFF</v>
      </c>
      <c r="L251" s="116">
        <f t="shared" si="199"/>
        <v>1.125</v>
      </c>
      <c r="M251" s="116">
        <f t="shared" si="200"/>
        <v>1.125</v>
      </c>
      <c r="N251" s="116">
        <f t="shared" si="201"/>
        <v>1.125</v>
      </c>
      <c r="O251" s="116">
        <f t="shared" si="202"/>
        <v>1.125</v>
      </c>
      <c r="P251" s="116">
        <f t="shared" si="203"/>
        <v>1.125</v>
      </c>
      <c r="Q251" s="86" t="str">
        <f t="shared" si="204"/>
        <v>OFF</v>
      </c>
      <c r="R251" s="116" t="str">
        <f t="shared" si="205"/>
        <v>OFF</v>
      </c>
      <c r="S251" s="116">
        <f t="shared" si="206"/>
        <v>1.125</v>
      </c>
      <c r="T251" s="116">
        <f t="shared" si="207"/>
        <v>1.125</v>
      </c>
      <c r="U251" s="116">
        <f t="shared" si="208"/>
        <v>1.125</v>
      </c>
      <c r="V251" s="116">
        <f t="shared" si="209"/>
        <v>1.125</v>
      </c>
      <c r="W251" s="72">
        <f t="shared" si="210"/>
        <v>1.125</v>
      </c>
      <c r="X251" s="72">
        <f t="shared" si="219"/>
        <v>1.125</v>
      </c>
    </row>
    <row r="252" spans="1:24" x14ac:dyDescent="0.2">
      <c r="A252" s="71" t="str">
        <f t="shared" si="217"/>
        <v>Ma. Fatima Camposano</v>
      </c>
      <c r="B252" s="29" t="str">
        <f>IFERROR(VLOOKUP(A252,Masterlist!B:D,3,),"-")</f>
        <v>Jean Rose Malan</v>
      </c>
      <c r="C252" s="116">
        <f>IFERROR(IF(Y107 = "PTO", "PTO",Y107+"12:00"),"OFF")</f>
        <v>1.125</v>
      </c>
      <c r="D252" s="116">
        <f t="shared" si="212"/>
        <v>1.125</v>
      </c>
      <c r="E252" s="116">
        <f t="shared" si="192"/>
        <v>1.125</v>
      </c>
      <c r="F252" s="116" t="str">
        <f t="shared" si="213"/>
        <v>OFF</v>
      </c>
      <c r="G252" s="116">
        <f t="shared" si="214"/>
        <v>1.125</v>
      </c>
      <c r="H252" s="116">
        <f t="shared" si="215"/>
        <v>1.125</v>
      </c>
      <c r="I252" s="116">
        <f t="shared" si="216"/>
        <v>1.125</v>
      </c>
      <c r="J252" s="86" t="str">
        <f t="shared" si="197"/>
        <v>OFF</v>
      </c>
      <c r="K252" s="116" t="str">
        <f t="shared" si="198"/>
        <v>OFF</v>
      </c>
      <c r="L252" s="116">
        <f t="shared" si="199"/>
        <v>1.125</v>
      </c>
      <c r="M252" s="116">
        <f t="shared" si="200"/>
        <v>1.125</v>
      </c>
      <c r="N252" s="116">
        <f t="shared" si="201"/>
        <v>1.125</v>
      </c>
      <c r="O252" s="116">
        <f t="shared" si="202"/>
        <v>1.125</v>
      </c>
      <c r="P252" s="116">
        <f t="shared" si="203"/>
        <v>1.125</v>
      </c>
      <c r="Q252" s="86" t="str">
        <f t="shared" si="204"/>
        <v>OFF</v>
      </c>
      <c r="R252" s="116" t="str">
        <f t="shared" si="205"/>
        <v>OFF</v>
      </c>
      <c r="S252" s="116">
        <f t="shared" si="206"/>
        <v>1.125</v>
      </c>
      <c r="T252" s="116">
        <f t="shared" si="207"/>
        <v>1.125</v>
      </c>
      <c r="U252" s="116">
        <f t="shared" si="208"/>
        <v>1.125</v>
      </c>
      <c r="V252" s="116">
        <f t="shared" si="209"/>
        <v>1.125</v>
      </c>
      <c r="W252" s="72">
        <f t="shared" si="210"/>
        <v>1.125</v>
      </c>
      <c r="X252" s="72">
        <f t="shared" si="219"/>
        <v>1.125</v>
      </c>
    </row>
    <row r="253" spans="1:24" x14ac:dyDescent="0.2">
      <c r="A253" s="71" t="str">
        <f t="shared" si="217"/>
        <v>Mavel Batisla-ong</v>
      </c>
      <c r="B253" s="29" t="str">
        <f>IFERROR(VLOOKUP(A253,Masterlist!B:D,3,),"-")</f>
        <v>Jean Rose Malan</v>
      </c>
      <c r="C253" s="116">
        <f t="shared" si="211"/>
        <v>1.125</v>
      </c>
      <c r="D253" s="116">
        <f t="shared" si="212"/>
        <v>1.125</v>
      </c>
      <c r="E253" s="116">
        <f t="shared" si="192"/>
        <v>1.125</v>
      </c>
      <c r="F253" s="116" t="str">
        <f t="shared" si="213"/>
        <v>OFF</v>
      </c>
      <c r="G253" s="116">
        <f t="shared" si="214"/>
        <v>1.125</v>
      </c>
      <c r="H253" s="116">
        <f t="shared" si="215"/>
        <v>1.125</v>
      </c>
      <c r="I253" s="116">
        <f t="shared" si="216"/>
        <v>1.125</v>
      </c>
      <c r="J253" s="86" t="str">
        <f t="shared" si="197"/>
        <v>OFF</v>
      </c>
      <c r="K253" s="116" t="str">
        <f t="shared" si="198"/>
        <v>OFF</v>
      </c>
      <c r="L253" s="116">
        <f t="shared" si="199"/>
        <v>1.125</v>
      </c>
      <c r="M253" s="116">
        <f t="shared" si="200"/>
        <v>1.125</v>
      </c>
      <c r="N253" s="116">
        <f t="shared" si="201"/>
        <v>1.125</v>
      </c>
      <c r="O253" s="116">
        <f t="shared" si="202"/>
        <v>1.125</v>
      </c>
      <c r="P253" s="116">
        <f t="shared" si="203"/>
        <v>1.125</v>
      </c>
      <c r="Q253" s="86" t="str">
        <f t="shared" si="204"/>
        <v>OFF</v>
      </c>
      <c r="R253" s="116" t="str">
        <f t="shared" si="205"/>
        <v>OFF</v>
      </c>
      <c r="S253" s="116">
        <f t="shared" si="206"/>
        <v>1.125</v>
      </c>
      <c r="T253" s="116">
        <f t="shared" si="207"/>
        <v>1.125</v>
      </c>
      <c r="U253" s="116">
        <f t="shared" si="208"/>
        <v>1.125</v>
      </c>
      <c r="V253" s="116">
        <f t="shared" si="209"/>
        <v>1.125</v>
      </c>
      <c r="W253" s="72">
        <f t="shared" si="210"/>
        <v>1.125</v>
      </c>
      <c r="X253" s="72">
        <f t="shared" si="219"/>
        <v>1.125</v>
      </c>
    </row>
    <row r="254" spans="1:24" x14ac:dyDescent="0.2">
      <c r="A254" s="71" t="str">
        <f t="shared" si="217"/>
        <v>Merson Lemuel Teofi Nazareno</v>
      </c>
      <c r="B254" s="29" t="str">
        <f>IFERROR(VLOOKUP(A254,Masterlist!B:D,3,),"-")</f>
        <v>Jean Rose Malan</v>
      </c>
      <c r="C254" s="116">
        <f t="shared" si="211"/>
        <v>1.125</v>
      </c>
      <c r="D254" s="116">
        <f t="shared" si="212"/>
        <v>1.125</v>
      </c>
      <c r="E254" s="116">
        <f t="shared" si="192"/>
        <v>1.125</v>
      </c>
      <c r="F254" s="116" t="str">
        <f t="shared" si="213"/>
        <v>OFF</v>
      </c>
      <c r="G254" s="116">
        <f t="shared" si="214"/>
        <v>1.125</v>
      </c>
      <c r="H254" s="116">
        <f t="shared" si="215"/>
        <v>1.125</v>
      </c>
      <c r="I254" s="116">
        <f t="shared" si="216"/>
        <v>1.125</v>
      </c>
      <c r="J254" s="86" t="str">
        <f t="shared" si="197"/>
        <v>OFF</v>
      </c>
      <c r="K254" s="116" t="str">
        <f t="shared" si="198"/>
        <v>OFF</v>
      </c>
      <c r="L254" s="116">
        <f t="shared" si="199"/>
        <v>1.125</v>
      </c>
      <c r="M254" s="116">
        <f t="shared" si="200"/>
        <v>1.125</v>
      </c>
      <c r="N254" s="116">
        <f t="shared" si="201"/>
        <v>1.125</v>
      </c>
      <c r="O254" s="116">
        <f t="shared" si="202"/>
        <v>1.125</v>
      </c>
      <c r="P254" s="72">
        <f t="shared" si="203"/>
        <v>1.125</v>
      </c>
      <c r="Q254" s="86" t="str">
        <f t="shared" si="204"/>
        <v>OFF</v>
      </c>
      <c r="R254" s="116" t="str">
        <f t="shared" si="205"/>
        <v>OFF</v>
      </c>
      <c r="S254" s="116">
        <f t="shared" si="206"/>
        <v>1.125</v>
      </c>
      <c r="T254" s="116">
        <f t="shared" si="207"/>
        <v>1.125</v>
      </c>
      <c r="U254" s="116">
        <f t="shared" si="208"/>
        <v>1.125</v>
      </c>
      <c r="V254" s="116">
        <f t="shared" si="209"/>
        <v>1.125</v>
      </c>
      <c r="W254" s="72">
        <f t="shared" si="210"/>
        <v>1.125</v>
      </c>
      <c r="X254" s="72">
        <f t="shared" si="219"/>
        <v>1.125</v>
      </c>
    </row>
    <row r="255" spans="1:24" x14ac:dyDescent="0.2">
      <c r="A255" s="71" t="str">
        <f t="shared" ref="A255:A272" si="225">IF(B110="","",B110)</f>
        <v>King Mel Saromines</v>
      </c>
      <c r="B255" s="29" t="str">
        <f>IFERROR(VLOOKUP(A255,Masterlist!B:D,3,),"-")</f>
        <v>Jean Rose Malan</v>
      </c>
      <c r="C255" s="116">
        <f t="shared" si="211"/>
        <v>1.125</v>
      </c>
      <c r="D255" s="116">
        <f t="shared" si="212"/>
        <v>1.125</v>
      </c>
      <c r="E255" s="116">
        <f t="shared" si="192"/>
        <v>1.125</v>
      </c>
      <c r="F255" s="116" t="str">
        <f t="shared" si="213"/>
        <v>OFF</v>
      </c>
      <c r="G255" s="116">
        <f t="shared" si="214"/>
        <v>1.125</v>
      </c>
      <c r="H255" s="116">
        <f t="shared" si="215"/>
        <v>1.125</v>
      </c>
      <c r="I255" s="116">
        <f t="shared" si="216"/>
        <v>1.125</v>
      </c>
      <c r="J255" s="86" t="str">
        <f t="shared" si="197"/>
        <v>OFF</v>
      </c>
      <c r="K255" s="116" t="str">
        <f t="shared" si="198"/>
        <v>OFF</v>
      </c>
      <c r="L255" s="116">
        <f t="shared" si="199"/>
        <v>1.125</v>
      </c>
      <c r="M255" s="116">
        <f t="shared" si="200"/>
        <v>1.125</v>
      </c>
      <c r="N255" s="116">
        <f t="shared" si="201"/>
        <v>1.125</v>
      </c>
      <c r="O255" s="116">
        <f t="shared" si="202"/>
        <v>1.125</v>
      </c>
      <c r="P255" s="72">
        <f t="shared" si="203"/>
        <v>1.125</v>
      </c>
      <c r="Q255" s="86" t="str">
        <f t="shared" si="204"/>
        <v>OFF</v>
      </c>
      <c r="R255" s="116" t="str">
        <f t="shared" si="205"/>
        <v>OFF</v>
      </c>
      <c r="S255" s="116">
        <f t="shared" si="206"/>
        <v>1.125</v>
      </c>
      <c r="T255" s="116">
        <f t="shared" si="207"/>
        <v>1.125</v>
      </c>
      <c r="U255" s="116">
        <f t="shared" si="208"/>
        <v>1.125</v>
      </c>
      <c r="V255" s="116">
        <f t="shared" si="209"/>
        <v>1.125</v>
      </c>
      <c r="W255" s="72">
        <f t="shared" si="210"/>
        <v>1.125</v>
      </c>
      <c r="X255" s="72">
        <f t="shared" ref="X255:X267" si="226">IFERROR(MODE(Q255:W255),"-")</f>
        <v>1.125</v>
      </c>
    </row>
    <row r="256" spans="1:24" x14ac:dyDescent="0.2">
      <c r="A256" s="71" t="str">
        <f t="shared" si="225"/>
        <v>Darlene Joy Lizada</v>
      </c>
      <c r="B256" s="29" t="str">
        <f>IFERROR(VLOOKUP(A256,Masterlist!B:D,3,),"-")</f>
        <v>Jean Rose Malan</v>
      </c>
      <c r="C256" s="116">
        <f t="shared" si="211"/>
        <v>1.125</v>
      </c>
      <c r="D256" s="116">
        <f t="shared" si="212"/>
        <v>1.125</v>
      </c>
      <c r="E256" s="116">
        <f t="shared" si="192"/>
        <v>1.125</v>
      </c>
      <c r="F256" s="116" t="str">
        <f t="shared" si="213"/>
        <v>OFF</v>
      </c>
      <c r="G256" s="116">
        <f t="shared" si="214"/>
        <v>1.125</v>
      </c>
      <c r="H256" s="116">
        <f t="shared" si="215"/>
        <v>1.125</v>
      </c>
      <c r="I256" s="116">
        <f t="shared" si="216"/>
        <v>1.125</v>
      </c>
      <c r="J256" s="86" t="str">
        <f t="shared" si="197"/>
        <v>OFF</v>
      </c>
      <c r="K256" s="116" t="str">
        <f t="shared" si="198"/>
        <v>OFF</v>
      </c>
      <c r="L256" s="116">
        <f t="shared" si="199"/>
        <v>1.125</v>
      </c>
      <c r="M256" s="116">
        <f t="shared" si="200"/>
        <v>1.125</v>
      </c>
      <c r="N256" s="116">
        <f t="shared" si="201"/>
        <v>1.125</v>
      </c>
      <c r="O256" s="116">
        <f t="shared" si="202"/>
        <v>1.125</v>
      </c>
      <c r="P256" s="72">
        <f t="shared" si="203"/>
        <v>1.125</v>
      </c>
      <c r="Q256" s="86" t="str">
        <f t="shared" si="204"/>
        <v>OFF</v>
      </c>
      <c r="R256" s="116" t="str">
        <f t="shared" si="205"/>
        <v>OFF</v>
      </c>
      <c r="S256" s="116">
        <f t="shared" si="206"/>
        <v>1.125</v>
      </c>
      <c r="T256" s="116">
        <f t="shared" si="207"/>
        <v>1.125</v>
      </c>
      <c r="U256" s="116">
        <f t="shared" si="208"/>
        <v>1.125</v>
      </c>
      <c r="V256" s="116">
        <f t="shared" si="209"/>
        <v>1.125</v>
      </c>
      <c r="W256" s="72">
        <f t="shared" si="210"/>
        <v>1.125</v>
      </c>
      <c r="X256" s="72">
        <f t="shared" si="226"/>
        <v>1.125</v>
      </c>
    </row>
    <row r="257" spans="1:24" x14ac:dyDescent="0.2">
      <c r="A257" s="71" t="str">
        <f t="shared" si="225"/>
        <v>Archie Plete</v>
      </c>
      <c r="B257" s="29" t="str">
        <f>IFERROR(VLOOKUP(A257,Masterlist!B:D,3,),"-")</f>
        <v>Jean Rose Malan</v>
      </c>
      <c r="C257" s="116">
        <f t="shared" si="211"/>
        <v>1.125</v>
      </c>
      <c r="D257" s="116">
        <f t="shared" si="212"/>
        <v>1.125</v>
      </c>
      <c r="E257" s="116">
        <f t="shared" si="192"/>
        <v>1.125</v>
      </c>
      <c r="F257" s="116" t="str">
        <f t="shared" si="213"/>
        <v>OFF</v>
      </c>
      <c r="G257" s="116">
        <f t="shared" si="214"/>
        <v>1.125</v>
      </c>
      <c r="H257" s="116">
        <f t="shared" si="215"/>
        <v>1.125</v>
      </c>
      <c r="I257" s="116">
        <f t="shared" si="216"/>
        <v>1.125</v>
      </c>
      <c r="J257" s="86" t="str">
        <f t="shared" si="197"/>
        <v>OFF</v>
      </c>
      <c r="K257" s="116" t="str">
        <f t="shared" si="198"/>
        <v>OFF</v>
      </c>
      <c r="L257" s="116">
        <f t="shared" si="199"/>
        <v>1.125</v>
      </c>
      <c r="M257" s="116">
        <f t="shared" si="200"/>
        <v>1.125</v>
      </c>
      <c r="N257" s="116">
        <f t="shared" si="201"/>
        <v>1.125</v>
      </c>
      <c r="O257" s="116">
        <f t="shared" si="202"/>
        <v>1.125</v>
      </c>
      <c r="P257" s="72">
        <f t="shared" si="203"/>
        <v>1.125</v>
      </c>
      <c r="Q257" s="86" t="str">
        <f t="shared" si="204"/>
        <v>OFF</v>
      </c>
      <c r="R257" s="116" t="str">
        <f t="shared" si="205"/>
        <v>OFF</v>
      </c>
      <c r="S257" s="116">
        <f t="shared" si="206"/>
        <v>1.125</v>
      </c>
      <c r="T257" s="116">
        <f t="shared" si="207"/>
        <v>1.125</v>
      </c>
      <c r="U257" s="116">
        <f t="shared" si="208"/>
        <v>1.125</v>
      </c>
      <c r="V257" s="116">
        <f t="shared" si="209"/>
        <v>1.125</v>
      </c>
      <c r="W257" s="72">
        <f t="shared" si="210"/>
        <v>1.125</v>
      </c>
      <c r="X257" s="72">
        <f t="shared" si="226"/>
        <v>1.125</v>
      </c>
    </row>
    <row r="258" spans="1:24" x14ac:dyDescent="0.2">
      <c r="A258" s="71" t="str">
        <f t="shared" si="225"/>
        <v>John Lord Divinagracia</v>
      </c>
      <c r="B258" s="29" t="str">
        <f>IFERROR(VLOOKUP(A258,Masterlist!B:D,3,),"-")</f>
        <v>Jean Rose Malan</v>
      </c>
      <c r="C258" s="116">
        <f t="shared" si="211"/>
        <v>1.125</v>
      </c>
      <c r="D258" s="116">
        <f t="shared" si="212"/>
        <v>1.125</v>
      </c>
      <c r="E258" s="116">
        <f t="shared" si="192"/>
        <v>1.125</v>
      </c>
      <c r="F258" s="116" t="str">
        <f t="shared" si="213"/>
        <v>OFF</v>
      </c>
      <c r="G258" s="116">
        <f t="shared" si="214"/>
        <v>1.125</v>
      </c>
      <c r="H258" s="116">
        <f t="shared" si="215"/>
        <v>1.125</v>
      </c>
      <c r="I258" s="116">
        <f t="shared" si="216"/>
        <v>1.125</v>
      </c>
      <c r="J258" s="86" t="str">
        <f t="shared" si="197"/>
        <v>OFF</v>
      </c>
      <c r="K258" s="116" t="str">
        <f t="shared" si="198"/>
        <v>OFF</v>
      </c>
      <c r="L258" s="116">
        <f t="shared" si="199"/>
        <v>1.125</v>
      </c>
      <c r="M258" s="116">
        <f t="shared" si="200"/>
        <v>1.125</v>
      </c>
      <c r="N258" s="116">
        <f t="shared" si="201"/>
        <v>1.125</v>
      </c>
      <c r="O258" s="116">
        <f t="shared" si="202"/>
        <v>1.125</v>
      </c>
      <c r="P258" s="72">
        <f t="shared" si="203"/>
        <v>1.125</v>
      </c>
      <c r="Q258" s="86" t="str">
        <f t="shared" si="204"/>
        <v>OFF</v>
      </c>
      <c r="R258" s="116" t="str">
        <f t="shared" si="205"/>
        <v>OFF</v>
      </c>
      <c r="S258" s="116">
        <f t="shared" si="206"/>
        <v>1.125</v>
      </c>
      <c r="T258" s="116">
        <f t="shared" si="207"/>
        <v>1.125</v>
      </c>
      <c r="U258" s="116">
        <f t="shared" si="208"/>
        <v>1.125</v>
      </c>
      <c r="V258" s="116">
        <f t="shared" si="209"/>
        <v>1.125</v>
      </c>
      <c r="W258" s="72">
        <f t="shared" si="210"/>
        <v>1.125</v>
      </c>
      <c r="X258" s="72">
        <f t="shared" si="226"/>
        <v>1.125</v>
      </c>
    </row>
    <row r="259" spans="1:24" x14ac:dyDescent="0.2">
      <c r="A259" s="71" t="str">
        <f t="shared" si="225"/>
        <v>Karen Jay Villardar</v>
      </c>
      <c r="B259" s="29" t="str">
        <f>IFERROR(VLOOKUP(A259,Masterlist!B:D,3,),"-")</f>
        <v>Jean Rose Malan</v>
      </c>
      <c r="C259" s="116">
        <f t="shared" si="211"/>
        <v>1.125</v>
      </c>
      <c r="D259" s="116">
        <f t="shared" si="212"/>
        <v>1.125</v>
      </c>
      <c r="E259" s="116">
        <f t="shared" si="192"/>
        <v>1.125</v>
      </c>
      <c r="F259" s="116" t="str">
        <f t="shared" si="213"/>
        <v>OFF</v>
      </c>
      <c r="G259" s="116">
        <f t="shared" si="214"/>
        <v>1.125</v>
      </c>
      <c r="H259" s="116">
        <f t="shared" si="215"/>
        <v>1.125</v>
      </c>
      <c r="I259" s="116">
        <f t="shared" si="216"/>
        <v>1.125</v>
      </c>
      <c r="J259" s="86" t="str">
        <f t="shared" si="197"/>
        <v>OFF</v>
      </c>
      <c r="K259" s="116" t="str">
        <f t="shared" si="198"/>
        <v>OFF</v>
      </c>
      <c r="L259" s="116">
        <f t="shared" si="199"/>
        <v>1.125</v>
      </c>
      <c r="M259" s="116">
        <f t="shared" si="200"/>
        <v>1.125</v>
      </c>
      <c r="N259" s="116">
        <f t="shared" si="201"/>
        <v>1.125</v>
      </c>
      <c r="O259" s="116">
        <f t="shared" si="202"/>
        <v>1.125</v>
      </c>
      <c r="P259" s="72">
        <f t="shared" si="203"/>
        <v>1.125</v>
      </c>
      <c r="Q259" s="86" t="str">
        <f t="shared" si="204"/>
        <v>OFF</v>
      </c>
      <c r="R259" s="116" t="str">
        <f t="shared" si="205"/>
        <v>OFF</v>
      </c>
      <c r="S259" s="116">
        <f t="shared" si="206"/>
        <v>1.125</v>
      </c>
      <c r="T259" s="116">
        <f t="shared" si="207"/>
        <v>1.125</v>
      </c>
      <c r="U259" s="116">
        <f t="shared" si="208"/>
        <v>1.125</v>
      </c>
      <c r="V259" s="116">
        <f t="shared" si="209"/>
        <v>1.125</v>
      </c>
      <c r="W259" s="72">
        <f t="shared" si="210"/>
        <v>1.125</v>
      </c>
      <c r="X259" s="72">
        <f t="shared" si="226"/>
        <v>1.125</v>
      </c>
    </row>
    <row r="260" spans="1:24" x14ac:dyDescent="0.2">
      <c r="A260" s="71" t="str">
        <f t="shared" si="225"/>
        <v>Glenn Peñaflorida</v>
      </c>
      <c r="B260" s="29" t="str">
        <f>IFERROR(VLOOKUP(A260,Masterlist!B:D,3,),"-")</f>
        <v>Jean Rose Malan</v>
      </c>
      <c r="C260" s="116">
        <f t="shared" si="211"/>
        <v>1.125</v>
      </c>
      <c r="D260" s="116">
        <f t="shared" si="212"/>
        <v>1.125</v>
      </c>
      <c r="E260" s="116">
        <f t="shared" si="192"/>
        <v>1.125</v>
      </c>
      <c r="F260" s="116" t="str">
        <f t="shared" si="213"/>
        <v>OFF</v>
      </c>
      <c r="G260" s="116">
        <f t="shared" si="214"/>
        <v>1.125</v>
      </c>
      <c r="H260" s="116">
        <f t="shared" si="215"/>
        <v>1.125</v>
      </c>
      <c r="I260" s="116">
        <f t="shared" si="216"/>
        <v>1.125</v>
      </c>
      <c r="J260" s="86" t="str">
        <f t="shared" si="197"/>
        <v>OFF</v>
      </c>
      <c r="K260" s="116" t="str">
        <f t="shared" si="198"/>
        <v>OFF</v>
      </c>
      <c r="L260" s="116">
        <f t="shared" si="199"/>
        <v>1.125</v>
      </c>
      <c r="M260" s="116">
        <f t="shared" si="200"/>
        <v>1.125</v>
      </c>
      <c r="N260" s="116">
        <f t="shared" si="201"/>
        <v>1.125</v>
      </c>
      <c r="O260" s="116">
        <f t="shared" si="202"/>
        <v>1.125</v>
      </c>
      <c r="P260" s="72">
        <f t="shared" si="203"/>
        <v>1.125</v>
      </c>
      <c r="Q260" s="86" t="str">
        <f t="shared" si="204"/>
        <v>OFF</v>
      </c>
      <c r="R260" s="116" t="str">
        <f t="shared" si="205"/>
        <v>OFF</v>
      </c>
      <c r="S260" s="116">
        <f t="shared" si="206"/>
        <v>1.125</v>
      </c>
      <c r="T260" s="116">
        <f t="shared" si="207"/>
        <v>1.125</v>
      </c>
      <c r="U260" s="116">
        <f t="shared" si="208"/>
        <v>1.125</v>
      </c>
      <c r="V260" s="116">
        <f t="shared" si="209"/>
        <v>1.125</v>
      </c>
      <c r="W260" s="72">
        <f t="shared" si="210"/>
        <v>1.125</v>
      </c>
      <c r="X260" s="72">
        <f t="shared" si="226"/>
        <v>1.125</v>
      </c>
    </row>
    <row r="261" spans="1:24" x14ac:dyDescent="0.2">
      <c r="A261" s="71" t="str">
        <f t="shared" si="225"/>
        <v>Nadine Amaguin</v>
      </c>
      <c r="B261" s="29" t="str">
        <f>IFERROR(VLOOKUP(A261,Masterlist!B:D,3,),"-")</f>
        <v>Jean Rose Malan</v>
      </c>
      <c r="C261" s="116">
        <f t="shared" si="211"/>
        <v>1.125</v>
      </c>
      <c r="D261" s="116">
        <f t="shared" si="212"/>
        <v>1.125</v>
      </c>
      <c r="E261" s="116">
        <f t="shared" si="192"/>
        <v>1.125</v>
      </c>
      <c r="F261" s="116" t="str">
        <f t="shared" si="213"/>
        <v>OFF</v>
      </c>
      <c r="G261" s="116">
        <f t="shared" si="214"/>
        <v>1.125</v>
      </c>
      <c r="H261" s="116">
        <f t="shared" si="215"/>
        <v>1.125</v>
      </c>
      <c r="I261" s="116">
        <f t="shared" si="216"/>
        <v>1.125</v>
      </c>
      <c r="J261" s="86" t="str">
        <f t="shared" si="197"/>
        <v>OFF</v>
      </c>
      <c r="K261" s="116" t="str">
        <f t="shared" si="198"/>
        <v>OFF</v>
      </c>
      <c r="L261" s="116">
        <f t="shared" si="199"/>
        <v>1.125</v>
      </c>
      <c r="M261" s="116">
        <f t="shared" si="200"/>
        <v>1.125</v>
      </c>
      <c r="N261" s="116">
        <f t="shared" si="201"/>
        <v>1.125</v>
      </c>
      <c r="O261" s="116">
        <f t="shared" si="202"/>
        <v>1.125</v>
      </c>
      <c r="P261" s="72">
        <f t="shared" si="203"/>
        <v>1.125</v>
      </c>
      <c r="Q261" s="86" t="str">
        <f t="shared" si="204"/>
        <v>OFF</v>
      </c>
      <c r="R261" s="116" t="str">
        <f t="shared" si="205"/>
        <v>OFF</v>
      </c>
      <c r="S261" s="116">
        <f t="shared" si="206"/>
        <v>1.125</v>
      </c>
      <c r="T261" s="116">
        <f t="shared" si="207"/>
        <v>1.125</v>
      </c>
      <c r="U261" s="116">
        <f t="shared" si="208"/>
        <v>1.125</v>
      </c>
      <c r="V261" s="116">
        <f t="shared" si="209"/>
        <v>1.125</v>
      </c>
      <c r="W261" s="72">
        <f t="shared" si="210"/>
        <v>1.125</v>
      </c>
      <c r="X261" s="72">
        <f t="shared" si="226"/>
        <v>1.125</v>
      </c>
    </row>
    <row r="262" spans="1:24" x14ac:dyDescent="0.2">
      <c r="A262" s="71" t="str">
        <f t="shared" si="225"/>
        <v>Lyka Mhaey Cosalan</v>
      </c>
      <c r="B262" s="29" t="str">
        <f>IFERROR(VLOOKUP(A262,Masterlist!B:D,3,),"-")</f>
        <v>Jean Rose Malan</v>
      </c>
      <c r="C262" s="116">
        <f t="shared" si="211"/>
        <v>1.125</v>
      </c>
      <c r="D262" s="116">
        <f t="shared" si="212"/>
        <v>1.125</v>
      </c>
      <c r="E262" s="116">
        <f t="shared" si="192"/>
        <v>1.125</v>
      </c>
      <c r="F262" s="116" t="str">
        <f t="shared" si="213"/>
        <v>OFF</v>
      </c>
      <c r="G262" s="116">
        <f t="shared" si="214"/>
        <v>1.125</v>
      </c>
      <c r="H262" s="116">
        <f t="shared" si="215"/>
        <v>1.125</v>
      </c>
      <c r="I262" s="116">
        <f t="shared" si="216"/>
        <v>1.125</v>
      </c>
      <c r="J262" s="86" t="str">
        <f t="shared" si="197"/>
        <v>OFF</v>
      </c>
      <c r="K262" s="116" t="str">
        <f t="shared" si="198"/>
        <v>OFF</v>
      </c>
      <c r="L262" s="116">
        <f t="shared" si="199"/>
        <v>1.125</v>
      </c>
      <c r="M262" s="116">
        <f t="shared" si="200"/>
        <v>1.125</v>
      </c>
      <c r="N262" s="116">
        <f t="shared" si="201"/>
        <v>1.125</v>
      </c>
      <c r="O262" s="116">
        <f t="shared" si="202"/>
        <v>1.125</v>
      </c>
      <c r="P262" s="72">
        <f t="shared" si="203"/>
        <v>1.125</v>
      </c>
      <c r="Q262" s="86" t="str">
        <f t="shared" si="204"/>
        <v>OFF</v>
      </c>
      <c r="R262" s="116" t="str">
        <f t="shared" si="205"/>
        <v>OFF</v>
      </c>
      <c r="S262" s="116">
        <f t="shared" si="206"/>
        <v>1.125</v>
      </c>
      <c r="T262" s="116">
        <f t="shared" si="207"/>
        <v>1.125</v>
      </c>
      <c r="U262" s="116">
        <f t="shared" si="208"/>
        <v>1.125</v>
      </c>
      <c r="V262" s="116">
        <f t="shared" si="209"/>
        <v>1.125</v>
      </c>
      <c r="W262" s="72">
        <f t="shared" si="210"/>
        <v>1.125</v>
      </c>
      <c r="X262" s="72">
        <f t="shared" si="226"/>
        <v>1.125</v>
      </c>
    </row>
    <row r="263" spans="1:24" x14ac:dyDescent="0.2">
      <c r="A263" s="71" t="str">
        <f t="shared" si="225"/>
        <v>Jane Sairah Mae,Camingay,Arac</v>
      </c>
      <c r="B263" s="29" t="str">
        <f>IFERROR(VLOOKUP(A263,Masterlist!B:D,3,),"-")</f>
        <v>-</v>
      </c>
      <c r="C263" s="116" t="str">
        <f t="shared" si="211"/>
        <v>OFF</v>
      </c>
      <c r="D263" s="116">
        <f t="shared" si="212"/>
        <v>1.0833333333333335</v>
      </c>
      <c r="E263" s="116">
        <f t="shared" si="192"/>
        <v>1.0833333333333335</v>
      </c>
      <c r="F263" s="116">
        <f t="shared" si="213"/>
        <v>1.0833333333333335</v>
      </c>
      <c r="G263" s="116">
        <f t="shared" si="214"/>
        <v>1.0833333333333335</v>
      </c>
      <c r="H263" s="116">
        <f t="shared" si="215"/>
        <v>1.0833333333333335</v>
      </c>
      <c r="I263" s="116" t="str">
        <f t="shared" si="216"/>
        <v>OFF</v>
      </c>
      <c r="J263" s="86" t="str">
        <f t="shared" si="197"/>
        <v>OFF</v>
      </c>
      <c r="K263" s="116">
        <f t="shared" si="198"/>
        <v>1.0833333333333335</v>
      </c>
      <c r="L263" s="116">
        <f t="shared" si="199"/>
        <v>1.0833333333333335</v>
      </c>
      <c r="M263" s="116">
        <f t="shared" si="200"/>
        <v>1.0833333333333335</v>
      </c>
      <c r="N263" s="116">
        <f t="shared" si="201"/>
        <v>1.0833333333333335</v>
      </c>
      <c r="O263" s="116">
        <f t="shared" si="202"/>
        <v>1.0833333333333335</v>
      </c>
      <c r="P263" s="72" t="str">
        <f t="shared" si="203"/>
        <v>OFF</v>
      </c>
      <c r="Q263" s="86" t="str">
        <f t="shared" si="204"/>
        <v>OFF</v>
      </c>
      <c r="R263" s="116">
        <f t="shared" si="205"/>
        <v>1.0833333333333335</v>
      </c>
      <c r="S263" s="116">
        <f t="shared" si="206"/>
        <v>1.0833333333333335</v>
      </c>
      <c r="T263" s="116">
        <f t="shared" si="207"/>
        <v>1.0833333333333335</v>
      </c>
      <c r="U263" s="116">
        <f t="shared" si="208"/>
        <v>1.0833333333333335</v>
      </c>
      <c r="V263" s="116">
        <f t="shared" si="209"/>
        <v>1.0833333333333335</v>
      </c>
      <c r="W263" s="72" t="str">
        <f t="shared" si="210"/>
        <v>OFF</v>
      </c>
      <c r="X263" s="72">
        <f t="shared" si="226"/>
        <v>1.0833333333333335</v>
      </c>
    </row>
    <row r="264" spans="1:24" x14ac:dyDescent="0.2">
      <c r="A264" s="71" t="str">
        <f t="shared" si="225"/>
        <v>Aileen Tumanon</v>
      </c>
      <c r="B264" s="29" t="str">
        <f>IFERROR(VLOOKUP(A264,Masterlist!B:D,3,),"-")</f>
        <v>-</v>
      </c>
      <c r="C264" s="116">
        <f t="shared" si="211"/>
        <v>0.875</v>
      </c>
      <c r="D264" s="116">
        <f t="shared" si="212"/>
        <v>0.875</v>
      </c>
      <c r="E264" s="116" t="str">
        <f t="shared" si="192"/>
        <v>OFF</v>
      </c>
      <c r="F264" s="116" t="str">
        <f t="shared" si="213"/>
        <v>OFF</v>
      </c>
      <c r="G264" s="116">
        <f t="shared" si="214"/>
        <v>0.875</v>
      </c>
      <c r="H264" s="116">
        <f t="shared" si="215"/>
        <v>0.875</v>
      </c>
      <c r="I264" s="116">
        <f t="shared" si="216"/>
        <v>0.875</v>
      </c>
      <c r="J264" s="86">
        <f t="shared" si="197"/>
        <v>0.875</v>
      </c>
      <c r="K264" s="116">
        <f t="shared" si="198"/>
        <v>0.875</v>
      </c>
      <c r="L264" s="116" t="str">
        <f t="shared" si="199"/>
        <v>OFF</v>
      </c>
      <c r="M264" s="116" t="str">
        <f t="shared" si="200"/>
        <v>OFF</v>
      </c>
      <c r="N264" s="116">
        <f t="shared" si="201"/>
        <v>0.875</v>
      </c>
      <c r="O264" s="116">
        <f t="shared" si="202"/>
        <v>0.875</v>
      </c>
      <c r="P264" s="72">
        <f t="shared" si="203"/>
        <v>0.875</v>
      </c>
      <c r="Q264" s="86">
        <f t="shared" si="204"/>
        <v>0.875</v>
      </c>
      <c r="R264" s="116">
        <f t="shared" si="205"/>
        <v>0.875</v>
      </c>
      <c r="S264" s="116" t="str">
        <f t="shared" si="206"/>
        <v>OFF</v>
      </c>
      <c r="T264" s="116" t="str">
        <f t="shared" si="207"/>
        <v>OFF</v>
      </c>
      <c r="U264" s="116">
        <f t="shared" si="208"/>
        <v>0.875</v>
      </c>
      <c r="V264" s="116">
        <f t="shared" si="209"/>
        <v>0.875</v>
      </c>
      <c r="W264" s="72">
        <f t="shared" si="210"/>
        <v>0.875</v>
      </c>
      <c r="X264" s="72">
        <f t="shared" si="226"/>
        <v>0.875</v>
      </c>
    </row>
    <row r="265" spans="1:24" x14ac:dyDescent="0.2">
      <c r="A265" s="71" t="str">
        <f t="shared" si="225"/>
        <v>Lyndon,Madulid,Pastorin</v>
      </c>
      <c r="B265" s="29" t="str">
        <f>IFERROR(VLOOKUP(A265,Masterlist!B:D,3,),"-")</f>
        <v>-</v>
      </c>
      <c r="C265" s="116">
        <f t="shared" si="211"/>
        <v>0.91666666666666674</v>
      </c>
      <c r="D265" s="116">
        <f t="shared" si="212"/>
        <v>0.91666666666666674</v>
      </c>
      <c r="E265" s="116" t="str">
        <f t="shared" si="192"/>
        <v>OFF</v>
      </c>
      <c r="F265" s="116" t="str">
        <f t="shared" si="213"/>
        <v>OFF</v>
      </c>
      <c r="G265" s="116">
        <f t="shared" si="214"/>
        <v>0.91666666666666674</v>
      </c>
      <c r="H265" s="116">
        <f t="shared" si="215"/>
        <v>0.91666666666666674</v>
      </c>
      <c r="I265" s="116">
        <f t="shared" si="216"/>
        <v>0.91666666666666674</v>
      </c>
      <c r="J265" s="86">
        <f t="shared" si="197"/>
        <v>0.91666666666666674</v>
      </c>
      <c r="K265" s="116">
        <f t="shared" si="198"/>
        <v>0.91666666666666674</v>
      </c>
      <c r="L265" s="116" t="str">
        <f t="shared" si="199"/>
        <v>OFF</v>
      </c>
      <c r="M265" s="116" t="str">
        <f t="shared" si="200"/>
        <v>OFF</v>
      </c>
      <c r="N265" s="116">
        <f t="shared" si="201"/>
        <v>0.91666666666666674</v>
      </c>
      <c r="O265" s="116">
        <f t="shared" si="202"/>
        <v>0.91666666666666674</v>
      </c>
      <c r="P265" s="72">
        <f t="shared" si="203"/>
        <v>0.91666666666666674</v>
      </c>
      <c r="Q265" s="86">
        <f t="shared" si="204"/>
        <v>0.91666666666666674</v>
      </c>
      <c r="R265" s="116">
        <f t="shared" si="205"/>
        <v>0.91666666666666674</v>
      </c>
      <c r="S265" s="116" t="str">
        <f t="shared" si="206"/>
        <v>OFF</v>
      </c>
      <c r="T265" s="116" t="str">
        <f t="shared" si="207"/>
        <v>OFF</v>
      </c>
      <c r="U265" s="116">
        <f t="shared" si="208"/>
        <v>0.91666666666666674</v>
      </c>
      <c r="V265" s="116">
        <f t="shared" si="209"/>
        <v>0.91666666666666674</v>
      </c>
      <c r="W265" s="72">
        <f t="shared" si="210"/>
        <v>0.91666666666666674</v>
      </c>
      <c r="X265" s="72">
        <f t="shared" si="226"/>
        <v>0.91666666666666674</v>
      </c>
    </row>
    <row r="266" spans="1:24" x14ac:dyDescent="0.2">
      <c r="A266" s="71" t="str">
        <f t="shared" si="225"/>
        <v>Jelyn  Panaguiton</v>
      </c>
      <c r="B266" s="29" t="str">
        <f>IFERROR(VLOOKUP(A266,Masterlist!B:D,3,),"-")</f>
        <v>-</v>
      </c>
      <c r="C266" s="116" t="str">
        <f t="shared" si="211"/>
        <v>OFF</v>
      </c>
      <c r="D266" s="116">
        <f t="shared" si="212"/>
        <v>0.875</v>
      </c>
      <c r="E266" s="116">
        <f t="shared" si="192"/>
        <v>0.875</v>
      </c>
      <c r="F266" s="116">
        <f t="shared" si="213"/>
        <v>0.875</v>
      </c>
      <c r="G266" s="116">
        <f t="shared" si="214"/>
        <v>0.875</v>
      </c>
      <c r="H266" s="116">
        <f t="shared" si="215"/>
        <v>0.875</v>
      </c>
      <c r="I266" s="116" t="str">
        <f t="shared" si="216"/>
        <v>OFF</v>
      </c>
      <c r="J266" s="86" t="str">
        <f t="shared" si="197"/>
        <v>OFF</v>
      </c>
      <c r="K266" s="116">
        <f t="shared" si="198"/>
        <v>0.875</v>
      </c>
      <c r="L266" s="116">
        <f t="shared" si="199"/>
        <v>0.875</v>
      </c>
      <c r="M266" s="116">
        <f t="shared" si="200"/>
        <v>0.875</v>
      </c>
      <c r="N266" s="116">
        <f t="shared" si="201"/>
        <v>0.875</v>
      </c>
      <c r="O266" s="116">
        <f t="shared" si="202"/>
        <v>0.875</v>
      </c>
      <c r="P266" s="72" t="str">
        <f t="shared" si="203"/>
        <v>OFF</v>
      </c>
      <c r="Q266" s="86" t="str">
        <f t="shared" si="204"/>
        <v>OFF</v>
      </c>
      <c r="R266" s="116">
        <f t="shared" si="205"/>
        <v>0.875</v>
      </c>
      <c r="S266" s="116">
        <f t="shared" si="206"/>
        <v>0.875</v>
      </c>
      <c r="T266" s="116">
        <f t="shared" si="207"/>
        <v>0.875</v>
      </c>
      <c r="U266" s="116">
        <f t="shared" si="208"/>
        <v>0.875</v>
      </c>
      <c r="V266" s="116">
        <f t="shared" si="209"/>
        <v>0.875</v>
      </c>
      <c r="W266" s="72" t="str">
        <f t="shared" si="210"/>
        <v>OFF</v>
      </c>
      <c r="X266" s="72">
        <f t="shared" si="226"/>
        <v>0.875</v>
      </c>
    </row>
    <row r="267" spans="1:24" x14ac:dyDescent="0.2">
      <c r="A267" s="71" t="str">
        <f t="shared" si="225"/>
        <v>Kriska Malfore Llamas</v>
      </c>
      <c r="B267" s="29" t="str">
        <f>IFERROR(VLOOKUP(A267,Masterlist!B:D,3,),"-")</f>
        <v>-</v>
      </c>
      <c r="C267" s="116">
        <f t="shared" ref="C267:W267" si="227">IFERROR(IF(C122 = "PTO", "PTO",C122+"12:00"),"OFF")</f>
        <v>0.91666666666666674</v>
      </c>
      <c r="D267" s="116" t="str">
        <f t="shared" si="227"/>
        <v>OFF</v>
      </c>
      <c r="E267" s="116" t="str">
        <f t="shared" si="227"/>
        <v>OFF</v>
      </c>
      <c r="F267" s="116">
        <f t="shared" si="227"/>
        <v>0.91666666666666674</v>
      </c>
      <c r="G267" s="116">
        <f t="shared" si="227"/>
        <v>0.91666666666666674</v>
      </c>
      <c r="H267" s="116">
        <f t="shared" si="227"/>
        <v>0.91666666666666674</v>
      </c>
      <c r="I267" s="116">
        <f t="shared" si="227"/>
        <v>0.91666666666666674</v>
      </c>
      <c r="J267" s="86">
        <f t="shared" si="227"/>
        <v>0.91666666666666674</v>
      </c>
      <c r="K267" s="116" t="str">
        <f t="shared" si="227"/>
        <v>OFF</v>
      </c>
      <c r="L267" s="116" t="str">
        <f t="shared" si="227"/>
        <v>OFF</v>
      </c>
      <c r="M267" s="116">
        <f t="shared" si="227"/>
        <v>0.91666666666666674</v>
      </c>
      <c r="N267" s="116">
        <f t="shared" si="227"/>
        <v>0.91666666666666674</v>
      </c>
      <c r="O267" s="116">
        <f t="shared" si="227"/>
        <v>0.91666666666666674</v>
      </c>
      <c r="P267" s="72">
        <f t="shared" si="227"/>
        <v>0.91666666666666674</v>
      </c>
      <c r="Q267" s="86">
        <f t="shared" si="227"/>
        <v>0.91666666666666674</v>
      </c>
      <c r="R267" s="116" t="str">
        <f t="shared" si="227"/>
        <v>OFF</v>
      </c>
      <c r="S267" s="116" t="str">
        <f t="shared" si="227"/>
        <v>OFF</v>
      </c>
      <c r="T267" s="116">
        <f t="shared" si="227"/>
        <v>0.91666666666666674</v>
      </c>
      <c r="U267" s="116">
        <f t="shared" si="227"/>
        <v>0.91666666666666674</v>
      </c>
      <c r="V267" s="116">
        <f t="shared" si="227"/>
        <v>0.91666666666666674</v>
      </c>
      <c r="W267" s="72">
        <f t="shared" si="227"/>
        <v>0.91666666666666674</v>
      </c>
      <c r="X267" s="72">
        <f t="shared" si="226"/>
        <v>0.91666666666666674</v>
      </c>
    </row>
    <row r="268" spans="1:24" x14ac:dyDescent="0.2">
      <c r="A268" s="71" t="str">
        <f t="shared" si="225"/>
        <v/>
      </c>
      <c r="B268" s="29"/>
      <c r="C268" s="116"/>
      <c r="D268" s="116"/>
      <c r="E268" s="116"/>
      <c r="F268" s="116"/>
      <c r="G268" s="116"/>
      <c r="H268" s="116"/>
      <c r="I268" s="116"/>
      <c r="J268" s="86"/>
      <c r="K268" s="116"/>
      <c r="L268" s="116"/>
      <c r="M268" s="116"/>
      <c r="N268" s="116"/>
      <c r="O268" s="116"/>
      <c r="P268" s="72"/>
      <c r="Q268" s="86"/>
      <c r="R268" s="116"/>
      <c r="S268" s="116"/>
      <c r="T268" s="116"/>
      <c r="U268" s="116"/>
      <c r="V268" s="116"/>
      <c r="W268" s="72"/>
      <c r="X268" s="72"/>
    </row>
    <row r="269" spans="1:24" x14ac:dyDescent="0.2">
      <c r="A269" s="71" t="str">
        <f t="shared" si="225"/>
        <v/>
      </c>
      <c r="B269" s="29"/>
      <c r="C269" s="116"/>
      <c r="D269" s="116"/>
      <c r="E269" s="116"/>
      <c r="F269" s="116"/>
      <c r="G269" s="116"/>
      <c r="H269" s="116"/>
      <c r="I269" s="116"/>
      <c r="J269" s="86"/>
      <c r="K269" s="116"/>
      <c r="L269" s="116"/>
      <c r="M269" s="116"/>
      <c r="N269" s="116"/>
      <c r="O269" s="116"/>
      <c r="P269" s="72"/>
      <c r="Q269" s="86"/>
      <c r="R269" s="116"/>
      <c r="S269" s="116"/>
      <c r="T269" s="116"/>
      <c r="U269" s="116"/>
      <c r="V269" s="116"/>
      <c r="W269" s="72"/>
      <c r="X269" s="72"/>
    </row>
    <row r="270" spans="1:24" x14ac:dyDescent="0.2">
      <c r="A270" s="71" t="str">
        <f t="shared" si="225"/>
        <v/>
      </c>
      <c r="B270" s="29"/>
      <c r="C270" s="116"/>
      <c r="D270" s="116"/>
      <c r="E270" s="116"/>
      <c r="F270" s="116"/>
      <c r="G270" s="116"/>
      <c r="H270" s="116"/>
      <c r="I270" s="116"/>
      <c r="J270" s="86"/>
      <c r="K270" s="116"/>
      <c r="L270" s="116"/>
      <c r="M270" s="116"/>
      <c r="N270" s="116"/>
      <c r="O270" s="116"/>
      <c r="P270" s="72"/>
      <c r="Q270" s="86"/>
      <c r="R270" s="116"/>
      <c r="S270" s="116"/>
      <c r="T270" s="116"/>
      <c r="U270" s="116"/>
      <c r="V270" s="116"/>
      <c r="W270" s="72"/>
      <c r="X270" s="72"/>
    </row>
    <row r="271" spans="1:24" x14ac:dyDescent="0.2">
      <c r="A271" s="71" t="str">
        <f t="shared" si="225"/>
        <v/>
      </c>
      <c r="B271" s="29"/>
      <c r="C271" s="116"/>
      <c r="D271" s="116"/>
      <c r="E271" s="116"/>
      <c r="F271" s="116"/>
      <c r="G271" s="116"/>
      <c r="H271" s="116"/>
      <c r="I271" s="116"/>
      <c r="J271" s="86"/>
      <c r="K271" s="116"/>
      <c r="L271" s="116"/>
      <c r="M271" s="116"/>
      <c r="N271" s="116"/>
      <c r="O271" s="116"/>
      <c r="P271" s="72"/>
      <c r="Q271" s="86"/>
      <c r="R271" s="116"/>
      <c r="S271" s="116"/>
      <c r="T271" s="116"/>
      <c r="U271" s="116"/>
      <c r="V271" s="116"/>
      <c r="W271" s="72"/>
      <c r="X271" s="72"/>
    </row>
    <row r="272" spans="1:24" ht="13.5" thickBot="1" x14ac:dyDescent="0.25">
      <c r="A272" s="151" t="str">
        <f t="shared" si="225"/>
        <v/>
      </c>
      <c r="B272" s="69"/>
      <c r="C272" s="113"/>
      <c r="D272" s="113"/>
      <c r="E272" s="113"/>
      <c r="F272" s="113"/>
      <c r="G272" s="113"/>
      <c r="H272" s="113"/>
      <c r="I272" s="113"/>
      <c r="J272" s="115"/>
      <c r="K272" s="113"/>
      <c r="L272" s="113"/>
      <c r="M272" s="113"/>
      <c r="N272" s="113"/>
      <c r="O272" s="113"/>
      <c r="P272" s="114"/>
      <c r="Q272" s="115"/>
      <c r="R272" s="113"/>
      <c r="S272" s="113"/>
      <c r="T272" s="113"/>
      <c r="U272" s="113"/>
      <c r="V272" s="113"/>
      <c r="W272" s="114"/>
      <c r="X272" s="114"/>
    </row>
  </sheetData>
  <sortState ref="A44:Y86">
    <sortCondition ref="A44:A86"/>
  </sortState>
  <mergeCells count="9">
    <mergeCell ref="A2:A3"/>
    <mergeCell ref="A147:A148"/>
    <mergeCell ref="J1:P1"/>
    <mergeCell ref="Q1:W1"/>
    <mergeCell ref="C146:I146"/>
    <mergeCell ref="J146:P146"/>
    <mergeCell ref="Q146:W146"/>
    <mergeCell ref="C1:I1"/>
    <mergeCell ref="B2:B3"/>
  </mergeCells>
  <phoneticPr fontId="3" type="noConversion"/>
  <conditionalFormatting sqref="X28 C134:Y134 C133 F133:Y133 Q132:X132 X54:X127">
    <cfRule type="cellIs" dxfId="39530" priority="188793" operator="equal">
      <formula>"OFF"</formula>
    </cfRule>
    <cfRule type="cellIs" dxfId="39529" priority="188794" operator="equal">
      <formula>"PTO"</formula>
    </cfRule>
  </conditionalFormatting>
  <conditionalFormatting sqref="X31">
    <cfRule type="cellIs" dxfId="39528" priority="188787" operator="equal">
      <formula>"OFF"</formula>
    </cfRule>
    <cfRule type="cellIs" dxfId="39527" priority="188788" operator="equal">
      <formula>"PTO"</formula>
    </cfRule>
  </conditionalFormatting>
  <conditionalFormatting sqref="X32">
    <cfRule type="cellIs" dxfId="39526" priority="188781" operator="equal">
      <formula>"OFF"</formula>
    </cfRule>
    <cfRule type="cellIs" dxfId="39525" priority="188782" operator="equal">
      <formula>"PTO"</formula>
    </cfRule>
  </conditionalFormatting>
  <conditionalFormatting sqref="X27">
    <cfRule type="cellIs" dxfId="39524" priority="188775" operator="equal">
      <formula>"OFF"</formula>
    </cfRule>
    <cfRule type="cellIs" dxfId="39523" priority="188776" operator="equal">
      <formula>"PTO"</formula>
    </cfRule>
  </conditionalFormatting>
  <conditionalFormatting sqref="X12:X15 X17 X8:X10 X6 X25:X27 X30:X39 X41:X127">
    <cfRule type="cellIs" dxfId="39522" priority="188804" operator="equal">
      <formula>"OFF"</formula>
    </cfRule>
    <cfRule type="cellIs" dxfId="39521" priority="188805" operator="equal">
      <formula>"PTO"</formula>
    </cfRule>
  </conditionalFormatting>
  <conditionalFormatting sqref="C149:H184 K149:P184 R149:V184 R240:X240 R188:V239 C188:H240 K188:P240 C241:X272">
    <cfRule type="cellIs" dxfId="39520" priority="188802" operator="equal">
      <formula>"OFF"</formula>
    </cfRule>
    <cfRule type="cellIs" dxfId="39519" priority="188803" operator="equal">
      <formula>"PTO"</formula>
    </cfRule>
  </conditionalFormatting>
  <conditionalFormatting sqref="B35:B38">
    <cfRule type="duplicateValues" dxfId="39518" priority="188798"/>
  </conditionalFormatting>
  <conditionalFormatting sqref="X35:X39">
    <cfRule type="cellIs" dxfId="39517" priority="188796" operator="equal">
      <formula>"OFF"</formula>
    </cfRule>
    <cfRule type="cellIs" dxfId="39516" priority="188797" operator="equal">
      <formula>"PTO"</formula>
    </cfRule>
  </conditionalFormatting>
  <conditionalFormatting sqref="B28">
    <cfRule type="duplicateValues" dxfId="39515" priority="188795"/>
  </conditionalFormatting>
  <conditionalFormatting sqref="B29">
    <cfRule type="duplicateValues" dxfId="39514" priority="188792"/>
  </conditionalFormatting>
  <conditionalFormatting sqref="X29">
    <cfRule type="cellIs" dxfId="39513" priority="188790" operator="equal">
      <formula>"OFF"</formula>
    </cfRule>
    <cfRule type="cellIs" dxfId="39512" priority="188791" operator="equal">
      <formula>"PTO"</formula>
    </cfRule>
  </conditionalFormatting>
  <conditionalFormatting sqref="B31">
    <cfRule type="duplicateValues" dxfId="39511" priority="188789"/>
  </conditionalFormatting>
  <conditionalFormatting sqref="B30">
    <cfRule type="duplicateValues" dxfId="39510" priority="188786"/>
  </conditionalFormatting>
  <conditionalFormatting sqref="X30">
    <cfRule type="cellIs" dxfId="39509" priority="188784" operator="equal">
      <formula>"OFF"</formula>
    </cfRule>
    <cfRule type="cellIs" dxfId="39508" priority="188785" operator="equal">
      <formula>"PTO"</formula>
    </cfRule>
  </conditionalFormatting>
  <conditionalFormatting sqref="B27">
    <cfRule type="duplicateValues" dxfId="39507" priority="188777"/>
  </conditionalFormatting>
  <conditionalFormatting sqref="B28">
    <cfRule type="duplicateValues" dxfId="39506" priority="188774"/>
  </conditionalFormatting>
  <conditionalFormatting sqref="X28">
    <cfRule type="cellIs" dxfId="39505" priority="188772" operator="equal">
      <formula>"OFF"</formula>
    </cfRule>
    <cfRule type="cellIs" dxfId="39504" priority="188773" operator="equal">
      <formula>"PTO"</formula>
    </cfRule>
  </conditionalFormatting>
  <conditionalFormatting sqref="B30">
    <cfRule type="duplicateValues" dxfId="39503" priority="188771"/>
  </conditionalFormatting>
  <conditionalFormatting sqref="X30">
    <cfRule type="cellIs" dxfId="39502" priority="188769" operator="equal">
      <formula>"OFF"</formula>
    </cfRule>
    <cfRule type="cellIs" dxfId="39501" priority="188770" operator="equal">
      <formula>"PTO"</formula>
    </cfRule>
  </conditionalFormatting>
  <conditionalFormatting sqref="B29">
    <cfRule type="duplicateValues" dxfId="39500" priority="188768"/>
  </conditionalFormatting>
  <conditionalFormatting sqref="X29">
    <cfRule type="cellIs" dxfId="39499" priority="188766" operator="equal">
      <formula>"OFF"</formula>
    </cfRule>
    <cfRule type="cellIs" dxfId="39498" priority="188767" operator="equal">
      <formula>"PTO"</formula>
    </cfRule>
  </conditionalFormatting>
  <conditionalFormatting sqref="B31">
    <cfRule type="duplicateValues" dxfId="39497" priority="188765"/>
  </conditionalFormatting>
  <conditionalFormatting sqref="X31">
    <cfRule type="cellIs" dxfId="39496" priority="188763" operator="equal">
      <formula>"OFF"</formula>
    </cfRule>
    <cfRule type="cellIs" dxfId="39495" priority="188764" operator="equal">
      <formula>"PTO"</formula>
    </cfRule>
  </conditionalFormatting>
  <conditionalFormatting sqref="X4">
    <cfRule type="cellIs" dxfId="39494" priority="188755" operator="equal">
      <formula>"OFF"</formula>
    </cfRule>
    <cfRule type="cellIs" dxfId="39493" priority="188756" operator="equal">
      <formula>"PTO"</formula>
    </cfRule>
  </conditionalFormatting>
  <conditionalFormatting sqref="X7">
    <cfRule type="cellIs" dxfId="39492" priority="188753" operator="equal">
      <formula>"OFF"</formula>
    </cfRule>
    <cfRule type="cellIs" dxfId="39491" priority="188754" operator="equal">
      <formula>"PTO"</formula>
    </cfRule>
  </conditionalFormatting>
  <conditionalFormatting sqref="X16">
    <cfRule type="cellIs" dxfId="39490" priority="188751" operator="equal">
      <formula>"OFF"</formula>
    </cfRule>
    <cfRule type="cellIs" dxfId="39489" priority="188752" operator="equal">
      <formula>"PTO"</formula>
    </cfRule>
  </conditionalFormatting>
  <conditionalFormatting sqref="X20 X18 X22:X23">
    <cfRule type="cellIs" dxfId="39488" priority="188749" operator="equal">
      <formula>"OFF"</formula>
    </cfRule>
    <cfRule type="cellIs" dxfId="39487" priority="188750" operator="equal">
      <formula>"PTO"</formula>
    </cfRule>
  </conditionalFormatting>
  <conditionalFormatting sqref="X11">
    <cfRule type="cellIs" dxfId="39486" priority="188747" operator="equal">
      <formula>"OFF"</formula>
    </cfRule>
    <cfRule type="cellIs" dxfId="39485" priority="188748" operator="equal">
      <formula>"PTO"</formula>
    </cfRule>
  </conditionalFormatting>
  <conditionalFormatting sqref="B25">
    <cfRule type="duplicateValues" dxfId="39484" priority="188746"/>
  </conditionalFormatting>
  <conditionalFormatting sqref="X25">
    <cfRule type="cellIs" dxfId="39483" priority="188744" operator="equal">
      <formula>"OFF"</formula>
    </cfRule>
    <cfRule type="cellIs" dxfId="39482" priority="188745" operator="equal">
      <formula>"PTO"</formula>
    </cfRule>
  </conditionalFormatting>
  <conditionalFormatting sqref="B5">
    <cfRule type="duplicateValues" dxfId="39481" priority="188743"/>
  </conditionalFormatting>
  <conditionalFormatting sqref="X5">
    <cfRule type="cellIs" dxfId="39480" priority="188741" operator="equal">
      <formula>"OFF"</formula>
    </cfRule>
    <cfRule type="cellIs" dxfId="39479" priority="188742" operator="equal">
      <formula>"PTO"</formula>
    </cfRule>
  </conditionalFormatting>
  <conditionalFormatting sqref="X19">
    <cfRule type="cellIs" dxfId="39478" priority="188739" operator="equal">
      <formula>"OFF"</formula>
    </cfRule>
    <cfRule type="cellIs" dxfId="39477" priority="188740" operator="equal">
      <formula>"PTO"</formula>
    </cfRule>
  </conditionalFormatting>
  <conditionalFormatting sqref="X24">
    <cfRule type="cellIs" dxfId="39476" priority="188737" operator="equal">
      <formula>"OFF"</formula>
    </cfRule>
    <cfRule type="cellIs" dxfId="39475" priority="188738" operator="equal">
      <formula>"PTO"</formula>
    </cfRule>
  </conditionalFormatting>
  <conditionalFormatting sqref="X27">
    <cfRule type="cellIs" dxfId="39474" priority="188731" operator="equal">
      <formula>"OFF"</formula>
    </cfRule>
    <cfRule type="cellIs" dxfId="39473" priority="188732" operator="equal">
      <formula>"PTO"</formula>
    </cfRule>
  </conditionalFormatting>
  <conditionalFormatting sqref="X47">
    <cfRule type="cellIs" dxfId="39472" priority="188568" operator="equal">
      <formula>"OFF"</formula>
    </cfRule>
    <cfRule type="cellIs" dxfId="39471" priority="188569" operator="equal">
      <formula>"PTO"</formula>
    </cfRule>
  </conditionalFormatting>
  <conditionalFormatting sqref="X30">
    <cfRule type="cellIs" dxfId="39470" priority="188725" operator="equal">
      <formula>"OFF"</formula>
    </cfRule>
    <cfRule type="cellIs" dxfId="39469" priority="188726" operator="equal">
      <formula>"PTO"</formula>
    </cfRule>
  </conditionalFormatting>
  <conditionalFormatting sqref="X31">
    <cfRule type="cellIs" dxfId="39468" priority="188719" operator="equal">
      <formula>"OFF"</formula>
    </cfRule>
    <cfRule type="cellIs" dxfId="39467" priority="188720" operator="equal">
      <formula>"PTO"</formula>
    </cfRule>
  </conditionalFormatting>
  <conditionalFormatting sqref="X26">
    <cfRule type="cellIs" dxfId="39466" priority="188713" operator="equal">
      <formula>"OFF"</formula>
    </cfRule>
    <cfRule type="cellIs" dxfId="39465" priority="188714" operator="equal">
      <formula>"PTO"</formula>
    </cfRule>
  </conditionalFormatting>
  <conditionalFormatting sqref="B27">
    <cfRule type="duplicateValues" dxfId="39464" priority="188733"/>
  </conditionalFormatting>
  <conditionalFormatting sqref="B28">
    <cfRule type="duplicateValues" dxfId="39463" priority="188730"/>
  </conditionalFormatting>
  <conditionalFormatting sqref="X28">
    <cfRule type="cellIs" dxfId="39462" priority="188728" operator="equal">
      <formula>"OFF"</formula>
    </cfRule>
    <cfRule type="cellIs" dxfId="39461" priority="188729" operator="equal">
      <formula>"PTO"</formula>
    </cfRule>
  </conditionalFormatting>
  <conditionalFormatting sqref="B30">
    <cfRule type="duplicateValues" dxfId="39460" priority="188727"/>
  </conditionalFormatting>
  <conditionalFormatting sqref="B29">
    <cfRule type="duplicateValues" dxfId="39459" priority="188724"/>
  </conditionalFormatting>
  <conditionalFormatting sqref="X29">
    <cfRule type="cellIs" dxfId="39458" priority="188722" operator="equal">
      <formula>"OFF"</formula>
    </cfRule>
    <cfRule type="cellIs" dxfId="39457" priority="188723" operator="equal">
      <formula>"PTO"</formula>
    </cfRule>
  </conditionalFormatting>
  <conditionalFormatting sqref="B31">
    <cfRule type="duplicateValues" dxfId="39456" priority="188721"/>
  </conditionalFormatting>
  <conditionalFormatting sqref="B26">
    <cfRule type="duplicateValues" dxfId="39455" priority="188715"/>
  </conditionalFormatting>
  <conditionalFormatting sqref="B27">
    <cfRule type="duplicateValues" dxfId="39454" priority="188712"/>
  </conditionalFormatting>
  <conditionalFormatting sqref="X27">
    <cfRule type="cellIs" dxfId="39453" priority="188710" operator="equal">
      <formula>"OFF"</formula>
    </cfRule>
    <cfRule type="cellIs" dxfId="39452" priority="188711" operator="equal">
      <formula>"PTO"</formula>
    </cfRule>
  </conditionalFormatting>
  <conditionalFormatting sqref="B29">
    <cfRule type="duplicateValues" dxfId="39451" priority="188709"/>
  </conditionalFormatting>
  <conditionalFormatting sqref="X29">
    <cfRule type="cellIs" dxfId="39450" priority="188707" operator="equal">
      <formula>"OFF"</formula>
    </cfRule>
    <cfRule type="cellIs" dxfId="39449" priority="188708" operator="equal">
      <formula>"PTO"</formula>
    </cfRule>
  </conditionalFormatting>
  <conditionalFormatting sqref="B28">
    <cfRule type="duplicateValues" dxfId="39448" priority="188706"/>
  </conditionalFormatting>
  <conditionalFormatting sqref="X28">
    <cfRule type="cellIs" dxfId="39447" priority="188704" operator="equal">
      <formula>"OFF"</formula>
    </cfRule>
    <cfRule type="cellIs" dxfId="39446" priority="188705" operator="equal">
      <formula>"PTO"</formula>
    </cfRule>
  </conditionalFormatting>
  <conditionalFormatting sqref="B30">
    <cfRule type="duplicateValues" dxfId="39445" priority="188703"/>
  </conditionalFormatting>
  <conditionalFormatting sqref="X30">
    <cfRule type="cellIs" dxfId="39444" priority="188701" operator="equal">
      <formula>"OFF"</formula>
    </cfRule>
    <cfRule type="cellIs" dxfId="39443" priority="188702" operator="equal">
      <formula>"PTO"</formula>
    </cfRule>
  </conditionalFormatting>
  <conditionalFormatting sqref="B38">
    <cfRule type="duplicateValues" dxfId="39442" priority="188697"/>
  </conditionalFormatting>
  <conditionalFormatting sqref="X37:X39">
    <cfRule type="cellIs" dxfId="39441" priority="188695" operator="equal">
      <formula>"OFF"</formula>
    </cfRule>
    <cfRule type="cellIs" dxfId="39440" priority="188696" operator="equal">
      <formula>"PTO"</formula>
    </cfRule>
  </conditionalFormatting>
  <conditionalFormatting sqref="B43:B56">
    <cfRule type="duplicateValues" dxfId="39439" priority="253130"/>
  </conditionalFormatting>
  <conditionalFormatting sqref="T28:W28">
    <cfRule type="cellIs" dxfId="39438" priority="188687" operator="equal">
      <formula>"OFF"</formula>
    </cfRule>
    <cfRule type="cellIs" dxfId="39437" priority="188688" operator="equal">
      <formula>"PTO"</formula>
    </cfRule>
  </conditionalFormatting>
  <conditionalFormatting sqref="T31:W31">
    <cfRule type="cellIs" dxfId="39436" priority="188683" operator="equal">
      <formula>"OFF"</formula>
    </cfRule>
    <cfRule type="cellIs" dxfId="39435" priority="188684" operator="equal">
      <formula>"PTO"</formula>
    </cfRule>
  </conditionalFormatting>
  <conditionalFormatting sqref="T27:W27">
    <cfRule type="cellIs" dxfId="39434" priority="188675" operator="equal">
      <formula>"OFF"</formula>
    </cfRule>
    <cfRule type="cellIs" dxfId="39433" priority="188676" operator="equal">
      <formula>"PTO"</formula>
    </cfRule>
  </conditionalFormatting>
  <conditionalFormatting sqref="T25:W27 T30:W31 Q39:W39 T33:W39">
    <cfRule type="cellIs" dxfId="39432" priority="188693" operator="equal">
      <formula>"OFF"</formula>
    </cfRule>
    <cfRule type="cellIs" dxfId="39431" priority="188694" operator="equal">
      <formula>"PTO"</formula>
    </cfRule>
  </conditionalFormatting>
  <conditionalFormatting sqref="T35:W39 Q39:W39">
    <cfRule type="cellIs" dxfId="39430" priority="188689" operator="equal">
      <formula>"OFF"</formula>
    </cfRule>
    <cfRule type="cellIs" dxfId="39429" priority="188690" operator="equal">
      <formula>"PTO"</formula>
    </cfRule>
  </conditionalFormatting>
  <conditionalFormatting sqref="T29:W29">
    <cfRule type="cellIs" dxfId="39428" priority="188685" operator="equal">
      <formula>"OFF"</formula>
    </cfRule>
    <cfRule type="cellIs" dxfId="39427" priority="188686" operator="equal">
      <formula>"PTO"</formula>
    </cfRule>
  </conditionalFormatting>
  <conditionalFormatting sqref="T30:W30">
    <cfRule type="cellIs" dxfId="39426" priority="188681" operator="equal">
      <formula>"OFF"</formula>
    </cfRule>
    <cfRule type="cellIs" dxfId="39425" priority="188682" operator="equal">
      <formula>"PTO"</formula>
    </cfRule>
  </conditionalFormatting>
  <conditionalFormatting sqref="T28:W28">
    <cfRule type="cellIs" dxfId="39424" priority="188673" operator="equal">
      <formula>"OFF"</formula>
    </cfRule>
    <cfRule type="cellIs" dxfId="39423" priority="188674" operator="equal">
      <formula>"PTO"</formula>
    </cfRule>
  </conditionalFormatting>
  <conditionalFormatting sqref="T30:W30">
    <cfRule type="cellIs" dxfId="39422" priority="188671" operator="equal">
      <formula>"OFF"</formula>
    </cfRule>
    <cfRule type="cellIs" dxfId="39421" priority="188672" operator="equal">
      <formula>"PTO"</formula>
    </cfRule>
  </conditionalFormatting>
  <conditionalFormatting sqref="T29:W29">
    <cfRule type="cellIs" dxfId="39420" priority="188669" operator="equal">
      <formula>"OFF"</formula>
    </cfRule>
    <cfRule type="cellIs" dxfId="39419" priority="188670" operator="equal">
      <formula>"PTO"</formula>
    </cfRule>
  </conditionalFormatting>
  <conditionalFormatting sqref="T31:W31">
    <cfRule type="cellIs" dxfId="39418" priority="188667" operator="equal">
      <formula>"OFF"</formula>
    </cfRule>
    <cfRule type="cellIs" dxfId="39417" priority="188668" operator="equal">
      <formula>"PTO"</formula>
    </cfRule>
  </conditionalFormatting>
  <conditionalFormatting sqref="W22:W23 T22:T23">
    <cfRule type="cellIs" dxfId="39416" priority="188655" operator="equal">
      <formula>"OFF"</formula>
    </cfRule>
    <cfRule type="cellIs" dxfId="39415" priority="188656" operator="equal">
      <formula>"PTO"</formula>
    </cfRule>
  </conditionalFormatting>
  <conditionalFormatting sqref="T25:W25">
    <cfRule type="cellIs" dxfId="39414" priority="188651" operator="equal">
      <formula>"OFF"</formula>
    </cfRule>
    <cfRule type="cellIs" dxfId="39413" priority="188652" operator="equal">
      <formula>"PTO"</formula>
    </cfRule>
  </conditionalFormatting>
  <conditionalFormatting sqref="T24:W24">
    <cfRule type="cellIs" dxfId="39412" priority="188645" operator="equal">
      <formula>"OFF"</formula>
    </cfRule>
    <cfRule type="cellIs" dxfId="39411" priority="188646" operator="equal">
      <formula>"PTO"</formula>
    </cfRule>
  </conditionalFormatting>
  <conditionalFormatting sqref="T27:W27">
    <cfRule type="cellIs" dxfId="39410" priority="188641" operator="equal">
      <formula>"OFF"</formula>
    </cfRule>
    <cfRule type="cellIs" dxfId="39409" priority="188642" operator="equal">
      <formula>"PTO"</formula>
    </cfRule>
  </conditionalFormatting>
  <conditionalFormatting sqref="T30:W30">
    <cfRule type="cellIs" dxfId="39408" priority="188637" operator="equal">
      <formula>"OFF"</formula>
    </cfRule>
    <cfRule type="cellIs" dxfId="39407" priority="188638" operator="equal">
      <formula>"PTO"</formula>
    </cfRule>
  </conditionalFormatting>
  <conditionalFormatting sqref="T31:W31">
    <cfRule type="cellIs" dxfId="39406" priority="188633" operator="equal">
      <formula>"OFF"</formula>
    </cfRule>
    <cfRule type="cellIs" dxfId="39405" priority="188634" operator="equal">
      <formula>"PTO"</formula>
    </cfRule>
  </conditionalFormatting>
  <conditionalFormatting sqref="T26:W26">
    <cfRule type="cellIs" dxfId="39404" priority="188629" operator="equal">
      <formula>"OFF"</formula>
    </cfRule>
    <cfRule type="cellIs" dxfId="39403" priority="188630" operator="equal">
      <formula>"PTO"</formula>
    </cfRule>
  </conditionalFormatting>
  <conditionalFormatting sqref="T28:W28">
    <cfRule type="cellIs" dxfId="39402" priority="188639" operator="equal">
      <formula>"OFF"</formula>
    </cfRule>
    <cfRule type="cellIs" dxfId="39401" priority="188640" operator="equal">
      <formula>"PTO"</formula>
    </cfRule>
  </conditionalFormatting>
  <conditionalFormatting sqref="T29:W29">
    <cfRule type="cellIs" dxfId="39400" priority="188635" operator="equal">
      <formula>"OFF"</formula>
    </cfRule>
    <cfRule type="cellIs" dxfId="39399" priority="188636" operator="equal">
      <formula>"PTO"</formula>
    </cfRule>
  </conditionalFormatting>
  <conditionalFormatting sqref="T27:W27">
    <cfRule type="cellIs" dxfId="39398" priority="188627" operator="equal">
      <formula>"OFF"</formula>
    </cfRule>
    <cfRule type="cellIs" dxfId="39397" priority="188628" operator="equal">
      <formula>"PTO"</formula>
    </cfRule>
  </conditionalFormatting>
  <conditionalFormatting sqref="T29:W29">
    <cfRule type="cellIs" dxfId="39396" priority="188625" operator="equal">
      <formula>"OFF"</formula>
    </cfRule>
    <cfRule type="cellIs" dxfId="39395" priority="188626" operator="equal">
      <formula>"PTO"</formula>
    </cfRule>
  </conditionalFormatting>
  <conditionalFormatting sqref="T28:W28">
    <cfRule type="cellIs" dxfId="39394" priority="188623" operator="equal">
      <formula>"OFF"</formula>
    </cfRule>
    <cfRule type="cellIs" dxfId="39393" priority="188624" operator="equal">
      <formula>"PTO"</formula>
    </cfRule>
  </conditionalFormatting>
  <conditionalFormatting sqref="T30:W30">
    <cfRule type="cellIs" dxfId="39392" priority="188621" operator="equal">
      <formula>"OFF"</formula>
    </cfRule>
    <cfRule type="cellIs" dxfId="39391" priority="188622" operator="equal">
      <formula>"PTO"</formula>
    </cfRule>
  </conditionalFormatting>
  <conditionalFormatting sqref="T37:W39 Q39:W39">
    <cfRule type="cellIs" dxfId="39390" priority="188617" operator="equal">
      <formula>"OFF"</formula>
    </cfRule>
    <cfRule type="cellIs" dxfId="39389" priority="188618" operator="equal">
      <formula>"PTO"</formula>
    </cfRule>
  </conditionalFormatting>
  <conditionalFormatting sqref="B49:B53">
    <cfRule type="duplicateValues" dxfId="39388" priority="188615"/>
  </conditionalFormatting>
  <conditionalFormatting sqref="X47:X127">
    <cfRule type="cellIs" dxfId="39387" priority="188613" operator="equal">
      <formula>"OFF"</formula>
    </cfRule>
    <cfRule type="cellIs" dxfId="39386" priority="188614" operator="equal">
      <formula>"PTO"</formula>
    </cfRule>
  </conditionalFormatting>
  <conditionalFormatting sqref="B49:B53">
    <cfRule type="duplicateValues" dxfId="39385" priority="188616"/>
  </conditionalFormatting>
  <conditionalFormatting sqref="X49">
    <cfRule type="cellIs" dxfId="39384" priority="188601" operator="equal">
      <formula>"OFF"</formula>
    </cfRule>
    <cfRule type="cellIs" dxfId="39383" priority="188602" operator="equal">
      <formula>"PTO"</formula>
    </cfRule>
  </conditionalFormatting>
  <conditionalFormatting sqref="B49">
    <cfRule type="duplicateValues" dxfId="39382" priority="188603"/>
  </conditionalFormatting>
  <conditionalFormatting sqref="B41 B43:B56">
    <cfRule type="duplicateValues" dxfId="39381" priority="188600"/>
  </conditionalFormatting>
  <conditionalFormatting sqref="X41:X49">
    <cfRule type="cellIs" dxfId="39380" priority="188598" operator="equal">
      <formula>"OFF"</formula>
    </cfRule>
    <cfRule type="cellIs" dxfId="39379" priority="188599" operator="equal">
      <formula>"PTO"</formula>
    </cfRule>
  </conditionalFormatting>
  <conditionalFormatting sqref="B48">
    <cfRule type="duplicateValues" dxfId="39378" priority="188591"/>
  </conditionalFormatting>
  <conditionalFormatting sqref="X48">
    <cfRule type="cellIs" dxfId="39377" priority="188589" operator="equal">
      <formula>"OFF"</formula>
    </cfRule>
    <cfRule type="cellIs" dxfId="39376" priority="188590" operator="equal">
      <formula>"PTO"</formula>
    </cfRule>
  </conditionalFormatting>
  <conditionalFormatting sqref="X48">
    <cfRule type="cellIs" dxfId="39375" priority="188583" operator="equal">
      <formula>"OFF"</formula>
    </cfRule>
    <cfRule type="cellIs" dxfId="39374" priority="188584" operator="equal">
      <formula>"PTO"</formula>
    </cfRule>
  </conditionalFormatting>
  <conditionalFormatting sqref="B48">
    <cfRule type="duplicateValues" dxfId="39373" priority="188585"/>
  </conditionalFormatting>
  <conditionalFormatting sqref="X47">
    <cfRule type="cellIs" dxfId="39372" priority="188580" operator="equal">
      <formula>"OFF"</formula>
    </cfRule>
    <cfRule type="cellIs" dxfId="39371" priority="188581" operator="equal">
      <formula>"PTO"</formula>
    </cfRule>
  </conditionalFormatting>
  <conditionalFormatting sqref="X48">
    <cfRule type="cellIs" dxfId="39370" priority="188577" operator="equal">
      <formula>"OFF"</formula>
    </cfRule>
    <cfRule type="cellIs" dxfId="39369" priority="188578" operator="equal">
      <formula>"PTO"</formula>
    </cfRule>
  </conditionalFormatting>
  <conditionalFormatting sqref="B48">
    <cfRule type="duplicateValues" dxfId="39368" priority="188579"/>
  </conditionalFormatting>
  <conditionalFormatting sqref="X47">
    <cfRule type="cellIs" dxfId="39367" priority="188571" operator="equal">
      <formula>"OFF"</formula>
    </cfRule>
    <cfRule type="cellIs" dxfId="39366" priority="188572" operator="equal">
      <formula>"PTO"</formula>
    </cfRule>
  </conditionalFormatting>
  <conditionalFormatting sqref="X53:X127">
    <cfRule type="cellIs" dxfId="39365" priority="188535" operator="equal">
      <formula>"OFF"</formula>
    </cfRule>
    <cfRule type="cellIs" dxfId="39364" priority="188536" operator="equal">
      <formula>"PTO"</formula>
    </cfRule>
  </conditionalFormatting>
  <conditionalFormatting sqref="B1">
    <cfRule type="duplicateValues" dxfId="39363" priority="188526"/>
  </conditionalFormatting>
  <conditionalFormatting sqref="B1">
    <cfRule type="duplicateValues" dxfId="39362" priority="188525"/>
  </conditionalFormatting>
  <conditionalFormatting sqref="B1">
    <cfRule type="duplicateValues" dxfId="39361" priority="188524"/>
  </conditionalFormatting>
  <conditionalFormatting sqref="B38">
    <cfRule type="duplicateValues" dxfId="39360" priority="188523"/>
  </conditionalFormatting>
  <conditionalFormatting sqref="B38">
    <cfRule type="duplicateValues" dxfId="39359" priority="188522"/>
  </conditionalFormatting>
  <conditionalFormatting sqref="B38">
    <cfRule type="duplicateValues" dxfId="39358" priority="188521"/>
  </conditionalFormatting>
  <conditionalFormatting sqref="B38">
    <cfRule type="duplicateValues" dxfId="39357" priority="188520"/>
  </conditionalFormatting>
  <conditionalFormatting sqref="B47">
    <cfRule type="duplicateValues" dxfId="39356" priority="188519"/>
  </conditionalFormatting>
  <conditionalFormatting sqref="B47">
    <cfRule type="duplicateValues" dxfId="39355" priority="188518"/>
  </conditionalFormatting>
  <conditionalFormatting sqref="B47">
    <cfRule type="duplicateValues" dxfId="39354" priority="188517"/>
  </conditionalFormatting>
  <conditionalFormatting sqref="B14">
    <cfRule type="duplicateValues" dxfId="39353" priority="188234"/>
  </conditionalFormatting>
  <conditionalFormatting sqref="B15">
    <cfRule type="duplicateValues" dxfId="39352" priority="188233"/>
  </conditionalFormatting>
  <conditionalFormatting sqref="X47">
    <cfRule type="cellIs" dxfId="39351" priority="183994" operator="equal">
      <formula>"OFF"</formula>
    </cfRule>
    <cfRule type="cellIs" dxfId="39350" priority="183995" operator="equal">
      <formula>"PTO"</formula>
    </cfRule>
  </conditionalFormatting>
  <conditionalFormatting sqref="X48">
    <cfRule type="cellIs" dxfId="39349" priority="188012" operator="equal">
      <formula>"OFF"</formula>
    </cfRule>
    <cfRule type="cellIs" dxfId="39348" priority="188013" operator="equal">
      <formula>"PTO"</formula>
    </cfRule>
  </conditionalFormatting>
  <conditionalFormatting sqref="B48">
    <cfRule type="duplicateValues" dxfId="39347" priority="188014"/>
  </conditionalFormatting>
  <conditionalFormatting sqref="B47">
    <cfRule type="duplicateValues" dxfId="39346" priority="188011"/>
  </conditionalFormatting>
  <conditionalFormatting sqref="X47">
    <cfRule type="cellIs" dxfId="39345" priority="188009" operator="equal">
      <formula>"OFF"</formula>
    </cfRule>
    <cfRule type="cellIs" dxfId="39344" priority="188010" operator="equal">
      <formula>"PTO"</formula>
    </cfRule>
  </conditionalFormatting>
  <conditionalFormatting sqref="X47">
    <cfRule type="cellIs" dxfId="39343" priority="188006" operator="equal">
      <formula>"OFF"</formula>
    </cfRule>
    <cfRule type="cellIs" dxfId="39342" priority="188007" operator="equal">
      <formula>"PTO"</formula>
    </cfRule>
  </conditionalFormatting>
  <conditionalFormatting sqref="B47">
    <cfRule type="duplicateValues" dxfId="39341" priority="188008"/>
  </conditionalFormatting>
  <conditionalFormatting sqref="X47">
    <cfRule type="cellIs" dxfId="39340" priority="188001" operator="equal">
      <formula>"OFF"</formula>
    </cfRule>
    <cfRule type="cellIs" dxfId="39339" priority="188002" operator="equal">
      <formula>"PTO"</formula>
    </cfRule>
  </conditionalFormatting>
  <conditionalFormatting sqref="B47">
    <cfRule type="duplicateValues" dxfId="39338" priority="188003"/>
  </conditionalFormatting>
  <conditionalFormatting sqref="B45">
    <cfRule type="duplicateValues" dxfId="39337" priority="187996"/>
  </conditionalFormatting>
  <conditionalFormatting sqref="X45">
    <cfRule type="cellIs" dxfId="39336" priority="187994" operator="equal">
      <formula>"OFF"</formula>
    </cfRule>
    <cfRule type="cellIs" dxfId="39335" priority="187995" operator="equal">
      <formula>"PTO"</formula>
    </cfRule>
  </conditionalFormatting>
  <conditionalFormatting sqref="X47">
    <cfRule type="cellIs" dxfId="39334" priority="186864" operator="equal">
      <formula>"OFF"</formula>
    </cfRule>
    <cfRule type="cellIs" dxfId="39333" priority="186865" operator="equal">
      <formula>"PTO"</formula>
    </cfRule>
  </conditionalFormatting>
  <conditionalFormatting sqref="X50">
    <cfRule type="cellIs" dxfId="39332" priority="186965" operator="equal">
      <formula>"OFF"</formula>
    </cfRule>
    <cfRule type="cellIs" dxfId="39331" priority="186966" operator="equal">
      <formula>"PTO"</formula>
    </cfRule>
  </conditionalFormatting>
  <conditionalFormatting sqref="B50">
    <cfRule type="duplicateValues" dxfId="39330" priority="186967"/>
  </conditionalFormatting>
  <conditionalFormatting sqref="B49">
    <cfRule type="duplicateValues" dxfId="39329" priority="186961"/>
  </conditionalFormatting>
  <conditionalFormatting sqref="X49">
    <cfRule type="cellIs" dxfId="39328" priority="186959" operator="equal">
      <formula>"OFF"</formula>
    </cfRule>
    <cfRule type="cellIs" dxfId="39327" priority="186960" operator="equal">
      <formula>"PTO"</formula>
    </cfRule>
  </conditionalFormatting>
  <conditionalFormatting sqref="X49">
    <cfRule type="cellIs" dxfId="39326" priority="186956" operator="equal">
      <formula>"OFF"</formula>
    </cfRule>
    <cfRule type="cellIs" dxfId="39325" priority="186957" operator="equal">
      <formula>"PTO"</formula>
    </cfRule>
  </conditionalFormatting>
  <conditionalFormatting sqref="B49">
    <cfRule type="duplicateValues" dxfId="39324" priority="186958"/>
  </conditionalFormatting>
  <conditionalFormatting sqref="X48">
    <cfRule type="cellIs" dxfId="39323" priority="186954" operator="equal">
      <formula>"OFF"</formula>
    </cfRule>
    <cfRule type="cellIs" dxfId="39322" priority="186955" operator="equal">
      <formula>"PTO"</formula>
    </cfRule>
  </conditionalFormatting>
  <conditionalFormatting sqref="X49">
    <cfRule type="cellIs" dxfId="39321" priority="186951" operator="equal">
      <formula>"OFF"</formula>
    </cfRule>
    <cfRule type="cellIs" dxfId="39320" priority="186952" operator="equal">
      <formula>"PTO"</formula>
    </cfRule>
  </conditionalFormatting>
  <conditionalFormatting sqref="B49">
    <cfRule type="duplicateValues" dxfId="39319" priority="186953"/>
  </conditionalFormatting>
  <conditionalFormatting sqref="X48">
    <cfRule type="cellIs" dxfId="39318" priority="186949" operator="equal">
      <formula>"OFF"</formula>
    </cfRule>
    <cfRule type="cellIs" dxfId="39317" priority="186950" operator="equal">
      <formula>"PTO"</formula>
    </cfRule>
  </conditionalFormatting>
  <conditionalFormatting sqref="X48">
    <cfRule type="cellIs" dxfId="39316" priority="186947" operator="equal">
      <formula>"OFF"</formula>
    </cfRule>
    <cfRule type="cellIs" dxfId="39315" priority="186948" operator="equal">
      <formula>"PTO"</formula>
    </cfRule>
  </conditionalFormatting>
  <conditionalFormatting sqref="B47">
    <cfRule type="duplicateValues" dxfId="39314" priority="186946"/>
  </conditionalFormatting>
  <conditionalFormatting sqref="X47">
    <cfRule type="cellIs" dxfId="39313" priority="186944" operator="equal">
      <formula>"OFF"</formula>
    </cfRule>
    <cfRule type="cellIs" dxfId="39312" priority="186945" operator="equal">
      <formula>"PTO"</formula>
    </cfRule>
  </conditionalFormatting>
  <conditionalFormatting sqref="B48">
    <cfRule type="duplicateValues" dxfId="39311" priority="186933"/>
  </conditionalFormatting>
  <conditionalFormatting sqref="B48">
    <cfRule type="duplicateValues" dxfId="39310" priority="186932"/>
  </conditionalFormatting>
  <conditionalFormatting sqref="B48">
    <cfRule type="duplicateValues" dxfId="39309" priority="186931"/>
  </conditionalFormatting>
  <conditionalFormatting sqref="X49">
    <cfRule type="cellIs" dxfId="39308" priority="186872" operator="equal">
      <formula>"OFF"</formula>
    </cfRule>
    <cfRule type="cellIs" dxfId="39307" priority="186873" operator="equal">
      <formula>"PTO"</formula>
    </cfRule>
  </conditionalFormatting>
  <conditionalFormatting sqref="B49">
    <cfRule type="duplicateValues" dxfId="39306" priority="186874"/>
  </conditionalFormatting>
  <conditionalFormatting sqref="B48">
    <cfRule type="duplicateValues" dxfId="39305" priority="186871"/>
  </conditionalFormatting>
  <conditionalFormatting sqref="X48">
    <cfRule type="cellIs" dxfId="39304" priority="186869" operator="equal">
      <formula>"OFF"</formula>
    </cfRule>
    <cfRule type="cellIs" dxfId="39303" priority="186870" operator="equal">
      <formula>"PTO"</formula>
    </cfRule>
  </conditionalFormatting>
  <conditionalFormatting sqref="X48">
    <cfRule type="cellIs" dxfId="39302" priority="186866" operator="equal">
      <formula>"OFF"</formula>
    </cfRule>
    <cfRule type="cellIs" dxfId="39301" priority="186867" operator="equal">
      <formula>"PTO"</formula>
    </cfRule>
  </conditionalFormatting>
  <conditionalFormatting sqref="B48">
    <cfRule type="duplicateValues" dxfId="39300" priority="186868"/>
  </conditionalFormatting>
  <conditionalFormatting sqref="X48">
    <cfRule type="cellIs" dxfId="39299" priority="186861" operator="equal">
      <formula>"OFF"</formula>
    </cfRule>
    <cfRule type="cellIs" dxfId="39298" priority="186862" operator="equal">
      <formula>"PTO"</formula>
    </cfRule>
  </conditionalFormatting>
  <conditionalFormatting sqref="B48">
    <cfRule type="duplicateValues" dxfId="39297" priority="186863"/>
  </conditionalFormatting>
  <conditionalFormatting sqref="X47">
    <cfRule type="cellIs" dxfId="39296" priority="186859" operator="equal">
      <formula>"OFF"</formula>
    </cfRule>
    <cfRule type="cellIs" dxfId="39295" priority="186860" operator="equal">
      <formula>"PTO"</formula>
    </cfRule>
  </conditionalFormatting>
  <conditionalFormatting sqref="X47">
    <cfRule type="cellIs" dxfId="39294" priority="186857" operator="equal">
      <formula>"OFF"</formula>
    </cfRule>
    <cfRule type="cellIs" dxfId="39293" priority="186858" operator="equal">
      <formula>"PTO"</formula>
    </cfRule>
  </conditionalFormatting>
  <conditionalFormatting sqref="B47">
    <cfRule type="duplicateValues" dxfId="39292" priority="186843"/>
  </conditionalFormatting>
  <conditionalFormatting sqref="B47">
    <cfRule type="duplicateValues" dxfId="39291" priority="186842"/>
  </conditionalFormatting>
  <conditionalFormatting sqref="B47">
    <cfRule type="duplicateValues" dxfId="39290" priority="186841"/>
  </conditionalFormatting>
  <conditionalFormatting sqref="B39">
    <cfRule type="duplicateValues" dxfId="39289" priority="186598"/>
  </conditionalFormatting>
  <conditionalFormatting sqref="X39">
    <cfRule type="cellIs" dxfId="39288" priority="186596" operator="equal">
      <formula>"OFF"</formula>
    </cfRule>
    <cfRule type="cellIs" dxfId="39287" priority="186597" operator="equal">
      <formula>"PTO"</formula>
    </cfRule>
  </conditionalFormatting>
  <conditionalFormatting sqref="B39">
    <cfRule type="duplicateValues" dxfId="39286" priority="186595"/>
  </conditionalFormatting>
  <conditionalFormatting sqref="X39">
    <cfRule type="cellIs" dxfId="39285" priority="186593" operator="equal">
      <formula>"OFF"</formula>
    </cfRule>
    <cfRule type="cellIs" dxfId="39284" priority="186594" operator="equal">
      <formula>"PTO"</formula>
    </cfRule>
  </conditionalFormatting>
  <conditionalFormatting sqref="B39">
    <cfRule type="duplicateValues" dxfId="39283" priority="186592"/>
  </conditionalFormatting>
  <conditionalFormatting sqref="X39">
    <cfRule type="cellIs" dxfId="39282" priority="186590" operator="equal">
      <formula>"OFF"</formula>
    </cfRule>
    <cfRule type="cellIs" dxfId="39281" priority="186591" operator="equal">
      <formula>"PTO"</formula>
    </cfRule>
  </conditionalFormatting>
  <conditionalFormatting sqref="B39">
    <cfRule type="duplicateValues" dxfId="39280" priority="186589"/>
  </conditionalFormatting>
  <conditionalFormatting sqref="X39">
    <cfRule type="cellIs" dxfId="39279" priority="186587" operator="equal">
      <formula>"OFF"</formula>
    </cfRule>
    <cfRule type="cellIs" dxfId="39278" priority="186588" operator="equal">
      <formula>"PTO"</formula>
    </cfRule>
  </conditionalFormatting>
  <conditionalFormatting sqref="X39">
    <cfRule type="cellIs" dxfId="39277" priority="186585" operator="equal">
      <formula>"OFF"</formula>
    </cfRule>
    <cfRule type="cellIs" dxfId="39276" priority="186586" operator="equal">
      <formula>"PTO"</formula>
    </cfRule>
  </conditionalFormatting>
  <conditionalFormatting sqref="B39">
    <cfRule type="duplicateValues" dxfId="39275" priority="186584"/>
  </conditionalFormatting>
  <conditionalFormatting sqref="X39">
    <cfRule type="cellIs" dxfId="39274" priority="186582" operator="equal">
      <formula>"OFF"</formula>
    </cfRule>
    <cfRule type="cellIs" dxfId="39273" priority="186583" operator="equal">
      <formula>"PTO"</formula>
    </cfRule>
  </conditionalFormatting>
  <conditionalFormatting sqref="B39">
    <cfRule type="duplicateValues" dxfId="39272" priority="186581"/>
  </conditionalFormatting>
  <conditionalFormatting sqref="B39">
    <cfRule type="duplicateValues" dxfId="39271" priority="186580"/>
  </conditionalFormatting>
  <conditionalFormatting sqref="X39">
    <cfRule type="cellIs" dxfId="39270" priority="186578" operator="equal">
      <formula>"OFF"</formula>
    </cfRule>
    <cfRule type="cellIs" dxfId="39269" priority="186579" operator="equal">
      <formula>"PTO"</formula>
    </cfRule>
  </conditionalFormatting>
  <conditionalFormatting sqref="X39">
    <cfRule type="cellIs" dxfId="39268" priority="186576" operator="equal">
      <formula>"OFF"</formula>
    </cfRule>
    <cfRule type="cellIs" dxfId="39267" priority="186577" operator="equal">
      <formula>"PTO"</formula>
    </cfRule>
  </conditionalFormatting>
  <conditionalFormatting sqref="B39">
    <cfRule type="duplicateValues" dxfId="39266" priority="186575"/>
  </conditionalFormatting>
  <conditionalFormatting sqref="T39:W39">
    <cfRule type="cellIs" dxfId="39265" priority="186573" operator="equal">
      <formula>"OFF"</formula>
    </cfRule>
    <cfRule type="cellIs" dxfId="39264" priority="186574" operator="equal">
      <formula>"PTO"</formula>
    </cfRule>
  </conditionalFormatting>
  <conditionalFormatting sqref="T39:W39">
    <cfRule type="cellIs" dxfId="39263" priority="186571" operator="equal">
      <formula>"OFF"</formula>
    </cfRule>
    <cfRule type="cellIs" dxfId="39262" priority="186572" operator="equal">
      <formula>"PTO"</formula>
    </cfRule>
  </conditionalFormatting>
  <conditionalFormatting sqref="T39:W39">
    <cfRule type="cellIs" dxfId="39261" priority="186569" operator="equal">
      <formula>"OFF"</formula>
    </cfRule>
    <cfRule type="cellIs" dxfId="39260" priority="186570" operator="equal">
      <formula>"PTO"</formula>
    </cfRule>
  </conditionalFormatting>
  <conditionalFormatting sqref="T39:W39">
    <cfRule type="cellIs" dxfId="39259" priority="186567" operator="equal">
      <formula>"OFF"</formula>
    </cfRule>
    <cfRule type="cellIs" dxfId="39258" priority="186568" operator="equal">
      <formula>"PTO"</formula>
    </cfRule>
  </conditionalFormatting>
  <conditionalFormatting sqref="T39:W39">
    <cfRule type="cellIs" dxfId="39257" priority="186565" operator="equal">
      <formula>"OFF"</formula>
    </cfRule>
    <cfRule type="cellIs" dxfId="39256" priority="186566" operator="equal">
      <formula>"PTO"</formula>
    </cfRule>
  </conditionalFormatting>
  <conditionalFormatting sqref="T39:W39">
    <cfRule type="cellIs" dxfId="39255" priority="186563" operator="equal">
      <formula>"OFF"</formula>
    </cfRule>
    <cfRule type="cellIs" dxfId="39254" priority="186564" operator="equal">
      <formula>"PTO"</formula>
    </cfRule>
  </conditionalFormatting>
  <conditionalFormatting sqref="T39:W39">
    <cfRule type="cellIs" dxfId="39253" priority="186561" operator="equal">
      <formula>"OFF"</formula>
    </cfRule>
    <cfRule type="cellIs" dxfId="39252" priority="186562" operator="equal">
      <formula>"PTO"</formula>
    </cfRule>
  </conditionalFormatting>
  <conditionalFormatting sqref="T39:W39">
    <cfRule type="cellIs" dxfId="39251" priority="186559" operator="equal">
      <formula>"OFF"</formula>
    </cfRule>
    <cfRule type="cellIs" dxfId="39250" priority="186560" operator="equal">
      <formula>"PTO"</formula>
    </cfRule>
  </conditionalFormatting>
  <conditionalFormatting sqref="B132">
    <cfRule type="duplicateValues" dxfId="39249" priority="186344"/>
  </conditionalFormatting>
  <conditionalFormatting sqref="X48">
    <cfRule type="cellIs" dxfId="39248" priority="186283" operator="equal">
      <formula>"OFF"</formula>
    </cfRule>
    <cfRule type="cellIs" dxfId="39247" priority="186284" operator="equal">
      <formula>"PTO"</formula>
    </cfRule>
  </conditionalFormatting>
  <conditionalFormatting sqref="B48">
    <cfRule type="duplicateValues" dxfId="39246" priority="186285"/>
  </conditionalFormatting>
  <conditionalFormatting sqref="B47">
    <cfRule type="duplicateValues" dxfId="39245" priority="186282"/>
  </conditionalFormatting>
  <conditionalFormatting sqref="X47">
    <cfRule type="cellIs" dxfId="39244" priority="186280" operator="equal">
      <formula>"OFF"</formula>
    </cfRule>
    <cfRule type="cellIs" dxfId="39243" priority="186281" operator="equal">
      <formula>"PTO"</formula>
    </cfRule>
  </conditionalFormatting>
  <conditionalFormatting sqref="X47">
    <cfRule type="cellIs" dxfId="39242" priority="186277" operator="equal">
      <formula>"OFF"</formula>
    </cfRule>
    <cfRule type="cellIs" dxfId="39241" priority="186278" operator="equal">
      <formula>"PTO"</formula>
    </cfRule>
  </conditionalFormatting>
  <conditionalFormatting sqref="B47">
    <cfRule type="duplicateValues" dxfId="39240" priority="186279"/>
  </conditionalFormatting>
  <conditionalFormatting sqref="X47">
    <cfRule type="cellIs" dxfId="39239" priority="186272" operator="equal">
      <formula>"OFF"</formula>
    </cfRule>
    <cfRule type="cellIs" dxfId="39238" priority="186273" operator="equal">
      <formula>"PTO"</formula>
    </cfRule>
  </conditionalFormatting>
  <conditionalFormatting sqref="B47">
    <cfRule type="duplicateValues" dxfId="39237" priority="186274"/>
  </conditionalFormatting>
  <conditionalFormatting sqref="X47">
    <cfRule type="cellIs" dxfId="39236" priority="186190" operator="equal">
      <formula>"OFF"</formula>
    </cfRule>
    <cfRule type="cellIs" dxfId="39235" priority="186191" operator="equal">
      <formula>"PTO"</formula>
    </cfRule>
  </conditionalFormatting>
  <conditionalFormatting sqref="B47">
    <cfRule type="duplicateValues" dxfId="39234" priority="186192"/>
  </conditionalFormatting>
  <conditionalFormatting sqref="X49">
    <cfRule type="cellIs" dxfId="39233" priority="185880" operator="equal">
      <formula>"OFF"</formula>
    </cfRule>
    <cfRule type="cellIs" dxfId="39232" priority="185881" operator="equal">
      <formula>"PTO"</formula>
    </cfRule>
  </conditionalFormatting>
  <conditionalFormatting sqref="B49">
    <cfRule type="duplicateValues" dxfId="39231" priority="185882"/>
  </conditionalFormatting>
  <conditionalFormatting sqref="B48">
    <cfRule type="duplicateValues" dxfId="39230" priority="185879"/>
  </conditionalFormatting>
  <conditionalFormatting sqref="X48">
    <cfRule type="cellIs" dxfId="39229" priority="185877" operator="equal">
      <formula>"OFF"</formula>
    </cfRule>
    <cfRule type="cellIs" dxfId="39228" priority="185878" operator="equal">
      <formula>"PTO"</formula>
    </cfRule>
  </conditionalFormatting>
  <conditionalFormatting sqref="X48">
    <cfRule type="cellIs" dxfId="39227" priority="185874" operator="equal">
      <formula>"OFF"</formula>
    </cfRule>
    <cfRule type="cellIs" dxfId="39226" priority="185875" operator="equal">
      <formula>"PTO"</formula>
    </cfRule>
  </conditionalFormatting>
  <conditionalFormatting sqref="B48">
    <cfRule type="duplicateValues" dxfId="39225" priority="185876"/>
  </conditionalFormatting>
  <conditionalFormatting sqref="X47">
    <cfRule type="cellIs" dxfId="39224" priority="185872" operator="equal">
      <formula>"OFF"</formula>
    </cfRule>
    <cfRule type="cellIs" dxfId="39223" priority="185873" operator="equal">
      <formula>"PTO"</formula>
    </cfRule>
  </conditionalFormatting>
  <conditionalFormatting sqref="X48">
    <cfRule type="cellIs" dxfId="39222" priority="185869" operator="equal">
      <formula>"OFF"</formula>
    </cfRule>
    <cfRule type="cellIs" dxfId="39221" priority="185870" operator="equal">
      <formula>"PTO"</formula>
    </cfRule>
  </conditionalFormatting>
  <conditionalFormatting sqref="B48">
    <cfRule type="duplicateValues" dxfId="39220" priority="185871"/>
  </conditionalFormatting>
  <conditionalFormatting sqref="X47">
    <cfRule type="cellIs" dxfId="39219" priority="185867" operator="equal">
      <formula>"OFF"</formula>
    </cfRule>
    <cfRule type="cellIs" dxfId="39218" priority="185868" operator="equal">
      <formula>"PTO"</formula>
    </cfRule>
  </conditionalFormatting>
  <conditionalFormatting sqref="X47">
    <cfRule type="cellIs" dxfId="39217" priority="185865" operator="equal">
      <formula>"OFF"</formula>
    </cfRule>
    <cfRule type="cellIs" dxfId="39216" priority="185866" operator="equal">
      <formula>"PTO"</formula>
    </cfRule>
  </conditionalFormatting>
  <conditionalFormatting sqref="B47">
    <cfRule type="duplicateValues" dxfId="39215" priority="185851"/>
  </conditionalFormatting>
  <conditionalFormatting sqref="B47">
    <cfRule type="duplicateValues" dxfId="39214" priority="185850"/>
  </conditionalFormatting>
  <conditionalFormatting sqref="B47">
    <cfRule type="duplicateValues" dxfId="39213" priority="185849"/>
  </conditionalFormatting>
  <conditionalFormatting sqref="X48">
    <cfRule type="cellIs" dxfId="39212" priority="185814" operator="equal">
      <formula>"OFF"</formula>
    </cfRule>
    <cfRule type="cellIs" dxfId="39211" priority="185815" operator="equal">
      <formula>"PTO"</formula>
    </cfRule>
  </conditionalFormatting>
  <conditionalFormatting sqref="B48">
    <cfRule type="duplicateValues" dxfId="39210" priority="185816"/>
  </conditionalFormatting>
  <conditionalFormatting sqref="B47">
    <cfRule type="duplicateValues" dxfId="39209" priority="185813"/>
  </conditionalFormatting>
  <conditionalFormatting sqref="X47">
    <cfRule type="cellIs" dxfId="39208" priority="185811" operator="equal">
      <formula>"OFF"</formula>
    </cfRule>
    <cfRule type="cellIs" dxfId="39207" priority="185812" operator="equal">
      <formula>"PTO"</formula>
    </cfRule>
  </conditionalFormatting>
  <conditionalFormatting sqref="X47">
    <cfRule type="cellIs" dxfId="39206" priority="185808" operator="equal">
      <formula>"OFF"</formula>
    </cfRule>
    <cfRule type="cellIs" dxfId="39205" priority="185809" operator="equal">
      <formula>"PTO"</formula>
    </cfRule>
  </conditionalFormatting>
  <conditionalFormatting sqref="B47">
    <cfRule type="duplicateValues" dxfId="39204" priority="185810"/>
  </conditionalFormatting>
  <conditionalFormatting sqref="X47">
    <cfRule type="cellIs" dxfId="39203" priority="185803" operator="equal">
      <formula>"OFF"</formula>
    </cfRule>
    <cfRule type="cellIs" dxfId="39202" priority="185804" operator="equal">
      <formula>"PTO"</formula>
    </cfRule>
  </conditionalFormatting>
  <conditionalFormatting sqref="B47">
    <cfRule type="duplicateValues" dxfId="39201" priority="185805"/>
  </conditionalFormatting>
  <conditionalFormatting sqref="B132:B133">
    <cfRule type="duplicateValues" dxfId="39200" priority="185545"/>
  </conditionalFormatting>
  <conditionalFormatting sqref="C133 H133:J133 O133:Q133 V133:Y133 X82 Q132 V132:X132">
    <cfRule type="cellIs" dxfId="39199" priority="185543" operator="equal">
      <formula>"OFF"</formula>
    </cfRule>
    <cfRule type="cellIs" dxfId="39198" priority="185544" operator="equal">
      <formula>"PTO"</formula>
    </cfRule>
  </conditionalFormatting>
  <conditionalFormatting sqref="F133:I133 C133">
    <cfRule type="cellIs" dxfId="39197" priority="185541" operator="equal">
      <formula>"OFF"</formula>
    </cfRule>
    <cfRule type="cellIs" dxfId="39196" priority="185542" operator="equal">
      <formula>"PTO"</formula>
    </cfRule>
  </conditionalFormatting>
  <conditionalFormatting sqref="R132:S133">
    <cfRule type="cellIs" dxfId="39195" priority="185539" operator="equal">
      <formula>"OFF"</formula>
    </cfRule>
    <cfRule type="cellIs" dxfId="39194" priority="185540" operator="equal">
      <formula>"PTO"</formula>
    </cfRule>
  </conditionalFormatting>
  <conditionalFormatting sqref="T132:U133">
    <cfRule type="cellIs" dxfId="39193" priority="185537" operator="equal">
      <formula>"OFF"</formula>
    </cfRule>
    <cfRule type="cellIs" dxfId="39192" priority="185538" operator="equal">
      <formula>"PTO"</formula>
    </cfRule>
  </conditionalFormatting>
  <conditionalFormatting sqref="F133:G133">
    <cfRule type="cellIs" dxfId="39191" priority="185533" operator="equal">
      <formula>"OFF"</formula>
    </cfRule>
    <cfRule type="cellIs" dxfId="39190" priority="185534" operator="equal">
      <formula>"PTO"</formula>
    </cfRule>
  </conditionalFormatting>
  <conditionalFormatting sqref="G133">
    <cfRule type="cellIs" dxfId="39189" priority="185529" operator="equal">
      <formula>"OFF"</formula>
    </cfRule>
    <cfRule type="cellIs" dxfId="39188" priority="185530" operator="equal">
      <formula>"PTO"</formula>
    </cfRule>
  </conditionalFormatting>
  <conditionalFormatting sqref="K133">
    <cfRule type="cellIs" dxfId="39187" priority="185527" operator="equal">
      <formula>"OFF"</formula>
    </cfRule>
    <cfRule type="cellIs" dxfId="39186" priority="185528" operator="equal">
      <formula>"PTO"</formula>
    </cfRule>
  </conditionalFormatting>
  <conditionalFormatting sqref="M133">
    <cfRule type="cellIs" dxfId="39185" priority="185525" operator="equal">
      <formula>"OFF"</formula>
    </cfRule>
    <cfRule type="cellIs" dxfId="39184" priority="185526" operator="equal">
      <formula>"PTO"</formula>
    </cfRule>
  </conditionalFormatting>
  <conditionalFormatting sqref="K133">
    <cfRule type="cellIs" dxfId="39183" priority="185523" operator="equal">
      <formula>"OFF"</formula>
    </cfRule>
    <cfRule type="cellIs" dxfId="39182" priority="185524" operator="equal">
      <formula>"PTO"</formula>
    </cfRule>
  </conditionalFormatting>
  <conditionalFormatting sqref="M133">
    <cfRule type="cellIs" dxfId="39181" priority="185521" operator="equal">
      <formula>"OFF"</formula>
    </cfRule>
    <cfRule type="cellIs" dxfId="39180" priority="185522" operator="equal">
      <formula>"PTO"</formula>
    </cfRule>
  </conditionalFormatting>
  <conditionalFormatting sqref="N133">
    <cfRule type="cellIs" dxfId="39179" priority="185519" operator="equal">
      <formula>"OFF"</formula>
    </cfRule>
    <cfRule type="cellIs" dxfId="39178" priority="185520" operator="equal">
      <formula>"PTO"</formula>
    </cfRule>
  </conditionalFormatting>
  <conditionalFormatting sqref="N133">
    <cfRule type="cellIs" dxfId="39177" priority="185517" operator="equal">
      <formula>"OFF"</formula>
    </cfRule>
    <cfRule type="cellIs" dxfId="39176" priority="185518" operator="equal">
      <formula>"PTO"</formula>
    </cfRule>
  </conditionalFormatting>
  <conditionalFormatting sqref="L133">
    <cfRule type="cellIs" dxfId="39175" priority="185515" operator="equal">
      <formula>"OFF"</formula>
    </cfRule>
    <cfRule type="cellIs" dxfId="39174" priority="185516" operator="equal">
      <formula>"PTO"</formula>
    </cfRule>
  </conditionalFormatting>
  <conditionalFormatting sqref="L133">
    <cfRule type="cellIs" dxfId="39173" priority="185513" operator="equal">
      <formula>"OFF"</formula>
    </cfRule>
    <cfRule type="cellIs" dxfId="39172" priority="185514" operator="equal">
      <formula>"PTO"</formula>
    </cfRule>
  </conditionalFormatting>
  <conditionalFormatting sqref="B6 B8:B10 B17 B12:B13 B31 B132:B134 B25:B27 B33:B38 B41 B43:B56">
    <cfRule type="duplicateValues" dxfId="39171" priority="254551"/>
  </conditionalFormatting>
  <conditionalFormatting sqref="B132:B134">
    <cfRule type="duplicateValues" dxfId="39170" priority="254564"/>
  </conditionalFormatting>
  <conditionalFormatting sqref="X48">
    <cfRule type="cellIs" dxfId="39169" priority="184580" operator="equal">
      <formula>"OFF"</formula>
    </cfRule>
    <cfRule type="cellIs" dxfId="39168" priority="184581" operator="equal">
      <formula>"PTO"</formula>
    </cfRule>
  </conditionalFormatting>
  <conditionalFormatting sqref="B48">
    <cfRule type="duplicateValues" dxfId="39167" priority="184582"/>
  </conditionalFormatting>
  <conditionalFormatting sqref="B47">
    <cfRule type="duplicateValues" dxfId="39166" priority="184579"/>
  </conditionalFormatting>
  <conditionalFormatting sqref="X47">
    <cfRule type="cellIs" dxfId="39165" priority="184577" operator="equal">
      <formula>"OFF"</formula>
    </cfRule>
    <cfRule type="cellIs" dxfId="39164" priority="184578" operator="equal">
      <formula>"PTO"</formula>
    </cfRule>
  </conditionalFormatting>
  <conditionalFormatting sqref="X47">
    <cfRule type="cellIs" dxfId="39163" priority="184574" operator="equal">
      <formula>"OFF"</formula>
    </cfRule>
    <cfRule type="cellIs" dxfId="39162" priority="184575" operator="equal">
      <formula>"PTO"</formula>
    </cfRule>
  </conditionalFormatting>
  <conditionalFormatting sqref="B47">
    <cfRule type="duplicateValues" dxfId="39161" priority="184576"/>
  </conditionalFormatting>
  <conditionalFormatting sqref="X47">
    <cfRule type="cellIs" dxfId="39160" priority="184569" operator="equal">
      <formula>"OFF"</formula>
    </cfRule>
    <cfRule type="cellIs" dxfId="39159" priority="184570" operator="equal">
      <formula>"PTO"</formula>
    </cfRule>
  </conditionalFormatting>
  <conditionalFormatting sqref="B47">
    <cfRule type="duplicateValues" dxfId="39158" priority="184571"/>
  </conditionalFormatting>
  <conditionalFormatting sqref="X47">
    <cfRule type="cellIs" dxfId="39157" priority="184521" operator="equal">
      <formula>"OFF"</formula>
    </cfRule>
    <cfRule type="cellIs" dxfId="39156" priority="184522" operator="equal">
      <formula>"PTO"</formula>
    </cfRule>
  </conditionalFormatting>
  <conditionalFormatting sqref="B47">
    <cfRule type="duplicateValues" dxfId="39155" priority="184523"/>
  </conditionalFormatting>
  <conditionalFormatting sqref="X49">
    <cfRule type="cellIs" dxfId="39154" priority="184369" operator="equal">
      <formula>"OFF"</formula>
    </cfRule>
    <cfRule type="cellIs" dxfId="39153" priority="184370" operator="equal">
      <formula>"PTO"</formula>
    </cfRule>
  </conditionalFormatting>
  <conditionalFormatting sqref="B49">
    <cfRule type="duplicateValues" dxfId="39152" priority="184371"/>
  </conditionalFormatting>
  <conditionalFormatting sqref="B48">
    <cfRule type="duplicateValues" dxfId="39151" priority="184368"/>
  </conditionalFormatting>
  <conditionalFormatting sqref="X48">
    <cfRule type="cellIs" dxfId="39150" priority="184366" operator="equal">
      <formula>"OFF"</formula>
    </cfRule>
    <cfRule type="cellIs" dxfId="39149" priority="184367" operator="equal">
      <formula>"PTO"</formula>
    </cfRule>
  </conditionalFormatting>
  <conditionalFormatting sqref="X48">
    <cfRule type="cellIs" dxfId="39148" priority="184363" operator="equal">
      <formula>"OFF"</formula>
    </cfRule>
    <cfRule type="cellIs" dxfId="39147" priority="184364" operator="equal">
      <formula>"PTO"</formula>
    </cfRule>
  </conditionalFormatting>
  <conditionalFormatting sqref="B48">
    <cfRule type="duplicateValues" dxfId="39146" priority="184365"/>
  </conditionalFormatting>
  <conditionalFormatting sqref="X47">
    <cfRule type="cellIs" dxfId="39145" priority="184361" operator="equal">
      <formula>"OFF"</formula>
    </cfRule>
    <cfRule type="cellIs" dxfId="39144" priority="184362" operator="equal">
      <formula>"PTO"</formula>
    </cfRule>
  </conditionalFormatting>
  <conditionalFormatting sqref="X48">
    <cfRule type="cellIs" dxfId="39143" priority="184358" operator="equal">
      <formula>"OFF"</formula>
    </cfRule>
    <cfRule type="cellIs" dxfId="39142" priority="184359" operator="equal">
      <formula>"PTO"</formula>
    </cfRule>
  </conditionalFormatting>
  <conditionalFormatting sqref="B48">
    <cfRule type="duplicateValues" dxfId="39141" priority="184360"/>
  </conditionalFormatting>
  <conditionalFormatting sqref="X47">
    <cfRule type="cellIs" dxfId="39140" priority="184356" operator="equal">
      <formula>"OFF"</formula>
    </cfRule>
    <cfRule type="cellIs" dxfId="39139" priority="184357" operator="equal">
      <formula>"PTO"</formula>
    </cfRule>
  </conditionalFormatting>
  <conditionalFormatting sqref="X47">
    <cfRule type="cellIs" dxfId="39138" priority="184354" operator="equal">
      <formula>"OFF"</formula>
    </cfRule>
    <cfRule type="cellIs" dxfId="39137" priority="184355" operator="equal">
      <formula>"PTO"</formula>
    </cfRule>
  </conditionalFormatting>
  <conditionalFormatting sqref="B47">
    <cfRule type="duplicateValues" dxfId="39136" priority="184340"/>
  </conditionalFormatting>
  <conditionalFormatting sqref="B47">
    <cfRule type="duplicateValues" dxfId="39135" priority="184339"/>
  </conditionalFormatting>
  <conditionalFormatting sqref="B47">
    <cfRule type="duplicateValues" dxfId="39134" priority="184338"/>
  </conditionalFormatting>
  <conditionalFormatting sqref="X48">
    <cfRule type="cellIs" dxfId="39133" priority="184303" operator="equal">
      <formula>"OFF"</formula>
    </cfRule>
    <cfRule type="cellIs" dxfId="39132" priority="184304" operator="equal">
      <formula>"PTO"</formula>
    </cfRule>
  </conditionalFormatting>
  <conditionalFormatting sqref="B48">
    <cfRule type="duplicateValues" dxfId="39131" priority="184305"/>
  </conditionalFormatting>
  <conditionalFormatting sqref="B47">
    <cfRule type="duplicateValues" dxfId="39130" priority="184302"/>
  </conditionalFormatting>
  <conditionalFormatting sqref="X47">
    <cfRule type="cellIs" dxfId="39129" priority="184300" operator="equal">
      <formula>"OFF"</formula>
    </cfRule>
    <cfRule type="cellIs" dxfId="39128" priority="184301" operator="equal">
      <formula>"PTO"</formula>
    </cfRule>
  </conditionalFormatting>
  <conditionalFormatting sqref="X47">
    <cfRule type="cellIs" dxfId="39127" priority="184297" operator="equal">
      <formula>"OFF"</formula>
    </cfRule>
    <cfRule type="cellIs" dxfId="39126" priority="184298" operator="equal">
      <formula>"PTO"</formula>
    </cfRule>
  </conditionalFormatting>
  <conditionalFormatting sqref="B47">
    <cfRule type="duplicateValues" dxfId="39125" priority="184299"/>
  </conditionalFormatting>
  <conditionalFormatting sqref="X47">
    <cfRule type="cellIs" dxfId="39124" priority="184292" operator="equal">
      <formula>"OFF"</formula>
    </cfRule>
    <cfRule type="cellIs" dxfId="39123" priority="184293" operator="equal">
      <formula>"PTO"</formula>
    </cfRule>
  </conditionalFormatting>
  <conditionalFormatting sqref="B47">
    <cfRule type="duplicateValues" dxfId="39122" priority="184294"/>
  </conditionalFormatting>
  <conditionalFormatting sqref="X47">
    <cfRule type="cellIs" dxfId="39121" priority="184132" operator="equal">
      <formula>"OFF"</formula>
    </cfRule>
    <cfRule type="cellIs" dxfId="39120" priority="184133" operator="equal">
      <formula>"PTO"</formula>
    </cfRule>
  </conditionalFormatting>
  <conditionalFormatting sqref="B47">
    <cfRule type="duplicateValues" dxfId="39119" priority="184134"/>
  </conditionalFormatting>
  <conditionalFormatting sqref="X48">
    <cfRule type="cellIs" dxfId="39118" priority="184053" operator="equal">
      <formula>"OFF"</formula>
    </cfRule>
    <cfRule type="cellIs" dxfId="39117" priority="184054" operator="equal">
      <formula>"PTO"</formula>
    </cfRule>
  </conditionalFormatting>
  <conditionalFormatting sqref="B48">
    <cfRule type="duplicateValues" dxfId="39116" priority="184055"/>
  </conditionalFormatting>
  <conditionalFormatting sqref="B47">
    <cfRule type="duplicateValues" dxfId="39115" priority="184052"/>
  </conditionalFormatting>
  <conditionalFormatting sqref="X47">
    <cfRule type="cellIs" dxfId="39114" priority="184050" operator="equal">
      <formula>"OFF"</formula>
    </cfRule>
    <cfRule type="cellIs" dxfId="39113" priority="184051" operator="equal">
      <formula>"PTO"</formula>
    </cfRule>
  </conditionalFormatting>
  <conditionalFormatting sqref="X47">
    <cfRule type="cellIs" dxfId="39112" priority="184047" operator="equal">
      <formula>"OFF"</formula>
    </cfRule>
    <cfRule type="cellIs" dxfId="39111" priority="184048" operator="equal">
      <formula>"PTO"</formula>
    </cfRule>
  </conditionalFormatting>
  <conditionalFormatting sqref="B47">
    <cfRule type="duplicateValues" dxfId="39110" priority="184049"/>
  </conditionalFormatting>
  <conditionalFormatting sqref="X47">
    <cfRule type="cellIs" dxfId="39109" priority="184042" operator="equal">
      <formula>"OFF"</formula>
    </cfRule>
    <cfRule type="cellIs" dxfId="39108" priority="184043" operator="equal">
      <formula>"PTO"</formula>
    </cfRule>
  </conditionalFormatting>
  <conditionalFormatting sqref="B47">
    <cfRule type="duplicateValues" dxfId="39107" priority="184044"/>
  </conditionalFormatting>
  <conditionalFormatting sqref="B47">
    <cfRule type="duplicateValues" dxfId="39106" priority="183996"/>
  </conditionalFormatting>
  <conditionalFormatting sqref="B132:B133">
    <cfRule type="duplicateValues" dxfId="39105" priority="183390"/>
  </conditionalFormatting>
  <conditionalFormatting sqref="C133 H133:J133 O133:Q133 V133:Y133 Q132 V132:X132 X81:X82 X79 X77">
    <cfRule type="cellIs" dxfId="39104" priority="183388" operator="equal">
      <formula>"OFF"</formula>
    </cfRule>
    <cfRule type="cellIs" dxfId="39103" priority="183389" operator="equal">
      <formula>"PTO"</formula>
    </cfRule>
  </conditionalFormatting>
  <conditionalFormatting sqref="F133:I133 C133">
    <cfRule type="cellIs" dxfId="39102" priority="183386" operator="equal">
      <formula>"OFF"</formula>
    </cfRule>
    <cfRule type="cellIs" dxfId="39101" priority="183387" operator="equal">
      <formula>"PTO"</formula>
    </cfRule>
  </conditionalFormatting>
  <conditionalFormatting sqref="R132:S133">
    <cfRule type="cellIs" dxfId="39100" priority="183384" operator="equal">
      <formula>"OFF"</formula>
    </cfRule>
    <cfRule type="cellIs" dxfId="39099" priority="183385" operator="equal">
      <formula>"PTO"</formula>
    </cfRule>
  </conditionalFormatting>
  <conditionalFormatting sqref="T132:U133">
    <cfRule type="cellIs" dxfId="39098" priority="183382" operator="equal">
      <formula>"OFF"</formula>
    </cfRule>
    <cfRule type="cellIs" dxfId="39097" priority="183383" operator="equal">
      <formula>"PTO"</formula>
    </cfRule>
  </conditionalFormatting>
  <conditionalFormatting sqref="F133:G133">
    <cfRule type="cellIs" dxfId="39096" priority="183378" operator="equal">
      <formula>"OFF"</formula>
    </cfRule>
    <cfRule type="cellIs" dxfId="39095" priority="183379" operator="equal">
      <formula>"PTO"</formula>
    </cfRule>
  </conditionalFormatting>
  <conditionalFormatting sqref="G133">
    <cfRule type="cellIs" dxfId="39094" priority="183376" operator="equal">
      <formula>"OFF"</formula>
    </cfRule>
    <cfRule type="cellIs" dxfId="39093" priority="183377" operator="equal">
      <formula>"PTO"</formula>
    </cfRule>
  </conditionalFormatting>
  <conditionalFormatting sqref="K133">
    <cfRule type="cellIs" dxfId="39092" priority="183374" operator="equal">
      <formula>"OFF"</formula>
    </cfRule>
    <cfRule type="cellIs" dxfId="39091" priority="183375" operator="equal">
      <formula>"PTO"</formula>
    </cfRule>
  </conditionalFormatting>
  <conditionalFormatting sqref="M133">
    <cfRule type="cellIs" dxfId="39090" priority="183372" operator="equal">
      <formula>"OFF"</formula>
    </cfRule>
    <cfRule type="cellIs" dxfId="39089" priority="183373" operator="equal">
      <formula>"PTO"</formula>
    </cfRule>
  </conditionalFormatting>
  <conditionalFormatting sqref="K133">
    <cfRule type="cellIs" dxfId="39088" priority="183370" operator="equal">
      <formula>"OFF"</formula>
    </cfRule>
    <cfRule type="cellIs" dxfId="39087" priority="183371" operator="equal">
      <formula>"PTO"</formula>
    </cfRule>
  </conditionalFormatting>
  <conditionalFormatting sqref="M133">
    <cfRule type="cellIs" dxfId="39086" priority="183368" operator="equal">
      <formula>"OFF"</formula>
    </cfRule>
    <cfRule type="cellIs" dxfId="39085" priority="183369" operator="equal">
      <formula>"PTO"</formula>
    </cfRule>
  </conditionalFormatting>
  <conditionalFormatting sqref="N133">
    <cfRule type="cellIs" dxfId="39084" priority="183366" operator="equal">
      <formula>"OFF"</formula>
    </cfRule>
    <cfRule type="cellIs" dxfId="39083" priority="183367" operator="equal">
      <formula>"PTO"</formula>
    </cfRule>
  </conditionalFormatting>
  <conditionalFormatting sqref="N133">
    <cfRule type="cellIs" dxfId="39082" priority="183364" operator="equal">
      <formula>"OFF"</formula>
    </cfRule>
    <cfRule type="cellIs" dxfId="39081" priority="183365" operator="equal">
      <formula>"PTO"</formula>
    </cfRule>
  </conditionalFormatting>
  <conditionalFormatting sqref="L133">
    <cfRule type="cellIs" dxfId="39080" priority="183362" operator="equal">
      <formula>"OFF"</formula>
    </cfRule>
    <cfRule type="cellIs" dxfId="39079" priority="183363" operator="equal">
      <formula>"PTO"</formula>
    </cfRule>
  </conditionalFormatting>
  <conditionalFormatting sqref="L133">
    <cfRule type="cellIs" dxfId="39078" priority="183360" operator="equal">
      <formula>"OFF"</formula>
    </cfRule>
    <cfRule type="cellIs" dxfId="39077" priority="183361" operator="equal">
      <formula>"PTO"</formula>
    </cfRule>
  </conditionalFormatting>
  <conditionalFormatting sqref="X81">
    <cfRule type="cellIs" dxfId="39076" priority="183051" operator="equal">
      <formula>"OFF"</formula>
    </cfRule>
    <cfRule type="cellIs" dxfId="39075" priority="183052" operator="equal">
      <formula>"PTO"</formula>
    </cfRule>
  </conditionalFormatting>
  <conditionalFormatting sqref="D133">
    <cfRule type="cellIs" dxfId="39074" priority="182115" operator="equal">
      <formula>"OFF"</formula>
    </cfRule>
    <cfRule type="cellIs" dxfId="39073" priority="182116" operator="equal">
      <formula>"PTO"</formula>
    </cfRule>
  </conditionalFormatting>
  <conditionalFormatting sqref="K133">
    <cfRule type="cellIs" dxfId="39072" priority="182073" operator="equal">
      <formula>"OFF"</formula>
    </cfRule>
    <cfRule type="cellIs" dxfId="39071" priority="182074" operator="equal">
      <formula>"PTO"</formula>
    </cfRule>
  </conditionalFormatting>
  <conditionalFormatting sqref="K133">
    <cfRule type="cellIs" dxfId="39070" priority="182071" operator="equal">
      <formula>"OFF"</formula>
    </cfRule>
    <cfRule type="cellIs" dxfId="39069" priority="182072" operator="equal">
      <formula>"PTO"</formula>
    </cfRule>
  </conditionalFormatting>
  <conditionalFormatting sqref="K133">
    <cfRule type="cellIs" dxfId="39068" priority="182065" operator="equal">
      <formula>"OFF"</formula>
    </cfRule>
    <cfRule type="cellIs" dxfId="39067" priority="182066" operator="equal">
      <formula>"PTO"</formula>
    </cfRule>
  </conditionalFormatting>
  <conditionalFormatting sqref="K133">
    <cfRule type="cellIs" dxfId="39066" priority="182063" operator="equal">
      <formula>"OFF"</formula>
    </cfRule>
    <cfRule type="cellIs" dxfId="39065" priority="182064" operator="equal">
      <formula>"PTO"</formula>
    </cfRule>
  </conditionalFormatting>
  <conditionalFormatting sqref="L133">
    <cfRule type="cellIs" dxfId="39064" priority="182041" operator="equal">
      <formula>"OFF"</formula>
    </cfRule>
    <cfRule type="cellIs" dxfId="39063" priority="182042" operator="equal">
      <formula>"PTO"</formula>
    </cfRule>
  </conditionalFormatting>
  <conditionalFormatting sqref="L133">
    <cfRule type="cellIs" dxfId="39062" priority="182039" operator="equal">
      <formula>"OFF"</formula>
    </cfRule>
    <cfRule type="cellIs" dxfId="39061" priority="182040" operator="equal">
      <formula>"PTO"</formula>
    </cfRule>
  </conditionalFormatting>
  <conditionalFormatting sqref="L133">
    <cfRule type="cellIs" dxfId="39060" priority="182033" operator="equal">
      <formula>"OFF"</formula>
    </cfRule>
    <cfRule type="cellIs" dxfId="39059" priority="182034" operator="equal">
      <formula>"PTO"</formula>
    </cfRule>
  </conditionalFormatting>
  <conditionalFormatting sqref="L133">
    <cfRule type="cellIs" dxfId="39058" priority="182031" operator="equal">
      <formula>"OFF"</formula>
    </cfRule>
    <cfRule type="cellIs" dxfId="39057" priority="182032" operator="equal">
      <formula>"PTO"</formula>
    </cfRule>
  </conditionalFormatting>
  <conditionalFormatting sqref="L133">
    <cfRule type="cellIs" dxfId="39056" priority="182021" operator="equal">
      <formula>"OFF"</formula>
    </cfRule>
    <cfRule type="cellIs" dxfId="39055" priority="182022" operator="equal">
      <formula>"PTO"</formula>
    </cfRule>
  </conditionalFormatting>
  <conditionalFormatting sqref="L133">
    <cfRule type="cellIs" dxfId="39054" priority="182019" operator="equal">
      <formula>"OFF"</formula>
    </cfRule>
    <cfRule type="cellIs" dxfId="39053" priority="182020" operator="equal">
      <formula>"PTO"</formula>
    </cfRule>
  </conditionalFormatting>
  <conditionalFormatting sqref="L133">
    <cfRule type="cellIs" dxfId="39052" priority="182017" operator="equal">
      <formula>"OFF"</formula>
    </cfRule>
    <cfRule type="cellIs" dxfId="39051" priority="182018" operator="equal">
      <formula>"PTO"</formula>
    </cfRule>
  </conditionalFormatting>
  <conditionalFormatting sqref="L133">
    <cfRule type="cellIs" dxfId="39050" priority="182015" operator="equal">
      <formula>"OFF"</formula>
    </cfRule>
    <cfRule type="cellIs" dxfId="39049" priority="182016" operator="equal">
      <formula>"PTO"</formula>
    </cfRule>
  </conditionalFormatting>
  <conditionalFormatting sqref="L133">
    <cfRule type="cellIs" dxfId="39048" priority="182009" operator="equal">
      <formula>"OFF"</formula>
    </cfRule>
    <cfRule type="cellIs" dxfId="39047" priority="182010" operator="equal">
      <formula>"PTO"</formula>
    </cfRule>
  </conditionalFormatting>
  <conditionalFormatting sqref="L133">
    <cfRule type="cellIs" dxfId="39046" priority="182007" operator="equal">
      <formula>"OFF"</formula>
    </cfRule>
    <cfRule type="cellIs" dxfId="39045" priority="182008" operator="equal">
      <formula>"PTO"</formula>
    </cfRule>
  </conditionalFormatting>
  <conditionalFormatting sqref="L133">
    <cfRule type="cellIs" dxfId="39044" priority="182005" operator="equal">
      <formula>"OFF"</formula>
    </cfRule>
    <cfRule type="cellIs" dxfId="39043" priority="182006" operator="equal">
      <formula>"PTO"</formula>
    </cfRule>
  </conditionalFormatting>
  <conditionalFormatting sqref="L133">
    <cfRule type="cellIs" dxfId="39042" priority="182003" operator="equal">
      <formula>"OFF"</formula>
    </cfRule>
    <cfRule type="cellIs" dxfId="39041" priority="182004" operator="equal">
      <formula>"PTO"</formula>
    </cfRule>
  </conditionalFormatting>
  <conditionalFormatting sqref="K133">
    <cfRule type="cellIs" dxfId="39040" priority="181997" operator="equal">
      <formula>"OFF"</formula>
    </cfRule>
    <cfRule type="cellIs" dxfId="39039" priority="181998" operator="equal">
      <formula>"PTO"</formula>
    </cfRule>
  </conditionalFormatting>
  <conditionalFormatting sqref="K133">
    <cfRule type="cellIs" dxfId="39038" priority="181995" operator="equal">
      <formula>"OFF"</formula>
    </cfRule>
    <cfRule type="cellIs" dxfId="39037" priority="181996" operator="equal">
      <formula>"PTO"</formula>
    </cfRule>
  </conditionalFormatting>
  <conditionalFormatting sqref="K133">
    <cfRule type="cellIs" dxfId="39036" priority="181993" operator="equal">
      <formula>"OFF"</formula>
    </cfRule>
    <cfRule type="cellIs" dxfId="39035" priority="181994" operator="equal">
      <formula>"PTO"</formula>
    </cfRule>
  </conditionalFormatting>
  <conditionalFormatting sqref="K133">
    <cfRule type="cellIs" dxfId="39034" priority="181991" operator="equal">
      <formula>"OFF"</formula>
    </cfRule>
    <cfRule type="cellIs" dxfId="39033" priority="181992" operator="equal">
      <formula>"PTO"</formula>
    </cfRule>
  </conditionalFormatting>
  <conditionalFormatting sqref="C133 H133:I133">
    <cfRule type="cellIs" dxfId="39032" priority="179441" operator="equal">
      <formula>"OFF"</formula>
    </cfRule>
    <cfRule type="cellIs" dxfId="39031" priority="179442" operator="equal">
      <formula>"PTO"</formula>
    </cfRule>
  </conditionalFormatting>
  <conditionalFormatting sqref="F133">
    <cfRule type="cellIs" dxfId="39030" priority="179437" operator="equal">
      <formula>"OFF"</formula>
    </cfRule>
    <cfRule type="cellIs" dxfId="39029" priority="179438" operator="equal">
      <formula>"PTO"</formula>
    </cfRule>
  </conditionalFormatting>
  <conditionalFormatting sqref="F133:G133">
    <cfRule type="cellIs" dxfId="39028" priority="179435" operator="equal">
      <formula>"OFF"</formula>
    </cfRule>
    <cfRule type="cellIs" dxfId="39027" priority="179436" operator="equal">
      <formula>"PTO"</formula>
    </cfRule>
  </conditionalFormatting>
  <conditionalFormatting sqref="J133 O133:P133">
    <cfRule type="cellIs" dxfId="39026" priority="179431" operator="equal">
      <formula>"OFF"</formula>
    </cfRule>
    <cfRule type="cellIs" dxfId="39025" priority="179432" operator="equal">
      <formula>"PTO"</formula>
    </cfRule>
  </conditionalFormatting>
  <conditionalFormatting sqref="K133">
    <cfRule type="cellIs" dxfId="39024" priority="179427" operator="equal">
      <formula>"OFF"</formula>
    </cfRule>
    <cfRule type="cellIs" dxfId="39023" priority="179428" operator="equal">
      <formula>"PTO"</formula>
    </cfRule>
  </conditionalFormatting>
  <conditionalFormatting sqref="M133">
    <cfRule type="cellIs" dxfId="39022" priority="179425" operator="equal">
      <formula>"OFF"</formula>
    </cfRule>
    <cfRule type="cellIs" dxfId="39021" priority="179426" operator="equal">
      <formula>"PTO"</formula>
    </cfRule>
  </conditionalFormatting>
  <conditionalFormatting sqref="Q132 V132:W132">
    <cfRule type="cellIs" dxfId="39020" priority="179423" operator="equal">
      <formula>"OFF"</formula>
    </cfRule>
    <cfRule type="cellIs" dxfId="39019" priority="179424" operator="equal">
      <formula>"PTO"</formula>
    </cfRule>
  </conditionalFormatting>
  <conditionalFormatting sqref="Q132:Q133 V132:W133">
    <cfRule type="cellIs" dxfId="39018" priority="179421" operator="equal">
      <formula>"OFF"</formula>
    </cfRule>
    <cfRule type="cellIs" dxfId="39017" priority="179422" operator="equal">
      <formula>"PTO"</formula>
    </cfRule>
  </conditionalFormatting>
  <conditionalFormatting sqref="R132:S132">
    <cfRule type="cellIs" dxfId="39016" priority="179419" operator="equal">
      <formula>"OFF"</formula>
    </cfRule>
    <cfRule type="cellIs" dxfId="39015" priority="179420" operator="equal">
      <formula>"PTO"</formula>
    </cfRule>
  </conditionalFormatting>
  <conditionalFormatting sqref="R132:S133">
    <cfRule type="cellIs" dxfId="39014" priority="179417" operator="equal">
      <formula>"OFF"</formula>
    </cfRule>
    <cfRule type="cellIs" dxfId="39013" priority="179418" operator="equal">
      <formula>"PTO"</formula>
    </cfRule>
  </conditionalFormatting>
  <conditionalFormatting sqref="T132:U133">
    <cfRule type="cellIs" dxfId="39012" priority="179415" operator="equal">
      <formula>"OFF"</formula>
    </cfRule>
    <cfRule type="cellIs" dxfId="39011" priority="179416" operator="equal">
      <formula>"PTO"</formula>
    </cfRule>
  </conditionalFormatting>
  <conditionalFormatting sqref="D133">
    <cfRule type="cellIs" dxfId="39010" priority="179413" operator="equal">
      <formula>"OFF"</formula>
    </cfRule>
    <cfRule type="cellIs" dxfId="39009" priority="179414" operator="equal">
      <formula>"PTO"</formula>
    </cfRule>
  </conditionalFormatting>
  <conditionalFormatting sqref="N133">
    <cfRule type="cellIs" dxfId="39008" priority="179409" operator="equal">
      <formula>"OFF"</formula>
    </cfRule>
    <cfRule type="cellIs" dxfId="39007" priority="179410" operator="equal">
      <formula>"PTO"</formula>
    </cfRule>
  </conditionalFormatting>
  <conditionalFormatting sqref="L133">
    <cfRule type="cellIs" dxfId="39006" priority="179405" operator="equal">
      <formula>"OFF"</formula>
    </cfRule>
    <cfRule type="cellIs" dxfId="39005" priority="179406" operator="equal">
      <formula>"PTO"</formula>
    </cfRule>
  </conditionalFormatting>
  <conditionalFormatting sqref="Y133">
    <cfRule type="cellIs" dxfId="39004" priority="179401" operator="equal">
      <formula>"OFF"</formula>
    </cfRule>
    <cfRule type="cellIs" dxfId="39003" priority="179402" operator="equal">
      <formula>"PTO"</formula>
    </cfRule>
  </conditionalFormatting>
  <conditionalFormatting sqref="C133 H133:I133">
    <cfRule type="cellIs" dxfId="39002" priority="179397" operator="equal">
      <formula>"OFF"</formula>
    </cfRule>
    <cfRule type="cellIs" dxfId="39001" priority="179398" operator="equal">
      <formula>"PTO"</formula>
    </cfRule>
  </conditionalFormatting>
  <conditionalFormatting sqref="D133">
    <cfRule type="cellIs" dxfId="39000" priority="179393" operator="equal">
      <formula>"OFF"</formula>
    </cfRule>
    <cfRule type="cellIs" dxfId="38999" priority="179394" operator="equal">
      <formula>"PTO"</formula>
    </cfRule>
  </conditionalFormatting>
  <conditionalFormatting sqref="F133">
    <cfRule type="cellIs" dxfId="38998" priority="179391" operator="equal">
      <formula>"OFF"</formula>
    </cfRule>
    <cfRule type="cellIs" dxfId="38997" priority="179392" operator="equal">
      <formula>"PTO"</formula>
    </cfRule>
  </conditionalFormatting>
  <conditionalFormatting sqref="J133 O133:P133">
    <cfRule type="cellIs" dxfId="38996" priority="179387" operator="equal">
      <formula>"OFF"</formula>
    </cfRule>
    <cfRule type="cellIs" dxfId="38995" priority="179388" operator="equal">
      <formula>"PTO"</formula>
    </cfRule>
  </conditionalFormatting>
  <conditionalFormatting sqref="K133:L133">
    <cfRule type="cellIs" dxfId="38994" priority="179383" operator="equal">
      <formula>"OFF"</formula>
    </cfRule>
    <cfRule type="cellIs" dxfId="38993" priority="179384" operator="equal">
      <formula>"PTO"</formula>
    </cfRule>
  </conditionalFormatting>
  <conditionalFormatting sqref="M133:N133">
    <cfRule type="cellIs" dxfId="38992" priority="179381" operator="equal">
      <formula>"OFF"</formula>
    </cfRule>
    <cfRule type="cellIs" dxfId="38991" priority="179382" operator="equal">
      <formula>"PTO"</formula>
    </cfRule>
  </conditionalFormatting>
  <conditionalFormatting sqref="G133">
    <cfRule type="cellIs" dxfId="38990" priority="179377" operator="equal">
      <formula>"OFF"</formula>
    </cfRule>
    <cfRule type="cellIs" dxfId="38989" priority="179378" operator="equal">
      <formula>"PTO"</formula>
    </cfRule>
  </conditionalFormatting>
  <conditionalFormatting sqref="C133 H133:I133">
    <cfRule type="cellIs" dxfId="38988" priority="179369" operator="equal">
      <formula>"OFF"</formula>
    </cfRule>
    <cfRule type="cellIs" dxfId="38987" priority="179370" operator="equal">
      <formula>"PTO"</formula>
    </cfRule>
  </conditionalFormatting>
  <conditionalFormatting sqref="D133">
    <cfRule type="cellIs" dxfId="38986" priority="179365" operator="equal">
      <formula>"OFF"</formula>
    </cfRule>
    <cfRule type="cellIs" dxfId="38985" priority="179366" operator="equal">
      <formula>"PTO"</formula>
    </cfRule>
  </conditionalFormatting>
  <conditionalFormatting sqref="F133">
    <cfRule type="cellIs" dxfId="38984" priority="179363" operator="equal">
      <formula>"OFF"</formula>
    </cfRule>
    <cfRule type="cellIs" dxfId="38983" priority="179364" operator="equal">
      <formula>"PTO"</formula>
    </cfRule>
  </conditionalFormatting>
  <conditionalFormatting sqref="J133 O133:P133">
    <cfRule type="cellIs" dxfId="38982" priority="179359" operator="equal">
      <formula>"OFF"</formula>
    </cfRule>
    <cfRule type="cellIs" dxfId="38981" priority="179360" operator="equal">
      <formula>"PTO"</formula>
    </cfRule>
  </conditionalFormatting>
  <conditionalFormatting sqref="K133:L133">
    <cfRule type="cellIs" dxfId="38980" priority="179355" operator="equal">
      <formula>"OFF"</formula>
    </cfRule>
    <cfRule type="cellIs" dxfId="38979" priority="179356" operator="equal">
      <formula>"PTO"</formula>
    </cfRule>
  </conditionalFormatting>
  <conditionalFormatting sqref="M133:N133">
    <cfRule type="cellIs" dxfId="38978" priority="179353" operator="equal">
      <formula>"OFF"</formula>
    </cfRule>
    <cfRule type="cellIs" dxfId="38977" priority="179354" operator="equal">
      <formula>"PTO"</formula>
    </cfRule>
  </conditionalFormatting>
  <conditionalFormatting sqref="G133">
    <cfRule type="cellIs" dxfId="38976" priority="179349" operator="equal">
      <formula>"OFF"</formula>
    </cfRule>
    <cfRule type="cellIs" dxfId="38975" priority="179350" operator="equal">
      <formula>"PTO"</formula>
    </cfRule>
  </conditionalFormatting>
  <conditionalFormatting sqref="C133 H133:I133">
    <cfRule type="cellIs" dxfId="38974" priority="179341" operator="equal">
      <formula>"OFF"</formula>
    </cfRule>
    <cfRule type="cellIs" dxfId="38973" priority="179342" operator="equal">
      <formula>"PTO"</formula>
    </cfRule>
  </conditionalFormatting>
  <conditionalFormatting sqref="D133">
    <cfRule type="cellIs" dxfId="38972" priority="179337" operator="equal">
      <formula>"OFF"</formula>
    </cfRule>
    <cfRule type="cellIs" dxfId="38971" priority="179338" operator="equal">
      <formula>"PTO"</formula>
    </cfRule>
  </conditionalFormatting>
  <conditionalFormatting sqref="F133:G133">
    <cfRule type="cellIs" dxfId="38970" priority="179335" operator="equal">
      <formula>"OFF"</formula>
    </cfRule>
    <cfRule type="cellIs" dxfId="38969" priority="179336" operator="equal">
      <formula>"PTO"</formula>
    </cfRule>
  </conditionalFormatting>
  <conditionalFormatting sqref="C133 H133:I133">
    <cfRule type="cellIs" dxfId="38968" priority="179331" operator="equal">
      <formula>"OFF"</formula>
    </cfRule>
    <cfRule type="cellIs" dxfId="38967" priority="179332" operator="equal">
      <formula>"PTO"</formula>
    </cfRule>
  </conditionalFormatting>
  <conditionalFormatting sqref="D133">
    <cfRule type="cellIs" dxfId="38966" priority="179327" operator="equal">
      <formula>"OFF"</formula>
    </cfRule>
    <cfRule type="cellIs" dxfId="38965" priority="179328" operator="equal">
      <formula>"PTO"</formula>
    </cfRule>
  </conditionalFormatting>
  <conditionalFormatting sqref="F133">
    <cfRule type="cellIs" dxfId="38964" priority="179325" operator="equal">
      <formula>"OFF"</formula>
    </cfRule>
    <cfRule type="cellIs" dxfId="38963" priority="179326" operator="equal">
      <formula>"PTO"</formula>
    </cfRule>
  </conditionalFormatting>
  <conditionalFormatting sqref="J133 O133:P133">
    <cfRule type="cellIs" dxfId="38962" priority="179321" operator="equal">
      <formula>"OFF"</formula>
    </cfRule>
    <cfRule type="cellIs" dxfId="38961" priority="179322" operator="equal">
      <formula>"PTO"</formula>
    </cfRule>
  </conditionalFormatting>
  <conditionalFormatting sqref="K133:L133">
    <cfRule type="cellIs" dxfId="38960" priority="179317" operator="equal">
      <formula>"OFF"</formula>
    </cfRule>
    <cfRule type="cellIs" dxfId="38959" priority="179318" operator="equal">
      <formula>"PTO"</formula>
    </cfRule>
  </conditionalFormatting>
  <conditionalFormatting sqref="M133:N133">
    <cfRule type="cellIs" dxfId="38958" priority="179315" operator="equal">
      <formula>"OFF"</formula>
    </cfRule>
    <cfRule type="cellIs" dxfId="38957" priority="179316" operator="equal">
      <formula>"PTO"</formula>
    </cfRule>
  </conditionalFormatting>
  <conditionalFormatting sqref="G133">
    <cfRule type="cellIs" dxfId="38956" priority="179311" operator="equal">
      <formula>"OFF"</formula>
    </cfRule>
    <cfRule type="cellIs" dxfId="38955" priority="179312" operator="equal">
      <formula>"PTO"</formula>
    </cfRule>
  </conditionalFormatting>
  <conditionalFormatting sqref="C133 H133:I133">
    <cfRule type="cellIs" dxfId="38954" priority="179303" operator="equal">
      <formula>"OFF"</formula>
    </cfRule>
    <cfRule type="cellIs" dxfId="38953" priority="179304" operator="equal">
      <formula>"PTO"</formula>
    </cfRule>
  </conditionalFormatting>
  <conditionalFormatting sqref="D133">
    <cfRule type="cellIs" dxfId="38952" priority="179299" operator="equal">
      <formula>"OFF"</formula>
    </cfRule>
    <cfRule type="cellIs" dxfId="38951" priority="179300" operator="equal">
      <formula>"PTO"</formula>
    </cfRule>
  </conditionalFormatting>
  <conditionalFormatting sqref="F133:G133">
    <cfRule type="cellIs" dxfId="38950" priority="179297" operator="equal">
      <formula>"OFF"</formula>
    </cfRule>
    <cfRule type="cellIs" dxfId="38949" priority="179298" operator="equal">
      <formula>"PTO"</formula>
    </cfRule>
  </conditionalFormatting>
  <conditionalFormatting sqref="C133 H133:I133">
    <cfRule type="cellIs" dxfId="38948" priority="179293" operator="equal">
      <formula>"OFF"</formula>
    </cfRule>
    <cfRule type="cellIs" dxfId="38947" priority="179294" operator="equal">
      <formula>"PTO"</formula>
    </cfRule>
  </conditionalFormatting>
  <conditionalFormatting sqref="D133">
    <cfRule type="cellIs" dxfId="38946" priority="179289" operator="equal">
      <formula>"OFF"</formula>
    </cfRule>
    <cfRule type="cellIs" dxfId="38945" priority="179290" operator="equal">
      <formula>"PTO"</formula>
    </cfRule>
  </conditionalFormatting>
  <conditionalFormatting sqref="F133:G133">
    <cfRule type="cellIs" dxfId="38944" priority="179287" operator="equal">
      <formula>"OFF"</formula>
    </cfRule>
    <cfRule type="cellIs" dxfId="38943" priority="179288" operator="equal">
      <formula>"PTO"</formula>
    </cfRule>
  </conditionalFormatting>
  <conditionalFormatting sqref="E133">
    <cfRule type="cellIs" dxfId="38942" priority="179285" operator="equal">
      <formula>"OFF"</formula>
    </cfRule>
    <cfRule type="cellIs" dxfId="38941" priority="179286" operator="equal">
      <formula>"PTO"</formula>
    </cfRule>
  </conditionalFormatting>
  <conditionalFormatting sqref="E133">
    <cfRule type="cellIs" dxfId="38940" priority="179283" operator="equal">
      <formula>"OFF"</formula>
    </cfRule>
    <cfRule type="cellIs" dxfId="38939" priority="179284" operator="equal">
      <formula>"PTO"</formula>
    </cfRule>
  </conditionalFormatting>
  <conditionalFormatting sqref="E133">
    <cfRule type="cellIs" dxfId="38938" priority="179281" operator="equal">
      <formula>"OFF"</formula>
    </cfRule>
    <cfRule type="cellIs" dxfId="38937" priority="179282" operator="equal">
      <formula>"PTO"</formula>
    </cfRule>
  </conditionalFormatting>
  <conditionalFormatting sqref="E133">
    <cfRule type="cellIs" dxfId="38936" priority="179279" operator="equal">
      <formula>"OFF"</formula>
    </cfRule>
    <cfRule type="cellIs" dxfId="38935" priority="179280" operator="equal">
      <formula>"PTO"</formula>
    </cfRule>
  </conditionalFormatting>
  <conditionalFormatting sqref="E133">
    <cfRule type="cellIs" dxfId="38934" priority="179277" operator="equal">
      <formula>"OFF"</formula>
    </cfRule>
    <cfRule type="cellIs" dxfId="38933" priority="179278" operator="equal">
      <formula>"PTO"</formula>
    </cfRule>
  </conditionalFormatting>
  <conditionalFormatting sqref="E133">
    <cfRule type="cellIs" dxfId="38932" priority="179275" operator="equal">
      <formula>"OFF"</formula>
    </cfRule>
    <cfRule type="cellIs" dxfId="38931" priority="179276" operator="equal">
      <formula>"PTO"</formula>
    </cfRule>
  </conditionalFormatting>
  <conditionalFormatting sqref="E133">
    <cfRule type="cellIs" dxfId="38930" priority="179273" operator="equal">
      <formula>"OFF"</formula>
    </cfRule>
    <cfRule type="cellIs" dxfId="38929" priority="179274" operator="equal">
      <formula>"PTO"</formula>
    </cfRule>
  </conditionalFormatting>
  <conditionalFormatting sqref="E133">
    <cfRule type="cellIs" dxfId="38928" priority="179271" operator="equal">
      <formula>"OFF"</formula>
    </cfRule>
    <cfRule type="cellIs" dxfId="38927" priority="179272" operator="equal">
      <formula>"PTO"</formula>
    </cfRule>
  </conditionalFormatting>
  <conditionalFormatting sqref="E133">
    <cfRule type="cellIs" dxfId="38926" priority="179269" operator="equal">
      <formula>"OFF"</formula>
    </cfRule>
    <cfRule type="cellIs" dxfId="38925" priority="179270" operator="equal">
      <formula>"PTO"</formula>
    </cfRule>
  </conditionalFormatting>
  <conditionalFormatting sqref="E133">
    <cfRule type="cellIs" dxfId="38924" priority="179267" operator="equal">
      <formula>"OFF"</formula>
    </cfRule>
    <cfRule type="cellIs" dxfId="38923" priority="179268" operator="equal">
      <formula>"PTO"</formula>
    </cfRule>
  </conditionalFormatting>
  <conditionalFormatting sqref="E133">
    <cfRule type="cellIs" dxfId="38922" priority="179265" operator="equal">
      <formula>"OFF"</formula>
    </cfRule>
    <cfRule type="cellIs" dxfId="38921" priority="179266" operator="equal">
      <formula>"PTO"</formula>
    </cfRule>
  </conditionalFormatting>
  <conditionalFormatting sqref="E133">
    <cfRule type="cellIs" dxfId="38920" priority="179263" operator="equal">
      <formula>"OFF"</formula>
    </cfRule>
    <cfRule type="cellIs" dxfId="38919" priority="179264" operator="equal">
      <formula>"PTO"</formula>
    </cfRule>
  </conditionalFormatting>
  <conditionalFormatting sqref="E133">
    <cfRule type="cellIs" dxfId="38918" priority="179261" operator="equal">
      <formula>"OFF"</formula>
    </cfRule>
    <cfRule type="cellIs" dxfId="38917" priority="179262" operator="equal">
      <formula>"PTO"</formula>
    </cfRule>
  </conditionalFormatting>
  <conditionalFormatting sqref="E133">
    <cfRule type="cellIs" dxfId="38916" priority="179259" operator="equal">
      <formula>"OFF"</formula>
    </cfRule>
    <cfRule type="cellIs" dxfId="38915" priority="179260" operator="equal">
      <formula>"PTO"</formula>
    </cfRule>
  </conditionalFormatting>
  <conditionalFormatting sqref="E133">
    <cfRule type="cellIs" dxfId="38914" priority="179257" operator="equal">
      <formula>"OFF"</formula>
    </cfRule>
    <cfRule type="cellIs" dxfId="38913" priority="179258" operator="equal">
      <formula>"PTO"</formula>
    </cfRule>
  </conditionalFormatting>
  <conditionalFormatting sqref="E133">
    <cfRule type="cellIs" dxfId="38912" priority="179255" operator="equal">
      <formula>"OFF"</formula>
    </cfRule>
    <cfRule type="cellIs" dxfId="38911" priority="179256" operator="equal">
      <formula>"PTO"</formula>
    </cfRule>
  </conditionalFormatting>
  <conditionalFormatting sqref="E133">
    <cfRule type="cellIs" dxfId="38910" priority="179253" operator="equal">
      <formula>"OFF"</formula>
    </cfRule>
    <cfRule type="cellIs" dxfId="38909" priority="179254" operator="equal">
      <formula>"PTO"</formula>
    </cfRule>
  </conditionalFormatting>
  <conditionalFormatting sqref="E133">
    <cfRule type="cellIs" dxfId="38908" priority="179251" operator="equal">
      <formula>"OFF"</formula>
    </cfRule>
    <cfRule type="cellIs" dxfId="38907" priority="179252" operator="equal">
      <formula>"PTO"</formula>
    </cfRule>
  </conditionalFormatting>
  <conditionalFormatting sqref="E133">
    <cfRule type="cellIs" dxfId="38906" priority="179249" operator="equal">
      <formula>"OFF"</formula>
    </cfRule>
    <cfRule type="cellIs" dxfId="38905" priority="179250" operator="equal">
      <formula>"PTO"</formula>
    </cfRule>
  </conditionalFormatting>
  <conditionalFormatting sqref="E133">
    <cfRule type="cellIs" dxfId="38904" priority="179247" operator="equal">
      <formula>"OFF"</formula>
    </cfRule>
    <cfRule type="cellIs" dxfId="38903" priority="179248" operator="equal">
      <formula>"PTO"</formula>
    </cfRule>
  </conditionalFormatting>
  <conditionalFormatting sqref="Y132">
    <cfRule type="cellIs" dxfId="38902" priority="176020" operator="equal">
      <formula>"OFF"</formula>
    </cfRule>
    <cfRule type="cellIs" dxfId="38901" priority="176021" operator="equal">
      <formula>"PTO"</formula>
    </cfRule>
  </conditionalFormatting>
  <conditionalFormatting sqref="Y132">
    <cfRule type="cellIs" dxfId="38900" priority="176018" operator="equal">
      <formula>"OFF"</formula>
    </cfRule>
    <cfRule type="cellIs" dxfId="38899" priority="176019" operator="equal">
      <formula>"PTO"</formula>
    </cfRule>
  </conditionalFormatting>
  <conditionalFormatting sqref="Y132">
    <cfRule type="cellIs" dxfId="38898" priority="176016" operator="equal">
      <formula>"OFF"</formula>
    </cfRule>
    <cfRule type="cellIs" dxfId="38897" priority="176017" operator="equal">
      <formula>"PTO"</formula>
    </cfRule>
  </conditionalFormatting>
  <conditionalFormatting sqref="Y132">
    <cfRule type="cellIs" dxfId="38896" priority="176014" operator="equal">
      <formula>"OFF"</formula>
    </cfRule>
    <cfRule type="cellIs" dxfId="38895" priority="176015" operator="equal">
      <formula>"PTO"</formula>
    </cfRule>
  </conditionalFormatting>
  <conditionalFormatting sqref="Y132">
    <cfRule type="cellIs" dxfId="38894" priority="176012" operator="equal">
      <formula>"OFF"</formula>
    </cfRule>
    <cfRule type="cellIs" dxfId="38893" priority="176013" operator="equal">
      <formula>"PTO"</formula>
    </cfRule>
  </conditionalFormatting>
  <conditionalFormatting sqref="Y132">
    <cfRule type="cellIs" dxfId="38892" priority="175982" operator="equal">
      <formula>"OFF"</formula>
    </cfRule>
    <cfRule type="cellIs" dxfId="38891" priority="175983" operator="equal">
      <formula>"PTO"</formula>
    </cfRule>
  </conditionalFormatting>
  <conditionalFormatting sqref="Y132">
    <cfRule type="cellIs" dxfId="38890" priority="175980" operator="equal">
      <formula>"OFF"</formula>
    </cfRule>
    <cfRule type="cellIs" dxfId="38889" priority="175981" operator="equal">
      <formula>"PTO"</formula>
    </cfRule>
  </conditionalFormatting>
  <conditionalFormatting sqref="Y132">
    <cfRule type="cellIs" dxfId="38888" priority="175978" operator="equal">
      <formula>"OFF"</formula>
    </cfRule>
    <cfRule type="cellIs" dxfId="38887" priority="175979" operator="equal">
      <formula>"PTO"</formula>
    </cfRule>
  </conditionalFormatting>
  <conditionalFormatting sqref="Y132">
    <cfRule type="cellIs" dxfId="38886" priority="175976" operator="equal">
      <formula>"OFF"</formula>
    </cfRule>
    <cfRule type="cellIs" dxfId="38885" priority="175977" operator="equal">
      <formula>"PTO"</formula>
    </cfRule>
  </conditionalFormatting>
  <conditionalFormatting sqref="Y132">
    <cfRule type="cellIs" dxfId="38884" priority="175974" operator="equal">
      <formula>"OFF"</formula>
    </cfRule>
    <cfRule type="cellIs" dxfId="38883" priority="175975" operator="equal">
      <formula>"PTO"</formula>
    </cfRule>
  </conditionalFormatting>
  <conditionalFormatting sqref="Y132">
    <cfRule type="cellIs" dxfId="38882" priority="175972" operator="equal">
      <formula>"OFF"</formula>
    </cfRule>
    <cfRule type="cellIs" dxfId="38881" priority="175973" operator="equal">
      <formula>"PTO"</formula>
    </cfRule>
  </conditionalFormatting>
  <conditionalFormatting sqref="Y132">
    <cfRule type="cellIs" dxfId="38880" priority="175970" operator="equal">
      <formula>"OFF"</formula>
    </cfRule>
    <cfRule type="cellIs" dxfId="38879" priority="175971" operator="equal">
      <formula>"PTO"</formula>
    </cfRule>
  </conditionalFormatting>
  <conditionalFormatting sqref="Y132">
    <cfRule type="cellIs" dxfId="38878" priority="175968" operator="equal">
      <formula>"OFF"</formula>
    </cfRule>
    <cfRule type="cellIs" dxfId="38877" priority="175969" operator="equal">
      <formula>"PTO"</formula>
    </cfRule>
  </conditionalFormatting>
  <conditionalFormatting sqref="Y132">
    <cfRule type="cellIs" dxfId="38876" priority="175966" operator="equal">
      <formula>"OFF"</formula>
    </cfRule>
    <cfRule type="cellIs" dxfId="38875" priority="175967" operator="equal">
      <formula>"PTO"</formula>
    </cfRule>
  </conditionalFormatting>
  <conditionalFormatting sqref="Y132">
    <cfRule type="cellIs" dxfId="38874" priority="175964" operator="equal">
      <formula>"OFF"</formula>
    </cfRule>
    <cfRule type="cellIs" dxfId="38873" priority="175965" operator="equal">
      <formula>"PTO"</formula>
    </cfRule>
  </conditionalFormatting>
  <conditionalFormatting sqref="Y132">
    <cfRule type="cellIs" dxfId="38872" priority="175962" operator="equal">
      <formula>"OFF"</formula>
    </cfRule>
    <cfRule type="cellIs" dxfId="38871" priority="175963" operator="equal">
      <formula>"PTO"</formula>
    </cfRule>
  </conditionalFormatting>
  <conditionalFormatting sqref="Y132">
    <cfRule type="cellIs" dxfId="38870" priority="175960" operator="equal">
      <formula>"OFF"</formula>
    </cfRule>
    <cfRule type="cellIs" dxfId="38869" priority="175961" operator="equal">
      <formula>"PTO"</formula>
    </cfRule>
  </conditionalFormatting>
  <conditionalFormatting sqref="Y132">
    <cfRule type="cellIs" dxfId="38868" priority="175958" operator="equal">
      <formula>"OFF"</formula>
    </cfRule>
    <cfRule type="cellIs" dxfId="38867" priority="175959" operator="equal">
      <formula>"PTO"</formula>
    </cfRule>
  </conditionalFormatting>
  <conditionalFormatting sqref="Y132">
    <cfRule type="cellIs" dxfId="38866" priority="175956" operator="equal">
      <formula>"OFF"</formula>
    </cfRule>
    <cfRule type="cellIs" dxfId="38865" priority="175957" operator="equal">
      <formula>"PTO"</formula>
    </cfRule>
  </conditionalFormatting>
  <conditionalFormatting sqref="U22:U23">
    <cfRule type="cellIs" dxfId="38864" priority="171032" operator="equal">
      <formula>"OFF"</formula>
    </cfRule>
    <cfRule type="cellIs" dxfId="38863" priority="171033" operator="equal">
      <formula>"PTO"</formula>
    </cfRule>
  </conditionalFormatting>
  <conditionalFormatting sqref="V22:V23">
    <cfRule type="cellIs" dxfId="38862" priority="171014" operator="equal">
      <formula>"OFF"</formula>
    </cfRule>
    <cfRule type="cellIs" dxfId="38861" priority="171015" operator="equal">
      <formula>"PTO"</formula>
    </cfRule>
  </conditionalFormatting>
  <conditionalFormatting sqref="B22:B31 B41 B33:B39 B43:B56">
    <cfRule type="duplicateValues" dxfId="38860" priority="170391"/>
  </conditionalFormatting>
  <conditionalFormatting sqref="C132:I132">
    <cfRule type="cellIs" dxfId="38859" priority="169955" operator="equal">
      <formula>"OFF"</formula>
    </cfRule>
    <cfRule type="cellIs" dxfId="38858" priority="169956" operator="equal">
      <formula>"PTO"</formula>
    </cfRule>
  </conditionalFormatting>
  <conditionalFormatting sqref="C132 H132:I132">
    <cfRule type="cellIs" dxfId="38857" priority="169593" operator="equal">
      <formula>"OFF"</formula>
    </cfRule>
    <cfRule type="cellIs" dxfId="38856" priority="169594" operator="equal">
      <formula>"PTO"</formula>
    </cfRule>
  </conditionalFormatting>
  <conditionalFormatting sqref="D132:E132">
    <cfRule type="cellIs" dxfId="38855" priority="169591" operator="equal">
      <formula>"OFF"</formula>
    </cfRule>
    <cfRule type="cellIs" dxfId="38854" priority="169592" operator="equal">
      <formula>"PTO"</formula>
    </cfRule>
  </conditionalFormatting>
  <conditionalFormatting sqref="F132:G132">
    <cfRule type="cellIs" dxfId="38853" priority="169589" operator="equal">
      <formula>"OFF"</formula>
    </cfRule>
    <cfRule type="cellIs" dxfId="38852" priority="169590" operator="equal">
      <formula>"PTO"</formula>
    </cfRule>
  </conditionalFormatting>
  <conditionalFormatting sqref="C132 H132:I132">
    <cfRule type="cellIs" dxfId="38851" priority="169455" operator="equal">
      <formula>"OFF"</formula>
    </cfRule>
    <cfRule type="cellIs" dxfId="38850" priority="169456" operator="equal">
      <formula>"PTO"</formula>
    </cfRule>
  </conditionalFormatting>
  <conditionalFormatting sqref="D132:E132">
    <cfRule type="cellIs" dxfId="38849" priority="169453" operator="equal">
      <formula>"OFF"</formula>
    </cfRule>
    <cfRule type="cellIs" dxfId="38848" priority="169454" operator="equal">
      <formula>"PTO"</formula>
    </cfRule>
  </conditionalFormatting>
  <conditionalFormatting sqref="F132:G132">
    <cfRule type="cellIs" dxfId="38847" priority="169451" operator="equal">
      <formula>"OFF"</formula>
    </cfRule>
    <cfRule type="cellIs" dxfId="38846" priority="169452" operator="equal">
      <formula>"PTO"</formula>
    </cfRule>
  </conditionalFormatting>
  <conditionalFormatting sqref="C132 H132:I132">
    <cfRule type="cellIs" dxfId="38845" priority="169401" operator="equal">
      <formula>"OFF"</formula>
    </cfRule>
    <cfRule type="cellIs" dxfId="38844" priority="169402" operator="equal">
      <formula>"PTO"</formula>
    </cfRule>
  </conditionalFormatting>
  <conditionalFormatting sqref="C132 H132:I132">
    <cfRule type="cellIs" dxfId="38843" priority="169399" operator="equal">
      <formula>"OFF"</formula>
    </cfRule>
    <cfRule type="cellIs" dxfId="38842" priority="169400" operator="equal">
      <formula>"PTO"</formula>
    </cfRule>
  </conditionalFormatting>
  <conditionalFormatting sqref="D132:E132">
    <cfRule type="cellIs" dxfId="38841" priority="169397" operator="equal">
      <formula>"OFF"</formula>
    </cfRule>
    <cfRule type="cellIs" dxfId="38840" priority="169398" operator="equal">
      <formula>"PTO"</formula>
    </cfRule>
  </conditionalFormatting>
  <conditionalFormatting sqref="D132:E132">
    <cfRule type="cellIs" dxfId="38839" priority="169395" operator="equal">
      <formula>"OFF"</formula>
    </cfRule>
    <cfRule type="cellIs" dxfId="38838" priority="169396" operator="equal">
      <formula>"PTO"</formula>
    </cfRule>
  </conditionalFormatting>
  <conditionalFormatting sqref="F132:G132">
    <cfRule type="cellIs" dxfId="38837" priority="169393" operator="equal">
      <formula>"OFF"</formula>
    </cfRule>
    <cfRule type="cellIs" dxfId="38836" priority="169394" operator="equal">
      <formula>"PTO"</formula>
    </cfRule>
  </conditionalFormatting>
  <conditionalFormatting sqref="J132:P132">
    <cfRule type="cellIs" dxfId="38835" priority="169207" operator="equal">
      <formula>"OFF"</formula>
    </cfRule>
    <cfRule type="cellIs" dxfId="38834" priority="169208" operator="equal">
      <formula>"PTO"</formula>
    </cfRule>
  </conditionalFormatting>
  <conditionalFormatting sqref="J132 O132:P132">
    <cfRule type="cellIs" dxfId="38833" priority="168845" operator="equal">
      <formula>"OFF"</formula>
    </cfRule>
    <cfRule type="cellIs" dxfId="38832" priority="168846" operator="equal">
      <formula>"PTO"</formula>
    </cfRule>
  </conditionalFormatting>
  <conditionalFormatting sqref="K132:L132">
    <cfRule type="cellIs" dxfId="38831" priority="168843" operator="equal">
      <formula>"OFF"</formula>
    </cfRule>
    <cfRule type="cellIs" dxfId="38830" priority="168844" operator="equal">
      <formula>"PTO"</formula>
    </cfRule>
  </conditionalFormatting>
  <conditionalFormatting sqref="M132:N132">
    <cfRule type="cellIs" dxfId="38829" priority="168841" operator="equal">
      <formula>"OFF"</formula>
    </cfRule>
    <cfRule type="cellIs" dxfId="38828" priority="168842" operator="equal">
      <formula>"PTO"</formula>
    </cfRule>
  </conditionalFormatting>
  <conditionalFormatting sqref="J132 O132:P132">
    <cfRule type="cellIs" dxfId="38827" priority="168707" operator="equal">
      <formula>"OFF"</formula>
    </cfRule>
    <cfRule type="cellIs" dxfId="38826" priority="168708" operator="equal">
      <formula>"PTO"</formula>
    </cfRule>
  </conditionalFormatting>
  <conditionalFormatting sqref="K132:L132">
    <cfRule type="cellIs" dxfId="38825" priority="168705" operator="equal">
      <formula>"OFF"</formula>
    </cfRule>
    <cfRule type="cellIs" dxfId="38824" priority="168706" operator="equal">
      <formula>"PTO"</formula>
    </cfRule>
  </conditionalFormatting>
  <conditionalFormatting sqref="M132:N132">
    <cfRule type="cellIs" dxfId="38823" priority="168703" operator="equal">
      <formula>"OFF"</formula>
    </cfRule>
    <cfRule type="cellIs" dxfId="38822" priority="168704" operator="equal">
      <formula>"PTO"</formula>
    </cfRule>
  </conditionalFormatting>
  <conditionalFormatting sqref="J132 O132:P132">
    <cfRule type="cellIs" dxfId="38821" priority="168653" operator="equal">
      <formula>"OFF"</formula>
    </cfRule>
    <cfRule type="cellIs" dxfId="38820" priority="168654" operator="equal">
      <formula>"PTO"</formula>
    </cfRule>
  </conditionalFormatting>
  <conditionalFormatting sqref="J132 O132:P132">
    <cfRule type="cellIs" dxfId="38819" priority="168651" operator="equal">
      <formula>"OFF"</formula>
    </cfRule>
    <cfRule type="cellIs" dxfId="38818" priority="168652" operator="equal">
      <formula>"PTO"</formula>
    </cfRule>
  </conditionalFormatting>
  <conditionalFormatting sqref="K132:L132">
    <cfRule type="cellIs" dxfId="38817" priority="168649" operator="equal">
      <formula>"OFF"</formula>
    </cfRule>
    <cfRule type="cellIs" dxfId="38816" priority="168650" operator="equal">
      <formula>"PTO"</formula>
    </cfRule>
  </conditionalFormatting>
  <conditionalFormatting sqref="K132:L132">
    <cfRule type="cellIs" dxfId="38815" priority="168647" operator="equal">
      <formula>"OFF"</formula>
    </cfRule>
    <cfRule type="cellIs" dxfId="38814" priority="168648" operator="equal">
      <formula>"PTO"</formula>
    </cfRule>
  </conditionalFormatting>
  <conditionalFormatting sqref="M132:N132">
    <cfRule type="cellIs" dxfId="38813" priority="168645" operator="equal">
      <formula>"OFF"</formula>
    </cfRule>
    <cfRule type="cellIs" dxfId="38812" priority="168646" operator="equal">
      <formula>"PTO"</formula>
    </cfRule>
  </conditionalFormatting>
  <conditionalFormatting sqref="X21">
    <cfRule type="cellIs" dxfId="38811" priority="168413" operator="equal">
      <formula>"OFF"</formula>
    </cfRule>
    <cfRule type="cellIs" dxfId="38810" priority="168414" operator="equal">
      <formula>"PTO"</formula>
    </cfRule>
  </conditionalFormatting>
  <conditionalFormatting sqref="B51">
    <cfRule type="duplicateValues" dxfId="38809" priority="168330"/>
  </conditionalFormatting>
  <conditionalFormatting sqref="B51">
    <cfRule type="duplicateValues" dxfId="38808" priority="168329"/>
  </conditionalFormatting>
  <conditionalFormatting sqref="J132:P132">
    <cfRule type="cellIs" dxfId="38807" priority="168319" operator="equal">
      <formula>"OFF"</formula>
    </cfRule>
    <cfRule type="cellIs" dxfId="38806" priority="168320" operator="equal">
      <formula>"PTO"</formula>
    </cfRule>
  </conditionalFormatting>
  <conditionalFormatting sqref="J132 O132:P132">
    <cfRule type="cellIs" dxfId="38805" priority="167957" operator="equal">
      <formula>"OFF"</formula>
    </cfRule>
    <cfRule type="cellIs" dxfId="38804" priority="167958" operator="equal">
      <formula>"PTO"</formula>
    </cfRule>
  </conditionalFormatting>
  <conditionalFormatting sqref="K132:L132">
    <cfRule type="cellIs" dxfId="38803" priority="167955" operator="equal">
      <formula>"OFF"</formula>
    </cfRule>
    <cfRule type="cellIs" dxfId="38802" priority="167956" operator="equal">
      <formula>"PTO"</formula>
    </cfRule>
  </conditionalFormatting>
  <conditionalFormatting sqref="M132:N132">
    <cfRule type="cellIs" dxfId="38801" priority="167953" operator="equal">
      <formula>"OFF"</formula>
    </cfRule>
    <cfRule type="cellIs" dxfId="38800" priority="167954" operator="equal">
      <formula>"PTO"</formula>
    </cfRule>
  </conditionalFormatting>
  <conditionalFormatting sqref="J132 O132:P132">
    <cfRule type="cellIs" dxfId="38799" priority="167819" operator="equal">
      <formula>"OFF"</formula>
    </cfRule>
    <cfRule type="cellIs" dxfId="38798" priority="167820" operator="equal">
      <formula>"PTO"</formula>
    </cfRule>
  </conditionalFormatting>
  <conditionalFormatting sqref="K132:L132">
    <cfRule type="cellIs" dxfId="38797" priority="167817" operator="equal">
      <formula>"OFF"</formula>
    </cfRule>
    <cfRule type="cellIs" dxfId="38796" priority="167818" operator="equal">
      <formula>"PTO"</formula>
    </cfRule>
  </conditionalFormatting>
  <conditionalFormatting sqref="M132:N132">
    <cfRule type="cellIs" dxfId="38795" priority="167815" operator="equal">
      <formula>"OFF"</formula>
    </cfRule>
    <cfRule type="cellIs" dxfId="38794" priority="167816" operator="equal">
      <formula>"PTO"</formula>
    </cfRule>
  </conditionalFormatting>
  <conditionalFormatting sqref="J132 O132:P132">
    <cfRule type="cellIs" dxfId="38793" priority="167765" operator="equal">
      <formula>"OFF"</formula>
    </cfRule>
    <cfRule type="cellIs" dxfId="38792" priority="167766" operator="equal">
      <formula>"PTO"</formula>
    </cfRule>
  </conditionalFormatting>
  <conditionalFormatting sqref="J132 O132:P132">
    <cfRule type="cellIs" dxfId="38791" priority="167763" operator="equal">
      <formula>"OFF"</formula>
    </cfRule>
    <cfRule type="cellIs" dxfId="38790" priority="167764" operator="equal">
      <formula>"PTO"</formula>
    </cfRule>
  </conditionalFormatting>
  <conditionalFormatting sqref="K132:L132">
    <cfRule type="cellIs" dxfId="38789" priority="167761" operator="equal">
      <formula>"OFF"</formula>
    </cfRule>
    <cfRule type="cellIs" dxfId="38788" priority="167762" operator="equal">
      <formula>"PTO"</formula>
    </cfRule>
  </conditionalFormatting>
  <conditionalFormatting sqref="K132:L132">
    <cfRule type="cellIs" dxfId="38787" priority="167759" operator="equal">
      <formula>"OFF"</formula>
    </cfRule>
    <cfRule type="cellIs" dxfId="38786" priority="167760" operator="equal">
      <formula>"PTO"</formula>
    </cfRule>
  </conditionalFormatting>
  <conditionalFormatting sqref="M132:N132">
    <cfRule type="cellIs" dxfId="38785" priority="167757" operator="equal">
      <formula>"OFF"</formula>
    </cfRule>
    <cfRule type="cellIs" dxfId="38784" priority="167758" operator="equal">
      <formula>"PTO"</formula>
    </cfRule>
  </conditionalFormatting>
  <conditionalFormatting sqref="C132:I132">
    <cfRule type="cellIs" dxfId="38783" priority="167571" operator="equal">
      <formula>"OFF"</formula>
    </cfRule>
    <cfRule type="cellIs" dxfId="38782" priority="167572" operator="equal">
      <formula>"PTO"</formula>
    </cfRule>
  </conditionalFormatting>
  <conditionalFormatting sqref="C132 H132:I132">
    <cfRule type="cellIs" dxfId="38781" priority="167209" operator="equal">
      <formula>"OFF"</formula>
    </cfRule>
    <cfRule type="cellIs" dxfId="38780" priority="167210" operator="equal">
      <formula>"PTO"</formula>
    </cfRule>
  </conditionalFormatting>
  <conditionalFormatting sqref="D132:E132">
    <cfRule type="cellIs" dxfId="38779" priority="167207" operator="equal">
      <formula>"OFF"</formula>
    </cfRule>
    <cfRule type="cellIs" dxfId="38778" priority="167208" operator="equal">
      <formula>"PTO"</formula>
    </cfRule>
  </conditionalFormatting>
  <conditionalFormatting sqref="F132:G132">
    <cfRule type="cellIs" dxfId="38777" priority="167205" operator="equal">
      <formula>"OFF"</formula>
    </cfRule>
    <cfRule type="cellIs" dxfId="38776" priority="167206" operator="equal">
      <formula>"PTO"</formula>
    </cfRule>
  </conditionalFormatting>
  <conditionalFormatting sqref="C132 H132:I132">
    <cfRule type="cellIs" dxfId="38775" priority="167071" operator="equal">
      <formula>"OFF"</formula>
    </cfRule>
    <cfRule type="cellIs" dxfId="38774" priority="167072" operator="equal">
      <formula>"PTO"</formula>
    </cfRule>
  </conditionalFormatting>
  <conditionalFormatting sqref="D132:E132">
    <cfRule type="cellIs" dxfId="38773" priority="167069" operator="equal">
      <formula>"OFF"</formula>
    </cfRule>
    <cfRule type="cellIs" dxfId="38772" priority="167070" operator="equal">
      <formula>"PTO"</formula>
    </cfRule>
  </conditionalFormatting>
  <conditionalFormatting sqref="F132:G132">
    <cfRule type="cellIs" dxfId="38771" priority="167067" operator="equal">
      <formula>"OFF"</formula>
    </cfRule>
    <cfRule type="cellIs" dxfId="38770" priority="167068" operator="equal">
      <formula>"PTO"</formula>
    </cfRule>
  </conditionalFormatting>
  <conditionalFormatting sqref="C132 H132:I132">
    <cfRule type="cellIs" dxfId="38769" priority="167017" operator="equal">
      <formula>"OFF"</formula>
    </cfRule>
    <cfRule type="cellIs" dxfId="38768" priority="167018" operator="equal">
      <formula>"PTO"</formula>
    </cfRule>
  </conditionalFormatting>
  <conditionalFormatting sqref="C132 H132:I132">
    <cfRule type="cellIs" dxfId="38767" priority="167015" operator="equal">
      <formula>"OFF"</formula>
    </cfRule>
    <cfRule type="cellIs" dxfId="38766" priority="167016" operator="equal">
      <formula>"PTO"</formula>
    </cfRule>
  </conditionalFormatting>
  <conditionalFormatting sqref="D132:E132">
    <cfRule type="cellIs" dxfId="38765" priority="167013" operator="equal">
      <formula>"OFF"</formula>
    </cfRule>
    <cfRule type="cellIs" dxfId="38764" priority="167014" operator="equal">
      <formula>"PTO"</formula>
    </cfRule>
  </conditionalFormatting>
  <conditionalFormatting sqref="D132:E132">
    <cfRule type="cellIs" dxfId="38763" priority="167011" operator="equal">
      <formula>"OFF"</formula>
    </cfRule>
    <cfRule type="cellIs" dxfId="38762" priority="167012" operator="equal">
      <formula>"PTO"</formula>
    </cfRule>
  </conditionalFormatting>
  <conditionalFormatting sqref="F132:G132">
    <cfRule type="cellIs" dxfId="38761" priority="167009" operator="equal">
      <formula>"OFF"</formula>
    </cfRule>
    <cfRule type="cellIs" dxfId="38760" priority="167010" operator="equal">
      <formula>"PTO"</formula>
    </cfRule>
  </conditionalFormatting>
  <conditionalFormatting sqref="X83">
    <cfRule type="cellIs" dxfId="38759" priority="166695" operator="equal">
      <formula>"OFF"</formula>
    </cfRule>
    <cfRule type="cellIs" dxfId="38758" priority="166696" operator="equal">
      <formula>"PTO"</formula>
    </cfRule>
  </conditionalFormatting>
  <conditionalFormatting sqref="X83">
    <cfRule type="cellIs" dxfId="38757" priority="166693" operator="equal">
      <formula>"OFF"</formula>
    </cfRule>
    <cfRule type="cellIs" dxfId="38756" priority="166694" operator="equal">
      <formula>"PTO"</formula>
    </cfRule>
  </conditionalFormatting>
  <conditionalFormatting sqref="X83">
    <cfRule type="cellIs" dxfId="38755" priority="166687" operator="equal">
      <formula>"OFF"</formula>
    </cfRule>
    <cfRule type="cellIs" dxfId="38754" priority="166688" operator="equal">
      <formula>"PTO"</formula>
    </cfRule>
  </conditionalFormatting>
  <conditionalFormatting sqref="X77:X85 X87">
    <cfRule type="cellIs" dxfId="38753" priority="166617" operator="equal">
      <formula>"OFF"</formula>
    </cfRule>
    <cfRule type="cellIs" dxfId="38752" priority="166618" operator="equal">
      <formula>"PTO"</formula>
    </cfRule>
  </conditionalFormatting>
  <conditionalFormatting sqref="X77:X85 X87">
    <cfRule type="cellIs" dxfId="38751" priority="166613" operator="equal">
      <formula>"OFF"</formula>
    </cfRule>
    <cfRule type="cellIs" dxfId="38750" priority="166614" operator="equal">
      <formula>"PTO"</formula>
    </cfRule>
  </conditionalFormatting>
  <conditionalFormatting sqref="X77:X85 X87">
    <cfRule type="cellIs" dxfId="38749" priority="166604" operator="equal">
      <formula>"OFF"</formula>
    </cfRule>
    <cfRule type="cellIs" dxfId="38748" priority="166605" operator="equal">
      <formula>"PTO"</formula>
    </cfRule>
  </conditionalFormatting>
  <conditionalFormatting sqref="X82:X85 X87">
    <cfRule type="cellIs" dxfId="38747" priority="166284" operator="equal">
      <formula>"OFF"</formula>
    </cfRule>
    <cfRule type="cellIs" dxfId="38746" priority="166285" operator="equal">
      <formula>"PTO"</formula>
    </cfRule>
  </conditionalFormatting>
  <conditionalFormatting sqref="X82:X85 X87">
    <cfRule type="cellIs" dxfId="38745" priority="166282" operator="equal">
      <formula>"OFF"</formula>
    </cfRule>
    <cfRule type="cellIs" dxfId="38744" priority="166283" operator="equal">
      <formula>"PTO"</formula>
    </cfRule>
  </conditionalFormatting>
  <conditionalFormatting sqref="X82:X85 X87">
    <cfRule type="cellIs" dxfId="38743" priority="166276" operator="equal">
      <formula>"OFF"</formula>
    </cfRule>
    <cfRule type="cellIs" dxfId="38742" priority="166277" operator="equal">
      <formula>"PTO"</formula>
    </cfRule>
  </conditionalFormatting>
  <conditionalFormatting sqref="X81">
    <cfRule type="cellIs" dxfId="38741" priority="166054" operator="equal">
      <formula>"OFF"</formula>
    </cfRule>
    <cfRule type="cellIs" dxfId="38740" priority="166055" operator="equal">
      <formula>"PTO"</formula>
    </cfRule>
  </conditionalFormatting>
  <conditionalFormatting sqref="X79">
    <cfRule type="cellIs" dxfId="38739" priority="165830" operator="equal">
      <formula>"OFF"</formula>
    </cfRule>
    <cfRule type="cellIs" dxfId="38738" priority="165831" operator="equal">
      <formula>"PTO"</formula>
    </cfRule>
  </conditionalFormatting>
  <conditionalFormatting sqref="X82">
    <cfRule type="cellIs" dxfId="38737" priority="164226" operator="equal">
      <formula>"OFF"</formula>
    </cfRule>
    <cfRule type="cellIs" dxfId="38736" priority="164227" operator="equal">
      <formula>"PTO"</formula>
    </cfRule>
  </conditionalFormatting>
  <conditionalFormatting sqref="X82">
    <cfRule type="cellIs" dxfId="38735" priority="164224" operator="equal">
      <formula>"OFF"</formula>
    </cfRule>
    <cfRule type="cellIs" dxfId="38734" priority="164225" operator="equal">
      <formula>"PTO"</formula>
    </cfRule>
  </conditionalFormatting>
  <conditionalFormatting sqref="X82">
    <cfRule type="cellIs" dxfId="38733" priority="164218" operator="equal">
      <formula>"OFF"</formula>
    </cfRule>
    <cfRule type="cellIs" dxfId="38732" priority="164219" operator="equal">
      <formula>"PTO"</formula>
    </cfRule>
  </conditionalFormatting>
  <conditionalFormatting sqref="X82">
    <cfRule type="cellIs" dxfId="38731" priority="163978" operator="equal">
      <formula>"OFF"</formula>
    </cfRule>
    <cfRule type="cellIs" dxfId="38730" priority="163979" operator="equal">
      <formula>"PTO"</formula>
    </cfRule>
  </conditionalFormatting>
  <conditionalFormatting sqref="X82">
    <cfRule type="cellIs" dxfId="38729" priority="163976" operator="equal">
      <formula>"OFF"</formula>
    </cfRule>
    <cfRule type="cellIs" dxfId="38728" priority="163977" operator="equal">
      <formula>"PTO"</formula>
    </cfRule>
  </conditionalFormatting>
  <conditionalFormatting sqref="X82">
    <cfRule type="cellIs" dxfId="38727" priority="163970" operator="equal">
      <formula>"OFF"</formula>
    </cfRule>
    <cfRule type="cellIs" dxfId="38726" priority="163971" operator="equal">
      <formula>"PTO"</formula>
    </cfRule>
  </conditionalFormatting>
  <conditionalFormatting sqref="X81">
    <cfRule type="cellIs" dxfId="38725" priority="163488" operator="equal">
      <formula>"OFF"</formula>
    </cfRule>
    <cfRule type="cellIs" dxfId="38724" priority="163489" operator="equal">
      <formula>"PTO"</formula>
    </cfRule>
  </conditionalFormatting>
  <conditionalFormatting sqref="X79">
    <cfRule type="cellIs" dxfId="38723" priority="163266" operator="equal">
      <formula>"OFF"</formula>
    </cfRule>
    <cfRule type="cellIs" dxfId="38722" priority="163267" operator="equal">
      <formula>"PTO"</formula>
    </cfRule>
  </conditionalFormatting>
  <conditionalFormatting sqref="X82">
    <cfRule type="cellIs" dxfId="38721" priority="161704" operator="equal">
      <formula>"OFF"</formula>
    </cfRule>
    <cfRule type="cellIs" dxfId="38720" priority="161705" operator="equal">
      <formula>"PTO"</formula>
    </cfRule>
  </conditionalFormatting>
  <conditionalFormatting sqref="X82">
    <cfRule type="cellIs" dxfId="38719" priority="161702" operator="equal">
      <formula>"OFF"</formula>
    </cfRule>
    <cfRule type="cellIs" dxfId="38718" priority="161703" operator="equal">
      <formula>"PTO"</formula>
    </cfRule>
  </conditionalFormatting>
  <conditionalFormatting sqref="X82">
    <cfRule type="cellIs" dxfId="38717" priority="161696" operator="equal">
      <formula>"OFF"</formula>
    </cfRule>
    <cfRule type="cellIs" dxfId="38716" priority="161697" operator="equal">
      <formula>"PTO"</formula>
    </cfRule>
  </conditionalFormatting>
  <conditionalFormatting sqref="X79">
    <cfRule type="cellIs" dxfId="38715" priority="161311" operator="equal">
      <formula>"OFF"</formula>
    </cfRule>
    <cfRule type="cellIs" dxfId="38714" priority="161312" operator="equal">
      <formula>"PTO"</formula>
    </cfRule>
  </conditionalFormatting>
  <conditionalFormatting sqref="X78">
    <cfRule type="cellIs" dxfId="38713" priority="161170" operator="equal">
      <formula>"OFF"</formula>
    </cfRule>
    <cfRule type="cellIs" dxfId="38712" priority="161171" operator="equal">
      <formula>"PTO"</formula>
    </cfRule>
  </conditionalFormatting>
  <conditionalFormatting sqref="X81">
    <cfRule type="cellIs" dxfId="38711" priority="159644" operator="equal">
      <formula>"OFF"</formula>
    </cfRule>
    <cfRule type="cellIs" dxfId="38710" priority="159645" operator="equal">
      <formula>"PTO"</formula>
    </cfRule>
  </conditionalFormatting>
  <conditionalFormatting sqref="X81">
    <cfRule type="cellIs" dxfId="38709" priority="159642" operator="equal">
      <formula>"OFF"</formula>
    </cfRule>
    <cfRule type="cellIs" dxfId="38708" priority="159643" operator="equal">
      <formula>"PTO"</formula>
    </cfRule>
  </conditionalFormatting>
  <conditionalFormatting sqref="X81">
    <cfRule type="cellIs" dxfId="38707" priority="159636" operator="equal">
      <formula>"OFF"</formula>
    </cfRule>
    <cfRule type="cellIs" dxfId="38706" priority="159637" operator="equal">
      <formula>"PTO"</formula>
    </cfRule>
  </conditionalFormatting>
  <conditionalFormatting sqref="X81">
    <cfRule type="cellIs" dxfId="38705" priority="159396" operator="equal">
      <formula>"OFF"</formula>
    </cfRule>
    <cfRule type="cellIs" dxfId="38704" priority="159397" operator="equal">
      <formula>"PTO"</formula>
    </cfRule>
  </conditionalFormatting>
  <conditionalFormatting sqref="X81">
    <cfRule type="cellIs" dxfId="38703" priority="159394" operator="equal">
      <formula>"OFF"</formula>
    </cfRule>
    <cfRule type="cellIs" dxfId="38702" priority="159395" operator="equal">
      <formula>"PTO"</formula>
    </cfRule>
  </conditionalFormatting>
  <conditionalFormatting sqref="X81">
    <cfRule type="cellIs" dxfId="38701" priority="159388" operator="equal">
      <formula>"OFF"</formula>
    </cfRule>
    <cfRule type="cellIs" dxfId="38700" priority="159389" operator="equal">
      <formula>"PTO"</formula>
    </cfRule>
  </conditionalFormatting>
  <conditionalFormatting sqref="X80">
    <cfRule type="cellIs" dxfId="38699" priority="146507" operator="equal">
      <formula>"OFF"</formula>
    </cfRule>
    <cfRule type="cellIs" dxfId="38698" priority="146508" operator="equal">
      <formula>"PTO"</formula>
    </cfRule>
  </conditionalFormatting>
  <conditionalFormatting sqref="X80">
    <cfRule type="cellIs" dxfId="38697" priority="146505" operator="equal">
      <formula>"OFF"</formula>
    </cfRule>
    <cfRule type="cellIs" dxfId="38696" priority="146506" operator="equal">
      <formula>"PTO"</formula>
    </cfRule>
  </conditionalFormatting>
  <conditionalFormatting sqref="X80">
    <cfRule type="cellIs" dxfId="38695" priority="146499" operator="equal">
      <formula>"OFF"</formula>
    </cfRule>
    <cfRule type="cellIs" dxfId="38694" priority="146500" operator="equal">
      <formula>"PTO"</formula>
    </cfRule>
  </conditionalFormatting>
  <conditionalFormatting sqref="B54">
    <cfRule type="duplicateValues" dxfId="38693" priority="110740"/>
  </conditionalFormatting>
  <conditionalFormatting sqref="B54">
    <cfRule type="duplicateValues" dxfId="38692" priority="110625"/>
  </conditionalFormatting>
  <conditionalFormatting sqref="X45">
    <cfRule type="cellIs" dxfId="38691" priority="104475" operator="equal">
      <formula>"OFF"</formula>
    </cfRule>
    <cfRule type="cellIs" dxfId="38690" priority="104476" operator="equal">
      <formula>"PTO"</formula>
    </cfRule>
  </conditionalFormatting>
  <conditionalFormatting sqref="X45">
    <cfRule type="cellIs" dxfId="38689" priority="104473" operator="equal">
      <formula>"OFF"</formula>
    </cfRule>
    <cfRule type="cellIs" dxfId="38688" priority="104474" operator="equal">
      <formula>"PTO"</formula>
    </cfRule>
  </conditionalFormatting>
  <conditionalFormatting sqref="X45">
    <cfRule type="cellIs" dxfId="38687" priority="104471" operator="equal">
      <formula>"OFF"</formula>
    </cfRule>
    <cfRule type="cellIs" dxfId="38686" priority="104472" operator="equal">
      <formula>"PTO"</formula>
    </cfRule>
  </conditionalFormatting>
  <conditionalFormatting sqref="X45">
    <cfRule type="cellIs" dxfId="38685" priority="104465" operator="equal">
      <formula>"OFF"</formula>
    </cfRule>
    <cfRule type="cellIs" dxfId="38684" priority="104466" operator="equal">
      <formula>"PTO"</formula>
    </cfRule>
  </conditionalFormatting>
  <conditionalFormatting sqref="B45">
    <cfRule type="duplicateValues" dxfId="38683" priority="104574"/>
  </conditionalFormatting>
  <conditionalFormatting sqref="X45">
    <cfRule type="cellIs" dxfId="38682" priority="104572" operator="equal">
      <formula>"OFF"</formula>
    </cfRule>
    <cfRule type="cellIs" dxfId="38681" priority="104573" operator="equal">
      <formula>"PTO"</formula>
    </cfRule>
  </conditionalFormatting>
  <conditionalFormatting sqref="X45">
    <cfRule type="cellIs" dxfId="38680" priority="104566" operator="equal">
      <formula>"OFF"</formula>
    </cfRule>
    <cfRule type="cellIs" dxfId="38679" priority="104567" operator="equal">
      <formula>"PTO"</formula>
    </cfRule>
  </conditionalFormatting>
  <conditionalFormatting sqref="X45">
    <cfRule type="cellIs" dxfId="38678" priority="104564" operator="equal">
      <formula>"OFF"</formula>
    </cfRule>
    <cfRule type="cellIs" dxfId="38677" priority="104565" operator="equal">
      <formula>"PTO"</formula>
    </cfRule>
  </conditionalFormatting>
  <conditionalFormatting sqref="X45">
    <cfRule type="cellIs" dxfId="38676" priority="104562" operator="equal">
      <formula>"OFF"</formula>
    </cfRule>
    <cfRule type="cellIs" dxfId="38675" priority="104563" operator="equal">
      <formula>"PTO"</formula>
    </cfRule>
  </conditionalFormatting>
  <conditionalFormatting sqref="X45">
    <cfRule type="cellIs" dxfId="38674" priority="104560" operator="equal">
      <formula>"OFF"</formula>
    </cfRule>
    <cfRule type="cellIs" dxfId="38673" priority="104561" operator="equal">
      <formula>"PTO"</formula>
    </cfRule>
  </conditionalFormatting>
  <conditionalFormatting sqref="B44">
    <cfRule type="duplicateValues" dxfId="38672" priority="104559"/>
  </conditionalFormatting>
  <conditionalFormatting sqref="X44">
    <cfRule type="cellIs" dxfId="38671" priority="104557" operator="equal">
      <formula>"OFF"</formula>
    </cfRule>
    <cfRule type="cellIs" dxfId="38670" priority="104558" operator="equal">
      <formula>"PTO"</formula>
    </cfRule>
  </conditionalFormatting>
  <conditionalFormatting sqref="B45">
    <cfRule type="duplicateValues" dxfId="38669" priority="104556"/>
  </conditionalFormatting>
  <conditionalFormatting sqref="B45">
    <cfRule type="duplicateValues" dxfId="38668" priority="104555"/>
  </conditionalFormatting>
  <conditionalFormatting sqref="B45">
    <cfRule type="duplicateValues" dxfId="38667" priority="104554"/>
  </conditionalFormatting>
  <conditionalFormatting sqref="B45">
    <cfRule type="duplicateValues" dxfId="38666" priority="104551"/>
  </conditionalFormatting>
  <conditionalFormatting sqref="X45">
    <cfRule type="cellIs" dxfId="38665" priority="104549" operator="equal">
      <formula>"OFF"</formula>
    </cfRule>
    <cfRule type="cellIs" dxfId="38664" priority="104550" operator="equal">
      <formula>"PTO"</formula>
    </cfRule>
  </conditionalFormatting>
  <conditionalFormatting sqref="X45">
    <cfRule type="cellIs" dxfId="38663" priority="104547" operator="equal">
      <formula>"OFF"</formula>
    </cfRule>
    <cfRule type="cellIs" dxfId="38662" priority="104548" operator="equal">
      <formula>"PTO"</formula>
    </cfRule>
  </conditionalFormatting>
  <conditionalFormatting sqref="X45">
    <cfRule type="cellIs" dxfId="38661" priority="104545" operator="equal">
      <formula>"OFF"</formula>
    </cfRule>
    <cfRule type="cellIs" dxfId="38660" priority="104546" operator="equal">
      <formula>"PTO"</formula>
    </cfRule>
  </conditionalFormatting>
  <conditionalFormatting sqref="X45">
    <cfRule type="cellIs" dxfId="38659" priority="104543" operator="equal">
      <formula>"OFF"</formula>
    </cfRule>
    <cfRule type="cellIs" dxfId="38658" priority="104544" operator="equal">
      <formula>"PTO"</formula>
    </cfRule>
  </conditionalFormatting>
  <conditionalFormatting sqref="B45">
    <cfRule type="duplicateValues" dxfId="38657" priority="104542"/>
  </conditionalFormatting>
  <conditionalFormatting sqref="B45">
    <cfRule type="duplicateValues" dxfId="38656" priority="104541"/>
  </conditionalFormatting>
  <conditionalFormatting sqref="B45">
    <cfRule type="duplicateValues" dxfId="38655" priority="104540"/>
  </conditionalFormatting>
  <conditionalFormatting sqref="B45">
    <cfRule type="duplicateValues" dxfId="38654" priority="104539"/>
  </conditionalFormatting>
  <conditionalFormatting sqref="X45">
    <cfRule type="cellIs" dxfId="38653" priority="104537" operator="equal">
      <formula>"OFF"</formula>
    </cfRule>
    <cfRule type="cellIs" dxfId="38652" priority="104538" operator="equal">
      <formula>"PTO"</formula>
    </cfRule>
  </conditionalFormatting>
  <conditionalFormatting sqref="X45">
    <cfRule type="cellIs" dxfId="38651" priority="104535" operator="equal">
      <formula>"OFF"</formula>
    </cfRule>
    <cfRule type="cellIs" dxfId="38650" priority="104536" operator="equal">
      <formula>"PTO"</formula>
    </cfRule>
  </conditionalFormatting>
  <conditionalFormatting sqref="B45">
    <cfRule type="duplicateValues" dxfId="38649" priority="104534"/>
  </conditionalFormatting>
  <conditionalFormatting sqref="X45">
    <cfRule type="cellIs" dxfId="38648" priority="104532" operator="equal">
      <formula>"OFF"</formula>
    </cfRule>
    <cfRule type="cellIs" dxfId="38647" priority="104533" operator="equal">
      <formula>"PTO"</formula>
    </cfRule>
  </conditionalFormatting>
  <conditionalFormatting sqref="B45">
    <cfRule type="duplicateValues" dxfId="38646" priority="104531"/>
  </conditionalFormatting>
  <conditionalFormatting sqref="B45">
    <cfRule type="duplicateValues" dxfId="38645" priority="104530"/>
  </conditionalFormatting>
  <conditionalFormatting sqref="X45">
    <cfRule type="cellIs" dxfId="38644" priority="104528" operator="equal">
      <formula>"OFF"</formula>
    </cfRule>
    <cfRule type="cellIs" dxfId="38643" priority="104529" operator="equal">
      <formula>"PTO"</formula>
    </cfRule>
  </conditionalFormatting>
  <conditionalFormatting sqref="X45">
    <cfRule type="cellIs" dxfId="38642" priority="104526" operator="equal">
      <formula>"OFF"</formula>
    </cfRule>
    <cfRule type="cellIs" dxfId="38641" priority="104527" operator="equal">
      <formula>"PTO"</formula>
    </cfRule>
  </conditionalFormatting>
  <conditionalFormatting sqref="X45">
    <cfRule type="cellIs" dxfId="38640" priority="104524" operator="equal">
      <formula>"OFF"</formula>
    </cfRule>
    <cfRule type="cellIs" dxfId="38639" priority="104525" operator="equal">
      <formula>"PTO"</formula>
    </cfRule>
  </conditionalFormatting>
  <conditionalFormatting sqref="X45">
    <cfRule type="cellIs" dxfId="38638" priority="104522" operator="equal">
      <formula>"OFF"</formula>
    </cfRule>
    <cfRule type="cellIs" dxfId="38637" priority="104523" operator="equal">
      <formula>"PTO"</formula>
    </cfRule>
  </conditionalFormatting>
  <conditionalFormatting sqref="B45">
    <cfRule type="duplicateValues" dxfId="38636" priority="104521"/>
  </conditionalFormatting>
  <conditionalFormatting sqref="B45">
    <cfRule type="duplicateValues" dxfId="38635" priority="104520"/>
  </conditionalFormatting>
  <conditionalFormatting sqref="B45">
    <cfRule type="duplicateValues" dxfId="38634" priority="104519"/>
  </conditionalFormatting>
  <conditionalFormatting sqref="X45">
    <cfRule type="cellIs" dxfId="38633" priority="104517" operator="equal">
      <formula>"OFF"</formula>
    </cfRule>
    <cfRule type="cellIs" dxfId="38632" priority="104518" operator="equal">
      <formula>"PTO"</formula>
    </cfRule>
  </conditionalFormatting>
  <conditionalFormatting sqref="X45">
    <cfRule type="cellIs" dxfId="38631" priority="104515" operator="equal">
      <formula>"OFF"</formula>
    </cfRule>
    <cfRule type="cellIs" dxfId="38630" priority="104516" operator="equal">
      <formula>"PTO"</formula>
    </cfRule>
  </conditionalFormatting>
  <conditionalFormatting sqref="X45">
    <cfRule type="cellIs" dxfId="38629" priority="104513" operator="equal">
      <formula>"OFF"</formula>
    </cfRule>
    <cfRule type="cellIs" dxfId="38628" priority="104514" operator="equal">
      <formula>"PTO"</formula>
    </cfRule>
  </conditionalFormatting>
  <conditionalFormatting sqref="B45">
    <cfRule type="duplicateValues" dxfId="38627" priority="104512"/>
  </conditionalFormatting>
  <conditionalFormatting sqref="B45">
    <cfRule type="duplicateValues" dxfId="38626" priority="104511"/>
  </conditionalFormatting>
  <conditionalFormatting sqref="B45">
    <cfRule type="duplicateValues" dxfId="38625" priority="104510"/>
  </conditionalFormatting>
  <conditionalFormatting sqref="B45">
    <cfRule type="duplicateValues" dxfId="38624" priority="104509"/>
  </conditionalFormatting>
  <conditionalFormatting sqref="X45">
    <cfRule type="cellIs" dxfId="38623" priority="104507" operator="equal">
      <formula>"OFF"</formula>
    </cfRule>
    <cfRule type="cellIs" dxfId="38622" priority="104508" operator="equal">
      <formula>"PTO"</formula>
    </cfRule>
  </conditionalFormatting>
  <conditionalFormatting sqref="X45">
    <cfRule type="cellIs" dxfId="38621" priority="104505" operator="equal">
      <formula>"OFF"</formula>
    </cfRule>
    <cfRule type="cellIs" dxfId="38620" priority="104506" operator="equal">
      <formula>"PTO"</formula>
    </cfRule>
  </conditionalFormatting>
  <conditionalFormatting sqref="B45">
    <cfRule type="duplicateValues" dxfId="38619" priority="104504"/>
  </conditionalFormatting>
  <conditionalFormatting sqref="X45">
    <cfRule type="cellIs" dxfId="38618" priority="104502" operator="equal">
      <formula>"OFF"</formula>
    </cfRule>
    <cfRule type="cellIs" dxfId="38617" priority="104503" operator="equal">
      <formula>"PTO"</formula>
    </cfRule>
  </conditionalFormatting>
  <conditionalFormatting sqref="B45">
    <cfRule type="duplicateValues" dxfId="38616" priority="104501"/>
  </conditionalFormatting>
  <conditionalFormatting sqref="B45">
    <cfRule type="duplicateValues" dxfId="38615" priority="104500"/>
  </conditionalFormatting>
  <conditionalFormatting sqref="X45">
    <cfRule type="cellIs" dxfId="38614" priority="104498" operator="equal">
      <formula>"OFF"</formula>
    </cfRule>
    <cfRule type="cellIs" dxfId="38613" priority="104499" operator="equal">
      <formula>"PTO"</formula>
    </cfRule>
  </conditionalFormatting>
  <conditionalFormatting sqref="X45">
    <cfRule type="cellIs" dxfId="38612" priority="104496" operator="equal">
      <formula>"OFF"</formula>
    </cfRule>
    <cfRule type="cellIs" dxfId="38611" priority="104497" operator="equal">
      <formula>"PTO"</formula>
    </cfRule>
  </conditionalFormatting>
  <conditionalFormatting sqref="X45">
    <cfRule type="cellIs" dxfId="38610" priority="104494" operator="equal">
      <formula>"OFF"</formula>
    </cfRule>
    <cfRule type="cellIs" dxfId="38609" priority="104495" operator="equal">
      <formula>"PTO"</formula>
    </cfRule>
  </conditionalFormatting>
  <conditionalFormatting sqref="X45">
    <cfRule type="cellIs" dxfId="38608" priority="104492" operator="equal">
      <formula>"OFF"</formula>
    </cfRule>
    <cfRule type="cellIs" dxfId="38607" priority="104493" operator="equal">
      <formula>"PTO"</formula>
    </cfRule>
  </conditionalFormatting>
  <conditionalFormatting sqref="B45">
    <cfRule type="duplicateValues" dxfId="38606" priority="104491"/>
  </conditionalFormatting>
  <conditionalFormatting sqref="B45">
    <cfRule type="duplicateValues" dxfId="38605" priority="104490"/>
  </conditionalFormatting>
  <conditionalFormatting sqref="B45">
    <cfRule type="duplicateValues" dxfId="38604" priority="104489"/>
  </conditionalFormatting>
  <conditionalFormatting sqref="B45">
    <cfRule type="duplicateValues" dxfId="38603" priority="104488"/>
  </conditionalFormatting>
  <conditionalFormatting sqref="X45">
    <cfRule type="cellIs" dxfId="38602" priority="104486" operator="equal">
      <formula>"OFF"</formula>
    </cfRule>
    <cfRule type="cellIs" dxfId="38601" priority="104487" operator="equal">
      <formula>"PTO"</formula>
    </cfRule>
  </conditionalFormatting>
  <conditionalFormatting sqref="X45">
    <cfRule type="cellIs" dxfId="38600" priority="104484" operator="equal">
      <formula>"OFF"</formula>
    </cfRule>
    <cfRule type="cellIs" dxfId="38599" priority="104485" operator="equal">
      <formula>"PTO"</formula>
    </cfRule>
  </conditionalFormatting>
  <conditionalFormatting sqref="B45">
    <cfRule type="duplicateValues" dxfId="38598" priority="104483"/>
  </conditionalFormatting>
  <conditionalFormatting sqref="X45">
    <cfRule type="cellIs" dxfId="38597" priority="104481" operator="equal">
      <formula>"OFF"</formula>
    </cfRule>
    <cfRule type="cellIs" dxfId="38596" priority="104482" operator="equal">
      <formula>"PTO"</formula>
    </cfRule>
  </conditionalFormatting>
  <conditionalFormatting sqref="B45">
    <cfRule type="duplicateValues" dxfId="38595" priority="104480"/>
  </conditionalFormatting>
  <conditionalFormatting sqref="X45">
    <cfRule type="cellIs" dxfId="38594" priority="104478" operator="equal">
      <formula>"OFF"</formula>
    </cfRule>
    <cfRule type="cellIs" dxfId="38593" priority="104479" operator="equal">
      <formula>"PTO"</formula>
    </cfRule>
  </conditionalFormatting>
  <conditionalFormatting sqref="B45">
    <cfRule type="duplicateValues" dxfId="38592" priority="104477"/>
  </conditionalFormatting>
  <conditionalFormatting sqref="B45">
    <cfRule type="duplicateValues" dxfId="38591" priority="104470"/>
  </conditionalFormatting>
  <conditionalFormatting sqref="B45">
    <cfRule type="duplicateValues" dxfId="38590" priority="104469"/>
  </conditionalFormatting>
  <conditionalFormatting sqref="B45">
    <cfRule type="duplicateValues" dxfId="38589" priority="104468"/>
  </conditionalFormatting>
  <conditionalFormatting sqref="B45">
    <cfRule type="duplicateValues" dxfId="38588" priority="104467"/>
  </conditionalFormatting>
  <conditionalFormatting sqref="B45">
    <cfRule type="duplicateValues" dxfId="38587" priority="104464"/>
  </conditionalFormatting>
  <conditionalFormatting sqref="X45">
    <cfRule type="cellIs" dxfId="38586" priority="104462" operator="equal">
      <formula>"OFF"</formula>
    </cfRule>
    <cfRule type="cellIs" dxfId="38585" priority="104463" operator="equal">
      <formula>"PTO"</formula>
    </cfRule>
  </conditionalFormatting>
  <conditionalFormatting sqref="B45">
    <cfRule type="duplicateValues" dxfId="38584" priority="104461"/>
  </conditionalFormatting>
  <conditionalFormatting sqref="X46">
    <cfRule type="cellIs" dxfId="38583" priority="104351" operator="equal">
      <formula>"OFF"</formula>
    </cfRule>
    <cfRule type="cellIs" dxfId="38582" priority="104352" operator="equal">
      <formula>"PTO"</formula>
    </cfRule>
  </conditionalFormatting>
  <conditionalFormatting sqref="B43:B56">
    <cfRule type="duplicateValues" dxfId="38581" priority="104348"/>
  </conditionalFormatting>
  <conditionalFormatting sqref="X46">
    <cfRule type="cellIs" dxfId="38580" priority="104346" operator="equal">
      <formula>"OFF"</formula>
    </cfRule>
    <cfRule type="cellIs" dxfId="38579" priority="104347" operator="equal">
      <formula>"PTO"</formula>
    </cfRule>
  </conditionalFormatting>
  <conditionalFormatting sqref="B43:B56">
    <cfRule type="duplicateValues" dxfId="38578" priority="104345"/>
  </conditionalFormatting>
  <conditionalFormatting sqref="X46">
    <cfRule type="cellIs" dxfId="38577" priority="104343" operator="equal">
      <formula>"OFF"</formula>
    </cfRule>
    <cfRule type="cellIs" dxfId="38576" priority="104344" operator="equal">
      <formula>"PTO"</formula>
    </cfRule>
  </conditionalFormatting>
  <conditionalFormatting sqref="X46">
    <cfRule type="cellIs" dxfId="38575" priority="104341" operator="equal">
      <formula>"OFF"</formula>
    </cfRule>
    <cfRule type="cellIs" dxfId="38574" priority="104342" operator="equal">
      <formula>"PTO"</formula>
    </cfRule>
  </conditionalFormatting>
  <conditionalFormatting sqref="B43:B56">
    <cfRule type="duplicateValues" dxfId="38573" priority="104340"/>
  </conditionalFormatting>
  <conditionalFormatting sqref="X46">
    <cfRule type="cellIs" dxfId="38572" priority="104338" operator="equal">
      <formula>"OFF"</formula>
    </cfRule>
    <cfRule type="cellIs" dxfId="38571" priority="104339" operator="equal">
      <formula>"PTO"</formula>
    </cfRule>
  </conditionalFormatting>
  <conditionalFormatting sqref="B43:B56">
    <cfRule type="duplicateValues" dxfId="38570" priority="104337"/>
  </conditionalFormatting>
  <conditionalFormatting sqref="X46">
    <cfRule type="cellIs" dxfId="38569" priority="104327" operator="equal">
      <formula>"OFF"</formula>
    </cfRule>
    <cfRule type="cellIs" dxfId="38568" priority="104328" operator="equal">
      <formula>"PTO"</formula>
    </cfRule>
  </conditionalFormatting>
  <conditionalFormatting sqref="B43:B56">
    <cfRule type="duplicateValues" dxfId="38567" priority="104326"/>
  </conditionalFormatting>
  <conditionalFormatting sqref="X46">
    <cfRule type="cellIs" dxfId="38566" priority="104322" operator="equal">
      <formula>"OFF"</formula>
    </cfRule>
    <cfRule type="cellIs" dxfId="38565" priority="104323" operator="equal">
      <formula>"PTO"</formula>
    </cfRule>
  </conditionalFormatting>
  <conditionalFormatting sqref="X46">
    <cfRule type="cellIs" dxfId="38564" priority="104320" operator="equal">
      <formula>"OFF"</formula>
    </cfRule>
    <cfRule type="cellIs" dxfId="38563" priority="104321" operator="equal">
      <formula>"PTO"</formula>
    </cfRule>
  </conditionalFormatting>
  <conditionalFormatting sqref="X46">
    <cfRule type="cellIs" dxfId="38562" priority="104318" operator="equal">
      <formula>"OFF"</formula>
    </cfRule>
    <cfRule type="cellIs" dxfId="38561" priority="104319" operator="equal">
      <formula>"PTO"</formula>
    </cfRule>
  </conditionalFormatting>
  <conditionalFormatting sqref="B43:B56">
    <cfRule type="duplicateValues" dxfId="38560" priority="104317"/>
  </conditionalFormatting>
  <conditionalFormatting sqref="B43:B56">
    <cfRule type="duplicateValues" dxfId="38559" priority="104316"/>
  </conditionalFormatting>
  <conditionalFormatting sqref="B43:B56">
    <cfRule type="duplicateValues" dxfId="38558" priority="104315"/>
  </conditionalFormatting>
  <conditionalFormatting sqref="B43:B56">
    <cfRule type="duplicateValues" dxfId="38557" priority="104308"/>
  </conditionalFormatting>
  <conditionalFormatting sqref="X46">
    <cfRule type="cellIs" dxfId="38556" priority="104306" operator="equal">
      <formula>"OFF"</formula>
    </cfRule>
    <cfRule type="cellIs" dxfId="38555" priority="104307" operator="equal">
      <formula>"PTO"</formula>
    </cfRule>
  </conditionalFormatting>
  <conditionalFormatting sqref="X46">
    <cfRule type="cellIs" dxfId="38554" priority="104304" operator="equal">
      <formula>"OFF"</formula>
    </cfRule>
    <cfRule type="cellIs" dxfId="38553" priority="104305" operator="equal">
      <formula>"PTO"</formula>
    </cfRule>
  </conditionalFormatting>
  <conditionalFormatting sqref="B43:B56">
    <cfRule type="duplicateValues" dxfId="38552" priority="104303"/>
  </conditionalFormatting>
  <conditionalFormatting sqref="X46">
    <cfRule type="cellIs" dxfId="38551" priority="104301" operator="equal">
      <formula>"OFF"</formula>
    </cfRule>
    <cfRule type="cellIs" dxfId="38550" priority="104302" operator="equal">
      <formula>"PTO"</formula>
    </cfRule>
  </conditionalFormatting>
  <conditionalFormatting sqref="B43:B56">
    <cfRule type="duplicateValues" dxfId="38549" priority="104300"/>
  </conditionalFormatting>
  <conditionalFormatting sqref="X46">
    <cfRule type="cellIs" dxfId="38548" priority="104290" operator="equal">
      <formula>"OFF"</formula>
    </cfRule>
    <cfRule type="cellIs" dxfId="38547" priority="104291" operator="equal">
      <formula>"PTO"</formula>
    </cfRule>
  </conditionalFormatting>
  <conditionalFormatting sqref="B43:B56">
    <cfRule type="duplicateValues" dxfId="38546" priority="104289"/>
  </conditionalFormatting>
  <conditionalFormatting sqref="B43:B56">
    <cfRule type="duplicateValues" dxfId="38545" priority="104286"/>
  </conditionalFormatting>
  <conditionalFormatting sqref="X46">
    <cfRule type="cellIs" dxfId="38544" priority="104284" operator="equal">
      <formula>"OFF"</formula>
    </cfRule>
    <cfRule type="cellIs" dxfId="38543" priority="104285" operator="equal">
      <formula>"PTO"</formula>
    </cfRule>
  </conditionalFormatting>
  <conditionalFormatting sqref="X46">
    <cfRule type="cellIs" dxfId="38542" priority="104282" operator="equal">
      <formula>"OFF"</formula>
    </cfRule>
    <cfRule type="cellIs" dxfId="38541" priority="104283" operator="equal">
      <formula>"PTO"</formula>
    </cfRule>
  </conditionalFormatting>
  <conditionalFormatting sqref="B43:B56">
    <cfRule type="duplicateValues" dxfId="38540" priority="104281"/>
  </conditionalFormatting>
  <conditionalFormatting sqref="X46">
    <cfRule type="cellIs" dxfId="38539" priority="104279" operator="equal">
      <formula>"OFF"</formula>
    </cfRule>
    <cfRule type="cellIs" dxfId="38538" priority="104280" operator="equal">
      <formula>"PTO"</formula>
    </cfRule>
  </conditionalFormatting>
  <conditionalFormatting sqref="B43:B56">
    <cfRule type="duplicateValues" dxfId="38537" priority="104278"/>
  </conditionalFormatting>
  <conditionalFormatting sqref="X46">
    <cfRule type="cellIs" dxfId="38536" priority="104268" operator="equal">
      <formula>"OFF"</formula>
    </cfRule>
    <cfRule type="cellIs" dxfId="38535" priority="104269" operator="equal">
      <formula>"PTO"</formula>
    </cfRule>
  </conditionalFormatting>
  <conditionalFormatting sqref="B43:B56">
    <cfRule type="duplicateValues" dxfId="38534" priority="104267"/>
  </conditionalFormatting>
  <conditionalFormatting sqref="B43:B56">
    <cfRule type="duplicateValues" dxfId="38533" priority="104264"/>
  </conditionalFormatting>
  <conditionalFormatting sqref="X46">
    <cfRule type="cellIs" dxfId="38532" priority="104262" operator="equal">
      <formula>"OFF"</formula>
    </cfRule>
    <cfRule type="cellIs" dxfId="38531" priority="104263" operator="equal">
      <formula>"PTO"</formula>
    </cfRule>
  </conditionalFormatting>
  <conditionalFormatting sqref="B43:B56">
    <cfRule type="duplicateValues" dxfId="38530" priority="104261"/>
  </conditionalFormatting>
  <conditionalFormatting sqref="B43:B56">
    <cfRule type="duplicateValues" dxfId="38529" priority="104258"/>
  </conditionalFormatting>
  <conditionalFormatting sqref="X46">
    <cfRule type="cellIs" dxfId="38528" priority="104256" operator="equal">
      <formula>"OFF"</formula>
    </cfRule>
    <cfRule type="cellIs" dxfId="38527" priority="104257" operator="equal">
      <formula>"PTO"</formula>
    </cfRule>
  </conditionalFormatting>
  <conditionalFormatting sqref="X46">
    <cfRule type="cellIs" dxfId="38526" priority="104254" operator="equal">
      <formula>"OFF"</formula>
    </cfRule>
    <cfRule type="cellIs" dxfId="38525" priority="104255" operator="equal">
      <formula>"PTO"</formula>
    </cfRule>
  </conditionalFormatting>
  <conditionalFormatting sqref="B43:B56">
    <cfRule type="duplicateValues" dxfId="38524" priority="104253"/>
  </conditionalFormatting>
  <conditionalFormatting sqref="X46">
    <cfRule type="cellIs" dxfId="38523" priority="104251" operator="equal">
      <formula>"OFF"</formula>
    </cfRule>
    <cfRule type="cellIs" dxfId="38522" priority="104252" operator="equal">
      <formula>"PTO"</formula>
    </cfRule>
  </conditionalFormatting>
  <conditionalFormatting sqref="B43:B56">
    <cfRule type="duplicateValues" dxfId="38521" priority="104250"/>
  </conditionalFormatting>
  <conditionalFormatting sqref="X46">
    <cfRule type="cellIs" dxfId="38520" priority="104240" operator="equal">
      <formula>"OFF"</formula>
    </cfRule>
    <cfRule type="cellIs" dxfId="38519" priority="104241" operator="equal">
      <formula>"PTO"</formula>
    </cfRule>
  </conditionalFormatting>
  <conditionalFormatting sqref="B43:B56">
    <cfRule type="duplicateValues" dxfId="38518" priority="104239"/>
  </conditionalFormatting>
  <conditionalFormatting sqref="X46">
    <cfRule type="cellIs" dxfId="38517" priority="104235" operator="equal">
      <formula>"OFF"</formula>
    </cfRule>
    <cfRule type="cellIs" dxfId="38516" priority="104236" operator="equal">
      <formula>"PTO"</formula>
    </cfRule>
  </conditionalFormatting>
  <conditionalFormatting sqref="B43:B56">
    <cfRule type="duplicateValues" dxfId="38515" priority="104234"/>
  </conditionalFormatting>
  <conditionalFormatting sqref="B43:B56">
    <cfRule type="duplicateValues" dxfId="38514" priority="104231"/>
  </conditionalFormatting>
  <conditionalFormatting sqref="B47:B50">
    <cfRule type="duplicateValues" dxfId="38513" priority="104074"/>
  </conditionalFormatting>
  <conditionalFormatting sqref="B47:B50">
    <cfRule type="duplicateValues" dxfId="38512" priority="104073"/>
  </conditionalFormatting>
  <conditionalFormatting sqref="X51:X53">
    <cfRule type="cellIs" dxfId="38511" priority="104069" operator="equal">
      <formula>"OFF"</formula>
    </cfRule>
    <cfRule type="cellIs" dxfId="38510" priority="104070" operator="equal">
      <formula>"PTO"</formula>
    </cfRule>
  </conditionalFormatting>
  <conditionalFormatting sqref="X47">
    <cfRule type="cellIs" dxfId="38509" priority="104067" operator="equal">
      <formula>"OFF"</formula>
    </cfRule>
    <cfRule type="cellIs" dxfId="38508" priority="104068" operator="equal">
      <formula>"PTO"</formula>
    </cfRule>
  </conditionalFormatting>
  <conditionalFormatting sqref="B47">
    <cfRule type="duplicateValues" dxfId="38507" priority="104066"/>
  </conditionalFormatting>
  <conditionalFormatting sqref="B48">
    <cfRule type="duplicateValues" dxfId="38506" priority="104063"/>
  </conditionalFormatting>
  <conditionalFormatting sqref="B48">
    <cfRule type="duplicateValues" dxfId="38505" priority="104062"/>
  </conditionalFormatting>
  <conditionalFormatting sqref="B51">
    <cfRule type="duplicateValues" dxfId="38504" priority="104021"/>
  </conditionalFormatting>
  <conditionalFormatting sqref="B51:B53">
    <cfRule type="duplicateValues" dxfId="38503" priority="103906"/>
  </conditionalFormatting>
  <conditionalFormatting sqref="B54">
    <cfRule type="duplicateValues" dxfId="38502" priority="103795"/>
  </conditionalFormatting>
  <conditionalFormatting sqref="X78">
    <cfRule type="cellIs" dxfId="38501" priority="101474" operator="equal">
      <formula>"OFF"</formula>
    </cfRule>
    <cfRule type="cellIs" dxfId="38500" priority="101475" operator="equal">
      <formula>"PTO"</formula>
    </cfRule>
  </conditionalFormatting>
  <conditionalFormatting sqref="X77">
    <cfRule type="cellIs" dxfId="38499" priority="101472" operator="equal">
      <formula>"OFF"</formula>
    </cfRule>
    <cfRule type="cellIs" dxfId="38498" priority="101473" operator="equal">
      <formula>"PTO"</formula>
    </cfRule>
  </conditionalFormatting>
  <conditionalFormatting sqref="X77">
    <cfRule type="cellIs" dxfId="38497" priority="101470" operator="equal">
      <formula>"OFF"</formula>
    </cfRule>
    <cfRule type="cellIs" dxfId="38496" priority="101471" operator="equal">
      <formula>"PTO"</formula>
    </cfRule>
  </conditionalFormatting>
  <conditionalFormatting sqref="X77">
    <cfRule type="cellIs" dxfId="38495" priority="101468" operator="equal">
      <formula>"OFF"</formula>
    </cfRule>
    <cfRule type="cellIs" dxfId="38494" priority="101469" operator="equal">
      <formula>"PTO"</formula>
    </cfRule>
  </conditionalFormatting>
  <conditionalFormatting sqref="X78">
    <cfRule type="cellIs" dxfId="38493" priority="101506" operator="equal">
      <formula>"OFF"</formula>
    </cfRule>
    <cfRule type="cellIs" dxfId="38492" priority="101507" operator="equal">
      <formula>"PTO"</formula>
    </cfRule>
  </conditionalFormatting>
  <conditionalFormatting sqref="X78">
    <cfRule type="cellIs" dxfId="38491" priority="101504" operator="equal">
      <formula>"OFF"</formula>
    </cfRule>
    <cfRule type="cellIs" dxfId="38490" priority="101505" operator="equal">
      <formula>"PTO"</formula>
    </cfRule>
  </conditionalFormatting>
  <conditionalFormatting sqref="X78">
    <cfRule type="cellIs" dxfId="38489" priority="101502" operator="equal">
      <formula>"OFF"</formula>
    </cfRule>
    <cfRule type="cellIs" dxfId="38488" priority="101503" operator="equal">
      <formula>"PTO"</formula>
    </cfRule>
  </conditionalFormatting>
  <conditionalFormatting sqref="X78">
    <cfRule type="cellIs" dxfId="38487" priority="101500" operator="equal">
      <formula>"OFF"</formula>
    </cfRule>
    <cfRule type="cellIs" dxfId="38486" priority="101501" operator="equal">
      <formula>"PTO"</formula>
    </cfRule>
  </conditionalFormatting>
  <conditionalFormatting sqref="X78">
    <cfRule type="cellIs" dxfId="38485" priority="101498" operator="equal">
      <formula>"OFF"</formula>
    </cfRule>
    <cfRule type="cellIs" dxfId="38484" priority="101499" operator="equal">
      <formula>"PTO"</formula>
    </cfRule>
  </conditionalFormatting>
  <conditionalFormatting sqref="X78">
    <cfRule type="cellIs" dxfId="38483" priority="101496" operator="equal">
      <formula>"OFF"</formula>
    </cfRule>
    <cfRule type="cellIs" dxfId="38482" priority="101497" operator="equal">
      <formula>"PTO"</formula>
    </cfRule>
  </conditionalFormatting>
  <conditionalFormatting sqref="X78">
    <cfRule type="cellIs" dxfId="38481" priority="101492" operator="equal">
      <formula>"OFF"</formula>
    </cfRule>
    <cfRule type="cellIs" dxfId="38480" priority="101493" operator="equal">
      <formula>"PTO"</formula>
    </cfRule>
  </conditionalFormatting>
  <conditionalFormatting sqref="X78">
    <cfRule type="cellIs" dxfId="38479" priority="101484" operator="equal">
      <formula>"OFF"</formula>
    </cfRule>
    <cfRule type="cellIs" dxfId="38478" priority="101485" operator="equal">
      <formula>"PTO"</formula>
    </cfRule>
  </conditionalFormatting>
  <conditionalFormatting sqref="X78">
    <cfRule type="cellIs" dxfId="38477" priority="101482" operator="equal">
      <formula>"OFF"</formula>
    </cfRule>
    <cfRule type="cellIs" dxfId="38476" priority="101483" operator="equal">
      <formula>"PTO"</formula>
    </cfRule>
  </conditionalFormatting>
  <conditionalFormatting sqref="X78">
    <cfRule type="cellIs" dxfId="38475" priority="101480" operator="equal">
      <formula>"OFF"</formula>
    </cfRule>
    <cfRule type="cellIs" dxfId="38474" priority="101481" operator="equal">
      <formula>"PTO"</formula>
    </cfRule>
  </conditionalFormatting>
  <conditionalFormatting sqref="X78">
    <cfRule type="cellIs" dxfId="38473" priority="101478" operator="equal">
      <formula>"OFF"</formula>
    </cfRule>
    <cfRule type="cellIs" dxfId="38472" priority="101479" operator="equal">
      <formula>"PTO"</formula>
    </cfRule>
  </conditionalFormatting>
  <conditionalFormatting sqref="X78">
    <cfRule type="cellIs" dxfId="38471" priority="101476" operator="equal">
      <formula>"OFF"</formula>
    </cfRule>
    <cfRule type="cellIs" dxfId="38470" priority="101477" operator="equal">
      <formula>"PTO"</formula>
    </cfRule>
  </conditionalFormatting>
  <conditionalFormatting sqref="X79">
    <cfRule type="cellIs" dxfId="38469" priority="100134" operator="equal">
      <formula>"OFF"</formula>
    </cfRule>
    <cfRule type="cellIs" dxfId="38468" priority="100135" operator="equal">
      <formula>"PTO"</formula>
    </cfRule>
  </conditionalFormatting>
  <conditionalFormatting sqref="X80">
    <cfRule type="cellIs" dxfId="38467" priority="100132" operator="equal">
      <formula>"OFF"</formula>
    </cfRule>
    <cfRule type="cellIs" dxfId="38466" priority="100133" operator="equal">
      <formula>"PTO"</formula>
    </cfRule>
  </conditionalFormatting>
  <conditionalFormatting sqref="X80">
    <cfRule type="cellIs" dxfId="38465" priority="100130" operator="equal">
      <formula>"OFF"</formula>
    </cfRule>
    <cfRule type="cellIs" dxfId="38464" priority="100131" operator="equal">
      <formula>"PTO"</formula>
    </cfRule>
  </conditionalFormatting>
  <conditionalFormatting sqref="X80">
    <cfRule type="cellIs" dxfId="38463" priority="100128" operator="equal">
      <formula>"OFF"</formula>
    </cfRule>
    <cfRule type="cellIs" dxfId="38462" priority="100129" operator="equal">
      <formula>"PTO"</formula>
    </cfRule>
  </conditionalFormatting>
  <conditionalFormatting sqref="X79">
    <cfRule type="cellIs" dxfId="38461" priority="100126" operator="equal">
      <formula>"OFF"</formula>
    </cfRule>
    <cfRule type="cellIs" dxfId="38460" priority="100127" operator="equal">
      <formula>"PTO"</formula>
    </cfRule>
  </conditionalFormatting>
  <conditionalFormatting sqref="X79">
    <cfRule type="cellIs" dxfId="38459" priority="100124" operator="equal">
      <formula>"OFF"</formula>
    </cfRule>
    <cfRule type="cellIs" dxfId="38458" priority="100125" operator="equal">
      <formula>"PTO"</formula>
    </cfRule>
  </conditionalFormatting>
  <conditionalFormatting sqref="X79">
    <cfRule type="cellIs" dxfId="38457" priority="100122" operator="equal">
      <formula>"OFF"</formula>
    </cfRule>
    <cfRule type="cellIs" dxfId="38456" priority="100123" operator="equal">
      <formula>"PTO"</formula>
    </cfRule>
  </conditionalFormatting>
  <conditionalFormatting sqref="X79">
    <cfRule type="cellIs" dxfId="38455" priority="100120" operator="equal">
      <formula>"OFF"</formula>
    </cfRule>
    <cfRule type="cellIs" dxfId="38454" priority="100121" operator="equal">
      <formula>"PTO"</formula>
    </cfRule>
  </conditionalFormatting>
  <conditionalFormatting sqref="X79">
    <cfRule type="cellIs" dxfId="38453" priority="100118" operator="equal">
      <formula>"OFF"</formula>
    </cfRule>
    <cfRule type="cellIs" dxfId="38452" priority="100119" operator="equal">
      <formula>"PTO"</formula>
    </cfRule>
  </conditionalFormatting>
  <conditionalFormatting sqref="X79">
    <cfRule type="cellIs" dxfId="38451" priority="100116" operator="equal">
      <formula>"OFF"</formula>
    </cfRule>
    <cfRule type="cellIs" dxfId="38450" priority="100117" operator="equal">
      <formula>"PTO"</formula>
    </cfRule>
  </conditionalFormatting>
  <conditionalFormatting sqref="X79">
    <cfRule type="cellIs" dxfId="38449" priority="100114" operator="equal">
      <formula>"OFF"</formula>
    </cfRule>
    <cfRule type="cellIs" dxfId="38448" priority="100115" operator="equal">
      <formula>"PTO"</formula>
    </cfRule>
  </conditionalFormatting>
  <conditionalFormatting sqref="X79">
    <cfRule type="cellIs" dxfId="38447" priority="100112" operator="equal">
      <formula>"OFF"</formula>
    </cfRule>
    <cfRule type="cellIs" dxfId="38446" priority="100113" operator="equal">
      <formula>"PTO"</formula>
    </cfRule>
  </conditionalFormatting>
  <conditionalFormatting sqref="X79">
    <cfRule type="cellIs" dxfId="38445" priority="100110" operator="equal">
      <formula>"OFF"</formula>
    </cfRule>
    <cfRule type="cellIs" dxfId="38444" priority="100111" operator="equal">
      <formula>"PTO"</formula>
    </cfRule>
  </conditionalFormatting>
  <conditionalFormatting sqref="X84:X85 X87">
    <cfRule type="cellIs" dxfId="38443" priority="99876" operator="equal">
      <formula>"OFF"</formula>
    </cfRule>
    <cfRule type="cellIs" dxfId="38442" priority="99877" operator="equal">
      <formula>"PTO"</formula>
    </cfRule>
  </conditionalFormatting>
  <conditionalFormatting sqref="X87">
    <cfRule type="cellIs" dxfId="38441" priority="99874" operator="equal">
      <formula>"OFF"</formula>
    </cfRule>
    <cfRule type="cellIs" dxfId="38440" priority="99875" operator="equal">
      <formula>"PTO"</formula>
    </cfRule>
  </conditionalFormatting>
  <conditionalFormatting sqref="X84:X85 X87">
    <cfRule type="cellIs" dxfId="38439" priority="99872" operator="equal">
      <formula>"OFF"</formula>
    </cfRule>
    <cfRule type="cellIs" dxfId="38438" priority="99873" operator="equal">
      <formula>"PTO"</formula>
    </cfRule>
  </conditionalFormatting>
  <conditionalFormatting sqref="X85">
    <cfRule type="cellIs" dxfId="38437" priority="99870" operator="equal">
      <formula>"OFF"</formula>
    </cfRule>
    <cfRule type="cellIs" dxfId="38436" priority="99871" operator="equal">
      <formula>"PTO"</formula>
    </cfRule>
  </conditionalFormatting>
  <conditionalFormatting sqref="X88:X89">
    <cfRule type="cellIs" dxfId="38435" priority="98899" operator="equal">
      <formula>"OFF"</formula>
    </cfRule>
    <cfRule type="cellIs" dxfId="38434" priority="98900" operator="equal">
      <formula>"PTO"</formula>
    </cfRule>
  </conditionalFormatting>
  <conditionalFormatting sqref="X88:X89">
    <cfRule type="cellIs" dxfId="38433" priority="98895" operator="equal">
      <formula>"OFF"</formula>
    </cfRule>
    <cfRule type="cellIs" dxfId="38432" priority="98896" operator="equal">
      <formula>"PTO"</formula>
    </cfRule>
  </conditionalFormatting>
  <conditionalFormatting sqref="X88:X89">
    <cfRule type="cellIs" dxfId="38431" priority="98886" operator="equal">
      <formula>"OFF"</formula>
    </cfRule>
    <cfRule type="cellIs" dxfId="38430" priority="98887" operator="equal">
      <formula>"PTO"</formula>
    </cfRule>
  </conditionalFormatting>
  <conditionalFormatting sqref="B128:B131">
    <cfRule type="duplicateValues" dxfId="38429" priority="89762"/>
  </conditionalFormatting>
  <conditionalFormatting sqref="X128:X131">
    <cfRule type="cellIs" dxfId="38428" priority="89760" operator="equal">
      <formula>"OFF"</formula>
    </cfRule>
    <cfRule type="cellIs" dxfId="38427" priority="89761" operator="equal">
      <formula>"PTO"</formula>
    </cfRule>
  </conditionalFormatting>
  <conditionalFormatting sqref="X128:X131">
    <cfRule type="cellIs" dxfId="38426" priority="89758" operator="equal">
      <formula>"OFF"</formula>
    </cfRule>
    <cfRule type="cellIs" dxfId="38425" priority="89759" operator="equal">
      <formula>"PTO"</formula>
    </cfRule>
  </conditionalFormatting>
  <conditionalFormatting sqref="X128:X131">
    <cfRule type="cellIs" dxfId="38424" priority="89756" operator="equal">
      <formula>"OFF"</formula>
    </cfRule>
    <cfRule type="cellIs" dxfId="38423" priority="89757" operator="equal">
      <formula>"PTO"</formula>
    </cfRule>
  </conditionalFormatting>
  <conditionalFormatting sqref="X128:X131">
    <cfRule type="cellIs" dxfId="38422" priority="89754" operator="equal">
      <formula>"OFF"</formula>
    </cfRule>
    <cfRule type="cellIs" dxfId="38421" priority="89755" operator="equal">
      <formula>"PTO"</formula>
    </cfRule>
  </conditionalFormatting>
  <conditionalFormatting sqref="X128:X131">
    <cfRule type="cellIs" dxfId="38420" priority="89752" operator="equal">
      <formula>"OFF"</formula>
    </cfRule>
    <cfRule type="cellIs" dxfId="38419" priority="89753" operator="equal">
      <formula>"PTO"</formula>
    </cfRule>
  </conditionalFormatting>
  <conditionalFormatting sqref="X128:X131">
    <cfRule type="cellIs" dxfId="38418" priority="89750" operator="equal">
      <formula>"OFF"</formula>
    </cfRule>
    <cfRule type="cellIs" dxfId="38417" priority="89751" operator="equal">
      <formula>"PTO"</formula>
    </cfRule>
  </conditionalFormatting>
  <conditionalFormatting sqref="X128:X131">
    <cfRule type="cellIs" dxfId="38416" priority="89748" operator="equal">
      <formula>"OFF"</formula>
    </cfRule>
    <cfRule type="cellIs" dxfId="38415" priority="89749" operator="equal">
      <formula>"PTO"</formula>
    </cfRule>
  </conditionalFormatting>
  <conditionalFormatting sqref="X128:X131">
    <cfRule type="cellIs" dxfId="38414" priority="89746" operator="equal">
      <formula>"OFF"</formula>
    </cfRule>
    <cfRule type="cellIs" dxfId="38413" priority="89747" operator="equal">
      <formula>"PTO"</formula>
    </cfRule>
  </conditionalFormatting>
  <conditionalFormatting sqref="X128:X131">
    <cfRule type="cellIs" dxfId="38412" priority="89744" operator="equal">
      <formula>"OFF"</formula>
    </cfRule>
    <cfRule type="cellIs" dxfId="38411" priority="89745" operator="equal">
      <formula>"PTO"</formula>
    </cfRule>
  </conditionalFormatting>
  <conditionalFormatting sqref="X128:X131">
    <cfRule type="cellIs" dxfId="38410" priority="89742" operator="equal">
      <formula>"OFF"</formula>
    </cfRule>
    <cfRule type="cellIs" dxfId="38409" priority="89743" operator="equal">
      <formula>"PTO"</formula>
    </cfRule>
  </conditionalFormatting>
  <conditionalFormatting sqref="X128:X131">
    <cfRule type="cellIs" dxfId="38408" priority="89740" operator="equal">
      <formula>"OFF"</formula>
    </cfRule>
    <cfRule type="cellIs" dxfId="38407" priority="89741" operator="equal">
      <formula>"PTO"</formula>
    </cfRule>
  </conditionalFormatting>
  <conditionalFormatting sqref="X128:X131">
    <cfRule type="cellIs" dxfId="38406" priority="89738" operator="equal">
      <formula>"OFF"</formula>
    </cfRule>
    <cfRule type="cellIs" dxfId="38405" priority="89739" operator="equal">
      <formula>"PTO"</formula>
    </cfRule>
  </conditionalFormatting>
  <conditionalFormatting sqref="X128:X131">
    <cfRule type="cellIs" dxfId="38404" priority="89736" operator="equal">
      <formula>"OFF"</formula>
    </cfRule>
    <cfRule type="cellIs" dxfId="38403" priority="89737" operator="equal">
      <formula>"PTO"</formula>
    </cfRule>
  </conditionalFormatting>
  <conditionalFormatting sqref="X128:X131">
    <cfRule type="cellIs" dxfId="38402" priority="89734" operator="equal">
      <formula>"OFF"</formula>
    </cfRule>
    <cfRule type="cellIs" dxfId="38401" priority="89735" operator="equal">
      <formula>"PTO"</formula>
    </cfRule>
  </conditionalFormatting>
  <conditionalFormatting sqref="X128:X131">
    <cfRule type="cellIs" dxfId="38400" priority="89732" operator="equal">
      <formula>"OFF"</formula>
    </cfRule>
    <cfRule type="cellIs" dxfId="38399" priority="89733" operator="equal">
      <formula>"PTO"</formula>
    </cfRule>
  </conditionalFormatting>
  <conditionalFormatting sqref="X128:X131">
    <cfRule type="cellIs" dxfId="38398" priority="89730" operator="equal">
      <formula>"OFF"</formula>
    </cfRule>
    <cfRule type="cellIs" dxfId="38397" priority="89731" operator="equal">
      <formula>"PTO"</formula>
    </cfRule>
  </conditionalFormatting>
  <conditionalFormatting sqref="X128:X131">
    <cfRule type="cellIs" dxfId="38396" priority="89728" operator="equal">
      <formula>"OFF"</formula>
    </cfRule>
    <cfRule type="cellIs" dxfId="38395" priority="89729" operator="equal">
      <formula>"PTO"</formula>
    </cfRule>
  </conditionalFormatting>
  <conditionalFormatting sqref="X128:X131">
    <cfRule type="cellIs" dxfId="38394" priority="89726" operator="equal">
      <formula>"OFF"</formula>
    </cfRule>
    <cfRule type="cellIs" dxfId="38393" priority="89727" operator="equal">
      <formula>"PTO"</formula>
    </cfRule>
  </conditionalFormatting>
  <conditionalFormatting sqref="X128:X131">
    <cfRule type="cellIs" dxfId="38392" priority="89724" operator="equal">
      <formula>"OFF"</formula>
    </cfRule>
    <cfRule type="cellIs" dxfId="38391" priority="89725" operator="equal">
      <formula>"PTO"</formula>
    </cfRule>
  </conditionalFormatting>
  <conditionalFormatting sqref="X128:X131">
    <cfRule type="cellIs" dxfId="38390" priority="89722" operator="equal">
      <formula>"OFF"</formula>
    </cfRule>
    <cfRule type="cellIs" dxfId="38389" priority="89723" operator="equal">
      <formula>"PTO"</formula>
    </cfRule>
  </conditionalFormatting>
  <conditionalFormatting sqref="X128:X131">
    <cfRule type="cellIs" dxfId="38388" priority="89720" operator="equal">
      <formula>"OFF"</formula>
    </cfRule>
    <cfRule type="cellIs" dxfId="38387" priority="89721" operator="equal">
      <formula>"PTO"</formula>
    </cfRule>
  </conditionalFormatting>
  <conditionalFormatting sqref="X128:X131">
    <cfRule type="cellIs" dxfId="38386" priority="89718" operator="equal">
      <formula>"OFF"</formula>
    </cfRule>
    <cfRule type="cellIs" dxfId="38385" priority="89719" operator="equal">
      <formula>"PTO"</formula>
    </cfRule>
  </conditionalFormatting>
  <conditionalFormatting sqref="Y128:Y132">
    <cfRule type="cellIs" dxfId="38384" priority="87794" operator="equal">
      <formula>"OFF"</formula>
    </cfRule>
    <cfRule type="cellIs" dxfId="38383" priority="87795" operator="equal">
      <formula>"PTO"</formula>
    </cfRule>
  </conditionalFormatting>
  <conditionalFormatting sqref="Y128:Y132">
    <cfRule type="cellIs" dxfId="38382" priority="87792" operator="equal">
      <formula>"OFF"</formula>
    </cfRule>
    <cfRule type="cellIs" dxfId="38381" priority="87793" operator="equal">
      <formula>"PTO"</formula>
    </cfRule>
  </conditionalFormatting>
  <conditionalFormatting sqref="Y128:Y132">
    <cfRule type="cellIs" dxfId="38380" priority="87790" operator="equal">
      <formula>"OFF"</formula>
    </cfRule>
    <cfRule type="cellIs" dxfId="38379" priority="87791" operator="equal">
      <formula>"PTO"</formula>
    </cfRule>
  </conditionalFormatting>
  <conditionalFormatting sqref="Y128:Y132">
    <cfRule type="cellIs" dxfId="38378" priority="87788" operator="equal">
      <formula>"OFF"</formula>
    </cfRule>
    <cfRule type="cellIs" dxfId="38377" priority="87789" operator="equal">
      <formula>"PTO"</formula>
    </cfRule>
  </conditionalFormatting>
  <conditionalFormatting sqref="Y128:Y132">
    <cfRule type="cellIs" dxfId="38376" priority="87786" operator="equal">
      <formula>"OFF"</formula>
    </cfRule>
    <cfRule type="cellIs" dxfId="38375" priority="87787" operator="equal">
      <formula>"PTO"</formula>
    </cfRule>
  </conditionalFormatting>
  <conditionalFormatting sqref="Y128:Y132">
    <cfRule type="cellIs" dxfId="38374" priority="87784" operator="equal">
      <formula>"OFF"</formula>
    </cfRule>
    <cfRule type="cellIs" dxfId="38373" priority="87785" operator="equal">
      <formula>"PTO"</formula>
    </cfRule>
  </conditionalFormatting>
  <conditionalFormatting sqref="Y128:Y132">
    <cfRule type="cellIs" dxfId="38372" priority="87782" operator="equal">
      <formula>"OFF"</formula>
    </cfRule>
    <cfRule type="cellIs" dxfId="38371" priority="87783" operator="equal">
      <formula>"PTO"</formula>
    </cfRule>
  </conditionalFormatting>
  <conditionalFormatting sqref="Y128:Y132">
    <cfRule type="cellIs" dxfId="38370" priority="87780" operator="equal">
      <formula>"OFF"</formula>
    </cfRule>
    <cfRule type="cellIs" dxfId="38369" priority="87781" operator="equal">
      <formula>"PTO"</formula>
    </cfRule>
  </conditionalFormatting>
  <conditionalFormatting sqref="Y128:Y132">
    <cfRule type="cellIs" dxfId="38368" priority="87778" operator="equal">
      <formula>"OFF"</formula>
    </cfRule>
    <cfRule type="cellIs" dxfId="38367" priority="87779" operator="equal">
      <formula>"PTO"</formula>
    </cfRule>
  </conditionalFormatting>
  <conditionalFormatting sqref="Y128:Y132">
    <cfRule type="cellIs" dxfId="38366" priority="87776" operator="equal">
      <formula>"OFF"</formula>
    </cfRule>
    <cfRule type="cellIs" dxfId="38365" priority="87777" operator="equal">
      <formula>"PTO"</formula>
    </cfRule>
  </conditionalFormatting>
  <conditionalFormatting sqref="Y128:Y132">
    <cfRule type="cellIs" dxfId="38364" priority="87774" operator="equal">
      <formula>"OFF"</formula>
    </cfRule>
    <cfRule type="cellIs" dxfId="38363" priority="87775" operator="equal">
      <formula>"PTO"</formula>
    </cfRule>
  </conditionalFormatting>
  <conditionalFormatting sqref="Y128:Y132">
    <cfRule type="cellIs" dxfId="38362" priority="87772" operator="equal">
      <formula>"OFF"</formula>
    </cfRule>
    <cfRule type="cellIs" dxfId="38361" priority="87773" operator="equal">
      <formula>"PTO"</formula>
    </cfRule>
  </conditionalFormatting>
  <conditionalFormatting sqref="Y128:Y132">
    <cfRule type="cellIs" dxfId="38360" priority="87770" operator="equal">
      <formula>"OFF"</formula>
    </cfRule>
    <cfRule type="cellIs" dxfId="38359" priority="87771" operator="equal">
      <formula>"PTO"</formula>
    </cfRule>
  </conditionalFormatting>
  <conditionalFormatting sqref="Y128:Y132">
    <cfRule type="cellIs" dxfId="38358" priority="87768" operator="equal">
      <formula>"OFF"</formula>
    </cfRule>
    <cfRule type="cellIs" dxfId="38357" priority="87769" operator="equal">
      <formula>"PTO"</formula>
    </cfRule>
  </conditionalFormatting>
  <conditionalFormatting sqref="Y128:Y132">
    <cfRule type="cellIs" dxfId="38356" priority="87766" operator="equal">
      <formula>"OFF"</formula>
    </cfRule>
    <cfRule type="cellIs" dxfId="38355" priority="87767" operator="equal">
      <formula>"PTO"</formula>
    </cfRule>
  </conditionalFormatting>
  <conditionalFormatting sqref="Y128:Y132">
    <cfRule type="cellIs" dxfId="38354" priority="87764" operator="equal">
      <formula>"OFF"</formula>
    </cfRule>
    <cfRule type="cellIs" dxfId="38353" priority="87765" operator="equal">
      <formula>"PTO"</formula>
    </cfRule>
  </conditionalFormatting>
  <conditionalFormatting sqref="Y128:Y132">
    <cfRule type="cellIs" dxfId="38352" priority="87762" operator="equal">
      <formula>"OFF"</formula>
    </cfRule>
    <cfRule type="cellIs" dxfId="38351" priority="87763" operator="equal">
      <formula>"PTO"</formula>
    </cfRule>
  </conditionalFormatting>
  <conditionalFormatting sqref="Y128:Y132">
    <cfRule type="cellIs" dxfId="38350" priority="87760" operator="equal">
      <formula>"OFF"</formula>
    </cfRule>
    <cfRule type="cellIs" dxfId="38349" priority="87761" operator="equal">
      <formula>"PTO"</formula>
    </cfRule>
  </conditionalFormatting>
  <conditionalFormatting sqref="Y128:Y132">
    <cfRule type="cellIs" dxfId="38348" priority="87758" operator="equal">
      <formula>"OFF"</formula>
    </cfRule>
    <cfRule type="cellIs" dxfId="38347" priority="87759" operator="equal">
      <formula>"PTO"</formula>
    </cfRule>
  </conditionalFormatting>
  <conditionalFormatting sqref="Y128:Y132">
    <cfRule type="cellIs" dxfId="38346" priority="87756" operator="equal">
      <formula>"OFF"</formula>
    </cfRule>
    <cfRule type="cellIs" dxfId="38345" priority="87757" operator="equal">
      <formula>"PTO"</formula>
    </cfRule>
  </conditionalFormatting>
  <conditionalFormatting sqref="C128:C131 I128:I131">
    <cfRule type="cellIs" dxfId="38344" priority="76170" operator="equal">
      <formula>"OFF"</formula>
    </cfRule>
    <cfRule type="cellIs" dxfId="38343" priority="76171" operator="equal">
      <formula>"PTO"</formula>
    </cfRule>
  </conditionalFormatting>
  <conditionalFormatting sqref="W22:W31 Q39 W33:W39">
    <cfRule type="cellIs" dxfId="38342" priority="76322" operator="equal">
      <formula>"OFF"</formula>
    </cfRule>
    <cfRule type="cellIs" dxfId="38341" priority="76323" operator="equal">
      <formula>"PTO"</formula>
    </cfRule>
  </conditionalFormatting>
  <conditionalFormatting sqref="R39:S39">
    <cfRule type="cellIs" dxfId="38340" priority="76320" operator="equal">
      <formula>"OFF"</formula>
    </cfRule>
    <cfRule type="cellIs" dxfId="38339" priority="76321" operator="equal">
      <formula>"PTO"</formula>
    </cfRule>
  </conditionalFormatting>
  <conditionalFormatting sqref="R39:S39">
    <cfRule type="cellIs" dxfId="38338" priority="76318" operator="equal">
      <formula>"OFF"</formula>
    </cfRule>
    <cfRule type="cellIs" dxfId="38337" priority="76319" operator="equal">
      <formula>"PTO"</formula>
    </cfRule>
  </conditionalFormatting>
  <conditionalFormatting sqref="T22:T31 T33:T39">
    <cfRule type="cellIs" dxfId="38336" priority="76316" operator="equal">
      <formula>"OFF"</formula>
    </cfRule>
    <cfRule type="cellIs" dxfId="38335" priority="76317" operator="equal">
      <formula>"PTO"</formula>
    </cfRule>
  </conditionalFormatting>
  <conditionalFormatting sqref="T22:T31 T33:T39">
    <cfRule type="cellIs" dxfId="38334" priority="76314" operator="equal">
      <formula>"OFF"</formula>
    </cfRule>
    <cfRule type="cellIs" dxfId="38333" priority="76315" operator="equal">
      <formula>"PTO"</formula>
    </cfRule>
  </conditionalFormatting>
  <conditionalFormatting sqref="U22:U31 U33:U39">
    <cfRule type="cellIs" dxfId="38332" priority="76312" operator="equal">
      <formula>"OFF"</formula>
    </cfRule>
    <cfRule type="cellIs" dxfId="38331" priority="76313" operator="equal">
      <formula>"PTO"</formula>
    </cfRule>
  </conditionalFormatting>
  <conditionalFormatting sqref="U22:U31 U33:U39">
    <cfRule type="cellIs" dxfId="38330" priority="76310" operator="equal">
      <formula>"OFF"</formula>
    </cfRule>
    <cfRule type="cellIs" dxfId="38329" priority="76311" operator="equal">
      <formula>"PTO"</formula>
    </cfRule>
  </conditionalFormatting>
  <conditionalFormatting sqref="V22:V31 V33:V39">
    <cfRule type="cellIs" dxfId="38328" priority="76308" operator="equal">
      <formula>"OFF"</formula>
    </cfRule>
    <cfRule type="cellIs" dxfId="38327" priority="76309" operator="equal">
      <formula>"PTO"</formula>
    </cfRule>
  </conditionalFormatting>
  <conditionalFormatting sqref="V22:V31 V33:V39">
    <cfRule type="cellIs" dxfId="38326" priority="76306" operator="equal">
      <formula>"OFF"</formula>
    </cfRule>
    <cfRule type="cellIs" dxfId="38325" priority="76307" operator="equal">
      <formula>"PTO"</formula>
    </cfRule>
  </conditionalFormatting>
  <conditionalFormatting sqref="I149:I184 I188:I240">
    <cfRule type="cellIs" dxfId="38324" priority="76304" operator="equal">
      <formula>"OFF"</formula>
    </cfRule>
    <cfRule type="cellIs" dxfId="38323" priority="76305" operator="equal">
      <formula>"PTO"</formula>
    </cfRule>
  </conditionalFormatting>
  <conditionalFormatting sqref="J149:J184 J188:J254">
    <cfRule type="cellIs" dxfId="38322" priority="76302" operator="equal">
      <formula>"OFF"</formula>
    </cfRule>
    <cfRule type="cellIs" dxfId="38321" priority="76303" operator="equal">
      <formula>"PTO"</formula>
    </cfRule>
  </conditionalFormatting>
  <conditionalFormatting sqref="Q149:Q184 Q188:Q254">
    <cfRule type="cellIs" dxfId="38320" priority="76300" operator="equal">
      <formula>"OFF"</formula>
    </cfRule>
    <cfRule type="cellIs" dxfId="38319" priority="76301" operator="equal">
      <formula>"PTO"</formula>
    </cfRule>
  </conditionalFormatting>
  <conditionalFormatting sqref="X149:X184">
    <cfRule type="cellIs" dxfId="38318" priority="76296" operator="equal">
      <formula>"OFF"</formula>
    </cfRule>
    <cfRule type="cellIs" dxfId="38317" priority="76297" operator="equal">
      <formula>"PTO"</formula>
    </cfRule>
  </conditionalFormatting>
  <conditionalFormatting sqref="W149:W184">
    <cfRule type="cellIs" dxfId="38316" priority="76294" operator="equal">
      <formula>"OFF"</formula>
    </cfRule>
    <cfRule type="cellIs" dxfId="38315" priority="76295" operator="equal">
      <formula>"PTO"</formula>
    </cfRule>
  </conditionalFormatting>
  <conditionalFormatting sqref="X188:X239">
    <cfRule type="cellIs" dxfId="38314" priority="76290" operator="equal">
      <formula>"OFF"</formula>
    </cfRule>
    <cfRule type="cellIs" dxfId="38313" priority="76291" operator="equal">
      <formula>"PTO"</formula>
    </cfRule>
  </conditionalFormatting>
  <conditionalFormatting sqref="W188:W255">
    <cfRule type="cellIs" dxfId="38312" priority="76288" operator="equal">
      <formula>"OFF"</formula>
    </cfRule>
    <cfRule type="cellIs" dxfId="38311" priority="76289" operator="equal">
      <formula>"PTO"</formula>
    </cfRule>
  </conditionalFormatting>
  <conditionalFormatting sqref="X42">
    <cfRule type="cellIs" dxfId="38310" priority="76284" operator="equal">
      <formula>"OFF"</formula>
    </cfRule>
    <cfRule type="cellIs" dxfId="38309" priority="76285" operator="equal">
      <formula>"PTO"</formula>
    </cfRule>
  </conditionalFormatting>
  <conditionalFormatting sqref="D128:E131">
    <cfRule type="cellIs" dxfId="38308" priority="76168" operator="equal">
      <formula>"OFF"</formula>
    </cfRule>
    <cfRule type="cellIs" dxfId="38307" priority="76169" operator="equal">
      <formula>"PTO"</formula>
    </cfRule>
  </conditionalFormatting>
  <conditionalFormatting sqref="D128:E131">
    <cfRule type="cellIs" dxfId="38306" priority="76166" operator="equal">
      <formula>"OFF"</formula>
    </cfRule>
    <cfRule type="cellIs" dxfId="38305" priority="76167" operator="equal">
      <formula>"PTO"</formula>
    </cfRule>
  </conditionalFormatting>
  <conditionalFormatting sqref="F128:F131">
    <cfRule type="cellIs" dxfId="38304" priority="76164" operator="equal">
      <formula>"OFF"</formula>
    </cfRule>
    <cfRule type="cellIs" dxfId="38303" priority="76165" operator="equal">
      <formula>"PTO"</formula>
    </cfRule>
  </conditionalFormatting>
  <conditionalFormatting sqref="F128:F131">
    <cfRule type="cellIs" dxfId="38302" priority="76162" operator="equal">
      <formula>"OFF"</formula>
    </cfRule>
    <cfRule type="cellIs" dxfId="38301" priority="76163" operator="equal">
      <formula>"PTO"</formula>
    </cfRule>
  </conditionalFormatting>
  <conditionalFormatting sqref="G128:G131">
    <cfRule type="cellIs" dxfId="38300" priority="76160" operator="equal">
      <formula>"OFF"</formula>
    </cfRule>
    <cfRule type="cellIs" dxfId="38299" priority="76161" operator="equal">
      <formula>"PTO"</formula>
    </cfRule>
  </conditionalFormatting>
  <conditionalFormatting sqref="G128:G131">
    <cfRule type="cellIs" dxfId="38298" priority="76158" operator="equal">
      <formula>"OFF"</formula>
    </cfRule>
    <cfRule type="cellIs" dxfId="38297" priority="76159" operator="equal">
      <formula>"PTO"</formula>
    </cfRule>
  </conditionalFormatting>
  <conditionalFormatting sqref="H128:H131">
    <cfRule type="cellIs" dxfId="38296" priority="76156" operator="equal">
      <formula>"OFF"</formula>
    </cfRule>
    <cfRule type="cellIs" dxfId="38295" priority="76157" operator="equal">
      <formula>"PTO"</formula>
    </cfRule>
  </conditionalFormatting>
  <conditionalFormatting sqref="H128:H131">
    <cfRule type="cellIs" dxfId="38294" priority="76154" operator="equal">
      <formula>"OFF"</formula>
    </cfRule>
    <cfRule type="cellIs" dxfId="38293" priority="76155" operator="equal">
      <formula>"PTO"</formula>
    </cfRule>
  </conditionalFormatting>
  <conditionalFormatting sqref="C128:I131">
    <cfRule type="cellIs" dxfId="38292" priority="76152" operator="equal">
      <formula>"OFF"</formula>
    </cfRule>
    <cfRule type="cellIs" dxfId="38291" priority="76153" operator="equal">
      <formula>"PTO"</formula>
    </cfRule>
  </conditionalFormatting>
  <conditionalFormatting sqref="H128:I131 C128:C131">
    <cfRule type="cellIs" dxfId="38290" priority="76150" operator="equal">
      <formula>"OFF"</formula>
    </cfRule>
    <cfRule type="cellIs" dxfId="38289" priority="76151" operator="equal">
      <formula>"PTO"</formula>
    </cfRule>
  </conditionalFormatting>
  <conditionalFormatting sqref="D128:E131">
    <cfRule type="cellIs" dxfId="38288" priority="76148" operator="equal">
      <formula>"OFF"</formula>
    </cfRule>
    <cfRule type="cellIs" dxfId="38287" priority="76149" operator="equal">
      <formula>"PTO"</formula>
    </cfRule>
  </conditionalFormatting>
  <conditionalFormatting sqref="F128:G131">
    <cfRule type="cellIs" dxfId="38286" priority="76146" operator="equal">
      <formula>"OFF"</formula>
    </cfRule>
    <cfRule type="cellIs" dxfId="38285" priority="76147" operator="equal">
      <formula>"PTO"</formula>
    </cfRule>
  </conditionalFormatting>
  <conditionalFormatting sqref="M128:M131">
    <cfRule type="cellIs" dxfId="38284" priority="75820" operator="equal">
      <formula>"OFF"</formula>
    </cfRule>
    <cfRule type="cellIs" dxfId="38283" priority="75821" operator="equal">
      <formula>"PTO"</formula>
    </cfRule>
  </conditionalFormatting>
  <conditionalFormatting sqref="M128:M131">
    <cfRule type="cellIs" dxfId="38282" priority="75818" operator="equal">
      <formula>"OFF"</formula>
    </cfRule>
    <cfRule type="cellIs" dxfId="38281" priority="75819" operator="equal">
      <formula>"PTO"</formula>
    </cfRule>
  </conditionalFormatting>
  <conditionalFormatting sqref="M128:M131">
    <cfRule type="cellIs" dxfId="38280" priority="75816" operator="equal">
      <formula>"OFF"</formula>
    </cfRule>
    <cfRule type="cellIs" dxfId="38279" priority="75817" operator="equal">
      <formula>"PTO"</formula>
    </cfRule>
  </conditionalFormatting>
  <conditionalFormatting sqref="M128:M131">
    <cfRule type="cellIs" dxfId="38278" priority="75814" operator="equal">
      <formula>"OFF"</formula>
    </cfRule>
    <cfRule type="cellIs" dxfId="38277" priority="75815" operator="equal">
      <formula>"PTO"</formula>
    </cfRule>
  </conditionalFormatting>
  <conditionalFormatting sqref="O128:O131">
    <cfRule type="cellIs" dxfId="38276" priority="75812" operator="equal">
      <formula>"OFF"</formula>
    </cfRule>
    <cfRule type="cellIs" dxfId="38275" priority="75813" operator="equal">
      <formula>"PTO"</formula>
    </cfRule>
  </conditionalFormatting>
  <conditionalFormatting sqref="O128:O131">
    <cfRule type="cellIs" dxfId="38274" priority="75810" operator="equal">
      <formula>"OFF"</formula>
    </cfRule>
    <cfRule type="cellIs" dxfId="38273" priority="75811" operator="equal">
      <formula>"PTO"</formula>
    </cfRule>
  </conditionalFormatting>
  <conditionalFormatting sqref="O128:O131">
    <cfRule type="cellIs" dxfId="38272" priority="75808" operator="equal">
      <formula>"OFF"</formula>
    </cfRule>
    <cfRule type="cellIs" dxfId="38271" priority="75809" operator="equal">
      <formula>"PTO"</formula>
    </cfRule>
  </conditionalFormatting>
  <conditionalFormatting sqref="O128:O131">
    <cfRule type="cellIs" dxfId="38270" priority="75806" operator="equal">
      <formula>"OFF"</formula>
    </cfRule>
    <cfRule type="cellIs" dxfId="38269" priority="75807" operator="equal">
      <formula>"PTO"</formula>
    </cfRule>
  </conditionalFormatting>
  <conditionalFormatting sqref="M128:M131">
    <cfRule type="cellIs" dxfId="38268" priority="75804" operator="equal">
      <formula>"OFF"</formula>
    </cfRule>
    <cfRule type="cellIs" dxfId="38267" priority="75805" operator="equal">
      <formula>"PTO"</formula>
    </cfRule>
  </conditionalFormatting>
  <conditionalFormatting sqref="M128:M131">
    <cfRule type="cellIs" dxfId="38266" priority="75802" operator="equal">
      <formula>"OFF"</formula>
    </cfRule>
    <cfRule type="cellIs" dxfId="38265" priority="75803" operator="equal">
      <formula>"PTO"</formula>
    </cfRule>
  </conditionalFormatting>
  <conditionalFormatting sqref="L128:L131">
    <cfRule type="cellIs" dxfId="38264" priority="75800" operator="equal">
      <formula>"OFF"</formula>
    </cfRule>
    <cfRule type="cellIs" dxfId="38263" priority="75801" operator="equal">
      <formula>"PTO"</formula>
    </cfRule>
  </conditionalFormatting>
  <conditionalFormatting sqref="L128:L131">
    <cfRule type="cellIs" dxfId="38262" priority="75798" operator="equal">
      <formula>"OFF"</formula>
    </cfRule>
    <cfRule type="cellIs" dxfId="38261" priority="75799" operator="equal">
      <formula>"PTO"</formula>
    </cfRule>
  </conditionalFormatting>
  <conditionalFormatting sqref="M128:M131">
    <cfRule type="cellIs" dxfId="38260" priority="75796" operator="equal">
      <formula>"OFF"</formula>
    </cfRule>
    <cfRule type="cellIs" dxfId="38259" priority="75797" operator="equal">
      <formula>"PTO"</formula>
    </cfRule>
  </conditionalFormatting>
  <conditionalFormatting sqref="M128:M131">
    <cfRule type="cellIs" dxfId="38258" priority="75794" operator="equal">
      <formula>"OFF"</formula>
    </cfRule>
    <cfRule type="cellIs" dxfId="38257" priority="75795" operator="equal">
      <formula>"PTO"</formula>
    </cfRule>
  </conditionalFormatting>
  <conditionalFormatting sqref="L128:L131">
    <cfRule type="cellIs" dxfId="38256" priority="75792" operator="equal">
      <formula>"OFF"</formula>
    </cfRule>
    <cfRule type="cellIs" dxfId="38255" priority="75793" operator="equal">
      <formula>"PTO"</formula>
    </cfRule>
  </conditionalFormatting>
  <conditionalFormatting sqref="L128:L131">
    <cfRule type="cellIs" dxfId="38254" priority="75790" operator="equal">
      <formula>"OFF"</formula>
    </cfRule>
    <cfRule type="cellIs" dxfId="38253" priority="75791" operator="equal">
      <formula>"PTO"</formula>
    </cfRule>
  </conditionalFormatting>
  <conditionalFormatting sqref="L128:L131">
    <cfRule type="cellIs" dxfId="38252" priority="75788" operator="equal">
      <formula>"OFF"</formula>
    </cfRule>
    <cfRule type="cellIs" dxfId="38251" priority="75789" operator="equal">
      <formula>"PTO"</formula>
    </cfRule>
  </conditionalFormatting>
  <conditionalFormatting sqref="L128:L131">
    <cfRule type="cellIs" dxfId="38250" priority="75786" operator="equal">
      <formula>"OFF"</formula>
    </cfRule>
    <cfRule type="cellIs" dxfId="38249" priority="75787" operator="equal">
      <formula>"PTO"</formula>
    </cfRule>
  </conditionalFormatting>
  <conditionalFormatting sqref="N128:N131">
    <cfRule type="cellIs" dxfId="38248" priority="75784" operator="equal">
      <formula>"OFF"</formula>
    </cfRule>
    <cfRule type="cellIs" dxfId="38247" priority="75785" operator="equal">
      <formula>"PTO"</formula>
    </cfRule>
  </conditionalFormatting>
  <conditionalFormatting sqref="N128:N131">
    <cfRule type="cellIs" dxfId="38246" priority="75782" operator="equal">
      <formula>"OFF"</formula>
    </cfRule>
    <cfRule type="cellIs" dxfId="38245" priority="75783" operator="equal">
      <formula>"PTO"</formula>
    </cfRule>
  </conditionalFormatting>
  <conditionalFormatting sqref="N128:N131">
    <cfRule type="cellIs" dxfId="38244" priority="75780" operator="equal">
      <formula>"OFF"</formula>
    </cfRule>
    <cfRule type="cellIs" dxfId="38243" priority="75781" operator="equal">
      <formula>"PTO"</formula>
    </cfRule>
  </conditionalFormatting>
  <conditionalFormatting sqref="N128:N131">
    <cfRule type="cellIs" dxfId="38242" priority="75778" operator="equal">
      <formula>"OFF"</formula>
    </cfRule>
    <cfRule type="cellIs" dxfId="38241" priority="75779" operator="equal">
      <formula>"PTO"</formula>
    </cfRule>
  </conditionalFormatting>
  <conditionalFormatting sqref="N128:N131">
    <cfRule type="cellIs" dxfId="38240" priority="75776" operator="equal">
      <formula>"OFF"</formula>
    </cfRule>
    <cfRule type="cellIs" dxfId="38239" priority="75777" operator="equal">
      <formula>"PTO"</formula>
    </cfRule>
  </conditionalFormatting>
  <conditionalFormatting sqref="N128:N131">
    <cfRule type="cellIs" dxfId="38238" priority="75774" operator="equal">
      <formula>"OFF"</formula>
    </cfRule>
    <cfRule type="cellIs" dxfId="38237" priority="75775" operator="equal">
      <formula>"PTO"</formula>
    </cfRule>
  </conditionalFormatting>
  <conditionalFormatting sqref="N128:N131">
    <cfRule type="cellIs" dxfId="38236" priority="75772" operator="equal">
      <formula>"OFF"</formula>
    </cfRule>
    <cfRule type="cellIs" dxfId="38235" priority="75773" operator="equal">
      <formula>"PTO"</formula>
    </cfRule>
  </conditionalFormatting>
  <conditionalFormatting sqref="N128:N131">
    <cfRule type="cellIs" dxfId="38234" priority="75770" operator="equal">
      <formula>"OFF"</formula>
    </cfRule>
    <cfRule type="cellIs" dxfId="38233" priority="75771" operator="equal">
      <formula>"PTO"</formula>
    </cfRule>
  </conditionalFormatting>
  <conditionalFormatting sqref="N128:N131">
    <cfRule type="cellIs" dxfId="38232" priority="75768" operator="equal">
      <formula>"OFF"</formula>
    </cfRule>
    <cfRule type="cellIs" dxfId="38231" priority="75769" operator="equal">
      <formula>"PTO"</formula>
    </cfRule>
  </conditionalFormatting>
  <conditionalFormatting sqref="N128:N131">
    <cfRule type="cellIs" dxfId="38230" priority="75766" operator="equal">
      <formula>"OFF"</formula>
    </cfRule>
    <cfRule type="cellIs" dxfId="38229" priority="75767" operator="equal">
      <formula>"PTO"</formula>
    </cfRule>
  </conditionalFormatting>
  <conditionalFormatting sqref="N128:N131">
    <cfRule type="cellIs" dxfId="38228" priority="75764" operator="equal">
      <formula>"OFF"</formula>
    </cfRule>
    <cfRule type="cellIs" dxfId="38227" priority="75765" operator="equal">
      <formula>"PTO"</formula>
    </cfRule>
  </conditionalFormatting>
  <conditionalFormatting sqref="N128:N131">
    <cfRule type="cellIs" dxfId="38226" priority="75762" operator="equal">
      <formula>"OFF"</formula>
    </cfRule>
    <cfRule type="cellIs" dxfId="38225" priority="75763" operator="equal">
      <formula>"PTO"</formula>
    </cfRule>
  </conditionalFormatting>
  <conditionalFormatting sqref="J128:J131">
    <cfRule type="cellIs" dxfId="38224" priority="75760" operator="equal">
      <formula>"OFF"</formula>
    </cfRule>
    <cfRule type="cellIs" dxfId="38223" priority="75761" operator="equal">
      <formula>"PTO"</formula>
    </cfRule>
  </conditionalFormatting>
  <conditionalFormatting sqref="J128:J131">
    <cfRule type="cellIs" dxfId="38222" priority="75758" operator="equal">
      <formula>"OFF"</formula>
    </cfRule>
    <cfRule type="cellIs" dxfId="38221" priority="75759" operator="equal">
      <formula>"PTO"</formula>
    </cfRule>
  </conditionalFormatting>
  <conditionalFormatting sqref="J128:J131">
    <cfRule type="cellIs" dxfId="38220" priority="75756" operator="equal">
      <formula>"OFF"</formula>
    </cfRule>
    <cfRule type="cellIs" dxfId="38219" priority="75757" operator="equal">
      <formula>"PTO"</formula>
    </cfRule>
  </conditionalFormatting>
  <conditionalFormatting sqref="J128:J131">
    <cfRule type="cellIs" dxfId="38218" priority="75754" operator="equal">
      <formula>"OFF"</formula>
    </cfRule>
    <cfRule type="cellIs" dxfId="38217" priority="75755" operator="equal">
      <formula>"PTO"</formula>
    </cfRule>
  </conditionalFormatting>
  <conditionalFormatting sqref="J128:J131">
    <cfRule type="cellIs" dxfId="38216" priority="75752" operator="equal">
      <formula>"OFF"</formula>
    </cfRule>
    <cfRule type="cellIs" dxfId="38215" priority="75753" operator="equal">
      <formula>"PTO"</formula>
    </cfRule>
  </conditionalFormatting>
  <conditionalFormatting sqref="H128:I131">
    <cfRule type="cellIs" dxfId="38214" priority="76074" operator="equal">
      <formula>"OFF"</formula>
    </cfRule>
    <cfRule type="cellIs" dxfId="38213" priority="76075" operator="equal">
      <formula>"PTO"</formula>
    </cfRule>
  </conditionalFormatting>
  <conditionalFormatting sqref="D128:D131">
    <cfRule type="cellIs" dxfId="38212" priority="76072" operator="equal">
      <formula>"OFF"</formula>
    </cfRule>
    <cfRule type="cellIs" dxfId="38211" priority="76073" operator="equal">
      <formula>"PTO"</formula>
    </cfRule>
  </conditionalFormatting>
  <conditionalFormatting sqref="G128:G131">
    <cfRule type="cellIs" dxfId="38210" priority="76070" operator="equal">
      <formula>"OFF"</formula>
    </cfRule>
    <cfRule type="cellIs" dxfId="38209" priority="76071" operator="equal">
      <formula>"PTO"</formula>
    </cfRule>
  </conditionalFormatting>
  <conditionalFormatting sqref="H128:I131">
    <cfRule type="cellIs" dxfId="38208" priority="76068" operator="equal">
      <formula>"OFF"</formula>
    </cfRule>
    <cfRule type="cellIs" dxfId="38207" priority="76069" operator="equal">
      <formula>"PTO"</formula>
    </cfRule>
  </conditionalFormatting>
  <conditionalFormatting sqref="D128:D131">
    <cfRule type="cellIs" dxfId="38206" priority="76066" operator="equal">
      <formula>"OFF"</formula>
    </cfRule>
    <cfRule type="cellIs" dxfId="38205" priority="76067" operator="equal">
      <formula>"PTO"</formula>
    </cfRule>
  </conditionalFormatting>
  <conditionalFormatting sqref="G128:G131">
    <cfRule type="cellIs" dxfId="38204" priority="76064" operator="equal">
      <formula>"OFF"</formula>
    </cfRule>
    <cfRule type="cellIs" dxfId="38203" priority="76065" operator="equal">
      <formula>"PTO"</formula>
    </cfRule>
  </conditionalFormatting>
  <conditionalFormatting sqref="H128:I131">
    <cfRule type="cellIs" dxfId="38202" priority="76062" operator="equal">
      <formula>"OFF"</formula>
    </cfRule>
    <cfRule type="cellIs" dxfId="38201" priority="76063" operator="equal">
      <formula>"PTO"</formula>
    </cfRule>
  </conditionalFormatting>
  <conditionalFormatting sqref="D128:D131">
    <cfRule type="cellIs" dxfId="38200" priority="76060" operator="equal">
      <formula>"OFF"</formula>
    </cfRule>
    <cfRule type="cellIs" dxfId="38199" priority="76061" operator="equal">
      <formula>"PTO"</formula>
    </cfRule>
  </conditionalFormatting>
  <conditionalFormatting sqref="G128:G131">
    <cfRule type="cellIs" dxfId="38198" priority="76058" operator="equal">
      <formula>"OFF"</formula>
    </cfRule>
    <cfRule type="cellIs" dxfId="38197" priority="76059" operator="equal">
      <formula>"PTO"</formula>
    </cfRule>
  </conditionalFormatting>
  <conditionalFormatting sqref="H128:I131">
    <cfRule type="cellIs" dxfId="38196" priority="76056" operator="equal">
      <formula>"OFF"</formula>
    </cfRule>
    <cfRule type="cellIs" dxfId="38195" priority="76057" operator="equal">
      <formula>"PTO"</formula>
    </cfRule>
  </conditionalFormatting>
  <conditionalFormatting sqref="D128:D131">
    <cfRule type="cellIs" dxfId="38194" priority="76054" operator="equal">
      <formula>"OFF"</formula>
    </cfRule>
    <cfRule type="cellIs" dxfId="38193" priority="76055" operator="equal">
      <formula>"PTO"</formula>
    </cfRule>
  </conditionalFormatting>
  <conditionalFormatting sqref="G128:G131">
    <cfRule type="cellIs" dxfId="38192" priority="76052" operator="equal">
      <formula>"OFF"</formula>
    </cfRule>
    <cfRule type="cellIs" dxfId="38191" priority="76053" operator="equal">
      <formula>"PTO"</formula>
    </cfRule>
  </conditionalFormatting>
  <conditionalFormatting sqref="H128:I131 D128:F131">
    <cfRule type="cellIs" dxfId="38190" priority="76050" operator="equal">
      <formula>"OFF"</formula>
    </cfRule>
    <cfRule type="cellIs" dxfId="38189" priority="76051" operator="equal">
      <formula>"PTO"</formula>
    </cfRule>
  </conditionalFormatting>
  <conditionalFormatting sqref="D128:F131 H128:I131">
    <cfRule type="cellIs" dxfId="38188" priority="76048" operator="equal">
      <formula>"OFF"</formula>
    </cfRule>
    <cfRule type="cellIs" dxfId="38187" priority="76049" operator="equal">
      <formula>"PTO"</formula>
    </cfRule>
  </conditionalFormatting>
  <conditionalFormatting sqref="H128:H131">
    <cfRule type="cellIs" dxfId="38186" priority="76046" operator="equal">
      <formula>"OFF"</formula>
    </cfRule>
    <cfRule type="cellIs" dxfId="38185" priority="76047" operator="equal">
      <formula>"PTO"</formula>
    </cfRule>
  </conditionalFormatting>
  <conditionalFormatting sqref="H128:H131">
    <cfRule type="cellIs" dxfId="38184" priority="76044" operator="equal">
      <formula>"OFF"</formula>
    </cfRule>
    <cfRule type="cellIs" dxfId="38183" priority="76045" operator="equal">
      <formula>"PTO"</formula>
    </cfRule>
  </conditionalFormatting>
  <conditionalFormatting sqref="F128:F131">
    <cfRule type="cellIs" dxfId="38182" priority="76042" operator="equal">
      <formula>"OFF"</formula>
    </cfRule>
    <cfRule type="cellIs" dxfId="38181" priority="76043" operator="equal">
      <formula>"PTO"</formula>
    </cfRule>
  </conditionalFormatting>
  <conditionalFormatting sqref="F128:F131">
    <cfRule type="cellIs" dxfId="38180" priority="76040" operator="equal">
      <formula>"OFF"</formula>
    </cfRule>
    <cfRule type="cellIs" dxfId="38179" priority="76041" operator="equal">
      <formula>"PTO"</formula>
    </cfRule>
  </conditionalFormatting>
  <conditionalFormatting sqref="H128:I131 D128:F131">
    <cfRule type="cellIs" dxfId="38178" priority="76038" operator="equal">
      <formula>"OFF"</formula>
    </cfRule>
    <cfRule type="cellIs" dxfId="38177" priority="76039" operator="equal">
      <formula>"PTO"</formula>
    </cfRule>
  </conditionalFormatting>
  <conditionalFormatting sqref="D128:F131 H128:I131">
    <cfRule type="cellIs" dxfId="38176" priority="76036" operator="equal">
      <formula>"OFF"</formula>
    </cfRule>
    <cfRule type="cellIs" dxfId="38175" priority="76037" operator="equal">
      <formula>"PTO"</formula>
    </cfRule>
  </conditionalFormatting>
  <conditionalFormatting sqref="H128:H131">
    <cfRule type="cellIs" dxfId="38174" priority="76034" operator="equal">
      <formula>"OFF"</formula>
    </cfRule>
    <cfRule type="cellIs" dxfId="38173" priority="76035" operator="equal">
      <formula>"PTO"</formula>
    </cfRule>
  </conditionalFormatting>
  <conditionalFormatting sqref="H128:H131">
    <cfRule type="cellIs" dxfId="38172" priority="76032" operator="equal">
      <formula>"OFF"</formula>
    </cfRule>
    <cfRule type="cellIs" dxfId="38171" priority="76033" operator="equal">
      <formula>"PTO"</formula>
    </cfRule>
  </conditionalFormatting>
  <conditionalFormatting sqref="F128:F131">
    <cfRule type="cellIs" dxfId="38170" priority="76030" operator="equal">
      <formula>"OFF"</formula>
    </cfRule>
    <cfRule type="cellIs" dxfId="38169" priority="76031" operator="equal">
      <formula>"PTO"</formula>
    </cfRule>
  </conditionalFormatting>
  <conditionalFormatting sqref="F128:F131">
    <cfRule type="cellIs" dxfId="38168" priority="76028" operator="equal">
      <formula>"OFF"</formula>
    </cfRule>
    <cfRule type="cellIs" dxfId="38167" priority="76029" operator="equal">
      <formula>"PTO"</formula>
    </cfRule>
  </conditionalFormatting>
  <conditionalFormatting sqref="F128:F131">
    <cfRule type="cellIs" dxfId="38166" priority="76026" operator="equal">
      <formula>"OFF"</formula>
    </cfRule>
    <cfRule type="cellIs" dxfId="38165" priority="76027" operator="equal">
      <formula>"PTO"</formula>
    </cfRule>
  </conditionalFormatting>
  <conditionalFormatting sqref="F128:F131">
    <cfRule type="cellIs" dxfId="38164" priority="76024" operator="equal">
      <formula>"OFF"</formula>
    </cfRule>
    <cfRule type="cellIs" dxfId="38163" priority="76025" operator="equal">
      <formula>"PTO"</formula>
    </cfRule>
  </conditionalFormatting>
  <conditionalFormatting sqref="H128:H131">
    <cfRule type="cellIs" dxfId="38162" priority="76022" operator="equal">
      <formula>"OFF"</formula>
    </cfRule>
    <cfRule type="cellIs" dxfId="38161" priority="76023" operator="equal">
      <formula>"PTO"</formula>
    </cfRule>
  </conditionalFormatting>
  <conditionalFormatting sqref="H128:H131">
    <cfRule type="cellIs" dxfId="38160" priority="76020" operator="equal">
      <formula>"OFF"</formula>
    </cfRule>
    <cfRule type="cellIs" dxfId="38159" priority="76021" operator="equal">
      <formula>"PTO"</formula>
    </cfRule>
  </conditionalFormatting>
  <conditionalFormatting sqref="H128:H131">
    <cfRule type="cellIs" dxfId="38158" priority="76018" operator="equal">
      <formula>"OFF"</formula>
    </cfRule>
    <cfRule type="cellIs" dxfId="38157" priority="76019" operator="equal">
      <formula>"PTO"</formula>
    </cfRule>
  </conditionalFormatting>
  <conditionalFormatting sqref="H128:H131">
    <cfRule type="cellIs" dxfId="38156" priority="76016" operator="equal">
      <formula>"OFF"</formula>
    </cfRule>
    <cfRule type="cellIs" dxfId="38155" priority="76017" operator="equal">
      <formula>"PTO"</formula>
    </cfRule>
  </conditionalFormatting>
  <conditionalFormatting sqref="F128:F131">
    <cfRule type="cellIs" dxfId="38154" priority="76014" operator="equal">
      <formula>"OFF"</formula>
    </cfRule>
    <cfRule type="cellIs" dxfId="38153" priority="76015" operator="equal">
      <formula>"PTO"</formula>
    </cfRule>
  </conditionalFormatting>
  <conditionalFormatting sqref="F128:F131">
    <cfRule type="cellIs" dxfId="38152" priority="76012" operator="equal">
      <formula>"OFF"</formula>
    </cfRule>
    <cfRule type="cellIs" dxfId="38151" priority="76013" operator="equal">
      <formula>"PTO"</formula>
    </cfRule>
  </conditionalFormatting>
  <conditionalFormatting sqref="E128:E131">
    <cfRule type="cellIs" dxfId="38150" priority="76010" operator="equal">
      <formula>"OFF"</formula>
    </cfRule>
    <cfRule type="cellIs" dxfId="38149" priority="76011" operator="equal">
      <formula>"PTO"</formula>
    </cfRule>
  </conditionalFormatting>
  <conditionalFormatting sqref="E128:E131">
    <cfRule type="cellIs" dxfId="38148" priority="76008" operator="equal">
      <formula>"OFF"</formula>
    </cfRule>
    <cfRule type="cellIs" dxfId="38147" priority="76009" operator="equal">
      <formula>"PTO"</formula>
    </cfRule>
  </conditionalFormatting>
  <conditionalFormatting sqref="F128:F131">
    <cfRule type="cellIs" dxfId="38146" priority="76006" operator="equal">
      <formula>"OFF"</formula>
    </cfRule>
    <cfRule type="cellIs" dxfId="38145" priority="76007" operator="equal">
      <formula>"PTO"</formula>
    </cfRule>
  </conditionalFormatting>
  <conditionalFormatting sqref="F128:F131">
    <cfRule type="cellIs" dxfId="38144" priority="76004" operator="equal">
      <formula>"OFF"</formula>
    </cfRule>
    <cfRule type="cellIs" dxfId="38143" priority="76005" operator="equal">
      <formula>"PTO"</formula>
    </cfRule>
  </conditionalFormatting>
  <conditionalFormatting sqref="E128:E131">
    <cfRule type="cellIs" dxfId="38142" priority="76002" operator="equal">
      <formula>"OFF"</formula>
    </cfRule>
    <cfRule type="cellIs" dxfId="38141" priority="76003" operator="equal">
      <formula>"PTO"</formula>
    </cfRule>
  </conditionalFormatting>
  <conditionalFormatting sqref="E128:E131">
    <cfRule type="cellIs" dxfId="38140" priority="76000" operator="equal">
      <formula>"OFF"</formula>
    </cfRule>
    <cfRule type="cellIs" dxfId="38139" priority="76001" operator="equal">
      <formula>"PTO"</formula>
    </cfRule>
  </conditionalFormatting>
  <conditionalFormatting sqref="E128:E131">
    <cfRule type="cellIs" dxfId="38138" priority="75998" operator="equal">
      <formula>"OFF"</formula>
    </cfRule>
    <cfRule type="cellIs" dxfId="38137" priority="75999" operator="equal">
      <formula>"PTO"</formula>
    </cfRule>
  </conditionalFormatting>
  <conditionalFormatting sqref="E128:E131">
    <cfRule type="cellIs" dxfId="38136" priority="75996" operator="equal">
      <formula>"OFF"</formula>
    </cfRule>
    <cfRule type="cellIs" dxfId="38135" priority="75997" operator="equal">
      <formula>"PTO"</formula>
    </cfRule>
  </conditionalFormatting>
  <conditionalFormatting sqref="G128:G131">
    <cfRule type="cellIs" dxfId="38134" priority="75994" operator="equal">
      <formula>"OFF"</formula>
    </cfRule>
    <cfRule type="cellIs" dxfId="38133" priority="75995" operator="equal">
      <formula>"PTO"</formula>
    </cfRule>
  </conditionalFormatting>
  <conditionalFormatting sqref="G128:G131">
    <cfRule type="cellIs" dxfId="38132" priority="75992" operator="equal">
      <formula>"OFF"</formula>
    </cfRule>
    <cfRule type="cellIs" dxfId="38131" priority="75993" operator="equal">
      <formula>"PTO"</formula>
    </cfRule>
  </conditionalFormatting>
  <conditionalFormatting sqref="G128:G131">
    <cfRule type="cellIs" dxfId="38130" priority="75990" operator="equal">
      <formula>"OFF"</formula>
    </cfRule>
    <cfRule type="cellIs" dxfId="38129" priority="75991" operator="equal">
      <formula>"PTO"</formula>
    </cfRule>
  </conditionalFormatting>
  <conditionalFormatting sqref="G128:G131">
    <cfRule type="cellIs" dxfId="38128" priority="75988" operator="equal">
      <formula>"OFF"</formula>
    </cfRule>
    <cfRule type="cellIs" dxfId="38127" priority="75989" operator="equal">
      <formula>"PTO"</formula>
    </cfRule>
  </conditionalFormatting>
  <conditionalFormatting sqref="G128:G131">
    <cfRule type="cellIs" dxfId="38126" priority="75986" operator="equal">
      <formula>"OFF"</formula>
    </cfRule>
    <cfRule type="cellIs" dxfId="38125" priority="75987" operator="equal">
      <formula>"PTO"</formula>
    </cfRule>
  </conditionalFormatting>
  <conditionalFormatting sqref="G128:G131">
    <cfRule type="cellIs" dxfId="38124" priority="75984" operator="equal">
      <formula>"OFF"</formula>
    </cfRule>
    <cfRule type="cellIs" dxfId="38123" priority="75985" operator="equal">
      <formula>"PTO"</formula>
    </cfRule>
  </conditionalFormatting>
  <conditionalFormatting sqref="G128:G131">
    <cfRule type="cellIs" dxfId="38122" priority="75982" operator="equal">
      <formula>"OFF"</formula>
    </cfRule>
    <cfRule type="cellIs" dxfId="38121" priority="75983" operator="equal">
      <formula>"PTO"</formula>
    </cfRule>
  </conditionalFormatting>
  <conditionalFormatting sqref="G128:G131">
    <cfRule type="cellIs" dxfId="38120" priority="75980" operator="equal">
      <formula>"OFF"</formula>
    </cfRule>
    <cfRule type="cellIs" dxfId="38119" priority="75981" operator="equal">
      <formula>"PTO"</formula>
    </cfRule>
  </conditionalFormatting>
  <conditionalFormatting sqref="G128:G131">
    <cfRule type="cellIs" dxfId="38118" priority="75978" operator="equal">
      <formula>"OFF"</formula>
    </cfRule>
    <cfRule type="cellIs" dxfId="38117" priority="75979" operator="equal">
      <formula>"PTO"</formula>
    </cfRule>
  </conditionalFormatting>
  <conditionalFormatting sqref="G128:G131">
    <cfRule type="cellIs" dxfId="38116" priority="75976" operator="equal">
      <formula>"OFF"</formula>
    </cfRule>
    <cfRule type="cellIs" dxfId="38115" priority="75977" operator="equal">
      <formula>"PTO"</formula>
    </cfRule>
  </conditionalFormatting>
  <conditionalFormatting sqref="G128:G131">
    <cfRule type="cellIs" dxfId="38114" priority="75974" operator="equal">
      <formula>"OFF"</formula>
    </cfRule>
    <cfRule type="cellIs" dxfId="38113" priority="75975" operator="equal">
      <formula>"PTO"</formula>
    </cfRule>
  </conditionalFormatting>
  <conditionalFormatting sqref="G128:G131">
    <cfRule type="cellIs" dxfId="38112" priority="75972" operator="equal">
      <formula>"OFF"</formula>
    </cfRule>
    <cfRule type="cellIs" dxfId="38111" priority="75973" operator="equal">
      <formula>"PTO"</formula>
    </cfRule>
  </conditionalFormatting>
  <conditionalFormatting sqref="C128:C131">
    <cfRule type="cellIs" dxfId="38110" priority="75970" operator="equal">
      <formula>"OFF"</formula>
    </cfRule>
    <cfRule type="cellIs" dxfId="38109" priority="75971" operator="equal">
      <formula>"PTO"</formula>
    </cfRule>
  </conditionalFormatting>
  <conditionalFormatting sqref="C128:C131">
    <cfRule type="cellIs" dxfId="38108" priority="75968" operator="equal">
      <formula>"OFF"</formula>
    </cfRule>
    <cfRule type="cellIs" dxfId="38107" priority="75969" operator="equal">
      <formula>"PTO"</formula>
    </cfRule>
  </conditionalFormatting>
  <conditionalFormatting sqref="C128:C131">
    <cfRule type="cellIs" dxfId="38106" priority="75966" operator="equal">
      <formula>"OFF"</formula>
    </cfRule>
    <cfRule type="cellIs" dxfId="38105" priority="75967" operator="equal">
      <formula>"PTO"</formula>
    </cfRule>
  </conditionalFormatting>
  <conditionalFormatting sqref="C128:C131">
    <cfRule type="cellIs" dxfId="38104" priority="75964" operator="equal">
      <formula>"OFF"</formula>
    </cfRule>
    <cfRule type="cellIs" dxfId="38103" priority="75965" operator="equal">
      <formula>"PTO"</formula>
    </cfRule>
  </conditionalFormatting>
  <conditionalFormatting sqref="C128:C131">
    <cfRule type="cellIs" dxfId="38102" priority="75962" operator="equal">
      <formula>"OFF"</formula>
    </cfRule>
    <cfRule type="cellIs" dxfId="38101" priority="75963" operator="equal">
      <formula>"PTO"</formula>
    </cfRule>
  </conditionalFormatting>
  <conditionalFormatting sqref="J128:J131 P128:P131">
    <cfRule type="cellIs" dxfId="38100" priority="75960" operator="equal">
      <formula>"OFF"</formula>
    </cfRule>
    <cfRule type="cellIs" dxfId="38099" priority="75961" operator="equal">
      <formula>"PTO"</formula>
    </cfRule>
  </conditionalFormatting>
  <conditionalFormatting sqref="K128:L131">
    <cfRule type="cellIs" dxfId="38098" priority="75958" operator="equal">
      <formula>"OFF"</formula>
    </cfRule>
    <cfRule type="cellIs" dxfId="38097" priority="75959" operator="equal">
      <formula>"PTO"</formula>
    </cfRule>
  </conditionalFormatting>
  <conditionalFormatting sqref="K128:L131">
    <cfRule type="cellIs" dxfId="38096" priority="75956" operator="equal">
      <formula>"OFF"</formula>
    </cfRule>
    <cfRule type="cellIs" dxfId="38095" priority="75957" operator="equal">
      <formula>"PTO"</formula>
    </cfRule>
  </conditionalFormatting>
  <conditionalFormatting sqref="M128:M131">
    <cfRule type="cellIs" dxfId="38094" priority="75954" operator="equal">
      <formula>"OFF"</formula>
    </cfRule>
    <cfRule type="cellIs" dxfId="38093" priority="75955" operator="equal">
      <formula>"PTO"</formula>
    </cfRule>
  </conditionalFormatting>
  <conditionalFormatting sqref="M128:M131">
    <cfRule type="cellIs" dxfId="38092" priority="75952" operator="equal">
      <formula>"OFF"</formula>
    </cfRule>
    <cfRule type="cellIs" dxfId="38091" priority="75953" operator="equal">
      <formula>"PTO"</formula>
    </cfRule>
  </conditionalFormatting>
  <conditionalFormatting sqref="N128:N131">
    <cfRule type="cellIs" dxfId="38090" priority="75950" operator="equal">
      <formula>"OFF"</formula>
    </cfRule>
    <cfRule type="cellIs" dxfId="38089" priority="75951" operator="equal">
      <formula>"PTO"</formula>
    </cfRule>
  </conditionalFormatting>
  <conditionalFormatting sqref="N128:N131">
    <cfRule type="cellIs" dxfId="38088" priority="75948" operator="equal">
      <formula>"OFF"</formula>
    </cfRule>
    <cfRule type="cellIs" dxfId="38087" priority="75949" operator="equal">
      <formula>"PTO"</formula>
    </cfRule>
  </conditionalFormatting>
  <conditionalFormatting sqref="O128:O131">
    <cfRule type="cellIs" dxfId="38086" priority="75946" operator="equal">
      <formula>"OFF"</formula>
    </cfRule>
    <cfRule type="cellIs" dxfId="38085" priority="75947" operator="equal">
      <formula>"PTO"</formula>
    </cfRule>
  </conditionalFormatting>
  <conditionalFormatting sqref="O128:O131">
    <cfRule type="cellIs" dxfId="38084" priority="75944" operator="equal">
      <formula>"OFF"</formula>
    </cfRule>
    <cfRule type="cellIs" dxfId="38083" priority="75945" operator="equal">
      <formula>"PTO"</formula>
    </cfRule>
  </conditionalFormatting>
  <conditionalFormatting sqref="J128:P131">
    <cfRule type="cellIs" dxfId="38082" priority="75942" operator="equal">
      <formula>"OFF"</formula>
    </cfRule>
    <cfRule type="cellIs" dxfId="38081" priority="75943" operator="equal">
      <formula>"PTO"</formula>
    </cfRule>
  </conditionalFormatting>
  <conditionalFormatting sqref="O128:P131 J128:J131">
    <cfRule type="cellIs" dxfId="38080" priority="75940" operator="equal">
      <formula>"OFF"</formula>
    </cfRule>
    <cfRule type="cellIs" dxfId="38079" priority="75941" operator="equal">
      <formula>"PTO"</formula>
    </cfRule>
  </conditionalFormatting>
  <conditionalFormatting sqref="K128:L131">
    <cfRule type="cellIs" dxfId="38078" priority="75938" operator="equal">
      <formula>"OFF"</formula>
    </cfRule>
    <cfRule type="cellIs" dxfId="38077" priority="75939" operator="equal">
      <formula>"PTO"</formula>
    </cfRule>
  </conditionalFormatting>
  <conditionalFormatting sqref="M128:N131">
    <cfRule type="cellIs" dxfId="38076" priority="75936" operator="equal">
      <formula>"OFF"</formula>
    </cfRule>
    <cfRule type="cellIs" dxfId="38075" priority="75937" operator="equal">
      <formula>"PTO"</formula>
    </cfRule>
  </conditionalFormatting>
  <conditionalFormatting sqref="Q128:Q131 W128:W131">
    <cfRule type="cellIs" dxfId="38074" priority="75750" operator="equal">
      <formula>"OFF"</formula>
    </cfRule>
    <cfRule type="cellIs" dxfId="38073" priority="75751" operator="equal">
      <formula>"PTO"</formula>
    </cfRule>
  </conditionalFormatting>
  <conditionalFormatting sqref="R128:S131">
    <cfRule type="cellIs" dxfId="38072" priority="75748" operator="equal">
      <formula>"OFF"</formula>
    </cfRule>
    <cfRule type="cellIs" dxfId="38071" priority="75749" operator="equal">
      <formula>"PTO"</formula>
    </cfRule>
  </conditionalFormatting>
  <conditionalFormatting sqref="R128:S131">
    <cfRule type="cellIs" dxfId="38070" priority="75746" operator="equal">
      <formula>"OFF"</formula>
    </cfRule>
    <cfRule type="cellIs" dxfId="38069" priority="75747" operator="equal">
      <formula>"PTO"</formula>
    </cfRule>
  </conditionalFormatting>
  <conditionalFormatting sqref="T128:T131">
    <cfRule type="cellIs" dxfId="38068" priority="75744" operator="equal">
      <formula>"OFF"</formula>
    </cfRule>
    <cfRule type="cellIs" dxfId="38067" priority="75745" operator="equal">
      <formula>"PTO"</formula>
    </cfRule>
  </conditionalFormatting>
  <conditionalFormatting sqref="T128:T131">
    <cfRule type="cellIs" dxfId="38066" priority="75742" operator="equal">
      <formula>"OFF"</formula>
    </cfRule>
    <cfRule type="cellIs" dxfId="38065" priority="75743" operator="equal">
      <formula>"PTO"</formula>
    </cfRule>
  </conditionalFormatting>
  <conditionalFormatting sqref="U128:U131">
    <cfRule type="cellIs" dxfId="38064" priority="75740" operator="equal">
      <formula>"OFF"</formula>
    </cfRule>
    <cfRule type="cellIs" dxfId="38063" priority="75741" operator="equal">
      <formula>"PTO"</formula>
    </cfRule>
  </conditionalFormatting>
  <conditionalFormatting sqref="U128:U131">
    <cfRule type="cellIs" dxfId="38062" priority="75738" operator="equal">
      <formula>"OFF"</formula>
    </cfRule>
    <cfRule type="cellIs" dxfId="38061" priority="75739" operator="equal">
      <formula>"PTO"</formula>
    </cfRule>
  </conditionalFormatting>
  <conditionalFormatting sqref="V128:V131">
    <cfRule type="cellIs" dxfId="38060" priority="75736" operator="equal">
      <formula>"OFF"</formula>
    </cfRule>
    <cfRule type="cellIs" dxfId="38059" priority="75737" operator="equal">
      <formula>"PTO"</formula>
    </cfRule>
  </conditionalFormatting>
  <conditionalFormatting sqref="V128:V131">
    <cfRule type="cellIs" dxfId="38058" priority="75734" operator="equal">
      <formula>"OFF"</formula>
    </cfRule>
    <cfRule type="cellIs" dxfId="38057" priority="75735" operator="equal">
      <formula>"PTO"</formula>
    </cfRule>
  </conditionalFormatting>
  <conditionalFormatting sqref="Q128:W131">
    <cfRule type="cellIs" dxfId="38056" priority="75732" operator="equal">
      <formula>"OFF"</formula>
    </cfRule>
    <cfRule type="cellIs" dxfId="38055" priority="75733" operator="equal">
      <formula>"PTO"</formula>
    </cfRule>
  </conditionalFormatting>
  <conditionalFormatting sqref="V128:W131 Q128:Q131">
    <cfRule type="cellIs" dxfId="38054" priority="75730" operator="equal">
      <formula>"OFF"</formula>
    </cfRule>
    <cfRule type="cellIs" dxfId="38053" priority="75731" operator="equal">
      <formula>"PTO"</formula>
    </cfRule>
  </conditionalFormatting>
  <conditionalFormatting sqref="R128:S131">
    <cfRule type="cellIs" dxfId="38052" priority="75728" operator="equal">
      <formula>"OFF"</formula>
    </cfRule>
    <cfRule type="cellIs" dxfId="38051" priority="75729" operator="equal">
      <formula>"PTO"</formula>
    </cfRule>
  </conditionalFormatting>
  <conditionalFormatting sqref="T128:U131">
    <cfRule type="cellIs" dxfId="38050" priority="75726" operator="equal">
      <formula>"OFF"</formula>
    </cfRule>
    <cfRule type="cellIs" dxfId="38049" priority="75727" operator="equal">
      <formula>"PTO"</formula>
    </cfRule>
  </conditionalFormatting>
  <conditionalFormatting sqref="O128:P131">
    <cfRule type="cellIs" dxfId="38048" priority="75864" operator="equal">
      <formula>"OFF"</formula>
    </cfRule>
    <cfRule type="cellIs" dxfId="38047" priority="75865" operator="equal">
      <formula>"PTO"</formula>
    </cfRule>
  </conditionalFormatting>
  <conditionalFormatting sqref="K128:K131">
    <cfRule type="cellIs" dxfId="38046" priority="75862" operator="equal">
      <formula>"OFF"</formula>
    </cfRule>
    <cfRule type="cellIs" dxfId="38045" priority="75863" operator="equal">
      <formula>"PTO"</formula>
    </cfRule>
  </conditionalFormatting>
  <conditionalFormatting sqref="N128:N131">
    <cfRule type="cellIs" dxfId="38044" priority="75860" operator="equal">
      <formula>"OFF"</formula>
    </cfRule>
    <cfRule type="cellIs" dxfId="38043" priority="75861" operator="equal">
      <formula>"PTO"</formula>
    </cfRule>
  </conditionalFormatting>
  <conditionalFormatting sqref="O128:P131">
    <cfRule type="cellIs" dxfId="38042" priority="75858" operator="equal">
      <formula>"OFF"</formula>
    </cfRule>
    <cfRule type="cellIs" dxfId="38041" priority="75859" operator="equal">
      <formula>"PTO"</formula>
    </cfRule>
  </conditionalFormatting>
  <conditionalFormatting sqref="K128:K131">
    <cfRule type="cellIs" dxfId="38040" priority="75856" operator="equal">
      <formula>"OFF"</formula>
    </cfRule>
    <cfRule type="cellIs" dxfId="38039" priority="75857" operator="equal">
      <formula>"PTO"</formula>
    </cfRule>
  </conditionalFormatting>
  <conditionalFormatting sqref="N128:N131">
    <cfRule type="cellIs" dxfId="38038" priority="75854" operator="equal">
      <formula>"OFF"</formula>
    </cfRule>
    <cfRule type="cellIs" dxfId="38037" priority="75855" operator="equal">
      <formula>"PTO"</formula>
    </cfRule>
  </conditionalFormatting>
  <conditionalFormatting sqref="O128:P131">
    <cfRule type="cellIs" dxfId="38036" priority="75852" operator="equal">
      <formula>"OFF"</formula>
    </cfRule>
    <cfRule type="cellIs" dxfId="38035" priority="75853" operator="equal">
      <formula>"PTO"</formula>
    </cfRule>
  </conditionalFormatting>
  <conditionalFormatting sqref="K128:K131">
    <cfRule type="cellIs" dxfId="38034" priority="75850" operator="equal">
      <formula>"OFF"</formula>
    </cfRule>
    <cfRule type="cellIs" dxfId="38033" priority="75851" operator="equal">
      <formula>"PTO"</formula>
    </cfRule>
  </conditionalFormatting>
  <conditionalFormatting sqref="N128:N131">
    <cfRule type="cellIs" dxfId="38032" priority="75848" operator="equal">
      <formula>"OFF"</formula>
    </cfRule>
    <cfRule type="cellIs" dxfId="38031" priority="75849" operator="equal">
      <formula>"PTO"</formula>
    </cfRule>
  </conditionalFormatting>
  <conditionalFormatting sqref="O128:P131">
    <cfRule type="cellIs" dxfId="38030" priority="75846" operator="equal">
      <formula>"OFF"</formula>
    </cfRule>
    <cfRule type="cellIs" dxfId="38029" priority="75847" operator="equal">
      <formula>"PTO"</formula>
    </cfRule>
  </conditionalFormatting>
  <conditionalFormatting sqref="K128:K131">
    <cfRule type="cellIs" dxfId="38028" priority="75844" operator="equal">
      <formula>"OFF"</formula>
    </cfRule>
    <cfRule type="cellIs" dxfId="38027" priority="75845" operator="equal">
      <formula>"PTO"</formula>
    </cfRule>
  </conditionalFormatting>
  <conditionalFormatting sqref="N128:N131">
    <cfRule type="cellIs" dxfId="38026" priority="75842" operator="equal">
      <formula>"OFF"</formula>
    </cfRule>
    <cfRule type="cellIs" dxfId="38025" priority="75843" operator="equal">
      <formula>"PTO"</formula>
    </cfRule>
  </conditionalFormatting>
  <conditionalFormatting sqref="O128:P131 K128:M131">
    <cfRule type="cellIs" dxfId="38024" priority="75840" operator="equal">
      <formula>"OFF"</formula>
    </cfRule>
    <cfRule type="cellIs" dxfId="38023" priority="75841" operator="equal">
      <formula>"PTO"</formula>
    </cfRule>
  </conditionalFormatting>
  <conditionalFormatting sqref="K128:M131 O128:P131">
    <cfRule type="cellIs" dxfId="38022" priority="75838" operator="equal">
      <formula>"OFF"</formula>
    </cfRule>
    <cfRule type="cellIs" dxfId="38021" priority="75839" operator="equal">
      <formula>"PTO"</formula>
    </cfRule>
  </conditionalFormatting>
  <conditionalFormatting sqref="O128:O131">
    <cfRule type="cellIs" dxfId="38020" priority="75836" operator="equal">
      <formula>"OFF"</formula>
    </cfRule>
    <cfRule type="cellIs" dxfId="38019" priority="75837" operator="equal">
      <formula>"PTO"</formula>
    </cfRule>
  </conditionalFormatting>
  <conditionalFormatting sqref="O128:O131">
    <cfRule type="cellIs" dxfId="38018" priority="75834" operator="equal">
      <formula>"OFF"</formula>
    </cfRule>
    <cfRule type="cellIs" dxfId="38017" priority="75835" operator="equal">
      <formula>"PTO"</formula>
    </cfRule>
  </conditionalFormatting>
  <conditionalFormatting sqref="M128:M131">
    <cfRule type="cellIs" dxfId="38016" priority="75832" operator="equal">
      <formula>"OFF"</formula>
    </cfRule>
    <cfRule type="cellIs" dxfId="38015" priority="75833" operator="equal">
      <formula>"PTO"</formula>
    </cfRule>
  </conditionalFormatting>
  <conditionalFormatting sqref="M128:M131">
    <cfRule type="cellIs" dxfId="38014" priority="75830" operator="equal">
      <formula>"OFF"</formula>
    </cfRule>
    <cfRule type="cellIs" dxfId="38013" priority="75831" operator="equal">
      <formula>"PTO"</formula>
    </cfRule>
  </conditionalFormatting>
  <conditionalFormatting sqref="O128:P131 K128:M131">
    <cfRule type="cellIs" dxfId="38012" priority="75828" operator="equal">
      <formula>"OFF"</formula>
    </cfRule>
    <cfRule type="cellIs" dxfId="38011" priority="75829" operator="equal">
      <formula>"PTO"</formula>
    </cfRule>
  </conditionalFormatting>
  <conditionalFormatting sqref="K128:M131 O128:P131">
    <cfRule type="cellIs" dxfId="38010" priority="75826" operator="equal">
      <formula>"OFF"</formula>
    </cfRule>
    <cfRule type="cellIs" dxfId="38009" priority="75827" operator="equal">
      <formula>"PTO"</formula>
    </cfRule>
  </conditionalFormatting>
  <conditionalFormatting sqref="O128:O131">
    <cfRule type="cellIs" dxfId="38008" priority="75824" operator="equal">
      <formula>"OFF"</formula>
    </cfRule>
    <cfRule type="cellIs" dxfId="38007" priority="75825" operator="equal">
      <formula>"PTO"</formula>
    </cfRule>
  </conditionalFormatting>
  <conditionalFormatting sqref="O128:O131">
    <cfRule type="cellIs" dxfId="38006" priority="75822" operator="equal">
      <formula>"OFF"</formula>
    </cfRule>
    <cfRule type="cellIs" dxfId="38005" priority="75823" operator="equal">
      <formula>"PTO"</formula>
    </cfRule>
  </conditionalFormatting>
  <conditionalFormatting sqref="U128:U131">
    <cfRule type="cellIs" dxfId="38004" priority="75562" operator="equal">
      <formula>"OFF"</formula>
    </cfRule>
    <cfRule type="cellIs" dxfId="38003" priority="75563" operator="equal">
      <formula>"PTO"</formula>
    </cfRule>
  </conditionalFormatting>
  <conditionalFormatting sqref="U128:U131">
    <cfRule type="cellIs" dxfId="38002" priority="75560" operator="equal">
      <formula>"OFF"</formula>
    </cfRule>
    <cfRule type="cellIs" dxfId="38001" priority="75561" operator="equal">
      <formula>"PTO"</formula>
    </cfRule>
  </conditionalFormatting>
  <conditionalFormatting sqref="U128:U131">
    <cfRule type="cellIs" dxfId="38000" priority="75558" operator="equal">
      <formula>"OFF"</formula>
    </cfRule>
    <cfRule type="cellIs" dxfId="37999" priority="75559" operator="equal">
      <formula>"PTO"</formula>
    </cfRule>
  </conditionalFormatting>
  <conditionalFormatting sqref="U128:U131">
    <cfRule type="cellIs" dxfId="37998" priority="75556" operator="equal">
      <formula>"OFF"</formula>
    </cfRule>
    <cfRule type="cellIs" dxfId="37997" priority="75557" operator="equal">
      <formula>"PTO"</formula>
    </cfRule>
  </conditionalFormatting>
  <conditionalFormatting sqref="U128:U131">
    <cfRule type="cellIs" dxfId="37996" priority="75554" operator="equal">
      <formula>"OFF"</formula>
    </cfRule>
    <cfRule type="cellIs" dxfId="37995" priority="75555" operator="equal">
      <formula>"PTO"</formula>
    </cfRule>
  </conditionalFormatting>
  <conditionalFormatting sqref="U128:U131">
    <cfRule type="cellIs" dxfId="37994" priority="75552" operator="equal">
      <formula>"OFF"</formula>
    </cfRule>
    <cfRule type="cellIs" dxfId="37993" priority="75553" operator="equal">
      <formula>"PTO"</formula>
    </cfRule>
  </conditionalFormatting>
  <conditionalFormatting sqref="Q128:Q131">
    <cfRule type="cellIs" dxfId="37992" priority="75550" operator="equal">
      <formula>"OFF"</formula>
    </cfRule>
    <cfRule type="cellIs" dxfId="37991" priority="75551" operator="equal">
      <formula>"PTO"</formula>
    </cfRule>
  </conditionalFormatting>
  <conditionalFormatting sqref="Q128:Q131">
    <cfRule type="cellIs" dxfId="37990" priority="75548" operator="equal">
      <formula>"OFF"</formula>
    </cfRule>
    <cfRule type="cellIs" dxfId="37989" priority="75549" operator="equal">
      <formula>"PTO"</formula>
    </cfRule>
  </conditionalFormatting>
  <conditionalFormatting sqref="Q128:Q131">
    <cfRule type="cellIs" dxfId="37988" priority="75546" operator="equal">
      <formula>"OFF"</formula>
    </cfRule>
    <cfRule type="cellIs" dxfId="37987" priority="75547" operator="equal">
      <formula>"PTO"</formula>
    </cfRule>
  </conditionalFormatting>
  <conditionalFormatting sqref="Q128:Q131">
    <cfRule type="cellIs" dxfId="37986" priority="75544" operator="equal">
      <formula>"OFF"</formula>
    </cfRule>
    <cfRule type="cellIs" dxfId="37985" priority="75545" operator="equal">
      <formula>"PTO"</formula>
    </cfRule>
  </conditionalFormatting>
  <conditionalFormatting sqref="Q128:Q131">
    <cfRule type="cellIs" dxfId="37984" priority="75542" operator="equal">
      <formula>"OFF"</formula>
    </cfRule>
    <cfRule type="cellIs" dxfId="37983" priority="75543" operator="equal">
      <formula>"PTO"</formula>
    </cfRule>
  </conditionalFormatting>
  <conditionalFormatting sqref="Y128:Y131">
    <cfRule type="cellIs" dxfId="37982" priority="75540" operator="equal">
      <formula>"OFF"</formula>
    </cfRule>
    <cfRule type="cellIs" dxfId="37981" priority="75541" operator="equal">
      <formula>"PTO"</formula>
    </cfRule>
  </conditionalFormatting>
  <conditionalFormatting sqref="Y128:Y131">
    <cfRule type="cellIs" dxfId="37980" priority="75538" operator="equal">
      <formula>"OFF"</formula>
    </cfRule>
    <cfRule type="cellIs" dxfId="37979" priority="75539" operator="equal">
      <formula>"PTO"</formula>
    </cfRule>
  </conditionalFormatting>
  <conditionalFormatting sqref="Y128:Y131">
    <cfRule type="cellIs" dxfId="37978" priority="75536" operator="equal">
      <formula>"OFF"</formula>
    </cfRule>
    <cfRule type="cellIs" dxfId="37977" priority="75537" operator="equal">
      <formula>"PTO"</formula>
    </cfRule>
  </conditionalFormatting>
  <conditionalFormatting sqref="Y128:Y131">
    <cfRule type="cellIs" dxfId="37976" priority="75534" operator="equal">
      <formula>"OFF"</formula>
    </cfRule>
    <cfRule type="cellIs" dxfId="37975" priority="75535" operator="equal">
      <formula>"PTO"</formula>
    </cfRule>
  </conditionalFormatting>
  <conditionalFormatting sqref="Y128:Y131">
    <cfRule type="cellIs" dxfId="37974" priority="75516" operator="equal">
      <formula>"OFF"</formula>
    </cfRule>
    <cfRule type="cellIs" dxfId="37973" priority="75517" operator="equal">
      <formula>"PTO"</formula>
    </cfRule>
  </conditionalFormatting>
  <conditionalFormatting sqref="Y128:Y131">
    <cfRule type="cellIs" dxfId="37972" priority="75514" operator="equal">
      <formula>"OFF"</formula>
    </cfRule>
    <cfRule type="cellIs" dxfId="37971" priority="75515" operator="equal">
      <formula>"PTO"</formula>
    </cfRule>
  </conditionalFormatting>
  <conditionalFormatting sqref="Y128:Y131">
    <cfRule type="cellIs" dxfId="37970" priority="75512" operator="equal">
      <formula>"OFF"</formula>
    </cfRule>
    <cfRule type="cellIs" dxfId="37969" priority="75513" operator="equal">
      <formula>"PTO"</formula>
    </cfRule>
  </conditionalFormatting>
  <conditionalFormatting sqref="Y128:Y131">
    <cfRule type="cellIs" dxfId="37968" priority="75510" operator="equal">
      <formula>"OFF"</formula>
    </cfRule>
    <cfRule type="cellIs" dxfId="37967" priority="75511" operator="equal">
      <formula>"PTO"</formula>
    </cfRule>
  </conditionalFormatting>
  <conditionalFormatting sqref="Y128:Y131">
    <cfRule type="cellIs" dxfId="37966" priority="75508" operator="equal">
      <formula>"OFF"</formula>
    </cfRule>
    <cfRule type="cellIs" dxfId="37965" priority="75509" operator="equal">
      <formula>"PTO"</formula>
    </cfRule>
  </conditionalFormatting>
  <conditionalFormatting sqref="Y128:Y131">
    <cfRule type="cellIs" dxfId="37964" priority="75506" operator="equal">
      <formula>"OFF"</formula>
    </cfRule>
    <cfRule type="cellIs" dxfId="37963" priority="75507" operator="equal">
      <formula>"PTO"</formula>
    </cfRule>
  </conditionalFormatting>
  <conditionalFormatting sqref="Y128:Y131">
    <cfRule type="cellIs" dxfId="37962" priority="75504" operator="equal">
      <formula>"OFF"</formula>
    </cfRule>
    <cfRule type="cellIs" dxfId="37961" priority="75505" operator="equal">
      <formula>"PTO"</formula>
    </cfRule>
  </conditionalFormatting>
  <conditionalFormatting sqref="Y128:Y131">
    <cfRule type="cellIs" dxfId="37960" priority="75502" operator="equal">
      <formula>"OFF"</formula>
    </cfRule>
    <cfRule type="cellIs" dxfId="37959" priority="75503" operator="equal">
      <formula>"PTO"</formula>
    </cfRule>
  </conditionalFormatting>
  <conditionalFormatting sqref="Y128:Y131">
    <cfRule type="cellIs" dxfId="37958" priority="75500" operator="equal">
      <formula>"OFF"</formula>
    </cfRule>
    <cfRule type="cellIs" dxfId="37957" priority="75501" operator="equal">
      <formula>"PTO"</formula>
    </cfRule>
  </conditionalFormatting>
  <conditionalFormatting sqref="Y128:Y131">
    <cfRule type="cellIs" dxfId="37956" priority="75498" operator="equal">
      <formula>"OFF"</formula>
    </cfRule>
    <cfRule type="cellIs" dxfId="37955" priority="75499" operator="equal">
      <formula>"PTO"</formula>
    </cfRule>
  </conditionalFormatting>
  <conditionalFormatting sqref="Y128:Y131">
    <cfRule type="cellIs" dxfId="37954" priority="75496" operator="equal">
      <formula>"OFF"</formula>
    </cfRule>
    <cfRule type="cellIs" dxfId="37953" priority="75497" operator="equal">
      <formula>"PTO"</formula>
    </cfRule>
  </conditionalFormatting>
  <conditionalFormatting sqref="Y128:Y131">
    <cfRule type="cellIs" dxfId="37952" priority="75494" operator="equal">
      <formula>"OFF"</formula>
    </cfRule>
    <cfRule type="cellIs" dxfId="37951" priority="75495" operator="equal">
      <formula>"PTO"</formula>
    </cfRule>
  </conditionalFormatting>
  <conditionalFormatting sqref="V128:W131">
    <cfRule type="cellIs" dxfId="37950" priority="75654" operator="equal">
      <formula>"OFF"</formula>
    </cfRule>
    <cfRule type="cellIs" dxfId="37949" priority="75655" operator="equal">
      <formula>"PTO"</formula>
    </cfRule>
  </conditionalFormatting>
  <conditionalFormatting sqref="R128:R131">
    <cfRule type="cellIs" dxfId="37948" priority="75652" operator="equal">
      <formula>"OFF"</formula>
    </cfRule>
    <cfRule type="cellIs" dxfId="37947" priority="75653" operator="equal">
      <formula>"PTO"</formula>
    </cfRule>
  </conditionalFormatting>
  <conditionalFormatting sqref="U128:U131">
    <cfRule type="cellIs" dxfId="37946" priority="75650" operator="equal">
      <formula>"OFF"</formula>
    </cfRule>
    <cfRule type="cellIs" dxfId="37945" priority="75651" operator="equal">
      <formula>"PTO"</formula>
    </cfRule>
  </conditionalFormatting>
  <conditionalFormatting sqref="V128:W131">
    <cfRule type="cellIs" dxfId="37944" priority="75648" operator="equal">
      <formula>"OFF"</formula>
    </cfRule>
    <cfRule type="cellIs" dxfId="37943" priority="75649" operator="equal">
      <formula>"PTO"</formula>
    </cfRule>
  </conditionalFormatting>
  <conditionalFormatting sqref="R128:R131">
    <cfRule type="cellIs" dxfId="37942" priority="75646" operator="equal">
      <formula>"OFF"</formula>
    </cfRule>
    <cfRule type="cellIs" dxfId="37941" priority="75647" operator="equal">
      <formula>"PTO"</formula>
    </cfRule>
  </conditionalFormatting>
  <conditionalFormatting sqref="U128:U131">
    <cfRule type="cellIs" dxfId="37940" priority="75644" operator="equal">
      <formula>"OFF"</formula>
    </cfRule>
    <cfRule type="cellIs" dxfId="37939" priority="75645" operator="equal">
      <formula>"PTO"</formula>
    </cfRule>
  </conditionalFormatting>
  <conditionalFormatting sqref="V128:W131">
    <cfRule type="cellIs" dxfId="37938" priority="75642" operator="equal">
      <formula>"OFF"</formula>
    </cfRule>
    <cfRule type="cellIs" dxfId="37937" priority="75643" operator="equal">
      <formula>"PTO"</formula>
    </cfRule>
  </conditionalFormatting>
  <conditionalFormatting sqref="R128:R131">
    <cfRule type="cellIs" dxfId="37936" priority="75640" operator="equal">
      <formula>"OFF"</formula>
    </cfRule>
    <cfRule type="cellIs" dxfId="37935" priority="75641" operator="equal">
      <formula>"PTO"</formula>
    </cfRule>
  </conditionalFormatting>
  <conditionalFormatting sqref="U128:U131">
    <cfRule type="cellIs" dxfId="37934" priority="75638" operator="equal">
      <formula>"OFF"</formula>
    </cfRule>
    <cfRule type="cellIs" dxfId="37933" priority="75639" operator="equal">
      <formula>"PTO"</formula>
    </cfRule>
  </conditionalFormatting>
  <conditionalFormatting sqref="V128:W131">
    <cfRule type="cellIs" dxfId="37932" priority="75636" operator="equal">
      <formula>"OFF"</formula>
    </cfRule>
    <cfRule type="cellIs" dxfId="37931" priority="75637" operator="equal">
      <formula>"PTO"</formula>
    </cfRule>
  </conditionalFormatting>
  <conditionalFormatting sqref="R128:R131">
    <cfRule type="cellIs" dxfId="37930" priority="75634" operator="equal">
      <formula>"OFF"</formula>
    </cfRule>
    <cfRule type="cellIs" dxfId="37929" priority="75635" operator="equal">
      <formula>"PTO"</formula>
    </cfRule>
  </conditionalFormatting>
  <conditionalFormatting sqref="U128:U131">
    <cfRule type="cellIs" dxfId="37928" priority="75632" operator="equal">
      <formula>"OFF"</formula>
    </cfRule>
    <cfRule type="cellIs" dxfId="37927" priority="75633" operator="equal">
      <formula>"PTO"</formula>
    </cfRule>
  </conditionalFormatting>
  <conditionalFormatting sqref="V128:W131 R128:T131">
    <cfRule type="cellIs" dxfId="37926" priority="75630" operator="equal">
      <formula>"OFF"</formula>
    </cfRule>
    <cfRule type="cellIs" dxfId="37925" priority="75631" operator="equal">
      <formula>"PTO"</formula>
    </cfRule>
  </conditionalFormatting>
  <conditionalFormatting sqref="R128:T131 V128:W131">
    <cfRule type="cellIs" dxfId="37924" priority="75628" operator="equal">
      <formula>"OFF"</formula>
    </cfRule>
    <cfRule type="cellIs" dxfId="37923" priority="75629" operator="equal">
      <formula>"PTO"</formula>
    </cfRule>
  </conditionalFormatting>
  <conditionalFormatting sqref="V128:V131">
    <cfRule type="cellIs" dxfId="37922" priority="75626" operator="equal">
      <formula>"OFF"</formula>
    </cfRule>
    <cfRule type="cellIs" dxfId="37921" priority="75627" operator="equal">
      <formula>"PTO"</formula>
    </cfRule>
  </conditionalFormatting>
  <conditionalFormatting sqref="V128:V131">
    <cfRule type="cellIs" dxfId="37920" priority="75624" operator="equal">
      <formula>"OFF"</formula>
    </cfRule>
    <cfRule type="cellIs" dxfId="37919" priority="75625" operator="equal">
      <formula>"PTO"</formula>
    </cfRule>
  </conditionalFormatting>
  <conditionalFormatting sqref="T128:T131">
    <cfRule type="cellIs" dxfId="37918" priority="75622" operator="equal">
      <formula>"OFF"</formula>
    </cfRule>
    <cfRule type="cellIs" dxfId="37917" priority="75623" operator="equal">
      <formula>"PTO"</formula>
    </cfRule>
  </conditionalFormatting>
  <conditionalFormatting sqref="T128:T131">
    <cfRule type="cellIs" dxfId="37916" priority="75620" operator="equal">
      <formula>"OFF"</formula>
    </cfRule>
    <cfRule type="cellIs" dxfId="37915" priority="75621" operator="equal">
      <formula>"PTO"</formula>
    </cfRule>
  </conditionalFormatting>
  <conditionalFormatting sqref="V128:W131 R128:T131">
    <cfRule type="cellIs" dxfId="37914" priority="75618" operator="equal">
      <formula>"OFF"</formula>
    </cfRule>
    <cfRule type="cellIs" dxfId="37913" priority="75619" operator="equal">
      <formula>"PTO"</formula>
    </cfRule>
  </conditionalFormatting>
  <conditionalFormatting sqref="R128:T131 V128:W131">
    <cfRule type="cellIs" dxfId="37912" priority="75616" operator="equal">
      <formula>"OFF"</formula>
    </cfRule>
    <cfRule type="cellIs" dxfId="37911" priority="75617" operator="equal">
      <formula>"PTO"</formula>
    </cfRule>
  </conditionalFormatting>
  <conditionalFormatting sqref="V128:V131">
    <cfRule type="cellIs" dxfId="37910" priority="75614" operator="equal">
      <formula>"OFF"</formula>
    </cfRule>
    <cfRule type="cellIs" dxfId="37909" priority="75615" operator="equal">
      <formula>"PTO"</formula>
    </cfRule>
  </conditionalFormatting>
  <conditionalFormatting sqref="V128:V131">
    <cfRule type="cellIs" dxfId="37908" priority="75612" operator="equal">
      <formula>"OFF"</formula>
    </cfRule>
    <cfRule type="cellIs" dxfId="37907" priority="75613" operator="equal">
      <formula>"PTO"</formula>
    </cfRule>
  </conditionalFormatting>
  <conditionalFormatting sqref="T128:T131">
    <cfRule type="cellIs" dxfId="37906" priority="75610" operator="equal">
      <formula>"OFF"</formula>
    </cfRule>
    <cfRule type="cellIs" dxfId="37905" priority="75611" operator="equal">
      <formula>"PTO"</formula>
    </cfRule>
  </conditionalFormatting>
  <conditionalFormatting sqref="T128:T131">
    <cfRule type="cellIs" dxfId="37904" priority="75608" operator="equal">
      <formula>"OFF"</formula>
    </cfRule>
    <cfRule type="cellIs" dxfId="37903" priority="75609" operator="equal">
      <formula>"PTO"</formula>
    </cfRule>
  </conditionalFormatting>
  <conditionalFormatting sqref="T128:T131">
    <cfRule type="cellIs" dxfId="37902" priority="75606" operator="equal">
      <formula>"OFF"</formula>
    </cfRule>
    <cfRule type="cellIs" dxfId="37901" priority="75607" operator="equal">
      <formula>"PTO"</formula>
    </cfRule>
  </conditionalFormatting>
  <conditionalFormatting sqref="T128:T131">
    <cfRule type="cellIs" dxfId="37900" priority="75604" operator="equal">
      <formula>"OFF"</formula>
    </cfRule>
    <cfRule type="cellIs" dxfId="37899" priority="75605" operator="equal">
      <formula>"PTO"</formula>
    </cfRule>
  </conditionalFormatting>
  <conditionalFormatting sqref="V128:V131">
    <cfRule type="cellIs" dxfId="37898" priority="75602" operator="equal">
      <formula>"OFF"</formula>
    </cfRule>
    <cfRule type="cellIs" dxfId="37897" priority="75603" operator="equal">
      <formula>"PTO"</formula>
    </cfRule>
  </conditionalFormatting>
  <conditionalFormatting sqref="V128:V131">
    <cfRule type="cellIs" dxfId="37896" priority="75600" operator="equal">
      <formula>"OFF"</formula>
    </cfRule>
    <cfRule type="cellIs" dxfId="37895" priority="75601" operator="equal">
      <formula>"PTO"</formula>
    </cfRule>
  </conditionalFormatting>
  <conditionalFormatting sqref="V128:V131">
    <cfRule type="cellIs" dxfId="37894" priority="75598" operator="equal">
      <formula>"OFF"</formula>
    </cfRule>
    <cfRule type="cellIs" dxfId="37893" priority="75599" operator="equal">
      <formula>"PTO"</formula>
    </cfRule>
  </conditionalFormatting>
  <conditionalFormatting sqref="V128:V131">
    <cfRule type="cellIs" dxfId="37892" priority="75596" operator="equal">
      <formula>"OFF"</formula>
    </cfRule>
    <cfRule type="cellIs" dxfId="37891" priority="75597" operator="equal">
      <formula>"PTO"</formula>
    </cfRule>
  </conditionalFormatting>
  <conditionalFormatting sqref="T128:T131">
    <cfRule type="cellIs" dxfId="37890" priority="75594" operator="equal">
      <formula>"OFF"</formula>
    </cfRule>
    <cfRule type="cellIs" dxfId="37889" priority="75595" operator="equal">
      <formula>"PTO"</formula>
    </cfRule>
  </conditionalFormatting>
  <conditionalFormatting sqref="T128:T131">
    <cfRule type="cellIs" dxfId="37888" priority="75592" operator="equal">
      <formula>"OFF"</formula>
    </cfRule>
    <cfRule type="cellIs" dxfId="37887" priority="75593" operator="equal">
      <formula>"PTO"</formula>
    </cfRule>
  </conditionalFormatting>
  <conditionalFormatting sqref="S128:S131">
    <cfRule type="cellIs" dxfId="37886" priority="75590" operator="equal">
      <formula>"OFF"</formula>
    </cfRule>
    <cfRule type="cellIs" dxfId="37885" priority="75591" operator="equal">
      <formula>"PTO"</formula>
    </cfRule>
  </conditionalFormatting>
  <conditionalFormatting sqref="S128:S131">
    <cfRule type="cellIs" dxfId="37884" priority="75588" operator="equal">
      <formula>"OFF"</formula>
    </cfRule>
    <cfRule type="cellIs" dxfId="37883" priority="75589" operator="equal">
      <formula>"PTO"</formula>
    </cfRule>
  </conditionalFormatting>
  <conditionalFormatting sqref="T128:T131">
    <cfRule type="cellIs" dxfId="37882" priority="75586" operator="equal">
      <formula>"OFF"</formula>
    </cfRule>
    <cfRule type="cellIs" dxfId="37881" priority="75587" operator="equal">
      <formula>"PTO"</formula>
    </cfRule>
  </conditionalFormatting>
  <conditionalFormatting sqref="T128:T131">
    <cfRule type="cellIs" dxfId="37880" priority="75584" operator="equal">
      <formula>"OFF"</formula>
    </cfRule>
    <cfRule type="cellIs" dxfId="37879" priority="75585" operator="equal">
      <formula>"PTO"</formula>
    </cfRule>
  </conditionalFormatting>
  <conditionalFormatting sqref="S128:S131">
    <cfRule type="cellIs" dxfId="37878" priority="75582" operator="equal">
      <formula>"OFF"</formula>
    </cfRule>
    <cfRule type="cellIs" dxfId="37877" priority="75583" operator="equal">
      <formula>"PTO"</formula>
    </cfRule>
  </conditionalFormatting>
  <conditionalFormatting sqref="S128:S131">
    <cfRule type="cellIs" dxfId="37876" priority="75580" operator="equal">
      <formula>"OFF"</formula>
    </cfRule>
    <cfRule type="cellIs" dxfId="37875" priority="75581" operator="equal">
      <formula>"PTO"</formula>
    </cfRule>
  </conditionalFormatting>
  <conditionalFormatting sqref="S128:S131">
    <cfRule type="cellIs" dxfId="37874" priority="75578" operator="equal">
      <formula>"OFF"</formula>
    </cfRule>
    <cfRule type="cellIs" dxfId="37873" priority="75579" operator="equal">
      <formula>"PTO"</formula>
    </cfRule>
  </conditionalFormatting>
  <conditionalFormatting sqref="S128:S131">
    <cfRule type="cellIs" dxfId="37872" priority="75576" operator="equal">
      <formula>"OFF"</formula>
    </cfRule>
    <cfRule type="cellIs" dxfId="37871" priority="75577" operator="equal">
      <formula>"PTO"</formula>
    </cfRule>
  </conditionalFormatting>
  <conditionalFormatting sqref="U128:U131">
    <cfRule type="cellIs" dxfId="37870" priority="75574" operator="equal">
      <formula>"OFF"</formula>
    </cfRule>
    <cfRule type="cellIs" dxfId="37869" priority="75575" operator="equal">
      <formula>"PTO"</formula>
    </cfRule>
  </conditionalFormatting>
  <conditionalFormatting sqref="U128:U131">
    <cfRule type="cellIs" dxfId="37868" priority="75572" operator="equal">
      <formula>"OFF"</formula>
    </cfRule>
    <cfRule type="cellIs" dxfId="37867" priority="75573" operator="equal">
      <formula>"PTO"</formula>
    </cfRule>
  </conditionalFormatting>
  <conditionalFormatting sqref="U128:U131">
    <cfRule type="cellIs" dxfId="37866" priority="75570" operator="equal">
      <formula>"OFF"</formula>
    </cfRule>
    <cfRule type="cellIs" dxfId="37865" priority="75571" operator="equal">
      <formula>"PTO"</formula>
    </cfRule>
  </conditionalFormatting>
  <conditionalFormatting sqref="U128:U131">
    <cfRule type="cellIs" dxfId="37864" priority="75568" operator="equal">
      <formula>"OFF"</formula>
    </cfRule>
    <cfRule type="cellIs" dxfId="37863" priority="75569" operator="equal">
      <formula>"PTO"</formula>
    </cfRule>
  </conditionalFormatting>
  <conditionalFormatting sqref="U128:U131">
    <cfRule type="cellIs" dxfId="37862" priority="75566" operator="equal">
      <formula>"OFF"</formula>
    </cfRule>
    <cfRule type="cellIs" dxfId="37861" priority="75567" operator="equal">
      <formula>"PTO"</formula>
    </cfRule>
  </conditionalFormatting>
  <conditionalFormatting sqref="U128:U131">
    <cfRule type="cellIs" dxfId="37860" priority="75564" operator="equal">
      <formula>"OFF"</formula>
    </cfRule>
    <cfRule type="cellIs" dxfId="37859" priority="75565" operator="equal">
      <formula>"PTO"</formula>
    </cfRule>
  </conditionalFormatting>
  <conditionalFormatting sqref="Y128:Y131">
    <cfRule type="cellIs" dxfId="37858" priority="75492" operator="equal">
      <formula>"OFF"</formula>
    </cfRule>
    <cfRule type="cellIs" dxfId="37857" priority="75493" operator="equal">
      <formula>"PTO"</formula>
    </cfRule>
  </conditionalFormatting>
  <conditionalFormatting sqref="Y128:Y131">
    <cfRule type="cellIs" dxfId="37856" priority="75490" operator="equal">
      <formula>"OFF"</formula>
    </cfRule>
    <cfRule type="cellIs" dxfId="37855" priority="75491" operator="equal">
      <formula>"PTO"</formula>
    </cfRule>
  </conditionalFormatting>
  <conditionalFormatting sqref="Y128:Y131">
    <cfRule type="cellIs" dxfId="37854" priority="75488" operator="equal">
      <formula>"OFF"</formula>
    </cfRule>
    <cfRule type="cellIs" dxfId="37853" priority="75489" operator="equal">
      <formula>"PTO"</formula>
    </cfRule>
  </conditionalFormatting>
  <conditionalFormatting sqref="Y128:Y131">
    <cfRule type="cellIs" dxfId="37852" priority="75486" operator="equal">
      <formula>"OFF"</formula>
    </cfRule>
    <cfRule type="cellIs" dxfId="37851" priority="75487" operator="equal">
      <formula>"PTO"</formula>
    </cfRule>
  </conditionalFormatting>
  <conditionalFormatting sqref="Q39 W22:W31 W33:W39">
    <cfRule type="cellIs" dxfId="37850" priority="74787" operator="equal">
      <formula>"OFF"</formula>
    </cfRule>
    <cfRule type="cellIs" dxfId="37849" priority="74788" operator="equal">
      <formula>"PTO"</formula>
    </cfRule>
  </conditionalFormatting>
  <conditionalFormatting sqref="R39:S39">
    <cfRule type="cellIs" dxfId="37848" priority="74785" operator="equal">
      <formula>"OFF"</formula>
    </cfRule>
    <cfRule type="cellIs" dxfId="37847" priority="74786" operator="equal">
      <formula>"PTO"</formula>
    </cfRule>
  </conditionalFormatting>
  <conditionalFormatting sqref="T22:T31 T33:T39">
    <cfRule type="cellIs" dxfId="37846" priority="74783" operator="equal">
      <formula>"OFF"</formula>
    </cfRule>
    <cfRule type="cellIs" dxfId="37845" priority="74784" operator="equal">
      <formula>"PTO"</formula>
    </cfRule>
  </conditionalFormatting>
  <conditionalFormatting sqref="U22:U31 U33:U39">
    <cfRule type="cellIs" dxfId="37844" priority="74781" operator="equal">
      <formula>"OFF"</formula>
    </cfRule>
    <cfRule type="cellIs" dxfId="37843" priority="74782" operator="equal">
      <formula>"PTO"</formula>
    </cfRule>
  </conditionalFormatting>
  <conditionalFormatting sqref="V22:V31 V33:V39">
    <cfRule type="cellIs" dxfId="37842" priority="74779" operator="equal">
      <formula>"OFF"</formula>
    </cfRule>
    <cfRule type="cellIs" dxfId="37841" priority="74780" operator="equal">
      <formula>"PTO"</formula>
    </cfRule>
  </conditionalFormatting>
  <conditionalFormatting sqref="U24">
    <cfRule type="cellIs" dxfId="37840" priority="72717" operator="equal">
      <formula>"OFF"</formula>
    </cfRule>
    <cfRule type="cellIs" dxfId="37839" priority="72718" operator="equal">
      <formula>"PTO"</formula>
    </cfRule>
  </conditionalFormatting>
  <conditionalFormatting sqref="Q22:Q31 Q33:Q39">
    <cfRule type="cellIs" dxfId="37838" priority="61373" operator="equal">
      <formula>"OFF"</formula>
    </cfRule>
    <cfRule type="cellIs" dxfId="37837" priority="61374" operator="equal">
      <formula>"PTO"</formula>
    </cfRule>
  </conditionalFormatting>
  <conditionalFormatting sqref="R22:S31 R33:S39">
    <cfRule type="cellIs" dxfId="37836" priority="61371" operator="equal">
      <formula>"OFF"</formula>
    </cfRule>
    <cfRule type="cellIs" dxfId="37835" priority="61372" operator="equal">
      <formula>"PTO"</formula>
    </cfRule>
  </conditionalFormatting>
  <conditionalFormatting sqref="Q22:Q31 Q33:Q39">
    <cfRule type="cellIs" dxfId="37834" priority="61369" operator="equal">
      <formula>"OFF"</formula>
    </cfRule>
    <cfRule type="cellIs" dxfId="37833" priority="61370" operator="equal">
      <formula>"PTO"</formula>
    </cfRule>
  </conditionalFormatting>
  <conditionalFormatting sqref="R22:S31 R33:S39">
    <cfRule type="cellIs" dxfId="37832" priority="61367" operator="equal">
      <formula>"OFF"</formula>
    </cfRule>
    <cfRule type="cellIs" dxfId="37831" priority="61368" operator="equal">
      <formula>"PTO"</formula>
    </cfRule>
  </conditionalFormatting>
  <conditionalFormatting sqref="R22:S31 R33:S39">
    <cfRule type="cellIs" dxfId="37830" priority="61365" operator="equal">
      <formula>"OFF"</formula>
    </cfRule>
    <cfRule type="cellIs" dxfId="37829" priority="61366" operator="equal">
      <formula>"PTO"</formula>
    </cfRule>
  </conditionalFormatting>
  <conditionalFormatting sqref="Q22:Q31 Q33:Q39">
    <cfRule type="cellIs" dxfId="37828" priority="61363" operator="equal">
      <formula>"OFF"</formula>
    </cfRule>
    <cfRule type="cellIs" dxfId="37827" priority="61364" operator="equal">
      <formula>"PTO"</formula>
    </cfRule>
  </conditionalFormatting>
  <conditionalFormatting sqref="R22:S31 R33:S39">
    <cfRule type="cellIs" dxfId="37826" priority="61361" operator="equal">
      <formula>"OFF"</formula>
    </cfRule>
    <cfRule type="cellIs" dxfId="37825" priority="61362" operator="equal">
      <formula>"PTO"</formula>
    </cfRule>
  </conditionalFormatting>
  <conditionalFormatting sqref="X16">
    <cfRule type="cellIs" dxfId="37824" priority="55195" operator="equal">
      <formula>"OFF"</formula>
    </cfRule>
    <cfRule type="cellIs" dxfId="37823" priority="55196" operator="equal">
      <formula>"PTO"</formula>
    </cfRule>
  </conditionalFormatting>
  <conditionalFormatting sqref="X19 X17 X21">
    <cfRule type="cellIs" dxfId="37822" priority="55193" operator="equal">
      <formula>"OFF"</formula>
    </cfRule>
    <cfRule type="cellIs" dxfId="37821" priority="55194" operator="equal">
      <formula>"PTO"</formula>
    </cfRule>
  </conditionalFormatting>
  <conditionalFormatting sqref="X18">
    <cfRule type="cellIs" dxfId="37820" priority="55191" operator="equal">
      <formula>"OFF"</formula>
    </cfRule>
    <cfRule type="cellIs" dxfId="37819" priority="55192" operator="equal">
      <formula>"PTO"</formula>
    </cfRule>
  </conditionalFormatting>
  <conditionalFormatting sqref="X20">
    <cfRule type="cellIs" dxfId="37818" priority="55161" operator="equal">
      <formula>"OFF"</formula>
    </cfRule>
    <cfRule type="cellIs" dxfId="37817" priority="55162" operator="equal">
      <formula>"PTO"</formula>
    </cfRule>
  </conditionalFormatting>
  <conditionalFormatting sqref="X26">
    <cfRule type="cellIs" dxfId="37816" priority="55073" operator="equal">
      <formula>"OFF"</formula>
    </cfRule>
    <cfRule type="cellIs" dxfId="37815" priority="55074" operator="equal">
      <formula>"PTO"</formula>
    </cfRule>
  </conditionalFormatting>
  <conditionalFormatting sqref="X24">
    <cfRule type="cellIs" dxfId="37814" priority="55069" operator="equal">
      <formula>"OFF"</formula>
    </cfRule>
    <cfRule type="cellIs" dxfId="37813" priority="55070" operator="equal">
      <formula>"PTO"</formula>
    </cfRule>
  </conditionalFormatting>
  <conditionalFormatting sqref="X23">
    <cfRule type="cellIs" dxfId="37812" priority="55067" operator="equal">
      <formula>"OFF"</formula>
    </cfRule>
    <cfRule type="cellIs" dxfId="37811" priority="55068" operator="equal">
      <formula>"PTO"</formula>
    </cfRule>
  </conditionalFormatting>
  <conditionalFormatting sqref="X26">
    <cfRule type="cellIs" dxfId="37810" priority="55065" operator="equal">
      <formula>"OFF"</formula>
    </cfRule>
    <cfRule type="cellIs" dxfId="37809" priority="55066" operator="equal">
      <formula>"PTO"</formula>
    </cfRule>
  </conditionalFormatting>
  <conditionalFormatting sqref="X25">
    <cfRule type="cellIs" dxfId="37808" priority="55063" operator="equal">
      <formula>"OFF"</formula>
    </cfRule>
    <cfRule type="cellIs" dxfId="37807" priority="55064" operator="equal">
      <formula>"PTO"</formula>
    </cfRule>
  </conditionalFormatting>
  <conditionalFormatting sqref="B16">
    <cfRule type="duplicateValues" dxfId="37806" priority="55182"/>
  </conditionalFormatting>
  <conditionalFormatting sqref="B21">
    <cfRule type="duplicateValues" dxfId="37805" priority="55167"/>
  </conditionalFormatting>
  <conditionalFormatting sqref="B26">
    <cfRule type="duplicateValues" dxfId="37804" priority="55072"/>
  </conditionalFormatting>
  <conditionalFormatting sqref="B24">
    <cfRule type="duplicateValues" dxfId="37803" priority="55071"/>
  </conditionalFormatting>
  <conditionalFormatting sqref="B26">
    <cfRule type="duplicateValues" dxfId="37802" priority="55062"/>
  </conditionalFormatting>
  <conditionalFormatting sqref="B25">
    <cfRule type="duplicateValues" dxfId="37801" priority="55061"/>
  </conditionalFormatting>
  <conditionalFormatting sqref="B26">
    <cfRule type="duplicateValues" dxfId="37800" priority="55060"/>
  </conditionalFormatting>
  <conditionalFormatting sqref="X26">
    <cfRule type="cellIs" dxfId="37799" priority="55058" operator="equal">
      <formula>"OFF"</formula>
    </cfRule>
    <cfRule type="cellIs" dxfId="37798" priority="55059" operator="equal">
      <formula>"PTO"</formula>
    </cfRule>
  </conditionalFormatting>
  <conditionalFormatting sqref="T26:W26">
    <cfRule type="cellIs" dxfId="37797" priority="55056" operator="equal">
      <formula>"OFF"</formula>
    </cfRule>
    <cfRule type="cellIs" dxfId="37796" priority="55057" operator="equal">
      <formula>"PTO"</formula>
    </cfRule>
  </conditionalFormatting>
  <conditionalFormatting sqref="T24:W24">
    <cfRule type="cellIs" dxfId="37795" priority="55054" operator="equal">
      <formula>"OFF"</formula>
    </cfRule>
    <cfRule type="cellIs" dxfId="37794" priority="55055" operator="equal">
      <formula>"PTO"</formula>
    </cfRule>
  </conditionalFormatting>
  <conditionalFormatting sqref="T23:W23">
    <cfRule type="cellIs" dxfId="37793" priority="55052" operator="equal">
      <formula>"OFF"</formula>
    </cfRule>
    <cfRule type="cellIs" dxfId="37792" priority="55053" operator="equal">
      <formula>"PTO"</formula>
    </cfRule>
  </conditionalFormatting>
  <conditionalFormatting sqref="T26:W26">
    <cfRule type="cellIs" dxfId="37791" priority="55050" operator="equal">
      <formula>"OFF"</formula>
    </cfRule>
    <cfRule type="cellIs" dxfId="37790" priority="55051" operator="equal">
      <formula>"PTO"</formula>
    </cfRule>
  </conditionalFormatting>
  <conditionalFormatting sqref="T25:W25">
    <cfRule type="cellIs" dxfId="37789" priority="55048" operator="equal">
      <formula>"OFF"</formula>
    </cfRule>
    <cfRule type="cellIs" dxfId="37788" priority="55049" operator="equal">
      <formula>"PTO"</formula>
    </cfRule>
  </conditionalFormatting>
  <conditionalFormatting sqref="T26:W26">
    <cfRule type="cellIs" dxfId="37787" priority="55046" operator="equal">
      <formula>"OFF"</formula>
    </cfRule>
    <cfRule type="cellIs" dxfId="37786" priority="55047" operator="equal">
      <formula>"PTO"</formula>
    </cfRule>
  </conditionalFormatting>
  <conditionalFormatting sqref="U23">
    <cfRule type="cellIs" dxfId="37785" priority="55044" operator="equal">
      <formula>"OFF"</formula>
    </cfRule>
    <cfRule type="cellIs" dxfId="37784" priority="55045" operator="equal">
      <formula>"PTO"</formula>
    </cfRule>
  </conditionalFormatting>
  <conditionalFormatting sqref="X27">
    <cfRule type="cellIs" dxfId="37783" priority="55010" operator="equal">
      <formula>"OFF"</formula>
    </cfRule>
    <cfRule type="cellIs" dxfId="37782" priority="55011" operator="equal">
      <formula>"PTO"</formula>
    </cfRule>
  </conditionalFormatting>
  <conditionalFormatting sqref="X30">
    <cfRule type="cellIs" dxfId="37781" priority="55008" operator="equal">
      <formula>"OFF"</formula>
    </cfRule>
    <cfRule type="cellIs" dxfId="37780" priority="55009" operator="equal">
      <formula>"PTO"</formula>
    </cfRule>
  </conditionalFormatting>
  <conditionalFormatting sqref="X31">
    <cfRule type="cellIs" dxfId="37779" priority="55006" operator="equal">
      <formula>"OFF"</formula>
    </cfRule>
    <cfRule type="cellIs" dxfId="37778" priority="55007" operator="equal">
      <formula>"PTO"</formula>
    </cfRule>
  </conditionalFormatting>
  <conditionalFormatting sqref="B27">
    <cfRule type="duplicateValues" dxfId="37777" priority="55005"/>
  </conditionalFormatting>
  <conditionalFormatting sqref="B28">
    <cfRule type="duplicateValues" dxfId="37776" priority="55004"/>
  </conditionalFormatting>
  <conditionalFormatting sqref="X28">
    <cfRule type="cellIs" dxfId="37775" priority="55002" operator="equal">
      <formula>"OFF"</formula>
    </cfRule>
    <cfRule type="cellIs" dxfId="37774" priority="55003" operator="equal">
      <formula>"PTO"</formula>
    </cfRule>
  </conditionalFormatting>
  <conditionalFormatting sqref="B30">
    <cfRule type="duplicateValues" dxfId="37773" priority="55001"/>
  </conditionalFormatting>
  <conditionalFormatting sqref="B29">
    <cfRule type="duplicateValues" dxfId="37772" priority="55000"/>
  </conditionalFormatting>
  <conditionalFormatting sqref="X29">
    <cfRule type="cellIs" dxfId="37771" priority="54998" operator="equal">
      <formula>"OFF"</formula>
    </cfRule>
    <cfRule type="cellIs" dxfId="37770" priority="54999" operator="equal">
      <formula>"PTO"</formula>
    </cfRule>
  </conditionalFormatting>
  <conditionalFormatting sqref="B27">
    <cfRule type="duplicateValues" dxfId="37769" priority="54997"/>
  </conditionalFormatting>
  <conditionalFormatting sqref="X27">
    <cfRule type="cellIs" dxfId="37768" priority="54995" operator="equal">
      <formula>"OFF"</formula>
    </cfRule>
    <cfRule type="cellIs" dxfId="37767" priority="54996" operator="equal">
      <formula>"PTO"</formula>
    </cfRule>
  </conditionalFormatting>
  <conditionalFormatting sqref="B29">
    <cfRule type="duplicateValues" dxfId="37766" priority="54994"/>
  </conditionalFormatting>
  <conditionalFormatting sqref="X29">
    <cfRule type="cellIs" dxfId="37765" priority="54992" operator="equal">
      <formula>"OFF"</formula>
    </cfRule>
    <cfRule type="cellIs" dxfId="37764" priority="54993" operator="equal">
      <formula>"PTO"</formula>
    </cfRule>
  </conditionalFormatting>
  <conditionalFormatting sqref="B28">
    <cfRule type="duplicateValues" dxfId="37763" priority="54991"/>
  </conditionalFormatting>
  <conditionalFormatting sqref="X28">
    <cfRule type="cellIs" dxfId="37762" priority="54989" operator="equal">
      <formula>"OFF"</formula>
    </cfRule>
    <cfRule type="cellIs" dxfId="37761" priority="54990" operator="equal">
      <formula>"PTO"</formula>
    </cfRule>
  </conditionalFormatting>
  <conditionalFormatting sqref="B30">
    <cfRule type="duplicateValues" dxfId="37760" priority="54988"/>
  </conditionalFormatting>
  <conditionalFormatting sqref="X30">
    <cfRule type="cellIs" dxfId="37759" priority="54986" operator="equal">
      <formula>"OFF"</formula>
    </cfRule>
    <cfRule type="cellIs" dxfId="37758" priority="54987" operator="equal">
      <formula>"PTO"</formula>
    </cfRule>
  </conditionalFormatting>
  <conditionalFormatting sqref="X29">
    <cfRule type="cellIs" dxfId="37757" priority="54984" operator="equal">
      <formula>"OFF"</formula>
    </cfRule>
    <cfRule type="cellIs" dxfId="37756" priority="54985" operator="equal">
      <formula>"PTO"</formula>
    </cfRule>
  </conditionalFormatting>
  <conditionalFormatting sqref="X30">
    <cfRule type="cellIs" dxfId="37755" priority="54982" operator="equal">
      <formula>"OFF"</formula>
    </cfRule>
    <cfRule type="cellIs" dxfId="37754" priority="54983" operator="equal">
      <formula>"PTO"</formula>
    </cfRule>
  </conditionalFormatting>
  <conditionalFormatting sqref="B27">
    <cfRule type="duplicateValues" dxfId="37753" priority="54981"/>
  </conditionalFormatting>
  <conditionalFormatting sqref="X27">
    <cfRule type="cellIs" dxfId="37752" priority="54979" operator="equal">
      <formula>"OFF"</formula>
    </cfRule>
    <cfRule type="cellIs" dxfId="37751" priority="54980" operator="equal">
      <formula>"PTO"</formula>
    </cfRule>
  </conditionalFormatting>
  <conditionalFormatting sqref="B29">
    <cfRule type="duplicateValues" dxfId="37750" priority="54978"/>
  </conditionalFormatting>
  <conditionalFormatting sqref="B28">
    <cfRule type="duplicateValues" dxfId="37749" priority="54977"/>
  </conditionalFormatting>
  <conditionalFormatting sqref="X28">
    <cfRule type="cellIs" dxfId="37748" priority="54975" operator="equal">
      <formula>"OFF"</formula>
    </cfRule>
    <cfRule type="cellIs" dxfId="37747" priority="54976" operator="equal">
      <formula>"PTO"</formula>
    </cfRule>
  </conditionalFormatting>
  <conditionalFormatting sqref="B30">
    <cfRule type="duplicateValues" dxfId="37746" priority="54974"/>
  </conditionalFormatting>
  <conditionalFormatting sqref="B28">
    <cfRule type="duplicateValues" dxfId="37745" priority="54973"/>
  </conditionalFormatting>
  <conditionalFormatting sqref="X28">
    <cfRule type="cellIs" dxfId="37744" priority="54971" operator="equal">
      <formula>"OFF"</formula>
    </cfRule>
    <cfRule type="cellIs" dxfId="37743" priority="54972" operator="equal">
      <formula>"PTO"</formula>
    </cfRule>
  </conditionalFormatting>
  <conditionalFormatting sqref="B27">
    <cfRule type="duplicateValues" dxfId="37742" priority="54970"/>
  </conditionalFormatting>
  <conditionalFormatting sqref="X27">
    <cfRule type="cellIs" dxfId="37741" priority="54968" operator="equal">
      <formula>"OFF"</formula>
    </cfRule>
    <cfRule type="cellIs" dxfId="37740" priority="54969" operator="equal">
      <formula>"PTO"</formula>
    </cfRule>
  </conditionalFormatting>
  <conditionalFormatting sqref="B29">
    <cfRule type="duplicateValues" dxfId="37739" priority="54967"/>
  </conditionalFormatting>
  <conditionalFormatting sqref="X29">
    <cfRule type="cellIs" dxfId="37738" priority="54965" operator="equal">
      <formula>"OFF"</formula>
    </cfRule>
    <cfRule type="cellIs" dxfId="37737" priority="54966" operator="equal">
      <formula>"PTO"</formula>
    </cfRule>
  </conditionalFormatting>
  <conditionalFormatting sqref="T27:W27">
    <cfRule type="cellIs" dxfId="37736" priority="54963" operator="equal">
      <formula>"OFF"</formula>
    </cfRule>
    <cfRule type="cellIs" dxfId="37735" priority="54964" operator="equal">
      <formula>"PTO"</formula>
    </cfRule>
  </conditionalFormatting>
  <conditionalFormatting sqref="T30:W30">
    <cfRule type="cellIs" dxfId="37734" priority="54961" operator="equal">
      <formula>"OFF"</formula>
    </cfRule>
    <cfRule type="cellIs" dxfId="37733" priority="54962" operator="equal">
      <formula>"PTO"</formula>
    </cfRule>
  </conditionalFormatting>
  <conditionalFormatting sqref="T31:W31">
    <cfRule type="cellIs" dxfId="37732" priority="54959" operator="equal">
      <formula>"OFF"</formula>
    </cfRule>
    <cfRule type="cellIs" dxfId="37731" priority="54960" operator="equal">
      <formula>"PTO"</formula>
    </cfRule>
  </conditionalFormatting>
  <conditionalFormatting sqref="T28:W28">
    <cfRule type="cellIs" dxfId="37730" priority="54957" operator="equal">
      <formula>"OFF"</formula>
    </cfRule>
    <cfRule type="cellIs" dxfId="37729" priority="54958" operator="equal">
      <formula>"PTO"</formula>
    </cfRule>
  </conditionalFormatting>
  <conditionalFormatting sqref="T29:W29">
    <cfRule type="cellIs" dxfId="37728" priority="54955" operator="equal">
      <formula>"OFF"</formula>
    </cfRule>
    <cfRule type="cellIs" dxfId="37727" priority="54956" operator="equal">
      <formula>"PTO"</formula>
    </cfRule>
  </conditionalFormatting>
  <conditionalFormatting sqref="T27:W27">
    <cfRule type="cellIs" dxfId="37726" priority="54953" operator="equal">
      <formula>"OFF"</formula>
    </cfRule>
    <cfRule type="cellIs" dxfId="37725" priority="54954" operator="equal">
      <formula>"PTO"</formula>
    </cfRule>
  </conditionalFormatting>
  <conditionalFormatting sqref="T29:W29">
    <cfRule type="cellIs" dxfId="37724" priority="54951" operator="equal">
      <formula>"OFF"</formula>
    </cfRule>
    <cfRule type="cellIs" dxfId="37723" priority="54952" operator="equal">
      <formula>"PTO"</formula>
    </cfRule>
  </conditionalFormatting>
  <conditionalFormatting sqref="T28:W28">
    <cfRule type="cellIs" dxfId="37722" priority="54949" operator="equal">
      <formula>"OFF"</formula>
    </cfRule>
    <cfRule type="cellIs" dxfId="37721" priority="54950" operator="equal">
      <formula>"PTO"</formula>
    </cfRule>
  </conditionalFormatting>
  <conditionalFormatting sqref="T30:W30">
    <cfRule type="cellIs" dxfId="37720" priority="54947" operator="equal">
      <formula>"OFF"</formula>
    </cfRule>
    <cfRule type="cellIs" dxfId="37719" priority="54948" operator="equal">
      <formula>"PTO"</formula>
    </cfRule>
  </conditionalFormatting>
  <conditionalFormatting sqref="T29:W29">
    <cfRule type="cellIs" dxfId="37718" priority="54945" operator="equal">
      <formula>"OFF"</formula>
    </cfRule>
    <cfRule type="cellIs" dxfId="37717" priority="54946" operator="equal">
      <formula>"PTO"</formula>
    </cfRule>
  </conditionalFormatting>
  <conditionalFormatting sqref="T30:W30">
    <cfRule type="cellIs" dxfId="37716" priority="54943" operator="equal">
      <formula>"OFF"</formula>
    </cfRule>
    <cfRule type="cellIs" dxfId="37715" priority="54944" operator="equal">
      <formula>"PTO"</formula>
    </cfRule>
  </conditionalFormatting>
  <conditionalFormatting sqref="T27:W27">
    <cfRule type="cellIs" dxfId="37714" priority="54941" operator="equal">
      <formula>"OFF"</formula>
    </cfRule>
    <cfRule type="cellIs" dxfId="37713" priority="54942" operator="equal">
      <formula>"PTO"</formula>
    </cfRule>
  </conditionalFormatting>
  <conditionalFormatting sqref="T28:W28">
    <cfRule type="cellIs" dxfId="37712" priority="54939" operator="equal">
      <formula>"OFF"</formula>
    </cfRule>
    <cfRule type="cellIs" dxfId="37711" priority="54940" operator="equal">
      <formula>"PTO"</formula>
    </cfRule>
  </conditionalFormatting>
  <conditionalFormatting sqref="T28:W28">
    <cfRule type="cellIs" dxfId="37710" priority="54937" operator="equal">
      <formula>"OFF"</formula>
    </cfRule>
    <cfRule type="cellIs" dxfId="37709" priority="54938" operator="equal">
      <formula>"PTO"</formula>
    </cfRule>
  </conditionalFormatting>
  <conditionalFormatting sqref="T27:W27">
    <cfRule type="cellIs" dxfId="37708" priority="54935" operator="equal">
      <formula>"OFF"</formula>
    </cfRule>
    <cfRule type="cellIs" dxfId="37707" priority="54936" operator="equal">
      <formula>"PTO"</formula>
    </cfRule>
  </conditionalFormatting>
  <conditionalFormatting sqref="T29:W29">
    <cfRule type="cellIs" dxfId="37706" priority="54933" operator="equal">
      <formula>"OFF"</formula>
    </cfRule>
    <cfRule type="cellIs" dxfId="37705" priority="54934" operator="equal">
      <formula>"PTO"</formula>
    </cfRule>
  </conditionalFormatting>
  <conditionalFormatting sqref="B30">
    <cfRule type="duplicateValues" dxfId="37704" priority="54932"/>
  </conditionalFormatting>
  <conditionalFormatting sqref="B37">
    <cfRule type="duplicateValues" dxfId="37703" priority="54865"/>
  </conditionalFormatting>
  <conditionalFormatting sqref="B37">
    <cfRule type="duplicateValues" dxfId="37702" priority="54864"/>
  </conditionalFormatting>
  <conditionalFormatting sqref="B37">
    <cfRule type="duplicateValues" dxfId="37701" priority="54863"/>
  </conditionalFormatting>
  <conditionalFormatting sqref="B37">
    <cfRule type="duplicateValues" dxfId="37700" priority="54862"/>
  </conditionalFormatting>
  <conditionalFormatting sqref="B37">
    <cfRule type="duplicateValues" dxfId="37699" priority="54861"/>
  </conditionalFormatting>
  <conditionalFormatting sqref="B38">
    <cfRule type="duplicateValues" dxfId="37698" priority="54860"/>
  </conditionalFormatting>
  <conditionalFormatting sqref="X38">
    <cfRule type="cellIs" dxfId="37697" priority="54858" operator="equal">
      <formula>"OFF"</formula>
    </cfRule>
    <cfRule type="cellIs" dxfId="37696" priority="54859" operator="equal">
      <formula>"PTO"</formula>
    </cfRule>
  </conditionalFormatting>
  <conditionalFormatting sqref="B38">
    <cfRule type="duplicateValues" dxfId="37695" priority="54857"/>
  </conditionalFormatting>
  <conditionalFormatting sqref="X38">
    <cfRule type="cellIs" dxfId="37694" priority="54855" operator="equal">
      <formula>"OFF"</formula>
    </cfRule>
    <cfRule type="cellIs" dxfId="37693" priority="54856" operator="equal">
      <formula>"PTO"</formula>
    </cfRule>
  </conditionalFormatting>
  <conditionalFormatting sqref="B38">
    <cfRule type="duplicateValues" dxfId="37692" priority="54854"/>
  </conditionalFormatting>
  <conditionalFormatting sqref="X38">
    <cfRule type="cellIs" dxfId="37691" priority="54852" operator="equal">
      <formula>"OFF"</formula>
    </cfRule>
    <cfRule type="cellIs" dxfId="37690" priority="54853" operator="equal">
      <formula>"PTO"</formula>
    </cfRule>
  </conditionalFormatting>
  <conditionalFormatting sqref="B38">
    <cfRule type="duplicateValues" dxfId="37689" priority="54851"/>
  </conditionalFormatting>
  <conditionalFormatting sqref="X38">
    <cfRule type="cellIs" dxfId="37688" priority="54849" operator="equal">
      <formula>"OFF"</formula>
    </cfRule>
    <cfRule type="cellIs" dxfId="37687" priority="54850" operator="equal">
      <formula>"PTO"</formula>
    </cfRule>
  </conditionalFormatting>
  <conditionalFormatting sqref="X38">
    <cfRule type="cellIs" dxfId="37686" priority="54847" operator="equal">
      <formula>"OFF"</formula>
    </cfRule>
    <cfRule type="cellIs" dxfId="37685" priority="54848" operator="equal">
      <formula>"PTO"</formula>
    </cfRule>
  </conditionalFormatting>
  <conditionalFormatting sqref="B38">
    <cfRule type="duplicateValues" dxfId="37684" priority="54846"/>
  </conditionalFormatting>
  <conditionalFormatting sqref="X38">
    <cfRule type="cellIs" dxfId="37683" priority="54844" operator="equal">
      <formula>"OFF"</formula>
    </cfRule>
    <cfRule type="cellIs" dxfId="37682" priority="54845" operator="equal">
      <formula>"PTO"</formula>
    </cfRule>
  </conditionalFormatting>
  <conditionalFormatting sqref="B38">
    <cfRule type="duplicateValues" dxfId="37681" priority="54843"/>
  </conditionalFormatting>
  <conditionalFormatting sqref="B38">
    <cfRule type="duplicateValues" dxfId="37680" priority="54842"/>
  </conditionalFormatting>
  <conditionalFormatting sqref="X38">
    <cfRule type="cellIs" dxfId="37679" priority="54840" operator="equal">
      <formula>"OFF"</formula>
    </cfRule>
    <cfRule type="cellIs" dxfId="37678" priority="54841" operator="equal">
      <formula>"PTO"</formula>
    </cfRule>
  </conditionalFormatting>
  <conditionalFormatting sqref="X38">
    <cfRule type="cellIs" dxfId="37677" priority="54838" operator="equal">
      <formula>"OFF"</formula>
    </cfRule>
    <cfRule type="cellIs" dxfId="37676" priority="54839" operator="equal">
      <formula>"PTO"</formula>
    </cfRule>
  </conditionalFormatting>
  <conditionalFormatting sqref="B38">
    <cfRule type="duplicateValues" dxfId="37675" priority="54837"/>
  </conditionalFormatting>
  <conditionalFormatting sqref="T38:W38">
    <cfRule type="cellIs" dxfId="37674" priority="54835" operator="equal">
      <formula>"OFF"</formula>
    </cfRule>
    <cfRule type="cellIs" dxfId="37673" priority="54836" operator="equal">
      <formula>"PTO"</formula>
    </cfRule>
  </conditionalFormatting>
  <conditionalFormatting sqref="T38:W38">
    <cfRule type="cellIs" dxfId="37672" priority="54833" operator="equal">
      <formula>"OFF"</formula>
    </cfRule>
    <cfRule type="cellIs" dxfId="37671" priority="54834" operator="equal">
      <formula>"PTO"</formula>
    </cfRule>
  </conditionalFormatting>
  <conditionalFormatting sqref="T38:W38">
    <cfRule type="cellIs" dxfId="37670" priority="54831" operator="equal">
      <formula>"OFF"</formula>
    </cfRule>
    <cfRule type="cellIs" dxfId="37669" priority="54832" operator="equal">
      <formula>"PTO"</formula>
    </cfRule>
  </conditionalFormatting>
  <conditionalFormatting sqref="T38:W38">
    <cfRule type="cellIs" dxfId="37668" priority="54829" operator="equal">
      <formula>"OFF"</formula>
    </cfRule>
    <cfRule type="cellIs" dxfId="37667" priority="54830" operator="equal">
      <formula>"PTO"</formula>
    </cfRule>
  </conditionalFormatting>
  <conditionalFormatting sqref="T38:W38">
    <cfRule type="cellIs" dxfId="37666" priority="54827" operator="equal">
      <formula>"OFF"</formula>
    </cfRule>
    <cfRule type="cellIs" dxfId="37665" priority="54828" operator="equal">
      <formula>"PTO"</formula>
    </cfRule>
  </conditionalFormatting>
  <conditionalFormatting sqref="T38:W38">
    <cfRule type="cellIs" dxfId="37664" priority="54825" operator="equal">
      <formula>"OFF"</formula>
    </cfRule>
    <cfRule type="cellIs" dxfId="37663" priority="54826" operator="equal">
      <formula>"PTO"</formula>
    </cfRule>
  </conditionalFormatting>
  <conditionalFormatting sqref="T38:W38">
    <cfRule type="cellIs" dxfId="37662" priority="54823" operator="equal">
      <formula>"OFF"</formula>
    </cfRule>
    <cfRule type="cellIs" dxfId="37661" priority="54824" operator="equal">
      <formula>"PTO"</formula>
    </cfRule>
  </conditionalFormatting>
  <conditionalFormatting sqref="T38:W38">
    <cfRule type="cellIs" dxfId="37660" priority="54821" operator="equal">
      <formula>"OFF"</formula>
    </cfRule>
    <cfRule type="cellIs" dxfId="37659" priority="54822" operator="equal">
      <formula>"PTO"</formula>
    </cfRule>
  </conditionalFormatting>
  <conditionalFormatting sqref="B39">
    <cfRule type="duplicateValues" dxfId="37658" priority="54756"/>
  </conditionalFormatting>
  <conditionalFormatting sqref="X39">
    <cfRule type="cellIs" dxfId="37657" priority="54754" operator="equal">
      <formula>"OFF"</formula>
    </cfRule>
    <cfRule type="cellIs" dxfId="37656" priority="54755" operator="equal">
      <formula>"PTO"</formula>
    </cfRule>
  </conditionalFormatting>
  <conditionalFormatting sqref="B39">
    <cfRule type="duplicateValues" dxfId="37655" priority="54753"/>
  </conditionalFormatting>
  <conditionalFormatting sqref="Q39:W39">
    <cfRule type="cellIs" dxfId="37654" priority="54751" operator="equal">
      <formula>"OFF"</formula>
    </cfRule>
    <cfRule type="cellIs" dxfId="37653" priority="54752" operator="equal">
      <formula>"PTO"</formula>
    </cfRule>
  </conditionalFormatting>
  <conditionalFormatting sqref="B39">
    <cfRule type="duplicateValues" dxfId="37652" priority="54750"/>
  </conditionalFormatting>
  <conditionalFormatting sqref="X39">
    <cfRule type="cellIs" dxfId="37651" priority="54748" operator="equal">
      <formula>"OFF"</formula>
    </cfRule>
    <cfRule type="cellIs" dxfId="37650" priority="54749" operator="equal">
      <formula>"PTO"</formula>
    </cfRule>
  </conditionalFormatting>
  <conditionalFormatting sqref="B39">
    <cfRule type="duplicateValues" dxfId="37649" priority="54747"/>
  </conditionalFormatting>
  <conditionalFormatting sqref="Q39:W39">
    <cfRule type="cellIs" dxfId="37648" priority="54745" operator="equal">
      <formula>"OFF"</formula>
    </cfRule>
    <cfRule type="cellIs" dxfId="37647" priority="54746" operator="equal">
      <formula>"PTO"</formula>
    </cfRule>
  </conditionalFormatting>
  <conditionalFormatting sqref="X46">
    <cfRule type="cellIs" dxfId="37646" priority="54692" operator="equal">
      <formula>"OFF"</formula>
    </cfRule>
    <cfRule type="cellIs" dxfId="37645" priority="54693" operator="equal">
      <formula>"PTO"</formula>
    </cfRule>
  </conditionalFormatting>
  <conditionalFormatting sqref="X47">
    <cfRule type="cellIs" dxfId="37644" priority="54690" operator="equal">
      <formula>"OFF"</formula>
    </cfRule>
    <cfRule type="cellIs" dxfId="37643" priority="54691" operator="equal">
      <formula>"PTO"</formula>
    </cfRule>
  </conditionalFormatting>
  <conditionalFormatting sqref="B47">
    <cfRule type="duplicateValues" dxfId="37642" priority="54689"/>
  </conditionalFormatting>
  <conditionalFormatting sqref="X47">
    <cfRule type="cellIs" dxfId="37641" priority="54687" operator="equal">
      <formula>"OFF"</formula>
    </cfRule>
    <cfRule type="cellIs" dxfId="37640" priority="54688" operator="equal">
      <formula>"PTO"</formula>
    </cfRule>
  </conditionalFormatting>
  <conditionalFormatting sqref="X47">
    <cfRule type="cellIs" dxfId="37639" priority="54685" operator="equal">
      <formula>"OFF"</formula>
    </cfRule>
    <cfRule type="cellIs" dxfId="37638" priority="54686" operator="equal">
      <formula>"PTO"</formula>
    </cfRule>
  </conditionalFormatting>
  <conditionalFormatting sqref="B47">
    <cfRule type="duplicateValues" dxfId="37637" priority="54684"/>
  </conditionalFormatting>
  <conditionalFormatting sqref="X46">
    <cfRule type="cellIs" dxfId="37636" priority="54682" operator="equal">
      <formula>"OFF"</formula>
    </cfRule>
    <cfRule type="cellIs" dxfId="37635" priority="54683" operator="equal">
      <formula>"PTO"</formula>
    </cfRule>
  </conditionalFormatting>
  <conditionalFormatting sqref="X47">
    <cfRule type="cellIs" dxfId="37634" priority="54680" operator="equal">
      <formula>"OFF"</formula>
    </cfRule>
    <cfRule type="cellIs" dxfId="37633" priority="54681" operator="equal">
      <formula>"PTO"</formula>
    </cfRule>
  </conditionalFormatting>
  <conditionalFormatting sqref="B47">
    <cfRule type="duplicateValues" dxfId="37632" priority="54679"/>
  </conditionalFormatting>
  <conditionalFormatting sqref="X46">
    <cfRule type="cellIs" dxfId="37631" priority="54677" operator="equal">
      <formula>"OFF"</formula>
    </cfRule>
    <cfRule type="cellIs" dxfId="37630" priority="54678" operator="equal">
      <formula>"PTO"</formula>
    </cfRule>
  </conditionalFormatting>
  <conditionalFormatting sqref="B43:B56">
    <cfRule type="duplicateValues" dxfId="37629" priority="54668"/>
  </conditionalFormatting>
  <conditionalFormatting sqref="B43:B56">
    <cfRule type="duplicateValues" dxfId="37628" priority="54667"/>
  </conditionalFormatting>
  <conditionalFormatting sqref="B43:B56">
    <cfRule type="duplicateValues" dxfId="37627" priority="54666"/>
  </conditionalFormatting>
  <conditionalFormatting sqref="X46">
    <cfRule type="cellIs" dxfId="37626" priority="54660" operator="equal">
      <formula>"OFF"</formula>
    </cfRule>
    <cfRule type="cellIs" dxfId="37625" priority="54661" operator="equal">
      <formula>"PTO"</formula>
    </cfRule>
  </conditionalFormatting>
  <conditionalFormatting sqref="X47">
    <cfRule type="cellIs" dxfId="37624" priority="54658" operator="equal">
      <formula>"OFF"</formula>
    </cfRule>
    <cfRule type="cellIs" dxfId="37623" priority="54659" operator="equal">
      <formula>"PTO"</formula>
    </cfRule>
  </conditionalFormatting>
  <conditionalFormatting sqref="B47">
    <cfRule type="duplicateValues" dxfId="37622" priority="54657"/>
  </conditionalFormatting>
  <conditionalFormatting sqref="B43:B56">
    <cfRule type="duplicateValues" dxfId="37621" priority="54656"/>
  </conditionalFormatting>
  <conditionalFormatting sqref="X46">
    <cfRule type="cellIs" dxfId="37620" priority="54654" operator="equal">
      <formula>"OFF"</formula>
    </cfRule>
    <cfRule type="cellIs" dxfId="37619" priority="54655" operator="equal">
      <formula>"PTO"</formula>
    </cfRule>
  </conditionalFormatting>
  <conditionalFormatting sqref="X46">
    <cfRule type="cellIs" dxfId="37618" priority="54652" operator="equal">
      <formula>"OFF"</formula>
    </cfRule>
    <cfRule type="cellIs" dxfId="37617" priority="54653" operator="equal">
      <formula>"PTO"</formula>
    </cfRule>
  </conditionalFormatting>
  <conditionalFormatting sqref="B43:B56">
    <cfRule type="duplicateValues" dxfId="37616" priority="54651"/>
  </conditionalFormatting>
  <conditionalFormatting sqref="X46">
    <cfRule type="cellIs" dxfId="37615" priority="54649" operator="equal">
      <formula>"OFF"</formula>
    </cfRule>
    <cfRule type="cellIs" dxfId="37614" priority="54650" operator="equal">
      <formula>"PTO"</formula>
    </cfRule>
  </conditionalFormatting>
  <conditionalFormatting sqref="B43:B56">
    <cfRule type="duplicateValues" dxfId="37613" priority="54648"/>
  </conditionalFormatting>
  <conditionalFormatting sqref="B44">
    <cfRule type="duplicateValues" dxfId="37612" priority="54647"/>
  </conditionalFormatting>
  <conditionalFormatting sqref="X44">
    <cfRule type="cellIs" dxfId="37611" priority="54645" operator="equal">
      <formula>"OFF"</formula>
    </cfRule>
    <cfRule type="cellIs" dxfId="37610" priority="54646" operator="equal">
      <formula>"PTO"</formula>
    </cfRule>
  </conditionalFormatting>
  <conditionalFormatting sqref="X46">
    <cfRule type="cellIs" dxfId="37609" priority="54639" operator="equal">
      <formula>"OFF"</formula>
    </cfRule>
    <cfRule type="cellIs" dxfId="37608" priority="54640" operator="equal">
      <formula>"PTO"</formula>
    </cfRule>
  </conditionalFormatting>
  <conditionalFormatting sqref="X47">
    <cfRule type="cellIs" dxfId="37607" priority="54637" operator="equal">
      <formula>"OFF"</formula>
    </cfRule>
    <cfRule type="cellIs" dxfId="37606" priority="54638" operator="equal">
      <formula>"PTO"</formula>
    </cfRule>
  </conditionalFormatting>
  <conditionalFormatting sqref="X47">
    <cfRule type="cellIs" dxfId="37605" priority="54635" operator="equal">
      <formula>"OFF"</formula>
    </cfRule>
    <cfRule type="cellIs" dxfId="37604" priority="54636" operator="equal">
      <formula>"PTO"</formula>
    </cfRule>
  </conditionalFormatting>
  <conditionalFormatting sqref="X47">
    <cfRule type="cellIs" dxfId="37603" priority="54633" operator="equal">
      <formula>"OFF"</formula>
    </cfRule>
    <cfRule type="cellIs" dxfId="37602" priority="54634" operator="equal">
      <formula>"PTO"</formula>
    </cfRule>
  </conditionalFormatting>
  <conditionalFormatting sqref="B43:B56">
    <cfRule type="duplicateValues" dxfId="37601" priority="54632"/>
  </conditionalFormatting>
  <conditionalFormatting sqref="X46">
    <cfRule type="cellIs" dxfId="37600" priority="54630" operator="equal">
      <formula>"OFF"</formula>
    </cfRule>
    <cfRule type="cellIs" dxfId="37599" priority="54631" operator="equal">
      <formula>"PTO"</formula>
    </cfRule>
  </conditionalFormatting>
  <conditionalFormatting sqref="B47">
    <cfRule type="duplicateValues" dxfId="37598" priority="54629"/>
  </conditionalFormatting>
  <conditionalFormatting sqref="B47">
    <cfRule type="duplicateValues" dxfId="37597" priority="54628"/>
  </conditionalFormatting>
  <conditionalFormatting sqref="B47">
    <cfRule type="duplicateValues" dxfId="37596" priority="54627"/>
  </conditionalFormatting>
  <conditionalFormatting sqref="B47">
    <cfRule type="duplicateValues" dxfId="37595" priority="54620"/>
  </conditionalFormatting>
  <conditionalFormatting sqref="X47">
    <cfRule type="cellIs" dxfId="37594" priority="54618" operator="equal">
      <formula>"OFF"</formula>
    </cfRule>
    <cfRule type="cellIs" dxfId="37593" priority="54619" operator="equal">
      <formula>"PTO"</formula>
    </cfRule>
  </conditionalFormatting>
  <conditionalFormatting sqref="X47">
    <cfRule type="cellIs" dxfId="37592" priority="54616" operator="equal">
      <formula>"OFF"</formula>
    </cfRule>
    <cfRule type="cellIs" dxfId="37591" priority="54617" operator="equal">
      <formula>"PTO"</formula>
    </cfRule>
  </conditionalFormatting>
  <conditionalFormatting sqref="B47">
    <cfRule type="duplicateValues" dxfId="37590" priority="54615"/>
  </conditionalFormatting>
  <conditionalFormatting sqref="X47">
    <cfRule type="cellIs" dxfId="37589" priority="54613" operator="equal">
      <formula>"OFF"</formula>
    </cfRule>
    <cfRule type="cellIs" dxfId="37588" priority="54614" operator="equal">
      <formula>"PTO"</formula>
    </cfRule>
  </conditionalFormatting>
  <conditionalFormatting sqref="B47">
    <cfRule type="duplicateValues" dxfId="37587" priority="54612"/>
  </conditionalFormatting>
  <conditionalFormatting sqref="X46">
    <cfRule type="cellIs" dxfId="37586" priority="54610" operator="equal">
      <formula>"OFF"</formula>
    </cfRule>
    <cfRule type="cellIs" dxfId="37585" priority="54611" operator="equal">
      <formula>"PTO"</formula>
    </cfRule>
  </conditionalFormatting>
  <conditionalFormatting sqref="X46">
    <cfRule type="cellIs" dxfId="37584" priority="54608" operator="equal">
      <formula>"OFF"</formula>
    </cfRule>
    <cfRule type="cellIs" dxfId="37583" priority="54609" operator="equal">
      <formula>"PTO"</formula>
    </cfRule>
  </conditionalFormatting>
  <conditionalFormatting sqref="B43:B56">
    <cfRule type="duplicateValues" dxfId="37582" priority="54599"/>
  </conditionalFormatting>
  <conditionalFormatting sqref="B43:B56">
    <cfRule type="duplicateValues" dxfId="37581" priority="54598"/>
  </conditionalFormatting>
  <conditionalFormatting sqref="B43:B56">
    <cfRule type="duplicateValues" dxfId="37580" priority="54597"/>
  </conditionalFormatting>
  <conditionalFormatting sqref="X47">
    <cfRule type="cellIs" dxfId="37579" priority="54595" operator="equal">
      <formula>"OFF"</formula>
    </cfRule>
    <cfRule type="cellIs" dxfId="37578" priority="54596" operator="equal">
      <formula>"PTO"</formula>
    </cfRule>
  </conditionalFormatting>
  <conditionalFormatting sqref="B47">
    <cfRule type="duplicateValues" dxfId="37577" priority="54594"/>
  </conditionalFormatting>
  <conditionalFormatting sqref="B43:B56">
    <cfRule type="duplicateValues" dxfId="37576" priority="54593"/>
  </conditionalFormatting>
  <conditionalFormatting sqref="X46">
    <cfRule type="cellIs" dxfId="37575" priority="54591" operator="equal">
      <formula>"OFF"</formula>
    </cfRule>
    <cfRule type="cellIs" dxfId="37574" priority="54592" operator="equal">
      <formula>"PTO"</formula>
    </cfRule>
  </conditionalFormatting>
  <conditionalFormatting sqref="X46">
    <cfRule type="cellIs" dxfId="37573" priority="54589" operator="equal">
      <formula>"OFF"</formula>
    </cfRule>
    <cfRule type="cellIs" dxfId="37572" priority="54590" operator="equal">
      <formula>"PTO"</formula>
    </cfRule>
  </conditionalFormatting>
  <conditionalFormatting sqref="B43:B56">
    <cfRule type="duplicateValues" dxfId="37571" priority="54588"/>
  </conditionalFormatting>
  <conditionalFormatting sqref="X46">
    <cfRule type="cellIs" dxfId="37570" priority="54586" operator="equal">
      <formula>"OFF"</formula>
    </cfRule>
    <cfRule type="cellIs" dxfId="37569" priority="54587" operator="equal">
      <formula>"PTO"</formula>
    </cfRule>
  </conditionalFormatting>
  <conditionalFormatting sqref="B43:B56">
    <cfRule type="duplicateValues" dxfId="37568" priority="54585"/>
  </conditionalFormatting>
  <conditionalFormatting sqref="X46">
    <cfRule type="cellIs" dxfId="37567" priority="54581" operator="equal">
      <formula>"OFF"</formula>
    </cfRule>
    <cfRule type="cellIs" dxfId="37566" priority="54582" operator="equal">
      <formula>"PTO"</formula>
    </cfRule>
  </conditionalFormatting>
  <conditionalFormatting sqref="B43:B56">
    <cfRule type="duplicateValues" dxfId="37565" priority="54580"/>
  </conditionalFormatting>
  <conditionalFormatting sqref="B47">
    <cfRule type="duplicateValues" dxfId="37564" priority="54579"/>
  </conditionalFormatting>
  <conditionalFormatting sqref="X47">
    <cfRule type="cellIs" dxfId="37563" priority="54577" operator="equal">
      <formula>"OFF"</formula>
    </cfRule>
    <cfRule type="cellIs" dxfId="37562" priority="54578" operator="equal">
      <formula>"PTO"</formula>
    </cfRule>
  </conditionalFormatting>
  <conditionalFormatting sqref="X47">
    <cfRule type="cellIs" dxfId="37561" priority="54575" operator="equal">
      <formula>"OFF"</formula>
    </cfRule>
    <cfRule type="cellIs" dxfId="37560" priority="54576" operator="equal">
      <formula>"PTO"</formula>
    </cfRule>
  </conditionalFormatting>
  <conditionalFormatting sqref="B47">
    <cfRule type="duplicateValues" dxfId="37559" priority="54574"/>
  </conditionalFormatting>
  <conditionalFormatting sqref="X46">
    <cfRule type="cellIs" dxfId="37558" priority="54572" operator="equal">
      <formula>"OFF"</formula>
    </cfRule>
    <cfRule type="cellIs" dxfId="37557" priority="54573" operator="equal">
      <formula>"PTO"</formula>
    </cfRule>
  </conditionalFormatting>
  <conditionalFormatting sqref="X47">
    <cfRule type="cellIs" dxfId="37556" priority="54570" operator="equal">
      <formula>"OFF"</formula>
    </cfRule>
    <cfRule type="cellIs" dxfId="37555" priority="54571" operator="equal">
      <formula>"PTO"</formula>
    </cfRule>
  </conditionalFormatting>
  <conditionalFormatting sqref="B47">
    <cfRule type="duplicateValues" dxfId="37554" priority="54569"/>
  </conditionalFormatting>
  <conditionalFormatting sqref="X46">
    <cfRule type="cellIs" dxfId="37553" priority="54567" operator="equal">
      <formula>"OFF"</formula>
    </cfRule>
    <cfRule type="cellIs" dxfId="37552" priority="54568" operator="equal">
      <formula>"PTO"</formula>
    </cfRule>
  </conditionalFormatting>
  <conditionalFormatting sqref="X46">
    <cfRule type="cellIs" dxfId="37551" priority="54565" operator="equal">
      <formula>"OFF"</formula>
    </cfRule>
    <cfRule type="cellIs" dxfId="37550" priority="54566" operator="equal">
      <formula>"PTO"</formula>
    </cfRule>
  </conditionalFormatting>
  <conditionalFormatting sqref="B43:B56">
    <cfRule type="duplicateValues" dxfId="37549" priority="54556"/>
  </conditionalFormatting>
  <conditionalFormatting sqref="B43:B56">
    <cfRule type="duplicateValues" dxfId="37548" priority="54555"/>
  </conditionalFormatting>
  <conditionalFormatting sqref="B43:B56">
    <cfRule type="duplicateValues" dxfId="37547" priority="54554"/>
  </conditionalFormatting>
  <conditionalFormatting sqref="X47">
    <cfRule type="cellIs" dxfId="37546" priority="54552" operator="equal">
      <formula>"OFF"</formula>
    </cfRule>
    <cfRule type="cellIs" dxfId="37545" priority="54553" operator="equal">
      <formula>"PTO"</formula>
    </cfRule>
  </conditionalFormatting>
  <conditionalFormatting sqref="B47">
    <cfRule type="duplicateValues" dxfId="37544" priority="54551"/>
  </conditionalFormatting>
  <conditionalFormatting sqref="B43:B56">
    <cfRule type="duplicateValues" dxfId="37543" priority="54550"/>
  </conditionalFormatting>
  <conditionalFormatting sqref="X46">
    <cfRule type="cellIs" dxfId="37542" priority="54548" operator="equal">
      <formula>"OFF"</formula>
    </cfRule>
    <cfRule type="cellIs" dxfId="37541" priority="54549" operator="equal">
      <formula>"PTO"</formula>
    </cfRule>
  </conditionalFormatting>
  <conditionalFormatting sqref="X46">
    <cfRule type="cellIs" dxfId="37540" priority="54546" operator="equal">
      <formula>"OFF"</formula>
    </cfRule>
    <cfRule type="cellIs" dxfId="37539" priority="54547" operator="equal">
      <formula>"PTO"</formula>
    </cfRule>
  </conditionalFormatting>
  <conditionalFormatting sqref="B43:B56">
    <cfRule type="duplicateValues" dxfId="37538" priority="54545"/>
  </conditionalFormatting>
  <conditionalFormatting sqref="X46">
    <cfRule type="cellIs" dxfId="37537" priority="54543" operator="equal">
      <formula>"OFF"</formula>
    </cfRule>
    <cfRule type="cellIs" dxfId="37536" priority="54544" operator="equal">
      <formula>"PTO"</formula>
    </cfRule>
  </conditionalFormatting>
  <conditionalFormatting sqref="B43:B56">
    <cfRule type="duplicateValues" dxfId="37535" priority="54542"/>
  </conditionalFormatting>
  <conditionalFormatting sqref="X47">
    <cfRule type="cellIs" dxfId="37534" priority="54538" operator="equal">
      <formula>"OFF"</formula>
    </cfRule>
    <cfRule type="cellIs" dxfId="37533" priority="54539" operator="equal">
      <formula>"PTO"</formula>
    </cfRule>
  </conditionalFormatting>
  <conditionalFormatting sqref="B47">
    <cfRule type="duplicateValues" dxfId="37532" priority="54537"/>
  </conditionalFormatting>
  <conditionalFormatting sqref="B43:B56">
    <cfRule type="duplicateValues" dxfId="37531" priority="54536"/>
  </conditionalFormatting>
  <conditionalFormatting sqref="X46">
    <cfRule type="cellIs" dxfId="37530" priority="54534" operator="equal">
      <formula>"OFF"</formula>
    </cfRule>
    <cfRule type="cellIs" dxfId="37529" priority="54535" operator="equal">
      <formula>"PTO"</formula>
    </cfRule>
  </conditionalFormatting>
  <conditionalFormatting sqref="X46">
    <cfRule type="cellIs" dxfId="37528" priority="54532" operator="equal">
      <formula>"OFF"</formula>
    </cfRule>
    <cfRule type="cellIs" dxfId="37527" priority="54533" operator="equal">
      <formula>"PTO"</formula>
    </cfRule>
  </conditionalFormatting>
  <conditionalFormatting sqref="B43:B56">
    <cfRule type="duplicateValues" dxfId="37526" priority="54531"/>
  </conditionalFormatting>
  <conditionalFormatting sqref="X46">
    <cfRule type="cellIs" dxfId="37525" priority="54529" operator="equal">
      <formula>"OFF"</formula>
    </cfRule>
    <cfRule type="cellIs" dxfId="37524" priority="54530" operator="equal">
      <formula>"PTO"</formula>
    </cfRule>
  </conditionalFormatting>
  <conditionalFormatting sqref="B43:B56">
    <cfRule type="duplicateValues" dxfId="37523" priority="54528"/>
  </conditionalFormatting>
  <conditionalFormatting sqref="X46">
    <cfRule type="cellIs" dxfId="37522" priority="54524" operator="equal">
      <formula>"OFF"</formula>
    </cfRule>
    <cfRule type="cellIs" dxfId="37521" priority="54525" operator="equal">
      <formula>"PTO"</formula>
    </cfRule>
  </conditionalFormatting>
  <conditionalFormatting sqref="B43:B56">
    <cfRule type="duplicateValues" dxfId="37520" priority="54523"/>
  </conditionalFormatting>
  <conditionalFormatting sqref="B47">
    <cfRule type="duplicateValues" dxfId="37519" priority="54522"/>
  </conditionalFormatting>
  <conditionalFormatting sqref="X47">
    <cfRule type="cellIs" dxfId="37518" priority="54520" operator="equal">
      <formula>"OFF"</formula>
    </cfRule>
    <cfRule type="cellIs" dxfId="37517" priority="54521" operator="equal">
      <formula>"PTO"</formula>
    </cfRule>
  </conditionalFormatting>
  <conditionalFormatting sqref="X47">
    <cfRule type="cellIs" dxfId="37516" priority="54518" operator="equal">
      <formula>"OFF"</formula>
    </cfRule>
    <cfRule type="cellIs" dxfId="37515" priority="54519" operator="equal">
      <formula>"PTO"</formula>
    </cfRule>
  </conditionalFormatting>
  <conditionalFormatting sqref="B47">
    <cfRule type="duplicateValues" dxfId="37514" priority="54517"/>
  </conditionalFormatting>
  <conditionalFormatting sqref="X46">
    <cfRule type="cellIs" dxfId="37513" priority="54515" operator="equal">
      <formula>"OFF"</formula>
    </cfRule>
    <cfRule type="cellIs" dxfId="37512" priority="54516" operator="equal">
      <formula>"PTO"</formula>
    </cfRule>
  </conditionalFormatting>
  <conditionalFormatting sqref="X47">
    <cfRule type="cellIs" dxfId="37511" priority="54513" operator="equal">
      <formula>"OFF"</formula>
    </cfRule>
    <cfRule type="cellIs" dxfId="37510" priority="54514" operator="equal">
      <formula>"PTO"</formula>
    </cfRule>
  </conditionalFormatting>
  <conditionalFormatting sqref="B47">
    <cfRule type="duplicateValues" dxfId="37509" priority="54512"/>
  </conditionalFormatting>
  <conditionalFormatting sqref="X46">
    <cfRule type="cellIs" dxfId="37508" priority="54510" operator="equal">
      <formula>"OFF"</formula>
    </cfRule>
    <cfRule type="cellIs" dxfId="37507" priority="54511" operator="equal">
      <formula>"PTO"</formula>
    </cfRule>
  </conditionalFormatting>
  <conditionalFormatting sqref="X46">
    <cfRule type="cellIs" dxfId="37506" priority="54508" operator="equal">
      <formula>"OFF"</formula>
    </cfRule>
    <cfRule type="cellIs" dxfId="37505" priority="54509" operator="equal">
      <formula>"PTO"</formula>
    </cfRule>
  </conditionalFormatting>
  <conditionalFormatting sqref="B43:B56">
    <cfRule type="duplicateValues" dxfId="37504" priority="54499"/>
  </conditionalFormatting>
  <conditionalFormatting sqref="B43:B56">
    <cfRule type="duplicateValues" dxfId="37503" priority="54498"/>
  </conditionalFormatting>
  <conditionalFormatting sqref="B43:B56">
    <cfRule type="duplicateValues" dxfId="37502" priority="54497"/>
  </conditionalFormatting>
  <conditionalFormatting sqref="X47">
    <cfRule type="cellIs" dxfId="37501" priority="54495" operator="equal">
      <formula>"OFF"</formula>
    </cfRule>
    <cfRule type="cellIs" dxfId="37500" priority="54496" operator="equal">
      <formula>"PTO"</formula>
    </cfRule>
  </conditionalFormatting>
  <conditionalFormatting sqref="B47">
    <cfRule type="duplicateValues" dxfId="37499" priority="54494"/>
  </conditionalFormatting>
  <conditionalFormatting sqref="B43:B56">
    <cfRule type="duplicateValues" dxfId="37498" priority="54493"/>
  </conditionalFormatting>
  <conditionalFormatting sqref="X46">
    <cfRule type="cellIs" dxfId="37497" priority="54491" operator="equal">
      <formula>"OFF"</formula>
    </cfRule>
    <cfRule type="cellIs" dxfId="37496" priority="54492" operator="equal">
      <formula>"PTO"</formula>
    </cfRule>
  </conditionalFormatting>
  <conditionalFormatting sqref="X46">
    <cfRule type="cellIs" dxfId="37495" priority="54489" operator="equal">
      <formula>"OFF"</formula>
    </cfRule>
    <cfRule type="cellIs" dxfId="37494" priority="54490" operator="equal">
      <formula>"PTO"</formula>
    </cfRule>
  </conditionalFormatting>
  <conditionalFormatting sqref="B43:B56">
    <cfRule type="duplicateValues" dxfId="37493" priority="54488"/>
  </conditionalFormatting>
  <conditionalFormatting sqref="X46">
    <cfRule type="cellIs" dxfId="37492" priority="54486" operator="equal">
      <formula>"OFF"</formula>
    </cfRule>
    <cfRule type="cellIs" dxfId="37491" priority="54487" operator="equal">
      <formula>"PTO"</formula>
    </cfRule>
  </conditionalFormatting>
  <conditionalFormatting sqref="B43:B56">
    <cfRule type="duplicateValues" dxfId="37490" priority="54485"/>
  </conditionalFormatting>
  <conditionalFormatting sqref="X46">
    <cfRule type="cellIs" dxfId="37489" priority="54481" operator="equal">
      <formula>"OFF"</formula>
    </cfRule>
    <cfRule type="cellIs" dxfId="37488" priority="54482" operator="equal">
      <formula>"PTO"</formula>
    </cfRule>
  </conditionalFormatting>
  <conditionalFormatting sqref="B43:B56">
    <cfRule type="duplicateValues" dxfId="37487" priority="54480"/>
  </conditionalFormatting>
  <conditionalFormatting sqref="X47">
    <cfRule type="cellIs" dxfId="37486" priority="54478" operator="equal">
      <formula>"OFF"</formula>
    </cfRule>
    <cfRule type="cellIs" dxfId="37485" priority="54479" operator="equal">
      <formula>"PTO"</formula>
    </cfRule>
  </conditionalFormatting>
  <conditionalFormatting sqref="B47">
    <cfRule type="duplicateValues" dxfId="37484" priority="54477"/>
  </conditionalFormatting>
  <conditionalFormatting sqref="B43:B56">
    <cfRule type="duplicateValues" dxfId="37483" priority="54476"/>
  </conditionalFormatting>
  <conditionalFormatting sqref="X46">
    <cfRule type="cellIs" dxfId="37482" priority="54474" operator="equal">
      <formula>"OFF"</formula>
    </cfRule>
    <cfRule type="cellIs" dxfId="37481" priority="54475" operator="equal">
      <formula>"PTO"</formula>
    </cfRule>
  </conditionalFormatting>
  <conditionalFormatting sqref="X46">
    <cfRule type="cellIs" dxfId="37480" priority="54472" operator="equal">
      <formula>"OFF"</formula>
    </cfRule>
    <cfRule type="cellIs" dxfId="37479" priority="54473" operator="equal">
      <formula>"PTO"</formula>
    </cfRule>
  </conditionalFormatting>
  <conditionalFormatting sqref="B43:B56">
    <cfRule type="duplicateValues" dxfId="37478" priority="54471"/>
  </conditionalFormatting>
  <conditionalFormatting sqref="X46">
    <cfRule type="cellIs" dxfId="37477" priority="54469" operator="equal">
      <formula>"OFF"</formula>
    </cfRule>
    <cfRule type="cellIs" dxfId="37476" priority="54470" operator="equal">
      <formula>"PTO"</formula>
    </cfRule>
  </conditionalFormatting>
  <conditionalFormatting sqref="B43:B56">
    <cfRule type="duplicateValues" dxfId="37475" priority="54468"/>
  </conditionalFormatting>
  <conditionalFormatting sqref="B43:B56">
    <cfRule type="duplicateValues" dxfId="37474" priority="54465"/>
  </conditionalFormatting>
  <conditionalFormatting sqref="X44">
    <cfRule type="cellIs" dxfId="37473" priority="54415" operator="equal">
      <formula>"OFF"</formula>
    </cfRule>
    <cfRule type="cellIs" dxfId="37472" priority="54416" operator="equal">
      <formula>"PTO"</formula>
    </cfRule>
  </conditionalFormatting>
  <conditionalFormatting sqref="X44">
    <cfRule type="cellIs" dxfId="37471" priority="54413" operator="equal">
      <formula>"OFF"</formula>
    </cfRule>
    <cfRule type="cellIs" dxfId="37470" priority="54414" operator="equal">
      <formula>"PTO"</formula>
    </cfRule>
  </conditionalFormatting>
  <conditionalFormatting sqref="X44">
    <cfRule type="cellIs" dxfId="37469" priority="54411" operator="equal">
      <formula>"OFF"</formula>
    </cfRule>
    <cfRule type="cellIs" dxfId="37468" priority="54412" operator="equal">
      <formula>"PTO"</formula>
    </cfRule>
  </conditionalFormatting>
  <conditionalFormatting sqref="X44">
    <cfRule type="cellIs" dxfId="37467" priority="54409" operator="equal">
      <formula>"OFF"</formula>
    </cfRule>
    <cfRule type="cellIs" dxfId="37466" priority="54410" operator="equal">
      <formula>"PTO"</formula>
    </cfRule>
  </conditionalFormatting>
  <conditionalFormatting sqref="B44">
    <cfRule type="duplicateValues" dxfId="37465" priority="54368"/>
  </conditionalFormatting>
  <conditionalFormatting sqref="X44">
    <cfRule type="cellIs" dxfId="37464" priority="54366" operator="equal">
      <formula>"OFF"</formula>
    </cfRule>
    <cfRule type="cellIs" dxfId="37463" priority="54367" operator="equal">
      <formula>"PTO"</formula>
    </cfRule>
  </conditionalFormatting>
  <conditionalFormatting sqref="X44">
    <cfRule type="cellIs" dxfId="37462" priority="54360" operator="equal">
      <formula>"OFF"</formula>
    </cfRule>
    <cfRule type="cellIs" dxfId="37461" priority="54361" operator="equal">
      <formula>"PTO"</formula>
    </cfRule>
  </conditionalFormatting>
  <conditionalFormatting sqref="X44">
    <cfRule type="cellIs" dxfId="37460" priority="54358" operator="equal">
      <formula>"OFF"</formula>
    </cfRule>
    <cfRule type="cellIs" dxfId="37459" priority="54359" operator="equal">
      <formula>"PTO"</formula>
    </cfRule>
  </conditionalFormatting>
  <conditionalFormatting sqref="X44">
    <cfRule type="cellIs" dxfId="37458" priority="54356" operator="equal">
      <formula>"OFF"</formula>
    </cfRule>
    <cfRule type="cellIs" dxfId="37457" priority="54357" operator="equal">
      <formula>"PTO"</formula>
    </cfRule>
  </conditionalFormatting>
  <conditionalFormatting sqref="X44">
    <cfRule type="cellIs" dxfId="37456" priority="54354" operator="equal">
      <formula>"OFF"</formula>
    </cfRule>
    <cfRule type="cellIs" dxfId="37455" priority="54355" operator="equal">
      <formula>"PTO"</formula>
    </cfRule>
  </conditionalFormatting>
  <conditionalFormatting sqref="B43">
    <cfRule type="duplicateValues" dxfId="37454" priority="54353"/>
  </conditionalFormatting>
  <conditionalFormatting sqref="X43">
    <cfRule type="cellIs" dxfId="37453" priority="54351" operator="equal">
      <formula>"OFF"</formula>
    </cfRule>
    <cfRule type="cellIs" dxfId="37452" priority="54352" operator="equal">
      <formula>"PTO"</formula>
    </cfRule>
  </conditionalFormatting>
  <conditionalFormatting sqref="B44">
    <cfRule type="duplicateValues" dxfId="37451" priority="54350"/>
  </conditionalFormatting>
  <conditionalFormatting sqref="B44">
    <cfRule type="duplicateValues" dxfId="37450" priority="54349"/>
  </conditionalFormatting>
  <conditionalFormatting sqref="B44">
    <cfRule type="duplicateValues" dxfId="37449" priority="54348"/>
  </conditionalFormatting>
  <conditionalFormatting sqref="B44">
    <cfRule type="duplicateValues" dxfId="37448" priority="54345"/>
  </conditionalFormatting>
  <conditionalFormatting sqref="X44">
    <cfRule type="cellIs" dxfId="37447" priority="54343" operator="equal">
      <formula>"OFF"</formula>
    </cfRule>
    <cfRule type="cellIs" dxfId="37446" priority="54344" operator="equal">
      <formula>"PTO"</formula>
    </cfRule>
  </conditionalFormatting>
  <conditionalFormatting sqref="X44">
    <cfRule type="cellIs" dxfId="37445" priority="54341" operator="equal">
      <formula>"OFF"</formula>
    </cfRule>
    <cfRule type="cellIs" dxfId="37444" priority="54342" operator="equal">
      <formula>"PTO"</formula>
    </cfRule>
  </conditionalFormatting>
  <conditionalFormatting sqref="X44">
    <cfRule type="cellIs" dxfId="37443" priority="54339" operator="equal">
      <formula>"OFF"</formula>
    </cfRule>
    <cfRule type="cellIs" dxfId="37442" priority="54340" operator="equal">
      <formula>"PTO"</formula>
    </cfRule>
  </conditionalFormatting>
  <conditionalFormatting sqref="X44">
    <cfRule type="cellIs" dxfId="37441" priority="54337" operator="equal">
      <formula>"OFF"</formula>
    </cfRule>
    <cfRule type="cellIs" dxfId="37440" priority="54338" operator="equal">
      <formula>"PTO"</formula>
    </cfRule>
  </conditionalFormatting>
  <conditionalFormatting sqref="B44">
    <cfRule type="duplicateValues" dxfId="37439" priority="54336"/>
  </conditionalFormatting>
  <conditionalFormatting sqref="B44">
    <cfRule type="duplicateValues" dxfId="37438" priority="54335"/>
  </conditionalFormatting>
  <conditionalFormatting sqref="B44">
    <cfRule type="duplicateValues" dxfId="37437" priority="54334"/>
  </conditionalFormatting>
  <conditionalFormatting sqref="B44">
    <cfRule type="duplicateValues" dxfId="37436" priority="54333"/>
  </conditionalFormatting>
  <conditionalFormatting sqref="X44">
    <cfRule type="cellIs" dxfId="37435" priority="54331" operator="equal">
      <formula>"OFF"</formula>
    </cfRule>
    <cfRule type="cellIs" dxfId="37434" priority="54332" operator="equal">
      <formula>"PTO"</formula>
    </cfRule>
  </conditionalFormatting>
  <conditionalFormatting sqref="X44">
    <cfRule type="cellIs" dxfId="37433" priority="54329" operator="equal">
      <formula>"OFF"</formula>
    </cfRule>
    <cfRule type="cellIs" dxfId="37432" priority="54330" operator="equal">
      <formula>"PTO"</formula>
    </cfRule>
  </conditionalFormatting>
  <conditionalFormatting sqref="B44">
    <cfRule type="duplicateValues" dxfId="37431" priority="54328"/>
  </conditionalFormatting>
  <conditionalFormatting sqref="X44">
    <cfRule type="cellIs" dxfId="37430" priority="54326" operator="equal">
      <formula>"OFF"</formula>
    </cfRule>
    <cfRule type="cellIs" dxfId="37429" priority="54327" operator="equal">
      <formula>"PTO"</formula>
    </cfRule>
  </conditionalFormatting>
  <conditionalFormatting sqref="B44">
    <cfRule type="duplicateValues" dxfId="37428" priority="54325"/>
  </conditionalFormatting>
  <conditionalFormatting sqref="B44">
    <cfRule type="duplicateValues" dxfId="37427" priority="54324"/>
  </conditionalFormatting>
  <conditionalFormatting sqref="X44">
    <cfRule type="cellIs" dxfId="37426" priority="54322" operator="equal">
      <formula>"OFF"</formula>
    </cfRule>
    <cfRule type="cellIs" dxfId="37425" priority="54323" operator="equal">
      <formula>"PTO"</formula>
    </cfRule>
  </conditionalFormatting>
  <conditionalFormatting sqref="X44">
    <cfRule type="cellIs" dxfId="37424" priority="54320" operator="equal">
      <formula>"OFF"</formula>
    </cfRule>
    <cfRule type="cellIs" dxfId="37423" priority="54321" operator="equal">
      <formula>"PTO"</formula>
    </cfRule>
  </conditionalFormatting>
  <conditionalFormatting sqref="X44">
    <cfRule type="cellIs" dxfId="37422" priority="54318" operator="equal">
      <formula>"OFF"</formula>
    </cfRule>
    <cfRule type="cellIs" dxfId="37421" priority="54319" operator="equal">
      <formula>"PTO"</formula>
    </cfRule>
  </conditionalFormatting>
  <conditionalFormatting sqref="X44">
    <cfRule type="cellIs" dxfId="37420" priority="54316" operator="equal">
      <formula>"OFF"</formula>
    </cfRule>
    <cfRule type="cellIs" dxfId="37419" priority="54317" operator="equal">
      <formula>"PTO"</formula>
    </cfRule>
  </conditionalFormatting>
  <conditionalFormatting sqref="B44">
    <cfRule type="duplicateValues" dxfId="37418" priority="54315"/>
  </conditionalFormatting>
  <conditionalFormatting sqref="B44">
    <cfRule type="duplicateValues" dxfId="37417" priority="54314"/>
  </conditionalFormatting>
  <conditionalFormatting sqref="B44">
    <cfRule type="duplicateValues" dxfId="37416" priority="54313"/>
  </conditionalFormatting>
  <conditionalFormatting sqref="X44">
    <cfRule type="cellIs" dxfId="37415" priority="54311" operator="equal">
      <formula>"OFF"</formula>
    </cfRule>
    <cfRule type="cellIs" dxfId="37414" priority="54312" operator="equal">
      <formula>"PTO"</formula>
    </cfRule>
  </conditionalFormatting>
  <conditionalFormatting sqref="X44">
    <cfRule type="cellIs" dxfId="37413" priority="54309" operator="equal">
      <formula>"OFF"</formula>
    </cfRule>
    <cfRule type="cellIs" dxfId="37412" priority="54310" operator="equal">
      <formula>"PTO"</formula>
    </cfRule>
  </conditionalFormatting>
  <conditionalFormatting sqref="X44">
    <cfRule type="cellIs" dxfId="37411" priority="54307" operator="equal">
      <formula>"OFF"</formula>
    </cfRule>
    <cfRule type="cellIs" dxfId="37410" priority="54308" operator="equal">
      <formula>"PTO"</formula>
    </cfRule>
  </conditionalFormatting>
  <conditionalFormatting sqref="B44">
    <cfRule type="duplicateValues" dxfId="37409" priority="54306"/>
  </conditionalFormatting>
  <conditionalFormatting sqref="B44">
    <cfRule type="duplicateValues" dxfId="37408" priority="54305"/>
  </conditionalFormatting>
  <conditionalFormatting sqref="B44">
    <cfRule type="duplicateValues" dxfId="37407" priority="54304"/>
  </conditionalFormatting>
  <conditionalFormatting sqref="B44">
    <cfRule type="duplicateValues" dxfId="37406" priority="54303"/>
  </conditionalFormatting>
  <conditionalFormatting sqref="X44">
    <cfRule type="cellIs" dxfId="37405" priority="54301" operator="equal">
      <formula>"OFF"</formula>
    </cfRule>
    <cfRule type="cellIs" dxfId="37404" priority="54302" operator="equal">
      <formula>"PTO"</formula>
    </cfRule>
  </conditionalFormatting>
  <conditionalFormatting sqref="X44">
    <cfRule type="cellIs" dxfId="37403" priority="54299" operator="equal">
      <formula>"OFF"</formula>
    </cfRule>
    <cfRule type="cellIs" dxfId="37402" priority="54300" operator="equal">
      <formula>"PTO"</formula>
    </cfRule>
  </conditionalFormatting>
  <conditionalFormatting sqref="B44">
    <cfRule type="duplicateValues" dxfId="37401" priority="54298"/>
  </conditionalFormatting>
  <conditionalFormatting sqref="X44">
    <cfRule type="cellIs" dxfId="37400" priority="54296" operator="equal">
      <formula>"OFF"</formula>
    </cfRule>
    <cfRule type="cellIs" dxfId="37399" priority="54297" operator="equal">
      <formula>"PTO"</formula>
    </cfRule>
  </conditionalFormatting>
  <conditionalFormatting sqref="B44">
    <cfRule type="duplicateValues" dxfId="37398" priority="54295"/>
  </conditionalFormatting>
  <conditionalFormatting sqref="B44">
    <cfRule type="duplicateValues" dxfId="37397" priority="54294"/>
  </conditionalFormatting>
  <conditionalFormatting sqref="X44">
    <cfRule type="cellIs" dxfId="37396" priority="54292" operator="equal">
      <formula>"OFF"</formula>
    </cfRule>
    <cfRule type="cellIs" dxfId="37395" priority="54293" operator="equal">
      <formula>"PTO"</formula>
    </cfRule>
  </conditionalFormatting>
  <conditionalFormatting sqref="X44">
    <cfRule type="cellIs" dxfId="37394" priority="54290" operator="equal">
      <formula>"OFF"</formula>
    </cfRule>
    <cfRule type="cellIs" dxfId="37393" priority="54291" operator="equal">
      <formula>"PTO"</formula>
    </cfRule>
  </conditionalFormatting>
  <conditionalFormatting sqref="X44">
    <cfRule type="cellIs" dxfId="37392" priority="54288" operator="equal">
      <formula>"OFF"</formula>
    </cfRule>
    <cfRule type="cellIs" dxfId="37391" priority="54289" operator="equal">
      <formula>"PTO"</formula>
    </cfRule>
  </conditionalFormatting>
  <conditionalFormatting sqref="X44">
    <cfRule type="cellIs" dxfId="37390" priority="54286" operator="equal">
      <formula>"OFF"</formula>
    </cfRule>
    <cfRule type="cellIs" dxfId="37389" priority="54287" operator="equal">
      <formula>"PTO"</formula>
    </cfRule>
  </conditionalFormatting>
  <conditionalFormatting sqref="B44">
    <cfRule type="duplicateValues" dxfId="37388" priority="54285"/>
  </conditionalFormatting>
  <conditionalFormatting sqref="B44">
    <cfRule type="duplicateValues" dxfId="37387" priority="54284"/>
  </conditionalFormatting>
  <conditionalFormatting sqref="B44">
    <cfRule type="duplicateValues" dxfId="37386" priority="54283"/>
  </conditionalFormatting>
  <conditionalFormatting sqref="B44">
    <cfRule type="duplicateValues" dxfId="37385" priority="54282"/>
  </conditionalFormatting>
  <conditionalFormatting sqref="X44">
    <cfRule type="cellIs" dxfId="37384" priority="54280" operator="equal">
      <formula>"OFF"</formula>
    </cfRule>
    <cfRule type="cellIs" dxfId="37383" priority="54281" operator="equal">
      <formula>"PTO"</formula>
    </cfRule>
  </conditionalFormatting>
  <conditionalFormatting sqref="X44">
    <cfRule type="cellIs" dxfId="37382" priority="54278" operator="equal">
      <formula>"OFF"</formula>
    </cfRule>
    <cfRule type="cellIs" dxfId="37381" priority="54279" operator="equal">
      <formula>"PTO"</formula>
    </cfRule>
  </conditionalFormatting>
  <conditionalFormatting sqref="B44">
    <cfRule type="duplicateValues" dxfId="37380" priority="54277"/>
  </conditionalFormatting>
  <conditionalFormatting sqref="X44">
    <cfRule type="cellIs" dxfId="37379" priority="54275" operator="equal">
      <formula>"OFF"</formula>
    </cfRule>
    <cfRule type="cellIs" dxfId="37378" priority="54276" operator="equal">
      <formula>"PTO"</formula>
    </cfRule>
  </conditionalFormatting>
  <conditionalFormatting sqref="B44">
    <cfRule type="duplicateValues" dxfId="37377" priority="54274"/>
  </conditionalFormatting>
  <conditionalFormatting sqref="X44">
    <cfRule type="cellIs" dxfId="37376" priority="54272" operator="equal">
      <formula>"OFF"</formula>
    </cfRule>
    <cfRule type="cellIs" dxfId="37375" priority="54273" operator="equal">
      <formula>"PTO"</formula>
    </cfRule>
  </conditionalFormatting>
  <conditionalFormatting sqref="B44">
    <cfRule type="duplicateValues" dxfId="37374" priority="54271"/>
  </conditionalFormatting>
  <conditionalFormatting sqref="B44">
    <cfRule type="duplicateValues" dxfId="37373" priority="54270"/>
  </conditionalFormatting>
  <conditionalFormatting sqref="B44">
    <cfRule type="duplicateValues" dxfId="37372" priority="54269"/>
  </conditionalFormatting>
  <conditionalFormatting sqref="B44">
    <cfRule type="duplicateValues" dxfId="37371" priority="54268"/>
  </conditionalFormatting>
  <conditionalFormatting sqref="B44">
    <cfRule type="duplicateValues" dxfId="37370" priority="54267"/>
  </conditionalFormatting>
  <conditionalFormatting sqref="B44">
    <cfRule type="duplicateValues" dxfId="37369" priority="54266"/>
  </conditionalFormatting>
  <conditionalFormatting sqref="X44">
    <cfRule type="cellIs" dxfId="37368" priority="54264" operator="equal">
      <formula>"OFF"</formula>
    </cfRule>
    <cfRule type="cellIs" dxfId="37367" priority="54265" operator="equal">
      <formula>"PTO"</formula>
    </cfRule>
  </conditionalFormatting>
  <conditionalFormatting sqref="B44">
    <cfRule type="duplicateValues" dxfId="37366" priority="54263"/>
  </conditionalFormatting>
  <conditionalFormatting sqref="X45">
    <cfRule type="cellIs" dxfId="37365" priority="54255" operator="equal">
      <formula>"OFF"</formula>
    </cfRule>
    <cfRule type="cellIs" dxfId="37364" priority="54256" operator="equal">
      <formula>"PTO"</formula>
    </cfRule>
  </conditionalFormatting>
  <conditionalFormatting sqref="B45">
    <cfRule type="duplicateValues" dxfId="37363" priority="54252"/>
  </conditionalFormatting>
  <conditionalFormatting sqref="X45">
    <cfRule type="cellIs" dxfId="37362" priority="54250" operator="equal">
      <formula>"OFF"</formula>
    </cfRule>
    <cfRule type="cellIs" dxfId="37361" priority="54251" operator="equal">
      <formula>"PTO"</formula>
    </cfRule>
  </conditionalFormatting>
  <conditionalFormatting sqref="B45">
    <cfRule type="duplicateValues" dxfId="37360" priority="54249"/>
  </conditionalFormatting>
  <conditionalFormatting sqref="X45">
    <cfRule type="cellIs" dxfId="37359" priority="54247" operator="equal">
      <formula>"OFF"</formula>
    </cfRule>
    <cfRule type="cellIs" dxfId="37358" priority="54248" operator="equal">
      <formula>"PTO"</formula>
    </cfRule>
  </conditionalFormatting>
  <conditionalFormatting sqref="X45">
    <cfRule type="cellIs" dxfId="37357" priority="54245" operator="equal">
      <formula>"OFF"</formula>
    </cfRule>
    <cfRule type="cellIs" dxfId="37356" priority="54246" operator="equal">
      <formula>"PTO"</formula>
    </cfRule>
  </conditionalFormatting>
  <conditionalFormatting sqref="B45">
    <cfRule type="duplicateValues" dxfId="37355" priority="54244"/>
  </conditionalFormatting>
  <conditionalFormatting sqref="X45">
    <cfRule type="cellIs" dxfId="37354" priority="54242" operator="equal">
      <formula>"OFF"</formula>
    </cfRule>
    <cfRule type="cellIs" dxfId="37353" priority="54243" operator="equal">
      <formula>"PTO"</formula>
    </cfRule>
  </conditionalFormatting>
  <conditionalFormatting sqref="B45">
    <cfRule type="duplicateValues" dxfId="37352" priority="54241"/>
  </conditionalFormatting>
  <conditionalFormatting sqref="X45">
    <cfRule type="cellIs" dxfId="37351" priority="54231" operator="equal">
      <formula>"OFF"</formula>
    </cfRule>
    <cfRule type="cellIs" dxfId="37350" priority="54232" operator="equal">
      <formula>"PTO"</formula>
    </cfRule>
  </conditionalFormatting>
  <conditionalFormatting sqref="B45">
    <cfRule type="duplicateValues" dxfId="37349" priority="54230"/>
  </conditionalFormatting>
  <conditionalFormatting sqref="X45">
    <cfRule type="cellIs" dxfId="37348" priority="54226" operator="equal">
      <formula>"OFF"</formula>
    </cfRule>
    <cfRule type="cellIs" dxfId="37347" priority="54227" operator="equal">
      <formula>"PTO"</formula>
    </cfRule>
  </conditionalFormatting>
  <conditionalFormatting sqref="X45">
    <cfRule type="cellIs" dxfId="37346" priority="54224" operator="equal">
      <formula>"OFF"</formula>
    </cfRule>
    <cfRule type="cellIs" dxfId="37345" priority="54225" operator="equal">
      <formula>"PTO"</formula>
    </cfRule>
  </conditionalFormatting>
  <conditionalFormatting sqref="X45">
    <cfRule type="cellIs" dxfId="37344" priority="54222" operator="equal">
      <formula>"OFF"</formula>
    </cfRule>
    <cfRule type="cellIs" dxfId="37343" priority="54223" operator="equal">
      <formula>"PTO"</formula>
    </cfRule>
  </conditionalFormatting>
  <conditionalFormatting sqref="B45">
    <cfRule type="duplicateValues" dxfId="37342" priority="54221"/>
  </conditionalFormatting>
  <conditionalFormatting sqref="B45">
    <cfRule type="duplicateValues" dxfId="37341" priority="54220"/>
  </conditionalFormatting>
  <conditionalFormatting sqref="B45">
    <cfRule type="duplicateValues" dxfId="37340" priority="54219"/>
  </conditionalFormatting>
  <conditionalFormatting sqref="B45">
    <cfRule type="duplicateValues" dxfId="37339" priority="54212"/>
  </conditionalFormatting>
  <conditionalFormatting sqref="X45">
    <cfRule type="cellIs" dxfId="37338" priority="54210" operator="equal">
      <formula>"OFF"</formula>
    </cfRule>
    <cfRule type="cellIs" dxfId="37337" priority="54211" operator="equal">
      <formula>"PTO"</formula>
    </cfRule>
  </conditionalFormatting>
  <conditionalFormatting sqref="X45">
    <cfRule type="cellIs" dxfId="37336" priority="54208" operator="equal">
      <formula>"OFF"</formula>
    </cfRule>
    <cfRule type="cellIs" dxfId="37335" priority="54209" operator="equal">
      <formula>"PTO"</formula>
    </cfRule>
  </conditionalFormatting>
  <conditionalFormatting sqref="B45">
    <cfRule type="duplicateValues" dxfId="37334" priority="54207"/>
  </conditionalFormatting>
  <conditionalFormatting sqref="X45">
    <cfRule type="cellIs" dxfId="37333" priority="54205" operator="equal">
      <formula>"OFF"</formula>
    </cfRule>
    <cfRule type="cellIs" dxfId="37332" priority="54206" operator="equal">
      <formula>"PTO"</formula>
    </cfRule>
  </conditionalFormatting>
  <conditionalFormatting sqref="B45">
    <cfRule type="duplicateValues" dxfId="37331" priority="54204"/>
  </conditionalFormatting>
  <conditionalFormatting sqref="X45">
    <cfRule type="cellIs" dxfId="37330" priority="54194" operator="equal">
      <formula>"OFF"</formula>
    </cfRule>
    <cfRule type="cellIs" dxfId="37329" priority="54195" operator="equal">
      <formula>"PTO"</formula>
    </cfRule>
  </conditionalFormatting>
  <conditionalFormatting sqref="B45">
    <cfRule type="duplicateValues" dxfId="37328" priority="54193"/>
  </conditionalFormatting>
  <conditionalFormatting sqref="B45">
    <cfRule type="duplicateValues" dxfId="37327" priority="54190"/>
  </conditionalFormatting>
  <conditionalFormatting sqref="X45">
    <cfRule type="cellIs" dxfId="37326" priority="54188" operator="equal">
      <formula>"OFF"</formula>
    </cfRule>
    <cfRule type="cellIs" dxfId="37325" priority="54189" operator="equal">
      <formula>"PTO"</formula>
    </cfRule>
  </conditionalFormatting>
  <conditionalFormatting sqref="X45">
    <cfRule type="cellIs" dxfId="37324" priority="54186" operator="equal">
      <formula>"OFF"</formula>
    </cfRule>
    <cfRule type="cellIs" dxfId="37323" priority="54187" operator="equal">
      <formula>"PTO"</formula>
    </cfRule>
  </conditionalFormatting>
  <conditionalFormatting sqref="B45">
    <cfRule type="duplicateValues" dxfId="37322" priority="54185"/>
  </conditionalFormatting>
  <conditionalFormatting sqref="X45">
    <cfRule type="cellIs" dxfId="37321" priority="54183" operator="equal">
      <formula>"OFF"</formula>
    </cfRule>
    <cfRule type="cellIs" dxfId="37320" priority="54184" operator="equal">
      <formula>"PTO"</formula>
    </cfRule>
  </conditionalFormatting>
  <conditionalFormatting sqref="B45">
    <cfRule type="duplicateValues" dxfId="37319" priority="54182"/>
  </conditionalFormatting>
  <conditionalFormatting sqref="X45">
    <cfRule type="cellIs" dxfId="37318" priority="54172" operator="equal">
      <formula>"OFF"</formula>
    </cfRule>
    <cfRule type="cellIs" dxfId="37317" priority="54173" operator="equal">
      <formula>"PTO"</formula>
    </cfRule>
  </conditionalFormatting>
  <conditionalFormatting sqref="B45">
    <cfRule type="duplicateValues" dxfId="37316" priority="54171"/>
  </conditionalFormatting>
  <conditionalFormatting sqref="B45">
    <cfRule type="duplicateValues" dxfId="37315" priority="54168"/>
  </conditionalFormatting>
  <conditionalFormatting sqref="X45">
    <cfRule type="cellIs" dxfId="37314" priority="54166" operator="equal">
      <formula>"OFF"</formula>
    </cfRule>
    <cfRule type="cellIs" dxfId="37313" priority="54167" operator="equal">
      <formula>"PTO"</formula>
    </cfRule>
  </conditionalFormatting>
  <conditionalFormatting sqref="B45">
    <cfRule type="duplicateValues" dxfId="37312" priority="54165"/>
  </conditionalFormatting>
  <conditionalFormatting sqref="B45">
    <cfRule type="duplicateValues" dxfId="37311" priority="54162"/>
  </conditionalFormatting>
  <conditionalFormatting sqref="X45">
    <cfRule type="cellIs" dxfId="37310" priority="54160" operator="equal">
      <formula>"OFF"</formula>
    </cfRule>
    <cfRule type="cellIs" dxfId="37309" priority="54161" operator="equal">
      <formula>"PTO"</formula>
    </cfRule>
  </conditionalFormatting>
  <conditionalFormatting sqref="X45">
    <cfRule type="cellIs" dxfId="37308" priority="54158" operator="equal">
      <formula>"OFF"</formula>
    </cfRule>
    <cfRule type="cellIs" dxfId="37307" priority="54159" operator="equal">
      <formula>"PTO"</formula>
    </cfRule>
  </conditionalFormatting>
  <conditionalFormatting sqref="B45">
    <cfRule type="duplicateValues" dxfId="37306" priority="54157"/>
  </conditionalFormatting>
  <conditionalFormatting sqref="X45">
    <cfRule type="cellIs" dxfId="37305" priority="54155" operator="equal">
      <formula>"OFF"</formula>
    </cfRule>
    <cfRule type="cellIs" dxfId="37304" priority="54156" operator="equal">
      <formula>"PTO"</formula>
    </cfRule>
  </conditionalFormatting>
  <conditionalFormatting sqref="B45">
    <cfRule type="duplicateValues" dxfId="37303" priority="54154"/>
  </conditionalFormatting>
  <conditionalFormatting sqref="X45">
    <cfRule type="cellIs" dxfId="37302" priority="54144" operator="equal">
      <formula>"OFF"</formula>
    </cfRule>
    <cfRule type="cellIs" dxfId="37301" priority="54145" operator="equal">
      <formula>"PTO"</formula>
    </cfRule>
  </conditionalFormatting>
  <conditionalFormatting sqref="B45">
    <cfRule type="duplicateValues" dxfId="37300" priority="54143"/>
  </conditionalFormatting>
  <conditionalFormatting sqref="X45">
    <cfRule type="cellIs" dxfId="37299" priority="54139" operator="equal">
      <formula>"OFF"</formula>
    </cfRule>
    <cfRule type="cellIs" dxfId="37298" priority="54140" operator="equal">
      <formula>"PTO"</formula>
    </cfRule>
  </conditionalFormatting>
  <conditionalFormatting sqref="B45">
    <cfRule type="duplicateValues" dxfId="37297" priority="54138"/>
  </conditionalFormatting>
  <conditionalFormatting sqref="B45">
    <cfRule type="duplicateValues" dxfId="37296" priority="54135"/>
  </conditionalFormatting>
  <conditionalFormatting sqref="B47">
    <cfRule type="duplicateValues" dxfId="37295" priority="54134"/>
  </conditionalFormatting>
  <conditionalFormatting sqref="B47">
    <cfRule type="duplicateValues" dxfId="37294" priority="54133"/>
  </conditionalFormatting>
  <conditionalFormatting sqref="X46">
    <cfRule type="cellIs" dxfId="37293" priority="54129" operator="equal">
      <formula>"OFF"</formula>
    </cfRule>
    <cfRule type="cellIs" dxfId="37292" priority="54130" operator="equal">
      <formula>"PTO"</formula>
    </cfRule>
  </conditionalFormatting>
  <conditionalFormatting sqref="B43:B56">
    <cfRule type="duplicateValues" dxfId="37291" priority="54128"/>
  </conditionalFormatting>
  <conditionalFormatting sqref="B47">
    <cfRule type="duplicateValues" dxfId="37290" priority="54125"/>
  </conditionalFormatting>
  <conditionalFormatting sqref="B47">
    <cfRule type="duplicateValues" dxfId="37289" priority="54124"/>
  </conditionalFormatting>
  <conditionalFormatting sqref="X48">
    <cfRule type="cellIs" dxfId="37288" priority="53698" operator="equal">
      <formula>"OFF"</formula>
    </cfRule>
    <cfRule type="cellIs" dxfId="37287" priority="53699" operator="equal">
      <formula>"PTO"</formula>
    </cfRule>
  </conditionalFormatting>
  <conditionalFormatting sqref="B48">
    <cfRule type="duplicateValues" dxfId="37286" priority="53697"/>
  </conditionalFormatting>
  <conditionalFormatting sqref="X49">
    <cfRule type="cellIs" dxfId="37285" priority="53695" operator="equal">
      <formula>"OFF"</formula>
    </cfRule>
    <cfRule type="cellIs" dxfId="37284" priority="53696" operator="equal">
      <formula>"PTO"</formula>
    </cfRule>
  </conditionalFormatting>
  <conditionalFormatting sqref="B49">
    <cfRule type="duplicateValues" dxfId="37283" priority="53694"/>
  </conditionalFormatting>
  <conditionalFormatting sqref="B48">
    <cfRule type="duplicateValues" dxfId="37282" priority="53693"/>
  </conditionalFormatting>
  <conditionalFormatting sqref="X48">
    <cfRule type="cellIs" dxfId="37281" priority="53691" operator="equal">
      <formula>"OFF"</formula>
    </cfRule>
    <cfRule type="cellIs" dxfId="37280" priority="53692" operator="equal">
      <formula>"PTO"</formula>
    </cfRule>
  </conditionalFormatting>
  <conditionalFormatting sqref="X48">
    <cfRule type="cellIs" dxfId="37279" priority="53689" operator="equal">
      <formula>"OFF"</formula>
    </cfRule>
    <cfRule type="cellIs" dxfId="37278" priority="53690" operator="equal">
      <formula>"PTO"</formula>
    </cfRule>
  </conditionalFormatting>
  <conditionalFormatting sqref="B48">
    <cfRule type="duplicateValues" dxfId="37277" priority="53688"/>
  </conditionalFormatting>
  <conditionalFormatting sqref="X48">
    <cfRule type="cellIs" dxfId="37276" priority="53686" operator="equal">
      <formula>"OFF"</formula>
    </cfRule>
    <cfRule type="cellIs" dxfId="37275" priority="53687" operator="equal">
      <formula>"PTO"</formula>
    </cfRule>
  </conditionalFormatting>
  <conditionalFormatting sqref="B48">
    <cfRule type="duplicateValues" dxfId="37274" priority="53685"/>
  </conditionalFormatting>
  <conditionalFormatting sqref="X48">
    <cfRule type="cellIs" dxfId="37273" priority="53681" operator="equal">
      <formula>"OFF"</formula>
    </cfRule>
    <cfRule type="cellIs" dxfId="37272" priority="53682" operator="equal">
      <formula>"PTO"</formula>
    </cfRule>
  </conditionalFormatting>
  <conditionalFormatting sqref="B48">
    <cfRule type="duplicateValues" dxfId="37271" priority="53680"/>
  </conditionalFormatting>
  <conditionalFormatting sqref="X48">
    <cfRule type="cellIs" dxfId="37270" priority="53678" operator="equal">
      <formula>"OFF"</formula>
    </cfRule>
    <cfRule type="cellIs" dxfId="37269" priority="53679" operator="equal">
      <formula>"PTO"</formula>
    </cfRule>
  </conditionalFormatting>
  <conditionalFormatting sqref="B48">
    <cfRule type="duplicateValues" dxfId="37268" priority="53677"/>
  </conditionalFormatting>
  <conditionalFormatting sqref="X48">
    <cfRule type="cellIs" dxfId="37267" priority="53675" operator="equal">
      <formula>"OFF"</formula>
    </cfRule>
    <cfRule type="cellIs" dxfId="37266" priority="53676" operator="equal">
      <formula>"PTO"</formula>
    </cfRule>
  </conditionalFormatting>
  <conditionalFormatting sqref="B48">
    <cfRule type="duplicateValues" dxfId="37265" priority="53674"/>
  </conditionalFormatting>
  <conditionalFormatting sqref="B50">
    <cfRule type="duplicateValues" dxfId="37264" priority="53673"/>
  </conditionalFormatting>
  <conditionalFormatting sqref="B50">
    <cfRule type="duplicateValues" dxfId="37263" priority="53672"/>
  </conditionalFormatting>
  <conditionalFormatting sqref="B50">
    <cfRule type="duplicateValues" dxfId="37262" priority="53653"/>
  </conditionalFormatting>
  <conditionalFormatting sqref="B53">
    <cfRule type="duplicateValues" dxfId="37261" priority="53612"/>
  </conditionalFormatting>
  <conditionalFormatting sqref="B53">
    <cfRule type="duplicateValues" dxfId="37260" priority="53576"/>
  </conditionalFormatting>
  <conditionalFormatting sqref="B54">
    <cfRule type="duplicateValues" dxfId="37259" priority="53575"/>
  </conditionalFormatting>
  <conditionalFormatting sqref="X79">
    <cfRule type="cellIs" dxfId="37258" priority="48419" operator="equal">
      <formula>"OFF"</formula>
    </cfRule>
    <cfRule type="cellIs" dxfId="37257" priority="48420" operator="equal">
      <formula>"PTO"</formula>
    </cfRule>
  </conditionalFormatting>
  <conditionalFormatting sqref="X79">
    <cfRule type="cellIs" dxfId="37256" priority="48417" operator="equal">
      <formula>"OFF"</formula>
    </cfRule>
    <cfRule type="cellIs" dxfId="37255" priority="48418" operator="equal">
      <formula>"PTO"</formula>
    </cfRule>
  </conditionalFormatting>
  <conditionalFormatting sqref="X77">
    <cfRule type="cellIs" dxfId="37254" priority="48415" operator="equal">
      <formula>"OFF"</formula>
    </cfRule>
    <cfRule type="cellIs" dxfId="37253" priority="48416" operator="equal">
      <formula>"PTO"</formula>
    </cfRule>
  </conditionalFormatting>
  <conditionalFormatting sqref="X79">
    <cfRule type="cellIs" dxfId="37252" priority="48413" operator="equal">
      <formula>"OFF"</formula>
    </cfRule>
    <cfRule type="cellIs" dxfId="37251" priority="48414" operator="equal">
      <formula>"PTO"</formula>
    </cfRule>
  </conditionalFormatting>
  <conditionalFormatting sqref="X77">
    <cfRule type="cellIs" dxfId="37250" priority="48411" operator="equal">
      <formula>"OFF"</formula>
    </cfRule>
    <cfRule type="cellIs" dxfId="37249" priority="48412" operator="equal">
      <formula>"PTO"</formula>
    </cfRule>
  </conditionalFormatting>
  <conditionalFormatting sqref="X77">
    <cfRule type="cellIs" dxfId="37248" priority="48409" operator="equal">
      <formula>"OFF"</formula>
    </cfRule>
    <cfRule type="cellIs" dxfId="37247" priority="48410" operator="equal">
      <formula>"PTO"</formula>
    </cfRule>
  </conditionalFormatting>
  <conditionalFormatting sqref="X79">
    <cfRule type="cellIs" dxfId="37246" priority="48405" operator="equal">
      <formula>"OFF"</formula>
    </cfRule>
    <cfRule type="cellIs" dxfId="37245" priority="48406" operator="equal">
      <formula>"PTO"</formula>
    </cfRule>
  </conditionalFormatting>
  <conditionalFormatting sqref="X79">
    <cfRule type="cellIs" dxfId="37244" priority="48403" operator="equal">
      <formula>"OFF"</formula>
    </cfRule>
    <cfRule type="cellIs" dxfId="37243" priority="48404" operator="equal">
      <formula>"PTO"</formula>
    </cfRule>
  </conditionalFormatting>
  <conditionalFormatting sqref="X79">
    <cfRule type="cellIs" dxfId="37242" priority="48401" operator="equal">
      <formula>"OFF"</formula>
    </cfRule>
    <cfRule type="cellIs" dxfId="37241" priority="48402" operator="equal">
      <formula>"PTO"</formula>
    </cfRule>
  </conditionalFormatting>
  <conditionalFormatting sqref="X79">
    <cfRule type="cellIs" dxfId="37240" priority="48399" operator="equal">
      <formula>"OFF"</formula>
    </cfRule>
    <cfRule type="cellIs" dxfId="37239" priority="48400" operator="equal">
      <formula>"PTO"</formula>
    </cfRule>
  </conditionalFormatting>
  <conditionalFormatting sqref="X79">
    <cfRule type="cellIs" dxfId="37238" priority="48397" operator="equal">
      <formula>"OFF"</formula>
    </cfRule>
    <cfRule type="cellIs" dxfId="37237" priority="48398" operator="equal">
      <formula>"PTO"</formula>
    </cfRule>
  </conditionalFormatting>
  <conditionalFormatting sqref="X79">
    <cfRule type="cellIs" dxfId="37236" priority="48395" operator="equal">
      <formula>"OFF"</formula>
    </cfRule>
    <cfRule type="cellIs" dxfId="37235" priority="48396" operator="equal">
      <formula>"PTO"</formula>
    </cfRule>
  </conditionalFormatting>
  <conditionalFormatting sqref="X78">
    <cfRule type="cellIs" dxfId="37234" priority="48393" operator="equal">
      <formula>"OFF"</formula>
    </cfRule>
    <cfRule type="cellIs" dxfId="37233" priority="48394" operator="equal">
      <formula>"PTO"</formula>
    </cfRule>
  </conditionalFormatting>
  <conditionalFormatting sqref="X78">
    <cfRule type="cellIs" dxfId="37232" priority="48391" operator="equal">
      <formula>"OFF"</formula>
    </cfRule>
    <cfRule type="cellIs" dxfId="37231" priority="48392" operator="equal">
      <formula>"PTO"</formula>
    </cfRule>
  </conditionalFormatting>
  <conditionalFormatting sqref="X78">
    <cfRule type="cellIs" dxfId="37230" priority="48389" operator="equal">
      <formula>"OFF"</formula>
    </cfRule>
    <cfRule type="cellIs" dxfId="37229" priority="48390" operator="equal">
      <formula>"PTO"</formula>
    </cfRule>
  </conditionalFormatting>
  <conditionalFormatting sqref="X77">
    <cfRule type="cellIs" dxfId="37228" priority="48076" operator="equal">
      <formula>"OFF"</formula>
    </cfRule>
    <cfRule type="cellIs" dxfId="37227" priority="48077" operator="equal">
      <formula>"PTO"</formula>
    </cfRule>
  </conditionalFormatting>
  <conditionalFormatting sqref="X78">
    <cfRule type="cellIs" dxfId="37226" priority="48074" operator="equal">
      <formula>"OFF"</formula>
    </cfRule>
    <cfRule type="cellIs" dxfId="37225" priority="48075" operator="equal">
      <formula>"PTO"</formula>
    </cfRule>
  </conditionalFormatting>
  <conditionalFormatting sqref="X78">
    <cfRule type="cellIs" dxfId="37224" priority="48072" operator="equal">
      <formula>"OFF"</formula>
    </cfRule>
    <cfRule type="cellIs" dxfId="37223" priority="48073" operator="equal">
      <formula>"PTO"</formula>
    </cfRule>
  </conditionalFormatting>
  <conditionalFormatting sqref="X78">
    <cfRule type="cellIs" dxfId="37222" priority="48070" operator="equal">
      <formula>"OFF"</formula>
    </cfRule>
    <cfRule type="cellIs" dxfId="37221" priority="48071" operator="equal">
      <formula>"PTO"</formula>
    </cfRule>
  </conditionalFormatting>
  <conditionalFormatting sqref="X77">
    <cfRule type="cellIs" dxfId="37220" priority="48054" operator="equal">
      <formula>"OFF"</formula>
    </cfRule>
    <cfRule type="cellIs" dxfId="37219" priority="48055" operator="equal">
      <formula>"PTO"</formula>
    </cfRule>
  </conditionalFormatting>
  <conditionalFormatting sqref="X77">
    <cfRule type="cellIs" dxfId="37218" priority="48068" operator="equal">
      <formula>"OFF"</formula>
    </cfRule>
    <cfRule type="cellIs" dxfId="37217" priority="48069" operator="equal">
      <formula>"PTO"</formula>
    </cfRule>
  </conditionalFormatting>
  <conditionalFormatting sqref="X77">
    <cfRule type="cellIs" dxfId="37216" priority="48066" operator="equal">
      <formula>"OFF"</formula>
    </cfRule>
    <cfRule type="cellIs" dxfId="37215" priority="48067" operator="equal">
      <formula>"PTO"</formula>
    </cfRule>
  </conditionalFormatting>
  <conditionalFormatting sqref="X77">
    <cfRule type="cellIs" dxfId="37214" priority="48064" operator="equal">
      <formula>"OFF"</formula>
    </cfRule>
    <cfRule type="cellIs" dxfId="37213" priority="48065" operator="equal">
      <formula>"PTO"</formula>
    </cfRule>
  </conditionalFormatting>
  <conditionalFormatting sqref="X77">
    <cfRule type="cellIs" dxfId="37212" priority="48062" operator="equal">
      <formula>"OFF"</formula>
    </cfRule>
    <cfRule type="cellIs" dxfId="37211" priority="48063" operator="equal">
      <formula>"PTO"</formula>
    </cfRule>
  </conditionalFormatting>
  <conditionalFormatting sqref="X77">
    <cfRule type="cellIs" dxfId="37210" priority="48060" operator="equal">
      <formula>"OFF"</formula>
    </cfRule>
    <cfRule type="cellIs" dxfId="37209" priority="48061" operator="equal">
      <formula>"PTO"</formula>
    </cfRule>
  </conditionalFormatting>
  <conditionalFormatting sqref="X77">
    <cfRule type="cellIs" dxfId="37208" priority="48058" operator="equal">
      <formula>"OFF"</formula>
    </cfRule>
    <cfRule type="cellIs" dxfId="37207" priority="48059" operator="equal">
      <formula>"PTO"</formula>
    </cfRule>
  </conditionalFormatting>
  <conditionalFormatting sqref="X77">
    <cfRule type="cellIs" dxfId="37206" priority="48056" operator="equal">
      <formula>"OFF"</formula>
    </cfRule>
    <cfRule type="cellIs" dxfId="37205" priority="48057" operator="equal">
      <formula>"PTO"</formula>
    </cfRule>
  </conditionalFormatting>
  <conditionalFormatting sqref="X77">
    <cfRule type="cellIs" dxfId="37204" priority="48052" operator="equal">
      <formula>"OFF"</formula>
    </cfRule>
    <cfRule type="cellIs" dxfId="37203" priority="48053" operator="equal">
      <formula>"PTO"</formula>
    </cfRule>
  </conditionalFormatting>
  <conditionalFormatting sqref="X80">
    <cfRule type="cellIs" dxfId="37202" priority="47551" operator="equal">
      <formula>"OFF"</formula>
    </cfRule>
    <cfRule type="cellIs" dxfId="37201" priority="47552" operator="equal">
      <formula>"PTO"</formula>
    </cfRule>
  </conditionalFormatting>
  <conditionalFormatting sqref="X80">
    <cfRule type="cellIs" dxfId="37200" priority="47549" operator="equal">
      <formula>"OFF"</formula>
    </cfRule>
    <cfRule type="cellIs" dxfId="37199" priority="47550" operator="equal">
      <formula>"PTO"</formula>
    </cfRule>
  </conditionalFormatting>
  <conditionalFormatting sqref="X80">
    <cfRule type="cellIs" dxfId="37198" priority="47547" operator="equal">
      <formula>"OFF"</formula>
    </cfRule>
    <cfRule type="cellIs" dxfId="37197" priority="47548" operator="equal">
      <formula>"PTO"</formula>
    </cfRule>
  </conditionalFormatting>
  <conditionalFormatting sqref="X81">
    <cfRule type="cellIs" dxfId="37196" priority="47545" operator="equal">
      <formula>"OFF"</formula>
    </cfRule>
    <cfRule type="cellIs" dxfId="37195" priority="47546" operator="equal">
      <formula>"PTO"</formula>
    </cfRule>
  </conditionalFormatting>
  <conditionalFormatting sqref="X81">
    <cfRule type="cellIs" dxfId="37194" priority="47543" operator="equal">
      <formula>"OFF"</formula>
    </cfRule>
    <cfRule type="cellIs" dxfId="37193" priority="47544" operator="equal">
      <formula>"PTO"</formula>
    </cfRule>
  </conditionalFormatting>
  <conditionalFormatting sqref="X81">
    <cfRule type="cellIs" dxfId="37192" priority="47541" operator="equal">
      <formula>"OFF"</formula>
    </cfRule>
    <cfRule type="cellIs" dxfId="37191" priority="47542" operator="equal">
      <formula>"PTO"</formula>
    </cfRule>
  </conditionalFormatting>
  <conditionalFormatting sqref="X80">
    <cfRule type="cellIs" dxfId="37190" priority="47539" operator="equal">
      <formula>"OFF"</formula>
    </cfRule>
    <cfRule type="cellIs" dxfId="37189" priority="47540" operator="equal">
      <formula>"PTO"</formula>
    </cfRule>
  </conditionalFormatting>
  <conditionalFormatting sqref="X80">
    <cfRule type="cellIs" dxfId="37188" priority="47537" operator="equal">
      <formula>"OFF"</formula>
    </cfRule>
    <cfRule type="cellIs" dxfId="37187" priority="47538" operator="equal">
      <formula>"PTO"</formula>
    </cfRule>
  </conditionalFormatting>
  <conditionalFormatting sqref="X80">
    <cfRule type="cellIs" dxfId="37186" priority="47535" operator="equal">
      <formula>"OFF"</formula>
    </cfRule>
    <cfRule type="cellIs" dxfId="37185" priority="47536" operator="equal">
      <formula>"PTO"</formula>
    </cfRule>
  </conditionalFormatting>
  <conditionalFormatting sqref="X80">
    <cfRule type="cellIs" dxfId="37184" priority="47533" operator="equal">
      <formula>"OFF"</formula>
    </cfRule>
    <cfRule type="cellIs" dxfId="37183" priority="47534" operator="equal">
      <formula>"PTO"</formula>
    </cfRule>
  </conditionalFormatting>
  <conditionalFormatting sqref="X80">
    <cfRule type="cellIs" dxfId="37182" priority="47531" operator="equal">
      <formula>"OFF"</formula>
    </cfRule>
    <cfRule type="cellIs" dxfId="37181" priority="47532" operator="equal">
      <formula>"PTO"</formula>
    </cfRule>
  </conditionalFormatting>
  <conditionalFormatting sqref="X80">
    <cfRule type="cellIs" dxfId="37180" priority="47529" operator="equal">
      <formula>"OFF"</formula>
    </cfRule>
    <cfRule type="cellIs" dxfId="37179" priority="47530" operator="equal">
      <formula>"PTO"</formula>
    </cfRule>
  </conditionalFormatting>
  <conditionalFormatting sqref="X80">
    <cfRule type="cellIs" dxfId="37178" priority="47527" operator="equal">
      <formula>"OFF"</formula>
    </cfRule>
    <cfRule type="cellIs" dxfId="37177" priority="47528" operator="equal">
      <formula>"PTO"</formula>
    </cfRule>
  </conditionalFormatting>
  <conditionalFormatting sqref="X80">
    <cfRule type="cellIs" dxfId="37176" priority="47525" operator="equal">
      <formula>"OFF"</formula>
    </cfRule>
    <cfRule type="cellIs" dxfId="37175" priority="47526" operator="equal">
      <formula>"PTO"</formula>
    </cfRule>
  </conditionalFormatting>
  <conditionalFormatting sqref="X80">
    <cfRule type="cellIs" dxfId="37174" priority="47523" operator="equal">
      <formula>"OFF"</formula>
    </cfRule>
    <cfRule type="cellIs" dxfId="37173" priority="47524" operator="equal">
      <formula>"PTO"</formula>
    </cfRule>
  </conditionalFormatting>
  <conditionalFormatting sqref="X83:X84">
    <cfRule type="cellIs" dxfId="37172" priority="47420" operator="equal">
      <formula>"OFF"</formula>
    </cfRule>
    <cfRule type="cellIs" dxfId="37171" priority="47421" operator="equal">
      <formula>"PTO"</formula>
    </cfRule>
  </conditionalFormatting>
  <conditionalFormatting sqref="X84">
    <cfRule type="cellIs" dxfId="37170" priority="47418" operator="equal">
      <formula>"OFF"</formula>
    </cfRule>
    <cfRule type="cellIs" dxfId="37169" priority="47419" operator="equal">
      <formula>"PTO"</formula>
    </cfRule>
  </conditionalFormatting>
  <conditionalFormatting sqref="X83:X84">
    <cfRule type="cellIs" dxfId="37168" priority="47416" operator="equal">
      <formula>"OFF"</formula>
    </cfRule>
    <cfRule type="cellIs" dxfId="37167" priority="47417" operator="equal">
      <formula>"PTO"</formula>
    </cfRule>
  </conditionalFormatting>
  <conditionalFormatting sqref="X83">
    <cfRule type="cellIs" dxfId="37166" priority="47414" operator="equal">
      <formula>"OFF"</formula>
    </cfRule>
    <cfRule type="cellIs" dxfId="37165" priority="47415" operator="equal">
      <formula>"PTO"</formula>
    </cfRule>
  </conditionalFormatting>
  <conditionalFormatting sqref="X85">
    <cfRule type="cellIs" dxfId="37164" priority="46230" operator="equal">
      <formula>"OFF"</formula>
    </cfRule>
    <cfRule type="cellIs" dxfId="37163" priority="46231" operator="equal">
      <formula>"PTO"</formula>
    </cfRule>
  </conditionalFormatting>
  <conditionalFormatting sqref="X87">
    <cfRule type="cellIs" dxfId="37162" priority="46170" operator="equal">
      <formula>"OFF"</formula>
    </cfRule>
    <cfRule type="cellIs" dxfId="37161" priority="46171" operator="equal">
      <formula>"PTO"</formula>
    </cfRule>
  </conditionalFormatting>
  <conditionalFormatting sqref="X87">
    <cfRule type="cellIs" dxfId="37160" priority="46168" operator="equal">
      <formula>"OFF"</formula>
    </cfRule>
    <cfRule type="cellIs" dxfId="37159" priority="46169" operator="equal">
      <formula>"PTO"</formula>
    </cfRule>
  </conditionalFormatting>
  <conditionalFormatting sqref="X87">
    <cfRule type="cellIs" dxfId="37158" priority="46166" operator="equal">
      <formula>"OFF"</formula>
    </cfRule>
    <cfRule type="cellIs" dxfId="37157" priority="46167" operator="equal">
      <formula>"PTO"</formula>
    </cfRule>
  </conditionalFormatting>
  <conditionalFormatting sqref="R187:V187 C187:H187 K187:P187">
    <cfRule type="cellIs" dxfId="37156" priority="37864" operator="equal">
      <formula>"OFF"</formula>
    </cfRule>
    <cfRule type="cellIs" dxfId="37155" priority="37865" operator="equal">
      <formula>"PTO"</formula>
    </cfRule>
  </conditionalFormatting>
  <conditionalFormatting sqref="I187">
    <cfRule type="cellIs" dxfId="37154" priority="37862" operator="equal">
      <formula>"OFF"</formula>
    </cfRule>
    <cfRule type="cellIs" dxfId="37153" priority="37863" operator="equal">
      <formula>"PTO"</formula>
    </cfRule>
  </conditionalFormatting>
  <conditionalFormatting sqref="J187">
    <cfRule type="cellIs" dxfId="37152" priority="37860" operator="equal">
      <formula>"OFF"</formula>
    </cfRule>
    <cfRule type="cellIs" dxfId="37151" priority="37861" operator="equal">
      <formula>"PTO"</formula>
    </cfRule>
  </conditionalFormatting>
  <conditionalFormatting sqref="Q187">
    <cfRule type="cellIs" dxfId="37150" priority="37858" operator="equal">
      <formula>"OFF"</formula>
    </cfRule>
    <cfRule type="cellIs" dxfId="37149" priority="37859" operator="equal">
      <formula>"PTO"</formula>
    </cfRule>
  </conditionalFormatting>
  <conditionalFormatting sqref="X187">
    <cfRule type="cellIs" dxfId="37148" priority="37856" operator="equal">
      <formula>"OFF"</formula>
    </cfRule>
    <cfRule type="cellIs" dxfId="37147" priority="37857" operator="equal">
      <formula>"PTO"</formula>
    </cfRule>
  </conditionalFormatting>
  <conditionalFormatting sqref="W187">
    <cfRule type="cellIs" dxfId="37146" priority="37854" operator="equal">
      <formula>"OFF"</formula>
    </cfRule>
    <cfRule type="cellIs" dxfId="37145" priority="37855" operator="equal">
      <formula>"PTO"</formula>
    </cfRule>
  </conditionalFormatting>
  <conditionalFormatting sqref="X85">
    <cfRule type="cellIs" dxfId="37144" priority="37823" operator="equal">
      <formula>"OFF"</formula>
    </cfRule>
    <cfRule type="cellIs" dxfId="37143" priority="37824" operator="equal">
      <formula>"PTO"</formula>
    </cfRule>
  </conditionalFormatting>
  <conditionalFormatting sqref="X84">
    <cfRule type="cellIs" dxfId="37142" priority="37821" operator="equal">
      <formula>"OFF"</formula>
    </cfRule>
    <cfRule type="cellIs" dxfId="37141" priority="37822" operator="equal">
      <formula>"PTO"</formula>
    </cfRule>
  </conditionalFormatting>
  <conditionalFormatting sqref="X84">
    <cfRule type="cellIs" dxfId="37140" priority="37164" operator="equal">
      <formula>"OFF"</formula>
    </cfRule>
    <cfRule type="cellIs" dxfId="37139" priority="37165" operator="equal">
      <formula>"PTO"</formula>
    </cfRule>
  </conditionalFormatting>
  <conditionalFormatting sqref="X85">
    <cfRule type="cellIs" dxfId="37138" priority="37104" operator="equal">
      <formula>"OFF"</formula>
    </cfRule>
    <cfRule type="cellIs" dxfId="37137" priority="37105" operator="equal">
      <formula>"PTO"</formula>
    </cfRule>
  </conditionalFormatting>
  <conditionalFormatting sqref="X85">
    <cfRule type="cellIs" dxfId="37136" priority="37102" operator="equal">
      <formula>"OFF"</formula>
    </cfRule>
    <cfRule type="cellIs" dxfId="37135" priority="37103" operator="equal">
      <formula>"PTO"</formula>
    </cfRule>
  </conditionalFormatting>
  <conditionalFormatting sqref="X85">
    <cfRule type="cellIs" dxfId="37134" priority="37100" operator="equal">
      <formula>"OFF"</formula>
    </cfRule>
    <cfRule type="cellIs" dxfId="37133" priority="37101" operator="equal">
      <formula>"PTO"</formula>
    </cfRule>
  </conditionalFormatting>
  <conditionalFormatting sqref="X86">
    <cfRule type="cellIs" dxfId="37132" priority="36539" operator="equal">
      <formula>"OFF"</formula>
    </cfRule>
    <cfRule type="cellIs" dxfId="37131" priority="36540" operator="equal">
      <formula>"PTO"</formula>
    </cfRule>
  </conditionalFormatting>
  <conditionalFormatting sqref="X86">
    <cfRule type="cellIs" dxfId="37130" priority="36537" operator="equal">
      <formula>"OFF"</formula>
    </cfRule>
    <cfRule type="cellIs" dxfId="37129" priority="36538" operator="equal">
      <formula>"PTO"</formula>
    </cfRule>
  </conditionalFormatting>
  <conditionalFormatting sqref="X86">
    <cfRule type="cellIs" dxfId="37128" priority="36535" operator="equal">
      <formula>"OFF"</formula>
    </cfRule>
    <cfRule type="cellIs" dxfId="37127" priority="36536" operator="equal">
      <formula>"PTO"</formula>
    </cfRule>
  </conditionalFormatting>
  <conditionalFormatting sqref="X86">
    <cfRule type="cellIs" dxfId="37126" priority="36533" operator="equal">
      <formula>"OFF"</formula>
    </cfRule>
    <cfRule type="cellIs" dxfId="37125" priority="36534" operator="equal">
      <formula>"PTO"</formula>
    </cfRule>
  </conditionalFormatting>
  <conditionalFormatting sqref="X86">
    <cfRule type="cellIs" dxfId="37124" priority="36531" operator="equal">
      <formula>"OFF"</formula>
    </cfRule>
    <cfRule type="cellIs" dxfId="37123" priority="36532" operator="equal">
      <formula>"PTO"</formula>
    </cfRule>
  </conditionalFormatting>
  <conditionalFormatting sqref="X86">
    <cfRule type="cellIs" dxfId="37122" priority="36529" operator="equal">
      <formula>"OFF"</formula>
    </cfRule>
    <cfRule type="cellIs" dxfId="37121" priority="36530" operator="equal">
      <formula>"PTO"</formula>
    </cfRule>
  </conditionalFormatting>
  <conditionalFormatting sqref="X86">
    <cfRule type="cellIs" dxfId="37120" priority="36421" operator="equal">
      <formula>"OFF"</formula>
    </cfRule>
    <cfRule type="cellIs" dxfId="37119" priority="36422" operator="equal">
      <formula>"PTO"</formula>
    </cfRule>
  </conditionalFormatting>
  <conditionalFormatting sqref="X86">
    <cfRule type="cellIs" dxfId="37118" priority="36419" operator="equal">
      <formula>"OFF"</formula>
    </cfRule>
    <cfRule type="cellIs" dxfId="37117" priority="36420" operator="equal">
      <formula>"PTO"</formula>
    </cfRule>
  </conditionalFormatting>
  <conditionalFormatting sqref="X86">
    <cfRule type="cellIs" dxfId="37116" priority="36417" operator="equal">
      <formula>"OFF"</formula>
    </cfRule>
    <cfRule type="cellIs" dxfId="37115" priority="36418" operator="equal">
      <formula>"PTO"</formula>
    </cfRule>
  </conditionalFormatting>
  <conditionalFormatting sqref="X86">
    <cfRule type="cellIs" dxfId="37114" priority="35845" operator="equal">
      <formula>"OFF"</formula>
    </cfRule>
    <cfRule type="cellIs" dxfId="37113" priority="35846" operator="equal">
      <formula>"PTO"</formula>
    </cfRule>
  </conditionalFormatting>
  <conditionalFormatting sqref="X86">
    <cfRule type="cellIs" dxfId="37112" priority="35843" operator="equal">
      <formula>"OFF"</formula>
    </cfRule>
    <cfRule type="cellIs" dxfId="37111" priority="35844" operator="equal">
      <formula>"PTO"</formula>
    </cfRule>
  </conditionalFormatting>
  <conditionalFormatting sqref="X86">
    <cfRule type="cellIs" dxfId="37110" priority="35841" operator="equal">
      <formula>"OFF"</formula>
    </cfRule>
    <cfRule type="cellIs" dxfId="37109" priority="35842" operator="equal">
      <formula>"PTO"</formula>
    </cfRule>
  </conditionalFormatting>
  <conditionalFormatting sqref="X40">
    <cfRule type="cellIs" dxfId="37108" priority="11764" operator="equal">
      <formula>"OFF"</formula>
    </cfRule>
    <cfRule type="cellIs" dxfId="37107" priority="11765" operator="equal">
      <formula>"PTO"</formula>
    </cfRule>
  </conditionalFormatting>
  <conditionalFormatting sqref="X40">
    <cfRule type="cellIs" dxfId="37106" priority="11762" operator="equal">
      <formula>"OFF"</formula>
    </cfRule>
    <cfRule type="cellIs" dxfId="37105" priority="11763" operator="equal">
      <formula>"PTO"</formula>
    </cfRule>
  </conditionalFormatting>
  <conditionalFormatting sqref="X40">
    <cfRule type="cellIs" dxfId="37104" priority="11758" operator="equal">
      <formula>"OFF"</formula>
    </cfRule>
    <cfRule type="cellIs" dxfId="37103" priority="11759" operator="equal">
      <formula>"PTO"</formula>
    </cfRule>
  </conditionalFormatting>
  <conditionalFormatting sqref="X40">
    <cfRule type="cellIs" dxfId="37102" priority="11750" operator="equal">
      <formula>"OFF"</formula>
    </cfRule>
    <cfRule type="cellIs" dxfId="37101" priority="11751" operator="equal">
      <formula>"PTO"</formula>
    </cfRule>
  </conditionalFormatting>
  <conditionalFormatting sqref="X40">
    <cfRule type="cellIs" dxfId="37100" priority="11742" operator="equal">
      <formula>"OFF"</formula>
    </cfRule>
    <cfRule type="cellIs" dxfId="37099" priority="11743" operator="equal">
      <formula>"PTO"</formula>
    </cfRule>
  </conditionalFormatting>
  <conditionalFormatting sqref="Q40:W40">
    <cfRule type="cellIs" dxfId="37098" priority="11674" operator="equal">
      <formula>"OFF"</formula>
    </cfRule>
    <cfRule type="cellIs" dxfId="37097" priority="11675" operator="equal">
      <formula>"PTO"</formula>
    </cfRule>
  </conditionalFormatting>
  <conditionalFormatting sqref="Q40:W40">
    <cfRule type="cellIs" dxfId="37096" priority="11672" operator="equal">
      <formula>"OFF"</formula>
    </cfRule>
    <cfRule type="cellIs" dxfId="37095" priority="11673" operator="equal">
      <formula>"PTO"</formula>
    </cfRule>
  </conditionalFormatting>
  <conditionalFormatting sqref="Q40:W40">
    <cfRule type="cellIs" dxfId="37094" priority="11670" operator="equal">
      <formula>"OFF"</formula>
    </cfRule>
    <cfRule type="cellIs" dxfId="37093" priority="11671" operator="equal">
      <formula>"PTO"</formula>
    </cfRule>
  </conditionalFormatting>
  <conditionalFormatting sqref="Q40:W40">
    <cfRule type="cellIs" dxfId="37092" priority="11668" operator="equal">
      <formula>"OFF"</formula>
    </cfRule>
    <cfRule type="cellIs" dxfId="37091" priority="11669" operator="equal">
      <formula>"PTO"</formula>
    </cfRule>
  </conditionalFormatting>
  <conditionalFormatting sqref="Q40:W40">
    <cfRule type="cellIs" dxfId="37090" priority="11666" operator="equal">
      <formula>"OFF"</formula>
    </cfRule>
    <cfRule type="cellIs" dxfId="37089" priority="11667" operator="equal">
      <formula>"PTO"</formula>
    </cfRule>
  </conditionalFormatting>
  <conditionalFormatting sqref="Q40:W40">
    <cfRule type="cellIs" dxfId="37088" priority="11664" operator="equal">
      <formula>"OFF"</formula>
    </cfRule>
    <cfRule type="cellIs" dxfId="37087" priority="11665" operator="equal">
      <formula>"PTO"</formula>
    </cfRule>
  </conditionalFormatting>
  <conditionalFormatting sqref="Q40:W40">
    <cfRule type="cellIs" dxfId="37086" priority="11662" operator="equal">
      <formula>"OFF"</formula>
    </cfRule>
    <cfRule type="cellIs" dxfId="37085" priority="11663" operator="equal">
      <formula>"PTO"</formula>
    </cfRule>
  </conditionalFormatting>
  <conditionalFormatting sqref="Q40 W40">
    <cfRule type="cellIs" dxfId="37084" priority="11660" operator="equal">
      <formula>"OFF"</formula>
    </cfRule>
    <cfRule type="cellIs" dxfId="37083" priority="11661" operator="equal">
      <formula>"PTO"</formula>
    </cfRule>
  </conditionalFormatting>
  <conditionalFormatting sqref="R40:U40">
    <cfRule type="cellIs" dxfId="37082" priority="11658" operator="equal">
      <formula>"OFF"</formula>
    </cfRule>
    <cfRule type="cellIs" dxfId="37081" priority="11659" operator="equal">
      <formula>"PTO"</formula>
    </cfRule>
  </conditionalFormatting>
  <conditionalFormatting sqref="R40:U40">
    <cfRule type="cellIs" dxfId="37080" priority="11656" operator="equal">
      <formula>"OFF"</formula>
    </cfRule>
    <cfRule type="cellIs" dxfId="37079" priority="11657" operator="equal">
      <formula>"PTO"</formula>
    </cfRule>
  </conditionalFormatting>
  <conditionalFormatting sqref="T40">
    <cfRule type="cellIs" dxfId="37078" priority="11654" operator="equal">
      <formula>"OFF"</formula>
    </cfRule>
    <cfRule type="cellIs" dxfId="37077" priority="11655" operator="equal">
      <formula>"PTO"</formula>
    </cfRule>
  </conditionalFormatting>
  <conditionalFormatting sqref="T40">
    <cfRule type="cellIs" dxfId="37076" priority="11652" operator="equal">
      <formula>"OFF"</formula>
    </cfRule>
    <cfRule type="cellIs" dxfId="37075" priority="11653" operator="equal">
      <formula>"PTO"</formula>
    </cfRule>
  </conditionalFormatting>
  <conditionalFormatting sqref="U40">
    <cfRule type="cellIs" dxfId="37074" priority="11650" operator="equal">
      <formula>"OFF"</formula>
    </cfRule>
    <cfRule type="cellIs" dxfId="37073" priority="11651" operator="equal">
      <formula>"PTO"</formula>
    </cfRule>
  </conditionalFormatting>
  <conditionalFormatting sqref="U40">
    <cfRule type="cellIs" dxfId="37072" priority="11648" operator="equal">
      <formula>"OFF"</formula>
    </cfRule>
    <cfRule type="cellIs" dxfId="37071" priority="11649" operator="equal">
      <formula>"PTO"</formula>
    </cfRule>
  </conditionalFormatting>
  <conditionalFormatting sqref="V40">
    <cfRule type="cellIs" dxfId="37070" priority="11646" operator="equal">
      <formula>"OFF"</formula>
    </cfRule>
    <cfRule type="cellIs" dxfId="37069" priority="11647" operator="equal">
      <formula>"PTO"</formula>
    </cfRule>
  </conditionalFormatting>
  <conditionalFormatting sqref="V40">
    <cfRule type="cellIs" dxfId="37068" priority="11644" operator="equal">
      <formula>"OFF"</formula>
    </cfRule>
    <cfRule type="cellIs" dxfId="37067" priority="11645" operator="equal">
      <formula>"PTO"</formula>
    </cfRule>
  </conditionalFormatting>
  <conditionalFormatting sqref="Q40 W40">
    <cfRule type="cellIs" dxfId="37066" priority="11642" operator="equal">
      <formula>"OFF"</formula>
    </cfRule>
    <cfRule type="cellIs" dxfId="37065" priority="11643" operator="equal">
      <formula>"PTO"</formula>
    </cfRule>
  </conditionalFormatting>
  <conditionalFormatting sqref="R40:U40">
    <cfRule type="cellIs" dxfId="37064" priority="11640" operator="equal">
      <formula>"OFF"</formula>
    </cfRule>
    <cfRule type="cellIs" dxfId="37063" priority="11641" operator="equal">
      <formula>"PTO"</formula>
    </cfRule>
  </conditionalFormatting>
  <conditionalFormatting sqref="T40">
    <cfRule type="cellIs" dxfId="37062" priority="11638" operator="equal">
      <formula>"OFF"</formula>
    </cfRule>
    <cfRule type="cellIs" dxfId="37061" priority="11639" operator="equal">
      <formula>"PTO"</formula>
    </cfRule>
  </conditionalFormatting>
  <conditionalFormatting sqref="U40">
    <cfRule type="cellIs" dxfId="37060" priority="11636" operator="equal">
      <formula>"OFF"</formula>
    </cfRule>
    <cfRule type="cellIs" dxfId="37059" priority="11637" operator="equal">
      <formula>"PTO"</formula>
    </cfRule>
  </conditionalFormatting>
  <conditionalFormatting sqref="V40">
    <cfRule type="cellIs" dxfId="37058" priority="11634" operator="equal">
      <formula>"OFF"</formula>
    </cfRule>
    <cfRule type="cellIs" dxfId="37057" priority="11635" operator="equal">
      <formula>"PTO"</formula>
    </cfRule>
  </conditionalFormatting>
  <conditionalFormatting sqref="Q40:V40">
    <cfRule type="cellIs" dxfId="37056" priority="11632" operator="equal">
      <formula>"OFF"</formula>
    </cfRule>
    <cfRule type="cellIs" dxfId="37055" priority="11633" operator="equal">
      <formula>"PTO"</formula>
    </cfRule>
  </conditionalFormatting>
  <conditionalFormatting sqref="W40">
    <cfRule type="cellIs" dxfId="37054" priority="11630" operator="equal">
      <formula>"OFF"</formula>
    </cfRule>
    <cfRule type="cellIs" dxfId="37053" priority="11631" operator="equal">
      <formula>"PTO"</formula>
    </cfRule>
  </conditionalFormatting>
  <conditionalFormatting sqref="X41">
    <cfRule type="cellIs" dxfId="37052" priority="11628" operator="equal">
      <formula>"OFF"</formula>
    </cfRule>
    <cfRule type="cellIs" dxfId="37051" priority="11629" operator="equal">
      <formula>"PTO"</formula>
    </cfRule>
  </conditionalFormatting>
  <conditionalFormatting sqref="B40">
    <cfRule type="duplicateValues" dxfId="37050" priority="11761"/>
  </conditionalFormatting>
  <conditionalFormatting sqref="B40">
    <cfRule type="duplicateValues" dxfId="37049" priority="11760"/>
  </conditionalFormatting>
  <conditionalFormatting sqref="B40">
    <cfRule type="duplicateValues" dxfId="37048" priority="11757"/>
  </conditionalFormatting>
  <conditionalFormatting sqref="X40">
    <cfRule type="cellIs" dxfId="37047" priority="11755" operator="equal">
      <formula>"OFF"</formula>
    </cfRule>
    <cfRule type="cellIs" dxfId="37046" priority="11756" operator="equal">
      <formula>"PTO"</formula>
    </cfRule>
  </conditionalFormatting>
  <conditionalFormatting sqref="X40">
    <cfRule type="cellIs" dxfId="37045" priority="11753" operator="equal">
      <formula>"OFF"</formula>
    </cfRule>
    <cfRule type="cellIs" dxfId="37044" priority="11754" operator="equal">
      <formula>"PTO"</formula>
    </cfRule>
  </conditionalFormatting>
  <conditionalFormatting sqref="B40">
    <cfRule type="duplicateValues" dxfId="37043" priority="11752"/>
  </conditionalFormatting>
  <conditionalFormatting sqref="B40">
    <cfRule type="duplicateValues" dxfId="37042" priority="11749"/>
  </conditionalFormatting>
  <conditionalFormatting sqref="X40">
    <cfRule type="cellIs" dxfId="37041" priority="11747" operator="equal">
      <formula>"OFF"</formula>
    </cfRule>
    <cfRule type="cellIs" dxfId="37040" priority="11748" operator="equal">
      <formula>"PTO"</formula>
    </cfRule>
  </conditionalFormatting>
  <conditionalFormatting sqref="B40">
    <cfRule type="duplicateValues" dxfId="37039" priority="11746"/>
  </conditionalFormatting>
  <conditionalFormatting sqref="B40">
    <cfRule type="duplicateValues" dxfId="37038" priority="11745"/>
  </conditionalFormatting>
  <conditionalFormatting sqref="B40">
    <cfRule type="duplicateValues" dxfId="37037" priority="11744"/>
  </conditionalFormatting>
  <conditionalFormatting sqref="B41">
    <cfRule type="duplicateValues" dxfId="37036" priority="11627"/>
  </conditionalFormatting>
  <conditionalFormatting sqref="X41">
    <cfRule type="cellIs" dxfId="37035" priority="11625" operator="equal">
      <formula>"OFF"</formula>
    </cfRule>
    <cfRule type="cellIs" dxfId="37034" priority="11626" operator="equal">
      <formula>"PTO"</formula>
    </cfRule>
  </conditionalFormatting>
  <conditionalFormatting sqref="B41">
    <cfRule type="duplicateValues" dxfId="37033" priority="11624"/>
  </conditionalFormatting>
  <conditionalFormatting sqref="B41">
    <cfRule type="duplicateValues" dxfId="37032" priority="11623"/>
  </conditionalFormatting>
  <conditionalFormatting sqref="B41">
    <cfRule type="duplicateValues" dxfId="37031" priority="11542"/>
  </conditionalFormatting>
  <conditionalFormatting sqref="X41">
    <cfRule type="cellIs" dxfId="37030" priority="11540" operator="equal">
      <formula>"OFF"</formula>
    </cfRule>
    <cfRule type="cellIs" dxfId="37029" priority="11541" operator="equal">
      <formula>"PTO"</formula>
    </cfRule>
  </conditionalFormatting>
  <conditionalFormatting sqref="C185:V185">
    <cfRule type="cellIs" dxfId="37028" priority="11336" operator="equal">
      <formula>"OFF"</formula>
    </cfRule>
    <cfRule type="cellIs" dxfId="37027" priority="11337" operator="equal">
      <formula>"PTO"</formula>
    </cfRule>
  </conditionalFormatting>
  <conditionalFormatting sqref="W185:X185">
    <cfRule type="cellIs" dxfId="37026" priority="11334" operator="equal">
      <formula>"OFF"</formula>
    </cfRule>
    <cfRule type="cellIs" dxfId="37025" priority="11335" operator="equal">
      <formula>"PTO"</formula>
    </cfRule>
  </conditionalFormatting>
  <conditionalFormatting sqref="R186:V186 C186:H186 K186:P186">
    <cfRule type="cellIs" dxfId="37024" priority="11332" operator="equal">
      <formula>"OFF"</formula>
    </cfRule>
    <cfRule type="cellIs" dxfId="37023" priority="11333" operator="equal">
      <formula>"PTO"</formula>
    </cfRule>
  </conditionalFormatting>
  <conditionalFormatting sqref="I186">
    <cfRule type="cellIs" dxfId="37022" priority="11330" operator="equal">
      <formula>"OFF"</formula>
    </cfRule>
    <cfRule type="cellIs" dxfId="37021" priority="11331" operator="equal">
      <formula>"PTO"</formula>
    </cfRule>
  </conditionalFormatting>
  <conditionalFormatting sqref="J186">
    <cfRule type="cellIs" dxfId="37020" priority="11328" operator="equal">
      <formula>"OFF"</formula>
    </cfRule>
    <cfRule type="cellIs" dxfId="37019" priority="11329" operator="equal">
      <formula>"PTO"</formula>
    </cfRule>
  </conditionalFormatting>
  <conditionalFormatting sqref="Q186">
    <cfRule type="cellIs" dxfId="37018" priority="11326" operator="equal">
      <formula>"OFF"</formula>
    </cfRule>
    <cfRule type="cellIs" dxfId="37017" priority="11327" operator="equal">
      <formula>"PTO"</formula>
    </cfRule>
  </conditionalFormatting>
  <conditionalFormatting sqref="X186">
    <cfRule type="cellIs" dxfId="37016" priority="11324" operator="equal">
      <formula>"OFF"</formula>
    </cfRule>
    <cfRule type="cellIs" dxfId="37015" priority="11325" operator="equal">
      <formula>"PTO"</formula>
    </cfRule>
  </conditionalFormatting>
  <conditionalFormatting sqref="W186">
    <cfRule type="cellIs" dxfId="37014" priority="11322" operator="equal">
      <formula>"OFF"</formula>
    </cfRule>
    <cfRule type="cellIs" dxfId="37013" priority="11323" operator="equal">
      <formula>"PTO"</formula>
    </cfRule>
  </conditionalFormatting>
  <conditionalFormatting sqref="B44">
    <cfRule type="duplicateValues" dxfId="37012" priority="11317"/>
  </conditionalFormatting>
  <conditionalFormatting sqref="X44">
    <cfRule type="cellIs" dxfId="37011" priority="11315" operator="equal">
      <formula>"OFF"</formula>
    </cfRule>
    <cfRule type="cellIs" dxfId="37010" priority="11316" operator="equal">
      <formula>"PTO"</formula>
    </cfRule>
  </conditionalFormatting>
  <conditionalFormatting sqref="X44">
    <cfRule type="cellIs" dxfId="37009" priority="11263" operator="equal">
      <formula>"OFF"</formula>
    </cfRule>
    <cfRule type="cellIs" dxfId="37008" priority="11264" operator="equal">
      <formula>"PTO"</formula>
    </cfRule>
  </conditionalFormatting>
  <conditionalFormatting sqref="X44">
    <cfRule type="cellIs" dxfId="37007" priority="11261" operator="equal">
      <formula>"OFF"</formula>
    </cfRule>
    <cfRule type="cellIs" dxfId="37006" priority="11262" operator="equal">
      <formula>"PTO"</formula>
    </cfRule>
  </conditionalFormatting>
  <conditionalFormatting sqref="X44">
    <cfRule type="cellIs" dxfId="37005" priority="11259" operator="equal">
      <formula>"OFF"</formula>
    </cfRule>
    <cfRule type="cellIs" dxfId="37004" priority="11260" operator="equal">
      <formula>"PTO"</formula>
    </cfRule>
  </conditionalFormatting>
  <conditionalFormatting sqref="X44">
    <cfRule type="cellIs" dxfId="37003" priority="11257" operator="equal">
      <formula>"OFF"</formula>
    </cfRule>
    <cfRule type="cellIs" dxfId="37002" priority="11258" operator="equal">
      <formula>"PTO"</formula>
    </cfRule>
  </conditionalFormatting>
  <conditionalFormatting sqref="B44">
    <cfRule type="duplicateValues" dxfId="37001" priority="11256"/>
  </conditionalFormatting>
  <conditionalFormatting sqref="X44">
    <cfRule type="cellIs" dxfId="37000" priority="11254" operator="equal">
      <formula>"OFF"</formula>
    </cfRule>
    <cfRule type="cellIs" dxfId="36999" priority="11255" operator="equal">
      <formula>"PTO"</formula>
    </cfRule>
  </conditionalFormatting>
  <conditionalFormatting sqref="X44">
    <cfRule type="cellIs" dxfId="36998" priority="11248" operator="equal">
      <formula>"OFF"</formula>
    </cfRule>
    <cfRule type="cellIs" dxfId="36997" priority="11249" operator="equal">
      <formula>"PTO"</formula>
    </cfRule>
  </conditionalFormatting>
  <conditionalFormatting sqref="X44">
    <cfRule type="cellIs" dxfId="36996" priority="11246" operator="equal">
      <formula>"OFF"</formula>
    </cfRule>
    <cfRule type="cellIs" dxfId="36995" priority="11247" operator="equal">
      <formula>"PTO"</formula>
    </cfRule>
  </conditionalFormatting>
  <conditionalFormatting sqref="X44">
    <cfRule type="cellIs" dxfId="36994" priority="11244" operator="equal">
      <formula>"OFF"</formula>
    </cfRule>
    <cfRule type="cellIs" dxfId="36993" priority="11245" operator="equal">
      <formula>"PTO"</formula>
    </cfRule>
  </conditionalFormatting>
  <conditionalFormatting sqref="X44">
    <cfRule type="cellIs" dxfId="36992" priority="11242" operator="equal">
      <formula>"OFF"</formula>
    </cfRule>
    <cfRule type="cellIs" dxfId="36991" priority="11243" operator="equal">
      <formula>"PTO"</formula>
    </cfRule>
  </conditionalFormatting>
  <conditionalFormatting sqref="B43">
    <cfRule type="duplicateValues" dxfId="36990" priority="11241"/>
  </conditionalFormatting>
  <conditionalFormatting sqref="X43">
    <cfRule type="cellIs" dxfId="36989" priority="11239" operator="equal">
      <formula>"OFF"</formula>
    </cfRule>
    <cfRule type="cellIs" dxfId="36988" priority="11240" operator="equal">
      <formula>"PTO"</formula>
    </cfRule>
  </conditionalFormatting>
  <conditionalFormatting sqref="B44">
    <cfRule type="duplicateValues" dxfId="36987" priority="11238"/>
  </conditionalFormatting>
  <conditionalFormatting sqref="B44">
    <cfRule type="duplicateValues" dxfId="36986" priority="11237"/>
  </conditionalFormatting>
  <conditionalFormatting sqref="B44">
    <cfRule type="duplicateValues" dxfId="36985" priority="11236"/>
  </conditionalFormatting>
  <conditionalFormatting sqref="B44">
    <cfRule type="duplicateValues" dxfId="36984" priority="11233"/>
  </conditionalFormatting>
  <conditionalFormatting sqref="X44">
    <cfRule type="cellIs" dxfId="36983" priority="11231" operator="equal">
      <formula>"OFF"</formula>
    </cfRule>
    <cfRule type="cellIs" dxfId="36982" priority="11232" operator="equal">
      <formula>"PTO"</formula>
    </cfRule>
  </conditionalFormatting>
  <conditionalFormatting sqref="X44">
    <cfRule type="cellIs" dxfId="36981" priority="11229" operator="equal">
      <formula>"OFF"</formula>
    </cfRule>
    <cfRule type="cellIs" dxfId="36980" priority="11230" operator="equal">
      <formula>"PTO"</formula>
    </cfRule>
  </conditionalFormatting>
  <conditionalFormatting sqref="X44">
    <cfRule type="cellIs" dxfId="36979" priority="11227" operator="equal">
      <formula>"OFF"</formula>
    </cfRule>
    <cfRule type="cellIs" dxfId="36978" priority="11228" operator="equal">
      <formula>"PTO"</formula>
    </cfRule>
  </conditionalFormatting>
  <conditionalFormatting sqref="X44">
    <cfRule type="cellIs" dxfId="36977" priority="11225" operator="equal">
      <formula>"OFF"</formula>
    </cfRule>
    <cfRule type="cellIs" dxfId="36976" priority="11226" operator="equal">
      <formula>"PTO"</formula>
    </cfRule>
  </conditionalFormatting>
  <conditionalFormatting sqref="B44">
    <cfRule type="duplicateValues" dxfId="36975" priority="11224"/>
  </conditionalFormatting>
  <conditionalFormatting sqref="B44">
    <cfRule type="duplicateValues" dxfId="36974" priority="11223"/>
  </conditionalFormatting>
  <conditionalFormatting sqref="B44">
    <cfRule type="duplicateValues" dxfId="36973" priority="11222"/>
  </conditionalFormatting>
  <conditionalFormatting sqref="B44">
    <cfRule type="duplicateValues" dxfId="36972" priority="11221"/>
  </conditionalFormatting>
  <conditionalFormatting sqref="X44">
    <cfRule type="cellIs" dxfId="36971" priority="11219" operator="equal">
      <formula>"OFF"</formula>
    </cfRule>
    <cfRule type="cellIs" dxfId="36970" priority="11220" operator="equal">
      <formula>"PTO"</formula>
    </cfRule>
  </conditionalFormatting>
  <conditionalFormatting sqref="X44">
    <cfRule type="cellIs" dxfId="36969" priority="11217" operator="equal">
      <formula>"OFF"</formula>
    </cfRule>
    <cfRule type="cellIs" dxfId="36968" priority="11218" operator="equal">
      <formula>"PTO"</formula>
    </cfRule>
  </conditionalFormatting>
  <conditionalFormatting sqref="B44">
    <cfRule type="duplicateValues" dxfId="36967" priority="11216"/>
  </conditionalFormatting>
  <conditionalFormatting sqref="X44">
    <cfRule type="cellIs" dxfId="36966" priority="11214" operator="equal">
      <formula>"OFF"</formula>
    </cfRule>
    <cfRule type="cellIs" dxfId="36965" priority="11215" operator="equal">
      <formula>"PTO"</formula>
    </cfRule>
  </conditionalFormatting>
  <conditionalFormatting sqref="B44">
    <cfRule type="duplicateValues" dxfId="36964" priority="11213"/>
  </conditionalFormatting>
  <conditionalFormatting sqref="B44">
    <cfRule type="duplicateValues" dxfId="36963" priority="11212"/>
  </conditionalFormatting>
  <conditionalFormatting sqref="X44">
    <cfRule type="cellIs" dxfId="36962" priority="11210" operator="equal">
      <formula>"OFF"</formula>
    </cfRule>
    <cfRule type="cellIs" dxfId="36961" priority="11211" operator="equal">
      <formula>"PTO"</formula>
    </cfRule>
  </conditionalFormatting>
  <conditionalFormatting sqref="X44">
    <cfRule type="cellIs" dxfId="36960" priority="11208" operator="equal">
      <formula>"OFF"</formula>
    </cfRule>
    <cfRule type="cellIs" dxfId="36959" priority="11209" operator="equal">
      <formula>"PTO"</formula>
    </cfRule>
  </conditionalFormatting>
  <conditionalFormatting sqref="X44">
    <cfRule type="cellIs" dxfId="36958" priority="11206" operator="equal">
      <formula>"OFF"</formula>
    </cfRule>
    <cfRule type="cellIs" dxfId="36957" priority="11207" operator="equal">
      <formula>"PTO"</formula>
    </cfRule>
  </conditionalFormatting>
  <conditionalFormatting sqref="X44">
    <cfRule type="cellIs" dxfId="36956" priority="11204" operator="equal">
      <formula>"OFF"</formula>
    </cfRule>
    <cfRule type="cellIs" dxfId="36955" priority="11205" operator="equal">
      <formula>"PTO"</formula>
    </cfRule>
  </conditionalFormatting>
  <conditionalFormatting sqref="B44">
    <cfRule type="duplicateValues" dxfId="36954" priority="11203"/>
  </conditionalFormatting>
  <conditionalFormatting sqref="B44">
    <cfRule type="duplicateValues" dxfId="36953" priority="11202"/>
  </conditionalFormatting>
  <conditionalFormatting sqref="B44">
    <cfRule type="duplicateValues" dxfId="36952" priority="11201"/>
  </conditionalFormatting>
  <conditionalFormatting sqref="X44">
    <cfRule type="cellIs" dxfId="36951" priority="11199" operator="equal">
      <formula>"OFF"</formula>
    </cfRule>
    <cfRule type="cellIs" dxfId="36950" priority="11200" operator="equal">
      <formula>"PTO"</formula>
    </cfRule>
  </conditionalFormatting>
  <conditionalFormatting sqref="X44">
    <cfRule type="cellIs" dxfId="36949" priority="11197" operator="equal">
      <formula>"OFF"</formula>
    </cfRule>
    <cfRule type="cellIs" dxfId="36948" priority="11198" operator="equal">
      <formula>"PTO"</formula>
    </cfRule>
  </conditionalFormatting>
  <conditionalFormatting sqref="X44">
    <cfRule type="cellIs" dxfId="36947" priority="11195" operator="equal">
      <formula>"OFF"</formula>
    </cfRule>
    <cfRule type="cellIs" dxfId="36946" priority="11196" operator="equal">
      <formula>"PTO"</formula>
    </cfRule>
  </conditionalFormatting>
  <conditionalFormatting sqref="B44">
    <cfRule type="duplicateValues" dxfId="36945" priority="11194"/>
  </conditionalFormatting>
  <conditionalFormatting sqref="B44">
    <cfRule type="duplicateValues" dxfId="36944" priority="11193"/>
  </conditionalFormatting>
  <conditionalFormatting sqref="B44">
    <cfRule type="duplicateValues" dxfId="36943" priority="11192"/>
  </conditionalFormatting>
  <conditionalFormatting sqref="B44">
    <cfRule type="duplicateValues" dxfId="36942" priority="11191"/>
  </conditionalFormatting>
  <conditionalFormatting sqref="X44">
    <cfRule type="cellIs" dxfId="36941" priority="11189" operator="equal">
      <formula>"OFF"</formula>
    </cfRule>
    <cfRule type="cellIs" dxfId="36940" priority="11190" operator="equal">
      <formula>"PTO"</formula>
    </cfRule>
  </conditionalFormatting>
  <conditionalFormatting sqref="X44">
    <cfRule type="cellIs" dxfId="36939" priority="11187" operator="equal">
      <formula>"OFF"</formula>
    </cfRule>
    <cfRule type="cellIs" dxfId="36938" priority="11188" operator="equal">
      <formula>"PTO"</formula>
    </cfRule>
  </conditionalFormatting>
  <conditionalFormatting sqref="B44">
    <cfRule type="duplicateValues" dxfId="36937" priority="11186"/>
  </conditionalFormatting>
  <conditionalFormatting sqref="X44">
    <cfRule type="cellIs" dxfId="36936" priority="11184" operator="equal">
      <formula>"OFF"</formula>
    </cfRule>
    <cfRule type="cellIs" dxfId="36935" priority="11185" operator="equal">
      <formula>"PTO"</formula>
    </cfRule>
  </conditionalFormatting>
  <conditionalFormatting sqref="B44">
    <cfRule type="duplicateValues" dxfId="36934" priority="11183"/>
  </conditionalFormatting>
  <conditionalFormatting sqref="B44">
    <cfRule type="duplicateValues" dxfId="36933" priority="11182"/>
  </conditionalFormatting>
  <conditionalFormatting sqref="X44">
    <cfRule type="cellIs" dxfId="36932" priority="11180" operator="equal">
      <formula>"OFF"</formula>
    </cfRule>
    <cfRule type="cellIs" dxfId="36931" priority="11181" operator="equal">
      <formula>"PTO"</formula>
    </cfRule>
  </conditionalFormatting>
  <conditionalFormatting sqref="X44">
    <cfRule type="cellIs" dxfId="36930" priority="11178" operator="equal">
      <formula>"OFF"</formula>
    </cfRule>
    <cfRule type="cellIs" dxfId="36929" priority="11179" operator="equal">
      <formula>"PTO"</formula>
    </cfRule>
  </conditionalFormatting>
  <conditionalFormatting sqref="X44">
    <cfRule type="cellIs" dxfId="36928" priority="11176" operator="equal">
      <formula>"OFF"</formula>
    </cfRule>
    <cfRule type="cellIs" dxfId="36927" priority="11177" operator="equal">
      <formula>"PTO"</formula>
    </cfRule>
  </conditionalFormatting>
  <conditionalFormatting sqref="X44">
    <cfRule type="cellIs" dxfId="36926" priority="11174" operator="equal">
      <formula>"OFF"</formula>
    </cfRule>
    <cfRule type="cellIs" dxfId="36925" priority="11175" operator="equal">
      <formula>"PTO"</formula>
    </cfRule>
  </conditionalFormatting>
  <conditionalFormatting sqref="B44">
    <cfRule type="duplicateValues" dxfId="36924" priority="11173"/>
  </conditionalFormatting>
  <conditionalFormatting sqref="B44">
    <cfRule type="duplicateValues" dxfId="36923" priority="11172"/>
  </conditionalFormatting>
  <conditionalFormatting sqref="B44">
    <cfRule type="duplicateValues" dxfId="36922" priority="11171"/>
  </conditionalFormatting>
  <conditionalFormatting sqref="B44">
    <cfRule type="duplicateValues" dxfId="36921" priority="11170"/>
  </conditionalFormatting>
  <conditionalFormatting sqref="X44">
    <cfRule type="cellIs" dxfId="36920" priority="11168" operator="equal">
      <formula>"OFF"</formula>
    </cfRule>
    <cfRule type="cellIs" dxfId="36919" priority="11169" operator="equal">
      <formula>"PTO"</formula>
    </cfRule>
  </conditionalFormatting>
  <conditionalFormatting sqref="X44">
    <cfRule type="cellIs" dxfId="36918" priority="11166" operator="equal">
      <formula>"OFF"</formula>
    </cfRule>
    <cfRule type="cellIs" dxfId="36917" priority="11167" operator="equal">
      <formula>"PTO"</formula>
    </cfRule>
  </conditionalFormatting>
  <conditionalFormatting sqref="B44">
    <cfRule type="duplicateValues" dxfId="36916" priority="11165"/>
  </conditionalFormatting>
  <conditionalFormatting sqref="X44">
    <cfRule type="cellIs" dxfId="36915" priority="11163" operator="equal">
      <formula>"OFF"</formula>
    </cfRule>
    <cfRule type="cellIs" dxfId="36914" priority="11164" operator="equal">
      <formula>"PTO"</formula>
    </cfRule>
  </conditionalFormatting>
  <conditionalFormatting sqref="B44">
    <cfRule type="duplicateValues" dxfId="36913" priority="11162"/>
  </conditionalFormatting>
  <conditionalFormatting sqref="X44">
    <cfRule type="cellIs" dxfId="36912" priority="11160" operator="equal">
      <formula>"OFF"</formula>
    </cfRule>
    <cfRule type="cellIs" dxfId="36911" priority="11161" operator="equal">
      <formula>"PTO"</formula>
    </cfRule>
  </conditionalFormatting>
  <conditionalFormatting sqref="B44">
    <cfRule type="duplicateValues" dxfId="36910" priority="11159"/>
  </conditionalFormatting>
  <conditionalFormatting sqref="B44">
    <cfRule type="duplicateValues" dxfId="36909" priority="11158"/>
  </conditionalFormatting>
  <conditionalFormatting sqref="B44">
    <cfRule type="duplicateValues" dxfId="36908" priority="11157"/>
  </conditionalFormatting>
  <conditionalFormatting sqref="B44">
    <cfRule type="duplicateValues" dxfId="36907" priority="11156"/>
  </conditionalFormatting>
  <conditionalFormatting sqref="B44">
    <cfRule type="duplicateValues" dxfId="36906" priority="11155"/>
  </conditionalFormatting>
  <conditionalFormatting sqref="B44">
    <cfRule type="duplicateValues" dxfId="36905" priority="11154"/>
  </conditionalFormatting>
  <conditionalFormatting sqref="X44">
    <cfRule type="cellIs" dxfId="36904" priority="11152" operator="equal">
      <formula>"OFF"</formula>
    </cfRule>
    <cfRule type="cellIs" dxfId="36903" priority="11153" operator="equal">
      <formula>"PTO"</formula>
    </cfRule>
  </conditionalFormatting>
  <conditionalFormatting sqref="B44">
    <cfRule type="duplicateValues" dxfId="36902" priority="11151"/>
  </conditionalFormatting>
  <conditionalFormatting sqref="X41">
    <cfRule type="cellIs" dxfId="36901" priority="11141" operator="equal">
      <formula>"OFF"</formula>
    </cfRule>
    <cfRule type="cellIs" dxfId="36900" priority="11142" operator="equal">
      <formula>"PTO"</formula>
    </cfRule>
  </conditionalFormatting>
  <conditionalFormatting sqref="B43">
    <cfRule type="duplicateValues" dxfId="36899" priority="11136"/>
  </conditionalFormatting>
  <conditionalFormatting sqref="X43">
    <cfRule type="cellIs" dxfId="36898" priority="11134" operator="equal">
      <formula>"OFF"</formula>
    </cfRule>
    <cfRule type="cellIs" dxfId="36897" priority="11135" operator="equal">
      <formula>"PTO"</formula>
    </cfRule>
  </conditionalFormatting>
  <conditionalFormatting sqref="X43">
    <cfRule type="cellIs" dxfId="36896" priority="11082" operator="equal">
      <formula>"OFF"</formula>
    </cfRule>
    <cfRule type="cellIs" dxfId="36895" priority="11083" operator="equal">
      <formula>"PTO"</formula>
    </cfRule>
  </conditionalFormatting>
  <conditionalFormatting sqref="X43">
    <cfRule type="cellIs" dxfId="36894" priority="11080" operator="equal">
      <formula>"OFF"</formula>
    </cfRule>
    <cfRule type="cellIs" dxfId="36893" priority="11081" operator="equal">
      <formula>"PTO"</formula>
    </cfRule>
  </conditionalFormatting>
  <conditionalFormatting sqref="X43">
    <cfRule type="cellIs" dxfId="36892" priority="11078" operator="equal">
      <formula>"OFF"</formula>
    </cfRule>
    <cfRule type="cellIs" dxfId="36891" priority="11079" operator="equal">
      <formula>"PTO"</formula>
    </cfRule>
  </conditionalFormatting>
  <conditionalFormatting sqref="X43">
    <cfRule type="cellIs" dxfId="36890" priority="11076" operator="equal">
      <formula>"OFF"</formula>
    </cfRule>
    <cfRule type="cellIs" dxfId="36889" priority="11077" operator="equal">
      <formula>"PTO"</formula>
    </cfRule>
  </conditionalFormatting>
  <conditionalFormatting sqref="B43">
    <cfRule type="duplicateValues" dxfId="36888" priority="11075"/>
  </conditionalFormatting>
  <conditionalFormatting sqref="X43">
    <cfRule type="cellIs" dxfId="36887" priority="11073" operator="equal">
      <formula>"OFF"</formula>
    </cfRule>
    <cfRule type="cellIs" dxfId="36886" priority="11074" operator="equal">
      <formula>"PTO"</formula>
    </cfRule>
  </conditionalFormatting>
  <conditionalFormatting sqref="X43">
    <cfRule type="cellIs" dxfId="36885" priority="11067" operator="equal">
      <formula>"OFF"</formula>
    </cfRule>
    <cfRule type="cellIs" dxfId="36884" priority="11068" operator="equal">
      <formula>"PTO"</formula>
    </cfRule>
  </conditionalFormatting>
  <conditionalFormatting sqref="X43">
    <cfRule type="cellIs" dxfId="36883" priority="11065" operator="equal">
      <formula>"OFF"</formula>
    </cfRule>
    <cfRule type="cellIs" dxfId="36882" priority="11066" operator="equal">
      <formula>"PTO"</formula>
    </cfRule>
  </conditionalFormatting>
  <conditionalFormatting sqref="X43">
    <cfRule type="cellIs" dxfId="36881" priority="11063" operator="equal">
      <formula>"OFF"</formula>
    </cfRule>
    <cfRule type="cellIs" dxfId="36880" priority="11064" operator="equal">
      <formula>"PTO"</formula>
    </cfRule>
  </conditionalFormatting>
  <conditionalFormatting sqref="X43">
    <cfRule type="cellIs" dxfId="36879" priority="11061" operator="equal">
      <formula>"OFF"</formula>
    </cfRule>
    <cfRule type="cellIs" dxfId="36878" priority="11062" operator="equal">
      <formula>"PTO"</formula>
    </cfRule>
  </conditionalFormatting>
  <conditionalFormatting sqref="X42">
    <cfRule type="cellIs" dxfId="36877" priority="11058" operator="equal">
      <formula>"OFF"</formula>
    </cfRule>
    <cfRule type="cellIs" dxfId="36876" priority="11059" operator="equal">
      <formula>"PTO"</formula>
    </cfRule>
  </conditionalFormatting>
  <conditionalFormatting sqref="B43">
    <cfRule type="duplicateValues" dxfId="36875" priority="11057"/>
  </conditionalFormatting>
  <conditionalFormatting sqref="B43">
    <cfRule type="duplicateValues" dxfId="36874" priority="11056"/>
  </conditionalFormatting>
  <conditionalFormatting sqref="B43">
    <cfRule type="duplicateValues" dxfId="36873" priority="11055"/>
  </conditionalFormatting>
  <conditionalFormatting sqref="B43">
    <cfRule type="duplicateValues" dxfId="36872" priority="11052"/>
  </conditionalFormatting>
  <conditionalFormatting sqref="X43">
    <cfRule type="cellIs" dxfId="36871" priority="11050" operator="equal">
      <formula>"OFF"</formula>
    </cfRule>
    <cfRule type="cellIs" dxfId="36870" priority="11051" operator="equal">
      <formula>"PTO"</formula>
    </cfRule>
  </conditionalFormatting>
  <conditionalFormatting sqref="X43">
    <cfRule type="cellIs" dxfId="36869" priority="11048" operator="equal">
      <formula>"OFF"</formula>
    </cfRule>
    <cfRule type="cellIs" dxfId="36868" priority="11049" operator="equal">
      <formula>"PTO"</formula>
    </cfRule>
  </conditionalFormatting>
  <conditionalFormatting sqref="X43">
    <cfRule type="cellIs" dxfId="36867" priority="11046" operator="equal">
      <formula>"OFF"</formula>
    </cfRule>
    <cfRule type="cellIs" dxfId="36866" priority="11047" operator="equal">
      <formula>"PTO"</formula>
    </cfRule>
  </conditionalFormatting>
  <conditionalFormatting sqref="X43">
    <cfRule type="cellIs" dxfId="36865" priority="11044" operator="equal">
      <formula>"OFF"</formula>
    </cfRule>
    <cfRule type="cellIs" dxfId="36864" priority="11045" operator="equal">
      <formula>"PTO"</formula>
    </cfRule>
  </conditionalFormatting>
  <conditionalFormatting sqref="B43">
    <cfRule type="duplicateValues" dxfId="36863" priority="11043"/>
  </conditionalFormatting>
  <conditionalFormatting sqref="B43">
    <cfRule type="duplicateValues" dxfId="36862" priority="11042"/>
  </conditionalFormatting>
  <conditionalFormatting sqref="B43">
    <cfRule type="duplicateValues" dxfId="36861" priority="11041"/>
  </conditionalFormatting>
  <conditionalFormatting sqref="B43">
    <cfRule type="duplicateValues" dxfId="36860" priority="11040"/>
  </conditionalFormatting>
  <conditionalFormatting sqref="X43">
    <cfRule type="cellIs" dxfId="36859" priority="11038" operator="equal">
      <formula>"OFF"</formula>
    </cfRule>
    <cfRule type="cellIs" dxfId="36858" priority="11039" operator="equal">
      <formula>"PTO"</formula>
    </cfRule>
  </conditionalFormatting>
  <conditionalFormatting sqref="X43">
    <cfRule type="cellIs" dxfId="36857" priority="11036" operator="equal">
      <formula>"OFF"</formula>
    </cfRule>
    <cfRule type="cellIs" dxfId="36856" priority="11037" operator="equal">
      <formula>"PTO"</formula>
    </cfRule>
  </conditionalFormatting>
  <conditionalFormatting sqref="B43">
    <cfRule type="duplicateValues" dxfId="36855" priority="11035"/>
  </conditionalFormatting>
  <conditionalFormatting sqref="X43">
    <cfRule type="cellIs" dxfId="36854" priority="11033" operator="equal">
      <formula>"OFF"</formula>
    </cfRule>
    <cfRule type="cellIs" dxfId="36853" priority="11034" operator="equal">
      <formula>"PTO"</formula>
    </cfRule>
  </conditionalFormatting>
  <conditionalFormatting sqref="B43">
    <cfRule type="duplicateValues" dxfId="36852" priority="11032"/>
  </conditionalFormatting>
  <conditionalFormatting sqref="B43">
    <cfRule type="duplicateValues" dxfId="36851" priority="11031"/>
  </conditionalFormatting>
  <conditionalFormatting sqref="X43">
    <cfRule type="cellIs" dxfId="36850" priority="11029" operator="equal">
      <formula>"OFF"</formula>
    </cfRule>
    <cfRule type="cellIs" dxfId="36849" priority="11030" operator="equal">
      <formula>"PTO"</formula>
    </cfRule>
  </conditionalFormatting>
  <conditionalFormatting sqref="X43">
    <cfRule type="cellIs" dxfId="36848" priority="11027" operator="equal">
      <formula>"OFF"</formula>
    </cfRule>
    <cfRule type="cellIs" dxfId="36847" priority="11028" operator="equal">
      <formula>"PTO"</formula>
    </cfRule>
  </conditionalFormatting>
  <conditionalFormatting sqref="X43">
    <cfRule type="cellIs" dxfId="36846" priority="11025" operator="equal">
      <formula>"OFF"</formula>
    </cfRule>
    <cfRule type="cellIs" dxfId="36845" priority="11026" operator="equal">
      <formula>"PTO"</formula>
    </cfRule>
  </conditionalFormatting>
  <conditionalFormatting sqref="X43">
    <cfRule type="cellIs" dxfId="36844" priority="11023" operator="equal">
      <formula>"OFF"</formula>
    </cfRule>
    <cfRule type="cellIs" dxfId="36843" priority="11024" operator="equal">
      <formula>"PTO"</formula>
    </cfRule>
  </conditionalFormatting>
  <conditionalFormatting sqref="B43">
    <cfRule type="duplicateValues" dxfId="36842" priority="11022"/>
  </conditionalFormatting>
  <conditionalFormatting sqref="B43">
    <cfRule type="duplicateValues" dxfId="36841" priority="11021"/>
  </conditionalFormatting>
  <conditionalFormatting sqref="B43">
    <cfRule type="duplicateValues" dxfId="36840" priority="11020"/>
  </conditionalFormatting>
  <conditionalFormatting sqref="X43">
    <cfRule type="cellIs" dxfId="36839" priority="11018" operator="equal">
      <formula>"OFF"</formula>
    </cfRule>
    <cfRule type="cellIs" dxfId="36838" priority="11019" operator="equal">
      <formula>"PTO"</formula>
    </cfRule>
  </conditionalFormatting>
  <conditionalFormatting sqref="X43">
    <cfRule type="cellIs" dxfId="36837" priority="11016" operator="equal">
      <formula>"OFF"</formula>
    </cfRule>
    <cfRule type="cellIs" dxfId="36836" priority="11017" operator="equal">
      <formula>"PTO"</formula>
    </cfRule>
  </conditionalFormatting>
  <conditionalFormatting sqref="X43">
    <cfRule type="cellIs" dxfId="36835" priority="11014" operator="equal">
      <formula>"OFF"</formula>
    </cfRule>
    <cfRule type="cellIs" dxfId="36834" priority="11015" operator="equal">
      <formula>"PTO"</formula>
    </cfRule>
  </conditionalFormatting>
  <conditionalFormatting sqref="B43">
    <cfRule type="duplicateValues" dxfId="36833" priority="11013"/>
  </conditionalFormatting>
  <conditionalFormatting sqref="B43">
    <cfRule type="duplicateValues" dxfId="36832" priority="11012"/>
  </conditionalFormatting>
  <conditionalFormatting sqref="B43">
    <cfRule type="duplicateValues" dxfId="36831" priority="11011"/>
  </conditionalFormatting>
  <conditionalFormatting sqref="B43">
    <cfRule type="duplicateValues" dxfId="36830" priority="11010"/>
  </conditionalFormatting>
  <conditionalFormatting sqref="X43">
    <cfRule type="cellIs" dxfId="36829" priority="11008" operator="equal">
      <formula>"OFF"</formula>
    </cfRule>
    <cfRule type="cellIs" dxfId="36828" priority="11009" operator="equal">
      <formula>"PTO"</formula>
    </cfRule>
  </conditionalFormatting>
  <conditionalFormatting sqref="X43">
    <cfRule type="cellIs" dxfId="36827" priority="11006" operator="equal">
      <formula>"OFF"</formula>
    </cfRule>
    <cfRule type="cellIs" dxfId="36826" priority="11007" operator="equal">
      <formula>"PTO"</formula>
    </cfRule>
  </conditionalFormatting>
  <conditionalFormatting sqref="B43">
    <cfRule type="duplicateValues" dxfId="36825" priority="11005"/>
  </conditionalFormatting>
  <conditionalFormatting sqref="X43">
    <cfRule type="cellIs" dxfId="36824" priority="11003" operator="equal">
      <formula>"OFF"</formula>
    </cfRule>
    <cfRule type="cellIs" dxfId="36823" priority="11004" operator="equal">
      <formula>"PTO"</formula>
    </cfRule>
  </conditionalFormatting>
  <conditionalFormatting sqref="B43">
    <cfRule type="duplicateValues" dxfId="36822" priority="11002"/>
  </conditionalFormatting>
  <conditionalFormatting sqref="B43">
    <cfRule type="duplicateValues" dxfId="36821" priority="11001"/>
  </conditionalFormatting>
  <conditionalFormatting sqref="X43">
    <cfRule type="cellIs" dxfId="36820" priority="10999" operator="equal">
      <formula>"OFF"</formula>
    </cfRule>
    <cfRule type="cellIs" dxfId="36819" priority="11000" operator="equal">
      <formula>"PTO"</formula>
    </cfRule>
  </conditionalFormatting>
  <conditionalFormatting sqref="X43">
    <cfRule type="cellIs" dxfId="36818" priority="10997" operator="equal">
      <formula>"OFF"</formula>
    </cfRule>
    <cfRule type="cellIs" dxfId="36817" priority="10998" operator="equal">
      <formula>"PTO"</formula>
    </cfRule>
  </conditionalFormatting>
  <conditionalFormatting sqref="X43">
    <cfRule type="cellIs" dxfId="36816" priority="10995" operator="equal">
      <formula>"OFF"</formula>
    </cfRule>
    <cfRule type="cellIs" dxfId="36815" priority="10996" operator="equal">
      <formula>"PTO"</formula>
    </cfRule>
  </conditionalFormatting>
  <conditionalFormatting sqref="X43">
    <cfRule type="cellIs" dxfId="36814" priority="10993" operator="equal">
      <formula>"OFF"</formula>
    </cfRule>
    <cfRule type="cellIs" dxfId="36813" priority="10994" operator="equal">
      <formula>"PTO"</formula>
    </cfRule>
  </conditionalFormatting>
  <conditionalFormatting sqref="B43">
    <cfRule type="duplicateValues" dxfId="36812" priority="10992"/>
  </conditionalFormatting>
  <conditionalFormatting sqref="B43">
    <cfRule type="duplicateValues" dxfId="36811" priority="10991"/>
  </conditionalFormatting>
  <conditionalFormatting sqref="B43">
    <cfRule type="duplicateValues" dxfId="36810" priority="10990"/>
  </conditionalFormatting>
  <conditionalFormatting sqref="B43">
    <cfRule type="duplicateValues" dxfId="36809" priority="10989"/>
  </conditionalFormatting>
  <conditionalFormatting sqref="X43">
    <cfRule type="cellIs" dxfId="36808" priority="10987" operator="equal">
      <formula>"OFF"</formula>
    </cfRule>
    <cfRule type="cellIs" dxfId="36807" priority="10988" operator="equal">
      <formula>"PTO"</formula>
    </cfRule>
  </conditionalFormatting>
  <conditionalFormatting sqref="X43">
    <cfRule type="cellIs" dxfId="36806" priority="10985" operator="equal">
      <formula>"OFF"</formula>
    </cfRule>
    <cfRule type="cellIs" dxfId="36805" priority="10986" operator="equal">
      <formula>"PTO"</formula>
    </cfRule>
  </conditionalFormatting>
  <conditionalFormatting sqref="B43">
    <cfRule type="duplicateValues" dxfId="36804" priority="10984"/>
  </conditionalFormatting>
  <conditionalFormatting sqref="X43">
    <cfRule type="cellIs" dxfId="36803" priority="10982" operator="equal">
      <formula>"OFF"</formula>
    </cfRule>
    <cfRule type="cellIs" dxfId="36802" priority="10983" operator="equal">
      <formula>"PTO"</formula>
    </cfRule>
  </conditionalFormatting>
  <conditionalFormatting sqref="B43">
    <cfRule type="duplicateValues" dxfId="36801" priority="10981"/>
  </conditionalFormatting>
  <conditionalFormatting sqref="X43">
    <cfRule type="cellIs" dxfId="36800" priority="10979" operator="equal">
      <formula>"OFF"</formula>
    </cfRule>
    <cfRule type="cellIs" dxfId="36799" priority="10980" operator="equal">
      <formula>"PTO"</formula>
    </cfRule>
  </conditionalFormatting>
  <conditionalFormatting sqref="B43">
    <cfRule type="duplicateValues" dxfId="36798" priority="10978"/>
  </conditionalFormatting>
  <conditionalFormatting sqref="B43">
    <cfRule type="duplicateValues" dxfId="36797" priority="10977"/>
  </conditionalFormatting>
  <conditionalFormatting sqref="B43">
    <cfRule type="duplicateValues" dxfId="36796" priority="10976"/>
  </conditionalFormatting>
  <conditionalFormatting sqref="B43">
    <cfRule type="duplicateValues" dxfId="36795" priority="10975"/>
  </conditionalFormatting>
  <conditionalFormatting sqref="B43">
    <cfRule type="duplicateValues" dxfId="36794" priority="10974"/>
  </conditionalFormatting>
  <conditionalFormatting sqref="B43">
    <cfRule type="duplicateValues" dxfId="36793" priority="10973"/>
  </conditionalFormatting>
  <conditionalFormatting sqref="X43">
    <cfRule type="cellIs" dxfId="36792" priority="10971" operator="equal">
      <formula>"OFF"</formula>
    </cfRule>
    <cfRule type="cellIs" dxfId="36791" priority="10972" operator="equal">
      <formula>"PTO"</formula>
    </cfRule>
  </conditionalFormatting>
  <conditionalFormatting sqref="B43">
    <cfRule type="duplicateValues" dxfId="36790" priority="10970"/>
  </conditionalFormatting>
  <conditionalFormatting sqref="X44">
    <cfRule type="cellIs" dxfId="36789" priority="10962" operator="equal">
      <formula>"OFF"</formula>
    </cfRule>
    <cfRule type="cellIs" dxfId="36788" priority="10963" operator="equal">
      <formula>"PTO"</formula>
    </cfRule>
  </conditionalFormatting>
  <conditionalFormatting sqref="B44">
    <cfRule type="duplicateValues" dxfId="36787" priority="10959"/>
  </conditionalFormatting>
  <conditionalFormatting sqref="X44">
    <cfRule type="cellIs" dxfId="36786" priority="10957" operator="equal">
      <formula>"OFF"</formula>
    </cfRule>
    <cfRule type="cellIs" dxfId="36785" priority="10958" operator="equal">
      <formula>"PTO"</formula>
    </cfRule>
  </conditionalFormatting>
  <conditionalFormatting sqref="B44">
    <cfRule type="duplicateValues" dxfId="36784" priority="10956"/>
  </conditionalFormatting>
  <conditionalFormatting sqref="X44">
    <cfRule type="cellIs" dxfId="36783" priority="10954" operator="equal">
      <formula>"OFF"</formula>
    </cfRule>
    <cfRule type="cellIs" dxfId="36782" priority="10955" operator="equal">
      <formula>"PTO"</formula>
    </cfRule>
  </conditionalFormatting>
  <conditionalFormatting sqref="X44">
    <cfRule type="cellIs" dxfId="36781" priority="10952" operator="equal">
      <formula>"OFF"</formula>
    </cfRule>
    <cfRule type="cellIs" dxfId="36780" priority="10953" operator="equal">
      <formula>"PTO"</formula>
    </cfRule>
  </conditionalFormatting>
  <conditionalFormatting sqref="B44">
    <cfRule type="duplicateValues" dxfId="36779" priority="10951"/>
  </conditionalFormatting>
  <conditionalFormatting sqref="X44">
    <cfRule type="cellIs" dxfId="36778" priority="10949" operator="equal">
      <formula>"OFF"</formula>
    </cfRule>
    <cfRule type="cellIs" dxfId="36777" priority="10950" operator="equal">
      <formula>"PTO"</formula>
    </cfRule>
  </conditionalFormatting>
  <conditionalFormatting sqref="B44">
    <cfRule type="duplicateValues" dxfId="36776" priority="10948"/>
  </conditionalFormatting>
  <conditionalFormatting sqref="X44">
    <cfRule type="cellIs" dxfId="36775" priority="10938" operator="equal">
      <formula>"OFF"</formula>
    </cfRule>
    <cfRule type="cellIs" dxfId="36774" priority="10939" operator="equal">
      <formula>"PTO"</formula>
    </cfRule>
  </conditionalFormatting>
  <conditionalFormatting sqref="B44">
    <cfRule type="duplicateValues" dxfId="36773" priority="10937"/>
  </conditionalFormatting>
  <conditionalFormatting sqref="X44">
    <cfRule type="cellIs" dxfId="36772" priority="10933" operator="equal">
      <formula>"OFF"</formula>
    </cfRule>
    <cfRule type="cellIs" dxfId="36771" priority="10934" operator="equal">
      <formula>"PTO"</formula>
    </cfRule>
  </conditionalFormatting>
  <conditionalFormatting sqref="X44">
    <cfRule type="cellIs" dxfId="36770" priority="10931" operator="equal">
      <formula>"OFF"</formula>
    </cfRule>
    <cfRule type="cellIs" dxfId="36769" priority="10932" operator="equal">
      <formula>"PTO"</formula>
    </cfRule>
  </conditionalFormatting>
  <conditionalFormatting sqref="X44">
    <cfRule type="cellIs" dxfId="36768" priority="10929" operator="equal">
      <formula>"OFF"</formula>
    </cfRule>
    <cfRule type="cellIs" dxfId="36767" priority="10930" operator="equal">
      <formula>"PTO"</formula>
    </cfRule>
  </conditionalFormatting>
  <conditionalFormatting sqref="B44">
    <cfRule type="duplicateValues" dxfId="36766" priority="10928"/>
  </conditionalFormatting>
  <conditionalFormatting sqref="B44">
    <cfRule type="duplicateValues" dxfId="36765" priority="10927"/>
  </conditionalFormatting>
  <conditionalFormatting sqref="B44">
    <cfRule type="duplicateValues" dxfId="36764" priority="10926"/>
  </conditionalFormatting>
  <conditionalFormatting sqref="B44">
    <cfRule type="duplicateValues" dxfId="36763" priority="10919"/>
  </conditionalFormatting>
  <conditionalFormatting sqref="X44">
    <cfRule type="cellIs" dxfId="36762" priority="10917" operator="equal">
      <formula>"OFF"</formula>
    </cfRule>
    <cfRule type="cellIs" dxfId="36761" priority="10918" operator="equal">
      <formula>"PTO"</formula>
    </cfRule>
  </conditionalFormatting>
  <conditionalFormatting sqref="X44">
    <cfRule type="cellIs" dxfId="36760" priority="10915" operator="equal">
      <formula>"OFF"</formula>
    </cfRule>
    <cfRule type="cellIs" dxfId="36759" priority="10916" operator="equal">
      <formula>"PTO"</formula>
    </cfRule>
  </conditionalFormatting>
  <conditionalFormatting sqref="B44">
    <cfRule type="duplicateValues" dxfId="36758" priority="10914"/>
  </conditionalFormatting>
  <conditionalFormatting sqref="X44">
    <cfRule type="cellIs" dxfId="36757" priority="10912" operator="equal">
      <formula>"OFF"</formula>
    </cfRule>
    <cfRule type="cellIs" dxfId="36756" priority="10913" operator="equal">
      <formula>"PTO"</formula>
    </cfRule>
  </conditionalFormatting>
  <conditionalFormatting sqref="B44">
    <cfRule type="duplicateValues" dxfId="36755" priority="10911"/>
  </conditionalFormatting>
  <conditionalFormatting sqref="X44">
    <cfRule type="cellIs" dxfId="36754" priority="10901" operator="equal">
      <formula>"OFF"</formula>
    </cfRule>
    <cfRule type="cellIs" dxfId="36753" priority="10902" operator="equal">
      <formula>"PTO"</formula>
    </cfRule>
  </conditionalFormatting>
  <conditionalFormatting sqref="B44">
    <cfRule type="duplicateValues" dxfId="36752" priority="10900"/>
  </conditionalFormatting>
  <conditionalFormatting sqref="B44">
    <cfRule type="duplicateValues" dxfId="36751" priority="10897"/>
  </conditionalFormatting>
  <conditionalFormatting sqref="X44">
    <cfRule type="cellIs" dxfId="36750" priority="10895" operator="equal">
      <formula>"OFF"</formula>
    </cfRule>
    <cfRule type="cellIs" dxfId="36749" priority="10896" operator="equal">
      <formula>"PTO"</formula>
    </cfRule>
  </conditionalFormatting>
  <conditionalFormatting sqref="X44">
    <cfRule type="cellIs" dxfId="36748" priority="10893" operator="equal">
      <formula>"OFF"</formula>
    </cfRule>
    <cfRule type="cellIs" dxfId="36747" priority="10894" operator="equal">
      <formula>"PTO"</formula>
    </cfRule>
  </conditionalFormatting>
  <conditionalFormatting sqref="B44">
    <cfRule type="duplicateValues" dxfId="36746" priority="10892"/>
  </conditionalFormatting>
  <conditionalFormatting sqref="X44">
    <cfRule type="cellIs" dxfId="36745" priority="10890" operator="equal">
      <formula>"OFF"</formula>
    </cfRule>
    <cfRule type="cellIs" dxfId="36744" priority="10891" operator="equal">
      <formula>"PTO"</formula>
    </cfRule>
  </conditionalFormatting>
  <conditionalFormatting sqref="B44">
    <cfRule type="duplicateValues" dxfId="36743" priority="10889"/>
  </conditionalFormatting>
  <conditionalFormatting sqref="X44">
    <cfRule type="cellIs" dxfId="36742" priority="10879" operator="equal">
      <formula>"OFF"</formula>
    </cfRule>
    <cfRule type="cellIs" dxfId="36741" priority="10880" operator="equal">
      <formula>"PTO"</formula>
    </cfRule>
  </conditionalFormatting>
  <conditionalFormatting sqref="B44">
    <cfRule type="duplicateValues" dxfId="36740" priority="10878"/>
  </conditionalFormatting>
  <conditionalFormatting sqref="B44">
    <cfRule type="duplicateValues" dxfId="36739" priority="10875"/>
  </conditionalFormatting>
  <conditionalFormatting sqref="X44">
    <cfRule type="cellIs" dxfId="36738" priority="10873" operator="equal">
      <formula>"OFF"</formula>
    </cfRule>
    <cfRule type="cellIs" dxfId="36737" priority="10874" operator="equal">
      <formula>"PTO"</formula>
    </cfRule>
  </conditionalFormatting>
  <conditionalFormatting sqref="B44">
    <cfRule type="duplicateValues" dxfId="36736" priority="10872"/>
  </conditionalFormatting>
  <conditionalFormatting sqref="B44">
    <cfRule type="duplicateValues" dxfId="36735" priority="10869"/>
  </conditionalFormatting>
  <conditionalFormatting sqref="X44">
    <cfRule type="cellIs" dxfId="36734" priority="10867" operator="equal">
      <formula>"OFF"</formula>
    </cfRule>
    <cfRule type="cellIs" dxfId="36733" priority="10868" operator="equal">
      <formula>"PTO"</formula>
    </cfRule>
  </conditionalFormatting>
  <conditionalFormatting sqref="X44">
    <cfRule type="cellIs" dxfId="36732" priority="10865" operator="equal">
      <formula>"OFF"</formula>
    </cfRule>
    <cfRule type="cellIs" dxfId="36731" priority="10866" operator="equal">
      <formula>"PTO"</formula>
    </cfRule>
  </conditionalFormatting>
  <conditionalFormatting sqref="B44">
    <cfRule type="duplicateValues" dxfId="36730" priority="10864"/>
  </conditionalFormatting>
  <conditionalFormatting sqref="X44">
    <cfRule type="cellIs" dxfId="36729" priority="10862" operator="equal">
      <formula>"OFF"</formula>
    </cfRule>
    <cfRule type="cellIs" dxfId="36728" priority="10863" operator="equal">
      <formula>"PTO"</formula>
    </cfRule>
  </conditionalFormatting>
  <conditionalFormatting sqref="B44">
    <cfRule type="duplicateValues" dxfId="36727" priority="10861"/>
  </conditionalFormatting>
  <conditionalFormatting sqref="X44">
    <cfRule type="cellIs" dxfId="36726" priority="10851" operator="equal">
      <formula>"OFF"</formula>
    </cfRule>
    <cfRule type="cellIs" dxfId="36725" priority="10852" operator="equal">
      <formula>"PTO"</formula>
    </cfRule>
  </conditionalFormatting>
  <conditionalFormatting sqref="B44">
    <cfRule type="duplicateValues" dxfId="36724" priority="10850"/>
  </conditionalFormatting>
  <conditionalFormatting sqref="X44">
    <cfRule type="cellIs" dxfId="36723" priority="10846" operator="equal">
      <formula>"OFF"</formula>
    </cfRule>
    <cfRule type="cellIs" dxfId="36722" priority="10847" operator="equal">
      <formula>"PTO"</formula>
    </cfRule>
  </conditionalFormatting>
  <conditionalFormatting sqref="B44">
    <cfRule type="duplicateValues" dxfId="36721" priority="10845"/>
  </conditionalFormatting>
  <conditionalFormatting sqref="B44">
    <cfRule type="duplicateValues" dxfId="36720" priority="10842"/>
  </conditionalFormatting>
  <conditionalFormatting sqref="X46">
    <cfRule type="cellIs" dxfId="36719" priority="10296" operator="equal">
      <formula>"OFF"</formula>
    </cfRule>
    <cfRule type="cellIs" dxfId="36718" priority="10297" operator="equal">
      <formula>"PTO"</formula>
    </cfRule>
  </conditionalFormatting>
  <conditionalFormatting sqref="X46">
    <cfRule type="cellIs" dxfId="36717" priority="10294" operator="equal">
      <formula>"OFF"</formula>
    </cfRule>
    <cfRule type="cellIs" dxfId="36716" priority="10295" operator="equal">
      <formula>"PTO"</formula>
    </cfRule>
  </conditionalFormatting>
  <conditionalFormatting sqref="X46">
    <cfRule type="cellIs" dxfId="36715" priority="10292" operator="equal">
      <formula>"OFF"</formula>
    </cfRule>
    <cfRule type="cellIs" dxfId="36714" priority="10293" operator="equal">
      <formula>"PTO"</formula>
    </cfRule>
  </conditionalFormatting>
  <conditionalFormatting sqref="B43:B56">
    <cfRule type="duplicateValues" dxfId="36713" priority="10291"/>
  </conditionalFormatting>
  <conditionalFormatting sqref="B43:B56">
    <cfRule type="duplicateValues" dxfId="36712" priority="10290"/>
  </conditionalFormatting>
  <conditionalFormatting sqref="B43:B56">
    <cfRule type="duplicateValues" dxfId="36711" priority="10289"/>
  </conditionalFormatting>
  <conditionalFormatting sqref="X46">
    <cfRule type="cellIs" dxfId="36710" priority="10287" operator="equal">
      <formula>"OFF"</formula>
    </cfRule>
    <cfRule type="cellIs" dxfId="36709" priority="10288" operator="equal">
      <formula>"PTO"</formula>
    </cfRule>
  </conditionalFormatting>
  <conditionalFormatting sqref="B43:B56">
    <cfRule type="duplicateValues" dxfId="36708" priority="10286"/>
  </conditionalFormatting>
  <conditionalFormatting sqref="X46">
    <cfRule type="cellIs" dxfId="36707" priority="10284" operator="equal">
      <formula>"OFF"</formula>
    </cfRule>
    <cfRule type="cellIs" dxfId="36706" priority="10285" operator="equal">
      <formula>"PTO"</formula>
    </cfRule>
  </conditionalFormatting>
  <conditionalFormatting sqref="X46">
    <cfRule type="cellIs" dxfId="36705" priority="10282" operator="equal">
      <formula>"OFF"</formula>
    </cfRule>
    <cfRule type="cellIs" dxfId="36704" priority="10283" operator="equal">
      <formula>"PTO"</formula>
    </cfRule>
  </conditionalFormatting>
  <conditionalFormatting sqref="B43:B56">
    <cfRule type="duplicateValues" dxfId="36703" priority="10281"/>
  </conditionalFormatting>
  <conditionalFormatting sqref="X46">
    <cfRule type="cellIs" dxfId="36702" priority="10279" operator="equal">
      <formula>"OFF"</formula>
    </cfRule>
    <cfRule type="cellIs" dxfId="36701" priority="10280" operator="equal">
      <formula>"PTO"</formula>
    </cfRule>
  </conditionalFormatting>
  <conditionalFormatting sqref="B43:B56">
    <cfRule type="duplicateValues" dxfId="36700" priority="10278"/>
  </conditionalFormatting>
  <conditionalFormatting sqref="X46">
    <cfRule type="cellIs" dxfId="36699" priority="10276" operator="equal">
      <formula>"OFF"</formula>
    </cfRule>
    <cfRule type="cellIs" dxfId="36698" priority="10277" operator="equal">
      <formula>"PTO"</formula>
    </cfRule>
  </conditionalFormatting>
  <conditionalFormatting sqref="B43:B56">
    <cfRule type="duplicateValues" dxfId="36697" priority="10275"/>
  </conditionalFormatting>
  <conditionalFormatting sqref="X46">
    <cfRule type="cellIs" dxfId="36696" priority="10273" operator="equal">
      <formula>"OFF"</formula>
    </cfRule>
    <cfRule type="cellIs" dxfId="36695" priority="10274" operator="equal">
      <formula>"PTO"</formula>
    </cfRule>
  </conditionalFormatting>
  <conditionalFormatting sqref="X46">
    <cfRule type="cellIs" dxfId="36694" priority="10271" operator="equal">
      <formula>"OFF"</formula>
    </cfRule>
    <cfRule type="cellIs" dxfId="36693" priority="10272" operator="equal">
      <formula>"PTO"</formula>
    </cfRule>
  </conditionalFormatting>
  <conditionalFormatting sqref="X46">
    <cfRule type="cellIs" dxfId="36692" priority="10269" operator="equal">
      <formula>"OFF"</formula>
    </cfRule>
    <cfRule type="cellIs" dxfId="36691" priority="10270" operator="equal">
      <formula>"PTO"</formula>
    </cfRule>
  </conditionalFormatting>
  <conditionalFormatting sqref="B43:B56">
    <cfRule type="duplicateValues" dxfId="36690" priority="10268"/>
  </conditionalFormatting>
  <conditionalFormatting sqref="B43:B56">
    <cfRule type="duplicateValues" dxfId="36689" priority="10267"/>
  </conditionalFormatting>
  <conditionalFormatting sqref="B43:B56">
    <cfRule type="duplicateValues" dxfId="36688" priority="10266"/>
  </conditionalFormatting>
  <conditionalFormatting sqref="B43:B56">
    <cfRule type="duplicateValues" dxfId="36687" priority="10265"/>
  </conditionalFormatting>
  <conditionalFormatting sqref="X46">
    <cfRule type="cellIs" dxfId="36686" priority="10263" operator="equal">
      <formula>"OFF"</formula>
    </cfRule>
    <cfRule type="cellIs" dxfId="36685" priority="10264" operator="equal">
      <formula>"PTO"</formula>
    </cfRule>
  </conditionalFormatting>
  <conditionalFormatting sqref="X46">
    <cfRule type="cellIs" dxfId="36684" priority="10261" operator="equal">
      <formula>"OFF"</formula>
    </cfRule>
    <cfRule type="cellIs" dxfId="36683" priority="10262" operator="equal">
      <formula>"PTO"</formula>
    </cfRule>
  </conditionalFormatting>
  <conditionalFormatting sqref="B43:B56">
    <cfRule type="duplicateValues" dxfId="36682" priority="10260"/>
  </conditionalFormatting>
  <conditionalFormatting sqref="X46">
    <cfRule type="cellIs" dxfId="36681" priority="10258" operator="equal">
      <formula>"OFF"</formula>
    </cfRule>
    <cfRule type="cellIs" dxfId="36680" priority="10259" operator="equal">
      <formula>"PTO"</formula>
    </cfRule>
  </conditionalFormatting>
  <conditionalFormatting sqref="B43:B56">
    <cfRule type="duplicateValues" dxfId="36679" priority="10257"/>
  </conditionalFormatting>
  <conditionalFormatting sqref="X46">
    <cfRule type="cellIs" dxfId="36678" priority="10255" operator="equal">
      <formula>"OFF"</formula>
    </cfRule>
    <cfRule type="cellIs" dxfId="36677" priority="10256" operator="equal">
      <formula>"PTO"</formula>
    </cfRule>
  </conditionalFormatting>
  <conditionalFormatting sqref="B43:B56">
    <cfRule type="duplicateValues" dxfId="36676" priority="10254"/>
  </conditionalFormatting>
  <conditionalFormatting sqref="X46">
    <cfRule type="cellIs" dxfId="36675" priority="10252" operator="equal">
      <formula>"OFF"</formula>
    </cfRule>
    <cfRule type="cellIs" dxfId="36674" priority="10253" operator="equal">
      <formula>"PTO"</formula>
    </cfRule>
  </conditionalFormatting>
  <conditionalFormatting sqref="X46">
    <cfRule type="cellIs" dxfId="36673" priority="10250" operator="equal">
      <formula>"OFF"</formula>
    </cfRule>
    <cfRule type="cellIs" dxfId="36672" priority="10251" operator="equal">
      <formula>"PTO"</formula>
    </cfRule>
  </conditionalFormatting>
  <conditionalFormatting sqref="X46">
    <cfRule type="cellIs" dxfId="36671" priority="10248" operator="equal">
      <formula>"OFF"</formula>
    </cfRule>
    <cfRule type="cellIs" dxfId="36670" priority="10249" operator="equal">
      <formula>"PTO"</formula>
    </cfRule>
  </conditionalFormatting>
  <conditionalFormatting sqref="B43:B56">
    <cfRule type="duplicateValues" dxfId="36669" priority="10247"/>
  </conditionalFormatting>
  <conditionalFormatting sqref="B43:B56">
    <cfRule type="duplicateValues" dxfId="36668" priority="10246"/>
  </conditionalFormatting>
  <conditionalFormatting sqref="B43:B56">
    <cfRule type="duplicateValues" dxfId="36667" priority="10245"/>
  </conditionalFormatting>
  <conditionalFormatting sqref="B43:B56">
    <cfRule type="duplicateValues" dxfId="36666" priority="10244"/>
  </conditionalFormatting>
  <conditionalFormatting sqref="X46">
    <cfRule type="cellIs" dxfId="36665" priority="10242" operator="equal">
      <formula>"OFF"</formula>
    </cfRule>
    <cfRule type="cellIs" dxfId="36664" priority="10243" operator="equal">
      <formula>"PTO"</formula>
    </cfRule>
  </conditionalFormatting>
  <conditionalFormatting sqref="X46">
    <cfRule type="cellIs" dxfId="36663" priority="10240" operator="equal">
      <formula>"OFF"</formula>
    </cfRule>
    <cfRule type="cellIs" dxfId="36662" priority="10241" operator="equal">
      <formula>"PTO"</formula>
    </cfRule>
  </conditionalFormatting>
  <conditionalFormatting sqref="B43:B56">
    <cfRule type="duplicateValues" dxfId="36661" priority="10239"/>
  </conditionalFormatting>
  <conditionalFormatting sqref="X46">
    <cfRule type="cellIs" dxfId="36660" priority="10237" operator="equal">
      <formula>"OFF"</formula>
    </cfRule>
    <cfRule type="cellIs" dxfId="36659" priority="10238" operator="equal">
      <formula>"PTO"</formula>
    </cfRule>
  </conditionalFormatting>
  <conditionalFormatting sqref="B43:B56">
    <cfRule type="duplicateValues" dxfId="36658" priority="10236"/>
  </conditionalFormatting>
  <conditionalFormatting sqref="B43:B56">
    <cfRule type="duplicateValues" dxfId="36657" priority="10235"/>
  </conditionalFormatting>
  <conditionalFormatting sqref="X46">
    <cfRule type="cellIs" dxfId="36656" priority="10233" operator="equal">
      <formula>"OFF"</formula>
    </cfRule>
    <cfRule type="cellIs" dxfId="36655" priority="10234" operator="equal">
      <formula>"PTO"</formula>
    </cfRule>
  </conditionalFormatting>
  <conditionalFormatting sqref="X46">
    <cfRule type="cellIs" dxfId="36654" priority="10231" operator="equal">
      <formula>"OFF"</formula>
    </cfRule>
    <cfRule type="cellIs" dxfId="36653" priority="10232" operator="equal">
      <formula>"PTO"</formula>
    </cfRule>
  </conditionalFormatting>
  <conditionalFormatting sqref="B43:B56">
    <cfRule type="duplicateValues" dxfId="36652" priority="10230"/>
  </conditionalFormatting>
  <conditionalFormatting sqref="X46">
    <cfRule type="cellIs" dxfId="36651" priority="10228" operator="equal">
      <formula>"OFF"</formula>
    </cfRule>
    <cfRule type="cellIs" dxfId="36650" priority="10229" operator="equal">
      <formula>"PTO"</formula>
    </cfRule>
  </conditionalFormatting>
  <conditionalFormatting sqref="B43:B56">
    <cfRule type="duplicateValues" dxfId="36649" priority="10227"/>
  </conditionalFormatting>
  <conditionalFormatting sqref="X46">
    <cfRule type="cellIs" dxfId="36648" priority="10225" operator="equal">
      <formula>"OFF"</formula>
    </cfRule>
    <cfRule type="cellIs" dxfId="36647" priority="10226" operator="equal">
      <formula>"PTO"</formula>
    </cfRule>
  </conditionalFormatting>
  <conditionalFormatting sqref="B43:B56">
    <cfRule type="duplicateValues" dxfId="36646" priority="10224"/>
  </conditionalFormatting>
  <conditionalFormatting sqref="X46">
    <cfRule type="cellIs" dxfId="36645" priority="10222" operator="equal">
      <formula>"OFF"</formula>
    </cfRule>
    <cfRule type="cellIs" dxfId="36644" priority="10223" operator="equal">
      <formula>"PTO"</formula>
    </cfRule>
  </conditionalFormatting>
  <conditionalFormatting sqref="X46">
    <cfRule type="cellIs" dxfId="36643" priority="10220" operator="equal">
      <formula>"OFF"</formula>
    </cfRule>
    <cfRule type="cellIs" dxfId="36642" priority="10221" operator="equal">
      <formula>"PTO"</formula>
    </cfRule>
  </conditionalFormatting>
  <conditionalFormatting sqref="X46">
    <cfRule type="cellIs" dxfId="36641" priority="10218" operator="equal">
      <formula>"OFF"</formula>
    </cfRule>
    <cfRule type="cellIs" dxfId="36640" priority="10219" operator="equal">
      <formula>"PTO"</formula>
    </cfRule>
  </conditionalFormatting>
  <conditionalFormatting sqref="B43:B56">
    <cfRule type="duplicateValues" dxfId="36639" priority="10217"/>
  </conditionalFormatting>
  <conditionalFormatting sqref="B43:B56">
    <cfRule type="duplicateValues" dxfId="36638" priority="10216"/>
  </conditionalFormatting>
  <conditionalFormatting sqref="B43:B56">
    <cfRule type="duplicateValues" dxfId="36637" priority="10215"/>
  </conditionalFormatting>
  <conditionalFormatting sqref="B43:B56">
    <cfRule type="duplicateValues" dxfId="36636" priority="10214"/>
  </conditionalFormatting>
  <conditionalFormatting sqref="X46">
    <cfRule type="cellIs" dxfId="36635" priority="10212" operator="equal">
      <formula>"OFF"</formula>
    </cfRule>
    <cfRule type="cellIs" dxfId="36634" priority="10213" operator="equal">
      <formula>"PTO"</formula>
    </cfRule>
  </conditionalFormatting>
  <conditionalFormatting sqref="X46">
    <cfRule type="cellIs" dxfId="36633" priority="10210" operator="equal">
      <formula>"OFF"</formula>
    </cfRule>
    <cfRule type="cellIs" dxfId="36632" priority="10211" operator="equal">
      <formula>"PTO"</formula>
    </cfRule>
  </conditionalFormatting>
  <conditionalFormatting sqref="B43:B56">
    <cfRule type="duplicateValues" dxfId="36631" priority="10209"/>
  </conditionalFormatting>
  <conditionalFormatting sqref="X46">
    <cfRule type="cellIs" dxfId="36630" priority="10207" operator="equal">
      <formula>"OFF"</formula>
    </cfRule>
    <cfRule type="cellIs" dxfId="36629" priority="10208" operator="equal">
      <formula>"PTO"</formula>
    </cfRule>
  </conditionalFormatting>
  <conditionalFormatting sqref="B43:B56">
    <cfRule type="duplicateValues" dxfId="36628" priority="10206"/>
  </conditionalFormatting>
  <conditionalFormatting sqref="X46">
    <cfRule type="cellIs" dxfId="36627" priority="10204" operator="equal">
      <formula>"OFF"</formula>
    </cfRule>
    <cfRule type="cellIs" dxfId="36626" priority="10205" operator="equal">
      <formula>"PTO"</formula>
    </cfRule>
  </conditionalFormatting>
  <conditionalFormatting sqref="B43:B56">
    <cfRule type="duplicateValues" dxfId="36625" priority="10203"/>
  </conditionalFormatting>
  <conditionalFormatting sqref="B43:B56">
    <cfRule type="duplicateValues" dxfId="36624" priority="10202"/>
  </conditionalFormatting>
  <conditionalFormatting sqref="X46">
    <cfRule type="cellIs" dxfId="36623" priority="10200" operator="equal">
      <formula>"OFF"</formula>
    </cfRule>
    <cfRule type="cellIs" dxfId="36622" priority="10201" operator="equal">
      <formula>"PTO"</formula>
    </cfRule>
  </conditionalFormatting>
  <conditionalFormatting sqref="X46">
    <cfRule type="cellIs" dxfId="36621" priority="10198" operator="equal">
      <formula>"OFF"</formula>
    </cfRule>
    <cfRule type="cellIs" dxfId="36620" priority="10199" operator="equal">
      <formula>"PTO"</formula>
    </cfRule>
  </conditionalFormatting>
  <conditionalFormatting sqref="B43:B56">
    <cfRule type="duplicateValues" dxfId="36619" priority="10197"/>
  </conditionalFormatting>
  <conditionalFormatting sqref="X46">
    <cfRule type="cellIs" dxfId="36618" priority="10195" operator="equal">
      <formula>"OFF"</formula>
    </cfRule>
    <cfRule type="cellIs" dxfId="36617" priority="10196" operator="equal">
      <formula>"PTO"</formula>
    </cfRule>
  </conditionalFormatting>
  <conditionalFormatting sqref="B43:B56">
    <cfRule type="duplicateValues" dxfId="36616" priority="10194"/>
  </conditionalFormatting>
  <conditionalFormatting sqref="B43:B56">
    <cfRule type="duplicateValues" dxfId="36615" priority="10193"/>
  </conditionalFormatting>
  <conditionalFormatting sqref="X45">
    <cfRule type="cellIs" dxfId="36614" priority="10151" operator="equal">
      <formula>"OFF"</formula>
    </cfRule>
    <cfRule type="cellIs" dxfId="36613" priority="10152" operator="equal">
      <formula>"PTO"</formula>
    </cfRule>
  </conditionalFormatting>
  <conditionalFormatting sqref="B45">
    <cfRule type="duplicateValues" dxfId="36612" priority="10148"/>
  </conditionalFormatting>
  <conditionalFormatting sqref="X45">
    <cfRule type="cellIs" dxfId="36611" priority="10146" operator="equal">
      <formula>"OFF"</formula>
    </cfRule>
    <cfRule type="cellIs" dxfId="36610" priority="10147" operator="equal">
      <formula>"PTO"</formula>
    </cfRule>
  </conditionalFormatting>
  <conditionalFormatting sqref="B45">
    <cfRule type="duplicateValues" dxfId="36609" priority="10145"/>
  </conditionalFormatting>
  <conditionalFormatting sqref="X45">
    <cfRule type="cellIs" dxfId="36608" priority="10143" operator="equal">
      <formula>"OFF"</formula>
    </cfRule>
    <cfRule type="cellIs" dxfId="36607" priority="10144" operator="equal">
      <formula>"PTO"</formula>
    </cfRule>
  </conditionalFormatting>
  <conditionalFormatting sqref="X45">
    <cfRule type="cellIs" dxfId="36606" priority="10141" operator="equal">
      <formula>"OFF"</formula>
    </cfRule>
    <cfRule type="cellIs" dxfId="36605" priority="10142" operator="equal">
      <formula>"PTO"</formula>
    </cfRule>
  </conditionalFormatting>
  <conditionalFormatting sqref="B45">
    <cfRule type="duplicateValues" dxfId="36604" priority="10140"/>
  </conditionalFormatting>
  <conditionalFormatting sqref="X45">
    <cfRule type="cellIs" dxfId="36603" priority="10138" operator="equal">
      <formula>"OFF"</formula>
    </cfRule>
    <cfRule type="cellIs" dxfId="36602" priority="10139" operator="equal">
      <formula>"PTO"</formula>
    </cfRule>
  </conditionalFormatting>
  <conditionalFormatting sqref="B45">
    <cfRule type="duplicateValues" dxfId="36601" priority="10137"/>
  </conditionalFormatting>
  <conditionalFormatting sqref="X45">
    <cfRule type="cellIs" dxfId="36600" priority="10127" operator="equal">
      <formula>"OFF"</formula>
    </cfRule>
    <cfRule type="cellIs" dxfId="36599" priority="10128" operator="equal">
      <formula>"PTO"</formula>
    </cfRule>
  </conditionalFormatting>
  <conditionalFormatting sqref="B45">
    <cfRule type="duplicateValues" dxfId="36598" priority="10126"/>
  </conditionalFormatting>
  <conditionalFormatting sqref="X45">
    <cfRule type="cellIs" dxfId="36597" priority="10122" operator="equal">
      <formula>"OFF"</formula>
    </cfRule>
    <cfRule type="cellIs" dxfId="36596" priority="10123" operator="equal">
      <formula>"PTO"</formula>
    </cfRule>
  </conditionalFormatting>
  <conditionalFormatting sqref="X45">
    <cfRule type="cellIs" dxfId="36595" priority="10120" operator="equal">
      <formula>"OFF"</formula>
    </cfRule>
    <cfRule type="cellIs" dxfId="36594" priority="10121" operator="equal">
      <formula>"PTO"</formula>
    </cfRule>
  </conditionalFormatting>
  <conditionalFormatting sqref="X45">
    <cfRule type="cellIs" dxfId="36593" priority="10118" operator="equal">
      <formula>"OFF"</formula>
    </cfRule>
    <cfRule type="cellIs" dxfId="36592" priority="10119" operator="equal">
      <formula>"PTO"</formula>
    </cfRule>
  </conditionalFormatting>
  <conditionalFormatting sqref="B45">
    <cfRule type="duplicateValues" dxfId="36591" priority="10117"/>
  </conditionalFormatting>
  <conditionalFormatting sqref="B45">
    <cfRule type="duplicateValues" dxfId="36590" priority="10116"/>
  </conditionalFormatting>
  <conditionalFormatting sqref="B45">
    <cfRule type="duplicateValues" dxfId="36589" priority="10115"/>
  </conditionalFormatting>
  <conditionalFormatting sqref="B45">
    <cfRule type="duplicateValues" dxfId="36588" priority="10108"/>
  </conditionalFormatting>
  <conditionalFormatting sqref="X45">
    <cfRule type="cellIs" dxfId="36587" priority="10106" operator="equal">
      <formula>"OFF"</formula>
    </cfRule>
    <cfRule type="cellIs" dxfId="36586" priority="10107" operator="equal">
      <formula>"PTO"</formula>
    </cfRule>
  </conditionalFormatting>
  <conditionalFormatting sqref="X45">
    <cfRule type="cellIs" dxfId="36585" priority="10104" operator="equal">
      <formula>"OFF"</formula>
    </cfRule>
    <cfRule type="cellIs" dxfId="36584" priority="10105" operator="equal">
      <formula>"PTO"</formula>
    </cfRule>
  </conditionalFormatting>
  <conditionalFormatting sqref="B45">
    <cfRule type="duplicateValues" dxfId="36583" priority="10103"/>
  </conditionalFormatting>
  <conditionalFormatting sqref="X45">
    <cfRule type="cellIs" dxfId="36582" priority="10101" operator="equal">
      <formula>"OFF"</formula>
    </cfRule>
    <cfRule type="cellIs" dxfId="36581" priority="10102" operator="equal">
      <formula>"PTO"</formula>
    </cfRule>
  </conditionalFormatting>
  <conditionalFormatting sqref="B45">
    <cfRule type="duplicateValues" dxfId="36580" priority="10100"/>
  </conditionalFormatting>
  <conditionalFormatting sqref="X45">
    <cfRule type="cellIs" dxfId="36579" priority="10090" operator="equal">
      <formula>"OFF"</formula>
    </cfRule>
    <cfRule type="cellIs" dxfId="36578" priority="10091" operator="equal">
      <formula>"PTO"</formula>
    </cfRule>
  </conditionalFormatting>
  <conditionalFormatting sqref="B45">
    <cfRule type="duplicateValues" dxfId="36577" priority="10089"/>
  </conditionalFormatting>
  <conditionalFormatting sqref="B45">
    <cfRule type="duplicateValues" dxfId="36576" priority="10086"/>
  </conditionalFormatting>
  <conditionalFormatting sqref="X45">
    <cfRule type="cellIs" dxfId="36575" priority="10084" operator="equal">
      <formula>"OFF"</formula>
    </cfRule>
    <cfRule type="cellIs" dxfId="36574" priority="10085" operator="equal">
      <formula>"PTO"</formula>
    </cfRule>
  </conditionalFormatting>
  <conditionalFormatting sqref="X45">
    <cfRule type="cellIs" dxfId="36573" priority="10082" operator="equal">
      <formula>"OFF"</formula>
    </cfRule>
    <cfRule type="cellIs" dxfId="36572" priority="10083" operator="equal">
      <formula>"PTO"</formula>
    </cfRule>
  </conditionalFormatting>
  <conditionalFormatting sqref="B45">
    <cfRule type="duplicateValues" dxfId="36571" priority="10081"/>
  </conditionalFormatting>
  <conditionalFormatting sqref="X45">
    <cfRule type="cellIs" dxfId="36570" priority="10079" operator="equal">
      <formula>"OFF"</formula>
    </cfRule>
    <cfRule type="cellIs" dxfId="36569" priority="10080" operator="equal">
      <formula>"PTO"</formula>
    </cfRule>
  </conditionalFormatting>
  <conditionalFormatting sqref="B45">
    <cfRule type="duplicateValues" dxfId="36568" priority="10078"/>
  </conditionalFormatting>
  <conditionalFormatting sqref="X45">
    <cfRule type="cellIs" dxfId="36567" priority="10068" operator="equal">
      <formula>"OFF"</formula>
    </cfRule>
    <cfRule type="cellIs" dxfId="36566" priority="10069" operator="equal">
      <formula>"PTO"</formula>
    </cfRule>
  </conditionalFormatting>
  <conditionalFormatting sqref="B45">
    <cfRule type="duplicateValues" dxfId="36565" priority="10067"/>
  </conditionalFormatting>
  <conditionalFormatting sqref="B45">
    <cfRule type="duplicateValues" dxfId="36564" priority="10064"/>
  </conditionalFormatting>
  <conditionalFormatting sqref="X45">
    <cfRule type="cellIs" dxfId="36563" priority="10062" operator="equal">
      <formula>"OFF"</formula>
    </cfRule>
    <cfRule type="cellIs" dxfId="36562" priority="10063" operator="equal">
      <formula>"PTO"</formula>
    </cfRule>
  </conditionalFormatting>
  <conditionalFormatting sqref="B45">
    <cfRule type="duplicateValues" dxfId="36561" priority="10061"/>
  </conditionalFormatting>
  <conditionalFormatting sqref="B45">
    <cfRule type="duplicateValues" dxfId="36560" priority="10058"/>
  </conditionalFormatting>
  <conditionalFormatting sqref="X45">
    <cfRule type="cellIs" dxfId="36559" priority="10056" operator="equal">
      <formula>"OFF"</formula>
    </cfRule>
    <cfRule type="cellIs" dxfId="36558" priority="10057" operator="equal">
      <formula>"PTO"</formula>
    </cfRule>
  </conditionalFormatting>
  <conditionalFormatting sqref="X45">
    <cfRule type="cellIs" dxfId="36557" priority="10054" operator="equal">
      <formula>"OFF"</formula>
    </cfRule>
    <cfRule type="cellIs" dxfId="36556" priority="10055" operator="equal">
      <formula>"PTO"</formula>
    </cfRule>
  </conditionalFormatting>
  <conditionalFormatting sqref="B45">
    <cfRule type="duplicateValues" dxfId="36555" priority="10053"/>
  </conditionalFormatting>
  <conditionalFormatting sqref="X45">
    <cfRule type="cellIs" dxfId="36554" priority="10051" operator="equal">
      <formula>"OFF"</formula>
    </cfRule>
    <cfRule type="cellIs" dxfId="36553" priority="10052" operator="equal">
      <formula>"PTO"</formula>
    </cfRule>
  </conditionalFormatting>
  <conditionalFormatting sqref="B45">
    <cfRule type="duplicateValues" dxfId="36552" priority="10050"/>
  </conditionalFormatting>
  <conditionalFormatting sqref="X45">
    <cfRule type="cellIs" dxfId="36551" priority="10040" operator="equal">
      <formula>"OFF"</formula>
    </cfRule>
    <cfRule type="cellIs" dxfId="36550" priority="10041" operator="equal">
      <formula>"PTO"</formula>
    </cfRule>
  </conditionalFormatting>
  <conditionalFormatting sqref="B45">
    <cfRule type="duplicateValues" dxfId="36549" priority="10039"/>
  </conditionalFormatting>
  <conditionalFormatting sqref="X45">
    <cfRule type="cellIs" dxfId="36548" priority="10035" operator="equal">
      <formula>"OFF"</formula>
    </cfRule>
    <cfRule type="cellIs" dxfId="36547" priority="10036" operator="equal">
      <formula>"PTO"</formula>
    </cfRule>
  </conditionalFormatting>
  <conditionalFormatting sqref="B45">
    <cfRule type="duplicateValues" dxfId="36546" priority="10034"/>
  </conditionalFormatting>
  <conditionalFormatting sqref="B45">
    <cfRule type="duplicateValues" dxfId="36545" priority="10031"/>
  </conditionalFormatting>
  <conditionalFormatting sqref="X46">
    <cfRule type="cellIs" dxfId="36544" priority="10029" operator="equal">
      <formula>"OFF"</formula>
    </cfRule>
    <cfRule type="cellIs" dxfId="36543" priority="10030" operator="equal">
      <formula>"PTO"</formula>
    </cfRule>
  </conditionalFormatting>
  <conditionalFormatting sqref="B43:B56">
    <cfRule type="duplicateValues" dxfId="36542" priority="10028"/>
  </conditionalFormatting>
  <conditionalFormatting sqref="X45">
    <cfRule type="cellIs" dxfId="36541" priority="10024" operator="equal">
      <formula>"OFF"</formula>
    </cfRule>
    <cfRule type="cellIs" dxfId="36540" priority="10025" operator="equal">
      <formula>"PTO"</formula>
    </cfRule>
  </conditionalFormatting>
  <conditionalFormatting sqref="X46">
    <cfRule type="cellIs" dxfId="36539" priority="10022" operator="equal">
      <formula>"OFF"</formula>
    </cfRule>
    <cfRule type="cellIs" dxfId="36538" priority="10023" operator="equal">
      <formula>"PTO"</formula>
    </cfRule>
  </conditionalFormatting>
  <conditionalFormatting sqref="B43:B56">
    <cfRule type="duplicateValues" dxfId="36537" priority="10021"/>
  </conditionalFormatting>
  <conditionalFormatting sqref="X46">
    <cfRule type="cellIs" dxfId="36536" priority="10019" operator="equal">
      <formula>"OFF"</formula>
    </cfRule>
    <cfRule type="cellIs" dxfId="36535" priority="10020" operator="equal">
      <formula>"PTO"</formula>
    </cfRule>
  </conditionalFormatting>
  <conditionalFormatting sqref="X46">
    <cfRule type="cellIs" dxfId="36534" priority="10017" operator="equal">
      <formula>"OFF"</formula>
    </cfRule>
    <cfRule type="cellIs" dxfId="36533" priority="10018" operator="equal">
      <formula>"PTO"</formula>
    </cfRule>
  </conditionalFormatting>
  <conditionalFormatting sqref="B43:B56">
    <cfRule type="duplicateValues" dxfId="36532" priority="10016"/>
  </conditionalFormatting>
  <conditionalFormatting sqref="X45">
    <cfRule type="cellIs" dxfId="36531" priority="10014" operator="equal">
      <formula>"OFF"</formula>
    </cfRule>
    <cfRule type="cellIs" dxfId="36530" priority="10015" operator="equal">
      <formula>"PTO"</formula>
    </cfRule>
  </conditionalFormatting>
  <conditionalFormatting sqref="X46">
    <cfRule type="cellIs" dxfId="36529" priority="10012" operator="equal">
      <formula>"OFF"</formula>
    </cfRule>
    <cfRule type="cellIs" dxfId="36528" priority="10013" operator="equal">
      <formula>"PTO"</formula>
    </cfRule>
  </conditionalFormatting>
  <conditionalFormatting sqref="B43:B56">
    <cfRule type="duplicateValues" dxfId="36527" priority="10011"/>
  </conditionalFormatting>
  <conditionalFormatting sqref="X45">
    <cfRule type="cellIs" dxfId="36526" priority="10009" operator="equal">
      <formula>"OFF"</formula>
    </cfRule>
    <cfRule type="cellIs" dxfId="36525" priority="10010" operator="equal">
      <formula>"PTO"</formula>
    </cfRule>
  </conditionalFormatting>
  <conditionalFormatting sqref="B45">
    <cfRule type="duplicateValues" dxfId="36524" priority="10000"/>
  </conditionalFormatting>
  <conditionalFormatting sqref="B45">
    <cfRule type="duplicateValues" dxfId="36523" priority="9999"/>
  </conditionalFormatting>
  <conditionalFormatting sqref="B45">
    <cfRule type="duplicateValues" dxfId="36522" priority="9998"/>
  </conditionalFormatting>
  <conditionalFormatting sqref="X45">
    <cfRule type="cellIs" dxfId="36521" priority="9996" operator="equal">
      <formula>"OFF"</formula>
    </cfRule>
    <cfRule type="cellIs" dxfId="36520" priority="9997" operator="equal">
      <formula>"PTO"</formula>
    </cfRule>
  </conditionalFormatting>
  <conditionalFormatting sqref="X46">
    <cfRule type="cellIs" dxfId="36519" priority="9994" operator="equal">
      <formula>"OFF"</formula>
    </cfRule>
    <cfRule type="cellIs" dxfId="36518" priority="9995" operator="equal">
      <formula>"PTO"</formula>
    </cfRule>
  </conditionalFormatting>
  <conditionalFormatting sqref="B43:B56">
    <cfRule type="duplicateValues" dxfId="36517" priority="9993"/>
  </conditionalFormatting>
  <conditionalFormatting sqref="B45">
    <cfRule type="duplicateValues" dxfId="36516" priority="9992"/>
  </conditionalFormatting>
  <conditionalFormatting sqref="X45">
    <cfRule type="cellIs" dxfId="36515" priority="9990" operator="equal">
      <formula>"OFF"</formula>
    </cfRule>
    <cfRule type="cellIs" dxfId="36514" priority="9991" operator="equal">
      <formula>"PTO"</formula>
    </cfRule>
  </conditionalFormatting>
  <conditionalFormatting sqref="X45">
    <cfRule type="cellIs" dxfId="36513" priority="9988" operator="equal">
      <formula>"OFF"</formula>
    </cfRule>
    <cfRule type="cellIs" dxfId="36512" priority="9989" operator="equal">
      <formula>"PTO"</formula>
    </cfRule>
  </conditionalFormatting>
  <conditionalFormatting sqref="B45">
    <cfRule type="duplicateValues" dxfId="36511" priority="9987"/>
  </conditionalFormatting>
  <conditionalFormatting sqref="X45">
    <cfRule type="cellIs" dxfId="36510" priority="9985" operator="equal">
      <formula>"OFF"</formula>
    </cfRule>
    <cfRule type="cellIs" dxfId="36509" priority="9986" operator="equal">
      <formula>"PTO"</formula>
    </cfRule>
  </conditionalFormatting>
  <conditionalFormatting sqref="B45">
    <cfRule type="duplicateValues" dxfId="36508" priority="9984"/>
  </conditionalFormatting>
  <conditionalFormatting sqref="X45">
    <cfRule type="cellIs" dxfId="36507" priority="9980" operator="equal">
      <formula>"OFF"</formula>
    </cfRule>
    <cfRule type="cellIs" dxfId="36506" priority="9981" operator="equal">
      <formula>"PTO"</formula>
    </cfRule>
  </conditionalFormatting>
  <conditionalFormatting sqref="X46">
    <cfRule type="cellIs" dxfId="36505" priority="9978" operator="equal">
      <formula>"OFF"</formula>
    </cfRule>
    <cfRule type="cellIs" dxfId="36504" priority="9979" operator="equal">
      <formula>"PTO"</formula>
    </cfRule>
  </conditionalFormatting>
  <conditionalFormatting sqref="X46">
    <cfRule type="cellIs" dxfId="36503" priority="9976" operator="equal">
      <formula>"OFF"</formula>
    </cfRule>
    <cfRule type="cellIs" dxfId="36502" priority="9977" operator="equal">
      <formula>"PTO"</formula>
    </cfRule>
  </conditionalFormatting>
  <conditionalFormatting sqref="X46">
    <cfRule type="cellIs" dxfId="36501" priority="9974" operator="equal">
      <formula>"OFF"</formula>
    </cfRule>
    <cfRule type="cellIs" dxfId="36500" priority="9975" operator="equal">
      <formula>"PTO"</formula>
    </cfRule>
  </conditionalFormatting>
  <conditionalFormatting sqref="B45">
    <cfRule type="duplicateValues" dxfId="36499" priority="9973"/>
  </conditionalFormatting>
  <conditionalFormatting sqref="X45">
    <cfRule type="cellIs" dxfId="36498" priority="9971" operator="equal">
      <formula>"OFF"</formula>
    </cfRule>
    <cfRule type="cellIs" dxfId="36497" priority="9972" operator="equal">
      <formula>"PTO"</formula>
    </cfRule>
  </conditionalFormatting>
  <conditionalFormatting sqref="B43:B56">
    <cfRule type="duplicateValues" dxfId="36496" priority="9970"/>
  </conditionalFormatting>
  <conditionalFormatting sqref="B43:B56">
    <cfRule type="duplicateValues" dxfId="36495" priority="9969"/>
  </conditionalFormatting>
  <conditionalFormatting sqref="B43:B56">
    <cfRule type="duplicateValues" dxfId="36494" priority="9968"/>
  </conditionalFormatting>
  <conditionalFormatting sqref="B43:B56">
    <cfRule type="duplicateValues" dxfId="36493" priority="9961"/>
  </conditionalFormatting>
  <conditionalFormatting sqref="X46">
    <cfRule type="cellIs" dxfId="36492" priority="9959" operator="equal">
      <formula>"OFF"</formula>
    </cfRule>
    <cfRule type="cellIs" dxfId="36491" priority="9960" operator="equal">
      <formula>"PTO"</formula>
    </cfRule>
  </conditionalFormatting>
  <conditionalFormatting sqref="X46">
    <cfRule type="cellIs" dxfId="36490" priority="9957" operator="equal">
      <formula>"OFF"</formula>
    </cfRule>
    <cfRule type="cellIs" dxfId="36489" priority="9958" operator="equal">
      <formula>"PTO"</formula>
    </cfRule>
  </conditionalFormatting>
  <conditionalFormatting sqref="B43:B56">
    <cfRule type="duplicateValues" dxfId="36488" priority="9956"/>
  </conditionalFormatting>
  <conditionalFormatting sqref="X46">
    <cfRule type="cellIs" dxfId="36487" priority="9954" operator="equal">
      <formula>"OFF"</formula>
    </cfRule>
    <cfRule type="cellIs" dxfId="36486" priority="9955" operator="equal">
      <formula>"PTO"</formula>
    </cfRule>
  </conditionalFormatting>
  <conditionalFormatting sqref="B43:B56">
    <cfRule type="duplicateValues" dxfId="36485" priority="9953"/>
  </conditionalFormatting>
  <conditionalFormatting sqref="X45">
    <cfRule type="cellIs" dxfId="36484" priority="9951" operator="equal">
      <formula>"OFF"</formula>
    </cfRule>
    <cfRule type="cellIs" dxfId="36483" priority="9952" operator="equal">
      <formula>"PTO"</formula>
    </cfRule>
  </conditionalFormatting>
  <conditionalFormatting sqref="X45">
    <cfRule type="cellIs" dxfId="36482" priority="9949" operator="equal">
      <formula>"OFF"</formula>
    </cfRule>
    <cfRule type="cellIs" dxfId="36481" priority="9950" operator="equal">
      <formula>"PTO"</formula>
    </cfRule>
  </conditionalFormatting>
  <conditionalFormatting sqref="B45">
    <cfRule type="duplicateValues" dxfId="36480" priority="9940"/>
  </conditionalFormatting>
  <conditionalFormatting sqref="B45">
    <cfRule type="duplicateValues" dxfId="36479" priority="9939"/>
  </conditionalFormatting>
  <conditionalFormatting sqref="B45">
    <cfRule type="duplicateValues" dxfId="36478" priority="9938"/>
  </conditionalFormatting>
  <conditionalFormatting sqref="X46">
    <cfRule type="cellIs" dxfId="36477" priority="9936" operator="equal">
      <formula>"OFF"</formula>
    </cfRule>
    <cfRule type="cellIs" dxfId="36476" priority="9937" operator="equal">
      <formula>"PTO"</formula>
    </cfRule>
  </conditionalFormatting>
  <conditionalFormatting sqref="B43:B56">
    <cfRule type="duplicateValues" dxfId="36475" priority="9935"/>
  </conditionalFormatting>
  <conditionalFormatting sqref="B45">
    <cfRule type="duplicateValues" dxfId="36474" priority="9934"/>
  </conditionalFormatting>
  <conditionalFormatting sqref="X45">
    <cfRule type="cellIs" dxfId="36473" priority="9932" operator="equal">
      <formula>"OFF"</formula>
    </cfRule>
    <cfRule type="cellIs" dxfId="36472" priority="9933" operator="equal">
      <formula>"PTO"</formula>
    </cfRule>
  </conditionalFormatting>
  <conditionalFormatting sqref="X45">
    <cfRule type="cellIs" dxfId="36471" priority="9930" operator="equal">
      <formula>"OFF"</formula>
    </cfRule>
    <cfRule type="cellIs" dxfId="36470" priority="9931" operator="equal">
      <formula>"PTO"</formula>
    </cfRule>
  </conditionalFormatting>
  <conditionalFormatting sqref="B45">
    <cfRule type="duplicateValues" dxfId="36469" priority="9929"/>
  </conditionalFormatting>
  <conditionalFormatting sqref="X45">
    <cfRule type="cellIs" dxfId="36468" priority="9927" operator="equal">
      <formula>"OFF"</formula>
    </cfRule>
    <cfRule type="cellIs" dxfId="36467" priority="9928" operator="equal">
      <formula>"PTO"</formula>
    </cfRule>
  </conditionalFormatting>
  <conditionalFormatting sqref="B45">
    <cfRule type="duplicateValues" dxfId="36466" priority="9926"/>
  </conditionalFormatting>
  <conditionalFormatting sqref="X45">
    <cfRule type="cellIs" dxfId="36465" priority="9922" operator="equal">
      <formula>"OFF"</formula>
    </cfRule>
    <cfRule type="cellIs" dxfId="36464" priority="9923" operator="equal">
      <formula>"PTO"</formula>
    </cfRule>
  </conditionalFormatting>
  <conditionalFormatting sqref="B45">
    <cfRule type="duplicateValues" dxfId="36463" priority="9921"/>
  </conditionalFormatting>
  <conditionalFormatting sqref="B43:B56">
    <cfRule type="duplicateValues" dxfId="36462" priority="9920"/>
  </conditionalFormatting>
  <conditionalFormatting sqref="X46">
    <cfRule type="cellIs" dxfId="36461" priority="9918" operator="equal">
      <formula>"OFF"</formula>
    </cfRule>
    <cfRule type="cellIs" dxfId="36460" priority="9919" operator="equal">
      <formula>"PTO"</formula>
    </cfRule>
  </conditionalFormatting>
  <conditionalFormatting sqref="X46">
    <cfRule type="cellIs" dxfId="36459" priority="9916" operator="equal">
      <formula>"OFF"</formula>
    </cfRule>
    <cfRule type="cellIs" dxfId="36458" priority="9917" operator="equal">
      <formula>"PTO"</formula>
    </cfRule>
  </conditionalFormatting>
  <conditionalFormatting sqref="B43:B56">
    <cfRule type="duplicateValues" dxfId="36457" priority="9915"/>
  </conditionalFormatting>
  <conditionalFormatting sqref="X45">
    <cfRule type="cellIs" dxfId="36456" priority="9913" operator="equal">
      <formula>"OFF"</formula>
    </cfRule>
    <cfRule type="cellIs" dxfId="36455" priority="9914" operator="equal">
      <formula>"PTO"</formula>
    </cfRule>
  </conditionalFormatting>
  <conditionalFormatting sqref="X46">
    <cfRule type="cellIs" dxfId="36454" priority="9911" operator="equal">
      <formula>"OFF"</formula>
    </cfRule>
    <cfRule type="cellIs" dxfId="36453" priority="9912" operator="equal">
      <formula>"PTO"</formula>
    </cfRule>
  </conditionalFormatting>
  <conditionalFormatting sqref="B43:B56">
    <cfRule type="duplicateValues" dxfId="36452" priority="9910"/>
  </conditionalFormatting>
  <conditionalFormatting sqref="X45">
    <cfRule type="cellIs" dxfId="36451" priority="9908" operator="equal">
      <formula>"OFF"</formula>
    </cfRule>
    <cfRule type="cellIs" dxfId="36450" priority="9909" operator="equal">
      <formula>"PTO"</formula>
    </cfRule>
  </conditionalFormatting>
  <conditionalFormatting sqref="X45">
    <cfRule type="cellIs" dxfId="36449" priority="9906" operator="equal">
      <formula>"OFF"</formula>
    </cfRule>
    <cfRule type="cellIs" dxfId="36448" priority="9907" operator="equal">
      <formula>"PTO"</formula>
    </cfRule>
  </conditionalFormatting>
  <conditionalFormatting sqref="B45">
    <cfRule type="duplicateValues" dxfId="36447" priority="9897"/>
  </conditionalFormatting>
  <conditionalFormatting sqref="B45">
    <cfRule type="duplicateValues" dxfId="36446" priority="9896"/>
  </conditionalFormatting>
  <conditionalFormatting sqref="B45">
    <cfRule type="duplicateValues" dxfId="36445" priority="9895"/>
  </conditionalFormatting>
  <conditionalFormatting sqref="X46">
    <cfRule type="cellIs" dxfId="36444" priority="9893" operator="equal">
      <formula>"OFF"</formula>
    </cfRule>
    <cfRule type="cellIs" dxfId="36443" priority="9894" operator="equal">
      <formula>"PTO"</formula>
    </cfRule>
  </conditionalFormatting>
  <conditionalFormatting sqref="B43:B56">
    <cfRule type="duplicateValues" dxfId="36442" priority="9892"/>
  </conditionalFormatting>
  <conditionalFormatting sqref="B45">
    <cfRule type="duplicateValues" dxfId="36441" priority="9891"/>
  </conditionalFormatting>
  <conditionalFormatting sqref="X45">
    <cfRule type="cellIs" dxfId="36440" priority="9889" operator="equal">
      <formula>"OFF"</formula>
    </cfRule>
    <cfRule type="cellIs" dxfId="36439" priority="9890" operator="equal">
      <formula>"PTO"</formula>
    </cfRule>
  </conditionalFormatting>
  <conditionalFormatting sqref="X45">
    <cfRule type="cellIs" dxfId="36438" priority="9887" operator="equal">
      <formula>"OFF"</formula>
    </cfRule>
    <cfRule type="cellIs" dxfId="36437" priority="9888" operator="equal">
      <formula>"PTO"</formula>
    </cfRule>
  </conditionalFormatting>
  <conditionalFormatting sqref="B45">
    <cfRule type="duplicateValues" dxfId="36436" priority="9886"/>
  </conditionalFormatting>
  <conditionalFormatting sqref="X45">
    <cfRule type="cellIs" dxfId="36435" priority="9884" operator="equal">
      <formula>"OFF"</formula>
    </cfRule>
    <cfRule type="cellIs" dxfId="36434" priority="9885" operator="equal">
      <formula>"PTO"</formula>
    </cfRule>
  </conditionalFormatting>
  <conditionalFormatting sqref="B45">
    <cfRule type="duplicateValues" dxfId="36433" priority="9883"/>
  </conditionalFormatting>
  <conditionalFormatting sqref="X46">
    <cfRule type="cellIs" dxfId="36432" priority="9879" operator="equal">
      <formula>"OFF"</formula>
    </cfRule>
    <cfRule type="cellIs" dxfId="36431" priority="9880" operator="equal">
      <formula>"PTO"</formula>
    </cfRule>
  </conditionalFormatting>
  <conditionalFormatting sqref="B43:B56">
    <cfRule type="duplicateValues" dxfId="36430" priority="9878"/>
  </conditionalFormatting>
  <conditionalFormatting sqref="B45">
    <cfRule type="duplicateValues" dxfId="36429" priority="9877"/>
  </conditionalFormatting>
  <conditionalFormatting sqref="X45">
    <cfRule type="cellIs" dxfId="36428" priority="9875" operator="equal">
      <formula>"OFF"</formula>
    </cfRule>
    <cfRule type="cellIs" dxfId="36427" priority="9876" operator="equal">
      <formula>"PTO"</formula>
    </cfRule>
  </conditionalFormatting>
  <conditionalFormatting sqref="X45">
    <cfRule type="cellIs" dxfId="36426" priority="9873" operator="equal">
      <formula>"OFF"</formula>
    </cfRule>
    <cfRule type="cellIs" dxfId="36425" priority="9874" operator="equal">
      <formula>"PTO"</formula>
    </cfRule>
  </conditionalFormatting>
  <conditionalFormatting sqref="B45">
    <cfRule type="duplicateValues" dxfId="36424" priority="9872"/>
  </conditionalFormatting>
  <conditionalFormatting sqref="X45">
    <cfRule type="cellIs" dxfId="36423" priority="9870" operator="equal">
      <formula>"OFF"</formula>
    </cfRule>
    <cfRule type="cellIs" dxfId="36422" priority="9871" operator="equal">
      <formula>"PTO"</formula>
    </cfRule>
  </conditionalFormatting>
  <conditionalFormatting sqref="B45">
    <cfRule type="duplicateValues" dxfId="36421" priority="9869"/>
  </conditionalFormatting>
  <conditionalFormatting sqref="X45">
    <cfRule type="cellIs" dxfId="36420" priority="9865" operator="equal">
      <formula>"OFF"</formula>
    </cfRule>
    <cfRule type="cellIs" dxfId="36419" priority="9866" operator="equal">
      <formula>"PTO"</formula>
    </cfRule>
  </conditionalFormatting>
  <conditionalFormatting sqref="B45">
    <cfRule type="duplicateValues" dxfId="36418" priority="9864"/>
  </conditionalFormatting>
  <conditionalFormatting sqref="B43:B56">
    <cfRule type="duplicateValues" dxfId="36417" priority="9863"/>
  </conditionalFormatting>
  <conditionalFormatting sqref="X46">
    <cfRule type="cellIs" dxfId="36416" priority="9861" operator="equal">
      <formula>"OFF"</formula>
    </cfRule>
    <cfRule type="cellIs" dxfId="36415" priority="9862" operator="equal">
      <formula>"PTO"</formula>
    </cfRule>
  </conditionalFormatting>
  <conditionalFormatting sqref="X46">
    <cfRule type="cellIs" dxfId="36414" priority="9859" operator="equal">
      <formula>"OFF"</formula>
    </cfRule>
    <cfRule type="cellIs" dxfId="36413" priority="9860" operator="equal">
      <formula>"PTO"</formula>
    </cfRule>
  </conditionalFormatting>
  <conditionalFormatting sqref="B43:B56">
    <cfRule type="duplicateValues" dxfId="36412" priority="9858"/>
  </conditionalFormatting>
  <conditionalFormatting sqref="X45">
    <cfRule type="cellIs" dxfId="36411" priority="9856" operator="equal">
      <formula>"OFF"</formula>
    </cfRule>
    <cfRule type="cellIs" dxfId="36410" priority="9857" operator="equal">
      <formula>"PTO"</formula>
    </cfRule>
  </conditionalFormatting>
  <conditionalFormatting sqref="X46">
    <cfRule type="cellIs" dxfId="36409" priority="9854" operator="equal">
      <formula>"OFF"</formula>
    </cfRule>
    <cfRule type="cellIs" dxfId="36408" priority="9855" operator="equal">
      <formula>"PTO"</formula>
    </cfRule>
  </conditionalFormatting>
  <conditionalFormatting sqref="B43:B56">
    <cfRule type="duplicateValues" dxfId="36407" priority="9853"/>
  </conditionalFormatting>
  <conditionalFormatting sqref="X45">
    <cfRule type="cellIs" dxfId="36406" priority="9851" operator="equal">
      <formula>"OFF"</formula>
    </cfRule>
    <cfRule type="cellIs" dxfId="36405" priority="9852" operator="equal">
      <formula>"PTO"</formula>
    </cfRule>
  </conditionalFormatting>
  <conditionalFormatting sqref="X45">
    <cfRule type="cellIs" dxfId="36404" priority="9849" operator="equal">
      <formula>"OFF"</formula>
    </cfRule>
    <cfRule type="cellIs" dxfId="36403" priority="9850" operator="equal">
      <formula>"PTO"</formula>
    </cfRule>
  </conditionalFormatting>
  <conditionalFormatting sqref="B45">
    <cfRule type="duplicateValues" dxfId="36402" priority="9840"/>
  </conditionalFormatting>
  <conditionalFormatting sqref="B45">
    <cfRule type="duplicateValues" dxfId="36401" priority="9839"/>
  </conditionalFormatting>
  <conditionalFormatting sqref="B45">
    <cfRule type="duplicateValues" dxfId="36400" priority="9838"/>
  </conditionalFormatting>
  <conditionalFormatting sqref="X46">
    <cfRule type="cellIs" dxfId="36399" priority="9836" operator="equal">
      <formula>"OFF"</formula>
    </cfRule>
    <cfRule type="cellIs" dxfId="36398" priority="9837" operator="equal">
      <formula>"PTO"</formula>
    </cfRule>
  </conditionalFormatting>
  <conditionalFormatting sqref="B43:B56">
    <cfRule type="duplicateValues" dxfId="36397" priority="9835"/>
  </conditionalFormatting>
  <conditionalFormatting sqref="B45">
    <cfRule type="duplicateValues" dxfId="36396" priority="9834"/>
  </conditionalFormatting>
  <conditionalFormatting sqref="X45">
    <cfRule type="cellIs" dxfId="36395" priority="9832" operator="equal">
      <formula>"OFF"</formula>
    </cfRule>
    <cfRule type="cellIs" dxfId="36394" priority="9833" operator="equal">
      <formula>"PTO"</formula>
    </cfRule>
  </conditionalFormatting>
  <conditionalFormatting sqref="X45">
    <cfRule type="cellIs" dxfId="36393" priority="9830" operator="equal">
      <formula>"OFF"</formula>
    </cfRule>
    <cfRule type="cellIs" dxfId="36392" priority="9831" operator="equal">
      <formula>"PTO"</formula>
    </cfRule>
  </conditionalFormatting>
  <conditionalFormatting sqref="B45">
    <cfRule type="duplicateValues" dxfId="36391" priority="9829"/>
  </conditionalFormatting>
  <conditionalFormatting sqref="X45">
    <cfRule type="cellIs" dxfId="36390" priority="9827" operator="equal">
      <formula>"OFF"</formula>
    </cfRule>
    <cfRule type="cellIs" dxfId="36389" priority="9828" operator="equal">
      <formula>"PTO"</formula>
    </cfRule>
  </conditionalFormatting>
  <conditionalFormatting sqref="B45">
    <cfRule type="duplicateValues" dxfId="36388" priority="9826"/>
  </conditionalFormatting>
  <conditionalFormatting sqref="X45">
    <cfRule type="cellIs" dxfId="36387" priority="9822" operator="equal">
      <formula>"OFF"</formula>
    </cfRule>
    <cfRule type="cellIs" dxfId="36386" priority="9823" operator="equal">
      <formula>"PTO"</formula>
    </cfRule>
  </conditionalFormatting>
  <conditionalFormatting sqref="B45">
    <cfRule type="duplicateValues" dxfId="36385" priority="9821"/>
  </conditionalFormatting>
  <conditionalFormatting sqref="X46">
    <cfRule type="cellIs" dxfId="36384" priority="9819" operator="equal">
      <formula>"OFF"</formula>
    </cfRule>
    <cfRule type="cellIs" dxfId="36383" priority="9820" operator="equal">
      <formula>"PTO"</formula>
    </cfRule>
  </conditionalFormatting>
  <conditionalFormatting sqref="B43:B56">
    <cfRule type="duplicateValues" dxfId="36382" priority="9818"/>
  </conditionalFormatting>
  <conditionalFormatting sqref="B45">
    <cfRule type="duplicateValues" dxfId="36381" priority="9817"/>
  </conditionalFormatting>
  <conditionalFormatting sqref="X45">
    <cfRule type="cellIs" dxfId="36380" priority="9815" operator="equal">
      <formula>"OFF"</formula>
    </cfRule>
    <cfRule type="cellIs" dxfId="36379" priority="9816" operator="equal">
      <formula>"PTO"</formula>
    </cfRule>
  </conditionalFormatting>
  <conditionalFormatting sqref="X45">
    <cfRule type="cellIs" dxfId="36378" priority="9813" operator="equal">
      <formula>"OFF"</formula>
    </cfRule>
    <cfRule type="cellIs" dxfId="36377" priority="9814" operator="equal">
      <formula>"PTO"</formula>
    </cfRule>
  </conditionalFormatting>
  <conditionalFormatting sqref="B45">
    <cfRule type="duplicateValues" dxfId="36376" priority="9812"/>
  </conditionalFormatting>
  <conditionalFormatting sqref="X45">
    <cfRule type="cellIs" dxfId="36375" priority="9810" operator="equal">
      <formula>"OFF"</formula>
    </cfRule>
    <cfRule type="cellIs" dxfId="36374" priority="9811" operator="equal">
      <formula>"PTO"</formula>
    </cfRule>
  </conditionalFormatting>
  <conditionalFormatting sqref="B45">
    <cfRule type="duplicateValues" dxfId="36373" priority="9809"/>
  </conditionalFormatting>
  <conditionalFormatting sqref="B45">
    <cfRule type="duplicateValues" dxfId="36372" priority="9806"/>
  </conditionalFormatting>
  <conditionalFormatting sqref="B43:B56">
    <cfRule type="duplicateValues" dxfId="36371" priority="9765"/>
  </conditionalFormatting>
  <conditionalFormatting sqref="B43:B56">
    <cfRule type="duplicateValues" dxfId="36370" priority="9764"/>
  </conditionalFormatting>
  <conditionalFormatting sqref="X45">
    <cfRule type="cellIs" dxfId="36369" priority="9760" operator="equal">
      <formula>"OFF"</formula>
    </cfRule>
    <cfRule type="cellIs" dxfId="36368" priority="9761" operator="equal">
      <formula>"PTO"</formula>
    </cfRule>
  </conditionalFormatting>
  <conditionalFormatting sqref="B45">
    <cfRule type="duplicateValues" dxfId="36367" priority="9759"/>
  </conditionalFormatting>
  <conditionalFormatting sqref="B43:B56">
    <cfRule type="duplicateValues" dxfId="36366" priority="9756"/>
  </conditionalFormatting>
  <conditionalFormatting sqref="B43:B56">
    <cfRule type="duplicateValues" dxfId="36365" priority="9755"/>
  </conditionalFormatting>
  <conditionalFormatting sqref="X48">
    <cfRule type="cellIs" dxfId="36364" priority="9237" operator="equal">
      <formula>"OFF"</formula>
    </cfRule>
    <cfRule type="cellIs" dxfId="36363" priority="9238" operator="equal">
      <formula>"PTO"</formula>
    </cfRule>
  </conditionalFormatting>
  <conditionalFormatting sqref="B48">
    <cfRule type="duplicateValues" dxfId="36362" priority="9236"/>
  </conditionalFormatting>
  <conditionalFormatting sqref="B47">
    <cfRule type="duplicateValues" dxfId="36361" priority="9235"/>
  </conditionalFormatting>
  <conditionalFormatting sqref="X47">
    <cfRule type="cellIs" dxfId="36360" priority="9233" operator="equal">
      <formula>"OFF"</formula>
    </cfRule>
    <cfRule type="cellIs" dxfId="36359" priority="9234" operator="equal">
      <formula>"PTO"</formula>
    </cfRule>
  </conditionalFormatting>
  <conditionalFormatting sqref="X47">
    <cfRule type="cellIs" dxfId="36358" priority="9231" operator="equal">
      <formula>"OFF"</formula>
    </cfRule>
    <cfRule type="cellIs" dxfId="36357" priority="9232" operator="equal">
      <formula>"PTO"</formula>
    </cfRule>
  </conditionalFormatting>
  <conditionalFormatting sqref="B47">
    <cfRule type="duplicateValues" dxfId="36356" priority="9230"/>
  </conditionalFormatting>
  <conditionalFormatting sqref="X47">
    <cfRule type="cellIs" dxfId="36355" priority="9228" operator="equal">
      <formula>"OFF"</formula>
    </cfRule>
    <cfRule type="cellIs" dxfId="36354" priority="9229" operator="equal">
      <formula>"PTO"</formula>
    </cfRule>
  </conditionalFormatting>
  <conditionalFormatting sqref="B47">
    <cfRule type="duplicateValues" dxfId="36353" priority="9227"/>
  </conditionalFormatting>
  <conditionalFormatting sqref="X47">
    <cfRule type="cellIs" dxfId="36352" priority="9217" operator="equal">
      <formula>"OFF"</formula>
    </cfRule>
    <cfRule type="cellIs" dxfId="36351" priority="9218" operator="equal">
      <formula>"PTO"</formula>
    </cfRule>
  </conditionalFormatting>
  <conditionalFormatting sqref="B47">
    <cfRule type="duplicateValues" dxfId="36350" priority="9216"/>
  </conditionalFormatting>
  <conditionalFormatting sqref="B48">
    <cfRule type="duplicateValues" dxfId="36349" priority="9213"/>
  </conditionalFormatting>
  <conditionalFormatting sqref="X48">
    <cfRule type="cellIs" dxfId="36348" priority="9211" operator="equal">
      <formula>"OFF"</formula>
    </cfRule>
    <cfRule type="cellIs" dxfId="36347" priority="9212" operator="equal">
      <formula>"PTO"</formula>
    </cfRule>
  </conditionalFormatting>
  <conditionalFormatting sqref="X48">
    <cfRule type="cellIs" dxfId="36346" priority="9209" operator="equal">
      <formula>"OFF"</formula>
    </cfRule>
    <cfRule type="cellIs" dxfId="36345" priority="9210" operator="equal">
      <formula>"PTO"</formula>
    </cfRule>
  </conditionalFormatting>
  <conditionalFormatting sqref="B48">
    <cfRule type="duplicateValues" dxfId="36344" priority="9208"/>
  </conditionalFormatting>
  <conditionalFormatting sqref="X47">
    <cfRule type="cellIs" dxfId="36343" priority="9206" operator="equal">
      <formula>"OFF"</formula>
    </cfRule>
    <cfRule type="cellIs" dxfId="36342" priority="9207" operator="equal">
      <formula>"PTO"</formula>
    </cfRule>
  </conditionalFormatting>
  <conditionalFormatting sqref="X48">
    <cfRule type="cellIs" dxfId="36341" priority="9204" operator="equal">
      <formula>"OFF"</formula>
    </cfRule>
    <cfRule type="cellIs" dxfId="36340" priority="9205" operator="equal">
      <formula>"PTO"</formula>
    </cfRule>
  </conditionalFormatting>
  <conditionalFormatting sqref="B48">
    <cfRule type="duplicateValues" dxfId="36339" priority="9203"/>
  </conditionalFormatting>
  <conditionalFormatting sqref="X47">
    <cfRule type="cellIs" dxfId="36338" priority="9201" operator="equal">
      <formula>"OFF"</formula>
    </cfRule>
    <cfRule type="cellIs" dxfId="36337" priority="9202" operator="equal">
      <formula>"PTO"</formula>
    </cfRule>
  </conditionalFormatting>
  <conditionalFormatting sqref="X47">
    <cfRule type="cellIs" dxfId="36336" priority="9199" operator="equal">
      <formula>"OFF"</formula>
    </cfRule>
    <cfRule type="cellIs" dxfId="36335" priority="9200" operator="equal">
      <formula>"PTO"</formula>
    </cfRule>
  </conditionalFormatting>
  <conditionalFormatting sqref="B47">
    <cfRule type="duplicateValues" dxfId="36334" priority="9198"/>
  </conditionalFormatting>
  <conditionalFormatting sqref="B47">
    <cfRule type="duplicateValues" dxfId="36333" priority="9197"/>
  </conditionalFormatting>
  <conditionalFormatting sqref="B47">
    <cfRule type="duplicateValues" dxfId="36332" priority="9196"/>
  </conditionalFormatting>
  <conditionalFormatting sqref="X48">
    <cfRule type="cellIs" dxfId="36331" priority="9188" operator="equal">
      <formula>"OFF"</formula>
    </cfRule>
    <cfRule type="cellIs" dxfId="36330" priority="9189" operator="equal">
      <formula>"PTO"</formula>
    </cfRule>
  </conditionalFormatting>
  <conditionalFormatting sqref="B48">
    <cfRule type="duplicateValues" dxfId="36329" priority="9187"/>
  </conditionalFormatting>
  <conditionalFormatting sqref="B47">
    <cfRule type="duplicateValues" dxfId="36328" priority="9186"/>
  </conditionalFormatting>
  <conditionalFormatting sqref="X47">
    <cfRule type="cellIs" dxfId="36327" priority="9184" operator="equal">
      <formula>"OFF"</formula>
    </cfRule>
    <cfRule type="cellIs" dxfId="36326" priority="9185" operator="equal">
      <formula>"PTO"</formula>
    </cfRule>
  </conditionalFormatting>
  <conditionalFormatting sqref="X47">
    <cfRule type="cellIs" dxfId="36325" priority="9182" operator="equal">
      <formula>"OFF"</formula>
    </cfRule>
    <cfRule type="cellIs" dxfId="36324" priority="9183" operator="equal">
      <formula>"PTO"</formula>
    </cfRule>
  </conditionalFormatting>
  <conditionalFormatting sqref="B47">
    <cfRule type="duplicateValues" dxfId="36323" priority="9181"/>
  </conditionalFormatting>
  <conditionalFormatting sqref="X47">
    <cfRule type="cellIs" dxfId="36322" priority="9179" operator="equal">
      <formula>"OFF"</formula>
    </cfRule>
    <cfRule type="cellIs" dxfId="36321" priority="9180" operator="equal">
      <formula>"PTO"</formula>
    </cfRule>
  </conditionalFormatting>
  <conditionalFormatting sqref="B47">
    <cfRule type="duplicateValues" dxfId="36320" priority="9178"/>
  </conditionalFormatting>
  <conditionalFormatting sqref="X47">
    <cfRule type="cellIs" dxfId="36319" priority="9168" operator="equal">
      <formula>"OFF"</formula>
    </cfRule>
    <cfRule type="cellIs" dxfId="36318" priority="9169" operator="equal">
      <formula>"PTO"</formula>
    </cfRule>
  </conditionalFormatting>
  <conditionalFormatting sqref="B47">
    <cfRule type="duplicateValues" dxfId="36317" priority="9167"/>
  </conditionalFormatting>
  <conditionalFormatting sqref="X48">
    <cfRule type="cellIs" dxfId="36316" priority="9163" operator="equal">
      <formula>"OFF"</formula>
    </cfRule>
    <cfRule type="cellIs" dxfId="36315" priority="9164" operator="equal">
      <formula>"PTO"</formula>
    </cfRule>
  </conditionalFormatting>
  <conditionalFormatting sqref="B48">
    <cfRule type="duplicateValues" dxfId="36314" priority="9162"/>
  </conditionalFormatting>
  <conditionalFormatting sqref="B47">
    <cfRule type="duplicateValues" dxfId="36313" priority="9161"/>
  </conditionalFormatting>
  <conditionalFormatting sqref="X47">
    <cfRule type="cellIs" dxfId="36312" priority="9159" operator="equal">
      <formula>"OFF"</formula>
    </cfRule>
    <cfRule type="cellIs" dxfId="36311" priority="9160" operator="equal">
      <formula>"PTO"</formula>
    </cfRule>
  </conditionalFormatting>
  <conditionalFormatting sqref="X47">
    <cfRule type="cellIs" dxfId="36310" priority="9157" operator="equal">
      <formula>"OFF"</formula>
    </cfRule>
    <cfRule type="cellIs" dxfId="36309" priority="9158" operator="equal">
      <formula>"PTO"</formula>
    </cfRule>
  </conditionalFormatting>
  <conditionalFormatting sqref="B47">
    <cfRule type="duplicateValues" dxfId="36308" priority="9156"/>
  </conditionalFormatting>
  <conditionalFormatting sqref="X47">
    <cfRule type="cellIs" dxfId="36307" priority="9154" operator="equal">
      <formula>"OFF"</formula>
    </cfRule>
    <cfRule type="cellIs" dxfId="36306" priority="9155" operator="equal">
      <formula>"PTO"</formula>
    </cfRule>
  </conditionalFormatting>
  <conditionalFormatting sqref="B47">
    <cfRule type="duplicateValues" dxfId="36305" priority="9153"/>
  </conditionalFormatting>
  <conditionalFormatting sqref="X47">
    <cfRule type="cellIs" dxfId="36304" priority="9143" operator="equal">
      <formula>"OFF"</formula>
    </cfRule>
    <cfRule type="cellIs" dxfId="36303" priority="9144" operator="equal">
      <formula>"PTO"</formula>
    </cfRule>
  </conditionalFormatting>
  <conditionalFormatting sqref="B47">
    <cfRule type="duplicateValues" dxfId="36302" priority="9142"/>
  </conditionalFormatting>
  <conditionalFormatting sqref="X47">
    <cfRule type="cellIs" dxfId="36301" priority="9138" operator="equal">
      <formula>"OFF"</formula>
    </cfRule>
    <cfRule type="cellIs" dxfId="36300" priority="9139" operator="equal">
      <formula>"PTO"</formula>
    </cfRule>
  </conditionalFormatting>
  <conditionalFormatting sqref="B47">
    <cfRule type="duplicateValues" dxfId="36299" priority="9137"/>
  </conditionalFormatting>
  <conditionalFormatting sqref="X48">
    <cfRule type="cellIs" dxfId="36298" priority="9133" operator="equal">
      <formula>"OFF"</formula>
    </cfRule>
    <cfRule type="cellIs" dxfId="36297" priority="9134" operator="equal">
      <formula>"PTO"</formula>
    </cfRule>
  </conditionalFormatting>
  <conditionalFormatting sqref="B48">
    <cfRule type="duplicateValues" dxfId="36296" priority="9132"/>
  </conditionalFormatting>
  <conditionalFormatting sqref="B47">
    <cfRule type="duplicateValues" dxfId="36295" priority="9131"/>
  </conditionalFormatting>
  <conditionalFormatting sqref="X47">
    <cfRule type="cellIs" dxfId="36294" priority="9129" operator="equal">
      <formula>"OFF"</formula>
    </cfRule>
    <cfRule type="cellIs" dxfId="36293" priority="9130" operator="equal">
      <formula>"PTO"</formula>
    </cfRule>
  </conditionalFormatting>
  <conditionalFormatting sqref="X47">
    <cfRule type="cellIs" dxfId="36292" priority="9127" operator="equal">
      <formula>"OFF"</formula>
    </cfRule>
    <cfRule type="cellIs" dxfId="36291" priority="9128" operator="equal">
      <formula>"PTO"</formula>
    </cfRule>
  </conditionalFormatting>
  <conditionalFormatting sqref="B47">
    <cfRule type="duplicateValues" dxfId="36290" priority="9126"/>
  </conditionalFormatting>
  <conditionalFormatting sqref="X47">
    <cfRule type="cellIs" dxfId="36289" priority="9124" operator="equal">
      <formula>"OFF"</formula>
    </cfRule>
    <cfRule type="cellIs" dxfId="36288" priority="9125" operator="equal">
      <formula>"PTO"</formula>
    </cfRule>
  </conditionalFormatting>
  <conditionalFormatting sqref="B47">
    <cfRule type="duplicateValues" dxfId="36287" priority="9123"/>
  </conditionalFormatting>
  <conditionalFormatting sqref="X47">
    <cfRule type="cellIs" dxfId="36286" priority="9113" operator="equal">
      <formula>"OFF"</formula>
    </cfRule>
    <cfRule type="cellIs" dxfId="36285" priority="9114" operator="equal">
      <formula>"PTO"</formula>
    </cfRule>
  </conditionalFormatting>
  <conditionalFormatting sqref="B47">
    <cfRule type="duplicateValues" dxfId="36284" priority="9112"/>
  </conditionalFormatting>
  <conditionalFormatting sqref="X47">
    <cfRule type="cellIs" dxfId="36283" priority="9108" operator="equal">
      <formula>"OFF"</formula>
    </cfRule>
    <cfRule type="cellIs" dxfId="36282" priority="9109" operator="equal">
      <formula>"PTO"</formula>
    </cfRule>
  </conditionalFormatting>
  <conditionalFormatting sqref="B47">
    <cfRule type="duplicateValues" dxfId="36281" priority="9107"/>
  </conditionalFormatting>
  <conditionalFormatting sqref="B47">
    <cfRule type="duplicateValues" dxfId="36280" priority="9086"/>
  </conditionalFormatting>
  <conditionalFormatting sqref="B47">
    <cfRule type="duplicateValues" dxfId="36279" priority="9085"/>
  </conditionalFormatting>
  <conditionalFormatting sqref="X47">
    <cfRule type="cellIs" dxfId="36278" priority="9083" operator="equal">
      <formula>"OFF"</formula>
    </cfRule>
    <cfRule type="cellIs" dxfId="36277" priority="9084" operator="equal">
      <formula>"PTO"</formula>
    </cfRule>
  </conditionalFormatting>
  <conditionalFormatting sqref="B47">
    <cfRule type="duplicateValues" dxfId="36276" priority="9082"/>
  </conditionalFormatting>
  <conditionalFormatting sqref="X48">
    <cfRule type="cellIs" dxfId="36275" priority="9080" operator="equal">
      <formula>"OFF"</formula>
    </cfRule>
    <cfRule type="cellIs" dxfId="36274" priority="9081" operator="equal">
      <formula>"PTO"</formula>
    </cfRule>
  </conditionalFormatting>
  <conditionalFormatting sqref="B48">
    <cfRule type="duplicateValues" dxfId="36273" priority="9079"/>
  </conditionalFormatting>
  <conditionalFormatting sqref="B47">
    <cfRule type="duplicateValues" dxfId="36272" priority="9078"/>
  </conditionalFormatting>
  <conditionalFormatting sqref="X47">
    <cfRule type="cellIs" dxfId="36271" priority="9076" operator="equal">
      <formula>"OFF"</formula>
    </cfRule>
    <cfRule type="cellIs" dxfId="36270" priority="9077" operator="equal">
      <formula>"PTO"</formula>
    </cfRule>
  </conditionalFormatting>
  <conditionalFormatting sqref="X47">
    <cfRule type="cellIs" dxfId="36269" priority="9074" operator="equal">
      <formula>"OFF"</formula>
    </cfRule>
    <cfRule type="cellIs" dxfId="36268" priority="9075" operator="equal">
      <formula>"PTO"</formula>
    </cfRule>
  </conditionalFormatting>
  <conditionalFormatting sqref="B47">
    <cfRule type="duplicateValues" dxfId="36267" priority="9073"/>
  </conditionalFormatting>
  <conditionalFormatting sqref="X47">
    <cfRule type="cellIs" dxfId="36266" priority="9071" operator="equal">
      <formula>"OFF"</formula>
    </cfRule>
    <cfRule type="cellIs" dxfId="36265" priority="9072" operator="equal">
      <formula>"PTO"</formula>
    </cfRule>
  </conditionalFormatting>
  <conditionalFormatting sqref="B47">
    <cfRule type="duplicateValues" dxfId="36264" priority="9070"/>
  </conditionalFormatting>
  <conditionalFormatting sqref="X47">
    <cfRule type="cellIs" dxfId="36263" priority="9066" operator="equal">
      <formula>"OFF"</formula>
    </cfRule>
    <cfRule type="cellIs" dxfId="36262" priority="9067" operator="equal">
      <formula>"PTO"</formula>
    </cfRule>
  </conditionalFormatting>
  <conditionalFormatting sqref="B47">
    <cfRule type="duplicateValues" dxfId="36261" priority="9065"/>
  </conditionalFormatting>
  <conditionalFormatting sqref="X47">
    <cfRule type="cellIs" dxfId="36260" priority="9063" operator="equal">
      <formula>"OFF"</formula>
    </cfRule>
    <cfRule type="cellIs" dxfId="36259" priority="9064" operator="equal">
      <formula>"PTO"</formula>
    </cfRule>
  </conditionalFormatting>
  <conditionalFormatting sqref="B47">
    <cfRule type="duplicateValues" dxfId="36258" priority="9062"/>
  </conditionalFormatting>
  <conditionalFormatting sqref="X47">
    <cfRule type="cellIs" dxfId="36257" priority="9060" operator="equal">
      <formula>"OFF"</formula>
    </cfRule>
    <cfRule type="cellIs" dxfId="36256" priority="9061" operator="equal">
      <formula>"PTO"</formula>
    </cfRule>
  </conditionalFormatting>
  <conditionalFormatting sqref="B47">
    <cfRule type="duplicateValues" dxfId="36255" priority="9059"/>
  </conditionalFormatting>
  <conditionalFormatting sqref="X49">
    <cfRule type="cellIs" dxfId="36254" priority="8775" operator="equal">
      <formula>"OFF"</formula>
    </cfRule>
    <cfRule type="cellIs" dxfId="36253" priority="8776" operator="equal">
      <formula>"PTO"</formula>
    </cfRule>
  </conditionalFormatting>
  <conditionalFormatting sqref="B49">
    <cfRule type="duplicateValues" dxfId="36252" priority="8774"/>
  </conditionalFormatting>
  <conditionalFormatting sqref="B50">
    <cfRule type="duplicateValues" dxfId="36251" priority="8771"/>
  </conditionalFormatting>
  <conditionalFormatting sqref="B50">
    <cfRule type="duplicateValues" dxfId="36250" priority="8770"/>
  </conditionalFormatting>
  <conditionalFormatting sqref="X50">
    <cfRule type="cellIs" dxfId="36249" priority="8768" operator="equal">
      <formula>"OFF"</formula>
    </cfRule>
    <cfRule type="cellIs" dxfId="36248" priority="8769" operator="equal">
      <formula>"PTO"</formula>
    </cfRule>
  </conditionalFormatting>
  <conditionalFormatting sqref="B50">
    <cfRule type="duplicateValues" dxfId="36247" priority="8767"/>
  </conditionalFormatting>
  <conditionalFormatting sqref="B50">
    <cfRule type="duplicateValues" dxfId="36246" priority="8766"/>
  </conditionalFormatting>
  <conditionalFormatting sqref="B49">
    <cfRule type="duplicateValues" dxfId="36245" priority="8765"/>
  </conditionalFormatting>
  <conditionalFormatting sqref="B49">
    <cfRule type="duplicateValues" dxfId="36244" priority="8764"/>
  </conditionalFormatting>
  <conditionalFormatting sqref="B49">
    <cfRule type="duplicateValues" dxfId="36243" priority="8763"/>
  </conditionalFormatting>
  <conditionalFormatting sqref="X52">
    <cfRule type="cellIs" dxfId="36242" priority="8755" operator="equal">
      <formula>"OFF"</formula>
    </cfRule>
    <cfRule type="cellIs" dxfId="36241" priority="8756" operator="equal">
      <formula>"PTO"</formula>
    </cfRule>
  </conditionalFormatting>
  <conditionalFormatting sqref="B52">
    <cfRule type="duplicateValues" dxfId="36240" priority="8754"/>
  </conditionalFormatting>
  <conditionalFormatting sqref="B52">
    <cfRule type="duplicateValues" dxfId="36239" priority="8753"/>
  </conditionalFormatting>
  <conditionalFormatting sqref="X53">
    <cfRule type="cellIs" dxfId="36238" priority="8751" operator="equal">
      <formula>"OFF"</formula>
    </cfRule>
    <cfRule type="cellIs" dxfId="36237" priority="8752" operator="equal">
      <formula>"PTO"</formula>
    </cfRule>
  </conditionalFormatting>
  <conditionalFormatting sqref="B53">
    <cfRule type="duplicateValues" dxfId="36236" priority="8750"/>
  </conditionalFormatting>
  <conditionalFormatting sqref="B53">
    <cfRule type="duplicateValues" dxfId="36235" priority="8749"/>
  </conditionalFormatting>
  <conditionalFormatting sqref="B53">
    <cfRule type="duplicateValues" dxfId="36234" priority="8748"/>
  </conditionalFormatting>
  <conditionalFormatting sqref="B53">
    <cfRule type="duplicateValues" dxfId="36233" priority="8747"/>
  </conditionalFormatting>
  <conditionalFormatting sqref="X54:X127">
    <cfRule type="cellIs" dxfId="36232" priority="8745" operator="equal">
      <formula>"OFF"</formula>
    </cfRule>
    <cfRule type="cellIs" dxfId="36231" priority="8746" operator="equal">
      <formula>"PTO"</formula>
    </cfRule>
  </conditionalFormatting>
  <conditionalFormatting sqref="X54:X127">
    <cfRule type="cellIs" dxfId="36230" priority="8743" operator="equal">
      <formula>"OFF"</formula>
    </cfRule>
    <cfRule type="cellIs" dxfId="36229" priority="8744" operator="equal">
      <formula>"PTO"</formula>
    </cfRule>
  </conditionalFormatting>
  <conditionalFormatting sqref="X54:X127">
    <cfRule type="cellIs" dxfId="36228" priority="8741" operator="equal">
      <formula>"OFF"</formula>
    </cfRule>
    <cfRule type="cellIs" dxfId="36227" priority="8742" operator="equal">
      <formula>"PTO"</formula>
    </cfRule>
  </conditionalFormatting>
  <conditionalFormatting sqref="X54:X127">
    <cfRule type="cellIs" dxfId="36226" priority="8739" operator="equal">
      <formula>"OFF"</formula>
    </cfRule>
    <cfRule type="cellIs" dxfId="36225" priority="8740" operator="equal">
      <formula>"PTO"</formula>
    </cfRule>
  </conditionalFormatting>
  <conditionalFormatting sqref="B54">
    <cfRule type="duplicateValues" dxfId="36224" priority="8732"/>
  </conditionalFormatting>
  <conditionalFormatting sqref="B54">
    <cfRule type="duplicateValues" dxfId="36223" priority="8651"/>
  </conditionalFormatting>
  <conditionalFormatting sqref="B54">
    <cfRule type="duplicateValues" dxfId="36222" priority="8508"/>
  </conditionalFormatting>
  <conditionalFormatting sqref="B32">
    <cfRule type="duplicateValues" dxfId="36221" priority="6653"/>
  </conditionalFormatting>
  <conditionalFormatting sqref="T32:W32">
    <cfRule type="cellIs" dxfId="36220" priority="6651" operator="equal">
      <formula>"OFF"</formula>
    </cfRule>
    <cfRule type="cellIs" dxfId="36219" priority="6652" operator="equal">
      <formula>"PTO"</formula>
    </cfRule>
  </conditionalFormatting>
  <conditionalFormatting sqref="T32:W32">
    <cfRule type="cellIs" dxfId="36218" priority="6649" operator="equal">
      <formula>"OFF"</formula>
    </cfRule>
    <cfRule type="cellIs" dxfId="36217" priority="6650" operator="equal">
      <formula>"PTO"</formula>
    </cfRule>
  </conditionalFormatting>
  <conditionalFormatting sqref="B32">
    <cfRule type="duplicateValues" dxfId="36216" priority="6648"/>
  </conditionalFormatting>
  <conditionalFormatting sqref="B32">
    <cfRule type="duplicateValues" dxfId="36215" priority="6647"/>
  </conditionalFormatting>
  <conditionalFormatting sqref="W32">
    <cfRule type="cellIs" dxfId="36214" priority="6645" operator="equal">
      <formula>"OFF"</formula>
    </cfRule>
    <cfRule type="cellIs" dxfId="36213" priority="6646" operator="equal">
      <formula>"PTO"</formula>
    </cfRule>
  </conditionalFormatting>
  <conditionalFormatting sqref="T32">
    <cfRule type="cellIs" dxfId="36212" priority="6643" operator="equal">
      <formula>"OFF"</formula>
    </cfRule>
    <cfRule type="cellIs" dxfId="36211" priority="6644" operator="equal">
      <formula>"PTO"</formula>
    </cfRule>
  </conditionalFormatting>
  <conditionalFormatting sqref="T32">
    <cfRule type="cellIs" dxfId="36210" priority="6641" operator="equal">
      <formula>"OFF"</formula>
    </cfRule>
    <cfRule type="cellIs" dxfId="36209" priority="6642" operator="equal">
      <formula>"PTO"</formula>
    </cfRule>
  </conditionalFormatting>
  <conditionalFormatting sqref="U32">
    <cfRule type="cellIs" dxfId="36208" priority="6639" operator="equal">
      <formula>"OFF"</formula>
    </cfRule>
    <cfRule type="cellIs" dxfId="36207" priority="6640" operator="equal">
      <formula>"PTO"</formula>
    </cfRule>
  </conditionalFormatting>
  <conditionalFormatting sqref="U32">
    <cfRule type="cellIs" dxfId="36206" priority="6637" operator="equal">
      <formula>"OFF"</formula>
    </cfRule>
    <cfRule type="cellIs" dxfId="36205" priority="6638" operator="equal">
      <formula>"PTO"</formula>
    </cfRule>
  </conditionalFormatting>
  <conditionalFormatting sqref="V32">
    <cfRule type="cellIs" dxfId="36204" priority="6635" operator="equal">
      <formula>"OFF"</formula>
    </cfRule>
    <cfRule type="cellIs" dxfId="36203" priority="6636" operator="equal">
      <formula>"PTO"</formula>
    </cfRule>
  </conditionalFormatting>
  <conditionalFormatting sqref="V32">
    <cfRule type="cellIs" dxfId="36202" priority="6633" operator="equal">
      <formula>"OFF"</formula>
    </cfRule>
    <cfRule type="cellIs" dxfId="36201" priority="6634" operator="equal">
      <formula>"PTO"</formula>
    </cfRule>
  </conditionalFormatting>
  <conditionalFormatting sqref="W32">
    <cfRule type="cellIs" dxfId="36200" priority="6631" operator="equal">
      <formula>"OFF"</formula>
    </cfRule>
    <cfRule type="cellIs" dxfId="36199" priority="6632" operator="equal">
      <formula>"PTO"</formula>
    </cfRule>
  </conditionalFormatting>
  <conditionalFormatting sqref="T32">
    <cfRule type="cellIs" dxfId="36198" priority="6629" operator="equal">
      <formula>"OFF"</formula>
    </cfRule>
    <cfRule type="cellIs" dxfId="36197" priority="6630" operator="equal">
      <formula>"PTO"</formula>
    </cfRule>
  </conditionalFormatting>
  <conditionalFormatting sqref="U32">
    <cfRule type="cellIs" dxfId="36196" priority="6627" operator="equal">
      <formula>"OFF"</formula>
    </cfRule>
    <cfRule type="cellIs" dxfId="36195" priority="6628" operator="equal">
      <formula>"PTO"</formula>
    </cfRule>
  </conditionalFormatting>
  <conditionalFormatting sqref="V32">
    <cfRule type="cellIs" dxfId="36194" priority="6625" operator="equal">
      <formula>"OFF"</formula>
    </cfRule>
    <cfRule type="cellIs" dxfId="36193" priority="6626" operator="equal">
      <formula>"PTO"</formula>
    </cfRule>
  </conditionalFormatting>
  <conditionalFormatting sqref="Q32">
    <cfRule type="cellIs" dxfId="36192" priority="6623" operator="equal">
      <formula>"OFF"</formula>
    </cfRule>
    <cfRule type="cellIs" dxfId="36191" priority="6624" operator="equal">
      <formula>"PTO"</formula>
    </cfRule>
  </conditionalFormatting>
  <conditionalFormatting sqref="R32:S32">
    <cfRule type="cellIs" dxfId="36190" priority="6621" operator="equal">
      <formula>"OFF"</formula>
    </cfRule>
    <cfRule type="cellIs" dxfId="36189" priority="6622" operator="equal">
      <formula>"PTO"</formula>
    </cfRule>
  </conditionalFormatting>
  <conditionalFormatting sqref="Q32">
    <cfRule type="cellIs" dxfId="36188" priority="6619" operator="equal">
      <formula>"OFF"</formula>
    </cfRule>
    <cfRule type="cellIs" dxfId="36187" priority="6620" operator="equal">
      <formula>"PTO"</formula>
    </cfRule>
  </conditionalFormatting>
  <conditionalFormatting sqref="R32:S32">
    <cfRule type="cellIs" dxfId="36186" priority="6617" operator="equal">
      <formula>"OFF"</formula>
    </cfRule>
    <cfRule type="cellIs" dxfId="36185" priority="6618" operator="equal">
      <formula>"PTO"</formula>
    </cfRule>
  </conditionalFormatting>
  <conditionalFormatting sqref="R32:S32">
    <cfRule type="cellIs" dxfId="36184" priority="6615" operator="equal">
      <formula>"OFF"</formula>
    </cfRule>
    <cfRule type="cellIs" dxfId="36183" priority="6616" operator="equal">
      <formula>"PTO"</formula>
    </cfRule>
  </conditionalFormatting>
  <conditionalFormatting sqref="Q32">
    <cfRule type="cellIs" dxfId="36182" priority="6613" operator="equal">
      <formula>"OFF"</formula>
    </cfRule>
    <cfRule type="cellIs" dxfId="36181" priority="6614" operator="equal">
      <formula>"PTO"</formula>
    </cfRule>
  </conditionalFormatting>
  <conditionalFormatting sqref="R32:S32">
    <cfRule type="cellIs" dxfId="36180" priority="6611" operator="equal">
      <formula>"OFF"</formula>
    </cfRule>
    <cfRule type="cellIs" dxfId="36179" priority="6612" operator="equal">
      <formula>"PTO"</formula>
    </cfRule>
  </conditionalFormatting>
  <conditionalFormatting sqref="J45:J50 O45:P50">
    <cfRule type="cellIs" dxfId="36178" priority="6609" operator="equal">
      <formula>"OFF"</formula>
    </cfRule>
    <cfRule type="cellIs" dxfId="36177" priority="6610" operator="equal">
      <formula>"PTO"</formula>
    </cfRule>
  </conditionalFormatting>
  <conditionalFormatting sqref="J48 O48:P48">
    <cfRule type="cellIs" dxfId="36176" priority="6607" operator="equal">
      <formula>"OFF"</formula>
    </cfRule>
    <cfRule type="cellIs" dxfId="36175" priority="6608" operator="equal">
      <formula>"PTO"</formula>
    </cfRule>
  </conditionalFormatting>
  <conditionalFormatting sqref="J48 O48:P48">
    <cfRule type="cellIs" dxfId="36174" priority="6605" operator="equal">
      <formula>"OFF"</formula>
    </cfRule>
    <cfRule type="cellIs" dxfId="36173" priority="6606" operator="equal">
      <formula>"PTO"</formula>
    </cfRule>
  </conditionalFormatting>
  <conditionalFormatting sqref="J48 O48:P48">
    <cfRule type="cellIs" dxfId="36172" priority="6603" operator="equal">
      <formula>"OFF"</formula>
    </cfRule>
    <cfRule type="cellIs" dxfId="36171" priority="6604" operator="equal">
      <formula>"PTO"</formula>
    </cfRule>
  </conditionalFormatting>
  <conditionalFormatting sqref="J48 O48:P48">
    <cfRule type="cellIs" dxfId="36170" priority="6601" operator="equal">
      <formula>"OFF"</formula>
    </cfRule>
    <cfRule type="cellIs" dxfId="36169" priority="6602" operator="equal">
      <formula>"PTO"</formula>
    </cfRule>
  </conditionalFormatting>
  <conditionalFormatting sqref="J45 O45:P45">
    <cfRule type="cellIs" dxfId="36168" priority="6599" operator="equal">
      <formula>"OFF"</formula>
    </cfRule>
    <cfRule type="cellIs" dxfId="36167" priority="6600" operator="equal">
      <formula>"PTO"</formula>
    </cfRule>
  </conditionalFormatting>
  <conditionalFormatting sqref="J45 O45:P45">
    <cfRule type="cellIs" dxfId="36166" priority="6597" operator="equal">
      <formula>"OFF"</formula>
    </cfRule>
    <cfRule type="cellIs" dxfId="36165" priority="6598" operator="equal">
      <formula>"PTO"</formula>
    </cfRule>
  </conditionalFormatting>
  <conditionalFormatting sqref="J48 O48:P48">
    <cfRule type="cellIs" dxfId="36164" priority="6595" operator="equal">
      <formula>"OFF"</formula>
    </cfRule>
    <cfRule type="cellIs" dxfId="36163" priority="6596" operator="equal">
      <formula>"PTO"</formula>
    </cfRule>
  </conditionalFormatting>
  <conditionalFormatting sqref="J45 O45:P45">
    <cfRule type="cellIs" dxfId="36162" priority="6593" operator="equal">
      <formula>"OFF"</formula>
    </cfRule>
    <cfRule type="cellIs" dxfId="36161" priority="6594" operator="equal">
      <formula>"PTO"</formula>
    </cfRule>
  </conditionalFormatting>
  <conditionalFormatting sqref="J50 O50:P50">
    <cfRule type="cellIs" dxfId="36160" priority="6591" operator="equal">
      <formula>"OFF"</formula>
    </cfRule>
    <cfRule type="cellIs" dxfId="36159" priority="6592" operator="equal">
      <formula>"PTO"</formula>
    </cfRule>
  </conditionalFormatting>
  <conditionalFormatting sqref="J48 O48:P48">
    <cfRule type="cellIs" dxfId="36158" priority="6589" operator="equal">
      <formula>"OFF"</formula>
    </cfRule>
    <cfRule type="cellIs" dxfId="36157" priority="6590" operator="equal">
      <formula>"PTO"</formula>
    </cfRule>
  </conditionalFormatting>
  <conditionalFormatting sqref="J48 O48:P48">
    <cfRule type="cellIs" dxfId="36156" priority="6587" operator="equal">
      <formula>"OFF"</formula>
    </cfRule>
    <cfRule type="cellIs" dxfId="36155" priority="6588" operator="equal">
      <formula>"PTO"</formula>
    </cfRule>
  </conditionalFormatting>
  <conditionalFormatting sqref="J48 O48:P48">
    <cfRule type="cellIs" dxfId="36154" priority="6585" operator="equal">
      <formula>"OFF"</formula>
    </cfRule>
    <cfRule type="cellIs" dxfId="36153" priority="6586" operator="equal">
      <formula>"PTO"</formula>
    </cfRule>
  </conditionalFormatting>
  <conditionalFormatting sqref="J48 O48:P48">
    <cfRule type="cellIs" dxfId="36152" priority="6583" operator="equal">
      <formula>"OFF"</formula>
    </cfRule>
    <cfRule type="cellIs" dxfId="36151" priority="6584" operator="equal">
      <formula>"PTO"</formula>
    </cfRule>
  </conditionalFormatting>
  <conditionalFormatting sqref="J48 O48:P48">
    <cfRule type="cellIs" dxfId="36150" priority="6581" operator="equal">
      <formula>"OFF"</formula>
    </cfRule>
    <cfRule type="cellIs" dxfId="36149" priority="6582" operator="equal">
      <formula>"PTO"</formula>
    </cfRule>
  </conditionalFormatting>
  <conditionalFormatting sqref="J48 O48:P48">
    <cfRule type="cellIs" dxfId="36148" priority="6579" operator="equal">
      <formula>"OFF"</formula>
    </cfRule>
    <cfRule type="cellIs" dxfId="36147" priority="6580" operator="equal">
      <formula>"PTO"</formula>
    </cfRule>
  </conditionalFormatting>
  <conditionalFormatting sqref="J48 O48:P48">
    <cfRule type="cellIs" dxfId="36146" priority="6577" operator="equal">
      <formula>"OFF"</formula>
    </cfRule>
    <cfRule type="cellIs" dxfId="36145" priority="6578" operator="equal">
      <formula>"PTO"</formula>
    </cfRule>
  </conditionalFormatting>
  <conditionalFormatting sqref="J48 O48:P48">
    <cfRule type="cellIs" dxfId="36144" priority="6575" operator="equal">
      <formula>"OFF"</formula>
    </cfRule>
    <cfRule type="cellIs" dxfId="36143" priority="6576" operator="equal">
      <formula>"PTO"</formula>
    </cfRule>
  </conditionalFormatting>
  <conditionalFormatting sqref="J48 O48:P48">
    <cfRule type="cellIs" dxfId="36142" priority="6573" operator="equal">
      <formula>"OFF"</formula>
    </cfRule>
    <cfRule type="cellIs" dxfId="36141" priority="6574" operator="equal">
      <formula>"PTO"</formula>
    </cfRule>
  </conditionalFormatting>
  <conditionalFormatting sqref="J48 O48:P48">
    <cfRule type="cellIs" dxfId="36140" priority="6571" operator="equal">
      <formula>"OFF"</formula>
    </cfRule>
    <cfRule type="cellIs" dxfId="36139" priority="6572" operator="equal">
      <formula>"PTO"</formula>
    </cfRule>
  </conditionalFormatting>
  <conditionalFormatting sqref="J48 O48:P48">
    <cfRule type="cellIs" dxfId="36138" priority="6569" operator="equal">
      <formula>"OFF"</formula>
    </cfRule>
    <cfRule type="cellIs" dxfId="36137" priority="6570" operator="equal">
      <formula>"PTO"</formula>
    </cfRule>
  </conditionalFormatting>
  <conditionalFormatting sqref="J48 O48:P48">
    <cfRule type="cellIs" dxfId="36136" priority="6567" operator="equal">
      <formula>"OFF"</formula>
    </cfRule>
    <cfRule type="cellIs" dxfId="36135" priority="6568" operator="equal">
      <formula>"PTO"</formula>
    </cfRule>
  </conditionalFormatting>
  <conditionalFormatting sqref="J48 O48:P48">
    <cfRule type="cellIs" dxfId="36134" priority="6565" operator="equal">
      <formula>"OFF"</formula>
    </cfRule>
    <cfRule type="cellIs" dxfId="36133" priority="6566" operator="equal">
      <formula>"PTO"</formula>
    </cfRule>
  </conditionalFormatting>
  <conditionalFormatting sqref="J48 O48:P48">
    <cfRule type="cellIs" dxfId="36132" priority="6563" operator="equal">
      <formula>"OFF"</formula>
    </cfRule>
    <cfRule type="cellIs" dxfId="36131" priority="6564" operator="equal">
      <formula>"PTO"</formula>
    </cfRule>
  </conditionalFormatting>
  <conditionalFormatting sqref="J48 O48:P48">
    <cfRule type="cellIs" dxfId="36130" priority="6561" operator="equal">
      <formula>"OFF"</formula>
    </cfRule>
    <cfRule type="cellIs" dxfId="36129" priority="6562" operator="equal">
      <formula>"PTO"</formula>
    </cfRule>
  </conditionalFormatting>
  <conditionalFormatting sqref="J48 O48:P48">
    <cfRule type="cellIs" dxfId="36128" priority="6559" operator="equal">
      <formula>"OFF"</formula>
    </cfRule>
    <cfRule type="cellIs" dxfId="36127" priority="6560" operator="equal">
      <formula>"PTO"</formula>
    </cfRule>
  </conditionalFormatting>
  <conditionalFormatting sqref="J48 O48:P48">
    <cfRule type="cellIs" dxfId="36126" priority="6557" operator="equal">
      <formula>"OFF"</formula>
    </cfRule>
    <cfRule type="cellIs" dxfId="36125" priority="6558" operator="equal">
      <formula>"PTO"</formula>
    </cfRule>
  </conditionalFormatting>
  <conditionalFormatting sqref="J48 O48:P48">
    <cfRule type="cellIs" dxfId="36124" priority="6555" operator="equal">
      <formula>"OFF"</formula>
    </cfRule>
    <cfRule type="cellIs" dxfId="36123" priority="6556" operator="equal">
      <formula>"PTO"</formula>
    </cfRule>
  </conditionalFormatting>
  <conditionalFormatting sqref="J48 O48:P48">
    <cfRule type="cellIs" dxfId="36122" priority="6553" operator="equal">
      <formula>"OFF"</formula>
    </cfRule>
    <cfRule type="cellIs" dxfId="36121" priority="6554" operator="equal">
      <formula>"PTO"</formula>
    </cfRule>
  </conditionalFormatting>
  <conditionalFormatting sqref="J48 O48:P48">
    <cfRule type="cellIs" dxfId="36120" priority="6551" operator="equal">
      <formula>"OFF"</formula>
    </cfRule>
    <cfRule type="cellIs" dxfId="36119" priority="6552" operator="equal">
      <formula>"PTO"</formula>
    </cfRule>
  </conditionalFormatting>
  <conditionalFormatting sqref="J43 O43:P43">
    <cfRule type="cellIs" dxfId="36118" priority="6549" operator="equal">
      <formula>"OFF"</formula>
    </cfRule>
    <cfRule type="cellIs" dxfId="36117" priority="6550" operator="equal">
      <formula>"PTO"</formula>
    </cfRule>
  </conditionalFormatting>
  <conditionalFormatting sqref="J43 O43:P43">
    <cfRule type="cellIs" dxfId="36116" priority="6547" operator="equal">
      <formula>"OFF"</formula>
    </cfRule>
    <cfRule type="cellIs" dxfId="36115" priority="6548" operator="equal">
      <formula>"PTO"</formula>
    </cfRule>
  </conditionalFormatting>
  <conditionalFormatting sqref="J43 O43:P43">
    <cfRule type="cellIs" dxfId="36114" priority="6545" operator="equal">
      <formula>"OFF"</formula>
    </cfRule>
    <cfRule type="cellIs" dxfId="36113" priority="6546" operator="equal">
      <formula>"PTO"</formula>
    </cfRule>
  </conditionalFormatting>
  <conditionalFormatting sqref="J43 O43:P43">
    <cfRule type="cellIs" dxfId="36112" priority="6543" operator="equal">
      <formula>"OFF"</formula>
    </cfRule>
    <cfRule type="cellIs" dxfId="36111" priority="6544" operator="equal">
      <formula>"PTO"</formula>
    </cfRule>
  </conditionalFormatting>
  <conditionalFormatting sqref="J49 O49:P49">
    <cfRule type="cellIs" dxfId="36110" priority="6541" operator="equal">
      <formula>"OFF"</formula>
    </cfRule>
    <cfRule type="cellIs" dxfId="36109" priority="6542" operator="equal">
      <formula>"PTO"</formula>
    </cfRule>
  </conditionalFormatting>
  <conditionalFormatting sqref="J49 O49:P49">
    <cfRule type="cellIs" dxfId="36108" priority="6539" operator="equal">
      <formula>"OFF"</formula>
    </cfRule>
    <cfRule type="cellIs" dxfId="36107" priority="6540" operator="equal">
      <formula>"PTO"</formula>
    </cfRule>
  </conditionalFormatting>
  <conditionalFormatting sqref="J49 O49:P49">
    <cfRule type="cellIs" dxfId="36106" priority="6537" operator="equal">
      <formula>"OFF"</formula>
    </cfRule>
    <cfRule type="cellIs" dxfId="36105" priority="6538" operator="equal">
      <formula>"PTO"</formula>
    </cfRule>
  </conditionalFormatting>
  <conditionalFormatting sqref="J49 O49:P49">
    <cfRule type="cellIs" dxfId="36104" priority="6535" operator="equal">
      <formula>"OFF"</formula>
    </cfRule>
    <cfRule type="cellIs" dxfId="36103" priority="6536" operator="equal">
      <formula>"PTO"</formula>
    </cfRule>
  </conditionalFormatting>
  <conditionalFormatting sqref="J49 O49:P49">
    <cfRule type="cellIs" dxfId="36102" priority="6533" operator="equal">
      <formula>"OFF"</formula>
    </cfRule>
    <cfRule type="cellIs" dxfId="36101" priority="6534" operator="equal">
      <formula>"PTO"</formula>
    </cfRule>
  </conditionalFormatting>
  <conditionalFormatting sqref="J49 O49:P49">
    <cfRule type="cellIs" dxfId="36100" priority="6531" operator="equal">
      <formula>"OFF"</formula>
    </cfRule>
    <cfRule type="cellIs" dxfId="36099" priority="6532" operator="equal">
      <formula>"PTO"</formula>
    </cfRule>
  </conditionalFormatting>
  <conditionalFormatting sqref="J49 O49:P49">
    <cfRule type="cellIs" dxfId="36098" priority="6529" operator="equal">
      <formula>"OFF"</formula>
    </cfRule>
    <cfRule type="cellIs" dxfId="36097" priority="6530" operator="equal">
      <formula>"PTO"</formula>
    </cfRule>
  </conditionalFormatting>
  <conditionalFormatting sqref="J49 O49:P49">
    <cfRule type="cellIs" dxfId="36096" priority="6527" operator="equal">
      <formula>"OFF"</formula>
    </cfRule>
    <cfRule type="cellIs" dxfId="36095" priority="6528" operator="equal">
      <formula>"PTO"</formula>
    </cfRule>
  </conditionalFormatting>
  <conditionalFormatting sqref="J49 O49:P49">
    <cfRule type="cellIs" dxfId="36094" priority="6525" operator="equal">
      <formula>"OFF"</formula>
    </cfRule>
    <cfRule type="cellIs" dxfId="36093" priority="6526" operator="equal">
      <formula>"PTO"</formula>
    </cfRule>
  </conditionalFormatting>
  <conditionalFormatting sqref="O47">
    <cfRule type="cellIs" dxfId="36092" priority="6483" operator="equal">
      <formula>"OFF"</formula>
    </cfRule>
    <cfRule type="cellIs" dxfId="36091" priority="6484" operator="equal">
      <formula>"PTO"</formula>
    </cfRule>
  </conditionalFormatting>
  <conditionalFormatting sqref="O47">
    <cfRule type="cellIs" dxfId="36090" priority="6481" operator="equal">
      <formula>"OFF"</formula>
    </cfRule>
    <cfRule type="cellIs" dxfId="36089" priority="6482" operator="equal">
      <formula>"PTO"</formula>
    </cfRule>
  </conditionalFormatting>
  <conditionalFormatting sqref="J47">
    <cfRule type="cellIs" dxfId="36088" priority="6479" operator="equal">
      <formula>"OFF"</formula>
    </cfRule>
    <cfRule type="cellIs" dxfId="36087" priority="6480" operator="equal">
      <formula>"PTO"</formula>
    </cfRule>
  </conditionalFormatting>
  <conditionalFormatting sqref="J47">
    <cfRule type="cellIs" dxfId="36086" priority="6477" operator="equal">
      <formula>"OFF"</formula>
    </cfRule>
    <cfRule type="cellIs" dxfId="36085" priority="6478" operator="equal">
      <formula>"PTO"</formula>
    </cfRule>
  </conditionalFormatting>
  <conditionalFormatting sqref="J47">
    <cfRule type="cellIs" dxfId="36084" priority="6475" operator="equal">
      <formula>"OFF"</formula>
    </cfRule>
    <cfRule type="cellIs" dxfId="36083" priority="6476" operator="equal">
      <formula>"PTO"</formula>
    </cfRule>
  </conditionalFormatting>
  <conditionalFormatting sqref="J47">
    <cfRule type="cellIs" dxfId="36082" priority="6473" operator="equal">
      <formula>"OFF"</formula>
    </cfRule>
    <cfRule type="cellIs" dxfId="36081" priority="6474" operator="equal">
      <formula>"PTO"</formula>
    </cfRule>
  </conditionalFormatting>
  <conditionalFormatting sqref="J47">
    <cfRule type="cellIs" dxfId="36080" priority="6471" operator="equal">
      <formula>"OFF"</formula>
    </cfRule>
    <cfRule type="cellIs" dxfId="36079" priority="6472" operator="equal">
      <formula>"PTO"</formula>
    </cfRule>
  </conditionalFormatting>
  <conditionalFormatting sqref="J47">
    <cfRule type="cellIs" dxfId="36078" priority="6469" operator="equal">
      <formula>"OFF"</formula>
    </cfRule>
    <cfRule type="cellIs" dxfId="36077" priority="6470" operator="equal">
      <formula>"PTO"</formula>
    </cfRule>
  </conditionalFormatting>
  <conditionalFormatting sqref="J47">
    <cfRule type="cellIs" dxfId="36076" priority="6467" operator="equal">
      <formula>"OFF"</formula>
    </cfRule>
    <cfRule type="cellIs" dxfId="36075" priority="6468" operator="equal">
      <formula>"PTO"</formula>
    </cfRule>
  </conditionalFormatting>
  <conditionalFormatting sqref="J47">
    <cfRule type="cellIs" dxfId="36074" priority="6465" operator="equal">
      <formula>"OFF"</formula>
    </cfRule>
    <cfRule type="cellIs" dxfId="36073" priority="6466" operator="equal">
      <formula>"PTO"</formula>
    </cfRule>
  </conditionalFormatting>
  <conditionalFormatting sqref="J47">
    <cfRule type="cellIs" dxfId="36072" priority="6463" operator="equal">
      <formula>"OFF"</formula>
    </cfRule>
    <cfRule type="cellIs" dxfId="36071" priority="6464" operator="equal">
      <formula>"PTO"</formula>
    </cfRule>
  </conditionalFormatting>
  <conditionalFormatting sqref="P47">
    <cfRule type="cellIs" dxfId="36070" priority="6461" operator="equal">
      <formula>"OFF"</formula>
    </cfRule>
    <cfRule type="cellIs" dxfId="36069" priority="6462" operator="equal">
      <formula>"PTO"</formula>
    </cfRule>
  </conditionalFormatting>
  <conditionalFormatting sqref="P47">
    <cfRule type="cellIs" dxfId="36068" priority="6459" operator="equal">
      <formula>"OFF"</formula>
    </cfRule>
    <cfRule type="cellIs" dxfId="36067" priority="6460" operator="equal">
      <formula>"PTO"</formula>
    </cfRule>
  </conditionalFormatting>
  <conditionalFormatting sqref="P47">
    <cfRule type="cellIs" dxfId="36066" priority="6457" operator="equal">
      <formula>"OFF"</formula>
    </cfRule>
    <cfRule type="cellIs" dxfId="36065" priority="6458" operator="equal">
      <formula>"PTO"</formula>
    </cfRule>
  </conditionalFormatting>
  <conditionalFormatting sqref="P47">
    <cfRule type="cellIs" dxfId="36064" priority="6455" operator="equal">
      <formula>"OFF"</formula>
    </cfRule>
    <cfRule type="cellIs" dxfId="36063" priority="6456" operator="equal">
      <formula>"PTO"</formula>
    </cfRule>
  </conditionalFormatting>
  <conditionalFormatting sqref="P47">
    <cfRule type="cellIs" dxfId="36062" priority="6453" operator="equal">
      <formula>"OFF"</formula>
    </cfRule>
    <cfRule type="cellIs" dxfId="36061" priority="6454" operator="equal">
      <formula>"PTO"</formula>
    </cfRule>
  </conditionalFormatting>
  <conditionalFormatting sqref="P47">
    <cfRule type="cellIs" dxfId="36060" priority="6451" operator="equal">
      <formula>"OFF"</formula>
    </cfRule>
    <cfRule type="cellIs" dxfId="36059" priority="6452" operator="equal">
      <formula>"PTO"</formula>
    </cfRule>
  </conditionalFormatting>
  <conditionalFormatting sqref="P47">
    <cfRule type="cellIs" dxfId="36058" priority="6449" operator="equal">
      <formula>"OFF"</formula>
    </cfRule>
    <cfRule type="cellIs" dxfId="36057" priority="6450" operator="equal">
      <formula>"PTO"</formula>
    </cfRule>
  </conditionalFormatting>
  <conditionalFormatting sqref="P47">
    <cfRule type="cellIs" dxfId="36056" priority="6447" operator="equal">
      <formula>"OFF"</formula>
    </cfRule>
    <cfRule type="cellIs" dxfId="36055" priority="6448" operator="equal">
      <formula>"PTO"</formula>
    </cfRule>
  </conditionalFormatting>
  <conditionalFormatting sqref="P47">
    <cfRule type="cellIs" dxfId="36054" priority="6445" operator="equal">
      <formula>"OFF"</formula>
    </cfRule>
    <cfRule type="cellIs" dxfId="36053" priority="6446" operator="equal">
      <formula>"PTO"</formula>
    </cfRule>
  </conditionalFormatting>
  <conditionalFormatting sqref="J45 O45:P45">
    <cfRule type="cellIs" dxfId="36052" priority="6437" operator="equal">
      <formula>"OFF"</formula>
    </cfRule>
    <cfRule type="cellIs" dxfId="36051" priority="6438" operator="equal">
      <formula>"PTO"</formula>
    </cfRule>
  </conditionalFormatting>
  <conditionalFormatting sqref="J45 O45:P45">
    <cfRule type="cellIs" dxfId="36050" priority="6435" operator="equal">
      <formula>"OFF"</formula>
    </cfRule>
    <cfRule type="cellIs" dxfId="36049" priority="6436" operator="equal">
      <formula>"PTO"</formula>
    </cfRule>
  </conditionalFormatting>
  <conditionalFormatting sqref="J45 O45:P45">
    <cfRule type="cellIs" dxfId="36048" priority="6433" operator="equal">
      <formula>"OFF"</formula>
    </cfRule>
    <cfRule type="cellIs" dxfId="36047" priority="6434" operator="equal">
      <formula>"PTO"</formula>
    </cfRule>
  </conditionalFormatting>
  <conditionalFormatting sqref="J46 O46:P46">
    <cfRule type="cellIs" dxfId="36046" priority="6431" operator="equal">
      <formula>"OFF"</formula>
    </cfRule>
    <cfRule type="cellIs" dxfId="36045" priority="6432" operator="equal">
      <formula>"PTO"</formula>
    </cfRule>
  </conditionalFormatting>
  <conditionalFormatting sqref="J46 O46:P46">
    <cfRule type="cellIs" dxfId="36044" priority="6429" operator="equal">
      <formula>"OFF"</formula>
    </cfRule>
    <cfRule type="cellIs" dxfId="36043" priority="6430" operator="equal">
      <formula>"PTO"</formula>
    </cfRule>
  </conditionalFormatting>
  <conditionalFormatting sqref="J46 O46:P46">
    <cfRule type="cellIs" dxfId="36042" priority="6427" operator="equal">
      <formula>"OFF"</formula>
    </cfRule>
    <cfRule type="cellIs" dxfId="36041" priority="6428" operator="equal">
      <formula>"PTO"</formula>
    </cfRule>
  </conditionalFormatting>
  <conditionalFormatting sqref="J46 O46:P46">
    <cfRule type="cellIs" dxfId="36040" priority="6425" operator="equal">
      <formula>"OFF"</formula>
    </cfRule>
    <cfRule type="cellIs" dxfId="36039" priority="6426" operator="equal">
      <formula>"PTO"</formula>
    </cfRule>
  </conditionalFormatting>
  <conditionalFormatting sqref="J46 O46:P46">
    <cfRule type="cellIs" dxfId="36038" priority="6423" operator="equal">
      <formula>"OFF"</formula>
    </cfRule>
    <cfRule type="cellIs" dxfId="36037" priority="6424" operator="equal">
      <formula>"PTO"</formula>
    </cfRule>
  </conditionalFormatting>
  <conditionalFormatting sqref="J46 O46:P46">
    <cfRule type="cellIs" dxfId="36036" priority="6421" operator="equal">
      <formula>"OFF"</formula>
    </cfRule>
    <cfRule type="cellIs" dxfId="36035" priority="6422" operator="equal">
      <formula>"PTO"</formula>
    </cfRule>
  </conditionalFormatting>
  <conditionalFormatting sqref="J46 O46:P46">
    <cfRule type="cellIs" dxfId="36034" priority="6419" operator="equal">
      <formula>"OFF"</formula>
    </cfRule>
    <cfRule type="cellIs" dxfId="36033" priority="6420" operator="equal">
      <formula>"PTO"</formula>
    </cfRule>
  </conditionalFormatting>
  <conditionalFormatting sqref="J46 O46:P46">
    <cfRule type="cellIs" dxfId="36032" priority="6417" operator="equal">
      <formula>"OFF"</formula>
    </cfRule>
    <cfRule type="cellIs" dxfId="36031" priority="6418" operator="equal">
      <formula>"PTO"</formula>
    </cfRule>
  </conditionalFormatting>
  <conditionalFormatting sqref="J46 O46:P46">
    <cfRule type="cellIs" dxfId="36030" priority="6415" operator="equal">
      <formula>"OFF"</formula>
    </cfRule>
    <cfRule type="cellIs" dxfId="36029" priority="6416" operator="equal">
      <formula>"PTO"</formula>
    </cfRule>
  </conditionalFormatting>
  <conditionalFormatting sqref="J46 O46:P46">
    <cfRule type="cellIs" dxfId="36028" priority="6413" operator="equal">
      <formula>"OFF"</formula>
    </cfRule>
    <cfRule type="cellIs" dxfId="36027" priority="6414" operator="equal">
      <formula>"PTO"</formula>
    </cfRule>
  </conditionalFormatting>
  <conditionalFormatting sqref="J46 O46:P46">
    <cfRule type="cellIs" dxfId="36026" priority="6411" operator="equal">
      <formula>"OFF"</formula>
    </cfRule>
    <cfRule type="cellIs" dxfId="36025" priority="6412" operator="equal">
      <formula>"PTO"</formula>
    </cfRule>
  </conditionalFormatting>
  <conditionalFormatting sqref="J46 O46:P46">
    <cfRule type="cellIs" dxfId="36024" priority="6409" operator="equal">
      <formula>"OFF"</formula>
    </cfRule>
    <cfRule type="cellIs" dxfId="36023" priority="6410" operator="equal">
      <formula>"PTO"</formula>
    </cfRule>
  </conditionalFormatting>
  <conditionalFormatting sqref="J46 O46:P46">
    <cfRule type="cellIs" dxfId="36022" priority="6407" operator="equal">
      <formula>"OFF"</formula>
    </cfRule>
    <cfRule type="cellIs" dxfId="36021" priority="6408" operator="equal">
      <formula>"PTO"</formula>
    </cfRule>
  </conditionalFormatting>
  <conditionalFormatting sqref="J46 O46:P46">
    <cfRule type="cellIs" dxfId="36020" priority="6405" operator="equal">
      <formula>"OFF"</formula>
    </cfRule>
    <cfRule type="cellIs" dxfId="36019" priority="6406" operator="equal">
      <formula>"PTO"</formula>
    </cfRule>
  </conditionalFormatting>
  <conditionalFormatting sqref="J46 O46:P46">
    <cfRule type="cellIs" dxfId="36018" priority="6403" operator="equal">
      <formula>"OFF"</formula>
    </cfRule>
    <cfRule type="cellIs" dxfId="36017" priority="6404" operator="equal">
      <formula>"PTO"</formula>
    </cfRule>
  </conditionalFormatting>
  <conditionalFormatting sqref="J46 O46:P46">
    <cfRule type="cellIs" dxfId="36016" priority="6401" operator="equal">
      <formula>"OFF"</formula>
    </cfRule>
    <cfRule type="cellIs" dxfId="36015" priority="6402" operator="equal">
      <formula>"PTO"</formula>
    </cfRule>
  </conditionalFormatting>
  <conditionalFormatting sqref="J46 O46:P46">
    <cfRule type="cellIs" dxfId="36014" priority="6399" operator="equal">
      <formula>"OFF"</formula>
    </cfRule>
    <cfRule type="cellIs" dxfId="36013" priority="6400" operator="equal">
      <formula>"PTO"</formula>
    </cfRule>
  </conditionalFormatting>
  <conditionalFormatting sqref="J46 O46:P46">
    <cfRule type="cellIs" dxfId="36012" priority="6397" operator="equal">
      <formula>"OFF"</formula>
    </cfRule>
    <cfRule type="cellIs" dxfId="36011" priority="6398" operator="equal">
      <formula>"PTO"</formula>
    </cfRule>
  </conditionalFormatting>
  <conditionalFormatting sqref="J46 O46:P46">
    <cfRule type="cellIs" dxfId="36010" priority="6395" operator="equal">
      <formula>"OFF"</formula>
    </cfRule>
    <cfRule type="cellIs" dxfId="36009" priority="6396" operator="equal">
      <formula>"PTO"</formula>
    </cfRule>
  </conditionalFormatting>
  <conditionalFormatting sqref="J46 O46:P46">
    <cfRule type="cellIs" dxfId="36008" priority="6393" operator="equal">
      <formula>"OFF"</formula>
    </cfRule>
    <cfRule type="cellIs" dxfId="36007" priority="6394" operator="equal">
      <formula>"PTO"</formula>
    </cfRule>
  </conditionalFormatting>
  <conditionalFormatting sqref="J46 O46:P46">
    <cfRule type="cellIs" dxfId="36006" priority="6391" operator="equal">
      <formula>"OFF"</formula>
    </cfRule>
    <cfRule type="cellIs" dxfId="36005" priority="6392" operator="equal">
      <formula>"PTO"</formula>
    </cfRule>
  </conditionalFormatting>
  <conditionalFormatting sqref="J46 O46:P46">
    <cfRule type="cellIs" dxfId="36004" priority="6389" operator="equal">
      <formula>"OFF"</formula>
    </cfRule>
    <cfRule type="cellIs" dxfId="36003" priority="6390" operator="equal">
      <formula>"PTO"</formula>
    </cfRule>
  </conditionalFormatting>
  <conditionalFormatting sqref="J46 O46:P46">
    <cfRule type="cellIs" dxfId="36002" priority="6387" operator="equal">
      <formula>"OFF"</formula>
    </cfRule>
    <cfRule type="cellIs" dxfId="36001" priority="6388" operator="equal">
      <formula>"PTO"</formula>
    </cfRule>
  </conditionalFormatting>
  <conditionalFormatting sqref="J46 O46:P46">
    <cfRule type="cellIs" dxfId="36000" priority="6385" operator="equal">
      <formula>"OFF"</formula>
    </cfRule>
    <cfRule type="cellIs" dxfId="35999" priority="6386" operator="equal">
      <formula>"PTO"</formula>
    </cfRule>
  </conditionalFormatting>
  <conditionalFormatting sqref="J46 O46:P46">
    <cfRule type="cellIs" dxfId="35998" priority="6383" operator="equal">
      <formula>"OFF"</formula>
    </cfRule>
    <cfRule type="cellIs" dxfId="35997" priority="6384" operator="equal">
      <formula>"PTO"</formula>
    </cfRule>
  </conditionalFormatting>
  <conditionalFormatting sqref="J46 O46:P46">
    <cfRule type="cellIs" dxfId="35996" priority="6381" operator="equal">
      <formula>"OFF"</formula>
    </cfRule>
    <cfRule type="cellIs" dxfId="35995" priority="6382" operator="equal">
      <formula>"PTO"</formula>
    </cfRule>
  </conditionalFormatting>
  <conditionalFormatting sqref="J47:J50 O47:P50">
    <cfRule type="cellIs" dxfId="35994" priority="6379" operator="equal">
      <formula>"OFF"</formula>
    </cfRule>
    <cfRule type="cellIs" dxfId="35993" priority="6380" operator="equal">
      <formula>"PTO"</formula>
    </cfRule>
  </conditionalFormatting>
  <conditionalFormatting sqref="J47 O47:P47">
    <cfRule type="cellIs" dxfId="35992" priority="6377" operator="equal">
      <formula>"OFF"</formula>
    </cfRule>
    <cfRule type="cellIs" dxfId="35991" priority="6378" operator="equal">
      <formula>"PTO"</formula>
    </cfRule>
  </conditionalFormatting>
  <conditionalFormatting sqref="J41 P41 P43 J43 J45:J50 P45:P50">
    <cfRule type="cellIs" dxfId="35990" priority="6375" operator="equal">
      <formula>"OFF"</formula>
    </cfRule>
    <cfRule type="cellIs" dxfId="35989" priority="6376" operator="equal">
      <formula>"PTO"</formula>
    </cfRule>
  </conditionalFormatting>
  <conditionalFormatting sqref="O41 O43 O45:O50">
    <cfRule type="cellIs" dxfId="35988" priority="6361" operator="equal">
      <formula>"OFF"</formula>
    </cfRule>
    <cfRule type="cellIs" dxfId="35987" priority="6362" operator="equal">
      <formula>"PTO"</formula>
    </cfRule>
  </conditionalFormatting>
  <conditionalFormatting sqref="O41 O43 O45:O50">
    <cfRule type="cellIs" dxfId="35986" priority="6359" operator="equal">
      <formula>"OFF"</formula>
    </cfRule>
    <cfRule type="cellIs" dxfId="35985" priority="6360" operator="equal">
      <formula>"PTO"</formula>
    </cfRule>
  </conditionalFormatting>
  <conditionalFormatting sqref="P41 J41 J43 P43 P45:P50 J45:J50">
    <cfRule type="cellIs" dxfId="35984" priority="6357" operator="equal">
      <formula>"OFF"</formula>
    </cfRule>
    <cfRule type="cellIs" dxfId="35983" priority="6358" operator="equal">
      <formula>"PTO"</formula>
    </cfRule>
  </conditionalFormatting>
  <conditionalFormatting sqref="O41 O43 O45:O50">
    <cfRule type="cellIs" dxfId="35982" priority="6349" operator="equal">
      <formula>"OFF"</formula>
    </cfRule>
    <cfRule type="cellIs" dxfId="35981" priority="6350" operator="equal">
      <formula>"PTO"</formula>
    </cfRule>
  </conditionalFormatting>
  <conditionalFormatting sqref="P49:P54 J49:J54">
    <cfRule type="cellIs" dxfId="35980" priority="6347" operator="equal">
      <formula>"OFF"</formula>
    </cfRule>
    <cfRule type="cellIs" dxfId="35979" priority="6348" operator="equal">
      <formula>"PTO"</formula>
    </cfRule>
  </conditionalFormatting>
  <conditionalFormatting sqref="O49:O54">
    <cfRule type="cellIs" dxfId="35978" priority="6333" operator="equal">
      <formula>"OFF"</formula>
    </cfRule>
    <cfRule type="cellIs" dxfId="35977" priority="6334" operator="equal">
      <formula>"PTO"</formula>
    </cfRule>
  </conditionalFormatting>
  <conditionalFormatting sqref="O49:O54">
    <cfRule type="cellIs" dxfId="35976" priority="6331" operator="equal">
      <formula>"OFF"</formula>
    </cfRule>
    <cfRule type="cellIs" dxfId="35975" priority="6332" operator="equal">
      <formula>"PTO"</formula>
    </cfRule>
  </conditionalFormatting>
  <conditionalFormatting sqref="P49:P54 J49:J54">
    <cfRule type="cellIs" dxfId="35974" priority="6329" operator="equal">
      <formula>"OFF"</formula>
    </cfRule>
    <cfRule type="cellIs" dxfId="35973" priority="6330" operator="equal">
      <formula>"PTO"</formula>
    </cfRule>
  </conditionalFormatting>
  <conditionalFormatting sqref="O49:O54">
    <cfRule type="cellIs" dxfId="35972" priority="6321" operator="equal">
      <formula>"OFF"</formula>
    </cfRule>
    <cfRule type="cellIs" dxfId="35971" priority="6322" operator="equal">
      <formula>"PTO"</formula>
    </cfRule>
  </conditionalFormatting>
  <conditionalFormatting sqref="J47 O47:P47">
    <cfRule type="cellIs" dxfId="35970" priority="6313" operator="equal">
      <formula>"OFF"</formula>
    </cfRule>
    <cfRule type="cellIs" dxfId="35969" priority="6314" operator="equal">
      <formula>"PTO"</formula>
    </cfRule>
  </conditionalFormatting>
  <conditionalFormatting sqref="J47 O47:P47">
    <cfRule type="cellIs" dxfId="35968" priority="6311" operator="equal">
      <formula>"OFF"</formula>
    </cfRule>
    <cfRule type="cellIs" dxfId="35967" priority="6312" operator="equal">
      <formula>"PTO"</formula>
    </cfRule>
  </conditionalFormatting>
  <conditionalFormatting sqref="J47 O47:P47">
    <cfRule type="cellIs" dxfId="35966" priority="6309" operator="equal">
      <formula>"OFF"</formula>
    </cfRule>
    <cfRule type="cellIs" dxfId="35965" priority="6310" operator="equal">
      <formula>"PTO"</formula>
    </cfRule>
  </conditionalFormatting>
  <conditionalFormatting sqref="J47 O47:P47">
    <cfRule type="cellIs" dxfId="35964" priority="6307" operator="equal">
      <formula>"OFF"</formula>
    </cfRule>
    <cfRule type="cellIs" dxfId="35963" priority="6308" operator="equal">
      <formula>"PTO"</formula>
    </cfRule>
  </conditionalFormatting>
  <conditionalFormatting sqref="J47 O47:P47">
    <cfRule type="cellIs" dxfId="35962" priority="6301" operator="equal">
      <formula>"OFF"</formula>
    </cfRule>
    <cfRule type="cellIs" dxfId="35961" priority="6302" operator="equal">
      <formula>"PTO"</formula>
    </cfRule>
  </conditionalFormatting>
  <conditionalFormatting sqref="J47 O47:P47">
    <cfRule type="cellIs" dxfId="35960" priority="6297" operator="equal">
      <formula>"OFF"</formula>
    </cfRule>
    <cfRule type="cellIs" dxfId="35959" priority="6298" operator="equal">
      <formula>"PTO"</formula>
    </cfRule>
  </conditionalFormatting>
  <conditionalFormatting sqref="J47 O47:P47">
    <cfRule type="cellIs" dxfId="35958" priority="6295" operator="equal">
      <formula>"OFF"</formula>
    </cfRule>
    <cfRule type="cellIs" dxfId="35957" priority="6296" operator="equal">
      <formula>"PTO"</formula>
    </cfRule>
  </conditionalFormatting>
  <conditionalFormatting sqref="J47 O47:P47">
    <cfRule type="cellIs" dxfId="35956" priority="6293" operator="equal">
      <formula>"OFF"</formula>
    </cfRule>
    <cfRule type="cellIs" dxfId="35955" priority="6294" operator="equal">
      <formula>"PTO"</formula>
    </cfRule>
  </conditionalFormatting>
  <conditionalFormatting sqref="J47 O47:P47">
    <cfRule type="cellIs" dxfId="35954" priority="6291" operator="equal">
      <formula>"OFF"</formula>
    </cfRule>
    <cfRule type="cellIs" dxfId="35953" priority="6292" operator="equal">
      <formula>"PTO"</formula>
    </cfRule>
  </conditionalFormatting>
  <conditionalFormatting sqref="J47 O47:P47">
    <cfRule type="cellIs" dxfId="35952" priority="6289" operator="equal">
      <formula>"OFF"</formula>
    </cfRule>
    <cfRule type="cellIs" dxfId="35951" priority="6290" operator="equal">
      <formula>"PTO"</formula>
    </cfRule>
  </conditionalFormatting>
  <conditionalFormatting sqref="J47 O47:P47">
    <cfRule type="cellIs" dxfId="35950" priority="6287" operator="equal">
      <formula>"OFF"</formula>
    </cfRule>
    <cfRule type="cellIs" dxfId="35949" priority="6288" operator="equal">
      <formula>"PTO"</formula>
    </cfRule>
  </conditionalFormatting>
  <conditionalFormatting sqref="J47 O47:P47">
    <cfRule type="cellIs" dxfId="35948" priority="6285" operator="equal">
      <formula>"OFF"</formula>
    </cfRule>
    <cfRule type="cellIs" dxfId="35947" priority="6286" operator="equal">
      <formula>"PTO"</formula>
    </cfRule>
  </conditionalFormatting>
  <conditionalFormatting sqref="J47 O47:P47">
    <cfRule type="cellIs" dxfId="35946" priority="6283" operator="equal">
      <formula>"OFF"</formula>
    </cfRule>
    <cfRule type="cellIs" dxfId="35945" priority="6284" operator="equal">
      <formula>"PTO"</formula>
    </cfRule>
  </conditionalFormatting>
  <conditionalFormatting sqref="J47 O47:P47">
    <cfRule type="cellIs" dxfId="35944" priority="6281" operator="equal">
      <formula>"OFF"</formula>
    </cfRule>
    <cfRule type="cellIs" dxfId="35943" priority="6282" operator="equal">
      <formula>"PTO"</formula>
    </cfRule>
  </conditionalFormatting>
  <conditionalFormatting sqref="J47 O47:P47">
    <cfRule type="cellIs" dxfId="35942" priority="6279" operator="equal">
      <formula>"OFF"</formula>
    </cfRule>
    <cfRule type="cellIs" dxfId="35941" priority="6280" operator="equal">
      <formula>"PTO"</formula>
    </cfRule>
  </conditionalFormatting>
  <conditionalFormatting sqref="J47 O47:P47">
    <cfRule type="cellIs" dxfId="35940" priority="6277" operator="equal">
      <formula>"OFF"</formula>
    </cfRule>
    <cfRule type="cellIs" dxfId="35939" priority="6278" operator="equal">
      <formula>"PTO"</formula>
    </cfRule>
  </conditionalFormatting>
  <conditionalFormatting sqref="J47 O47:P47">
    <cfRule type="cellIs" dxfId="35938" priority="6275" operator="equal">
      <formula>"OFF"</formula>
    </cfRule>
    <cfRule type="cellIs" dxfId="35937" priority="6276" operator="equal">
      <formula>"PTO"</formula>
    </cfRule>
  </conditionalFormatting>
  <conditionalFormatting sqref="J47 O47:P47">
    <cfRule type="cellIs" dxfId="35936" priority="6273" operator="equal">
      <formula>"OFF"</formula>
    </cfRule>
    <cfRule type="cellIs" dxfId="35935" priority="6274" operator="equal">
      <formula>"PTO"</formula>
    </cfRule>
  </conditionalFormatting>
  <conditionalFormatting sqref="J47 O47:P47">
    <cfRule type="cellIs" dxfId="35934" priority="6271" operator="equal">
      <formula>"OFF"</formula>
    </cfRule>
    <cfRule type="cellIs" dxfId="35933" priority="6272" operator="equal">
      <formula>"PTO"</formula>
    </cfRule>
  </conditionalFormatting>
  <conditionalFormatting sqref="J47 O47:P47">
    <cfRule type="cellIs" dxfId="35932" priority="6269" operator="equal">
      <formula>"OFF"</formula>
    </cfRule>
    <cfRule type="cellIs" dxfId="35931" priority="6270" operator="equal">
      <formula>"PTO"</formula>
    </cfRule>
  </conditionalFormatting>
  <conditionalFormatting sqref="J47 O47:P47">
    <cfRule type="cellIs" dxfId="35930" priority="6267" operator="equal">
      <formula>"OFF"</formula>
    </cfRule>
    <cfRule type="cellIs" dxfId="35929" priority="6268" operator="equal">
      <formula>"PTO"</formula>
    </cfRule>
  </conditionalFormatting>
  <conditionalFormatting sqref="J47 O47:P47">
    <cfRule type="cellIs" dxfId="35928" priority="6265" operator="equal">
      <formula>"OFF"</formula>
    </cfRule>
    <cfRule type="cellIs" dxfId="35927" priority="6266" operator="equal">
      <formula>"PTO"</formula>
    </cfRule>
  </conditionalFormatting>
  <conditionalFormatting sqref="J47 O47:P47">
    <cfRule type="cellIs" dxfId="35926" priority="6263" operator="equal">
      <formula>"OFF"</formula>
    </cfRule>
    <cfRule type="cellIs" dxfId="35925" priority="6264" operator="equal">
      <formula>"PTO"</formula>
    </cfRule>
  </conditionalFormatting>
  <conditionalFormatting sqref="J47 O47:P47">
    <cfRule type="cellIs" dxfId="35924" priority="6261" operator="equal">
      <formula>"OFF"</formula>
    </cfRule>
    <cfRule type="cellIs" dxfId="35923" priority="6262" operator="equal">
      <formula>"PTO"</formula>
    </cfRule>
  </conditionalFormatting>
  <conditionalFormatting sqref="J47 O47:P47">
    <cfRule type="cellIs" dxfId="35922" priority="6259" operator="equal">
      <formula>"OFF"</formula>
    </cfRule>
    <cfRule type="cellIs" dxfId="35921" priority="6260" operator="equal">
      <formula>"PTO"</formula>
    </cfRule>
  </conditionalFormatting>
  <conditionalFormatting sqref="O43">
    <cfRule type="cellIs" dxfId="35920" priority="6257" operator="equal">
      <formula>"OFF"</formula>
    </cfRule>
    <cfRule type="cellIs" dxfId="35919" priority="6258" operator="equal">
      <formula>"PTO"</formula>
    </cfRule>
  </conditionalFormatting>
  <conditionalFormatting sqref="O43">
    <cfRule type="cellIs" dxfId="35918" priority="6255" operator="equal">
      <formula>"OFF"</formula>
    </cfRule>
    <cfRule type="cellIs" dxfId="35917" priority="6256" operator="equal">
      <formula>"PTO"</formula>
    </cfRule>
  </conditionalFormatting>
  <conditionalFormatting sqref="J43">
    <cfRule type="cellIs" dxfId="35916" priority="6253" operator="equal">
      <formula>"OFF"</formula>
    </cfRule>
    <cfRule type="cellIs" dxfId="35915" priority="6254" operator="equal">
      <formula>"PTO"</formula>
    </cfRule>
  </conditionalFormatting>
  <conditionalFormatting sqref="J43">
    <cfRule type="cellIs" dxfId="35914" priority="6251" operator="equal">
      <formula>"OFF"</formula>
    </cfRule>
    <cfRule type="cellIs" dxfId="35913" priority="6252" operator="equal">
      <formula>"PTO"</formula>
    </cfRule>
  </conditionalFormatting>
  <conditionalFormatting sqref="J43">
    <cfRule type="cellIs" dxfId="35912" priority="6249" operator="equal">
      <formula>"OFF"</formula>
    </cfRule>
    <cfRule type="cellIs" dxfId="35911" priority="6250" operator="equal">
      <formula>"PTO"</formula>
    </cfRule>
  </conditionalFormatting>
  <conditionalFormatting sqref="J43">
    <cfRule type="cellIs" dxfId="35910" priority="6247" operator="equal">
      <formula>"OFF"</formula>
    </cfRule>
    <cfRule type="cellIs" dxfId="35909" priority="6248" operator="equal">
      <formula>"PTO"</formula>
    </cfRule>
  </conditionalFormatting>
  <conditionalFormatting sqref="J43">
    <cfRule type="cellIs" dxfId="35908" priority="6245" operator="equal">
      <formula>"OFF"</formula>
    </cfRule>
    <cfRule type="cellIs" dxfId="35907" priority="6246" operator="equal">
      <formula>"PTO"</formula>
    </cfRule>
  </conditionalFormatting>
  <conditionalFormatting sqref="J43">
    <cfRule type="cellIs" dxfId="35906" priority="6243" operator="equal">
      <formula>"OFF"</formula>
    </cfRule>
    <cfRule type="cellIs" dxfId="35905" priority="6244" operator="equal">
      <formula>"PTO"</formula>
    </cfRule>
  </conditionalFormatting>
  <conditionalFormatting sqref="J43">
    <cfRule type="cellIs" dxfId="35904" priority="6241" operator="equal">
      <formula>"OFF"</formula>
    </cfRule>
    <cfRule type="cellIs" dxfId="35903" priority="6242" operator="equal">
      <formula>"PTO"</formula>
    </cfRule>
  </conditionalFormatting>
  <conditionalFormatting sqref="J43">
    <cfRule type="cellIs" dxfId="35902" priority="6239" operator="equal">
      <formula>"OFF"</formula>
    </cfRule>
    <cfRule type="cellIs" dxfId="35901" priority="6240" operator="equal">
      <formula>"PTO"</formula>
    </cfRule>
  </conditionalFormatting>
  <conditionalFormatting sqref="J43">
    <cfRule type="cellIs" dxfId="35900" priority="6237" operator="equal">
      <formula>"OFF"</formula>
    </cfRule>
    <cfRule type="cellIs" dxfId="35899" priority="6238" operator="equal">
      <formula>"PTO"</formula>
    </cfRule>
  </conditionalFormatting>
  <conditionalFormatting sqref="P43">
    <cfRule type="cellIs" dxfId="35898" priority="6235" operator="equal">
      <formula>"OFF"</formula>
    </cfRule>
    <cfRule type="cellIs" dxfId="35897" priority="6236" operator="equal">
      <formula>"PTO"</formula>
    </cfRule>
  </conditionalFormatting>
  <conditionalFormatting sqref="P43">
    <cfRule type="cellIs" dxfId="35896" priority="6233" operator="equal">
      <formula>"OFF"</formula>
    </cfRule>
    <cfRule type="cellIs" dxfId="35895" priority="6234" operator="equal">
      <formula>"PTO"</formula>
    </cfRule>
  </conditionalFormatting>
  <conditionalFormatting sqref="P43">
    <cfRule type="cellIs" dxfId="35894" priority="6231" operator="equal">
      <formula>"OFF"</formula>
    </cfRule>
    <cfRule type="cellIs" dxfId="35893" priority="6232" operator="equal">
      <formula>"PTO"</formula>
    </cfRule>
  </conditionalFormatting>
  <conditionalFormatting sqref="P43">
    <cfRule type="cellIs" dxfId="35892" priority="6229" operator="equal">
      <formula>"OFF"</formula>
    </cfRule>
    <cfRule type="cellIs" dxfId="35891" priority="6230" operator="equal">
      <formula>"PTO"</formula>
    </cfRule>
  </conditionalFormatting>
  <conditionalFormatting sqref="P43">
    <cfRule type="cellIs" dxfId="35890" priority="6227" operator="equal">
      <formula>"OFF"</formula>
    </cfRule>
    <cfRule type="cellIs" dxfId="35889" priority="6228" operator="equal">
      <formula>"PTO"</formula>
    </cfRule>
  </conditionalFormatting>
  <conditionalFormatting sqref="P43">
    <cfRule type="cellIs" dxfId="35888" priority="6225" operator="equal">
      <formula>"OFF"</formula>
    </cfRule>
    <cfRule type="cellIs" dxfId="35887" priority="6226" operator="equal">
      <formula>"PTO"</formula>
    </cfRule>
  </conditionalFormatting>
  <conditionalFormatting sqref="P43">
    <cfRule type="cellIs" dxfId="35886" priority="6223" operator="equal">
      <formula>"OFF"</formula>
    </cfRule>
    <cfRule type="cellIs" dxfId="35885" priority="6224" operator="equal">
      <formula>"PTO"</formula>
    </cfRule>
  </conditionalFormatting>
  <conditionalFormatting sqref="P43">
    <cfRule type="cellIs" dxfId="35884" priority="6221" operator="equal">
      <formula>"OFF"</formula>
    </cfRule>
    <cfRule type="cellIs" dxfId="35883" priority="6222" operator="equal">
      <formula>"PTO"</formula>
    </cfRule>
  </conditionalFormatting>
  <conditionalFormatting sqref="P43">
    <cfRule type="cellIs" dxfId="35882" priority="6219" operator="equal">
      <formula>"OFF"</formula>
    </cfRule>
    <cfRule type="cellIs" dxfId="35881" priority="6220" operator="equal">
      <formula>"PTO"</formula>
    </cfRule>
  </conditionalFormatting>
  <conditionalFormatting sqref="O46">
    <cfRule type="cellIs" dxfId="35880" priority="6217" operator="equal">
      <formula>"OFF"</formula>
    </cfRule>
    <cfRule type="cellIs" dxfId="35879" priority="6218" operator="equal">
      <formula>"PTO"</formula>
    </cfRule>
  </conditionalFormatting>
  <conditionalFormatting sqref="O46">
    <cfRule type="cellIs" dxfId="35878" priority="6215" operator="equal">
      <formula>"OFF"</formula>
    </cfRule>
    <cfRule type="cellIs" dxfId="35877" priority="6216" operator="equal">
      <formula>"PTO"</formula>
    </cfRule>
  </conditionalFormatting>
  <conditionalFormatting sqref="J46">
    <cfRule type="cellIs" dxfId="35876" priority="6213" operator="equal">
      <formula>"OFF"</formula>
    </cfRule>
    <cfRule type="cellIs" dxfId="35875" priority="6214" operator="equal">
      <formula>"PTO"</formula>
    </cfRule>
  </conditionalFormatting>
  <conditionalFormatting sqref="J46">
    <cfRule type="cellIs" dxfId="35874" priority="6211" operator="equal">
      <formula>"OFF"</formula>
    </cfRule>
    <cfRule type="cellIs" dxfId="35873" priority="6212" operator="equal">
      <formula>"PTO"</formula>
    </cfRule>
  </conditionalFormatting>
  <conditionalFormatting sqref="J46">
    <cfRule type="cellIs" dxfId="35872" priority="6209" operator="equal">
      <formula>"OFF"</formula>
    </cfRule>
    <cfRule type="cellIs" dxfId="35871" priority="6210" operator="equal">
      <formula>"PTO"</formula>
    </cfRule>
  </conditionalFormatting>
  <conditionalFormatting sqref="J46">
    <cfRule type="cellIs" dxfId="35870" priority="6207" operator="equal">
      <formula>"OFF"</formula>
    </cfRule>
    <cfRule type="cellIs" dxfId="35869" priority="6208" operator="equal">
      <formula>"PTO"</formula>
    </cfRule>
  </conditionalFormatting>
  <conditionalFormatting sqref="J46">
    <cfRule type="cellIs" dxfId="35868" priority="6205" operator="equal">
      <formula>"OFF"</formula>
    </cfRule>
    <cfRule type="cellIs" dxfId="35867" priority="6206" operator="equal">
      <formula>"PTO"</formula>
    </cfRule>
  </conditionalFormatting>
  <conditionalFormatting sqref="J46">
    <cfRule type="cellIs" dxfId="35866" priority="6203" operator="equal">
      <formula>"OFF"</formula>
    </cfRule>
    <cfRule type="cellIs" dxfId="35865" priority="6204" operator="equal">
      <formula>"PTO"</formula>
    </cfRule>
  </conditionalFormatting>
  <conditionalFormatting sqref="J46">
    <cfRule type="cellIs" dxfId="35864" priority="6201" operator="equal">
      <formula>"OFF"</formula>
    </cfRule>
    <cfRule type="cellIs" dxfId="35863" priority="6202" operator="equal">
      <formula>"PTO"</formula>
    </cfRule>
  </conditionalFormatting>
  <conditionalFormatting sqref="J46">
    <cfRule type="cellIs" dxfId="35862" priority="6199" operator="equal">
      <formula>"OFF"</formula>
    </cfRule>
    <cfRule type="cellIs" dxfId="35861" priority="6200" operator="equal">
      <formula>"PTO"</formula>
    </cfRule>
  </conditionalFormatting>
  <conditionalFormatting sqref="J46">
    <cfRule type="cellIs" dxfId="35860" priority="6197" operator="equal">
      <formula>"OFF"</formula>
    </cfRule>
    <cfRule type="cellIs" dxfId="35859" priority="6198" operator="equal">
      <formula>"PTO"</formula>
    </cfRule>
  </conditionalFormatting>
  <conditionalFormatting sqref="P46">
    <cfRule type="cellIs" dxfId="35858" priority="6195" operator="equal">
      <formula>"OFF"</formula>
    </cfRule>
    <cfRule type="cellIs" dxfId="35857" priority="6196" operator="equal">
      <formula>"PTO"</formula>
    </cfRule>
  </conditionalFormatting>
  <conditionalFormatting sqref="P46">
    <cfRule type="cellIs" dxfId="35856" priority="6193" operator="equal">
      <formula>"OFF"</formula>
    </cfRule>
    <cfRule type="cellIs" dxfId="35855" priority="6194" operator="equal">
      <formula>"PTO"</formula>
    </cfRule>
  </conditionalFormatting>
  <conditionalFormatting sqref="P46">
    <cfRule type="cellIs" dxfId="35854" priority="6191" operator="equal">
      <formula>"OFF"</formula>
    </cfRule>
    <cfRule type="cellIs" dxfId="35853" priority="6192" operator="equal">
      <formula>"PTO"</formula>
    </cfRule>
  </conditionalFormatting>
  <conditionalFormatting sqref="P46">
    <cfRule type="cellIs" dxfId="35852" priority="6189" operator="equal">
      <formula>"OFF"</formula>
    </cfRule>
    <cfRule type="cellIs" dxfId="35851" priority="6190" operator="equal">
      <formula>"PTO"</formula>
    </cfRule>
  </conditionalFormatting>
  <conditionalFormatting sqref="P46">
    <cfRule type="cellIs" dxfId="35850" priority="6187" operator="equal">
      <formula>"OFF"</formula>
    </cfRule>
    <cfRule type="cellIs" dxfId="35849" priority="6188" operator="equal">
      <formula>"PTO"</formula>
    </cfRule>
  </conditionalFormatting>
  <conditionalFormatting sqref="P46">
    <cfRule type="cellIs" dxfId="35848" priority="6185" operator="equal">
      <formula>"OFF"</formula>
    </cfRule>
    <cfRule type="cellIs" dxfId="35847" priority="6186" operator="equal">
      <formula>"PTO"</formula>
    </cfRule>
  </conditionalFormatting>
  <conditionalFormatting sqref="P46">
    <cfRule type="cellIs" dxfId="35846" priority="6183" operator="equal">
      <formula>"OFF"</formula>
    </cfRule>
    <cfRule type="cellIs" dxfId="35845" priority="6184" operator="equal">
      <formula>"PTO"</formula>
    </cfRule>
  </conditionalFormatting>
  <conditionalFormatting sqref="P46">
    <cfRule type="cellIs" dxfId="35844" priority="6181" operator="equal">
      <formula>"OFF"</formula>
    </cfRule>
    <cfRule type="cellIs" dxfId="35843" priority="6182" operator="equal">
      <formula>"PTO"</formula>
    </cfRule>
  </conditionalFormatting>
  <conditionalFormatting sqref="P46">
    <cfRule type="cellIs" dxfId="35842" priority="6179" operator="equal">
      <formula>"OFF"</formula>
    </cfRule>
    <cfRule type="cellIs" dxfId="35841" priority="6180" operator="equal">
      <formula>"PTO"</formula>
    </cfRule>
  </conditionalFormatting>
  <conditionalFormatting sqref="J43 O43:P43">
    <cfRule type="cellIs" dxfId="35840" priority="6177" operator="equal">
      <formula>"OFF"</formula>
    </cfRule>
    <cfRule type="cellIs" dxfId="35839" priority="6178" operator="equal">
      <formula>"PTO"</formula>
    </cfRule>
  </conditionalFormatting>
  <conditionalFormatting sqref="J43 O43:P43">
    <cfRule type="cellIs" dxfId="35838" priority="6175" operator="equal">
      <formula>"OFF"</formula>
    </cfRule>
    <cfRule type="cellIs" dxfId="35837" priority="6176" operator="equal">
      <formula>"PTO"</formula>
    </cfRule>
  </conditionalFormatting>
  <conditionalFormatting sqref="J43 O43:P43">
    <cfRule type="cellIs" dxfId="35836" priority="6173" operator="equal">
      <formula>"OFF"</formula>
    </cfRule>
    <cfRule type="cellIs" dxfId="35835" priority="6174" operator="equal">
      <formula>"PTO"</formula>
    </cfRule>
  </conditionalFormatting>
  <conditionalFormatting sqref="J45 O45:P45">
    <cfRule type="cellIs" dxfId="35834" priority="6165" operator="equal">
      <formula>"OFF"</formula>
    </cfRule>
    <cfRule type="cellIs" dxfId="35833" priority="6166" operator="equal">
      <formula>"PTO"</formula>
    </cfRule>
  </conditionalFormatting>
  <conditionalFormatting sqref="J45 O45:P45">
    <cfRule type="cellIs" dxfId="35832" priority="6163" operator="equal">
      <formula>"OFF"</formula>
    </cfRule>
    <cfRule type="cellIs" dxfId="35831" priority="6164" operator="equal">
      <formula>"PTO"</formula>
    </cfRule>
  </conditionalFormatting>
  <conditionalFormatting sqref="J45 O45:P45">
    <cfRule type="cellIs" dxfId="35830" priority="6161" operator="equal">
      <formula>"OFF"</formula>
    </cfRule>
    <cfRule type="cellIs" dxfId="35829" priority="6162" operator="equal">
      <formula>"PTO"</formula>
    </cfRule>
  </conditionalFormatting>
  <conditionalFormatting sqref="J45 O45:P45">
    <cfRule type="cellIs" dxfId="35828" priority="6159" operator="equal">
      <formula>"OFF"</formula>
    </cfRule>
    <cfRule type="cellIs" dxfId="35827" priority="6160" operator="equal">
      <formula>"PTO"</formula>
    </cfRule>
  </conditionalFormatting>
  <conditionalFormatting sqref="J45 O45:P45">
    <cfRule type="cellIs" dxfId="35826" priority="6157" operator="equal">
      <formula>"OFF"</formula>
    </cfRule>
    <cfRule type="cellIs" dxfId="35825" priority="6158" operator="equal">
      <formula>"PTO"</formula>
    </cfRule>
  </conditionalFormatting>
  <conditionalFormatting sqref="J45 O45:P45">
    <cfRule type="cellIs" dxfId="35824" priority="6155" operator="equal">
      <formula>"OFF"</formula>
    </cfRule>
    <cfRule type="cellIs" dxfId="35823" priority="6156" operator="equal">
      <formula>"PTO"</formula>
    </cfRule>
  </conditionalFormatting>
  <conditionalFormatting sqref="J45 O45:P45">
    <cfRule type="cellIs" dxfId="35822" priority="6153" operator="equal">
      <formula>"OFF"</formula>
    </cfRule>
    <cfRule type="cellIs" dxfId="35821" priority="6154" operator="equal">
      <formula>"PTO"</formula>
    </cfRule>
  </conditionalFormatting>
  <conditionalFormatting sqref="J45 O45:P45">
    <cfRule type="cellIs" dxfId="35820" priority="6151" operator="equal">
      <formula>"OFF"</formula>
    </cfRule>
    <cfRule type="cellIs" dxfId="35819" priority="6152" operator="equal">
      <formula>"PTO"</formula>
    </cfRule>
  </conditionalFormatting>
  <conditionalFormatting sqref="J45 O45:P45">
    <cfRule type="cellIs" dxfId="35818" priority="6149" operator="equal">
      <formula>"OFF"</formula>
    </cfRule>
    <cfRule type="cellIs" dxfId="35817" priority="6150" operator="equal">
      <formula>"PTO"</formula>
    </cfRule>
  </conditionalFormatting>
  <conditionalFormatting sqref="J45 O45:P45">
    <cfRule type="cellIs" dxfId="35816" priority="6147" operator="equal">
      <formula>"OFF"</formula>
    </cfRule>
    <cfRule type="cellIs" dxfId="35815" priority="6148" operator="equal">
      <formula>"PTO"</formula>
    </cfRule>
  </conditionalFormatting>
  <conditionalFormatting sqref="J45 O45:P45">
    <cfRule type="cellIs" dxfId="35814" priority="6145" operator="equal">
      <formula>"OFF"</formula>
    </cfRule>
    <cfRule type="cellIs" dxfId="35813" priority="6146" operator="equal">
      <formula>"PTO"</formula>
    </cfRule>
  </conditionalFormatting>
  <conditionalFormatting sqref="J45 O45:P45">
    <cfRule type="cellIs" dxfId="35812" priority="6143" operator="equal">
      <formula>"OFF"</formula>
    </cfRule>
    <cfRule type="cellIs" dxfId="35811" priority="6144" operator="equal">
      <formula>"PTO"</formula>
    </cfRule>
  </conditionalFormatting>
  <conditionalFormatting sqref="J45 O45:P45">
    <cfRule type="cellIs" dxfId="35810" priority="6141" operator="equal">
      <formula>"OFF"</formula>
    </cfRule>
    <cfRule type="cellIs" dxfId="35809" priority="6142" operator="equal">
      <formula>"PTO"</formula>
    </cfRule>
  </conditionalFormatting>
  <conditionalFormatting sqref="J45 O45:P45">
    <cfRule type="cellIs" dxfId="35808" priority="6139" operator="equal">
      <formula>"OFF"</formula>
    </cfRule>
    <cfRule type="cellIs" dxfId="35807" priority="6140" operator="equal">
      <formula>"PTO"</formula>
    </cfRule>
  </conditionalFormatting>
  <conditionalFormatting sqref="J45 O45:P45">
    <cfRule type="cellIs" dxfId="35806" priority="6137" operator="equal">
      <formula>"OFF"</formula>
    </cfRule>
    <cfRule type="cellIs" dxfId="35805" priority="6138" operator="equal">
      <formula>"PTO"</formula>
    </cfRule>
  </conditionalFormatting>
  <conditionalFormatting sqref="J45 O45:P45">
    <cfRule type="cellIs" dxfId="35804" priority="6135" operator="equal">
      <formula>"OFF"</formula>
    </cfRule>
    <cfRule type="cellIs" dxfId="35803" priority="6136" operator="equal">
      <formula>"PTO"</formula>
    </cfRule>
  </conditionalFormatting>
  <conditionalFormatting sqref="J45 O45:P45">
    <cfRule type="cellIs" dxfId="35802" priority="6133" operator="equal">
      <formula>"OFF"</formula>
    </cfRule>
    <cfRule type="cellIs" dxfId="35801" priority="6134" operator="equal">
      <formula>"PTO"</formula>
    </cfRule>
  </conditionalFormatting>
  <conditionalFormatting sqref="J45 O45:P45">
    <cfRule type="cellIs" dxfId="35800" priority="6131" operator="equal">
      <formula>"OFF"</formula>
    </cfRule>
    <cfRule type="cellIs" dxfId="35799" priority="6132" operator="equal">
      <formula>"PTO"</formula>
    </cfRule>
  </conditionalFormatting>
  <conditionalFormatting sqref="J45 O45:P45">
    <cfRule type="cellIs" dxfId="35798" priority="6129" operator="equal">
      <formula>"OFF"</formula>
    </cfRule>
    <cfRule type="cellIs" dxfId="35797" priority="6130" operator="equal">
      <formula>"PTO"</formula>
    </cfRule>
  </conditionalFormatting>
  <conditionalFormatting sqref="J45 O45:P45">
    <cfRule type="cellIs" dxfId="35796" priority="6127" operator="equal">
      <formula>"OFF"</formula>
    </cfRule>
    <cfRule type="cellIs" dxfId="35795" priority="6128" operator="equal">
      <formula>"PTO"</formula>
    </cfRule>
  </conditionalFormatting>
  <conditionalFormatting sqref="J45 O45:P45">
    <cfRule type="cellIs" dxfId="35794" priority="6125" operator="equal">
      <formula>"OFF"</formula>
    </cfRule>
    <cfRule type="cellIs" dxfId="35793" priority="6126" operator="equal">
      <formula>"PTO"</formula>
    </cfRule>
  </conditionalFormatting>
  <conditionalFormatting sqref="J45 O45:P45">
    <cfRule type="cellIs" dxfId="35792" priority="6123" operator="equal">
      <formula>"OFF"</formula>
    </cfRule>
    <cfRule type="cellIs" dxfId="35791" priority="6124" operator="equal">
      <formula>"PTO"</formula>
    </cfRule>
  </conditionalFormatting>
  <conditionalFormatting sqref="J45 O45:P45">
    <cfRule type="cellIs" dxfId="35790" priority="6121" operator="equal">
      <formula>"OFF"</formula>
    </cfRule>
    <cfRule type="cellIs" dxfId="35789" priority="6122" operator="equal">
      <formula>"PTO"</formula>
    </cfRule>
  </conditionalFormatting>
  <conditionalFormatting sqref="J45 O45:P45">
    <cfRule type="cellIs" dxfId="35788" priority="6119" operator="equal">
      <formula>"OFF"</formula>
    </cfRule>
    <cfRule type="cellIs" dxfId="35787" priority="6120" operator="equal">
      <formula>"PTO"</formula>
    </cfRule>
  </conditionalFormatting>
  <conditionalFormatting sqref="J45 O45:P45">
    <cfRule type="cellIs" dxfId="35786" priority="6117" operator="equal">
      <formula>"OFF"</formula>
    </cfRule>
    <cfRule type="cellIs" dxfId="35785" priority="6118" operator="equal">
      <formula>"PTO"</formula>
    </cfRule>
  </conditionalFormatting>
  <conditionalFormatting sqref="J45 O45:P45">
    <cfRule type="cellIs" dxfId="35784" priority="6115" operator="equal">
      <formula>"OFF"</formula>
    </cfRule>
    <cfRule type="cellIs" dxfId="35783" priority="6116" operator="equal">
      <formula>"PTO"</formula>
    </cfRule>
  </conditionalFormatting>
  <conditionalFormatting sqref="J47 O47:P47">
    <cfRule type="cellIs" dxfId="35782" priority="6113" operator="equal">
      <formula>"OFF"</formula>
    </cfRule>
    <cfRule type="cellIs" dxfId="35781" priority="6114" operator="equal">
      <formula>"PTO"</formula>
    </cfRule>
  </conditionalFormatting>
  <conditionalFormatting sqref="J46 O46:P46">
    <cfRule type="cellIs" dxfId="35780" priority="6111" operator="equal">
      <formula>"OFF"</formula>
    </cfRule>
    <cfRule type="cellIs" dxfId="35779" priority="6112" operator="equal">
      <formula>"PTO"</formula>
    </cfRule>
  </conditionalFormatting>
  <conditionalFormatting sqref="J49 O49:P49">
    <cfRule type="cellIs" dxfId="35778" priority="6109" operator="equal">
      <formula>"OFF"</formula>
    </cfRule>
    <cfRule type="cellIs" dxfId="35777" priority="6110" operator="equal">
      <formula>"PTO"</formula>
    </cfRule>
  </conditionalFormatting>
  <conditionalFormatting sqref="J48 O48:P48">
    <cfRule type="cellIs" dxfId="35776" priority="6107" operator="equal">
      <formula>"OFF"</formula>
    </cfRule>
    <cfRule type="cellIs" dxfId="35775" priority="6108" operator="equal">
      <formula>"PTO"</formula>
    </cfRule>
  </conditionalFormatting>
  <conditionalFormatting sqref="J48 O48:P48">
    <cfRule type="cellIs" dxfId="35774" priority="6105" operator="equal">
      <formula>"OFF"</formula>
    </cfRule>
    <cfRule type="cellIs" dxfId="35773" priority="6106" operator="equal">
      <formula>"PTO"</formula>
    </cfRule>
  </conditionalFormatting>
  <conditionalFormatting sqref="J48 O48:P48">
    <cfRule type="cellIs" dxfId="35772" priority="6103" operator="equal">
      <formula>"OFF"</formula>
    </cfRule>
    <cfRule type="cellIs" dxfId="35771" priority="6104" operator="equal">
      <formula>"PTO"</formula>
    </cfRule>
  </conditionalFormatting>
  <conditionalFormatting sqref="J48 O48:P48">
    <cfRule type="cellIs" dxfId="35770" priority="6101" operator="equal">
      <formula>"OFF"</formula>
    </cfRule>
    <cfRule type="cellIs" dxfId="35769" priority="6102" operator="equal">
      <formula>"PTO"</formula>
    </cfRule>
  </conditionalFormatting>
  <conditionalFormatting sqref="J48 O48:P48">
    <cfRule type="cellIs" dxfId="35768" priority="6099" operator="equal">
      <formula>"OFF"</formula>
    </cfRule>
    <cfRule type="cellIs" dxfId="35767" priority="6100" operator="equal">
      <formula>"PTO"</formula>
    </cfRule>
  </conditionalFormatting>
  <conditionalFormatting sqref="J48 O48:P48">
    <cfRule type="cellIs" dxfId="35766" priority="6097" operator="equal">
      <formula>"OFF"</formula>
    </cfRule>
    <cfRule type="cellIs" dxfId="35765" priority="6098" operator="equal">
      <formula>"PTO"</formula>
    </cfRule>
  </conditionalFormatting>
  <conditionalFormatting sqref="J48 O48:P48">
    <cfRule type="cellIs" dxfId="35764" priority="6095" operator="equal">
      <formula>"OFF"</formula>
    </cfRule>
    <cfRule type="cellIs" dxfId="35763" priority="6096" operator="equal">
      <formula>"PTO"</formula>
    </cfRule>
  </conditionalFormatting>
  <conditionalFormatting sqref="J48 O48:P48">
    <cfRule type="cellIs" dxfId="35762" priority="6093" operator="equal">
      <formula>"OFF"</formula>
    </cfRule>
    <cfRule type="cellIs" dxfId="35761" priority="6094" operator="equal">
      <formula>"PTO"</formula>
    </cfRule>
  </conditionalFormatting>
  <conditionalFormatting sqref="J48 O48:P48">
    <cfRule type="cellIs" dxfId="35760" priority="6091" operator="equal">
      <formula>"OFF"</formula>
    </cfRule>
    <cfRule type="cellIs" dxfId="35759" priority="6092" operator="equal">
      <formula>"PTO"</formula>
    </cfRule>
  </conditionalFormatting>
  <conditionalFormatting sqref="J41 O41:P41">
    <cfRule type="cellIs" dxfId="35758" priority="6089" operator="equal">
      <formula>"OFF"</formula>
    </cfRule>
    <cfRule type="cellIs" dxfId="35757" priority="6090" operator="equal">
      <formula>"PTO"</formula>
    </cfRule>
  </conditionalFormatting>
  <conditionalFormatting sqref="J41 O41:P41">
    <cfRule type="cellIs" dxfId="35756" priority="6087" operator="equal">
      <formula>"OFF"</formula>
    </cfRule>
    <cfRule type="cellIs" dxfId="35755" priority="6088" operator="equal">
      <formula>"PTO"</formula>
    </cfRule>
  </conditionalFormatting>
  <conditionalFormatting sqref="J41 O41:P41">
    <cfRule type="cellIs" dxfId="35754" priority="6085" operator="equal">
      <formula>"OFF"</formula>
    </cfRule>
    <cfRule type="cellIs" dxfId="35753" priority="6086" operator="equal">
      <formula>"PTO"</formula>
    </cfRule>
  </conditionalFormatting>
  <conditionalFormatting sqref="J41 O41:P41">
    <cfRule type="cellIs" dxfId="35752" priority="6083" operator="equal">
      <formula>"OFF"</formula>
    </cfRule>
    <cfRule type="cellIs" dxfId="35751" priority="6084" operator="equal">
      <formula>"PTO"</formula>
    </cfRule>
  </conditionalFormatting>
  <conditionalFormatting sqref="J41 P41">
    <cfRule type="cellIs" dxfId="35750" priority="6081" operator="equal">
      <formula>"OFF"</formula>
    </cfRule>
    <cfRule type="cellIs" dxfId="35749" priority="6082" operator="equal">
      <formula>"PTO"</formula>
    </cfRule>
  </conditionalFormatting>
  <conditionalFormatting sqref="O41">
    <cfRule type="cellIs" dxfId="35748" priority="6067" operator="equal">
      <formula>"OFF"</formula>
    </cfRule>
    <cfRule type="cellIs" dxfId="35747" priority="6068" operator="equal">
      <formula>"PTO"</formula>
    </cfRule>
  </conditionalFormatting>
  <conditionalFormatting sqref="O41">
    <cfRule type="cellIs" dxfId="35746" priority="6065" operator="equal">
      <formula>"OFF"</formula>
    </cfRule>
    <cfRule type="cellIs" dxfId="35745" priority="6066" operator="equal">
      <formula>"PTO"</formula>
    </cfRule>
  </conditionalFormatting>
  <conditionalFormatting sqref="P41 J41">
    <cfRule type="cellIs" dxfId="35744" priority="6063" operator="equal">
      <formula>"OFF"</formula>
    </cfRule>
    <cfRule type="cellIs" dxfId="35743" priority="6064" operator="equal">
      <formula>"PTO"</formula>
    </cfRule>
  </conditionalFormatting>
  <conditionalFormatting sqref="O41">
    <cfRule type="cellIs" dxfId="35742" priority="6055" operator="equal">
      <formula>"OFF"</formula>
    </cfRule>
    <cfRule type="cellIs" dxfId="35741" priority="6056" operator="equal">
      <formula>"PTO"</formula>
    </cfRule>
  </conditionalFormatting>
  <conditionalFormatting sqref="O41">
    <cfRule type="cellIs" dxfId="35740" priority="6053" operator="equal">
      <formula>"OFF"</formula>
    </cfRule>
    <cfRule type="cellIs" dxfId="35739" priority="6054" operator="equal">
      <formula>"PTO"</formula>
    </cfRule>
  </conditionalFormatting>
  <conditionalFormatting sqref="O41">
    <cfRule type="cellIs" dxfId="35738" priority="6051" operator="equal">
      <formula>"OFF"</formula>
    </cfRule>
    <cfRule type="cellIs" dxfId="35737" priority="6052" operator="equal">
      <formula>"PTO"</formula>
    </cfRule>
  </conditionalFormatting>
  <conditionalFormatting sqref="J41">
    <cfRule type="cellIs" dxfId="35736" priority="6049" operator="equal">
      <formula>"OFF"</formula>
    </cfRule>
    <cfRule type="cellIs" dxfId="35735" priority="6050" operator="equal">
      <formula>"PTO"</formula>
    </cfRule>
  </conditionalFormatting>
  <conditionalFormatting sqref="J41">
    <cfRule type="cellIs" dxfId="35734" priority="6047" operator="equal">
      <formula>"OFF"</formula>
    </cfRule>
    <cfRule type="cellIs" dxfId="35733" priority="6048" operator="equal">
      <formula>"PTO"</formula>
    </cfRule>
  </conditionalFormatting>
  <conditionalFormatting sqref="J41">
    <cfRule type="cellIs" dxfId="35732" priority="6045" operator="equal">
      <formula>"OFF"</formula>
    </cfRule>
    <cfRule type="cellIs" dxfId="35731" priority="6046" operator="equal">
      <formula>"PTO"</formula>
    </cfRule>
  </conditionalFormatting>
  <conditionalFormatting sqref="J41">
    <cfRule type="cellIs" dxfId="35730" priority="6043" operator="equal">
      <formula>"OFF"</formula>
    </cfRule>
    <cfRule type="cellIs" dxfId="35729" priority="6044" operator="equal">
      <formula>"PTO"</formula>
    </cfRule>
  </conditionalFormatting>
  <conditionalFormatting sqref="J41">
    <cfRule type="cellIs" dxfId="35728" priority="6041" operator="equal">
      <formula>"OFF"</formula>
    </cfRule>
    <cfRule type="cellIs" dxfId="35727" priority="6042" operator="equal">
      <formula>"PTO"</formula>
    </cfRule>
  </conditionalFormatting>
  <conditionalFormatting sqref="J41">
    <cfRule type="cellIs" dxfId="35726" priority="6039" operator="equal">
      <formula>"OFF"</formula>
    </cfRule>
    <cfRule type="cellIs" dxfId="35725" priority="6040" operator="equal">
      <formula>"PTO"</formula>
    </cfRule>
  </conditionalFormatting>
  <conditionalFormatting sqref="J41">
    <cfRule type="cellIs" dxfId="35724" priority="6037" operator="equal">
      <formula>"OFF"</formula>
    </cfRule>
    <cfRule type="cellIs" dxfId="35723" priority="6038" operator="equal">
      <formula>"PTO"</formula>
    </cfRule>
  </conditionalFormatting>
  <conditionalFormatting sqref="J41">
    <cfRule type="cellIs" dxfId="35722" priority="6035" operator="equal">
      <formula>"OFF"</formula>
    </cfRule>
    <cfRule type="cellIs" dxfId="35721" priority="6036" operator="equal">
      <formula>"PTO"</formula>
    </cfRule>
  </conditionalFormatting>
  <conditionalFormatting sqref="J41">
    <cfRule type="cellIs" dxfId="35720" priority="6033" operator="equal">
      <formula>"OFF"</formula>
    </cfRule>
    <cfRule type="cellIs" dxfId="35719" priority="6034" operator="equal">
      <formula>"PTO"</formula>
    </cfRule>
  </conditionalFormatting>
  <conditionalFormatting sqref="P41">
    <cfRule type="cellIs" dxfId="35718" priority="6031" operator="equal">
      <formula>"OFF"</formula>
    </cfRule>
    <cfRule type="cellIs" dxfId="35717" priority="6032" operator="equal">
      <formula>"PTO"</formula>
    </cfRule>
  </conditionalFormatting>
  <conditionalFormatting sqref="P41">
    <cfRule type="cellIs" dxfId="35716" priority="6029" operator="equal">
      <formula>"OFF"</formula>
    </cfRule>
    <cfRule type="cellIs" dxfId="35715" priority="6030" operator="equal">
      <formula>"PTO"</formula>
    </cfRule>
  </conditionalFormatting>
  <conditionalFormatting sqref="P41">
    <cfRule type="cellIs" dxfId="35714" priority="6027" operator="equal">
      <formula>"OFF"</formula>
    </cfRule>
    <cfRule type="cellIs" dxfId="35713" priority="6028" operator="equal">
      <formula>"PTO"</formula>
    </cfRule>
  </conditionalFormatting>
  <conditionalFormatting sqref="P41">
    <cfRule type="cellIs" dxfId="35712" priority="6025" operator="equal">
      <formula>"OFF"</formula>
    </cfRule>
    <cfRule type="cellIs" dxfId="35711" priority="6026" operator="equal">
      <formula>"PTO"</formula>
    </cfRule>
  </conditionalFormatting>
  <conditionalFormatting sqref="P41">
    <cfRule type="cellIs" dxfId="35710" priority="6023" operator="equal">
      <formula>"OFF"</formula>
    </cfRule>
    <cfRule type="cellIs" dxfId="35709" priority="6024" operator="equal">
      <formula>"PTO"</formula>
    </cfRule>
  </conditionalFormatting>
  <conditionalFormatting sqref="P41">
    <cfRule type="cellIs" dxfId="35708" priority="6021" operator="equal">
      <formula>"OFF"</formula>
    </cfRule>
    <cfRule type="cellIs" dxfId="35707" priority="6022" operator="equal">
      <formula>"PTO"</formula>
    </cfRule>
  </conditionalFormatting>
  <conditionalFormatting sqref="P41">
    <cfRule type="cellIs" dxfId="35706" priority="6019" operator="equal">
      <formula>"OFF"</formula>
    </cfRule>
    <cfRule type="cellIs" dxfId="35705" priority="6020" operator="equal">
      <formula>"PTO"</formula>
    </cfRule>
  </conditionalFormatting>
  <conditionalFormatting sqref="P41">
    <cfRule type="cellIs" dxfId="35704" priority="6017" operator="equal">
      <formula>"OFF"</formula>
    </cfRule>
    <cfRule type="cellIs" dxfId="35703" priority="6018" operator="equal">
      <formula>"PTO"</formula>
    </cfRule>
  </conditionalFormatting>
  <conditionalFormatting sqref="P41">
    <cfRule type="cellIs" dxfId="35702" priority="6015" operator="equal">
      <formula>"OFF"</formula>
    </cfRule>
    <cfRule type="cellIs" dxfId="35701" priority="6016" operator="equal">
      <formula>"PTO"</formula>
    </cfRule>
  </conditionalFormatting>
  <conditionalFormatting sqref="J41 O41:P41">
    <cfRule type="cellIs" dxfId="35700" priority="6013" operator="equal">
      <formula>"OFF"</formula>
    </cfRule>
    <cfRule type="cellIs" dxfId="35699" priority="6014" operator="equal">
      <formula>"PTO"</formula>
    </cfRule>
  </conditionalFormatting>
  <conditionalFormatting sqref="J41 O41:P41">
    <cfRule type="cellIs" dxfId="35698" priority="6011" operator="equal">
      <formula>"OFF"</formula>
    </cfRule>
    <cfRule type="cellIs" dxfId="35697" priority="6012" operator="equal">
      <formula>"PTO"</formula>
    </cfRule>
  </conditionalFormatting>
  <conditionalFormatting sqref="J41 O41:P41">
    <cfRule type="cellIs" dxfId="35696" priority="6009" operator="equal">
      <formula>"OFF"</formula>
    </cfRule>
    <cfRule type="cellIs" dxfId="35695" priority="6010" operator="equal">
      <formula>"PTO"</formula>
    </cfRule>
  </conditionalFormatting>
  <conditionalFormatting sqref="O43">
    <cfRule type="cellIs" dxfId="35694" priority="6001" operator="equal">
      <formula>"OFF"</formula>
    </cfRule>
    <cfRule type="cellIs" dxfId="35693" priority="6002" operator="equal">
      <formula>"PTO"</formula>
    </cfRule>
  </conditionalFormatting>
  <conditionalFormatting sqref="O43">
    <cfRule type="cellIs" dxfId="35692" priority="5999" operator="equal">
      <formula>"OFF"</formula>
    </cfRule>
    <cfRule type="cellIs" dxfId="35691" priority="6000" operator="equal">
      <formula>"PTO"</formula>
    </cfRule>
  </conditionalFormatting>
  <conditionalFormatting sqref="J43">
    <cfRule type="cellIs" dxfId="35690" priority="5997" operator="equal">
      <formula>"OFF"</formula>
    </cfRule>
    <cfRule type="cellIs" dxfId="35689" priority="5998" operator="equal">
      <formula>"PTO"</formula>
    </cfRule>
  </conditionalFormatting>
  <conditionalFormatting sqref="J43">
    <cfRule type="cellIs" dxfId="35688" priority="5995" operator="equal">
      <formula>"OFF"</formula>
    </cfRule>
    <cfRule type="cellIs" dxfId="35687" priority="5996" operator="equal">
      <formula>"PTO"</formula>
    </cfRule>
  </conditionalFormatting>
  <conditionalFormatting sqref="J43">
    <cfRule type="cellIs" dxfId="35686" priority="5993" operator="equal">
      <formula>"OFF"</formula>
    </cfRule>
    <cfRule type="cellIs" dxfId="35685" priority="5994" operator="equal">
      <formula>"PTO"</formula>
    </cfRule>
  </conditionalFormatting>
  <conditionalFormatting sqref="J43">
    <cfRule type="cellIs" dxfId="35684" priority="5991" operator="equal">
      <formula>"OFF"</formula>
    </cfRule>
    <cfRule type="cellIs" dxfId="35683" priority="5992" operator="equal">
      <formula>"PTO"</formula>
    </cfRule>
  </conditionalFormatting>
  <conditionalFormatting sqref="J43">
    <cfRule type="cellIs" dxfId="35682" priority="5989" operator="equal">
      <formula>"OFF"</formula>
    </cfRule>
    <cfRule type="cellIs" dxfId="35681" priority="5990" operator="equal">
      <formula>"PTO"</formula>
    </cfRule>
  </conditionalFormatting>
  <conditionalFormatting sqref="J43">
    <cfRule type="cellIs" dxfId="35680" priority="5987" operator="equal">
      <formula>"OFF"</formula>
    </cfRule>
    <cfRule type="cellIs" dxfId="35679" priority="5988" operator="equal">
      <formula>"PTO"</formula>
    </cfRule>
  </conditionalFormatting>
  <conditionalFormatting sqref="J43">
    <cfRule type="cellIs" dxfId="35678" priority="5985" operator="equal">
      <formula>"OFF"</formula>
    </cfRule>
    <cfRule type="cellIs" dxfId="35677" priority="5986" operator="equal">
      <formula>"PTO"</formula>
    </cfRule>
  </conditionalFormatting>
  <conditionalFormatting sqref="J43">
    <cfRule type="cellIs" dxfId="35676" priority="5983" operator="equal">
      <formula>"OFF"</formula>
    </cfRule>
    <cfRule type="cellIs" dxfId="35675" priority="5984" operator="equal">
      <formula>"PTO"</formula>
    </cfRule>
  </conditionalFormatting>
  <conditionalFormatting sqref="J43">
    <cfRule type="cellIs" dxfId="35674" priority="5981" operator="equal">
      <formula>"OFF"</formula>
    </cfRule>
    <cfRule type="cellIs" dxfId="35673" priority="5982" operator="equal">
      <formula>"PTO"</formula>
    </cfRule>
  </conditionalFormatting>
  <conditionalFormatting sqref="P43">
    <cfRule type="cellIs" dxfId="35672" priority="5979" operator="equal">
      <formula>"OFF"</formula>
    </cfRule>
    <cfRule type="cellIs" dxfId="35671" priority="5980" operator="equal">
      <formula>"PTO"</formula>
    </cfRule>
  </conditionalFormatting>
  <conditionalFormatting sqref="P43">
    <cfRule type="cellIs" dxfId="35670" priority="5977" operator="equal">
      <formula>"OFF"</formula>
    </cfRule>
    <cfRule type="cellIs" dxfId="35669" priority="5978" operator="equal">
      <formula>"PTO"</formula>
    </cfRule>
  </conditionalFormatting>
  <conditionalFormatting sqref="P43">
    <cfRule type="cellIs" dxfId="35668" priority="5975" operator="equal">
      <formula>"OFF"</formula>
    </cfRule>
    <cfRule type="cellIs" dxfId="35667" priority="5976" operator="equal">
      <formula>"PTO"</formula>
    </cfRule>
  </conditionalFormatting>
  <conditionalFormatting sqref="P43">
    <cfRule type="cellIs" dxfId="35666" priority="5973" operator="equal">
      <formula>"OFF"</formula>
    </cfRule>
    <cfRule type="cellIs" dxfId="35665" priority="5974" operator="equal">
      <formula>"PTO"</formula>
    </cfRule>
  </conditionalFormatting>
  <conditionalFormatting sqref="P43">
    <cfRule type="cellIs" dxfId="35664" priority="5971" operator="equal">
      <formula>"OFF"</formula>
    </cfRule>
    <cfRule type="cellIs" dxfId="35663" priority="5972" operator="equal">
      <formula>"PTO"</formula>
    </cfRule>
  </conditionalFormatting>
  <conditionalFormatting sqref="P43">
    <cfRule type="cellIs" dxfId="35662" priority="5969" operator="equal">
      <formula>"OFF"</formula>
    </cfRule>
    <cfRule type="cellIs" dxfId="35661" priority="5970" operator="equal">
      <formula>"PTO"</formula>
    </cfRule>
  </conditionalFormatting>
  <conditionalFormatting sqref="P43">
    <cfRule type="cellIs" dxfId="35660" priority="5967" operator="equal">
      <formula>"OFF"</formula>
    </cfRule>
    <cfRule type="cellIs" dxfId="35659" priority="5968" operator="equal">
      <formula>"PTO"</formula>
    </cfRule>
  </conditionalFormatting>
  <conditionalFormatting sqref="P43">
    <cfRule type="cellIs" dxfId="35658" priority="5965" operator="equal">
      <formula>"OFF"</formula>
    </cfRule>
    <cfRule type="cellIs" dxfId="35657" priority="5966" operator="equal">
      <formula>"PTO"</formula>
    </cfRule>
  </conditionalFormatting>
  <conditionalFormatting sqref="P43">
    <cfRule type="cellIs" dxfId="35656" priority="5963" operator="equal">
      <formula>"OFF"</formula>
    </cfRule>
    <cfRule type="cellIs" dxfId="35655" priority="5964" operator="equal">
      <formula>"PTO"</formula>
    </cfRule>
  </conditionalFormatting>
  <conditionalFormatting sqref="J43 O43:P43">
    <cfRule type="cellIs" dxfId="35654" priority="5961" operator="equal">
      <formula>"OFF"</formula>
    </cfRule>
    <cfRule type="cellIs" dxfId="35653" priority="5962" operator="equal">
      <formula>"PTO"</formula>
    </cfRule>
  </conditionalFormatting>
  <conditionalFormatting sqref="J43 O43:P43">
    <cfRule type="cellIs" dxfId="35652" priority="5959" operator="equal">
      <formula>"OFF"</formula>
    </cfRule>
    <cfRule type="cellIs" dxfId="35651" priority="5960" operator="equal">
      <formula>"PTO"</formula>
    </cfRule>
  </conditionalFormatting>
  <conditionalFormatting sqref="J43 O43:P43">
    <cfRule type="cellIs" dxfId="35650" priority="5957" operator="equal">
      <formula>"OFF"</formula>
    </cfRule>
    <cfRule type="cellIs" dxfId="35649" priority="5958" operator="equal">
      <formula>"PTO"</formula>
    </cfRule>
  </conditionalFormatting>
  <conditionalFormatting sqref="J41 O41">
    <cfRule type="cellIs" dxfId="35648" priority="5949" operator="equal">
      <formula>"OFF"</formula>
    </cfRule>
    <cfRule type="cellIs" dxfId="35647" priority="5950" operator="equal">
      <formula>"PTO"</formula>
    </cfRule>
  </conditionalFormatting>
  <conditionalFormatting sqref="P41">
    <cfRule type="cellIs" dxfId="35646" priority="5947" operator="equal">
      <formula>"OFF"</formula>
    </cfRule>
    <cfRule type="cellIs" dxfId="35645" priority="5948" operator="equal">
      <formula>"PTO"</formula>
    </cfRule>
  </conditionalFormatting>
  <conditionalFormatting sqref="J43 O43:P43">
    <cfRule type="cellIs" dxfId="35644" priority="5945" operator="equal">
      <formula>"OFF"</formula>
    </cfRule>
    <cfRule type="cellIs" dxfId="35643" priority="5946" operator="equal">
      <formula>"PTO"</formula>
    </cfRule>
  </conditionalFormatting>
  <conditionalFormatting sqref="J43 O43:P43">
    <cfRule type="cellIs" dxfId="35642" priority="5943" operator="equal">
      <formula>"OFF"</formula>
    </cfRule>
    <cfRule type="cellIs" dxfId="35641" priority="5944" operator="equal">
      <formula>"PTO"</formula>
    </cfRule>
  </conditionalFormatting>
  <conditionalFormatting sqref="J43 O43:P43">
    <cfRule type="cellIs" dxfId="35640" priority="5941" operator="equal">
      <formula>"OFF"</formula>
    </cfRule>
    <cfRule type="cellIs" dxfId="35639" priority="5942" operator="equal">
      <formula>"PTO"</formula>
    </cfRule>
  </conditionalFormatting>
  <conditionalFormatting sqref="J41 O41:P41">
    <cfRule type="cellIs" dxfId="35638" priority="5939" operator="equal">
      <formula>"OFF"</formula>
    </cfRule>
    <cfRule type="cellIs" dxfId="35637" priority="5940" operator="equal">
      <formula>"PTO"</formula>
    </cfRule>
  </conditionalFormatting>
  <conditionalFormatting sqref="J41 O41:P41">
    <cfRule type="cellIs" dxfId="35636" priority="5937" operator="equal">
      <formula>"OFF"</formula>
    </cfRule>
    <cfRule type="cellIs" dxfId="35635" priority="5938" operator="equal">
      <formula>"PTO"</formula>
    </cfRule>
  </conditionalFormatting>
  <conditionalFormatting sqref="J41 O41:P41">
    <cfRule type="cellIs" dxfId="35634" priority="5935" operator="equal">
      <formula>"OFF"</formula>
    </cfRule>
    <cfRule type="cellIs" dxfId="35633" priority="5936" operator="equal">
      <formula>"PTO"</formula>
    </cfRule>
  </conditionalFormatting>
  <conditionalFormatting sqref="J41 O41:P41">
    <cfRule type="cellIs" dxfId="35632" priority="5933" operator="equal">
      <formula>"OFF"</formula>
    </cfRule>
    <cfRule type="cellIs" dxfId="35631" priority="5934" operator="equal">
      <formula>"PTO"</formula>
    </cfRule>
  </conditionalFormatting>
  <conditionalFormatting sqref="J43 O43:P43">
    <cfRule type="cellIs" dxfId="35630" priority="5931" operator="equal">
      <formula>"OFF"</formula>
    </cfRule>
    <cfRule type="cellIs" dxfId="35629" priority="5932" operator="equal">
      <formula>"PTO"</formula>
    </cfRule>
  </conditionalFormatting>
  <conditionalFormatting sqref="J43 O43:P43">
    <cfRule type="cellIs" dxfId="35628" priority="5929" operator="equal">
      <formula>"OFF"</formula>
    </cfRule>
    <cfRule type="cellIs" dxfId="35627" priority="5930" operator="equal">
      <formula>"PTO"</formula>
    </cfRule>
  </conditionalFormatting>
  <conditionalFormatting sqref="J43 O43:P43">
    <cfRule type="cellIs" dxfId="35626" priority="5927" operator="equal">
      <formula>"OFF"</formula>
    </cfRule>
    <cfRule type="cellIs" dxfId="35625" priority="5928" operator="equal">
      <formula>"PTO"</formula>
    </cfRule>
  </conditionalFormatting>
  <conditionalFormatting sqref="O46">
    <cfRule type="cellIs" dxfId="35624" priority="5873" operator="equal">
      <formula>"OFF"</formula>
    </cfRule>
    <cfRule type="cellIs" dxfId="35623" priority="5874" operator="equal">
      <formula>"PTO"</formula>
    </cfRule>
  </conditionalFormatting>
  <conditionalFormatting sqref="O46">
    <cfRule type="cellIs" dxfId="35622" priority="5871" operator="equal">
      <formula>"OFF"</formula>
    </cfRule>
    <cfRule type="cellIs" dxfId="35621" priority="5872" operator="equal">
      <formula>"PTO"</formula>
    </cfRule>
  </conditionalFormatting>
  <conditionalFormatting sqref="J46">
    <cfRule type="cellIs" dxfId="35620" priority="5869" operator="equal">
      <formula>"OFF"</formula>
    </cfRule>
    <cfRule type="cellIs" dxfId="35619" priority="5870" operator="equal">
      <formula>"PTO"</formula>
    </cfRule>
  </conditionalFormatting>
  <conditionalFormatting sqref="J46">
    <cfRule type="cellIs" dxfId="35618" priority="5867" operator="equal">
      <formula>"OFF"</formula>
    </cfRule>
    <cfRule type="cellIs" dxfId="35617" priority="5868" operator="equal">
      <formula>"PTO"</formula>
    </cfRule>
  </conditionalFormatting>
  <conditionalFormatting sqref="J46">
    <cfRule type="cellIs" dxfId="35616" priority="5865" operator="equal">
      <formula>"OFF"</formula>
    </cfRule>
    <cfRule type="cellIs" dxfId="35615" priority="5866" operator="equal">
      <formula>"PTO"</formula>
    </cfRule>
  </conditionalFormatting>
  <conditionalFormatting sqref="J46">
    <cfRule type="cellIs" dxfId="35614" priority="5863" operator="equal">
      <formula>"OFF"</formula>
    </cfRule>
    <cfRule type="cellIs" dxfId="35613" priority="5864" operator="equal">
      <formula>"PTO"</formula>
    </cfRule>
  </conditionalFormatting>
  <conditionalFormatting sqref="J46">
    <cfRule type="cellIs" dxfId="35612" priority="5861" operator="equal">
      <formula>"OFF"</formula>
    </cfRule>
    <cfRule type="cellIs" dxfId="35611" priority="5862" operator="equal">
      <formula>"PTO"</formula>
    </cfRule>
  </conditionalFormatting>
  <conditionalFormatting sqref="J46">
    <cfRule type="cellIs" dxfId="35610" priority="5859" operator="equal">
      <formula>"OFF"</formula>
    </cfRule>
    <cfRule type="cellIs" dxfId="35609" priority="5860" operator="equal">
      <formula>"PTO"</formula>
    </cfRule>
  </conditionalFormatting>
  <conditionalFormatting sqref="J46">
    <cfRule type="cellIs" dxfId="35608" priority="5857" operator="equal">
      <formula>"OFF"</formula>
    </cfRule>
    <cfRule type="cellIs" dxfId="35607" priority="5858" operator="equal">
      <formula>"PTO"</formula>
    </cfRule>
  </conditionalFormatting>
  <conditionalFormatting sqref="J46">
    <cfRule type="cellIs" dxfId="35606" priority="5855" operator="equal">
      <formula>"OFF"</formula>
    </cfRule>
    <cfRule type="cellIs" dxfId="35605" priority="5856" operator="equal">
      <formula>"PTO"</formula>
    </cfRule>
  </conditionalFormatting>
  <conditionalFormatting sqref="J46">
    <cfRule type="cellIs" dxfId="35604" priority="5853" operator="equal">
      <formula>"OFF"</formula>
    </cfRule>
    <cfRule type="cellIs" dxfId="35603" priority="5854" operator="equal">
      <formula>"PTO"</formula>
    </cfRule>
  </conditionalFormatting>
  <conditionalFormatting sqref="P46">
    <cfRule type="cellIs" dxfId="35602" priority="5851" operator="equal">
      <formula>"OFF"</formula>
    </cfRule>
    <cfRule type="cellIs" dxfId="35601" priority="5852" operator="equal">
      <formula>"PTO"</formula>
    </cfRule>
  </conditionalFormatting>
  <conditionalFormatting sqref="P46">
    <cfRule type="cellIs" dxfId="35600" priority="5849" operator="equal">
      <formula>"OFF"</formula>
    </cfRule>
    <cfRule type="cellIs" dxfId="35599" priority="5850" operator="equal">
      <formula>"PTO"</formula>
    </cfRule>
  </conditionalFormatting>
  <conditionalFormatting sqref="P46">
    <cfRule type="cellIs" dxfId="35598" priority="5847" operator="equal">
      <formula>"OFF"</formula>
    </cfRule>
    <cfRule type="cellIs" dxfId="35597" priority="5848" operator="equal">
      <formula>"PTO"</formula>
    </cfRule>
  </conditionalFormatting>
  <conditionalFormatting sqref="P46">
    <cfRule type="cellIs" dxfId="35596" priority="5845" operator="equal">
      <formula>"OFF"</formula>
    </cfRule>
    <cfRule type="cellIs" dxfId="35595" priority="5846" operator="equal">
      <formula>"PTO"</formula>
    </cfRule>
  </conditionalFormatting>
  <conditionalFormatting sqref="P46">
    <cfRule type="cellIs" dxfId="35594" priority="5843" operator="equal">
      <formula>"OFF"</formula>
    </cfRule>
    <cfRule type="cellIs" dxfId="35593" priority="5844" operator="equal">
      <formula>"PTO"</formula>
    </cfRule>
  </conditionalFormatting>
  <conditionalFormatting sqref="P46">
    <cfRule type="cellIs" dxfId="35592" priority="5841" operator="equal">
      <formula>"OFF"</formula>
    </cfRule>
    <cfRule type="cellIs" dxfId="35591" priority="5842" operator="equal">
      <formula>"PTO"</formula>
    </cfRule>
  </conditionalFormatting>
  <conditionalFormatting sqref="P46">
    <cfRule type="cellIs" dxfId="35590" priority="5839" operator="equal">
      <formula>"OFF"</formula>
    </cfRule>
    <cfRule type="cellIs" dxfId="35589" priority="5840" operator="equal">
      <formula>"PTO"</formula>
    </cfRule>
  </conditionalFormatting>
  <conditionalFormatting sqref="P46">
    <cfRule type="cellIs" dxfId="35588" priority="5837" operator="equal">
      <formula>"OFF"</formula>
    </cfRule>
    <cfRule type="cellIs" dxfId="35587" priority="5838" operator="equal">
      <formula>"PTO"</formula>
    </cfRule>
  </conditionalFormatting>
  <conditionalFormatting sqref="P46">
    <cfRule type="cellIs" dxfId="35586" priority="5835" operator="equal">
      <formula>"OFF"</formula>
    </cfRule>
    <cfRule type="cellIs" dxfId="35585" priority="5836" operator="equal">
      <formula>"PTO"</formula>
    </cfRule>
  </conditionalFormatting>
  <conditionalFormatting sqref="J45 O45:P45">
    <cfRule type="cellIs" dxfId="35584" priority="5833" operator="equal">
      <formula>"OFF"</formula>
    </cfRule>
    <cfRule type="cellIs" dxfId="35583" priority="5834" operator="equal">
      <formula>"PTO"</formula>
    </cfRule>
  </conditionalFormatting>
  <conditionalFormatting sqref="J45 O45:P45">
    <cfRule type="cellIs" dxfId="35582" priority="5831" operator="equal">
      <formula>"OFF"</formula>
    </cfRule>
    <cfRule type="cellIs" dxfId="35581" priority="5832" operator="equal">
      <formula>"PTO"</formula>
    </cfRule>
  </conditionalFormatting>
  <conditionalFormatting sqref="J45 O45:P45">
    <cfRule type="cellIs" dxfId="35580" priority="5829" operator="equal">
      <formula>"OFF"</formula>
    </cfRule>
    <cfRule type="cellIs" dxfId="35579" priority="5830" operator="equal">
      <formula>"PTO"</formula>
    </cfRule>
  </conditionalFormatting>
  <conditionalFormatting sqref="J45 O45:P45">
    <cfRule type="cellIs" dxfId="35578" priority="5827" operator="equal">
      <formula>"OFF"</formula>
    </cfRule>
    <cfRule type="cellIs" dxfId="35577" priority="5828" operator="equal">
      <formula>"PTO"</formula>
    </cfRule>
  </conditionalFormatting>
  <conditionalFormatting sqref="J45 O45:P45">
    <cfRule type="cellIs" dxfId="35576" priority="5825" operator="equal">
      <formula>"OFF"</formula>
    </cfRule>
    <cfRule type="cellIs" dxfId="35575" priority="5826" operator="equal">
      <formula>"PTO"</formula>
    </cfRule>
  </conditionalFormatting>
  <conditionalFormatting sqref="J45 O45:P45">
    <cfRule type="cellIs" dxfId="35574" priority="5823" operator="equal">
      <formula>"OFF"</formula>
    </cfRule>
    <cfRule type="cellIs" dxfId="35573" priority="5824" operator="equal">
      <formula>"PTO"</formula>
    </cfRule>
  </conditionalFormatting>
  <conditionalFormatting sqref="J45 O45:P45">
    <cfRule type="cellIs" dxfId="35572" priority="5821" operator="equal">
      <formula>"OFF"</formula>
    </cfRule>
    <cfRule type="cellIs" dxfId="35571" priority="5822" operator="equal">
      <formula>"PTO"</formula>
    </cfRule>
  </conditionalFormatting>
  <conditionalFormatting sqref="J45 O45:P45">
    <cfRule type="cellIs" dxfId="35570" priority="5819" operator="equal">
      <formula>"OFF"</formula>
    </cfRule>
    <cfRule type="cellIs" dxfId="35569" priority="5820" operator="equal">
      <formula>"PTO"</formula>
    </cfRule>
  </conditionalFormatting>
  <conditionalFormatting sqref="J45 O45:P45">
    <cfRule type="cellIs" dxfId="35568" priority="5817" operator="equal">
      <formula>"OFF"</formula>
    </cfRule>
    <cfRule type="cellIs" dxfId="35567" priority="5818" operator="equal">
      <formula>"PTO"</formula>
    </cfRule>
  </conditionalFormatting>
  <conditionalFormatting sqref="J45 O45:P45">
    <cfRule type="cellIs" dxfId="35566" priority="5815" operator="equal">
      <formula>"OFF"</formula>
    </cfRule>
    <cfRule type="cellIs" dxfId="35565" priority="5816" operator="equal">
      <formula>"PTO"</formula>
    </cfRule>
  </conditionalFormatting>
  <conditionalFormatting sqref="J45 O45:P45">
    <cfRule type="cellIs" dxfId="35564" priority="5813" operator="equal">
      <formula>"OFF"</formula>
    </cfRule>
    <cfRule type="cellIs" dxfId="35563" priority="5814" operator="equal">
      <formula>"PTO"</formula>
    </cfRule>
  </conditionalFormatting>
  <conditionalFormatting sqref="J45 O45:P45">
    <cfRule type="cellIs" dxfId="35562" priority="5811" operator="equal">
      <formula>"OFF"</formula>
    </cfRule>
    <cfRule type="cellIs" dxfId="35561" priority="5812" operator="equal">
      <formula>"PTO"</formula>
    </cfRule>
  </conditionalFormatting>
  <conditionalFormatting sqref="J45 O45:P45">
    <cfRule type="cellIs" dxfId="35560" priority="5809" operator="equal">
      <formula>"OFF"</formula>
    </cfRule>
    <cfRule type="cellIs" dxfId="35559" priority="5810" operator="equal">
      <formula>"PTO"</formula>
    </cfRule>
  </conditionalFormatting>
  <conditionalFormatting sqref="J45 O45:P45">
    <cfRule type="cellIs" dxfId="35558" priority="5807" operator="equal">
      <formula>"OFF"</formula>
    </cfRule>
    <cfRule type="cellIs" dxfId="35557" priority="5808" operator="equal">
      <formula>"PTO"</formula>
    </cfRule>
  </conditionalFormatting>
  <conditionalFormatting sqref="J45 O45:P45">
    <cfRule type="cellIs" dxfId="35556" priority="5805" operator="equal">
      <formula>"OFF"</formula>
    </cfRule>
    <cfRule type="cellIs" dxfId="35555" priority="5806" operator="equal">
      <formula>"PTO"</formula>
    </cfRule>
  </conditionalFormatting>
  <conditionalFormatting sqref="J45 O45:P45">
    <cfRule type="cellIs" dxfId="35554" priority="5803" operator="equal">
      <formula>"OFF"</formula>
    </cfRule>
    <cfRule type="cellIs" dxfId="35553" priority="5804" operator="equal">
      <formula>"PTO"</formula>
    </cfRule>
  </conditionalFormatting>
  <conditionalFormatting sqref="J45 O45:P45">
    <cfRule type="cellIs" dxfId="35552" priority="5801" operator="equal">
      <formula>"OFF"</formula>
    </cfRule>
    <cfRule type="cellIs" dxfId="35551" priority="5802" operator="equal">
      <formula>"PTO"</formula>
    </cfRule>
  </conditionalFormatting>
  <conditionalFormatting sqref="J45 O45:P45">
    <cfRule type="cellIs" dxfId="35550" priority="5799" operator="equal">
      <formula>"OFF"</formula>
    </cfRule>
    <cfRule type="cellIs" dxfId="35549" priority="5800" operator="equal">
      <formula>"PTO"</formula>
    </cfRule>
  </conditionalFormatting>
  <conditionalFormatting sqref="J45 O45:P45">
    <cfRule type="cellIs" dxfId="35548" priority="5797" operator="equal">
      <formula>"OFF"</formula>
    </cfRule>
    <cfRule type="cellIs" dxfId="35547" priority="5798" operator="equal">
      <formula>"PTO"</formula>
    </cfRule>
  </conditionalFormatting>
  <conditionalFormatting sqref="J45 O45:P45">
    <cfRule type="cellIs" dxfId="35546" priority="5795" operator="equal">
      <formula>"OFF"</formula>
    </cfRule>
    <cfRule type="cellIs" dxfId="35545" priority="5796" operator="equal">
      <formula>"PTO"</formula>
    </cfRule>
  </conditionalFormatting>
  <conditionalFormatting sqref="J45 O45:P45">
    <cfRule type="cellIs" dxfId="35544" priority="5793" operator="equal">
      <formula>"OFF"</formula>
    </cfRule>
    <cfRule type="cellIs" dxfId="35543" priority="5794" operator="equal">
      <formula>"PTO"</formula>
    </cfRule>
  </conditionalFormatting>
  <conditionalFormatting sqref="J45 O45:P45">
    <cfRule type="cellIs" dxfId="35542" priority="5791" operator="equal">
      <formula>"OFF"</formula>
    </cfRule>
    <cfRule type="cellIs" dxfId="35541" priority="5792" operator="equal">
      <formula>"PTO"</formula>
    </cfRule>
  </conditionalFormatting>
  <conditionalFormatting sqref="J45 O45:P45">
    <cfRule type="cellIs" dxfId="35540" priority="5789" operator="equal">
      <formula>"OFF"</formula>
    </cfRule>
    <cfRule type="cellIs" dxfId="35539" priority="5790" operator="equal">
      <formula>"PTO"</formula>
    </cfRule>
  </conditionalFormatting>
  <conditionalFormatting sqref="J45 O45:P45">
    <cfRule type="cellIs" dxfId="35538" priority="5787" operator="equal">
      <formula>"OFF"</formula>
    </cfRule>
    <cfRule type="cellIs" dxfId="35537" priority="5788" operator="equal">
      <formula>"PTO"</formula>
    </cfRule>
  </conditionalFormatting>
  <conditionalFormatting sqref="J45 O45:P45">
    <cfRule type="cellIs" dxfId="35536" priority="5785" operator="equal">
      <formula>"OFF"</formula>
    </cfRule>
    <cfRule type="cellIs" dxfId="35535" priority="5786" operator="equal">
      <formula>"PTO"</formula>
    </cfRule>
  </conditionalFormatting>
  <conditionalFormatting sqref="J45 O45:P45">
    <cfRule type="cellIs" dxfId="35534" priority="5783" operator="equal">
      <formula>"OFF"</formula>
    </cfRule>
    <cfRule type="cellIs" dxfId="35533" priority="5784" operator="equal">
      <formula>"PTO"</formula>
    </cfRule>
  </conditionalFormatting>
  <conditionalFormatting sqref="J46 O46:P46">
    <cfRule type="cellIs" dxfId="35532" priority="5781" operator="equal">
      <formula>"OFF"</formula>
    </cfRule>
    <cfRule type="cellIs" dxfId="35531" priority="5782" operator="equal">
      <formula>"PTO"</formula>
    </cfRule>
  </conditionalFormatting>
  <conditionalFormatting sqref="J46 O46:P46">
    <cfRule type="cellIs" dxfId="35530" priority="5779" operator="equal">
      <formula>"OFF"</formula>
    </cfRule>
    <cfRule type="cellIs" dxfId="35529" priority="5780" operator="equal">
      <formula>"PTO"</formula>
    </cfRule>
  </conditionalFormatting>
  <conditionalFormatting sqref="J46 O46:P46">
    <cfRule type="cellIs" dxfId="35528" priority="5777" operator="equal">
      <formula>"OFF"</formula>
    </cfRule>
    <cfRule type="cellIs" dxfId="35527" priority="5778" operator="equal">
      <formula>"PTO"</formula>
    </cfRule>
  </conditionalFormatting>
  <conditionalFormatting sqref="J46 O46:P46">
    <cfRule type="cellIs" dxfId="35526" priority="5775" operator="equal">
      <formula>"OFF"</formula>
    </cfRule>
    <cfRule type="cellIs" dxfId="35525" priority="5776" operator="equal">
      <formula>"PTO"</formula>
    </cfRule>
  </conditionalFormatting>
  <conditionalFormatting sqref="J46 O46:P46">
    <cfRule type="cellIs" dxfId="35524" priority="5773" operator="equal">
      <formula>"OFF"</formula>
    </cfRule>
    <cfRule type="cellIs" dxfId="35523" priority="5774" operator="equal">
      <formula>"PTO"</formula>
    </cfRule>
  </conditionalFormatting>
  <conditionalFormatting sqref="J46 O46:P46">
    <cfRule type="cellIs" dxfId="35522" priority="5771" operator="equal">
      <formula>"OFF"</formula>
    </cfRule>
    <cfRule type="cellIs" dxfId="35521" priority="5772" operator="equal">
      <formula>"PTO"</formula>
    </cfRule>
  </conditionalFormatting>
  <conditionalFormatting sqref="J46 O46:P46">
    <cfRule type="cellIs" dxfId="35520" priority="5769" operator="equal">
      <formula>"OFF"</formula>
    </cfRule>
    <cfRule type="cellIs" dxfId="35519" priority="5770" operator="equal">
      <formula>"PTO"</formula>
    </cfRule>
  </conditionalFormatting>
  <conditionalFormatting sqref="J46 O46:P46">
    <cfRule type="cellIs" dxfId="35518" priority="5767" operator="equal">
      <formula>"OFF"</formula>
    </cfRule>
    <cfRule type="cellIs" dxfId="35517" priority="5768" operator="equal">
      <formula>"PTO"</formula>
    </cfRule>
  </conditionalFormatting>
  <conditionalFormatting sqref="J46 O46:P46">
    <cfRule type="cellIs" dxfId="35516" priority="5765" operator="equal">
      <formula>"OFF"</formula>
    </cfRule>
    <cfRule type="cellIs" dxfId="35515" priority="5766" operator="equal">
      <formula>"PTO"</formula>
    </cfRule>
  </conditionalFormatting>
  <conditionalFormatting sqref="J46 O46:P46">
    <cfRule type="cellIs" dxfId="35514" priority="5763" operator="equal">
      <formula>"OFF"</formula>
    </cfRule>
    <cfRule type="cellIs" dxfId="35513" priority="5764" operator="equal">
      <formula>"PTO"</formula>
    </cfRule>
  </conditionalFormatting>
  <conditionalFormatting sqref="J46 O46:P46">
    <cfRule type="cellIs" dxfId="35512" priority="5761" operator="equal">
      <formula>"OFF"</formula>
    </cfRule>
    <cfRule type="cellIs" dxfId="35511" priority="5762" operator="equal">
      <formula>"PTO"</formula>
    </cfRule>
  </conditionalFormatting>
  <conditionalFormatting sqref="J46 O46:P46">
    <cfRule type="cellIs" dxfId="35510" priority="5759" operator="equal">
      <formula>"OFF"</formula>
    </cfRule>
    <cfRule type="cellIs" dxfId="35509" priority="5760" operator="equal">
      <formula>"PTO"</formula>
    </cfRule>
  </conditionalFormatting>
  <conditionalFormatting sqref="J46 O46:P46">
    <cfRule type="cellIs" dxfId="35508" priority="5757" operator="equal">
      <formula>"OFF"</formula>
    </cfRule>
    <cfRule type="cellIs" dxfId="35507" priority="5758" operator="equal">
      <formula>"PTO"</formula>
    </cfRule>
  </conditionalFormatting>
  <conditionalFormatting sqref="J46 O46:P46">
    <cfRule type="cellIs" dxfId="35506" priority="5755" operator="equal">
      <formula>"OFF"</formula>
    </cfRule>
    <cfRule type="cellIs" dxfId="35505" priority="5756" operator="equal">
      <formula>"PTO"</formula>
    </cfRule>
  </conditionalFormatting>
  <conditionalFormatting sqref="J46 O46:P46">
    <cfRule type="cellIs" dxfId="35504" priority="5753" operator="equal">
      <formula>"OFF"</formula>
    </cfRule>
    <cfRule type="cellIs" dxfId="35503" priority="5754" operator="equal">
      <formula>"PTO"</formula>
    </cfRule>
  </conditionalFormatting>
  <conditionalFormatting sqref="J46 O46:P46">
    <cfRule type="cellIs" dxfId="35502" priority="5751" operator="equal">
      <formula>"OFF"</formula>
    </cfRule>
    <cfRule type="cellIs" dxfId="35501" priority="5752" operator="equal">
      <formula>"PTO"</formula>
    </cfRule>
  </conditionalFormatting>
  <conditionalFormatting sqref="J46 O46:P46">
    <cfRule type="cellIs" dxfId="35500" priority="5749" operator="equal">
      <formula>"OFF"</formula>
    </cfRule>
    <cfRule type="cellIs" dxfId="35499" priority="5750" operator="equal">
      <formula>"PTO"</formula>
    </cfRule>
  </conditionalFormatting>
  <conditionalFormatting sqref="J46 O46:P46">
    <cfRule type="cellIs" dxfId="35498" priority="5747" operator="equal">
      <formula>"OFF"</formula>
    </cfRule>
    <cfRule type="cellIs" dxfId="35497" priority="5748" operator="equal">
      <formula>"PTO"</formula>
    </cfRule>
  </conditionalFormatting>
  <conditionalFormatting sqref="J46 O46:P46">
    <cfRule type="cellIs" dxfId="35496" priority="5745" operator="equal">
      <formula>"OFF"</formula>
    </cfRule>
    <cfRule type="cellIs" dxfId="35495" priority="5746" operator="equal">
      <formula>"PTO"</formula>
    </cfRule>
  </conditionalFormatting>
  <conditionalFormatting sqref="J46 O46:P46">
    <cfRule type="cellIs" dxfId="35494" priority="5743" operator="equal">
      <formula>"OFF"</formula>
    </cfRule>
    <cfRule type="cellIs" dxfId="35493" priority="5744" operator="equal">
      <formula>"PTO"</formula>
    </cfRule>
  </conditionalFormatting>
  <conditionalFormatting sqref="J46 O46:P46">
    <cfRule type="cellIs" dxfId="35492" priority="5741" operator="equal">
      <formula>"OFF"</formula>
    </cfRule>
    <cfRule type="cellIs" dxfId="35491" priority="5742" operator="equal">
      <formula>"PTO"</formula>
    </cfRule>
  </conditionalFormatting>
  <conditionalFormatting sqref="J46 O46:P46">
    <cfRule type="cellIs" dxfId="35490" priority="5739" operator="equal">
      <formula>"OFF"</formula>
    </cfRule>
    <cfRule type="cellIs" dxfId="35489" priority="5740" operator="equal">
      <formula>"PTO"</formula>
    </cfRule>
  </conditionalFormatting>
  <conditionalFormatting sqref="J46 O46:P46">
    <cfRule type="cellIs" dxfId="35488" priority="5737" operator="equal">
      <formula>"OFF"</formula>
    </cfRule>
    <cfRule type="cellIs" dxfId="35487" priority="5738" operator="equal">
      <formula>"PTO"</formula>
    </cfRule>
  </conditionalFormatting>
  <conditionalFormatting sqref="J46 O46:P46">
    <cfRule type="cellIs" dxfId="35486" priority="5735" operator="equal">
      <formula>"OFF"</formula>
    </cfRule>
    <cfRule type="cellIs" dxfId="35485" priority="5736" operator="equal">
      <formula>"PTO"</formula>
    </cfRule>
  </conditionalFormatting>
  <conditionalFormatting sqref="J46 O46:P46">
    <cfRule type="cellIs" dxfId="35484" priority="5733" operator="equal">
      <formula>"OFF"</formula>
    </cfRule>
    <cfRule type="cellIs" dxfId="35483" priority="5734" operator="equal">
      <formula>"PTO"</formula>
    </cfRule>
  </conditionalFormatting>
  <conditionalFormatting sqref="J46 O46:P46">
    <cfRule type="cellIs" dxfId="35482" priority="5731" operator="equal">
      <formula>"OFF"</formula>
    </cfRule>
    <cfRule type="cellIs" dxfId="35481" priority="5732" operator="equal">
      <formula>"PTO"</formula>
    </cfRule>
  </conditionalFormatting>
  <conditionalFormatting sqref="O45">
    <cfRule type="cellIs" dxfId="35480" priority="5729" operator="equal">
      <formula>"OFF"</formula>
    </cfRule>
    <cfRule type="cellIs" dxfId="35479" priority="5730" operator="equal">
      <formula>"PTO"</formula>
    </cfRule>
  </conditionalFormatting>
  <conditionalFormatting sqref="O45">
    <cfRule type="cellIs" dxfId="35478" priority="5727" operator="equal">
      <formula>"OFF"</formula>
    </cfRule>
    <cfRule type="cellIs" dxfId="35477" priority="5728" operator="equal">
      <formula>"PTO"</formula>
    </cfRule>
  </conditionalFormatting>
  <conditionalFormatting sqref="J45">
    <cfRule type="cellIs" dxfId="35476" priority="5725" operator="equal">
      <formula>"OFF"</formula>
    </cfRule>
    <cfRule type="cellIs" dxfId="35475" priority="5726" operator="equal">
      <formula>"PTO"</formula>
    </cfRule>
  </conditionalFormatting>
  <conditionalFormatting sqref="J45">
    <cfRule type="cellIs" dxfId="35474" priority="5723" operator="equal">
      <formula>"OFF"</formula>
    </cfRule>
    <cfRule type="cellIs" dxfId="35473" priority="5724" operator="equal">
      <formula>"PTO"</formula>
    </cfRule>
  </conditionalFormatting>
  <conditionalFormatting sqref="J45">
    <cfRule type="cellIs" dxfId="35472" priority="5721" operator="equal">
      <formula>"OFF"</formula>
    </cfRule>
    <cfRule type="cellIs" dxfId="35471" priority="5722" operator="equal">
      <formula>"PTO"</formula>
    </cfRule>
  </conditionalFormatting>
  <conditionalFormatting sqref="J45">
    <cfRule type="cellIs" dxfId="35470" priority="5719" operator="equal">
      <formula>"OFF"</formula>
    </cfRule>
    <cfRule type="cellIs" dxfId="35469" priority="5720" operator="equal">
      <formula>"PTO"</formula>
    </cfRule>
  </conditionalFormatting>
  <conditionalFormatting sqref="J45">
    <cfRule type="cellIs" dxfId="35468" priority="5717" operator="equal">
      <formula>"OFF"</formula>
    </cfRule>
    <cfRule type="cellIs" dxfId="35467" priority="5718" operator="equal">
      <formula>"PTO"</formula>
    </cfRule>
  </conditionalFormatting>
  <conditionalFormatting sqref="J45">
    <cfRule type="cellIs" dxfId="35466" priority="5715" operator="equal">
      <formula>"OFF"</formula>
    </cfRule>
    <cfRule type="cellIs" dxfId="35465" priority="5716" operator="equal">
      <formula>"PTO"</formula>
    </cfRule>
  </conditionalFormatting>
  <conditionalFormatting sqref="J45">
    <cfRule type="cellIs" dxfId="35464" priority="5713" operator="equal">
      <formula>"OFF"</formula>
    </cfRule>
    <cfRule type="cellIs" dxfId="35463" priority="5714" operator="equal">
      <formula>"PTO"</formula>
    </cfRule>
  </conditionalFormatting>
  <conditionalFormatting sqref="J45">
    <cfRule type="cellIs" dxfId="35462" priority="5711" operator="equal">
      <formula>"OFF"</formula>
    </cfRule>
    <cfRule type="cellIs" dxfId="35461" priority="5712" operator="equal">
      <formula>"PTO"</formula>
    </cfRule>
  </conditionalFormatting>
  <conditionalFormatting sqref="J45">
    <cfRule type="cellIs" dxfId="35460" priority="5709" operator="equal">
      <formula>"OFF"</formula>
    </cfRule>
    <cfRule type="cellIs" dxfId="35459" priority="5710" operator="equal">
      <formula>"PTO"</formula>
    </cfRule>
  </conditionalFormatting>
  <conditionalFormatting sqref="P45">
    <cfRule type="cellIs" dxfId="35458" priority="5707" operator="equal">
      <formula>"OFF"</formula>
    </cfRule>
    <cfRule type="cellIs" dxfId="35457" priority="5708" operator="equal">
      <formula>"PTO"</formula>
    </cfRule>
  </conditionalFormatting>
  <conditionalFormatting sqref="P45">
    <cfRule type="cellIs" dxfId="35456" priority="5705" operator="equal">
      <formula>"OFF"</formula>
    </cfRule>
    <cfRule type="cellIs" dxfId="35455" priority="5706" operator="equal">
      <formula>"PTO"</formula>
    </cfRule>
  </conditionalFormatting>
  <conditionalFormatting sqref="P45">
    <cfRule type="cellIs" dxfId="35454" priority="5703" operator="equal">
      <formula>"OFF"</formula>
    </cfRule>
    <cfRule type="cellIs" dxfId="35453" priority="5704" operator="equal">
      <formula>"PTO"</formula>
    </cfRule>
  </conditionalFormatting>
  <conditionalFormatting sqref="P45">
    <cfRule type="cellIs" dxfId="35452" priority="5701" operator="equal">
      <formula>"OFF"</formula>
    </cfRule>
    <cfRule type="cellIs" dxfId="35451" priority="5702" operator="equal">
      <formula>"PTO"</formula>
    </cfRule>
  </conditionalFormatting>
  <conditionalFormatting sqref="P45">
    <cfRule type="cellIs" dxfId="35450" priority="5699" operator="equal">
      <formula>"OFF"</formula>
    </cfRule>
    <cfRule type="cellIs" dxfId="35449" priority="5700" operator="equal">
      <formula>"PTO"</formula>
    </cfRule>
  </conditionalFormatting>
  <conditionalFormatting sqref="P45">
    <cfRule type="cellIs" dxfId="35448" priority="5697" operator="equal">
      <formula>"OFF"</formula>
    </cfRule>
    <cfRule type="cellIs" dxfId="35447" priority="5698" operator="equal">
      <formula>"PTO"</formula>
    </cfRule>
  </conditionalFormatting>
  <conditionalFormatting sqref="P45">
    <cfRule type="cellIs" dxfId="35446" priority="5695" operator="equal">
      <formula>"OFF"</formula>
    </cfRule>
    <cfRule type="cellIs" dxfId="35445" priority="5696" operator="equal">
      <formula>"PTO"</formula>
    </cfRule>
  </conditionalFormatting>
  <conditionalFormatting sqref="P45">
    <cfRule type="cellIs" dxfId="35444" priority="5693" operator="equal">
      <formula>"OFF"</formula>
    </cfRule>
    <cfRule type="cellIs" dxfId="35443" priority="5694" operator="equal">
      <formula>"PTO"</formula>
    </cfRule>
  </conditionalFormatting>
  <conditionalFormatting sqref="P45">
    <cfRule type="cellIs" dxfId="35442" priority="5691" operator="equal">
      <formula>"OFF"</formula>
    </cfRule>
    <cfRule type="cellIs" dxfId="35441" priority="5692" operator="equal">
      <formula>"PTO"</formula>
    </cfRule>
  </conditionalFormatting>
  <conditionalFormatting sqref="J46 O46:P46">
    <cfRule type="cellIs" dxfId="35440" priority="5689" operator="equal">
      <formula>"OFF"</formula>
    </cfRule>
    <cfRule type="cellIs" dxfId="35439" priority="5690" operator="equal">
      <formula>"PTO"</formula>
    </cfRule>
  </conditionalFormatting>
  <conditionalFormatting sqref="J45 O45:P45">
    <cfRule type="cellIs" dxfId="35438" priority="5687" operator="equal">
      <formula>"OFF"</formula>
    </cfRule>
    <cfRule type="cellIs" dxfId="35437" priority="5688" operator="equal">
      <formula>"PTO"</formula>
    </cfRule>
  </conditionalFormatting>
  <conditionalFormatting sqref="J47 O47:P47">
    <cfRule type="cellIs" dxfId="35436" priority="5685" operator="equal">
      <formula>"OFF"</formula>
    </cfRule>
    <cfRule type="cellIs" dxfId="35435" priority="5686" operator="equal">
      <formula>"PTO"</formula>
    </cfRule>
  </conditionalFormatting>
  <conditionalFormatting sqref="J47 O47:P47">
    <cfRule type="cellIs" dxfId="35434" priority="5683" operator="equal">
      <formula>"OFF"</formula>
    </cfRule>
    <cfRule type="cellIs" dxfId="35433" priority="5684" operator="equal">
      <formula>"PTO"</formula>
    </cfRule>
  </conditionalFormatting>
  <conditionalFormatting sqref="J47 O47:P47">
    <cfRule type="cellIs" dxfId="35432" priority="5681" operator="equal">
      <formula>"OFF"</formula>
    </cfRule>
    <cfRule type="cellIs" dxfId="35431" priority="5682" operator="equal">
      <formula>"PTO"</formula>
    </cfRule>
  </conditionalFormatting>
  <conditionalFormatting sqref="J47 O47:P47">
    <cfRule type="cellIs" dxfId="35430" priority="5679" operator="equal">
      <formula>"OFF"</formula>
    </cfRule>
    <cfRule type="cellIs" dxfId="35429" priority="5680" operator="equal">
      <formula>"PTO"</formula>
    </cfRule>
  </conditionalFormatting>
  <conditionalFormatting sqref="J47 O47:P47">
    <cfRule type="cellIs" dxfId="35428" priority="5677" operator="equal">
      <formula>"OFF"</formula>
    </cfRule>
    <cfRule type="cellIs" dxfId="35427" priority="5678" operator="equal">
      <formula>"PTO"</formula>
    </cfRule>
  </conditionalFormatting>
  <conditionalFormatting sqref="J47 O47:P47">
    <cfRule type="cellIs" dxfId="35426" priority="5675" operator="equal">
      <formula>"OFF"</formula>
    </cfRule>
    <cfRule type="cellIs" dxfId="35425" priority="5676" operator="equal">
      <formula>"PTO"</formula>
    </cfRule>
  </conditionalFormatting>
  <conditionalFormatting sqref="J47 O47:P47">
    <cfRule type="cellIs" dxfId="35424" priority="5673" operator="equal">
      <formula>"OFF"</formula>
    </cfRule>
    <cfRule type="cellIs" dxfId="35423" priority="5674" operator="equal">
      <formula>"PTO"</formula>
    </cfRule>
  </conditionalFormatting>
  <conditionalFormatting sqref="J47 O47:P47">
    <cfRule type="cellIs" dxfId="35422" priority="5671" operator="equal">
      <formula>"OFF"</formula>
    </cfRule>
    <cfRule type="cellIs" dxfId="35421" priority="5672" operator="equal">
      <formula>"PTO"</formula>
    </cfRule>
  </conditionalFormatting>
  <conditionalFormatting sqref="J47 O47:P47">
    <cfRule type="cellIs" dxfId="35420" priority="5669" operator="equal">
      <formula>"OFF"</formula>
    </cfRule>
    <cfRule type="cellIs" dxfId="35419" priority="5670" operator="equal">
      <formula>"PTO"</formula>
    </cfRule>
  </conditionalFormatting>
  <conditionalFormatting sqref="J47 O47:P47">
    <cfRule type="cellIs" dxfId="35418" priority="5667" operator="equal">
      <formula>"OFF"</formula>
    </cfRule>
    <cfRule type="cellIs" dxfId="35417" priority="5668" operator="equal">
      <formula>"PTO"</formula>
    </cfRule>
  </conditionalFormatting>
  <conditionalFormatting sqref="J47 O47:P47">
    <cfRule type="cellIs" dxfId="35416" priority="5665" operator="equal">
      <formula>"OFF"</formula>
    </cfRule>
    <cfRule type="cellIs" dxfId="35415" priority="5666" operator="equal">
      <formula>"PTO"</formula>
    </cfRule>
  </conditionalFormatting>
  <conditionalFormatting sqref="J47 O47:P47">
    <cfRule type="cellIs" dxfId="35414" priority="5663" operator="equal">
      <formula>"OFF"</formula>
    </cfRule>
    <cfRule type="cellIs" dxfId="35413" priority="5664" operator="equal">
      <formula>"PTO"</formula>
    </cfRule>
  </conditionalFormatting>
  <conditionalFormatting sqref="J47 O47:P47">
    <cfRule type="cellIs" dxfId="35412" priority="5661" operator="equal">
      <formula>"OFF"</formula>
    </cfRule>
    <cfRule type="cellIs" dxfId="35411" priority="5662" operator="equal">
      <formula>"PTO"</formula>
    </cfRule>
  </conditionalFormatting>
  <conditionalFormatting sqref="J47 O47:P47">
    <cfRule type="cellIs" dxfId="35410" priority="5659" operator="equal">
      <formula>"OFF"</formula>
    </cfRule>
    <cfRule type="cellIs" dxfId="35409" priority="5660" operator="equal">
      <formula>"PTO"</formula>
    </cfRule>
  </conditionalFormatting>
  <conditionalFormatting sqref="J47 O47:P47">
    <cfRule type="cellIs" dxfId="35408" priority="5657" operator="equal">
      <formula>"OFF"</formula>
    </cfRule>
    <cfRule type="cellIs" dxfId="35407" priority="5658" operator="equal">
      <formula>"PTO"</formula>
    </cfRule>
  </conditionalFormatting>
  <conditionalFormatting sqref="J47 O47:P47">
    <cfRule type="cellIs" dxfId="35406" priority="5655" operator="equal">
      <formula>"OFF"</formula>
    </cfRule>
    <cfRule type="cellIs" dxfId="35405" priority="5656" operator="equal">
      <formula>"PTO"</formula>
    </cfRule>
  </conditionalFormatting>
  <conditionalFormatting sqref="J47 O47:P47">
    <cfRule type="cellIs" dxfId="35404" priority="5653" operator="equal">
      <formula>"OFF"</formula>
    </cfRule>
    <cfRule type="cellIs" dxfId="35403" priority="5654" operator="equal">
      <formula>"PTO"</formula>
    </cfRule>
  </conditionalFormatting>
  <conditionalFormatting sqref="J47 O47:P47">
    <cfRule type="cellIs" dxfId="35402" priority="5651" operator="equal">
      <formula>"OFF"</formula>
    </cfRule>
    <cfRule type="cellIs" dxfId="35401" priority="5652" operator="equal">
      <formula>"PTO"</formula>
    </cfRule>
  </conditionalFormatting>
  <conditionalFormatting sqref="J47 O47:P47">
    <cfRule type="cellIs" dxfId="35400" priority="5649" operator="equal">
      <formula>"OFF"</formula>
    </cfRule>
    <cfRule type="cellIs" dxfId="35399" priority="5650" operator="equal">
      <formula>"PTO"</formula>
    </cfRule>
  </conditionalFormatting>
  <conditionalFormatting sqref="J47 O47:P47">
    <cfRule type="cellIs" dxfId="35398" priority="5647" operator="equal">
      <formula>"OFF"</formula>
    </cfRule>
    <cfRule type="cellIs" dxfId="35397" priority="5648" operator="equal">
      <formula>"PTO"</formula>
    </cfRule>
  </conditionalFormatting>
  <conditionalFormatting sqref="J47 O47:P47">
    <cfRule type="cellIs" dxfId="35396" priority="5645" operator="equal">
      <formula>"OFF"</formula>
    </cfRule>
    <cfRule type="cellIs" dxfId="35395" priority="5646" operator="equal">
      <formula>"PTO"</formula>
    </cfRule>
  </conditionalFormatting>
  <conditionalFormatting sqref="J47 O47:P47">
    <cfRule type="cellIs" dxfId="35394" priority="5643" operator="equal">
      <formula>"OFF"</formula>
    </cfRule>
    <cfRule type="cellIs" dxfId="35393" priority="5644" operator="equal">
      <formula>"PTO"</formula>
    </cfRule>
  </conditionalFormatting>
  <conditionalFormatting sqref="J47 O47:P47">
    <cfRule type="cellIs" dxfId="35392" priority="5641" operator="equal">
      <formula>"OFF"</formula>
    </cfRule>
    <cfRule type="cellIs" dxfId="35391" priority="5642" operator="equal">
      <formula>"PTO"</formula>
    </cfRule>
  </conditionalFormatting>
  <conditionalFormatting sqref="J47 O47:P47">
    <cfRule type="cellIs" dxfId="35390" priority="5639" operator="equal">
      <formula>"OFF"</formula>
    </cfRule>
    <cfRule type="cellIs" dxfId="35389" priority="5640" operator="equal">
      <formula>"PTO"</formula>
    </cfRule>
  </conditionalFormatting>
  <conditionalFormatting sqref="J47 O47:P47">
    <cfRule type="cellIs" dxfId="35388" priority="5637" operator="equal">
      <formula>"OFF"</formula>
    </cfRule>
    <cfRule type="cellIs" dxfId="35387" priority="5638" operator="equal">
      <formula>"PTO"</formula>
    </cfRule>
  </conditionalFormatting>
  <conditionalFormatting sqref="J48 O48:P48">
    <cfRule type="cellIs" dxfId="35386" priority="5635" operator="equal">
      <formula>"OFF"</formula>
    </cfRule>
    <cfRule type="cellIs" dxfId="35385" priority="5636" operator="equal">
      <formula>"PTO"</formula>
    </cfRule>
  </conditionalFormatting>
  <conditionalFormatting sqref="J48 O48:P48">
    <cfRule type="cellIs" dxfId="35384" priority="5633" operator="equal">
      <formula>"OFF"</formula>
    </cfRule>
    <cfRule type="cellIs" dxfId="35383" priority="5634" operator="equal">
      <formula>"PTO"</formula>
    </cfRule>
  </conditionalFormatting>
  <conditionalFormatting sqref="J48 O48:P48">
    <cfRule type="cellIs" dxfId="35382" priority="5631" operator="equal">
      <formula>"OFF"</formula>
    </cfRule>
    <cfRule type="cellIs" dxfId="35381" priority="5632" operator="equal">
      <formula>"PTO"</formula>
    </cfRule>
  </conditionalFormatting>
  <conditionalFormatting sqref="J48 O48:P48">
    <cfRule type="cellIs" dxfId="35380" priority="5629" operator="equal">
      <formula>"OFF"</formula>
    </cfRule>
    <cfRule type="cellIs" dxfId="35379" priority="5630" operator="equal">
      <formula>"PTO"</formula>
    </cfRule>
  </conditionalFormatting>
  <conditionalFormatting sqref="J48 O48:P48">
    <cfRule type="cellIs" dxfId="35378" priority="5627" operator="equal">
      <formula>"OFF"</formula>
    </cfRule>
    <cfRule type="cellIs" dxfId="35377" priority="5628" operator="equal">
      <formula>"PTO"</formula>
    </cfRule>
  </conditionalFormatting>
  <conditionalFormatting sqref="J48 O48:P48">
    <cfRule type="cellIs" dxfId="35376" priority="5625" operator="equal">
      <formula>"OFF"</formula>
    </cfRule>
    <cfRule type="cellIs" dxfId="35375" priority="5626" operator="equal">
      <formula>"PTO"</formula>
    </cfRule>
  </conditionalFormatting>
  <conditionalFormatting sqref="J48 O48:P48">
    <cfRule type="cellIs" dxfId="35374" priority="5623" operator="equal">
      <formula>"OFF"</formula>
    </cfRule>
    <cfRule type="cellIs" dxfId="35373" priority="5624" operator="equal">
      <formula>"PTO"</formula>
    </cfRule>
  </conditionalFormatting>
  <conditionalFormatting sqref="J48 O48:P48">
    <cfRule type="cellIs" dxfId="35372" priority="5621" operator="equal">
      <formula>"OFF"</formula>
    </cfRule>
    <cfRule type="cellIs" dxfId="35371" priority="5622" operator="equal">
      <formula>"PTO"</formula>
    </cfRule>
  </conditionalFormatting>
  <conditionalFormatting sqref="J48 O48:P48">
    <cfRule type="cellIs" dxfId="35370" priority="5619" operator="equal">
      <formula>"OFF"</formula>
    </cfRule>
    <cfRule type="cellIs" dxfId="35369" priority="5620" operator="equal">
      <formula>"PTO"</formula>
    </cfRule>
  </conditionalFormatting>
  <conditionalFormatting sqref="J48 O48:P48">
    <cfRule type="cellIs" dxfId="35368" priority="5617" operator="equal">
      <formula>"OFF"</formula>
    </cfRule>
    <cfRule type="cellIs" dxfId="35367" priority="5618" operator="equal">
      <formula>"PTO"</formula>
    </cfRule>
  </conditionalFormatting>
  <conditionalFormatting sqref="J47 O47:P47">
    <cfRule type="cellIs" dxfId="35366" priority="5615" operator="equal">
      <formula>"OFF"</formula>
    </cfRule>
    <cfRule type="cellIs" dxfId="35365" priority="5616" operator="equal">
      <formula>"PTO"</formula>
    </cfRule>
  </conditionalFormatting>
  <conditionalFormatting sqref="J47 O47:P47">
    <cfRule type="cellIs" dxfId="35364" priority="5613" operator="equal">
      <formula>"OFF"</formula>
    </cfRule>
    <cfRule type="cellIs" dxfId="35363" priority="5614" operator="equal">
      <formula>"PTO"</formula>
    </cfRule>
  </conditionalFormatting>
  <conditionalFormatting sqref="J47 O47:P47">
    <cfRule type="cellIs" dxfId="35362" priority="5611" operator="equal">
      <formula>"OFF"</formula>
    </cfRule>
    <cfRule type="cellIs" dxfId="35361" priority="5612" operator="equal">
      <formula>"PTO"</formula>
    </cfRule>
  </conditionalFormatting>
  <conditionalFormatting sqref="J47 O47:P47">
    <cfRule type="cellIs" dxfId="35360" priority="5609" operator="equal">
      <formula>"OFF"</formula>
    </cfRule>
    <cfRule type="cellIs" dxfId="35359" priority="5610" operator="equal">
      <formula>"PTO"</formula>
    </cfRule>
  </conditionalFormatting>
  <conditionalFormatting sqref="J47 O47:P47">
    <cfRule type="cellIs" dxfId="35358" priority="5607" operator="equal">
      <formula>"OFF"</formula>
    </cfRule>
    <cfRule type="cellIs" dxfId="35357" priority="5608" operator="equal">
      <formula>"PTO"</formula>
    </cfRule>
  </conditionalFormatting>
  <conditionalFormatting sqref="J47 O47:P47">
    <cfRule type="cellIs" dxfId="35356" priority="5605" operator="equal">
      <formula>"OFF"</formula>
    </cfRule>
    <cfRule type="cellIs" dxfId="35355" priority="5606" operator="equal">
      <formula>"PTO"</formula>
    </cfRule>
  </conditionalFormatting>
  <conditionalFormatting sqref="J47 O47:P47">
    <cfRule type="cellIs" dxfId="35354" priority="5603" operator="equal">
      <formula>"OFF"</formula>
    </cfRule>
    <cfRule type="cellIs" dxfId="35353" priority="5604" operator="equal">
      <formula>"PTO"</formula>
    </cfRule>
  </conditionalFormatting>
  <conditionalFormatting sqref="J47 O47:P47">
    <cfRule type="cellIs" dxfId="35352" priority="5601" operator="equal">
      <formula>"OFF"</formula>
    </cfRule>
    <cfRule type="cellIs" dxfId="35351" priority="5602" operator="equal">
      <formula>"PTO"</formula>
    </cfRule>
  </conditionalFormatting>
  <conditionalFormatting sqref="J47 O47:P47">
    <cfRule type="cellIs" dxfId="35350" priority="5599" operator="equal">
      <formula>"OFF"</formula>
    </cfRule>
    <cfRule type="cellIs" dxfId="35349" priority="5600" operator="equal">
      <formula>"PTO"</formula>
    </cfRule>
  </conditionalFormatting>
  <conditionalFormatting sqref="J49 O49:P49">
    <cfRule type="cellIs" dxfId="35348" priority="5597" operator="equal">
      <formula>"OFF"</formula>
    </cfRule>
    <cfRule type="cellIs" dxfId="35347" priority="5598" operator="equal">
      <formula>"PTO"</formula>
    </cfRule>
  </conditionalFormatting>
  <conditionalFormatting sqref="J54 O54:P54">
    <cfRule type="cellIs" dxfId="35346" priority="5595" operator="equal">
      <formula>"OFF"</formula>
    </cfRule>
    <cfRule type="cellIs" dxfId="35345" priority="5596" operator="equal">
      <formula>"PTO"</formula>
    </cfRule>
  </conditionalFormatting>
  <conditionalFormatting sqref="O54:P54 J54">
    <cfRule type="cellIs" dxfId="35344" priority="5593" operator="equal">
      <formula>"OFF"</formula>
    </cfRule>
    <cfRule type="cellIs" dxfId="35343" priority="5594" operator="equal">
      <formula>"PTO"</formula>
    </cfRule>
  </conditionalFormatting>
  <conditionalFormatting sqref="O54">
    <cfRule type="cellIs" dxfId="35342" priority="5591" operator="equal">
      <formula>"OFF"</formula>
    </cfRule>
    <cfRule type="cellIs" dxfId="35341" priority="5592" operator="equal">
      <formula>"PTO"</formula>
    </cfRule>
  </conditionalFormatting>
  <conditionalFormatting sqref="O54">
    <cfRule type="cellIs" dxfId="35340" priority="5589" operator="equal">
      <formula>"OFF"</formula>
    </cfRule>
    <cfRule type="cellIs" dxfId="35339" priority="5590" operator="equal">
      <formula>"PTO"</formula>
    </cfRule>
  </conditionalFormatting>
  <conditionalFormatting sqref="J54 O54:P54">
    <cfRule type="cellIs" dxfId="35338" priority="5587" operator="equal">
      <formula>"OFF"</formula>
    </cfRule>
    <cfRule type="cellIs" dxfId="35337" priority="5588" operator="equal">
      <formula>"PTO"</formula>
    </cfRule>
  </conditionalFormatting>
  <conditionalFormatting sqref="O54:P54 J54">
    <cfRule type="cellIs" dxfId="35336" priority="5585" operator="equal">
      <formula>"OFF"</formula>
    </cfRule>
    <cfRule type="cellIs" dxfId="35335" priority="5586" operator="equal">
      <formula>"PTO"</formula>
    </cfRule>
  </conditionalFormatting>
  <conditionalFormatting sqref="O54">
    <cfRule type="cellIs" dxfId="35334" priority="5583" operator="equal">
      <formula>"OFF"</formula>
    </cfRule>
    <cfRule type="cellIs" dxfId="35333" priority="5584" operator="equal">
      <formula>"PTO"</formula>
    </cfRule>
  </conditionalFormatting>
  <conditionalFormatting sqref="O54">
    <cfRule type="cellIs" dxfId="35332" priority="5581" operator="equal">
      <formula>"OFF"</formula>
    </cfRule>
    <cfRule type="cellIs" dxfId="35331" priority="5582" operator="equal">
      <formula>"PTO"</formula>
    </cfRule>
  </conditionalFormatting>
  <conditionalFormatting sqref="O54">
    <cfRule type="cellIs" dxfId="35330" priority="5579" operator="equal">
      <formula>"OFF"</formula>
    </cfRule>
    <cfRule type="cellIs" dxfId="35329" priority="5580" operator="equal">
      <formula>"PTO"</formula>
    </cfRule>
  </conditionalFormatting>
  <conditionalFormatting sqref="O54">
    <cfRule type="cellIs" dxfId="35328" priority="5577" operator="equal">
      <formula>"OFF"</formula>
    </cfRule>
    <cfRule type="cellIs" dxfId="35327" priority="5578" operator="equal">
      <formula>"PTO"</formula>
    </cfRule>
  </conditionalFormatting>
  <conditionalFormatting sqref="O54">
    <cfRule type="cellIs" dxfId="35326" priority="5575" operator="equal">
      <formula>"OFF"</formula>
    </cfRule>
    <cfRule type="cellIs" dxfId="35325" priority="5576" operator="equal">
      <formula>"PTO"</formula>
    </cfRule>
  </conditionalFormatting>
  <conditionalFormatting sqref="O54">
    <cfRule type="cellIs" dxfId="35324" priority="5573" operator="equal">
      <formula>"OFF"</formula>
    </cfRule>
    <cfRule type="cellIs" dxfId="35323" priority="5574" operator="equal">
      <formula>"PTO"</formula>
    </cfRule>
  </conditionalFormatting>
  <conditionalFormatting sqref="J54 O54:P54">
    <cfRule type="cellIs" dxfId="35322" priority="5571" operator="equal">
      <formula>"OFF"</formula>
    </cfRule>
    <cfRule type="cellIs" dxfId="35321" priority="5572" operator="equal">
      <formula>"PTO"</formula>
    </cfRule>
  </conditionalFormatting>
  <conditionalFormatting sqref="J54 O54:P54">
    <cfRule type="cellIs" dxfId="35320" priority="5569" operator="equal">
      <formula>"OFF"</formula>
    </cfRule>
    <cfRule type="cellIs" dxfId="35319" priority="5570" operator="equal">
      <formula>"PTO"</formula>
    </cfRule>
  </conditionalFormatting>
  <conditionalFormatting sqref="J54 O54:P54">
    <cfRule type="cellIs" dxfId="35318" priority="5567" operator="equal">
      <formula>"OFF"</formula>
    </cfRule>
    <cfRule type="cellIs" dxfId="35317" priority="5568" operator="equal">
      <formula>"PTO"</formula>
    </cfRule>
  </conditionalFormatting>
  <conditionalFormatting sqref="J54 O54:P54">
    <cfRule type="cellIs" dxfId="35316" priority="5565" operator="equal">
      <formula>"OFF"</formula>
    </cfRule>
    <cfRule type="cellIs" dxfId="35315" priority="5566" operator="equal">
      <formula>"PTO"</formula>
    </cfRule>
  </conditionalFormatting>
  <conditionalFormatting sqref="J54 O54:P54">
    <cfRule type="cellIs" dxfId="35314" priority="5563" operator="equal">
      <formula>"OFF"</formula>
    </cfRule>
    <cfRule type="cellIs" dxfId="35313" priority="5564" operator="equal">
      <formula>"PTO"</formula>
    </cfRule>
  </conditionalFormatting>
  <conditionalFormatting sqref="O54:P54 J54">
    <cfRule type="cellIs" dxfId="35312" priority="5561" operator="equal">
      <formula>"OFF"</formula>
    </cfRule>
    <cfRule type="cellIs" dxfId="35311" priority="5562" operator="equal">
      <formula>"PTO"</formula>
    </cfRule>
  </conditionalFormatting>
  <conditionalFormatting sqref="J54 O54:P54">
    <cfRule type="cellIs" dxfId="35310" priority="5559" operator="equal">
      <formula>"OFF"</formula>
    </cfRule>
    <cfRule type="cellIs" dxfId="35309" priority="5560" operator="equal">
      <formula>"PTO"</formula>
    </cfRule>
  </conditionalFormatting>
  <conditionalFormatting sqref="J54 P54">
    <cfRule type="cellIs" dxfId="35308" priority="5557" operator="equal">
      <formula>"OFF"</formula>
    </cfRule>
    <cfRule type="cellIs" dxfId="35307" priority="5558" operator="equal">
      <formula>"PTO"</formula>
    </cfRule>
  </conditionalFormatting>
  <conditionalFormatting sqref="O54">
    <cfRule type="cellIs" dxfId="35306" priority="5555" operator="equal">
      <formula>"OFF"</formula>
    </cfRule>
    <cfRule type="cellIs" dxfId="35305" priority="5556" operator="equal">
      <formula>"PTO"</formula>
    </cfRule>
  </conditionalFormatting>
  <conditionalFormatting sqref="O54">
    <cfRule type="cellIs" dxfId="35304" priority="5553" operator="equal">
      <formula>"OFF"</formula>
    </cfRule>
    <cfRule type="cellIs" dxfId="35303" priority="5554" operator="equal">
      <formula>"PTO"</formula>
    </cfRule>
  </conditionalFormatting>
  <conditionalFormatting sqref="J54 P54">
    <cfRule type="cellIs" dxfId="35302" priority="5551" operator="equal">
      <formula>"OFF"</formula>
    </cfRule>
    <cfRule type="cellIs" dxfId="35301" priority="5552" operator="equal">
      <formula>"PTO"</formula>
    </cfRule>
  </conditionalFormatting>
  <conditionalFormatting sqref="O54">
    <cfRule type="cellIs" dxfId="35300" priority="5549" operator="equal">
      <formula>"OFF"</formula>
    </cfRule>
    <cfRule type="cellIs" dxfId="35299" priority="5550" operator="equal">
      <formula>"PTO"</formula>
    </cfRule>
  </conditionalFormatting>
  <conditionalFormatting sqref="J54 O54:P54">
    <cfRule type="cellIs" dxfId="35298" priority="5547" operator="equal">
      <formula>"OFF"</formula>
    </cfRule>
    <cfRule type="cellIs" dxfId="35297" priority="5548" operator="equal">
      <formula>"PTO"</formula>
    </cfRule>
  </conditionalFormatting>
  <conditionalFormatting sqref="J54 O54:P54">
    <cfRule type="cellIs" dxfId="35296" priority="5545" operator="equal">
      <formula>"OFF"</formula>
    </cfRule>
    <cfRule type="cellIs" dxfId="35295" priority="5546" operator="equal">
      <formula>"PTO"</formula>
    </cfRule>
  </conditionalFormatting>
  <conditionalFormatting sqref="J54 O54:P54">
    <cfRule type="cellIs" dxfId="35294" priority="5543" operator="equal">
      <formula>"OFF"</formula>
    </cfRule>
    <cfRule type="cellIs" dxfId="35293" priority="5544" operator="equal">
      <formula>"PTO"</formula>
    </cfRule>
  </conditionalFormatting>
  <conditionalFormatting sqref="J54 O54:P54">
    <cfRule type="cellIs" dxfId="35292" priority="5541" operator="equal">
      <formula>"OFF"</formula>
    </cfRule>
    <cfRule type="cellIs" dxfId="35291" priority="5542" operator="equal">
      <formula>"PTO"</formula>
    </cfRule>
  </conditionalFormatting>
  <conditionalFormatting sqref="J54 O54:P54">
    <cfRule type="cellIs" dxfId="35290" priority="5539" operator="equal">
      <formula>"OFF"</formula>
    </cfRule>
    <cfRule type="cellIs" dxfId="35289" priority="5540" operator="equal">
      <formula>"PTO"</formula>
    </cfRule>
  </conditionalFormatting>
  <conditionalFormatting sqref="J54 O54:P54">
    <cfRule type="cellIs" dxfId="35288" priority="5537" operator="equal">
      <formula>"OFF"</formula>
    </cfRule>
    <cfRule type="cellIs" dxfId="35287" priority="5538" operator="equal">
      <formula>"PTO"</formula>
    </cfRule>
  </conditionalFormatting>
  <conditionalFormatting sqref="J54 O54:P54">
    <cfRule type="cellIs" dxfId="35286" priority="5535" operator="equal">
      <formula>"OFF"</formula>
    </cfRule>
    <cfRule type="cellIs" dxfId="35285" priority="5536" operator="equal">
      <formula>"PTO"</formula>
    </cfRule>
  </conditionalFormatting>
  <conditionalFormatting sqref="J54 O54:P54">
    <cfRule type="cellIs" dxfId="35284" priority="5533" operator="equal">
      <formula>"OFF"</formula>
    </cfRule>
    <cfRule type="cellIs" dxfId="35283" priority="5534" operator="equal">
      <formula>"PTO"</formula>
    </cfRule>
  </conditionalFormatting>
  <conditionalFormatting sqref="J54 O54:P54">
    <cfRule type="cellIs" dxfId="35282" priority="5531" operator="equal">
      <formula>"OFF"</formula>
    </cfRule>
    <cfRule type="cellIs" dxfId="35281" priority="5532" operator="equal">
      <formula>"PTO"</formula>
    </cfRule>
  </conditionalFormatting>
  <conditionalFormatting sqref="J54 O54:P54">
    <cfRule type="cellIs" dxfId="35280" priority="5529" operator="equal">
      <formula>"OFF"</formula>
    </cfRule>
    <cfRule type="cellIs" dxfId="35279" priority="5530" operator="equal">
      <formula>"PTO"</formula>
    </cfRule>
  </conditionalFormatting>
  <conditionalFormatting sqref="J54 O54:P54">
    <cfRule type="cellIs" dxfId="35278" priority="5527" operator="equal">
      <formula>"OFF"</formula>
    </cfRule>
    <cfRule type="cellIs" dxfId="35277" priority="5528" operator="equal">
      <formula>"PTO"</formula>
    </cfRule>
  </conditionalFormatting>
  <conditionalFormatting sqref="O54">
    <cfRule type="cellIs" dxfId="35276" priority="5525" operator="equal">
      <formula>"OFF"</formula>
    </cfRule>
    <cfRule type="cellIs" dxfId="35275" priority="5526" operator="equal">
      <formula>"PTO"</formula>
    </cfRule>
  </conditionalFormatting>
  <conditionalFormatting sqref="O54">
    <cfRule type="cellIs" dxfId="35274" priority="5523" operator="equal">
      <formula>"OFF"</formula>
    </cfRule>
    <cfRule type="cellIs" dxfId="35273" priority="5524" operator="equal">
      <formula>"PTO"</formula>
    </cfRule>
  </conditionalFormatting>
  <conditionalFormatting sqref="J54 O54:P54">
    <cfRule type="cellIs" dxfId="35272" priority="5521" operator="equal">
      <formula>"OFF"</formula>
    </cfRule>
    <cfRule type="cellIs" dxfId="35271" priority="5522" operator="equal">
      <formula>"PTO"</formula>
    </cfRule>
  </conditionalFormatting>
  <conditionalFormatting sqref="J54 O54:P54">
    <cfRule type="cellIs" dxfId="35270" priority="5519" operator="equal">
      <formula>"OFF"</formula>
    </cfRule>
    <cfRule type="cellIs" dxfId="35269" priority="5520" operator="equal">
      <formula>"PTO"</formula>
    </cfRule>
  </conditionalFormatting>
  <conditionalFormatting sqref="O54">
    <cfRule type="cellIs" dxfId="35268" priority="5517" operator="equal">
      <formula>"OFF"</formula>
    </cfRule>
    <cfRule type="cellIs" dxfId="35267" priority="5518" operator="equal">
      <formula>"PTO"</formula>
    </cfRule>
  </conditionalFormatting>
  <conditionalFormatting sqref="O54">
    <cfRule type="cellIs" dxfId="35266" priority="5515" operator="equal">
      <formula>"OFF"</formula>
    </cfRule>
    <cfRule type="cellIs" dxfId="35265" priority="5516" operator="equal">
      <formula>"PTO"</formula>
    </cfRule>
  </conditionalFormatting>
  <conditionalFormatting sqref="O54">
    <cfRule type="cellIs" dxfId="35264" priority="5513" operator="equal">
      <formula>"OFF"</formula>
    </cfRule>
    <cfRule type="cellIs" dxfId="35263" priority="5514" operator="equal">
      <formula>"PTO"</formula>
    </cfRule>
  </conditionalFormatting>
  <conditionalFormatting sqref="O54">
    <cfRule type="cellIs" dxfId="35262" priority="5511" operator="equal">
      <formula>"OFF"</formula>
    </cfRule>
    <cfRule type="cellIs" dxfId="35261" priority="5512" operator="equal">
      <formula>"PTO"</formula>
    </cfRule>
  </conditionalFormatting>
  <conditionalFormatting sqref="O54">
    <cfRule type="cellIs" dxfId="35260" priority="5509" operator="equal">
      <formula>"OFF"</formula>
    </cfRule>
    <cfRule type="cellIs" dxfId="35259" priority="5510" operator="equal">
      <formula>"PTO"</formula>
    </cfRule>
  </conditionalFormatting>
  <conditionalFormatting sqref="O54">
    <cfRule type="cellIs" dxfId="35258" priority="5507" operator="equal">
      <formula>"OFF"</formula>
    </cfRule>
    <cfRule type="cellIs" dxfId="35257" priority="5508" operator="equal">
      <formula>"PTO"</formula>
    </cfRule>
  </conditionalFormatting>
  <conditionalFormatting sqref="J54 P54">
    <cfRule type="cellIs" dxfId="35256" priority="5505" operator="equal">
      <formula>"OFF"</formula>
    </cfRule>
    <cfRule type="cellIs" dxfId="35255" priority="5506" operator="equal">
      <formula>"PTO"</formula>
    </cfRule>
  </conditionalFormatting>
  <conditionalFormatting sqref="O54">
    <cfRule type="cellIs" dxfId="35254" priority="5503" operator="equal">
      <formula>"OFF"</formula>
    </cfRule>
    <cfRule type="cellIs" dxfId="35253" priority="5504" operator="equal">
      <formula>"PTO"</formula>
    </cfRule>
  </conditionalFormatting>
  <conditionalFormatting sqref="O54">
    <cfRule type="cellIs" dxfId="35252" priority="5501" operator="equal">
      <formula>"OFF"</formula>
    </cfRule>
    <cfRule type="cellIs" dxfId="35251" priority="5502" operator="equal">
      <formula>"PTO"</formula>
    </cfRule>
  </conditionalFormatting>
  <conditionalFormatting sqref="J54 P54">
    <cfRule type="cellIs" dxfId="35250" priority="5499" operator="equal">
      <formula>"OFF"</formula>
    </cfRule>
    <cfRule type="cellIs" dxfId="35249" priority="5500" operator="equal">
      <formula>"PTO"</formula>
    </cfRule>
  </conditionalFormatting>
  <conditionalFormatting sqref="O54">
    <cfRule type="cellIs" dxfId="35248" priority="5497" operator="equal">
      <formula>"OFF"</formula>
    </cfRule>
    <cfRule type="cellIs" dxfId="35247" priority="5498" operator="equal">
      <formula>"PTO"</formula>
    </cfRule>
  </conditionalFormatting>
  <conditionalFormatting sqref="O54">
    <cfRule type="cellIs" dxfId="35246" priority="5495" operator="equal">
      <formula>"OFF"</formula>
    </cfRule>
    <cfRule type="cellIs" dxfId="35245" priority="5496" operator="equal">
      <formula>"PTO"</formula>
    </cfRule>
  </conditionalFormatting>
  <conditionalFormatting sqref="O54">
    <cfRule type="cellIs" dxfId="35244" priority="5493" operator="equal">
      <formula>"OFF"</formula>
    </cfRule>
    <cfRule type="cellIs" dxfId="35243" priority="5494" operator="equal">
      <formula>"PTO"</formula>
    </cfRule>
  </conditionalFormatting>
  <conditionalFormatting sqref="O54">
    <cfRule type="cellIs" dxfId="35242" priority="5491" operator="equal">
      <formula>"OFF"</formula>
    </cfRule>
    <cfRule type="cellIs" dxfId="35241" priority="5492" operator="equal">
      <formula>"PTO"</formula>
    </cfRule>
  </conditionalFormatting>
  <conditionalFormatting sqref="O54">
    <cfRule type="cellIs" dxfId="35240" priority="5489" operator="equal">
      <formula>"OFF"</formula>
    </cfRule>
    <cfRule type="cellIs" dxfId="35239" priority="5490" operator="equal">
      <formula>"PTO"</formula>
    </cfRule>
  </conditionalFormatting>
  <conditionalFormatting sqref="O54">
    <cfRule type="cellIs" dxfId="35238" priority="5487" operator="equal">
      <formula>"OFF"</formula>
    </cfRule>
    <cfRule type="cellIs" dxfId="35237" priority="5488" operator="equal">
      <formula>"PTO"</formula>
    </cfRule>
  </conditionalFormatting>
  <conditionalFormatting sqref="O54">
    <cfRule type="cellIs" dxfId="35236" priority="5485" operator="equal">
      <formula>"OFF"</formula>
    </cfRule>
    <cfRule type="cellIs" dxfId="35235" priority="5486" operator="equal">
      <formula>"PTO"</formula>
    </cfRule>
  </conditionalFormatting>
  <conditionalFormatting sqref="O54">
    <cfRule type="cellIs" dxfId="35234" priority="5483" operator="equal">
      <formula>"OFF"</formula>
    </cfRule>
    <cfRule type="cellIs" dxfId="35233" priority="5484" operator="equal">
      <formula>"PTO"</formula>
    </cfRule>
  </conditionalFormatting>
  <conditionalFormatting sqref="O54">
    <cfRule type="cellIs" dxfId="35232" priority="5481" operator="equal">
      <formula>"OFF"</formula>
    </cfRule>
    <cfRule type="cellIs" dxfId="35231" priority="5482" operator="equal">
      <formula>"PTO"</formula>
    </cfRule>
  </conditionalFormatting>
  <conditionalFormatting sqref="O54">
    <cfRule type="cellIs" dxfId="35230" priority="5479" operator="equal">
      <formula>"OFF"</formula>
    </cfRule>
    <cfRule type="cellIs" dxfId="35229" priority="5480" operator="equal">
      <formula>"PTO"</formula>
    </cfRule>
  </conditionalFormatting>
  <conditionalFormatting sqref="K45:K50">
    <cfRule type="cellIs" dxfId="35228" priority="5477" operator="equal">
      <formula>"OFF"</formula>
    </cfRule>
    <cfRule type="cellIs" dxfId="35227" priority="5478" operator="equal">
      <formula>"PTO"</formula>
    </cfRule>
  </conditionalFormatting>
  <conditionalFormatting sqref="K48">
    <cfRule type="cellIs" dxfId="35226" priority="5475" operator="equal">
      <formula>"OFF"</formula>
    </cfRule>
    <cfRule type="cellIs" dxfId="35225" priority="5476" operator="equal">
      <formula>"PTO"</formula>
    </cfRule>
  </conditionalFormatting>
  <conditionalFormatting sqref="K48">
    <cfRule type="cellIs" dxfId="35224" priority="5473" operator="equal">
      <formula>"OFF"</formula>
    </cfRule>
    <cfRule type="cellIs" dxfId="35223" priority="5474" operator="equal">
      <formula>"PTO"</formula>
    </cfRule>
  </conditionalFormatting>
  <conditionalFormatting sqref="K48">
    <cfRule type="cellIs" dxfId="35222" priority="5471" operator="equal">
      <formula>"OFF"</formula>
    </cfRule>
    <cfRule type="cellIs" dxfId="35221" priority="5472" operator="equal">
      <formula>"PTO"</formula>
    </cfRule>
  </conditionalFormatting>
  <conditionalFormatting sqref="K48">
    <cfRule type="cellIs" dxfId="35220" priority="5469" operator="equal">
      <formula>"OFF"</formula>
    </cfRule>
    <cfRule type="cellIs" dxfId="35219" priority="5470" operator="equal">
      <formula>"PTO"</formula>
    </cfRule>
  </conditionalFormatting>
  <conditionalFormatting sqref="K45">
    <cfRule type="cellIs" dxfId="35218" priority="5467" operator="equal">
      <formula>"OFF"</formula>
    </cfRule>
    <cfRule type="cellIs" dxfId="35217" priority="5468" operator="equal">
      <formula>"PTO"</formula>
    </cfRule>
  </conditionalFormatting>
  <conditionalFormatting sqref="K45">
    <cfRule type="cellIs" dxfId="35216" priority="5465" operator="equal">
      <formula>"OFF"</formula>
    </cfRule>
    <cfRule type="cellIs" dxfId="35215" priority="5466" operator="equal">
      <formula>"PTO"</formula>
    </cfRule>
  </conditionalFormatting>
  <conditionalFormatting sqref="K48">
    <cfRule type="cellIs" dxfId="35214" priority="5463" operator="equal">
      <formula>"OFF"</formula>
    </cfRule>
    <cfRule type="cellIs" dxfId="35213" priority="5464" operator="equal">
      <formula>"PTO"</formula>
    </cfRule>
  </conditionalFormatting>
  <conditionalFormatting sqref="K45">
    <cfRule type="cellIs" dxfId="35212" priority="5461" operator="equal">
      <formula>"OFF"</formula>
    </cfRule>
    <cfRule type="cellIs" dxfId="35211" priority="5462" operator="equal">
      <formula>"PTO"</formula>
    </cfRule>
  </conditionalFormatting>
  <conditionalFormatting sqref="K50">
    <cfRule type="cellIs" dxfId="35210" priority="5459" operator="equal">
      <formula>"OFF"</formula>
    </cfRule>
    <cfRule type="cellIs" dxfId="35209" priority="5460" operator="equal">
      <formula>"PTO"</formula>
    </cfRule>
  </conditionalFormatting>
  <conditionalFormatting sqref="K48">
    <cfRule type="cellIs" dxfId="35208" priority="5457" operator="equal">
      <formula>"OFF"</formula>
    </cfRule>
    <cfRule type="cellIs" dxfId="35207" priority="5458" operator="equal">
      <formula>"PTO"</formula>
    </cfRule>
  </conditionalFormatting>
  <conditionalFormatting sqref="K48">
    <cfRule type="cellIs" dxfId="35206" priority="5455" operator="equal">
      <formula>"OFF"</formula>
    </cfRule>
    <cfRule type="cellIs" dxfId="35205" priority="5456" operator="equal">
      <formula>"PTO"</formula>
    </cfRule>
  </conditionalFormatting>
  <conditionalFormatting sqref="K48">
    <cfRule type="cellIs" dxfId="35204" priority="5453" operator="equal">
      <formula>"OFF"</formula>
    </cfRule>
    <cfRule type="cellIs" dxfId="35203" priority="5454" operator="equal">
      <formula>"PTO"</formula>
    </cfRule>
  </conditionalFormatting>
  <conditionalFormatting sqref="K48">
    <cfRule type="cellIs" dxfId="35202" priority="5451" operator="equal">
      <formula>"OFF"</formula>
    </cfRule>
    <cfRule type="cellIs" dxfId="35201" priority="5452" operator="equal">
      <formula>"PTO"</formula>
    </cfRule>
  </conditionalFormatting>
  <conditionalFormatting sqref="K48">
    <cfRule type="cellIs" dxfId="35200" priority="5449" operator="equal">
      <formula>"OFF"</formula>
    </cfRule>
    <cfRule type="cellIs" dxfId="35199" priority="5450" operator="equal">
      <formula>"PTO"</formula>
    </cfRule>
  </conditionalFormatting>
  <conditionalFormatting sqref="K48">
    <cfRule type="cellIs" dxfId="35198" priority="5447" operator="equal">
      <formula>"OFF"</formula>
    </cfRule>
    <cfRule type="cellIs" dxfId="35197" priority="5448" operator="equal">
      <formula>"PTO"</formula>
    </cfRule>
  </conditionalFormatting>
  <conditionalFormatting sqref="K48">
    <cfRule type="cellIs" dxfId="35196" priority="5445" operator="equal">
      <formula>"OFF"</formula>
    </cfRule>
    <cfRule type="cellIs" dxfId="35195" priority="5446" operator="equal">
      <formula>"PTO"</formula>
    </cfRule>
  </conditionalFormatting>
  <conditionalFormatting sqref="K48">
    <cfRule type="cellIs" dxfId="35194" priority="5443" operator="equal">
      <formula>"OFF"</formula>
    </cfRule>
    <cfRule type="cellIs" dxfId="35193" priority="5444" operator="equal">
      <formula>"PTO"</formula>
    </cfRule>
  </conditionalFormatting>
  <conditionalFormatting sqref="K48">
    <cfRule type="cellIs" dxfId="35192" priority="5441" operator="equal">
      <formula>"OFF"</formula>
    </cfRule>
    <cfRule type="cellIs" dxfId="35191" priority="5442" operator="equal">
      <formula>"PTO"</formula>
    </cfRule>
  </conditionalFormatting>
  <conditionalFormatting sqref="K48">
    <cfRule type="cellIs" dxfId="35190" priority="5439" operator="equal">
      <formula>"OFF"</formula>
    </cfRule>
    <cfRule type="cellIs" dxfId="35189" priority="5440" operator="equal">
      <formula>"PTO"</formula>
    </cfRule>
  </conditionalFormatting>
  <conditionalFormatting sqref="K48">
    <cfRule type="cellIs" dxfId="35188" priority="5437" operator="equal">
      <formula>"OFF"</formula>
    </cfRule>
    <cfRule type="cellIs" dxfId="35187" priority="5438" operator="equal">
      <formula>"PTO"</formula>
    </cfRule>
  </conditionalFormatting>
  <conditionalFormatting sqref="K48">
    <cfRule type="cellIs" dxfId="35186" priority="5435" operator="equal">
      <formula>"OFF"</formula>
    </cfRule>
    <cfRule type="cellIs" dxfId="35185" priority="5436" operator="equal">
      <formula>"PTO"</formula>
    </cfRule>
  </conditionalFormatting>
  <conditionalFormatting sqref="K48">
    <cfRule type="cellIs" dxfId="35184" priority="5433" operator="equal">
      <formula>"OFF"</formula>
    </cfRule>
    <cfRule type="cellIs" dxfId="35183" priority="5434" operator="equal">
      <formula>"PTO"</formula>
    </cfRule>
  </conditionalFormatting>
  <conditionalFormatting sqref="K48">
    <cfRule type="cellIs" dxfId="35182" priority="5431" operator="equal">
      <formula>"OFF"</formula>
    </cfRule>
    <cfRule type="cellIs" dxfId="35181" priority="5432" operator="equal">
      <formula>"PTO"</formula>
    </cfRule>
  </conditionalFormatting>
  <conditionalFormatting sqref="K48">
    <cfRule type="cellIs" dxfId="35180" priority="5429" operator="equal">
      <formula>"OFF"</formula>
    </cfRule>
    <cfRule type="cellIs" dxfId="35179" priority="5430" operator="equal">
      <formula>"PTO"</formula>
    </cfRule>
  </conditionalFormatting>
  <conditionalFormatting sqref="K48">
    <cfRule type="cellIs" dxfId="35178" priority="5427" operator="equal">
      <formula>"OFF"</formula>
    </cfRule>
    <cfRule type="cellIs" dxfId="35177" priority="5428" operator="equal">
      <formula>"PTO"</formula>
    </cfRule>
  </conditionalFormatting>
  <conditionalFormatting sqref="K48">
    <cfRule type="cellIs" dxfId="35176" priority="5425" operator="equal">
      <formula>"OFF"</formula>
    </cfRule>
    <cfRule type="cellIs" dxfId="35175" priority="5426" operator="equal">
      <formula>"PTO"</formula>
    </cfRule>
  </conditionalFormatting>
  <conditionalFormatting sqref="K48">
    <cfRule type="cellIs" dxfId="35174" priority="5423" operator="equal">
      <formula>"OFF"</formula>
    </cfRule>
    <cfRule type="cellIs" dxfId="35173" priority="5424" operator="equal">
      <formula>"PTO"</formula>
    </cfRule>
  </conditionalFormatting>
  <conditionalFormatting sqref="K48">
    <cfRule type="cellIs" dxfId="35172" priority="5421" operator="equal">
      <formula>"OFF"</formula>
    </cfRule>
    <cfRule type="cellIs" dxfId="35171" priority="5422" operator="equal">
      <formula>"PTO"</formula>
    </cfRule>
  </conditionalFormatting>
  <conditionalFormatting sqref="K48">
    <cfRule type="cellIs" dxfId="35170" priority="5419" operator="equal">
      <formula>"OFF"</formula>
    </cfRule>
    <cfRule type="cellIs" dxfId="35169" priority="5420" operator="equal">
      <formula>"PTO"</formula>
    </cfRule>
  </conditionalFormatting>
  <conditionalFormatting sqref="K43">
    <cfRule type="cellIs" dxfId="35168" priority="5417" operator="equal">
      <formula>"OFF"</formula>
    </cfRule>
    <cfRule type="cellIs" dxfId="35167" priority="5418" operator="equal">
      <formula>"PTO"</formula>
    </cfRule>
  </conditionalFormatting>
  <conditionalFormatting sqref="K43">
    <cfRule type="cellIs" dxfId="35166" priority="5415" operator="equal">
      <formula>"OFF"</formula>
    </cfRule>
    <cfRule type="cellIs" dxfId="35165" priority="5416" operator="equal">
      <formula>"PTO"</formula>
    </cfRule>
  </conditionalFormatting>
  <conditionalFormatting sqref="K43">
    <cfRule type="cellIs" dxfId="35164" priority="5413" operator="equal">
      <formula>"OFF"</formula>
    </cfRule>
    <cfRule type="cellIs" dxfId="35163" priority="5414" operator="equal">
      <formula>"PTO"</formula>
    </cfRule>
  </conditionalFormatting>
  <conditionalFormatting sqref="K43">
    <cfRule type="cellIs" dxfId="35162" priority="5411" operator="equal">
      <formula>"OFF"</formula>
    </cfRule>
    <cfRule type="cellIs" dxfId="35161" priority="5412" operator="equal">
      <formula>"PTO"</formula>
    </cfRule>
  </conditionalFormatting>
  <conditionalFormatting sqref="K49">
    <cfRule type="cellIs" dxfId="35160" priority="5409" operator="equal">
      <formula>"OFF"</formula>
    </cfRule>
    <cfRule type="cellIs" dxfId="35159" priority="5410" operator="equal">
      <formula>"PTO"</formula>
    </cfRule>
  </conditionalFormatting>
  <conditionalFormatting sqref="K49">
    <cfRule type="cellIs" dxfId="35158" priority="5407" operator="equal">
      <formula>"OFF"</formula>
    </cfRule>
    <cfRule type="cellIs" dxfId="35157" priority="5408" operator="equal">
      <formula>"PTO"</formula>
    </cfRule>
  </conditionalFormatting>
  <conditionalFormatting sqref="K49">
    <cfRule type="cellIs" dxfId="35156" priority="5405" operator="equal">
      <formula>"OFF"</formula>
    </cfRule>
    <cfRule type="cellIs" dxfId="35155" priority="5406" operator="equal">
      <formula>"PTO"</formula>
    </cfRule>
  </conditionalFormatting>
  <conditionalFormatting sqref="K49">
    <cfRule type="cellIs" dxfId="35154" priority="5403" operator="equal">
      <formula>"OFF"</formula>
    </cfRule>
    <cfRule type="cellIs" dxfId="35153" priority="5404" operator="equal">
      <formula>"PTO"</formula>
    </cfRule>
  </conditionalFormatting>
  <conditionalFormatting sqref="K49">
    <cfRule type="cellIs" dxfId="35152" priority="5401" operator="equal">
      <formula>"OFF"</formula>
    </cfRule>
    <cfRule type="cellIs" dxfId="35151" priority="5402" operator="equal">
      <formula>"PTO"</formula>
    </cfRule>
  </conditionalFormatting>
  <conditionalFormatting sqref="K49">
    <cfRule type="cellIs" dxfId="35150" priority="5399" operator="equal">
      <formula>"OFF"</formula>
    </cfRule>
    <cfRule type="cellIs" dxfId="35149" priority="5400" operator="equal">
      <formula>"PTO"</formula>
    </cfRule>
  </conditionalFormatting>
  <conditionalFormatting sqref="K49">
    <cfRule type="cellIs" dxfId="35148" priority="5397" operator="equal">
      <formula>"OFF"</formula>
    </cfRule>
    <cfRule type="cellIs" dxfId="35147" priority="5398" operator="equal">
      <formula>"PTO"</formula>
    </cfRule>
  </conditionalFormatting>
  <conditionalFormatting sqref="K49">
    <cfRule type="cellIs" dxfId="35146" priority="5395" operator="equal">
      <formula>"OFF"</formula>
    </cfRule>
    <cfRule type="cellIs" dxfId="35145" priority="5396" operator="equal">
      <formula>"PTO"</formula>
    </cfRule>
  </conditionalFormatting>
  <conditionalFormatting sqref="K49">
    <cfRule type="cellIs" dxfId="35144" priority="5393" operator="equal">
      <formula>"OFF"</formula>
    </cfRule>
    <cfRule type="cellIs" dxfId="35143" priority="5394" operator="equal">
      <formula>"PTO"</formula>
    </cfRule>
  </conditionalFormatting>
  <conditionalFormatting sqref="K47">
    <cfRule type="cellIs" dxfId="35142" priority="5391" operator="equal">
      <formula>"OFF"</formula>
    </cfRule>
    <cfRule type="cellIs" dxfId="35141" priority="5392" operator="equal">
      <formula>"PTO"</formula>
    </cfRule>
  </conditionalFormatting>
  <conditionalFormatting sqref="K47">
    <cfRule type="cellIs" dxfId="35140" priority="5389" operator="equal">
      <formula>"OFF"</formula>
    </cfRule>
    <cfRule type="cellIs" dxfId="35139" priority="5390" operator="equal">
      <formula>"PTO"</formula>
    </cfRule>
  </conditionalFormatting>
  <conditionalFormatting sqref="K45">
    <cfRule type="cellIs" dxfId="35138" priority="5387" operator="equal">
      <formula>"OFF"</formula>
    </cfRule>
    <cfRule type="cellIs" dxfId="35137" priority="5388" operator="equal">
      <formula>"PTO"</formula>
    </cfRule>
  </conditionalFormatting>
  <conditionalFormatting sqref="K45">
    <cfRule type="cellIs" dxfId="35136" priority="5385" operator="equal">
      <formula>"OFF"</formula>
    </cfRule>
    <cfRule type="cellIs" dxfId="35135" priority="5386" operator="equal">
      <formula>"PTO"</formula>
    </cfRule>
  </conditionalFormatting>
  <conditionalFormatting sqref="K45">
    <cfRule type="cellIs" dxfId="35134" priority="5383" operator="equal">
      <formula>"OFF"</formula>
    </cfRule>
    <cfRule type="cellIs" dxfId="35133" priority="5384" operator="equal">
      <formula>"PTO"</formula>
    </cfRule>
  </conditionalFormatting>
  <conditionalFormatting sqref="K46">
    <cfRule type="cellIs" dxfId="35132" priority="5381" operator="equal">
      <formula>"OFF"</formula>
    </cfRule>
    <cfRule type="cellIs" dxfId="35131" priority="5382" operator="equal">
      <formula>"PTO"</formula>
    </cfRule>
  </conditionalFormatting>
  <conditionalFormatting sqref="K46">
    <cfRule type="cellIs" dxfId="35130" priority="5379" operator="equal">
      <formula>"OFF"</formula>
    </cfRule>
    <cfRule type="cellIs" dxfId="35129" priority="5380" operator="equal">
      <formula>"PTO"</formula>
    </cfRule>
  </conditionalFormatting>
  <conditionalFormatting sqref="K46">
    <cfRule type="cellIs" dxfId="35128" priority="5377" operator="equal">
      <formula>"OFF"</formula>
    </cfRule>
    <cfRule type="cellIs" dxfId="35127" priority="5378" operator="equal">
      <formula>"PTO"</formula>
    </cfRule>
  </conditionalFormatting>
  <conditionalFormatting sqref="K46">
    <cfRule type="cellIs" dxfId="35126" priority="5375" operator="equal">
      <formula>"OFF"</formula>
    </cfRule>
    <cfRule type="cellIs" dxfId="35125" priority="5376" operator="equal">
      <formula>"PTO"</formula>
    </cfRule>
  </conditionalFormatting>
  <conditionalFormatting sqref="K46">
    <cfRule type="cellIs" dxfId="35124" priority="5373" operator="equal">
      <formula>"OFF"</formula>
    </cfRule>
    <cfRule type="cellIs" dxfId="35123" priority="5374" operator="equal">
      <formula>"PTO"</formula>
    </cfRule>
  </conditionalFormatting>
  <conditionalFormatting sqref="K46">
    <cfRule type="cellIs" dxfId="35122" priority="5371" operator="equal">
      <formula>"OFF"</formula>
    </cfRule>
    <cfRule type="cellIs" dxfId="35121" priority="5372" operator="equal">
      <formula>"PTO"</formula>
    </cfRule>
  </conditionalFormatting>
  <conditionalFormatting sqref="K46">
    <cfRule type="cellIs" dxfId="35120" priority="5369" operator="equal">
      <formula>"OFF"</formula>
    </cfRule>
    <cfRule type="cellIs" dxfId="35119" priority="5370" operator="equal">
      <formula>"PTO"</formula>
    </cfRule>
  </conditionalFormatting>
  <conditionalFormatting sqref="K46">
    <cfRule type="cellIs" dxfId="35118" priority="5367" operator="equal">
      <formula>"OFF"</formula>
    </cfRule>
    <cfRule type="cellIs" dxfId="35117" priority="5368" operator="equal">
      <formula>"PTO"</formula>
    </cfRule>
  </conditionalFormatting>
  <conditionalFormatting sqref="K46">
    <cfRule type="cellIs" dxfId="35116" priority="5365" operator="equal">
      <formula>"OFF"</formula>
    </cfRule>
    <cfRule type="cellIs" dxfId="35115" priority="5366" operator="equal">
      <formula>"PTO"</formula>
    </cfRule>
  </conditionalFormatting>
  <conditionalFormatting sqref="K46">
    <cfRule type="cellIs" dxfId="35114" priority="5363" operator="equal">
      <formula>"OFF"</formula>
    </cfRule>
    <cfRule type="cellIs" dxfId="35113" priority="5364" operator="equal">
      <formula>"PTO"</formula>
    </cfRule>
  </conditionalFormatting>
  <conditionalFormatting sqref="K46">
    <cfRule type="cellIs" dxfId="35112" priority="5361" operator="equal">
      <formula>"OFF"</formula>
    </cfRule>
    <cfRule type="cellIs" dxfId="35111" priority="5362" operator="equal">
      <formula>"PTO"</formula>
    </cfRule>
  </conditionalFormatting>
  <conditionalFormatting sqref="K46">
    <cfRule type="cellIs" dxfId="35110" priority="5359" operator="equal">
      <formula>"OFF"</formula>
    </cfRule>
    <cfRule type="cellIs" dxfId="35109" priority="5360" operator="equal">
      <formula>"PTO"</formula>
    </cfRule>
  </conditionalFormatting>
  <conditionalFormatting sqref="K46">
    <cfRule type="cellIs" dxfId="35108" priority="5357" operator="equal">
      <formula>"OFF"</formula>
    </cfRule>
    <cfRule type="cellIs" dxfId="35107" priority="5358" operator="equal">
      <formula>"PTO"</formula>
    </cfRule>
  </conditionalFormatting>
  <conditionalFormatting sqref="K46">
    <cfRule type="cellIs" dxfId="35106" priority="5355" operator="equal">
      <formula>"OFF"</formula>
    </cfRule>
    <cfRule type="cellIs" dxfId="35105" priority="5356" operator="equal">
      <formula>"PTO"</formula>
    </cfRule>
  </conditionalFormatting>
  <conditionalFormatting sqref="K46">
    <cfRule type="cellIs" dxfId="35104" priority="5353" operator="equal">
      <formula>"OFF"</formula>
    </cfRule>
    <cfRule type="cellIs" dxfId="35103" priority="5354" operator="equal">
      <formula>"PTO"</formula>
    </cfRule>
  </conditionalFormatting>
  <conditionalFormatting sqref="K46">
    <cfRule type="cellIs" dxfId="35102" priority="5351" operator="equal">
      <formula>"OFF"</formula>
    </cfRule>
    <cfRule type="cellIs" dxfId="35101" priority="5352" operator="equal">
      <formula>"PTO"</formula>
    </cfRule>
  </conditionalFormatting>
  <conditionalFormatting sqref="K46">
    <cfRule type="cellIs" dxfId="35100" priority="5349" operator="equal">
      <formula>"OFF"</formula>
    </cfRule>
    <cfRule type="cellIs" dxfId="35099" priority="5350" operator="equal">
      <formula>"PTO"</formula>
    </cfRule>
  </conditionalFormatting>
  <conditionalFormatting sqref="K46">
    <cfRule type="cellIs" dxfId="35098" priority="5347" operator="equal">
      <formula>"OFF"</formula>
    </cfRule>
    <cfRule type="cellIs" dxfId="35097" priority="5348" operator="equal">
      <formula>"PTO"</formula>
    </cfRule>
  </conditionalFormatting>
  <conditionalFormatting sqref="K46">
    <cfRule type="cellIs" dxfId="35096" priority="5345" operator="equal">
      <formula>"OFF"</formula>
    </cfRule>
    <cfRule type="cellIs" dxfId="35095" priority="5346" operator="equal">
      <formula>"PTO"</formula>
    </cfRule>
  </conditionalFormatting>
  <conditionalFormatting sqref="K46">
    <cfRule type="cellIs" dxfId="35094" priority="5343" operator="equal">
      <formula>"OFF"</formula>
    </cfRule>
    <cfRule type="cellIs" dxfId="35093" priority="5344" operator="equal">
      <formula>"PTO"</formula>
    </cfRule>
  </conditionalFormatting>
  <conditionalFormatting sqref="K46">
    <cfRule type="cellIs" dxfId="35092" priority="5341" operator="equal">
      <formula>"OFF"</formula>
    </cfRule>
    <cfRule type="cellIs" dxfId="35091" priority="5342" operator="equal">
      <formula>"PTO"</formula>
    </cfRule>
  </conditionalFormatting>
  <conditionalFormatting sqref="K46">
    <cfRule type="cellIs" dxfId="35090" priority="5339" operator="equal">
      <formula>"OFF"</formula>
    </cfRule>
    <cfRule type="cellIs" dxfId="35089" priority="5340" operator="equal">
      <formula>"PTO"</formula>
    </cfRule>
  </conditionalFormatting>
  <conditionalFormatting sqref="K46">
    <cfRule type="cellIs" dxfId="35088" priority="5337" operator="equal">
      <formula>"OFF"</formula>
    </cfRule>
    <cfRule type="cellIs" dxfId="35087" priority="5338" operator="equal">
      <formula>"PTO"</formula>
    </cfRule>
  </conditionalFormatting>
  <conditionalFormatting sqref="K46">
    <cfRule type="cellIs" dxfId="35086" priority="5335" operator="equal">
      <formula>"OFF"</formula>
    </cfRule>
    <cfRule type="cellIs" dxfId="35085" priority="5336" operator="equal">
      <formula>"PTO"</formula>
    </cfRule>
  </conditionalFormatting>
  <conditionalFormatting sqref="K46">
    <cfRule type="cellIs" dxfId="35084" priority="5333" operator="equal">
      <formula>"OFF"</formula>
    </cfRule>
    <cfRule type="cellIs" dxfId="35083" priority="5334" operator="equal">
      <formula>"PTO"</formula>
    </cfRule>
  </conditionalFormatting>
  <conditionalFormatting sqref="K46">
    <cfRule type="cellIs" dxfId="35082" priority="5331" operator="equal">
      <formula>"OFF"</formula>
    </cfRule>
    <cfRule type="cellIs" dxfId="35081" priority="5332" operator="equal">
      <formula>"PTO"</formula>
    </cfRule>
  </conditionalFormatting>
  <conditionalFormatting sqref="K47:K50">
    <cfRule type="cellIs" dxfId="35080" priority="5329" operator="equal">
      <formula>"OFF"</formula>
    </cfRule>
    <cfRule type="cellIs" dxfId="35079" priority="5330" operator="equal">
      <formula>"PTO"</formula>
    </cfRule>
  </conditionalFormatting>
  <conditionalFormatting sqref="K47">
    <cfRule type="cellIs" dxfId="35078" priority="5327" operator="equal">
      <formula>"OFF"</formula>
    </cfRule>
    <cfRule type="cellIs" dxfId="35077" priority="5328" operator="equal">
      <formula>"PTO"</formula>
    </cfRule>
  </conditionalFormatting>
  <conditionalFormatting sqref="K41 K43 K45:K50">
    <cfRule type="cellIs" dxfId="35076" priority="5325" operator="equal">
      <formula>"OFF"</formula>
    </cfRule>
    <cfRule type="cellIs" dxfId="35075" priority="5326" operator="equal">
      <formula>"PTO"</formula>
    </cfRule>
  </conditionalFormatting>
  <conditionalFormatting sqref="K41 K43 K45:K50">
    <cfRule type="cellIs" dxfId="35074" priority="5323" operator="equal">
      <formula>"OFF"</formula>
    </cfRule>
    <cfRule type="cellIs" dxfId="35073" priority="5324" operator="equal">
      <formula>"PTO"</formula>
    </cfRule>
  </conditionalFormatting>
  <conditionalFormatting sqref="K41 K43 K45:K50">
    <cfRule type="cellIs" dxfId="35072" priority="5321" operator="equal">
      <formula>"OFF"</formula>
    </cfRule>
    <cfRule type="cellIs" dxfId="35071" priority="5322" operator="equal">
      <formula>"PTO"</formula>
    </cfRule>
  </conditionalFormatting>
  <conditionalFormatting sqref="K49:K53">
    <cfRule type="cellIs" dxfId="35070" priority="5319" operator="equal">
      <formula>"OFF"</formula>
    </cfRule>
    <cfRule type="cellIs" dxfId="35069" priority="5320" operator="equal">
      <formula>"PTO"</formula>
    </cfRule>
  </conditionalFormatting>
  <conditionalFormatting sqref="K49:K53">
    <cfRule type="cellIs" dxfId="35068" priority="5317" operator="equal">
      <formula>"OFF"</formula>
    </cfRule>
    <cfRule type="cellIs" dxfId="35067" priority="5318" operator="equal">
      <formula>"PTO"</formula>
    </cfRule>
  </conditionalFormatting>
  <conditionalFormatting sqref="K49:K53">
    <cfRule type="cellIs" dxfId="35066" priority="5315" operator="equal">
      <formula>"OFF"</formula>
    </cfRule>
    <cfRule type="cellIs" dxfId="35065" priority="5316" operator="equal">
      <formula>"PTO"</formula>
    </cfRule>
  </conditionalFormatting>
  <conditionalFormatting sqref="K47">
    <cfRule type="cellIs" dxfId="35064" priority="5313" operator="equal">
      <formula>"OFF"</formula>
    </cfRule>
    <cfRule type="cellIs" dxfId="35063" priority="5314" operator="equal">
      <formula>"PTO"</formula>
    </cfRule>
  </conditionalFormatting>
  <conditionalFormatting sqref="K47">
    <cfRule type="cellIs" dxfId="35062" priority="5311" operator="equal">
      <formula>"OFF"</formula>
    </cfRule>
    <cfRule type="cellIs" dxfId="35061" priority="5312" operator="equal">
      <formula>"PTO"</formula>
    </cfRule>
  </conditionalFormatting>
  <conditionalFormatting sqref="K47">
    <cfRule type="cellIs" dxfId="35060" priority="5309" operator="equal">
      <formula>"OFF"</formula>
    </cfRule>
    <cfRule type="cellIs" dxfId="35059" priority="5310" operator="equal">
      <formula>"PTO"</formula>
    </cfRule>
  </conditionalFormatting>
  <conditionalFormatting sqref="K47">
    <cfRule type="cellIs" dxfId="35058" priority="5307" operator="equal">
      <formula>"OFF"</formula>
    </cfRule>
    <cfRule type="cellIs" dxfId="35057" priority="5308" operator="equal">
      <formula>"PTO"</formula>
    </cfRule>
  </conditionalFormatting>
  <conditionalFormatting sqref="K47">
    <cfRule type="cellIs" dxfId="35056" priority="5305" operator="equal">
      <formula>"OFF"</formula>
    </cfRule>
    <cfRule type="cellIs" dxfId="35055" priority="5306" operator="equal">
      <formula>"PTO"</formula>
    </cfRule>
  </conditionalFormatting>
  <conditionalFormatting sqref="K47">
    <cfRule type="cellIs" dxfId="35054" priority="5303" operator="equal">
      <formula>"OFF"</formula>
    </cfRule>
    <cfRule type="cellIs" dxfId="35053" priority="5304" operator="equal">
      <formula>"PTO"</formula>
    </cfRule>
  </conditionalFormatting>
  <conditionalFormatting sqref="K47">
    <cfRule type="cellIs" dxfId="35052" priority="5301" operator="equal">
      <formula>"OFF"</formula>
    </cfRule>
    <cfRule type="cellIs" dxfId="35051" priority="5302" operator="equal">
      <formula>"PTO"</formula>
    </cfRule>
  </conditionalFormatting>
  <conditionalFormatting sqref="K47">
    <cfRule type="cellIs" dxfId="35050" priority="5299" operator="equal">
      <formula>"OFF"</formula>
    </cfRule>
    <cfRule type="cellIs" dxfId="35049" priority="5300" operator="equal">
      <formula>"PTO"</formula>
    </cfRule>
  </conditionalFormatting>
  <conditionalFormatting sqref="K47">
    <cfRule type="cellIs" dxfId="35048" priority="5297" operator="equal">
      <formula>"OFF"</formula>
    </cfRule>
    <cfRule type="cellIs" dxfId="35047" priority="5298" operator="equal">
      <formula>"PTO"</formula>
    </cfRule>
  </conditionalFormatting>
  <conditionalFormatting sqref="K47">
    <cfRule type="cellIs" dxfId="35046" priority="5295" operator="equal">
      <formula>"OFF"</formula>
    </cfRule>
    <cfRule type="cellIs" dxfId="35045" priority="5296" operator="equal">
      <formula>"PTO"</formula>
    </cfRule>
  </conditionalFormatting>
  <conditionalFormatting sqref="K47">
    <cfRule type="cellIs" dxfId="35044" priority="5293" operator="equal">
      <formula>"OFF"</formula>
    </cfRule>
    <cfRule type="cellIs" dxfId="35043" priority="5294" operator="equal">
      <formula>"PTO"</formula>
    </cfRule>
  </conditionalFormatting>
  <conditionalFormatting sqref="K47">
    <cfRule type="cellIs" dxfId="35042" priority="5291" operator="equal">
      <formula>"OFF"</formula>
    </cfRule>
    <cfRule type="cellIs" dxfId="35041" priority="5292" operator="equal">
      <formula>"PTO"</formula>
    </cfRule>
  </conditionalFormatting>
  <conditionalFormatting sqref="K47">
    <cfRule type="cellIs" dxfId="35040" priority="5289" operator="equal">
      <formula>"OFF"</formula>
    </cfRule>
    <cfRule type="cellIs" dxfId="35039" priority="5290" operator="equal">
      <formula>"PTO"</formula>
    </cfRule>
  </conditionalFormatting>
  <conditionalFormatting sqref="K47">
    <cfRule type="cellIs" dxfId="35038" priority="5287" operator="equal">
      <formula>"OFF"</formula>
    </cfRule>
    <cfRule type="cellIs" dxfId="35037" priority="5288" operator="equal">
      <formula>"PTO"</formula>
    </cfRule>
  </conditionalFormatting>
  <conditionalFormatting sqref="K47">
    <cfRule type="cellIs" dxfId="35036" priority="5285" operator="equal">
      <formula>"OFF"</formula>
    </cfRule>
    <cfRule type="cellIs" dxfId="35035" priority="5286" operator="equal">
      <formula>"PTO"</formula>
    </cfRule>
  </conditionalFormatting>
  <conditionalFormatting sqref="K47">
    <cfRule type="cellIs" dxfId="35034" priority="5283" operator="equal">
      <formula>"OFF"</formula>
    </cfRule>
    <cfRule type="cellIs" dxfId="35033" priority="5284" operator="equal">
      <formula>"PTO"</formula>
    </cfRule>
  </conditionalFormatting>
  <conditionalFormatting sqref="K47">
    <cfRule type="cellIs" dxfId="35032" priority="5281" operator="equal">
      <formula>"OFF"</formula>
    </cfRule>
    <cfRule type="cellIs" dxfId="35031" priority="5282" operator="equal">
      <formula>"PTO"</formula>
    </cfRule>
  </conditionalFormatting>
  <conditionalFormatting sqref="K47">
    <cfRule type="cellIs" dxfId="35030" priority="5279" operator="equal">
      <formula>"OFF"</formula>
    </cfRule>
    <cfRule type="cellIs" dxfId="35029" priority="5280" operator="equal">
      <formula>"PTO"</formula>
    </cfRule>
  </conditionalFormatting>
  <conditionalFormatting sqref="K47">
    <cfRule type="cellIs" dxfId="35028" priority="5277" operator="equal">
      <formula>"OFF"</formula>
    </cfRule>
    <cfRule type="cellIs" dxfId="35027" priority="5278" operator="equal">
      <formula>"PTO"</formula>
    </cfRule>
  </conditionalFormatting>
  <conditionalFormatting sqref="K47">
    <cfRule type="cellIs" dxfId="35026" priority="5275" operator="equal">
      <formula>"OFF"</formula>
    </cfRule>
    <cfRule type="cellIs" dxfId="35025" priority="5276" operator="equal">
      <formula>"PTO"</formula>
    </cfRule>
  </conditionalFormatting>
  <conditionalFormatting sqref="K47">
    <cfRule type="cellIs" dxfId="35024" priority="5273" operator="equal">
      <formula>"OFF"</formula>
    </cfRule>
    <cfRule type="cellIs" dxfId="35023" priority="5274" operator="equal">
      <formula>"PTO"</formula>
    </cfRule>
  </conditionalFormatting>
  <conditionalFormatting sqref="K47">
    <cfRule type="cellIs" dxfId="35022" priority="5271" operator="equal">
      <formula>"OFF"</formula>
    </cfRule>
    <cfRule type="cellIs" dxfId="35021" priority="5272" operator="equal">
      <formula>"PTO"</formula>
    </cfRule>
  </conditionalFormatting>
  <conditionalFormatting sqref="K47">
    <cfRule type="cellIs" dxfId="35020" priority="5269" operator="equal">
      <formula>"OFF"</formula>
    </cfRule>
    <cfRule type="cellIs" dxfId="35019" priority="5270" operator="equal">
      <formula>"PTO"</formula>
    </cfRule>
  </conditionalFormatting>
  <conditionalFormatting sqref="K47">
    <cfRule type="cellIs" dxfId="35018" priority="5267" operator="equal">
      <formula>"OFF"</formula>
    </cfRule>
    <cfRule type="cellIs" dxfId="35017" priority="5268" operator="equal">
      <formula>"PTO"</formula>
    </cfRule>
  </conditionalFormatting>
  <conditionalFormatting sqref="K47">
    <cfRule type="cellIs" dxfId="35016" priority="5265" operator="equal">
      <formula>"OFF"</formula>
    </cfRule>
    <cfRule type="cellIs" dxfId="35015" priority="5266" operator="equal">
      <formula>"PTO"</formula>
    </cfRule>
  </conditionalFormatting>
  <conditionalFormatting sqref="K43">
    <cfRule type="cellIs" dxfId="35014" priority="5263" operator="equal">
      <formula>"OFF"</formula>
    </cfRule>
    <cfRule type="cellIs" dxfId="35013" priority="5264" operator="equal">
      <formula>"PTO"</formula>
    </cfRule>
  </conditionalFormatting>
  <conditionalFormatting sqref="K43">
    <cfRule type="cellIs" dxfId="35012" priority="5261" operator="equal">
      <formula>"OFF"</formula>
    </cfRule>
    <cfRule type="cellIs" dxfId="35011" priority="5262" operator="equal">
      <formula>"PTO"</formula>
    </cfRule>
  </conditionalFormatting>
  <conditionalFormatting sqref="K46">
    <cfRule type="cellIs" dxfId="35010" priority="5259" operator="equal">
      <formula>"OFF"</formula>
    </cfRule>
    <cfRule type="cellIs" dxfId="35009" priority="5260" operator="equal">
      <formula>"PTO"</formula>
    </cfRule>
  </conditionalFormatting>
  <conditionalFormatting sqref="K46">
    <cfRule type="cellIs" dxfId="35008" priority="5257" operator="equal">
      <formula>"OFF"</formula>
    </cfRule>
    <cfRule type="cellIs" dxfId="35007" priority="5258" operator="equal">
      <formula>"PTO"</formula>
    </cfRule>
  </conditionalFormatting>
  <conditionalFormatting sqref="K43">
    <cfRule type="cellIs" dxfId="35006" priority="5255" operator="equal">
      <formula>"OFF"</formula>
    </cfRule>
    <cfRule type="cellIs" dxfId="35005" priority="5256" operator="equal">
      <formula>"PTO"</formula>
    </cfRule>
  </conditionalFormatting>
  <conditionalFormatting sqref="K43">
    <cfRule type="cellIs" dxfId="35004" priority="5253" operator="equal">
      <formula>"OFF"</formula>
    </cfRule>
    <cfRule type="cellIs" dxfId="35003" priority="5254" operator="equal">
      <formula>"PTO"</formula>
    </cfRule>
  </conditionalFormatting>
  <conditionalFormatting sqref="K43">
    <cfRule type="cellIs" dxfId="35002" priority="5251" operator="equal">
      <formula>"OFF"</formula>
    </cfRule>
    <cfRule type="cellIs" dxfId="35001" priority="5252" operator="equal">
      <formula>"PTO"</formula>
    </cfRule>
  </conditionalFormatting>
  <conditionalFormatting sqref="K45">
    <cfRule type="cellIs" dxfId="35000" priority="5249" operator="equal">
      <formula>"OFF"</formula>
    </cfRule>
    <cfRule type="cellIs" dxfId="34999" priority="5250" operator="equal">
      <formula>"PTO"</formula>
    </cfRule>
  </conditionalFormatting>
  <conditionalFormatting sqref="K45">
    <cfRule type="cellIs" dxfId="34998" priority="5247" operator="equal">
      <formula>"OFF"</formula>
    </cfRule>
    <cfRule type="cellIs" dxfId="34997" priority="5248" operator="equal">
      <formula>"PTO"</formula>
    </cfRule>
  </conditionalFormatting>
  <conditionalFormatting sqref="K45">
    <cfRule type="cellIs" dxfId="34996" priority="5245" operator="equal">
      <formula>"OFF"</formula>
    </cfRule>
    <cfRule type="cellIs" dxfId="34995" priority="5246" operator="equal">
      <formula>"PTO"</formula>
    </cfRule>
  </conditionalFormatting>
  <conditionalFormatting sqref="K45">
    <cfRule type="cellIs" dxfId="34994" priority="5243" operator="equal">
      <formula>"OFF"</formula>
    </cfRule>
    <cfRule type="cellIs" dxfId="34993" priority="5244" operator="equal">
      <formula>"PTO"</formula>
    </cfRule>
  </conditionalFormatting>
  <conditionalFormatting sqref="K45">
    <cfRule type="cellIs" dxfId="34992" priority="5241" operator="equal">
      <formula>"OFF"</formula>
    </cfRule>
    <cfRule type="cellIs" dxfId="34991" priority="5242" operator="equal">
      <formula>"PTO"</formula>
    </cfRule>
  </conditionalFormatting>
  <conditionalFormatting sqref="K45">
    <cfRule type="cellIs" dxfId="34990" priority="5239" operator="equal">
      <formula>"OFF"</formula>
    </cfRule>
    <cfRule type="cellIs" dxfId="34989" priority="5240" operator="equal">
      <formula>"PTO"</formula>
    </cfRule>
  </conditionalFormatting>
  <conditionalFormatting sqref="K45">
    <cfRule type="cellIs" dxfId="34988" priority="5237" operator="equal">
      <formula>"OFF"</formula>
    </cfRule>
    <cfRule type="cellIs" dxfId="34987" priority="5238" operator="equal">
      <formula>"PTO"</formula>
    </cfRule>
  </conditionalFormatting>
  <conditionalFormatting sqref="K45">
    <cfRule type="cellIs" dxfId="34986" priority="5235" operator="equal">
      <formula>"OFF"</formula>
    </cfRule>
    <cfRule type="cellIs" dxfId="34985" priority="5236" operator="equal">
      <formula>"PTO"</formula>
    </cfRule>
  </conditionalFormatting>
  <conditionalFormatting sqref="K45">
    <cfRule type="cellIs" dxfId="34984" priority="5233" operator="equal">
      <formula>"OFF"</formula>
    </cfRule>
    <cfRule type="cellIs" dxfId="34983" priority="5234" operator="equal">
      <formula>"PTO"</formula>
    </cfRule>
  </conditionalFormatting>
  <conditionalFormatting sqref="K45">
    <cfRule type="cellIs" dxfId="34982" priority="5231" operator="equal">
      <formula>"OFF"</formula>
    </cfRule>
    <cfRule type="cellIs" dxfId="34981" priority="5232" operator="equal">
      <formula>"PTO"</formula>
    </cfRule>
  </conditionalFormatting>
  <conditionalFormatting sqref="K45">
    <cfRule type="cellIs" dxfId="34980" priority="5229" operator="equal">
      <formula>"OFF"</formula>
    </cfRule>
    <cfRule type="cellIs" dxfId="34979" priority="5230" operator="equal">
      <formula>"PTO"</formula>
    </cfRule>
  </conditionalFormatting>
  <conditionalFormatting sqref="K45">
    <cfRule type="cellIs" dxfId="34978" priority="5227" operator="equal">
      <formula>"OFF"</formula>
    </cfRule>
    <cfRule type="cellIs" dxfId="34977" priority="5228" operator="equal">
      <formula>"PTO"</formula>
    </cfRule>
  </conditionalFormatting>
  <conditionalFormatting sqref="K45">
    <cfRule type="cellIs" dxfId="34976" priority="5225" operator="equal">
      <formula>"OFF"</formula>
    </cfRule>
    <cfRule type="cellIs" dxfId="34975" priority="5226" operator="equal">
      <formula>"PTO"</formula>
    </cfRule>
  </conditionalFormatting>
  <conditionalFormatting sqref="K45">
    <cfRule type="cellIs" dxfId="34974" priority="5223" operator="equal">
      <formula>"OFF"</formula>
    </cfRule>
    <cfRule type="cellIs" dxfId="34973" priority="5224" operator="equal">
      <formula>"PTO"</formula>
    </cfRule>
  </conditionalFormatting>
  <conditionalFormatting sqref="K45">
    <cfRule type="cellIs" dxfId="34972" priority="5221" operator="equal">
      <formula>"OFF"</formula>
    </cfRule>
    <cfRule type="cellIs" dxfId="34971" priority="5222" operator="equal">
      <formula>"PTO"</formula>
    </cfRule>
  </conditionalFormatting>
  <conditionalFormatting sqref="K45">
    <cfRule type="cellIs" dxfId="34970" priority="5219" operator="equal">
      <formula>"OFF"</formula>
    </cfRule>
    <cfRule type="cellIs" dxfId="34969" priority="5220" operator="equal">
      <formula>"PTO"</formula>
    </cfRule>
  </conditionalFormatting>
  <conditionalFormatting sqref="K45">
    <cfRule type="cellIs" dxfId="34968" priority="5217" operator="equal">
      <formula>"OFF"</formula>
    </cfRule>
    <cfRule type="cellIs" dxfId="34967" priority="5218" operator="equal">
      <formula>"PTO"</formula>
    </cfRule>
  </conditionalFormatting>
  <conditionalFormatting sqref="K45">
    <cfRule type="cellIs" dxfId="34966" priority="5215" operator="equal">
      <formula>"OFF"</formula>
    </cfRule>
    <cfRule type="cellIs" dxfId="34965" priority="5216" operator="equal">
      <formula>"PTO"</formula>
    </cfRule>
  </conditionalFormatting>
  <conditionalFormatting sqref="K45">
    <cfRule type="cellIs" dxfId="34964" priority="5213" operator="equal">
      <formula>"OFF"</formula>
    </cfRule>
    <cfRule type="cellIs" dxfId="34963" priority="5214" operator="equal">
      <formula>"PTO"</formula>
    </cfRule>
  </conditionalFormatting>
  <conditionalFormatting sqref="K45">
    <cfRule type="cellIs" dxfId="34962" priority="5211" operator="equal">
      <formula>"OFF"</formula>
    </cfRule>
    <cfRule type="cellIs" dxfId="34961" priority="5212" operator="equal">
      <formula>"PTO"</formula>
    </cfRule>
  </conditionalFormatting>
  <conditionalFormatting sqref="K45">
    <cfRule type="cellIs" dxfId="34960" priority="5209" operator="equal">
      <formula>"OFF"</formula>
    </cfRule>
    <cfRule type="cellIs" dxfId="34959" priority="5210" operator="equal">
      <formula>"PTO"</formula>
    </cfRule>
  </conditionalFormatting>
  <conditionalFormatting sqref="K45">
    <cfRule type="cellIs" dxfId="34958" priority="5207" operator="equal">
      <formula>"OFF"</formula>
    </cfRule>
    <cfRule type="cellIs" dxfId="34957" priority="5208" operator="equal">
      <formula>"PTO"</formula>
    </cfRule>
  </conditionalFormatting>
  <conditionalFormatting sqref="K45">
    <cfRule type="cellIs" dxfId="34956" priority="5205" operator="equal">
      <formula>"OFF"</formula>
    </cfRule>
    <cfRule type="cellIs" dxfId="34955" priority="5206" operator="equal">
      <formula>"PTO"</formula>
    </cfRule>
  </conditionalFormatting>
  <conditionalFormatting sqref="K45">
    <cfRule type="cellIs" dxfId="34954" priority="5203" operator="equal">
      <formula>"OFF"</formula>
    </cfRule>
    <cfRule type="cellIs" dxfId="34953" priority="5204" operator="equal">
      <formula>"PTO"</formula>
    </cfRule>
  </conditionalFormatting>
  <conditionalFormatting sqref="K45">
    <cfRule type="cellIs" dxfId="34952" priority="5201" operator="equal">
      <formula>"OFF"</formula>
    </cfRule>
    <cfRule type="cellIs" dxfId="34951" priority="5202" operator="equal">
      <formula>"PTO"</formula>
    </cfRule>
  </conditionalFormatting>
  <conditionalFormatting sqref="K45">
    <cfRule type="cellIs" dxfId="34950" priority="5199" operator="equal">
      <formula>"OFF"</formula>
    </cfRule>
    <cfRule type="cellIs" dxfId="34949" priority="5200" operator="equal">
      <formula>"PTO"</formula>
    </cfRule>
  </conditionalFormatting>
  <conditionalFormatting sqref="K47">
    <cfRule type="cellIs" dxfId="34948" priority="5197" operator="equal">
      <formula>"OFF"</formula>
    </cfRule>
    <cfRule type="cellIs" dxfId="34947" priority="5198" operator="equal">
      <formula>"PTO"</formula>
    </cfRule>
  </conditionalFormatting>
  <conditionalFormatting sqref="K46">
    <cfRule type="cellIs" dxfId="34946" priority="5195" operator="equal">
      <formula>"OFF"</formula>
    </cfRule>
    <cfRule type="cellIs" dxfId="34945" priority="5196" operator="equal">
      <formula>"PTO"</formula>
    </cfRule>
  </conditionalFormatting>
  <conditionalFormatting sqref="K49">
    <cfRule type="cellIs" dxfId="34944" priority="5193" operator="equal">
      <formula>"OFF"</formula>
    </cfRule>
    <cfRule type="cellIs" dxfId="34943" priority="5194" operator="equal">
      <formula>"PTO"</formula>
    </cfRule>
  </conditionalFormatting>
  <conditionalFormatting sqref="K48">
    <cfRule type="cellIs" dxfId="34942" priority="5191" operator="equal">
      <formula>"OFF"</formula>
    </cfRule>
    <cfRule type="cellIs" dxfId="34941" priority="5192" operator="equal">
      <formula>"PTO"</formula>
    </cfRule>
  </conditionalFormatting>
  <conditionalFormatting sqref="K48">
    <cfRule type="cellIs" dxfId="34940" priority="5189" operator="equal">
      <formula>"OFF"</formula>
    </cfRule>
    <cfRule type="cellIs" dxfId="34939" priority="5190" operator="equal">
      <formula>"PTO"</formula>
    </cfRule>
  </conditionalFormatting>
  <conditionalFormatting sqref="K48">
    <cfRule type="cellIs" dxfId="34938" priority="5187" operator="equal">
      <formula>"OFF"</formula>
    </cfRule>
    <cfRule type="cellIs" dxfId="34937" priority="5188" operator="equal">
      <formula>"PTO"</formula>
    </cfRule>
  </conditionalFormatting>
  <conditionalFormatting sqref="K48">
    <cfRule type="cellIs" dxfId="34936" priority="5185" operator="equal">
      <formula>"OFF"</formula>
    </cfRule>
    <cfRule type="cellIs" dxfId="34935" priority="5186" operator="equal">
      <formula>"PTO"</formula>
    </cfRule>
  </conditionalFormatting>
  <conditionalFormatting sqref="K48">
    <cfRule type="cellIs" dxfId="34934" priority="5183" operator="equal">
      <formula>"OFF"</formula>
    </cfRule>
    <cfRule type="cellIs" dxfId="34933" priority="5184" operator="equal">
      <formula>"PTO"</formula>
    </cfRule>
  </conditionalFormatting>
  <conditionalFormatting sqref="K48">
    <cfRule type="cellIs" dxfId="34932" priority="5181" operator="equal">
      <formula>"OFF"</formula>
    </cfRule>
    <cfRule type="cellIs" dxfId="34931" priority="5182" operator="equal">
      <formula>"PTO"</formula>
    </cfRule>
  </conditionalFormatting>
  <conditionalFormatting sqref="K48">
    <cfRule type="cellIs" dxfId="34930" priority="5179" operator="equal">
      <formula>"OFF"</formula>
    </cfRule>
    <cfRule type="cellIs" dxfId="34929" priority="5180" operator="equal">
      <formula>"PTO"</formula>
    </cfRule>
  </conditionalFormatting>
  <conditionalFormatting sqref="K48">
    <cfRule type="cellIs" dxfId="34928" priority="5177" operator="equal">
      <formula>"OFF"</formula>
    </cfRule>
    <cfRule type="cellIs" dxfId="34927" priority="5178" operator="equal">
      <formula>"PTO"</formula>
    </cfRule>
  </conditionalFormatting>
  <conditionalFormatting sqref="K48">
    <cfRule type="cellIs" dxfId="34926" priority="5175" operator="equal">
      <formula>"OFF"</formula>
    </cfRule>
    <cfRule type="cellIs" dxfId="34925" priority="5176" operator="equal">
      <formula>"PTO"</formula>
    </cfRule>
  </conditionalFormatting>
  <conditionalFormatting sqref="K41">
    <cfRule type="cellIs" dxfId="34924" priority="5173" operator="equal">
      <formula>"OFF"</formula>
    </cfRule>
    <cfRule type="cellIs" dxfId="34923" priority="5174" operator="equal">
      <formula>"PTO"</formula>
    </cfRule>
  </conditionalFormatting>
  <conditionalFormatting sqref="K41">
    <cfRule type="cellIs" dxfId="34922" priority="5171" operator="equal">
      <formula>"OFF"</formula>
    </cfRule>
    <cfRule type="cellIs" dxfId="34921" priority="5172" operator="equal">
      <formula>"PTO"</formula>
    </cfRule>
  </conditionalFormatting>
  <conditionalFormatting sqref="K41">
    <cfRule type="cellIs" dxfId="34920" priority="5169" operator="equal">
      <formula>"OFF"</formula>
    </cfRule>
    <cfRule type="cellIs" dxfId="34919" priority="5170" operator="equal">
      <formula>"PTO"</formula>
    </cfRule>
  </conditionalFormatting>
  <conditionalFormatting sqref="K41">
    <cfRule type="cellIs" dxfId="34918" priority="5167" operator="equal">
      <formula>"OFF"</formula>
    </cfRule>
    <cfRule type="cellIs" dxfId="34917" priority="5168" operator="equal">
      <formula>"PTO"</formula>
    </cfRule>
  </conditionalFormatting>
  <conditionalFormatting sqref="K41">
    <cfRule type="cellIs" dxfId="34916" priority="5165" operator="equal">
      <formula>"OFF"</formula>
    </cfRule>
    <cfRule type="cellIs" dxfId="34915" priority="5166" operator="equal">
      <formula>"PTO"</formula>
    </cfRule>
  </conditionalFormatting>
  <conditionalFormatting sqref="K41">
    <cfRule type="cellIs" dxfId="34914" priority="5163" operator="equal">
      <formula>"OFF"</formula>
    </cfRule>
    <cfRule type="cellIs" dxfId="34913" priority="5164" operator="equal">
      <formula>"PTO"</formula>
    </cfRule>
  </conditionalFormatting>
  <conditionalFormatting sqref="K41">
    <cfRule type="cellIs" dxfId="34912" priority="5161" operator="equal">
      <formula>"OFF"</formula>
    </cfRule>
    <cfRule type="cellIs" dxfId="34911" priority="5162" operator="equal">
      <formula>"PTO"</formula>
    </cfRule>
  </conditionalFormatting>
  <conditionalFormatting sqref="K41">
    <cfRule type="cellIs" dxfId="34910" priority="5159" operator="equal">
      <formula>"OFF"</formula>
    </cfRule>
    <cfRule type="cellIs" dxfId="34909" priority="5160" operator="equal">
      <formula>"PTO"</formula>
    </cfRule>
  </conditionalFormatting>
  <conditionalFormatting sqref="K41">
    <cfRule type="cellIs" dxfId="34908" priority="5157" operator="equal">
      <formula>"OFF"</formula>
    </cfRule>
    <cfRule type="cellIs" dxfId="34907" priority="5158" operator="equal">
      <formula>"PTO"</formula>
    </cfRule>
  </conditionalFormatting>
  <conditionalFormatting sqref="K41">
    <cfRule type="cellIs" dxfId="34906" priority="5155" operator="equal">
      <formula>"OFF"</formula>
    </cfRule>
    <cfRule type="cellIs" dxfId="34905" priority="5156" operator="equal">
      <formula>"PTO"</formula>
    </cfRule>
  </conditionalFormatting>
  <conditionalFormatting sqref="K41">
    <cfRule type="cellIs" dxfId="34904" priority="5153" operator="equal">
      <formula>"OFF"</formula>
    </cfRule>
    <cfRule type="cellIs" dxfId="34903" priority="5154" operator="equal">
      <formula>"PTO"</formula>
    </cfRule>
  </conditionalFormatting>
  <conditionalFormatting sqref="K41">
    <cfRule type="cellIs" dxfId="34902" priority="5151" operator="equal">
      <formula>"OFF"</formula>
    </cfRule>
    <cfRule type="cellIs" dxfId="34901" priority="5152" operator="equal">
      <formula>"PTO"</formula>
    </cfRule>
  </conditionalFormatting>
  <conditionalFormatting sqref="K43">
    <cfRule type="cellIs" dxfId="34900" priority="5149" operator="equal">
      <formula>"OFF"</formula>
    </cfRule>
    <cfRule type="cellIs" dxfId="34899" priority="5150" operator="equal">
      <formula>"PTO"</formula>
    </cfRule>
  </conditionalFormatting>
  <conditionalFormatting sqref="K43">
    <cfRule type="cellIs" dxfId="34898" priority="5147" operator="equal">
      <formula>"OFF"</formula>
    </cfRule>
    <cfRule type="cellIs" dxfId="34897" priority="5148" operator="equal">
      <formula>"PTO"</formula>
    </cfRule>
  </conditionalFormatting>
  <conditionalFormatting sqref="K43">
    <cfRule type="cellIs" dxfId="34896" priority="5145" operator="equal">
      <formula>"OFF"</formula>
    </cfRule>
    <cfRule type="cellIs" dxfId="34895" priority="5146" operator="equal">
      <formula>"PTO"</formula>
    </cfRule>
  </conditionalFormatting>
  <conditionalFormatting sqref="K43">
    <cfRule type="cellIs" dxfId="34894" priority="5143" operator="equal">
      <formula>"OFF"</formula>
    </cfRule>
    <cfRule type="cellIs" dxfId="34893" priority="5144" operator="equal">
      <formula>"PTO"</formula>
    </cfRule>
  </conditionalFormatting>
  <conditionalFormatting sqref="K43">
    <cfRule type="cellIs" dxfId="34892" priority="5141" operator="equal">
      <formula>"OFF"</formula>
    </cfRule>
    <cfRule type="cellIs" dxfId="34891" priority="5142" operator="equal">
      <formula>"PTO"</formula>
    </cfRule>
  </conditionalFormatting>
  <conditionalFormatting sqref="K41">
    <cfRule type="cellIs" dxfId="34890" priority="5139" operator="equal">
      <formula>"OFF"</formula>
    </cfRule>
    <cfRule type="cellIs" dxfId="34889" priority="5140" operator="equal">
      <formula>"PTO"</formula>
    </cfRule>
  </conditionalFormatting>
  <conditionalFormatting sqref="K43">
    <cfRule type="cellIs" dxfId="34888" priority="5137" operator="equal">
      <formula>"OFF"</formula>
    </cfRule>
    <cfRule type="cellIs" dxfId="34887" priority="5138" operator="equal">
      <formula>"PTO"</formula>
    </cfRule>
  </conditionalFormatting>
  <conditionalFormatting sqref="K43">
    <cfRule type="cellIs" dxfId="34886" priority="5135" operator="equal">
      <formula>"OFF"</formula>
    </cfRule>
    <cfRule type="cellIs" dxfId="34885" priority="5136" operator="equal">
      <formula>"PTO"</formula>
    </cfRule>
  </conditionalFormatting>
  <conditionalFormatting sqref="K43">
    <cfRule type="cellIs" dxfId="34884" priority="5133" operator="equal">
      <formula>"OFF"</formula>
    </cfRule>
    <cfRule type="cellIs" dxfId="34883" priority="5134" operator="equal">
      <formula>"PTO"</formula>
    </cfRule>
  </conditionalFormatting>
  <conditionalFormatting sqref="K41">
    <cfRule type="cellIs" dxfId="34882" priority="5131" operator="equal">
      <formula>"OFF"</formula>
    </cfRule>
    <cfRule type="cellIs" dxfId="34881" priority="5132" operator="equal">
      <formula>"PTO"</formula>
    </cfRule>
  </conditionalFormatting>
  <conditionalFormatting sqref="K41">
    <cfRule type="cellIs" dxfId="34880" priority="5129" operator="equal">
      <formula>"OFF"</formula>
    </cfRule>
    <cfRule type="cellIs" dxfId="34879" priority="5130" operator="equal">
      <formula>"PTO"</formula>
    </cfRule>
  </conditionalFormatting>
  <conditionalFormatting sqref="K41">
    <cfRule type="cellIs" dxfId="34878" priority="5127" operator="equal">
      <formula>"OFF"</formula>
    </cfRule>
    <cfRule type="cellIs" dxfId="34877" priority="5128" operator="equal">
      <formula>"PTO"</formula>
    </cfRule>
  </conditionalFormatting>
  <conditionalFormatting sqref="K41">
    <cfRule type="cellIs" dxfId="34876" priority="5125" operator="equal">
      <formula>"OFF"</formula>
    </cfRule>
    <cfRule type="cellIs" dxfId="34875" priority="5126" operator="equal">
      <formula>"PTO"</formula>
    </cfRule>
  </conditionalFormatting>
  <conditionalFormatting sqref="K43">
    <cfRule type="cellIs" dxfId="34874" priority="5123" operator="equal">
      <formula>"OFF"</formula>
    </cfRule>
    <cfRule type="cellIs" dxfId="34873" priority="5124" operator="equal">
      <formula>"PTO"</formula>
    </cfRule>
  </conditionalFormatting>
  <conditionalFormatting sqref="K43">
    <cfRule type="cellIs" dxfId="34872" priority="5121" operator="equal">
      <formula>"OFF"</formula>
    </cfRule>
    <cfRule type="cellIs" dxfId="34871" priority="5122" operator="equal">
      <formula>"PTO"</formula>
    </cfRule>
  </conditionalFormatting>
  <conditionalFormatting sqref="K43">
    <cfRule type="cellIs" dxfId="34870" priority="5119" operator="equal">
      <formula>"OFF"</formula>
    </cfRule>
    <cfRule type="cellIs" dxfId="34869" priority="5120" operator="equal">
      <formula>"PTO"</formula>
    </cfRule>
  </conditionalFormatting>
  <conditionalFormatting sqref="K46">
    <cfRule type="cellIs" dxfId="34868" priority="5117" operator="equal">
      <formula>"OFF"</formula>
    </cfRule>
    <cfRule type="cellIs" dxfId="34867" priority="5118" operator="equal">
      <formula>"PTO"</formula>
    </cfRule>
  </conditionalFormatting>
  <conditionalFormatting sqref="K46">
    <cfRule type="cellIs" dxfId="34866" priority="5115" operator="equal">
      <formula>"OFF"</formula>
    </cfRule>
    <cfRule type="cellIs" dxfId="34865" priority="5116" operator="equal">
      <formula>"PTO"</formula>
    </cfRule>
  </conditionalFormatting>
  <conditionalFormatting sqref="K45">
    <cfRule type="cellIs" dxfId="34864" priority="5113" operator="equal">
      <formula>"OFF"</formula>
    </cfRule>
    <cfRule type="cellIs" dxfId="34863" priority="5114" operator="equal">
      <formula>"PTO"</formula>
    </cfRule>
  </conditionalFormatting>
  <conditionalFormatting sqref="K45">
    <cfRule type="cellIs" dxfId="34862" priority="5111" operator="equal">
      <formula>"OFF"</formula>
    </cfRule>
    <cfRule type="cellIs" dxfId="34861" priority="5112" operator="equal">
      <formula>"PTO"</formula>
    </cfRule>
  </conditionalFormatting>
  <conditionalFormatting sqref="K45">
    <cfRule type="cellIs" dxfId="34860" priority="5109" operator="equal">
      <formula>"OFF"</formula>
    </cfRule>
    <cfRule type="cellIs" dxfId="34859" priority="5110" operator="equal">
      <formula>"PTO"</formula>
    </cfRule>
  </conditionalFormatting>
  <conditionalFormatting sqref="K45">
    <cfRule type="cellIs" dxfId="34858" priority="5107" operator="equal">
      <formula>"OFF"</formula>
    </cfRule>
    <cfRule type="cellIs" dxfId="34857" priority="5108" operator="equal">
      <formula>"PTO"</formula>
    </cfRule>
  </conditionalFormatting>
  <conditionalFormatting sqref="K45">
    <cfRule type="cellIs" dxfId="34856" priority="5105" operator="equal">
      <formula>"OFF"</formula>
    </cfRule>
    <cfRule type="cellIs" dxfId="34855" priority="5106" operator="equal">
      <formula>"PTO"</formula>
    </cfRule>
  </conditionalFormatting>
  <conditionalFormatting sqref="K45">
    <cfRule type="cellIs" dxfId="34854" priority="5103" operator="equal">
      <formula>"OFF"</formula>
    </cfRule>
    <cfRule type="cellIs" dxfId="34853" priority="5104" operator="equal">
      <formula>"PTO"</formula>
    </cfRule>
  </conditionalFormatting>
  <conditionalFormatting sqref="K45">
    <cfRule type="cellIs" dxfId="34852" priority="5101" operator="equal">
      <formula>"OFF"</formula>
    </cfRule>
    <cfRule type="cellIs" dxfId="34851" priority="5102" operator="equal">
      <formula>"PTO"</formula>
    </cfRule>
  </conditionalFormatting>
  <conditionalFormatting sqref="K45">
    <cfRule type="cellIs" dxfId="34850" priority="5099" operator="equal">
      <formula>"OFF"</formula>
    </cfRule>
    <cfRule type="cellIs" dxfId="34849" priority="5100" operator="equal">
      <formula>"PTO"</formula>
    </cfRule>
  </conditionalFormatting>
  <conditionalFormatting sqref="K45">
    <cfRule type="cellIs" dxfId="34848" priority="5097" operator="equal">
      <formula>"OFF"</formula>
    </cfRule>
    <cfRule type="cellIs" dxfId="34847" priority="5098" operator="equal">
      <formula>"PTO"</formula>
    </cfRule>
  </conditionalFormatting>
  <conditionalFormatting sqref="K45">
    <cfRule type="cellIs" dxfId="34846" priority="5095" operator="equal">
      <formula>"OFF"</formula>
    </cfRule>
    <cfRule type="cellIs" dxfId="34845" priority="5096" operator="equal">
      <formula>"PTO"</formula>
    </cfRule>
  </conditionalFormatting>
  <conditionalFormatting sqref="K45">
    <cfRule type="cellIs" dxfId="34844" priority="5093" operator="equal">
      <formula>"OFF"</formula>
    </cfRule>
    <cfRule type="cellIs" dxfId="34843" priority="5094" operator="equal">
      <formula>"PTO"</formula>
    </cfRule>
  </conditionalFormatting>
  <conditionalFormatting sqref="K45">
    <cfRule type="cellIs" dxfId="34842" priority="5091" operator="equal">
      <formula>"OFF"</formula>
    </cfRule>
    <cfRule type="cellIs" dxfId="34841" priority="5092" operator="equal">
      <formula>"PTO"</formula>
    </cfRule>
  </conditionalFormatting>
  <conditionalFormatting sqref="K45">
    <cfRule type="cellIs" dxfId="34840" priority="5089" operator="equal">
      <formula>"OFF"</formula>
    </cfRule>
    <cfRule type="cellIs" dxfId="34839" priority="5090" operator="equal">
      <formula>"PTO"</formula>
    </cfRule>
  </conditionalFormatting>
  <conditionalFormatting sqref="K45">
    <cfRule type="cellIs" dxfId="34838" priority="5087" operator="equal">
      <formula>"OFF"</formula>
    </cfRule>
    <cfRule type="cellIs" dxfId="34837" priority="5088" operator="equal">
      <formula>"PTO"</formula>
    </cfRule>
  </conditionalFormatting>
  <conditionalFormatting sqref="K45">
    <cfRule type="cellIs" dxfId="34836" priority="5085" operator="equal">
      <formula>"OFF"</formula>
    </cfRule>
    <cfRule type="cellIs" dxfId="34835" priority="5086" operator="equal">
      <formula>"PTO"</formula>
    </cfRule>
  </conditionalFormatting>
  <conditionalFormatting sqref="K45">
    <cfRule type="cellIs" dxfId="34834" priority="5083" operator="equal">
      <formula>"OFF"</formula>
    </cfRule>
    <cfRule type="cellIs" dxfId="34833" priority="5084" operator="equal">
      <formula>"PTO"</formula>
    </cfRule>
  </conditionalFormatting>
  <conditionalFormatting sqref="K45">
    <cfRule type="cellIs" dxfId="34832" priority="5081" operator="equal">
      <formula>"OFF"</formula>
    </cfRule>
    <cfRule type="cellIs" dxfId="34831" priority="5082" operator="equal">
      <formula>"PTO"</formula>
    </cfRule>
  </conditionalFormatting>
  <conditionalFormatting sqref="K45">
    <cfRule type="cellIs" dxfId="34830" priority="5079" operator="equal">
      <formula>"OFF"</formula>
    </cfRule>
    <cfRule type="cellIs" dxfId="34829" priority="5080" operator="equal">
      <formula>"PTO"</formula>
    </cfRule>
  </conditionalFormatting>
  <conditionalFormatting sqref="K45">
    <cfRule type="cellIs" dxfId="34828" priority="5077" operator="equal">
      <formula>"OFF"</formula>
    </cfRule>
    <cfRule type="cellIs" dxfId="34827" priority="5078" operator="equal">
      <formula>"PTO"</formula>
    </cfRule>
  </conditionalFormatting>
  <conditionalFormatting sqref="K45">
    <cfRule type="cellIs" dxfId="34826" priority="5075" operator="equal">
      <formula>"OFF"</formula>
    </cfRule>
    <cfRule type="cellIs" dxfId="34825" priority="5076" operator="equal">
      <formula>"PTO"</formula>
    </cfRule>
  </conditionalFormatting>
  <conditionalFormatting sqref="K45">
    <cfRule type="cellIs" dxfId="34824" priority="5073" operator="equal">
      <formula>"OFF"</formula>
    </cfRule>
    <cfRule type="cellIs" dxfId="34823" priority="5074" operator="equal">
      <formula>"PTO"</formula>
    </cfRule>
  </conditionalFormatting>
  <conditionalFormatting sqref="K45">
    <cfRule type="cellIs" dxfId="34822" priority="5071" operator="equal">
      <formula>"OFF"</formula>
    </cfRule>
    <cfRule type="cellIs" dxfId="34821" priority="5072" operator="equal">
      <formula>"PTO"</formula>
    </cfRule>
  </conditionalFormatting>
  <conditionalFormatting sqref="K45">
    <cfRule type="cellIs" dxfId="34820" priority="5069" operator="equal">
      <formula>"OFF"</formula>
    </cfRule>
    <cfRule type="cellIs" dxfId="34819" priority="5070" operator="equal">
      <formula>"PTO"</formula>
    </cfRule>
  </conditionalFormatting>
  <conditionalFormatting sqref="K45">
    <cfRule type="cellIs" dxfId="34818" priority="5067" operator="equal">
      <formula>"OFF"</formula>
    </cfRule>
    <cfRule type="cellIs" dxfId="34817" priority="5068" operator="equal">
      <formula>"PTO"</formula>
    </cfRule>
  </conditionalFormatting>
  <conditionalFormatting sqref="K45">
    <cfRule type="cellIs" dxfId="34816" priority="5065" operator="equal">
      <formula>"OFF"</formula>
    </cfRule>
    <cfRule type="cellIs" dxfId="34815" priority="5066" operator="equal">
      <formula>"PTO"</formula>
    </cfRule>
  </conditionalFormatting>
  <conditionalFormatting sqref="K45">
    <cfRule type="cellIs" dxfId="34814" priority="5063" operator="equal">
      <formula>"OFF"</formula>
    </cfRule>
    <cfRule type="cellIs" dxfId="34813" priority="5064" operator="equal">
      <formula>"PTO"</formula>
    </cfRule>
  </conditionalFormatting>
  <conditionalFormatting sqref="K46">
    <cfRule type="cellIs" dxfId="34812" priority="5061" operator="equal">
      <formula>"OFF"</formula>
    </cfRule>
    <cfRule type="cellIs" dxfId="34811" priority="5062" operator="equal">
      <formula>"PTO"</formula>
    </cfRule>
  </conditionalFormatting>
  <conditionalFormatting sqref="K46">
    <cfRule type="cellIs" dxfId="34810" priority="5059" operator="equal">
      <formula>"OFF"</formula>
    </cfRule>
    <cfRule type="cellIs" dxfId="34809" priority="5060" operator="equal">
      <formula>"PTO"</formula>
    </cfRule>
  </conditionalFormatting>
  <conditionalFormatting sqref="K46">
    <cfRule type="cellIs" dxfId="34808" priority="5057" operator="equal">
      <formula>"OFF"</formula>
    </cfRule>
    <cfRule type="cellIs" dxfId="34807" priority="5058" operator="equal">
      <formula>"PTO"</formula>
    </cfRule>
  </conditionalFormatting>
  <conditionalFormatting sqref="K46">
    <cfRule type="cellIs" dxfId="34806" priority="5055" operator="equal">
      <formula>"OFF"</formula>
    </cfRule>
    <cfRule type="cellIs" dxfId="34805" priority="5056" operator="equal">
      <formula>"PTO"</formula>
    </cfRule>
  </conditionalFormatting>
  <conditionalFormatting sqref="K46">
    <cfRule type="cellIs" dxfId="34804" priority="5053" operator="equal">
      <formula>"OFF"</formula>
    </cfRule>
    <cfRule type="cellIs" dxfId="34803" priority="5054" operator="equal">
      <formula>"PTO"</formula>
    </cfRule>
  </conditionalFormatting>
  <conditionalFormatting sqref="K46">
    <cfRule type="cellIs" dxfId="34802" priority="5051" operator="equal">
      <formula>"OFF"</formula>
    </cfRule>
    <cfRule type="cellIs" dxfId="34801" priority="5052" operator="equal">
      <formula>"PTO"</formula>
    </cfRule>
  </conditionalFormatting>
  <conditionalFormatting sqref="K46">
    <cfRule type="cellIs" dxfId="34800" priority="5049" operator="equal">
      <formula>"OFF"</formula>
    </cfRule>
    <cfRule type="cellIs" dxfId="34799" priority="5050" operator="equal">
      <formula>"PTO"</formula>
    </cfRule>
  </conditionalFormatting>
  <conditionalFormatting sqref="K46">
    <cfRule type="cellIs" dxfId="34798" priority="5047" operator="equal">
      <formula>"OFF"</formula>
    </cfRule>
    <cfRule type="cellIs" dxfId="34797" priority="5048" operator="equal">
      <formula>"PTO"</formula>
    </cfRule>
  </conditionalFormatting>
  <conditionalFormatting sqref="K46">
    <cfRule type="cellIs" dxfId="34796" priority="5045" operator="equal">
      <formula>"OFF"</formula>
    </cfRule>
    <cfRule type="cellIs" dxfId="34795" priority="5046" operator="equal">
      <formula>"PTO"</formula>
    </cfRule>
  </conditionalFormatting>
  <conditionalFormatting sqref="K46">
    <cfRule type="cellIs" dxfId="34794" priority="5043" operator="equal">
      <formula>"OFF"</formula>
    </cfRule>
    <cfRule type="cellIs" dxfId="34793" priority="5044" operator="equal">
      <formula>"PTO"</formula>
    </cfRule>
  </conditionalFormatting>
  <conditionalFormatting sqref="K46">
    <cfRule type="cellIs" dxfId="34792" priority="5041" operator="equal">
      <formula>"OFF"</formula>
    </cfRule>
    <cfRule type="cellIs" dxfId="34791" priority="5042" operator="equal">
      <formula>"PTO"</formula>
    </cfRule>
  </conditionalFormatting>
  <conditionalFormatting sqref="K46">
    <cfRule type="cellIs" dxfId="34790" priority="5039" operator="equal">
      <formula>"OFF"</formula>
    </cfRule>
    <cfRule type="cellIs" dxfId="34789" priority="5040" operator="equal">
      <formula>"PTO"</formula>
    </cfRule>
  </conditionalFormatting>
  <conditionalFormatting sqref="K46">
    <cfRule type="cellIs" dxfId="34788" priority="5037" operator="equal">
      <formula>"OFF"</formula>
    </cfRule>
    <cfRule type="cellIs" dxfId="34787" priority="5038" operator="equal">
      <formula>"PTO"</formula>
    </cfRule>
  </conditionalFormatting>
  <conditionalFormatting sqref="K46">
    <cfRule type="cellIs" dxfId="34786" priority="5035" operator="equal">
      <formula>"OFF"</formula>
    </cfRule>
    <cfRule type="cellIs" dxfId="34785" priority="5036" operator="equal">
      <formula>"PTO"</formula>
    </cfRule>
  </conditionalFormatting>
  <conditionalFormatting sqref="K46">
    <cfRule type="cellIs" dxfId="34784" priority="5033" operator="equal">
      <formula>"OFF"</formula>
    </cfRule>
    <cfRule type="cellIs" dxfId="34783" priority="5034" operator="equal">
      <formula>"PTO"</formula>
    </cfRule>
  </conditionalFormatting>
  <conditionalFormatting sqref="K46">
    <cfRule type="cellIs" dxfId="34782" priority="5031" operator="equal">
      <formula>"OFF"</formula>
    </cfRule>
    <cfRule type="cellIs" dxfId="34781" priority="5032" operator="equal">
      <formula>"PTO"</formula>
    </cfRule>
  </conditionalFormatting>
  <conditionalFormatting sqref="K46">
    <cfRule type="cellIs" dxfId="34780" priority="5029" operator="equal">
      <formula>"OFF"</formula>
    </cfRule>
    <cfRule type="cellIs" dxfId="34779" priority="5030" operator="equal">
      <formula>"PTO"</formula>
    </cfRule>
  </conditionalFormatting>
  <conditionalFormatting sqref="K46">
    <cfRule type="cellIs" dxfId="34778" priority="5027" operator="equal">
      <formula>"OFF"</formula>
    </cfRule>
    <cfRule type="cellIs" dxfId="34777" priority="5028" operator="equal">
      <formula>"PTO"</formula>
    </cfRule>
  </conditionalFormatting>
  <conditionalFormatting sqref="K46">
    <cfRule type="cellIs" dxfId="34776" priority="5025" operator="equal">
      <formula>"OFF"</formula>
    </cfRule>
    <cfRule type="cellIs" dxfId="34775" priority="5026" operator="equal">
      <formula>"PTO"</formula>
    </cfRule>
  </conditionalFormatting>
  <conditionalFormatting sqref="K46">
    <cfRule type="cellIs" dxfId="34774" priority="5023" operator="equal">
      <formula>"OFF"</formula>
    </cfRule>
    <cfRule type="cellIs" dxfId="34773" priority="5024" operator="equal">
      <formula>"PTO"</formula>
    </cfRule>
  </conditionalFormatting>
  <conditionalFormatting sqref="K46">
    <cfRule type="cellIs" dxfId="34772" priority="5021" operator="equal">
      <formula>"OFF"</formula>
    </cfRule>
    <cfRule type="cellIs" dxfId="34771" priority="5022" operator="equal">
      <formula>"PTO"</formula>
    </cfRule>
  </conditionalFormatting>
  <conditionalFormatting sqref="K46">
    <cfRule type="cellIs" dxfId="34770" priority="5019" operator="equal">
      <formula>"OFF"</formula>
    </cfRule>
    <cfRule type="cellIs" dxfId="34769" priority="5020" operator="equal">
      <formula>"PTO"</formula>
    </cfRule>
  </conditionalFormatting>
  <conditionalFormatting sqref="K46">
    <cfRule type="cellIs" dxfId="34768" priority="5017" operator="equal">
      <formula>"OFF"</formula>
    </cfRule>
    <cfRule type="cellIs" dxfId="34767" priority="5018" operator="equal">
      <formula>"PTO"</formula>
    </cfRule>
  </conditionalFormatting>
  <conditionalFormatting sqref="K46">
    <cfRule type="cellIs" dxfId="34766" priority="5015" operator="equal">
      <formula>"OFF"</formula>
    </cfRule>
    <cfRule type="cellIs" dxfId="34765" priority="5016" operator="equal">
      <formula>"PTO"</formula>
    </cfRule>
  </conditionalFormatting>
  <conditionalFormatting sqref="K46">
    <cfRule type="cellIs" dxfId="34764" priority="5013" operator="equal">
      <formula>"OFF"</formula>
    </cfRule>
    <cfRule type="cellIs" dxfId="34763" priority="5014" operator="equal">
      <formula>"PTO"</formula>
    </cfRule>
  </conditionalFormatting>
  <conditionalFormatting sqref="K46">
    <cfRule type="cellIs" dxfId="34762" priority="5011" operator="equal">
      <formula>"OFF"</formula>
    </cfRule>
    <cfRule type="cellIs" dxfId="34761" priority="5012" operator="equal">
      <formula>"PTO"</formula>
    </cfRule>
  </conditionalFormatting>
  <conditionalFormatting sqref="K45">
    <cfRule type="cellIs" dxfId="34760" priority="5009" operator="equal">
      <formula>"OFF"</formula>
    </cfRule>
    <cfRule type="cellIs" dxfId="34759" priority="5010" operator="equal">
      <formula>"PTO"</formula>
    </cfRule>
  </conditionalFormatting>
  <conditionalFormatting sqref="K45">
    <cfRule type="cellIs" dxfId="34758" priority="5007" operator="equal">
      <formula>"OFF"</formula>
    </cfRule>
    <cfRule type="cellIs" dxfId="34757" priority="5008" operator="equal">
      <formula>"PTO"</formula>
    </cfRule>
  </conditionalFormatting>
  <conditionalFormatting sqref="K46">
    <cfRule type="cellIs" dxfId="34756" priority="5005" operator="equal">
      <formula>"OFF"</formula>
    </cfRule>
    <cfRule type="cellIs" dxfId="34755" priority="5006" operator="equal">
      <formula>"PTO"</formula>
    </cfRule>
  </conditionalFormatting>
  <conditionalFormatting sqref="K45">
    <cfRule type="cellIs" dxfId="34754" priority="5003" operator="equal">
      <formula>"OFF"</formula>
    </cfRule>
    <cfRule type="cellIs" dxfId="34753" priority="5004" operator="equal">
      <formula>"PTO"</formula>
    </cfRule>
  </conditionalFormatting>
  <conditionalFormatting sqref="K47">
    <cfRule type="cellIs" dxfId="34752" priority="5001" operator="equal">
      <formula>"OFF"</formula>
    </cfRule>
    <cfRule type="cellIs" dxfId="34751" priority="5002" operator="equal">
      <formula>"PTO"</formula>
    </cfRule>
  </conditionalFormatting>
  <conditionalFormatting sqref="K47">
    <cfRule type="cellIs" dxfId="34750" priority="4999" operator="equal">
      <formula>"OFF"</formula>
    </cfRule>
    <cfRule type="cellIs" dxfId="34749" priority="5000" operator="equal">
      <formula>"PTO"</formula>
    </cfRule>
  </conditionalFormatting>
  <conditionalFormatting sqref="K47">
    <cfRule type="cellIs" dxfId="34748" priority="4997" operator="equal">
      <formula>"OFF"</formula>
    </cfRule>
    <cfRule type="cellIs" dxfId="34747" priority="4998" operator="equal">
      <formula>"PTO"</formula>
    </cfRule>
  </conditionalFormatting>
  <conditionalFormatting sqref="K47">
    <cfRule type="cellIs" dxfId="34746" priority="4995" operator="equal">
      <formula>"OFF"</formula>
    </cfRule>
    <cfRule type="cellIs" dxfId="34745" priority="4996" operator="equal">
      <formula>"PTO"</formula>
    </cfRule>
  </conditionalFormatting>
  <conditionalFormatting sqref="K47">
    <cfRule type="cellIs" dxfId="34744" priority="4993" operator="equal">
      <formula>"OFF"</formula>
    </cfRule>
    <cfRule type="cellIs" dxfId="34743" priority="4994" operator="equal">
      <formula>"PTO"</formula>
    </cfRule>
  </conditionalFormatting>
  <conditionalFormatting sqref="K47">
    <cfRule type="cellIs" dxfId="34742" priority="4991" operator="equal">
      <formula>"OFF"</formula>
    </cfRule>
    <cfRule type="cellIs" dxfId="34741" priority="4992" operator="equal">
      <formula>"PTO"</formula>
    </cfRule>
  </conditionalFormatting>
  <conditionalFormatting sqref="K47">
    <cfRule type="cellIs" dxfId="34740" priority="4989" operator="equal">
      <formula>"OFF"</formula>
    </cfRule>
    <cfRule type="cellIs" dxfId="34739" priority="4990" operator="equal">
      <formula>"PTO"</formula>
    </cfRule>
  </conditionalFormatting>
  <conditionalFormatting sqref="K47">
    <cfRule type="cellIs" dxfId="34738" priority="4987" operator="equal">
      <formula>"OFF"</formula>
    </cfRule>
    <cfRule type="cellIs" dxfId="34737" priority="4988" operator="equal">
      <formula>"PTO"</formula>
    </cfRule>
  </conditionalFormatting>
  <conditionalFormatting sqref="K47">
    <cfRule type="cellIs" dxfId="34736" priority="4985" operator="equal">
      <formula>"OFF"</formula>
    </cfRule>
    <cfRule type="cellIs" dxfId="34735" priority="4986" operator="equal">
      <formula>"PTO"</formula>
    </cfRule>
  </conditionalFormatting>
  <conditionalFormatting sqref="K47">
    <cfRule type="cellIs" dxfId="34734" priority="4983" operator="equal">
      <formula>"OFF"</formula>
    </cfRule>
    <cfRule type="cellIs" dxfId="34733" priority="4984" operator="equal">
      <formula>"PTO"</formula>
    </cfRule>
  </conditionalFormatting>
  <conditionalFormatting sqref="K47">
    <cfRule type="cellIs" dxfId="34732" priority="4981" operator="equal">
      <formula>"OFF"</formula>
    </cfRule>
    <cfRule type="cellIs" dxfId="34731" priority="4982" operator="equal">
      <formula>"PTO"</formula>
    </cfRule>
  </conditionalFormatting>
  <conditionalFormatting sqref="K47">
    <cfRule type="cellIs" dxfId="34730" priority="4979" operator="equal">
      <formula>"OFF"</formula>
    </cfRule>
    <cfRule type="cellIs" dxfId="34729" priority="4980" operator="equal">
      <formula>"PTO"</formula>
    </cfRule>
  </conditionalFormatting>
  <conditionalFormatting sqref="K47">
    <cfRule type="cellIs" dxfId="34728" priority="4977" operator="equal">
      <formula>"OFF"</formula>
    </cfRule>
    <cfRule type="cellIs" dxfId="34727" priority="4978" operator="equal">
      <formula>"PTO"</formula>
    </cfRule>
  </conditionalFormatting>
  <conditionalFormatting sqref="K47">
    <cfRule type="cellIs" dxfId="34726" priority="4975" operator="equal">
      <formula>"OFF"</formula>
    </cfRule>
    <cfRule type="cellIs" dxfId="34725" priority="4976" operator="equal">
      <formula>"PTO"</formula>
    </cfRule>
  </conditionalFormatting>
  <conditionalFormatting sqref="K47">
    <cfRule type="cellIs" dxfId="34724" priority="4973" operator="equal">
      <formula>"OFF"</formula>
    </cfRule>
    <cfRule type="cellIs" dxfId="34723" priority="4974" operator="equal">
      <formula>"PTO"</formula>
    </cfRule>
  </conditionalFormatting>
  <conditionalFormatting sqref="K47">
    <cfRule type="cellIs" dxfId="34722" priority="4971" operator="equal">
      <formula>"OFF"</formula>
    </cfRule>
    <cfRule type="cellIs" dxfId="34721" priority="4972" operator="equal">
      <formula>"PTO"</formula>
    </cfRule>
  </conditionalFormatting>
  <conditionalFormatting sqref="K47">
    <cfRule type="cellIs" dxfId="34720" priority="4969" operator="equal">
      <formula>"OFF"</formula>
    </cfRule>
    <cfRule type="cellIs" dxfId="34719" priority="4970" operator="equal">
      <formula>"PTO"</formula>
    </cfRule>
  </conditionalFormatting>
  <conditionalFormatting sqref="K47">
    <cfRule type="cellIs" dxfId="34718" priority="4967" operator="equal">
      <formula>"OFF"</formula>
    </cfRule>
    <cfRule type="cellIs" dxfId="34717" priority="4968" operator="equal">
      <formula>"PTO"</formula>
    </cfRule>
  </conditionalFormatting>
  <conditionalFormatting sqref="K47">
    <cfRule type="cellIs" dxfId="34716" priority="4965" operator="equal">
      <formula>"OFF"</formula>
    </cfRule>
    <cfRule type="cellIs" dxfId="34715" priority="4966" operator="equal">
      <formula>"PTO"</formula>
    </cfRule>
  </conditionalFormatting>
  <conditionalFormatting sqref="K47">
    <cfRule type="cellIs" dxfId="34714" priority="4963" operator="equal">
      <formula>"OFF"</formula>
    </cfRule>
    <cfRule type="cellIs" dxfId="34713" priority="4964" operator="equal">
      <formula>"PTO"</formula>
    </cfRule>
  </conditionalFormatting>
  <conditionalFormatting sqref="K47">
    <cfRule type="cellIs" dxfId="34712" priority="4961" operator="equal">
      <formula>"OFF"</formula>
    </cfRule>
    <cfRule type="cellIs" dxfId="34711" priority="4962" operator="equal">
      <formula>"PTO"</formula>
    </cfRule>
  </conditionalFormatting>
  <conditionalFormatting sqref="K47">
    <cfRule type="cellIs" dxfId="34710" priority="4959" operator="equal">
      <formula>"OFF"</formula>
    </cfRule>
    <cfRule type="cellIs" dxfId="34709" priority="4960" operator="equal">
      <formula>"PTO"</formula>
    </cfRule>
  </conditionalFormatting>
  <conditionalFormatting sqref="K47">
    <cfRule type="cellIs" dxfId="34708" priority="4957" operator="equal">
      <formula>"OFF"</formula>
    </cfRule>
    <cfRule type="cellIs" dxfId="34707" priority="4958" operator="equal">
      <formula>"PTO"</formula>
    </cfRule>
  </conditionalFormatting>
  <conditionalFormatting sqref="K47">
    <cfRule type="cellIs" dxfId="34706" priority="4955" operator="equal">
      <formula>"OFF"</formula>
    </cfRule>
    <cfRule type="cellIs" dxfId="34705" priority="4956" operator="equal">
      <formula>"PTO"</formula>
    </cfRule>
  </conditionalFormatting>
  <conditionalFormatting sqref="K47">
    <cfRule type="cellIs" dxfId="34704" priority="4953" operator="equal">
      <formula>"OFF"</formula>
    </cfRule>
    <cfRule type="cellIs" dxfId="34703" priority="4954" operator="equal">
      <formula>"PTO"</formula>
    </cfRule>
  </conditionalFormatting>
  <conditionalFormatting sqref="K48">
    <cfRule type="cellIs" dxfId="34702" priority="4951" operator="equal">
      <formula>"OFF"</formula>
    </cfRule>
    <cfRule type="cellIs" dxfId="34701" priority="4952" operator="equal">
      <formula>"PTO"</formula>
    </cfRule>
  </conditionalFormatting>
  <conditionalFormatting sqref="K48">
    <cfRule type="cellIs" dxfId="34700" priority="4949" operator="equal">
      <formula>"OFF"</formula>
    </cfRule>
    <cfRule type="cellIs" dxfId="34699" priority="4950" operator="equal">
      <formula>"PTO"</formula>
    </cfRule>
  </conditionalFormatting>
  <conditionalFormatting sqref="K48">
    <cfRule type="cellIs" dxfId="34698" priority="4947" operator="equal">
      <formula>"OFF"</formula>
    </cfRule>
    <cfRule type="cellIs" dxfId="34697" priority="4948" operator="equal">
      <formula>"PTO"</formula>
    </cfRule>
  </conditionalFormatting>
  <conditionalFormatting sqref="K48">
    <cfRule type="cellIs" dxfId="34696" priority="4945" operator="equal">
      <formula>"OFF"</formula>
    </cfRule>
    <cfRule type="cellIs" dxfId="34695" priority="4946" operator="equal">
      <formula>"PTO"</formula>
    </cfRule>
  </conditionalFormatting>
  <conditionalFormatting sqref="K48">
    <cfRule type="cellIs" dxfId="34694" priority="4943" operator="equal">
      <formula>"OFF"</formula>
    </cfRule>
    <cfRule type="cellIs" dxfId="34693" priority="4944" operator="equal">
      <formula>"PTO"</formula>
    </cfRule>
  </conditionalFormatting>
  <conditionalFormatting sqref="K48">
    <cfRule type="cellIs" dxfId="34692" priority="4941" operator="equal">
      <formula>"OFF"</formula>
    </cfRule>
    <cfRule type="cellIs" dxfId="34691" priority="4942" operator="equal">
      <formula>"PTO"</formula>
    </cfRule>
  </conditionalFormatting>
  <conditionalFormatting sqref="K48">
    <cfRule type="cellIs" dxfId="34690" priority="4939" operator="equal">
      <formula>"OFF"</formula>
    </cfRule>
    <cfRule type="cellIs" dxfId="34689" priority="4940" operator="equal">
      <formula>"PTO"</formula>
    </cfRule>
  </conditionalFormatting>
  <conditionalFormatting sqref="K48">
    <cfRule type="cellIs" dxfId="34688" priority="4937" operator="equal">
      <formula>"OFF"</formula>
    </cfRule>
    <cfRule type="cellIs" dxfId="34687" priority="4938" operator="equal">
      <formula>"PTO"</formula>
    </cfRule>
  </conditionalFormatting>
  <conditionalFormatting sqref="K48">
    <cfRule type="cellIs" dxfId="34686" priority="4935" operator="equal">
      <formula>"OFF"</formula>
    </cfRule>
    <cfRule type="cellIs" dxfId="34685" priority="4936" operator="equal">
      <formula>"PTO"</formula>
    </cfRule>
  </conditionalFormatting>
  <conditionalFormatting sqref="K48">
    <cfRule type="cellIs" dxfId="34684" priority="4933" operator="equal">
      <formula>"OFF"</formula>
    </cfRule>
    <cfRule type="cellIs" dxfId="34683" priority="4934" operator="equal">
      <formula>"PTO"</formula>
    </cfRule>
  </conditionalFormatting>
  <conditionalFormatting sqref="K47">
    <cfRule type="cellIs" dxfId="34682" priority="4931" operator="equal">
      <formula>"OFF"</formula>
    </cfRule>
    <cfRule type="cellIs" dxfId="34681" priority="4932" operator="equal">
      <formula>"PTO"</formula>
    </cfRule>
  </conditionalFormatting>
  <conditionalFormatting sqref="K47">
    <cfRule type="cellIs" dxfId="34680" priority="4929" operator="equal">
      <formula>"OFF"</formula>
    </cfRule>
    <cfRule type="cellIs" dxfId="34679" priority="4930" operator="equal">
      <formula>"PTO"</formula>
    </cfRule>
  </conditionalFormatting>
  <conditionalFormatting sqref="K47">
    <cfRule type="cellIs" dxfId="34678" priority="4927" operator="equal">
      <formula>"OFF"</formula>
    </cfRule>
    <cfRule type="cellIs" dxfId="34677" priority="4928" operator="equal">
      <formula>"PTO"</formula>
    </cfRule>
  </conditionalFormatting>
  <conditionalFormatting sqref="K47">
    <cfRule type="cellIs" dxfId="34676" priority="4925" operator="equal">
      <formula>"OFF"</formula>
    </cfRule>
    <cfRule type="cellIs" dxfId="34675" priority="4926" operator="equal">
      <formula>"PTO"</formula>
    </cfRule>
  </conditionalFormatting>
  <conditionalFormatting sqref="K47">
    <cfRule type="cellIs" dxfId="34674" priority="4923" operator="equal">
      <formula>"OFF"</formula>
    </cfRule>
    <cfRule type="cellIs" dxfId="34673" priority="4924" operator="equal">
      <formula>"PTO"</formula>
    </cfRule>
  </conditionalFormatting>
  <conditionalFormatting sqref="K47">
    <cfRule type="cellIs" dxfId="34672" priority="4921" operator="equal">
      <formula>"OFF"</formula>
    </cfRule>
    <cfRule type="cellIs" dxfId="34671" priority="4922" operator="equal">
      <formula>"PTO"</formula>
    </cfRule>
  </conditionalFormatting>
  <conditionalFormatting sqref="K47">
    <cfRule type="cellIs" dxfId="34670" priority="4919" operator="equal">
      <formula>"OFF"</formula>
    </cfRule>
    <cfRule type="cellIs" dxfId="34669" priority="4920" operator="equal">
      <formula>"PTO"</formula>
    </cfRule>
  </conditionalFormatting>
  <conditionalFormatting sqref="K47">
    <cfRule type="cellIs" dxfId="34668" priority="4917" operator="equal">
      <formula>"OFF"</formula>
    </cfRule>
    <cfRule type="cellIs" dxfId="34667" priority="4918" operator="equal">
      <formula>"PTO"</formula>
    </cfRule>
  </conditionalFormatting>
  <conditionalFormatting sqref="K47">
    <cfRule type="cellIs" dxfId="34666" priority="4915" operator="equal">
      <formula>"OFF"</formula>
    </cfRule>
    <cfRule type="cellIs" dxfId="34665" priority="4916" operator="equal">
      <formula>"PTO"</formula>
    </cfRule>
  </conditionalFormatting>
  <conditionalFormatting sqref="K49">
    <cfRule type="cellIs" dxfId="34664" priority="4913" operator="equal">
      <formula>"OFF"</formula>
    </cfRule>
    <cfRule type="cellIs" dxfId="34663" priority="4914" operator="equal">
      <formula>"PTO"</formula>
    </cfRule>
  </conditionalFormatting>
  <conditionalFormatting sqref="M45:M50">
    <cfRule type="cellIs" dxfId="34662" priority="4911" operator="equal">
      <formula>"OFF"</formula>
    </cfRule>
    <cfRule type="cellIs" dxfId="34661" priority="4912" operator="equal">
      <formula>"PTO"</formula>
    </cfRule>
  </conditionalFormatting>
  <conditionalFormatting sqref="M48">
    <cfRule type="cellIs" dxfId="34660" priority="4909" operator="equal">
      <formula>"OFF"</formula>
    </cfRule>
    <cfRule type="cellIs" dxfId="34659" priority="4910" operator="equal">
      <formula>"PTO"</formula>
    </cfRule>
  </conditionalFormatting>
  <conditionalFormatting sqref="M48">
    <cfRule type="cellIs" dxfId="34658" priority="4907" operator="equal">
      <formula>"OFF"</formula>
    </cfRule>
    <cfRule type="cellIs" dxfId="34657" priority="4908" operator="equal">
      <formula>"PTO"</formula>
    </cfRule>
  </conditionalFormatting>
  <conditionalFormatting sqref="M48">
    <cfRule type="cellIs" dxfId="34656" priority="4905" operator="equal">
      <formula>"OFF"</formula>
    </cfRule>
    <cfRule type="cellIs" dxfId="34655" priority="4906" operator="equal">
      <formula>"PTO"</formula>
    </cfRule>
  </conditionalFormatting>
  <conditionalFormatting sqref="M48">
    <cfRule type="cellIs" dxfId="34654" priority="4903" operator="equal">
      <formula>"OFF"</formula>
    </cfRule>
    <cfRule type="cellIs" dxfId="34653" priority="4904" operator="equal">
      <formula>"PTO"</formula>
    </cfRule>
  </conditionalFormatting>
  <conditionalFormatting sqref="M45">
    <cfRule type="cellIs" dxfId="34652" priority="4901" operator="equal">
      <formula>"OFF"</formula>
    </cfRule>
    <cfRule type="cellIs" dxfId="34651" priority="4902" operator="equal">
      <formula>"PTO"</formula>
    </cfRule>
  </conditionalFormatting>
  <conditionalFormatting sqref="M45">
    <cfRule type="cellIs" dxfId="34650" priority="4899" operator="equal">
      <formula>"OFF"</formula>
    </cfRule>
    <cfRule type="cellIs" dxfId="34649" priority="4900" operator="equal">
      <formula>"PTO"</formula>
    </cfRule>
  </conditionalFormatting>
  <conditionalFormatting sqref="M48">
    <cfRule type="cellIs" dxfId="34648" priority="4897" operator="equal">
      <formula>"OFF"</formula>
    </cfRule>
    <cfRule type="cellIs" dxfId="34647" priority="4898" operator="equal">
      <formula>"PTO"</formula>
    </cfRule>
  </conditionalFormatting>
  <conditionalFormatting sqref="M45">
    <cfRule type="cellIs" dxfId="34646" priority="4895" operator="equal">
      <formula>"OFF"</formula>
    </cfRule>
    <cfRule type="cellIs" dxfId="34645" priority="4896" operator="equal">
      <formula>"PTO"</formula>
    </cfRule>
  </conditionalFormatting>
  <conditionalFormatting sqref="M50">
    <cfRule type="cellIs" dxfId="34644" priority="4893" operator="equal">
      <formula>"OFF"</formula>
    </cfRule>
    <cfRule type="cellIs" dxfId="34643" priority="4894" operator="equal">
      <formula>"PTO"</formula>
    </cfRule>
  </conditionalFormatting>
  <conditionalFormatting sqref="M48">
    <cfRule type="cellIs" dxfId="34642" priority="4891" operator="equal">
      <formula>"OFF"</formula>
    </cfRule>
    <cfRule type="cellIs" dxfId="34641" priority="4892" operator="equal">
      <formula>"PTO"</formula>
    </cfRule>
  </conditionalFormatting>
  <conditionalFormatting sqref="M48">
    <cfRule type="cellIs" dxfId="34640" priority="4889" operator="equal">
      <formula>"OFF"</formula>
    </cfRule>
    <cfRule type="cellIs" dxfId="34639" priority="4890" operator="equal">
      <formula>"PTO"</formula>
    </cfRule>
  </conditionalFormatting>
  <conditionalFormatting sqref="M48">
    <cfRule type="cellIs" dxfId="34638" priority="4887" operator="equal">
      <formula>"OFF"</formula>
    </cfRule>
    <cfRule type="cellIs" dxfId="34637" priority="4888" operator="equal">
      <formula>"PTO"</formula>
    </cfRule>
  </conditionalFormatting>
  <conditionalFormatting sqref="M48">
    <cfRule type="cellIs" dxfId="34636" priority="4885" operator="equal">
      <formula>"OFF"</formula>
    </cfRule>
    <cfRule type="cellIs" dxfId="34635" priority="4886" operator="equal">
      <formula>"PTO"</formula>
    </cfRule>
  </conditionalFormatting>
  <conditionalFormatting sqref="M48">
    <cfRule type="cellIs" dxfId="34634" priority="4883" operator="equal">
      <formula>"OFF"</formula>
    </cfRule>
    <cfRule type="cellIs" dxfId="34633" priority="4884" operator="equal">
      <formula>"PTO"</formula>
    </cfRule>
  </conditionalFormatting>
  <conditionalFormatting sqref="M48">
    <cfRule type="cellIs" dxfId="34632" priority="4881" operator="equal">
      <formula>"OFF"</formula>
    </cfRule>
    <cfRule type="cellIs" dxfId="34631" priority="4882" operator="equal">
      <formula>"PTO"</formula>
    </cfRule>
  </conditionalFormatting>
  <conditionalFormatting sqref="M48">
    <cfRule type="cellIs" dxfId="34630" priority="4879" operator="equal">
      <formula>"OFF"</formula>
    </cfRule>
    <cfRule type="cellIs" dxfId="34629" priority="4880" operator="equal">
      <formula>"PTO"</formula>
    </cfRule>
  </conditionalFormatting>
  <conditionalFormatting sqref="M48">
    <cfRule type="cellIs" dxfId="34628" priority="4877" operator="equal">
      <formula>"OFF"</formula>
    </cfRule>
    <cfRule type="cellIs" dxfId="34627" priority="4878" operator="equal">
      <formula>"PTO"</formula>
    </cfRule>
  </conditionalFormatting>
  <conditionalFormatting sqref="M48">
    <cfRule type="cellIs" dxfId="34626" priority="4875" operator="equal">
      <formula>"OFF"</formula>
    </cfRule>
    <cfRule type="cellIs" dxfId="34625" priority="4876" operator="equal">
      <formula>"PTO"</formula>
    </cfRule>
  </conditionalFormatting>
  <conditionalFormatting sqref="M48">
    <cfRule type="cellIs" dxfId="34624" priority="4873" operator="equal">
      <formula>"OFF"</formula>
    </cfRule>
    <cfRule type="cellIs" dxfId="34623" priority="4874" operator="equal">
      <formula>"PTO"</formula>
    </cfRule>
  </conditionalFormatting>
  <conditionalFormatting sqref="M48">
    <cfRule type="cellIs" dxfId="34622" priority="4871" operator="equal">
      <formula>"OFF"</formula>
    </cfRule>
    <cfRule type="cellIs" dxfId="34621" priority="4872" operator="equal">
      <formula>"PTO"</formula>
    </cfRule>
  </conditionalFormatting>
  <conditionalFormatting sqref="M48">
    <cfRule type="cellIs" dxfId="34620" priority="4869" operator="equal">
      <formula>"OFF"</formula>
    </cfRule>
    <cfRule type="cellIs" dxfId="34619" priority="4870" operator="equal">
      <formula>"PTO"</formula>
    </cfRule>
  </conditionalFormatting>
  <conditionalFormatting sqref="M48">
    <cfRule type="cellIs" dxfId="34618" priority="4867" operator="equal">
      <formula>"OFF"</formula>
    </cfRule>
    <cfRule type="cellIs" dxfId="34617" priority="4868" operator="equal">
      <formula>"PTO"</formula>
    </cfRule>
  </conditionalFormatting>
  <conditionalFormatting sqref="M48">
    <cfRule type="cellIs" dxfId="34616" priority="4865" operator="equal">
      <formula>"OFF"</formula>
    </cfRule>
    <cfRule type="cellIs" dxfId="34615" priority="4866" operator="equal">
      <formula>"PTO"</formula>
    </cfRule>
  </conditionalFormatting>
  <conditionalFormatting sqref="M48">
    <cfRule type="cellIs" dxfId="34614" priority="4863" operator="equal">
      <formula>"OFF"</formula>
    </cfRule>
    <cfRule type="cellIs" dxfId="34613" priority="4864" operator="equal">
      <formula>"PTO"</formula>
    </cfRule>
  </conditionalFormatting>
  <conditionalFormatting sqref="M48">
    <cfRule type="cellIs" dxfId="34612" priority="4861" operator="equal">
      <formula>"OFF"</formula>
    </cfRule>
    <cfRule type="cellIs" dxfId="34611" priority="4862" operator="equal">
      <formula>"PTO"</formula>
    </cfRule>
  </conditionalFormatting>
  <conditionalFormatting sqref="M48">
    <cfRule type="cellIs" dxfId="34610" priority="4859" operator="equal">
      <formula>"OFF"</formula>
    </cfRule>
    <cfRule type="cellIs" dxfId="34609" priority="4860" operator="equal">
      <formula>"PTO"</formula>
    </cfRule>
  </conditionalFormatting>
  <conditionalFormatting sqref="M48">
    <cfRule type="cellIs" dxfId="34608" priority="4857" operator="equal">
      <formula>"OFF"</formula>
    </cfRule>
    <cfRule type="cellIs" dxfId="34607" priority="4858" operator="equal">
      <formula>"PTO"</formula>
    </cfRule>
  </conditionalFormatting>
  <conditionalFormatting sqref="M48">
    <cfRule type="cellIs" dxfId="34606" priority="4855" operator="equal">
      <formula>"OFF"</formula>
    </cfRule>
    <cfRule type="cellIs" dxfId="34605" priority="4856" operator="equal">
      <formula>"PTO"</formula>
    </cfRule>
  </conditionalFormatting>
  <conditionalFormatting sqref="M48">
    <cfRule type="cellIs" dxfId="34604" priority="4853" operator="equal">
      <formula>"OFF"</formula>
    </cfRule>
    <cfRule type="cellIs" dxfId="34603" priority="4854" operator="equal">
      <formula>"PTO"</formula>
    </cfRule>
  </conditionalFormatting>
  <conditionalFormatting sqref="M43">
    <cfRule type="cellIs" dxfId="34602" priority="4851" operator="equal">
      <formula>"OFF"</formula>
    </cfRule>
    <cfRule type="cellIs" dxfId="34601" priority="4852" operator="equal">
      <formula>"PTO"</formula>
    </cfRule>
  </conditionalFormatting>
  <conditionalFormatting sqref="M43">
    <cfRule type="cellIs" dxfId="34600" priority="4849" operator="equal">
      <formula>"OFF"</formula>
    </cfRule>
    <cfRule type="cellIs" dxfId="34599" priority="4850" operator="equal">
      <formula>"PTO"</formula>
    </cfRule>
  </conditionalFormatting>
  <conditionalFormatting sqref="M43">
    <cfRule type="cellIs" dxfId="34598" priority="4847" operator="equal">
      <formula>"OFF"</formula>
    </cfRule>
    <cfRule type="cellIs" dxfId="34597" priority="4848" operator="equal">
      <formula>"PTO"</formula>
    </cfRule>
  </conditionalFormatting>
  <conditionalFormatting sqref="M43">
    <cfRule type="cellIs" dxfId="34596" priority="4845" operator="equal">
      <formula>"OFF"</formula>
    </cfRule>
    <cfRule type="cellIs" dxfId="34595" priority="4846" operator="equal">
      <formula>"PTO"</formula>
    </cfRule>
  </conditionalFormatting>
  <conditionalFormatting sqref="M49">
    <cfRule type="cellIs" dxfId="34594" priority="4843" operator="equal">
      <formula>"OFF"</formula>
    </cfRule>
    <cfRule type="cellIs" dxfId="34593" priority="4844" operator="equal">
      <formula>"PTO"</formula>
    </cfRule>
  </conditionalFormatting>
  <conditionalFormatting sqref="M49">
    <cfRule type="cellIs" dxfId="34592" priority="4841" operator="equal">
      <formula>"OFF"</formula>
    </cfRule>
    <cfRule type="cellIs" dxfId="34591" priority="4842" operator="equal">
      <formula>"PTO"</formula>
    </cfRule>
  </conditionalFormatting>
  <conditionalFormatting sqref="M49">
    <cfRule type="cellIs" dxfId="34590" priority="4839" operator="equal">
      <formula>"OFF"</formula>
    </cfRule>
    <cfRule type="cellIs" dxfId="34589" priority="4840" operator="equal">
      <formula>"PTO"</formula>
    </cfRule>
  </conditionalFormatting>
  <conditionalFormatting sqref="M49">
    <cfRule type="cellIs" dxfId="34588" priority="4837" operator="equal">
      <formula>"OFF"</formula>
    </cfRule>
    <cfRule type="cellIs" dxfId="34587" priority="4838" operator="equal">
      <formula>"PTO"</formula>
    </cfRule>
  </conditionalFormatting>
  <conditionalFormatting sqref="M49">
    <cfRule type="cellIs" dxfId="34586" priority="4835" operator="equal">
      <formula>"OFF"</formula>
    </cfRule>
    <cfRule type="cellIs" dxfId="34585" priority="4836" operator="equal">
      <formula>"PTO"</formula>
    </cfRule>
  </conditionalFormatting>
  <conditionalFormatting sqref="M49">
    <cfRule type="cellIs" dxfId="34584" priority="4833" operator="equal">
      <formula>"OFF"</formula>
    </cfRule>
    <cfRule type="cellIs" dxfId="34583" priority="4834" operator="equal">
      <formula>"PTO"</formula>
    </cfRule>
  </conditionalFormatting>
  <conditionalFormatting sqref="M49">
    <cfRule type="cellIs" dxfId="34582" priority="4831" operator="equal">
      <formula>"OFF"</formula>
    </cfRule>
    <cfRule type="cellIs" dxfId="34581" priority="4832" operator="equal">
      <formula>"PTO"</formula>
    </cfRule>
  </conditionalFormatting>
  <conditionalFormatting sqref="M49">
    <cfRule type="cellIs" dxfId="34580" priority="4829" operator="equal">
      <formula>"OFF"</formula>
    </cfRule>
    <cfRule type="cellIs" dxfId="34579" priority="4830" operator="equal">
      <formula>"PTO"</formula>
    </cfRule>
  </conditionalFormatting>
  <conditionalFormatting sqref="M49">
    <cfRule type="cellIs" dxfId="34578" priority="4827" operator="equal">
      <formula>"OFF"</formula>
    </cfRule>
    <cfRule type="cellIs" dxfId="34577" priority="4828" operator="equal">
      <formula>"PTO"</formula>
    </cfRule>
  </conditionalFormatting>
  <conditionalFormatting sqref="M47">
    <cfRule type="cellIs" dxfId="34576" priority="4825" operator="equal">
      <formula>"OFF"</formula>
    </cfRule>
    <cfRule type="cellIs" dxfId="34575" priority="4826" operator="equal">
      <formula>"PTO"</formula>
    </cfRule>
  </conditionalFormatting>
  <conditionalFormatting sqref="M47">
    <cfRule type="cellIs" dxfId="34574" priority="4823" operator="equal">
      <formula>"OFF"</formula>
    </cfRule>
    <cfRule type="cellIs" dxfId="34573" priority="4824" operator="equal">
      <formula>"PTO"</formula>
    </cfRule>
  </conditionalFormatting>
  <conditionalFormatting sqref="M45">
    <cfRule type="cellIs" dxfId="34572" priority="4821" operator="equal">
      <formula>"OFF"</formula>
    </cfRule>
    <cfRule type="cellIs" dxfId="34571" priority="4822" operator="equal">
      <formula>"PTO"</formula>
    </cfRule>
  </conditionalFormatting>
  <conditionalFormatting sqref="M45">
    <cfRule type="cellIs" dxfId="34570" priority="4819" operator="equal">
      <formula>"OFF"</formula>
    </cfRule>
    <cfRule type="cellIs" dxfId="34569" priority="4820" operator="equal">
      <formula>"PTO"</formula>
    </cfRule>
  </conditionalFormatting>
  <conditionalFormatting sqref="M45">
    <cfRule type="cellIs" dxfId="34568" priority="4817" operator="equal">
      <formula>"OFF"</formula>
    </cfRule>
    <cfRule type="cellIs" dxfId="34567" priority="4818" operator="equal">
      <formula>"PTO"</formula>
    </cfRule>
  </conditionalFormatting>
  <conditionalFormatting sqref="M46">
    <cfRule type="cellIs" dxfId="34566" priority="4815" operator="equal">
      <formula>"OFF"</formula>
    </cfRule>
    <cfRule type="cellIs" dxfId="34565" priority="4816" operator="equal">
      <formula>"PTO"</formula>
    </cfRule>
  </conditionalFormatting>
  <conditionalFormatting sqref="M46">
    <cfRule type="cellIs" dxfId="34564" priority="4813" operator="equal">
      <formula>"OFF"</formula>
    </cfRule>
    <cfRule type="cellIs" dxfId="34563" priority="4814" operator="equal">
      <formula>"PTO"</formula>
    </cfRule>
  </conditionalFormatting>
  <conditionalFormatting sqref="M46">
    <cfRule type="cellIs" dxfId="34562" priority="4811" operator="equal">
      <formula>"OFF"</formula>
    </cfRule>
    <cfRule type="cellIs" dxfId="34561" priority="4812" operator="equal">
      <formula>"PTO"</formula>
    </cfRule>
  </conditionalFormatting>
  <conditionalFormatting sqref="M46">
    <cfRule type="cellIs" dxfId="34560" priority="4809" operator="equal">
      <formula>"OFF"</formula>
    </cfRule>
    <cfRule type="cellIs" dxfId="34559" priority="4810" operator="equal">
      <formula>"PTO"</formula>
    </cfRule>
  </conditionalFormatting>
  <conditionalFormatting sqref="M46">
    <cfRule type="cellIs" dxfId="34558" priority="4807" operator="equal">
      <formula>"OFF"</formula>
    </cfRule>
    <cfRule type="cellIs" dxfId="34557" priority="4808" operator="equal">
      <formula>"PTO"</formula>
    </cfRule>
  </conditionalFormatting>
  <conditionalFormatting sqref="M46">
    <cfRule type="cellIs" dxfId="34556" priority="4805" operator="equal">
      <formula>"OFF"</formula>
    </cfRule>
    <cfRule type="cellIs" dxfId="34555" priority="4806" operator="equal">
      <formula>"PTO"</formula>
    </cfRule>
  </conditionalFormatting>
  <conditionalFormatting sqref="M46">
    <cfRule type="cellIs" dxfId="34554" priority="4803" operator="equal">
      <formula>"OFF"</formula>
    </cfRule>
    <cfRule type="cellIs" dxfId="34553" priority="4804" operator="equal">
      <formula>"PTO"</formula>
    </cfRule>
  </conditionalFormatting>
  <conditionalFormatting sqref="M46">
    <cfRule type="cellIs" dxfId="34552" priority="4801" operator="equal">
      <formula>"OFF"</formula>
    </cfRule>
    <cfRule type="cellIs" dxfId="34551" priority="4802" operator="equal">
      <formula>"PTO"</formula>
    </cfRule>
  </conditionalFormatting>
  <conditionalFormatting sqref="M46">
    <cfRule type="cellIs" dxfId="34550" priority="4799" operator="equal">
      <formula>"OFF"</formula>
    </cfRule>
    <cfRule type="cellIs" dxfId="34549" priority="4800" operator="equal">
      <formula>"PTO"</formula>
    </cfRule>
  </conditionalFormatting>
  <conditionalFormatting sqref="M46">
    <cfRule type="cellIs" dxfId="34548" priority="4797" operator="equal">
      <formula>"OFF"</formula>
    </cfRule>
    <cfRule type="cellIs" dxfId="34547" priority="4798" operator="equal">
      <formula>"PTO"</formula>
    </cfRule>
  </conditionalFormatting>
  <conditionalFormatting sqref="M46">
    <cfRule type="cellIs" dxfId="34546" priority="4795" operator="equal">
      <formula>"OFF"</formula>
    </cfRule>
    <cfRule type="cellIs" dxfId="34545" priority="4796" operator="equal">
      <formula>"PTO"</formula>
    </cfRule>
  </conditionalFormatting>
  <conditionalFormatting sqref="M46">
    <cfRule type="cellIs" dxfId="34544" priority="4793" operator="equal">
      <formula>"OFF"</formula>
    </cfRule>
    <cfRule type="cellIs" dxfId="34543" priority="4794" operator="equal">
      <formula>"PTO"</formula>
    </cfRule>
  </conditionalFormatting>
  <conditionalFormatting sqref="M46">
    <cfRule type="cellIs" dxfId="34542" priority="4791" operator="equal">
      <formula>"OFF"</formula>
    </cfRule>
    <cfRule type="cellIs" dxfId="34541" priority="4792" operator="equal">
      <formula>"PTO"</formula>
    </cfRule>
  </conditionalFormatting>
  <conditionalFormatting sqref="M46">
    <cfRule type="cellIs" dxfId="34540" priority="4789" operator="equal">
      <formula>"OFF"</formula>
    </cfRule>
    <cfRule type="cellIs" dxfId="34539" priority="4790" operator="equal">
      <formula>"PTO"</formula>
    </cfRule>
  </conditionalFormatting>
  <conditionalFormatting sqref="M46">
    <cfRule type="cellIs" dxfId="34538" priority="4787" operator="equal">
      <formula>"OFF"</formula>
    </cfRule>
    <cfRule type="cellIs" dxfId="34537" priority="4788" operator="equal">
      <formula>"PTO"</formula>
    </cfRule>
  </conditionalFormatting>
  <conditionalFormatting sqref="M46">
    <cfRule type="cellIs" dxfId="34536" priority="4785" operator="equal">
      <formula>"OFF"</formula>
    </cfRule>
    <cfRule type="cellIs" dxfId="34535" priority="4786" operator="equal">
      <formula>"PTO"</formula>
    </cfRule>
  </conditionalFormatting>
  <conditionalFormatting sqref="M46">
    <cfRule type="cellIs" dxfId="34534" priority="4783" operator="equal">
      <formula>"OFF"</formula>
    </cfRule>
    <cfRule type="cellIs" dxfId="34533" priority="4784" operator="equal">
      <formula>"PTO"</formula>
    </cfRule>
  </conditionalFormatting>
  <conditionalFormatting sqref="M46">
    <cfRule type="cellIs" dxfId="34532" priority="4781" operator="equal">
      <formula>"OFF"</formula>
    </cfRule>
    <cfRule type="cellIs" dxfId="34531" priority="4782" operator="equal">
      <formula>"PTO"</formula>
    </cfRule>
  </conditionalFormatting>
  <conditionalFormatting sqref="M46">
    <cfRule type="cellIs" dxfId="34530" priority="4779" operator="equal">
      <formula>"OFF"</formula>
    </cfRule>
    <cfRule type="cellIs" dxfId="34529" priority="4780" operator="equal">
      <formula>"PTO"</formula>
    </cfRule>
  </conditionalFormatting>
  <conditionalFormatting sqref="M46">
    <cfRule type="cellIs" dxfId="34528" priority="4777" operator="equal">
      <formula>"OFF"</formula>
    </cfRule>
    <cfRule type="cellIs" dxfId="34527" priority="4778" operator="equal">
      <formula>"PTO"</formula>
    </cfRule>
  </conditionalFormatting>
  <conditionalFormatting sqref="M46">
    <cfRule type="cellIs" dxfId="34526" priority="4775" operator="equal">
      <formula>"OFF"</formula>
    </cfRule>
    <cfRule type="cellIs" dxfId="34525" priority="4776" operator="equal">
      <formula>"PTO"</formula>
    </cfRule>
  </conditionalFormatting>
  <conditionalFormatting sqref="M46">
    <cfRule type="cellIs" dxfId="34524" priority="4773" operator="equal">
      <formula>"OFF"</formula>
    </cfRule>
    <cfRule type="cellIs" dxfId="34523" priority="4774" operator="equal">
      <formula>"PTO"</formula>
    </cfRule>
  </conditionalFormatting>
  <conditionalFormatting sqref="M46">
    <cfRule type="cellIs" dxfId="34522" priority="4771" operator="equal">
      <formula>"OFF"</formula>
    </cfRule>
    <cfRule type="cellIs" dxfId="34521" priority="4772" operator="equal">
      <formula>"PTO"</formula>
    </cfRule>
  </conditionalFormatting>
  <conditionalFormatting sqref="M46">
    <cfRule type="cellIs" dxfId="34520" priority="4769" operator="equal">
      <formula>"OFF"</formula>
    </cfRule>
    <cfRule type="cellIs" dxfId="34519" priority="4770" operator="equal">
      <formula>"PTO"</formula>
    </cfRule>
  </conditionalFormatting>
  <conditionalFormatting sqref="M46">
    <cfRule type="cellIs" dxfId="34518" priority="4767" operator="equal">
      <formula>"OFF"</formula>
    </cfRule>
    <cfRule type="cellIs" dxfId="34517" priority="4768" operator="equal">
      <formula>"PTO"</formula>
    </cfRule>
  </conditionalFormatting>
  <conditionalFormatting sqref="M46">
    <cfRule type="cellIs" dxfId="34516" priority="4765" operator="equal">
      <formula>"OFF"</formula>
    </cfRule>
    <cfRule type="cellIs" dxfId="34515" priority="4766" operator="equal">
      <formula>"PTO"</formula>
    </cfRule>
  </conditionalFormatting>
  <conditionalFormatting sqref="M47:M50">
    <cfRule type="cellIs" dxfId="34514" priority="4763" operator="equal">
      <formula>"OFF"</formula>
    </cfRule>
    <cfRule type="cellIs" dxfId="34513" priority="4764" operator="equal">
      <formula>"PTO"</formula>
    </cfRule>
  </conditionalFormatting>
  <conditionalFormatting sqref="M47">
    <cfRule type="cellIs" dxfId="34512" priority="4761" operator="equal">
      <formula>"OFF"</formula>
    </cfRule>
    <cfRule type="cellIs" dxfId="34511" priority="4762" operator="equal">
      <formula>"PTO"</formula>
    </cfRule>
  </conditionalFormatting>
  <conditionalFormatting sqref="M41 M43 M45:M50">
    <cfRule type="cellIs" dxfId="34510" priority="4759" operator="equal">
      <formula>"OFF"</formula>
    </cfRule>
    <cfRule type="cellIs" dxfId="34509" priority="4760" operator="equal">
      <formula>"PTO"</formula>
    </cfRule>
  </conditionalFormatting>
  <conditionalFormatting sqref="M41 M43 M45:M50">
    <cfRule type="cellIs" dxfId="34508" priority="4757" operator="equal">
      <formula>"OFF"</formula>
    </cfRule>
    <cfRule type="cellIs" dxfId="34507" priority="4758" operator="equal">
      <formula>"PTO"</formula>
    </cfRule>
  </conditionalFormatting>
  <conditionalFormatting sqref="M41 M43 M45:M50">
    <cfRule type="cellIs" dxfId="34506" priority="4755" operator="equal">
      <formula>"OFF"</formula>
    </cfRule>
    <cfRule type="cellIs" dxfId="34505" priority="4756" operator="equal">
      <formula>"PTO"</formula>
    </cfRule>
  </conditionalFormatting>
  <conditionalFormatting sqref="M49:M53">
    <cfRule type="cellIs" dxfId="34504" priority="4753" operator="equal">
      <formula>"OFF"</formula>
    </cfRule>
    <cfRule type="cellIs" dxfId="34503" priority="4754" operator="equal">
      <formula>"PTO"</formula>
    </cfRule>
  </conditionalFormatting>
  <conditionalFormatting sqref="M49:M53">
    <cfRule type="cellIs" dxfId="34502" priority="4751" operator="equal">
      <formula>"OFF"</formula>
    </cfRule>
    <cfRule type="cellIs" dxfId="34501" priority="4752" operator="equal">
      <formula>"PTO"</formula>
    </cfRule>
  </conditionalFormatting>
  <conditionalFormatting sqref="M49:M53">
    <cfRule type="cellIs" dxfId="34500" priority="4749" operator="equal">
      <formula>"OFF"</formula>
    </cfRule>
    <cfRule type="cellIs" dxfId="34499" priority="4750" operator="equal">
      <formula>"PTO"</formula>
    </cfRule>
  </conditionalFormatting>
  <conditionalFormatting sqref="M47">
    <cfRule type="cellIs" dxfId="34498" priority="4747" operator="equal">
      <formula>"OFF"</formula>
    </cfRule>
    <cfRule type="cellIs" dxfId="34497" priority="4748" operator="equal">
      <formula>"PTO"</formula>
    </cfRule>
  </conditionalFormatting>
  <conditionalFormatting sqref="M47">
    <cfRule type="cellIs" dxfId="34496" priority="4745" operator="equal">
      <formula>"OFF"</formula>
    </cfRule>
    <cfRule type="cellIs" dxfId="34495" priority="4746" operator="equal">
      <formula>"PTO"</formula>
    </cfRule>
  </conditionalFormatting>
  <conditionalFormatting sqref="M47">
    <cfRule type="cellIs" dxfId="34494" priority="4743" operator="equal">
      <formula>"OFF"</formula>
    </cfRule>
    <cfRule type="cellIs" dxfId="34493" priority="4744" operator="equal">
      <formula>"PTO"</formula>
    </cfRule>
  </conditionalFormatting>
  <conditionalFormatting sqref="M47">
    <cfRule type="cellIs" dxfId="34492" priority="4741" operator="equal">
      <formula>"OFF"</formula>
    </cfRule>
    <cfRule type="cellIs" dxfId="34491" priority="4742" operator="equal">
      <formula>"PTO"</formula>
    </cfRule>
  </conditionalFormatting>
  <conditionalFormatting sqref="M47">
    <cfRule type="cellIs" dxfId="34490" priority="4739" operator="equal">
      <formula>"OFF"</formula>
    </cfRule>
    <cfRule type="cellIs" dxfId="34489" priority="4740" operator="equal">
      <formula>"PTO"</formula>
    </cfRule>
  </conditionalFormatting>
  <conditionalFormatting sqref="M47">
    <cfRule type="cellIs" dxfId="34488" priority="4737" operator="equal">
      <formula>"OFF"</formula>
    </cfRule>
    <cfRule type="cellIs" dxfId="34487" priority="4738" operator="equal">
      <formula>"PTO"</formula>
    </cfRule>
  </conditionalFormatting>
  <conditionalFormatting sqref="M47">
    <cfRule type="cellIs" dxfId="34486" priority="4735" operator="equal">
      <formula>"OFF"</formula>
    </cfRule>
    <cfRule type="cellIs" dxfId="34485" priority="4736" operator="equal">
      <formula>"PTO"</formula>
    </cfRule>
  </conditionalFormatting>
  <conditionalFormatting sqref="M47">
    <cfRule type="cellIs" dxfId="34484" priority="4733" operator="equal">
      <formula>"OFF"</formula>
    </cfRule>
    <cfRule type="cellIs" dxfId="34483" priority="4734" operator="equal">
      <formula>"PTO"</formula>
    </cfRule>
  </conditionalFormatting>
  <conditionalFormatting sqref="M47">
    <cfRule type="cellIs" dxfId="34482" priority="4731" operator="equal">
      <formula>"OFF"</formula>
    </cfRule>
    <cfRule type="cellIs" dxfId="34481" priority="4732" operator="equal">
      <formula>"PTO"</formula>
    </cfRule>
  </conditionalFormatting>
  <conditionalFormatting sqref="M47">
    <cfRule type="cellIs" dxfId="34480" priority="4729" operator="equal">
      <formula>"OFF"</formula>
    </cfRule>
    <cfRule type="cellIs" dxfId="34479" priority="4730" operator="equal">
      <formula>"PTO"</formula>
    </cfRule>
  </conditionalFormatting>
  <conditionalFormatting sqref="M47">
    <cfRule type="cellIs" dxfId="34478" priority="4727" operator="equal">
      <formula>"OFF"</formula>
    </cfRule>
    <cfRule type="cellIs" dxfId="34477" priority="4728" operator="equal">
      <formula>"PTO"</formula>
    </cfRule>
  </conditionalFormatting>
  <conditionalFormatting sqref="M47">
    <cfRule type="cellIs" dxfId="34476" priority="4725" operator="equal">
      <formula>"OFF"</formula>
    </cfRule>
    <cfRule type="cellIs" dxfId="34475" priority="4726" operator="equal">
      <formula>"PTO"</formula>
    </cfRule>
  </conditionalFormatting>
  <conditionalFormatting sqref="M47">
    <cfRule type="cellIs" dxfId="34474" priority="4723" operator="equal">
      <formula>"OFF"</formula>
    </cfRule>
    <cfRule type="cellIs" dxfId="34473" priority="4724" operator="equal">
      <formula>"PTO"</formula>
    </cfRule>
  </conditionalFormatting>
  <conditionalFormatting sqref="M47">
    <cfRule type="cellIs" dxfId="34472" priority="4721" operator="equal">
      <formula>"OFF"</formula>
    </cfRule>
    <cfRule type="cellIs" dxfId="34471" priority="4722" operator="equal">
      <formula>"PTO"</formula>
    </cfRule>
  </conditionalFormatting>
  <conditionalFormatting sqref="M47">
    <cfRule type="cellIs" dxfId="34470" priority="4719" operator="equal">
      <formula>"OFF"</formula>
    </cfRule>
    <cfRule type="cellIs" dxfId="34469" priority="4720" operator="equal">
      <formula>"PTO"</formula>
    </cfRule>
  </conditionalFormatting>
  <conditionalFormatting sqref="M47">
    <cfRule type="cellIs" dxfId="34468" priority="4717" operator="equal">
      <formula>"OFF"</formula>
    </cfRule>
    <cfRule type="cellIs" dxfId="34467" priority="4718" operator="equal">
      <formula>"PTO"</formula>
    </cfRule>
  </conditionalFormatting>
  <conditionalFormatting sqref="M47">
    <cfRule type="cellIs" dxfId="34466" priority="4715" operator="equal">
      <formula>"OFF"</formula>
    </cfRule>
    <cfRule type="cellIs" dxfId="34465" priority="4716" operator="equal">
      <formula>"PTO"</formula>
    </cfRule>
  </conditionalFormatting>
  <conditionalFormatting sqref="M47">
    <cfRule type="cellIs" dxfId="34464" priority="4713" operator="equal">
      <formula>"OFF"</formula>
    </cfRule>
    <cfRule type="cellIs" dxfId="34463" priority="4714" operator="equal">
      <formula>"PTO"</formula>
    </cfRule>
  </conditionalFormatting>
  <conditionalFormatting sqref="M47">
    <cfRule type="cellIs" dxfId="34462" priority="4711" operator="equal">
      <formula>"OFF"</formula>
    </cfRule>
    <cfRule type="cellIs" dxfId="34461" priority="4712" operator="equal">
      <formula>"PTO"</formula>
    </cfRule>
  </conditionalFormatting>
  <conditionalFormatting sqref="M47">
    <cfRule type="cellIs" dxfId="34460" priority="4709" operator="equal">
      <formula>"OFF"</formula>
    </cfRule>
    <cfRule type="cellIs" dxfId="34459" priority="4710" operator="equal">
      <formula>"PTO"</formula>
    </cfRule>
  </conditionalFormatting>
  <conditionalFormatting sqref="M47">
    <cfRule type="cellIs" dxfId="34458" priority="4707" operator="equal">
      <formula>"OFF"</formula>
    </cfRule>
    <cfRule type="cellIs" dxfId="34457" priority="4708" operator="equal">
      <formula>"PTO"</formula>
    </cfRule>
  </conditionalFormatting>
  <conditionalFormatting sqref="M47">
    <cfRule type="cellIs" dxfId="34456" priority="4705" operator="equal">
      <formula>"OFF"</formula>
    </cfRule>
    <cfRule type="cellIs" dxfId="34455" priority="4706" operator="equal">
      <formula>"PTO"</formula>
    </cfRule>
  </conditionalFormatting>
  <conditionalFormatting sqref="M47">
    <cfRule type="cellIs" dxfId="34454" priority="4703" operator="equal">
      <formula>"OFF"</formula>
    </cfRule>
    <cfRule type="cellIs" dxfId="34453" priority="4704" operator="equal">
      <formula>"PTO"</formula>
    </cfRule>
  </conditionalFormatting>
  <conditionalFormatting sqref="M47">
    <cfRule type="cellIs" dxfId="34452" priority="4701" operator="equal">
      <formula>"OFF"</formula>
    </cfRule>
    <cfRule type="cellIs" dxfId="34451" priority="4702" operator="equal">
      <formula>"PTO"</formula>
    </cfRule>
  </conditionalFormatting>
  <conditionalFormatting sqref="M47">
    <cfRule type="cellIs" dxfId="34450" priority="4699" operator="equal">
      <formula>"OFF"</formula>
    </cfRule>
    <cfRule type="cellIs" dxfId="34449" priority="4700" operator="equal">
      <formula>"PTO"</formula>
    </cfRule>
  </conditionalFormatting>
  <conditionalFormatting sqref="M43">
    <cfRule type="cellIs" dxfId="34448" priority="4697" operator="equal">
      <formula>"OFF"</formula>
    </cfRule>
    <cfRule type="cellIs" dxfId="34447" priority="4698" operator="equal">
      <formula>"PTO"</formula>
    </cfRule>
  </conditionalFormatting>
  <conditionalFormatting sqref="M43">
    <cfRule type="cellIs" dxfId="34446" priority="4695" operator="equal">
      <formula>"OFF"</formula>
    </cfRule>
    <cfRule type="cellIs" dxfId="34445" priority="4696" operator="equal">
      <formula>"PTO"</formula>
    </cfRule>
  </conditionalFormatting>
  <conditionalFormatting sqref="M46">
    <cfRule type="cellIs" dxfId="34444" priority="4693" operator="equal">
      <formula>"OFF"</formula>
    </cfRule>
    <cfRule type="cellIs" dxfId="34443" priority="4694" operator="equal">
      <formula>"PTO"</formula>
    </cfRule>
  </conditionalFormatting>
  <conditionalFormatting sqref="M46">
    <cfRule type="cellIs" dxfId="34442" priority="4691" operator="equal">
      <formula>"OFF"</formula>
    </cfRule>
    <cfRule type="cellIs" dxfId="34441" priority="4692" operator="equal">
      <formula>"PTO"</formula>
    </cfRule>
  </conditionalFormatting>
  <conditionalFormatting sqref="M43">
    <cfRule type="cellIs" dxfId="34440" priority="4689" operator="equal">
      <formula>"OFF"</formula>
    </cfRule>
    <cfRule type="cellIs" dxfId="34439" priority="4690" operator="equal">
      <formula>"PTO"</formula>
    </cfRule>
  </conditionalFormatting>
  <conditionalFormatting sqref="M43">
    <cfRule type="cellIs" dxfId="34438" priority="4687" operator="equal">
      <formula>"OFF"</formula>
    </cfRule>
    <cfRule type="cellIs" dxfId="34437" priority="4688" operator="equal">
      <formula>"PTO"</formula>
    </cfRule>
  </conditionalFormatting>
  <conditionalFormatting sqref="M43">
    <cfRule type="cellIs" dxfId="34436" priority="4685" operator="equal">
      <formula>"OFF"</formula>
    </cfRule>
    <cfRule type="cellIs" dxfId="34435" priority="4686" operator="equal">
      <formula>"PTO"</formula>
    </cfRule>
  </conditionalFormatting>
  <conditionalFormatting sqref="M45">
    <cfRule type="cellIs" dxfId="34434" priority="4683" operator="equal">
      <formula>"OFF"</formula>
    </cfRule>
    <cfRule type="cellIs" dxfId="34433" priority="4684" operator="equal">
      <formula>"PTO"</formula>
    </cfRule>
  </conditionalFormatting>
  <conditionalFormatting sqref="M45">
    <cfRule type="cellIs" dxfId="34432" priority="4681" operator="equal">
      <formula>"OFF"</formula>
    </cfRule>
    <cfRule type="cellIs" dxfId="34431" priority="4682" operator="equal">
      <formula>"PTO"</formula>
    </cfRule>
  </conditionalFormatting>
  <conditionalFormatting sqref="M45">
    <cfRule type="cellIs" dxfId="34430" priority="4679" operator="equal">
      <formula>"OFF"</formula>
    </cfRule>
    <cfRule type="cellIs" dxfId="34429" priority="4680" operator="equal">
      <formula>"PTO"</formula>
    </cfRule>
  </conditionalFormatting>
  <conditionalFormatting sqref="M45">
    <cfRule type="cellIs" dxfId="34428" priority="4677" operator="equal">
      <formula>"OFF"</formula>
    </cfRule>
    <cfRule type="cellIs" dxfId="34427" priority="4678" operator="equal">
      <formula>"PTO"</formula>
    </cfRule>
  </conditionalFormatting>
  <conditionalFormatting sqref="M45">
    <cfRule type="cellIs" dxfId="34426" priority="4675" operator="equal">
      <formula>"OFF"</formula>
    </cfRule>
    <cfRule type="cellIs" dxfId="34425" priority="4676" operator="equal">
      <formula>"PTO"</formula>
    </cfRule>
  </conditionalFormatting>
  <conditionalFormatting sqref="M45">
    <cfRule type="cellIs" dxfId="34424" priority="4673" operator="equal">
      <formula>"OFF"</formula>
    </cfRule>
    <cfRule type="cellIs" dxfId="34423" priority="4674" operator="equal">
      <formula>"PTO"</formula>
    </cfRule>
  </conditionalFormatting>
  <conditionalFormatting sqref="M45">
    <cfRule type="cellIs" dxfId="34422" priority="4671" operator="equal">
      <formula>"OFF"</formula>
    </cfRule>
    <cfRule type="cellIs" dxfId="34421" priority="4672" operator="equal">
      <formula>"PTO"</formula>
    </cfRule>
  </conditionalFormatting>
  <conditionalFormatting sqref="M45">
    <cfRule type="cellIs" dxfId="34420" priority="4669" operator="equal">
      <formula>"OFF"</formula>
    </cfRule>
    <cfRule type="cellIs" dxfId="34419" priority="4670" operator="equal">
      <formula>"PTO"</formula>
    </cfRule>
  </conditionalFormatting>
  <conditionalFormatting sqref="M45">
    <cfRule type="cellIs" dxfId="34418" priority="4667" operator="equal">
      <formula>"OFF"</formula>
    </cfRule>
    <cfRule type="cellIs" dxfId="34417" priority="4668" operator="equal">
      <formula>"PTO"</formula>
    </cfRule>
  </conditionalFormatting>
  <conditionalFormatting sqref="M45">
    <cfRule type="cellIs" dxfId="34416" priority="4665" operator="equal">
      <formula>"OFF"</formula>
    </cfRule>
    <cfRule type="cellIs" dxfId="34415" priority="4666" operator="equal">
      <formula>"PTO"</formula>
    </cfRule>
  </conditionalFormatting>
  <conditionalFormatting sqref="M45">
    <cfRule type="cellIs" dxfId="34414" priority="4663" operator="equal">
      <formula>"OFF"</formula>
    </cfRule>
    <cfRule type="cellIs" dxfId="34413" priority="4664" operator="equal">
      <formula>"PTO"</formula>
    </cfRule>
  </conditionalFormatting>
  <conditionalFormatting sqref="M45">
    <cfRule type="cellIs" dxfId="34412" priority="4661" operator="equal">
      <formula>"OFF"</formula>
    </cfRule>
    <cfRule type="cellIs" dxfId="34411" priority="4662" operator="equal">
      <formula>"PTO"</formula>
    </cfRule>
  </conditionalFormatting>
  <conditionalFormatting sqref="M45">
    <cfRule type="cellIs" dxfId="34410" priority="4659" operator="equal">
      <formula>"OFF"</formula>
    </cfRule>
    <cfRule type="cellIs" dxfId="34409" priority="4660" operator="equal">
      <formula>"PTO"</formula>
    </cfRule>
  </conditionalFormatting>
  <conditionalFormatting sqref="M45">
    <cfRule type="cellIs" dxfId="34408" priority="4657" operator="equal">
      <formula>"OFF"</formula>
    </cfRule>
    <cfRule type="cellIs" dxfId="34407" priority="4658" operator="equal">
      <formula>"PTO"</formula>
    </cfRule>
  </conditionalFormatting>
  <conditionalFormatting sqref="M45">
    <cfRule type="cellIs" dxfId="34406" priority="4655" operator="equal">
      <formula>"OFF"</formula>
    </cfRule>
    <cfRule type="cellIs" dxfId="34405" priority="4656" operator="equal">
      <formula>"PTO"</formula>
    </cfRule>
  </conditionalFormatting>
  <conditionalFormatting sqref="M45">
    <cfRule type="cellIs" dxfId="34404" priority="4653" operator="equal">
      <formula>"OFF"</formula>
    </cfRule>
    <cfRule type="cellIs" dxfId="34403" priority="4654" operator="equal">
      <formula>"PTO"</formula>
    </cfRule>
  </conditionalFormatting>
  <conditionalFormatting sqref="M45">
    <cfRule type="cellIs" dxfId="34402" priority="4651" operator="equal">
      <formula>"OFF"</formula>
    </cfRule>
    <cfRule type="cellIs" dxfId="34401" priority="4652" operator="equal">
      <formula>"PTO"</formula>
    </cfRule>
  </conditionalFormatting>
  <conditionalFormatting sqref="M45">
    <cfRule type="cellIs" dxfId="34400" priority="4649" operator="equal">
      <formula>"OFF"</formula>
    </cfRule>
    <cfRule type="cellIs" dxfId="34399" priority="4650" operator="equal">
      <formula>"PTO"</formula>
    </cfRule>
  </conditionalFormatting>
  <conditionalFormatting sqref="M45">
    <cfRule type="cellIs" dxfId="34398" priority="4647" operator="equal">
      <formula>"OFF"</formula>
    </cfRule>
    <cfRule type="cellIs" dxfId="34397" priority="4648" operator="equal">
      <formula>"PTO"</formula>
    </cfRule>
  </conditionalFormatting>
  <conditionalFormatting sqref="M45">
    <cfRule type="cellIs" dxfId="34396" priority="4645" operator="equal">
      <formula>"OFF"</formula>
    </cfRule>
    <cfRule type="cellIs" dxfId="34395" priority="4646" operator="equal">
      <formula>"PTO"</formula>
    </cfRule>
  </conditionalFormatting>
  <conditionalFormatting sqref="M45">
    <cfRule type="cellIs" dxfId="34394" priority="4643" operator="equal">
      <formula>"OFF"</formula>
    </cfRule>
    <cfRule type="cellIs" dxfId="34393" priority="4644" operator="equal">
      <formula>"PTO"</formula>
    </cfRule>
  </conditionalFormatting>
  <conditionalFormatting sqref="M45">
    <cfRule type="cellIs" dxfId="34392" priority="4641" operator="equal">
      <formula>"OFF"</formula>
    </cfRule>
    <cfRule type="cellIs" dxfId="34391" priority="4642" operator="equal">
      <formula>"PTO"</formula>
    </cfRule>
  </conditionalFormatting>
  <conditionalFormatting sqref="M45">
    <cfRule type="cellIs" dxfId="34390" priority="4639" operator="equal">
      <formula>"OFF"</formula>
    </cfRule>
    <cfRule type="cellIs" dxfId="34389" priority="4640" operator="equal">
      <formula>"PTO"</formula>
    </cfRule>
  </conditionalFormatting>
  <conditionalFormatting sqref="M45">
    <cfRule type="cellIs" dxfId="34388" priority="4637" operator="equal">
      <formula>"OFF"</formula>
    </cfRule>
    <cfRule type="cellIs" dxfId="34387" priority="4638" operator="equal">
      <formula>"PTO"</formula>
    </cfRule>
  </conditionalFormatting>
  <conditionalFormatting sqref="M45">
    <cfRule type="cellIs" dxfId="34386" priority="4635" operator="equal">
      <formula>"OFF"</formula>
    </cfRule>
    <cfRule type="cellIs" dxfId="34385" priority="4636" operator="equal">
      <formula>"PTO"</formula>
    </cfRule>
  </conditionalFormatting>
  <conditionalFormatting sqref="M45">
    <cfRule type="cellIs" dxfId="34384" priority="4633" operator="equal">
      <formula>"OFF"</formula>
    </cfRule>
    <cfRule type="cellIs" dxfId="34383" priority="4634" operator="equal">
      <formula>"PTO"</formula>
    </cfRule>
  </conditionalFormatting>
  <conditionalFormatting sqref="M47">
    <cfRule type="cellIs" dxfId="34382" priority="4631" operator="equal">
      <formula>"OFF"</formula>
    </cfRule>
    <cfRule type="cellIs" dxfId="34381" priority="4632" operator="equal">
      <formula>"PTO"</formula>
    </cfRule>
  </conditionalFormatting>
  <conditionalFormatting sqref="M46">
    <cfRule type="cellIs" dxfId="34380" priority="4629" operator="equal">
      <formula>"OFF"</formula>
    </cfRule>
    <cfRule type="cellIs" dxfId="34379" priority="4630" operator="equal">
      <formula>"PTO"</formula>
    </cfRule>
  </conditionalFormatting>
  <conditionalFormatting sqref="M49">
    <cfRule type="cellIs" dxfId="34378" priority="4627" operator="equal">
      <formula>"OFF"</formula>
    </cfRule>
    <cfRule type="cellIs" dxfId="34377" priority="4628" operator="equal">
      <formula>"PTO"</formula>
    </cfRule>
  </conditionalFormatting>
  <conditionalFormatting sqref="M48">
    <cfRule type="cellIs" dxfId="34376" priority="4625" operator="equal">
      <formula>"OFF"</formula>
    </cfRule>
    <cfRule type="cellIs" dxfId="34375" priority="4626" operator="equal">
      <formula>"PTO"</formula>
    </cfRule>
  </conditionalFormatting>
  <conditionalFormatting sqref="M48">
    <cfRule type="cellIs" dxfId="34374" priority="4623" operator="equal">
      <formula>"OFF"</formula>
    </cfRule>
    <cfRule type="cellIs" dxfId="34373" priority="4624" operator="equal">
      <formula>"PTO"</formula>
    </cfRule>
  </conditionalFormatting>
  <conditionalFormatting sqref="M48">
    <cfRule type="cellIs" dxfId="34372" priority="4621" operator="equal">
      <formula>"OFF"</formula>
    </cfRule>
    <cfRule type="cellIs" dxfId="34371" priority="4622" operator="equal">
      <formula>"PTO"</formula>
    </cfRule>
  </conditionalFormatting>
  <conditionalFormatting sqref="M48">
    <cfRule type="cellIs" dxfId="34370" priority="4619" operator="equal">
      <formula>"OFF"</formula>
    </cfRule>
    <cfRule type="cellIs" dxfId="34369" priority="4620" operator="equal">
      <formula>"PTO"</formula>
    </cfRule>
  </conditionalFormatting>
  <conditionalFormatting sqref="M48">
    <cfRule type="cellIs" dxfId="34368" priority="4617" operator="equal">
      <formula>"OFF"</formula>
    </cfRule>
    <cfRule type="cellIs" dxfId="34367" priority="4618" operator="equal">
      <formula>"PTO"</formula>
    </cfRule>
  </conditionalFormatting>
  <conditionalFormatting sqref="M48">
    <cfRule type="cellIs" dxfId="34366" priority="4615" operator="equal">
      <formula>"OFF"</formula>
    </cfRule>
    <cfRule type="cellIs" dxfId="34365" priority="4616" operator="equal">
      <formula>"PTO"</formula>
    </cfRule>
  </conditionalFormatting>
  <conditionalFormatting sqref="M48">
    <cfRule type="cellIs" dxfId="34364" priority="4613" operator="equal">
      <formula>"OFF"</formula>
    </cfRule>
    <cfRule type="cellIs" dxfId="34363" priority="4614" operator="equal">
      <formula>"PTO"</formula>
    </cfRule>
  </conditionalFormatting>
  <conditionalFormatting sqref="M48">
    <cfRule type="cellIs" dxfId="34362" priority="4611" operator="equal">
      <formula>"OFF"</formula>
    </cfRule>
    <cfRule type="cellIs" dxfId="34361" priority="4612" operator="equal">
      <formula>"PTO"</formula>
    </cfRule>
  </conditionalFormatting>
  <conditionalFormatting sqref="M48">
    <cfRule type="cellIs" dxfId="34360" priority="4609" operator="equal">
      <formula>"OFF"</formula>
    </cfRule>
    <cfRule type="cellIs" dxfId="34359" priority="4610" operator="equal">
      <formula>"PTO"</formula>
    </cfRule>
  </conditionalFormatting>
  <conditionalFormatting sqref="M41">
    <cfRule type="cellIs" dxfId="34358" priority="4607" operator="equal">
      <formula>"OFF"</formula>
    </cfRule>
    <cfRule type="cellIs" dxfId="34357" priority="4608" operator="equal">
      <formula>"PTO"</formula>
    </cfRule>
  </conditionalFormatting>
  <conditionalFormatting sqref="M41">
    <cfRule type="cellIs" dxfId="34356" priority="4605" operator="equal">
      <formula>"OFF"</formula>
    </cfRule>
    <cfRule type="cellIs" dxfId="34355" priority="4606" operator="equal">
      <formula>"PTO"</formula>
    </cfRule>
  </conditionalFormatting>
  <conditionalFormatting sqref="M41">
    <cfRule type="cellIs" dxfId="34354" priority="4603" operator="equal">
      <formula>"OFF"</formula>
    </cfRule>
    <cfRule type="cellIs" dxfId="34353" priority="4604" operator="equal">
      <formula>"PTO"</formula>
    </cfRule>
  </conditionalFormatting>
  <conditionalFormatting sqref="M41">
    <cfRule type="cellIs" dxfId="34352" priority="4601" operator="equal">
      <formula>"OFF"</formula>
    </cfRule>
    <cfRule type="cellIs" dxfId="34351" priority="4602" operator="equal">
      <formula>"PTO"</formula>
    </cfRule>
  </conditionalFormatting>
  <conditionalFormatting sqref="M41">
    <cfRule type="cellIs" dxfId="34350" priority="4599" operator="equal">
      <formula>"OFF"</formula>
    </cfRule>
    <cfRule type="cellIs" dxfId="34349" priority="4600" operator="equal">
      <formula>"PTO"</formula>
    </cfRule>
  </conditionalFormatting>
  <conditionalFormatting sqref="M41">
    <cfRule type="cellIs" dxfId="34348" priority="4597" operator="equal">
      <formula>"OFF"</formula>
    </cfRule>
    <cfRule type="cellIs" dxfId="34347" priority="4598" operator="equal">
      <formula>"PTO"</formula>
    </cfRule>
  </conditionalFormatting>
  <conditionalFormatting sqref="M41">
    <cfRule type="cellIs" dxfId="34346" priority="4595" operator="equal">
      <formula>"OFF"</formula>
    </cfRule>
    <cfRule type="cellIs" dxfId="34345" priority="4596" operator="equal">
      <formula>"PTO"</formula>
    </cfRule>
  </conditionalFormatting>
  <conditionalFormatting sqref="M41">
    <cfRule type="cellIs" dxfId="34344" priority="4593" operator="equal">
      <formula>"OFF"</formula>
    </cfRule>
    <cfRule type="cellIs" dxfId="34343" priority="4594" operator="equal">
      <formula>"PTO"</formula>
    </cfRule>
  </conditionalFormatting>
  <conditionalFormatting sqref="M41">
    <cfRule type="cellIs" dxfId="34342" priority="4591" operator="equal">
      <formula>"OFF"</formula>
    </cfRule>
    <cfRule type="cellIs" dxfId="34341" priority="4592" operator="equal">
      <formula>"PTO"</formula>
    </cfRule>
  </conditionalFormatting>
  <conditionalFormatting sqref="M41">
    <cfRule type="cellIs" dxfId="34340" priority="4589" operator="equal">
      <formula>"OFF"</formula>
    </cfRule>
    <cfRule type="cellIs" dxfId="34339" priority="4590" operator="equal">
      <formula>"PTO"</formula>
    </cfRule>
  </conditionalFormatting>
  <conditionalFormatting sqref="M41">
    <cfRule type="cellIs" dxfId="34338" priority="4587" operator="equal">
      <formula>"OFF"</formula>
    </cfRule>
    <cfRule type="cellIs" dxfId="34337" priority="4588" operator="equal">
      <formula>"PTO"</formula>
    </cfRule>
  </conditionalFormatting>
  <conditionalFormatting sqref="M41">
    <cfRule type="cellIs" dxfId="34336" priority="4585" operator="equal">
      <formula>"OFF"</formula>
    </cfRule>
    <cfRule type="cellIs" dxfId="34335" priority="4586" operator="equal">
      <formula>"PTO"</formula>
    </cfRule>
  </conditionalFormatting>
  <conditionalFormatting sqref="M43">
    <cfRule type="cellIs" dxfId="34334" priority="4583" operator="equal">
      <formula>"OFF"</formula>
    </cfRule>
    <cfRule type="cellIs" dxfId="34333" priority="4584" operator="equal">
      <formula>"PTO"</formula>
    </cfRule>
  </conditionalFormatting>
  <conditionalFormatting sqref="M43">
    <cfRule type="cellIs" dxfId="34332" priority="4581" operator="equal">
      <formula>"OFF"</formula>
    </cfRule>
    <cfRule type="cellIs" dxfId="34331" priority="4582" operator="equal">
      <formula>"PTO"</formula>
    </cfRule>
  </conditionalFormatting>
  <conditionalFormatting sqref="M43">
    <cfRule type="cellIs" dxfId="34330" priority="4579" operator="equal">
      <formula>"OFF"</formula>
    </cfRule>
    <cfRule type="cellIs" dxfId="34329" priority="4580" operator="equal">
      <formula>"PTO"</formula>
    </cfRule>
  </conditionalFormatting>
  <conditionalFormatting sqref="M43">
    <cfRule type="cellIs" dxfId="34328" priority="4577" operator="equal">
      <formula>"OFF"</formula>
    </cfRule>
    <cfRule type="cellIs" dxfId="34327" priority="4578" operator="equal">
      <formula>"PTO"</formula>
    </cfRule>
  </conditionalFormatting>
  <conditionalFormatting sqref="M43">
    <cfRule type="cellIs" dxfId="34326" priority="4575" operator="equal">
      <formula>"OFF"</formula>
    </cfRule>
    <cfRule type="cellIs" dxfId="34325" priority="4576" operator="equal">
      <formula>"PTO"</formula>
    </cfRule>
  </conditionalFormatting>
  <conditionalFormatting sqref="M41">
    <cfRule type="cellIs" dxfId="34324" priority="4573" operator="equal">
      <formula>"OFF"</formula>
    </cfRule>
    <cfRule type="cellIs" dxfId="34323" priority="4574" operator="equal">
      <formula>"PTO"</formula>
    </cfRule>
  </conditionalFormatting>
  <conditionalFormatting sqref="M43">
    <cfRule type="cellIs" dxfId="34322" priority="4571" operator="equal">
      <formula>"OFF"</formula>
    </cfRule>
    <cfRule type="cellIs" dxfId="34321" priority="4572" operator="equal">
      <formula>"PTO"</formula>
    </cfRule>
  </conditionalFormatting>
  <conditionalFormatting sqref="M43">
    <cfRule type="cellIs" dxfId="34320" priority="4569" operator="equal">
      <formula>"OFF"</formula>
    </cfRule>
    <cfRule type="cellIs" dxfId="34319" priority="4570" operator="equal">
      <formula>"PTO"</formula>
    </cfRule>
  </conditionalFormatting>
  <conditionalFormatting sqref="M43">
    <cfRule type="cellIs" dxfId="34318" priority="4567" operator="equal">
      <formula>"OFF"</formula>
    </cfRule>
    <cfRule type="cellIs" dxfId="34317" priority="4568" operator="equal">
      <formula>"PTO"</formula>
    </cfRule>
  </conditionalFormatting>
  <conditionalFormatting sqref="M41">
    <cfRule type="cellIs" dxfId="34316" priority="4565" operator="equal">
      <formula>"OFF"</formula>
    </cfRule>
    <cfRule type="cellIs" dxfId="34315" priority="4566" operator="equal">
      <formula>"PTO"</formula>
    </cfRule>
  </conditionalFormatting>
  <conditionalFormatting sqref="M41">
    <cfRule type="cellIs" dxfId="34314" priority="4563" operator="equal">
      <formula>"OFF"</formula>
    </cfRule>
    <cfRule type="cellIs" dxfId="34313" priority="4564" operator="equal">
      <formula>"PTO"</formula>
    </cfRule>
  </conditionalFormatting>
  <conditionalFormatting sqref="M41">
    <cfRule type="cellIs" dxfId="34312" priority="4561" operator="equal">
      <formula>"OFF"</formula>
    </cfRule>
    <cfRule type="cellIs" dxfId="34311" priority="4562" operator="equal">
      <formula>"PTO"</formula>
    </cfRule>
  </conditionalFormatting>
  <conditionalFormatting sqref="M41">
    <cfRule type="cellIs" dxfId="34310" priority="4559" operator="equal">
      <formula>"OFF"</formula>
    </cfRule>
    <cfRule type="cellIs" dxfId="34309" priority="4560" operator="equal">
      <formula>"PTO"</formula>
    </cfRule>
  </conditionalFormatting>
  <conditionalFormatting sqref="M43">
    <cfRule type="cellIs" dxfId="34308" priority="4557" operator="equal">
      <formula>"OFF"</formula>
    </cfRule>
    <cfRule type="cellIs" dxfId="34307" priority="4558" operator="equal">
      <formula>"PTO"</formula>
    </cfRule>
  </conditionalFormatting>
  <conditionalFormatting sqref="M43">
    <cfRule type="cellIs" dxfId="34306" priority="4555" operator="equal">
      <formula>"OFF"</formula>
    </cfRule>
    <cfRule type="cellIs" dxfId="34305" priority="4556" operator="equal">
      <formula>"PTO"</formula>
    </cfRule>
  </conditionalFormatting>
  <conditionalFormatting sqref="M43">
    <cfRule type="cellIs" dxfId="34304" priority="4553" operator="equal">
      <formula>"OFF"</formula>
    </cfRule>
    <cfRule type="cellIs" dxfId="34303" priority="4554" operator="equal">
      <formula>"PTO"</formula>
    </cfRule>
  </conditionalFormatting>
  <conditionalFormatting sqref="M46">
    <cfRule type="cellIs" dxfId="34302" priority="4551" operator="equal">
      <formula>"OFF"</formula>
    </cfRule>
    <cfRule type="cellIs" dxfId="34301" priority="4552" operator="equal">
      <formula>"PTO"</formula>
    </cfRule>
  </conditionalFormatting>
  <conditionalFormatting sqref="M46">
    <cfRule type="cellIs" dxfId="34300" priority="4549" operator="equal">
      <formula>"OFF"</formula>
    </cfRule>
    <cfRule type="cellIs" dxfId="34299" priority="4550" operator="equal">
      <formula>"PTO"</formula>
    </cfRule>
  </conditionalFormatting>
  <conditionalFormatting sqref="M45">
    <cfRule type="cellIs" dxfId="34298" priority="4547" operator="equal">
      <formula>"OFF"</formula>
    </cfRule>
    <cfRule type="cellIs" dxfId="34297" priority="4548" operator="equal">
      <formula>"PTO"</formula>
    </cfRule>
  </conditionalFormatting>
  <conditionalFormatting sqref="M45">
    <cfRule type="cellIs" dxfId="34296" priority="4545" operator="equal">
      <formula>"OFF"</formula>
    </cfRule>
    <cfRule type="cellIs" dxfId="34295" priority="4546" operator="equal">
      <formula>"PTO"</formula>
    </cfRule>
  </conditionalFormatting>
  <conditionalFormatting sqref="M45">
    <cfRule type="cellIs" dxfId="34294" priority="4543" operator="equal">
      <formula>"OFF"</formula>
    </cfRule>
    <cfRule type="cellIs" dxfId="34293" priority="4544" operator="equal">
      <formula>"PTO"</formula>
    </cfRule>
  </conditionalFormatting>
  <conditionalFormatting sqref="M45">
    <cfRule type="cellIs" dxfId="34292" priority="4541" operator="equal">
      <formula>"OFF"</formula>
    </cfRule>
    <cfRule type="cellIs" dxfId="34291" priority="4542" operator="equal">
      <formula>"PTO"</formula>
    </cfRule>
  </conditionalFormatting>
  <conditionalFormatting sqref="M45">
    <cfRule type="cellIs" dxfId="34290" priority="4539" operator="equal">
      <formula>"OFF"</formula>
    </cfRule>
    <cfRule type="cellIs" dxfId="34289" priority="4540" operator="equal">
      <formula>"PTO"</formula>
    </cfRule>
  </conditionalFormatting>
  <conditionalFormatting sqref="M45">
    <cfRule type="cellIs" dxfId="34288" priority="4537" operator="equal">
      <formula>"OFF"</formula>
    </cfRule>
    <cfRule type="cellIs" dxfId="34287" priority="4538" operator="equal">
      <formula>"PTO"</formula>
    </cfRule>
  </conditionalFormatting>
  <conditionalFormatting sqref="M45">
    <cfRule type="cellIs" dxfId="34286" priority="4535" operator="equal">
      <formula>"OFF"</formula>
    </cfRule>
    <cfRule type="cellIs" dxfId="34285" priority="4536" operator="equal">
      <formula>"PTO"</formula>
    </cfRule>
  </conditionalFormatting>
  <conditionalFormatting sqref="M45">
    <cfRule type="cellIs" dxfId="34284" priority="4533" operator="equal">
      <formula>"OFF"</formula>
    </cfRule>
    <cfRule type="cellIs" dxfId="34283" priority="4534" operator="equal">
      <formula>"PTO"</formula>
    </cfRule>
  </conditionalFormatting>
  <conditionalFormatting sqref="M45">
    <cfRule type="cellIs" dxfId="34282" priority="4531" operator="equal">
      <formula>"OFF"</formula>
    </cfRule>
    <cfRule type="cellIs" dxfId="34281" priority="4532" operator="equal">
      <formula>"PTO"</formula>
    </cfRule>
  </conditionalFormatting>
  <conditionalFormatting sqref="M45">
    <cfRule type="cellIs" dxfId="34280" priority="4529" operator="equal">
      <formula>"OFF"</formula>
    </cfRule>
    <cfRule type="cellIs" dxfId="34279" priority="4530" operator="equal">
      <formula>"PTO"</formula>
    </cfRule>
  </conditionalFormatting>
  <conditionalFormatting sqref="M45">
    <cfRule type="cellIs" dxfId="34278" priority="4527" operator="equal">
      <formula>"OFF"</formula>
    </cfRule>
    <cfRule type="cellIs" dxfId="34277" priority="4528" operator="equal">
      <formula>"PTO"</formula>
    </cfRule>
  </conditionalFormatting>
  <conditionalFormatting sqref="M45">
    <cfRule type="cellIs" dxfId="34276" priority="4525" operator="equal">
      <formula>"OFF"</formula>
    </cfRule>
    <cfRule type="cellIs" dxfId="34275" priority="4526" operator="equal">
      <formula>"PTO"</formula>
    </cfRule>
  </conditionalFormatting>
  <conditionalFormatting sqref="M45">
    <cfRule type="cellIs" dxfId="34274" priority="4523" operator="equal">
      <formula>"OFF"</formula>
    </cfRule>
    <cfRule type="cellIs" dxfId="34273" priority="4524" operator="equal">
      <formula>"PTO"</formula>
    </cfRule>
  </conditionalFormatting>
  <conditionalFormatting sqref="M45">
    <cfRule type="cellIs" dxfId="34272" priority="4521" operator="equal">
      <formula>"OFF"</formula>
    </cfRule>
    <cfRule type="cellIs" dxfId="34271" priority="4522" operator="equal">
      <formula>"PTO"</formula>
    </cfRule>
  </conditionalFormatting>
  <conditionalFormatting sqref="M45">
    <cfRule type="cellIs" dxfId="34270" priority="4519" operator="equal">
      <formula>"OFF"</formula>
    </cfRule>
    <cfRule type="cellIs" dxfId="34269" priority="4520" operator="equal">
      <formula>"PTO"</formula>
    </cfRule>
  </conditionalFormatting>
  <conditionalFormatting sqref="M45">
    <cfRule type="cellIs" dxfId="34268" priority="4517" operator="equal">
      <formula>"OFF"</formula>
    </cfRule>
    <cfRule type="cellIs" dxfId="34267" priority="4518" operator="equal">
      <formula>"PTO"</formula>
    </cfRule>
  </conditionalFormatting>
  <conditionalFormatting sqref="M45">
    <cfRule type="cellIs" dxfId="34266" priority="4515" operator="equal">
      <formula>"OFF"</formula>
    </cfRule>
    <cfRule type="cellIs" dxfId="34265" priority="4516" operator="equal">
      <formula>"PTO"</formula>
    </cfRule>
  </conditionalFormatting>
  <conditionalFormatting sqref="M45">
    <cfRule type="cellIs" dxfId="34264" priority="4513" operator="equal">
      <formula>"OFF"</formula>
    </cfRule>
    <cfRule type="cellIs" dxfId="34263" priority="4514" operator="equal">
      <formula>"PTO"</formula>
    </cfRule>
  </conditionalFormatting>
  <conditionalFormatting sqref="M45">
    <cfRule type="cellIs" dxfId="34262" priority="4511" operator="equal">
      <formula>"OFF"</formula>
    </cfRule>
    <cfRule type="cellIs" dxfId="34261" priority="4512" operator="equal">
      <formula>"PTO"</formula>
    </cfRule>
  </conditionalFormatting>
  <conditionalFormatting sqref="M45">
    <cfRule type="cellIs" dxfId="34260" priority="4509" operator="equal">
      <formula>"OFF"</formula>
    </cfRule>
    <cfRule type="cellIs" dxfId="34259" priority="4510" operator="equal">
      <formula>"PTO"</formula>
    </cfRule>
  </conditionalFormatting>
  <conditionalFormatting sqref="M45">
    <cfRule type="cellIs" dxfId="34258" priority="4507" operator="equal">
      <formula>"OFF"</formula>
    </cfRule>
    <cfRule type="cellIs" dxfId="34257" priority="4508" operator="equal">
      <formula>"PTO"</formula>
    </cfRule>
  </conditionalFormatting>
  <conditionalFormatting sqref="M45">
    <cfRule type="cellIs" dxfId="34256" priority="4505" operator="equal">
      <formula>"OFF"</formula>
    </cfRule>
    <cfRule type="cellIs" dxfId="34255" priority="4506" operator="equal">
      <formula>"PTO"</formula>
    </cfRule>
  </conditionalFormatting>
  <conditionalFormatting sqref="M45">
    <cfRule type="cellIs" dxfId="34254" priority="4503" operator="equal">
      <formula>"OFF"</formula>
    </cfRule>
    <cfRule type="cellIs" dxfId="34253" priority="4504" operator="equal">
      <formula>"PTO"</formula>
    </cfRule>
  </conditionalFormatting>
  <conditionalFormatting sqref="M45">
    <cfRule type="cellIs" dxfId="34252" priority="4501" operator="equal">
      <formula>"OFF"</formula>
    </cfRule>
    <cfRule type="cellIs" dxfId="34251" priority="4502" operator="equal">
      <formula>"PTO"</formula>
    </cfRule>
  </conditionalFormatting>
  <conditionalFormatting sqref="M45">
    <cfRule type="cellIs" dxfId="34250" priority="4499" operator="equal">
      <formula>"OFF"</formula>
    </cfRule>
    <cfRule type="cellIs" dxfId="34249" priority="4500" operator="equal">
      <formula>"PTO"</formula>
    </cfRule>
  </conditionalFormatting>
  <conditionalFormatting sqref="M45">
    <cfRule type="cellIs" dxfId="34248" priority="4497" operator="equal">
      <formula>"OFF"</formula>
    </cfRule>
    <cfRule type="cellIs" dxfId="34247" priority="4498" operator="equal">
      <formula>"PTO"</formula>
    </cfRule>
  </conditionalFormatting>
  <conditionalFormatting sqref="M46">
    <cfRule type="cellIs" dxfId="34246" priority="4495" operator="equal">
      <formula>"OFF"</formula>
    </cfRule>
    <cfRule type="cellIs" dxfId="34245" priority="4496" operator="equal">
      <formula>"PTO"</formula>
    </cfRule>
  </conditionalFormatting>
  <conditionalFormatting sqref="M46">
    <cfRule type="cellIs" dxfId="34244" priority="4493" operator="equal">
      <formula>"OFF"</formula>
    </cfRule>
    <cfRule type="cellIs" dxfId="34243" priority="4494" operator="equal">
      <formula>"PTO"</formula>
    </cfRule>
  </conditionalFormatting>
  <conditionalFormatting sqref="M46">
    <cfRule type="cellIs" dxfId="34242" priority="4491" operator="equal">
      <formula>"OFF"</formula>
    </cfRule>
    <cfRule type="cellIs" dxfId="34241" priority="4492" operator="equal">
      <formula>"PTO"</formula>
    </cfRule>
  </conditionalFormatting>
  <conditionalFormatting sqref="M46">
    <cfRule type="cellIs" dxfId="34240" priority="4489" operator="equal">
      <formula>"OFF"</formula>
    </cfRule>
    <cfRule type="cellIs" dxfId="34239" priority="4490" operator="equal">
      <formula>"PTO"</formula>
    </cfRule>
  </conditionalFormatting>
  <conditionalFormatting sqref="M46">
    <cfRule type="cellIs" dxfId="34238" priority="4487" operator="equal">
      <formula>"OFF"</formula>
    </cfRule>
    <cfRule type="cellIs" dxfId="34237" priority="4488" operator="equal">
      <formula>"PTO"</formula>
    </cfRule>
  </conditionalFormatting>
  <conditionalFormatting sqref="M46">
    <cfRule type="cellIs" dxfId="34236" priority="4485" operator="equal">
      <formula>"OFF"</formula>
    </cfRule>
    <cfRule type="cellIs" dxfId="34235" priority="4486" operator="equal">
      <formula>"PTO"</formula>
    </cfRule>
  </conditionalFormatting>
  <conditionalFormatting sqref="M46">
    <cfRule type="cellIs" dxfId="34234" priority="4483" operator="equal">
      <formula>"OFF"</formula>
    </cfRule>
    <cfRule type="cellIs" dxfId="34233" priority="4484" operator="equal">
      <formula>"PTO"</formula>
    </cfRule>
  </conditionalFormatting>
  <conditionalFormatting sqref="M46">
    <cfRule type="cellIs" dxfId="34232" priority="4481" operator="equal">
      <formula>"OFF"</formula>
    </cfRule>
    <cfRule type="cellIs" dxfId="34231" priority="4482" operator="equal">
      <formula>"PTO"</formula>
    </cfRule>
  </conditionalFormatting>
  <conditionalFormatting sqref="M46">
    <cfRule type="cellIs" dxfId="34230" priority="4479" operator="equal">
      <formula>"OFF"</formula>
    </cfRule>
    <cfRule type="cellIs" dxfId="34229" priority="4480" operator="equal">
      <formula>"PTO"</formula>
    </cfRule>
  </conditionalFormatting>
  <conditionalFormatting sqref="M46">
    <cfRule type="cellIs" dxfId="34228" priority="4477" operator="equal">
      <formula>"OFF"</formula>
    </cfRule>
    <cfRule type="cellIs" dxfId="34227" priority="4478" operator="equal">
      <formula>"PTO"</formula>
    </cfRule>
  </conditionalFormatting>
  <conditionalFormatting sqref="M46">
    <cfRule type="cellIs" dxfId="34226" priority="4475" operator="equal">
      <formula>"OFF"</formula>
    </cfRule>
    <cfRule type="cellIs" dxfId="34225" priority="4476" operator="equal">
      <formula>"PTO"</formula>
    </cfRule>
  </conditionalFormatting>
  <conditionalFormatting sqref="M46">
    <cfRule type="cellIs" dxfId="34224" priority="4473" operator="equal">
      <formula>"OFF"</formula>
    </cfRule>
    <cfRule type="cellIs" dxfId="34223" priority="4474" operator="equal">
      <formula>"PTO"</formula>
    </cfRule>
  </conditionalFormatting>
  <conditionalFormatting sqref="M46">
    <cfRule type="cellIs" dxfId="34222" priority="4471" operator="equal">
      <formula>"OFF"</formula>
    </cfRule>
    <cfRule type="cellIs" dxfId="34221" priority="4472" operator="equal">
      <formula>"PTO"</formula>
    </cfRule>
  </conditionalFormatting>
  <conditionalFormatting sqref="M46">
    <cfRule type="cellIs" dxfId="34220" priority="4469" operator="equal">
      <formula>"OFF"</formula>
    </cfRule>
    <cfRule type="cellIs" dxfId="34219" priority="4470" operator="equal">
      <formula>"PTO"</formula>
    </cfRule>
  </conditionalFormatting>
  <conditionalFormatting sqref="M46">
    <cfRule type="cellIs" dxfId="34218" priority="4467" operator="equal">
      <formula>"OFF"</formula>
    </cfRule>
    <cfRule type="cellIs" dxfId="34217" priority="4468" operator="equal">
      <formula>"PTO"</formula>
    </cfRule>
  </conditionalFormatting>
  <conditionalFormatting sqref="M46">
    <cfRule type="cellIs" dxfId="34216" priority="4465" operator="equal">
      <formula>"OFF"</formula>
    </cfRule>
    <cfRule type="cellIs" dxfId="34215" priority="4466" operator="equal">
      <formula>"PTO"</formula>
    </cfRule>
  </conditionalFormatting>
  <conditionalFormatting sqref="M46">
    <cfRule type="cellIs" dxfId="34214" priority="4463" operator="equal">
      <formula>"OFF"</formula>
    </cfRule>
    <cfRule type="cellIs" dxfId="34213" priority="4464" operator="equal">
      <formula>"PTO"</formula>
    </cfRule>
  </conditionalFormatting>
  <conditionalFormatting sqref="M46">
    <cfRule type="cellIs" dxfId="34212" priority="4461" operator="equal">
      <formula>"OFF"</formula>
    </cfRule>
    <cfRule type="cellIs" dxfId="34211" priority="4462" operator="equal">
      <formula>"PTO"</formula>
    </cfRule>
  </conditionalFormatting>
  <conditionalFormatting sqref="M46">
    <cfRule type="cellIs" dxfId="34210" priority="4459" operator="equal">
      <formula>"OFF"</formula>
    </cfRule>
    <cfRule type="cellIs" dxfId="34209" priority="4460" operator="equal">
      <formula>"PTO"</formula>
    </cfRule>
  </conditionalFormatting>
  <conditionalFormatting sqref="M46">
    <cfRule type="cellIs" dxfId="34208" priority="4457" operator="equal">
      <formula>"OFF"</formula>
    </cfRule>
    <cfRule type="cellIs" dxfId="34207" priority="4458" operator="equal">
      <formula>"PTO"</formula>
    </cfRule>
  </conditionalFormatting>
  <conditionalFormatting sqref="M46">
    <cfRule type="cellIs" dxfId="34206" priority="4455" operator="equal">
      <formula>"OFF"</formula>
    </cfRule>
    <cfRule type="cellIs" dxfId="34205" priority="4456" operator="equal">
      <formula>"PTO"</formula>
    </cfRule>
  </conditionalFormatting>
  <conditionalFormatting sqref="M46">
    <cfRule type="cellIs" dxfId="34204" priority="4453" operator="equal">
      <formula>"OFF"</formula>
    </cfRule>
    <cfRule type="cellIs" dxfId="34203" priority="4454" operator="equal">
      <formula>"PTO"</formula>
    </cfRule>
  </conditionalFormatting>
  <conditionalFormatting sqref="M46">
    <cfRule type="cellIs" dxfId="34202" priority="4451" operator="equal">
      <formula>"OFF"</formula>
    </cfRule>
    <cfRule type="cellIs" dxfId="34201" priority="4452" operator="equal">
      <formula>"PTO"</formula>
    </cfRule>
  </conditionalFormatting>
  <conditionalFormatting sqref="M46">
    <cfRule type="cellIs" dxfId="34200" priority="4449" operator="equal">
      <formula>"OFF"</formula>
    </cfRule>
    <cfRule type="cellIs" dxfId="34199" priority="4450" operator="equal">
      <formula>"PTO"</formula>
    </cfRule>
  </conditionalFormatting>
  <conditionalFormatting sqref="M46">
    <cfRule type="cellIs" dxfId="34198" priority="4447" operator="equal">
      <formula>"OFF"</formula>
    </cfRule>
    <cfRule type="cellIs" dxfId="34197" priority="4448" operator="equal">
      <formula>"PTO"</formula>
    </cfRule>
  </conditionalFormatting>
  <conditionalFormatting sqref="M46">
    <cfRule type="cellIs" dxfId="34196" priority="4445" operator="equal">
      <formula>"OFF"</formula>
    </cfRule>
    <cfRule type="cellIs" dxfId="34195" priority="4446" operator="equal">
      <formula>"PTO"</formula>
    </cfRule>
  </conditionalFormatting>
  <conditionalFormatting sqref="M45">
    <cfRule type="cellIs" dxfId="34194" priority="4443" operator="equal">
      <formula>"OFF"</formula>
    </cfRule>
    <cfRule type="cellIs" dxfId="34193" priority="4444" operator="equal">
      <formula>"PTO"</formula>
    </cfRule>
  </conditionalFormatting>
  <conditionalFormatting sqref="M45">
    <cfRule type="cellIs" dxfId="34192" priority="4441" operator="equal">
      <formula>"OFF"</formula>
    </cfRule>
    <cfRule type="cellIs" dxfId="34191" priority="4442" operator="equal">
      <formula>"PTO"</formula>
    </cfRule>
  </conditionalFormatting>
  <conditionalFormatting sqref="M46">
    <cfRule type="cellIs" dxfId="34190" priority="4439" operator="equal">
      <formula>"OFF"</formula>
    </cfRule>
    <cfRule type="cellIs" dxfId="34189" priority="4440" operator="equal">
      <formula>"PTO"</formula>
    </cfRule>
  </conditionalFormatting>
  <conditionalFormatting sqref="M45">
    <cfRule type="cellIs" dxfId="34188" priority="4437" operator="equal">
      <formula>"OFF"</formula>
    </cfRule>
    <cfRule type="cellIs" dxfId="34187" priority="4438" operator="equal">
      <formula>"PTO"</formula>
    </cfRule>
  </conditionalFormatting>
  <conditionalFormatting sqref="M47">
    <cfRule type="cellIs" dxfId="34186" priority="4435" operator="equal">
      <formula>"OFF"</formula>
    </cfRule>
    <cfRule type="cellIs" dxfId="34185" priority="4436" operator="equal">
      <formula>"PTO"</formula>
    </cfRule>
  </conditionalFormatting>
  <conditionalFormatting sqref="M47">
    <cfRule type="cellIs" dxfId="34184" priority="4433" operator="equal">
      <formula>"OFF"</formula>
    </cfRule>
    <cfRule type="cellIs" dxfId="34183" priority="4434" operator="equal">
      <formula>"PTO"</formula>
    </cfRule>
  </conditionalFormatting>
  <conditionalFormatting sqref="M47">
    <cfRule type="cellIs" dxfId="34182" priority="4431" operator="equal">
      <formula>"OFF"</formula>
    </cfRule>
    <cfRule type="cellIs" dxfId="34181" priority="4432" operator="equal">
      <formula>"PTO"</formula>
    </cfRule>
  </conditionalFormatting>
  <conditionalFormatting sqref="M47">
    <cfRule type="cellIs" dxfId="34180" priority="4429" operator="equal">
      <formula>"OFF"</formula>
    </cfRule>
    <cfRule type="cellIs" dxfId="34179" priority="4430" operator="equal">
      <formula>"PTO"</formula>
    </cfRule>
  </conditionalFormatting>
  <conditionalFormatting sqref="M47">
    <cfRule type="cellIs" dxfId="34178" priority="4427" operator="equal">
      <formula>"OFF"</formula>
    </cfRule>
    <cfRule type="cellIs" dxfId="34177" priority="4428" operator="equal">
      <formula>"PTO"</formula>
    </cfRule>
  </conditionalFormatting>
  <conditionalFormatting sqref="M47">
    <cfRule type="cellIs" dxfId="34176" priority="4425" operator="equal">
      <formula>"OFF"</formula>
    </cfRule>
    <cfRule type="cellIs" dxfId="34175" priority="4426" operator="equal">
      <formula>"PTO"</formula>
    </cfRule>
  </conditionalFormatting>
  <conditionalFormatting sqref="M47">
    <cfRule type="cellIs" dxfId="34174" priority="4423" operator="equal">
      <formula>"OFF"</formula>
    </cfRule>
    <cfRule type="cellIs" dxfId="34173" priority="4424" operator="equal">
      <formula>"PTO"</formula>
    </cfRule>
  </conditionalFormatting>
  <conditionalFormatting sqref="M47">
    <cfRule type="cellIs" dxfId="34172" priority="4421" operator="equal">
      <formula>"OFF"</formula>
    </cfRule>
    <cfRule type="cellIs" dxfId="34171" priority="4422" operator="equal">
      <formula>"PTO"</formula>
    </cfRule>
  </conditionalFormatting>
  <conditionalFormatting sqref="M47">
    <cfRule type="cellIs" dxfId="34170" priority="4419" operator="equal">
      <formula>"OFF"</formula>
    </cfRule>
    <cfRule type="cellIs" dxfId="34169" priority="4420" operator="equal">
      <formula>"PTO"</formula>
    </cfRule>
  </conditionalFormatting>
  <conditionalFormatting sqref="M47">
    <cfRule type="cellIs" dxfId="34168" priority="4417" operator="equal">
      <formula>"OFF"</formula>
    </cfRule>
    <cfRule type="cellIs" dxfId="34167" priority="4418" operator="equal">
      <formula>"PTO"</formula>
    </cfRule>
  </conditionalFormatting>
  <conditionalFormatting sqref="M47">
    <cfRule type="cellIs" dxfId="34166" priority="4415" operator="equal">
      <formula>"OFF"</formula>
    </cfRule>
    <cfRule type="cellIs" dxfId="34165" priority="4416" operator="equal">
      <formula>"PTO"</formula>
    </cfRule>
  </conditionalFormatting>
  <conditionalFormatting sqref="M47">
    <cfRule type="cellIs" dxfId="34164" priority="4413" operator="equal">
      <formula>"OFF"</formula>
    </cfRule>
    <cfRule type="cellIs" dxfId="34163" priority="4414" operator="equal">
      <formula>"PTO"</formula>
    </cfRule>
  </conditionalFormatting>
  <conditionalFormatting sqref="M47">
    <cfRule type="cellIs" dxfId="34162" priority="4411" operator="equal">
      <formula>"OFF"</formula>
    </cfRule>
    <cfRule type="cellIs" dxfId="34161" priority="4412" operator="equal">
      <formula>"PTO"</formula>
    </cfRule>
  </conditionalFormatting>
  <conditionalFormatting sqref="M47">
    <cfRule type="cellIs" dxfId="34160" priority="4409" operator="equal">
      <formula>"OFF"</formula>
    </cfRule>
    <cfRule type="cellIs" dxfId="34159" priority="4410" operator="equal">
      <formula>"PTO"</formula>
    </cfRule>
  </conditionalFormatting>
  <conditionalFormatting sqref="M47">
    <cfRule type="cellIs" dxfId="34158" priority="4407" operator="equal">
      <formula>"OFF"</formula>
    </cfRule>
    <cfRule type="cellIs" dxfId="34157" priority="4408" operator="equal">
      <formula>"PTO"</formula>
    </cfRule>
  </conditionalFormatting>
  <conditionalFormatting sqref="M47">
    <cfRule type="cellIs" dxfId="34156" priority="4405" operator="equal">
      <formula>"OFF"</formula>
    </cfRule>
    <cfRule type="cellIs" dxfId="34155" priority="4406" operator="equal">
      <formula>"PTO"</formula>
    </cfRule>
  </conditionalFormatting>
  <conditionalFormatting sqref="M47">
    <cfRule type="cellIs" dxfId="34154" priority="4403" operator="equal">
      <formula>"OFF"</formula>
    </cfRule>
    <cfRule type="cellIs" dxfId="34153" priority="4404" operator="equal">
      <formula>"PTO"</formula>
    </cfRule>
  </conditionalFormatting>
  <conditionalFormatting sqref="M47">
    <cfRule type="cellIs" dxfId="34152" priority="4401" operator="equal">
      <formula>"OFF"</formula>
    </cfRule>
    <cfRule type="cellIs" dxfId="34151" priority="4402" operator="equal">
      <formula>"PTO"</formula>
    </cfRule>
  </conditionalFormatting>
  <conditionalFormatting sqref="M47">
    <cfRule type="cellIs" dxfId="34150" priority="4399" operator="equal">
      <formula>"OFF"</formula>
    </cfRule>
    <cfRule type="cellIs" dxfId="34149" priority="4400" operator="equal">
      <formula>"PTO"</formula>
    </cfRule>
  </conditionalFormatting>
  <conditionalFormatting sqref="M47">
    <cfRule type="cellIs" dxfId="34148" priority="4397" operator="equal">
      <formula>"OFF"</formula>
    </cfRule>
    <cfRule type="cellIs" dxfId="34147" priority="4398" operator="equal">
      <formula>"PTO"</formula>
    </cfRule>
  </conditionalFormatting>
  <conditionalFormatting sqref="M47">
    <cfRule type="cellIs" dxfId="34146" priority="4395" operator="equal">
      <formula>"OFF"</formula>
    </cfRule>
    <cfRule type="cellIs" dxfId="34145" priority="4396" operator="equal">
      <formula>"PTO"</formula>
    </cfRule>
  </conditionalFormatting>
  <conditionalFormatting sqref="M47">
    <cfRule type="cellIs" dxfId="34144" priority="4393" operator="equal">
      <formula>"OFF"</formula>
    </cfRule>
    <cfRule type="cellIs" dxfId="34143" priority="4394" operator="equal">
      <formula>"PTO"</formula>
    </cfRule>
  </conditionalFormatting>
  <conditionalFormatting sqref="M47">
    <cfRule type="cellIs" dxfId="34142" priority="4391" operator="equal">
      <formula>"OFF"</formula>
    </cfRule>
    <cfRule type="cellIs" dxfId="34141" priority="4392" operator="equal">
      <formula>"PTO"</formula>
    </cfRule>
  </conditionalFormatting>
  <conditionalFormatting sqref="M47">
    <cfRule type="cellIs" dxfId="34140" priority="4389" operator="equal">
      <formula>"OFF"</formula>
    </cfRule>
    <cfRule type="cellIs" dxfId="34139" priority="4390" operator="equal">
      <formula>"PTO"</formula>
    </cfRule>
  </conditionalFormatting>
  <conditionalFormatting sqref="M47">
    <cfRule type="cellIs" dxfId="34138" priority="4387" operator="equal">
      <formula>"OFF"</formula>
    </cfRule>
    <cfRule type="cellIs" dxfId="34137" priority="4388" operator="equal">
      <formula>"PTO"</formula>
    </cfRule>
  </conditionalFormatting>
  <conditionalFormatting sqref="M48">
    <cfRule type="cellIs" dxfId="34136" priority="4385" operator="equal">
      <formula>"OFF"</formula>
    </cfRule>
    <cfRule type="cellIs" dxfId="34135" priority="4386" operator="equal">
      <formula>"PTO"</formula>
    </cfRule>
  </conditionalFormatting>
  <conditionalFormatting sqref="M48">
    <cfRule type="cellIs" dxfId="34134" priority="4383" operator="equal">
      <formula>"OFF"</formula>
    </cfRule>
    <cfRule type="cellIs" dxfId="34133" priority="4384" operator="equal">
      <formula>"PTO"</formula>
    </cfRule>
  </conditionalFormatting>
  <conditionalFormatting sqref="M48">
    <cfRule type="cellIs" dxfId="34132" priority="4381" operator="equal">
      <formula>"OFF"</formula>
    </cfRule>
    <cfRule type="cellIs" dxfId="34131" priority="4382" operator="equal">
      <formula>"PTO"</formula>
    </cfRule>
  </conditionalFormatting>
  <conditionalFormatting sqref="M48">
    <cfRule type="cellIs" dxfId="34130" priority="4379" operator="equal">
      <formula>"OFF"</formula>
    </cfRule>
    <cfRule type="cellIs" dxfId="34129" priority="4380" operator="equal">
      <formula>"PTO"</formula>
    </cfRule>
  </conditionalFormatting>
  <conditionalFormatting sqref="M48">
    <cfRule type="cellIs" dxfId="34128" priority="4377" operator="equal">
      <formula>"OFF"</formula>
    </cfRule>
    <cfRule type="cellIs" dxfId="34127" priority="4378" operator="equal">
      <formula>"PTO"</formula>
    </cfRule>
  </conditionalFormatting>
  <conditionalFormatting sqref="M48">
    <cfRule type="cellIs" dxfId="34126" priority="4375" operator="equal">
      <formula>"OFF"</formula>
    </cfRule>
    <cfRule type="cellIs" dxfId="34125" priority="4376" operator="equal">
      <formula>"PTO"</formula>
    </cfRule>
  </conditionalFormatting>
  <conditionalFormatting sqref="M48">
    <cfRule type="cellIs" dxfId="34124" priority="4373" operator="equal">
      <formula>"OFF"</formula>
    </cfRule>
    <cfRule type="cellIs" dxfId="34123" priority="4374" operator="equal">
      <formula>"PTO"</formula>
    </cfRule>
  </conditionalFormatting>
  <conditionalFormatting sqref="M48">
    <cfRule type="cellIs" dxfId="34122" priority="4371" operator="equal">
      <formula>"OFF"</formula>
    </cfRule>
    <cfRule type="cellIs" dxfId="34121" priority="4372" operator="equal">
      <formula>"PTO"</formula>
    </cfRule>
  </conditionalFormatting>
  <conditionalFormatting sqref="M48">
    <cfRule type="cellIs" dxfId="34120" priority="4369" operator="equal">
      <formula>"OFF"</formula>
    </cfRule>
    <cfRule type="cellIs" dxfId="34119" priority="4370" operator="equal">
      <formula>"PTO"</formula>
    </cfRule>
  </conditionalFormatting>
  <conditionalFormatting sqref="M48">
    <cfRule type="cellIs" dxfId="34118" priority="4367" operator="equal">
      <formula>"OFF"</formula>
    </cfRule>
    <cfRule type="cellIs" dxfId="34117" priority="4368" operator="equal">
      <formula>"PTO"</formula>
    </cfRule>
  </conditionalFormatting>
  <conditionalFormatting sqref="M47">
    <cfRule type="cellIs" dxfId="34116" priority="4365" operator="equal">
      <formula>"OFF"</formula>
    </cfRule>
    <cfRule type="cellIs" dxfId="34115" priority="4366" operator="equal">
      <formula>"PTO"</formula>
    </cfRule>
  </conditionalFormatting>
  <conditionalFormatting sqref="M47">
    <cfRule type="cellIs" dxfId="34114" priority="4363" operator="equal">
      <formula>"OFF"</formula>
    </cfRule>
    <cfRule type="cellIs" dxfId="34113" priority="4364" operator="equal">
      <formula>"PTO"</formula>
    </cfRule>
  </conditionalFormatting>
  <conditionalFormatting sqref="M47">
    <cfRule type="cellIs" dxfId="34112" priority="4361" operator="equal">
      <formula>"OFF"</formula>
    </cfRule>
    <cfRule type="cellIs" dxfId="34111" priority="4362" operator="equal">
      <formula>"PTO"</formula>
    </cfRule>
  </conditionalFormatting>
  <conditionalFormatting sqref="M47">
    <cfRule type="cellIs" dxfId="34110" priority="4359" operator="equal">
      <formula>"OFF"</formula>
    </cfRule>
    <cfRule type="cellIs" dxfId="34109" priority="4360" operator="equal">
      <formula>"PTO"</formula>
    </cfRule>
  </conditionalFormatting>
  <conditionalFormatting sqref="M47">
    <cfRule type="cellIs" dxfId="34108" priority="4357" operator="equal">
      <formula>"OFF"</formula>
    </cfRule>
    <cfRule type="cellIs" dxfId="34107" priority="4358" operator="equal">
      <formula>"PTO"</formula>
    </cfRule>
  </conditionalFormatting>
  <conditionalFormatting sqref="M47">
    <cfRule type="cellIs" dxfId="34106" priority="4355" operator="equal">
      <formula>"OFF"</formula>
    </cfRule>
    <cfRule type="cellIs" dxfId="34105" priority="4356" operator="equal">
      <formula>"PTO"</formula>
    </cfRule>
  </conditionalFormatting>
  <conditionalFormatting sqref="M47">
    <cfRule type="cellIs" dxfId="34104" priority="4353" operator="equal">
      <formula>"OFF"</formula>
    </cfRule>
    <cfRule type="cellIs" dxfId="34103" priority="4354" operator="equal">
      <formula>"PTO"</formula>
    </cfRule>
  </conditionalFormatting>
  <conditionalFormatting sqref="M47">
    <cfRule type="cellIs" dxfId="34102" priority="4351" operator="equal">
      <formula>"OFF"</formula>
    </cfRule>
    <cfRule type="cellIs" dxfId="34101" priority="4352" operator="equal">
      <formula>"PTO"</formula>
    </cfRule>
  </conditionalFormatting>
  <conditionalFormatting sqref="M47">
    <cfRule type="cellIs" dxfId="34100" priority="4349" operator="equal">
      <formula>"OFF"</formula>
    </cfRule>
    <cfRule type="cellIs" dxfId="34099" priority="4350" operator="equal">
      <formula>"PTO"</formula>
    </cfRule>
  </conditionalFormatting>
  <conditionalFormatting sqref="M49">
    <cfRule type="cellIs" dxfId="34098" priority="4347" operator="equal">
      <formula>"OFF"</formula>
    </cfRule>
    <cfRule type="cellIs" dxfId="34097" priority="4348" operator="equal">
      <formula>"PTO"</formula>
    </cfRule>
  </conditionalFormatting>
  <conditionalFormatting sqref="L45:L50">
    <cfRule type="cellIs" dxfId="34096" priority="4345" operator="equal">
      <formula>"OFF"</formula>
    </cfRule>
    <cfRule type="cellIs" dxfId="34095" priority="4346" operator="equal">
      <formula>"PTO"</formula>
    </cfRule>
  </conditionalFormatting>
  <conditionalFormatting sqref="L48">
    <cfRule type="cellIs" dxfId="34094" priority="4343" operator="equal">
      <formula>"OFF"</formula>
    </cfRule>
    <cfRule type="cellIs" dxfId="34093" priority="4344" operator="equal">
      <formula>"PTO"</formula>
    </cfRule>
  </conditionalFormatting>
  <conditionalFormatting sqref="L48">
    <cfRule type="cellIs" dxfId="34092" priority="4341" operator="equal">
      <formula>"OFF"</formula>
    </cfRule>
    <cfRule type="cellIs" dxfId="34091" priority="4342" operator="equal">
      <formula>"PTO"</formula>
    </cfRule>
  </conditionalFormatting>
  <conditionalFormatting sqref="L48">
    <cfRule type="cellIs" dxfId="34090" priority="4339" operator="equal">
      <formula>"OFF"</formula>
    </cfRule>
    <cfRule type="cellIs" dxfId="34089" priority="4340" operator="equal">
      <formula>"PTO"</formula>
    </cfRule>
  </conditionalFormatting>
  <conditionalFormatting sqref="L48">
    <cfRule type="cellIs" dxfId="34088" priority="4337" operator="equal">
      <formula>"OFF"</formula>
    </cfRule>
    <cfRule type="cellIs" dxfId="34087" priority="4338" operator="equal">
      <formula>"PTO"</formula>
    </cfRule>
  </conditionalFormatting>
  <conditionalFormatting sqref="L45">
    <cfRule type="cellIs" dxfId="34086" priority="4335" operator="equal">
      <formula>"OFF"</formula>
    </cfRule>
    <cfRule type="cellIs" dxfId="34085" priority="4336" operator="equal">
      <formula>"PTO"</formula>
    </cfRule>
  </conditionalFormatting>
  <conditionalFormatting sqref="L45">
    <cfRule type="cellIs" dxfId="34084" priority="4333" operator="equal">
      <formula>"OFF"</formula>
    </cfRule>
    <cfRule type="cellIs" dxfId="34083" priority="4334" operator="equal">
      <formula>"PTO"</formula>
    </cfRule>
  </conditionalFormatting>
  <conditionalFormatting sqref="L48">
    <cfRule type="cellIs" dxfId="34082" priority="4331" operator="equal">
      <formula>"OFF"</formula>
    </cfRule>
    <cfRule type="cellIs" dxfId="34081" priority="4332" operator="equal">
      <formula>"PTO"</formula>
    </cfRule>
  </conditionalFormatting>
  <conditionalFormatting sqref="L45">
    <cfRule type="cellIs" dxfId="34080" priority="4329" operator="equal">
      <formula>"OFF"</formula>
    </cfRule>
    <cfRule type="cellIs" dxfId="34079" priority="4330" operator="equal">
      <formula>"PTO"</formula>
    </cfRule>
  </conditionalFormatting>
  <conditionalFormatting sqref="L50">
    <cfRule type="cellIs" dxfId="34078" priority="4327" operator="equal">
      <formula>"OFF"</formula>
    </cfRule>
    <cfRule type="cellIs" dxfId="34077" priority="4328" operator="equal">
      <formula>"PTO"</formula>
    </cfRule>
  </conditionalFormatting>
  <conditionalFormatting sqref="L48">
    <cfRule type="cellIs" dxfId="34076" priority="4325" operator="equal">
      <formula>"OFF"</formula>
    </cfRule>
    <cfRule type="cellIs" dxfId="34075" priority="4326" operator="equal">
      <formula>"PTO"</formula>
    </cfRule>
  </conditionalFormatting>
  <conditionalFormatting sqref="L48">
    <cfRule type="cellIs" dxfId="34074" priority="4323" operator="equal">
      <formula>"OFF"</formula>
    </cfRule>
    <cfRule type="cellIs" dxfId="34073" priority="4324" operator="equal">
      <formula>"PTO"</formula>
    </cfRule>
  </conditionalFormatting>
  <conditionalFormatting sqref="L48">
    <cfRule type="cellIs" dxfId="34072" priority="4321" operator="equal">
      <formula>"OFF"</formula>
    </cfRule>
    <cfRule type="cellIs" dxfId="34071" priority="4322" operator="equal">
      <formula>"PTO"</formula>
    </cfRule>
  </conditionalFormatting>
  <conditionalFormatting sqref="L48">
    <cfRule type="cellIs" dxfId="34070" priority="4319" operator="equal">
      <formula>"OFF"</formula>
    </cfRule>
    <cfRule type="cellIs" dxfId="34069" priority="4320" operator="equal">
      <formula>"PTO"</formula>
    </cfRule>
  </conditionalFormatting>
  <conditionalFormatting sqref="L48">
    <cfRule type="cellIs" dxfId="34068" priority="4317" operator="equal">
      <formula>"OFF"</formula>
    </cfRule>
    <cfRule type="cellIs" dxfId="34067" priority="4318" operator="equal">
      <formula>"PTO"</formula>
    </cfRule>
  </conditionalFormatting>
  <conditionalFormatting sqref="L48">
    <cfRule type="cellIs" dxfId="34066" priority="4315" operator="equal">
      <formula>"OFF"</formula>
    </cfRule>
    <cfRule type="cellIs" dxfId="34065" priority="4316" operator="equal">
      <formula>"PTO"</formula>
    </cfRule>
  </conditionalFormatting>
  <conditionalFormatting sqref="L48">
    <cfRule type="cellIs" dxfId="34064" priority="4313" operator="equal">
      <formula>"OFF"</formula>
    </cfRule>
    <cfRule type="cellIs" dxfId="34063" priority="4314" operator="equal">
      <formula>"PTO"</formula>
    </cfRule>
  </conditionalFormatting>
  <conditionalFormatting sqref="L48">
    <cfRule type="cellIs" dxfId="34062" priority="4311" operator="equal">
      <formula>"OFF"</formula>
    </cfRule>
    <cfRule type="cellIs" dxfId="34061" priority="4312" operator="equal">
      <formula>"PTO"</formula>
    </cfRule>
  </conditionalFormatting>
  <conditionalFormatting sqref="L48">
    <cfRule type="cellIs" dxfId="34060" priority="4309" operator="equal">
      <formula>"OFF"</formula>
    </cfRule>
    <cfRule type="cellIs" dxfId="34059" priority="4310" operator="equal">
      <formula>"PTO"</formula>
    </cfRule>
  </conditionalFormatting>
  <conditionalFormatting sqref="L48">
    <cfRule type="cellIs" dxfId="34058" priority="4307" operator="equal">
      <formula>"OFF"</formula>
    </cfRule>
    <cfRule type="cellIs" dxfId="34057" priority="4308" operator="equal">
      <formula>"PTO"</formula>
    </cfRule>
  </conditionalFormatting>
  <conditionalFormatting sqref="L48">
    <cfRule type="cellIs" dxfId="34056" priority="4305" operator="equal">
      <formula>"OFF"</formula>
    </cfRule>
    <cfRule type="cellIs" dxfId="34055" priority="4306" operator="equal">
      <formula>"PTO"</formula>
    </cfRule>
  </conditionalFormatting>
  <conditionalFormatting sqref="L48">
    <cfRule type="cellIs" dxfId="34054" priority="4303" operator="equal">
      <formula>"OFF"</formula>
    </cfRule>
    <cfRule type="cellIs" dxfId="34053" priority="4304" operator="equal">
      <formula>"PTO"</formula>
    </cfRule>
  </conditionalFormatting>
  <conditionalFormatting sqref="L48">
    <cfRule type="cellIs" dxfId="34052" priority="4301" operator="equal">
      <formula>"OFF"</formula>
    </cfRule>
    <cfRule type="cellIs" dxfId="34051" priority="4302" operator="equal">
      <formula>"PTO"</formula>
    </cfRule>
  </conditionalFormatting>
  <conditionalFormatting sqref="L48">
    <cfRule type="cellIs" dxfId="34050" priority="4299" operator="equal">
      <formula>"OFF"</formula>
    </cfRule>
    <cfRule type="cellIs" dxfId="34049" priority="4300" operator="equal">
      <formula>"PTO"</formula>
    </cfRule>
  </conditionalFormatting>
  <conditionalFormatting sqref="L48">
    <cfRule type="cellIs" dxfId="34048" priority="4297" operator="equal">
      <formula>"OFF"</formula>
    </cfRule>
    <cfRule type="cellIs" dxfId="34047" priority="4298" operator="equal">
      <formula>"PTO"</formula>
    </cfRule>
  </conditionalFormatting>
  <conditionalFormatting sqref="L48">
    <cfRule type="cellIs" dxfId="34046" priority="4295" operator="equal">
      <formula>"OFF"</formula>
    </cfRule>
    <cfRule type="cellIs" dxfId="34045" priority="4296" operator="equal">
      <formula>"PTO"</formula>
    </cfRule>
  </conditionalFormatting>
  <conditionalFormatting sqref="L48">
    <cfRule type="cellIs" dxfId="34044" priority="4293" operator="equal">
      <formula>"OFF"</formula>
    </cfRule>
    <cfRule type="cellIs" dxfId="34043" priority="4294" operator="equal">
      <formula>"PTO"</formula>
    </cfRule>
  </conditionalFormatting>
  <conditionalFormatting sqref="L48">
    <cfRule type="cellIs" dxfId="34042" priority="4291" operator="equal">
      <formula>"OFF"</formula>
    </cfRule>
    <cfRule type="cellIs" dxfId="34041" priority="4292" operator="equal">
      <formula>"PTO"</formula>
    </cfRule>
  </conditionalFormatting>
  <conditionalFormatting sqref="L48">
    <cfRule type="cellIs" dxfId="34040" priority="4289" operator="equal">
      <formula>"OFF"</formula>
    </cfRule>
    <cfRule type="cellIs" dxfId="34039" priority="4290" operator="equal">
      <formula>"PTO"</formula>
    </cfRule>
  </conditionalFormatting>
  <conditionalFormatting sqref="L48">
    <cfRule type="cellIs" dxfId="34038" priority="4287" operator="equal">
      <formula>"OFF"</formula>
    </cfRule>
    <cfRule type="cellIs" dxfId="34037" priority="4288" operator="equal">
      <formula>"PTO"</formula>
    </cfRule>
  </conditionalFormatting>
  <conditionalFormatting sqref="L43">
    <cfRule type="cellIs" dxfId="34036" priority="4285" operator="equal">
      <formula>"OFF"</formula>
    </cfRule>
    <cfRule type="cellIs" dxfId="34035" priority="4286" operator="equal">
      <formula>"PTO"</formula>
    </cfRule>
  </conditionalFormatting>
  <conditionalFormatting sqref="L43">
    <cfRule type="cellIs" dxfId="34034" priority="4283" operator="equal">
      <formula>"OFF"</formula>
    </cfRule>
    <cfRule type="cellIs" dxfId="34033" priority="4284" operator="equal">
      <formula>"PTO"</formula>
    </cfRule>
  </conditionalFormatting>
  <conditionalFormatting sqref="L43">
    <cfRule type="cellIs" dxfId="34032" priority="4281" operator="equal">
      <formula>"OFF"</formula>
    </cfRule>
    <cfRule type="cellIs" dxfId="34031" priority="4282" operator="equal">
      <formula>"PTO"</formula>
    </cfRule>
  </conditionalFormatting>
  <conditionalFormatting sqref="L43">
    <cfRule type="cellIs" dxfId="34030" priority="4279" operator="equal">
      <formula>"OFF"</formula>
    </cfRule>
    <cfRule type="cellIs" dxfId="34029" priority="4280" operator="equal">
      <formula>"PTO"</formula>
    </cfRule>
  </conditionalFormatting>
  <conditionalFormatting sqref="L49">
    <cfRule type="cellIs" dxfId="34028" priority="4277" operator="equal">
      <formula>"OFF"</formula>
    </cfRule>
    <cfRule type="cellIs" dxfId="34027" priority="4278" operator="equal">
      <formula>"PTO"</formula>
    </cfRule>
  </conditionalFormatting>
  <conditionalFormatting sqref="L49">
    <cfRule type="cellIs" dxfId="34026" priority="4275" operator="equal">
      <formula>"OFF"</formula>
    </cfRule>
    <cfRule type="cellIs" dxfId="34025" priority="4276" operator="equal">
      <formula>"PTO"</formula>
    </cfRule>
  </conditionalFormatting>
  <conditionalFormatting sqref="L49">
    <cfRule type="cellIs" dxfId="34024" priority="4273" operator="equal">
      <formula>"OFF"</formula>
    </cfRule>
    <cfRule type="cellIs" dxfId="34023" priority="4274" operator="equal">
      <formula>"PTO"</formula>
    </cfRule>
  </conditionalFormatting>
  <conditionalFormatting sqref="L49">
    <cfRule type="cellIs" dxfId="34022" priority="4271" operator="equal">
      <formula>"OFF"</formula>
    </cfRule>
    <cfRule type="cellIs" dxfId="34021" priority="4272" operator="equal">
      <formula>"PTO"</formula>
    </cfRule>
  </conditionalFormatting>
  <conditionalFormatting sqref="L49">
    <cfRule type="cellIs" dxfId="34020" priority="4269" operator="equal">
      <formula>"OFF"</formula>
    </cfRule>
    <cfRule type="cellIs" dxfId="34019" priority="4270" operator="equal">
      <formula>"PTO"</formula>
    </cfRule>
  </conditionalFormatting>
  <conditionalFormatting sqref="L49">
    <cfRule type="cellIs" dxfId="34018" priority="4267" operator="equal">
      <formula>"OFF"</formula>
    </cfRule>
    <cfRule type="cellIs" dxfId="34017" priority="4268" operator="equal">
      <formula>"PTO"</formula>
    </cfRule>
  </conditionalFormatting>
  <conditionalFormatting sqref="L49">
    <cfRule type="cellIs" dxfId="34016" priority="4265" operator="equal">
      <formula>"OFF"</formula>
    </cfRule>
    <cfRule type="cellIs" dxfId="34015" priority="4266" operator="equal">
      <formula>"PTO"</formula>
    </cfRule>
  </conditionalFormatting>
  <conditionalFormatting sqref="L49">
    <cfRule type="cellIs" dxfId="34014" priority="4263" operator="equal">
      <formula>"OFF"</formula>
    </cfRule>
    <cfRule type="cellIs" dxfId="34013" priority="4264" operator="equal">
      <formula>"PTO"</formula>
    </cfRule>
  </conditionalFormatting>
  <conditionalFormatting sqref="L49">
    <cfRule type="cellIs" dxfId="34012" priority="4261" operator="equal">
      <formula>"OFF"</formula>
    </cfRule>
    <cfRule type="cellIs" dxfId="34011" priority="4262" operator="equal">
      <formula>"PTO"</formula>
    </cfRule>
  </conditionalFormatting>
  <conditionalFormatting sqref="L47">
    <cfRule type="cellIs" dxfId="34010" priority="4259" operator="equal">
      <formula>"OFF"</formula>
    </cfRule>
    <cfRule type="cellIs" dxfId="34009" priority="4260" operator="equal">
      <formula>"PTO"</formula>
    </cfRule>
  </conditionalFormatting>
  <conditionalFormatting sqref="L47">
    <cfRule type="cellIs" dxfId="34008" priority="4257" operator="equal">
      <formula>"OFF"</formula>
    </cfRule>
    <cfRule type="cellIs" dxfId="34007" priority="4258" operator="equal">
      <formula>"PTO"</formula>
    </cfRule>
  </conditionalFormatting>
  <conditionalFormatting sqref="L45">
    <cfRule type="cellIs" dxfId="34006" priority="4255" operator="equal">
      <formula>"OFF"</formula>
    </cfRule>
    <cfRule type="cellIs" dxfId="34005" priority="4256" operator="equal">
      <formula>"PTO"</formula>
    </cfRule>
  </conditionalFormatting>
  <conditionalFormatting sqref="L45">
    <cfRule type="cellIs" dxfId="34004" priority="4253" operator="equal">
      <formula>"OFF"</formula>
    </cfRule>
    <cfRule type="cellIs" dxfId="34003" priority="4254" operator="equal">
      <formula>"PTO"</formula>
    </cfRule>
  </conditionalFormatting>
  <conditionalFormatting sqref="L45">
    <cfRule type="cellIs" dxfId="34002" priority="4251" operator="equal">
      <formula>"OFF"</formula>
    </cfRule>
    <cfRule type="cellIs" dxfId="34001" priority="4252" operator="equal">
      <formula>"PTO"</formula>
    </cfRule>
  </conditionalFormatting>
  <conditionalFormatting sqref="L46">
    <cfRule type="cellIs" dxfId="34000" priority="4249" operator="equal">
      <formula>"OFF"</formula>
    </cfRule>
    <cfRule type="cellIs" dxfId="33999" priority="4250" operator="equal">
      <formula>"PTO"</formula>
    </cfRule>
  </conditionalFormatting>
  <conditionalFormatting sqref="L46">
    <cfRule type="cellIs" dxfId="33998" priority="4247" operator="equal">
      <formula>"OFF"</formula>
    </cfRule>
    <cfRule type="cellIs" dxfId="33997" priority="4248" operator="equal">
      <formula>"PTO"</formula>
    </cfRule>
  </conditionalFormatting>
  <conditionalFormatting sqref="L46">
    <cfRule type="cellIs" dxfId="33996" priority="4245" operator="equal">
      <formula>"OFF"</formula>
    </cfRule>
    <cfRule type="cellIs" dxfId="33995" priority="4246" operator="equal">
      <formula>"PTO"</formula>
    </cfRule>
  </conditionalFormatting>
  <conditionalFormatting sqref="L46">
    <cfRule type="cellIs" dxfId="33994" priority="4243" operator="equal">
      <formula>"OFF"</formula>
    </cfRule>
    <cfRule type="cellIs" dxfId="33993" priority="4244" operator="equal">
      <formula>"PTO"</formula>
    </cfRule>
  </conditionalFormatting>
  <conditionalFormatting sqref="L46">
    <cfRule type="cellIs" dxfId="33992" priority="4241" operator="equal">
      <formula>"OFF"</formula>
    </cfRule>
    <cfRule type="cellIs" dxfId="33991" priority="4242" operator="equal">
      <formula>"PTO"</formula>
    </cfRule>
  </conditionalFormatting>
  <conditionalFormatting sqref="L46">
    <cfRule type="cellIs" dxfId="33990" priority="4239" operator="equal">
      <formula>"OFF"</formula>
    </cfRule>
    <cfRule type="cellIs" dxfId="33989" priority="4240" operator="equal">
      <formula>"PTO"</formula>
    </cfRule>
  </conditionalFormatting>
  <conditionalFormatting sqref="L46">
    <cfRule type="cellIs" dxfId="33988" priority="4237" operator="equal">
      <formula>"OFF"</formula>
    </cfRule>
    <cfRule type="cellIs" dxfId="33987" priority="4238" operator="equal">
      <formula>"PTO"</formula>
    </cfRule>
  </conditionalFormatting>
  <conditionalFormatting sqref="L46">
    <cfRule type="cellIs" dxfId="33986" priority="4235" operator="equal">
      <formula>"OFF"</formula>
    </cfRule>
    <cfRule type="cellIs" dxfId="33985" priority="4236" operator="equal">
      <formula>"PTO"</formula>
    </cfRule>
  </conditionalFormatting>
  <conditionalFormatting sqref="L46">
    <cfRule type="cellIs" dxfId="33984" priority="4233" operator="equal">
      <formula>"OFF"</formula>
    </cfRule>
    <cfRule type="cellIs" dxfId="33983" priority="4234" operator="equal">
      <formula>"PTO"</formula>
    </cfRule>
  </conditionalFormatting>
  <conditionalFormatting sqref="L46">
    <cfRule type="cellIs" dxfId="33982" priority="4231" operator="equal">
      <formula>"OFF"</formula>
    </cfRule>
    <cfRule type="cellIs" dxfId="33981" priority="4232" operator="equal">
      <formula>"PTO"</formula>
    </cfRule>
  </conditionalFormatting>
  <conditionalFormatting sqref="L46">
    <cfRule type="cellIs" dxfId="33980" priority="4229" operator="equal">
      <formula>"OFF"</formula>
    </cfRule>
    <cfRule type="cellIs" dxfId="33979" priority="4230" operator="equal">
      <formula>"PTO"</formula>
    </cfRule>
  </conditionalFormatting>
  <conditionalFormatting sqref="L46">
    <cfRule type="cellIs" dxfId="33978" priority="4227" operator="equal">
      <formula>"OFF"</formula>
    </cfRule>
    <cfRule type="cellIs" dxfId="33977" priority="4228" operator="equal">
      <formula>"PTO"</formula>
    </cfRule>
  </conditionalFormatting>
  <conditionalFormatting sqref="L46">
    <cfRule type="cellIs" dxfId="33976" priority="4225" operator="equal">
      <formula>"OFF"</formula>
    </cfRule>
    <cfRule type="cellIs" dxfId="33975" priority="4226" operator="equal">
      <formula>"PTO"</formula>
    </cfRule>
  </conditionalFormatting>
  <conditionalFormatting sqref="L46">
    <cfRule type="cellIs" dxfId="33974" priority="4223" operator="equal">
      <formula>"OFF"</formula>
    </cfRule>
    <cfRule type="cellIs" dxfId="33973" priority="4224" operator="equal">
      <formula>"PTO"</formula>
    </cfRule>
  </conditionalFormatting>
  <conditionalFormatting sqref="L46">
    <cfRule type="cellIs" dxfId="33972" priority="4221" operator="equal">
      <formula>"OFF"</formula>
    </cfRule>
    <cfRule type="cellIs" dxfId="33971" priority="4222" operator="equal">
      <formula>"PTO"</formula>
    </cfRule>
  </conditionalFormatting>
  <conditionalFormatting sqref="L46">
    <cfRule type="cellIs" dxfId="33970" priority="4219" operator="equal">
      <formula>"OFF"</formula>
    </cfRule>
    <cfRule type="cellIs" dxfId="33969" priority="4220" operator="equal">
      <formula>"PTO"</formula>
    </cfRule>
  </conditionalFormatting>
  <conditionalFormatting sqref="L46">
    <cfRule type="cellIs" dxfId="33968" priority="4217" operator="equal">
      <formula>"OFF"</formula>
    </cfRule>
    <cfRule type="cellIs" dxfId="33967" priority="4218" operator="equal">
      <formula>"PTO"</formula>
    </cfRule>
  </conditionalFormatting>
  <conditionalFormatting sqref="L46">
    <cfRule type="cellIs" dxfId="33966" priority="4215" operator="equal">
      <formula>"OFF"</formula>
    </cfRule>
    <cfRule type="cellIs" dxfId="33965" priority="4216" operator="equal">
      <formula>"PTO"</formula>
    </cfRule>
  </conditionalFormatting>
  <conditionalFormatting sqref="L46">
    <cfRule type="cellIs" dxfId="33964" priority="4213" operator="equal">
      <formula>"OFF"</formula>
    </cfRule>
    <cfRule type="cellIs" dxfId="33963" priority="4214" operator="equal">
      <formula>"PTO"</formula>
    </cfRule>
  </conditionalFormatting>
  <conditionalFormatting sqref="L46">
    <cfRule type="cellIs" dxfId="33962" priority="4211" operator="equal">
      <formula>"OFF"</formula>
    </cfRule>
    <cfRule type="cellIs" dxfId="33961" priority="4212" operator="equal">
      <formula>"PTO"</formula>
    </cfRule>
  </conditionalFormatting>
  <conditionalFormatting sqref="L46">
    <cfRule type="cellIs" dxfId="33960" priority="4209" operator="equal">
      <formula>"OFF"</formula>
    </cfRule>
    <cfRule type="cellIs" dxfId="33959" priority="4210" operator="equal">
      <formula>"PTO"</formula>
    </cfRule>
  </conditionalFormatting>
  <conditionalFormatting sqref="L46">
    <cfRule type="cellIs" dxfId="33958" priority="4207" operator="equal">
      <formula>"OFF"</formula>
    </cfRule>
    <cfRule type="cellIs" dxfId="33957" priority="4208" operator="equal">
      <formula>"PTO"</formula>
    </cfRule>
  </conditionalFormatting>
  <conditionalFormatting sqref="L46">
    <cfRule type="cellIs" dxfId="33956" priority="4205" operator="equal">
      <formula>"OFF"</formula>
    </cfRule>
    <cfRule type="cellIs" dxfId="33955" priority="4206" operator="equal">
      <formula>"PTO"</formula>
    </cfRule>
  </conditionalFormatting>
  <conditionalFormatting sqref="L46">
    <cfRule type="cellIs" dxfId="33954" priority="4203" operator="equal">
      <formula>"OFF"</formula>
    </cfRule>
    <cfRule type="cellIs" dxfId="33953" priority="4204" operator="equal">
      <formula>"PTO"</formula>
    </cfRule>
  </conditionalFormatting>
  <conditionalFormatting sqref="L46">
    <cfRule type="cellIs" dxfId="33952" priority="4201" operator="equal">
      <formula>"OFF"</formula>
    </cfRule>
    <cfRule type="cellIs" dxfId="33951" priority="4202" operator="equal">
      <formula>"PTO"</formula>
    </cfRule>
  </conditionalFormatting>
  <conditionalFormatting sqref="L46">
    <cfRule type="cellIs" dxfId="33950" priority="4199" operator="equal">
      <formula>"OFF"</formula>
    </cfRule>
    <cfRule type="cellIs" dxfId="33949" priority="4200" operator="equal">
      <formula>"PTO"</formula>
    </cfRule>
  </conditionalFormatting>
  <conditionalFormatting sqref="L47:L50">
    <cfRule type="cellIs" dxfId="33948" priority="4197" operator="equal">
      <formula>"OFF"</formula>
    </cfRule>
    <cfRule type="cellIs" dxfId="33947" priority="4198" operator="equal">
      <formula>"PTO"</formula>
    </cfRule>
  </conditionalFormatting>
  <conditionalFormatting sqref="L47">
    <cfRule type="cellIs" dxfId="33946" priority="4195" operator="equal">
      <formula>"OFF"</formula>
    </cfRule>
    <cfRule type="cellIs" dxfId="33945" priority="4196" operator="equal">
      <formula>"PTO"</formula>
    </cfRule>
  </conditionalFormatting>
  <conditionalFormatting sqref="L41 L43 L45:L50">
    <cfRule type="cellIs" dxfId="33944" priority="4193" operator="equal">
      <formula>"OFF"</formula>
    </cfRule>
    <cfRule type="cellIs" dxfId="33943" priority="4194" operator="equal">
      <formula>"PTO"</formula>
    </cfRule>
  </conditionalFormatting>
  <conditionalFormatting sqref="L41 L43 L45:L50">
    <cfRule type="cellIs" dxfId="33942" priority="4191" operator="equal">
      <formula>"OFF"</formula>
    </cfRule>
    <cfRule type="cellIs" dxfId="33941" priority="4192" operator="equal">
      <formula>"PTO"</formula>
    </cfRule>
  </conditionalFormatting>
  <conditionalFormatting sqref="L41 L43 L45:L50">
    <cfRule type="cellIs" dxfId="33940" priority="4189" operator="equal">
      <formula>"OFF"</formula>
    </cfRule>
    <cfRule type="cellIs" dxfId="33939" priority="4190" operator="equal">
      <formula>"PTO"</formula>
    </cfRule>
  </conditionalFormatting>
  <conditionalFormatting sqref="L49:L53">
    <cfRule type="cellIs" dxfId="33938" priority="4187" operator="equal">
      <formula>"OFF"</formula>
    </cfRule>
    <cfRule type="cellIs" dxfId="33937" priority="4188" operator="equal">
      <formula>"PTO"</formula>
    </cfRule>
  </conditionalFormatting>
  <conditionalFormatting sqref="L49:L53">
    <cfRule type="cellIs" dxfId="33936" priority="4185" operator="equal">
      <formula>"OFF"</formula>
    </cfRule>
    <cfRule type="cellIs" dxfId="33935" priority="4186" operator="equal">
      <formula>"PTO"</formula>
    </cfRule>
  </conditionalFormatting>
  <conditionalFormatting sqref="L49:L53">
    <cfRule type="cellIs" dxfId="33934" priority="4183" operator="equal">
      <formula>"OFF"</formula>
    </cfRule>
    <cfRule type="cellIs" dxfId="33933" priority="4184" operator="equal">
      <formula>"PTO"</formula>
    </cfRule>
  </conditionalFormatting>
  <conditionalFormatting sqref="L47">
    <cfRule type="cellIs" dxfId="33932" priority="4181" operator="equal">
      <formula>"OFF"</formula>
    </cfRule>
    <cfRule type="cellIs" dxfId="33931" priority="4182" operator="equal">
      <formula>"PTO"</formula>
    </cfRule>
  </conditionalFormatting>
  <conditionalFormatting sqref="L47">
    <cfRule type="cellIs" dxfId="33930" priority="4179" operator="equal">
      <formula>"OFF"</formula>
    </cfRule>
    <cfRule type="cellIs" dxfId="33929" priority="4180" operator="equal">
      <formula>"PTO"</formula>
    </cfRule>
  </conditionalFormatting>
  <conditionalFormatting sqref="L47">
    <cfRule type="cellIs" dxfId="33928" priority="4177" operator="equal">
      <formula>"OFF"</formula>
    </cfRule>
    <cfRule type="cellIs" dxfId="33927" priority="4178" operator="equal">
      <formula>"PTO"</formula>
    </cfRule>
  </conditionalFormatting>
  <conditionalFormatting sqref="L47">
    <cfRule type="cellIs" dxfId="33926" priority="4175" operator="equal">
      <formula>"OFF"</formula>
    </cfRule>
    <cfRule type="cellIs" dxfId="33925" priority="4176" operator="equal">
      <formula>"PTO"</formula>
    </cfRule>
  </conditionalFormatting>
  <conditionalFormatting sqref="L47">
    <cfRule type="cellIs" dxfId="33924" priority="4173" operator="equal">
      <formula>"OFF"</formula>
    </cfRule>
    <cfRule type="cellIs" dxfId="33923" priority="4174" operator="equal">
      <formula>"PTO"</formula>
    </cfRule>
  </conditionalFormatting>
  <conditionalFormatting sqref="L47">
    <cfRule type="cellIs" dxfId="33922" priority="4171" operator="equal">
      <formula>"OFF"</formula>
    </cfRule>
    <cfRule type="cellIs" dxfId="33921" priority="4172" operator="equal">
      <formula>"PTO"</formula>
    </cfRule>
  </conditionalFormatting>
  <conditionalFormatting sqref="L47">
    <cfRule type="cellIs" dxfId="33920" priority="4169" operator="equal">
      <formula>"OFF"</formula>
    </cfRule>
    <cfRule type="cellIs" dxfId="33919" priority="4170" operator="equal">
      <formula>"PTO"</formula>
    </cfRule>
  </conditionalFormatting>
  <conditionalFormatting sqref="L47">
    <cfRule type="cellIs" dxfId="33918" priority="4167" operator="equal">
      <formula>"OFF"</formula>
    </cfRule>
    <cfRule type="cellIs" dxfId="33917" priority="4168" operator="equal">
      <formula>"PTO"</formula>
    </cfRule>
  </conditionalFormatting>
  <conditionalFormatting sqref="L47">
    <cfRule type="cellIs" dxfId="33916" priority="4165" operator="equal">
      <formula>"OFF"</formula>
    </cfRule>
    <cfRule type="cellIs" dxfId="33915" priority="4166" operator="equal">
      <formula>"PTO"</formula>
    </cfRule>
  </conditionalFormatting>
  <conditionalFormatting sqref="L47">
    <cfRule type="cellIs" dxfId="33914" priority="4163" operator="equal">
      <formula>"OFF"</formula>
    </cfRule>
    <cfRule type="cellIs" dxfId="33913" priority="4164" operator="equal">
      <formula>"PTO"</formula>
    </cfRule>
  </conditionalFormatting>
  <conditionalFormatting sqref="L47">
    <cfRule type="cellIs" dxfId="33912" priority="4161" operator="equal">
      <formula>"OFF"</formula>
    </cfRule>
    <cfRule type="cellIs" dxfId="33911" priority="4162" operator="equal">
      <formula>"PTO"</formula>
    </cfRule>
  </conditionalFormatting>
  <conditionalFormatting sqref="L47">
    <cfRule type="cellIs" dxfId="33910" priority="4159" operator="equal">
      <formula>"OFF"</formula>
    </cfRule>
    <cfRule type="cellIs" dxfId="33909" priority="4160" operator="equal">
      <formula>"PTO"</formula>
    </cfRule>
  </conditionalFormatting>
  <conditionalFormatting sqref="L47">
    <cfRule type="cellIs" dxfId="33908" priority="4157" operator="equal">
      <formula>"OFF"</formula>
    </cfRule>
    <cfRule type="cellIs" dxfId="33907" priority="4158" operator="equal">
      <formula>"PTO"</formula>
    </cfRule>
  </conditionalFormatting>
  <conditionalFormatting sqref="L47">
    <cfRule type="cellIs" dxfId="33906" priority="4155" operator="equal">
      <formula>"OFF"</formula>
    </cfRule>
    <cfRule type="cellIs" dxfId="33905" priority="4156" operator="equal">
      <formula>"PTO"</formula>
    </cfRule>
  </conditionalFormatting>
  <conditionalFormatting sqref="L47">
    <cfRule type="cellIs" dxfId="33904" priority="4153" operator="equal">
      <formula>"OFF"</formula>
    </cfRule>
    <cfRule type="cellIs" dxfId="33903" priority="4154" operator="equal">
      <formula>"PTO"</formula>
    </cfRule>
  </conditionalFormatting>
  <conditionalFormatting sqref="L47">
    <cfRule type="cellIs" dxfId="33902" priority="4151" operator="equal">
      <formula>"OFF"</formula>
    </cfRule>
    <cfRule type="cellIs" dxfId="33901" priority="4152" operator="equal">
      <formula>"PTO"</formula>
    </cfRule>
  </conditionalFormatting>
  <conditionalFormatting sqref="L47">
    <cfRule type="cellIs" dxfId="33900" priority="4149" operator="equal">
      <formula>"OFF"</formula>
    </cfRule>
    <cfRule type="cellIs" dxfId="33899" priority="4150" operator="equal">
      <formula>"PTO"</formula>
    </cfRule>
  </conditionalFormatting>
  <conditionalFormatting sqref="L47">
    <cfRule type="cellIs" dxfId="33898" priority="4147" operator="equal">
      <formula>"OFF"</formula>
    </cfRule>
    <cfRule type="cellIs" dxfId="33897" priority="4148" operator="equal">
      <formula>"PTO"</formula>
    </cfRule>
  </conditionalFormatting>
  <conditionalFormatting sqref="L47">
    <cfRule type="cellIs" dxfId="33896" priority="4145" operator="equal">
      <formula>"OFF"</formula>
    </cfRule>
    <cfRule type="cellIs" dxfId="33895" priority="4146" operator="equal">
      <formula>"PTO"</formula>
    </cfRule>
  </conditionalFormatting>
  <conditionalFormatting sqref="L47">
    <cfRule type="cellIs" dxfId="33894" priority="4143" operator="equal">
      <formula>"OFF"</formula>
    </cfRule>
    <cfRule type="cellIs" dxfId="33893" priority="4144" operator="equal">
      <formula>"PTO"</formula>
    </cfRule>
  </conditionalFormatting>
  <conditionalFormatting sqref="L47">
    <cfRule type="cellIs" dxfId="33892" priority="4141" operator="equal">
      <formula>"OFF"</formula>
    </cfRule>
    <cfRule type="cellIs" dxfId="33891" priority="4142" operator="equal">
      <formula>"PTO"</formula>
    </cfRule>
  </conditionalFormatting>
  <conditionalFormatting sqref="L47">
    <cfRule type="cellIs" dxfId="33890" priority="4139" operator="equal">
      <formula>"OFF"</formula>
    </cfRule>
    <cfRule type="cellIs" dxfId="33889" priority="4140" operator="equal">
      <formula>"PTO"</formula>
    </cfRule>
  </conditionalFormatting>
  <conditionalFormatting sqref="L47">
    <cfRule type="cellIs" dxfId="33888" priority="4137" operator="equal">
      <formula>"OFF"</formula>
    </cfRule>
    <cfRule type="cellIs" dxfId="33887" priority="4138" operator="equal">
      <formula>"PTO"</formula>
    </cfRule>
  </conditionalFormatting>
  <conditionalFormatting sqref="L47">
    <cfRule type="cellIs" dxfId="33886" priority="4135" operator="equal">
      <formula>"OFF"</formula>
    </cfRule>
    <cfRule type="cellIs" dxfId="33885" priority="4136" operator="equal">
      <formula>"PTO"</formula>
    </cfRule>
  </conditionalFormatting>
  <conditionalFormatting sqref="L47">
    <cfRule type="cellIs" dxfId="33884" priority="4133" operator="equal">
      <formula>"OFF"</formula>
    </cfRule>
    <cfRule type="cellIs" dxfId="33883" priority="4134" operator="equal">
      <formula>"PTO"</formula>
    </cfRule>
  </conditionalFormatting>
  <conditionalFormatting sqref="L43">
    <cfRule type="cellIs" dxfId="33882" priority="4131" operator="equal">
      <formula>"OFF"</formula>
    </cfRule>
    <cfRule type="cellIs" dxfId="33881" priority="4132" operator="equal">
      <formula>"PTO"</formula>
    </cfRule>
  </conditionalFormatting>
  <conditionalFormatting sqref="L43">
    <cfRule type="cellIs" dxfId="33880" priority="4129" operator="equal">
      <formula>"OFF"</formula>
    </cfRule>
    <cfRule type="cellIs" dxfId="33879" priority="4130" operator="equal">
      <formula>"PTO"</formula>
    </cfRule>
  </conditionalFormatting>
  <conditionalFormatting sqref="L46">
    <cfRule type="cellIs" dxfId="33878" priority="4127" operator="equal">
      <formula>"OFF"</formula>
    </cfRule>
    <cfRule type="cellIs" dxfId="33877" priority="4128" operator="equal">
      <formula>"PTO"</formula>
    </cfRule>
  </conditionalFormatting>
  <conditionalFormatting sqref="L46">
    <cfRule type="cellIs" dxfId="33876" priority="4125" operator="equal">
      <formula>"OFF"</formula>
    </cfRule>
    <cfRule type="cellIs" dxfId="33875" priority="4126" operator="equal">
      <formula>"PTO"</formula>
    </cfRule>
  </conditionalFormatting>
  <conditionalFormatting sqref="L43">
    <cfRule type="cellIs" dxfId="33874" priority="4123" operator="equal">
      <formula>"OFF"</formula>
    </cfRule>
    <cfRule type="cellIs" dxfId="33873" priority="4124" operator="equal">
      <formula>"PTO"</formula>
    </cfRule>
  </conditionalFormatting>
  <conditionalFormatting sqref="L43">
    <cfRule type="cellIs" dxfId="33872" priority="4121" operator="equal">
      <formula>"OFF"</formula>
    </cfRule>
    <cfRule type="cellIs" dxfId="33871" priority="4122" operator="equal">
      <formula>"PTO"</formula>
    </cfRule>
  </conditionalFormatting>
  <conditionalFormatting sqref="L43">
    <cfRule type="cellIs" dxfId="33870" priority="4119" operator="equal">
      <formula>"OFF"</formula>
    </cfRule>
    <cfRule type="cellIs" dxfId="33869" priority="4120" operator="equal">
      <formula>"PTO"</formula>
    </cfRule>
  </conditionalFormatting>
  <conditionalFormatting sqref="L45">
    <cfRule type="cellIs" dxfId="33868" priority="4117" operator="equal">
      <formula>"OFF"</formula>
    </cfRule>
    <cfRule type="cellIs" dxfId="33867" priority="4118" operator="equal">
      <formula>"PTO"</formula>
    </cfRule>
  </conditionalFormatting>
  <conditionalFormatting sqref="L45">
    <cfRule type="cellIs" dxfId="33866" priority="4115" operator="equal">
      <formula>"OFF"</formula>
    </cfRule>
    <cfRule type="cellIs" dxfId="33865" priority="4116" operator="equal">
      <formula>"PTO"</formula>
    </cfRule>
  </conditionalFormatting>
  <conditionalFormatting sqref="L45">
    <cfRule type="cellIs" dxfId="33864" priority="4113" operator="equal">
      <formula>"OFF"</formula>
    </cfRule>
    <cfRule type="cellIs" dxfId="33863" priority="4114" operator="equal">
      <formula>"PTO"</formula>
    </cfRule>
  </conditionalFormatting>
  <conditionalFormatting sqref="L45">
    <cfRule type="cellIs" dxfId="33862" priority="4111" operator="equal">
      <formula>"OFF"</formula>
    </cfRule>
    <cfRule type="cellIs" dxfId="33861" priority="4112" operator="equal">
      <formula>"PTO"</formula>
    </cfRule>
  </conditionalFormatting>
  <conditionalFormatting sqref="L45">
    <cfRule type="cellIs" dxfId="33860" priority="4109" operator="equal">
      <formula>"OFF"</formula>
    </cfRule>
    <cfRule type="cellIs" dxfId="33859" priority="4110" operator="equal">
      <formula>"PTO"</formula>
    </cfRule>
  </conditionalFormatting>
  <conditionalFormatting sqref="L45">
    <cfRule type="cellIs" dxfId="33858" priority="4107" operator="equal">
      <formula>"OFF"</formula>
    </cfRule>
    <cfRule type="cellIs" dxfId="33857" priority="4108" operator="equal">
      <formula>"PTO"</formula>
    </cfRule>
  </conditionalFormatting>
  <conditionalFormatting sqref="L45">
    <cfRule type="cellIs" dxfId="33856" priority="4105" operator="equal">
      <formula>"OFF"</formula>
    </cfRule>
    <cfRule type="cellIs" dxfId="33855" priority="4106" operator="equal">
      <formula>"PTO"</formula>
    </cfRule>
  </conditionalFormatting>
  <conditionalFormatting sqref="L45">
    <cfRule type="cellIs" dxfId="33854" priority="4103" operator="equal">
      <formula>"OFF"</formula>
    </cfRule>
    <cfRule type="cellIs" dxfId="33853" priority="4104" operator="equal">
      <formula>"PTO"</formula>
    </cfRule>
  </conditionalFormatting>
  <conditionalFormatting sqref="L45">
    <cfRule type="cellIs" dxfId="33852" priority="4101" operator="equal">
      <formula>"OFF"</formula>
    </cfRule>
    <cfRule type="cellIs" dxfId="33851" priority="4102" operator="equal">
      <formula>"PTO"</formula>
    </cfRule>
  </conditionalFormatting>
  <conditionalFormatting sqref="L45">
    <cfRule type="cellIs" dxfId="33850" priority="4099" operator="equal">
      <formula>"OFF"</formula>
    </cfRule>
    <cfRule type="cellIs" dxfId="33849" priority="4100" operator="equal">
      <formula>"PTO"</formula>
    </cfRule>
  </conditionalFormatting>
  <conditionalFormatting sqref="L45">
    <cfRule type="cellIs" dxfId="33848" priority="4097" operator="equal">
      <formula>"OFF"</formula>
    </cfRule>
    <cfRule type="cellIs" dxfId="33847" priority="4098" operator="equal">
      <formula>"PTO"</formula>
    </cfRule>
  </conditionalFormatting>
  <conditionalFormatting sqref="L45">
    <cfRule type="cellIs" dxfId="33846" priority="4095" operator="equal">
      <formula>"OFF"</formula>
    </cfRule>
    <cfRule type="cellIs" dxfId="33845" priority="4096" operator="equal">
      <formula>"PTO"</formula>
    </cfRule>
  </conditionalFormatting>
  <conditionalFormatting sqref="L45">
    <cfRule type="cellIs" dxfId="33844" priority="4093" operator="equal">
      <formula>"OFF"</formula>
    </cfRule>
    <cfRule type="cellIs" dxfId="33843" priority="4094" operator="equal">
      <formula>"PTO"</formula>
    </cfRule>
  </conditionalFormatting>
  <conditionalFormatting sqref="L45">
    <cfRule type="cellIs" dxfId="33842" priority="4091" operator="equal">
      <formula>"OFF"</formula>
    </cfRule>
    <cfRule type="cellIs" dxfId="33841" priority="4092" operator="equal">
      <formula>"PTO"</formula>
    </cfRule>
  </conditionalFormatting>
  <conditionalFormatting sqref="L45">
    <cfRule type="cellIs" dxfId="33840" priority="4089" operator="equal">
      <formula>"OFF"</formula>
    </cfRule>
    <cfRule type="cellIs" dxfId="33839" priority="4090" operator="equal">
      <formula>"PTO"</formula>
    </cfRule>
  </conditionalFormatting>
  <conditionalFormatting sqref="L45">
    <cfRule type="cellIs" dxfId="33838" priority="4087" operator="equal">
      <formula>"OFF"</formula>
    </cfRule>
    <cfRule type="cellIs" dxfId="33837" priority="4088" operator="equal">
      <formula>"PTO"</formula>
    </cfRule>
  </conditionalFormatting>
  <conditionalFormatting sqref="L45">
    <cfRule type="cellIs" dxfId="33836" priority="4085" operator="equal">
      <formula>"OFF"</formula>
    </cfRule>
    <cfRule type="cellIs" dxfId="33835" priority="4086" operator="equal">
      <formula>"PTO"</formula>
    </cfRule>
  </conditionalFormatting>
  <conditionalFormatting sqref="L45">
    <cfRule type="cellIs" dxfId="33834" priority="4083" operator="equal">
      <formula>"OFF"</formula>
    </cfRule>
    <cfRule type="cellIs" dxfId="33833" priority="4084" operator="equal">
      <formula>"PTO"</formula>
    </cfRule>
  </conditionalFormatting>
  <conditionalFormatting sqref="L45">
    <cfRule type="cellIs" dxfId="33832" priority="4081" operator="equal">
      <formula>"OFF"</formula>
    </cfRule>
    <cfRule type="cellIs" dxfId="33831" priority="4082" operator="equal">
      <formula>"PTO"</formula>
    </cfRule>
  </conditionalFormatting>
  <conditionalFormatting sqref="L45">
    <cfRule type="cellIs" dxfId="33830" priority="4079" operator="equal">
      <formula>"OFF"</formula>
    </cfRule>
    <cfRule type="cellIs" dxfId="33829" priority="4080" operator="equal">
      <formula>"PTO"</formula>
    </cfRule>
  </conditionalFormatting>
  <conditionalFormatting sqref="L45">
    <cfRule type="cellIs" dxfId="33828" priority="4077" operator="equal">
      <formula>"OFF"</formula>
    </cfRule>
    <cfRule type="cellIs" dxfId="33827" priority="4078" operator="equal">
      <formula>"PTO"</formula>
    </cfRule>
  </conditionalFormatting>
  <conditionalFormatting sqref="L45">
    <cfRule type="cellIs" dxfId="33826" priority="4075" operator="equal">
      <formula>"OFF"</formula>
    </cfRule>
    <cfRule type="cellIs" dxfId="33825" priority="4076" operator="equal">
      <formula>"PTO"</formula>
    </cfRule>
  </conditionalFormatting>
  <conditionalFormatting sqref="L45">
    <cfRule type="cellIs" dxfId="33824" priority="4073" operator="equal">
      <formula>"OFF"</formula>
    </cfRule>
    <cfRule type="cellIs" dxfId="33823" priority="4074" operator="equal">
      <formula>"PTO"</formula>
    </cfRule>
  </conditionalFormatting>
  <conditionalFormatting sqref="L45">
    <cfRule type="cellIs" dxfId="33822" priority="4071" operator="equal">
      <formula>"OFF"</formula>
    </cfRule>
    <cfRule type="cellIs" dxfId="33821" priority="4072" operator="equal">
      <formula>"PTO"</formula>
    </cfRule>
  </conditionalFormatting>
  <conditionalFormatting sqref="L45">
    <cfRule type="cellIs" dxfId="33820" priority="4069" operator="equal">
      <formula>"OFF"</formula>
    </cfRule>
    <cfRule type="cellIs" dxfId="33819" priority="4070" operator="equal">
      <formula>"PTO"</formula>
    </cfRule>
  </conditionalFormatting>
  <conditionalFormatting sqref="L45">
    <cfRule type="cellIs" dxfId="33818" priority="4067" operator="equal">
      <formula>"OFF"</formula>
    </cfRule>
    <cfRule type="cellIs" dxfId="33817" priority="4068" operator="equal">
      <formula>"PTO"</formula>
    </cfRule>
  </conditionalFormatting>
  <conditionalFormatting sqref="L47">
    <cfRule type="cellIs" dxfId="33816" priority="4065" operator="equal">
      <formula>"OFF"</formula>
    </cfRule>
    <cfRule type="cellIs" dxfId="33815" priority="4066" operator="equal">
      <formula>"PTO"</formula>
    </cfRule>
  </conditionalFormatting>
  <conditionalFormatting sqref="L46">
    <cfRule type="cellIs" dxfId="33814" priority="4063" operator="equal">
      <formula>"OFF"</formula>
    </cfRule>
    <cfRule type="cellIs" dxfId="33813" priority="4064" operator="equal">
      <formula>"PTO"</formula>
    </cfRule>
  </conditionalFormatting>
  <conditionalFormatting sqref="L49">
    <cfRule type="cellIs" dxfId="33812" priority="4061" operator="equal">
      <formula>"OFF"</formula>
    </cfRule>
    <cfRule type="cellIs" dxfId="33811" priority="4062" operator="equal">
      <formula>"PTO"</formula>
    </cfRule>
  </conditionalFormatting>
  <conditionalFormatting sqref="L48">
    <cfRule type="cellIs" dxfId="33810" priority="4059" operator="equal">
      <formula>"OFF"</formula>
    </cfRule>
    <cfRule type="cellIs" dxfId="33809" priority="4060" operator="equal">
      <formula>"PTO"</formula>
    </cfRule>
  </conditionalFormatting>
  <conditionalFormatting sqref="L48">
    <cfRule type="cellIs" dxfId="33808" priority="4057" operator="equal">
      <formula>"OFF"</formula>
    </cfRule>
    <cfRule type="cellIs" dxfId="33807" priority="4058" operator="equal">
      <formula>"PTO"</formula>
    </cfRule>
  </conditionalFormatting>
  <conditionalFormatting sqref="L48">
    <cfRule type="cellIs" dxfId="33806" priority="4055" operator="equal">
      <formula>"OFF"</formula>
    </cfRule>
    <cfRule type="cellIs" dxfId="33805" priority="4056" operator="equal">
      <formula>"PTO"</formula>
    </cfRule>
  </conditionalFormatting>
  <conditionalFormatting sqref="L48">
    <cfRule type="cellIs" dxfId="33804" priority="4053" operator="equal">
      <formula>"OFF"</formula>
    </cfRule>
    <cfRule type="cellIs" dxfId="33803" priority="4054" operator="equal">
      <formula>"PTO"</formula>
    </cfRule>
  </conditionalFormatting>
  <conditionalFormatting sqref="L48">
    <cfRule type="cellIs" dxfId="33802" priority="4051" operator="equal">
      <formula>"OFF"</formula>
    </cfRule>
    <cfRule type="cellIs" dxfId="33801" priority="4052" operator="equal">
      <formula>"PTO"</formula>
    </cfRule>
  </conditionalFormatting>
  <conditionalFormatting sqref="L48">
    <cfRule type="cellIs" dxfId="33800" priority="4049" operator="equal">
      <formula>"OFF"</formula>
    </cfRule>
    <cfRule type="cellIs" dxfId="33799" priority="4050" operator="equal">
      <formula>"PTO"</formula>
    </cfRule>
  </conditionalFormatting>
  <conditionalFormatting sqref="L48">
    <cfRule type="cellIs" dxfId="33798" priority="4047" operator="equal">
      <formula>"OFF"</formula>
    </cfRule>
    <cfRule type="cellIs" dxfId="33797" priority="4048" operator="equal">
      <formula>"PTO"</formula>
    </cfRule>
  </conditionalFormatting>
  <conditionalFormatting sqref="L48">
    <cfRule type="cellIs" dxfId="33796" priority="4045" operator="equal">
      <formula>"OFF"</formula>
    </cfRule>
    <cfRule type="cellIs" dxfId="33795" priority="4046" operator="equal">
      <formula>"PTO"</formula>
    </cfRule>
  </conditionalFormatting>
  <conditionalFormatting sqref="L48">
    <cfRule type="cellIs" dxfId="33794" priority="4043" operator="equal">
      <formula>"OFF"</formula>
    </cfRule>
    <cfRule type="cellIs" dxfId="33793" priority="4044" operator="equal">
      <formula>"PTO"</formula>
    </cfRule>
  </conditionalFormatting>
  <conditionalFormatting sqref="L41">
    <cfRule type="cellIs" dxfId="33792" priority="4041" operator="equal">
      <formula>"OFF"</formula>
    </cfRule>
    <cfRule type="cellIs" dxfId="33791" priority="4042" operator="equal">
      <formula>"PTO"</formula>
    </cfRule>
  </conditionalFormatting>
  <conditionalFormatting sqref="L41">
    <cfRule type="cellIs" dxfId="33790" priority="4039" operator="equal">
      <formula>"OFF"</formula>
    </cfRule>
    <cfRule type="cellIs" dxfId="33789" priority="4040" operator="equal">
      <formula>"PTO"</formula>
    </cfRule>
  </conditionalFormatting>
  <conditionalFormatting sqref="L41">
    <cfRule type="cellIs" dxfId="33788" priority="4037" operator="equal">
      <formula>"OFF"</formula>
    </cfRule>
    <cfRule type="cellIs" dxfId="33787" priority="4038" operator="equal">
      <formula>"PTO"</formula>
    </cfRule>
  </conditionalFormatting>
  <conditionalFormatting sqref="L41">
    <cfRule type="cellIs" dxfId="33786" priority="4035" operator="equal">
      <formula>"OFF"</formula>
    </cfRule>
    <cfRule type="cellIs" dxfId="33785" priority="4036" operator="equal">
      <formula>"PTO"</formula>
    </cfRule>
  </conditionalFormatting>
  <conditionalFormatting sqref="L41">
    <cfRule type="cellIs" dxfId="33784" priority="4033" operator="equal">
      <formula>"OFF"</formula>
    </cfRule>
    <cfRule type="cellIs" dxfId="33783" priority="4034" operator="equal">
      <formula>"PTO"</formula>
    </cfRule>
  </conditionalFormatting>
  <conditionalFormatting sqref="L41">
    <cfRule type="cellIs" dxfId="33782" priority="4031" operator="equal">
      <formula>"OFF"</formula>
    </cfRule>
    <cfRule type="cellIs" dxfId="33781" priority="4032" operator="equal">
      <formula>"PTO"</formula>
    </cfRule>
  </conditionalFormatting>
  <conditionalFormatting sqref="L41">
    <cfRule type="cellIs" dxfId="33780" priority="4029" operator="equal">
      <formula>"OFF"</formula>
    </cfRule>
    <cfRule type="cellIs" dxfId="33779" priority="4030" operator="equal">
      <formula>"PTO"</formula>
    </cfRule>
  </conditionalFormatting>
  <conditionalFormatting sqref="L41">
    <cfRule type="cellIs" dxfId="33778" priority="4027" operator="equal">
      <formula>"OFF"</formula>
    </cfRule>
    <cfRule type="cellIs" dxfId="33777" priority="4028" operator="equal">
      <formula>"PTO"</formula>
    </cfRule>
  </conditionalFormatting>
  <conditionalFormatting sqref="L41">
    <cfRule type="cellIs" dxfId="33776" priority="4025" operator="equal">
      <formula>"OFF"</formula>
    </cfRule>
    <cfRule type="cellIs" dxfId="33775" priority="4026" operator="equal">
      <formula>"PTO"</formula>
    </cfRule>
  </conditionalFormatting>
  <conditionalFormatting sqref="L41">
    <cfRule type="cellIs" dxfId="33774" priority="4023" operator="equal">
      <formula>"OFF"</formula>
    </cfRule>
    <cfRule type="cellIs" dxfId="33773" priority="4024" operator="equal">
      <formula>"PTO"</formula>
    </cfRule>
  </conditionalFormatting>
  <conditionalFormatting sqref="L41">
    <cfRule type="cellIs" dxfId="33772" priority="4021" operator="equal">
      <formula>"OFF"</formula>
    </cfRule>
    <cfRule type="cellIs" dxfId="33771" priority="4022" operator="equal">
      <formula>"PTO"</formula>
    </cfRule>
  </conditionalFormatting>
  <conditionalFormatting sqref="L41">
    <cfRule type="cellIs" dxfId="33770" priority="4019" operator="equal">
      <formula>"OFF"</formula>
    </cfRule>
    <cfRule type="cellIs" dxfId="33769" priority="4020" operator="equal">
      <formula>"PTO"</formula>
    </cfRule>
  </conditionalFormatting>
  <conditionalFormatting sqref="L43">
    <cfRule type="cellIs" dxfId="33768" priority="4017" operator="equal">
      <formula>"OFF"</formula>
    </cfRule>
    <cfRule type="cellIs" dxfId="33767" priority="4018" operator="equal">
      <formula>"PTO"</formula>
    </cfRule>
  </conditionalFormatting>
  <conditionalFormatting sqref="L43">
    <cfRule type="cellIs" dxfId="33766" priority="4015" operator="equal">
      <formula>"OFF"</formula>
    </cfRule>
    <cfRule type="cellIs" dxfId="33765" priority="4016" operator="equal">
      <formula>"PTO"</formula>
    </cfRule>
  </conditionalFormatting>
  <conditionalFormatting sqref="L43">
    <cfRule type="cellIs" dxfId="33764" priority="4013" operator="equal">
      <formula>"OFF"</formula>
    </cfRule>
    <cfRule type="cellIs" dxfId="33763" priority="4014" operator="equal">
      <formula>"PTO"</formula>
    </cfRule>
  </conditionalFormatting>
  <conditionalFormatting sqref="L43">
    <cfRule type="cellIs" dxfId="33762" priority="4011" operator="equal">
      <formula>"OFF"</formula>
    </cfRule>
    <cfRule type="cellIs" dxfId="33761" priority="4012" operator="equal">
      <formula>"PTO"</formula>
    </cfRule>
  </conditionalFormatting>
  <conditionalFormatting sqref="L43">
    <cfRule type="cellIs" dxfId="33760" priority="4009" operator="equal">
      <formula>"OFF"</formula>
    </cfRule>
    <cfRule type="cellIs" dxfId="33759" priority="4010" operator="equal">
      <formula>"PTO"</formula>
    </cfRule>
  </conditionalFormatting>
  <conditionalFormatting sqref="L41">
    <cfRule type="cellIs" dxfId="33758" priority="4007" operator="equal">
      <formula>"OFF"</formula>
    </cfRule>
    <cfRule type="cellIs" dxfId="33757" priority="4008" operator="equal">
      <formula>"PTO"</formula>
    </cfRule>
  </conditionalFormatting>
  <conditionalFormatting sqref="L43">
    <cfRule type="cellIs" dxfId="33756" priority="4005" operator="equal">
      <formula>"OFF"</formula>
    </cfRule>
    <cfRule type="cellIs" dxfId="33755" priority="4006" operator="equal">
      <formula>"PTO"</formula>
    </cfRule>
  </conditionalFormatting>
  <conditionalFormatting sqref="L43">
    <cfRule type="cellIs" dxfId="33754" priority="4003" operator="equal">
      <formula>"OFF"</formula>
    </cfRule>
    <cfRule type="cellIs" dxfId="33753" priority="4004" operator="equal">
      <formula>"PTO"</formula>
    </cfRule>
  </conditionalFormatting>
  <conditionalFormatting sqref="L43">
    <cfRule type="cellIs" dxfId="33752" priority="4001" operator="equal">
      <formula>"OFF"</formula>
    </cfRule>
    <cfRule type="cellIs" dxfId="33751" priority="4002" operator="equal">
      <formula>"PTO"</formula>
    </cfRule>
  </conditionalFormatting>
  <conditionalFormatting sqref="L41">
    <cfRule type="cellIs" dxfId="33750" priority="3999" operator="equal">
      <formula>"OFF"</formula>
    </cfRule>
    <cfRule type="cellIs" dxfId="33749" priority="4000" operator="equal">
      <formula>"PTO"</formula>
    </cfRule>
  </conditionalFormatting>
  <conditionalFormatting sqref="L41">
    <cfRule type="cellIs" dxfId="33748" priority="3997" operator="equal">
      <formula>"OFF"</formula>
    </cfRule>
    <cfRule type="cellIs" dxfId="33747" priority="3998" operator="equal">
      <formula>"PTO"</formula>
    </cfRule>
  </conditionalFormatting>
  <conditionalFormatting sqref="L41">
    <cfRule type="cellIs" dxfId="33746" priority="3995" operator="equal">
      <formula>"OFF"</formula>
    </cfRule>
    <cfRule type="cellIs" dxfId="33745" priority="3996" operator="equal">
      <formula>"PTO"</formula>
    </cfRule>
  </conditionalFormatting>
  <conditionalFormatting sqref="L41">
    <cfRule type="cellIs" dxfId="33744" priority="3993" operator="equal">
      <formula>"OFF"</formula>
    </cfRule>
    <cfRule type="cellIs" dxfId="33743" priority="3994" operator="equal">
      <formula>"PTO"</formula>
    </cfRule>
  </conditionalFormatting>
  <conditionalFormatting sqref="L43">
    <cfRule type="cellIs" dxfId="33742" priority="3991" operator="equal">
      <formula>"OFF"</formula>
    </cfRule>
    <cfRule type="cellIs" dxfId="33741" priority="3992" operator="equal">
      <formula>"PTO"</formula>
    </cfRule>
  </conditionalFormatting>
  <conditionalFormatting sqref="L43">
    <cfRule type="cellIs" dxfId="33740" priority="3989" operator="equal">
      <formula>"OFF"</formula>
    </cfRule>
    <cfRule type="cellIs" dxfId="33739" priority="3990" operator="equal">
      <formula>"PTO"</formula>
    </cfRule>
  </conditionalFormatting>
  <conditionalFormatting sqref="L43">
    <cfRule type="cellIs" dxfId="33738" priority="3987" operator="equal">
      <formula>"OFF"</formula>
    </cfRule>
    <cfRule type="cellIs" dxfId="33737" priority="3988" operator="equal">
      <formula>"PTO"</formula>
    </cfRule>
  </conditionalFormatting>
  <conditionalFormatting sqref="L46">
    <cfRule type="cellIs" dxfId="33736" priority="3985" operator="equal">
      <formula>"OFF"</formula>
    </cfRule>
    <cfRule type="cellIs" dxfId="33735" priority="3986" operator="equal">
      <formula>"PTO"</formula>
    </cfRule>
  </conditionalFormatting>
  <conditionalFormatting sqref="L46">
    <cfRule type="cellIs" dxfId="33734" priority="3983" operator="equal">
      <formula>"OFF"</formula>
    </cfRule>
    <cfRule type="cellIs" dxfId="33733" priority="3984" operator="equal">
      <formula>"PTO"</formula>
    </cfRule>
  </conditionalFormatting>
  <conditionalFormatting sqref="L45">
    <cfRule type="cellIs" dxfId="33732" priority="3981" operator="equal">
      <formula>"OFF"</formula>
    </cfRule>
    <cfRule type="cellIs" dxfId="33731" priority="3982" operator="equal">
      <formula>"PTO"</formula>
    </cfRule>
  </conditionalFormatting>
  <conditionalFormatting sqref="L45">
    <cfRule type="cellIs" dxfId="33730" priority="3979" operator="equal">
      <formula>"OFF"</formula>
    </cfRule>
    <cfRule type="cellIs" dxfId="33729" priority="3980" operator="equal">
      <formula>"PTO"</formula>
    </cfRule>
  </conditionalFormatting>
  <conditionalFormatting sqref="L45">
    <cfRule type="cellIs" dxfId="33728" priority="3977" operator="equal">
      <formula>"OFF"</formula>
    </cfRule>
    <cfRule type="cellIs" dxfId="33727" priority="3978" operator="equal">
      <formula>"PTO"</formula>
    </cfRule>
  </conditionalFormatting>
  <conditionalFormatting sqref="L45">
    <cfRule type="cellIs" dxfId="33726" priority="3975" operator="equal">
      <formula>"OFF"</formula>
    </cfRule>
    <cfRule type="cellIs" dxfId="33725" priority="3976" operator="equal">
      <formula>"PTO"</formula>
    </cfRule>
  </conditionalFormatting>
  <conditionalFormatting sqref="L45">
    <cfRule type="cellIs" dxfId="33724" priority="3973" operator="equal">
      <formula>"OFF"</formula>
    </cfRule>
    <cfRule type="cellIs" dxfId="33723" priority="3974" operator="equal">
      <formula>"PTO"</formula>
    </cfRule>
  </conditionalFormatting>
  <conditionalFormatting sqref="L45">
    <cfRule type="cellIs" dxfId="33722" priority="3971" operator="equal">
      <formula>"OFF"</formula>
    </cfRule>
    <cfRule type="cellIs" dxfId="33721" priority="3972" operator="equal">
      <formula>"PTO"</formula>
    </cfRule>
  </conditionalFormatting>
  <conditionalFormatting sqref="L45">
    <cfRule type="cellIs" dxfId="33720" priority="3969" operator="equal">
      <formula>"OFF"</formula>
    </cfRule>
    <cfRule type="cellIs" dxfId="33719" priority="3970" operator="equal">
      <formula>"PTO"</formula>
    </cfRule>
  </conditionalFormatting>
  <conditionalFormatting sqref="L45">
    <cfRule type="cellIs" dxfId="33718" priority="3967" operator="equal">
      <formula>"OFF"</formula>
    </cfRule>
    <cfRule type="cellIs" dxfId="33717" priority="3968" operator="equal">
      <formula>"PTO"</formula>
    </cfRule>
  </conditionalFormatting>
  <conditionalFormatting sqref="L45">
    <cfRule type="cellIs" dxfId="33716" priority="3965" operator="equal">
      <formula>"OFF"</formula>
    </cfRule>
    <cfRule type="cellIs" dxfId="33715" priority="3966" operator="equal">
      <formula>"PTO"</formula>
    </cfRule>
  </conditionalFormatting>
  <conditionalFormatting sqref="L45">
    <cfRule type="cellIs" dxfId="33714" priority="3963" operator="equal">
      <formula>"OFF"</formula>
    </cfRule>
    <cfRule type="cellIs" dxfId="33713" priority="3964" operator="equal">
      <formula>"PTO"</formula>
    </cfRule>
  </conditionalFormatting>
  <conditionalFormatting sqref="L45">
    <cfRule type="cellIs" dxfId="33712" priority="3961" operator="equal">
      <formula>"OFF"</formula>
    </cfRule>
    <cfRule type="cellIs" dxfId="33711" priority="3962" operator="equal">
      <formula>"PTO"</formula>
    </cfRule>
  </conditionalFormatting>
  <conditionalFormatting sqref="L45">
    <cfRule type="cellIs" dxfId="33710" priority="3959" operator="equal">
      <formula>"OFF"</formula>
    </cfRule>
    <cfRule type="cellIs" dxfId="33709" priority="3960" operator="equal">
      <formula>"PTO"</formula>
    </cfRule>
  </conditionalFormatting>
  <conditionalFormatting sqref="L45">
    <cfRule type="cellIs" dxfId="33708" priority="3957" operator="equal">
      <formula>"OFF"</formula>
    </cfRule>
    <cfRule type="cellIs" dxfId="33707" priority="3958" operator="equal">
      <formula>"PTO"</formula>
    </cfRule>
  </conditionalFormatting>
  <conditionalFormatting sqref="L45">
    <cfRule type="cellIs" dxfId="33706" priority="3955" operator="equal">
      <formula>"OFF"</formula>
    </cfRule>
    <cfRule type="cellIs" dxfId="33705" priority="3956" operator="equal">
      <formula>"PTO"</formula>
    </cfRule>
  </conditionalFormatting>
  <conditionalFormatting sqref="L45">
    <cfRule type="cellIs" dxfId="33704" priority="3953" operator="equal">
      <formula>"OFF"</formula>
    </cfRule>
    <cfRule type="cellIs" dxfId="33703" priority="3954" operator="equal">
      <formula>"PTO"</formula>
    </cfRule>
  </conditionalFormatting>
  <conditionalFormatting sqref="L45">
    <cfRule type="cellIs" dxfId="33702" priority="3951" operator="equal">
      <formula>"OFF"</formula>
    </cfRule>
    <cfRule type="cellIs" dxfId="33701" priority="3952" operator="equal">
      <formula>"PTO"</formula>
    </cfRule>
  </conditionalFormatting>
  <conditionalFormatting sqref="L45">
    <cfRule type="cellIs" dxfId="33700" priority="3949" operator="equal">
      <formula>"OFF"</formula>
    </cfRule>
    <cfRule type="cellIs" dxfId="33699" priority="3950" operator="equal">
      <formula>"PTO"</formula>
    </cfRule>
  </conditionalFormatting>
  <conditionalFormatting sqref="L45">
    <cfRule type="cellIs" dxfId="33698" priority="3947" operator="equal">
      <formula>"OFF"</formula>
    </cfRule>
    <cfRule type="cellIs" dxfId="33697" priority="3948" operator="equal">
      <formula>"PTO"</formula>
    </cfRule>
  </conditionalFormatting>
  <conditionalFormatting sqref="L45">
    <cfRule type="cellIs" dxfId="33696" priority="3945" operator="equal">
      <formula>"OFF"</formula>
    </cfRule>
    <cfRule type="cellIs" dxfId="33695" priority="3946" operator="equal">
      <formula>"PTO"</formula>
    </cfRule>
  </conditionalFormatting>
  <conditionalFormatting sqref="L45">
    <cfRule type="cellIs" dxfId="33694" priority="3943" operator="equal">
      <formula>"OFF"</formula>
    </cfRule>
    <cfRule type="cellIs" dxfId="33693" priority="3944" operator="equal">
      <formula>"PTO"</formula>
    </cfRule>
  </conditionalFormatting>
  <conditionalFormatting sqref="L45">
    <cfRule type="cellIs" dxfId="33692" priority="3941" operator="equal">
      <formula>"OFF"</formula>
    </cfRule>
    <cfRule type="cellIs" dxfId="33691" priority="3942" operator="equal">
      <formula>"PTO"</formula>
    </cfRule>
  </conditionalFormatting>
  <conditionalFormatting sqref="L45">
    <cfRule type="cellIs" dxfId="33690" priority="3939" operator="equal">
      <formula>"OFF"</formula>
    </cfRule>
    <cfRule type="cellIs" dxfId="33689" priority="3940" operator="equal">
      <formula>"PTO"</formula>
    </cfRule>
  </conditionalFormatting>
  <conditionalFormatting sqref="L45">
    <cfRule type="cellIs" dxfId="33688" priority="3937" operator="equal">
      <formula>"OFF"</formula>
    </cfRule>
    <cfRule type="cellIs" dxfId="33687" priority="3938" operator="equal">
      <formula>"PTO"</formula>
    </cfRule>
  </conditionalFormatting>
  <conditionalFormatting sqref="L45">
    <cfRule type="cellIs" dxfId="33686" priority="3935" operator="equal">
      <formula>"OFF"</formula>
    </cfRule>
    <cfRule type="cellIs" dxfId="33685" priority="3936" operator="equal">
      <formula>"PTO"</formula>
    </cfRule>
  </conditionalFormatting>
  <conditionalFormatting sqref="L45">
    <cfRule type="cellIs" dxfId="33684" priority="3933" operator="equal">
      <formula>"OFF"</formula>
    </cfRule>
    <cfRule type="cellIs" dxfId="33683" priority="3934" operator="equal">
      <formula>"PTO"</formula>
    </cfRule>
  </conditionalFormatting>
  <conditionalFormatting sqref="L45">
    <cfRule type="cellIs" dxfId="33682" priority="3931" operator="equal">
      <formula>"OFF"</formula>
    </cfRule>
    <cfRule type="cellIs" dxfId="33681" priority="3932" operator="equal">
      <formula>"PTO"</formula>
    </cfRule>
  </conditionalFormatting>
  <conditionalFormatting sqref="L46">
    <cfRule type="cellIs" dxfId="33680" priority="3929" operator="equal">
      <formula>"OFF"</formula>
    </cfRule>
    <cfRule type="cellIs" dxfId="33679" priority="3930" operator="equal">
      <formula>"PTO"</formula>
    </cfRule>
  </conditionalFormatting>
  <conditionalFormatting sqref="L46">
    <cfRule type="cellIs" dxfId="33678" priority="3927" operator="equal">
      <formula>"OFF"</formula>
    </cfRule>
    <cfRule type="cellIs" dxfId="33677" priority="3928" operator="equal">
      <formula>"PTO"</formula>
    </cfRule>
  </conditionalFormatting>
  <conditionalFormatting sqref="L46">
    <cfRule type="cellIs" dxfId="33676" priority="3925" operator="equal">
      <formula>"OFF"</formula>
    </cfRule>
    <cfRule type="cellIs" dxfId="33675" priority="3926" operator="equal">
      <formula>"PTO"</formula>
    </cfRule>
  </conditionalFormatting>
  <conditionalFormatting sqref="L46">
    <cfRule type="cellIs" dxfId="33674" priority="3923" operator="equal">
      <formula>"OFF"</formula>
    </cfRule>
    <cfRule type="cellIs" dxfId="33673" priority="3924" operator="equal">
      <formula>"PTO"</formula>
    </cfRule>
  </conditionalFormatting>
  <conditionalFormatting sqref="L46">
    <cfRule type="cellIs" dxfId="33672" priority="3921" operator="equal">
      <formula>"OFF"</formula>
    </cfRule>
    <cfRule type="cellIs" dxfId="33671" priority="3922" operator="equal">
      <formula>"PTO"</formula>
    </cfRule>
  </conditionalFormatting>
  <conditionalFormatting sqref="L46">
    <cfRule type="cellIs" dxfId="33670" priority="3919" operator="equal">
      <formula>"OFF"</formula>
    </cfRule>
    <cfRule type="cellIs" dxfId="33669" priority="3920" operator="equal">
      <formula>"PTO"</formula>
    </cfRule>
  </conditionalFormatting>
  <conditionalFormatting sqref="L46">
    <cfRule type="cellIs" dxfId="33668" priority="3917" operator="equal">
      <formula>"OFF"</formula>
    </cfRule>
    <cfRule type="cellIs" dxfId="33667" priority="3918" operator="equal">
      <formula>"PTO"</formula>
    </cfRule>
  </conditionalFormatting>
  <conditionalFormatting sqref="L46">
    <cfRule type="cellIs" dxfId="33666" priority="3915" operator="equal">
      <formula>"OFF"</formula>
    </cfRule>
    <cfRule type="cellIs" dxfId="33665" priority="3916" operator="equal">
      <formula>"PTO"</formula>
    </cfRule>
  </conditionalFormatting>
  <conditionalFormatting sqref="L46">
    <cfRule type="cellIs" dxfId="33664" priority="3913" operator="equal">
      <formula>"OFF"</formula>
    </cfRule>
    <cfRule type="cellIs" dxfId="33663" priority="3914" operator="equal">
      <formula>"PTO"</formula>
    </cfRule>
  </conditionalFormatting>
  <conditionalFormatting sqref="L46">
    <cfRule type="cellIs" dxfId="33662" priority="3911" operator="equal">
      <formula>"OFF"</formula>
    </cfRule>
    <cfRule type="cellIs" dxfId="33661" priority="3912" operator="equal">
      <formula>"PTO"</formula>
    </cfRule>
  </conditionalFormatting>
  <conditionalFormatting sqref="L46">
    <cfRule type="cellIs" dxfId="33660" priority="3909" operator="equal">
      <formula>"OFF"</formula>
    </cfRule>
    <cfRule type="cellIs" dxfId="33659" priority="3910" operator="equal">
      <formula>"PTO"</formula>
    </cfRule>
  </conditionalFormatting>
  <conditionalFormatting sqref="L46">
    <cfRule type="cellIs" dxfId="33658" priority="3907" operator="equal">
      <formula>"OFF"</formula>
    </cfRule>
    <cfRule type="cellIs" dxfId="33657" priority="3908" operator="equal">
      <formula>"PTO"</formula>
    </cfRule>
  </conditionalFormatting>
  <conditionalFormatting sqref="L46">
    <cfRule type="cellIs" dxfId="33656" priority="3905" operator="equal">
      <formula>"OFF"</formula>
    </cfRule>
    <cfRule type="cellIs" dxfId="33655" priority="3906" operator="equal">
      <formula>"PTO"</formula>
    </cfRule>
  </conditionalFormatting>
  <conditionalFormatting sqref="L46">
    <cfRule type="cellIs" dxfId="33654" priority="3903" operator="equal">
      <formula>"OFF"</formula>
    </cfRule>
    <cfRule type="cellIs" dxfId="33653" priority="3904" operator="equal">
      <formula>"PTO"</formula>
    </cfRule>
  </conditionalFormatting>
  <conditionalFormatting sqref="L46">
    <cfRule type="cellIs" dxfId="33652" priority="3901" operator="equal">
      <formula>"OFF"</formula>
    </cfRule>
    <cfRule type="cellIs" dxfId="33651" priority="3902" operator="equal">
      <formula>"PTO"</formula>
    </cfRule>
  </conditionalFormatting>
  <conditionalFormatting sqref="L46">
    <cfRule type="cellIs" dxfId="33650" priority="3899" operator="equal">
      <formula>"OFF"</formula>
    </cfRule>
    <cfRule type="cellIs" dxfId="33649" priority="3900" operator="equal">
      <formula>"PTO"</formula>
    </cfRule>
  </conditionalFormatting>
  <conditionalFormatting sqref="L46">
    <cfRule type="cellIs" dxfId="33648" priority="3897" operator="equal">
      <formula>"OFF"</formula>
    </cfRule>
    <cfRule type="cellIs" dxfId="33647" priority="3898" operator="equal">
      <formula>"PTO"</formula>
    </cfRule>
  </conditionalFormatting>
  <conditionalFormatting sqref="L46">
    <cfRule type="cellIs" dxfId="33646" priority="3895" operator="equal">
      <formula>"OFF"</formula>
    </cfRule>
    <cfRule type="cellIs" dxfId="33645" priority="3896" operator="equal">
      <formula>"PTO"</formula>
    </cfRule>
  </conditionalFormatting>
  <conditionalFormatting sqref="L46">
    <cfRule type="cellIs" dxfId="33644" priority="3893" operator="equal">
      <formula>"OFF"</formula>
    </cfRule>
    <cfRule type="cellIs" dxfId="33643" priority="3894" operator="equal">
      <formula>"PTO"</formula>
    </cfRule>
  </conditionalFormatting>
  <conditionalFormatting sqref="L46">
    <cfRule type="cellIs" dxfId="33642" priority="3891" operator="equal">
      <formula>"OFF"</formula>
    </cfRule>
    <cfRule type="cellIs" dxfId="33641" priority="3892" operator="equal">
      <formula>"PTO"</formula>
    </cfRule>
  </conditionalFormatting>
  <conditionalFormatting sqref="L46">
    <cfRule type="cellIs" dxfId="33640" priority="3889" operator="equal">
      <formula>"OFF"</formula>
    </cfRule>
    <cfRule type="cellIs" dxfId="33639" priority="3890" operator="equal">
      <formula>"PTO"</formula>
    </cfRule>
  </conditionalFormatting>
  <conditionalFormatting sqref="L46">
    <cfRule type="cellIs" dxfId="33638" priority="3887" operator="equal">
      <formula>"OFF"</formula>
    </cfRule>
    <cfRule type="cellIs" dxfId="33637" priority="3888" operator="equal">
      <formula>"PTO"</formula>
    </cfRule>
  </conditionalFormatting>
  <conditionalFormatting sqref="L46">
    <cfRule type="cellIs" dxfId="33636" priority="3885" operator="equal">
      <formula>"OFF"</formula>
    </cfRule>
    <cfRule type="cellIs" dxfId="33635" priority="3886" operator="equal">
      <formula>"PTO"</formula>
    </cfRule>
  </conditionalFormatting>
  <conditionalFormatting sqref="L46">
    <cfRule type="cellIs" dxfId="33634" priority="3883" operator="equal">
      <formula>"OFF"</formula>
    </cfRule>
    <cfRule type="cellIs" dxfId="33633" priority="3884" operator="equal">
      <formula>"PTO"</formula>
    </cfRule>
  </conditionalFormatting>
  <conditionalFormatting sqref="L46">
    <cfRule type="cellIs" dxfId="33632" priority="3881" operator="equal">
      <formula>"OFF"</formula>
    </cfRule>
    <cfRule type="cellIs" dxfId="33631" priority="3882" operator="equal">
      <formula>"PTO"</formula>
    </cfRule>
  </conditionalFormatting>
  <conditionalFormatting sqref="L46">
    <cfRule type="cellIs" dxfId="33630" priority="3879" operator="equal">
      <formula>"OFF"</formula>
    </cfRule>
    <cfRule type="cellIs" dxfId="33629" priority="3880" operator="equal">
      <formula>"PTO"</formula>
    </cfRule>
  </conditionalFormatting>
  <conditionalFormatting sqref="L45">
    <cfRule type="cellIs" dxfId="33628" priority="3877" operator="equal">
      <formula>"OFF"</formula>
    </cfRule>
    <cfRule type="cellIs" dxfId="33627" priority="3878" operator="equal">
      <formula>"PTO"</formula>
    </cfRule>
  </conditionalFormatting>
  <conditionalFormatting sqref="L45">
    <cfRule type="cellIs" dxfId="33626" priority="3875" operator="equal">
      <formula>"OFF"</formula>
    </cfRule>
    <cfRule type="cellIs" dxfId="33625" priority="3876" operator="equal">
      <formula>"PTO"</formula>
    </cfRule>
  </conditionalFormatting>
  <conditionalFormatting sqref="L46">
    <cfRule type="cellIs" dxfId="33624" priority="3873" operator="equal">
      <formula>"OFF"</formula>
    </cfRule>
    <cfRule type="cellIs" dxfId="33623" priority="3874" operator="equal">
      <formula>"PTO"</formula>
    </cfRule>
  </conditionalFormatting>
  <conditionalFormatting sqref="L45">
    <cfRule type="cellIs" dxfId="33622" priority="3871" operator="equal">
      <formula>"OFF"</formula>
    </cfRule>
    <cfRule type="cellIs" dxfId="33621" priority="3872" operator="equal">
      <formula>"PTO"</formula>
    </cfRule>
  </conditionalFormatting>
  <conditionalFormatting sqref="L47">
    <cfRule type="cellIs" dxfId="33620" priority="3869" operator="equal">
      <formula>"OFF"</formula>
    </cfRule>
    <cfRule type="cellIs" dxfId="33619" priority="3870" operator="equal">
      <formula>"PTO"</formula>
    </cfRule>
  </conditionalFormatting>
  <conditionalFormatting sqref="L47">
    <cfRule type="cellIs" dxfId="33618" priority="3867" operator="equal">
      <formula>"OFF"</formula>
    </cfRule>
    <cfRule type="cellIs" dxfId="33617" priority="3868" operator="equal">
      <formula>"PTO"</formula>
    </cfRule>
  </conditionalFormatting>
  <conditionalFormatting sqref="L47">
    <cfRule type="cellIs" dxfId="33616" priority="3865" operator="equal">
      <formula>"OFF"</formula>
    </cfRule>
    <cfRule type="cellIs" dxfId="33615" priority="3866" operator="equal">
      <formula>"PTO"</formula>
    </cfRule>
  </conditionalFormatting>
  <conditionalFormatting sqref="L47">
    <cfRule type="cellIs" dxfId="33614" priority="3863" operator="equal">
      <formula>"OFF"</formula>
    </cfRule>
    <cfRule type="cellIs" dxfId="33613" priority="3864" operator="equal">
      <formula>"PTO"</formula>
    </cfRule>
  </conditionalFormatting>
  <conditionalFormatting sqref="L47">
    <cfRule type="cellIs" dxfId="33612" priority="3861" operator="equal">
      <formula>"OFF"</formula>
    </cfRule>
    <cfRule type="cellIs" dxfId="33611" priority="3862" operator="equal">
      <formula>"PTO"</formula>
    </cfRule>
  </conditionalFormatting>
  <conditionalFormatting sqref="L47">
    <cfRule type="cellIs" dxfId="33610" priority="3859" operator="equal">
      <formula>"OFF"</formula>
    </cfRule>
    <cfRule type="cellIs" dxfId="33609" priority="3860" operator="equal">
      <formula>"PTO"</formula>
    </cfRule>
  </conditionalFormatting>
  <conditionalFormatting sqref="L47">
    <cfRule type="cellIs" dxfId="33608" priority="3857" operator="equal">
      <formula>"OFF"</formula>
    </cfRule>
    <cfRule type="cellIs" dxfId="33607" priority="3858" operator="equal">
      <formula>"PTO"</formula>
    </cfRule>
  </conditionalFormatting>
  <conditionalFormatting sqref="L47">
    <cfRule type="cellIs" dxfId="33606" priority="3855" operator="equal">
      <formula>"OFF"</formula>
    </cfRule>
    <cfRule type="cellIs" dxfId="33605" priority="3856" operator="equal">
      <formula>"PTO"</formula>
    </cfRule>
  </conditionalFormatting>
  <conditionalFormatting sqref="L47">
    <cfRule type="cellIs" dxfId="33604" priority="3853" operator="equal">
      <formula>"OFF"</formula>
    </cfRule>
    <cfRule type="cellIs" dxfId="33603" priority="3854" operator="equal">
      <formula>"PTO"</formula>
    </cfRule>
  </conditionalFormatting>
  <conditionalFormatting sqref="L47">
    <cfRule type="cellIs" dxfId="33602" priority="3851" operator="equal">
      <formula>"OFF"</formula>
    </cfRule>
    <cfRule type="cellIs" dxfId="33601" priority="3852" operator="equal">
      <formula>"PTO"</formula>
    </cfRule>
  </conditionalFormatting>
  <conditionalFormatting sqref="L47">
    <cfRule type="cellIs" dxfId="33600" priority="3849" operator="equal">
      <formula>"OFF"</formula>
    </cfRule>
    <cfRule type="cellIs" dxfId="33599" priority="3850" operator="equal">
      <formula>"PTO"</formula>
    </cfRule>
  </conditionalFormatting>
  <conditionalFormatting sqref="L47">
    <cfRule type="cellIs" dxfId="33598" priority="3847" operator="equal">
      <formula>"OFF"</formula>
    </cfRule>
    <cfRule type="cellIs" dxfId="33597" priority="3848" operator="equal">
      <formula>"PTO"</formula>
    </cfRule>
  </conditionalFormatting>
  <conditionalFormatting sqref="L47">
    <cfRule type="cellIs" dxfId="33596" priority="3845" operator="equal">
      <formula>"OFF"</formula>
    </cfRule>
    <cfRule type="cellIs" dxfId="33595" priority="3846" operator="equal">
      <formula>"PTO"</formula>
    </cfRule>
  </conditionalFormatting>
  <conditionalFormatting sqref="L47">
    <cfRule type="cellIs" dxfId="33594" priority="3843" operator="equal">
      <formula>"OFF"</formula>
    </cfRule>
    <cfRule type="cellIs" dxfId="33593" priority="3844" operator="equal">
      <formula>"PTO"</formula>
    </cfRule>
  </conditionalFormatting>
  <conditionalFormatting sqref="L47">
    <cfRule type="cellIs" dxfId="33592" priority="3841" operator="equal">
      <formula>"OFF"</formula>
    </cfRule>
    <cfRule type="cellIs" dxfId="33591" priority="3842" operator="equal">
      <formula>"PTO"</formula>
    </cfRule>
  </conditionalFormatting>
  <conditionalFormatting sqref="L47">
    <cfRule type="cellIs" dxfId="33590" priority="3839" operator="equal">
      <formula>"OFF"</formula>
    </cfRule>
    <cfRule type="cellIs" dxfId="33589" priority="3840" operator="equal">
      <formula>"PTO"</formula>
    </cfRule>
  </conditionalFormatting>
  <conditionalFormatting sqref="L47">
    <cfRule type="cellIs" dxfId="33588" priority="3837" operator="equal">
      <formula>"OFF"</formula>
    </cfRule>
    <cfRule type="cellIs" dxfId="33587" priority="3838" operator="equal">
      <formula>"PTO"</formula>
    </cfRule>
  </conditionalFormatting>
  <conditionalFormatting sqref="L47">
    <cfRule type="cellIs" dxfId="33586" priority="3835" operator="equal">
      <formula>"OFF"</formula>
    </cfRule>
    <cfRule type="cellIs" dxfId="33585" priority="3836" operator="equal">
      <formula>"PTO"</formula>
    </cfRule>
  </conditionalFormatting>
  <conditionalFormatting sqref="L47">
    <cfRule type="cellIs" dxfId="33584" priority="3833" operator="equal">
      <formula>"OFF"</formula>
    </cfRule>
    <cfRule type="cellIs" dxfId="33583" priority="3834" operator="equal">
      <formula>"PTO"</formula>
    </cfRule>
  </conditionalFormatting>
  <conditionalFormatting sqref="L47">
    <cfRule type="cellIs" dxfId="33582" priority="3831" operator="equal">
      <formula>"OFF"</formula>
    </cfRule>
    <cfRule type="cellIs" dxfId="33581" priority="3832" operator="equal">
      <formula>"PTO"</formula>
    </cfRule>
  </conditionalFormatting>
  <conditionalFormatting sqref="L47">
    <cfRule type="cellIs" dxfId="33580" priority="3829" operator="equal">
      <formula>"OFF"</formula>
    </cfRule>
    <cfRule type="cellIs" dxfId="33579" priority="3830" operator="equal">
      <formula>"PTO"</formula>
    </cfRule>
  </conditionalFormatting>
  <conditionalFormatting sqref="L47">
    <cfRule type="cellIs" dxfId="33578" priority="3827" operator="equal">
      <formula>"OFF"</formula>
    </cfRule>
    <cfRule type="cellIs" dxfId="33577" priority="3828" operator="equal">
      <formula>"PTO"</formula>
    </cfRule>
  </conditionalFormatting>
  <conditionalFormatting sqref="L47">
    <cfRule type="cellIs" dxfId="33576" priority="3825" operator="equal">
      <formula>"OFF"</formula>
    </cfRule>
    <cfRule type="cellIs" dxfId="33575" priority="3826" operator="equal">
      <formula>"PTO"</formula>
    </cfRule>
  </conditionalFormatting>
  <conditionalFormatting sqref="L47">
    <cfRule type="cellIs" dxfId="33574" priority="3823" operator="equal">
      <formula>"OFF"</formula>
    </cfRule>
    <cfRule type="cellIs" dxfId="33573" priority="3824" operator="equal">
      <formula>"PTO"</formula>
    </cfRule>
  </conditionalFormatting>
  <conditionalFormatting sqref="L47">
    <cfRule type="cellIs" dxfId="33572" priority="3821" operator="equal">
      <formula>"OFF"</formula>
    </cfRule>
    <cfRule type="cellIs" dxfId="33571" priority="3822" operator="equal">
      <formula>"PTO"</formula>
    </cfRule>
  </conditionalFormatting>
  <conditionalFormatting sqref="L48">
    <cfRule type="cellIs" dxfId="33570" priority="3819" operator="equal">
      <formula>"OFF"</formula>
    </cfRule>
    <cfRule type="cellIs" dxfId="33569" priority="3820" operator="equal">
      <formula>"PTO"</formula>
    </cfRule>
  </conditionalFormatting>
  <conditionalFormatting sqref="L48">
    <cfRule type="cellIs" dxfId="33568" priority="3817" operator="equal">
      <formula>"OFF"</formula>
    </cfRule>
    <cfRule type="cellIs" dxfId="33567" priority="3818" operator="equal">
      <formula>"PTO"</formula>
    </cfRule>
  </conditionalFormatting>
  <conditionalFormatting sqref="L48">
    <cfRule type="cellIs" dxfId="33566" priority="3815" operator="equal">
      <formula>"OFF"</formula>
    </cfRule>
    <cfRule type="cellIs" dxfId="33565" priority="3816" operator="equal">
      <formula>"PTO"</formula>
    </cfRule>
  </conditionalFormatting>
  <conditionalFormatting sqref="L48">
    <cfRule type="cellIs" dxfId="33564" priority="3813" operator="equal">
      <formula>"OFF"</formula>
    </cfRule>
    <cfRule type="cellIs" dxfId="33563" priority="3814" operator="equal">
      <formula>"PTO"</formula>
    </cfRule>
  </conditionalFormatting>
  <conditionalFormatting sqref="L48">
    <cfRule type="cellIs" dxfId="33562" priority="3811" operator="equal">
      <formula>"OFF"</formula>
    </cfRule>
    <cfRule type="cellIs" dxfId="33561" priority="3812" operator="equal">
      <formula>"PTO"</formula>
    </cfRule>
  </conditionalFormatting>
  <conditionalFormatting sqref="L48">
    <cfRule type="cellIs" dxfId="33560" priority="3809" operator="equal">
      <formula>"OFF"</formula>
    </cfRule>
    <cfRule type="cellIs" dxfId="33559" priority="3810" operator="equal">
      <formula>"PTO"</formula>
    </cfRule>
  </conditionalFormatting>
  <conditionalFormatting sqref="L48">
    <cfRule type="cellIs" dxfId="33558" priority="3807" operator="equal">
      <formula>"OFF"</formula>
    </cfRule>
    <cfRule type="cellIs" dxfId="33557" priority="3808" operator="equal">
      <formula>"PTO"</formula>
    </cfRule>
  </conditionalFormatting>
  <conditionalFormatting sqref="L48">
    <cfRule type="cellIs" dxfId="33556" priority="3805" operator="equal">
      <formula>"OFF"</formula>
    </cfRule>
    <cfRule type="cellIs" dxfId="33555" priority="3806" operator="equal">
      <formula>"PTO"</formula>
    </cfRule>
  </conditionalFormatting>
  <conditionalFormatting sqref="L48">
    <cfRule type="cellIs" dxfId="33554" priority="3803" operator="equal">
      <formula>"OFF"</formula>
    </cfRule>
    <cfRule type="cellIs" dxfId="33553" priority="3804" operator="equal">
      <formula>"PTO"</formula>
    </cfRule>
  </conditionalFormatting>
  <conditionalFormatting sqref="L48">
    <cfRule type="cellIs" dxfId="33552" priority="3801" operator="equal">
      <formula>"OFF"</formula>
    </cfRule>
    <cfRule type="cellIs" dxfId="33551" priority="3802" operator="equal">
      <formula>"PTO"</formula>
    </cfRule>
  </conditionalFormatting>
  <conditionalFormatting sqref="L47">
    <cfRule type="cellIs" dxfId="33550" priority="3799" operator="equal">
      <formula>"OFF"</formula>
    </cfRule>
    <cfRule type="cellIs" dxfId="33549" priority="3800" operator="equal">
      <formula>"PTO"</formula>
    </cfRule>
  </conditionalFormatting>
  <conditionalFormatting sqref="L47">
    <cfRule type="cellIs" dxfId="33548" priority="3797" operator="equal">
      <formula>"OFF"</formula>
    </cfRule>
    <cfRule type="cellIs" dxfId="33547" priority="3798" operator="equal">
      <formula>"PTO"</formula>
    </cfRule>
  </conditionalFormatting>
  <conditionalFormatting sqref="L47">
    <cfRule type="cellIs" dxfId="33546" priority="3795" operator="equal">
      <formula>"OFF"</formula>
    </cfRule>
    <cfRule type="cellIs" dxfId="33545" priority="3796" operator="equal">
      <formula>"PTO"</formula>
    </cfRule>
  </conditionalFormatting>
  <conditionalFormatting sqref="L47">
    <cfRule type="cellIs" dxfId="33544" priority="3793" operator="equal">
      <formula>"OFF"</formula>
    </cfRule>
    <cfRule type="cellIs" dxfId="33543" priority="3794" operator="equal">
      <formula>"PTO"</formula>
    </cfRule>
  </conditionalFormatting>
  <conditionalFormatting sqref="L47">
    <cfRule type="cellIs" dxfId="33542" priority="3791" operator="equal">
      <formula>"OFF"</formula>
    </cfRule>
    <cfRule type="cellIs" dxfId="33541" priority="3792" operator="equal">
      <formula>"PTO"</formula>
    </cfRule>
  </conditionalFormatting>
  <conditionalFormatting sqref="L47">
    <cfRule type="cellIs" dxfId="33540" priority="3789" operator="equal">
      <formula>"OFF"</formula>
    </cfRule>
    <cfRule type="cellIs" dxfId="33539" priority="3790" operator="equal">
      <formula>"PTO"</formula>
    </cfRule>
  </conditionalFormatting>
  <conditionalFormatting sqref="L47">
    <cfRule type="cellIs" dxfId="33538" priority="3787" operator="equal">
      <formula>"OFF"</formula>
    </cfRule>
    <cfRule type="cellIs" dxfId="33537" priority="3788" operator="equal">
      <formula>"PTO"</formula>
    </cfRule>
  </conditionalFormatting>
  <conditionalFormatting sqref="L47">
    <cfRule type="cellIs" dxfId="33536" priority="3785" operator="equal">
      <formula>"OFF"</formula>
    </cfRule>
    <cfRule type="cellIs" dxfId="33535" priority="3786" operator="equal">
      <formula>"PTO"</formula>
    </cfRule>
  </conditionalFormatting>
  <conditionalFormatting sqref="L47">
    <cfRule type="cellIs" dxfId="33534" priority="3783" operator="equal">
      <formula>"OFF"</formula>
    </cfRule>
    <cfRule type="cellIs" dxfId="33533" priority="3784" operator="equal">
      <formula>"PTO"</formula>
    </cfRule>
  </conditionalFormatting>
  <conditionalFormatting sqref="L49">
    <cfRule type="cellIs" dxfId="33532" priority="3781" operator="equal">
      <formula>"OFF"</formula>
    </cfRule>
    <cfRule type="cellIs" dxfId="33531" priority="3782" operator="equal">
      <formula>"PTO"</formula>
    </cfRule>
  </conditionalFormatting>
  <conditionalFormatting sqref="N45:N50">
    <cfRule type="cellIs" dxfId="33530" priority="3779" operator="equal">
      <formula>"OFF"</formula>
    </cfRule>
    <cfRule type="cellIs" dxfId="33529" priority="3780" operator="equal">
      <formula>"PTO"</formula>
    </cfRule>
  </conditionalFormatting>
  <conditionalFormatting sqref="N48">
    <cfRule type="cellIs" dxfId="33528" priority="3777" operator="equal">
      <formula>"OFF"</formula>
    </cfRule>
    <cfRule type="cellIs" dxfId="33527" priority="3778" operator="equal">
      <formula>"PTO"</formula>
    </cfRule>
  </conditionalFormatting>
  <conditionalFormatting sqref="N48">
    <cfRule type="cellIs" dxfId="33526" priority="3775" operator="equal">
      <formula>"OFF"</formula>
    </cfRule>
    <cfRule type="cellIs" dxfId="33525" priority="3776" operator="equal">
      <formula>"PTO"</formula>
    </cfRule>
  </conditionalFormatting>
  <conditionalFormatting sqref="N48">
    <cfRule type="cellIs" dxfId="33524" priority="3773" operator="equal">
      <formula>"OFF"</formula>
    </cfRule>
    <cfRule type="cellIs" dxfId="33523" priority="3774" operator="equal">
      <formula>"PTO"</formula>
    </cfRule>
  </conditionalFormatting>
  <conditionalFormatting sqref="N48">
    <cfRule type="cellIs" dxfId="33522" priority="3771" operator="equal">
      <formula>"OFF"</formula>
    </cfRule>
    <cfRule type="cellIs" dxfId="33521" priority="3772" operator="equal">
      <formula>"PTO"</formula>
    </cfRule>
  </conditionalFormatting>
  <conditionalFormatting sqref="N45">
    <cfRule type="cellIs" dxfId="33520" priority="3769" operator="equal">
      <formula>"OFF"</formula>
    </cfRule>
    <cfRule type="cellIs" dxfId="33519" priority="3770" operator="equal">
      <formula>"PTO"</formula>
    </cfRule>
  </conditionalFormatting>
  <conditionalFormatting sqref="N45">
    <cfRule type="cellIs" dxfId="33518" priority="3767" operator="equal">
      <formula>"OFF"</formula>
    </cfRule>
    <cfRule type="cellIs" dxfId="33517" priority="3768" operator="equal">
      <formula>"PTO"</formula>
    </cfRule>
  </conditionalFormatting>
  <conditionalFormatting sqref="N48">
    <cfRule type="cellIs" dxfId="33516" priority="3765" operator="equal">
      <formula>"OFF"</formula>
    </cfRule>
    <cfRule type="cellIs" dxfId="33515" priority="3766" operator="equal">
      <formula>"PTO"</formula>
    </cfRule>
  </conditionalFormatting>
  <conditionalFormatting sqref="N45">
    <cfRule type="cellIs" dxfId="33514" priority="3763" operator="equal">
      <formula>"OFF"</formula>
    </cfRule>
    <cfRule type="cellIs" dxfId="33513" priority="3764" operator="equal">
      <formula>"PTO"</formula>
    </cfRule>
  </conditionalFormatting>
  <conditionalFormatting sqref="N50">
    <cfRule type="cellIs" dxfId="33512" priority="3761" operator="equal">
      <formula>"OFF"</formula>
    </cfRule>
    <cfRule type="cellIs" dxfId="33511" priority="3762" operator="equal">
      <formula>"PTO"</formula>
    </cfRule>
  </conditionalFormatting>
  <conditionalFormatting sqref="N48">
    <cfRule type="cellIs" dxfId="33510" priority="3759" operator="equal">
      <formula>"OFF"</formula>
    </cfRule>
    <cfRule type="cellIs" dxfId="33509" priority="3760" operator="equal">
      <formula>"PTO"</formula>
    </cfRule>
  </conditionalFormatting>
  <conditionalFormatting sqref="N48">
    <cfRule type="cellIs" dxfId="33508" priority="3757" operator="equal">
      <formula>"OFF"</formula>
    </cfRule>
    <cfRule type="cellIs" dxfId="33507" priority="3758" operator="equal">
      <formula>"PTO"</formula>
    </cfRule>
  </conditionalFormatting>
  <conditionalFormatting sqref="N48">
    <cfRule type="cellIs" dxfId="33506" priority="3755" operator="equal">
      <formula>"OFF"</formula>
    </cfRule>
    <cfRule type="cellIs" dxfId="33505" priority="3756" operator="equal">
      <formula>"PTO"</formula>
    </cfRule>
  </conditionalFormatting>
  <conditionalFormatting sqref="N48">
    <cfRule type="cellIs" dxfId="33504" priority="3753" operator="equal">
      <formula>"OFF"</formula>
    </cfRule>
    <cfRule type="cellIs" dxfId="33503" priority="3754" operator="equal">
      <formula>"PTO"</formula>
    </cfRule>
  </conditionalFormatting>
  <conditionalFormatting sqref="N48">
    <cfRule type="cellIs" dxfId="33502" priority="3751" operator="equal">
      <formula>"OFF"</formula>
    </cfRule>
    <cfRule type="cellIs" dxfId="33501" priority="3752" operator="equal">
      <formula>"PTO"</formula>
    </cfRule>
  </conditionalFormatting>
  <conditionalFormatting sqref="N48">
    <cfRule type="cellIs" dxfId="33500" priority="3749" operator="equal">
      <formula>"OFF"</formula>
    </cfRule>
    <cfRule type="cellIs" dxfId="33499" priority="3750" operator="equal">
      <formula>"PTO"</formula>
    </cfRule>
  </conditionalFormatting>
  <conditionalFormatting sqref="N48">
    <cfRule type="cellIs" dxfId="33498" priority="3747" operator="equal">
      <formula>"OFF"</formula>
    </cfRule>
    <cfRule type="cellIs" dxfId="33497" priority="3748" operator="equal">
      <formula>"PTO"</formula>
    </cfRule>
  </conditionalFormatting>
  <conditionalFormatting sqref="N48">
    <cfRule type="cellIs" dxfId="33496" priority="3745" operator="equal">
      <formula>"OFF"</formula>
    </cfRule>
    <cfRule type="cellIs" dxfId="33495" priority="3746" operator="equal">
      <formula>"PTO"</formula>
    </cfRule>
  </conditionalFormatting>
  <conditionalFormatting sqref="N48">
    <cfRule type="cellIs" dxfId="33494" priority="3743" operator="equal">
      <formula>"OFF"</formula>
    </cfRule>
    <cfRule type="cellIs" dxfId="33493" priority="3744" operator="equal">
      <formula>"PTO"</formula>
    </cfRule>
  </conditionalFormatting>
  <conditionalFormatting sqref="N48">
    <cfRule type="cellIs" dxfId="33492" priority="3741" operator="equal">
      <formula>"OFF"</formula>
    </cfRule>
    <cfRule type="cellIs" dxfId="33491" priority="3742" operator="equal">
      <formula>"PTO"</formula>
    </cfRule>
  </conditionalFormatting>
  <conditionalFormatting sqref="N48">
    <cfRule type="cellIs" dxfId="33490" priority="3739" operator="equal">
      <formula>"OFF"</formula>
    </cfRule>
    <cfRule type="cellIs" dxfId="33489" priority="3740" operator="equal">
      <formula>"PTO"</formula>
    </cfRule>
  </conditionalFormatting>
  <conditionalFormatting sqref="N48">
    <cfRule type="cellIs" dxfId="33488" priority="3737" operator="equal">
      <formula>"OFF"</formula>
    </cfRule>
    <cfRule type="cellIs" dxfId="33487" priority="3738" operator="equal">
      <formula>"PTO"</formula>
    </cfRule>
  </conditionalFormatting>
  <conditionalFormatting sqref="N48">
    <cfRule type="cellIs" dxfId="33486" priority="3735" operator="equal">
      <formula>"OFF"</formula>
    </cfRule>
    <cfRule type="cellIs" dxfId="33485" priority="3736" operator="equal">
      <formula>"PTO"</formula>
    </cfRule>
  </conditionalFormatting>
  <conditionalFormatting sqref="N48">
    <cfRule type="cellIs" dxfId="33484" priority="3733" operator="equal">
      <formula>"OFF"</formula>
    </cfRule>
    <cfRule type="cellIs" dxfId="33483" priority="3734" operator="equal">
      <formula>"PTO"</formula>
    </cfRule>
  </conditionalFormatting>
  <conditionalFormatting sqref="N48">
    <cfRule type="cellIs" dxfId="33482" priority="3731" operator="equal">
      <formula>"OFF"</formula>
    </cfRule>
    <cfRule type="cellIs" dxfId="33481" priority="3732" operator="equal">
      <formula>"PTO"</formula>
    </cfRule>
  </conditionalFormatting>
  <conditionalFormatting sqref="N48">
    <cfRule type="cellIs" dxfId="33480" priority="3729" operator="equal">
      <formula>"OFF"</formula>
    </cfRule>
    <cfRule type="cellIs" dxfId="33479" priority="3730" operator="equal">
      <formula>"PTO"</formula>
    </cfRule>
  </conditionalFormatting>
  <conditionalFormatting sqref="N48">
    <cfRule type="cellIs" dxfId="33478" priority="3727" operator="equal">
      <formula>"OFF"</formula>
    </cfRule>
    <cfRule type="cellIs" dxfId="33477" priority="3728" operator="equal">
      <formula>"PTO"</formula>
    </cfRule>
  </conditionalFormatting>
  <conditionalFormatting sqref="N48">
    <cfRule type="cellIs" dxfId="33476" priority="3725" operator="equal">
      <formula>"OFF"</formula>
    </cfRule>
    <cfRule type="cellIs" dxfId="33475" priority="3726" operator="equal">
      <formula>"PTO"</formula>
    </cfRule>
  </conditionalFormatting>
  <conditionalFormatting sqref="N48">
    <cfRule type="cellIs" dxfId="33474" priority="3723" operator="equal">
      <formula>"OFF"</formula>
    </cfRule>
    <cfRule type="cellIs" dxfId="33473" priority="3724" operator="equal">
      <formula>"PTO"</formula>
    </cfRule>
  </conditionalFormatting>
  <conditionalFormatting sqref="N48">
    <cfRule type="cellIs" dxfId="33472" priority="3721" operator="equal">
      <formula>"OFF"</formula>
    </cfRule>
    <cfRule type="cellIs" dxfId="33471" priority="3722" operator="equal">
      <formula>"PTO"</formula>
    </cfRule>
  </conditionalFormatting>
  <conditionalFormatting sqref="N43">
    <cfRule type="cellIs" dxfId="33470" priority="3719" operator="equal">
      <formula>"OFF"</formula>
    </cfRule>
    <cfRule type="cellIs" dxfId="33469" priority="3720" operator="equal">
      <formula>"PTO"</formula>
    </cfRule>
  </conditionalFormatting>
  <conditionalFormatting sqref="N43">
    <cfRule type="cellIs" dxfId="33468" priority="3717" operator="equal">
      <formula>"OFF"</formula>
    </cfRule>
    <cfRule type="cellIs" dxfId="33467" priority="3718" operator="equal">
      <formula>"PTO"</formula>
    </cfRule>
  </conditionalFormatting>
  <conditionalFormatting sqref="N43">
    <cfRule type="cellIs" dxfId="33466" priority="3715" operator="equal">
      <formula>"OFF"</formula>
    </cfRule>
    <cfRule type="cellIs" dxfId="33465" priority="3716" operator="equal">
      <formula>"PTO"</formula>
    </cfRule>
  </conditionalFormatting>
  <conditionalFormatting sqref="N43">
    <cfRule type="cellIs" dxfId="33464" priority="3713" operator="equal">
      <formula>"OFF"</formula>
    </cfRule>
    <cfRule type="cellIs" dxfId="33463" priority="3714" operator="equal">
      <formula>"PTO"</formula>
    </cfRule>
  </conditionalFormatting>
  <conditionalFormatting sqref="N49">
    <cfRule type="cellIs" dxfId="33462" priority="3711" operator="equal">
      <formula>"OFF"</formula>
    </cfRule>
    <cfRule type="cellIs" dxfId="33461" priority="3712" operator="equal">
      <formula>"PTO"</formula>
    </cfRule>
  </conditionalFormatting>
  <conditionalFormatting sqref="N49">
    <cfRule type="cellIs" dxfId="33460" priority="3709" operator="equal">
      <formula>"OFF"</formula>
    </cfRule>
    <cfRule type="cellIs" dxfId="33459" priority="3710" operator="equal">
      <formula>"PTO"</formula>
    </cfRule>
  </conditionalFormatting>
  <conditionalFormatting sqref="N49">
    <cfRule type="cellIs" dxfId="33458" priority="3707" operator="equal">
      <formula>"OFF"</formula>
    </cfRule>
    <cfRule type="cellIs" dxfId="33457" priority="3708" operator="equal">
      <formula>"PTO"</formula>
    </cfRule>
  </conditionalFormatting>
  <conditionalFormatting sqref="N49">
    <cfRule type="cellIs" dxfId="33456" priority="3705" operator="equal">
      <formula>"OFF"</formula>
    </cfRule>
    <cfRule type="cellIs" dxfId="33455" priority="3706" operator="equal">
      <formula>"PTO"</formula>
    </cfRule>
  </conditionalFormatting>
  <conditionalFormatting sqref="N49">
    <cfRule type="cellIs" dxfId="33454" priority="3703" operator="equal">
      <formula>"OFF"</formula>
    </cfRule>
    <cfRule type="cellIs" dxfId="33453" priority="3704" operator="equal">
      <formula>"PTO"</formula>
    </cfRule>
  </conditionalFormatting>
  <conditionalFormatting sqref="N49">
    <cfRule type="cellIs" dxfId="33452" priority="3701" operator="equal">
      <formula>"OFF"</formula>
    </cfRule>
    <cfRule type="cellIs" dxfId="33451" priority="3702" operator="equal">
      <formula>"PTO"</formula>
    </cfRule>
  </conditionalFormatting>
  <conditionalFormatting sqref="N49">
    <cfRule type="cellIs" dxfId="33450" priority="3699" operator="equal">
      <formula>"OFF"</formula>
    </cfRule>
    <cfRule type="cellIs" dxfId="33449" priority="3700" operator="equal">
      <formula>"PTO"</formula>
    </cfRule>
  </conditionalFormatting>
  <conditionalFormatting sqref="N49">
    <cfRule type="cellIs" dxfId="33448" priority="3697" operator="equal">
      <formula>"OFF"</formula>
    </cfRule>
    <cfRule type="cellIs" dxfId="33447" priority="3698" operator="equal">
      <formula>"PTO"</formula>
    </cfRule>
  </conditionalFormatting>
  <conditionalFormatting sqref="N49">
    <cfRule type="cellIs" dxfId="33446" priority="3695" operator="equal">
      <formula>"OFF"</formula>
    </cfRule>
    <cfRule type="cellIs" dxfId="33445" priority="3696" operator="equal">
      <formula>"PTO"</formula>
    </cfRule>
  </conditionalFormatting>
  <conditionalFormatting sqref="N47">
    <cfRule type="cellIs" dxfId="33444" priority="3693" operator="equal">
      <formula>"OFF"</formula>
    </cfRule>
    <cfRule type="cellIs" dxfId="33443" priority="3694" operator="equal">
      <formula>"PTO"</formula>
    </cfRule>
  </conditionalFormatting>
  <conditionalFormatting sqref="N47">
    <cfRule type="cellIs" dxfId="33442" priority="3691" operator="equal">
      <formula>"OFF"</formula>
    </cfRule>
    <cfRule type="cellIs" dxfId="33441" priority="3692" operator="equal">
      <formula>"PTO"</formula>
    </cfRule>
  </conditionalFormatting>
  <conditionalFormatting sqref="N45">
    <cfRule type="cellIs" dxfId="33440" priority="3689" operator="equal">
      <formula>"OFF"</formula>
    </cfRule>
    <cfRule type="cellIs" dxfId="33439" priority="3690" operator="equal">
      <formula>"PTO"</formula>
    </cfRule>
  </conditionalFormatting>
  <conditionalFormatting sqref="N45">
    <cfRule type="cellIs" dxfId="33438" priority="3687" operator="equal">
      <formula>"OFF"</formula>
    </cfRule>
    <cfRule type="cellIs" dxfId="33437" priority="3688" operator="equal">
      <formula>"PTO"</formula>
    </cfRule>
  </conditionalFormatting>
  <conditionalFormatting sqref="N45">
    <cfRule type="cellIs" dxfId="33436" priority="3685" operator="equal">
      <formula>"OFF"</formula>
    </cfRule>
    <cfRule type="cellIs" dxfId="33435" priority="3686" operator="equal">
      <formula>"PTO"</formula>
    </cfRule>
  </conditionalFormatting>
  <conditionalFormatting sqref="N46">
    <cfRule type="cellIs" dxfId="33434" priority="3683" operator="equal">
      <formula>"OFF"</formula>
    </cfRule>
    <cfRule type="cellIs" dxfId="33433" priority="3684" operator="equal">
      <formula>"PTO"</formula>
    </cfRule>
  </conditionalFormatting>
  <conditionalFormatting sqref="N46">
    <cfRule type="cellIs" dxfId="33432" priority="3681" operator="equal">
      <formula>"OFF"</formula>
    </cfRule>
    <cfRule type="cellIs" dxfId="33431" priority="3682" operator="equal">
      <formula>"PTO"</formula>
    </cfRule>
  </conditionalFormatting>
  <conditionalFormatting sqref="N46">
    <cfRule type="cellIs" dxfId="33430" priority="3679" operator="equal">
      <formula>"OFF"</formula>
    </cfRule>
    <cfRule type="cellIs" dxfId="33429" priority="3680" operator="equal">
      <formula>"PTO"</formula>
    </cfRule>
  </conditionalFormatting>
  <conditionalFormatting sqref="N46">
    <cfRule type="cellIs" dxfId="33428" priority="3677" operator="equal">
      <formula>"OFF"</formula>
    </cfRule>
    <cfRule type="cellIs" dxfId="33427" priority="3678" operator="equal">
      <formula>"PTO"</formula>
    </cfRule>
  </conditionalFormatting>
  <conditionalFormatting sqref="N46">
    <cfRule type="cellIs" dxfId="33426" priority="3675" operator="equal">
      <formula>"OFF"</formula>
    </cfRule>
    <cfRule type="cellIs" dxfId="33425" priority="3676" operator="equal">
      <formula>"PTO"</formula>
    </cfRule>
  </conditionalFormatting>
  <conditionalFormatting sqref="N46">
    <cfRule type="cellIs" dxfId="33424" priority="3673" operator="equal">
      <formula>"OFF"</formula>
    </cfRule>
    <cfRule type="cellIs" dxfId="33423" priority="3674" operator="equal">
      <formula>"PTO"</formula>
    </cfRule>
  </conditionalFormatting>
  <conditionalFormatting sqref="N46">
    <cfRule type="cellIs" dxfId="33422" priority="3671" operator="equal">
      <formula>"OFF"</formula>
    </cfRule>
    <cfRule type="cellIs" dxfId="33421" priority="3672" operator="equal">
      <formula>"PTO"</formula>
    </cfRule>
  </conditionalFormatting>
  <conditionalFormatting sqref="N46">
    <cfRule type="cellIs" dxfId="33420" priority="3669" operator="equal">
      <formula>"OFF"</formula>
    </cfRule>
    <cfRule type="cellIs" dxfId="33419" priority="3670" operator="equal">
      <formula>"PTO"</formula>
    </cfRule>
  </conditionalFormatting>
  <conditionalFormatting sqref="N46">
    <cfRule type="cellIs" dxfId="33418" priority="3667" operator="equal">
      <formula>"OFF"</formula>
    </cfRule>
    <cfRule type="cellIs" dxfId="33417" priority="3668" operator="equal">
      <formula>"PTO"</formula>
    </cfRule>
  </conditionalFormatting>
  <conditionalFormatting sqref="N46">
    <cfRule type="cellIs" dxfId="33416" priority="3665" operator="equal">
      <formula>"OFF"</formula>
    </cfRule>
    <cfRule type="cellIs" dxfId="33415" priority="3666" operator="equal">
      <formula>"PTO"</formula>
    </cfRule>
  </conditionalFormatting>
  <conditionalFormatting sqref="N46">
    <cfRule type="cellIs" dxfId="33414" priority="3663" operator="equal">
      <formula>"OFF"</formula>
    </cfRule>
    <cfRule type="cellIs" dxfId="33413" priority="3664" operator="equal">
      <formula>"PTO"</formula>
    </cfRule>
  </conditionalFormatting>
  <conditionalFormatting sqref="N46">
    <cfRule type="cellIs" dxfId="33412" priority="3661" operator="equal">
      <formula>"OFF"</formula>
    </cfRule>
    <cfRule type="cellIs" dxfId="33411" priority="3662" operator="equal">
      <formula>"PTO"</formula>
    </cfRule>
  </conditionalFormatting>
  <conditionalFormatting sqref="N46">
    <cfRule type="cellIs" dxfId="33410" priority="3659" operator="equal">
      <formula>"OFF"</formula>
    </cfRule>
    <cfRule type="cellIs" dxfId="33409" priority="3660" operator="equal">
      <formula>"PTO"</formula>
    </cfRule>
  </conditionalFormatting>
  <conditionalFormatting sqref="N46">
    <cfRule type="cellIs" dxfId="33408" priority="3657" operator="equal">
      <formula>"OFF"</formula>
    </cfRule>
    <cfRule type="cellIs" dxfId="33407" priority="3658" operator="equal">
      <formula>"PTO"</formula>
    </cfRule>
  </conditionalFormatting>
  <conditionalFormatting sqref="N46">
    <cfRule type="cellIs" dxfId="33406" priority="3655" operator="equal">
      <formula>"OFF"</formula>
    </cfRule>
    <cfRule type="cellIs" dxfId="33405" priority="3656" operator="equal">
      <formula>"PTO"</formula>
    </cfRule>
  </conditionalFormatting>
  <conditionalFormatting sqref="N46">
    <cfRule type="cellIs" dxfId="33404" priority="3653" operator="equal">
      <formula>"OFF"</formula>
    </cfRule>
    <cfRule type="cellIs" dxfId="33403" priority="3654" operator="equal">
      <formula>"PTO"</formula>
    </cfRule>
  </conditionalFormatting>
  <conditionalFormatting sqref="N46">
    <cfRule type="cellIs" dxfId="33402" priority="3651" operator="equal">
      <formula>"OFF"</formula>
    </cfRule>
    <cfRule type="cellIs" dxfId="33401" priority="3652" operator="equal">
      <formula>"PTO"</formula>
    </cfRule>
  </conditionalFormatting>
  <conditionalFormatting sqref="N46">
    <cfRule type="cellIs" dxfId="33400" priority="3649" operator="equal">
      <formula>"OFF"</formula>
    </cfRule>
    <cfRule type="cellIs" dxfId="33399" priority="3650" operator="equal">
      <formula>"PTO"</formula>
    </cfRule>
  </conditionalFormatting>
  <conditionalFormatting sqref="N46">
    <cfRule type="cellIs" dxfId="33398" priority="3647" operator="equal">
      <formula>"OFF"</formula>
    </cfRule>
    <cfRule type="cellIs" dxfId="33397" priority="3648" operator="equal">
      <formula>"PTO"</formula>
    </cfRule>
  </conditionalFormatting>
  <conditionalFormatting sqref="N46">
    <cfRule type="cellIs" dxfId="33396" priority="3645" operator="equal">
      <formula>"OFF"</formula>
    </cfRule>
    <cfRule type="cellIs" dxfId="33395" priority="3646" operator="equal">
      <formula>"PTO"</formula>
    </cfRule>
  </conditionalFormatting>
  <conditionalFormatting sqref="N46">
    <cfRule type="cellIs" dxfId="33394" priority="3643" operator="equal">
      <formula>"OFF"</formula>
    </cfRule>
    <cfRule type="cellIs" dxfId="33393" priority="3644" operator="equal">
      <formula>"PTO"</formula>
    </cfRule>
  </conditionalFormatting>
  <conditionalFormatting sqref="N46">
    <cfRule type="cellIs" dxfId="33392" priority="3641" operator="equal">
      <formula>"OFF"</formula>
    </cfRule>
    <cfRule type="cellIs" dxfId="33391" priority="3642" operator="equal">
      <formula>"PTO"</formula>
    </cfRule>
  </conditionalFormatting>
  <conditionalFormatting sqref="N46">
    <cfRule type="cellIs" dxfId="33390" priority="3639" operator="equal">
      <formula>"OFF"</formula>
    </cfRule>
    <cfRule type="cellIs" dxfId="33389" priority="3640" operator="equal">
      <formula>"PTO"</formula>
    </cfRule>
  </conditionalFormatting>
  <conditionalFormatting sqref="N46">
    <cfRule type="cellIs" dxfId="33388" priority="3637" operator="equal">
      <formula>"OFF"</formula>
    </cfRule>
    <cfRule type="cellIs" dxfId="33387" priority="3638" operator="equal">
      <formula>"PTO"</formula>
    </cfRule>
  </conditionalFormatting>
  <conditionalFormatting sqref="N46">
    <cfRule type="cellIs" dxfId="33386" priority="3635" operator="equal">
      <formula>"OFF"</formula>
    </cfRule>
    <cfRule type="cellIs" dxfId="33385" priority="3636" operator="equal">
      <formula>"PTO"</formula>
    </cfRule>
  </conditionalFormatting>
  <conditionalFormatting sqref="N46">
    <cfRule type="cellIs" dxfId="33384" priority="3633" operator="equal">
      <formula>"OFF"</formula>
    </cfRule>
    <cfRule type="cellIs" dxfId="33383" priority="3634" operator="equal">
      <formula>"PTO"</formula>
    </cfRule>
  </conditionalFormatting>
  <conditionalFormatting sqref="N47:N50">
    <cfRule type="cellIs" dxfId="33382" priority="3631" operator="equal">
      <formula>"OFF"</formula>
    </cfRule>
    <cfRule type="cellIs" dxfId="33381" priority="3632" operator="equal">
      <formula>"PTO"</formula>
    </cfRule>
  </conditionalFormatting>
  <conditionalFormatting sqref="N47">
    <cfRule type="cellIs" dxfId="33380" priority="3629" operator="equal">
      <formula>"OFF"</formula>
    </cfRule>
    <cfRule type="cellIs" dxfId="33379" priority="3630" operator="equal">
      <formula>"PTO"</formula>
    </cfRule>
  </conditionalFormatting>
  <conditionalFormatting sqref="N41 N43 N45:N50">
    <cfRule type="cellIs" dxfId="33378" priority="3627" operator="equal">
      <formula>"OFF"</formula>
    </cfRule>
    <cfRule type="cellIs" dxfId="33377" priority="3628" operator="equal">
      <formula>"PTO"</formula>
    </cfRule>
  </conditionalFormatting>
  <conditionalFormatting sqref="N41 N43 N45:N50">
    <cfRule type="cellIs" dxfId="33376" priority="3625" operator="equal">
      <formula>"OFF"</formula>
    </cfRule>
    <cfRule type="cellIs" dxfId="33375" priority="3626" operator="equal">
      <formula>"PTO"</formula>
    </cfRule>
  </conditionalFormatting>
  <conditionalFormatting sqref="N41 N43 N45:N50">
    <cfRule type="cellIs" dxfId="33374" priority="3623" operator="equal">
      <formula>"OFF"</formula>
    </cfRule>
    <cfRule type="cellIs" dxfId="33373" priority="3624" operator="equal">
      <formula>"PTO"</formula>
    </cfRule>
  </conditionalFormatting>
  <conditionalFormatting sqref="N49:N53">
    <cfRule type="cellIs" dxfId="33372" priority="3621" operator="equal">
      <formula>"OFF"</formula>
    </cfRule>
    <cfRule type="cellIs" dxfId="33371" priority="3622" operator="equal">
      <formula>"PTO"</formula>
    </cfRule>
  </conditionalFormatting>
  <conditionalFormatting sqref="N49:N53">
    <cfRule type="cellIs" dxfId="33370" priority="3619" operator="equal">
      <formula>"OFF"</formula>
    </cfRule>
    <cfRule type="cellIs" dxfId="33369" priority="3620" operator="equal">
      <formula>"PTO"</formula>
    </cfRule>
  </conditionalFormatting>
  <conditionalFormatting sqref="N49:N53">
    <cfRule type="cellIs" dxfId="33368" priority="3617" operator="equal">
      <formula>"OFF"</formula>
    </cfRule>
    <cfRule type="cellIs" dxfId="33367" priority="3618" operator="equal">
      <formula>"PTO"</formula>
    </cfRule>
  </conditionalFormatting>
  <conditionalFormatting sqref="N47">
    <cfRule type="cellIs" dxfId="33366" priority="3615" operator="equal">
      <formula>"OFF"</formula>
    </cfRule>
    <cfRule type="cellIs" dxfId="33365" priority="3616" operator="equal">
      <formula>"PTO"</formula>
    </cfRule>
  </conditionalFormatting>
  <conditionalFormatting sqref="N47">
    <cfRule type="cellIs" dxfId="33364" priority="3613" operator="equal">
      <formula>"OFF"</formula>
    </cfRule>
    <cfRule type="cellIs" dxfId="33363" priority="3614" operator="equal">
      <formula>"PTO"</formula>
    </cfRule>
  </conditionalFormatting>
  <conditionalFormatting sqref="N47">
    <cfRule type="cellIs" dxfId="33362" priority="3611" operator="equal">
      <formula>"OFF"</formula>
    </cfRule>
    <cfRule type="cellIs" dxfId="33361" priority="3612" operator="equal">
      <formula>"PTO"</formula>
    </cfRule>
  </conditionalFormatting>
  <conditionalFormatting sqref="N47">
    <cfRule type="cellIs" dxfId="33360" priority="3609" operator="equal">
      <formula>"OFF"</formula>
    </cfRule>
    <cfRule type="cellIs" dxfId="33359" priority="3610" operator="equal">
      <formula>"PTO"</formula>
    </cfRule>
  </conditionalFormatting>
  <conditionalFormatting sqref="N47">
    <cfRule type="cellIs" dxfId="33358" priority="3607" operator="equal">
      <formula>"OFF"</formula>
    </cfRule>
    <cfRule type="cellIs" dxfId="33357" priority="3608" operator="equal">
      <formula>"PTO"</formula>
    </cfRule>
  </conditionalFormatting>
  <conditionalFormatting sqref="N47">
    <cfRule type="cellIs" dxfId="33356" priority="3605" operator="equal">
      <formula>"OFF"</formula>
    </cfRule>
    <cfRule type="cellIs" dxfId="33355" priority="3606" operator="equal">
      <formula>"PTO"</formula>
    </cfRule>
  </conditionalFormatting>
  <conditionalFormatting sqref="N47">
    <cfRule type="cellIs" dxfId="33354" priority="3603" operator="equal">
      <formula>"OFF"</formula>
    </cfRule>
    <cfRule type="cellIs" dxfId="33353" priority="3604" operator="equal">
      <formula>"PTO"</formula>
    </cfRule>
  </conditionalFormatting>
  <conditionalFormatting sqref="N47">
    <cfRule type="cellIs" dxfId="33352" priority="3601" operator="equal">
      <formula>"OFF"</formula>
    </cfRule>
    <cfRule type="cellIs" dxfId="33351" priority="3602" operator="equal">
      <formula>"PTO"</formula>
    </cfRule>
  </conditionalFormatting>
  <conditionalFormatting sqref="N47">
    <cfRule type="cellIs" dxfId="33350" priority="3599" operator="equal">
      <formula>"OFF"</formula>
    </cfRule>
    <cfRule type="cellIs" dxfId="33349" priority="3600" operator="equal">
      <formula>"PTO"</formula>
    </cfRule>
  </conditionalFormatting>
  <conditionalFormatting sqref="N47">
    <cfRule type="cellIs" dxfId="33348" priority="3597" operator="equal">
      <formula>"OFF"</formula>
    </cfRule>
    <cfRule type="cellIs" dxfId="33347" priority="3598" operator="equal">
      <formula>"PTO"</formula>
    </cfRule>
  </conditionalFormatting>
  <conditionalFormatting sqref="N47">
    <cfRule type="cellIs" dxfId="33346" priority="3595" operator="equal">
      <formula>"OFF"</formula>
    </cfRule>
    <cfRule type="cellIs" dxfId="33345" priority="3596" operator="equal">
      <formula>"PTO"</formula>
    </cfRule>
  </conditionalFormatting>
  <conditionalFormatting sqref="N47">
    <cfRule type="cellIs" dxfId="33344" priority="3593" operator="equal">
      <formula>"OFF"</formula>
    </cfRule>
    <cfRule type="cellIs" dxfId="33343" priority="3594" operator="equal">
      <formula>"PTO"</formula>
    </cfRule>
  </conditionalFormatting>
  <conditionalFormatting sqref="N47">
    <cfRule type="cellIs" dxfId="33342" priority="3591" operator="equal">
      <formula>"OFF"</formula>
    </cfRule>
    <cfRule type="cellIs" dxfId="33341" priority="3592" operator="equal">
      <formula>"PTO"</formula>
    </cfRule>
  </conditionalFormatting>
  <conditionalFormatting sqref="N47">
    <cfRule type="cellIs" dxfId="33340" priority="3589" operator="equal">
      <formula>"OFF"</formula>
    </cfRule>
    <cfRule type="cellIs" dxfId="33339" priority="3590" operator="equal">
      <formula>"PTO"</formula>
    </cfRule>
  </conditionalFormatting>
  <conditionalFormatting sqref="N47">
    <cfRule type="cellIs" dxfId="33338" priority="3587" operator="equal">
      <formula>"OFF"</formula>
    </cfRule>
    <cfRule type="cellIs" dxfId="33337" priority="3588" operator="equal">
      <formula>"PTO"</formula>
    </cfRule>
  </conditionalFormatting>
  <conditionalFormatting sqref="N47">
    <cfRule type="cellIs" dxfId="33336" priority="3585" operator="equal">
      <formula>"OFF"</formula>
    </cfRule>
    <cfRule type="cellIs" dxfId="33335" priority="3586" operator="equal">
      <formula>"PTO"</formula>
    </cfRule>
  </conditionalFormatting>
  <conditionalFormatting sqref="N47">
    <cfRule type="cellIs" dxfId="33334" priority="3583" operator="equal">
      <formula>"OFF"</formula>
    </cfRule>
    <cfRule type="cellIs" dxfId="33333" priority="3584" operator="equal">
      <formula>"PTO"</formula>
    </cfRule>
  </conditionalFormatting>
  <conditionalFormatting sqref="N47">
    <cfRule type="cellIs" dxfId="33332" priority="3581" operator="equal">
      <formula>"OFF"</formula>
    </cfRule>
    <cfRule type="cellIs" dxfId="33331" priority="3582" operator="equal">
      <formula>"PTO"</formula>
    </cfRule>
  </conditionalFormatting>
  <conditionalFormatting sqref="N47">
    <cfRule type="cellIs" dxfId="33330" priority="3579" operator="equal">
      <formula>"OFF"</formula>
    </cfRule>
    <cfRule type="cellIs" dxfId="33329" priority="3580" operator="equal">
      <formula>"PTO"</formula>
    </cfRule>
  </conditionalFormatting>
  <conditionalFormatting sqref="N47">
    <cfRule type="cellIs" dxfId="33328" priority="3577" operator="equal">
      <formula>"OFF"</formula>
    </cfRule>
    <cfRule type="cellIs" dxfId="33327" priority="3578" operator="equal">
      <formula>"PTO"</formula>
    </cfRule>
  </conditionalFormatting>
  <conditionalFormatting sqref="N47">
    <cfRule type="cellIs" dxfId="33326" priority="3575" operator="equal">
      <formula>"OFF"</formula>
    </cfRule>
    <cfRule type="cellIs" dxfId="33325" priority="3576" operator="equal">
      <formula>"PTO"</formula>
    </cfRule>
  </conditionalFormatting>
  <conditionalFormatting sqref="N47">
    <cfRule type="cellIs" dxfId="33324" priority="3573" operator="equal">
      <formula>"OFF"</formula>
    </cfRule>
    <cfRule type="cellIs" dxfId="33323" priority="3574" operator="equal">
      <formula>"PTO"</formula>
    </cfRule>
  </conditionalFormatting>
  <conditionalFormatting sqref="N47">
    <cfRule type="cellIs" dxfId="33322" priority="3571" operator="equal">
      <formula>"OFF"</formula>
    </cfRule>
    <cfRule type="cellIs" dxfId="33321" priority="3572" operator="equal">
      <formula>"PTO"</formula>
    </cfRule>
  </conditionalFormatting>
  <conditionalFormatting sqref="N47">
    <cfRule type="cellIs" dxfId="33320" priority="3569" operator="equal">
      <formula>"OFF"</formula>
    </cfRule>
    <cfRule type="cellIs" dxfId="33319" priority="3570" operator="equal">
      <formula>"PTO"</formula>
    </cfRule>
  </conditionalFormatting>
  <conditionalFormatting sqref="N47">
    <cfRule type="cellIs" dxfId="33318" priority="3567" operator="equal">
      <formula>"OFF"</formula>
    </cfRule>
    <cfRule type="cellIs" dxfId="33317" priority="3568" operator="equal">
      <formula>"PTO"</formula>
    </cfRule>
  </conditionalFormatting>
  <conditionalFormatting sqref="N43">
    <cfRule type="cellIs" dxfId="33316" priority="3565" operator="equal">
      <formula>"OFF"</formula>
    </cfRule>
    <cfRule type="cellIs" dxfId="33315" priority="3566" operator="equal">
      <formula>"PTO"</formula>
    </cfRule>
  </conditionalFormatting>
  <conditionalFormatting sqref="N43">
    <cfRule type="cellIs" dxfId="33314" priority="3563" operator="equal">
      <formula>"OFF"</formula>
    </cfRule>
    <cfRule type="cellIs" dxfId="33313" priority="3564" operator="equal">
      <formula>"PTO"</formula>
    </cfRule>
  </conditionalFormatting>
  <conditionalFormatting sqref="N46">
    <cfRule type="cellIs" dxfId="33312" priority="3561" operator="equal">
      <formula>"OFF"</formula>
    </cfRule>
    <cfRule type="cellIs" dxfId="33311" priority="3562" operator="equal">
      <formula>"PTO"</formula>
    </cfRule>
  </conditionalFormatting>
  <conditionalFormatting sqref="N46">
    <cfRule type="cellIs" dxfId="33310" priority="3559" operator="equal">
      <formula>"OFF"</formula>
    </cfRule>
    <cfRule type="cellIs" dxfId="33309" priority="3560" operator="equal">
      <formula>"PTO"</formula>
    </cfRule>
  </conditionalFormatting>
  <conditionalFormatting sqref="N43">
    <cfRule type="cellIs" dxfId="33308" priority="3557" operator="equal">
      <formula>"OFF"</formula>
    </cfRule>
    <cfRule type="cellIs" dxfId="33307" priority="3558" operator="equal">
      <formula>"PTO"</formula>
    </cfRule>
  </conditionalFormatting>
  <conditionalFormatting sqref="N43">
    <cfRule type="cellIs" dxfId="33306" priority="3555" operator="equal">
      <formula>"OFF"</formula>
    </cfRule>
    <cfRule type="cellIs" dxfId="33305" priority="3556" operator="equal">
      <formula>"PTO"</formula>
    </cfRule>
  </conditionalFormatting>
  <conditionalFormatting sqref="N43">
    <cfRule type="cellIs" dxfId="33304" priority="3553" operator="equal">
      <formula>"OFF"</formula>
    </cfRule>
    <cfRule type="cellIs" dxfId="33303" priority="3554" operator="equal">
      <formula>"PTO"</formula>
    </cfRule>
  </conditionalFormatting>
  <conditionalFormatting sqref="N45">
    <cfRule type="cellIs" dxfId="33302" priority="3551" operator="equal">
      <formula>"OFF"</formula>
    </cfRule>
    <cfRule type="cellIs" dxfId="33301" priority="3552" operator="equal">
      <formula>"PTO"</formula>
    </cfRule>
  </conditionalFormatting>
  <conditionalFormatting sqref="N45">
    <cfRule type="cellIs" dxfId="33300" priority="3549" operator="equal">
      <formula>"OFF"</formula>
    </cfRule>
    <cfRule type="cellIs" dxfId="33299" priority="3550" operator="equal">
      <formula>"PTO"</formula>
    </cfRule>
  </conditionalFormatting>
  <conditionalFormatting sqref="N45">
    <cfRule type="cellIs" dxfId="33298" priority="3547" operator="equal">
      <formula>"OFF"</formula>
    </cfRule>
    <cfRule type="cellIs" dxfId="33297" priority="3548" operator="equal">
      <formula>"PTO"</formula>
    </cfRule>
  </conditionalFormatting>
  <conditionalFormatting sqref="N45">
    <cfRule type="cellIs" dxfId="33296" priority="3545" operator="equal">
      <formula>"OFF"</formula>
    </cfRule>
    <cfRule type="cellIs" dxfId="33295" priority="3546" operator="equal">
      <formula>"PTO"</formula>
    </cfRule>
  </conditionalFormatting>
  <conditionalFormatting sqref="N45">
    <cfRule type="cellIs" dxfId="33294" priority="3543" operator="equal">
      <formula>"OFF"</formula>
    </cfRule>
    <cfRule type="cellIs" dxfId="33293" priority="3544" operator="equal">
      <formula>"PTO"</formula>
    </cfRule>
  </conditionalFormatting>
  <conditionalFormatting sqref="N45">
    <cfRule type="cellIs" dxfId="33292" priority="3541" operator="equal">
      <formula>"OFF"</formula>
    </cfRule>
    <cfRule type="cellIs" dxfId="33291" priority="3542" operator="equal">
      <formula>"PTO"</formula>
    </cfRule>
  </conditionalFormatting>
  <conditionalFormatting sqref="N45">
    <cfRule type="cellIs" dxfId="33290" priority="3539" operator="equal">
      <formula>"OFF"</formula>
    </cfRule>
    <cfRule type="cellIs" dxfId="33289" priority="3540" operator="equal">
      <formula>"PTO"</formula>
    </cfRule>
  </conditionalFormatting>
  <conditionalFormatting sqref="N45">
    <cfRule type="cellIs" dxfId="33288" priority="3537" operator="equal">
      <formula>"OFF"</formula>
    </cfRule>
    <cfRule type="cellIs" dxfId="33287" priority="3538" operator="equal">
      <formula>"PTO"</formula>
    </cfRule>
  </conditionalFormatting>
  <conditionalFormatting sqref="N45">
    <cfRule type="cellIs" dxfId="33286" priority="3535" operator="equal">
      <formula>"OFF"</formula>
    </cfRule>
    <cfRule type="cellIs" dxfId="33285" priority="3536" operator="equal">
      <formula>"PTO"</formula>
    </cfRule>
  </conditionalFormatting>
  <conditionalFormatting sqref="N45">
    <cfRule type="cellIs" dxfId="33284" priority="3533" operator="equal">
      <formula>"OFF"</formula>
    </cfRule>
    <cfRule type="cellIs" dxfId="33283" priority="3534" operator="equal">
      <formula>"PTO"</formula>
    </cfRule>
  </conditionalFormatting>
  <conditionalFormatting sqref="N45">
    <cfRule type="cellIs" dxfId="33282" priority="3531" operator="equal">
      <formula>"OFF"</formula>
    </cfRule>
    <cfRule type="cellIs" dxfId="33281" priority="3532" operator="equal">
      <formula>"PTO"</formula>
    </cfRule>
  </conditionalFormatting>
  <conditionalFormatting sqref="N45">
    <cfRule type="cellIs" dxfId="33280" priority="3529" operator="equal">
      <formula>"OFF"</formula>
    </cfRule>
    <cfRule type="cellIs" dxfId="33279" priority="3530" operator="equal">
      <formula>"PTO"</formula>
    </cfRule>
  </conditionalFormatting>
  <conditionalFormatting sqref="N45">
    <cfRule type="cellIs" dxfId="33278" priority="3527" operator="equal">
      <formula>"OFF"</formula>
    </cfRule>
    <cfRule type="cellIs" dxfId="33277" priority="3528" operator="equal">
      <formula>"PTO"</formula>
    </cfRule>
  </conditionalFormatting>
  <conditionalFormatting sqref="N45">
    <cfRule type="cellIs" dxfId="33276" priority="3525" operator="equal">
      <formula>"OFF"</formula>
    </cfRule>
    <cfRule type="cellIs" dxfId="33275" priority="3526" operator="equal">
      <formula>"PTO"</formula>
    </cfRule>
  </conditionalFormatting>
  <conditionalFormatting sqref="N45">
    <cfRule type="cellIs" dxfId="33274" priority="3523" operator="equal">
      <formula>"OFF"</formula>
    </cfRule>
    <cfRule type="cellIs" dxfId="33273" priority="3524" operator="equal">
      <formula>"PTO"</formula>
    </cfRule>
  </conditionalFormatting>
  <conditionalFormatting sqref="N45">
    <cfRule type="cellIs" dxfId="33272" priority="3521" operator="equal">
      <formula>"OFF"</formula>
    </cfRule>
    <cfRule type="cellIs" dxfId="33271" priority="3522" operator="equal">
      <formula>"PTO"</formula>
    </cfRule>
  </conditionalFormatting>
  <conditionalFormatting sqref="N45">
    <cfRule type="cellIs" dxfId="33270" priority="3519" operator="equal">
      <formula>"OFF"</formula>
    </cfRule>
    <cfRule type="cellIs" dxfId="33269" priority="3520" operator="equal">
      <formula>"PTO"</formula>
    </cfRule>
  </conditionalFormatting>
  <conditionalFormatting sqref="N45">
    <cfRule type="cellIs" dxfId="33268" priority="3517" operator="equal">
      <formula>"OFF"</formula>
    </cfRule>
    <cfRule type="cellIs" dxfId="33267" priority="3518" operator="equal">
      <formula>"PTO"</formula>
    </cfRule>
  </conditionalFormatting>
  <conditionalFormatting sqref="N45">
    <cfRule type="cellIs" dxfId="33266" priority="3515" operator="equal">
      <formula>"OFF"</formula>
    </cfRule>
    <cfRule type="cellIs" dxfId="33265" priority="3516" operator="equal">
      <formula>"PTO"</formula>
    </cfRule>
  </conditionalFormatting>
  <conditionalFormatting sqref="N45">
    <cfRule type="cellIs" dxfId="33264" priority="3513" operator="equal">
      <formula>"OFF"</formula>
    </cfRule>
    <cfRule type="cellIs" dxfId="33263" priority="3514" operator="equal">
      <formula>"PTO"</formula>
    </cfRule>
  </conditionalFormatting>
  <conditionalFormatting sqref="N45">
    <cfRule type="cellIs" dxfId="33262" priority="3511" operator="equal">
      <formula>"OFF"</formula>
    </cfRule>
    <cfRule type="cellIs" dxfId="33261" priority="3512" operator="equal">
      <formula>"PTO"</formula>
    </cfRule>
  </conditionalFormatting>
  <conditionalFormatting sqref="N45">
    <cfRule type="cellIs" dxfId="33260" priority="3509" operator="equal">
      <formula>"OFF"</formula>
    </cfRule>
    <cfRule type="cellIs" dxfId="33259" priority="3510" operator="equal">
      <formula>"PTO"</formula>
    </cfRule>
  </conditionalFormatting>
  <conditionalFormatting sqref="N45">
    <cfRule type="cellIs" dxfId="33258" priority="3507" operator="equal">
      <formula>"OFF"</formula>
    </cfRule>
    <cfRule type="cellIs" dxfId="33257" priority="3508" operator="equal">
      <formula>"PTO"</formula>
    </cfRule>
  </conditionalFormatting>
  <conditionalFormatting sqref="N45">
    <cfRule type="cellIs" dxfId="33256" priority="3505" operator="equal">
      <formula>"OFF"</formula>
    </cfRule>
    <cfRule type="cellIs" dxfId="33255" priority="3506" operator="equal">
      <formula>"PTO"</formula>
    </cfRule>
  </conditionalFormatting>
  <conditionalFormatting sqref="N45">
    <cfRule type="cellIs" dxfId="33254" priority="3503" operator="equal">
      <formula>"OFF"</formula>
    </cfRule>
    <cfRule type="cellIs" dxfId="33253" priority="3504" operator="equal">
      <formula>"PTO"</formula>
    </cfRule>
  </conditionalFormatting>
  <conditionalFormatting sqref="N45">
    <cfRule type="cellIs" dxfId="33252" priority="3501" operator="equal">
      <formula>"OFF"</formula>
    </cfRule>
    <cfRule type="cellIs" dxfId="33251" priority="3502" operator="equal">
      <formula>"PTO"</formula>
    </cfRule>
  </conditionalFormatting>
  <conditionalFormatting sqref="N47">
    <cfRule type="cellIs" dxfId="33250" priority="3499" operator="equal">
      <formula>"OFF"</formula>
    </cfRule>
    <cfRule type="cellIs" dxfId="33249" priority="3500" operator="equal">
      <formula>"PTO"</formula>
    </cfRule>
  </conditionalFormatting>
  <conditionalFormatting sqref="N46">
    <cfRule type="cellIs" dxfId="33248" priority="3497" operator="equal">
      <formula>"OFF"</formula>
    </cfRule>
    <cfRule type="cellIs" dxfId="33247" priority="3498" operator="equal">
      <formula>"PTO"</formula>
    </cfRule>
  </conditionalFormatting>
  <conditionalFormatting sqref="N49">
    <cfRule type="cellIs" dxfId="33246" priority="3495" operator="equal">
      <formula>"OFF"</formula>
    </cfRule>
    <cfRule type="cellIs" dxfId="33245" priority="3496" operator="equal">
      <formula>"PTO"</formula>
    </cfRule>
  </conditionalFormatting>
  <conditionalFormatting sqref="N48">
    <cfRule type="cellIs" dxfId="33244" priority="3493" operator="equal">
      <formula>"OFF"</formula>
    </cfRule>
    <cfRule type="cellIs" dxfId="33243" priority="3494" operator="equal">
      <formula>"PTO"</formula>
    </cfRule>
  </conditionalFormatting>
  <conditionalFormatting sqref="N48">
    <cfRule type="cellIs" dxfId="33242" priority="3491" operator="equal">
      <formula>"OFF"</formula>
    </cfRule>
    <cfRule type="cellIs" dxfId="33241" priority="3492" operator="equal">
      <formula>"PTO"</formula>
    </cfRule>
  </conditionalFormatting>
  <conditionalFormatting sqref="N48">
    <cfRule type="cellIs" dxfId="33240" priority="3489" operator="equal">
      <formula>"OFF"</formula>
    </cfRule>
    <cfRule type="cellIs" dxfId="33239" priority="3490" operator="equal">
      <formula>"PTO"</formula>
    </cfRule>
  </conditionalFormatting>
  <conditionalFormatting sqref="N48">
    <cfRule type="cellIs" dxfId="33238" priority="3487" operator="equal">
      <formula>"OFF"</formula>
    </cfRule>
    <cfRule type="cellIs" dxfId="33237" priority="3488" operator="equal">
      <formula>"PTO"</formula>
    </cfRule>
  </conditionalFormatting>
  <conditionalFormatting sqref="N48">
    <cfRule type="cellIs" dxfId="33236" priority="3485" operator="equal">
      <formula>"OFF"</formula>
    </cfRule>
    <cfRule type="cellIs" dxfId="33235" priority="3486" operator="equal">
      <formula>"PTO"</formula>
    </cfRule>
  </conditionalFormatting>
  <conditionalFormatting sqref="N48">
    <cfRule type="cellIs" dxfId="33234" priority="3483" operator="equal">
      <formula>"OFF"</formula>
    </cfRule>
    <cfRule type="cellIs" dxfId="33233" priority="3484" operator="equal">
      <formula>"PTO"</formula>
    </cfRule>
  </conditionalFormatting>
  <conditionalFormatting sqref="N48">
    <cfRule type="cellIs" dxfId="33232" priority="3481" operator="equal">
      <formula>"OFF"</formula>
    </cfRule>
    <cfRule type="cellIs" dxfId="33231" priority="3482" operator="equal">
      <formula>"PTO"</formula>
    </cfRule>
  </conditionalFormatting>
  <conditionalFormatting sqref="N48">
    <cfRule type="cellIs" dxfId="33230" priority="3479" operator="equal">
      <formula>"OFF"</formula>
    </cfRule>
    <cfRule type="cellIs" dxfId="33229" priority="3480" operator="equal">
      <formula>"PTO"</formula>
    </cfRule>
  </conditionalFormatting>
  <conditionalFormatting sqref="N48">
    <cfRule type="cellIs" dxfId="33228" priority="3477" operator="equal">
      <formula>"OFF"</formula>
    </cfRule>
    <cfRule type="cellIs" dxfId="33227" priority="3478" operator="equal">
      <formula>"PTO"</formula>
    </cfRule>
  </conditionalFormatting>
  <conditionalFormatting sqref="N41">
    <cfRule type="cellIs" dxfId="33226" priority="3475" operator="equal">
      <formula>"OFF"</formula>
    </cfRule>
    <cfRule type="cellIs" dxfId="33225" priority="3476" operator="equal">
      <formula>"PTO"</formula>
    </cfRule>
  </conditionalFormatting>
  <conditionalFormatting sqref="N41">
    <cfRule type="cellIs" dxfId="33224" priority="3473" operator="equal">
      <formula>"OFF"</formula>
    </cfRule>
    <cfRule type="cellIs" dxfId="33223" priority="3474" operator="equal">
      <formula>"PTO"</formula>
    </cfRule>
  </conditionalFormatting>
  <conditionalFormatting sqref="N41">
    <cfRule type="cellIs" dxfId="33222" priority="3471" operator="equal">
      <formula>"OFF"</formula>
    </cfRule>
    <cfRule type="cellIs" dxfId="33221" priority="3472" operator="equal">
      <formula>"PTO"</formula>
    </cfRule>
  </conditionalFormatting>
  <conditionalFormatting sqref="N41">
    <cfRule type="cellIs" dxfId="33220" priority="3469" operator="equal">
      <formula>"OFF"</formula>
    </cfRule>
    <cfRule type="cellIs" dxfId="33219" priority="3470" operator="equal">
      <formula>"PTO"</formula>
    </cfRule>
  </conditionalFormatting>
  <conditionalFormatting sqref="N41">
    <cfRule type="cellIs" dxfId="33218" priority="3467" operator="equal">
      <formula>"OFF"</formula>
    </cfRule>
    <cfRule type="cellIs" dxfId="33217" priority="3468" operator="equal">
      <formula>"PTO"</formula>
    </cfRule>
  </conditionalFormatting>
  <conditionalFormatting sqref="N41">
    <cfRule type="cellIs" dxfId="33216" priority="3465" operator="equal">
      <formula>"OFF"</formula>
    </cfRule>
    <cfRule type="cellIs" dxfId="33215" priority="3466" operator="equal">
      <formula>"PTO"</formula>
    </cfRule>
  </conditionalFormatting>
  <conditionalFormatting sqref="N41">
    <cfRule type="cellIs" dxfId="33214" priority="3463" operator="equal">
      <formula>"OFF"</formula>
    </cfRule>
    <cfRule type="cellIs" dxfId="33213" priority="3464" operator="equal">
      <formula>"PTO"</formula>
    </cfRule>
  </conditionalFormatting>
  <conditionalFormatting sqref="N41">
    <cfRule type="cellIs" dxfId="33212" priority="3461" operator="equal">
      <formula>"OFF"</formula>
    </cfRule>
    <cfRule type="cellIs" dxfId="33211" priority="3462" operator="equal">
      <formula>"PTO"</formula>
    </cfRule>
  </conditionalFormatting>
  <conditionalFormatting sqref="N41">
    <cfRule type="cellIs" dxfId="33210" priority="3459" operator="equal">
      <formula>"OFF"</formula>
    </cfRule>
    <cfRule type="cellIs" dxfId="33209" priority="3460" operator="equal">
      <formula>"PTO"</formula>
    </cfRule>
  </conditionalFormatting>
  <conditionalFormatting sqref="N41">
    <cfRule type="cellIs" dxfId="33208" priority="3457" operator="equal">
      <formula>"OFF"</formula>
    </cfRule>
    <cfRule type="cellIs" dxfId="33207" priority="3458" operator="equal">
      <formula>"PTO"</formula>
    </cfRule>
  </conditionalFormatting>
  <conditionalFormatting sqref="N41">
    <cfRule type="cellIs" dxfId="33206" priority="3455" operator="equal">
      <formula>"OFF"</formula>
    </cfRule>
    <cfRule type="cellIs" dxfId="33205" priority="3456" operator="equal">
      <formula>"PTO"</formula>
    </cfRule>
  </conditionalFormatting>
  <conditionalFormatting sqref="N41">
    <cfRule type="cellIs" dxfId="33204" priority="3453" operator="equal">
      <formula>"OFF"</formula>
    </cfRule>
    <cfRule type="cellIs" dxfId="33203" priority="3454" operator="equal">
      <formula>"PTO"</formula>
    </cfRule>
  </conditionalFormatting>
  <conditionalFormatting sqref="N43">
    <cfRule type="cellIs" dxfId="33202" priority="3451" operator="equal">
      <formula>"OFF"</formula>
    </cfRule>
    <cfRule type="cellIs" dxfId="33201" priority="3452" operator="equal">
      <formula>"PTO"</formula>
    </cfRule>
  </conditionalFormatting>
  <conditionalFormatting sqref="N43">
    <cfRule type="cellIs" dxfId="33200" priority="3449" operator="equal">
      <formula>"OFF"</formula>
    </cfRule>
    <cfRule type="cellIs" dxfId="33199" priority="3450" operator="equal">
      <formula>"PTO"</formula>
    </cfRule>
  </conditionalFormatting>
  <conditionalFormatting sqref="N43">
    <cfRule type="cellIs" dxfId="33198" priority="3447" operator="equal">
      <formula>"OFF"</formula>
    </cfRule>
    <cfRule type="cellIs" dxfId="33197" priority="3448" operator="equal">
      <formula>"PTO"</formula>
    </cfRule>
  </conditionalFormatting>
  <conditionalFormatting sqref="N43">
    <cfRule type="cellIs" dxfId="33196" priority="3445" operator="equal">
      <formula>"OFF"</formula>
    </cfRule>
    <cfRule type="cellIs" dxfId="33195" priority="3446" operator="equal">
      <formula>"PTO"</formula>
    </cfRule>
  </conditionalFormatting>
  <conditionalFormatting sqref="N43">
    <cfRule type="cellIs" dxfId="33194" priority="3443" operator="equal">
      <formula>"OFF"</formula>
    </cfRule>
    <cfRule type="cellIs" dxfId="33193" priority="3444" operator="equal">
      <formula>"PTO"</formula>
    </cfRule>
  </conditionalFormatting>
  <conditionalFormatting sqref="N41">
    <cfRule type="cellIs" dxfId="33192" priority="3441" operator="equal">
      <formula>"OFF"</formula>
    </cfRule>
    <cfRule type="cellIs" dxfId="33191" priority="3442" operator="equal">
      <formula>"PTO"</formula>
    </cfRule>
  </conditionalFormatting>
  <conditionalFormatting sqref="N43">
    <cfRule type="cellIs" dxfId="33190" priority="3439" operator="equal">
      <formula>"OFF"</formula>
    </cfRule>
    <cfRule type="cellIs" dxfId="33189" priority="3440" operator="equal">
      <formula>"PTO"</formula>
    </cfRule>
  </conditionalFormatting>
  <conditionalFormatting sqref="N43">
    <cfRule type="cellIs" dxfId="33188" priority="3437" operator="equal">
      <formula>"OFF"</formula>
    </cfRule>
    <cfRule type="cellIs" dxfId="33187" priority="3438" operator="equal">
      <formula>"PTO"</formula>
    </cfRule>
  </conditionalFormatting>
  <conditionalFormatting sqref="N43">
    <cfRule type="cellIs" dxfId="33186" priority="3435" operator="equal">
      <formula>"OFF"</formula>
    </cfRule>
    <cfRule type="cellIs" dxfId="33185" priority="3436" operator="equal">
      <formula>"PTO"</formula>
    </cfRule>
  </conditionalFormatting>
  <conditionalFormatting sqref="N41">
    <cfRule type="cellIs" dxfId="33184" priority="3433" operator="equal">
      <formula>"OFF"</formula>
    </cfRule>
    <cfRule type="cellIs" dxfId="33183" priority="3434" operator="equal">
      <formula>"PTO"</formula>
    </cfRule>
  </conditionalFormatting>
  <conditionalFormatting sqref="N41">
    <cfRule type="cellIs" dxfId="33182" priority="3431" operator="equal">
      <formula>"OFF"</formula>
    </cfRule>
    <cfRule type="cellIs" dxfId="33181" priority="3432" operator="equal">
      <formula>"PTO"</formula>
    </cfRule>
  </conditionalFormatting>
  <conditionalFormatting sqref="N41">
    <cfRule type="cellIs" dxfId="33180" priority="3429" operator="equal">
      <formula>"OFF"</formula>
    </cfRule>
    <cfRule type="cellIs" dxfId="33179" priority="3430" operator="equal">
      <formula>"PTO"</formula>
    </cfRule>
  </conditionalFormatting>
  <conditionalFormatting sqref="N41">
    <cfRule type="cellIs" dxfId="33178" priority="3427" operator="equal">
      <formula>"OFF"</formula>
    </cfRule>
    <cfRule type="cellIs" dxfId="33177" priority="3428" operator="equal">
      <formula>"PTO"</formula>
    </cfRule>
  </conditionalFormatting>
  <conditionalFormatting sqref="N43">
    <cfRule type="cellIs" dxfId="33176" priority="3425" operator="equal">
      <formula>"OFF"</formula>
    </cfRule>
    <cfRule type="cellIs" dxfId="33175" priority="3426" operator="equal">
      <formula>"PTO"</formula>
    </cfRule>
  </conditionalFormatting>
  <conditionalFormatting sqref="N43">
    <cfRule type="cellIs" dxfId="33174" priority="3423" operator="equal">
      <formula>"OFF"</formula>
    </cfRule>
    <cfRule type="cellIs" dxfId="33173" priority="3424" operator="equal">
      <formula>"PTO"</formula>
    </cfRule>
  </conditionalFormatting>
  <conditionalFormatting sqref="N43">
    <cfRule type="cellIs" dxfId="33172" priority="3421" operator="equal">
      <formula>"OFF"</formula>
    </cfRule>
    <cfRule type="cellIs" dxfId="33171" priority="3422" operator="equal">
      <formula>"PTO"</formula>
    </cfRule>
  </conditionalFormatting>
  <conditionalFormatting sqref="N46">
    <cfRule type="cellIs" dxfId="33170" priority="3419" operator="equal">
      <formula>"OFF"</formula>
    </cfRule>
    <cfRule type="cellIs" dxfId="33169" priority="3420" operator="equal">
      <formula>"PTO"</formula>
    </cfRule>
  </conditionalFormatting>
  <conditionalFormatting sqref="N46">
    <cfRule type="cellIs" dxfId="33168" priority="3417" operator="equal">
      <formula>"OFF"</formula>
    </cfRule>
    <cfRule type="cellIs" dxfId="33167" priority="3418" operator="equal">
      <formula>"PTO"</formula>
    </cfRule>
  </conditionalFormatting>
  <conditionalFormatting sqref="N45">
    <cfRule type="cellIs" dxfId="33166" priority="3415" operator="equal">
      <formula>"OFF"</formula>
    </cfRule>
    <cfRule type="cellIs" dxfId="33165" priority="3416" operator="equal">
      <formula>"PTO"</formula>
    </cfRule>
  </conditionalFormatting>
  <conditionalFormatting sqref="N45">
    <cfRule type="cellIs" dxfId="33164" priority="3413" operator="equal">
      <formula>"OFF"</formula>
    </cfRule>
    <cfRule type="cellIs" dxfId="33163" priority="3414" operator="equal">
      <formula>"PTO"</formula>
    </cfRule>
  </conditionalFormatting>
  <conditionalFormatting sqref="N45">
    <cfRule type="cellIs" dxfId="33162" priority="3411" operator="equal">
      <formula>"OFF"</formula>
    </cfRule>
    <cfRule type="cellIs" dxfId="33161" priority="3412" operator="equal">
      <formula>"PTO"</formula>
    </cfRule>
  </conditionalFormatting>
  <conditionalFormatting sqref="N45">
    <cfRule type="cellIs" dxfId="33160" priority="3409" operator="equal">
      <formula>"OFF"</formula>
    </cfRule>
    <cfRule type="cellIs" dxfId="33159" priority="3410" operator="equal">
      <formula>"PTO"</formula>
    </cfRule>
  </conditionalFormatting>
  <conditionalFormatting sqref="N45">
    <cfRule type="cellIs" dxfId="33158" priority="3407" operator="equal">
      <formula>"OFF"</formula>
    </cfRule>
    <cfRule type="cellIs" dxfId="33157" priority="3408" operator="equal">
      <formula>"PTO"</formula>
    </cfRule>
  </conditionalFormatting>
  <conditionalFormatting sqref="N45">
    <cfRule type="cellIs" dxfId="33156" priority="3405" operator="equal">
      <formula>"OFF"</formula>
    </cfRule>
    <cfRule type="cellIs" dxfId="33155" priority="3406" operator="equal">
      <formula>"PTO"</formula>
    </cfRule>
  </conditionalFormatting>
  <conditionalFormatting sqref="N45">
    <cfRule type="cellIs" dxfId="33154" priority="3403" operator="equal">
      <formula>"OFF"</formula>
    </cfRule>
    <cfRule type="cellIs" dxfId="33153" priority="3404" operator="equal">
      <formula>"PTO"</formula>
    </cfRule>
  </conditionalFormatting>
  <conditionalFormatting sqref="N45">
    <cfRule type="cellIs" dxfId="33152" priority="3401" operator="equal">
      <formula>"OFF"</formula>
    </cfRule>
    <cfRule type="cellIs" dxfId="33151" priority="3402" operator="equal">
      <formula>"PTO"</formula>
    </cfRule>
  </conditionalFormatting>
  <conditionalFormatting sqref="N45">
    <cfRule type="cellIs" dxfId="33150" priority="3399" operator="equal">
      <formula>"OFF"</formula>
    </cfRule>
    <cfRule type="cellIs" dxfId="33149" priority="3400" operator="equal">
      <formula>"PTO"</formula>
    </cfRule>
  </conditionalFormatting>
  <conditionalFormatting sqref="N45">
    <cfRule type="cellIs" dxfId="33148" priority="3397" operator="equal">
      <formula>"OFF"</formula>
    </cfRule>
    <cfRule type="cellIs" dxfId="33147" priority="3398" operator="equal">
      <formula>"PTO"</formula>
    </cfRule>
  </conditionalFormatting>
  <conditionalFormatting sqref="N45">
    <cfRule type="cellIs" dxfId="33146" priority="3395" operator="equal">
      <formula>"OFF"</formula>
    </cfRule>
    <cfRule type="cellIs" dxfId="33145" priority="3396" operator="equal">
      <formula>"PTO"</formula>
    </cfRule>
  </conditionalFormatting>
  <conditionalFormatting sqref="N45">
    <cfRule type="cellIs" dxfId="33144" priority="3393" operator="equal">
      <formula>"OFF"</formula>
    </cfRule>
    <cfRule type="cellIs" dxfId="33143" priority="3394" operator="equal">
      <formula>"PTO"</formula>
    </cfRule>
  </conditionalFormatting>
  <conditionalFormatting sqref="N45">
    <cfRule type="cellIs" dxfId="33142" priority="3391" operator="equal">
      <formula>"OFF"</formula>
    </cfRule>
    <cfRule type="cellIs" dxfId="33141" priority="3392" operator="equal">
      <formula>"PTO"</formula>
    </cfRule>
  </conditionalFormatting>
  <conditionalFormatting sqref="N45">
    <cfRule type="cellIs" dxfId="33140" priority="3389" operator="equal">
      <formula>"OFF"</formula>
    </cfRule>
    <cfRule type="cellIs" dxfId="33139" priority="3390" operator="equal">
      <formula>"PTO"</formula>
    </cfRule>
  </conditionalFormatting>
  <conditionalFormatting sqref="N45">
    <cfRule type="cellIs" dxfId="33138" priority="3387" operator="equal">
      <formula>"OFF"</formula>
    </cfRule>
    <cfRule type="cellIs" dxfId="33137" priority="3388" operator="equal">
      <formula>"PTO"</formula>
    </cfRule>
  </conditionalFormatting>
  <conditionalFormatting sqref="N45">
    <cfRule type="cellIs" dxfId="33136" priority="3385" operator="equal">
      <formula>"OFF"</formula>
    </cfRule>
    <cfRule type="cellIs" dxfId="33135" priority="3386" operator="equal">
      <formula>"PTO"</formula>
    </cfRule>
  </conditionalFormatting>
  <conditionalFormatting sqref="N45">
    <cfRule type="cellIs" dxfId="33134" priority="3383" operator="equal">
      <formula>"OFF"</formula>
    </cfRule>
    <cfRule type="cellIs" dxfId="33133" priority="3384" operator="equal">
      <formula>"PTO"</formula>
    </cfRule>
  </conditionalFormatting>
  <conditionalFormatting sqref="N45">
    <cfRule type="cellIs" dxfId="33132" priority="3381" operator="equal">
      <formula>"OFF"</formula>
    </cfRule>
    <cfRule type="cellIs" dxfId="33131" priority="3382" operator="equal">
      <formula>"PTO"</formula>
    </cfRule>
  </conditionalFormatting>
  <conditionalFormatting sqref="N45">
    <cfRule type="cellIs" dxfId="33130" priority="3379" operator="equal">
      <formula>"OFF"</formula>
    </cfRule>
    <cfRule type="cellIs" dxfId="33129" priority="3380" operator="equal">
      <formula>"PTO"</formula>
    </cfRule>
  </conditionalFormatting>
  <conditionalFormatting sqref="N45">
    <cfRule type="cellIs" dxfId="33128" priority="3377" operator="equal">
      <formula>"OFF"</formula>
    </cfRule>
    <cfRule type="cellIs" dxfId="33127" priority="3378" operator="equal">
      <formula>"PTO"</formula>
    </cfRule>
  </conditionalFormatting>
  <conditionalFormatting sqref="N45">
    <cfRule type="cellIs" dxfId="33126" priority="3375" operator="equal">
      <formula>"OFF"</formula>
    </cfRule>
    <cfRule type="cellIs" dxfId="33125" priority="3376" operator="equal">
      <formula>"PTO"</formula>
    </cfRule>
  </conditionalFormatting>
  <conditionalFormatting sqref="N45">
    <cfRule type="cellIs" dxfId="33124" priority="3373" operator="equal">
      <formula>"OFF"</formula>
    </cfRule>
    <cfRule type="cellIs" dxfId="33123" priority="3374" operator="equal">
      <formula>"PTO"</formula>
    </cfRule>
  </conditionalFormatting>
  <conditionalFormatting sqref="N45">
    <cfRule type="cellIs" dxfId="33122" priority="3371" operator="equal">
      <formula>"OFF"</formula>
    </cfRule>
    <cfRule type="cellIs" dxfId="33121" priority="3372" operator="equal">
      <formula>"PTO"</formula>
    </cfRule>
  </conditionalFormatting>
  <conditionalFormatting sqref="N45">
    <cfRule type="cellIs" dxfId="33120" priority="3369" operator="equal">
      <formula>"OFF"</formula>
    </cfRule>
    <cfRule type="cellIs" dxfId="33119" priority="3370" operator="equal">
      <formula>"PTO"</formula>
    </cfRule>
  </conditionalFormatting>
  <conditionalFormatting sqref="N45">
    <cfRule type="cellIs" dxfId="33118" priority="3367" operator="equal">
      <formula>"OFF"</formula>
    </cfRule>
    <cfRule type="cellIs" dxfId="33117" priority="3368" operator="equal">
      <formula>"PTO"</formula>
    </cfRule>
  </conditionalFormatting>
  <conditionalFormatting sqref="N45">
    <cfRule type="cellIs" dxfId="33116" priority="3365" operator="equal">
      <formula>"OFF"</formula>
    </cfRule>
    <cfRule type="cellIs" dxfId="33115" priority="3366" operator="equal">
      <formula>"PTO"</formula>
    </cfRule>
  </conditionalFormatting>
  <conditionalFormatting sqref="N46">
    <cfRule type="cellIs" dxfId="33114" priority="3363" operator="equal">
      <formula>"OFF"</formula>
    </cfRule>
    <cfRule type="cellIs" dxfId="33113" priority="3364" operator="equal">
      <formula>"PTO"</formula>
    </cfRule>
  </conditionalFormatting>
  <conditionalFormatting sqref="N46">
    <cfRule type="cellIs" dxfId="33112" priority="3361" operator="equal">
      <formula>"OFF"</formula>
    </cfRule>
    <cfRule type="cellIs" dxfId="33111" priority="3362" operator="equal">
      <formula>"PTO"</formula>
    </cfRule>
  </conditionalFormatting>
  <conditionalFormatting sqref="N46">
    <cfRule type="cellIs" dxfId="33110" priority="3359" operator="equal">
      <formula>"OFF"</formula>
    </cfRule>
    <cfRule type="cellIs" dxfId="33109" priority="3360" operator="equal">
      <formula>"PTO"</formula>
    </cfRule>
  </conditionalFormatting>
  <conditionalFormatting sqref="N46">
    <cfRule type="cellIs" dxfId="33108" priority="3357" operator="equal">
      <formula>"OFF"</formula>
    </cfRule>
    <cfRule type="cellIs" dxfId="33107" priority="3358" operator="equal">
      <formula>"PTO"</formula>
    </cfRule>
  </conditionalFormatting>
  <conditionalFormatting sqref="N46">
    <cfRule type="cellIs" dxfId="33106" priority="3355" operator="equal">
      <formula>"OFF"</formula>
    </cfRule>
    <cfRule type="cellIs" dxfId="33105" priority="3356" operator="equal">
      <formula>"PTO"</formula>
    </cfRule>
  </conditionalFormatting>
  <conditionalFormatting sqref="N46">
    <cfRule type="cellIs" dxfId="33104" priority="3353" operator="equal">
      <formula>"OFF"</formula>
    </cfRule>
    <cfRule type="cellIs" dxfId="33103" priority="3354" operator="equal">
      <formula>"PTO"</formula>
    </cfRule>
  </conditionalFormatting>
  <conditionalFormatting sqref="N46">
    <cfRule type="cellIs" dxfId="33102" priority="3351" operator="equal">
      <formula>"OFF"</formula>
    </cfRule>
    <cfRule type="cellIs" dxfId="33101" priority="3352" operator="equal">
      <formula>"PTO"</formula>
    </cfRule>
  </conditionalFormatting>
  <conditionalFormatting sqref="N46">
    <cfRule type="cellIs" dxfId="33100" priority="3349" operator="equal">
      <formula>"OFF"</formula>
    </cfRule>
    <cfRule type="cellIs" dxfId="33099" priority="3350" operator="equal">
      <formula>"PTO"</formula>
    </cfRule>
  </conditionalFormatting>
  <conditionalFormatting sqref="N46">
    <cfRule type="cellIs" dxfId="33098" priority="3347" operator="equal">
      <formula>"OFF"</formula>
    </cfRule>
    <cfRule type="cellIs" dxfId="33097" priority="3348" operator="equal">
      <formula>"PTO"</formula>
    </cfRule>
  </conditionalFormatting>
  <conditionalFormatting sqref="N46">
    <cfRule type="cellIs" dxfId="33096" priority="3345" operator="equal">
      <formula>"OFF"</formula>
    </cfRule>
    <cfRule type="cellIs" dxfId="33095" priority="3346" operator="equal">
      <formula>"PTO"</formula>
    </cfRule>
  </conditionalFormatting>
  <conditionalFormatting sqref="N46">
    <cfRule type="cellIs" dxfId="33094" priority="3343" operator="equal">
      <formula>"OFF"</formula>
    </cfRule>
    <cfRule type="cellIs" dxfId="33093" priority="3344" operator="equal">
      <formula>"PTO"</formula>
    </cfRule>
  </conditionalFormatting>
  <conditionalFormatting sqref="N46">
    <cfRule type="cellIs" dxfId="33092" priority="3341" operator="equal">
      <formula>"OFF"</formula>
    </cfRule>
    <cfRule type="cellIs" dxfId="33091" priority="3342" operator="equal">
      <formula>"PTO"</formula>
    </cfRule>
  </conditionalFormatting>
  <conditionalFormatting sqref="N46">
    <cfRule type="cellIs" dxfId="33090" priority="3339" operator="equal">
      <formula>"OFF"</formula>
    </cfRule>
    <cfRule type="cellIs" dxfId="33089" priority="3340" operator="equal">
      <formula>"PTO"</formula>
    </cfRule>
  </conditionalFormatting>
  <conditionalFormatting sqref="N46">
    <cfRule type="cellIs" dxfId="33088" priority="3337" operator="equal">
      <formula>"OFF"</formula>
    </cfRule>
    <cfRule type="cellIs" dxfId="33087" priority="3338" operator="equal">
      <formula>"PTO"</formula>
    </cfRule>
  </conditionalFormatting>
  <conditionalFormatting sqref="N46">
    <cfRule type="cellIs" dxfId="33086" priority="3335" operator="equal">
      <formula>"OFF"</formula>
    </cfRule>
    <cfRule type="cellIs" dxfId="33085" priority="3336" operator="equal">
      <formula>"PTO"</formula>
    </cfRule>
  </conditionalFormatting>
  <conditionalFormatting sqref="N46">
    <cfRule type="cellIs" dxfId="33084" priority="3333" operator="equal">
      <formula>"OFF"</formula>
    </cfRule>
    <cfRule type="cellIs" dxfId="33083" priority="3334" operator="equal">
      <formula>"PTO"</formula>
    </cfRule>
  </conditionalFormatting>
  <conditionalFormatting sqref="N46">
    <cfRule type="cellIs" dxfId="33082" priority="3331" operator="equal">
      <formula>"OFF"</formula>
    </cfRule>
    <cfRule type="cellIs" dxfId="33081" priority="3332" operator="equal">
      <formula>"PTO"</formula>
    </cfRule>
  </conditionalFormatting>
  <conditionalFormatting sqref="N46">
    <cfRule type="cellIs" dxfId="33080" priority="3329" operator="equal">
      <formula>"OFF"</formula>
    </cfRule>
    <cfRule type="cellIs" dxfId="33079" priority="3330" operator="equal">
      <formula>"PTO"</formula>
    </cfRule>
  </conditionalFormatting>
  <conditionalFormatting sqref="N46">
    <cfRule type="cellIs" dxfId="33078" priority="3327" operator="equal">
      <formula>"OFF"</formula>
    </cfRule>
    <cfRule type="cellIs" dxfId="33077" priority="3328" operator="equal">
      <formula>"PTO"</formula>
    </cfRule>
  </conditionalFormatting>
  <conditionalFormatting sqref="N46">
    <cfRule type="cellIs" dxfId="33076" priority="3325" operator="equal">
      <formula>"OFF"</formula>
    </cfRule>
    <cfRule type="cellIs" dxfId="33075" priority="3326" operator="equal">
      <formula>"PTO"</formula>
    </cfRule>
  </conditionalFormatting>
  <conditionalFormatting sqref="N46">
    <cfRule type="cellIs" dxfId="33074" priority="3323" operator="equal">
      <formula>"OFF"</formula>
    </cfRule>
    <cfRule type="cellIs" dxfId="33073" priority="3324" operator="equal">
      <formula>"PTO"</formula>
    </cfRule>
  </conditionalFormatting>
  <conditionalFormatting sqref="N46">
    <cfRule type="cellIs" dxfId="33072" priority="3321" operator="equal">
      <formula>"OFF"</formula>
    </cfRule>
    <cfRule type="cellIs" dxfId="33071" priority="3322" operator="equal">
      <formula>"PTO"</formula>
    </cfRule>
  </conditionalFormatting>
  <conditionalFormatting sqref="N46">
    <cfRule type="cellIs" dxfId="33070" priority="3319" operator="equal">
      <formula>"OFF"</formula>
    </cfRule>
    <cfRule type="cellIs" dxfId="33069" priority="3320" operator="equal">
      <formula>"PTO"</formula>
    </cfRule>
  </conditionalFormatting>
  <conditionalFormatting sqref="N46">
    <cfRule type="cellIs" dxfId="33068" priority="3317" operator="equal">
      <formula>"OFF"</formula>
    </cfRule>
    <cfRule type="cellIs" dxfId="33067" priority="3318" operator="equal">
      <formula>"PTO"</formula>
    </cfRule>
  </conditionalFormatting>
  <conditionalFormatting sqref="N46">
    <cfRule type="cellIs" dxfId="33066" priority="3315" operator="equal">
      <formula>"OFF"</formula>
    </cfRule>
    <cfRule type="cellIs" dxfId="33065" priority="3316" operator="equal">
      <formula>"PTO"</formula>
    </cfRule>
  </conditionalFormatting>
  <conditionalFormatting sqref="N46">
    <cfRule type="cellIs" dxfId="33064" priority="3313" operator="equal">
      <formula>"OFF"</formula>
    </cfRule>
    <cfRule type="cellIs" dxfId="33063" priority="3314" operator="equal">
      <formula>"PTO"</formula>
    </cfRule>
  </conditionalFormatting>
  <conditionalFormatting sqref="N45">
    <cfRule type="cellIs" dxfId="33062" priority="3311" operator="equal">
      <formula>"OFF"</formula>
    </cfRule>
    <cfRule type="cellIs" dxfId="33061" priority="3312" operator="equal">
      <formula>"PTO"</formula>
    </cfRule>
  </conditionalFormatting>
  <conditionalFormatting sqref="N45">
    <cfRule type="cellIs" dxfId="33060" priority="3309" operator="equal">
      <formula>"OFF"</formula>
    </cfRule>
    <cfRule type="cellIs" dxfId="33059" priority="3310" operator="equal">
      <formula>"PTO"</formula>
    </cfRule>
  </conditionalFormatting>
  <conditionalFormatting sqref="N46">
    <cfRule type="cellIs" dxfId="33058" priority="3307" operator="equal">
      <formula>"OFF"</formula>
    </cfRule>
    <cfRule type="cellIs" dxfId="33057" priority="3308" operator="equal">
      <formula>"PTO"</formula>
    </cfRule>
  </conditionalFormatting>
  <conditionalFormatting sqref="N45">
    <cfRule type="cellIs" dxfId="33056" priority="3305" operator="equal">
      <formula>"OFF"</formula>
    </cfRule>
    <cfRule type="cellIs" dxfId="33055" priority="3306" operator="equal">
      <formula>"PTO"</formula>
    </cfRule>
  </conditionalFormatting>
  <conditionalFormatting sqref="N47">
    <cfRule type="cellIs" dxfId="33054" priority="3303" operator="equal">
      <formula>"OFF"</formula>
    </cfRule>
    <cfRule type="cellIs" dxfId="33053" priority="3304" operator="equal">
      <formula>"PTO"</formula>
    </cfRule>
  </conditionalFormatting>
  <conditionalFormatting sqref="N47">
    <cfRule type="cellIs" dxfId="33052" priority="3301" operator="equal">
      <formula>"OFF"</formula>
    </cfRule>
    <cfRule type="cellIs" dxfId="33051" priority="3302" operator="equal">
      <formula>"PTO"</formula>
    </cfRule>
  </conditionalFormatting>
  <conditionalFormatting sqref="N47">
    <cfRule type="cellIs" dxfId="33050" priority="3299" operator="equal">
      <formula>"OFF"</formula>
    </cfRule>
    <cfRule type="cellIs" dxfId="33049" priority="3300" operator="equal">
      <formula>"PTO"</formula>
    </cfRule>
  </conditionalFormatting>
  <conditionalFormatting sqref="N47">
    <cfRule type="cellIs" dxfId="33048" priority="3297" operator="equal">
      <formula>"OFF"</formula>
    </cfRule>
    <cfRule type="cellIs" dxfId="33047" priority="3298" operator="equal">
      <formula>"PTO"</formula>
    </cfRule>
  </conditionalFormatting>
  <conditionalFormatting sqref="N47">
    <cfRule type="cellIs" dxfId="33046" priority="3295" operator="equal">
      <formula>"OFF"</formula>
    </cfRule>
    <cfRule type="cellIs" dxfId="33045" priority="3296" operator="equal">
      <formula>"PTO"</formula>
    </cfRule>
  </conditionalFormatting>
  <conditionalFormatting sqref="N47">
    <cfRule type="cellIs" dxfId="33044" priority="3293" operator="equal">
      <formula>"OFF"</formula>
    </cfRule>
    <cfRule type="cellIs" dxfId="33043" priority="3294" operator="equal">
      <formula>"PTO"</formula>
    </cfRule>
  </conditionalFormatting>
  <conditionalFormatting sqref="N47">
    <cfRule type="cellIs" dxfId="33042" priority="3291" operator="equal">
      <formula>"OFF"</formula>
    </cfRule>
    <cfRule type="cellIs" dxfId="33041" priority="3292" operator="equal">
      <formula>"PTO"</formula>
    </cfRule>
  </conditionalFormatting>
  <conditionalFormatting sqref="N47">
    <cfRule type="cellIs" dxfId="33040" priority="3289" operator="equal">
      <formula>"OFF"</formula>
    </cfRule>
    <cfRule type="cellIs" dxfId="33039" priority="3290" operator="equal">
      <formula>"PTO"</formula>
    </cfRule>
  </conditionalFormatting>
  <conditionalFormatting sqref="N47">
    <cfRule type="cellIs" dxfId="33038" priority="3287" operator="equal">
      <formula>"OFF"</formula>
    </cfRule>
    <cfRule type="cellIs" dxfId="33037" priority="3288" operator="equal">
      <formula>"PTO"</formula>
    </cfRule>
  </conditionalFormatting>
  <conditionalFormatting sqref="N47">
    <cfRule type="cellIs" dxfId="33036" priority="3285" operator="equal">
      <formula>"OFF"</formula>
    </cfRule>
    <cfRule type="cellIs" dxfId="33035" priority="3286" operator="equal">
      <formula>"PTO"</formula>
    </cfRule>
  </conditionalFormatting>
  <conditionalFormatting sqref="N47">
    <cfRule type="cellIs" dxfId="33034" priority="3283" operator="equal">
      <formula>"OFF"</formula>
    </cfRule>
    <cfRule type="cellIs" dxfId="33033" priority="3284" operator="equal">
      <formula>"PTO"</formula>
    </cfRule>
  </conditionalFormatting>
  <conditionalFormatting sqref="N47">
    <cfRule type="cellIs" dxfId="33032" priority="3281" operator="equal">
      <formula>"OFF"</formula>
    </cfRule>
    <cfRule type="cellIs" dxfId="33031" priority="3282" operator="equal">
      <formula>"PTO"</formula>
    </cfRule>
  </conditionalFormatting>
  <conditionalFormatting sqref="N47">
    <cfRule type="cellIs" dxfId="33030" priority="3279" operator="equal">
      <formula>"OFF"</formula>
    </cfRule>
    <cfRule type="cellIs" dxfId="33029" priority="3280" operator="equal">
      <formula>"PTO"</formula>
    </cfRule>
  </conditionalFormatting>
  <conditionalFormatting sqref="N47">
    <cfRule type="cellIs" dxfId="33028" priority="3277" operator="equal">
      <formula>"OFF"</formula>
    </cfRule>
    <cfRule type="cellIs" dxfId="33027" priority="3278" operator="equal">
      <formula>"PTO"</formula>
    </cfRule>
  </conditionalFormatting>
  <conditionalFormatting sqref="N47">
    <cfRule type="cellIs" dxfId="33026" priority="3275" operator="equal">
      <formula>"OFF"</formula>
    </cfRule>
    <cfRule type="cellIs" dxfId="33025" priority="3276" operator="equal">
      <formula>"PTO"</formula>
    </cfRule>
  </conditionalFormatting>
  <conditionalFormatting sqref="N47">
    <cfRule type="cellIs" dxfId="33024" priority="3273" operator="equal">
      <formula>"OFF"</formula>
    </cfRule>
    <cfRule type="cellIs" dxfId="33023" priority="3274" operator="equal">
      <formula>"PTO"</formula>
    </cfRule>
  </conditionalFormatting>
  <conditionalFormatting sqref="N47">
    <cfRule type="cellIs" dxfId="33022" priority="3271" operator="equal">
      <formula>"OFF"</formula>
    </cfRule>
    <cfRule type="cellIs" dxfId="33021" priority="3272" operator="equal">
      <formula>"PTO"</formula>
    </cfRule>
  </conditionalFormatting>
  <conditionalFormatting sqref="N47">
    <cfRule type="cellIs" dxfId="33020" priority="3269" operator="equal">
      <formula>"OFF"</formula>
    </cfRule>
    <cfRule type="cellIs" dxfId="33019" priority="3270" operator="equal">
      <formula>"PTO"</formula>
    </cfRule>
  </conditionalFormatting>
  <conditionalFormatting sqref="N47">
    <cfRule type="cellIs" dxfId="33018" priority="3267" operator="equal">
      <formula>"OFF"</formula>
    </cfRule>
    <cfRule type="cellIs" dxfId="33017" priority="3268" operator="equal">
      <formula>"PTO"</formula>
    </cfRule>
  </conditionalFormatting>
  <conditionalFormatting sqref="N47">
    <cfRule type="cellIs" dxfId="33016" priority="3265" operator="equal">
      <formula>"OFF"</formula>
    </cfRule>
    <cfRule type="cellIs" dxfId="33015" priority="3266" operator="equal">
      <formula>"PTO"</formula>
    </cfRule>
  </conditionalFormatting>
  <conditionalFormatting sqref="N47">
    <cfRule type="cellIs" dxfId="33014" priority="3263" operator="equal">
      <formula>"OFF"</formula>
    </cfRule>
    <cfRule type="cellIs" dxfId="33013" priority="3264" operator="equal">
      <formula>"PTO"</formula>
    </cfRule>
  </conditionalFormatting>
  <conditionalFormatting sqref="N47">
    <cfRule type="cellIs" dxfId="33012" priority="3261" operator="equal">
      <formula>"OFF"</formula>
    </cfRule>
    <cfRule type="cellIs" dxfId="33011" priority="3262" operator="equal">
      <formula>"PTO"</formula>
    </cfRule>
  </conditionalFormatting>
  <conditionalFormatting sqref="N47">
    <cfRule type="cellIs" dxfId="33010" priority="3259" operator="equal">
      <formula>"OFF"</formula>
    </cfRule>
    <cfRule type="cellIs" dxfId="33009" priority="3260" operator="equal">
      <formula>"PTO"</formula>
    </cfRule>
  </conditionalFormatting>
  <conditionalFormatting sqref="N47">
    <cfRule type="cellIs" dxfId="33008" priority="3257" operator="equal">
      <formula>"OFF"</formula>
    </cfRule>
    <cfRule type="cellIs" dxfId="33007" priority="3258" operator="equal">
      <formula>"PTO"</formula>
    </cfRule>
  </conditionalFormatting>
  <conditionalFormatting sqref="N47">
    <cfRule type="cellIs" dxfId="33006" priority="3255" operator="equal">
      <formula>"OFF"</formula>
    </cfRule>
    <cfRule type="cellIs" dxfId="33005" priority="3256" operator="equal">
      <formula>"PTO"</formula>
    </cfRule>
  </conditionalFormatting>
  <conditionalFormatting sqref="N48">
    <cfRule type="cellIs" dxfId="33004" priority="3253" operator="equal">
      <formula>"OFF"</formula>
    </cfRule>
    <cfRule type="cellIs" dxfId="33003" priority="3254" operator="equal">
      <formula>"PTO"</formula>
    </cfRule>
  </conditionalFormatting>
  <conditionalFormatting sqref="N48">
    <cfRule type="cellIs" dxfId="33002" priority="3251" operator="equal">
      <formula>"OFF"</formula>
    </cfRule>
    <cfRule type="cellIs" dxfId="33001" priority="3252" operator="equal">
      <formula>"PTO"</formula>
    </cfRule>
  </conditionalFormatting>
  <conditionalFormatting sqref="N48">
    <cfRule type="cellIs" dxfId="33000" priority="3249" operator="equal">
      <formula>"OFF"</formula>
    </cfRule>
    <cfRule type="cellIs" dxfId="32999" priority="3250" operator="equal">
      <formula>"PTO"</formula>
    </cfRule>
  </conditionalFormatting>
  <conditionalFormatting sqref="N48">
    <cfRule type="cellIs" dxfId="32998" priority="3247" operator="equal">
      <formula>"OFF"</formula>
    </cfRule>
    <cfRule type="cellIs" dxfId="32997" priority="3248" operator="equal">
      <formula>"PTO"</formula>
    </cfRule>
  </conditionalFormatting>
  <conditionalFormatting sqref="N48">
    <cfRule type="cellIs" dxfId="32996" priority="3245" operator="equal">
      <formula>"OFF"</formula>
    </cfRule>
    <cfRule type="cellIs" dxfId="32995" priority="3246" operator="equal">
      <formula>"PTO"</formula>
    </cfRule>
  </conditionalFormatting>
  <conditionalFormatting sqref="N48">
    <cfRule type="cellIs" dxfId="32994" priority="3243" operator="equal">
      <formula>"OFF"</formula>
    </cfRule>
    <cfRule type="cellIs" dxfId="32993" priority="3244" operator="equal">
      <formula>"PTO"</formula>
    </cfRule>
  </conditionalFormatting>
  <conditionalFormatting sqref="N48">
    <cfRule type="cellIs" dxfId="32992" priority="3241" operator="equal">
      <formula>"OFF"</formula>
    </cfRule>
    <cfRule type="cellIs" dxfId="32991" priority="3242" operator="equal">
      <formula>"PTO"</formula>
    </cfRule>
  </conditionalFormatting>
  <conditionalFormatting sqref="N48">
    <cfRule type="cellIs" dxfId="32990" priority="3239" operator="equal">
      <formula>"OFF"</formula>
    </cfRule>
    <cfRule type="cellIs" dxfId="32989" priority="3240" operator="equal">
      <formula>"PTO"</formula>
    </cfRule>
  </conditionalFormatting>
  <conditionalFormatting sqref="N48">
    <cfRule type="cellIs" dxfId="32988" priority="3237" operator="equal">
      <formula>"OFF"</formula>
    </cfRule>
    <cfRule type="cellIs" dxfId="32987" priority="3238" operator="equal">
      <formula>"PTO"</formula>
    </cfRule>
  </conditionalFormatting>
  <conditionalFormatting sqref="N48">
    <cfRule type="cellIs" dxfId="32986" priority="3235" operator="equal">
      <formula>"OFF"</formula>
    </cfRule>
    <cfRule type="cellIs" dxfId="32985" priority="3236" operator="equal">
      <formula>"PTO"</formula>
    </cfRule>
  </conditionalFormatting>
  <conditionalFormatting sqref="N47">
    <cfRule type="cellIs" dxfId="32984" priority="3233" operator="equal">
      <formula>"OFF"</formula>
    </cfRule>
    <cfRule type="cellIs" dxfId="32983" priority="3234" operator="equal">
      <formula>"PTO"</formula>
    </cfRule>
  </conditionalFormatting>
  <conditionalFormatting sqref="N47">
    <cfRule type="cellIs" dxfId="32982" priority="3231" operator="equal">
      <formula>"OFF"</formula>
    </cfRule>
    <cfRule type="cellIs" dxfId="32981" priority="3232" operator="equal">
      <formula>"PTO"</formula>
    </cfRule>
  </conditionalFormatting>
  <conditionalFormatting sqref="N47">
    <cfRule type="cellIs" dxfId="32980" priority="3229" operator="equal">
      <formula>"OFF"</formula>
    </cfRule>
    <cfRule type="cellIs" dxfId="32979" priority="3230" operator="equal">
      <formula>"PTO"</formula>
    </cfRule>
  </conditionalFormatting>
  <conditionalFormatting sqref="N47">
    <cfRule type="cellIs" dxfId="32978" priority="3227" operator="equal">
      <formula>"OFF"</formula>
    </cfRule>
    <cfRule type="cellIs" dxfId="32977" priority="3228" operator="equal">
      <formula>"PTO"</formula>
    </cfRule>
  </conditionalFormatting>
  <conditionalFormatting sqref="N47">
    <cfRule type="cellIs" dxfId="32976" priority="3225" operator="equal">
      <formula>"OFF"</formula>
    </cfRule>
    <cfRule type="cellIs" dxfId="32975" priority="3226" operator="equal">
      <formula>"PTO"</formula>
    </cfRule>
  </conditionalFormatting>
  <conditionalFormatting sqref="N47">
    <cfRule type="cellIs" dxfId="32974" priority="3223" operator="equal">
      <formula>"OFF"</formula>
    </cfRule>
    <cfRule type="cellIs" dxfId="32973" priority="3224" operator="equal">
      <formula>"PTO"</formula>
    </cfRule>
  </conditionalFormatting>
  <conditionalFormatting sqref="N47">
    <cfRule type="cellIs" dxfId="32972" priority="3221" operator="equal">
      <formula>"OFF"</formula>
    </cfRule>
    <cfRule type="cellIs" dxfId="32971" priority="3222" operator="equal">
      <formula>"PTO"</formula>
    </cfRule>
  </conditionalFormatting>
  <conditionalFormatting sqref="N47">
    <cfRule type="cellIs" dxfId="32970" priority="3219" operator="equal">
      <formula>"OFF"</formula>
    </cfRule>
    <cfRule type="cellIs" dxfId="32969" priority="3220" operator="equal">
      <formula>"PTO"</formula>
    </cfRule>
  </conditionalFormatting>
  <conditionalFormatting sqref="N47">
    <cfRule type="cellIs" dxfId="32968" priority="3217" operator="equal">
      <formula>"OFF"</formula>
    </cfRule>
    <cfRule type="cellIs" dxfId="32967" priority="3218" operator="equal">
      <formula>"PTO"</formula>
    </cfRule>
  </conditionalFormatting>
  <conditionalFormatting sqref="N49">
    <cfRule type="cellIs" dxfId="32966" priority="3215" operator="equal">
      <formula>"OFF"</formula>
    </cfRule>
    <cfRule type="cellIs" dxfId="32965" priority="3216" operator="equal">
      <formula>"PTO"</formula>
    </cfRule>
  </conditionalFormatting>
  <conditionalFormatting sqref="Q45:Q50 V45:W50">
    <cfRule type="cellIs" dxfId="32964" priority="3213" operator="equal">
      <formula>"OFF"</formula>
    </cfRule>
    <cfRule type="cellIs" dxfId="32963" priority="3214" operator="equal">
      <formula>"PTO"</formula>
    </cfRule>
  </conditionalFormatting>
  <conditionalFormatting sqref="Q48 V48:W48">
    <cfRule type="cellIs" dxfId="32962" priority="3211" operator="equal">
      <formula>"OFF"</formula>
    </cfRule>
    <cfRule type="cellIs" dxfId="32961" priority="3212" operator="equal">
      <formula>"PTO"</formula>
    </cfRule>
  </conditionalFormatting>
  <conditionalFormatting sqref="Q48 V48:W48">
    <cfRule type="cellIs" dxfId="32960" priority="3209" operator="equal">
      <formula>"OFF"</formula>
    </cfRule>
    <cfRule type="cellIs" dxfId="32959" priority="3210" operator="equal">
      <formula>"PTO"</formula>
    </cfRule>
  </conditionalFormatting>
  <conditionalFormatting sqref="Q48 V48:W48">
    <cfRule type="cellIs" dxfId="32958" priority="3207" operator="equal">
      <formula>"OFF"</formula>
    </cfRule>
    <cfRule type="cellIs" dxfId="32957" priority="3208" operator="equal">
      <formula>"PTO"</formula>
    </cfRule>
  </conditionalFormatting>
  <conditionalFormatting sqref="Q48 V48:W48">
    <cfRule type="cellIs" dxfId="32956" priority="3205" operator="equal">
      <formula>"OFF"</formula>
    </cfRule>
    <cfRule type="cellIs" dxfId="32955" priority="3206" operator="equal">
      <formula>"PTO"</formula>
    </cfRule>
  </conditionalFormatting>
  <conditionalFormatting sqref="Q45 V45:W45">
    <cfRule type="cellIs" dxfId="32954" priority="3203" operator="equal">
      <formula>"OFF"</formula>
    </cfRule>
    <cfRule type="cellIs" dxfId="32953" priority="3204" operator="equal">
      <formula>"PTO"</formula>
    </cfRule>
  </conditionalFormatting>
  <conditionalFormatting sqref="Q45 V45:W45">
    <cfRule type="cellIs" dxfId="32952" priority="3201" operator="equal">
      <formula>"OFF"</formula>
    </cfRule>
    <cfRule type="cellIs" dxfId="32951" priority="3202" operator="equal">
      <formula>"PTO"</formula>
    </cfRule>
  </conditionalFormatting>
  <conditionalFormatting sqref="Q48 V48:W48">
    <cfRule type="cellIs" dxfId="32950" priority="3199" operator="equal">
      <formula>"OFF"</formula>
    </cfRule>
    <cfRule type="cellIs" dxfId="32949" priority="3200" operator="equal">
      <formula>"PTO"</formula>
    </cfRule>
  </conditionalFormatting>
  <conditionalFormatting sqref="Q45 V45:W45">
    <cfRule type="cellIs" dxfId="32948" priority="3197" operator="equal">
      <formula>"OFF"</formula>
    </cfRule>
    <cfRule type="cellIs" dxfId="32947" priority="3198" operator="equal">
      <formula>"PTO"</formula>
    </cfRule>
  </conditionalFormatting>
  <conditionalFormatting sqref="Q50 V50:W50">
    <cfRule type="cellIs" dxfId="32946" priority="3195" operator="equal">
      <formula>"OFF"</formula>
    </cfRule>
    <cfRule type="cellIs" dxfId="32945" priority="3196" operator="equal">
      <formula>"PTO"</formula>
    </cfRule>
  </conditionalFormatting>
  <conditionalFormatting sqref="Q48 V48:W48">
    <cfRule type="cellIs" dxfId="32944" priority="3193" operator="equal">
      <formula>"OFF"</formula>
    </cfRule>
    <cfRule type="cellIs" dxfId="32943" priority="3194" operator="equal">
      <formula>"PTO"</formula>
    </cfRule>
  </conditionalFormatting>
  <conditionalFormatting sqref="Q48 V48:W48">
    <cfRule type="cellIs" dxfId="32942" priority="3191" operator="equal">
      <formula>"OFF"</formula>
    </cfRule>
    <cfRule type="cellIs" dxfId="32941" priority="3192" operator="equal">
      <formula>"PTO"</formula>
    </cfRule>
  </conditionalFormatting>
  <conditionalFormatting sqref="Q48 V48:W48">
    <cfRule type="cellIs" dxfId="32940" priority="3189" operator="equal">
      <formula>"OFF"</formula>
    </cfRule>
    <cfRule type="cellIs" dxfId="32939" priority="3190" operator="equal">
      <formula>"PTO"</formula>
    </cfRule>
  </conditionalFormatting>
  <conditionalFormatting sqref="Q48 V48:W48">
    <cfRule type="cellIs" dxfId="32938" priority="3187" operator="equal">
      <formula>"OFF"</formula>
    </cfRule>
    <cfRule type="cellIs" dxfId="32937" priority="3188" operator="equal">
      <formula>"PTO"</formula>
    </cfRule>
  </conditionalFormatting>
  <conditionalFormatting sqref="Q48 V48:W48">
    <cfRule type="cellIs" dxfId="32936" priority="3185" operator="equal">
      <formula>"OFF"</formula>
    </cfRule>
    <cfRule type="cellIs" dxfId="32935" priority="3186" operator="equal">
      <formula>"PTO"</formula>
    </cfRule>
  </conditionalFormatting>
  <conditionalFormatting sqref="Q48 V48:W48">
    <cfRule type="cellIs" dxfId="32934" priority="3183" operator="equal">
      <formula>"OFF"</formula>
    </cfRule>
    <cfRule type="cellIs" dxfId="32933" priority="3184" operator="equal">
      <formula>"PTO"</formula>
    </cfRule>
  </conditionalFormatting>
  <conditionalFormatting sqref="Q48 V48:W48">
    <cfRule type="cellIs" dxfId="32932" priority="3181" operator="equal">
      <formula>"OFF"</formula>
    </cfRule>
    <cfRule type="cellIs" dxfId="32931" priority="3182" operator="equal">
      <formula>"PTO"</formula>
    </cfRule>
  </conditionalFormatting>
  <conditionalFormatting sqref="Q48 V48:W48">
    <cfRule type="cellIs" dxfId="32930" priority="3179" operator="equal">
      <formula>"OFF"</formula>
    </cfRule>
    <cfRule type="cellIs" dxfId="32929" priority="3180" operator="equal">
      <formula>"PTO"</formula>
    </cfRule>
  </conditionalFormatting>
  <conditionalFormatting sqref="Q48 V48:W48">
    <cfRule type="cellIs" dxfId="32928" priority="3177" operator="equal">
      <formula>"OFF"</formula>
    </cfRule>
    <cfRule type="cellIs" dxfId="32927" priority="3178" operator="equal">
      <formula>"PTO"</formula>
    </cfRule>
  </conditionalFormatting>
  <conditionalFormatting sqref="Q48 V48:W48">
    <cfRule type="cellIs" dxfId="32926" priority="3175" operator="equal">
      <formula>"OFF"</formula>
    </cfRule>
    <cfRule type="cellIs" dxfId="32925" priority="3176" operator="equal">
      <formula>"PTO"</formula>
    </cfRule>
  </conditionalFormatting>
  <conditionalFormatting sqref="Q48 V48:W48">
    <cfRule type="cellIs" dxfId="32924" priority="3173" operator="equal">
      <formula>"OFF"</formula>
    </cfRule>
    <cfRule type="cellIs" dxfId="32923" priority="3174" operator="equal">
      <formula>"PTO"</formula>
    </cfRule>
  </conditionalFormatting>
  <conditionalFormatting sqref="Q48 V48:W48">
    <cfRule type="cellIs" dxfId="32922" priority="3171" operator="equal">
      <formula>"OFF"</formula>
    </cfRule>
    <cfRule type="cellIs" dxfId="32921" priority="3172" operator="equal">
      <formula>"PTO"</formula>
    </cfRule>
  </conditionalFormatting>
  <conditionalFormatting sqref="Q48 V48:W48">
    <cfRule type="cellIs" dxfId="32920" priority="3169" operator="equal">
      <formula>"OFF"</formula>
    </cfRule>
    <cfRule type="cellIs" dxfId="32919" priority="3170" operator="equal">
      <formula>"PTO"</formula>
    </cfRule>
  </conditionalFormatting>
  <conditionalFormatting sqref="Q48 V48:W48">
    <cfRule type="cellIs" dxfId="32918" priority="3167" operator="equal">
      <formula>"OFF"</formula>
    </cfRule>
    <cfRule type="cellIs" dxfId="32917" priority="3168" operator="equal">
      <formula>"PTO"</formula>
    </cfRule>
  </conditionalFormatting>
  <conditionalFormatting sqref="Q48 V48:W48">
    <cfRule type="cellIs" dxfId="32916" priority="3165" operator="equal">
      <formula>"OFF"</formula>
    </cfRule>
    <cfRule type="cellIs" dxfId="32915" priority="3166" operator="equal">
      <formula>"PTO"</formula>
    </cfRule>
  </conditionalFormatting>
  <conditionalFormatting sqref="Q48 V48:W48">
    <cfRule type="cellIs" dxfId="32914" priority="3163" operator="equal">
      <formula>"OFF"</formula>
    </cfRule>
    <cfRule type="cellIs" dxfId="32913" priority="3164" operator="equal">
      <formula>"PTO"</formula>
    </cfRule>
  </conditionalFormatting>
  <conditionalFormatting sqref="Q48 V48:W48">
    <cfRule type="cellIs" dxfId="32912" priority="3161" operator="equal">
      <formula>"OFF"</formula>
    </cfRule>
    <cfRule type="cellIs" dxfId="32911" priority="3162" operator="equal">
      <formula>"PTO"</formula>
    </cfRule>
  </conditionalFormatting>
  <conditionalFormatting sqref="Q48 V48:W48">
    <cfRule type="cellIs" dxfId="32910" priority="3159" operator="equal">
      <formula>"OFF"</formula>
    </cfRule>
    <cfRule type="cellIs" dxfId="32909" priority="3160" operator="equal">
      <formula>"PTO"</formula>
    </cfRule>
  </conditionalFormatting>
  <conditionalFormatting sqref="Q48 V48:W48">
    <cfRule type="cellIs" dxfId="32908" priority="3157" operator="equal">
      <formula>"OFF"</formula>
    </cfRule>
    <cfRule type="cellIs" dxfId="32907" priority="3158" operator="equal">
      <formula>"PTO"</formula>
    </cfRule>
  </conditionalFormatting>
  <conditionalFormatting sqref="Q48 V48:W48">
    <cfRule type="cellIs" dxfId="32906" priority="3155" operator="equal">
      <formula>"OFF"</formula>
    </cfRule>
    <cfRule type="cellIs" dxfId="32905" priority="3156" operator="equal">
      <formula>"PTO"</formula>
    </cfRule>
  </conditionalFormatting>
  <conditionalFormatting sqref="Q43 V43:W43">
    <cfRule type="cellIs" dxfId="32904" priority="3153" operator="equal">
      <formula>"OFF"</formula>
    </cfRule>
    <cfRule type="cellIs" dxfId="32903" priority="3154" operator="equal">
      <formula>"PTO"</formula>
    </cfRule>
  </conditionalFormatting>
  <conditionalFormatting sqref="Q43 V43:W43">
    <cfRule type="cellIs" dxfId="32902" priority="3151" operator="equal">
      <formula>"OFF"</formula>
    </cfRule>
    <cfRule type="cellIs" dxfId="32901" priority="3152" operator="equal">
      <formula>"PTO"</formula>
    </cfRule>
  </conditionalFormatting>
  <conditionalFormatting sqref="Q43 V43:W43">
    <cfRule type="cellIs" dxfId="32900" priority="3149" operator="equal">
      <formula>"OFF"</formula>
    </cfRule>
    <cfRule type="cellIs" dxfId="32899" priority="3150" operator="equal">
      <formula>"PTO"</formula>
    </cfRule>
  </conditionalFormatting>
  <conditionalFormatting sqref="Q43 V43:W43">
    <cfRule type="cellIs" dxfId="32898" priority="3147" operator="equal">
      <formula>"OFF"</formula>
    </cfRule>
    <cfRule type="cellIs" dxfId="32897" priority="3148" operator="equal">
      <formula>"PTO"</formula>
    </cfRule>
  </conditionalFormatting>
  <conditionalFormatting sqref="Q49 V49:W49">
    <cfRule type="cellIs" dxfId="32896" priority="3145" operator="equal">
      <formula>"OFF"</formula>
    </cfRule>
    <cfRule type="cellIs" dxfId="32895" priority="3146" operator="equal">
      <formula>"PTO"</formula>
    </cfRule>
  </conditionalFormatting>
  <conditionalFormatting sqref="Q49 V49:W49">
    <cfRule type="cellIs" dxfId="32894" priority="3143" operator="equal">
      <formula>"OFF"</formula>
    </cfRule>
    <cfRule type="cellIs" dxfId="32893" priority="3144" operator="equal">
      <formula>"PTO"</formula>
    </cfRule>
  </conditionalFormatting>
  <conditionalFormatting sqref="Q49 V49:W49">
    <cfRule type="cellIs" dxfId="32892" priority="3141" operator="equal">
      <formula>"OFF"</formula>
    </cfRule>
    <cfRule type="cellIs" dxfId="32891" priority="3142" operator="equal">
      <formula>"PTO"</formula>
    </cfRule>
  </conditionalFormatting>
  <conditionalFormatting sqref="Q49 V49:W49">
    <cfRule type="cellIs" dxfId="32890" priority="3139" operator="equal">
      <formula>"OFF"</formula>
    </cfRule>
    <cfRule type="cellIs" dxfId="32889" priority="3140" operator="equal">
      <formula>"PTO"</formula>
    </cfRule>
  </conditionalFormatting>
  <conditionalFormatting sqref="Q49 V49:W49">
    <cfRule type="cellIs" dxfId="32888" priority="3137" operator="equal">
      <formula>"OFF"</formula>
    </cfRule>
    <cfRule type="cellIs" dxfId="32887" priority="3138" operator="equal">
      <formula>"PTO"</formula>
    </cfRule>
  </conditionalFormatting>
  <conditionalFormatting sqref="Q49 V49:W49">
    <cfRule type="cellIs" dxfId="32886" priority="3135" operator="equal">
      <formula>"OFF"</formula>
    </cfRule>
    <cfRule type="cellIs" dxfId="32885" priority="3136" operator="equal">
      <formula>"PTO"</formula>
    </cfRule>
  </conditionalFormatting>
  <conditionalFormatting sqref="Q49 V49:W49">
    <cfRule type="cellIs" dxfId="32884" priority="3133" operator="equal">
      <formula>"OFF"</formula>
    </cfRule>
    <cfRule type="cellIs" dxfId="32883" priority="3134" operator="equal">
      <formula>"PTO"</formula>
    </cfRule>
  </conditionalFormatting>
  <conditionalFormatting sqref="Q49 V49:W49">
    <cfRule type="cellIs" dxfId="32882" priority="3131" operator="equal">
      <formula>"OFF"</formula>
    </cfRule>
    <cfRule type="cellIs" dxfId="32881" priority="3132" operator="equal">
      <formula>"PTO"</formula>
    </cfRule>
  </conditionalFormatting>
  <conditionalFormatting sqref="Q49 V49:W49">
    <cfRule type="cellIs" dxfId="32880" priority="3129" operator="equal">
      <formula>"OFF"</formula>
    </cfRule>
    <cfRule type="cellIs" dxfId="32879" priority="3130" operator="equal">
      <formula>"PTO"</formula>
    </cfRule>
  </conditionalFormatting>
  <conditionalFormatting sqref="V47">
    <cfRule type="cellIs" dxfId="32878" priority="3127" operator="equal">
      <formula>"OFF"</formula>
    </cfRule>
    <cfRule type="cellIs" dxfId="32877" priority="3128" operator="equal">
      <formula>"PTO"</formula>
    </cfRule>
  </conditionalFormatting>
  <conditionalFormatting sqref="V47">
    <cfRule type="cellIs" dxfId="32876" priority="3125" operator="equal">
      <formula>"OFF"</formula>
    </cfRule>
    <cfRule type="cellIs" dxfId="32875" priority="3126" operator="equal">
      <formula>"PTO"</formula>
    </cfRule>
  </conditionalFormatting>
  <conditionalFormatting sqref="Q47">
    <cfRule type="cellIs" dxfId="32874" priority="3123" operator="equal">
      <formula>"OFF"</formula>
    </cfRule>
    <cfRule type="cellIs" dxfId="32873" priority="3124" operator="equal">
      <formula>"PTO"</formula>
    </cfRule>
  </conditionalFormatting>
  <conditionalFormatting sqref="Q47">
    <cfRule type="cellIs" dxfId="32872" priority="3121" operator="equal">
      <formula>"OFF"</formula>
    </cfRule>
    <cfRule type="cellIs" dxfId="32871" priority="3122" operator="equal">
      <formula>"PTO"</formula>
    </cfRule>
  </conditionalFormatting>
  <conditionalFormatting sqref="Q47">
    <cfRule type="cellIs" dxfId="32870" priority="3119" operator="equal">
      <formula>"OFF"</formula>
    </cfRule>
    <cfRule type="cellIs" dxfId="32869" priority="3120" operator="equal">
      <formula>"PTO"</formula>
    </cfRule>
  </conditionalFormatting>
  <conditionalFormatting sqref="Q47">
    <cfRule type="cellIs" dxfId="32868" priority="3117" operator="equal">
      <formula>"OFF"</formula>
    </cfRule>
    <cfRule type="cellIs" dxfId="32867" priority="3118" operator="equal">
      <formula>"PTO"</formula>
    </cfRule>
  </conditionalFormatting>
  <conditionalFormatting sqref="Q47">
    <cfRule type="cellIs" dxfId="32866" priority="3115" operator="equal">
      <formula>"OFF"</formula>
    </cfRule>
    <cfRule type="cellIs" dxfId="32865" priority="3116" operator="equal">
      <formula>"PTO"</formula>
    </cfRule>
  </conditionalFormatting>
  <conditionalFormatting sqref="Q47">
    <cfRule type="cellIs" dxfId="32864" priority="3113" operator="equal">
      <formula>"OFF"</formula>
    </cfRule>
    <cfRule type="cellIs" dxfId="32863" priority="3114" operator="equal">
      <formula>"PTO"</formula>
    </cfRule>
  </conditionalFormatting>
  <conditionalFormatting sqref="Q47">
    <cfRule type="cellIs" dxfId="32862" priority="3111" operator="equal">
      <formula>"OFF"</formula>
    </cfRule>
    <cfRule type="cellIs" dxfId="32861" priority="3112" operator="equal">
      <formula>"PTO"</formula>
    </cfRule>
  </conditionalFormatting>
  <conditionalFormatting sqref="Q47">
    <cfRule type="cellIs" dxfId="32860" priority="3109" operator="equal">
      <formula>"OFF"</formula>
    </cfRule>
    <cfRule type="cellIs" dxfId="32859" priority="3110" operator="equal">
      <formula>"PTO"</formula>
    </cfRule>
  </conditionalFormatting>
  <conditionalFormatting sqref="Q47">
    <cfRule type="cellIs" dxfId="32858" priority="3107" operator="equal">
      <formula>"OFF"</formula>
    </cfRule>
    <cfRule type="cellIs" dxfId="32857" priority="3108" operator="equal">
      <formula>"PTO"</formula>
    </cfRule>
  </conditionalFormatting>
  <conditionalFormatting sqref="W47">
    <cfRule type="cellIs" dxfId="32856" priority="3105" operator="equal">
      <formula>"OFF"</formula>
    </cfRule>
    <cfRule type="cellIs" dxfId="32855" priority="3106" operator="equal">
      <formula>"PTO"</formula>
    </cfRule>
  </conditionalFormatting>
  <conditionalFormatting sqref="W47">
    <cfRule type="cellIs" dxfId="32854" priority="3103" operator="equal">
      <formula>"OFF"</formula>
    </cfRule>
    <cfRule type="cellIs" dxfId="32853" priority="3104" operator="equal">
      <formula>"PTO"</formula>
    </cfRule>
  </conditionalFormatting>
  <conditionalFormatting sqref="W47">
    <cfRule type="cellIs" dxfId="32852" priority="3101" operator="equal">
      <formula>"OFF"</formula>
    </cfRule>
    <cfRule type="cellIs" dxfId="32851" priority="3102" operator="equal">
      <formula>"PTO"</formula>
    </cfRule>
  </conditionalFormatting>
  <conditionalFormatting sqref="W47">
    <cfRule type="cellIs" dxfId="32850" priority="3099" operator="equal">
      <formula>"OFF"</formula>
    </cfRule>
    <cfRule type="cellIs" dxfId="32849" priority="3100" operator="equal">
      <formula>"PTO"</formula>
    </cfRule>
  </conditionalFormatting>
  <conditionalFormatting sqref="W47">
    <cfRule type="cellIs" dxfId="32848" priority="3097" operator="equal">
      <formula>"OFF"</formula>
    </cfRule>
    <cfRule type="cellIs" dxfId="32847" priority="3098" operator="equal">
      <formula>"PTO"</formula>
    </cfRule>
  </conditionalFormatting>
  <conditionalFormatting sqref="W47">
    <cfRule type="cellIs" dxfId="32846" priority="3095" operator="equal">
      <formula>"OFF"</formula>
    </cfRule>
    <cfRule type="cellIs" dxfId="32845" priority="3096" operator="equal">
      <formula>"PTO"</formula>
    </cfRule>
  </conditionalFormatting>
  <conditionalFormatting sqref="W47">
    <cfRule type="cellIs" dxfId="32844" priority="3093" operator="equal">
      <formula>"OFF"</formula>
    </cfRule>
    <cfRule type="cellIs" dxfId="32843" priority="3094" operator="equal">
      <formula>"PTO"</formula>
    </cfRule>
  </conditionalFormatting>
  <conditionalFormatting sqref="W47">
    <cfRule type="cellIs" dxfId="32842" priority="3091" operator="equal">
      <formula>"OFF"</formula>
    </cfRule>
    <cfRule type="cellIs" dxfId="32841" priority="3092" operator="equal">
      <formula>"PTO"</formula>
    </cfRule>
  </conditionalFormatting>
  <conditionalFormatting sqref="W47">
    <cfRule type="cellIs" dxfId="32840" priority="3089" operator="equal">
      <formula>"OFF"</formula>
    </cfRule>
    <cfRule type="cellIs" dxfId="32839" priority="3090" operator="equal">
      <formula>"PTO"</formula>
    </cfRule>
  </conditionalFormatting>
  <conditionalFormatting sqref="Q45 V45:W45">
    <cfRule type="cellIs" dxfId="32838" priority="3087" operator="equal">
      <formula>"OFF"</formula>
    </cfRule>
    <cfRule type="cellIs" dxfId="32837" priority="3088" operator="equal">
      <formula>"PTO"</formula>
    </cfRule>
  </conditionalFormatting>
  <conditionalFormatting sqref="Q45 V45:W45">
    <cfRule type="cellIs" dxfId="32836" priority="3085" operator="equal">
      <formula>"OFF"</formula>
    </cfRule>
    <cfRule type="cellIs" dxfId="32835" priority="3086" operator="equal">
      <formula>"PTO"</formula>
    </cfRule>
  </conditionalFormatting>
  <conditionalFormatting sqref="Q45 V45:W45">
    <cfRule type="cellIs" dxfId="32834" priority="3083" operator="equal">
      <formula>"OFF"</formula>
    </cfRule>
    <cfRule type="cellIs" dxfId="32833" priority="3084" operator="equal">
      <formula>"PTO"</formula>
    </cfRule>
  </conditionalFormatting>
  <conditionalFormatting sqref="Q46 V46:W46">
    <cfRule type="cellIs" dxfId="32832" priority="3081" operator="equal">
      <formula>"OFF"</formula>
    </cfRule>
    <cfRule type="cellIs" dxfId="32831" priority="3082" operator="equal">
      <formula>"PTO"</formula>
    </cfRule>
  </conditionalFormatting>
  <conditionalFormatting sqref="Q46 V46:W46">
    <cfRule type="cellIs" dxfId="32830" priority="3079" operator="equal">
      <formula>"OFF"</formula>
    </cfRule>
    <cfRule type="cellIs" dxfId="32829" priority="3080" operator="equal">
      <formula>"PTO"</formula>
    </cfRule>
  </conditionalFormatting>
  <conditionalFormatting sqref="Q46 V46:W46">
    <cfRule type="cellIs" dxfId="32828" priority="3077" operator="equal">
      <formula>"OFF"</formula>
    </cfRule>
    <cfRule type="cellIs" dxfId="32827" priority="3078" operator="equal">
      <formula>"PTO"</formula>
    </cfRule>
  </conditionalFormatting>
  <conditionalFormatting sqref="Q46 V46:W46">
    <cfRule type="cellIs" dxfId="32826" priority="3075" operator="equal">
      <formula>"OFF"</formula>
    </cfRule>
    <cfRule type="cellIs" dxfId="32825" priority="3076" operator="equal">
      <formula>"PTO"</formula>
    </cfRule>
  </conditionalFormatting>
  <conditionalFormatting sqref="Q46 V46:W46">
    <cfRule type="cellIs" dxfId="32824" priority="3073" operator="equal">
      <formula>"OFF"</formula>
    </cfRule>
    <cfRule type="cellIs" dxfId="32823" priority="3074" operator="equal">
      <formula>"PTO"</formula>
    </cfRule>
  </conditionalFormatting>
  <conditionalFormatting sqref="Q46 V46:W46">
    <cfRule type="cellIs" dxfId="32822" priority="3071" operator="equal">
      <formula>"OFF"</formula>
    </cfRule>
    <cfRule type="cellIs" dxfId="32821" priority="3072" operator="equal">
      <formula>"PTO"</formula>
    </cfRule>
  </conditionalFormatting>
  <conditionalFormatting sqref="Q46 V46:W46">
    <cfRule type="cellIs" dxfId="32820" priority="3069" operator="equal">
      <formula>"OFF"</formula>
    </cfRule>
    <cfRule type="cellIs" dxfId="32819" priority="3070" operator="equal">
      <formula>"PTO"</formula>
    </cfRule>
  </conditionalFormatting>
  <conditionalFormatting sqref="Q46 V46:W46">
    <cfRule type="cellIs" dxfId="32818" priority="3067" operator="equal">
      <formula>"OFF"</formula>
    </cfRule>
    <cfRule type="cellIs" dxfId="32817" priority="3068" operator="equal">
      <formula>"PTO"</formula>
    </cfRule>
  </conditionalFormatting>
  <conditionalFormatting sqref="Q46 V46:W46">
    <cfRule type="cellIs" dxfId="32816" priority="3065" operator="equal">
      <formula>"OFF"</formula>
    </cfRule>
    <cfRule type="cellIs" dxfId="32815" priority="3066" operator="equal">
      <formula>"PTO"</formula>
    </cfRule>
  </conditionalFormatting>
  <conditionalFormatting sqref="Q46 V46:W46">
    <cfRule type="cellIs" dxfId="32814" priority="3063" operator="equal">
      <formula>"OFF"</formula>
    </cfRule>
    <cfRule type="cellIs" dxfId="32813" priority="3064" operator="equal">
      <formula>"PTO"</formula>
    </cfRule>
  </conditionalFormatting>
  <conditionalFormatting sqref="Q46 V46:W46">
    <cfRule type="cellIs" dxfId="32812" priority="3061" operator="equal">
      <formula>"OFF"</formula>
    </cfRule>
    <cfRule type="cellIs" dxfId="32811" priority="3062" operator="equal">
      <formula>"PTO"</formula>
    </cfRule>
  </conditionalFormatting>
  <conditionalFormatting sqref="Q46 V46:W46">
    <cfRule type="cellIs" dxfId="32810" priority="3059" operator="equal">
      <formula>"OFF"</formula>
    </cfRule>
    <cfRule type="cellIs" dxfId="32809" priority="3060" operator="equal">
      <formula>"PTO"</formula>
    </cfRule>
  </conditionalFormatting>
  <conditionalFormatting sqref="Q46 V46:W46">
    <cfRule type="cellIs" dxfId="32808" priority="3057" operator="equal">
      <formula>"OFF"</formula>
    </cfRule>
    <cfRule type="cellIs" dxfId="32807" priority="3058" operator="equal">
      <formula>"PTO"</formula>
    </cfRule>
  </conditionalFormatting>
  <conditionalFormatting sqref="Q46 V46:W46">
    <cfRule type="cellIs" dxfId="32806" priority="3055" operator="equal">
      <formula>"OFF"</formula>
    </cfRule>
    <cfRule type="cellIs" dxfId="32805" priority="3056" operator="equal">
      <formula>"PTO"</formula>
    </cfRule>
  </conditionalFormatting>
  <conditionalFormatting sqref="Q46 V46:W46">
    <cfRule type="cellIs" dxfId="32804" priority="3053" operator="equal">
      <formula>"OFF"</formula>
    </cfRule>
    <cfRule type="cellIs" dxfId="32803" priority="3054" operator="equal">
      <formula>"PTO"</formula>
    </cfRule>
  </conditionalFormatting>
  <conditionalFormatting sqref="Q46 V46:W46">
    <cfRule type="cellIs" dxfId="32802" priority="3051" operator="equal">
      <formula>"OFF"</formula>
    </cfRule>
    <cfRule type="cellIs" dxfId="32801" priority="3052" operator="equal">
      <formula>"PTO"</formula>
    </cfRule>
  </conditionalFormatting>
  <conditionalFormatting sqref="Q46 V46:W46">
    <cfRule type="cellIs" dxfId="32800" priority="3049" operator="equal">
      <formula>"OFF"</formula>
    </cfRule>
    <cfRule type="cellIs" dxfId="32799" priority="3050" operator="equal">
      <formula>"PTO"</formula>
    </cfRule>
  </conditionalFormatting>
  <conditionalFormatting sqref="Q46 V46:W46">
    <cfRule type="cellIs" dxfId="32798" priority="3047" operator="equal">
      <formula>"OFF"</formula>
    </cfRule>
    <cfRule type="cellIs" dxfId="32797" priority="3048" operator="equal">
      <formula>"PTO"</formula>
    </cfRule>
  </conditionalFormatting>
  <conditionalFormatting sqref="Q46 V46:W46">
    <cfRule type="cellIs" dxfId="32796" priority="3045" operator="equal">
      <formula>"OFF"</formula>
    </cfRule>
    <cfRule type="cellIs" dxfId="32795" priority="3046" operator="equal">
      <formula>"PTO"</formula>
    </cfRule>
  </conditionalFormatting>
  <conditionalFormatting sqref="Q46 V46:W46">
    <cfRule type="cellIs" dxfId="32794" priority="3043" operator="equal">
      <formula>"OFF"</formula>
    </cfRule>
    <cfRule type="cellIs" dxfId="32793" priority="3044" operator="equal">
      <formula>"PTO"</formula>
    </cfRule>
  </conditionalFormatting>
  <conditionalFormatting sqref="Q46 V46:W46">
    <cfRule type="cellIs" dxfId="32792" priority="3041" operator="equal">
      <formula>"OFF"</formula>
    </cfRule>
    <cfRule type="cellIs" dxfId="32791" priority="3042" operator="equal">
      <formula>"PTO"</formula>
    </cfRule>
  </conditionalFormatting>
  <conditionalFormatting sqref="Q46 V46:W46">
    <cfRule type="cellIs" dxfId="32790" priority="3039" operator="equal">
      <formula>"OFF"</formula>
    </cfRule>
    <cfRule type="cellIs" dxfId="32789" priority="3040" operator="equal">
      <formula>"PTO"</formula>
    </cfRule>
  </conditionalFormatting>
  <conditionalFormatting sqref="Q46 V46:W46">
    <cfRule type="cellIs" dxfId="32788" priority="3037" operator="equal">
      <formula>"OFF"</formula>
    </cfRule>
    <cfRule type="cellIs" dxfId="32787" priority="3038" operator="equal">
      <formula>"PTO"</formula>
    </cfRule>
  </conditionalFormatting>
  <conditionalFormatting sqref="Q46 V46:W46">
    <cfRule type="cellIs" dxfId="32786" priority="3035" operator="equal">
      <formula>"OFF"</formula>
    </cfRule>
    <cfRule type="cellIs" dxfId="32785" priority="3036" operator="equal">
      <formula>"PTO"</formula>
    </cfRule>
  </conditionalFormatting>
  <conditionalFormatting sqref="Q46 V46:W46">
    <cfRule type="cellIs" dxfId="32784" priority="3033" operator="equal">
      <formula>"OFF"</formula>
    </cfRule>
    <cfRule type="cellIs" dxfId="32783" priority="3034" operator="equal">
      <formula>"PTO"</formula>
    </cfRule>
  </conditionalFormatting>
  <conditionalFormatting sqref="Q46 V46:W46">
    <cfRule type="cellIs" dxfId="32782" priority="3031" operator="equal">
      <formula>"OFF"</formula>
    </cfRule>
    <cfRule type="cellIs" dxfId="32781" priority="3032" operator="equal">
      <formula>"PTO"</formula>
    </cfRule>
  </conditionalFormatting>
  <conditionalFormatting sqref="Q47:Q50 V47:W50">
    <cfRule type="cellIs" dxfId="32780" priority="3029" operator="equal">
      <formula>"OFF"</formula>
    </cfRule>
    <cfRule type="cellIs" dxfId="32779" priority="3030" operator="equal">
      <formula>"PTO"</formula>
    </cfRule>
  </conditionalFormatting>
  <conditionalFormatting sqref="Q47 V47:W47">
    <cfRule type="cellIs" dxfId="32778" priority="3027" operator="equal">
      <formula>"OFF"</formula>
    </cfRule>
    <cfRule type="cellIs" dxfId="32777" priority="3028" operator="equal">
      <formula>"PTO"</formula>
    </cfRule>
  </conditionalFormatting>
  <conditionalFormatting sqref="Q41 W41 W43 Q43 Q45:Q50 W45:W50">
    <cfRule type="cellIs" dxfId="32776" priority="3025" operator="equal">
      <formula>"OFF"</formula>
    </cfRule>
    <cfRule type="cellIs" dxfId="32775" priority="3026" operator="equal">
      <formula>"PTO"</formula>
    </cfRule>
  </conditionalFormatting>
  <conditionalFormatting sqref="V41 V43 V45:V50">
    <cfRule type="cellIs" dxfId="32774" priority="3023" operator="equal">
      <formula>"OFF"</formula>
    </cfRule>
    <cfRule type="cellIs" dxfId="32773" priority="3024" operator="equal">
      <formula>"PTO"</formula>
    </cfRule>
  </conditionalFormatting>
  <conditionalFormatting sqref="V41 V43 V45:V50">
    <cfRule type="cellIs" dxfId="32772" priority="3021" operator="equal">
      <formula>"OFF"</formula>
    </cfRule>
    <cfRule type="cellIs" dxfId="32771" priority="3022" operator="equal">
      <formula>"PTO"</formula>
    </cfRule>
  </conditionalFormatting>
  <conditionalFormatting sqref="W41 Q41 Q43 W43 W45:W50 Q45:Q50">
    <cfRule type="cellIs" dxfId="32770" priority="3019" operator="equal">
      <formula>"OFF"</formula>
    </cfRule>
    <cfRule type="cellIs" dxfId="32769" priority="3020" operator="equal">
      <formula>"PTO"</formula>
    </cfRule>
  </conditionalFormatting>
  <conditionalFormatting sqref="V41 V43 V45:V50">
    <cfRule type="cellIs" dxfId="32768" priority="3017" operator="equal">
      <formula>"OFF"</formula>
    </cfRule>
    <cfRule type="cellIs" dxfId="32767" priority="3018" operator="equal">
      <formula>"PTO"</formula>
    </cfRule>
  </conditionalFormatting>
  <conditionalFormatting sqref="W49:W54 Q49:Q54">
    <cfRule type="cellIs" dxfId="32766" priority="3015" operator="equal">
      <formula>"OFF"</formula>
    </cfRule>
    <cfRule type="cellIs" dxfId="32765" priority="3016" operator="equal">
      <formula>"PTO"</formula>
    </cfRule>
  </conditionalFormatting>
  <conditionalFormatting sqref="V49:V54">
    <cfRule type="cellIs" dxfId="32764" priority="3013" operator="equal">
      <formula>"OFF"</formula>
    </cfRule>
    <cfRule type="cellIs" dxfId="32763" priority="3014" operator="equal">
      <formula>"PTO"</formula>
    </cfRule>
  </conditionalFormatting>
  <conditionalFormatting sqref="V49:V54">
    <cfRule type="cellIs" dxfId="32762" priority="3011" operator="equal">
      <formula>"OFF"</formula>
    </cfRule>
    <cfRule type="cellIs" dxfId="32761" priority="3012" operator="equal">
      <formula>"PTO"</formula>
    </cfRule>
  </conditionalFormatting>
  <conditionalFormatting sqref="W49:W54 Q49:Q54">
    <cfRule type="cellIs" dxfId="32760" priority="3009" operator="equal">
      <formula>"OFF"</formula>
    </cfRule>
    <cfRule type="cellIs" dxfId="32759" priority="3010" operator="equal">
      <formula>"PTO"</formula>
    </cfRule>
  </conditionalFormatting>
  <conditionalFormatting sqref="V49:V54">
    <cfRule type="cellIs" dxfId="32758" priority="3007" operator="equal">
      <formula>"OFF"</formula>
    </cfRule>
    <cfRule type="cellIs" dxfId="32757" priority="3008" operator="equal">
      <formula>"PTO"</formula>
    </cfRule>
  </conditionalFormatting>
  <conditionalFormatting sqref="Q47 V47:W47">
    <cfRule type="cellIs" dxfId="32756" priority="3005" operator="equal">
      <formula>"OFF"</formula>
    </cfRule>
    <cfRule type="cellIs" dxfId="32755" priority="3006" operator="equal">
      <formula>"PTO"</formula>
    </cfRule>
  </conditionalFormatting>
  <conditionalFormatting sqref="Q47 V47:W47">
    <cfRule type="cellIs" dxfId="32754" priority="3003" operator="equal">
      <formula>"OFF"</formula>
    </cfRule>
    <cfRule type="cellIs" dxfId="32753" priority="3004" operator="equal">
      <formula>"PTO"</formula>
    </cfRule>
  </conditionalFormatting>
  <conditionalFormatting sqref="Q47 V47:W47">
    <cfRule type="cellIs" dxfId="32752" priority="3001" operator="equal">
      <formula>"OFF"</formula>
    </cfRule>
    <cfRule type="cellIs" dxfId="32751" priority="3002" operator="equal">
      <formula>"PTO"</formula>
    </cfRule>
  </conditionalFormatting>
  <conditionalFormatting sqref="Q47 V47:W47">
    <cfRule type="cellIs" dxfId="32750" priority="2999" operator="equal">
      <formula>"OFF"</formula>
    </cfRule>
    <cfRule type="cellIs" dxfId="32749" priority="3000" operator="equal">
      <formula>"PTO"</formula>
    </cfRule>
  </conditionalFormatting>
  <conditionalFormatting sqref="Q47 V47:W47">
    <cfRule type="cellIs" dxfId="32748" priority="2997" operator="equal">
      <formula>"OFF"</formula>
    </cfRule>
    <cfRule type="cellIs" dxfId="32747" priority="2998" operator="equal">
      <formula>"PTO"</formula>
    </cfRule>
  </conditionalFormatting>
  <conditionalFormatting sqref="Q47 V47:W47">
    <cfRule type="cellIs" dxfId="32746" priority="2995" operator="equal">
      <formula>"OFF"</formula>
    </cfRule>
    <cfRule type="cellIs" dxfId="32745" priority="2996" operator="equal">
      <formula>"PTO"</formula>
    </cfRule>
  </conditionalFormatting>
  <conditionalFormatting sqref="Q47 V47:W47">
    <cfRule type="cellIs" dxfId="32744" priority="2993" operator="equal">
      <formula>"OFF"</formula>
    </cfRule>
    <cfRule type="cellIs" dxfId="32743" priority="2994" operator="equal">
      <formula>"PTO"</formula>
    </cfRule>
  </conditionalFormatting>
  <conditionalFormatting sqref="Q47 V47:W47">
    <cfRule type="cellIs" dxfId="32742" priority="2991" operator="equal">
      <formula>"OFF"</formula>
    </cfRule>
    <cfRule type="cellIs" dxfId="32741" priority="2992" operator="equal">
      <formula>"PTO"</formula>
    </cfRule>
  </conditionalFormatting>
  <conditionalFormatting sqref="Q47 V47:W47">
    <cfRule type="cellIs" dxfId="32740" priority="2989" operator="equal">
      <formula>"OFF"</formula>
    </cfRule>
    <cfRule type="cellIs" dxfId="32739" priority="2990" operator="equal">
      <formula>"PTO"</formula>
    </cfRule>
  </conditionalFormatting>
  <conditionalFormatting sqref="Q47 V47:W47">
    <cfRule type="cellIs" dxfId="32738" priority="2987" operator="equal">
      <formula>"OFF"</formula>
    </cfRule>
    <cfRule type="cellIs" dxfId="32737" priority="2988" operator="equal">
      <formula>"PTO"</formula>
    </cfRule>
  </conditionalFormatting>
  <conditionalFormatting sqref="Q47 V47:W47">
    <cfRule type="cellIs" dxfId="32736" priority="2985" operator="equal">
      <formula>"OFF"</formula>
    </cfRule>
    <cfRule type="cellIs" dxfId="32735" priority="2986" operator="equal">
      <formula>"PTO"</formula>
    </cfRule>
  </conditionalFormatting>
  <conditionalFormatting sqref="Q47 V47:W47">
    <cfRule type="cellIs" dxfId="32734" priority="2983" operator="equal">
      <formula>"OFF"</formula>
    </cfRule>
    <cfRule type="cellIs" dxfId="32733" priority="2984" operator="equal">
      <formula>"PTO"</formula>
    </cfRule>
  </conditionalFormatting>
  <conditionalFormatting sqref="Q47 V47:W47">
    <cfRule type="cellIs" dxfId="32732" priority="2981" operator="equal">
      <formula>"OFF"</formula>
    </cfRule>
    <cfRule type="cellIs" dxfId="32731" priority="2982" operator="equal">
      <formula>"PTO"</formula>
    </cfRule>
  </conditionalFormatting>
  <conditionalFormatting sqref="Q47 V47:W47">
    <cfRule type="cellIs" dxfId="32730" priority="2979" operator="equal">
      <formula>"OFF"</formula>
    </cfRule>
    <cfRule type="cellIs" dxfId="32729" priority="2980" operator="equal">
      <formula>"PTO"</formula>
    </cfRule>
  </conditionalFormatting>
  <conditionalFormatting sqref="Q47 V47:W47">
    <cfRule type="cellIs" dxfId="32728" priority="2977" operator="equal">
      <formula>"OFF"</formula>
    </cfRule>
    <cfRule type="cellIs" dxfId="32727" priority="2978" operator="equal">
      <formula>"PTO"</formula>
    </cfRule>
  </conditionalFormatting>
  <conditionalFormatting sqref="Q47 V47:W47">
    <cfRule type="cellIs" dxfId="32726" priority="2975" operator="equal">
      <formula>"OFF"</formula>
    </cfRule>
    <cfRule type="cellIs" dxfId="32725" priority="2976" operator="equal">
      <formula>"PTO"</formula>
    </cfRule>
  </conditionalFormatting>
  <conditionalFormatting sqref="Q47 V47:W47">
    <cfRule type="cellIs" dxfId="32724" priority="2973" operator="equal">
      <formula>"OFF"</formula>
    </cfRule>
    <cfRule type="cellIs" dxfId="32723" priority="2974" operator="equal">
      <formula>"PTO"</formula>
    </cfRule>
  </conditionalFormatting>
  <conditionalFormatting sqref="Q47 V47:W47">
    <cfRule type="cellIs" dxfId="32722" priority="2971" operator="equal">
      <formula>"OFF"</formula>
    </cfRule>
    <cfRule type="cellIs" dxfId="32721" priority="2972" operator="equal">
      <formula>"PTO"</formula>
    </cfRule>
  </conditionalFormatting>
  <conditionalFormatting sqref="Q47 V47:W47">
    <cfRule type="cellIs" dxfId="32720" priority="2969" operator="equal">
      <formula>"OFF"</formula>
    </cfRule>
    <cfRule type="cellIs" dxfId="32719" priority="2970" operator="equal">
      <formula>"PTO"</formula>
    </cfRule>
  </conditionalFormatting>
  <conditionalFormatting sqref="Q47 V47:W47">
    <cfRule type="cellIs" dxfId="32718" priority="2967" operator="equal">
      <formula>"OFF"</formula>
    </cfRule>
    <cfRule type="cellIs" dxfId="32717" priority="2968" operator="equal">
      <formula>"PTO"</formula>
    </cfRule>
  </conditionalFormatting>
  <conditionalFormatting sqref="Q47 V47:W47">
    <cfRule type="cellIs" dxfId="32716" priority="2965" operator="equal">
      <formula>"OFF"</formula>
    </cfRule>
    <cfRule type="cellIs" dxfId="32715" priority="2966" operator="equal">
      <formula>"PTO"</formula>
    </cfRule>
  </conditionalFormatting>
  <conditionalFormatting sqref="Q47 V47:W47">
    <cfRule type="cellIs" dxfId="32714" priority="2963" operator="equal">
      <formula>"OFF"</formula>
    </cfRule>
    <cfRule type="cellIs" dxfId="32713" priority="2964" operator="equal">
      <formula>"PTO"</formula>
    </cfRule>
  </conditionalFormatting>
  <conditionalFormatting sqref="Q47 V47:W47">
    <cfRule type="cellIs" dxfId="32712" priority="2961" operator="equal">
      <formula>"OFF"</formula>
    </cfRule>
    <cfRule type="cellIs" dxfId="32711" priority="2962" operator="equal">
      <formula>"PTO"</formula>
    </cfRule>
  </conditionalFormatting>
  <conditionalFormatting sqref="Q47 V47:W47">
    <cfRule type="cellIs" dxfId="32710" priority="2959" operator="equal">
      <formula>"OFF"</formula>
    </cfRule>
    <cfRule type="cellIs" dxfId="32709" priority="2960" operator="equal">
      <formula>"PTO"</formula>
    </cfRule>
  </conditionalFormatting>
  <conditionalFormatting sqref="Q47 V47:W47">
    <cfRule type="cellIs" dxfId="32708" priority="2957" operator="equal">
      <formula>"OFF"</formula>
    </cfRule>
    <cfRule type="cellIs" dxfId="32707" priority="2958" operator="equal">
      <formula>"PTO"</formula>
    </cfRule>
  </conditionalFormatting>
  <conditionalFormatting sqref="V43">
    <cfRule type="cellIs" dxfId="32706" priority="2955" operator="equal">
      <formula>"OFF"</formula>
    </cfRule>
    <cfRule type="cellIs" dxfId="32705" priority="2956" operator="equal">
      <formula>"PTO"</formula>
    </cfRule>
  </conditionalFormatting>
  <conditionalFormatting sqref="V43">
    <cfRule type="cellIs" dxfId="32704" priority="2953" operator="equal">
      <formula>"OFF"</formula>
    </cfRule>
    <cfRule type="cellIs" dxfId="32703" priority="2954" operator="equal">
      <formula>"PTO"</formula>
    </cfRule>
  </conditionalFormatting>
  <conditionalFormatting sqref="Q43">
    <cfRule type="cellIs" dxfId="32702" priority="2951" operator="equal">
      <formula>"OFF"</formula>
    </cfRule>
    <cfRule type="cellIs" dxfId="32701" priority="2952" operator="equal">
      <formula>"PTO"</formula>
    </cfRule>
  </conditionalFormatting>
  <conditionalFormatting sqref="Q43">
    <cfRule type="cellIs" dxfId="32700" priority="2949" operator="equal">
      <formula>"OFF"</formula>
    </cfRule>
    <cfRule type="cellIs" dxfId="32699" priority="2950" operator="equal">
      <formula>"PTO"</formula>
    </cfRule>
  </conditionalFormatting>
  <conditionalFormatting sqref="Q43">
    <cfRule type="cellIs" dxfId="32698" priority="2947" operator="equal">
      <formula>"OFF"</formula>
    </cfRule>
    <cfRule type="cellIs" dxfId="32697" priority="2948" operator="equal">
      <formula>"PTO"</formula>
    </cfRule>
  </conditionalFormatting>
  <conditionalFormatting sqref="Q43">
    <cfRule type="cellIs" dxfId="32696" priority="2945" operator="equal">
      <formula>"OFF"</formula>
    </cfRule>
    <cfRule type="cellIs" dxfId="32695" priority="2946" operator="equal">
      <formula>"PTO"</formula>
    </cfRule>
  </conditionalFormatting>
  <conditionalFormatting sqref="Q43">
    <cfRule type="cellIs" dxfId="32694" priority="2943" operator="equal">
      <formula>"OFF"</formula>
    </cfRule>
    <cfRule type="cellIs" dxfId="32693" priority="2944" operator="equal">
      <formula>"PTO"</formula>
    </cfRule>
  </conditionalFormatting>
  <conditionalFormatting sqref="Q43">
    <cfRule type="cellIs" dxfId="32692" priority="2941" operator="equal">
      <formula>"OFF"</formula>
    </cfRule>
    <cfRule type="cellIs" dxfId="32691" priority="2942" operator="equal">
      <formula>"PTO"</formula>
    </cfRule>
  </conditionalFormatting>
  <conditionalFormatting sqref="Q43">
    <cfRule type="cellIs" dxfId="32690" priority="2939" operator="equal">
      <formula>"OFF"</formula>
    </cfRule>
    <cfRule type="cellIs" dxfId="32689" priority="2940" operator="equal">
      <formula>"PTO"</formula>
    </cfRule>
  </conditionalFormatting>
  <conditionalFormatting sqref="Q43">
    <cfRule type="cellIs" dxfId="32688" priority="2937" operator="equal">
      <formula>"OFF"</formula>
    </cfRule>
    <cfRule type="cellIs" dxfId="32687" priority="2938" operator="equal">
      <formula>"PTO"</formula>
    </cfRule>
  </conditionalFormatting>
  <conditionalFormatting sqref="Q43">
    <cfRule type="cellIs" dxfId="32686" priority="2935" operator="equal">
      <formula>"OFF"</formula>
    </cfRule>
    <cfRule type="cellIs" dxfId="32685" priority="2936" operator="equal">
      <formula>"PTO"</formula>
    </cfRule>
  </conditionalFormatting>
  <conditionalFormatting sqref="W43">
    <cfRule type="cellIs" dxfId="32684" priority="2933" operator="equal">
      <formula>"OFF"</formula>
    </cfRule>
    <cfRule type="cellIs" dxfId="32683" priority="2934" operator="equal">
      <formula>"PTO"</formula>
    </cfRule>
  </conditionalFormatting>
  <conditionalFormatting sqref="W43">
    <cfRule type="cellIs" dxfId="32682" priority="2931" operator="equal">
      <formula>"OFF"</formula>
    </cfRule>
    <cfRule type="cellIs" dxfId="32681" priority="2932" operator="equal">
      <formula>"PTO"</formula>
    </cfRule>
  </conditionalFormatting>
  <conditionalFormatting sqref="W43">
    <cfRule type="cellIs" dxfId="32680" priority="2929" operator="equal">
      <formula>"OFF"</formula>
    </cfRule>
    <cfRule type="cellIs" dxfId="32679" priority="2930" operator="equal">
      <formula>"PTO"</formula>
    </cfRule>
  </conditionalFormatting>
  <conditionalFormatting sqref="W43">
    <cfRule type="cellIs" dxfId="32678" priority="2927" operator="equal">
      <formula>"OFF"</formula>
    </cfRule>
    <cfRule type="cellIs" dxfId="32677" priority="2928" operator="equal">
      <formula>"PTO"</formula>
    </cfRule>
  </conditionalFormatting>
  <conditionalFormatting sqref="W43">
    <cfRule type="cellIs" dxfId="32676" priority="2925" operator="equal">
      <formula>"OFF"</formula>
    </cfRule>
    <cfRule type="cellIs" dxfId="32675" priority="2926" operator="equal">
      <formula>"PTO"</formula>
    </cfRule>
  </conditionalFormatting>
  <conditionalFormatting sqref="W43">
    <cfRule type="cellIs" dxfId="32674" priority="2923" operator="equal">
      <formula>"OFF"</formula>
    </cfRule>
    <cfRule type="cellIs" dxfId="32673" priority="2924" operator="equal">
      <formula>"PTO"</formula>
    </cfRule>
  </conditionalFormatting>
  <conditionalFormatting sqref="W43">
    <cfRule type="cellIs" dxfId="32672" priority="2921" operator="equal">
      <formula>"OFF"</formula>
    </cfRule>
    <cfRule type="cellIs" dxfId="32671" priority="2922" operator="equal">
      <formula>"PTO"</formula>
    </cfRule>
  </conditionalFormatting>
  <conditionalFormatting sqref="W43">
    <cfRule type="cellIs" dxfId="32670" priority="2919" operator="equal">
      <formula>"OFF"</formula>
    </cfRule>
    <cfRule type="cellIs" dxfId="32669" priority="2920" operator="equal">
      <formula>"PTO"</formula>
    </cfRule>
  </conditionalFormatting>
  <conditionalFormatting sqref="W43">
    <cfRule type="cellIs" dxfId="32668" priority="2917" operator="equal">
      <formula>"OFF"</formula>
    </cfRule>
    <cfRule type="cellIs" dxfId="32667" priority="2918" operator="equal">
      <formula>"PTO"</formula>
    </cfRule>
  </conditionalFormatting>
  <conditionalFormatting sqref="V46">
    <cfRule type="cellIs" dxfId="32666" priority="2915" operator="equal">
      <formula>"OFF"</formula>
    </cfRule>
    <cfRule type="cellIs" dxfId="32665" priority="2916" operator="equal">
      <formula>"PTO"</formula>
    </cfRule>
  </conditionalFormatting>
  <conditionalFormatting sqref="V46">
    <cfRule type="cellIs" dxfId="32664" priority="2913" operator="equal">
      <formula>"OFF"</formula>
    </cfRule>
    <cfRule type="cellIs" dxfId="32663" priority="2914" operator="equal">
      <formula>"PTO"</formula>
    </cfRule>
  </conditionalFormatting>
  <conditionalFormatting sqref="Q46">
    <cfRule type="cellIs" dxfId="32662" priority="2911" operator="equal">
      <formula>"OFF"</formula>
    </cfRule>
    <cfRule type="cellIs" dxfId="32661" priority="2912" operator="equal">
      <formula>"PTO"</formula>
    </cfRule>
  </conditionalFormatting>
  <conditionalFormatting sqref="Q46">
    <cfRule type="cellIs" dxfId="32660" priority="2909" operator="equal">
      <formula>"OFF"</formula>
    </cfRule>
    <cfRule type="cellIs" dxfId="32659" priority="2910" operator="equal">
      <formula>"PTO"</formula>
    </cfRule>
  </conditionalFormatting>
  <conditionalFormatting sqref="Q46">
    <cfRule type="cellIs" dxfId="32658" priority="2907" operator="equal">
      <formula>"OFF"</formula>
    </cfRule>
    <cfRule type="cellIs" dxfId="32657" priority="2908" operator="equal">
      <formula>"PTO"</formula>
    </cfRule>
  </conditionalFormatting>
  <conditionalFormatting sqref="Q46">
    <cfRule type="cellIs" dxfId="32656" priority="2905" operator="equal">
      <formula>"OFF"</formula>
    </cfRule>
    <cfRule type="cellIs" dxfId="32655" priority="2906" operator="equal">
      <formula>"PTO"</formula>
    </cfRule>
  </conditionalFormatting>
  <conditionalFormatting sqref="Q46">
    <cfRule type="cellIs" dxfId="32654" priority="2903" operator="equal">
      <formula>"OFF"</formula>
    </cfRule>
    <cfRule type="cellIs" dxfId="32653" priority="2904" operator="equal">
      <formula>"PTO"</formula>
    </cfRule>
  </conditionalFormatting>
  <conditionalFormatting sqref="Q46">
    <cfRule type="cellIs" dxfId="32652" priority="2901" operator="equal">
      <formula>"OFF"</formula>
    </cfRule>
    <cfRule type="cellIs" dxfId="32651" priority="2902" operator="equal">
      <formula>"PTO"</formula>
    </cfRule>
  </conditionalFormatting>
  <conditionalFormatting sqref="Q46">
    <cfRule type="cellIs" dxfId="32650" priority="2899" operator="equal">
      <formula>"OFF"</formula>
    </cfRule>
    <cfRule type="cellIs" dxfId="32649" priority="2900" operator="equal">
      <formula>"PTO"</formula>
    </cfRule>
  </conditionalFormatting>
  <conditionalFormatting sqref="Q46">
    <cfRule type="cellIs" dxfId="32648" priority="2897" operator="equal">
      <formula>"OFF"</formula>
    </cfRule>
    <cfRule type="cellIs" dxfId="32647" priority="2898" operator="equal">
      <formula>"PTO"</formula>
    </cfRule>
  </conditionalFormatting>
  <conditionalFormatting sqref="Q46">
    <cfRule type="cellIs" dxfId="32646" priority="2895" operator="equal">
      <formula>"OFF"</formula>
    </cfRule>
    <cfRule type="cellIs" dxfId="32645" priority="2896" operator="equal">
      <formula>"PTO"</formula>
    </cfRule>
  </conditionalFormatting>
  <conditionalFormatting sqref="W46">
    <cfRule type="cellIs" dxfId="32644" priority="2893" operator="equal">
      <formula>"OFF"</formula>
    </cfRule>
    <cfRule type="cellIs" dxfId="32643" priority="2894" operator="equal">
      <formula>"PTO"</formula>
    </cfRule>
  </conditionalFormatting>
  <conditionalFormatting sqref="W46">
    <cfRule type="cellIs" dxfId="32642" priority="2891" operator="equal">
      <formula>"OFF"</formula>
    </cfRule>
    <cfRule type="cellIs" dxfId="32641" priority="2892" operator="equal">
      <formula>"PTO"</formula>
    </cfRule>
  </conditionalFormatting>
  <conditionalFormatting sqref="W46">
    <cfRule type="cellIs" dxfId="32640" priority="2889" operator="equal">
      <formula>"OFF"</formula>
    </cfRule>
    <cfRule type="cellIs" dxfId="32639" priority="2890" operator="equal">
      <formula>"PTO"</formula>
    </cfRule>
  </conditionalFormatting>
  <conditionalFormatting sqref="W46">
    <cfRule type="cellIs" dxfId="32638" priority="2887" operator="equal">
      <formula>"OFF"</formula>
    </cfRule>
    <cfRule type="cellIs" dxfId="32637" priority="2888" operator="equal">
      <formula>"PTO"</formula>
    </cfRule>
  </conditionalFormatting>
  <conditionalFormatting sqref="W46">
    <cfRule type="cellIs" dxfId="32636" priority="2885" operator="equal">
      <formula>"OFF"</formula>
    </cfRule>
    <cfRule type="cellIs" dxfId="32635" priority="2886" operator="equal">
      <formula>"PTO"</formula>
    </cfRule>
  </conditionalFormatting>
  <conditionalFormatting sqref="W46">
    <cfRule type="cellIs" dxfId="32634" priority="2883" operator="equal">
      <formula>"OFF"</formula>
    </cfRule>
    <cfRule type="cellIs" dxfId="32633" priority="2884" operator="equal">
      <formula>"PTO"</formula>
    </cfRule>
  </conditionalFormatting>
  <conditionalFormatting sqref="W46">
    <cfRule type="cellIs" dxfId="32632" priority="2881" operator="equal">
      <formula>"OFF"</formula>
    </cfRule>
    <cfRule type="cellIs" dxfId="32631" priority="2882" operator="equal">
      <formula>"PTO"</formula>
    </cfRule>
  </conditionalFormatting>
  <conditionalFormatting sqref="W46">
    <cfRule type="cellIs" dxfId="32630" priority="2879" operator="equal">
      <formula>"OFF"</formula>
    </cfRule>
    <cfRule type="cellIs" dxfId="32629" priority="2880" operator="equal">
      <formula>"PTO"</formula>
    </cfRule>
  </conditionalFormatting>
  <conditionalFormatting sqref="W46">
    <cfRule type="cellIs" dxfId="32628" priority="2877" operator="equal">
      <formula>"OFF"</formula>
    </cfRule>
    <cfRule type="cellIs" dxfId="32627" priority="2878" operator="equal">
      <formula>"PTO"</formula>
    </cfRule>
  </conditionalFormatting>
  <conditionalFormatting sqref="Q43 V43:W43">
    <cfRule type="cellIs" dxfId="32626" priority="2875" operator="equal">
      <formula>"OFF"</formula>
    </cfRule>
    <cfRule type="cellIs" dxfId="32625" priority="2876" operator="equal">
      <formula>"PTO"</formula>
    </cfRule>
  </conditionalFormatting>
  <conditionalFormatting sqref="Q43 V43:W43">
    <cfRule type="cellIs" dxfId="32624" priority="2873" operator="equal">
      <formula>"OFF"</formula>
    </cfRule>
    <cfRule type="cellIs" dxfId="32623" priority="2874" operator="equal">
      <formula>"PTO"</formula>
    </cfRule>
  </conditionalFormatting>
  <conditionalFormatting sqref="Q43 V43:W43">
    <cfRule type="cellIs" dxfId="32622" priority="2871" operator="equal">
      <formula>"OFF"</formula>
    </cfRule>
    <cfRule type="cellIs" dxfId="32621" priority="2872" operator="equal">
      <formula>"PTO"</formula>
    </cfRule>
  </conditionalFormatting>
  <conditionalFormatting sqref="Q45 V45:W45">
    <cfRule type="cellIs" dxfId="32620" priority="2869" operator="equal">
      <formula>"OFF"</formula>
    </cfRule>
    <cfRule type="cellIs" dxfId="32619" priority="2870" operator="equal">
      <formula>"PTO"</formula>
    </cfRule>
  </conditionalFormatting>
  <conditionalFormatting sqref="Q45 V45:W45">
    <cfRule type="cellIs" dxfId="32618" priority="2867" operator="equal">
      <formula>"OFF"</formula>
    </cfRule>
    <cfRule type="cellIs" dxfId="32617" priority="2868" operator="equal">
      <formula>"PTO"</formula>
    </cfRule>
  </conditionalFormatting>
  <conditionalFormatting sqref="Q45 V45:W45">
    <cfRule type="cellIs" dxfId="32616" priority="2865" operator="equal">
      <formula>"OFF"</formula>
    </cfRule>
    <cfRule type="cellIs" dxfId="32615" priority="2866" operator="equal">
      <formula>"PTO"</formula>
    </cfRule>
  </conditionalFormatting>
  <conditionalFormatting sqref="Q45 V45:W45">
    <cfRule type="cellIs" dxfId="32614" priority="2863" operator="equal">
      <formula>"OFF"</formula>
    </cfRule>
    <cfRule type="cellIs" dxfId="32613" priority="2864" operator="equal">
      <formula>"PTO"</formula>
    </cfRule>
  </conditionalFormatting>
  <conditionalFormatting sqref="Q45 V45:W45">
    <cfRule type="cellIs" dxfId="32612" priority="2861" operator="equal">
      <formula>"OFF"</formula>
    </cfRule>
    <cfRule type="cellIs" dxfId="32611" priority="2862" operator="equal">
      <formula>"PTO"</formula>
    </cfRule>
  </conditionalFormatting>
  <conditionalFormatting sqref="Q45 V45:W45">
    <cfRule type="cellIs" dxfId="32610" priority="2859" operator="equal">
      <formula>"OFF"</formula>
    </cfRule>
    <cfRule type="cellIs" dxfId="32609" priority="2860" operator="equal">
      <formula>"PTO"</formula>
    </cfRule>
  </conditionalFormatting>
  <conditionalFormatting sqref="Q45 V45:W45">
    <cfRule type="cellIs" dxfId="32608" priority="2857" operator="equal">
      <formula>"OFF"</formula>
    </cfRule>
    <cfRule type="cellIs" dxfId="32607" priority="2858" operator="equal">
      <formula>"PTO"</formula>
    </cfRule>
  </conditionalFormatting>
  <conditionalFormatting sqref="Q45 V45:W45">
    <cfRule type="cellIs" dxfId="32606" priority="2855" operator="equal">
      <formula>"OFF"</formula>
    </cfRule>
    <cfRule type="cellIs" dxfId="32605" priority="2856" operator="equal">
      <formula>"PTO"</formula>
    </cfRule>
  </conditionalFormatting>
  <conditionalFormatting sqref="Q45 V45:W45">
    <cfRule type="cellIs" dxfId="32604" priority="2853" operator="equal">
      <formula>"OFF"</formula>
    </cfRule>
    <cfRule type="cellIs" dxfId="32603" priority="2854" operator="equal">
      <formula>"PTO"</formula>
    </cfRule>
  </conditionalFormatting>
  <conditionalFormatting sqref="Q45 V45:W45">
    <cfRule type="cellIs" dxfId="32602" priority="2851" operator="equal">
      <formula>"OFF"</formula>
    </cfRule>
    <cfRule type="cellIs" dxfId="32601" priority="2852" operator="equal">
      <formula>"PTO"</formula>
    </cfRule>
  </conditionalFormatting>
  <conditionalFormatting sqref="Q45 V45:W45">
    <cfRule type="cellIs" dxfId="32600" priority="2849" operator="equal">
      <formula>"OFF"</formula>
    </cfRule>
    <cfRule type="cellIs" dxfId="32599" priority="2850" operator="equal">
      <formula>"PTO"</formula>
    </cfRule>
  </conditionalFormatting>
  <conditionalFormatting sqref="Q45 V45:W45">
    <cfRule type="cellIs" dxfId="32598" priority="2847" operator="equal">
      <formula>"OFF"</formula>
    </cfRule>
    <cfRule type="cellIs" dxfId="32597" priority="2848" operator="equal">
      <formula>"PTO"</formula>
    </cfRule>
  </conditionalFormatting>
  <conditionalFormatting sqref="Q45 V45:W45">
    <cfRule type="cellIs" dxfId="32596" priority="2845" operator="equal">
      <formula>"OFF"</formula>
    </cfRule>
    <cfRule type="cellIs" dxfId="32595" priority="2846" operator="equal">
      <formula>"PTO"</formula>
    </cfRule>
  </conditionalFormatting>
  <conditionalFormatting sqref="Q45 V45:W45">
    <cfRule type="cellIs" dxfId="32594" priority="2843" operator="equal">
      <formula>"OFF"</formula>
    </cfRule>
    <cfRule type="cellIs" dxfId="32593" priority="2844" operator="equal">
      <formula>"PTO"</formula>
    </cfRule>
  </conditionalFormatting>
  <conditionalFormatting sqref="Q45 V45:W45">
    <cfRule type="cellIs" dxfId="32592" priority="2841" operator="equal">
      <formula>"OFF"</formula>
    </cfRule>
    <cfRule type="cellIs" dxfId="32591" priority="2842" operator="equal">
      <formula>"PTO"</formula>
    </cfRule>
  </conditionalFormatting>
  <conditionalFormatting sqref="Q45 V45:W45">
    <cfRule type="cellIs" dxfId="32590" priority="2839" operator="equal">
      <formula>"OFF"</formula>
    </cfRule>
    <cfRule type="cellIs" dxfId="32589" priority="2840" operator="equal">
      <formula>"PTO"</formula>
    </cfRule>
  </conditionalFormatting>
  <conditionalFormatting sqref="Q45 V45:W45">
    <cfRule type="cellIs" dxfId="32588" priority="2837" operator="equal">
      <formula>"OFF"</formula>
    </cfRule>
    <cfRule type="cellIs" dxfId="32587" priority="2838" operator="equal">
      <formula>"PTO"</formula>
    </cfRule>
  </conditionalFormatting>
  <conditionalFormatting sqref="Q45 V45:W45">
    <cfRule type="cellIs" dxfId="32586" priority="2835" operator="equal">
      <formula>"OFF"</formula>
    </cfRule>
    <cfRule type="cellIs" dxfId="32585" priority="2836" operator="equal">
      <formula>"PTO"</formula>
    </cfRule>
  </conditionalFormatting>
  <conditionalFormatting sqref="Q45 V45:W45">
    <cfRule type="cellIs" dxfId="32584" priority="2833" operator="equal">
      <formula>"OFF"</formula>
    </cfRule>
    <cfRule type="cellIs" dxfId="32583" priority="2834" operator="equal">
      <formula>"PTO"</formula>
    </cfRule>
  </conditionalFormatting>
  <conditionalFormatting sqref="Q45 V45:W45">
    <cfRule type="cellIs" dxfId="32582" priority="2831" operator="equal">
      <formula>"OFF"</formula>
    </cfRule>
    <cfRule type="cellIs" dxfId="32581" priority="2832" operator="equal">
      <formula>"PTO"</formula>
    </cfRule>
  </conditionalFormatting>
  <conditionalFormatting sqref="Q45 V45:W45">
    <cfRule type="cellIs" dxfId="32580" priority="2829" operator="equal">
      <formula>"OFF"</formula>
    </cfRule>
    <cfRule type="cellIs" dxfId="32579" priority="2830" operator="equal">
      <formula>"PTO"</formula>
    </cfRule>
  </conditionalFormatting>
  <conditionalFormatting sqref="Q45 V45:W45">
    <cfRule type="cellIs" dxfId="32578" priority="2827" operator="equal">
      <formula>"OFF"</formula>
    </cfRule>
    <cfRule type="cellIs" dxfId="32577" priority="2828" operator="equal">
      <formula>"PTO"</formula>
    </cfRule>
  </conditionalFormatting>
  <conditionalFormatting sqref="Q45 V45:W45">
    <cfRule type="cellIs" dxfId="32576" priority="2825" operator="equal">
      <formula>"OFF"</formula>
    </cfRule>
    <cfRule type="cellIs" dxfId="32575" priority="2826" operator="equal">
      <formula>"PTO"</formula>
    </cfRule>
  </conditionalFormatting>
  <conditionalFormatting sqref="Q45 V45:W45">
    <cfRule type="cellIs" dxfId="32574" priority="2823" operator="equal">
      <formula>"OFF"</formula>
    </cfRule>
    <cfRule type="cellIs" dxfId="32573" priority="2824" operator="equal">
      <formula>"PTO"</formula>
    </cfRule>
  </conditionalFormatting>
  <conditionalFormatting sqref="Q45 V45:W45">
    <cfRule type="cellIs" dxfId="32572" priority="2821" operator="equal">
      <formula>"OFF"</formula>
    </cfRule>
    <cfRule type="cellIs" dxfId="32571" priority="2822" operator="equal">
      <formula>"PTO"</formula>
    </cfRule>
  </conditionalFormatting>
  <conditionalFormatting sqref="Q45 V45:W45">
    <cfRule type="cellIs" dxfId="32570" priority="2819" operator="equal">
      <formula>"OFF"</formula>
    </cfRule>
    <cfRule type="cellIs" dxfId="32569" priority="2820" operator="equal">
      <formula>"PTO"</formula>
    </cfRule>
  </conditionalFormatting>
  <conditionalFormatting sqref="Q47 V47:W47">
    <cfRule type="cellIs" dxfId="32568" priority="2817" operator="equal">
      <formula>"OFF"</formula>
    </cfRule>
    <cfRule type="cellIs" dxfId="32567" priority="2818" operator="equal">
      <formula>"PTO"</formula>
    </cfRule>
  </conditionalFormatting>
  <conditionalFormatting sqref="Q46 V46:W46">
    <cfRule type="cellIs" dxfId="32566" priority="2815" operator="equal">
      <formula>"OFF"</formula>
    </cfRule>
    <cfRule type="cellIs" dxfId="32565" priority="2816" operator="equal">
      <formula>"PTO"</formula>
    </cfRule>
  </conditionalFormatting>
  <conditionalFormatting sqref="Q49 V49:W49">
    <cfRule type="cellIs" dxfId="32564" priority="2813" operator="equal">
      <formula>"OFF"</formula>
    </cfRule>
    <cfRule type="cellIs" dxfId="32563" priority="2814" operator="equal">
      <formula>"PTO"</formula>
    </cfRule>
  </conditionalFormatting>
  <conditionalFormatting sqref="Q48 V48:W48">
    <cfRule type="cellIs" dxfId="32562" priority="2811" operator="equal">
      <formula>"OFF"</formula>
    </cfRule>
    <cfRule type="cellIs" dxfId="32561" priority="2812" operator="equal">
      <formula>"PTO"</formula>
    </cfRule>
  </conditionalFormatting>
  <conditionalFormatting sqref="Q48 V48:W48">
    <cfRule type="cellIs" dxfId="32560" priority="2809" operator="equal">
      <formula>"OFF"</formula>
    </cfRule>
    <cfRule type="cellIs" dxfId="32559" priority="2810" operator="equal">
      <formula>"PTO"</formula>
    </cfRule>
  </conditionalFormatting>
  <conditionalFormatting sqref="Q48 V48:W48">
    <cfRule type="cellIs" dxfId="32558" priority="2807" operator="equal">
      <formula>"OFF"</formula>
    </cfRule>
    <cfRule type="cellIs" dxfId="32557" priority="2808" operator="equal">
      <formula>"PTO"</formula>
    </cfRule>
  </conditionalFormatting>
  <conditionalFormatting sqref="Q48 V48:W48">
    <cfRule type="cellIs" dxfId="32556" priority="2805" operator="equal">
      <formula>"OFF"</formula>
    </cfRule>
    <cfRule type="cellIs" dxfId="32555" priority="2806" operator="equal">
      <formula>"PTO"</formula>
    </cfRule>
  </conditionalFormatting>
  <conditionalFormatting sqref="Q48 V48:W48">
    <cfRule type="cellIs" dxfId="32554" priority="2803" operator="equal">
      <formula>"OFF"</formula>
    </cfRule>
    <cfRule type="cellIs" dxfId="32553" priority="2804" operator="equal">
      <formula>"PTO"</formula>
    </cfRule>
  </conditionalFormatting>
  <conditionalFormatting sqref="Q48 V48:W48">
    <cfRule type="cellIs" dxfId="32552" priority="2801" operator="equal">
      <formula>"OFF"</formula>
    </cfRule>
    <cfRule type="cellIs" dxfId="32551" priority="2802" operator="equal">
      <formula>"PTO"</formula>
    </cfRule>
  </conditionalFormatting>
  <conditionalFormatting sqref="Q48 V48:W48">
    <cfRule type="cellIs" dxfId="32550" priority="2799" operator="equal">
      <formula>"OFF"</formula>
    </cfRule>
    <cfRule type="cellIs" dxfId="32549" priority="2800" operator="equal">
      <formula>"PTO"</formula>
    </cfRule>
  </conditionalFormatting>
  <conditionalFormatting sqref="Q48 V48:W48">
    <cfRule type="cellIs" dxfId="32548" priority="2797" operator="equal">
      <formula>"OFF"</formula>
    </cfRule>
    <cfRule type="cellIs" dxfId="32547" priority="2798" operator="equal">
      <formula>"PTO"</formula>
    </cfRule>
  </conditionalFormatting>
  <conditionalFormatting sqref="Q48 V48:W48">
    <cfRule type="cellIs" dxfId="32546" priority="2795" operator="equal">
      <formula>"OFF"</formula>
    </cfRule>
    <cfRule type="cellIs" dxfId="32545" priority="2796" operator="equal">
      <formula>"PTO"</formula>
    </cfRule>
  </conditionalFormatting>
  <conditionalFormatting sqref="Q41 V41:W41">
    <cfRule type="cellIs" dxfId="32544" priority="2793" operator="equal">
      <formula>"OFF"</formula>
    </cfRule>
    <cfRule type="cellIs" dxfId="32543" priority="2794" operator="equal">
      <formula>"PTO"</formula>
    </cfRule>
  </conditionalFormatting>
  <conditionalFormatting sqref="Q41 V41:W41">
    <cfRule type="cellIs" dxfId="32542" priority="2791" operator="equal">
      <formula>"OFF"</formula>
    </cfRule>
    <cfRule type="cellIs" dxfId="32541" priority="2792" operator="equal">
      <formula>"PTO"</formula>
    </cfRule>
  </conditionalFormatting>
  <conditionalFormatting sqref="Q41 V41:W41">
    <cfRule type="cellIs" dxfId="32540" priority="2789" operator="equal">
      <formula>"OFF"</formula>
    </cfRule>
    <cfRule type="cellIs" dxfId="32539" priority="2790" operator="equal">
      <formula>"PTO"</formula>
    </cfRule>
  </conditionalFormatting>
  <conditionalFormatting sqref="Q41 V41:W41">
    <cfRule type="cellIs" dxfId="32538" priority="2787" operator="equal">
      <formula>"OFF"</formula>
    </cfRule>
    <cfRule type="cellIs" dxfId="32537" priority="2788" operator="equal">
      <formula>"PTO"</formula>
    </cfRule>
  </conditionalFormatting>
  <conditionalFormatting sqref="Q41 W41">
    <cfRule type="cellIs" dxfId="32536" priority="2785" operator="equal">
      <formula>"OFF"</formula>
    </cfRule>
    <cfRule type="cellIs" dxfId="32535" priority="2786" operator="equal">
      <formula>"PTO"</formula>
    </cfRule>
  </conditionalFormatting>
  <conditionalFormatting sqref="V41">
    <cfRule type="cellIs" dxfId="32534" priority="2783" operator="equal">
      <formula>"OFF"</formula>
    </cfRule>
    <cfRule type="cellIs" dxfId="32533" priority="2784" operator="equal">
      <formula>"PTO"</formula>
    </cfRule>
  </conditionalFormatting>
  <conditionalFormatting sqref="V41">
    <cfRule type="cellIs" dxfId="32532" priority="2781" operator="equal">
      <formula>"OFF"</formula>
    </cfRule>
    <cfRule type="cellIs" dxfId="32531" priority="2782" operator="equal">
      <formula>"PTO"</formula>
    </cfRule>
  </conditionalFormatting>
  <conditionalFormatting sqref="W41 Q41">
    <cfRule type="cellIs" dxfId="32530" priority="2779" operator="equal">
      <formula>"OFF"</formula>
    </cfRule>
    <cfRule type="cellIs" dxfId="32529" priority="2780" operator="equal">
      <formula>"PTO"</formula>
    </cfRule>
  </conditionalFormatting>
  <conditionalFormatting sqref="V41">
    <cfRule type="cellIs" dxfId="32528" priority="2777" operator="equal">
      <formula>"OFF"</formula>
    </cfRule>
    <cfRule type="cellIs" dxfId="32527" priority="2778" operator="equal">
      <formula>"PTO"</formula>
    </cfRule>
  </conditionalFormatting>
  <conditionalFormatting sqref="V41">
    <cfRule type="cellIs" dxfId="32526" priority="2775" operator="equal">
      <formula>"OFF"</formula>
    </cfRule>
    <cfRule type="cellIs" dxfId="32525" priority="2776" operator="equal">
      <formula>"PTO"</formula>
    </cfRule>
  </conditionalFormatting>
  <conditionalFormatting sqref="V41">
    <cfRule type="cellIs" dxfId="32524" priority="2773" operator="equal">
      <formula>"OFF"</formula>
    </cfRule>
    <cfRule type="cellIs" dxfId="32523" priority="2774" operator="equal">
      <formula>"PTO"</formula>
    </cfRule>
  </conditionalFormatting>
  <conditionalFormatting sqref="Q41">
    <cfRule type="cellIs" dxfId="32522" priority="2771" operator="equal">
      <formula>"OFF"</formula>
    </cfRule>
    <cfRule type="cellIs" dxfId="32521" priority="2772" operator="equal">
      <formula>"PTO"</formula>
    </cfRule>
  </conditionalFormatting>
  <conditionalFormatting sqref="Q41">
    <cfRule type="cellIs" dxfId="32520" priority="2769" operator="equal">
      <formula>"OFF"</formula>
    </cfRule>
    <cfRule type="cellIs" dxfId="32519" priority="2770" operator="equal">
      <formula>"PTO"</formula>
    </cfRule>
  </conditionalFormatting>
  <conditionalFormatting sqref="Q41">
    <cfRule type="cellIs" dxfId="32518" priority="2767" operator="equal">
      <formula>"OFF"</formula>
    </cfRule>
    <cfRule type="cellIs" dxfId="32517" priority="2768" operator="equal">
      <formula>"PTO"</formula>
    </cfRule>
  </conditionalFormatting>
  <conditionalFormatting sqref="Q41">
    <cfRule type="cellIs" dxfId="32516" priority="2765" operator="equal">
      <formula>"OFF"</formula>
    </cfRule>
    <cfRule type="cellIs" dxfId="32515" priority="2766" operator="equal">
      <formula>"PTO"</formula>
    </cfRule>
  </conditionalFormatting>
  <conditionalFormatting sqref="Q41">
    <cfRule type="cellIs" dxfId="32514" priority="2763" operator="equal">
      <formula>"OFF"</formula>
    </cfRule>
    <cfRule type="cellIs" dxfId="32513" priority="2764" operator="equal">
      <formula>"PTO"</formula>
    </cfRule>
  </conditionalFormatting>
  <conditionalFormatting sqref="Q41">
    <cfRule type="cellIs" dxfId="32512" priority="2761" operator="equal">
      <formula>"OFF"</formula>
    </cfRule>
    <cfRule type="cellIs" dxfId="32511" priority="2762" operator="equal">
      <formula>"PTO"</formula>
    </cfRule>
  </conditionalFormatting>
  <conditionalFormatting sqref="Q41">
    <cfRule type="cellIs" dxfId="32510" priority="2759" operator="equal">
      <formula>"OFF"</formula>
    </cfRule>
    <cfRule type="cellIs" dxfId="32509" priority="2760" operator="equal">
      <formula>"PTO"</formula>
    </cfRule>
  </conditionalFormatting>
  <conditionalFormatting sqref="Q41">
    <cfRule type="cellIs" dxfId="32508" priority="2757" operator="equal">
      <formula>"OFF"</formula>
    </cfRule>
    <cfRule type="cellIs" dxfId="32507" priority="2758" operator="equal">
      <formula>"PTO"</formula>
    </cfRule>
  </conditionalFormatting>
  <conditionalFormatting sqref="Q41">
    <cfRule type="cellIs" dxfId="32506" priority="2755" operator="equal">
      <formula>"OFF"</formula>
    </cfRule>
    <cfRule type="cellIs" dxfId="32505" priority="2756" operator="equal">
      <formula>"PTO"</formula>
    </cfRule>
  </conditionalFormatting>
  <conditionalFormatting sqref="W41">
    <cfRule type="cellIs" dxfId="32504" priority="2753" operator="equal">
      <formula>"OFF"</formula>
    </cfRule>
    <cfRule type="cellIs" dxfId="32503" priority="2754" operator="equal">
      <formula>"PTO"</formula>
    </cfRule>
  </conditionalFormatting>
  <conditionalFormatting sqref="W41">
    <cfRule type="cellIs" dxfId="32502" priority="2751" operator="equal">
      <formula>"OFF"</formula>
    </cfRule>
    <cfRule type="cellIs" dxfId="32501" priority="2752" operator="equal">
      <formula>"PTO"</formula>
    </cfRule>
  </conditionalFormatting>
  <conditionalFormatting sqref="W41">
    <cfRule type="cellIs" dxfId="32500" priority="2749" operator="equal">
      <formula>"OFF"</formula>
    </cfRule>
    <cfRule type="cellIs" dxfId="32499" priority="2750" operator="equal">
      <formula>"PTO"</formula>
    </cfRule>
  </conditionalFormatting>
  <conditionalFormatting sqref="W41">
    <cfRule type="cellIs" dxfId="32498" priority="2747" operator="equal">
      <formula>"OFF"</formula>
    </cfRule>
    <cfRule type="cellIs" dxfId="32497" priority="2748" operator="equal">
      <formula>"PTO"</formula>
    </cfRule>
  </conditionalFormatting>
  <conditionalFormatting sqref="W41">
    <cfRule type="cellIs" dxfId="32496" priority="2745" operator="equal">
      <formula>"OFF"</formula>
    </cfRule>
    <cfRule type="cellIs" dxfId="32495" priority="2746" operator="equal">
      <formula>"PTO"</formula>
    </cfRule>
  </conditionalFormatting>
  <conditionalFormatting sqref="W41">
    <cfRule type="cellIs" dxfId="32494" priority="2743" operator="equal">
      <formula>"OFF"</formula>
    </cfRule>
    <cfRule type="cellIs" dxfId="32493" priority="2744" operator="equal">
      <formula>"PTO"</formula>
    </cfRule>
  </conditionalFormatting>
  <conditionalFormatting sqref="W41">
    <cfRule type="cellIs" dxfId="32492" priority="2741" operator="equal">
      <formula>"OFF"</formula>
    </cfRule>
    <cfRule type="cellIs" dxfId="32491" priority="2742" operator="equal">
      <formula>"PTO"</formula>
    </cfRule>
  </conditionalFormatting>
  <conditionalFormatting sqref="W41">
    <cfRule type="cellIs" dxfId="32490" priority="2739" operator="equal">
      <formula>"OFF"</formula>
    </cfRule>
    <cfRule type="cellIs" dxfId="32489" priority="2740" operator="equal">
      <formula>"PTO"</formula>
    </cfRule>
  </conditionalFormatting>
  <conditionalFormatting sqref="W41">
    <cfRule type="cellIs" dxfId="32488" priority="2737" operator="equal">
      <formula>"OFF"</formula>
    </cfRule>
    <cfRule type="cellIs" dxfId="32487" priority="2738" operator="equal">
      <formula>"PTO"</formula>
    </cfRule>
  </conditionalFormatting>
  <conditionalFormatting sqref="Q41 V41:W41">
    <cfRule type="cellIs" dxfId="32486" priority="2735" operator="equal">
      <formula>"OFF"</formula>
    </cfRule>
    <cfRule type="cellIs" dxfId="32485" priority="2736" operator="equal">
      <formula>"PTO"</formula>
    </cfRule>
  </conditionalFormatting>
  <conditionalFormatting sqref="Q41 V41:W41">
    <cfRule type="cellIs" dxfId="32484" priority="2733" operator="equal">
      <formula>"OFF"</formula>
    </cfRule>
    <cfRule type="cellIs" dxfId="32483" priority="2734" operator="equal">
      <formula>"PTO"</formula>
    </cfRule>
  </conditionalFormatting>
  <conditionalFormatting sqref="Q41 V41:W41">
    <cfRule type="cellIs" dxfId="32482" priority="2731" operator="equal">
      <formula>"OFF"</formula>
    </cfRule>
    <cfRule type="cellIs" dxfId="32481" priority="2732" operator="equal">
      <formula>"PTO"</formula>
    </cfRule>
  </conditionalFormatting>
  <conditionalFormatting sqref="V43">
    <cfRule type="cellIs" dxfId="32480" priority="2729" operator="equal">
      <formula>"OFF"</formula>
    </cfRule>
    <cfRule type="cellIs" dxfId="32479" priority="2730" operator="equal">
      <formula>"PTO"</formula>
    </cfRule>
  </conditionalFormatting>
  <conditionalFormatting sqref="V43">
    <cfRule type="cellIs" dxfId="32478" priority="2727" operator="equal">
      <formula>"OFF"</formula>
    </cfRule>
    <cfRule type="cellIs" dxfId="32477" priority="2728" operator="equal">
      <formula>"PTO"</formula>
    </cfRule>
  </conditionalFormatting>
  <conditionalFormatting sqref="Q43">
    <cfRule type="cellIs" dxfId="32476" priority="2725" operator="equal">
      <formula>"OFF"</formula>
    </cfRule>
    <cfRule type="cellIs" dxfId="32475" priority="2726" operator="equal">
      <formula>"PTO"</formula>
    </cfRule>
  </conditionalFormatting>
  <conditionalFormatting sqref="Q43">
    <cfRule type="cellIs" dxfId="32474" priority="2723" operator="equal">
      <formula>"OFF"</formula>
    </cfRule>
    <cfRule type="cellIs" dxfId="32473" priority="2724" operator="equal">
      <formula>"PTO"</formula>
    </cfRule>
  </conditionalFormatting>
  <conditionalFormatting sqref="Q43">
    <cfRule type="cellIs" dxfId="32472" priority="2721" operator="equal">
      <formula>"OFF"</formula>
    </cfRule>
    <cfRule type="cellIs" dxfId="32471" priority="2722" operator="equal">
      <formula>"PTO"</formula>
    </cfRule>
  </conditionalFormatting>
  <conditionalFormatting sqref="Q43">
    <cfRule type="cellIs" dxfId="32470" priority="2719" operator="equal">
      <formula>"OFF"</formula>
    </cfRule>
    <cfRule type="cellIs" dxfId="32469" priority="2720" operator="equal">
      <formula>"PTO"</formula>
    </cfRule>
  </conditionalFormatting>
  <conditionalFormatting sqref="Q43">
    <cfRule type="cellIs" dxfId="32468" priority="2717" operator="equal">
      <formula>"OFF"</formula>
    </cfRule>
    <cfRule type="cellIs" dxfId="32467" priority="2718" operator="equal">
      <formula>"PTO"</formula>
    </cfRule>
  </conditionalFormatting>
  <conditionalFormatting sqref="Q43">
    <cfRule type="cellIs" dxfId="32466" priority="2715" operator="equal">
      <formula>"OFF"</formula>
    </cfRule>
    <cfRule type="cellIs" dxfId="32465" priority="2716" operator="equal">
      <formula>"PTO"</formula>
    </cfRule>
  </conditionalFormatting>
  <conditionalFormatting sqref="Q43">
    <cfRule type="cellIs" dxfId="32464" priority="2713" operator="equal">
      <formula>"OFF"</formula>
    </cfRule>
    <cfRule type="cellIs" dxfId="32463" priority="2714" operator="equal">
      <formula>"PTO"</formula>
    </cfRule>
  </conditionalFormatting>
  <conditionalFormatting sqref="Q43">
    <cfRule type="cellIs" dxfId="32462" priority="2711" operator="equal">
      <formula>"OFF"</formula>
    </cfRule>
    <cfRule type="cellIs" dxfId="32461" priority="2712" operator="equal">
      <formula>"PTO"</formula>
    </cfRule>
  </conditionalFormatting>
  <conditionalFormatting sqref="Q43">
    <cfRule type="cellIs" dxfId="32460" priority="2709" operator="equal">
      <formula>"OFF"</formula>
    </cfRule>
    <cfRule type="cellIs" dxfId="32459" priority="2710" operator="equal">
      <formula>"PTO"</formula>
    </cfRule>
  </conditionalFormatting>
  <conditionalFormatting sqref="W43">
    <cfRule type="cellIs" dxfId="32458" priority="2707" operator="equal">
      <formula>"OFF"</formula>
    </cfRule>
    <cfRule type="cellIs" dxfId="32457" priority="2708" operator="equal">
      <formula>"PTO"</formula>
    </cfRule>
  </conditionalFormatting>
  <conditionalFormatting sqref="W43">
    <cfRule type="cellIs" dxfId="32456" priority="2705" operator="equal">
      <formula>"OFF"</formula>
    </cfRule>
    <cfRule type="cellIs" dxfId="32455" priority="2706" operator="equal">
      <formula>"PTO"</formula>
    </cfRule>
  </conditionalFormatting>
  <conditionalFormatting sqref="W43">
    <cfRule type="cellIs" dxfId="32454" priority="2703" operator="equal">
      <formula>"OFF"</formula>
    </cfRule>
    <cfRule type="cellIs" dxfId="32453" priority="2704" operator="equal">
      <formula>"PTO"</formula>
    </cfRule>
  </conditionalFormatting>
  <conditionalFormatting sqref="W43">
    <cfRule type="cellIs" dxfId="32452" priority="2701" operator="equal">
      <formula>"OFF"</formula>
    </cfRule>
    <cfRule type="cellIs" dxfId="32451" priority="2702" operator="equal">
      <formula>"PTO"</formula>
    </cfRule>
  </conditionalFormatting>
  <conditionalFormatting sqref="W43">
    <cfRule type="cellIs" dxfId="32450" priority="2699" operator="equal">
      <formula>"OFF"</formula>
    </cfRule>
    <cfRule type="cellIs" dxfId="32449" priority="2700" operator="equal">
      <formula>"PTO"</formula>
    </cfRule>
  </conditionalFormatting>
  <conditionalFormatting sqref="W43">
    <cfRule type="cellIs" dxfId="32448" priority="2697" operator="equal">
      <formula>"OFF"</formula>
    </cfRule>
    <cfRule type="cellIs" dxfId="32447" priority="2698" operator="equal">
      <formula>"PTO"</formula>
    </cfRule>
  </conditionalFormatting>
  <conditionalFormatting sqref="W43">
    <cfRule type="cellIs" dxfId="32446" priority="2695" operator="equal">
      <formula>"OFF"</formula>
    </cfRule>
    <cfRule type="cellIs" dxfId="32445" priority="2696" operator="equal">
      <formula>"PTO"</formula>
    </cfRule>
  </conditionalFormatting>
  <conditionalFormatting sqref="W43">
    <cfRule type="cellIs" dxfId="32444" priority="2693" operator="equal">
      <formula>"OFF"</formula>
    </cfRule>
    <cfRule type="cellIs" dxfId="32443" priority="2694" operator="equal">
      <formula>"PTO"</formula>
    </cfRule>
  </conditionalFormatting>
  <conditionalFormatting sqref="W43">
    <cfRule type="cellIs" dxfId="32442" priority="2691" operator="equal">
      <formula>"OFF"</formula>
    </cfRule>
    <cfRule type="cellIs" dxfId="32441" priority="2692" operator="equal">
      <formula>"PTO"</formula>
    </cfRule>
  </conditionalFormatting>
  <conditionalFormatting sqref="Q43 V43:W43">
    <cfRule type="cellIs" dxfId="32440" priority="2689" operator="equal">
      <formula>"OFF"</formula>
    </cfRule>
    <cfRule type="cellIs" dxfId="32439" priority="2690" operator="equal">
      <formula>"PTO"</formula>
    </cfRule>
  </conditionalFormatting>
  <conditionalFormatting sqref="Q43 V43:W43">
    <cfRule type="cellIs" dxfId="32438" priority="2687" operator="equal">
      <formula>"OFF"</formula>
    </cfRule>
    <cfRule type="cellIs" dxfId="32437" priority="2688" operator="equal">
      <formula>"PTO"</formula>
    </cfRule>
  </conditionalFormatting>
  <conditionalFormatting sqref="Q43 V43:W43">
    <cfRule type="cellIs" dxfId="32436" priority="2685" operator="equal">
      <formula>"OFF"</formula>
    </cfRule>
    <cfRule type="cellIs" dxfId="32435" priority="2686" operator="equal">
      <formula>"PTO"</formula>
    </cfRule>
  </conditionalFormatting>
  <conditionalFormatting sqref="Q41 V41">
    <cfRule type="cellIs" dxfId="32434" priority="2683" operator="equal">
      <formula>"OFF"</formula>
    </cfRule>
    <cfRule type="cellIs" dxfId="32433" priority="2684" operator="equal">
      <formula>"PTO"</formula>
    </cfRule>
  </conditionalFormatting>
  <conditionalFormatting sqref="W41">
    <cfRule type="cellIs" dxfId="32432" priority="2681" operator="equal">
      <formula>"OFF"</formula>
    </cfRule>
    <cfRule type="cellIs" dxfId="32431" priority="2682" operator="equal">
      <formula>"PTO"</formula>
    </cfRule>
  </conditionalFormatting>
  <conditionalFormatting sqref="Q43 V43:W43">
    <cfRule type="cellIs" dxfId="32430" priority="2679" operator="equal">
      <formula>"OFF"</formula>
    </cfRule>
    <cfRule type="cellIs" dxfId="32429" priority="2680" operator="equal">
      <formula>"PTO"</formula>
    </cfRule>
  </conditionalFormatting>
  <conditionalFormatting sqref="Q43 V43:W43">
    <cfRule type="cellIs" dxfId="32428" priority="2677" operator="equal">
      <formula>"OFF"</formula>
    </cfRule>
    <cfRule type="cellIs" dxfId="32427" priority="2678" operator="equal">
      <formula>"PTO"</formula>
    </cfRule>
  </conditionalFormatting>
  <conditionalFormatting sqref="Q43 V43:W43">
    <cfRule type="cellIs" dxfId="32426" priority="2675" operator="equal">
      <formula>"OFF"</formula>
    </cfRule>
    <cfRule type="cellIs" dxfId="32425" priority="2676" operator="equal">
      <formula>"PTO"</formula>
    </cfRule>
  </conditionalFormatting>
  <conditionalFormatting sqref="Q41 V41:W41">
    <cfRule type="cellIs" dxfId="32424" priority="2673" operator="equal">
      <formula>"OFF"</formula>
    </cfRule>
    <cfRule type="cellIs" dxfId="32423" priority="2674" operator="equal">
      <formula>"PTO"</formula>
    </cfRule>
  </conditionalFormatting>
  <conditionalFormatting sqref="Q41 V41:W41">
    <cfRule type="cellIs" dxfId="32422" priority="2671" operator="equal">
      <formula>"OFF"</formula>
    </cfRule>
    <cfRule type="cellIs" dxfId="32421" priority="2672" operator="equal">
      <formula>"PTO"</formula>
    </cfRule>
  </conditionalFormatting>
  <conditionalFormatting sqref="Q41 V41:W41">
    <cfRule type="cellIs" dxfId="32420" priority="2669" operator="equal">
      <formula>"OFF"</formula>
    </cfRule>
    <cfRule type="cellIs" dxfId="32419" priority="2670" operator="equal">
      <formula>"PTO"</formula>
    </cfRule>
  </conditionalFormatting>
  <conditionalFormatting sqref="Q41 V41:W41">
    <cfRule type="cellIs" dxfId="32418" priority="2667" operator="equal">
      <formula>"OFF"</formula>
    </cfRule>
    <cfRule type="cellIs" dxfId="32417" priority="2668" operator="equal">
      <formula>"PTO"</formula>
    </cfRule>
  </conditionalFormatting>
  <conditionalFormatting sqref="Q43 V43:W43">
    <cfRule type="cellIs" dxfId="32416" priority="2665" operator="equal">
      <formula>"OFF"</formula>
    </cfRule>
    <cfRule type="cellIs" dxfId="32415" priority="2666" operator="equal">
      <formula>"PTO"</formula>
    </cfRule>
  </conditionalFormatting>
  <conditionalFormatting sqref="Q43 V43:W43">
    <cfRule type="cellIs" dxfId="32414" priority="2663" operator="equal">
      <formula>"OFF"</formula>
    </cfRule>
    <cfRule type="cellIs" dxfId="32413" priority="2664" operator="equal">
      <formula>"PTO"</formula>
    </cfRule>
  </conditionalFormatting>
  <conditionalFormatting sqref="Q43 V43:W43">
    <cfRule type="cellIs" dxfId="32412" priority="2661" operator="equal">
      <formula>"OFF"</formula>
    </cfRule>
    <cfRule type="cellIs" dxfId="32411" priority="2662" operator="equal">
      <formula>"PTO"</formula>
    </cfRule>
  </conditionalFormatting>
  <conditionalFormatting sqref="V46">
    <cfRule type="cellIs" dxfId="32410" priority="2659" operator="equal">
      <formula>"OFF"</formula>
    </cfRule>
    <cfRule type="cellIs" dxfId="32409" priority="2660" operator="equal">
      <formula>"PTO"</formula>
    </cfRule>
  </conditionalFormatting>
  <conditionalFormatting sqref="V46">
    <cfRule type="cellIs" dxfId="32408" priority="2657" operator="equal">
      <formula>"OFF"</formula>
    </cfRule>
    <cfRule type="cellIs" dxfId="32407" priority="2658" operator="equal">
      <formula>"PTO"</formula>
    </cfRule>
  </conditionalFormatting>
  <conditionalFormatting sqref="Q46">
    <cfRule type="cellIs" dxfId="32406" priority="2655" operator="equal">
      <formula>"OFF"</formula>
    </cfRule>
    <cfRule type="cellIs" dxfId="32405" priority="2656" operator="equal">
      <formula>"PTO"</formula>
    </cfRule>
  </conditionalFormatting>
  <conditionalFormatting sqref="Q46">
    <cfRule type="cellIs" dxfId="32404" priority="2653" operator="equal">
      <formula>"OFF"</formula>
    </cfRule>
    <cfRule type="cellIs" dxfId="32403" priority="2654" operator="equal">
      <formula>"PTO"</formula>
    </cfRule>
  </conditionalFormatting>
  <conditionalFormatting sqref="Q46">
    <cfRule type="cellIs" dxfId="32402" priority="2651" operator="equal">
      <formula>"OFF"</formula>
    </cfRule>
    <cfRule type="cellIs" dxfId="32401" priority="2652" operator="equal">
      <formula>"PTO"</formula>
    </cfRule>
  </conditionalFormatting>
  <conditionalFormatting sqref="Q46">
    <cfRule type="cellIs" dxfId="32400" priority="2649" operator="equal">
      <formula>"OFF"</formula>
    </cfRule>
    <cfRule type="cellIs" dxfId="32399" priority="2650" operator="equal">
      <formula>"PTO"</formula>
    </cfRule>
  </conditionalFormatting>
  <conditionalFormatting sqref="Q46">
    <cfRule type="cellIs" dxfId="32398" priority="2647" operator="equal">
      <formula>"OFF"</formula>
    </cfRule>
    <cfRule type="cellIs" dxfId="32397" priority="2648" operator="equal">
      <formula>"PTO"</formula>
    </cfRule>
  </conditionalFormatting>
  <conditionalFormatting sqref="Q46">
    <cfRule type="cellIs" dxfId="32396" priority="2645" operator="equal">
      <formula>"OFF"</formula>
    </cfRule>
    <cfRule type="cellIs" dxfId="32395" priority="2646" operator="equal">
      <formula>"PTO"</formula>
    </cfRule>
  </conditionalFormatting>
  <conditionalFormatting sqref="Q46">
    <cfRule type="cellIs" dxfId="32394" priority="2643" operator="equal">
      <formula>"OFF"</formula>
    </cfRule>
    <cfRule type="cellIs" dxfId="32393" priority="2644" operator="equal">
      <formula>"PTO"</formula>
    </cfRule>
  </conditionalFormatting>
  <conditionalFormatting sqref="Q46">
    <cfRule type="cellIs" dxfId="32392" priority="2641" operator="equal">
      <formula>"OFF"</formula>
    </cfRule>
    <cfRule type="cellIs" dxfId="32391" priority="2642" operator="equal">
      <formula>"PTO"</formula>
    </cfRule>
  </conditionalFormatting>
  <conditionalFormatting sqref="Q46">
    <cfRule type="cellIs" dxfId="32390" priority="2639" operator="equal">
      <formula>"OFF"</formula>
    </cfRule>
    <cfRule type="cellIs" dxfId="32389" priority="2640" operator="equal">
      <formula>"PTO"</formula>
    </cfRule>
  </conditionalFormatting>
  <conditionalFormatting sqref="W46">
    <cfRule type="cellIs" dxfId="32388" priority="2637" operator="equal">
      <formula>"OFF"</formula>
    </cfRule>
    <cfRule type="cellIs" dxfId="32387" priority="2638" operator="equal">
      <formula>"PTO"</formula>
    </cfRule>
  </conditionalFormatting>
  <conditionalFormatting sqref="W46">
    <cfRule type="cellIs" dxfId="32386" priority="2635" operator="equal">
      <formula>"OFF"</formula>
    </cfRule>
    <cfRule type="cellIs" dxfId="32385" priority="2636" operator="equal">
      <formula>"PTO"</formula>
    </cfRule>
  </conditionalFormatting>
  <conditionalFormatting sqref="W46">
    <cfRule type="cellIs" dxfId="32384" priority="2633" operator="equal">
      <formula>"OFF"</formula>
    </cfRule>
    <cfRule type="cellIs" dxfId="32383" priority="2634" operator="equal">
      <formula>"PTO"</formula>
    </cfRule>
  </conditionalFormatting>
  <conditionalFormatting sqref="W46">
    <cfRule type="cellIs" dxfId="32382" priority="2631" operator="equal">
      <formula>"OFF"</formula>
    </cfRule>
    <cfRule type="cellIs" dxfId="32381" priority="2632" operator="equal">
      <formula>"PTO"</formula>
    </cfRule>
  </conditionalFormatting>
  <conditionalFormatting sqref="W46">
    <cfRule type="cellIs" dxfId="32380" priority="2629" operator="equal">
      <formula>"OFF"</formula>
    </cfRule>
    <cfRule type="cellIs" dxfId="32379" priority="2630" operator="equal">
      <formula>"PTO"</formula>
    </cfRule>
  </conditionalFormatting>
  <conditionalFormatting sqref="W46">
    <cfRule type="cellIs" dxfId="32378" priority="2627" operator="equal">
      <formula>"OFF"</formula>
    </cfRule>
    <cfRule type="cellIs" dxfId="32377" priority="2628" operator="equal">
      <formula>"PTO"</formula>
    </cfRule>
  </conditionalFormatting>
  <conditionalFormatting sqref="W46">
    <cfRule type="cellIs" dxfId="32376" priority="2625" operator="equal">
      <formula>"OFF"</formula>
    </cfRule>
    <cfRule type="cellIs" dxfId="32375" priority="2626" operator="equal">
      <formula>"PTO"</formula>
    </cfRule>
  </conditionalFormatting>
  <conditionalFormatting sqref="W46">
    <cfRule type="cellIs" dxfId="32374" priority="2623" operator="equal">
      <formula>"OFF"</formula>
    </cfRule>
    <cfRule type="cellIs" dxfId="32373" priority="2624" operator="equal">
      <formula>"PTO"</formula>
    </cfRule>
  </conditionalFormatting>
  <conditionalFormatting sqref="W46">
    <cfRule type="cellIs" dxfId="32372" priority="2621" operator="equal">
      <formula>"OFF"</formula>
    </cfRule>
    <cfRule type="cellIs" dxfId="32371" priority="2622" operator="equal">
      <formula>"PTO"</formula>
    </cfRule>
  </conditionalFormatting>
  <conditionalFormatting sqref="Q45 V45:W45">
    <cfRule type="cellIs" dxfId="32370" priority="2619" operator="equal">
      <formula>"OFF"</formula>
    </cfRule>
    <cfRule type="cellIs" dxfId="32369" priority="2620" operator="equal">
      <formula>"PTO"</formula>
    </cfRule>
  </conditionalFormatting>
  <conditionalFormatting sqref="Q45 V45:W45">
    <cfRule type="cellIs" dxfId="32368" priority="2617" operator="equal">
      <formula>"OFF"</formula>
    </cfRule>
    <cfRule type="cellIs" dxfId="32367" priority="2618" operator="equal">
      <formula>"PTO"</formula>
    </cfRule>
  </conditionalFormatting>
  <conditionalFormatting sqref="Q45 V45:W45">
    <cfRule type="cellIs" dxfId="32366" priority="2615" operator="equal">
      <formula>"OFF"</formula>
    </cfRule>
    <cfRule type="cellIs" dxfId="32365" priority="2616" operator="equal">
      <formula>"PTO"</formula>
    </cfRule>
  </conditionalFormatting>
  <conditionalFormatting sqref="Q45 V45:W45">
    <cfRule type="cellIs" dxfId="32364" priority="2613" operator="equal">
      <formula>"OFF"</formula>
    </cfRule>
    <cfRule type="cellIs" dxfId="32363" priority="2614" operator="equal">
      <formula>"PTO"</formula>
    </cfRule>
  </conditionalFormatting>
  <conditionalFormatting sqref="Q45 V45:W45">
    <cfRule type="cellIs" dxfId="32362" priority="2611" operator="equal">
      <formula>"OFF"</formula>
    </cfRule>
    <cfRule type="cellIs" dxfId="32361" priority="2612" operator="equal">
      <formula>"PTO"</formula>
    </cfRule>
  </conditionalFormatting>
  <conditionalFormatting sqref="Q45 V45:W45">
    <cfRule type="cellIs" dxfId="32360" priority="2609" operator="equal">
      <formula>"OFF"</formula>
    </cfRule>
    <cfRule type="cellIs" dxfId="32359" priority="2610" operator="equal">
      <formula>"PTO"</formula>
    </cfRule>
  </conditionalFormatting>
  <conditionalFormatting sqref="Q45 V45:W45">
    <cfRule type="cellIs" dxfId="32358" priority="2607" operator="equal">
      <formula>"OFF"</formula>
    </cfRule>
    <cfRule type="cellIs" dxfId="32357" priority="2608" operator="equal">
      <formula>"PTO"</formula>
    </cfRule>
  </conditionalFormatting>
  <conditionalFormatting sqref="Q45 V45:W45">
    <cfRule type="cellIs" dxfId="32356" priority="2605" operator="equal">
      <formula>"OFF"</formula>
    </cfRule>
    <cfRule type="cellIs" dxfId="32355" priority="2606" operator="equal">
      <formula>"PTO"</formula>
    </cfRule>
  </conditionalFormatting>
  <conditionalFormatting sqref="Q45 V45:W45">
    <cfRule type="cellIs" dxfId="32354" priority="2603" operator="equal">
      <formula>"OFF"</formula>
    </cfRule>
    <cfRule type="cellIs" dxfId="32353" priority="2604" operator="equal">
      <formula>"PTO"</formula>
    </cfRule>
  </conditionalFormatting>
  <conditionalFormatting sqref="Q45 V45:W45">
    <cfRule type="cellIs" dxfId="32352" priority="2601" operator="equal">
      <formula>"OFF"</formula>
    </cfRule>
    <cfRule type="cellIs" dxfId="32351" priority="2602" operator="equal">
      <formula>"PTO"</formula>
    </cfRule>
  </conditionalFormatting>
  <conditionalFormatting sqref="Q45 V45:W45">
    <cfRule type="cellIs" dxfId="32350" priority="2599" operator="equal">
      <formula>"OFF"</formula>
    </cfRule>
    <cfRule type="cellIs" dxfId="32349" priority="2600" operator="equal">
      <formula>"PTO"</formula>
    </cfRule>
  </conditionalFormatting>
  <conditionalFormatting sqref="Q45 V45:W45">
    <cfRule type="cellIs" dxfId="32348" priority="2597" operator="equal">
      <formula>"OFF"</formula>
    </cfRule>
    <cfRule type="cellIs" dxfId="32347" priority="2598" operator="equal">
      <formula>"PTO"</formula>
    </cfRule>
  </conditionalFormatting>
  <conditionalFormatting sqref="Q45 V45:W45">
    <cfRule type="cellIs" dxfId="32346" priority="2595" operator="equal">
      <formula>"OFF"</formula>
    </cfRule>
    <cfRule type="cellIs" dxfId="32345" priority="2596" operator="equal">
      <formula>"PTO"</formula>
    </cfRule>
  </conditionalFormatting>
  <conditionalFormatting sqref="Q45 V45:W45">
    <cfRule type="cellIs" dxfId="32344" priority="2593" operator="equal">
      <formula>"OFF"</formula>
    </cfRule>
    <cfRule type="cellIs" dxfId="32343" priority="2594" operator="equal">
      <formula>"PTO"</formula>
    </cfRule>
  </conditionalFormatting>
  <conditionalFormatting sqref="Q45 V45:W45">
    <cfRule type="cellIs" dxfId="32342" priority="2591" operator="equal">
      <formula>"OFF"</formula>
    </cfRule>
    <cfRule type="cellIs" dxfId="32341" priority="2592" operator="equal">
      <formula>"PTO"</formula>
    </cfRule>
  </conditionalFormatting>
  <conditionalFormatting sqref="Q45 V45:W45">
    <cfRule type="cellIs" dxfId="32340" priority="2589" operator="equal">
      <formula>"OFF"</formula>
    </cfRule>
    <cfRule type="cellIs" dxfId="32339" priority="2590" operator="equal">
      <formula>"PTO"</formula>
    </cfRule>
  </conditionalFormatting>
  <conditionalFormatting sqref="Q45 V45:W45">
    <cfRule type="cellIs" dxfId="32338" priority="2587" operator="equal">
      <formula>"OFF"</formula>
    </cfRule>
    <cfRule type="cellIs" dxfId="32337" priority="2588" operator="equal">
      <formula>"PTO"</formula>
    </cfRule>
  </conditionalFormatting>
  <conditionalFormatting sqref="Q45 V45:W45">
    <cfRule type="cellIs" dxfId="32336" priority="2585" operator="equal">
      <formula>"OFF"</formula>
    </cfRule>
    <cfRule type="cellIs" dxfId="32335" priority="2586" operator="equal">
      <formula>"PTO"</formula>
    </cfRule>
  </conditionalFormatting>
  <conditionalFormatting sqref="Q45 V45:W45">
    <cfRule type="cellIs" dxfId="32334" priority="2583" operator="equal">
      <formula>"OFF"</formula>
    </cfRule>
    <cfRule type="cellIs" dxfId="32333" priority="2584" operator="equal">
      <formula>"PTO"</formula>
    </cfRule>
  </conditionalFormatting>
  <conditionalFormatting sqref="Q45 V45:W45">
    <cfRule type="cellIs" dxfId="32332" priority="2581" operator="equal">
      <formula>"OFF"</formula>
    </cfRule>
    <cfRule type="cellIs" dxfId="32331" priority="2582" operator="equal">
      <formula>"PTO"</formula>
    </cfRule>
  </conditionalFormatting>
  <conditionalFormatting sqref="Q45 V45:W45">
    <cfRule type="cellIs" dxfId="32330" priority="2579" operator="equal">
      <formula>"OFF"</formula>
    </cfRule>
    <cfRule type="cellIs" dxfId="32329" priority="2580" operator="equal">
      <formula>"PTO"</formula>
    </cfRule>
  </conditionalFormatting>
  <conditionalFormatting sqref="Q45 V45:W45">
    <cfRule type="cellIs" dxfId="32328" priority="2577" operator="equal">
      <formula>"OFF"</formula>
    </cfRule>
    <cfRule type="cellIs" dxfId="32327" priority="2578" operator="equal">
      <formula>"PTO"</formula>
    </cfRule>
  </conditionalFormatting>
  <conditionalFormatting sqref="Q45 V45:W45">
    <cfRule type="cellIs" dxfId="32326" priority="2575" operator="equal">
      <formula>"OFF"</formula>
    </cfRule>
    <cfRule type="cellIs" dxfId="32325" priority="2576" operator="equal">
      <formula>"PTO"</formula>
    </cfRule>
  </conditionalFormatting>
  <conditionalFormatting sqref="Q45 V45:W45">
    <cfRule type="cellIs" dxfId="32324" priority="2573" operator="equal">
      <formula>"OFF"</formula>
    </cfRule>
    <cfRule type="cellIs" dxfId="32323" priority="2574" operator="equal">
      <formula>"PTO"</formula>
    </cfRule>
  </conditionalFormatting>
  <conditionalFormatting sqref="Q45 V45:W45">
    <cfRule type="cellIs" dxfId="32322" priority="2571" operator="equal">
      <formula>"OFF"</formula>
    </cfRule>
    <cfRule type="cellIs" dxfId="32321" priority="2572" operator="equal">
      <formula>"PTO"</formula>
    </cfRule>
  </conditionalFormatting>
  <conditionalFormatting sqref="Q45 V45:W45">
    <cfRule type="cellIs" dxfId="32320" priority="2569" operator="equal">
      <formula>"OFF"</formula>
    </cfRule>
    <cfRule type="cellIs" dxfId="32319" priority="2570" operator="equal">
      <formula>"PTO"</formula>
    </cfRule>
  </conditionalFormatting>
  <conditionalFormatting sqref="Q46 V46:W46">
    <cfRule type="cellIs" dxfId="32318" priority="2567" operator="equal">
      <formula>"OFF"</formula>
    </cfRule>
    <cfRule type="cellIs" dxfId="32317" priority="2568" operator="equal">
      <formula>"PTO"</formula>
    </cfRule>
  </conditionalFormatting>
  <conditionalFormatting sqref="Q46 V46:W46">
    <cfRule type="cellIs" dxfId="32316" priority="2565" operator="equal">
      <formula>"OFF"</formula>
    </cfRule>
    <cfRule type="cellIs" dxfId="32315" priority="2566" operator="equal">
      <formula>"PTO"</formula>
    </cfRule>
  </conditionalFormatting>
  <conditionalFormatting sqref="Q46 V46:W46">
    <cfRule type="cellIs" dxfId="32314" priority="2563" operator="equal">
      <formula>"OFF"</formula>
    </cfRule>
    <cfRule type="cellIs" dxfId="32313" priority="2564" operator="equal">
      <formula>"PTO"</formula>
    </cfRule>
  </conditionalFormatting>
  <conditionalFormatting sqref="Q46 V46:W46">
    <cfRule type="cellIs" dxfId="32312" priority="2561" operator="equal">
      <formula>"OFF"</formula>
    </cfRule>
    <cfRule type="cellIs" dxfId="32311" priority="2562" operator="equal">
      <formula>"PTO"</formula>
    </cfRule>
  </conditionalFormatting>
  <conditionalFormatting sqref="Q46 V46:W46">
    <cfRule type="cellIs" dxfId="32310" priority="2559" operator="equal">
      <formula>"OFF"</formula>
    </cfRule>
    <cfRule type="cellIs" dxfId="32309" priority="2560" operator="equal">
      <formula>"PTO"</formula>
    </cfRule>
  </conditionalFormatting>
  <conditionalFormatting sqref="Q46 V46:W46">
    <cfRule type="cellIs" dxfId="32308" priority="2557" operator="equal">
      <formula>"OFF"</formula>
    </cfRule>
    <cfRule type="cellIs" dxfId="32307" priority="2558" operator="equal">
      <formula>"PTO"</formula>
    </cfRule>
  </conditionalFormatting>
  <conditionalFormatting sqref="Q46 V46:W46">
    <cfRule type="cellIs" dxfId="32306" priority="2555" operator="equal">
      <formula>"OFF"</formula>
    </cfRule>
    <cfRule type="cellIs" dxfId="32305" priority="2556" operator="equal">
      <formula>"PTO"</formula>
    </cfRule>
  </conditionalFormatting>
  <conditionalFormatting sqref="Q46 V46:W46">
    <cfRule type="cellIs" dxfId="32304" priority="2553" operator="equal">
      <formula>"OFF"</formula>
    </cfRule>
    <cfRule type="cellIs" dxfId="32303" priority="2554" operator="equal">
      <formula>"PTO"</formula>
    </cfRule>
  </conditionalFormatting>
  <conditionalFormatting sqref="Q46 V46:W46">
    <cfRule type="cellIs" dxfId="32302" priority="2551" operator="equal">
      <formula>"OFF"</formula>
    </cfRule>
    <cfRule type="cellIs" dxfId="32301" priority="2552" operator="equal">
      <formula>"PTO"</formula>
    </cfRule>
  </conditionalFormatting>
  <conditionalFormatting sqref="Q46 V46:W46">
    <cfRule type="cellIs" dxfId="32300" priority="2549" operator="equal">
      <formula>"OFF"</formula>
    </cfRule>
    <cfRule type="cellIs" dxfId="32299" priority="2550" operator="equal">
      <formula>"PTO"</formula>
    </cfRule>
  </conditionalFormatting>
  <conditionalFormatting sqref="Q46 V46:W46">
    <cfRule type="cellIs" dxfId="32298" priority="2547" operator="equal">
      <formula>"OFF"</formula>
    </cfRule>
    <cfRule type="cellIs" dxfId="32297" priority="2548" operator="equal">
      <formula>"PTO"</formula>
    </cfRule>
  </conditionalFormatting>
  <conditionalFormatting sqref="Q46 V46:W46">
    <cfRule type="cellIs" dxfId="32296" priority="2545" operator="equal">
      <formula>"OFF"</formula>
    </cfRule>
    <cfRule type="cellIs" dxfId="32295" priority="2546" operator="equal">
      <formula>"PTO"</formula>
    </cfRule>
  </conditionalFormatting>
  <conditionalFormatting sqref="Q46 V46:W46">
    <cfRule type="cellIs" dxfId="32294" priority="2543" operator="equal">
      <formula>"OFF"</formula>
    </cfRule>
    <cfRule type="cellIs" dxfId="32293" priority="2544" operator="equal">
      <formula>"PTO"</formula>
    </cfRule>
  </conditionalFormatting>
  <conditionalFormatting sqref="Q46 V46:W46">
    <cfRule type="cellIs" dxfId="32292" priority="2541" operator="equal">
      <formula>"OFF"</formula>
    </cfRule>
    <cfRule type="cellIs" dxfId="32291" priority="2542" operator="equal">
      <formula>"PTO"</formula>
    </cfRule>
  </conditionalFormatting>
  <conditionalFormatting sqref="Q46 V46:W46">
    <cfRule type="cellIs" dxfId="32290" priority="2539" operator="equal">
      <formula>"OFF"</formula>
    </cfRule>
    <cfRule type="cellIs" dxfId="32289" priority="2540" operator="equal">
      <formula>"PTO"</formula>
    </cfRule>
  </conditionalFormatting>
  <conditionalFormatting sqref="Q46 V46:W46">
    <cfRule type="cellIs" dxfId="32288" priority="2537" operator="equal">
      <formula>"OFF"</formula>
    </cfRule>
    <cfRule type="cellIs" dxfId="32287" priority="2538" operator="equal">
      <formula>"PTO"</formula>
    </cfRule>
  </conditionalFormatting>
  <conditionalFormatting sqref="Q46 V46:W46">
    <cfRule type="cellIs" dxfId="32286" priority="2535" operator="equal">
      <formula>"OFF"</formula>
    </cfRule>
    <cfRule type="cellIs" dxfId="32285" priority="2536" operator="equal">
      <formula>"PTO"</formula>
    </cfRule>
  </conditionalFormatting>
  <conditionalFormatting sqref="Q46 V46:W46">
    <cfRule type="cellIs" dxfId="32284" priority="2533" operator="equal">
      <formula>"OFF"</formula>
    </cfRule>
    <cfRule type="cellIs" dxfId="32283" priority="2534" operator="equal">
      <formula>"PTO"</formula>
    </cfRule>
  </conditionalFormatting>
  <conditionalFormatting sqref="Q46 V46:W46">
    <cfRule type="cellIs" dxfId="32282" priority="2531" operator="equal">
      <formula>"OFF"</formula>
    </cfRule>
    <cfRule type="cellIs" dxfId="32281" priority="2532" operator="equal">
      <formula>"PTO"</formula>
    </cfRule>
  </conditionalFormatting>
  <conditionalFormatting sqref="Q46 V46:W46">
    <cfRule type="cellIs" dxfId="32280" priority="2529" operator="equal">
      <formula>"OFF"</formula>
    </cfRule>
    <cfRule type="cellIs" dxfId="32279" priority="2530" operator="equal">
      <formula>"PTO"</formula>
    </cfRule>
  </conditionalFormatting>
  <conditionalFormatting sqref="Q46 V46:W46">
    <cfRule type="cellIs" dxfId="32278" priority="2527" operator="equal">
      <formula>"OFF"</formula>
    </cfRule>
    <cfRule type="cellIs" dxfId="32277" priority="2528" operator="equal">
      <formula>"PTO"</formula>
    </cfRule>
  </conditionalFormatting>
  <conditionalFormatting sqref="Q46 V46:W46">
    <cfRule type="cellIs" dxfId="32276" priority="2525" operator="equal">
      <formula>"OFF"</formula>
    </cfRule>
    <cfRule type="cellIs" dxfId="32275" priority="2526" operator="equal">
      <formula>"PTO"</formula>
    </cfRule>
  </conditionalFormatting>
  <conditionalFormatting sqref="Q46 V46:W46">
    <cfRule type="cellIs" dxfId="32274" priority="2523" operator="equal">
      <formula>"OFF"</formula>
    </cfRule>
    <cfRule type="cellIs" dxfId="32273" priority="2524" operator="equal">
      <formula>"PTO"</formula>
    </cfRule>
  </conditionalFormatting>
  <conditionalFormatting sqref="Q46 V46:W46">
    <cfRule type="cellIs" dxfId="32272" priority="2521" operator="equal">
      <formula>"OFF"</formula>
    </cfRule>
    <cfRule type="cellIs" dxfId="32271" priority="2522" operator="equal">
      <formula>"PTO"</formula>
    </cfRule>
  </conditionalFormatting>
  <conditionalFormatting sqref="Q46 V46:W46">
    <cfRule type="cellIs" dxfId="32270" priority="2519" operator="equal">
      <formula>"OFF"</formula>
    </cfRule>
    <cfRule type="cellIs" dxfId="32269" priority="2520" operator="equal">
      <formula>"PTO"</formula>
    </cfRule>
  </conditionalFormatting>
  <conditionalFormatting sqref="Q46 V46:W46">
    <cfRule type="cellIs" dxfId="32268" priority="2517" operator="equal">
      <formula>"OFF"</formula>
    </cfRule>
    <cfRule type="cellIs" dxfId="32267" priority="2518" operator="equal">
      <formula>"PTO"</formula>
    </cfRule>
  </conditionalFormatting>
  <conditionalFormatting sqref="V45">
    <cfRule type="cellIs" dxfId="32266" priority="2515" operator="equal">
      <formula>"OFF"</formula>
    </cfRule>
    <cfRule type="cellIs" dxfId="32265" priority="2516" operator="equal">
      <formula>"PTO"</formula>
    </cfRule>
  </conditionalFormatting>
  <conditionalFormatting sqref="V45">
    <cfRule type="cellIs" dxfId="32264" priority="2513" operator="equal">
      <formula>"OFF"</formula>
    </cfRule>
    <cfRule type="cellIs" dxfId="32263" priority="2514" operator="equal">
      <formula>"PTO"</formula>
    </cfRule>
  </conditionalFormatting>
  <conditionalFormatting sqref="Q45">
    <cfRule type="cellIs" dxfId="32262" priority="2511" operator="equal">
      <formula>"OFF"</formula>
    </cfRule>
    <cfRule type="cellIs" dxfId="32261" priority="2512" operator="equal">
      <formula>"PTO"</formula>
    </cfRule>
  </conditionalFormatting>
  <conditionalFormatting sqref="Q45">
    <cfRule type="cellIs" dxfId="32260" priority="2509" operator="equal">
      <formula>"OFF"</formula>
    </cfRule>
    <cfRule type="cellIs" dxfId="32259" priority="2510" operator="equal">
      <formula>"PTO"</formula>
    </cfRule>
  </conditionalFormatting>
  <conditionalFormatting sqref="Q45">
    <cfRule type="cellIs" dxfId="32258" priority="2507" operator="equal">
      <formula>"OFF"</formula>
    </cfRule>
    <cfRule type="cellIs" dxfId="32257" priority="2508" operator="equal">
      <formula>"PTO"</formula>
    </cfRule>
  </conditionalFormatting>
  <conditionalFormatting sqref="Q45">
    <cfRule type="cellIs" dxfId="32256" priority="2505" operator="equal">
      <formula>"OFF"</formula>
    </cfRule>
    <cfRule type="cellIs" dxfId="32255" priority="2506" operator="equal">
      <formula>"PTO"</formula>
    </cfRule>
  </conditionalFormatting>
  <conditionalFormatting sqref="Q45">
    <cfRule type="cellIs" dxfId="32254" priority="2503" operator="equal">
      <formula>"OFF"</formula>
    </cfRule>
    <cfRule type="cellIs" dxfId="32253" priority="2504" operator="equal">
      <formula>"PTO"</formula>
    </cfRule>
  </conditionalFormatting>
  <conditionalFormatting sqref="Q45">
    <cfRule type="cellIs" dxfId="32252" priority="2501" operator="equal">
      <formula>"OFF"</formula>
    </cfRule>
    <cfRule type="cellIs" dxfId="32251" priority="2502" operator="equal">
      <formula>"PTO"</formula>
    </cfRule>
  </conditionalFormatting>
  <conditionalFormatting sqref="Q45">
    <cfRule type="cellIs" dxfId="32250" priority="2499" operator="equal">
      <formula>"OFF"</formula>
    </cfRule>
    <cfRule type="cellIs" dxfId="32249" priority="2500" operator="equal">
      <formula>"PTO"</formula>
    </cfRule>
  </conditionalFormatting>
  <conditionalFormatting sqref="Q45">
    <cfRule type="cellIs" dxfId="32248" priority="2497" operator="equal">
      <formula>"OFF"</formula>
    </cfRule>
    <cfRule type="cellIs" dxfId="32247" priority="2498" operator="equal">
      <formula>"PTO"</formula>
    </cfRule>
  </conditionalFormatting>
  <conditionalFormatting sqref="Q45">
    <cfRule type="cellIs" dxfId="32246" priority="2495" operator="equal">
      <formula>"OFF"</formula>
    </cfRule>
    <cfRule type="cellIs" dxfId="32245" priority="2496" operator="equal">
      <formula>"PTO"</formula>
    </cfRule>
  </conditionalFormatting>
  <conditionalFormatting sqref="W45">
    <cfRule type="cellIs" dxfId="32244" priority="2493" operator="equal">
      <formula>"OFF"</formula>
    </cfRule>
    <cfRule type="cellIs" dxfId="32243" priority="2494" operator="equal">
      <formula>"PTO"</formula>
    </cfRule>
  </conditionalFormatting>
  <conditionalFormatting sqref="W45">
    <cfRule type="cellIs" dxfId="32242" priority="2491" operator="equal">
      <formula>"OFF"</formula>
    </cfRule>
    <cfRule type="cellIs" dxfId="32241" priority="2492" operator="equal">
      <formula>"PTO"</formula>
    </cfRule>
  </conditionalFormatting>
  <conditionalFormatting sqref="W45">
    <cfRule type="cellIs" dxfId="32240" priority="2489" operator="equal">
      <formula>"OFF"</formula>
    </cfRule>
    <cfRule type="cellIs" dxfId="32239" priority="2490" operator="equal">
      <formula>"PTO"</formula>
    </cfRule>
  </conditionalFormatting>
  <conditionalFormatting sqref="W45">
    <cfRule type="cellIs" dxfId="32238" priority="2487" operator="equal">
      <formula>"OFF"</formula>
    </cfRule>
    <cfRule type="cellIs" dxfId="32237" priority="2488" operator="equal">
      <formula>"PTO"</formula>
    </cfRule>
  </conditionalFormatting>
  <conditionalFormatting sqref="W45">
    <cfRule type="cellIs" dxfId="32236" priority="2485" operator="equal">
      <formula>"OFF"</formula>
    </cfRule>
    <cfRule type="cellIs" dxfId="32235" priority="2486" operator="equal">
      <formula>"PTO"</formula>
    </cfRule>
  </conditionalFormatting>
  <conditionalFormatting sqref="W45">
    <cfRule type="cellIs" dxfId="32234" priority="2483" operator="equal">
      <formula>"OFF"</formula>
    </cfRule>
    <cfRule type="cellIs" dxfId="32233" priority="2484" operator="equal">
      <formula>"PTO"</formula>
    </cfRule>
  </conditionalFormatting>
  <conditionalFormatting sqref="W45">
    <cfRule type="cellIs" dxfId="32232" priority="2481" operator="equal">
      <formula>"OFF"</formula>
    </cfRule>
    <cfRule type="cellIs" dxfId="32231" priority="2482" operator="equal">
      <formula>"PTO"</formula>
    </cfRule>
  </conditionalFormatting>
  <conditionalFormatting sqref="W45">
    <cfRule type="cellIs" dxfId="32230" priority="2479" operator="equal">
      <formula>"OFF"</formula>
    </cfRule>
    <cfRule type="cellIs" dxfId="32229" priority="2480" operator="equal">
      <formula>"PTO"</formula>
    </cfRule>
  </conditionalFormatting>
  <conditionalFormatting sqref="W45">
    <cfRule type="cellIs" dxfId="32228" priority="2477" operator="equal">
      <formula>"OFF"</formula>
    </cfRule>
    <cfRule type="cellIs" dxfId="32227" priority="2478" operator="equal">
      <formula>"PTO"</formula>
    </cfRule>
  </conditionalFormatting>
  <conditionalFormatting sqref="Q46 V46:W46">
    <cfRule type="cellIs" dxfId="32226" priority="2475" operator="equal">
      <formula>"OFF"</formula>
    </cfRule>
    <cfRule type="cellIs" dxfId="32225" priority="2476" operator="equal">
      <formula>"PTO"</formula>
    </cfRule>
  </conditionalFormatting>
  <conditionalFormatting sqref="Q45 V45:W45">
    <cfRule type="cellIs" dxfId="32224" priority="2473" operator="equal">
      <formula>"OFF"</formula>
    </cfRule>
    <cfRule type="cellIs" dxfId="32223" priority="2474" operator="equal">
      <formula>"PTO"</formula>
    </cfRule>
  </conditionalFormatting>
  <conditionalFormatting sqref="Q47 V47:W47">
    <cfRule type="cellIs" dxfId="32222" priority="2471" operator="equal">
      <formula>"OFF"</formula>
    </cfRule>
    <cfRule type="cellIs" dxfId="32221" priority="2472" operator="equal">
      <formula>"PTO"</formula>
    </cfRule>
  </conditionalFormatting>
  <conditionalFormatting sqref="Q47 V47:W47">
    <cfRule type="cellIs" dxfId="32220" priority="2469" operator="equal">
      <formula>"OFF"</formula>
    </cfRule>
    <cfRule type="cellIs" dxfId="32219" priority="2470" operator="equal">
      <formula>"PTO"</formula>
    </cfRule>
  </conditionalFormatting>
  <conditionalFormatting sqref="Q47 V47:W47">
    <cfRule type="cellIs" dxfId="32218" priority="2467" operator="equal">
      <formula>"OFF"</formula>
    </cfRule>
    <cfRule type="cellIs" dxfId="32217" priority="2468" operator="equal">
      <formula>"PTO"</formula>
    </cfRule>
  </conditionalFormatting>
  <conditionalFormatting sqref="Q47 V47:W47">
    <cfRule type="cellIs" dxfId="32216" priority="2465" operator="equal">
      <formula>"OFF"</formula>
    </cfRule>
    <cfRule type="cellIs" dxfId="32215" priority="2466" operator="equal">
      <formula>"PTO"</formula>
    </cfRule>
  </conditionalFormatting>
  <conditionalFormatting sqref="Q47 V47:W47">
    <cfRule type="cellIs" dxfId="32214" priority="2463" operator="equal">
      <formula>"OFF"</formula>
    </cfRule>
    <cfRule type="cellIs" dxfId="32213" priority="2464" operator="equal">
      <formula>"PTO"</formula>
    </cfRule>
  </conditionalFormatting>
  <conditionalFormatting sqref="Q47 V47:W47">
    <cfRule type="cellIs" dxfId="32212" priority="2461" operator="equal">
      <formula>"OFF"</formula>
    </cfRule>
    <cfRule type="cellIs" dxfId="32211" priority="2462" operator="equal">
      <formula>"PTO"</formula>
    </cfRule>
  </conditionalFormatting>
  <conditionalFormatting sqref="Q47 V47:W47">
    <cfRule type="cellIs" dxfId="32210" priority="2459" operator="equal">
      <formula>"OFF"</formula>
    </cfRule>
    <cfRule type="cellIs" dxfId="32209" priority="2460" operator="equal">
      <formula>"PTO"</formula>
    </cfRule>
  </conditionalFormatting>
  <conditionalFormatting sqref="Q47 V47:W47">
    <cfRule type="cellIs" dxfId="32208" priority="2457" operator="equal">
      <formula>"OFF"</formula>
    </cfRule>
    <cfRule type="cellIs" dxfId="32207" priority="2458" operator="equal">
      <formula>"PTO"</formula>
    </cfRule>
  </conditionalFormatting>
  <conditionalFormatting sqref="Q47 V47:W47">
    <cfRule type="cellIs" dxfId="32206" priority="2455" operator="equal">
      <formula>"OFF"</formula>
    </cfRule>
    <cfRule type="cellIs" dxfId="32205" priority="2456" operator="equal">
      <formula>"PTO"</formula>
    </cfRule>
  </conditionalFormatting>
  <conditionalFormatting sqref="Q47 V47:W47">
    <cfRule type="cellIs" dxfId="32204" priority="2453" operator="equal">
      <formula>"OFF"</formula>
    </cfRule>
    <cfRule type="cellIs" dxfId="32203" priority="2454" operator="equal">
      <formula>"PTO"</formula>
    </cfRule>
  </conditionalFormatting>
  <conditionalFormatting sqref="Q47 V47:W47">
    <cfRule type="cellIs" dxfId="32202" priority="2451" operator="equal">
      <formula>"OFF"</formula>
    </cfRule>
    <cfRule type="cellIs" dxfId="32201" priority="2452" operator="equal">
      <formula>"PTO"</formula>
    </cfRule>
  </conditionalFormatting>
  <conditionalFormatting sqref="Q47 V47:W47">
    <cfRule type="cellIs" dxfId="32200" priority="2449" operator="equal">
      <formula>"OFF"</formula>
    </cfRule>
    <cfRule type="cellIs" dxfId="32199" priority="2450" operator="equal">
      <formula>"PTO"</formula>
    </cfRule>
  </conditionalFormatting>
  <conditionalFormatting sqref="Q47 V47:W47">
    <cfRule type="cellIs" dxfId="32198" priority="2447" operator="equal">
      <formula>"OFF"</formula>
    </cfRule>
    <cfRule type="cellIs" dxfId="32197" priority="2448" operator="equal">
      <formula>"PTO"</formula>
    </cfRule>
  </conditionalFormatting>
  <conditionalFormatting sqref="Q47 V47:W47">
    <cfRule type="cellIs" dxfId="32196" priority="2445" operator="equal">
      <formula>"OFF"</formula>
    </cfRule>
    <cfRule type="cellIs" dxfId="32195" priority="2446" operator="equal">
      <formula>"PTO"</formula>
    </cfRule>
  </conditionalFormatting>
  <conditionalFormatting sqref="Q47 V47:W47">
    <cfRule type="cellIs" dxfId="32194" priority="2443" operator="equal">
      <formula>"OFF"</formula>
    </cfRule>
    <cfRule type="cellIs" dxfId="32193" priority="2444" operator="equal">
      <formula>"PTO"</formula>
    </cfRule>
  </conditionalFormatting>
  <conditionalFormatting sqref="Q47 V47:W47">
    <cfRule type="cellIs" dxfId="32192" priority="2441" operator="equal">
      <formula>"OFF"</formula>
    </cfRule>
    <cfRule type="cellIs" dxfId="32191" priority="2442" operator="equal">
      <formula>"PTO"</formula>
    </cfRule>
  </conditionalFormatting>
  <conditionalFormatting sqref="Q47 V47:W47">
    <cfRule type="cellIs" dxfId="32190" priority="2439" operator="equal">
      <formula>"OFF"</formula>
    </cfRule>
    <cfRule type="cellIs" dxfId="32189" priority="2440" operator="equal">
      <formula>"PTO"</formula>
    </cfRule>
  </conditionalFormatting>
  <conditionalFormatting sqref="Q47 V47:W47">
    <cfRule type="cellIs" dxfId="32188" priority="2437" operator="equal">
      <formula>"OFF"</formula>
    </cfRule>
    <cfRule type="cellIs" dxfId="32187" priority="2438" operator="equal">
      <formula>"PTO"</formula>
    </cfRule>
  </conditionalFormatting>
  <conditionalFormatting sqref="Q47 V47:W47">
    <cfRule type="cellIs" dxfId="32186" priority="2435" operator="equal">
      <formula>"OFF"</formula>
    </cfRule>
    <cfRule type="cellIs" dxfId="32185" priority="2436" operator="equal">
      <formula>"PTO"</formula>
    </cfRule>
  </conditionalFormatting>
  <conditionalFormatting sqref="Q47 V47:W47">
    <cfRule type="cellIs" dxfId="32184" priority="2433" operator="equal">
      <formula>"OFF"</formula>
    </cfRule>
    <cfRule type="cellIs" dxfId="32183" priority="2434" operator="equal">
      <formula>"PTO"</formula>
    </cfRule>
  </conditionalFormatting>
  <conditionalFormatting sqref="Q47 V47:W47">
    <cfRule type="cellIs" dxfId="32182" priority="2431" operator="equal">
      <formula>"OFF"</formula>
    </cfRule>
    <cfRule type="cellIs" dxfId="32181" priority="2432" operator="equal">
      <formula>"PTO"</formula>
    </cfRule>
  </conditionalFormatting>
  <conditionalFormatting sqref="Q47 V47:W47">
    <cfRule type="cellIs" dxfId="32180" priority="2429" operator="equal">
      <formula>"OFF"</formula>
    </cfRule>
    <cfRule type="cellIs" dxfId="32179" priority="2430" operator="equal">
      <formula>"PTO"</formula>
    </cfRule>
  </conditionalFormatting>
  <conditionalFormatting sqref="Q47 V47:W47">
    <cfRule type="cellIs" dxfId="32178" priority="2427" operator="equal">
      <formula>"OFF"</formula>
    </cfRule>
    <cfRule type="cellIs" dxfId="32177" priority="2428" operator="equal">
      <formula>"PTO"</formula>
    </cfRule>
  </conditionalFormatting>
  <conditionalFormatting sqref="Q47 V47:W47">
    <cfRule type="cellIs" dxfId="32176" priority="2425" operator="equal">
      <formula>"OFF"</formula>
    </cfRule>
    <cfRule type="cellIs" dxfId="32175" priority="2426" operator="equal">
      <formula>"PTO"</formula>
    </cfRule>
  </conditionalFormatting>
  <conditionalFormatting sqref="Q47 V47:W47">
    <cfRule type="cellIs" dxfId="32174" priority="2423" operator="equal">
      <formula>"OFF"</formula>
    </cfRule>
    <cfRule type="cellIs" dxfId="32173" priority="2424" operator="equal">
      <formula>"PTO"</formula>
    </cfRule>
  </conditionalFormatting>
  <conditionalFormatting sqref="Q48 V48:W48">
    <cfRule type="cellIs" dxfId="32172" priority="2421" operator="equal">
      <formula>"OFF"</formula>
    </cfRule>
    <cfRule type="cellIs" dxfId="32171" priority="2422" operator="equal">
      <formula>"PTO"</formula>
    </cfRule>
  </conditionalFormatting>
  <conditionalFormatting sqref="Q48 V48:W48">
    <cfRule type="cellIs" dxfId="32170" priority="2419" operator="equal">
      <formula>"OFF"</formula>
    </cfRule>
    <cfRule type="cellIs" dxfId="32169" priority="2420" operator="equal">
      <formula>"PTO"</formula>
    </cfRule>
  </conditionalFormatting>
  <conditionalFormatting sqref="Q48 V48:W48">
    <cfRule type="cellIs" dxfId="32168" priority="2417" operator="equal">
      <formula>"OFF"</formula>
    </cfRule>
    <cfRule type="cellIs" dxfId="32167" priority="2418" operator="equal">
      <formula>"PTO"</formula>
    </cfRule>
  </conditionalFormatting>
  <conditionalFormatting sqref="Q48 V48:W48">
    <cfRule type="cellIs" dxfId="32166" priority="2415" operator="equal">
      <formula>"OFF"</formula>
    </cfRule>
    <cfRule type="cellIs" dxfId="32165" priority="2416" operator="equal">
      <formula>"PTO"</formula>
    </cfRule>
  </conditionalFormatting>
  <conditionalFormatting sqref="Q48 V48:W48">
    <cfRule type="cellIs" dxfId="32164" priority="2413" operator="equal">
      <formula>"OFF"</formula>
    </cfRule>
    <cfRule type="cellIs" dxfId="32163" priority="2414" operator="equal">
      <formula>"PTO"</formula>
    </cfRule>
  </conditionalFormatting>
  <conditionalFormatting sqref="Q48 V48:W48">
    <cfRule type="cellIs" dxfId="32162" priority="2411" operator="equal">
      <formula>"OFF"</formula>
    </cfRule>
    <cfRule type="cellIs" dxfId="32161" priority="2412" operator="equal">
      <formula>"PTO"</formula>
    </cfRule>
  </conditionalFormatting>
  <conditionalFormatting sqref="Q48 V48:W48">
    <cfRule type="cellIs" dxfId="32160" priority="2409" operator="equal">
      <formula>"OFF"</formula>
    </cfRule>
    <cfRule type="cellIs" dxfId="32159" priority="2410" operator="equal">
      <formula>"PTO"</formula>
    </cfRule>
  </conditionalFormatting>
  <conditionalFormatting sqref="Q48 V48:W48">
    <cfRule type="cellIs" dxfId="32158" priority="2407" operator="equal">
      <formula>"OFF"</formula>
    </cfRule>
    <cfRule type="cellIs" dxfId="32157" priority="2408" operator="equal">
      <formula>"PTO"</formula>
    </cfRule>
  </conditionalFormatting>
  <conditionalFormatting sqref="Q48 V48:W48">
    <cfRule type="cellIs" dxfId="32156" priority="2405" operator="equal">
      <formula>"OFF"</formula>
    </cfRule>
    <cfRule type="cellIs" dxfId="32155" priority="2406" operator="equal">
      <formula>"PTO"</formula>
    </cfRule>
  </conditionalFormatting>
  <conditionalFormatting sqref="Q48 V48:W48">
    <cfRule type="cellIs" dxfId="32154" priority="2403" operator="equal">
      <formula>"OFF"</formula>
    </cfRule>
    <cfRule type="cellIs" dxfId="32153" priority="2404" operator="equal">
      <formula>"PTO"</formula>
    </cfRule>
  </conditionalFormatting>
  <conditionalFormatting sqref="Q47 V47:W47">
    <cfRule type="cellIs" dxfId="32152" priority="2401" operator="equal">
      <formula>"OFF"</formula>
    </cfRule>
    <cfRule type="cellIs" dxfId="32151" priority="2402" operator="equal">
      <formula>"PTO"</formula>
    </cfRule>
  </conditionalFormatting>
  <conditionalFormatting sqref="Q47 V47:W47">
    <cfRule type="cellIs" dxfId="32150" priority="2399" operator="equal">
      <formula>"OFF"</formula>
    </cfRule>
    <cfRule type="cellIs" dxfId="32149" priority="2400" operator="equal">
      <formula>"PTO"</formula>
    </cfRule>
  </conditionalFormatting>
  <conditionalFormatting sqref="Q47 V47:W47">
    <cfRule type="cellIs" dxfId="32148" priority="2397" operator="equal">
      <formula>"OFF"</formula>
    </cfRule>
    <cfRule type="cellIs" dxfId="32147" priority="2398" operator="equal">
      <formula>"PTO"</formula>
    </cfRule>
  </conditionalFormatting>
  <conditionalFormatting sqref="Q47 V47:W47">
    <cfRule type="cellIs" dxfId="32146" priority="2395" operator="equal">
      <formula>"OFF"</formula>
    </cfRule>
    <cfRule type="cellIs" dxfId="32145" priority="2396" operator="equal">
      <formula>"PTO"</formula>
    </cfRule>
  </conditionalFormatting>
  <conditionalFormatting sqref="Q47 V47:W47">
    <cfRule type="cellIs" dxfId="32144" priority="2393" operator="equal">
      <formula>"OFF"</formula>
    </cfRule>
    <cfRule type="cellIs" dxfId="32143" priority="2394" operator="equal">
      <formula>"PTO"</formula>
    </cfRule>
  </conditionalFormatting>
  <conditionalFormatting sqref="Q47 V47:W47">
    <cfRule type="cellIs" dxfId="32142" priority="2391" operator="equal">
      <formula>"OFF"</formula>
    </cfRule>
    <cfRule type="cellIs" dxfId="32141" priority="2392" operator="equal">
      <formula>"PTO"</formula>
    </cfRule>
  </conditionalFormatting>
  <conditionalFormatting sqref="Q47 V47:W47">
    <cfRule type="cellIs" dxfId="32140" priority="2389" operator="equal">
      <formula>"OFF"</formula>
    </cfRule>
    <cfRule type="cellIs" dxfId="32139" priority="2390" operator="equal">
      <formula>"PTO"</formula>
    </cfRule>
  </conditionalFormatting>
  <conditionalFormatting sqref="Q47 V47:W47">
    <cfRule type="cellIs" dxfId="32138" priority="2387" operator="equal">
      <formula>"OFF"</formula>
    </cfRule>
    <cfRule type="cellIs" dxfId="32137" priority="2388" operator="equal">
      <formula>"PTO"</formula>
    </cfRule>
  </conditionalFormatting>
  <conditionalFormatting sqref="Q47 V47:W47">
    <cfRule type="cellIs" dxfId="32136" priority="2385" operator="equal">
      <formula>"OFF"</formula>
    </cfRule>
    <cfRule type="cellIs" dxfId="32135" priority="2386" operator="equal">
      <formula>"PTO"</formula>
    </cfRule>
  </conditionalFormatting>
  <conditionalFormatting sqref="Q49 V49:W49">
    <cfRule type="cellIs" dxfId="32134" priority="2383" operator="equal">
      <formula>"OFF"</formula>
    </cfRule>
    <cfRule type="cellIs" dxfId="32133" priority="2384" operator="equal">
      <formula>"PTO"</formula>
    </cfRule>
  </conditionalFormatting>
  <conditionalFormatting sqref="Q54 V54:W54">
    <cfRule type="cellIs" dxfId="32132" priority="2381" operator="equal">
      <formula>"OFF"</formula>
    </cfRule>
    <cfRule type="cellIs" dxfId="32131" priority="2382" operator="equal">
      <formula>"PTO"</formula>
    </cfRule>
  </conditionalFormatting>
  <conditionalFormatting sqref="V54:W54 Q54">
    <cfRule type="cellIs" dxfId="32130" priority="2379" operator="equal">
      <formula>"OFF"</formula>
    </cfRule>
    <cfRule type="cellIs" dxfId="32129" priority="2380" operator="equal">
      <formula>"PTO"</formula>
    </cfRule>
  </conditionalFormatting>
  <conditionalFormatting sqref="V54">
    <cfRule type="cellIs" dxfId="32128" priority="2377" operator="equal">
      <formula>"OFF"</formula>
    </cfRule>
    <cfRule type="cellIs" dxfId="32127" priority="2378" operator="equal">
      <formula>"PTO"</formula>
    </cfRule>
  </conditionalFormatting>
  <conditionalFormatting sqref="V54">
    <cfRule type="cellIs" dxfId="32126" priority="2375" operator="equal">
      <formula>"OFF"</formula>
    </cfRule>
    <cfRule type="cellIs" dxfId="32125" priority="2376" operator="equal">
      <formula>"PTO"</formula>
    </cfRule>
  </conditionalFormatting>
  <conditionalFormatting sqref="Q54 V54:W54">
    <cfRule type="cellIs" dxfId="32124" priority="2373" operator="equal">
      <formula>"OFF"</formula>
    </cfRule>
    <cfRule type="cellIs" dxfId="32123" priority="2374" operator="equal">
      <formula>"PTO"</formula>
    </cfRule>
  </conditionalFormatting>
  <conditionalFormatting sqref="V54:W54 Q54">
    <cfRule type="cellIs" dxfId="32122" priority="2371" operator="equal">
      <formula>"OFF"</formula>
    </cfRule>
    <cfRule type="cellIs" dxfId="32121" priority="2372" operator="equal">
      <formula>"PTO"</formula>
    </cfRule>
  </conditionalFormatting>
  <conditionalFormatting sqref="V54">
    <cfRule type="cellIs" dxfId="32120" priority="2369" operator="equal">
      <formula>"OFF"</formula>
    </cfRule>
    <cfRule type="cellIs" dxfId="32119" priority="2370" operator="equal">
      <formula>"PTO"</formula>
    </cfRule>
  </conditionalFormatting>
  <conditionalFormatting sqref="V54">
    <cfRule type="cellIs" dxfId="32118" priority="2367" operator="equal">
      <formula>"OFF"</formula>
    </cfRule>
    <cfRule type="cellIs" dxfId="32117" priority="2368" operator="equal">
      <formula>"PTO"</formula>
    </cfRule>
  </conditionalFormatting>
  <conditionalFormatting sqref="V54">
    <cfRule type="cellIs" dxfId="32116" priority="2365" operator="equal">
      <formula>"OFF"</formula>
    </cfRule>
    <cfRule type="cellIs" dxfId="32115" priority="2366" operator="equal">
      <formula>"PTO"</formula>
    </cfRule>
  </conditionalFormatting>
  <conditionalFormatting sqref="V54">
    <cfRule type="cellIs" dxfId="32114" priority="2363" operator="equal">
      <formula>"OFF"</formula>
    </cfRule>
    <cfRule type="cellIs" dxfId="32113" priority="2364" operator="equal">
      <formula>"PTO"</formula>
    </cfRule>
  </conditionalFormatting>
  <conditionalFormatting sqref="V54">
    <cfRule type="cellIs" dxfId="32112" priority="2361" operator="equal">
      <formula>"OFF"</formula>
    </cfRule>
    <cfRule type="cellIs" dxfId="32111" priority="2362" operator="equal">
      <formula>"PTO"</formula>
    </cfRule>
  </conditionalFormatting>
  <conditionalFormatting sqref="V54">
    <cfRule type="cellIs" dxfId="32110" priority="2359" operator="equal">
      <formula>"OFF"</formula>
    </cfRule>
    <cfRule type="cellIs" dxfId="32109" priority="2360" operator="equal">
      <formula>"PTO"</formula>
    </cfRule>
  </conditionalFormatting>
  <conditionalFormatting sqref="Q54 V54:W54">
    <cfRule type="cellIs" dxfId="32108" priority="2357" operator="equal">
      <formula>"OFF"</formula>
    </cfRule>
    <cfRule type="cellIs" dxfId="32107" priority="2358" operator="equal">
      <formula>"PTO"</formula>
    </cfRule>
  </conditionalFormatting>
  <conditionalFormatting sqref="Q54 V54:W54">
    <cfRule type="cellIs" dxfId="32106" priority="2355" operator="equal">
      <formula>"OFF"</formula>
    </cfRule>
    <cfRule type="cellIs" dxfId="32105" priority="2356" operator="equal">
      <formula>"PTO"</formula>
    </cfRule>
  </conditionalFormatting>
  <conditionalFormatting sqref="Q54 V54:W54">
    <cfRule type="cellIs" dxfId="32104" priority="2353" operator="equal">
      <formula>"OFF"</formula>
    </cfRule>
    <cfRule type="cellIs" dxfId="32103" priority="2354" operator="equal">
      <formula>"PTO"</formula>
    </cfRule>
  </conditionalFormatting>
  <conditionalFormatting sqref="Q54 V54:W54">
    <cfRule type="cellIs" dxfId="32102" priority="2351" operator="equal">
      <formula>"OFF"</formula>
    </cfRule>
    <cfRule type="cellIs" dxfId="32101" priority="2352" operator="equal">
      <formula>"PTO"</formula>
    </cfRule>
  </conditionalFormatting>
  <conditionalFormatting sqref="Q54 V54:W54">
    <cfRule type="cellIs" dxfId="32100" priority="2349" operator="equal">
      <formula>"OFF"</formula>
    </cfRule>
    <cfRule type="cellIs" dxfId="32099" priority="2350" operator="equal">
      <formula>"PTO"</formula>
    </cfRule>
  </conditionalFormatting>
  <conditionalFormatting sqref="V54:W54 Q54">
    <cfRule type="cellIs" dxfId="32098" priority="2347" operator="equal">
      <formula>"OFF"</formula>
    </cfRule>
    <cfRule type="cellIs" dxfId="32097" priority="2348" operator="equal">
      <formula>"PTO"</formula>
    </cfRule>
  </conditionalFormatting>
  <conditionalFormatting sqref="Q54 V54:W54">
    <cfRule type="cellIs" dxfId="32096" priority="2345" operator="equal">
      <formula>"OFF"</formula>
    </cfRule>
    <cfRule type="cellIs" dxfId="32095" priority="2346" operator="equal">
      <formula>"PTO"</formula>
    </cfRule>
  </conditionalFormatting>
  <conditionalFormatting sqref="Q54 W54">
    <cfRule type="cellIs" dxfId="32094" priority="2343" operator="equal">
      <formula>"OFF"</formula>
    </cfRule>
    <cfRule type="cellIs" dxfId="32093" priority="2344" operator="equal">
      <formula>"PTO"</formula>
    </cfRule>
  </conditionalFormatting>
  <conditionalFormatting sqref="V54">
    <cfRule type="cellIs" dxfId="32092" priority="2341" operator="equal">
      <formula>"OFF"</formula>
    </cfRule>
    <cfRule type="cellIs" dxfId="32091" priority="2342" operator="equal">
      <formula>"PTO"</formula>
    </cfRule>
  </conditionalFormatting>
  <conditionalFormatting sqref="V54">
    <cfRule type="cellIs" dxfId="32090" priority="2339" operator="equal">
      <formula>"OFF"</formula>
    </cfRule>
    <cfRule type="cellIs" dxfId="32089" priority="2340" operator="equal">
      <formula>"PTO"</formula>
    </cfRule>
  </conditionalFormatting>
  <conditionalFormatting sqref="Q54 W54">
    <cfRule type="cellIs" dxfId="32088" priority="2337" operator="equal">
      <formula>"OFF"</formula>
    </cfRule>
    <cfRule type="cellIs" dxfId="32087" priority="2338" operator="equal">
      <formula>"PTO"</formula>
    </cfRule>
  </conditionalFormatting>
  <conditionalFormatting sqref="V54">
    <cfRule type="cellIs" dxfId="32086" priority="2335" operator="equal">
      <formula>"OFF"</formula>
    </cfRule>
    <cfRule type="cellIs" dxfId="32085" priority="2336" operator="equal">
      <formula>"PTO"</formula>
    </cfRule>
  </conditionalFormatting>
  <conditionalFormatting sqref="Q54 V54:W54">
    <cfRule type="cellIs" dxfId="32084" priority="2333" operator="equal">
      <formula>"OFF"</formula>
    </cfRule>
    <cfRule type="cellIs" dxfId="32083" priority="2334" operator="equal">
      <formula>"PTO"</formula>
    </cfRule>
  </conditionalFormatting>
  <conditionalFormatting sqref="Q54 V54:W54">
    <cfRule type="cellIs" dxfId="32082" priority="2331" operator="equal">
      <formula>"OFF"</formula>
    </cfRule>
    <cfRule type="cellIs" dxfId="32081" priority="2332" operator="equal">
      <formula>"PTO"</formula>
    </cfRule>
  </conditionalFormatting>
  <conditionalFormatting sqref="Q54 V54:W54">
    <cfRule type="cellIs" dxfId="32080" priority="2329" operator="equal">
      <formula>"OFF"</formula>
    </cfRule>
    <cfRule type="cellIs" dxfId="32079" priority="2330" operator="equal">
      <formula>"PTO"</formula>
    </cfRule>
  </conditionalFormatting>
  <conditionalFormatting sqref="Q54 V54:W54">
    <cfRule type="cellIs" dxfId="32078" priority="2327" operator="equal">
      <formula>"OFF"</formula>
    </cfRule>
    <cfRule type="cellIs" dxfId="32077" priority="2328" operator="equal">
      <formula>"PTO"</formula>
    </cfRule>
  </conditionalFormatting>
  <conditionalFormatting sqref="Q54 V54:W54">
    <cfRule type="cellIs" dxfId="32076" priority="2325" operator="equal">
      <formula>"OFF"</formula>
    </cfRule>
    <cfRule type="cellIs" dxfId="32075" priority="2326" operator="equal">
      <formula>"PTO"</formula>
    </cfRule>
  </conditionalFormatting>
  <conditionalFormatting sqref="Q54 V54:W54">
    <cfRule type="cellIs" dxfId="32074" priority="2323" operator="equal">
      <formula>"OFF"</formula>
    </cfRule>
    <cfRule type="cellIs" dxfId="32073" priority="2324" operator="equal">
      <formula>"PTO"</formula>
    </cfRule>
  </conditionalFormatting>
  <conditionalFormatting sqref="Q54 V54:W54">
    <cfRule type="cellIs" dxfId="32072" priority="2321" operator="equal">
      <formula>"OFF"</formula>
    </cfRule>
    <cfRule type="cellIs" dxfId="32071" priority="2322" operator="equal">
      <formula>"PTO"</formula>
    </cfRule>
  </conditionalFormatting>
  <conditionalFormatting sqref="Q54 V54:W54">
    <cfRule type="cellIs" dxfId="32070" priority="2319" operator="equal">
      <formula>"OFF"</formula>
    </cfRule>
    <cfRule type="cellIs" dxfId="32069" priority="2320" operator="equal">
      <formula>"PTO"</formula>
    </cfRule>
  </conditionalFormatting>
  <conditionalFormatting sqref="Q54 V54:W54">
    <cfRule type="cellIs" dxfId="32068" priority="2317" operator="equal">
      <formula>"OFF"</formula>
    </cfRule>
    <cfRule type="cellIs" dxfId="32067" priority="2318" operator="equal">
      <formula>"PTO"</formula>
    </cfRule>
  </conditionalFormatting>
  <conditionalFormatting sqref="Q54 V54:W54">
    <cfRule type="cellIs" dxfId="32066" priority="2315" operator="equal">
      <formula>"OFF"</formula>
    </cfRule>
    <cfRule type="cellIs" dxfId="32065" priority="2316" operator="equal">
      <formula>"PTO"</formula>
    </cfRule>
  </conditionalFormatting>
  <conditionalFormatting sqref="Q54 V54:W54">
    <cfRule type="cellIs" dxfId="32064" priority="2313" operator="equal">
      <formula>"OFF"</formula>
    </cfRule>
    <cfRule type="cellIs" dxfId="32063" priority="2314" operator="equal">
      <formula>"PTO"</formula>
    </cfRule>
  </conditionalFormatting>
  <conditionalFormatting sqref="V54">
    <cfRule type="cellIs" dxfId="32062" priority="2311" operator="equal">
      <formula>"OFF"</formula>
    </cfRule>
    <cfRule type="cellIs" dxfId="32061" priority="2312" operator="equal">
      <formula>"PTO"</formula>
    </cfRule>
  </conditionalFormatting>
  <conditionalFormatting sqref="V54">
    <cfRule type="cellIs" dxfId="32060" priority="2309" operator="equal">
      <formula>"OFF"</formula>
    </cfRule>
    <cfRule type="cellIs" dxfId="32059" priority="2310" operator="equal">
      <formula>"PTO"</formula>
    </cfRule>
  </conditionalFormatting>
  <conditionalFormatting sqref="Q54 V54:W54">
    <cfRule type="cellIs" dxfId="32058" priority="2307" operator="equal">
      <formula>"OFF"</formula>
    </cfRule>
    <cfRule type="cellIs" dxfId="32057" priority="2308" operator="equal">
      <formula>"PTO"</formula>
    </cfRule>
  </conditionalFormatting>
  <conditionalFormatting sqref="Q54 V54:W54">
    <cfRule type="cellIs" dxfId="32056" priority="2305" operator="equal">
      <formula>"OFF"</formula>
    </cfRule>
    <cfRule type="cellIs" dxfId="32055" priority="2306" operator="equal">
      <formula>"PTO"</formula>
    </cfRule>
  </conditionalFormatting>
  <conditionalFormatting sqref="V54">
    <cfRule type="cellIs" dxfId="32054" priority="2303" operator="equal">
      <formula>"OFF"</formula>
    </cfRule>
    <cfRule type="cellIs" dxfId="32053" priority="2304" operator="equal">
      <formula>"PTO"</formula>
    </cfRule>
  </conditionalFormatting>
  <conditionalFormatting sqref="V54">
    <cfRule type="cellIs" dxfId="32052" priority="2301" operator="equal">
      <formula>"OFF"</formula>
    </cfRule>
    <cfRule type="cellIs" dxfId="32051" priority="2302" operator="equal">
      <formula>"PTO"</formula>
    </cfRule>
  </conditionalFormatting>
  <conditionalFormatting sqref="V54">
    <cfRule type="cellIs" dxfId="32050" priority="2299" operator="equal">
      <formula>"OFF"</formula>
    </cfRule>
    <cfRule type="cellIs" dxfId="32049" priority="2300" operator="equal">
      <formula>"PTO"</formula>
    </cfRule>
  </conditionalFormatting>
  <conditionalFormatting sqref="V54">
    <cfRule type="cellIs" dxfId="32048" priority="2297" operator="equal">
      <formula>"OFF"</formula>
    </cfRule>
    <cfRule type="cellIs" dxfId="32047" priority="2298" operator="equal">
      <formula>"PTO"</formula>
    </cfRule>
  </conditionalFormatting>
  <conditionalFormatting sqref="V54">
    <cfRule type="cellIs" dxfId="32046" priority="2295" operator="equal">
      <formula>"OFF"</formula>
    </cfRule>
    <cfRule type="cellIs" dxfId="32045" priority="2296" operator="equal">
      <formula>"PTO"</formula>
    </cfRule>
  </conditionalFormatting>
  <conditionalFormatting sqref="V54">
    <cfRule type="cellIs" dxfId="32044" priority="2293" operator="equal">
      <formula>"OFF"</formula>
    </cfRule>
    <cfRule type="cellIs" dxfId="32043" priority="2294" operator="equal">
      <formula>"PTO"</formula>
    </cfRule>
  </conditionalFormatting>
  <conditionalFormatting sqref="Q54 W54">
    <cfRule type="cellIs" dxfId="32042" priority="2291" operator="equal">
      <formula>"OFF"</formula>
    </cfRule>
    <cfRule type="cellIs" dxfId="32041" priority="2292" operator="equal">
      <formula>"PTO"</formula>
    </cfRule>
  </conditionalFormatting>
  <conditionalFormatting sqref="V54">
    <cfRule type="cellIs" dxfId="32040" priority="2289" operator="equal">
      <formula>"OFF"</formula>
    </cfRule>
    <cfRule type="cellIs" dxfId="32039" priority="2290" operator="equal">
      <formula>"PTO"</formula>
    </cfRule>
  </conditionalFormatting>
  <conditionalFormatting sqref="V54">
    <cfRule type="cellIs" dxfId="32038" priority="2287" operator="equal">
      <formula>"OFF"</formula>
    </cfRule>
    <cfRule type="cellIs" dxfId="32037" priority="2288" operator="equal">
      <formula>"PTO"</formula>
    </cfRule>
  </conditionalFormatting>
  <conditionalFormatting sqref="Q54 W54">
    <cfRule type="cellIs" dxfId="32036" priority="2285" operator="equal">
      <formula>"OFF"</formula>
    </cfRule>
    <cfRule type="cellIs" dxfId="32035" priority="2286" operator="equal">
      <formula>"PTO"</formula>
    </cfRule>
  </conditionalFormatting>
  <conditionalFormatting sqref="V54">
    <cfRule type="cellIs" dxfId="32034" priority="2283" operator="equal">
      <formula>"OFF"</formula>
    </cfRule>
    <cfRule type="cellIs" dxfId="32033" priority="2284" operator="equal">
      <formula>"PTO"</formula>
    </cfRule>
  </conditionalFormatting>
  <conditionalFormatting sqref="V54">
    <cfRule type="cellIs" dxfId="32032" priority="2281" operator="equal">
      <formula>"OFF"</formula>
    </cfRule>
    <cfRule type="cellIs" dxfId="32031" priority="2282" operator="equal">
      <formula>"PTO"</formula>
    </cfRule>
  </conditionalFormatting>
  <conditionalFormatting sqref="V54">
    <cfRule type="cellIs" dxfId="32030" priority="2279" operator="equal">
      <formula>"OFF"</formula>
    </cfRule>
    <cfRule type="cellIs" dxfId="32029" priority="2280" operator="equal">
      <formula>"PTO"</formula>
    </cfRule>
  </conditionalFormatting>
  <conditionalFormatting sqref="V54">
    <cfRule type="cellIs" dxfId="32028" priority="2277" operator="equal">
      <formula>"OFF"</formula>
    </cfRule>
    <cfRule type="cellIs" dxfId="32027" priority="2278" operator="equal">
      <formula>"PTO"</formula>
    </cfRule>
  </conditionalFormatting>
  <conditionalFormatting sqref="V54">
    <cfRule type="cellIs" dxfId="32026" priority="2275" operator="equal">
      <formula>"OFF"</formula>
    </cfRule>
    <cfRule type="cellIs" dxfId="32025" priority="2276" operator="equal">
      <formula>"PTO"</formula>
    </cfRule>
  </conditionalFormatting>
  <conditionalFormatting sqref="V54">
    <cfRule type="cellIs" dxfId="32024" priority="2273" operator="equal">
      <formula>"OFF"</formula>
    </cfRule>
    <cfRule type="cellIs" dxfId="32023" priority="2274" operator="equal">
      <formula>"PTO"</formula>
    </cfRule>
  </conditionalFormatting>
  <conditionalFormatting sqref="V54">
    <cfRule type="cellIs" dxfId="32022" priority="2271" operator="equal">
      <formula>"OFF"</formula>
    </cfRule>
    <cfRule type="cellIs" dxfId="32021" priority="2272" operator="equal">
      <formula>"PTO"</formula>
    </cfRule>
  </conditionalFormatting>
  <conditionalFormatting sqref="V54">
    <cfRule type="cellIs" dxfId="32020" priority="2269" operator="equal">
      <formula>"OFF"</formula>
    </cfRule>
    <cfRule type="cellIs" dxfId="32019" priority="2270" operator="equal">
      <formula>"PTO"</formula>
    </cfRule>
  </conditionalFormatting>
  <conditionalFormatting sqref="V54">
    <cfRule type="cellIs" dxfId="32018" priority="2267" operator="equal">
      <formula>"OFF"</formula>
    </cfRule>
    <cfRule type="cellIs" dxfId="32017" priority="2268" operator="equal">
      <formula>"PTO"</formula>
    </cfRule>
  </conditionalFormatting>
  <conditionalFormatting sqref="V54">
    <cfRule type="cellIs" dxfId="32016" priority="2265" operator="equal">
      <formula>"OFF"</formula>
    </cfRule>
    <cfRule type="cellIs" dxfId="32015" priority="2266" operator="equal">
      <formula>"PTO"</formula>
    </cfRule>
  </conditionalFormatting>
  <conditionalFormatting sqref="R45:R50">
    <cfRule type="cellIs" dxfId="32014" priority="2263" operator="equal">
      <formula>"OFF"</formula>
    </cfRule>
    <cfRule type="cellIs" dxfId="32013" priority="2264" operator="equal">
      <formula>"PTO"</formula>
    </cfRule>
  </conditionalFormatting>
  <conditionalFormatting sqref="R48">
    <cfRule type="cellIs" dxfId="32012" priority="2261" operator="equal">
      <formula>"OFF"</formula>
    </cfRule>
    <cfRule type="cellIs" dxfId="32011" priority="2262" operator="equal">
      <formula>"PTO"</formula>
    </cfRule>
  </conditionalFormatting>
  <conditionalFormatting sqref="R48">
    <cfRule type="cellIs" dxfId="32010" priority="2259" operator="equal">
      <formula>"OFF"</formula>
    </cfRule>
    <cfRule type="cellIs" dxfId="32009" priority="2260" operator="equal">
      <formula>"PTO"</formula>
    </cfRule>
  </conditionalFormatting>
  <conditionalFormatting sqref="R48">
    <cfRule type="cellIs" dxfId="32008" priority="2257" operator="equal">
      <formula>"OFF"</formula>
    </cfRule>
    <cfRule type="cellIs" dxfId="32007" priority="2258" operator="equal">
      <formula>"PTO"</formula>
    </cfRule>
  </conditionalFormatting>
  <conditionalFormatting sqref="R48">
    <cfRule type="cellIs" dxfId="32006" priority="2255" operator="equal">
      <formula>"OFF"</formula>
    </cfRule>
    <cfRule type="cellIs" dxfId="32005" priority="2256" operator="equal">
      <formula>"PTO"</formula>
    </cfRule>
  </conditionalFormatting>
  <conditionalFormatting sqref="R45">
    <cfRule type="cellIs" dxfId="32004" priority="2253" operator="equal">
      <formula>"OFF"</formula>
    </cfRule>
    <cfRule type="cellIs" dxfId="32003" priority="2254" operator="equal">
      <formula>"PTO"</formula>
    </cfRule>
  </conditionalFormatting>
  <conditionalFormatting sqref="R45">
    <cfRule type="cellIs" dxfId="32002" priority="2251" operator="equal">
      <formula>"OFF"</formula>
    </cfRule>
    <cfRule type="cellIs" dxfId="32001" priority="2252" operator="equal">
      <formula>"PTO"</formula>
    </cfRule>
  </conditionalFormatting>
  <conditionalFormatting sqref="R48">
    <cfRule type="cellIs" dxfId="32000" priority="2249" operator="equal">
      <formula>"OFF"</formula>
    </cfRule>
    <cfRule type="cellIs" dxfId="31999" priority="2250" operator="equal">
      <formula>"PTO"</formula>
    </cfRule>
  </conditionalFormatting>
  <conditionalFormatting sqref="R45">
    <cfRule type="cellIs" dxfId="31998" priority="2247" operator="equal">
      <formula>"OFF"</formula>
    </cfRule>
    <cfRule type="cellIs" dxfId="31997" priority="2248" operator="equal">
      <formula>"PTO"</formula>
    </cfRule>
  </conditionalFormatting>
  <conditionalFormatting sqref="R50">
    <cfRule type="cellIs" dxfId="31996" priority="2245" operator="equal">
      <formula>"OFF"</formula>
    </cfRule>
    <cfRule type="cellIs" dxfId="31995" priority="2246" operator="equal">
      <formula>"PTO"</formula>
    </cfRule>
  </conditionalFormatting>
  <conditionalFormatting sqref="R48">
    <cfRule type="cellIs" dxfId="31994" priority="2243" operator="equal">
      <formula>"OFF"</formula>
    </cfRule>
    <cfRule type="cellIs" dxfId="31993" priority="2244" operator="equal">
      <formula>"PTO"</formula>
    </cfRule>
  </conditionalFormatting>
  <conditionalFormatting sqref="R48">
    <cfRule type="cellIs" dxfId="31992" priority="2241" operator="equal">
      <formula>"OFF"</formula>
    </cfRule>
    <cfRule type="cellIs" dxfId="31991" priority="2242" operator="equal">
      <formula>"PTO"</formula>
    </cfRule>
  </conditionalFormatting>
  <conditionalFormatting sqref="R48">
    <cfRule type="cellIs" dxfId="31990" priority="2239" operator="equal">
      <formula>"OFF"</formula>
    </cfRule>
    <cfRule type="cellIs" dxfId="31989" priority="2240" operator="equal">
      <formula>"PTO"</formula>
    </cfRule>
  </conditionalFormatting>
  <conditionalFormatting sqref="R48">
    <cfRule type="cellIs" dxfId="31988" priority="2237" operator="equal">
      <formula>"OFF"</formula>
    </cfRule>
    <cfRule type="cellIs" dxfId="31987" priority="2238" operator="equal">
      <formula>"PTO"</formula>
    </cfRule>
  </conditionalFormatting>
  <conditionalFormatting sqref="R48">
    <cfRule type="cellIs" dxfId="31986" priority="2235" operator="equal">
      <formula>"OFF"</formula>
    </cfRule>
    <cfRule type="cellIs" dxfId="31985" priority="2236" operator="equal">
      <formula>"PTO"</formula>
    </cfRule>
  </conditionalFormatting>
  <conditionalFormatting sqref="R48">
    <cfRule type="cellIs" dxfId="31984" priority="2233" operator="equal">
      <formula>"OFF"</formula>
    </cfRule>
    <cfRule type="cellIs" dxfId="31983" priority="2234" operator="equal">
      <formula>"PTO"</formula>
    </cfRule>
  </conditionalFormatting>
  <conditionalFormatting sqref="R48">
    <cfRule type="cellIs" dxfId="31982" priority="2231" operator="equal">
      <formula>"OFF"</formula>
    </cfRule>
    <cfRule type="cellIs" dxfId="31981" priority="2232" operator="equal">
      <formula>"PTO"</formula>
    </cfRule>
  </conditionalFormatting>
  <conditionalFormatting sqref="R48">
    <cfRule type="cellIs" dxfId="31980" priority="2229" operator="equal">
      <formula>"OFF"</formula>
    </cfRule>
    <cfRule type="cellIs" dxfId="31979" priority="2230" operator="equal">
      <formula>"PTO"</formula>
    </cfRule>
  </conditionalFormatting>
  <conditionalFormatting sqref="R48">
    <cfRule type="cellIs" dxfId="31978" priority="2227" operator="equal">
      <formula>"OFF"</formula>
    </cfRule>
    <cfRule type="cellIs" dxfId="31977" priority="2228" operator="equal">
      <formula>"PTO"</formula>
    </cfRule>
  </conditionalFormatting>
  <conditionalFormatting sqref="R48">
    <cfRule type="cellIs" dxfId="31976" priority="2225" operator="equal">
      <formula>"OFF"</formula>
    </cfRule>
    <cfRule type="cellIs" dxfId="31975" priority="2226" operator="equal">
      <formula>"PTO"</formula>
    </cfRule>
  </conditionalFormatting>
  <conditionalFormatting sqref="R48">
    <cfRule type="cellIs" dxfId="31974" priority="2223" operator="equal">
      <formula>"OFF"</formula>
    </cfRule>
    <cfRule type="cellIs" dxfId="31973" priority="2224" operator="equal">
      <formula>"PTO"</formula>
    </cfRule>
  </conditionalFormatting>
  <conditionalFormatting sqref="R48">
    <cfRule type="cellIs" dxfId="31972" priority="2221" operator="equal">
      <formula>"OFF"</formula>
    </cfRule>
    <cfRule type="cellIs" dxfId="31971" priority="2222" operator="equal">
      <formula>"PTO"</formula>
    </cfRule>
  </conditionalFormatting>
  <conditionalFormatting sqref="R48">
    <cfRule type="cellIs" dxfId="31970" priority="2219" operator="equal">
      <formula>"OFF"</formula>
    </cfRule>
    <cfRule type="cellIs" dxfId="31969" priority="2220" operator="equal">
      <formula>"PTO"</formula>
    </cfRule>
  </conditionalFormatting>
  <conditionalFormatting sqref="R48">
    <cfRule type="cellIs" dxfId="31968" priority="2217" operator="equal">
      <formula>"OFF"</formula>
    </cfRule>
    <cfRule type="cellIs" dxfId="31967" priority="2218" operator="equal">
      <formula>"PTO"</formula>
    </cfRule>
  </conditionalFormatting>
  <conditionalFormatting sqref="R48">
    <cfRule type="cellIs" dxfId="31966" priority="2215" operator="equal">
      <formula>"OFF"</formula>
    </cfRule>
    <cfRule type="cellIs" dxfId="31965" priority="2216" operator="equal">
      <formula>"PTO"</formula>
    </cfRule>
  </conditionalFormatting>
  <conditionalFormatting sqref="R48">
    <cfRule type="cellIs" dxfId="31964" priority="2213" operator="equal">
      <formula>"OFF"</formula>
    </cfRule>
    <cfRule type="cellIs" dxfId="31963" priority="2214" operator="equal">
      <formula>"PTO"</formula>
    </cfRule>
  </conditionalFormatting>
  <conditionalFormatting sqref="R48">
    <cfRule type="cellIs" dxfId="31962" priority="2211" operator="equal">
      <formula>"OFF"</formula>
    </cfRule>
    <cfRule type="cellIs" dxfId="31961" priority="2212" operator="equal">
      <formula>"PTO"</formula>
    </cfRule>
  </conditionalFormatting>
  <conditionalFormatting sqref="R48">
    <cfRule type="cellIs" dxfId="31960" priority="2209" operator="equal">
      <formula>"OFF"</formula>
    </cfRule>
    <cfRule type="cellIs" dxfId="31959" priority="2210" operator="equal">
      <formula>"PTO"</formula>
    </cfRule>
  </conditionalFormatting>
  <conditionalFormatting sqref="R48">
    <cfRule type="cellIs" dxfId="31958" priority="2207" operator="equal">
      <formula>"OFF"</formula>
    </cfRule>
    <cfRule type="cellIs" dxfId="31957" priority="2208" operator="equal">
      <formula>"PTO"</formula>
    </cfRule>
  </conditionalFormatting>
  <conditionalFormatting sqref="R48">
    <cfRule type="cellIs" dxfId="31956" priority="2205" operator="equal">
      <formula>"OFF"</formula>
    </cfRule>
    <cfRule type="cellIs" dxfId="31955" priority="2206" operator="equal">
      <formula>"PTO"</formula>
    </cfRule>
  </conditionalFormatting>
  <conditionalFormatting sqref="R43">
    <cfRule type="cellIs" dxfId="31954" priority="2203" operator="equal">
      <formula>"OFF"</formula>
    </cfRule>
    <cfRule type="cellIs" dxfId="31953" priority="2204" operator="equal">
      <formula>"PTO"</formula>
    </cfRule>
  </conditionalFormatting>
  <conditionalFormatting sqref="R43">
    <cfRule type="cellIs" dxfId="31952" priority="2201" operator="equal">
      <formula>"OFF"</formula>
    </cfRule>
    <cfRule type="cellIs" dxfId="31951" priority="2202" operator="equal">
      <formula>"PTO"</formula>
    </cfRule>
  </conditionalFormatting>
  <conditionalFormatting sqref="R43">
    <cfRule type="cellIs" dxfId="31950" priority="2199" operator="equal">
      <formula>"OFF"</formula>
    </cfRule>
    <cfRule type="cellIs" dxfId="31949" priority="2200" operator="equal">
      <formula>"PTO"</formula>
    </cfRule>
  </conditionalFormatting>
  <conditionalFormatting sqref="R43">
    <cfRule type="cellIs" dxfId="31948" priority="2197" operator="equal">
      <formula>"OFF"</formula>
    </cfRule>
    <cfRule type="cellIs" dxfId="31947" priority="2198" operator="equal">
      <formula>"PTO"</formula>
    </cfRule>
  </conditionalFormatting>
  <conditionalFormatting sqref="R49">
    <cfRule type="cellIs" dxfId="31946" priority="2195" operator="equal">
      <formula>"OFF"</formula>
    </cfRule>
    <cfRule type="cellIs" dxfId="31945" priority="2196" operator="equal">
      <formula>"PTO"</formula>
    </cfRule>
  </conditionalFormatting>
  <conditionalFormatting sqref="R49">
    <cfRule type="cellIs" dxfId="31944" priority="2193" operator="equal">
      <formula>"OFF"</formula>
    </cfRule>
    <cfRule type="cellIs" dxfId="31943" priority="2194" operator="equal">
      <formula>"PTO"</formula>
    </cfRule>
  </conditionalFormatting>
  <conditionalFormatting sqref="R49">
    <cfRule type="cellIs" dxfId="31942" priority="2191" operator="equal">
      <formula>"OFF"</formula>
    </cfRule>
    <cfRule type="cellIs" dxfId="31941" priority="2192" operator="equal">
      <formula>"PTO"</formula>
    </cfRule>
  </conditionalFormatting>
  <conditionalFormatting sqref="R49">
    <cfRule type="cellIs" dxfId="31940" priority="2189" operator="equal">
      <formula>"OFF"</formula>
    </cfRule>
    <cfRule type="cellIs" dxfId="31939" priority="2190" operator="equal">
      <formula>"PTO"</formula>
    </cfRule>
  </conditionalFormatting>
  <conditionalFormatting sqref="R49">
    <cfRule type="cellIs" dxfId="31938" priority="2187" operator="equal">
      <formula>"OFF"</formula>
    </cfRule>
    <cfRule type="cellIs" dxfId="31937" priority="2188" operator="equal">
      <formula>"PTO"</formula>
    </cfRule>
  </conditionalFormatting>
  <conditionalFormatting sqref="R49">
    <cfRule type="cellIs" dxfId="31936" priority="2185" operator="equal">
      <formula>"OFF"</formula>
    </cfRule>
    <cfRule type="cellIs" dxfId="31935" priority="2186" operator="equal">
      <formula>"PTO"</formula>
    </cfRule>
  </conditionalFormatting>
  <conditionalFormatting sqref="R49">
    <cfRule type="cellIs" dxfId="31934" priority="2183" operator="equal">
      <formula>"OFF"</formula>
    </cfRule>
    <cfRule type="cellIs" dxfId="31933" priority="2184" operator="equal">
      <formula>"PTO"</formula>
    </cfRule>
  </conditionalFormatting>
  <conditionalFormatting sqref="R49">
    <cfRule type="cellIs" dxfId="31932" priority="2181" operator="equal">
      <formula>"OFF"</formula>
    </cfRule>
    <cfRule type="cellIs" dxfId="31931" priority="2182" operator="equal">
      <formula>"PTO"</formula>
    </cfRule>
  </conditionalFormatting>
  <conditionalFormatting sqref="R49">
    <cfRule type="cellIs" dxfId="31930" priority="2179" operator="equal">
      <formula>"OFF"</formula>
    </cfRule>
    <cfRule type="cellIs" dxfId="31929" priority="2180" operator="equal">
      <formula>"PTO"</formula>
    </cfRule>
  </conditionalFormatting>
  <conditionalFormatting sqref="R47">
    <cfRule type="cellIs" dxfId="31928" priority="2177" operator="equal">
      <formula>"OFF"</formula>
    </cfRule>
    <cfRule type="cellIs" dxfId="31927" priority="2178" operator="equal">
      <formula>"PTO"</formula>
    </cfRule>
  </conditionalFormatting>
  <conditionalFormatting sqref="R47">
    <cfRule type="cellIs" dxfId="31926" priority="2175" operator="equal">
      <formula>"OFF"</formula>
    </cfRule>
    <cfRule type="cellIs" dxfId="31925" priority="2176" operator="equal">
      <formula>"PTO"</formula>
    </cfRule>
  </conditionalFormatting>
  <conditionalFormatting sqref="R45">
    <cfRule type="cellIs" dxfId="31924" priority="2173" operator="equal">
      <formula>"OFF"</formula>
    </cfRule>
    <cfRule type="cellIs" dxfId="31923" priority="2174" operator="equal">
      <formula>"PTO"</formula>
    </cfRule>
  </conditionalFormatting>
  <conditionalFormatting sqref="R45">
    <cfRule type="cellIs" dxfId="31922" priority="2171" operator="equal">
      <formula>"OFF"</formula>
    </cfRule>
    <cfRule type="cellIs" dxfId="31921" priority="2172" operator="equal">
      <formula>"PTO"</formula>
    </cfRule>
  </conditionalFormatting>
  <conditionalFormatting sqref="R45">
    <cfRule type="cellIs" dxfId="31920" priority="2169" operator="equal">
      <formula>"OFF"</formula>
    </cfRule>
    <cfRule type="cellIs" dxfId="31919" priority="2170" operator="equal">
      <formula>"PTO"</formula>
    </cfRule>
  </conditionalFormatting>
  <conditionalFormatting sqref="R46">
    <cfRule type="cellIs" dxfId="31918" priority="2167" operator="equal">
      <formula>"OFF"</formula>
    </cfRule>
    <cfRule type="cellIs" dxfId="31917" priority="2168" operator="equal">
      <formula>"PTO"</formula>
    </cfRule>
  </conditionalFormatting>
  <conditionalFormatting sqref="R46">
    <cfRule type="cellIs" dxfId="31916" priority="2165" operator="equal">
      <formula>"OFF"</formula>
    </cfRule>
    <cfRule type="cellIs" dxfId="31915" priority="2166" operator="equal">
      <formula>"PTO"</formula>
    </cfRule>
  </conditionalFormatting>
  <conditionalFormatting sqref="R46">
    <cfRule type="cellIs" dxfId="31914" priority="2163" operator="equal">
      <formula>"OFF"</formula>
    </cfRule>
    <cfRule type="cellIs" dxfId="31913" priority="2164" operator="equal">
      <formula>"PTO"</formula>
    </cfRule>
  </conditionalFormatting>
  <conditionalFormatting sqref="R46">
    <cfRule type="cellIs" dxfId="31912" priority="2161" operator="equal">
      <formula>"OFF"</formula>
    </cfRule>
    <cfRule type="cellIs" dxfId="31911" priority="2162" operator="equal">
      <formula>"PTO"</formula>
    </cfRule>
  </conditionalFormatting>
  <conditionalFormatting sqref="R46">
    <cfRule type="cellIs" dxfId="31910" priority="2159" operator="equal">
      <formula>"OFF"</formula>
    </cfRule>
    <cfRule type="cellIs" dxfId="31909" priority="2160" operator="equal">
      <formula>"PTO"</formula>
    </cfRule>
  </conditionalFormatting>
  <conditionalFormatting sqref="R46">
    <cfRule type="cellIs" dxfId="31908" priority="2157" operator="equal">
      <formula>"OFF"</formula>
    </cfRule>
    <cfRule type="cellIs" dxfId="31907" priority="2158" operator="equal">
      <formula>"PTO"</formula>
    </cfRule>
  </conditionalFormatting>
  <conditionalFormatting sqref="R46">
    <cfRule type="cellIs" dxfId="31906" priority="2155" operator="equal">
      <formula>"OFF"</formula>
    </cfRule>
    <cfRule type="cellIs" dxfId="31905" priority="2156" operator="equal">
      <formula>"PTO"</formula>
    </cfRule>
  </conditionalFormatting>
  <conditionalFormatting sqref="R46">
    <cfRule type="cellIs" dxfId="31904" priority="2153" operator="equal">
      <formula>"OFF"</formula>
    </cfRule>
    <cfRule type="cellIs" dxfId="31903" priority="2154" operator="equal">
      <formula>"PTO"</formula>
    </cfRule>
  </conditionalFormatting>
  <conditionalFormatting sqref="R46">
    <cfRule type="cellIs" dxfId="31902" priority="2151" operator="equal">
      <formula>"OFF"</formula>
    </cfRule>
    <cfRule type="cellIs" dxfId="31901" priority="2152" operator="equal">
      <formula>"PTO"</formula>
    </cfRule>
  </conditionalFormatting>
  <conditionalFormatting sqref="R46">
    <cfRule type="cellIs" dxfId="31900" priority="2149" operator="equal">
      <formula>"OFF"</formula>
    </cfRule>
    <cfRule type="cellIs" dxfId="31899" priority="2150" operator="equal">
      <formula>"PTO"</formula>
    </cfRule>
  </conditionalFormatting>
  <conditionalFormatting sqref="R46">
    <cfRule type="cellIs" dxfId="31898" priority="2147" operator="equal">
      <formula>"OFF"</formula>
    </cfRule>
    <cfRule type="cellIs" dxfId="31897" priority="2148" operator="equal">
      <formula>"PTO"</formula>
    </cfRule>
  </conditionalFormatting>
  <conditionalFormatting sqref="R46">
    <cfRule type="cellIs" dxfId="31896" priority="2145" operator="equal">
      <formula>"OFF"</formula>
    </cfRule>
    <cfRule type="cellIs" dxfId="31895" priority="2146" operator="equal">
      <formula>"PTO"</formula>
    </cfRule>
  </conditionalFormatting>
  <conditionalFormatting sqref="R46">
    <cfRule type="cellIs" dxfId="31894" priority="2143" operator="equal">
      <formula>"OFF"</formula>
    </cfRule>
    <cfRule type="cellIs" dxfId="31893" priority="2144" operator="equal">
      <formula>"PTO"</formula>
    </cfRule>
  </conditionalFormatting>
  <conditionalFormatting sqref="R46">
    <cfRule type="cellIs" dxfId="31892" priority="2141" operator="equal">
      <formula>"OFF"</formula>
    </cfRule>
    <cfRule type="cellIs" dxfId="31891" priority="2142" operator="equal">
      <formula>"PTO"</formula>
    </cfRule>
  </conditionalFormatting>
  <conditionalFormatting sqref="R46">
    <cfRule type="cellIs" dxfId="31890" priority="2139" operator="equal">
      <formula>"OFF"</formula>
    </cfRule>
    <cfRule type="cellIs" dxfId="31889" priority="2140" operator="equal">
      <formula>"PTO"</formula>
    </cfRule>
  </conditionalFormatting>
  <conditionalFormatting sqref="R46">
    <cfRule type="cellIs" dxfId="31888" priority="2137" operator="equal">
      <formula>"OFF"</formula>
    </cfRule>
    <cfRule type="cellIs" dxfId="31887" priority="2138" operator="equal">
      <formula>"PTO"</formula>
    </cfRule>
  </conditionalFormatting>
  <conditionalFormatting sqref="R46">
    <cfRule type="cellIs" dxfId="31886" priority="2135" operator="equal">
      <formula>"OFF"</formula>
    </cfRule>
    <cfRule type="cellIs" dxfId="31885" priority="2136" operator="equal">
      <formula>"PTO"</formula>
    </cfRule>
  </conditionalFormatting>
  <conditionalFormatting sqref="R46">
    <cfRule type="cellIs" dxfId="31884" priority="2133" operator="equal">
      <formula>"OFF"</formula>
    </cfRule>
    <cfRule type="cellIs" dxfId="31883" priority="2134" operator="equal">
      <formula>"PTO"</formula>
    </cfRule>
  </conditionalFormatting>
  <conditionalFormatting sqref="R46">
    <cfRule type="cellIs" dxfId="31882" priority="2131" operator="equal">
      <formula>"OFF"</formula>
    </cfRule>
    <cfRule type="cellIs" dxfId="31881" priority="2132" operator="equal">
      <formula>"PTO"</formula>
    </cfRule>
  </conditionalFormatting>
  <conditionalFormatting sqref="R46">
    <cfRule type="cellIs" dxfId="31880" priority="2129" operator="equal">
      <formula>"OFF"</formula>
    </cfRule>
    <cfRule type="cellIs" dxfId="31879" priority="2130" operator="equal">
      <formula>"PTO"</formula>
    </cfRule>
  </conditionalFormatting>
  <conditionalFormatting sqref="R46">
    <cfRule type="cellIs" dxfId="31878" priority="2127" operator="equal">
      <formula>"OFF"</formula>
    </cfRule>
    <cfRule type="cellIs" dxfId="31877" priority="2128" operator="equal">
      <formula>"PTO"</formula>
    </cfRule>
  </conditionalFormatting>
  <conditionalFormatting sqref="R46">
    <cfRule type="cellIs" dxfId="31876" priority="2125" operator="equal">
      <formula>"OFF"</formula>
    </cfRule>
    <cfRule type="cellIs" dxfId="31875" priority="2126" operator="equal">
      <formula>"PTO"</formula>
    </cfRule>
  </conditionalFormatting>
  <conditionalFormatting sqref="R46">
    <cfRule type="cellIs" dxfId="31874" priority="2123" operator="equal">
      <formula>"OFF"</formula>
    </cfRule>
    <cfRule type="cellIs" dxfId="31873" priority="2124" operator="equal">
      <formula>"PTO"</formula>
    </cfRule>
  </conditionalFormatting>
  <conditionalFormatting sqref="R46">
    <cfRule type="cellIs" dxfId="31872" priority="2121" operator="equal">
      <formula>"OFF"</formula>
    </cfRule>
    <cfRule type="cellIs" dxfId="31871" priority="2122" operator="equal">
      <formula>"PTO"</formula>
    </cfRule>
  </conditionalFormatting>
  <conditionalFormatting sqref="R46">
    <cfRule type="cellIs" dxfId="31870" priority="2119" operator="equal">
      <formula>"OFF"</formula>
    </cfRule>
    <cfRule type="cellIs" dxfId="31869" priority="2120" operator="equal">
      <formula>"PTO"</formula>
    </cfRule>
  </conditionalFormatting>
  <conditionalFormatting sqref="R46">
    <cfRule type="cellIs" dxfId="31868" priority="2117" operator="equal">
      <formula>"OFF"</formula>
    </cfRule>
    <cfRule type="cellIs" dxfId="31867" priority="2118" operator="equal">
      <formula>"PTO"</formula>
    </cfRule>
  </conditionalFormatting>
  <conditionalFormatting sqref="R47:R50">
    <cfRule type="cellIs" dxfId="31866" priority="2115" operator="equal">
      <formula>"OFF"</formula>
    </cfRule>
    <cfRule type="cellIs" dxfId="31865" priority="2116" operator="equal">
      <formula>"PTO"</formula>
    </cfRule>
  </conditionalFormatting>
  <conditionalFormatting sqref="R47">
    <cfRule type="cellIs" dxfId="31864" priority="2113" operator="equal">
      <formula>"OFF"</formula>
    </cfRule>
    <cfRule type="cellIs" dxfId="31863" priority="2114" operator="equal">
      <formula>"PTO"</formula>
    </cfRule>
  </conditionalFormatting>
  <conditionalFormatting sqref="R41 R43 R45:R50">
    <cfRule type="cellIs" dxfId="31862" priority="2111" operator="equal">
      <formula>"OFF"</formula>
    </cfRule>
    <cfRule type="cellIs" dxfId="31861" priority="2112" operator="equal">
      <formula>"PTO"</formula>
    </cfRule>
  </conditionalFormatting>
  <conditionalFormatting sqref="R41 R43 R45:R50">
    <cfRule type="cellIs" dxfId="31860" priority="2109" operator="equal">
      <formula>"OFF"</formula>
    </cfRule>
    <cfRule type="cellIs" dxfId="31859" priority="2110" operator="equal">
      <formula>"PTO"</formula>
    </cfRule>
  </conditionalFormatting>
  <conditionalFormatting sqref="R41 R43 R45:R50">
    <cfRule type="cellIs" dxfId="31858" priority="2107" operator="equal">
      <formula>"OFF"</formula>
    </cfRule>
    <cfRule type="cellIs" dxfId="31857" priority="2108" operator="equal">
      <formula>"PTO"</formula>
    </cfRule>
  </conditionalFormatting>
  <conditionalFormatting sqref="R49:R53">
    <cfRule type="cellIs" dxfId="31856" priority="2105" operator="equal">
      <formula>"OFF"</formula>
    </cfRule>
    <cfRule type="cellIs" dxfId="31855" priority="2106" operator="equal">
      <formula>"PTO"</formula>
    </cfRule>
  </conditionalFormatting>
  <conditionalFormatting sqref="R49:R53">
    <cfRule type="cellIs" dxfId="31854" priority="2103" operator="equal">
      <formula>"OFF"</formula>
    </cfRule>
    <cfRule type="cellIs" dxfId="31853" priority="2104" operator="equal">
      <formula>"PTO"</formula>
    </cfRule>
  </conditionalFormatting>
  <conditionalFormatting sqref="R49:R53">
    <cfRule type="cellIs" dxfId="31852" priority="2101" operator="equal">
      <formula>"OFF"</formula>
    </cfRule>
    <cfRule type="cellIs" dxfId="31851" priority="2102" operator="equal">
      <formula>"PTO"</formula>
    </cfRule>
  </conditionalFormatting>
  <conditionalFormatting sqref="R47">
    <cfRule type="cellIs" dxfId="31850" priority="2099" operator="equal">
      <formula>"OFF"</formula>
    </cfRule>
    <cfRule type="cellIs" dxfId="31849" priority="2100" operator="equal">
      <formula>"PTO"</formula>
    </cfRule>
  </conditionalFormatting>
  <conditionalFormatting sqref="R47">
    <cfRule type="cellIs" dxfId="31848" priority="2097" operator="equal">
      <formula>"OFF"</formula>
    </cfRule>
    <cfRule type="cellIs" dxfId="31847" priority="2098" operator="equal">
      <formula>"PTO"</formula>
    </cfRule>
  </conditionalFormatting>
  <conditionalFormatting sqref="R47">
    <cfRule type="cellIs" dxfId="31846" priority="2095" operator="equal">
      <formula>"OFF"</formula>
    </cfRule>
    <cfRule type="cellIs" dxfId="31845" priority="2096" operator="equal">
      <formula>"PTO"</formula>
    </cfRule>
  </conditionalFormatting>
  <conditionalFormatting sqref="R47">
    <cfRule type="cellIs" dxfId="31844" priority="2093" operator="equal">
      <formula>"OFF"</formula>
    </cfRule>
    <cfRule type="cellIs" dxfId="31843" priority="2094" operator="equal">
      <formula>"PTO"</formula>
    </cfRule>
  </conditionalFormatting>
  <conditionalFormatting sqref="R47">
    <cfRule type="cellIs" dxfId="31842" priority="2091" operator="equal">
      <formula>"OFF"</formula>
    </cfRule>
    <cfRule type="cellIs" dxfId="31841" priority="2092" operator="equal">
      <formula>"PTO"</formula>
    </cfRule>
  </conditionalFormatting>
  <conditionalFormatting sqref="R47">
    <cfRule type="cellIs" dxfId="31840" priority="2089" operator="equal">
      <formula>"OFF"</formula>
    </cfRule>
    <cfRule type="cellIs" dxfId="31839" priority="2090" operator="equal">
      <formula>"PTO"</formula>
    </cfRule>
  </conditionalFormatting>
  <conditionalFormatting sqref="R47">
    <cfRule type="cellIs" dxfId="31838" priority="2087" operator="equal">
      <formula>"OFF"</formula>
    </cfRule>
    <cfRule type="cellIs" dxfId="31837" priority="2088" operator="equal">
      <formula>"PTO"</formula>
    </cfRule>
  </conditionalFormatting>
  <conditionalFormatting sqref="R47">
    <cfRule type="cellIs" dxfId="31836" priority="2085" operator="equal">
      <formula>"OFF"</formula>
    </cfRule>
    <cfRule type="cellIs" dxfId="31835" priority="2086" operator="equal">
      <formula>"PTO"</formula>
    </cfRule>
  </conditionalFormatting>
  <conditionalFormatting sqref="R47">
    <cfRule type="cellIs" dxfId="31834" priority="2083" operator="equal">
      <formula>"OFF"</formula>
    </cfRule>
    <cfRule type="cellIs" dxfId="31833" priority="2084" operator="equal">
      <formula>"PTO"</formula>
    </cfRule>
  </conditionalFormatting>
  <conditionalFormatting sqref="R47">
    <cfRule type="cellIs" dxfId="31832" priority="2081" operator="equal">
      <formula>"OFF"</formula>
    </cfRule>
    <cfRule type="cellIs" dxfId="31831" priority="2082" operator="equal">
      <formula>"PTO"</formula>
    </cfRule>
  </conditionalFormatting>
  <conditionalFormatting sqref="R47">
    <cfRule type="cellIs" dxfId="31830" priority="2079" operator="equal">
      <formula>"OFF"</formula>
    </cfRule>
    <cfRule type="cellIs" dxfId="31829" priority="2080" operator="equal">
      <formula>"PTO"</formula>
    </cfRule>
  </conditionalFormatting>
  <conditionalFormatting sqref="R47">
    <cfRule type="cellIs" dxfId="31828" priority="2077" operator="equal">
      <formula>"OFF"</formula>
    </cfRule>
    <cfRule type="cellIs" dxfId="31827" priority="2078" operator="equal">
      <formula>"PTO"</formula>
    </cfRule>
  </conditionalFormatting>
  <conditionalFormatting sqref="R47">
    <cfRule type="cellIs" dxfId="31826" priority="2075" operator="equal">
      <formula>"OFF"</formula>
    </cfRule>
    <cfRule type="cellIs" dxfId="31825" priority="2076" operator="equal">
      <formula>"PTO"</formula>
    </cfRule>
  </conditionalFormatting>
  <conditionalFormatting sqref="R47">
    <cfRule type="cellIs" dxfId="31824" priority="2073" operator="equal">
      <formula>"OFF"</formula>
    </cfRule>
    <cfRule type="cellIs" dxfId="31823" priority="2074" operator="equal">
      <formula>"PTO"</formula>
    </cfRule>
  </conditionalFormatting>
  <conditionalFormatting sqref="R47">
    <cfRule type="cellIs" dxfId="31822" priority="2071" operator="equal">
      <formula>"OFF"</formula>
    </cfRule>
    <cfRule type="cellIs" dxfId="31821" priority="2072" operator="equal">
      <formula>"PTO"</formula>
    </cfRule>
  </conditionalFormatting>
  <conditionalFormatting sqref="R47">
    <cfRule type="cellIs" dxfId="31820" priority="2069" operator="equal">
      <formula>"OFF"</formula>
    </cfRule>
    <cfRule type="cellIs" dxfId="31819" priority="2070" operator="equal">
      <formula>"PTO"</formula>
    </cfRule>
  </conditionalFormatting>
  <conditionalFormatting sqref="R47">
    <cfRule type="cellIs" dxfId="31818" priority="2067" operator="equal">
      <formula>"OFF"</formula>
    </cfRule>
    <cfRule type="cellIs" dxfId="31817" priority="2068" operator="equal">
      <formula>"PTO"</formula>
    </cfRule>
  </conditionalFormatting>
  <conditionalFormatting sqref="R47">
    <cfRule type="cellIs" dxfId="31816" priority="2065" operator="equal">
      <formula>"OFF"</formula>
    </cfRule>
    <cfRule type="cellIs" dxfId="31815" priority="2066" operator="equal">
      <formula>"PTO"</formula>
    </cfRule>
  </conditionalFormatting>
  <conditionalFormatting sqref="R47">
    <cfRule type="cellIs" dxfId="31814" priority="2063" operator="equal">
      <formula>"OFF"</formula>
    </cfRule>
    <cfRule type="cellIs" dxfId="31813" priority="2064" operator="equal">
      <formula>"PTO"</formula>
    </cfRule>
  </conditionalFormatting>
  <conditionalFormatting sqref="R47">
    <cfRule type="cellIs" dxfId="31812" priority="2061" operator="equal">
      <formula>"OFF"</formula>
    </cfRule>
    <cfRule type="cellIs" dxfId="31811" priority="2062" operator="equal">
      <formula>"PTO"</formula>
    </cfRule>
  </conditionalFormatting>
  <conditionalFormatting sqref="R47">
    <cfRule type="cellIs" dxfId="31810" priority="2059" operator="equal">
      <formula>"OFF"</formula>
    </cfRule>
    <cfRule type="cellIs" dxfId="31809" priority="2060" operator="equal">
      <formula>"PTO"</formula>
    </cfRule>
  </conditionalFormatting>
  <conditionalFormatting sqref="R47">
    <cfRule type="cellIs" dxfId="31808" priority="2057" operator="equal">
      <formula>"OFF"</formula>
    </cfRule>
    <cfRule type="cellIs" dxfId="31807" priority="2058" operator="equal">
      <formula>"PTO"</formula>
    </cfRule>
  </conditionalFormatting>
  <conditionalFormatting sqref="R47">
    <cfRule type="cellIs" dxfId="31806" priority="2055" operator="equal">
      <formula>"OFF"</formula>
    </cfRule>
    <cfRule type="cellIs" dxfId="31805" priority="2056" operator="equal">
      <formula>"PTO"</formula>
    </cfRule>
  </conditionalFormatting>
  <conditionalFormatting sqref="R47">
    <cfRule type="cellIs" dxfId="31804" priority="2053" operator="equal">
      <formula>"OFF"</formula>
    </cfRule>
    <cfRule type="cellIs" dxfId="31803" priority="2054" operator="equal">
      <formula>"PTO"</formula>
    </cfRule>
  </conditionalFormatting>
  <conditionalFormatting sqref="R47">
    <cfRule type="cellIs" dxfId="31802" priority="2051" operator="equal">
      <formula>"OFF"</formula>
    </cfRule>
    <cfRule type="cellIs" dxfId="31801" priority="2052" operator="equal">
      <formula>"PTO"</formula>
    </cfRule>
  </conditionalFormatting>
  <conditionalFormatting sqref="R43">
    <cfRule type="cellIs" dxfId="31800" priority="2049" operator="equal">
      <formula>"OFF"</formula>
    </cfRule>
    <cfRule type="cellIs" dxfId="31799" priority="2050" operator="equal">
      <formula>"PTO"</formula>
    </cfRule>
  </conditionalFormatting>
  <conditionalFormatting sqref="R43">
    <cfRule type="cellIs" dxfId="31798" priority="2047" operator="equal">
      <formula>"OFF"</formula>
    </cfRule>
    <cfRule type="cellIs" dxfId="31797" priority="2048" operator="equal">
      <formula>"PTO"</formula>
    </cfRule>
  </conditionalFormatting>
  <conditionalFormatting sqref="R46">
    <cfRule type="cellIs" dxfId="31796" priority="2045" operator="equal">
      <formula>"OFF"</formula>
    </cfRule>
    <cfRule type="cellIs" dxfId="31795" priority="2046" operator="equal">
      <formula>"PTO"</formula>
    </cfRule>
  </conditionalFormatting>
  <conditionalFormatting sqref="R46">
    <cfRule type="cellIs" dxfId="31794" priority="2043" operator="equal">
      <formula>"OFF"</formula>
    </cfRule>
    <cfRule type="cellIs" dxfId="31793" priority="2044" operator="equal">
      <formula>"PTO"</formula>
    </cfRule>
  </conditionalFormatting>
  <conditionalFormatting sqref="R43">
    <cfRule type="cellIs" dxfId="31792" priority="2041" operator="equal">
      <formula>"OFF"</formula>
    </cfRule>
    <cfRule type="cellIs" dxfId="31791" priority="2042" operator="equal">
      <formula>"PTO"</formula>
    </cfRule>
  </conditionalFormatting>
  <conditionalFormatting sqref="R43">
    <cfRule type="cellIs" dxfId="31790" priority="2039" operator="equal">
      <formula>"OFF"</formula>
    </cfRule>
    <cfRule type="cellIs" dxfId="31789" priority="2040" operator="equal">
      <formula>"PTO"</formula>
    </cfRule>
  </conditionalFormatting>
  <conditionalFormatting sqref="R43">
    <cfRule type="cellIs" dxfId="31788" priority="2037" operator="equal">
      <formula>"OFF"</formula>
    </cfRule>
    <cfRule type="cellIs" dxfId="31787" priority="2038" operator="equal">
      <formula>"PTO"</formula>
    </cfRule>
  </conditionalFormatting>
  <conditionalFormatting sqref="R45">
    <cfRule type="cellIs" dxfId="31786" priority="2035" operator="equal">
      <formula>"OFF"</formula>
    </cfRule>
    <cfRule type="cellIs" dxfId="31785" priority="2036" operator="equal">
      <formula>"PTO"</formula>
    </cfRule>
  </conditionalFormatting>
  <conditionalFormatting sqref="R45">
    <cfRule type="cellIs" dxfId="31784" priority="2033" operator="equal">
      <formula>"OFF"</formula>
    </cfRule>
    <cfRule type="cellIs" dxfId="31783" priority="2034" operator="equal">
      <formula>"PTO"</formula>
    </cfRule>
  </conditionalFormatting>
  <conditionalFormatting sqref="R45">
    <cfRule type="cellIs" dxfId="31782" priority="2031" operator="equal">
      <formula>"OFF"</formula>
    </cfRule>
    <cfRule type="cellIs" dxfId="31781" priority="2032" operator="equal">
      <formula>"PTO"</formula>
    </cfRule>
  </conditionalFormatting>
  <conditionalFormatting sqref="R45">
    <cfRule type="cellIs" dxfId="31780" priority="2029" operator="equal">
      <formula>"OFF"</formula>
    </cfRule>
    <cfRule type="cellIs" dxfId="31779" priority="2030" operator="equal">
      <formula>"PTO"</formula>
    </cfRule>
  </conditionalFormatting>
  <conditionalFormatting sqref="R45">
    <cfRule type="cellIs" dxfId="31778" priority="2027" operator="equal">
      <formula>"OFF"</formula>
    </cfRule>
    <cfRule type="cellIs" dxfId="31777" priority="2028" operator="equal">
      <formula>"PTO"</formula>
    </cfRule>
  </conditionalFormatting>
  <conditionalFormatting sqref="R45">
    <cfRule type="cellIs" dxfId="31776" priority="2025" operator="equal">
      <formula>"OFF"</formula>
    </cfRule>
    <cfRule type="cellIs" dxfId="31775" priority="2026" operator="equal">
      <formula>"PTO"</formula>
    </cfRule>
  </conditionalFormatting>
  <conditionalFormatting sqref="R45">
    <cfRule type="cellIs" dxfId="31774" priority="2023" operator="equal">
      <formula>"OFF"</formula>
    </cfRule>
    <cfRule type="cellIs" dxfId="31773" priority="2024" operator="equal">
      <formula>"PTO"</formula>
    </cfRule>
  </conditionalFormatting>
  <conditionalFormatting sqref="R45">
    <cfRule type="cellIs" dxfId="31772" priority="2021" operator="equal">
      <formula>"OFF"</formula>
    </cfRule>
    <cfRule type="cellIs" dxfId="31771" priority="2022" operator="equal">
      <formula>"PTO"</formula>
    </cfRule>
  </conditionalFormatting>
  <conditionalFormatting sqref="R45">
    <cfRule type="cellIs" dxfId="31770" priority="2019" operator="equal">
      <formula>"OFF"</formula>
    </cfRule>
    <cfRule type="cellIs" dxfId="31769" priority="2020" operator="equal">
      <formula>"PTO"</formula>
    </cfRule>
  </conditionalFormatting>
  <conditionalFormatting sqref="R45">
    <cfRule type="cellIs" dxfId="31768" priority="2017" operator="equal">
      <formula>"OFF"</formula>
    </cfRule>
    <cfRule type="cellIs" dxfId="31767" priority="2018" operator="equal">
      <formula>"PTO"</formula>
    </cfRule>
  </conditionalFormatting>
  <conditionalFormatting sqref="R45">
    <cfRule type="cellIs" dxfId="31766" priority="2015" operator="equal">
      <formula>"OFF"</formula>
    </cfRule>
    <cfRule type="cellIs" dxfId="31765" priority="2016" operator="equal">
      <formula>"PTO"</formula>
    </cfRule>
  </conditionalFormatting>
  <conditionalFormatting sqref="R45">
    <cfRule type="cellIs" dxfId="31764" priority="2013" operator="equal">
      <formula>"OFF"</formula>
    </cfRule>
    <cfRule type="cellIs" dxfId="31763" priority="2014" operator="equal">
      <formula>"PTO"</formula>
    </cfRule>
  </conditionalFormatting>
  <conditionalFormatting sqref="R45">
    <cfRule type="cellIs" dxfId="31762" priority="2011" operator="equal">
      <formula>"OFF"</formula>
    </cfRule>
    <cfRule type="cellIs" dxfId="31761" priority="2012" operator="equal">
      <formula>"PTO"</formula>
    </cfRule>
  </conditionalFormatting>
  <conditionalFormatting sqref="R45">
    <cfRule type="cellIs" dxfId="31760" priority="2009" operator="equal">
      <formula>"OFF"</formula>
    </cfRule>
    <cfRule type="cellIs" dxfId="31759" priority="2010" operator="equal">
      <formula>"PTO"</formula>
    </cfRule>
  </conditionalFormatting>
  <conditionalFormatting sqref="R45">
    <cfRule type="cellIs" dxfId="31758" priority="2007" operator="equal">
      <formula>"OFF"</formula>
    </cfRule>
    <cfRule type="cellIs" dxfId="31757" priority="2008" operator="equal">
      <formula>"PTO"</formula>
    </cfRule>
  </conditionalFormatting>
  <conditionalFormatting sqref="R45">
    <cfRule type="cellIs" dxfId="31756" priority="2005" operator="equal">
      <formula>"OFF"</formula>
    </cfRule>
    <cfRule type="cellIs" dxfId="31755" priority="2006" operator="equal">
      <formula>"PTO"</formula>
    </cfRule>
  </conditionalFormatting>
  <conditionalFormatting sqref="R45">
    <cfRule type="cellIs" dxfId="31754" priority="2003" operator="equal">
      <formula>"OFF"</formula>
    </cfRule>
    <cfRule type="cellIs" dxfId="31753" priority="2004" operator="equal">
      <formula>"PTO"</formula>
    </cfRule>
  </conditionalFormatting>
  <conditionalFormatting sqref="R45">
    <cfRule type="cellIs" dxfId="31752" priority="2001" operator="equal">
      <formula>"OFF"</formula>
    </cfRule>
    <cfRule type="cellIs" dxfId="31751" priority="2002" operator="equal">
      <formula>"PTO"</formula>
    </cfRule>
  </conditionalFormatting>
  <conditionalFormatting sqref="R45">
    <cfRule type="cellIs" dxfId="31750" priority="1999" operator="equal">
      <formula>"OFF"</formula>
    </cfRule>
    <cfRule type="cellIs" dxfId="31749" priority="2000" operator="equal">
      <formula>"PTO"</formula>
    </cfRule>
  </conditionalFormatting>
  <conditionalFormatting sqref="R45">
    <cfRule type="cellIs" dxfId="31748" priority="1997" operator="equal">
      <formula>"OFF"</formula>
    </cfRule>
    <cfRule type="cellIs" dxfId="31747" priority="1998" operator="equal">
      <formula>"PTO"</formula>
    </cfRule>
  </conditionalFormatting>
  <conditionalFormatting sqref="R45">
    <cfRule type="cellIs" dxfId="31746" priority="1995" operator="equal">
      <formula>"OFF"</formula>
    </cfRule>
    <cfRule type="cellIs" dxfId="31745" priority="1996" operator="equal">
      <formula>"PTO"</formula>
    </cfRule>
  </conditionalFormatting>
  <conditionalFormatting sqref="R45">
    <cfRule type="cellIs" dxfId="31744" priority="1993" operator="equal">
      <formula>"OFF"</formula>
    </cfRule>
    <cfRule type="cellIs" dxfId="31743" priority="1994" operator="equal">
      <formula>"PTO"</formula>
    </cfRule>
  </conditionalFormatting>
  <conditionalFormatting sqref="R45">
    <cfRule type="cellIs" dxfId="31742" priority="1991" operator="equal">
      <formula>"OFF"</formula>
    </cfRule>
    <cfRule type="cellIs" dxfId="31741" priority="1992" operator="equal">
      <formula>"PTO"</formula>
    </cfRule>
  </conditionalFormatting>
  <conditionalFormatting sqref="R45">
    <cfRule type="cellIs" dxfId="31740" priority="1989" operator="equal">
      <formula>"OFF"</formula>
    </cfRule>
    <cfRule type="cellIs" dxfId="31739" priority="1990" operator="equal">
      <formula>"PTO"</formula>
    </cfRule>
  </conditionalFormatting>
  <conditionalFormatting sqref="R45">
    <cfRule type="cellIs" dxfId="31738" priority="1987" operator="equal">
      <formula>"OFF"</formula>
    </cfRule>
    <cfRule type="cellIs" dxfId="31737" priority="1988" operator="equal">
      <formula>"PTO"</formula>
    </cfRule>
  </conditionalFormatting>
  <conditionalFormatting sqref="R45">
    <cfRule type="cellIs" dxfId="31736" priority="1985" operator="equal">
      <formula>"OFF"</formula>
    </cfRule>
    <cfRule type="cellIs" dxfId="31735" priority="1986" operator="equal">
      <formula>"PTO"</formula>
    </cfRule>
  </conditionalFormatting>
  <conditionalFormatting sqref="R47">
    <cfRule type="cellIs" dxfId="31734" priority="1983" operator="equal">
      <formula>"OFF"</formula>
    </cfRule>
    <cfRule type="cellIs" dxfId="31733" priority="1984" operator="equal">
      <formula>"PTO"</formula>
    </cfRule>
  </conditionalFormatting>
  <conditionalFormatting sqref="R46">
    <cfRule type="cellIs" dxfId="31732" priority="1981" operator="equal">
      <formula>"OFF"</formula>
    </cfRule>
    <cfRule type="cellIs" dxfId="31731" priority="1982" operator="equal">
      <formula>"PTO"</formula>
    </cfRule>
  </conditionalFormatting>
  <conditionalFormatting sqref="R49">
    <cfRule type="cellIs" dxfId="31730" priority="1979" operator="equal">
      <formula>"OFF"</formula>
    </cfRule>
    <cfRule type="cellIs" dxfId="31729" priority="1980" operator="equal">
      <formula>"PTO"</formula>
    </cfRule>
  </conditionalFormatting>
  <conditionalFormatting sqref="R48">
    <cfRule type="cellIs" dxfId="31728" priority="1977" operator="equal">
      <formula>"OFF"</formula>
    </cfRule>
    <cfRule type="cellIs" dxfId="31727" priority="1978" operator="equal">
      <formula>"PTO"</formula>
    </cfRule>
  </conditionalFormatting>
  <conditionalFormatting sqref="R48">
    <cfRule type="cellIs" dxfId="31726" priority="1975" operator="equal">
      <formula>"OFF"</formula>
    </cfRule>
    <cfRule type="cellIs" dxfId="31725" priority="1976" operator="equal">
      <formula>"PTO"</formula>
    </cfRule>
  </conditionalFormatting>
  <conditionalFormatting sqref="R48">
    <cfRule type="cellIs" dxfId="31724" priority="1973" operator="equal">
      <formula>"OFF"</formula>
    </cfRule>
    <cfRule type="cellIs" dxfId="31723" priority="1974" operator="equal">
      <formula>"PTO"</formula>
    </cfRule>
  </conditionalFormatting>
  <conditionalFormatting sqref="R48">
    <cfRule type="cellIs" dxfId="31722" priority="1971" operator="equal">
      <formula>"OFF"</formula>
    </cfRule>
    <cfRule type="cellIs" dxfId="31721" priority="1972" operator="equal">
      <formula>"PTO"</formula>
    </cfRule>
  </conditionalFormatting>
  <conditionalFormatting sqref="R48">
    <cfRule type="cellIs" dxfId="31720" priority="1969" operator="equal">
      <formula>"OFF"</formula>
    </cfRule>
    <cfRule type="cellIs" dxfId="31719" priority="1970" operator="equal">
      <formula>"PTO"</formula>
    </cfRule>
  </conditionalFormatting>
  <conditionalFormatting sqref="R48">
    <cfRule type="cellIs" dxfId="31718" priority="1967" operator="equal">
      <formula>"OFF"</formula>
    </cfRule>
    <cfRule type="cellIs" dxfId="31717" priority="1968" operator="equal">
      <formula>"PTO"</formula>
    </cfRule>
  </conditionalFormatting>
  <conditionalFormatting sqref="R48">
    <cfRule type="cellIs" dxfId="31716" priority="1965" operator="equal">
      <formula>"OFF"</formula>
    </cfRule>
    <cfRule type="cellIs" dxfId="31715" priority="1966" operator="equal">
      <formula>"PTO"</formula>
    </cfRule>
  </conditionalFormatting>
  <conditionalFormatting sqref="R48">
    <cfRule type="cellIs" dxfId="31714" priority="1963" operator="equal">
      <formula>"OFF"</formula>
    </cfRule>
    <cfRule type="cellIs" dxfId="31713" priority="1964" operator="equal">
      <formula>"PTO"</formula>
    </cfRule>
  </conditionalFormatting>
  <conditionalFormatting sqref="R48">
    <cfRule type="cellIs" dxfId="31712" priority="1961" operator="equal">
      <formula>"OFF"</formula>
    </cfRule>
    <cfRule type="cellIs" dxfId="31711" priority="1962" operator="equal">
      <formula>"PTO"</formula>
    </cfRule>
  </conditionalFormatting>
  <conditionalFormatting sqref="R41">
    <cfRule type="cellIs" dxfId="31710" priority="1959" operator="equal">
      <formula>"OFF"</formula>
    </cfRule>
    <cfRule type="cellIs" dxfId="31709" priority="1960" operator="equal">
      <formula>"PTO"</formula>
    </cfRule>
  </conditionalFormatting>
  <conditionalFormatting sqref="R41">
    <cfRule type="cellIs" dxfId="31708" priority="1957" operator="equal">
      <formula>"OFF"</formula>
    </cfRule>
    <cfRule type="cellIs" dxfId="31707" priority="1958" operator="equal">
      <formula>"PTO"</formula>
    </cfRule>
  </conditionalFormatting>
  <conditionalFormatting sqref="R41">
    <cfRule type="cellIs" dxfId="31706" priority="1955" operator="equal">
      <formula>"OFF"</formula>
    </cfRule>
    <cfRule type="cellIs" dxfId="31705" priority="1956" operator="equal">
      <formula>"PTO"</formula>
    </cfRule>
  </conditionalFormatting>
  <conditionalFormatting sqref="R41">
    <cfRule type="cellIs" dxfId="31704" priority="1953" operator="equal">
      <formula>"OFF"</formula>
    </cfRule>
    <cfRule type="cellIs" dxfId="31703" priority="1954" operator="equal">
      <formula>"PTO"</formula>
    </cfRule>
  </conditionalFormatting>
  <conditionalFormatting sqref="R41">
    <cfRule type="cellIs" dxfId="31702" priority="1951" operator="equal">
      <formula>"OFF"</formula>
    </cfRule>
    <cfRule type="cellIs" dxfId="31701" priority="1952" operator="equal">
      <formula>"PTO"</formula>
    </cfRule>
  </conditionalFormatting>
  <conditionalFormatting sqref="R41">
    <cfRule type="cellIs" dxfId="31700" priority="1949" operator="equal">
      <formula>"OFF"</formula>
    </cfRule>
    <cfRule type="cellIs" dxfId="31699" priority="1950" operator="equal">
      <formula>"PTO"</formula>
    </cfRule>
  </conditionalFormatting>
  <conditionalFormatting sqref="R41">
    <cfRule type="cellIs" dxfId="31698" priority="1947" operator="equal">
      <formula>"OFF"</formula>
    </cfRule>
    <cfRule type="cellIs" dxfId="31697" priority="1948" operator="equal">
      <formula>"PTO"</formula>
    </cfRule>
  </conditionalFormatting>
  <conditionalFormatting sqref="R41">
    <cfRule type="cellIs" dxfId="31696" priority="1945" operator="equal">
      <formula>"OFF"</formula>
    </cfRule>
    <cfRule type="cellIs" dxfId="31695" priority="1946" operator="equal">
      <formula>"PTO"</formula>
    </cfRule>
  </conditionalFormatting>
  <conditionalFormatting sqref="R41">
    <cfRule type="cellIs" dxfId="31694" priority="1943" operator="equal">
      <formula>"OFF"</formula>
    </cfRule>
    <cfRule type="cellIs" dxfId="31693" priority="1944" operator="equal">
      <formula>"PTO"</formula>
    </cfRule>
  </conditionalFormatting>
  <conditionalFormatting sqref="R41">
    <cfRule type="cellIs" dxfId="31692" priority="1941" operator="equal">
      <formula>"OFF"</formula>
    </cfRule>
    <cfRule type="cellIs" dxfId="31691" priority="1942" operator="equal">
      <formula>"PTO"</formula>
    </cfRule>
  </conditionalFormatting>
  <conditionalFormatting sqref="R41">
    <cfRule type="cellIs" dxfId="31690" priority="1939" operator="equal">
      <formula>"OFF"</formula>
    </cfRule>
    <cfRule type="cellIs" dxfId="31689" priority="1940" operator="equal">
      <formula>"PTO"</formula>
    </cfRule>
  </conditionalFormatting>
  <conditionalFormatting sqref="R41">
    <cfRule type="cellIs" dxfId="31688" priority="1937" operator="equal">
      <formula>"OFF"</formula>
    </cfRule>
    <cfRule type="cellIs" dxfId="31687" priority="1938" operator="equal">
      <formula>"PTO"</formula>
    </cfRule>
  </conditionalFormatting>
  <conditionalFormatting sqref="R43">
    <cfRule type="cellIs" dxfId="31686" priority="1935" operator="equal">
      <formula>"OFF"</formula>
    </cfRule>
    <cfRule type="cellIs" dxfId="31685" priority="1936" operator="equal">
      <formula>"PTO"</formula>
    </cfRule>
  </conditionalFormatting>
  <conditionalFormatting sqref="R43">
    <cfRule type="cellIs" dxfId="31684" priority="1933" operator="equal">
      <formula>"OFF"</formula>
    </cfRule>
    <cfRule type="cellIs" dxfId="31683" priority="1934" operator="equal">
      <formula>"PTO"</formula>
    </cfRule>
  </conditionalFormatting>
  <conditionalFormatting sqref="R43">
    <cfRule type="cellIs" dxfId="31682" priority="1931" operator="equal">
      <formula>"OFF"</formula>
    </cfRule>
    <cfRule type="cellIs" dxfId="31681" priority="1932" operator="equal">
      <formula>"PTO"</formula>
    </cfRule>
  </conditionalFormatting>
  <conditionalFormatting sqref="R43">
    <cfRule type="cellIs" dxfId="31680" priority="1929" operator="equal">
      <formula>"OFF"</formula>
    </cfRule>
    <cfRule type="cellIs" dxfId="31679" priority="1930" operator="equal">
      <formula>"PTO"</formula>
    </cfRule>
  </conditionalFormatting>
  <conditionalFormatting sqref="R43">
    <cfRule type="cellIs" dxfId="31678" priority="1927" operator="equal">
      <formula>"OFF"</formula>
    </cfRule>
    <cfRule type="cellIs" dxfId="31677" priority="1928" operator="equal">
      <formula>"PTO"</formula>
    </cfRule>
  </conditionalFormatting>
  <conditionalFormatting sqref="R41">
    <cfRule type="cellIs" dxfId="31676" priority="1925" operator="equal">
      <formula>"OFF"</formula>
    </cfRule>
    <cfRule type="cellIs" dxfId="31675" priority="1926" operator="equal">
      <formula>"PTO"</formula>
    </cfRule>
  </conditionalFormatting>
  <conditionalFormatting sqref="R43">
    <cfRule type="cellIs" dxfId="31674" priority="1923" operator="equal">
      <formula>"OFF"</formula>
    </cfRule>
    <cfRule type="cellIs" dxfId="31673" priority="1924" operator="equal">
      <formula>"PTO"</formula>
    </cfRule>
  </conditionalFormatting>
  <conditionalFormatting sqref="R43">
    <cfRule type="cellIs" dxfId="31672" priority="1921" operator="equal">
      <formula>"OFF"</formula>
    </cfRule>
    <cfRule type="cellIs" dxfId="31671" priority="1922" operator="equal">
      <formula>"PTO"</formula>
    </cfRule>
  </conditionalFormatting>
  <conditionalFormatting sqref="R43">
    <cfRule type="cellIs" dxfId="31670" priority="1919" operator="equal">
      <formula>"OFF"</formula>
    </cfRule>
    <cfRule type="cellIs" dxfId="31669" priority="1920" operator="equal">
      <formula>"PTO"</formula>
    </cfRule>
  </conditionalFormatting>
  <conditionalFormatting sqref="R41">
    <cfRule type="cellIs" dxfId="31668" priority="1917" operator="equal">
      <formula>"OFF"</formula>
    </cfRule>
    <cfRule type="cellIs" dxfId="31667" priority="1918" operator="equal">
      <formula>"PTO"</formula>
    </cfRule>
  </conditionalFormatting>
  <conditionalFormatting sqref="R41">
    <cfRule type="cellIs" dxfId="31666" priority="1915" operator="equal">
      <formula>"OFF"</formula>
    </cfRule>
    <cfRule type="cellIs" dxfId="31665" priority="1916" operator="equal">
      <formula>"PTO"</formula>
    </cfRule>
  </conditionalFormatting>
  <conditionalFormatting sqref="R41">
    <cfRule type="cellIs" dxfId="31664" priority="1913" operator="equal">
      <formula>"OFF"</formula>
    </cfRule>
    <cfRule type="cellIs" dxfId="31663" priority="1914" operator="equal">
      <formula>"PTO"</formula>
    </cfRule>
  </conditionalFormatting>
  <conditionalFormatting sqref="R41">
    <cfRule type="cellIs" dxfId="31662" priority="1911" operator="equal">
      <formula>"OFF"</formula>
    </cfRule>
    <cfRule type="cellIs" dxfId="31661" priority="1912" operator="equal">
      <formula>"PTO"</formula>
    </cfRule>
  </conditionalFormatting>
  <conditionalFormatting sqref="R43">
    <cfRule type="cellIs" dxfId="31660" priority="1909" operator="equal">
      <formula>"OFF"</formula>
    </cfRule>
    <cfRule type="cellIs" dxfId="31659" priority="1910" operator="equal">
      <formula>"PTO"</formula>
    </cfRule>
  </conditionalFormatting>
  <conditionalFormatting sqref="R43">
    <cfRule type="cellIs" dxfId="31658" priority="1907" operator="equal">
      <formula>"OFF"</formula>
    </cfRule>
    <cfRule type="cellIs" dxfId="31657" priority="1908" operator="equal">
      <formula>"PTO"</formula>
    </cfRule>
  </conditionalFormatting>
  <conditionalFormatting sqref="R43">
    <cfRule type="cellIs" dxfId="31656" priority="1905" operator="equal">
      <formula>"OFF"</formula>
    </cfRule>
    <cfRule type="cellIs" dxfId="31655" priority="1906" operator="equal">
      <formula>"PTO"</formula>
    </cfRule>
  </conditionalFormatting>
  <conditionalFormatting sqref="R46">
    <cfRule type="cellIs" dxfId="31654" priority="1903" operator="equal">
      <formula>"OFF"</formula>
    </cfRule>
    <cfRule type="cellIs" dxfId="31653" priority="1904" operator="equal">
      <formula>"PTO"</formula>
    </cfRule>
  </conditionalFormatting>
  <conditionalFormatting sqref="R46">
    <cfRule type="cellIs" dxfId="31652" priority="1901" operator="equal">
      <formula>"OFF"</formula>
    </cfRule>
    <cfRule type="cellIs" dxfId="31651" priority="1902" operator="equal">
      <formula>"PTO"</formula>
    </cfRule>
  </conditionalFormatting>
  <conditionalFormatting sqref="R45">
    <cfRule type="cellIs" dxfId="31650" priority="1899" operator="equal">
      <formula>"OFF"</formula>
    </cfRule>
    <cfRule type="cellIs" dxfId="31649" priority="1900" operator="equal">
      <formula>"PTO"</formula>
    </cfRule>
  </conditionalFormatting>
  <conditionalFormatting sqref="R45">
    <cfRule type="cellIs" dxfId="31648" priority="1897" operator="equal">
      <formula>"OFF"</formula>
    </cfRule>
    <cfRule type="cellIs" dxfId="31647" priority="1898" operator="equal">
      <formula>"PTO"</formula>
    </cfRule>
  </conditionalFormatting>
  <conditionalFormatting sqref="R45">
    <cfRule type="cellIs" dxfId="31646" priority="1895" operator="equal">
      <formula>"OFF"</formula>
    </cfRule>
    <cfRule type="cellIs" dxfId="31645" priority="1896" operator="equal">
      <formula>"PTO"</formula>
    </cfRule>
  </conditionalFormatting>
  <conditionalFormatting sqref="R45">
    <cfRule type="cellIs" dxfId="31644" priority="1893" operator="equal">
      <formula>"OFF"</formula>
    </cfRule>
    <cfRule type="cellIs" dxfId="31643" priority="1894" operator="equal">
      <formula>"PTO"</formula>
    </cfRule>
  </conditionalFormatting>
  <conditionalFormatting sqref="R45">
    <cfRule type="cellIs" dxfId="31642" priority="1891" operator="equal">
      <formula>"OFF"</formula>
    </cfRule>
    <cfRule type="cellIs" dxfId="31641" priority="1892" operator="equal">
      <formula>"PTO"</formula>
    </cfRule>
  </conditionalFormatting>
  <conditionalFormatting sqref="R45">
    <cfRule type="cellIs" dxfId="31640" priority="1889" operator="equal">
      <formula>"OFF"</formula>
    </cfRule>
    <cfRule type="cellIs" dxfId="31639" priority="1890" operator="equal">
      <formula>"PTO"</formula>
    </cfRule>
  </conditionalFormatting>
  <conditionalFormatting sqref="R45">
    <cfRule type="cellIs" dxfId="31638" priority="1887" operator="equal">
      <formula>"OFF"</formula>
    </cfRule>
    <cfRule type="cellIs" dxfId="31637" priority="1888" operator="equal">
      <formula>"PTO"</formula>
    </cfRule>
  </conditionalFormatting>
  <conditionalFormatting sqref="R45">
    <cfRule type="cellIs" dxfId="31636" priority="1885" operator="equal">
      <formula>"OFF"</formula>
    </cfRule>
    <cfRule type="cellIs" dxfId="31635" priority="1886" operator="equal">
      <formula>"PTO"</formula>
    </cfRule>
  </conditionalFormatting>
  <conditionalFormatting sqref="R45">
    <cfRule type="cellIs" dxfId="31634" priority="1883" operator="equal">
      <formula>"OFF"</formula>
    </cfRule>
    <cfRule type="cellIs" dxfId="31633" priority="1884" operator="equal">
      <formula>"PTO"</formula>
    </cfRule>
  </conditionalFormatting>
  <conditionalFormatting sqref="R45">
    <cfRule type="cellIs" dxfId="31632" priority="1881" operator="equal">
      <formula>"OFF"</formula>
    </cfRule>
    <cfRule type="cellIs" dxfId="31631" priority="1882" operator="equal">
      <formula>"PTO"</formula>
    </cfRule>
  </conditionalFormatting>
  <conditionalFormatting sqref="R45">
    <cfRule type="cellIs" dxfId="31630" priority="1879" operator="equal">
      <formula>"OFF"</formula>
    </cfRule>
    <cfRule type="cellIs" dxfId="31629" priority="1880" operator="equal">
      <formula>"PTO"</formula>
    </cfRule>
  </conditionalFormatting>
  <conditionalFormatting sqref="R45">
    <cfRule type="cellIs" dxfId="31628" priority="1877" operator="equal">
      <formula>"OFF"</formula>
    </cfRule>
    <cfRule type="cellIs" dxfId="31627" priority="1878" operator="equal">
      <formula>"PTO"</formula>
    </cfRule>
  </conditionalFormatting>
  <conditionalFormatting sqref="R45">
    <cfRule type="cellIs" dxfId="31626" priority="1875" operator="equal">
      <formula>"OFF"</formula>
    </cfRule>
    <cfRule type="cellIs" dxfId="31625" priority="1876" operator="equal">
      <formula>"PTO"</formula>
    </cfRule>
  </conditionalFormatting>
  <conditionalFormatting sqref="R45">
    <cfRule type="cellIs" dxfId="31624" priority="1873" operator="equal">
      <formula>"OFF"</formula>
    </cfRule>
    <cfRule type="cellIs" dxfId="31623" priority="1874" operator="equal">
      <formula>"PTO"</formula>
    </cfRule>
  </conditionalFormatting>
  <conditionalFormatting sqref="R45">
    <cfRule type="cellIs" dxfId="31622" priority="1871" operator="equal">
      <formula>"OFF"</formula>
    </cfRule>
    <cfRule type="cellIs" dxfId="31621" priority="1872" operator="equal">
      <formula>"PTO"</formula>
    </cfRule>
  </conditionalFormatting>
  <conditionalFormatting sqref="R45">
    <cfRule type="cellIs" dxfId="31620" priority="1869" operator="equal">
      <formula>"OFF"</formula>
    </cfRule>
    <cfRule type="cellIs" dxfId="31619" priority="1870" operator="equal">
      <formula>"PTO"</formula>
    </cfRule>
  </conditionalFormatting>
  <conditionalFormatting sqref="R45">
    <cfRule type="cellIs" dxfId="31618" priority="1867" operator="equal">
      <formula>"OFF"</formula>
    </cfRule>
    <cfRule type="cellIs" dxfId="31617" priority="1868" operator="equal">
      <formula>"PTO"</formula>
    </cfRule>
  </conditionalFormatting>
  <conditionalFormatting sqref="R45">
    <cfRule type="cellIs" dxfId="31616" priority="1865" operator="equal">
      <formula>"OFF"</formula>
    </cfRule>
    <cfRule type="cellIs" dxfId="31615" priority="1866" operator="equal">
      <formula>"PTO"</formula>
    </cfRule>
  </conditionalFormatting>
  <conditionalFormatting sqref="R45">
    <cfRule type="cellIs" dxfId="31614" priority="1863" operator="equal">
      <formula>"OFF"</formula>
    </cfRule>
    <cfRule type="cellIs" dxfId="31613" priority="1864" operator="equal">
      <formula>"PTO"</formula>
    </cfRule>
  </conditionalFormatting>
  <conditionalFormatting sqref="R45">
    <cfRule type="cellIs" dxfId="31612" priority="1861" operator="equal">
      <formula>"OFF"</formula>
    </cfRule>
    <cfRule type="cellIs" dxfId="31611" priority="1862" operator="equal">
      <formula>"PTO"</formula>
    </cfRule>
  </conditionalFormatting>
  <conditionalFormatting sqref="R45">
    <cfRule type="cellIs" dxfId="31610" priority="1859" operator="equal">
      <formula>"OFF"</formula>
    </cfRule>
    <cfRule type="cellIs" dxfId="31609" priority="1860" operator="equal">
      <formula>"PTO"</formula>
    </cfRule>
  </conditionalFormatting>
  <conditionalFormatting sqref="R45">
    <cfRule type="cellIs" dxfId="31608" priority="1857" operator="equal">
      <formula>"OFF"</formula>
    </cfRule>
    <cfRule type="cellIs" dxfId="31607" priority="1858" operator="equal">
      <formula>"PTO"</formula>
    </cfRule>
  </conditionalFormatting>
  <conditionalFormatting sqref="R45">
    <cfRule type="cellIs" dxfId="31606" priority="1855" operator="equal">
      <formula>"OFF"</formula>
    </cfRule>
    <cfRule type="cellIs" dxfId="31605" priority="1856" operator="equal">
      <formula>"PTO"</formula>
    </cfRule>
  </conditionalFormatting>
  <conditionalFormatting sqref="R45">
    <cfRule type="cellIs" dxfId="31604" priority="1853" operator="equal">
      <formula>"OFF"</formula>
    </cfRule>
    <cfRule type="cellIs" dxfId="31603" priority="1854" operator="equal">
      <formula>"PTO"</formula>
    </cfRule>
  </conditionalFormatting>
  <conditionalFormatting sqref="R45">
    <cfRule type="cellIs" dxfId="31602" priority="1851" operator="equal">
      <formula>"OFF"</formula>
    </cfRule>
    <cfRule type="cellIs" dxfId="31601" priority="1852" operator="equal">
      <formula>"PTO"</formula>
    </cfRule>
  </conditionalFormatting>
  <conditionalFormatting sqref="R45">
    <cfRule type="cellIs" dxfId="31600" priority="1849" operator="equal">
      <formula>"OFF"</formula>
    </cfRule>
    <cfRule type="cellIs" dxfId="31599" priority="1850" operator="equal">
      <formula>"PTO"</formula>
    </cfRule>
  </conditionalFormatting>
  <conditionalFormatting sqref="R46">
    <cfRule type="cellIs" dxfId="31598" priority="1847" operator="equal">
      <formula>"OFF"</formula>
    </cfRule>
    <cfRule type="cellIs" dxfId="31597" priority="1848" operator="equal">
      <formula>"PTO"</formula>
    </cfRule>
  </conditionalFormatting>
  <conditionalFormatting sqref="R46">
    <cfRule type="cellIs" dxfId="31596" priority="1845" operator="equal">
      <formula>"OFF"</formula>
    </cfRule>
    <cfRule type="cellIs" dxfId="31595" priority="1846" operator="equal">
      <formula>"PTO"</formula>
    </cfRule>
  </conditionalFormatting>
  <conditionalFormatting sqref="R46">
    <cfRule type="cellIs" dxfId="31594" priority="1843" operator="equal">
      <formula>"OFF"</formula>
    </cfRule>
    <cfRule type="cellIs" dxfId="31593" priority="1844" operator="equal">
      <formula>"PTO"</formula>
    </cfRule>
  </conditionalFormatting>
  <conditionalFormatting sqref="R46">
    <cfRule type="cellIs" dxfId="31592" priority="1841" operator="equal">
      <formula>"OFF"</formula>
    </cfRule>
    <cfRule type="cellIs" dxfId="31591" priority="1842" operator="equal">
      <formula>"PTO"</formula>
    </cfRule>
  </conditionalFormatting>
  <conditionalFormatting sqref="R46">
    <cfRule type="cellIs" dxfId="31590" priority="1839" operator="equal">
      <formula>"OFF"</formula>
    </cfRule>
    <cfRule type="cellIs" dxfId="31589" priority="1840" operator="equal">
      <formula>"PTO"</formula>
    </cfRule>
  </conditionalFormatting>
  <conditionalFormatting sqref="R46">
    <cfRule type="cellIs" dxfId="31588" priority="1837" operator="equal">
      <formula>"OFF"</formula>
    </cfRule>
    <cfRule type="cellIs" dxfId="31587" priority="1838" operator="equal">
      <formula>"PTO"</formula>
    </cfRule>
  </conditionalFormatting>
  <conditionalFormatting sqref="R46">
    <cfRule type="cellIs" dxfId="31586" priority="1835" operator="equal">
      <formula>"OFF"</formula>
    </cfRule>
    <cfRule type="cellIs" dxfId="31585" priority="1836" operator="equal">
      <formula>"PTO"</formula>
    </cfRule>
  </conditionalFormatting>
  <conditionalFormatting sqref="R46">
    <cfRule type="cellIs" dxfId="31584" priority="1833" operator="equal">
      <formula>"OFF"</formula>
    </cfRule>
    <cfRule type="cellIs" dxfId="31583" priority="1834" operator="equal">
      <formula>"PTO"</formula>
    </cfRule>
  </conditionalFormatting>
  <conditionalFormatting sqref="R46">
    <cfRule type="cellIs" dxfId="31582" priority="1831" operator="equal">
      <formula>"OFF"</formula>
    </cfRule>
    <cfRule type="cellIs" dxfId="31581" priority="1832" operator="equal">
      <formula>"PTO"</formula>
    </cfRule>
  </conditionalFormatting>
  <conditionalFormatting sqref="R46">
    <cfRule type="cellIs" dxfId="31580" priority="1829" operator="equal">
      <formula>"OFF"</formula>
    </cfRule>
    <cfRule type="cellIs" dxfId="31579" priority="1830" operator="equal">
      <formula>"PTO"</formula>
    </cfRule>
  </conditionalFormatting>
  <conditionalFormatting sqref="R46">
    <cfRule type="cellIs" dxfId="31578" priority="1827" operator="equal">
      <formula>"OFF"</formula>
    </cfRule>
    <cfRule type="cellIs" dxfId="31577" priority="1828" operator="equal">
      <formula>"PTO"</formula>
    </cfRule>
  </conditionalFormatting>
  <conditionalFormatting sqref="R46">
    <cfRule type="cellIs" dxfId="31576" priority="1825" operator="equal">
      <formula>"OFF"</formula>
    </cfRule>
    <cfRule type="cellIs" dxfId="31575" priority="1826" operator="equal">
      <formula>"PTO"</formula>
    </cfRule>
  </conditionalFormatting>
  <conditionalFormatting sqref="R46">
    <cfRule type="cellIs" dxfId="31574" priority="1823" operator="equal">
      <formula>"OFF"</formula>
    </cfRule>
    <cfRule type="cellIs" dxfId="31573" priority="1824" operator="equal">
      <formula>"PTO"</formula>
    </cfRule>
  </conditionalFormatting>
  <conditionalFormatting sqref="R46">
    <cfRule type="cellIs" dxfId="31572" priority="1821" operator="equal">
      <formula>"OFF"</formula>
    </cfRule>
    <cfRule type="cellIs" dxfId="31571" priority="1822" operator="equal">
      <formula>"PTO"</formula>
    </cfRule>
  </conditionalFormatting>
  <conditionalFormatting sqref="R46">
    <cfRule type="cellIs" dxfId="31570" priority="1819" operator="equal">
      <formula>"OFF"</formula>
    </cfRule>
    <cfRule type="cellIs" dxfId="31569" priority="1820" operator="equal">
      <formula>"PTO"</formula>
    </cfRule>
  </conditionalFormatting>
  <conditionalFormatting sqref="R46">
    <cfRule type="cellIs" dxfId="31568" priority="1817" operator="equal">
      <formula>"OFF"</formula>
    </cfRule>
    <cfRule type="cellIs" dxfId="31567" priority="1818" operator="equal">
      <formula>"PTO"</formula>
    </cfRule>
  </conditionalFormatting>
  <conditionalFormatting sqref="R46">
    <cfRule type="cellIs" dxfId="31566" priority="1815" operator="equal">
      <formula>"OFF"</formula>
    </cfRule>
    <cfRule type="cellIs" dxfId="31565" priority="1816" operator="equal">
      <formula>"PTO"</formula>
    </cfRule>
  </conditionalFormatting>
  <conditionalFormatting sqref="R46">
    <cfRule type="cellIs" dxfId="31564" priority="1813" operator="equal">
      <formula>"OFF"</formula>
    </cfRule>
    <cfRule type="cellIs" dxfId="31563" priority="1814" operator="equal">
      <formula>"PTO"</formula>
    </cfRule>
  </conditionalFormatting>
  <conditionalFormatting sqref="R46">
    <cfRule type="cellIs" dxfId="31562" priority="1811" operator="equal">
      <formula>"OFF"</formula>
    </cfRule>
    <cfRule type="cellIs" dxfId="31561" priority="1812" operator="equal">
      <formula>"PTO"</formula>
    </cfRule>
  </conditionalFormatting>
  <conditionalFormatting sqref="R46">
    <cfRule type="cellIs" dxfId="31560" priority="1809" operator="equal">
      <formula>"OFF"</formula>
    </cfRule>
    <cfRule type="cellIs" dxfId="31559" priority="1810" operator="equal">
      <formula>"PTO"</formula>
    </cfRule>
  </conditionalFormatting>
  <conditionalFormatting sqref="R46">
    <cfRule type="cellIs" dxfId="31558" priority="1807" operator="equal">
      <formula>"OFF"</formula>
    </cfRule>
    <cfRule type="cellIs" dxfId="31557" priority="1808" operator="equal">
      <formula>"PTO"</formula>
    </cfRule>
  </conditionalFormatting>
  <conditionalFormatting sqref="R46">
    <cfRule type="cellIs" dxfId="31556" priority="1805" operator="equal">
      <formula>"OFF"</formula>
    </cfRule>
    <cfRule type="cellIs" dxfId="31555" priority="1806" operator="equal">
      <formula>"PTO"</formula>
    </cfRule>
  </conditionalFormatting>
  <conditionalFormatting sqref="R46">
    <cfRule type="cellIs" dxfId="31554" priority="1803" operator="equal">
      <formula>"OFF"</formula>
    </cfRule>
    <cfRule type="cellIs" dxfId="31553" priority="1804" operator="equal">
      <formula>"PTO"</formula>
    </cfRule>
  </conditionalFormatting>
  <conditionalFormatting sqref="R46">
    <cfRule type="cellIs" dxfId="31552" priority="1801" operator="equal">
      <formula>"OFF"</formula>
    </cfRule>
    <cfRule type="cellIs" dxfId="31551" priority="1802" operator="equal">
      <formula>"PTO"</formula>
    </cfRule>
  </conditionalFormatting>
  <conditionalFormatting sqref="R46">
    <cfRule type="cellIs" dxfId="31550" priority="1799" operator="equal">
      <formula>"OFF"</formula>
    </cfRule>
    <cfRule type="cellIs" dxfId="31549" priority="1800" operator="equal">
      <formula>"PTO"</formula>
    </cfRule>
  </conditionalFormatting>
  <conditionalFormatting sqref="R46">
    <cfRule type="cellIs" dxfId="31548" priority="1797" operator="equal">
      <formula>"OFF"</formula>
    </cfRule>
    <cfRule type="cellIs" dxfId="31547" priority="1798" operator="equal">
      <formula>"PTO"</formula>
    </cfRule>
  </conditionalFormatting>
  <conditionalFormatting sqref="R45">
    <cfRule type="cellIs" dxfId="31546" priority="1795" operator="equal">
      <formula>"OFF"</formula>
    </cfRule>
    <cfRule type="cellIs" dxfId="31545" priority="1796" operator="equal">
      <formula>"PTO"</formula>
    </cfRule>
  </conditionalFormatting>
  <conditionalFormatting sqref="R45">
    <cfRule type="cellIs" dxfId="31544" priority="1793" operator="equal">
      <formula>"OFF"</formula>
    </cfRule>
    <cfRule type="cellIs" dxfId="31543" priority="1794" operator="equal">
      <formula>"PTO"</formula>
    </cfRule>
  </conditionalFormatting>
  <conditionalFormatting sqref="R46">
    <cfRule type="cellIs" dxfId="31542" priority="1791" operator="equal">
      <formula>"OFF"</formula>
    </cfRule>
    <cfRule type="cellIs" dxfId="31541" priority="1792" operator="equal">
      <formula>"PTO"</formula>
    </cfRule>
  </conditionalFormatting>
  <conditionalFormatting sqref="R45">
    <cfRule type="cellIs" dxfId="31540" priority="1789" operator="equal">
      <formula>"OFF"</formula>
    </cfRule>
    <cfRule type="cellIs" dxfId="31539" priority="1790" operator="equal">
      <formula>"PTO"</formula>
    </cfRule>
  </conditionalFormatting>
  <conditionalFormatting sqref="R47">
    <cfRule type="cellIs" dxfId="31538" priority="1787" operator="equal">
      <formula>"OFF"</formula>
    </cfRule>
    <cfRule type="cellIs" dxfId="31537" priority="1788" operator="equal">
      <formula>"PTO"</formula>
    </cfRule>
  </conditionalFormatting>
  <conditionalFormatting sqref="R47">
    <cfRule type="cellIs" dxfId="31536" priority="1785" operator="equal">
      <formula>"OFF"</formula>
    </cfRule>
    <cfRule type="cellIs" dxfId="31535" priority="1786" operator="equal">
      <formula>"PTO"</formula>
    </cfRule>
  </conditionalFormatting>
  <conditionalFormatting sqref="R47">
    <cfRule type="cellIs" dxfId="31534" priority="1783" operator="equal">
      <formula>"OFF"</formula>
    </cfRule>
    <cfRule type="cellIs" dxfId="31533" priority="1784" operator="equal">
      <formula>"PTO"</formula>
    </cfRule>
  </conditionalFormatting>
  <conditionalFormatting sqref="R47">
    <cfRule type="cellIs" dxfId="31532" priority="1781" operator="equal">
      <formula>"OFF"</formula>
    </cfRule>
    <cfRule type="cellIs" dxfId="31531" priority="1782" operator="equal">
      <formula>"PTO"</formula>
    </cfRule>
  </conditionalFormatting>
  <conditionalFormatting sqref="R47">
    <cfRule type="cellIs" dxfId="31530" priority="1779" operator="equal">
      <formula>"OFF"</formula>
    </cfRule>
    <cfRule type="cellIs" dxfId="31529" priority="1780" operator="equal">
      <formula>"PTO"</formula>
    </cfRule>
  </conditionalFormatting>
  <conditionalFormatting sqref="R47">
    <cfRule type="cellIs" dxfId="31528" priority="1777" operator="equal">
      <formula>"OFF"</formula>
    </cfRule>
    <cfRule type="cellIs" dxfId="31527" priority="1778" operator="equal">
      <formula>"PTO"</formula>
    </cfRule>
  </conditionalFormatting>
  <conditionalFormatting sqref="R47">
    <cfRule type="cellIs" dxfId="31526" priority="1775" operator="equal">
      <formula>"OFF"</formula>
    </cfRule>
    <cfRule type="cellIs" dxfId="31525" priority="1776" operator="equal">
      <formula>"PTO"</formula>
    </cfRule>
  </conditionalFormatting>
  <conditionalFormatting sqref="R47">
    <cfRule type="cellIs" dxfId="31524" priority="1773" operator="equal">
      <formula>"OFF"</formula>
    </cfRule>
    <cfRule type="cellIs" dxfId="31523" priority="1774" operator="equal">
      <formula>"PTO"</formula>
    </cfRule>
  </conditionalFormatting>
  <conditionalFormatting sqref="R47">
    <cfRule type="cellIs" dxfId="31522" priority="1771" operator="equal">
      <formula>"OFF"</formula>
    </cfRule>
    <cfRule type="cellIs" dxfId="31521" priority="1772" operator="equal">
      <formula>"PTO"</formula>
    </cfRule>
  </conditionalFormatting>
  <conditionalFormatting sqref="R47">
    <cfRule type="cellIs" dxfId="31520" priority="1769" operator="equal">
      <formula>"OFF"</formula>
    </cfRule>
    <cfRule type="cellIs" dxfId="31519" priority="1770" operator="equal">
      <formula>"PTO"</formula>
    </cfRule>
  </conditionalFormatting>
  <conditionalFormatting sqref="R47">
    <cfRule type="cellIs" dxfId="31518" priority="1767" operator="equal">
      <formula>"OFF"</formula>
    </cfRule>
    <cfRule type="cellIs" dxfId="31517" priority="1768" operator="equal">
      <formula>"PTO"</formula>
    </cfRule>
  </conditionalFormatting>
  <conditionalFormatting sqref="R47">
    <cfRule type="cellIs" dxfId="31516" priority="1765" operator="equal">
      <formula>"OFF"</formula>
    </cfRule>
    <cfRule type="cellIs" dxfId="31515" priority="1766" operator="equal">
      <formula>"PTO"</formula>
    </cfRule>
  </conditionalFormatting>
  <conditionalFormatting sqref="R47">
    <cfRule type="cellIs" dxfId="31514" priority="1763" operator="equal">
      <formula>"OFF"</formula>
    </cfRule>
    <cfRule type="cellIs" dxfId="31513" priority="1764" operator="equal">
      <formula>"PTO"</formula>
    </cfRule>
  </conditionalFormatting>
  <conditionalFormatting sqref="R47">
    <cfRule type="cellIs" dxfId="31512" priority="1761" operator="equal">
      <formula>"OFF"</formula>
    </cfRule>
    <cfRule type="cellIs" dxfId="31511" priority="1762" operator="equal">
      <formula>"PTO"</formula>
    </cfRule>
  </conditionalFormatting>
  <conditionalFormatting sqref="R47">
    <cfRule type="cellIs" dxfId="31510" priority="1759" operator="equal">
      <formula>"OFF"</formula>
    </cfRule>
    <cfRule type="cellIs" dxfId="31509" priority="1760" operator="equal">
      <formula>"PTO"</formula>
    </cfRule>
  </conditionalFormatting>
  <conditionalFormatting sqref="R47">
    <cfRule type="cellIs" dxfId="31508" priority="1757" operator="equal">
      <formula>"OFF"</formula>
    </cfRule>
    <cfRule type="cellIs" dxfId="31507" priority="1758" operator="equal">
      <formula>"PTO"</formula>
    </cfRule>
  </conditionalFormatting>
  <conditionalFormatting sqref="R47">
    <cfRule type="cellIs" dxfId="31506" priority="1755" operator="equal">
      <formula>"OFF"</formula>
    </cfRule>
    <cfRule type="cellIs" dxfId="31505" priority="1756" operator="equal">
      <formula>"PTO"</formula>
    </cfRule>
  </conditionalFormatting>
  <conditionalFormatting sqref="R47">
    <cfRule type="cellIs" dxfId="31504" priority="1753" operator="equal">
      <formula>"OFF"</formula>
    </cfRule>
    <cfRule type="cellIs" dxfId="31503" priority="1754" operator="equal">
      <formula>"PTO"</formula>
    </cfRule>
  </conditionalFormatting>
  <conditionalFormatting sqref="R47">
    <cfRule type="cellIs" dxfId="31502" priority="1751" operator="equal">
      <formula>"OFF"</formula>
    </cfRule>
    <cfRule type="cellIs" dxfId="31501" priority="1752" operator="equal">
      <formula>"PTO"</formula>
    </cfRule>
  </conditionalFormatting>
  <conditionalFormatting sqref="R47">
    <cfRule type="cellIs" dxfId="31500" priority="1749" operator="equal">
      <formula>"OFF"</formula>
    </cfRule>
    <cfRule type="cellIs" dxfId="31499" priority="1750" operator="equal">
      <formula>"PTO"</formula>
    </cfRule>
  </conditionalFormatting>
  <conditionalFormatting sqref="R47">
    <cfRule type="cellIs" dxfId="31498" priority="1747" operator="equal">
      <formula>"OFF"</formula>
    </cfRule>
    <cfRule type="cellIs" dxfId="31497" priority="1748" operator="equal">
      <formula>"PTO"</formula>
    </cfRule>
  </conditionalFormatting>
  <conditionalFormatting sqref="R47">
    <cfRule type="cellIs" dxfId="31496" priority="1745" operator="equal">
      <formula>"OFF"</formula>
    </cfRule>
    <cfRule type="cellIs" dxfId="31495" priority="1746" operator="equal">
      <formula>"PTO"</formula>
    </cfRule>
  </conditionalFormatting>
  <conditionalFormatting sqref="R47">
    <cfRule type="cellIs" dxfId="31494" priority="1743" operator="equal">
      <formula>"OFF"</formula>
    </cfRule>
    <cfRule type="cellIs" dxfId="31493" priority="1744" operator="equal">
      <formula>"PTO"</formula>
    </cfRule>
  </conditionalFormatting>
  <conditionalFormatting sqref="R47">
    <cfRule type="cellIs" dxfId="31492" priority="1741" operator="equal">
      <formula>"OFF"</formula>
    </cfRule>
    <cfRule type="cellIs" dxfId="31491" priority="1742" operator="equal">
      <formula>"PTO"</formula>
    </cfRule>
  </conditionalFormatting>
  <conditionalFormatting sqref="R47">
    <cfRule type="cellIs" dxfId="31490" priority="1739" operator="equal">
      <formula>"OFF"</formula>
    </cfRule>
    <cfRule type="cellIs" dxfId="31489" priority="1740" operator="equal">
      <formula>"PTO"</formula>
    </cfRule>
  </conditionalFormatting>
  <conditionalFormatting sqref="R48">
    <cfRule type="cellIs" dxfId="31488" priority="1737" operator="equal">
      <formula>"OFF"</formula>
    </cfRule>
    <cfRule type="cellIs" dxfId="31487" priority="1738" operator="equal">
      <formula>"PTO"</formula>
    </cfRule>
  </conditionalFormatting>
  <conditionalFormatting sqref="R48">
    <cfRule type="cellIs" dxfId="31486" priority="1735" operator="equal">
      <formula>"OFF"</formula>
    </cfRule>
    <cfRule type="cellIs" dxfId="31485" priority="1736" operator="equal">
      <formula>"PTO"</formula>
    </cfRule>
  </conditionalFormatting>
  <conditionalFormatting sqref="R48">
    <cfRule type="cellIs" dxfId="31484" priority="1733" operator="equal">
      <formula>"OFF"</formula>
    </cfRule>
    <cfRule type="cellIs" dxfId="31483" priority="1734" operator="equal">
      <formula>"PTO"</formula>
    </cfRule>
  </conditionalFormatting>
  <conditionalFormatting sqref="R48">
    <cfRule type="cellIs" dxfId="31482" priority="1731" operator="equal">
      <formula>"OFF"</formula>
    </cfRule>
    <cfRule type="cellIs" dxfId="31481" priority="1732" operator="equal">
      <formula>"PTO"</formula>
    </cfRule>
  </conditionalFormatting>
  <conditionalFormatting sqref="R48">
    <cfRule type="cellIs" dxfId="31480" priority="1729" operator="equal">
      <formula>"OFF"</formula>
    </cfRule>
    <cfRule type="cellIs" dxfId="31479" priority="1730" operator="equal">
      <formula>"PTO"</formula>
    </cfRule>
  </conditionalFormatting>
  <conditionalFormatting sqref="R48">
    <cfRule type="cellIs" dxfId="31478" priority="1727" operator="equal">
      <formula>"OFF"</formula>
    </cfRule>
    <cfRule type="cellIs" dxfId="31477" priority="1728" operator="equal">
      <formula>"PTO"</formula>
    </cfRule>
  </conditionalFormatting>
  <conditionalFormatting sqref="R48">
    <cfRule type="cellIs" dxfId="31476" priority="1725" operator="equal">
      <formula>"OFF"</formula>
    </cfRule>
    <cfRule type="cellIs" dxfId="31475" priority="1726" operator="equal">
      <formula>"PTO"</formula>
    </cfRule>
  </conditionalFormatting>
  <conditionalFormatting sqref="R48">
    <cfRule type="cellIs" dxfId="31474" priority="1723" operator="equal">
      <formula>"OFF"</formula>
    </cfRule>
    <cfRule type="cellIs" dxfId="31473" priority="1724" operator="equal">
      <formula>"PTO"</formula>
    </cfRule>
  </conditionalFormatting>
  <conditionalFormatting sqref="R48">
    <cfRule type="cellIs" dxfId="31472" priority="1721" operator="equal">
      <formula>"OFF"</formula>
    </cfRule>
    <cfRule type="cellIs" dxfId="31471" priority="1722" operator="equal">
      <formula>"PTO"</formula>
    </cfRule>
  </conditionalFormatting>
  <conditionalFormatting sqref="R48">
    <cfRule type="cellIs" dxfId="31470" priority="1719" operator="equal">
      <formula>"OFF"</formula>
    </cfRule>
    <cfRule type="cellIs" dxfId="31469" priority="1720" operator="equal">
      <formula>"PTO"</formula>
    </cfRule>
  </conditionalFormatting>
  <conditionalFormatting sqref="R47">
    <cfRule type="cellIs" dxfId="31468" priority="1717" operator="equal">
      <formula>"OFF"</formula>
    </cfRule>
    <cfRule type="cellIs" dxfId="31467" priority="1718" operator="equal">
      <formula>"PTO"</formula>
    </cfRule>
  </conditionalFormatting>
  <conditionalFormatting sqref="R47">
    <cfRule type="cellIs" dxfId="31466" priority="1715" operator="equal">
      <formula>"OFF"</formula>
    </cfRule>
    <cfRule type="cellIs" dxfId="31465" priority="1716" operator="equal">
      <formula>"PTO"</formula>
    </cfRule>
  </conditionalFormatting>
  <conditionalFormatting sqref="R47">
    <cfRule type="cellIs" dxfId="31464" priority="1713" operator="equal">
      <formula>"OFF"</formula>
    </cfRule>
    <cfRule type="cellIs" dxfId="31463" priority="1714" operator="equal">
      <formula>"PTO"</formula>
    </cfRule>
  </conditionalFormatting>
  <conditionalFormatting sqref="R47">
    <cfRule type="cellIs" dxfId="31462" priority="1711" operator="equal">
      <formula>"OFF"</formula>
    </cfRule>
    <cfRule type="cellIs" dxfId="31461" priority="1712" operator="equal">
      <formula>"PTO"</formula>
    </cfRule>
  </conditionalFormatting>
  <conditionalFormatting sqref="R47">
    <cfRule type="cellIs" dxfId="31460" priority="1709" operator="equal">
      <formula>"OFF"</formula>
    </cfRule>
    <cfRule type="cellIs" dxfId="31459" priority="1710" operator="equal">
      <formula>"PTO"</formula>
    </cfRule>
  </conditionalFormatting>
  <conditionalFormatting sqref="R47">
    <cfRule type="cellIs" dxfId="31458" priority="1707" operator="equal">
      <formula>"OFF"</formula>
    </cfRule>
    <cfRule type="cellIs" dxfId="31457" priority="1708" operator="equal">
      <formula>"PTO"</formula>
    </cfRule>
  </conditionalFormatting>
  <conditionalFormatting sqref="R47">
    <cfRule type="cellIs" dxfId="31456" priority="1705" operator="equal">
      <formula>"OFF"</formula>
    </cfRule>
    <cfRule type="cellIs" dxfId="31455" priority="1706" operator="equal">
      <formula>"PTO"</formula>
    </cfRule>
  </conditionalFormatting>
  <conditionalFormatting sqref="R47">
    <cfRule type="cellIs" dxfId="31454" priority="1703" operator="equal">
      <formula>"OFF"</formula>
    </cfRule>
    <cfRule type="cellIs" dxfId="31453" priority="1704" operator="equal">
      <formula>"PTO"</formula>
    </cfRule>
  </conditionalFormatting>
  <conditionalFormatting sqref="R47">
    <cfRule type="cellIs" dxfId="31452" priority="1701" operator="equal">
      <formula>"OFF"</formula>
    </cfRule>
    <cfRule type="cellIs" dxfId="31451" priority="1702" operator="equal">
      <formula>"PTO"</formula>
    </cfRule>
  </conditionalFormatting>
  <conditionalFormatting sqref="R49">
    <cfRule type="cellIs" dxfId="31450" priority="1699" operator="equal">
      <formula>"OFF"</formula>
    </cfRule>
    <cfRule type="cellIs" dxfId="31449" priority="1700" operator="equal">
      <formula>"PTO"</formula>
    </cfRule>
  </conditionalFormatting>
  <conditionalFormatting sqref="T45:T50">
    <cfRule type="cellIs" dxfId="31448" priority="1697" operator="equal">
      <formula>"OFF"</formula>
    </cfRule>
    <cfRule type="cellIs" dxfId="31447" priority="1698" operator="equal">
      <formula>"PTO"</formula>
    </cfRule>
  </conditionalFormatting>
  <conditionalFormatting sqref="T48">
    <cfRule type="cellIs" dxfId="31446" priority="1695" operator="equal">
      <formula>"OFF"</formula>
    </cfRule>
    <cfRule type="cellIs" dxfId="31445" priority="1696" operator="equal">
      <formula>"PTO"</formula>
    </cfRule>
  </conditionalFormatting>
  <conditionalFormatting sqref="T48">
    <cfRule type="cellIs" dxfId="31444" priority="1693" operator="equal">
      <formula>"OFF"</formula>
    </cfRule>
    <cfRule type="cellIs" dxfId="31443" priority="1694" operator="equal">
      <formula>"PTO"</formula>
    </cfRule>
  </conditionalFormatting>
  <conditionalFormatting sqref="T48">
    <cfRule type="cellIs" dxfId="31442" priority="1691" operator="equal">
      <formula>"OFF"</formula>
    </cfRule>
    <cfRule type="cellIs" dxfId="31441" priority="1692" operator="equal">
      <formula>"PTO"</formula>
    </cfRule>
  </conditionalFormatting>
  <conditionalFormatting sqref="T48">
    <cfRule type="cellIs" dxfId="31440" priority="1689" operator="equal">
      <formula>"OFF"</formula>
    </cfRule>
    <cfRule type="cellIs" dxfId="31439" priority="1690" operator="equal">
      <formula>"PTO"</formula>
    </cfRule>
  </conditionalFormatting>
  <conditionalFormatting sqref="T45">
    <cfRule type="cellIs" dxfId="31438" priority="1687" operator="equal">
      <formula>"OFF"</formula>
    </cfRule>
    <cfRule type="cellIs" dxfId="31437" priority="1688" operator="equal">
      <formula>"PTO"</formula>
    </cfRule>
  </conditionalFormatting>
  <conditionalFormatting sqref="T45">
    <cfRule type="cellIs" dxfId="31436" priority="1685" operator="equal">
      <formula>"OFF"</formula>
    </cfRule>
    <cfRule type="cellIs" dxfId="31435" priority="1686" operator="equal">
      <formula>"PTO"</formula>
    </cfRule>
  </conditionalFormatting>
  <conditionalFormatting sqref="T48">
    <cfRule type="cellIs" dxfId="31434" priority="1683" operator="equal">
      <formula>"OFF"</formula>
    </cfRule>
    <cfRule type="cellIs" dxfId="31433" priority="1684" operator="equal">
      <formula>"PTO"</formula>
    </cfRule>
  </conditionalFormatting>
  <conditionalFormatting sqref="T45">
    <cfRule type="cellIs" dxfId="31432" priority="1681" operator="equal">
      <formula>"OFF"</formula>
    </cfRule>
    <cfRule type="cellIs" dxfId="31431" priority="1682" operator="equal">
      <formula>"PTO"</formula>
    </cfRule>
  </conditionalFormatting>
  <conditionalFormatting sqref="T50">
    <cfRule type="cellIs" dxfId="31430" priority="1679" operator="equal">
      <formula>"OFF"</formula>
    </cfRule>
    <cfRule type="cellIs" dxfId="31429" priority="1680" operator="equal">
      <formula>"PTO"</formula>
    </cfRule>
  </conditionalFormatting>
  <conditionalFormatting sqref="T48">
    <cfRule type="cellIs" dxfId="31428" priority="1677" operator="equal">
      <formula>"OFF"</formula>
    </cfRule>
    <cfRule type="cellIs" dxfId="31427" priority="1678" operator="equal">
      <formula>"PTO"</formula>
    </cfRule>
  </conditionalFormatting>
  <conditionalFormatting sqref="T48">
    <cfRule type="cellIs" dxfId="31426" priority="1675" operator="equal">
      <formula>"OFF"</formula>
    </cfRule>
    <cfRule type="cellIs" dxfId="31425" priority="1676" operator="equal">
      <formula>"PTO"</formula>
    </cfRule>
  </conditionalFormatting>
  <conditionalFormatting sqref="T48">
    <cfRule type="cellIs" dxfId="31424" priority="1673" operator="equal">
      <formula>"OFF"</formula>
    </cfRule>
    <cfRule type="cellIs" dxfId="31423" priority="1674" operator="equal">
      <formula>"PTO"</formula>
    </cfRule>
  </conditionalFormatting>
  <conditionalFormatting sqref="T48">
    <cfRule type="cellIs" dxfId="31422" priority="1671" operator="equal">
      <formula>"OFF"</formula>
    </cfRule>
    <cfRule type="cellIs" dxfId="31421" priority="1672" operator="equal">
      <formula>"PTO"</formula>
    </cfRule>
  </conditionalFormatting>
  <conditionalFormatting sqref="T48">
    <cfRule type="cellIs" dxfId="31420" priority="1669" operator="equal">
      <formula>"OFF"</formula>
    </cfRule>
    <cfRule type="cellIs" dxfId="31419" priority="1670" operator="equal">
      <formula>"PTO"</formula>
    </cfRule>
  </conditionalFormatting>
  <conditionalFormatting sqref="T48">
    <cfRule type="cellIs" dxfId="31418" priority="1667" operator="equal">
      <formula>"OFF"</formula>
    </cfRule>
    <cfRule type="cellIs" dxfId="31417" priority="1668" operator="equal">
      <formula>"PTO"</formula>
    </cfRule>
  </conditionalFormatting>
  <conditionalFormatting sqref="T48">
    <cfRule type="cellIs" dxfId="31416" priority="1665" operator="equal">
      <formula>"OFF"</formula>
    </cfRule>
    <cfRule type="cellIs" dxfId="31415" priority="1666" operator="equal">
      <formula>"PTO"</formula>
    </cfRule>
  </conditionalFormatting>
  <conditionalFormatting sqref="T48">
    <cfRule type="cellIs" dxfId="31414" priority="1663" operator="equal">
      <formula>"OFF"</formula>
    </cfRule>
    <cfRule type="cellIs" dxfId="31413" priority="1664" operator="equal">
      <formula>"PTO"</formula>
    </cfRule>
  </conditionalFormatting>
  <conditionalFormatting sqref="T48">
    <cfRule type="cellIs" dxfId="31412" priority="1661" operator="equal">
      <formula>"OFF"</formula>
    </cfRule>
    <cfRule type="cellIs" dxfId="31411" priority="1662" operator="equal">
      <formula>"PTO"</formula>
    </cfRule>
  </conditionalFormatting>
  <conditionalFormatting sqref="T48">
    <cfRule type="cellIs" dxfId="31410" priority="1659" operator="equal">
      <formula>"OFF"</formula>
    </cfRule>
    <cfRule type="cellIs" dxfId="31409" priority="1660" operator="equal">
      <formula>"PTO"</formula>
    </cfRule>
  </conditionalFormatting>
  <conditionalFormatting sqref="T48">
    <cfRule type="cellIs" dxfId="31408" priority="1657" operator="equal">
      <formula>"OFF"</formula>
    </cfRule>
    <cfRule type="cellIs" dxfId="31407" priority="1658" operator="equal">
      <formula>"PTO"</formula>
    </cfRule>
  </conditionalFormatting>
  <conditionalFormatting sqref="T48">
    <cfRule type="cellIs" dxfId="31406" priority="1655" operator="equal">
      <formula>"OFF"</formula>
    </cfRule>
    <cfRule type="cellIs" dxfId="31405" priority="1656" operator="equal">
      <formula>"PTO"</formula>
    </cfRule>
  </conditionalFormatting>
  <conditionalFormatting sqref="T48">
    <cfRule type="cellIs" dxfId="31404" priority="1653" operator="equal">
      <formula>"OFF"</formula>
    </cfRule>
    <cfRule type="cellIs" dxfId="31403" priority="1654" operator="equal">
      <formula>"PTO"</formula>
    </cfRule>
  </conditionalFormatting>
  <conditionalFormatting sqref="T48">
    <cfRule type="cellIs" dxfId="31402" priority="1651" operator="equal">
      <formula>"OFF"</formula>
    </cfRule>
    <cfRule type="cellIs" dxfId="31401" priority="1652" operator="equal">
      <formula>"PTO"</formula>
    </cfRule>
  </conditionalFormatting>
  <conditionalFormatting sqref="T48">
    <cfRule type="cellIs" dxfId="31400" priority="1649" operator="equal">
      <formula>"OFF"</formula>
    </cfRule>
    <cfRule type="cellIs" dxfId="31399" priority="1650" operator="equal">
      <formula>"PTO"</formula>
    </cfRule>
  </conditionalFormatting>
  <conditionalFormatting sqref="T48">
    <cfRule type="cellIs" dxfId="31398" priority="1647" operator="equal">
      <formula>"OFF"</formula>
    </cfRule>
    <cfRule type="cellIs" dxfId="31397" priority="1648" operator="equal">
      <formula>"PTO"</formula>
    </cfRule>
  </conditionalFormatting>
  <conditionalFormatting sqref="T48">
    <cfRule type="cellIs" dxfId="31396" priority="1645" operator="equal">
      <formula>"OFF"</formula>
    </cfRule>
    <cfRule type="cellIs" dxfId="31395" priority="1646" operator="equal">
      <formula>"PTO"</formula>
    </cfRule>
  </conditionalFormatting>
  <conditionalFormatting sqref="T48">
    <cfRule type="cellIs" dxfId="31394" priority="1643" operator="equal">
      <formula>"OFF"</formula>
    </cfRule>
    <cfRule type="cellIs" dxfId="31393" priority="1644" operator="equal">
      <formula>"PTO"</formula>
    </cfRule>
  </conditionalFormatting>
  <conditionalFormatting sqref="T48">
    <cfRule type="cellIs" dxfId="31392" priority="1641" operator="equal">
      <formula>"OFF"</formula>
    </cfRule>
    <cfRule type="cellIs" dxfId="31391" priority="1642" operator="equal">
      <formula>"PTO"</formula>
    </cfRule>
  </conditionalFormatting>
  <conditionalFormatting sqref="T48">
    <cfRule type="cellIs" dxfId="31390" priority="1639" operator="equal">
      <formula>"OFF"</formula>
    </cfRule>
    <cfRule type="cellIs" dxfId="31389" priority="1640" operator="equal">
      <formula>"PTO"</formula>
    </cfRule>
  </conditionalFormatting>
  <conditionalFormatting sqref="T43">
    <cfRule type="cellIs" dxfId="31388" priority="1637" operator="equal">
      <formula>"OFF"</formula>
    </cfRule>
    <cfRule type="cellIs" dxfId="31387" priority="1638" operator="equal">
      <formula>"PTO"</formula>
    </cfRule>
  </conditionalFormatting>
  <conditionalFormatting sqref="T43">
    <cfRule type="cellIs" dxfId="31386" priority="1635" operator="equal">
      <formula>"OFF"</formula>
    </cfRule>
    <cfRule type="cellIs" dxfId="31385" priority="1636" operator="equal">
      <formula>"PTO"</formula>
    </cfRule>
  </conditionalFormatting>
  <conditionalFormatting sqref="T43">
    <cfRule type="cellIs" dxfId="31384" priority="1633" operator="equal">
      <formula>"OFF"</formula>
    </cfRule>
    <cfRule type="cellIs" dxfId="31383" priority="1634" operator="equal">
      <formula>"PTO"</formula>
    </cfRule>
  </conditionalFormatting>
  <conditionalFormatting sqref="T43">
    <cfRule type="cellIs" dxfId="31382" priority="1631" operator="equal">
      <formula>"OFF"</formula>
    </cfRule>
    <cfRule type="cellIs" dxfId="31381" priority="1632" operator="equal">
      <formula>"PTO"</formula>
    </cfRule>
  </conditionalFormatting>
  <conditionalFormatting sqref="T49">
    <cfRule type="cellIs" dxfId="31380" priority="1629" operator="equal">
      <formula>"OFF"</formula>
    </cfRule>
    <cfRule type="cellIs" dxfId="31379" priority="1630" operator="equal">
      <formula>"PTO"</formula>
    </cfRule>
  </conditionalFormatting>
  <conditionalFormatting sqref="T49">
    <cfRule type="cellIs" dxfId="31378" priority="1627" operator="equal">
      <formula>"OFF"</formula>
    </cfRule>
    <cfRule type="cellIs" dxfId="31377" priority="1628" operator="equal">
      <formula>"PTO"</formula>
    </cfRule>
  </conditionalFormatting>
  <conditionalFormatting sqref="T49">
    <cfRule type="cellIs" dxfId="31376" priority="1625" operator="equal">
      <formula>"OFF"</formula>
    </cfRule>
    <cfRule type="cellIs" dxfId="31375" priority="1626" operator="equal">
      <formula>"PTO"</formula>
    </cfRule>
  </conditionalFormatting>
  <conditionalFormatting sqref="T49">
    <cfRule type="cellIs" dxfId="31374" priority="1623" operator="equal">
      <formula>"OFF"</formula>
    </cfRule>
    <cfRule type="cellIs" dxfId="31373" priority="1624" operator="equal">
      <formula>"PTO"</formula>
    </cfRule>
  </conditionalFormatting>
  <conditionalFormatting sqref="T49">
    <cfRule type="cellIs" dxfId="31372" priority="1621" operator="equal">
      <formula>"OFF"</formula>
    </cfRule>
    <cfRule type="cellIs" dxfId="31371" priority="1622" operator="equal">
      <formula>"PTO"</formula>
    </cfRule>
  </conditionalFormatting>
  <conditionalFormatting sqref="T49">
    <cfRule type="cellIs" dxfId="31370" priority="1619" operator="equal">
      <formula>"OFF"</formula>
    </cfRule>
    <cfRule type="cellIs" dxfId="31369" priority="1620" operator="equal">
      <formula>"PTO"</formula>
    </cfRule>
  </conditionalFormatting>
  <conditionalFormatting sqref="T49">
    <cfRule type="cellIs" dxfId="31368" priority="1617" operator="equal">
      <formula>"OFF"</formula>
    </cfRule>
    <cfRule type="cellIs" dxfId="31367" priority="1618" operator="equal">
      <formula>"PTO"</formula>
    </cfRule>
  </conditionalFormatting>
  <conditionalFormatting sqref="T49">
    <cfRule type="cellIs" dxfId="31366" priority="1615" operator="equal">
      <formula>"OFF"</formula>
    </cfRule>
    <cfRule type="cellIs" dxfId="31365" priority="1616" operator="equal">
      <formula>"PTO"</formula>
    </cfRule>
  </conditionalFormatting>
  <conditionalFormatting sqref="T49">
    <cfRule type="cellIs" dxfId="31364" priority="1613" operator="equal">
      <formula>"OFF"</formula>
    </cfRule>
    <cfRule type="cellIs" dxfId="31363" priority="1614" operator="equal">
      <formula>"PTO"</formula>
    </cfRule>
  </conditionalFormatting>
  <conditionalFormatting sqref="T47">
    <cfRule type="cellIs" dxfId="31362" priority="1611" operator="equal">
      <formula>"OFF"</formula>
    </cfRule>
    <cfRule type="cellIs" dxfId="31361" priority="1612" operator="equal">
      <formula>"PTO"</formula>
    </cfRule>
  </conditionalFormatting>
  <conditionalFormatting sqref="T47">
    <cfRule type="cellIs" dxfId="31360" priority="1609" operator="equal">
      <formula>"OFF"</formula>
    </cfRule>
    <cfRule type="cellIs" dxfId="31359" priority="1610" operator="equal">
      <formula>"PTO"</formula>
    </cfRule>
  </conditionalFormatting>
  <conditionalFormatting sqref="T45">
    <cfRule type="cellIs" dxfId="31358" priority="1607" operator="equal">
      <formula>"OFF"</formula>
    </cfRule>
    <cfRule type="cellIs" dxfId="31357" priority="1608" operator="equal">
      <formula>"PTO"</formula>
    </cfRule>
  </conditionalFormatting>
  <conditionalFormatting sqref="T45">
    <cfRule type="cellIs" dxfId="31356" priority="1605" operator="equal">
      <formula>"OFF"</formula>
    </cfRule>
    <cfRule type="cellIs" dxfId="31355" priority="1606" operator="equal">
      <formula>"PTO"</formula>
    </cfRule>
  </conditionalFormatting>
  <conditionalFormatting sqref="T45">
    <cfRule type="cellIs" dxfId="31354" priority="1603" operator="equal">
      <formula>"OFF"</formula>
    </cfRule>
    <cfRule type="cellIs" dxfId="31353" priority="1604" operator="equal">
      <formula>"PTO"</formula>
    </cfRule>
  </conditionalFormatting>
  <conditionalFormatting sqref="T46">
    <cfRule type="cellIs" dxfId="31352" priority="1601" operator="equal">
      <formula>"OFF"</formula>
    </cfRule>
    <cfRule type="cellIs" dxfId="31351" priority="1602" operator="equal">
      <formula>"PTO"</formula>
    </cfRule>
  </conditionalFormatting>
  <conditionalFormatting sqref="T46">
    <cfRule type="cellIs" dxfId="31350" priority="1599" operator="equal">
      <formula>"OFF"</formula>
    </cfRule>
    <cfRule type="cellIs" dxfId="31349" priority="1600" operator="equal">
      <formula>"PTO"</formula>
    </cfRule>
  </conditionalFormatting>
  <conditionalFormatting sqref="T46">
    <cfRule type="cellIs" dxfId="31348" priority="1597" operator="equal">
      <formula>"OFF"</formula>
    </cfRule>
    <cfRule type="cellIs" dxfId="31347" priority="1598" operator="equal">
      <formula>"PTO"</formula>
    </cfRule>
  </conditionalFormatting>
  <conditionalFormatting sqref="T46">
    <cfRule type="cellIs" dxfId="31346" priority="1595" operator="equal">
      <formula>"OFF"</formula>
    </cfRule>
    <cfRule type="cellIs" dxfId="31345" priority="1596" operator="equal">
      <formula>"PTO"</formula>
    </cfRule>
  </conditionalFormatting>
  <conditionalFormatting sqref="T46">
    <cfRule type="cellIs" dxfId="31344" priority="1593" operator="equal">
      <formula>"OFF"</formula>
    </cfRule>
    <cfRule type="cellIs" dxfId="31343" priority="1594" operator="equal">
      <formula>"PTO"</formula>
    </cfRule>
  </conditionalFormatting>
  <conditionalFormatting sqref="T46">
    <cfRule type="cellIs" dxfId="31342" priority="1591" operator="equal">
      <formula>"OFF"</formula>
    </cfRule>
    <cfRule type="cellIs" dxfId="31341" priority="1592" operator="equal">
      <formula>"PTO"</formula>
    </cfRule>
  </conditionalFormatting>
  <conditionalFormatting sqref="T46">
    <cfRule type="cellIs" dxfId="31340" priority="1589" operator="equal">
      <formula>"OFF"</formula>
    </cfRule>
    <cfRule type="cellIs" dxfId="31339" priority="1590" operator="equal">
      <formula>"PTO"</formula>
    </cfRule>
  </conditionalFormatting>
  <conditionalFormatting sqref="T46">
    <cfRule type="cellIs" dxfId="31338" priority="1587" operator="equal">
      <formula>"OFF"</formula>
    </cfRule>
    <cfRule type="cellIs" dxfId="31337" priority="1588" operator="equal">
      <formula>"PTO"</formula>
    </cfRule>
  </conditionalFormatting>
  <conditionalFormatting sqref="T46">
    <cfRule type="cellIs" dxfId="31336" priority="1585" operator="equal">
      <formula>"OFF"</formula>
    </cfRule>
    <cfRule type="cellIs" dxfId="31335" priority="1586" operator="equal">
      <formula>"PTO"</formula>
    </cfRule>
  </conditionalFormatting>
  <conditionalFormatting sqref="T46">
    <cfRule type="cellIs" dxfId="31334" priority="1583" operator="equal">
      <formula>"OFF"</formula>
    </cfRule>
    <cfRule type="cellIs" dxfId="31333" priority="1584" operator="equal">
      <formula>"PTO"</formula>
    </cfRule>
  </conditionalFormatting>
  <conditionalFormatting sqref="T46">
    <cfRule type="cellIs" dxfId="31332" priority="1581" operator="equal">
      <formula>"OFF"</formula>
    </cfRule>
    <cfRule type="cellIs" dxfId="31331" priority="1582" operator="equal">
      <formula>"PTO"</formula>
    </cfRule>
  </conditionalFormatting>
  <conditionalFormatting sqref="T46">
    <cfRule type="cellIs" dxfId="31330" priority="1579" operator="equal">
      <formula>"OFF"</formula>
    </cfRule>
    <cfRule type="cellIs" dxfId="31329" priority="1580" operator="equal">
      <formula>"PTO"</formula>
    </cfRule>
  </conditionalFormatting>
  <conditionalFormatting sqref="T46">
    <cfRule type="cellIs" dxfId="31328" priority="1577" operator="equal">
      <formula>"OFF"</formula>
    </cfRule>
    <cfRule type="cellIs" dxfId="31327" priority="1578" operator="equal">
      <formula>"PTO"</formula>
    </cfRule>
  </conditionalFormatting>
  <conditionalFormatting sqref="T46">
    <cfRule type="cellIs" dxfId="31326" priority="1575" operator="equal">
      <formula>"OFF"</formula>
    </cfRule>
    <cfRule type="cellIs" dxfId="31325" priority="1576" operator="equal">
      <formula>"PTO"</formula>
    </cfRule>
  </conditionalFormatting>
  <conditionalFormatting sqref="T46">
    <cfRule type="cellIs" dxfId="31324" priority="1573" operator="equal">
      <formula>"OFF"</formula>
    </cfRule>
    <cfRule type="cellIs" dxfId="31323" priority="1574" operator="equal">
      <formula>"PTO"</formula>
    </cfRule>
  </conditionalFormatting>
  <conditionalFormatting sqref="T46">
    <cfRule type="cellIs" dxfId="31322" priority="1571" operator="equal">
      <formula>"OFF"</formula>
    </cfRule>
    <cfRule type="cellIs" dxfId="31321" priority="1572" operator="equal">
      <formula>"PTO"</formula>
    </cfRule>
  </conditionalFormatting>
  <conditionalFormatting sqref="T46">
    <cfRule type="cellIs" dxfId="31320" priority="1569" operator="equal">
      <formula>"OFF"</formula>
    </cfRule>
    <cfRule type="cellIs" dxfId="31319" priority="1570" operator="equal">
      <formula>"PTO"</formula>
    </cfRule>
  </conditionalFormatting>
  <conditionalFormatting sqref="T46">
    <cfRule type="cellIs" dxfId="31318" priority="1567" operator="equal">
      <formula>"OFF"</formula>
    </cfRule>
    <cfRule type="cellIs" dxfId="31317" priority="1568" operator="equal">
      <formula>"PTO"</formula>
    </cfRule>
  </conditionalFormatting>
  <conditionalFormatting sqref="T46">
    <cfRule type="cellIs" dxfId="31316" priority="1565" operator="equal">
      <formula>"OFF"</formula>
    </cfRule>
    <cfRule type="cellIs" dxfId="31315" priority="1566" operator="equal">
      <formula>"PTO"</formula>
    </cfRule>
  </conditionalFormatting>
  <conditionalFormatting sqref="T46">
    <cfRule type="cellIs" dxfId="31314" priority="1563" operator="equal">
      <formula>"OFF"</formula>
    </cfRule>
    <cfRule type="cellIs" dxfId="31313" priority="1564" operator="equal">
      <formula>"PTO"</formula>
    </cfRule>
  </conditionalFormatting>
  <conditionalFormatting sqref="T46">
    <cfRule type="cellIs" dxfId="31312" priority="1561" operator="equal">
      <formula>"OFF"</formula>
    </cfRule>
    <cfRule type="cellIs" dxfId="31311" priority="1562" operator="equal">
      <formula>"PTO"</formula>
    </cfRule>
  </conditionalFormatting>
  <conditionalFormatting sqref="T46">
    <cfRule type="cellIs" dxfId="31310" priority="1559" operator="equal">
      <formula>"OFF"</formula>
    </cfRule>
    <cfRule type="cellIs" dxfId="31309" priority="1560" operator="equal">
      <formula>"PTO"</formula>
    </cfRule>
  </conditionalFormatting>
  <conditionalFormatting sqref="T46">
    <cfRule type="cellIs" dxfId="31308" priority="1557" operator="equal">
      <formula>"OFF"</formula>
    </cfRule>
    <cfRule type="cellIs" dxfId="31307" priority="1558" operator="equal">
      <formula>"PTO"</formula>
    </cfRule>
  </conditionalFormatting>
  <conditionalFormatting sqref="T46">
    <cfRule type="cellIs" dxfId="31306" priority="1555" operator="equal">
      <formula>"OFF"</formula>
    </cfRule>
    <cfRule type="cellIs" dxfId="31305" priority="1556" operator="equal">
      <formula>"PTO"</formula>
    </cfRule>
  </conditionalFormatting>
  <conditionalFormatting sqref="T46">
    <cfRule type="cellIs" dxfId="31304" priority="1553" operator="equal">
      <formula>"OFF"</formula>
    </cfRule>
    <cfRule type="cellIs" dxfId="31303" priority="1554" operator="equal">
      <formula>"PTO"</formula>
    </cfRule>
  </conditionalFormatting>
  <conditionalFormatting sqref="T46">
    <cfRule type="cellIs" dxfId="31302" priority="1551" operator="equal">
      <formula>"OFF"</formula>
    </cfRule>
    <cfRule type="cellIs" dxfId="31301" priority="1552" operator="equal">
      <formula>"PTO"</formula>
    </cfRule>
  </conditionalFormatting>
  <conditionalFormatting sqref="T47:T50">
    <cfRule type="cellIs" dxfId="31300" priority="1549" operator="equal">
      <formula>"OFF"</formula>
    </cfRule>
    <cfRule type="cellIs" dxfId="31299" priority="1550" operator="equal">
      <formula>"PTO"</formula>
    </cfRule>
  </conditionalFormatting>
  <conditionalFormatting sqref="T47">
    <cfRule type="cellIs" dxfId="31298" priority="1547" operator="equal">
      <formula>"OFF"</formula>
    </cfRule>
    <cfRule type="cellIs" dxfId="31297" priority="1548" operator="equal">
      <formula>"PTO"</formula>
    </cfRule>
  </conditionalFormatting>
  <conditionalFormatting sqref="T41 T43 T45:T50">
    <cfRule type="cellIs" dxfId="31296" priority="1545" operator="equal">
      <formula>"OFF"</formula>
    </cfRule>
    <cfRule type="cellIs" dxfId="31295" priority="1546" operator="equal">
      <formula>"PTO"</formula>
    </cfRule>
  </conditionalFormatting>
  <conditionalFormatting sqref="T41 T43 T45:T50">
    <cfRule type="cellIs" dxfId="31294" priority="1543" operator="equal">
      <formula>"OFF"</formula>
    </cfRule>
    <cfRule type="cellIs" dxfId="31293" priority="1544" operator="equal">
      <formula>"PTO"</formula>
    </cfRule>
  </conditionalFormatting>
  <conditionalFormatting sqref="T41 T43 T45:T50">
    <cfRule type="cellIs" dxfId="31292" priority="1541" operator="equal">
      <formula>"OFF"</formula>
    </cfRule>
    <cfRule type="cellIs" dxfId="31291" priority="1542" operator="equal">
      <formula>"PTO"</formula>
    </cfRule>
  </conditionalFormatting>
  <conditionalFormatting sqref="T49:T53">
    <cfRule type="cellIs" dxfId="31290" priority="1539" operator="equal">
      <formula>"OFF"</formula>
    </cfRule>
    <cfRule type="cellIs" dxfId="31289" priority="1540" operator="equal">
      <formula>"PTO"</formula>
    </cfRule>
  </conditionalFormatting>
  <conditionalFormatting sqref="T49:T53">
    <cfRule type="cellIs" dxfId="31288" priority="1537" operator="equal">
      <formula>"OFF"</formula>
    </cfRule>
    <cfRule type="cellIs" dxfId="31287" priority="1538" operator="equal">
      <formula>"PTO"</formula>
    </cfRule>
  </conditionalFormatting>
  <conditionalFormatting sqref="T49:T53">
    <cfRule type="cellIs" dxfId="31286" priority="1535" operator="equal">
      <formula>"OFF"</formula>
    </cfRule>
    <cfRule type="cellIs" dxfId="31285" priority="1536" operator="equal">
      <formula>"PTO"</formula>
    </cfRule>
  </conditionalFormatting>
  <conditionalFormatting sqref="T47">
    <cfRule type="cellIs" dxfId="31284" priority="1533" operator="equal">
      <formula>"OFF"</formula>
    </cfRule>
    <cfRule type="cellIs" dxfId="31283" priority="1534" operator="equal">
      <formula>"PTO"</formula>
    </cfRule>
  </conditionalFormatting>
  <conditionalFormatting sqref="T47">
    <cfRule type="cellIs" dxfId="31282" priority="1531" operator="equal">
      <formula>"OFF"</formula>
    </cfRule>
    <cfRule type="cellIs" dxfId="31281" priority="1532" operator="equal">
      <formula>"PTO"</formula>
    </cfRule>
  </conditionalFormatting>
  <conditionalFormatting sqref="T47">
    <cfRule type="cellIs" dxfId="31280" priority="1529" operator="equal">
      <formula>"OFF"</formula>
    </cfRule>
    <cfRule type="cellIs" dxfId="31279" priority="1530" operator="equal">
      <formula>"PTO"</formula>
    </cfRule>
  </conditionalFormatting>
  <conditionalFormatting sqref="T47">
    <cfRule type="cellIs" dxfId="31278" priority="1527" operator="equal">
      <formula>"OFF"</formula>
    </cfRule>
    <cfRule type="cellIs" dxfId="31277" priority="1528" operator="equal">
      <formula>"PTO"</formula>
    </cfRule>
  </conditionalFormatting>
  <conditionalFormatting sqref="T47">
    <cfRule type="cellIs" dxfId="31276" priority="1525" operator="equal">
      <formula>"OFF"</formula>
    </cfRule>
    <cfRule type="cellIs" dxfId="31275" priority="1526" operator="equal">
      <formula>"PTO"</formula>
    </cfRule>
  </conditionalFormatting>
  <conditionalFormatting sqref="T47">
    <cfRule type="cellIs" dxfId="31274" priority="1523" operator="equal">
      <formula>"OFF"</formula>
    </cfRule>
    <cfRule type="cellIs" dxfId="31273" priority="1524" operator="equal">
      <formula>"PTO"</formula>
    </cfRule>
  </conditionalFormatting>
  <conditionalFormatting sqref="T47">
    <cfRule type="cellIs" dxfId="31272" priority="1521" operator="equal">
      <formula>"OFF"</formula>
    </cfRule>
    <cfRule type="cellIs" dxfId="31271" priority="1522" operator="equal">
      <formula>"PTO"</formula>
    </cfRule>
  </conditionalFormatting>
  <conditionalFormatting sqref="T47">
    <cfRule type="cellIs" dxfId="31270" priority="1519" operator="equal">
      <formula>"OFF"</formula>
    </cfRule>
    <cfRule type="cellIs" dxfId="31269" priority="1520" operator="equal">
      <formula>"PTO"</formula>
    </cfRule>
  </conditionalFormatting>
  <conditionalFormatting sqref="T47">
    <cfRule type="cellIs" dxfId="31268" priority="1517" operator="equal">
      <formula>"OFF"</formula>
    </cfRule>
    <cfRule type="cellIs" dxfId="31267" priority="1518" operator="equal">
      <formula>"PTO"</formula>
    </cfRule>
  </conditionalFormatting>
  <conditionalFormatting sqref="T47">
    <cfRule type="cellIs" dxfId="31266" priority="1515" operator="equal">
      <formula>"OFF"</formula>
    </cfRule>
    <cfRule type="cellIs" dxfId="31265" priority="1516" operator="equal">
      <formula>"PTO"</formula>
    </cfRule>
  </conditionalFormatting>
  <conditionalFormatting sqref="T47">
    <cfRule type="cellIs" dxfId="31264" priority="1513" operator="equal">
      <formula>"OFF"</formula>
    </cfRule>
    <cfRule type="cellIs" dxfId="31263" priority="1514" operator="equal">
      <formula>"PTO"</formula>
    </cfRule>
  </conditionalFormatting>
  <conditionalFormatting sqref="T47">
    <cfRule type="cellIs" dxfId="31262" priority="1511" operator="equal">
      <formula>"OFF"</formula>
    </cfRule>
    <cfRule type="cellIs" dxfId="31261" priority="1512" operator="equal">
      <formula>"PTO"</formula>
    </cfRule>
  </conditionalFormatting>
  <conditionalFormatting sqref="T47">
    <cfRule type="cellIs" dxfId="31260" priority="1509" operator="equal">
      <formula>"OFF"</formula>
    </cfRule>
    <cfRule type="cellIs" dxfId="31259" priority="1510" operator="equal">
      <formula>"PTO"</formula>
    </cfRule>
  </conditionalFormatting>
  <conditionalFormatting sqref="T47">
    <cfRule type="cellIs" dxfId="31258" priority="1507" operator="equal">
      <formula>"OFF"</formula>
    </cfRule>
    <cfRule type="cellIs" dxfId="31257" priority="1508" operator="equal">
      <formula>"PTO"</formula>
    </cfRule>
  </conditionalFormatting>
  <conditionalFormatting sqref="T47">
    <cfRule type="cellIs" dxfId="31256" priority="1505" operator="equal">
      <formula>"OFF"</formula>
    </cfRule>
    <cfRule type="cellIs" dxfId="31255" priority="1506" operator="equal">
      <formula>"PTO"</formula>
    </cfRule>
  </conditionalFormatting>
  <conditionalFormatting sqref="T47">
    <cfRule type="cellIs" dxfId="31254" priority="1503" operator="equal">
      <formula>"OFF"</formula>
    </cfRule>
    <cfRule type="cellIs" dxfId="31253" priority="1504" operator="equal">
      <formula>"PTO"</formula>
    </cfRule>
  </conditionalFormatting>
  <conditionalFormatting sqref="T47">
    <cfRule type="cellIs" dxfId="31252" priority="1501" operator="equal">
      <formula>"OFF"</formula>
    </cfRule>
    <cfRule type="cellIs" dxfId="31251" priority="1502" operator="equal">
      <formula>"PTO"</formula>
    </cfRule>
  </conditionalFormatting>
  <conditionalFormatting sqref="T47">
    <cfRule type="cellIs" dxfId="31250" priority="1499" operator="equal">
      <formula>"OFF"</formula>
    </cfRule>
    <cfRule type="cellIs" dxfId="31249" priority="1500" operator="equal">
      <formula>"PTO"</formula>
    </cfRule>
  </conditionalFormatting>
  <conditionalFormatting sqref="T47">
    <cfRule type="cellIs" dxfId="31248" priority="1497" operator="equal">
      <formula>"OFF"</formula>
    </cfRule>
    <cfRule type="cellIs" dxfId="31247" priority="1498" operator="equal">
      <formula>"PTO"</formula>
    </cfRule>
  </conditionalFormatting>
  <conditionalFormatting sqref="T47">
    <cfRule type="cellIs" dxfId="31246" priority="1495" operator="equal">
      <formula>"OFF"</formula>
    </cfRule>
    <cfRule type="cellIs" dxfId="31245" priority="1496" operator="equal">
      <formula>"PTO"</formula>
    </cfRule>
  </conditionalFormatting>
  <conditionalFormatting sqref="T47">
    <cfRule type="cellIs" dxfId="31244" priority="1493" operator="equal">
      <formula>"OFF"</formula>
    </cfRule>
    <cfRule type="cellIs" dxfId="31243" priority="1494" operator="equal">
      <formula>"PTO"</formula>
    </cfRule>
  </conditionalFormatting>
  <conditionalFormatting sqref="T47">
    <cfRule type="cellIs" dxfId="31242" priority="1491" operator="equal">
      <formula>"OFF"</formula>
    </cfRule>
    <cfRule type="cellIs" dxfId="31241" priority="1492" operator="equal">
      <formula>"PTO"</formula>
    </cfRule>
  </conditionalFormatting>
  <conditionalFormatting sqref="T47">
    <cfRule type="cellIs" dxfId="31240" priority="1489" operator="equal">
      <formula>"OFF"</formula>
    </cfRule>
    <cfRule type="cellIs" dxfId="31239" priority="1490" operator="equal">
      <formula>"PTO"</formula>
    </cfRule>
  </conditionalFormatting>
  <conditionalFormatting sqref="T47">
    <cfRule type="cellIs" dxfId="31238" priority="1487" operator="equal">
      <formula>"OFF"</formula>
    </cfRule>
    <cfRule type="cellIs" dxfId="31237" priority="1488" operator="equal">
      <formula>"PTO"</formula>
    </cfRule>
  </conditionalFormatting>
  <conditionalFormatting sqref="T47">
    <cfRule type="cellIs" dxfId="31236" priority="1485" operator="equal">
      <formula>"OFF"</formula>
    </cfRule>
    <cfRule type="cellIs" dxfId="31235" priority="1486" operator="equal">
      <formula>"PTO"</formula>
    </cfRule>
  </conditionalFormatting>
  <conditionalFormatting sqref="T43">
    <cfRule type="cellIs" dxfId="31234" priority="1483" operator="equal">
      <formula>"OFF"</formula>
    </cfRule>
    <cfRule type="cellIs" dxfId="31233" priority="1484" operator="equal">
      <formula>"PTO"</formula>
    </cfRule>
  </conditionalFormatting>
  <conditionalFormatting sqref="T43">
    <cfRule type="cellIs" dxfId="31232" priority="1481" operator="equal">
      <formula>"OFF"</formula>
    </cfRule>
    <cfRule type="cellIs" dxfId="31231" priority="1482" operator="equal">
      <formula>"PTO"</formula>
    </cfRule>
  </conditionalFormatting>
  <conditionalFormatting sqref="T46">
    <cfRule type="cellIs" dxfId="31230" priority="1479" operator="equal">
      <formula>"OFF"</formula>
    </cfRule>
    <cfRule type="cellIs" dxfId="31229" priority="1480" operator="equal">
      <formula>"PTO"</formula>
    </cfRule>
  </conditionalFormatting>
  <conditionalFormatting sqref="T46">
    <cfRule type="cellIs" dxfId="31228" priority="1477" operator="equal">
      <formula>"OFF"</formula>
    </cfRule>
    <cfRule type="cellIs" dxfId="31227" priority="1478" operator="equal">
      <formula>"PTO"</formula>
    </cfRule>
  </conditionalFormatting>
  <conditionalFormatting sqref="T43">
    <cfRule type="cellIs" dxfId="31226" priority="1475" operator="equal">
      <formula>"OFF"</formula>
    </cfRule>
    <cfRule type="cellIs" dxfId="31225" priority="1476" operator="equal">
      <formula>"PTO"</formula>
    </cfRule>
  </conditionalFormatting>
  <conditionalFormatting sqref="T43">
    <cfRule type="cellIs" dxfId="31224" priority="1473" operator="equal">
      <formula>"OFF"</formula>
    </cfRule>
    <cfRule type="cellIs" dxfId="31223" priority="1474" operator="equal">
      <formula>"PTO"</formula>
    </cfRule>
  </conditionalFormatting>
  <conditionalFormatting sqref="T43">
    <cfRule type="cellIs" dxfId="31222" priority="1471" operator="equal">
      <formula>"OFF"</formula>
    </cfRule>
    <cfRule type="cellIs" dxfId="31221" priority="1472" operator="equal">
      <formula>"PTO"</formula>
    </cfRule>
  </conditionalFormatting>
  <conditionalFormatting sqref="T45">
    <cfRule type="cellIs" dxfId="31220" priority="1469" operator="equal">
      <formula>"OFF"</formula>
    </cfRule>
    <cfRule type="cellIs" dxfId="31219" priority="1470" operator="equal">
      <formula>"PTO"</formula>
    </cfRule>
  </conditionalFormatting>
  <conditionalFormatting sqref="T45">
    <cfRule type="cellIs" dxfId="31218" priority="1467" operator="equal">
      <formula>"OFF"</formula>
    </cfRule>
    <cfRule type="cellIs" dxfId="31217" priority="1468" operator="equal">
      <formula>"PTO"</formula>
    </cfRule>
  </conditionalFormatting>
  <conditionalFormatting sqref="T45">
    <cfRule type="cellIs" dxfId="31216" priority="1465" operator="equal">
      <formula>"OFF"</formula>
    </cfRule>
    <cfRule type="cellIs" dxfId="31215" priority="1466" operator="equal">
      <formula>"PTO"</formula>
    </cfRule>
  </conditionalFormatting>
  <conditionalFormatting sqref="T45">
    <cfRule type="cellIs" dxfId="31214" priority="1463" operator="equal">
      <formula>"OFF"</formula>
    </cfRule>
    <cfRule type="cellIs" dxfId="31213" priority="1464" operator="equal">
      <formula>"PTO"</formula>
    </cfRule>
  </conditionalFormatting>
  <conditionalFormatting sqref="T45">
    <cfRule type="cellIs" dxfId="31212" priority="1461" operator="equal">
      <formula>"OFF"</formula>
    </cfRule>
    <cfRule type="cellIs" dxfId="31211" priority="1462" operator="equal">
      <formula>"PTO"</formula>
    </cfRule>
  </conditionalFormatting>
  <conditionalFormatting sqref="T45">
    <cfRule type="cellIs" dxfId="31210" priority="1459" operator="equal">
      <formula>"OFF"</formula>
    </cfRule>
    <cfRule type="cellIs" dxfId="31209" priority="1460" operator="equal">
      <formula>"PTO"</formula>
    </cfRule>
  </conditionalFormatting>
  <conditionalFormatting sqref="T45">
    <cfRule type="cellIs" dxfId="31208" priority="1457" operator="equal">
      <formula>"OFF"</formula>
    </cfRule>
    <cfRule type="cellIs" dxfId="31207" priority="1458" operator="equal">
      <formula>"PTO"</formula>
    </cfRule>
  </conditionalFormatting>
  <conditionalFormatting sqref="T45">
    <cfRule type="cellIs" dxfId="31206" priority="1455" operator="equal">
      <formula>"OFF"</formula>
    </cfRule>
    <cfRule type="cellIs" dxfId="31205" priority="1456" operator="equal">
      <formula>"PTO"</formula>
    </cfRule>
  </conditionalFormatting>
  <conditionalFormatting sqref="T45">
    <cfRule type="cellIs" dxfId="31204" priority="1453" operator="equal">
      <formula>"OFF"</formula>
    </cfRule>
    <cfRule type="cellIs" dxfId="31203" priority="1454" operator="equal">
      <formula>"PTO"</formula>
    </cfRule>
  </conditionalFormatting>
  <conditionalFormatting sqref="T45">
    <cfRule type="cellIs" dxfId="31202" priority="1451" operator="equal">
      <formula>"OFF"</formula>
    </cfRule>
    <cfRule type="cellIs" dxfId="31201" priority="1452" operator="equal">
      <formula>"PTO"</formula>
    </cfRule>
  </conditionalFormatting>
  <conditionalFormatting sqref="T45">
    <cfRule type="cellIs" dxfId="31200" priority="1449" operator="equal">
      <formula>"OFF"</formula>
    </cfRule>
    <cfRule type="cellIs" dxfId="31199" priority="1450" operator="equal">
      <formula>"PTO"</formula>
    </cfRule>
  </conditionalFormatting>
  <conditionalFormatting sqref="T45">
    <cfRule type="cellIs" dxfId="31198" priority="1447" operator="equal">
      <formula>"OFF"</formula>
    </cfRule>
    <cfRule type="cellIs" dxfId="31197" priority="1448" operator="equal">
      <formula>"PTO"</formula>
    </cfRule>
  </conditionalFormatting>
  <conditionalFormatting sqref="T45">
    <cfRule type="cellIs" dxfId="31196" priority="1445" operator="equal">
      <formula>"OFF"</formula>
    </cfRule>
    <cfRule type="cellIs" dxfId="31195" priority="1446" operator="equal">
      <formula>"PTO"</formula>
    </cfRule>
  </conditionalFormatting>
  <conditionalFormatting sqref="T45">
    <cfRule type="cellIs" dxfId="31194" priority="1443" operator="equal">
      <formula>"OFF"</formula>
    </cfRule>
    <cfRule type="cellIs" dxfId="31193" priority="1444" operator="equal">
      <formula>"PTO"</formula>
    </cfRule>
  </conditionalFormatting>
  <conditionalFormatting sqref="T45">
    <cfRule type="cellIs" dxfId="31192" priority="1441" operator="equal">
      <formula>"OFF"</formula>
    </cfRule>
    <cfRule type="cellIs" dxfId="31191" priority="1442" operator="equal">
      <formula>"PTO"</formula>
    </cfRule>
  </conditionalFormatting>
  <conditionalFormatting sqref="T45">
    <cfRule type="cellIs" dxfId="31190" priority="1439" operator="equal">
      <formula>"OFF"</formula>
    </cfRule>
    <cfRule type="cellIs" dxfId="31189" priority="1440" operator="equal">
      <formula>"PTO"</formula>
    </cfRule>
  </conditionalFormatting>
  <conditionalFormatting sqref="T45">
    <cfRule type="cellIs" dxfId="31188" priority="1437" operator="equal">
      <formula>"OFF"</formula>
    </cfRule>
    <cfRule type="cellIs" dxfId="31187" priority="1438" operator="equal">
      <formula>"PTO"</formula>
    </cfRule>
  </conditionalFormatting>
  <conditionalFormatting sqref="T45">
    <cfRule type="cellIs" dxfId="31186" priority="1435" operator="equal">
      <formula>"OFF"</formula>
    </cfRule>
    <cfRule type="cellIs" dxfId="31185" priority="1436" operator="equal">
      <formula>"PTO"</formula>
    </cfRule>
  </conditionalFormatting>
  <conditionalFormatting sqref="T45">
    <cfRule type="cellIs" dxfId="31184" priority="1433" operator="equal">
      <formula>"OFF"</formula>
    </cfRule>
    <cfRule type="cellIs" dxfId="31183" priority="1434" operator="equal">
      <formula>"PTO"</formula>
    </cfRule>
  </conditionalFormatting>
  <conditionalFormatting sqref="T45">
    <cfRule type="cellIs" dxfId="31182" priority="1431" operator="equal">
      <formula>"OFF"</formula>
    </cfRule>
    <cfRule type="cellIs" dxfId="31181" priority="1432" operator="equal">
      <formula>"PTO"</formula>
    </cfRule>
  </conditionalFormatting>
  <conditionalFormatting sqref="T45">
    <cfRule type="cellIs" dxfId="31180" priority="1429" operator="equal">
      <formula>"OFF"</formula>
    </cfRule>
    <cfRule type="cellIs" dxfId="31179" priority="1430" operator="equal">
      <formula>"PTO"</formula>
    </cfRule>
  </conditionalFormatting>
  <conditionalFormatting sqref="T45">
    <cfRule type="cellIs" dxfId="31178" priority="1427" operator="equal">
      <formula>"OFF"</formula>
    </cfRule>
    <cfRule type="cellIs" dxfId="31177" priority="1428" operator="equal">
      <formula>"PTO"</formula>
    </cfRule>
  </conditionalFormatting>
  <conditionalFormatting sqref="T45">
    <cfRule type="cellIs" dxfId="31176" priority="1425" operator="equal">
      <formula>"OFF"</formula>
    </cfRule>
    <cfRule type="cellIs" dxfId="31175" priority="1426" operator="equal">
      <formula>"PTO"</formula>
    </cfRule>
  </conditionalFormatting>
  <conditionalFormatting sqref="T45">
    <cfRule type="cellIs" dxfId="31174" priority="1423" operator="equal">
      <formula>"OFF"</formula>
    </cfRule>
    <cfRule type="cellIs" dxfId="31173" priority="1424" operator="equal">
      <formula>"PTO"</formula>
    </cfRule>
  </conditionalFormatting>
  <conditionalFormatting sqref="T45">
    <cfRule type="cellIs" dxfId="31172" priority="1421" operator="equal">
      <formula>"OFF"</formula>
    </cfRule>
    <cfRule type="cellIs" dxfId="31171" priority="1422" operator="equal">
      <formula>"PTO"</formula>
    </cfRule>
  </conditionalFormatting>
  <conditionalFormatting sqref="T45">
    <cfRule type="cellIs" dxfId="31170" priority="1419" operator="equal">
      <formula>"OFF"</formula>
    </cfRule>
    <cfRule type="cellIs" dxfId="31169" priority="1420" operator="equal">
      <formula>"PTO"</formula>
    </cfRule>
  </conditionalFormatting>
  <conditionalFormatting sqref="T47">
    <cfRule type="cellIs" dxfId="31168" priority="1417" operator="equal">
      <formula>"OFF"</formula>
    </cfRule>
    <cfRule type="cellIs" dxfId="31167" priority="1418" operator="equal">
      <formula>"PTO"</formula>
    </cfRule>
  </conditionalFormatting>
  <conditionalFormatting sqref="T46">
    <cfRule type="cellIs" dxfId="31166" priority="1415" operator="equal">
      <formula>"OFF"</formula>
    </cfRule>
    <cfRule type="cellIs" dxfId="31165" priority="1416" operator="equal">
      <formula>"PTO"</formula>
    </cfRule>
  </conditionalFormatting>
  <conditionalFormatting sqref="T49">
    <cfRule type="cellIs" dxfId="31164" priority="1413" operator="equal">
      <formula>"OFF"</formula>
    </cfRule>
    <cfRule type="cellIs" dxfId="31163" priority="1414" operator="equal">
      <formula>"PTO"</formula>
    </cfRule>
  </conditionalFormatting>
  <conditionalFormatting sqref="T48">
    <cfRule type="cellIs" dxfId="31162" priority="1411" operator="equal">
      <formula>"OFF"</formula>
    </cfRule>
    <cfRule type="cellIs" dxfId="31161" priority="1412" operator="equal">
      <formula>"PTO"</formula>
    </cfRule>
  </conditionalFormatting>
  <conditionalFormatting sqref="T48">
    <cfRule type="cellIs" dxfId="31160" priority="1409" operator="equal">
      <formula>"OFF"</formula>
    </cfRule>
    <cfRule type="cellIs" dxfId="31159" priority="1410" operator="equal">
      <formula>"PTO"</formula>
    </cfRule>
  </conditionalFormatting>
  <conditionalFormatting sqref="T48">
    <cfRule type="cellIs" dxfId="31158" priority="1407" operator="equal">
      <formula>"OFF"</formula>
    </cfRule>
    <cfRule type="cellIs" dxfId="31157" priority="1408" operator="equal">
      <formula>"PTO"</formula>
    </cfRule>
  </conditionalFormatting>
  <conditionalFormatting sqref="T48">
    <cfRule type="cellIs" dxfId="31156" priority="1405" operator="equal">
      <formula>"OFF"</formula>
    </cfRule>
    <cfRule type="cellIs" dxfId="31155" priority="1406" operator="equal">
      <formula>"PTO"</formula>
    </cfRule>
  </conditionalFormatting>
  <conditionalFormatting sqref="T48">
    <cfRule type="cellIs" dxfId="31154" priority="1403" operator="equal">
      <formula>"OFF"</formula>
    </cfRule>
    <cfRule type="cellIs" dxfId="31153" priority="1404" operator="equal">
      <formula>"PTO"</formula>
    </cfRule>
  </conditionalFormatting>
  <conditionalFormatting sqref="T48">
    <cfRule type="cellIs" dxfId="31152" priority="1401" operator="equal">
      <formula>"OFF"</formula>
    </cfRule>
    <cfRule type="cellIs" dxfId="31151" priority="1402" operator="equal">
      <formula>"PTO"</formula>
    </cfRule>
  </conditionalFormatting>
  <conditionalFormatting sqref="T48">
    <cfRule type="cellIs" dxfId="31150" priority="1399" operator="equal">
      <formula>"OFF"</formula>
    </cfRule>
    <cfRule type="cellIs" dxfId="31149" priority="1400" operator="equal">
      <formula>"PTO"</formula>
    </cfRule>
  </conditionalFormatting>
  <conditionalFormatting sqref="T48">
    <cfRule type="cellIs" dxfId="31148" priority="1397" operator="equal">
      <formula>"OFF"</formula>
    </cfRule>
    <cfRule type="cellIs" dxfId="31147" priority="1398" operator="equal">
      <formula>"PTO"</formula>
    </cfRule>
  </conditionalFormatting>
  <conditionalFormatting sqref="T48">
    <cfRule type="cellIs" dxfId="31146" priority="1395" operator="equal">
      <formula>"OFF"</formula>
    </cfRule>
    <cfRule type="cellIs" dxfId="31145" priority="1396" operator="equal">
      <formula>"PTO"</formula>
    </cfRule>
  </conditionalFormatting>
  <conditionalFormatting sqref="T41">
    <cfRule type="cellIs" dxfId="31144" priority="1393" operator="equal">
      <formula>"OFF"</formula>
    </cfRule>
    <cfRule type="cellIs" dxfId="31143" priority="1394" operator="equal">
      <formula>"PTO"</formula>
    </cfRule>
  </conditionalFormatting>
  <conditionalFormatting sqref="T41">
    <cfRule type="cellIs" dxfId="31142" priority="1391" operator="equal">
      <formula>"OFF"</formula>
    </cfRule>
    <cfRule type="cellIs" dxfId="31141" priority="1392" operator="equal">
      <formula>"PTO"</formula>
    </cfRule>
  </conditionalFormatting>
  <conditionalFormatting sqref="T41">
    <cfRule type="cellIs" dxfId="31140" priority="1389" operator="equal">
      <formula>"OFF"</formula>
    </cfRule>
    <cfRule type="cellIs" dxfId="31139" priority="1390" operator="equal">
      <formula>"PTO"</formula>
    </cfRule>
  </conditionalFormatting>
  <conditionalFormatting sqref="T41">
    <cfRule type="cellIs" dxfId="31138" priority="1387" operator="equal">
      <formula>"OFF"</formula>
    </cfRule>
    <cfRule type="cellIs" dxfId="31137" priority="1388" operator="equal">
      <formula>"PTO"</formula>
    </cfRule>
  </conditionalFormatting>
  <conditionalFormatting sqref="T41">
    <cfRule type="cellIs" dxfId="31136" priority="1385" operator="equal">
      <formula>"OFF"</formula>
    </cfRule>
    <cfRule type="cellIs" dxfId="31135" priority="1386" operator="equal">
      <formula>"PTO"</formula>
    </cfRule>
  </conditionalFormatting>
  <conditionalFormatting sqref="T41">
    <cfRule type="cellIs" dxfId="31134" priority="1383" operator="equal">
      <formula>"OFF"</formula>
    </cfRule>
    <cfRule type="cellIs" dxfId="31133" priority="1384" operator="equal">
      <formula>"PTO"</formula>
    </cfRule>
  </conditionalFormatting>
  <conditionalFormatting sqref="T41">
    <cfRule type="cellIs" dxfId="31132" priority="1381" operator="equal">
      <formula>"OFF"</formula>
    </cfRule>
    <cfRule type="cellIs" dxfId="31131" priority="1382" operator="equal">
      <formula>"PTO"</formula>
    </cfRule>
  </conditionalFormatting>
  <conditionalFormatting sqref="T41">
    <cfRule type="cellIs" dxfId="31130" priority="1379" operator="equal">
      <formula>"OFF"</formula>
    </cfRule>
    <cfRule type="cellIs" dxfId="31129" priority="1380" operator="equal">
      <formula>"PTO"</formula>
    </cfRule>
  </conditionalFormatting>
  <conditionalFormatting sqref="T41">
    <cfRule type="cellIs" dxfId="31128" priority="1377" operator="equal">
      <formula>"OFF"</formula>
    </cfRule>
    <cfRule type="cellIs" dxfId="31127" priority="1378" operator="equal">
      <formula>"PTO"</formula>
    </cfRule>
  </conditionalFormatting>
  <conditionalFormatting sqref="T41">
    <cfRule type="cellIs" dxfId="31126" priority="1375" operator="equal">
      <formula>"OFF"</formula>
    </cfRule>
    <cfRule type="cellIs" dxfId="31125" priority="1376" operator="equal">
      <formula>"PTO"</formula>
    </cfRule>
  </conditionalFormatting>
  <conditionalFormatting sqref="T41">
    <cfRule type="cellIs" dxfId="31124" priority="1373" operator="equal">
      <formula>"OFF"</formula>
    </cfRule>
    <cfRule type="cellIs" dxfId="31123" priority="1374" operator="equal">
      <formula>"PTO"</formula>
    </cfRule>
  </conditionalFormatting>
  <conditionalFormatting sqref="T41">
    <cfRule type="cellIs" dxfId="31122" priority="1371" operator="equal">
      <formula>"OFF"</formula>
    </cfRule>
    <cfRule type="cellIs" dxfId="31121" priority="1372" operator="equal">
      <formula>"PTO"</formula>
    </cfRule>
  </conditionalFormatting>
  <conditionalFormatting sqref="T43">
    <cfRule type="cellIs" dxfId="31120" priority="1369" operator="equal">
      <formula>"OFF"</formula>
    </cfRule>
    <cfRule type="cellIs" dxfId="31119" priority="1370" operator="equal">
      <formula>"PTO"</formula>
    </cfRule>
  </conditionalFormatting>
  <conditionalFormatting sqref="T43">
    <cfRule type="cellIs" dxfId="31118" priority="1367" operator="equal">
      <formula>"OFF"</formula>
    </cfRule>
    <cfRule type="cellIs" dxfId="31117" priority="1368" operator="equal">
      <formula>"PTO"</formula>
    </cfRule>
  </conditionalFormatting>
  <conditionalFormatting sqref="T43">
    <cfRule type="cellIs" dxfId="31116" priority="1365" operator="equal">
      <formula>"OFF"</formula>
    </cfRule>
    <cfRule type="cellIs" dxfId="31115" priority="1366" operator="equal">
      <formula>"PTO"</formula>
    </cfRule>
  </conditionalFormatting>
  <conditionalFormatting sqref="T43">
    <cfRule type="cellIs" dxfId="31114" priority="1363" operator="equal">
      <formula>"OFF"</formula>
    </cfRule>
    <cfRule type="cellIs" dxfId="31113" priority="1364" operator="equal">
      <formula>"PTO"</formula>
    </cfRule>
  </conditionalFormatting>
  <conditionalFormatting sqref="T43">
    <cfRule type="cellIs" dxfId="31112" priority="1361" operator="equal">
      <formula>"OFF"</formula>
    </cfRule>
    <cfRule type="cellIs" dxfId="31111" priority="1362" operator="equal">
      <formula>"PTO"</formula>
    </cfRule>
  </conditionalFormatting>
  <conditionalFormatting sqref="T41">
    <cfRule type="cellIs" dxfId="31110" priority="1359" operator="equal">
      <formula>"OFF"</formula>
    </cfRule>
    <cfRule type="cellIs" dxfId="31109" priority="1360" operator="equal">
      <formula>"PTO"</formula>
    </cfRule>
  </conditionalFormatting>
  <conditionalFormatting sqref="T43">
    <cfRule type="cellIs" dxfId="31108" priority="1357" operator="equal">
      <formula>"OFF"</formula>
    </cfRule>
    <cfRule type="cellIs" dxfId="31107" priority="1358" operator="equal">
      <formula>"PTO"</formula>
    </cfRule>
  </conditionalFormatting>
  <conditionalFormatting sqref="T43">
    <cfRule type="cellIs" dxfId="31106" priority="1355" operator="equal">
      <formula>"OFF"</formula>
    </cfRule>
    <cfRule type="cellIs" dxfId="31105" priority="1356" operator="equal">
      <formula>"PTO"</formula>
    </cfRule>
  </conditionalFormatting>
  <conditionalFormatting sqref="T43">
    <cfRule type="cellIs" dxfId="31104" priority="1353" operator="equal">
      <formula>"OFF"</formula>
    </cfRule>
    <cfRule type="cellIs" dxfId="31103" priority="1354" operator="equal">
      <formula>"PTO"</formula>
    </cfRule>
  </conditionalFormatting>
  <conditionalFormatting sqref="T41">
    <cfRule type="cellIs" dxfId="31102" priority="1351" operator="equal">
      <formula>"OFF"</formula>
    </cfRule>
    <cfRule type="cellIs" dxfId="31101" priority="1352" operator="equal">
      <formula>"PTO"</formula>
    </cfRule>
  </conditionalFormatting>
  <conditionalFormatting sqref="T41">
    <cfRule type="cellIs" dxfId="31100" priority="1349" operator="equal">
      <formula>"OFF"</formula>
    </cfRule>
    <cfRule type="cellIs" dxfId="31099" priority="1350" operator="equal">
      <formula>"PTO"</formula>
    </cfRule>
  </conditionalFormatting>
  <conditionalFormatting sqref="T41">
    <cfRule type="cellIs" dxfId="31098" priority="1347" operator="equal">
      <formula>"OFF"</formula>
    </cfRule>
    <cfRule type="cellIs" dxfId="31097" priority="1348" operator="equal">
      <formula>"PTO"</formula>
    </cfRule>
  </conditionalFormatting>
  <conditionalFormatting sqref="T41">
    <cfRule type="cellIs" dxfId="31096" priority="1345" operator="equal">
      <formula>"OFF"</formula>
    </cfRule>
    <cfRule type="cellIs" dxfId="31095" priority="1346" operator="equal">
      <formula>"PTO"</formula>
    </cfRule>
  </conditionalFormatting>
  <conditionalFormatting sqref="T43">
    <cfRule type="cellIs" dxfId="31094" priority="1343" operator="equal">
      <formula>"OFF"</formula>
    </cfRule>
    <cfRule type="cellIs" dxfId="31093" priority="1344" operator="equal">
      <formula>"PTO"</formula>
    </cfRule>
  </conditionalFormatting>
  <conditionalFormatting sqref="T43">
    <cfRule type="cellIs" dxfId="31092" priority="1341" operator="equal">
      <formula>"OFF"</formula>
    </cfRule>
    <cfRule type="cellIs" dxfId="31091" priority="1342" operator="equal">
      <formula>"PTO"</formula>
    </cfRule>
  </conditionalFormatting>
  <conditionalFormatting sqref="T43">
    <cfRule type="cellIs" dxfId="31090" priority="1339" operator="equal">
      <formula>"OFF"</formula>
    </cfRule>
    <cfRule type="cellIs" dxfId="31089" priority="1340" operator="equal">
      <formula>"PTO"</formula>
    </cfRule>
  </conditionalFormatting>
  <conditionalFormatting sqref="T46">
    <cfRule type="cellIs" dxfId="31088" priority="1337" operator="equal">
      <formula>"OFF"</formula>
    </cfRule>
    <cfRule type="cellIs" dxfId="31087" priority="1338" operator="equal">
      <formula>"PTO"</formula>
    </cfRule>
  </conditionalFormatting>
  <conditionalFormatting sqref="T46">
    <cfRule type="cellIs" dxfId="31086" priority="1335" operator="equal">
      <formula>"OFF"</formula>
    </cfRule>
    <cfRule type="cellIs" dxfId="31085" priority="1336" operator="equal">
      <formula>"PTO"</formula>
    </cfRule>
  </conditionalFormatting>
  <conditionalFormatting sqref="T45">
    <cfRule type="cellIs" dxfId="31084" priority="1333" operator="equal">
      <formula>"OFF"</formula>
    </cfRule>
    <cfRule type="cellIs" dxfId="31083" priority="1334" operator="equal">
      <formula>"PTO"</formula>
    </cfRule>
  </conditionalFormatting>
  <conditionalFormatting sqref="T45">
    <cfRule type="cellIs" dxfId="31082" priority="1331" operator="equal">
      <formula>"OFF"</formula>
    </cfRule>
    <cfRule type="cellIs" dxfId="31081" priority="1332" operator="equal">
      <formula>"PTO"</formula>
    </cfRule>
  </conditionalFormatting>
  <conditionalFormatting sqref="T45">
    <cfRule type="cellIs" dxfId="31080" priority="1329" operator="equal">
      <formula>"OFF"</formula>
    </cfRule>
    <cfRule type="cellIs" dxfId="31079" priority="1330" operator="equal">
      <formula>"PTO"</formula>
    </cfRule>
  </conditionalFormatting>
  <conditionalFormatting sqref="T45">
    <cfRule type="cellIs" dxfId="31078" priority="1327" operator="equal">
      <formula>"OFF"</formula>
    </cfRule>
    <cfRule type="cellIs" dxfId="31077" priority="1328" operator="equal">
      <formula>"PTO"</formula>
    </cfRule>
  </conditionalFormatting>
  <conditionalFormatting sqref="T45">
    <cfRule type="cellIs" dxfId="31076" priority="1325" operator="equal">
      <formula>"OFF"</formula>
    </cfRule>
    <cfRule type="cellIs" dxfId="31075" priority="1326" operator="equal">
      <formula>"PTO"</formula>
    </cfRule>
  </conditionalFormatting>
  <conditionalFormatting sqref="T45">
    <cfRule type="cellIs" dxfId="31074" priority="1323" operator="equal">
      <formula>"OFF"</formula>
    </cfRule>
    <cfRule type="cellIs" dxfId="31073" priority="1324" operator="equal">
      <formula>"PTO"</formula>
    </cfRule>
  </conditionalFormatting>
  <conditionalFormatting sqref="T45">
    <cfRule type="cellIs" dxfId="31072" priority="1321" operator="equal">
      <formula>"OFF"</formula>
    </cfRule>
    <cfRule type="cellIs" dxfId="31071" priority="1322" operator="equal">
      <formula>"PTO"</formula>
    </cfRule>
  </conditionalFormatting>
  <conditionalFormatting sqref="T45">
    <cfRule type="cellIs" dxfId="31070" priority="1319" operator="equal">
      <formula>"OFF"</formula>
    </cfRule>
    <cfRule type="cellIs" dxfId="31069" priority="1320" operator="equal">
      <formula>"PTO"</formula>
    </cfRule>
  </conditionalFormatting>
  <conditionalFormatting sqref="T45">
    <cfRule type="cellIs" dxfId="31068" priority="1317" operator="equal">
      <formula>"OFF"</formula>
    </cfRule>
    <cfRule type="cellIs" dxfId="31067" priority="1318" operator="equal">
      <formula>"PTO"</formula>
    </cfRule>
  </conditionalFormatting>
  <conditionalFormatting sqref="T45">
    <cfRule type="cellIs" dxfId="31066" priority="1315" operator="equal">
      <formula>"OFF"</formula>
    </cfRule>
    <cfRule type="cellIs" dxfId="31065" priority="1316" operator="equal">
      <formula>"PTO"</formula>
    </cfRule>
  </conditionalFormatting>
  <conditionalFormatting sqref="T45">
    <cfRule type="cellIs" dxfId="31064" priority="1313" operator="equal">
      <formula>"OFF"</formula>
    </cfRule>
    <cfRule type="cellIs" dxfId="31063" priority="1314" operator="equal">
      <formula>"PTO"</formula>
    </cfRule>
  </conditionalFormatting>
  <conditionalFormatting sqref="T45">
    <cfRule type="cellIs" dxfId="31062" priority="1311" operator="equal">
      <formula>"OFF"</formula>
    </cfRule>
    <cfRule type="cellIs" dxfId="31061" priority="1312" operator="equal">
      <formula>"PTO"</formula>
    </cfRule>
  </conditionalFormatting>
  <conditionalFormatting sqref="T45">
    <cfRule type="cellIs" dxfId="31060" priority="1309" operator="equal">
      <formula>"OFF"</formula>
    </cfRule>
    <cfRule type="cellIs" dxfId="31059" priority="1310" operator="equal">
      <formula>"PTO"</formula>
    </cfRule>
  </conditionalFormatting>
  <conditionalFormatting sqref="T45">
    <cfRule type="cellIs" dxfId="31058" priority="1307" operator="equal">
      <formula>"OFF"</formula>
    </cfRule>
    <cfRule type="cellIs" dxfId="31057" priority="1308" operator="equal">
      <formula>"PTO"</formula>
    </cfRule>
  </conditionalFormatting>
  <conditionalFormatting sqref="T45">
    <cfRule type="cellIs" dxfId="31056" priority="1305" operator="equal">
      <formula>"OFF"</formula>
    </cfRule>
    <cfRule type="cellIs" dxfId="31055" priority="1306" operator="equal">
      <formula>"PTO"</formula>
    </cfRule>
  </conditionalFormatting>
  <conditionalFormatting sqref="T45">
    <cfRule type="cellIs" dxfId="31054" priority="1303" operator="equal">
      <formula>"OFF"</formula>
    </cfRule>
    <cfRule type="cellIs" dxfId="31053" priority="1304" operator="equal">
      <formula>"PTO"</formula>
    </cfRule>
  </conditionalFormatting>
  <conditionalFormatting sqref="T45">
    <cfRule type="cellIs" dxfId="31052" priority="1301" operator="equal">
      <formula>"OFF"</formula>
    </cfRule>
    <cfRule type="cellIs" dxfId="31051" priority="1302" operator="equal">
      <formula>"PTO"</formula>
    </cfRule>
  </conditionalFormatting>
  <conditionalFormatting sqref="T45">
    <cfRule type="cellIs" dxfId="31050" priority="1299" operator="equal">
      <formula>"OFF"</formula>
    </cfRule>
    <cfRule type="cellIs" dxfId="31049" priority="1300" operator="equal">
      <formula>"PTO"</formula>
    </cfRule>
  </conditionalFormatting>
  <conditionalFormatting sqref="T45">
    <cfRule type="cellIs" dxfId="31048" priority="1297" operator="equal">
      <formula>"OFF"</formula>
    </cfRule>
    <cfRule type="cellIs" dxfId="31047" priority="1298" operator="equal">
      <formula>"PTO"</formula>
    </cfRule>
  </conditionalFormatting>
  <conditionalFormatting sqref="T45">
    <cfRule type="cellIs" dxfId="31046" priority="1295" operator="equal">
      <formula>"OFF"</formula>
    </cfRule>
    <cfRule type="cellIs" dxfId="31045" priority="1296" operator="equal">
      <formula>"PTO"</formula>
    </cfRule>
  </conditionalFormatting>
  <conditionalFormatting sqref="T45">
    <cfRule type="cellIs" dxfId="31044" priority="1293" operator="equal">
      <formula>"OFF"</formula>
    </cfRule>
    <cfRule type="cellIs" dxfId="31043" priority="1294" operator="equal">
      <formula>"PTO"</formula>
    </cfRule>
  </conditionalFormatting>
  <conditionalFormatting sqref="T45">
    <cfRule type="cellIs" dxfId="31042" priority="1291" operator="equal">
      <formula>"OFF"</formula>
    </cfRule>
    <cfRule type="cellIs" dxfId="31041" priority="1292" operator="equal">
      <formula>"PTO"</formula>
    </cfRule>
  </conditionalFormatting>
  <conditionalFormatting sqref="T45">
    <cfRule type="cellIs" dxfId="31040" priority="1289" operator="equal">
      <formula>"OFF"</formula>
    </cfRule>
    <cfRule type="cellIs" dxfId="31039" priority="1290" operator="equal">
      <formula>"PTO"</formula>
    </cfRule>
  </conditionalFormatting>
  <conditionalFormatting sqref="T45">
    <cfRule type="cellIs" dxfId="31038" priority="1287" operator="equal">
      <formula>"OFF"</formula>
    </cfRule>
    <cfRule type="cellIs" dxfId="31037" priority="1288" operator="equal">
      <formula>"PTO"</formula>
    </cfRule>
  </conditionalFormatting>
  <conditionalFormatting sqref="T45">
    <cfRule type="cellIs" dxfId="31036" priority="1285" operator="equal">
      <formula>"OFF"</formula>
    </cfRule>
    <cfRule type="cellIs" dxfId="31035" priority="1286" operator="equal">
      <formula>"PTO"</formula>
    </cfRule>
  </conditionalFormatting>
  <conditionalFormatting sqref="T45">
    <cfRule type="cellIs" dxfId="31034" priority="1283" operator="equal">
      <formula>"OFF"</formula>
    </cfRule>
    <cfRule type="cellIs" dxfId="31033" priority="1284" operator="equal">
      <formula>"PTO"</formula>
    </cfRule>
  </conditionalFormatting>
  <conditionalFormatting sqref="T46">
    <cfRule type="cellIs" dxfId="31032" priority="1281" operator="equal">
      <formula>"OFF"</formula>
    </cfRule>
    <cfRule type="cellIs" dxfId="31031" priority="1282" operator="equal">
      <formula>"PTO"</formula>
    </cfRule>
  </conditionalFormatting>
  <conditionalFormatting sqref="T46">
    <cfRule type="cellIs" dxfId="31030" priority="1279" operator="equal">
      <formula>"OFF"</formula>
    </cfRule>
    <cfRule type="cellIs" dxfId="31029" priority="1280" operator="equal">
      <formula>"PTO"</formula>
    </cfRule>
  </conditionalFormatting>
  <conditionalFormatting sqref="T46">
    <cfRule type="cellIs" dxfId="31028" priority="1277" operator="equal">
      <formula>"OFF"</formula>
    </cfRule>
    <cfRule type="cellIs" dxfId="31027" priority="1278" operator="equal">
      <formula>"PTO"</formula>
    </cfRule>
  </conditionalFormatting>
  <conditionalFormatting sqref="T46">
    <cfRule type="cellIs" dxfId="31026" priority="1275" operator="equal">
      <formula>"OFF"</formula>
    </cfRule>
    <cfRule type="cellIs" dxfId="31025" priority="1276" operator="equal">
      <formula>"PTO"</formula>
    </cfRule>
  </conditionalFormatting>
  <conditionalFormatting sqref="T46">
    <cfRule type="cellIs" dxfId="31024" priority="1273" operator="equal">
      <formula>"OFF"</formula>
    </cfRule>
    <cfRule type="cellIs" dxfId="31023" priority="1274" operator="equal">
      <formula>"PTO"</formula>
    </cfRule>
  </conditionalFormatting>
  <conditionalFormatting sqref="T46">
    <cfRule type="cellIs" dxfId="31022" priority="1271" operator="equal">
      <formula>"OFF"</formula>
    </cfRule>
    <cfRule type="cellIs" dxfId="31021" priority="1272" operator="equal">
      <formula>"PTO"</formula>
    </cfRule>
  </conditionalFormatting>
  <conditionalFormatting sqref="T46">
    <cfRule type="cellIs" dxfId="31020" priority="1269" operator="equal">
      <formula>"OFF"</formula>
    </cfRule>
    <cfRule type="cellIs" dxfId="31019" priority="1270" operator="equal">
      <formula>"PTO"</formula>
    </cfRule>
  </conditionalFormatting>
  <conditionalFormatting sqref="T46">
    <cfRule type="cellIs" dxfId="31018" priority="1267" operator="equal">
      <formula>"OFF"</formula>
    </cfRule>
    <cfRule type="cellIs" dxfId="31017" priority="1268" operator="equal">
      <formula>"PTO"</formula>
    </cfRule>
  </conditionalFormatting>
  <conditionalFormatting sqref="T46">
    <cfRule type="cellIs" dxfId="31016" priority="1265" operator="equal">
      <formula>"OFF"</formula>
    </cfRule>
    <cfRule type="cellIs" dxfId="31015" priority="1266" operator="equal">
      <formula>"PTO"</formula>
    </cfRule>
  </conditionalFormatting>
  <conditionalFormatting sqref="T46">
    <cfRule type="cellIs" dxfId="31014" priority="1263" operator="equal">
      <formula>"OFF"</formula>
    </cfRule>
    <cfRule type="cellIs" dxfId="31013" priority="1264" operator="equal">
      <formula>"PTO"</formula>
    </cfRule>
  </conditionalFormatting>
  <conditionalFormatting sqref="T46">
    <cfRule type="cellIs" dxfId="31012" priority="1261" operator="equal">
      <formula>"OFF"</formula>
    </cfRule>
    <cfRule type="cellIs" dxfId="31011" priority="1262" operator="equal">
      <formula>"PTO"</formula>
    </cfRule>
  </conditionalFormatting>
  <conditionalFormatting sqref="T46">
    <cfRule type="cellIs" dxfId="31010" priority="1259" operator="equal">
      <formula>"OFF"</formula>
    </cfRule>
    <cfRule type="cellIs" dxfId="31009" priority="1260" operator="equal">
      <formula>"PTO"</formula>
    </cfRule>
  </conditionalFormatting>
  <conditionalFormatting sqref="T46">
    <cfRule type="cellIs" dxfId="31008" priority="1257" operator="equal">
      <formula>"OFF"</formula>
    </cfRule>
    <cfRule type="cellIs" dxfId="31007" priority="1258" operator="equal">
      <formula>"PTO"</formula>
    </cfRule>
  </conditionalFormatting>
  <conditionalFormatting sqref="T46">
    <cfRule type="cellIs" dxfId="31006" priority="1255" operator="equal">
      <formula>"OFF"</formula>
    </cfRule>
    <cfRule type="cellIs" dxfId="31005" priority="1256" operator="equal">
      <formula>"PTO"</formula>
    </cfRule>
  </conditionalFormatting>
  <conditionalFormatting sqref="T46">
    <cfRule type="cellIs" dxfId="31004" priority="1253" operator="equal">
      <formula>"OFF"</formula>
    </cfRule>
    <cfRule type="cellIs" dxfId="31003" priority="1254" operator="equal">
      <formula>"PTO"</formula>
    </cfRule>
  </conditionalFormatting>
  <conditionalFormatting sqref="T46">
    <cfRule type="cellIs" dxfId="31002" priority="1251" operator="equal">
      <formula>"OFF"</formula>
    </cfRule>
    <cfRule type="cellIs" dxfId="31001" priority="1252" operator="equal">
      <formula>"PTO"</formula>
    </cfRule>
  </conditionalFormatting>
  <conditionalFormatting sqref="T46">
    <cfRule type="cellIs" dxfId="31000" priority="1249" operator="equal">
      <formula>"OFF"</formula>
    </cfRule>
    <cfRule type="cellIs" dxfId="30999" priority="1250" operator="equal">
      <formula>"PTO"</formula>
    </cfRule>
  </conditionalFormatting>
  <conditionalFormatting sqref="T46">
    <cfRule type="cellIs" dxfId="30998" priority="1247" operator="equal">
      <formula>"OFF"</formula>
    </cfRule>
    <cfRule type="cellIs" dxfId="30997" priority="1248" operator="equal">
      <formula>"PTO"</formula>
    </cfRule>
  </conditionalFormatting>
  <conditionalFormatting sqref="T46">
    <cfRule type="cellIs" dxfId="30996" priority="1245" operator="equal">
      <formula>"OFF"</formula>
    </cfRule>
    <cfRule type="cellIs" dxfId="30995" priority="1246" operator="equal">
      <formula>"PTO"</formula>
    </cfRule>
  </conditionalFormatting>
  <conditionalFormatting sqref="T46">
    <cfRule type="cellIs" dxfId="30994" priority="1243" operator="equal">
      <formula>"OFF"</formula>
    </cfRule>
    <cfRule type="cellIs" dxfId="30993" priority="1244" operator="equal">
      <formula>"PTO"</formula>
    </cfRule>
  </conditionalFormatting>
  <conditionalFormatting sqref="T46">
    <cfRule type="cellIs" dxfId="30992" priority="1241" operator="equal">
      <formula>"OFF"</formula>
    </cfRule>
    <cfRule type="cellIs" dxfId="30991" priority="1242" operator="equal">
      <formula>"PTO"</formula>
    </cfRule>
  </conditionalFormatting>
  <conditionalFormatting sqref="T46">
    <cfRule type="cellIs" dxfId="30990" priority="1239" operator="equal">
      <formula>"OFF"</formula>
    </cfRule>
    <cfRule type="cellIs" dxfId="30989" priority="1240" operator="equal">
      <formula>"PTO"</formula>
    </cfRule>
  </conditionalFormatting>
  <conditionalFormatting sqref="T46">
    <cfRule type="cellIs" dxfId="30988" priority="1237" operator="equal">
      <formula>"OFF"</formula>
    </cfRule>
    <cfRule type="cellIs" dxfId="30987" priority="1238" operator="equal">
      <formula>"PTO"</formula>
    </cfRule>
  </conditionalFormatting>
  <conditionalFormatting sqref="T46">
    <cfRule type="cellIs" dxfId="30986" priority="1235" operator="equal">
      <formula>"OFF"</formula>
    </cfRule>
    <cfRule type="cellIs" dxfId="30985" priority="1236" operator="equal">
      <formula>"PTO"</formula>
    </cfRule>
  </conditionalFormatting>
  <conditionalFormatting sqref="T46">
    <cfRule type="cellIs" dxfId="30984" priority="1233" operator="equal">
      <formula>"OFF"</formula>
    </cfRule>
    <cfRule type="cellIs" dxfId="30983" priority="1234" operator="equal">
      <formula>"PTO"</formula>
    </cfRule>
  </conditionalFormatting>
  <conditionalFormatting sqref="T46">
    <cfRule type="cellIs" dxfId="30982" priority="1231" operator="equal">
      <formula>"OFF"</formula>
    </cfRule>
    <cfRule type="cellIs" dxfId="30981" priority="1232" operator="equal">
      <formula>"PTO"</formula>
    </cfRule>
  </conditionalFormatting>
  <conditionalFormatting sqref="T45">
    <cfRule type="cellIs" dxfId="30980" priority="1229" operator="equal">
      <formula>"OFF"</formula>
    </cfRule>
    <cfRule type="cellIs" dxfId="30979" priority="1230" operator="equal">
      <formula>"PTO"</formula>
    </cfRule>
  </conditionalFormatting>
  <conditionalFormatting sqref="T45">
    <cfRule type="cellIs" dxfId="30978" priority="1227" operator="equal">
      <formula>"OFF"</formula>
    </cfRule>
    <cfRule type="cellIs" dxfId="30977" priority="1228" operator="equal">
      <formula>"PTO"</formula>
    </cfRule>
  </conditionalFormatting>
  <conditionalFormatting sqref="T46">
    <cfRule type="cellIs" dxfId="30976" priority="1225" operator="equal">
      <formula>"OFF"</formula>
    </cfRule>
    <cfRule type="cellIs" dxfId="30975" priority="1226" operator="equal">
      <formula>"PTO"</formula>
    </cfRule>
  </conditionalFormatting>
  <conditionalFormatting sqref="T45">
    <cfRule type="cellIs" dxfId="30974" priority="1223" operator="equal">
      <formula>"OFF"</formula>
    </cfRule>
    <cfRule type="cellIs" dxfId="30973" priority="1224" operator="equal">
      <formula>"PTO"</formula>
    </cfRule>
  </conditionalFormatting>
  <conditionalFormatting sqref="T47">
    <cfRule type="cellIs" dxfId="30972" priority="1221" operator="equal">
      <formula>"OFF"</formula>
    </cfRule>
    <cfRule type="cellIs" dxfId="30971" priority="1222" operator="equal">
      <formula>"PTO"</formula>
    </cfRule>
  </conditionalFormatting>
  <conditionalFormatting sqref="T47">
    <cfRule type="cellIs" dxfId="30970" priority="1219" operator="equal">
      <formula>"OFF"</formula>
    </cfRule>
    <cfRule type="cellIs" dxfId="30969" priority="1220" operator="equal">
      <formula>"PTO"</formula>
    </cfRule>
  </conditionalFormatting>
  <conditionalFormatting sqref="T47">
    <cfRule type="cellIs" dxfId="30968" priority="1217" operator="equal">
      <formula>"OFF"</formula>
    </cfRule>
    <cfRule type="cellIs" dxfId="30967" priority="1218" operator="equal">
      <formula>"PTO"</formula>
    </cfRule>
  </conditionalFormatting>
  <conditionalFormatting sqref="T47">
    <cfRule type="cellIs" dxfId="30966" priority="1215" operator="equal">
      <formula>"OFF"</formula>
    </cfRule>
    <cfRule type="cellIs" dxfId="30965" priority="1216" operator="equal">
      <formula>"PTO"</formula>
    </cfRule>
  </conditionalFormatting>
  <conditionalFormatting sqref="T47">
    <cfRule type="cellIs" dxfId="30964" priority="1213" operator="equal">
      <formula>"OFF"</formula>
    </cfRule>
    <cfRule type="cellIs" dxfId="30963" priority="1214" operator="equal">
      <formula>"PTO"</formula>
    </cfRule>
  </conditionalFormatting>
  <conditionalFormatting sqref="T47">
    <cfRule type="cellIs" dxfId="30962" priority="1211" operator="equal">
      <formula>"OFF"</formula>
    </cfRule>
    <cfRule type="cellIs" dxfId="30961" priority="1212" operator="equal">
      <formula>"PTO"</formula>
    </cfRule>
  </conditionalFormatting>
  <conditionalFormatting sqref="T47">
    <cfRule type="cellIs" dxfId="30960" priority="1209" operator="equal">
      <formula>"OFF"</formula>
    </cfRule>
    <cfRule type="cellIs" dxfId="30959" priority="1210" operator="equal">
      <formula>"PTO"</formula>
    </cfRule>
  </conditionalFormatting>
  <conditionalFormatting sqref="T47">
    <cfRule type="cellIs" dxfId="30958" priority="1207" operator="equal">
      <formula>"OFF"</formula>
    </cfRule>
    <cfRule type="cellIs" dxfId="30957" priority="1208" operator="equal">
      <formula>"PTO"</formula>
    </cfRule>
  </conditionalFormatting>
  <conditionalFormatting sqref="T47">
    <cfRule type="cellIs" dxfId="30956" priority="1205" operator="equal">
      <formula>"OFF"</formula>
    </cfRule>
    <cfRule type="cellIs" dxfId="30955" priority="1206" operator="equal">
      <formula>"PTO"</formula>
    </cfRule>
  </conditionalFormatting>
  <conditionalFormatting sqref="T47">
    <cfRule type="cellIs" dxfId="30954" priority="1203" operator="equal">
      <formula>"OFF"</formula>
    </cfRule>
    <cfRule type="cellIs" dxfId="30953" priority="1204" operator="equal">
      <formula>"PTO"</formula>
    </cfRule>
  </conditionalFormatting>
  <conditionalFormatting sqref="T47">
    <cfRule type="cellIs" dxfId="30952" priority="1201" operator="equal">
      <formula>"OFF"</formula>
    </cfRule>
    <cfRule type="cellIs" dxfId="30951" priority="1202" operator="equal">
      <formula>"PTO"</formula>
    </cfRule>
  </conditionalFormatting>
  <conditionalFormatting sqref="T47">
    <cfRule type="cellIs" dxfId="30950" priority="1199" operator="equal">
      <formula>"OFF"</formula>
    </cfRule>
    <cfRule type="cellIs" dxfId="30949" priority="1200" operator="equal">
      <formula>"PTO"</formula>
    </cfRule>
  </conditionalFormatting>
  <conditionalFormatting sqref="T47">
    <cfRule type="cellIs" dxfId="30948" priority="1197" operator="equal">
      <formula>"OFF"</formula>
    </cfRule>
    <cfRule type="cellIs" dxfId="30947" priority="1198" operator="equal">
      <formula>"PTO"</formula>
    </cfRule>
  </conditionalFormatting>
  <conditionalFormatting sqref="T47">
    <cfRule type="cellIs" dxfId="30946" priority="1195" operator="equal">
      <formula>"OFF"</formula>
    </cfRule>
    <cfRule type="cellIs" dxfId="30945" priority="1196" operator="equal">
      <formula>"PTO"</formula>
    </cfRule>
  </conditionalFormatting>
  <conditionalFormatting sqref="T47">
    <cfRule type="cellIs" dxfId="30944" priority="1193" operator="equal">
      <formula>"OFF"</formula>
    </cfRule>
    <cfRule type="cellIs" dxfId="30943" priority="1194" operator="equal">
      <formula>"PTO"</formula>
    </cfRule>
  </conditionalFormatting>
  <conditionalFormatting sqref="T47">
    <cfRule type="cellIs" dxfId="30942" priority="1191" operator="equal">
      <formula>"OFF"</formula>
    </cfRule>
    <cfRule type="cellIs" dxfId="30941" priority="1192" operator="equal">
      <formula>"PTO"</formula>
    </cfRule>
  </conditionalFormatting>
  <conditionalFormatting sqref="T47">
    <cfRule type="cellIs" dxfId="30940" priority="1189" operator="equal">
      <formula>"OFF"</formula>
    </cfRule>
    <cfRule type="cellIs" dxfId="30939" priority="1190" operator="equal">
      <formula>"PTO"</formula>
    </cfRule>
  </conditionalFormatting>
  <conditionalFormatting sqref="T47">
    <cfRule type="cellIs" dxfId="30938" priority="1187" operator="equal">
      <formula>"OFF"</formula>
    </cfRule>
    <cfRule type="cellIs" dxfId="30937" priority="1188" operator="equal">
      <formula>"PTO"</formula>
    </cfRule>
  </conditionalFormatting>
  <conditionalFormatting sqref="T47">
    <cfRule type="cellIs" dxfId="30936" priority="1185" operator="equal">
      <formula>"OFF"</formula>
    </cfRule>
    <cfRule type="cellIs" dxfId="30935" priority="1186" operator="equal">
      <formula>"PTO"</formula>
    </cfRule>
  </conditionalFormatting>
  <conditionalFormatting sqref="T47">
    <cfRule type="cellIs" dxfId="30934" priority="1183" operator="equal">
      <formula>"OFF"</formula>
    </cfRule>
    <cfRule type="cellIs" dxfId="30933" priority="1184" operator="equal">
      <formula>"PTO"</formula>
    </cfRule>
  </conditionalFormatting>
  <conditionalFormatting sqref="T47">
    <cfRule type="cellIs" dxfId="30932" priority="1181" operator="equal">
      <formula>"OFF"</formula>
    </cfRule>
    <cfRule type="cellIs" dxfId="30931" priority="1182" operator="equal">
      <formula>"PTO"</formula>
    </cfRule>
  </conditionalFormatting>
  <conditionalFormatting sqref="T47">
    <cfRule type="cellIs" dxfId="30930" priority="1179" operator="equal">
      <formula>"OFF"</formula>
    </cfRule>
    <cfRule type="cellIs" dxfId="30929" priority="1180" operator="equal">
      <formula>"PTO"</formula>
    </cfRule>
  </conditionalFormatting>
  <conditionalFormatting sqref="T47">
    <cfRule type="cellIs" dxfId="30928" priority="1177" operator="equal">
      <formula>"OFF"</formula>
    </cfRule>
    <cfRule type="cellIs" dxfId="30927" priority="1178" operator="equal">
      <formula>"PTO"</formula>
    </cfRule>
  </conditionalFormatting>
  <conditionalFormatting sqref="T47">
    <cfRule type="cellIs" dxfId="30926" priority="1175" operator="equal">
      <formula>"OFF"</formula>
    </cfRule>
    <cfRule type="cellIs" dxfId="30925" priority="1176" operator="equal">
      <formula>"PTO"</formula>
    </cfRule>
  </conditionalFormatting>
  <conditionalFormatting sqref="T47">
    <cfRule type="cellIs" dxfId="30924" priority="1173" operator="equal">
      <formula>"OFF"</formula>
    </cfRule>
    <cfRule type="cellIs" dxfId="30923" priority="1174" operator="equal">
      <formula>"PTO"</formula>
    </cfRule>
  </conditionalFormatting>
  <conditionalFormatting sqref="T48">
    <cfRule type="cellIs" dxfId="30922" priority="1171" operator="equal">
      <formula>"OFF"</formula>
    </cfRule>
    <cfRule type="cellIs" dxfId="30921" priority="1172" operator="equal">
      <formula>"PTO"</formula>
    </cfRule>
  </conditionalFormatting>
  <conditionalFormatting sqref="T48">
    <cfRule type="cellIs" dxfId="30920" priority="1169" operator="equal">
      <formula>"OFF"</formula>
    </cfRule>
    <cfRule type="cellIs" dxfId="30919" priority="1170" operator="equal">
      <formula>"PTO"</formula>
    </cfRule>
  </conditionalFormatting>
  <conditionalFormatting sqref="T48">
    <cfRule type="cellIs" dxfId="30918" priority="1167" operator="equal">
      <formula>"OFF"</formula>
    </cfRule>
    <cfRule type="cellIs" dxfId="30917" priority="1168" operator="equal">
      <formula>"PTO"</formula>
    </cfRule>
  </conditionalFormatting>
  <conditionalFormatting sqref="T48">
    <cfRule type="cellIs" dxfId="30916" priority="1165" operator="equal">
      <formula>"OFF"</formula>
    </cfRule>
    <cfRule type="cellIs" dxfId="30915" priority="1166" operator="equal">
      <formula>"PTO"</formula>
    </cfRule>
  </conditionalFormatting>
  <conditionalFormatting sqref="T48">
    <cfRule type="cellIs" dxfId="30914" priority="1163" operator="equal">
      <formula>"OFF"</formula>
    </cfRule>
    <cfRule type="cellIs" dxfId="30913" priority="1164" operator="equal">
      <formula>"PTO"</formula>
    </cfRule>
  </conditionalFormatting>
  <conditionalFormatting sqref="T48">
    <cfRule type="cellIs" dxfId="30912" priority="1161" operator="equal">
      <formula>"OFF"</formula>
    </cfRule>
    <cfRule type="cellIs" dxfId="30911" priority="1162" operator="equal">
      <formula>"PTO"</formula>
    </cfRule>
  </conditionalFormatting>
  <conditionalFormatting sqref="T48">
    <cfRule type="cellIs" dxfId="30910" priority="1159" operator="equal">
      <formula>"OFF"</formula>
    </cfRule>
    <cfRule type="cellIs" dxfId="30909" priority="1160" operator="equal">
      <formula>"PTO"</formula>
    </cfRule>
  </conditionalFormatting>
  <conditionalFormatting sqref="T48">
    <cfRule type="cellIs" dxfId="30908" priority="1157" operator="equal">
      <formula>"OFF"</formula>
    </cfRule>
    <cfRule type="cellIs" dxfId="30907" priority="1158" operator="equal">
      <formula>"PTO"</formula>
    </cfRule>
  </conditionalFormatting>
  <conditionalFormatting sqref="T48">
    <cfRule type="cellIs" dxfId="30906" priority="1155" operator="equal">
      <formula>"OFF"</formula>
    </cfRule>
    <cfRule type="cellIs" dxfId="30905" priority="1156" operator="equal">
      <formula>"PTO"</formula>
    </cfRule>
  </conditionalFormatting>
  <conditionalFormatting sqref="T48">
    <cfRule type="cellIs" dxfId="30904" priority="1153" operator="equal">
      <formula>"OFF"</formula>
    </cfRule>
    <cfRule type="cellIs" dxfId="30903" priority="1154" operator="equal">
      <formula>"PTO"</formula>
    </cfRule>
  </conditionalFormatting>
  <conditionalFormatting sqref="T47">
    <cfRule type="cellIs" dxfId="30902" priority="1151" operator="equal">
      <formula>"OFF"</formula>
    </cfRule>
    <cfRule type="cellIs" dxfId="30901" priority="1152" operator="equal">
      <formula>"PTO"</formula>
    </cfRule>
  </conditionalFormatting>
  <conditionalFormatting sqref="T47">
    <cfRule type="cellIs" dxfId="30900" priority="1149" operator="equal">
      <formula>"OFF"</formula>
    </cfRule>
    <cfRule type="cellIs" dxfId="30899" priority="1150" operator="equal">
      <formula>"PTO"</formula>
    </cfRule>
  </conditionalFormatting>
  <conditionalFormatting sqref="T47">
    <cfRule type="cellIs" dxfId="30898" priority="1147" operator="equal">
      <formula>"OFF"</formula>
    </cfRule>
    <cfRule type="cellIs" dxfId="30897" priority="1148" operator="equal">
      <formula>"PTO"</formula>
    </cfRule>
  </conditionalFormatting>
  <conditionalFormatting sqref="T47">
    <cfRule type="cellIs" dxfId="30896" priority="1145" operator="equal">
      <formula>"OFF"</formula>
    </cfRule>
    <cfRule type="cellIs" dxfId="30895" priority="1146" operator="equal">
      <formula>"PTO"</formula>
    </cfRule>
  </conditionalFormatting>
  <conditionalFormatting sqref="T47">
    <cfRule type="cellIs" dxfId="30894" priority="1143" operator="equal">
      <formula>"OFF"</formula>
    </cfRule>
    <cfRule type="cellIs" dxfId="30893" priority="1144" operator="equal">
      <formula>"PTO"</formula>
    </cfRule>
  </conditionalFormatting>
  <conditionalFormatting sqref="T47">
    <cfRule type="cellIs" dxfId="30892" priority="1141" operator="equal">
      <formula>"OFF"</formula>
    </cfRule>
    <cfRule type="cellIs" dxfId="30891" priority="1142" operator="equal">
      <formula>"PTO"</formula>
    </cfRule>
  </conditionalFormatting>
  <conditionalFormatting sqref="T47">
    <cfRule type="cellIs" dxfId="30890" priority="1139" operator="equal">
      <formula>"OFF"</formula>
    </cfRule>
    <cfRule type="cellIs" dxfId="30889" priority="1140" operator="equal">
      <formula>"PTO"</formula>
    </cfRule>
  </conditionalFormatting>
  <conditionalFormatting sqref="T47">
    <cfRule type="cellIs" dxfId="30888" priority="1137" operator="equal">
      <formula>"OFF"</formula>
    </cfRule>
    <cfRule type="cellIs" dxfId="30887" priority="1138" operator="equal">
      <formula>"PTO"</formula>
    </cfRule>
  </conditionalFormatting>
  <conditionalFormatting sqref="T47">
    <cfRule type="cellIs" dxfId="30886" priority="1135" operator="equal">
      <formula>"OFF"</formula>
    </cfRule>
    <cfRule type="cellIs" dxfId="30885" priority="1136" operator="equal">
      <formula>"PTO"</formula>
    </cfRule>
  </conditionalFormatting>
  <conditionalFormatting sqref="T49">
    <cfRule type="cellIs" dxfId="30884" priority="1133" operator="equal">
      <formula>"OFF"</formula>
    </cfRule>
    <cfRule type="cellIs" dxfId="30883" priority="1134" operator="equal">
      <formula>"PTO"</formula>
    </cfRule>
  </conditionalFormatting>
  <conditionalFormatting sqref="S45:S50">
    <cfRule type="cellIs" dxfId="30882" priority="1131" operator="equal">
      <formula>"OFF"</formula>
    </cfRule>
    <cfRule type="cellIs" dxfId="30881" priority="1132" operator="equal">
      <formula>"PTO"</formula>
    </cfRule>
  </conditionalFormatting>
  <conditionalFormatting sqref="S48">
    <cfRule type="cellIs" dxfId="30880" priority="1129" operator="equal">
      <formula>"OFF"</formula>
    </cfRule>
    <cfRule type="cellIs" dxfId="30879" priority="1130" operator="equal">
      <formula>"PTO"</formula>
    </cfRule>
  </conditionalFormatting>
  <conditionalFormatting sqref="S48">
    <cfRule type="cellIs" dxfId="30878" priority="1127" operator="equal">
      <formula>"OFF"</formula>
    </cfRule>
    <cfRule type="cellIs" dxfId="30877" priority="1128" operator="equal">
      <formula>"PTO"</formula>
    </cfRule>
  </conditionalFormatting>
  <conditionalFormatting sqref="S48">
    <cfRule type="cellIs" dxfId="30876" priority="1125" operator="equal">
      <formula>"OFF"</formula>
    </cfRule>
    <cfRule type="cellIs" dxfId="30875" priority="1126" operator="equal">
      <formula>"PTO"</formula>
    </cfRule>
  </conditionalFormatting>
  <conditionalFormatting sqref="S48">
    <cfRule type="cellIs" dxfId="30874" priority="1123" operator="equal">
      <formula>"OFF"</formula>
    </cfRule>
    <cfRule type="cellIs" dxfId="30873" priority="1124" operator="equal">
      <formula>"PTO"</formula>
    </cfRule>
  </conditionalFormatting>
  <conditionalFormatting sqref="S45">
    <cfRule type="cellIs" dxfId="30872" priority="1121" operator="equal">
      <formula>"OFF"</formula>
    </cfRule>
    <cfRule type="cellIs" dxfId="30871" priority="1122" operator="equal">
      <formula>"PTO"</formula>
    </cfRule>
  </conditionalFormatting>
  <conditionalFormatting sqref="S45">
    <cfRule type="cellIs" dxfId="30870" priority="1119" operator="equal">
      <formula>"OFF"</formula>
    </cfRule>
    <cfRule type="cellIs" dxfId="30869" priority="1120" operator="equal">
      <formula>"PTO"</formula>
    </cfRule>
  </conditionalFormatting>
  <conditionalFormatting sqref="S48">
    <cfRule type="cellIs" dxfId="30868" priority="1117" operator="equal">
      <formula>"OFF"</formula>
    </cfRule>
    <cfRule type="cellIs" dxfId="30867" priority="1118" operator="equal">
      <formula>"PTO"</formula>
    </cfRule>
  </conditionalFormatting>
  <conditionalFormatting sqref="S45">
    <cfRule type="cellIs" dxfId="30866" priority="1115" operator="equal">
      <formula>"OFF"</formula>
    </cfRule>
    <cfRule type="cellIs" dxfId="30865" priority="1116" operator="equal">
      <formula>"PTO"</formula>
    </cfRule>
  </conditionalFormatting>
  <conditionalFormatting sqref="S50">
    <cfRule type="cellIs" dxfId="30864" priority="1113" operator="equal">
      <formula>"OFF"</formula>
    </cfRule>
    <cfRule type="cellIs" dxfId="30863" priority="1114" operator="equal">
      <formula>"PTO"</formula>
    </cfRule>
  </conditionalFormatting>
  <conditionalFormatting sqref="S48">
    <cfRule type="cellIs" dxfId="30862" priority="1111" operator="equal">
      <formula>"OFF"</formula>
    </cfRule>
    <cfRule type="cellIs" dxfId="30861" priority="1112" operator="equal">
      <formula>"PTO"</formula>
    </cfRule>
  </conditionalFormatting>
  <conditionalFormatting sqref="S48">
    <cfRule type="cellIs" dxfId="30860" priority="1109" operator="equal">
      <formula>"OFF"</formula>
    </cfRule>
    <cfRule type="cellIs" dxfId="30859" priority="1110" operator="equal">
      <formula>"PTO"</formula>
    </cfRule>
  </conditionalFormatting>
  <conditionalFormatting sqref="S48">
    <cfRule type="cellIs" dxfId="30858" priority="1107" operator="equal">
      <formula>"OFF"</formula>
    </cfRule>
    <cfRule type="cellIs" dxfId="30857" priority="1108" operator="equal">
      <formula>"PTO"</formula>
    </cfRule>
  </conditionalFormatting>
  <conditionalFormatting sqref="S48">
    <cfRule type="cellIs" dxfId="30856" priority="1105" operator="equal">
      <formula>"OFF"</formula>
    </cfRule>
    <cfRule type="cellIs" dxfId="30855" priority="1106" operator="equal">
      <formula>"PTO"</formula>
    </cfRule>
  </conditionalFormatting>
  <conditionalFormatting sqref="S48">
    <cfRule type="cellIs" dxfId="30854" priority="1103" operator="equal">
      <formula>"OFF"</formula>
    </cfRule>
    <cfRule type="cellIs" dxfId="30853" priority="1104" operator="equal">
      <formula>"PTO"</formula>
    </cfRule>
  </conditionalFormatting>
  <conditionalFormatting sqref="S48">
    <cfRule type="cellIs" dxfId="30852" priority="1101" operator="equal">
      <formula>"OFF"</formula>
    </cfRule>
    <cfRule type="cellIs" dxfId="30851" priority="1102" operator="equal">
      <formula>"PTO"</formula>
    </cfRule>
  </conditionalFormatting>
  <conditionalFormatting sqref="S48">
    <cfRule type="cellIs" dxfId="30850" priority="1099" operator="equal">
      <formula>"OFF"</formula>
    </cfRule>
    <cfRule type="cellIs" dxfId="30849" priority="1100" operator="equal">
      <formula>"PTO"</formula>
    </cfRule>
  </conditionalFormatting>
  <conditionalFormatting sqref="S48">
    <cfRule type="cellIs" dxfId="30848" priority="1097" operator="equal">
      <formula>"OFF"</formula>
    </cfRule>
    <cfRule type="cellIs" dxfId="30847" priority="1098" operator="equal">
      <formula>"PTO"</formula>
    </cfRule>
  </conditionalFormatting>
  <conditionalFormatting sqref="S48">
    <cfRule type="cellIs" dxfId="30846" priority="1095" operator="equal">
      <formula>"OFF"</formula>
    </cfRule>
    <cfRule type="cellIs" dxfId="30845" priority="1096" operator="equal">
      <formula>"PTO"</formula>
    </cfRule>
  </conditionalFormatting>
  <conditionalFormatting sqref="S48">
    <cfRule type="cellIs" dxfId="30844" priority="1093" operator="equal">
      <formula>"OFF"</formula>
    </cfRule>
    <cfRule type="cellIs" dxfId="30843" priority="1094" operator="equal">
      <formula>"PTO"</formula>
    </cfRule>
  </conditionalFormatting>
  <conditionalFormatting sqref="S48">
    <cfRule type="cellIs" dxfId="30842" priority="1091" operator="equal">
      <formula>"OFF"</formula>
    </cfRule>
    <cfRule type="cellIs" dxfId="30841" priority="1092" operator="equal">
      <formula>"PTO"</formula>
    </cfRule>
  </conditionalFormatting>
  <conditionalFormatting sqref="S48">
    <cfRule type="cellIs" dxfId="30840" priority="1089" operator="equal">
      <formula>"OFF"</formula>
    </cfRule>
    <cfRule type="cellIs" dxfId="30839" priority="1090" operator="equal">
      <formula>"PTO"</formula>
    </cfRule>
  </conditionalFormatting>
  <conditionalFormatting sqref="S48">
    <cfRule type="cellIs" dxfId="30838" priority="1087" operator="equal">
      <formula>"OFF"</formula>
    </cfRule>
    <cfRule type="cellIs" dxfId="30837" priority="1088" operator="equal">
      <formula>"PTO"</formula>
    </cfRule>
  </conditionalFormatting>
  <conditionalFormatting sqref="S48">
    <cfRule type="cellIs" dxfId="30836" priority="1085" operator="equal">
      <formula>"OFF"</formula>
    </cfRule>
    <cfRule type="cellIs" dxfId="30835" priority="1086" operator="equal">
      <formula>"PTO"</formula>
    </cfRule>
  </conditionalFormatting>
  <conditionalFormatting sqref="S48">
    <cfRule type="cellIs" dxfId="30834" priority="1083" operator="equal">
      <formula>"OFF"</formula>
    </cfRule>
    <cfRule type="cellIs" dxfId="30833" priority="1084" operator="equal">
      <formula>"PTO"</formula>
    </cfRule>
  </conditionalFormatting>
  <conditionalFormatting sqref="S48">
    <cfRule type="cellIs" dxfId="30832" priority="1081" operator="equal">
      <formula>"OFF"</formula>
    </cfRule>
    <cfRule type="cellIs" dxfId="30831" priority="1082" operator="equal">
      <formula>"PTO"</formula>
    </cfRule>
  </conditionalFormatting>
  <conditionalFormatting sqref="S48">
    <cfRule type="cellIs" dxfId="30830" priority="1079" operator="equal">
      <formula>"OFF"</formula>
    </cfRule>
    <cfRule type="cellIs" dxfId="30829" priority="1080" operator="equal">
      <formula>"PTO"</formula>
    </cfRule>
  </conditionalFormatting>
  <conditionalFormatting sqref="S48">
    <cfRule type="cellIs" dxfId="30828" priority="1077" operator="equal">
      <formula>"OFF"</formula>
    </cfRule>
    <cfRule type="cellIs" dxfId="30827" priority="1078" operator="equal">
      <formula>"PTO"</formula>
    </cfRule>
  </conditionalFormatting>
  <conditionalFormatting sqref="S48">
    <cfRule type="cellIs" dxfId="30826" priority="1075" operator="equal">
      <formula>"OFF"</formula>
    </cfRule>
    <cfRule type="cellIs" dxfId="30825" priority="1076" operator="equal">
      <formula>"PTO"</formula>
    </cfRule>
  </conditionalFormatting>
  <conditionalFormatting sqref="S48">
    <cfRule type="cellIs" dxfId="30824" priority="1073" operator="equal">
      <formula>"OFF"</formula>
    </cfRule>
    <cfRule type="cellIs" dxfId="30823" priority="1074" operator="equal">
      <formula>"PTO"</formula>
    </cfRule>
  </conditionalFormatting>
  <conditionalFormatting sqref="S43">
    <cfRule type="cellIs" dxfId="30822" priority="1071" operator="equal">
      <formula>"OFF"</formula>
    </cfRule>
    <cfRule type="cellIs" dxfId="30821" priority="1072" operator="equal">
      <formula>"PTO"</formula>
    </cfRule>
  </conditionalFormatting>
  <conditionalFormatting sqref="S43">
    <cfRule type="cellIs" dxfId="30820" priority="1069" operator="equal">
      <formula>"OFF"</formula>
    </cfRule>
    <cfRule type="cellIs" dxfId="30819" priority="1070" operator="equal">
      <formula>"PTO"</formula>
    </cfRule>
  </conditionalFormatting>
  <conditionalFormatting sqref="S43">
    <cfRule type="cellIs" dxfId="30818" priority="1067" operator="equal">
      <formula>"OFF"</formula>
    </cfRule>
    <cfRule type="cellIs" dxfId="30817" priority="1068" operator="equal">
      <formula>"PTO"</formula>
    </cfRule>
  </conditionalFormatting>
  <conditionalFormatting sqref="S43">
    <cfRule type="cellIs" dxfId="30816" priority="1065" operator="equal">
      <formula>"OFF"</formula>
    </cfRule>
    <cfRule type="cellIs" dxfId="30815" priority="1066" operator="equal">
      <formula>"PTO"</formula>
    </cfRule>
  </conditionalFormatting>
  <conditionalFormatting sqref="S49">
    <cfRule type="cellIs" dxfId="30814" priority="1063" operator="equal">
      <formula>"OFF"</formula>
    </cfRule>
    <cfRule type="cellIs" dxfId="30813" priority="1064" operator="equal">
      <formula>"PTO"</formula>
    </cfRule>
  </conditionalFormatting>
  <conditionalFormatting sqref="S49">
    <cfRule type="cellIs" dxfId="30812" priority="1061" operator="equal">
      <formula>"OFF"</formula>
    </cfRule>
    <cfRule type="cellIs" dxfId="30811" priority="1062" operator="equal">
      <formula>"PTO"</formula>
    </cfRule>
  </conditionalFormatting>
  <conditionalFormatting sqref="S49">
    <cfRule type="cellIs" dxfId="30810" priority="1059" operator="equal">
      <formula>"OFF"</formula>
    </cfRule>
    <cfRule type="cellIs" dxfId="30809" priority="1060" operator="equal">
      <formula>"PTO"</formula>
    </cfRule>
  </conditionalFormatting>
  <conditionalFormatting sqref="S49">
    <cfRule type="cellIs" dxfId="30808" priority="1057" operator="equal">
      <formula>"OFF"</formula>
    </cfRule>
    <cfRule type="cellIs" dxfId="30807" priority="1058" operator="equal">
      <formula>"PTO"</formula>
    </cfRule>
  </conditionalFormatting>
  <conditionalFormatting sqref="S49">
    <cfRule type="cellIs" dxfId="30806" priority="1055" operator="equal">
      <formula>"OFF"</formula>
    </cfRule>
    <cfRule type="cellIs" dxfId="30805" priority="1056" operator="equal">
      <formula>"PTO"</formula>
    </cfRule>
  </conditionalFormatting>
  <conditionalFormatting sqref="S49">
    <cfRule type="cellIs" dxfId="30804" priority="1053" operator="equal">
      <formula>"OFF"</formula>
    </cfRule>
    <cfRule type="cellIs" dxfId="30803" priority="1054" operator="equal">
      <formula>"PTO"</formula>
    </cfRule>
  </conditionalFormatting>
  <conditionalFormatting sqref="S49">
    <cfRule type="cellIs" dxfId="30802" priority="1051" operator="equal">
      <formula>"OFF"</formula>
    </cfRule>
    <cfRule type="cellIs" dxfId="30801" priority="1052" operator="equal">
      <formula>"PTO"</formula>
    </cfRule>
  </conditionalFormatting>
  <conditionalFormatting sqref="S49">
    <cfRule type="cellIs" dxfId="30800" priority="1049" operator="equal">
      <formula>"OFF"</formula>
    </cfRule>
    <cfRule type="cellIs" dxfId="30799" priority="1050" operator="equal">
      <formula>"PTO"</formula>
    </cfRule>
  </conditionalFormatting>
  <conditionalFormatting sqref="S49">
    <cfRule type="cellIs" dxfId="30798" priority="1047" operator="equal">
      <formula>"OFF"</formula>
    </cfRule>
    <cfRule type="cellIs" dxfId="30797" priority="1048" operator="equal">
      <formula>"PTO"</formula>
    </cfRule>
  </conditionalFormatting>
  <conditionalFormatting sqref="S47">
    <cfRule type="cellIs" dxfId="30796" priority="1045" operator="equal">
      <formula>"OFF"</formula>
    </cfRule>
    <cfRule type="cellIs" dxfId="30795" priority="1046" operator="equal">
      <formula>"PTO"</formula>
    </cfRule>
  </conditionalFormatting>
  <conditionalFormatting sqref="S47">
    <cfRule type="cellIs" dxfId="30794" priority="1043" operator="equal">
      <formula>"OFF"</formula>
    </cfRule>
    <cfRule type="cellIs" dxfId="30793" priority="1044" operator="equal">
      <formula>"PTO"</formula>
    </cfRule>
  </conditionalFormatting>
  <conditionalFormatting sqref="S45">
    <cfRule type="cellIs" dxfId="30792" priority="1041" operator="equal">
      <formula>"OFF"</formula>
    </cfRule>
    <cfRule type="cellIs" dxfId="30791" priority="1042" operator="equal">
      <formula>"PTO"</formula>
    </cfRule>
  </conditionalFormatting>
  <conditionalFormatting sqref="S45">
    <cfRule type="cellIs" dxfId="30790" priority="1039" operator="equal">
      <formula>"OFF"</formula>
    </cfRule>
    <cfRule type="cellIs" dxfId="30789" priority="1040" operator="equal">
      <formula>"PTO"</formula>
    </cfRule>
  </conditionalFormatting>
  <conditionalFormatting sqref="S45">
    <cfRule type="cellIs" dxfId="30788" priority="1037" operator="equal">
      <formula>"OFF"</formula>
    </cfRule>
    <cfRule type="cellIs" dxfId="30787" priority="1038" operator="equal">
      <formula>"PTO"</formula>
    </cfRule>
  </conditionalFormatting>
  <conditionalFormatting sqref="S46">
    <cfRule type="cellIs" dxfId="30786" priority="1035" operator="equal">
      <formula>"OFF"</formula>
    </cfRule>
    <cfRule type="cellIs" dxfId="30785" priority="1036" operator="equal">
      <formula>"PTO"</formula>
    </cfRule>
  </conditionalFormatting>
  <conditionalFormatting sqref="S46">
    <cfRule type="cellIs" dxfId="30784" priority="1033" operator="equal">
      <formula>"OFF"</formula>
    </cfRule>
    <cfRule type="cellIs" dxfId="30783" priority="1034" operator="equal">
      <formula>"PTO"</formula>
    </cfRule>
  </conditionalFormatting>
  <conditionalFormatting sqref="S46">
    <cfRule type="cellIs" dxfId="30782" priority="1031" operator="equal">
      <formula>"OFF"</formula>
    </cfRule>
    <cfRule type="cellIs" dxfId="30781" priority="1032" operator="equal">
      <formula>"PTO"</formula>
    </cfRule>
  </conditionalFormatting>
  <conditionalFormatting sqref="S46">
    <cfRule type="cellIs" dxfId="30780" priority="1029" operator="equal">
      <formula>"OFF"</formula>
    </cfRule>
    <cfRule type="cellIs" dxfId="30779" priority="1030" operator="equal">
      <formula>"PTO"</formula>
    </cfRule>
  </conditionalFormatting>
  <conditionalFormatting sqref="S46">
    <cfRule type="cellIs" dxfId="30778" priority="1027" operator="equal">
      <formula>"OFF"</formula>
    </cfRule>
    <cfRule type="cellIs" dxfId="30777" priority="1028" operator="equal">
      <formula>"PTO"</formula>
    </cfRule>
  </conditionalFormatting>
  <conditionalFormatting sqref="S46">
    <cfRule type="cellIs" dxfId="30776" priority="1025" operator="equal">
      <formula>"OFF"</formula>
    </cfRule>
    <cfRule type="cellIs" dxfId="30775" priority="1026" operator="equal">
      <formula>"PTO"</formula>
    </cfRule>
  </conditionalFormatting>
  <conditionalFormatting sqref="S46">
    <cfRule type="cellIs" dxfId="30774" priority="1023" operator="equal">
      <formula>"OFF"</formula>
    </cfRule>
    <cfRule type="cellIs" dxfId="30773" priority="1024" operator="equal">
      <formula>"PTO"</formula>
    </cfRule>
  </conditionalFormatting>
  <conditionalFormatting sqref="S46">
    <cfRule type="cellIs" dxfId="30772" priority="1021" operator="equal">
      <formula>"OFF"</formula>
    </cfRule>
    <cfRule type="cellIs" dxfId="30771" priority="1022" operator="equal">
      <formula>"PTO"</formula>
    </cfRule>
  </conditionalFormatting>
  <conditionalFormatting sqref="S46">
    <cfRule type="cellIs" dxfId="30770" priority="1019" operator="equal">
      <formula>"OFF"</formula>
    </cfRule>
    <cfRule type="cellIs" dxfId="30769" priority="1020" operator="equal">
      <formula>"PTO"</formula>
    </cfRule>
  </conditionalFormatting>
  <conditionalFormatting sqref="S46">
    <cfRule type="cellIs" dxfId="30768" priority="1017" operator="equal">
      <formula>"OFF"</formula>
    </cfRule>
    <cfRule type="cellIs" dxfId="30767" priority="1018" operator="equal">
      <formula>"PTO"</formula>
    </cfRule>
  </conditionalFormatting>
  <conditionalFormatting sqref="S46">
    <cfRule type="cellIs" dxfId="30766" priority="1015" operator="equal">
      <formula>"OFF"</formula>
    </cfRule>
    <cfRule type="cellIs" dxfId="30765" priority="1016" operator="equal">
      <formula>"PTO"</formula>
    </cfRule>
  </conditionalFormatting>
  <conditionalFormatting sqref="S46">
    <cfRule type="cellIs" dxfId="30764" priority="1013" operator="equal">
      <formula>"OFF"</formula>
    </cfRule>
    <cfRule type="cellIs" dxfId="30763" priority="1014" operator="equal">
      <formula>"PTO"</formula>
    </cfRule>
  </conditionalFormatting>
  <conditionalFormatting sqref="S46">
    <cfRule type="cellIs" dxfId="30762" priority="1011" operator="equal">
      <formula>"OFF"</formula>
    </cfRule>
    <cfRule type="cellIs" dxfId="30761" priority="1012" operator="equal">
      <formula>"PTO"</formula>
    </cfRule>
  </conditionalFormatting>
  <conditionalFormatting sqref="S46">
    <cfRule type="cellIs" dxfId="30760" priority="1009" operator="equal">
      <formula>"OFF"</formula>
    </cfRule>
    <cfRule type="cellIs" dxfId="30759" priority="1010" operator="equal">
      <formula>"PTO"</formula>
    </cfRule>
  </conditionalFormatting>
  <conditionalFormatting sqref="S46">
    <cfRule type="cellIs" dxfId="30758" priority="1007" operator="equal">
      <formula>"OFF"</formula>
    </cfRule>
    <cfRule type="cellIs" dxfId="30757" priority="1008" operator="equal">
      <formula>"PTO"</formula>
    </cfRule>
  </conditionalFormatting>
  <conditionalFormatting sqref="S46">
    <cfRule type="cellIs" dxfId="30756" priority="1005" operator="equal">
      <formula>"OFF"</formula>
    </cfRule>
    <cfRule type="cellIs" dxfId="30755" priority="1006" operator="equal">
      <formula>"PTO"</formula>
    </cfRule>
  </conditionalFormatting>
  <conditionalFormatting sqref="S46">
    <cfRule type="cellIs" dxfId="30754" priority="1003" operator="equal">
      <formula>"OFF"</formula>
    </cfRule>
    <cfRule type="cellIs" dxfId="30753" priority="1004" operator="equal">
      <formula>"PTO"</formula>
    </cfRule>
  </conditionalFormatting>
  <conditionalFormatting sqref="S46">
    <cfRule type="cellIs" dxfId="30752" priority="1001" operator="equal">
      <formula>"OFF"</formula>
    </cfRule>
    <cfRule type="cellIs" dxfId="30751" priority="1002" operator="equal">
      <formula>"PTO"</formula>
    </cfRule>
  </conditionalFormatting>
  <conditionalFormatting sqref="S46">
    <cfRule type="cellIs" dxfId="30750" priority="999" operator="equal">
      <formula>"OFF"</formula>
    </cfRule>
    <cfRule type="cellIs" dxfId="30749" priority="1000" operator="equal">
      <formula>"PTO"</formula>
    </cfRule>
  </conditionalFormatting>
  <conditionalFormatting sqref="S46">
    <cfRule type="cellIs" dxfId="30748" priority="997" operator="equal">
      <formula>"OFF"</formula>
    </cfRule>
    <cfRule type="cellIs" dxfId="30747" priority="998" operator="equal">
      <formula>"PTO"</formula>
    </cfRule>
  </conditionalFormatting>
  <conditionalFormatting sqref="S46">
    <cfRule type="cellIs" dxfId="30746" priority="995" operator="equal">
      <formula>"OFF"</formula>
    </cfRule>
    <cfRule type="cellIs" dxfId="30745" priority="996" operator="equal">
      <formula>"PTO"</formula>
    </cfRule>
  </conditionalFormatting>
  <conditionalFormatting sqref="S46">
    <cfRule type="cellIs" dxfId="30744" priority="993" operator="equal">
      <formula>"OFF"</formula>
    </cfRule>
    <cfRule type="cellIs" dxfId="30743" priority="994" operator="equal">
      <formula>"PTO"</formula>
    </cfRule>
  </conditionalFormatting>
  <conditionalFormatting sqref="S46">
    <cfRule type="cellIs" dxfId="30742" priority="991" operator="equal">
      <formula>"OFF"</formula>
    </cfRule>
    <cfRule type="cellIs" dxfId="30741" priority="992" operator="equal">
      <formula>"PTO"</formula>
    </cfRule>
  </conditionalFormatting>
  <conditionalFormatting sqref="S46">
    <cfRule type="cellIs" dxfId="30740" priority="989" operator="equal">
      <formula>"OFF"</formula>
    </cfRule>
    <cfRule type="cellIs" dxfId="30739" priority="990" operator="equal">
      <formula>"PTO"</formula>
    </cfRule>
  </conditionalFormatting>
  <conditionalFormatting sqref="S46">
    <cfRule type="cellIs" dxfId="30738" priority="987" operator="equal">
      <formula>"OFF"</formula>
    </cfRule>
    <cfRule type="cellIs" dxfId="30737" priority="988" operator="equal">
      <formula>"PTO"</formula>
    </cfRule>
  </conditionalFormatting>
  <conditionalFormatting sqref="S46">
    <cfRule type="cellIs" dxfId="30736" priority="985" operator="equal">
      <formula>"OFF"</formula>
    </cfRule>
    <cfRule type="cellIs" dxfId="30735" priority="986" operator="equal">
      <formula>"PTO"</formula>
    </cfRule>
  </conditionalFormatting>
  <conditionalFormatting sqref="S47:S50">
    <cfRule type="cellIs" dxfId="30734" priority="983" operator="equal">
      <formula>"OFF"</formula>
    </cfRule>
    <cfRule type="cellIs" dxfId="30733" priority="984" operator="equal">
      <formula>"PTO"</formula>
    </cfRule>
  </conditionalFormatting>
  <conditionalFormatting sqref="S47">
    <cfRule type="cellIs" dxfId="30732" priority="981" operator="equal">
      <formula>"OFF"</formula>
    </cfRule>
    <cfRule type="cellIs" dxfId="30731" priority="982" operator="equal">
      <formula>"PTO"</formula>
    </cfRule>
  </conditionalFormatting>
  <conditionalFormatting sqref="S41 S43 S45:S50">
    <cfRule type="cellIs" dxfId="30730" priority="979" operator="equal">
      <formula>"OFF"</formula>
    </cfRule>
    <cfRule type="cellIs" dxfId="30729" priority="980" operator="equal">
      <formula>"PTO"</formula>
    </cfRule>
  </conditionalFormatting>
  <conditionalFormatting sqref="S41 S43 S45:S50">
    <cfRule type="cellIs" dxfId="30728" priority="977" operator="equal">
      <formula>"OFF"</formula>
    </cfRule>
    <cfRule type="cellIs" dxfId="30727" priority="978" operator="equal">
      <formula>"PTO"</formula>
    </cfRule>
  </conditionalFormatting>
  <conditionalFormatting sqref="S41 S43 S45:S50">
    <cfRule type="cellIs" dxfId="30726" priority="975" operator="equal">
      <formula>"OFF"</formula>
    </cfRule>
    <cfRule type="cellIs" dxfId="30725" priority="976" operator="equal">
      <formula>"PTO"</formula>
    </cfRule>
  </conditionalFormatting>
  <conditionalFormatting sqref="S49:S53">
    <cfRule type="cellIs" dxfId="30724" priority="973" operator="equal">
      <formula>"OFF"</formula>
    </cfRule>
    <cfRule type="cellIs" dxfId="30723" priority="974" operator="equal">
      <formula>"PTO"</formula>
    </cfRule>
  </conditionalFormatting>
  <conditionalFormatting sqref="S49:S53">
    <cfRule type="cellIs" dxfId="30722" priority="971" operator="equal">
      <formula>"OFF"</formula>
    </cfRule>
    <cfRule type="cellIs" dxfId="30721" priority="972" operator="equal">
      <formula>"PTO"</formula>
    </cfRule>
  </conditionalFormatting>
  <conditionalFormatting sqref="S49:S53">
    <cfRule type="cellIs" dxfId="30720" priority="969" operator="equal">
      <formula>"OFF"</formula>
    </cfRule>
    <cfRule type="cellIs" dxfId="30719" priority="970" operator="equal">
      <formula>"PTO"</formula>
    </cfRule>
  </conditionalFormatting>
  <conditionalFormatting sqref="S47">
    <cfRule type="cellIs" dxfId="30718" priority="967" operator="equal">
      <formula>"OFF"</formula>
    </cfRule>
    <cfRule type="cellIs" dxfId="30717" priority="968" operator="equal">
      <formula>"PTO"</formula>
    </cfRule>
  </conditionalFormatting>
  <conditionalFormatting sqref="S47">
    <cfRule type="cellIs" dxfId="30716" priority="965" operator="equal">
      <formula>"OFF"</formula>
    </cfRule>
    <cfRule type="cellIs" dxfId="30715" priority="966" operator="equal">
      <formula>"PTO"</formula>
    </cfRule>
  </conditionalFormatting>
  <conditionalFormatting sqref="S47">
    <cfRule type="cellIs" dxfId="30714" priority="963" operator="equal">
      <formula>"OFF"</formula>
    </cfRule>
    <cfRule type="cellIs" dxfId="30713" priority="964" operator="equal">
      <formula>"PTO"</formula>
    </cfRule>
  </conditionalFormatting>
  <conditionalFormatting sqref="S47">
    <cfRule type="cellIs" dxfId="30712" priority="961" operator="equal">
      <formula>"OFF"</formula>
    </cfRule>
    <cfRule type="cellIs" dxfId="30711" priority="962" operator="equal">
      <formula>"PTO"</formula>
    </cfRule>
  </conditionalFormatting>
  <conditionalFormatting sqref="S47">
    <cfRule type="cellIs" dxfId="30710" priority="959" operator="equal">
      <formula>"OFF"</formula>
    </cfRule>
    <cfRule type="cellIs" dxfId="30709" priority="960" operator="equal">
      <formula>"PTO"</formula>
    </cfRule>
  </conditionalFormatting>
  <conditionalFormatting sqref="S47">
    <cfRule type="cellIs" dxfId="30708" priority="957" operator="equal">
      <formula>"OFF"</formula>
    </cfRule>
    <cfRule type="cellIs" dxfId="30707" priority="958" operator="equal">
      <formula>"PTO"</formula>
    </cfRule>
  </conditionalFormatting>
  <conditionalFormatting sqref="S47">
    <cfRule type="cellIs" dxfId="30706" priority="955" operator="equal">
      <formula>"OFF"</formula>
    </cfRule>
    <cfRule type="cellIs" dxfId="30705" priority="956" operator="equal">
      <formula>"PTO"</formula>
    </cfRule>
  </conditionalFormatting>
  <conditionalFormatting sqref="S47">
    <cfRule type="cellIs" dxfId="30704" priority="953" operator="equal">
      <formula>"OFF"</formula>
    </cfRule>
    <cfRule type="cellIs" dxfId="30703" priority="954" operator="equal">
      <formula>"PTO"</formula>
    </cfRule>
  </conditionalFormatting>
  <conditionalFormatting sqref="S47">
    <cfRule type="cellIs" dxfId="30702" priority="951" operator="equal">
      <formula>"OFF"</formula>
    </cfRule>
    <cfRule type="cellIs" dxfId="30701" priority="952" operator="equal">
      <formula>"PTO"</formula>
    </cfRule>
  </conditionalFormatting>
  <conditionalFormatting sqref="S47">
    <cfRule type="cellIs" dxfId="30700" priority="949" operator="equal">
      <formula>"OFF"</formula>
    </cfRule>
    <cfRule type="cellIs" dxfId="30699" priority="950" operator="equal">
      <formula>"PTO"</formula>
    </cfRule>
  </conditionalFormatting>
  <conditionalFormatting sqref="S47">
    <cfRule type="cellIs" dxfId="30698" priority="947" operator="equal">
      <formula>"OFF"</formula>
    </cfRule>
    <cfRule type="cellIs" dxfId="30697" priority="948" operator="equal">
      <formula>"PTO"</formula>
    </cfRule>
  </conditionalFormatting>
  <conditionalFormatting sqref="S47">
    <cfRule type="cellIs" dxfId="30696" priority="945" operator="equal">
      <formula>"OFF"</formula>
    </cfRule>
    <cfRule type="cellIs" dxfId="30695" priority="946" operator="equal">
      <formula>"PTO"</formula>
    </cfRule>
  </conditionalFormatting>
  <conditionalFormatting sqref="S47">
    <cfRule type="cellIs" dxfId="30694" priority="943" operator="equal">
      <formula>"OFF"</formula>
    </cfRule>
    <cfRule type="cellIs" dxfId="30693" priority="944" operator="equal">
      <formula>"PTO"</formula>
    </cfRule>
  </conditionalFormatting>
  <conditionalFormatting sqref="S47">
    <cfRule type="cellIs" dxfId="30692" priority="941" operator="equal">
      <formula>"OFF"</formula>
    </cfRule>
    <cfRule type="cellIs" dxfId="30691" priority="942" operator="equal">
      <formula>"PTO"</formula>
    </cfRule>
  </conditionalFormatting>
  <conditionalFormatting sqref="S47">
    <cfRule type="cellIs" dxfId="30690" priority="939" operator="equal">
      <formula>"OFF"</formula>
    </cfRule>
    <cfRule type="cellIs" dxfId="30689" priority="940" operator="equal">
      <formula>"PTO"</formula>
    </cfRule>
  </conditionalFormatting>
  <conditionalFormatting sqref="S47">
    <cfRule type="cellIs" dxfId="30688" priority="937" operator="equal">
      <formula>"OFF"</formula>
    </cfRule>
    <cfRule type="cellIs" dxfId="30687" priority="938" operator="equal">
      <formula>"PTO"</formula>
    </cfRule>
  </conditionalFormatting>
  <conditionalFormatting sqref="S47">
    <cfRule type="cellIs" dxfId="30686" priority="935" operator="equal">
      <formula>"OFF"</formula>
    </cfRule>
    <cfRule type="cellIs" dxfId="30685" priority="936" operator="equal">
      <formula>"PTO"</formula>
    </cfRule>
  </conditionalFormatting>
  <conditionalFormatting sqref="S47">
    <cfRule type="cellIs" dxfId="30684" priority="933" operator="equal">
      <formula>"OFF"</formula>
    </cfRule>
    <cfRule type="cellIs" dxfId="30683" priority="934" operator="equal">
      <formula>"PTO"</formula>
    </cfRule>
  </conditionalFormatting>
  <conditionalFormatting sqref="S47">
    <cfRule type="cellIs" dxfId="30682" priority="931" operator="equal">
      <formula>"OFF"</formula>
    </cfRule>
    <cfRule type="cellIs" dxfId="30681" priority="932" operator="equal">
      <formula>"PTO"</formula>
    </cfRule>
  </conditionalFormatting>
  <conditionalFormatting sqref="S47">
    <cfRule type="cellIs" dxfId="30680" priority="929" operator="equal">
      <formula>"OFF"</formula>
    </cfRule>
    <cfRule type="cellIs" dxfId="30679" priority="930" operator="equal">
      <formula>"PTO"</formula>
    </cfRule>
  </conditionalFormatting>
  <conditionalFormatting sqref="S47">
    <cfRule type="cellIs" dxfId="30678" priority="927" operator="equal">
      <formula>"OFF"</formula>
    </cfRule>
    <cfRule type="cellIs" dxfId="30677" priority="928" operator="equal">
      <formula>"PTO"</formula>
    </cfRule>
  </conditionalFormatting>
  <conditionalFormatting sqref="S47">
    <cfRule type="cellIs" dxfId="30676" priority="925" operator="equal">
      <formula>"OFF"</formula>
    </cfRule>
    <cfRule type="cellIs" dxfId="30675" priority="926" operator="equal">
      <formula>"PTO"</formula>
    </cfRule>
  </conditionalFormatting>
  <conditionalFormatting sqref="S47">
    <cfRule type="cellIs" dxfId="30674" priority="923" operator="equal">
      <formula>"OFF"</formula>
    </cfRule>
    <cfRule type="cellIs" dxfId="30673" priority="924" operator="equal">
      <formula>"PTO"</formula>
    </cfRule>
  </conditionalFormatting>
  <conditionalFormatting sqref="S47">
    <cfRule type="cellIs" dxfId="30672" priority="921" operator="equal">
      <formula>"OFF"</formula>
    </cfRule>
    <cfRule type="cellIs" dxfId="30671" priority="922" operator="equal">
      <formula>"PTO"</formula>
    </cfRule>
  </conditionalFormatting>
  <conditionalFormatting sqref="S47">
    <cfRule type="cellIs" dxfId="30670" priority="919" operator="equal">
      <formula>"OFF"</formula>
    </cfRule>
    <cfRule type="cellIs" dxfId="30669" priority="920" operator="equal">
      <formula>"PTO"</formula>
    </cfRule>
  </conditionalFormatting>
  <conditionalFormatting sqref="S43">
    <cfRule type="cellIs" dxfId="30668" priority="917" operator="equal">
      <formula>"OFF"</formula>
    </cfRule>
    <cfRule type="cellIs" dxfId="30667" priority="918" operator="equal">
      <formula>"PTO"</formula>
    </cfRule>
  </conditionalFormatting>
  <conditionalFormatting sqref="S43">
    <cfRule type="cellIs" dxfId="30666" priority="915" operator="equal">
      <formula>"OFF"</formula>
    </cfRule>
    <cfRule type="cellIs" dxfId="30665" priority="916" operator="equal">
      <formula>"PTO"</formula>
    </cfRule>
  </conditionalFormatting>
  <conditionalFormatting sqref="S46">
    <cfRule type="cellIs" dxfId="30664" priority="913" operator="equal">
      <formula>"OFF"</formula>
    </cfRule>
    <cfRule type="cellIs" dxfId="30663" priority="914" operator="equal">
      <formula>"PTO"</formula>
    </cfRule>
  </conditionalFormatting>
  <conditionalFormatting sqref="S46">
    <cfRule type="cellIs" dxfId="30662" priority="911" operator="equal">
      <formula>"OFF"</formula>
    </cfRule>
    <cfRule type="cellIs" dxfId="30661" priority="912" operator="equal">
      <formula>"PTO"</formula>
    </cfRule>
  </conditionalFormatting>
  <conditionalFormatting sqref="S43">
    <cfRule type="cellIs" dxfId="30660" priority="909" operator="equal">
      <formula>"OFF"</formula>
    </cfRule>
    <cfRule type="cellIs" dxfId="30659" priority="910" operator="equal">
      <formula>"PTO"</formula>
    </cfRule>
  </conditionalFormatting>
  <conditionalFormatting sqref="S43">
    <cfRule type="cellIs" dxfId="30658" priority="907" operator="equal">
      <formula>"OFF"</formula>
    </cfRule>
    <cfRule type="cellIs" dxfId="30657" priority="908" operator="equal">
      <formula>"PTO"</formula>
    </cfRule>
  </conditionalFormatting>
  <conditionalFormatting sqref="S43">
    <cfRule type="cellIs" dxfId="30656" priority="905" operator="equal">
      <formula>"OFF"</formula>
    </cfRule>
    <cfRule type="cellIs" dxfId="30655" priority="906" operator="equal">
      <formula>"PTO"</formula>
    </cfRule>
  </conditionalFormatting>
  <conditionalFormatting sqref="S45">
    <cfRule type="cellIs" dxfId="30654" priority="903" operator="equal">
      <formula>"OFF"</formula>
    </cfRule>
    <cfRule type="cellIs" dxfId="30653" priority="904" operator="equal">
      <formula>"PTO"</formula>
    </cfRule>
  </conditionalFormatting>
  <conditionalFormatting sqref="S45">
    <cfRule type="cellIs" dxfId="30652" priority="901" operator="equal">
      <formula>"OFF"</formula>
    </cfRule>
    <cfRule type="cellIs" dxfId="30651" priority="902" operator="equal">
      <formula>"PTO"</formula>
    </cfRule>
  </conditionalFormatting>
  <conditionalFormatting sqref="S45">
    <cfRule type="cellIs" dxfId="30650" priority="899" operator="equal">
      <formula>"OFF"</formula>
    </cfRule>
    <cfRule type="cellIs" dxfId="30649" priority="900" operator="equal">
      <formula>"PTO"</formula>
    </cfRule>
  </conditionalFormatting>
  <conditionalFormatting sqref="S45">
    <cfRule type="cellIs" dxfId="30648" priority="897" operator="equal">
      <formula>"OFF"</formula>
    </cfRule>
    <cfRule type="cellIs" dxfId="30647" priority="898" operator="equal">
      <formula>"PTO"</formula>
    </cfRule>
  </conditionalFormatting>
  <conditionalFormatting sqref="S45">
    <cfRule type="cellIs" dxfId="30646" priority="895" operator="equal">
      <formula>"OFF"</formula>
    </cfRule>
    <cfRule type="cellIs" dxfId="30645" priority="896" operator="equal">
      <formula>"PTO"</formula>
    </cfRule>
  </conditionalFormatting>
  <conditionalFormatting sqref="S45">
    <cfRule type="cellIs" dxfId="30644" priority="893" operator="equal">
      <formula>"OFF"</formula>
    </cfRule>
    <cfRule type="cellIs" dxfId="30643" priority="894" operator="equal">
      <formula>"PTO"</formula>
    </cfRule>
  </conditionalFormatting>
  <conditionalFormatting sqref="S45">
    <cfRule type="cellIs" dxfId="30642" priority="891" operator="equal">
      <formula>"OFF"</formula>
    </cfRule>
    <cfRule type="cellIs" dxfId="30641" priority="892" operator="equal">
      <formula>"PTO"</formula>
    </cfRule>
  </conditionalFormatting>
  <conditionalFormatting sqref="S45">
    <cfRule type="cellIs" dxfId="30640" priority="889" operator="equal">
      <formula>"OFF"</formula>
    </cfRule>
    <cfRule type="cellIs" dxfId="30639" priority="890" operator="equal">
      <formula>"PTO"</formula>
    </cfRule>
  </conditionalFormatting>
  <conditionalFormatting sqref="S45">
    <cfRule type="cellIs" dxfId="30638" priority="887" operator="equal">
      <formula>"OFF"</formula>
    </cfRule>
    <cfRule type="cellIs" dxfId="30637" priority="888" operator="equal">
      <formula>"PTO"</formula>
    </cfRule>
  </conditionalFormatting>
  <conditionalFormatting sqref="S45">
    <cfRule type="cellIs" dxfId="30636" priority="885" operator="equal">
      <formula>"OFF"</formula>
    </cfRule>
    <cfRule type="cellIs" dxfId="30635" priority="886" operator="equal">
      <formula>"PTO"</formula>
    </cfRule>
  </conditionalFormatting>
  <conditionalFormatting sqref="S45">
    <cfRule type="cellIs" dxfId="30634" priority="883" operator="equal">
      <formula>"OFF"</formula>
    </cfRule>
    <cfRule type="cellIs" dxfId="30633" priority="884" operator="equal">
      <formula>"PTO"</formula>
    </cfRule>
  </conditionalFormatting>
  <conditionalFormatting sqref="S45">
    <cfRule type="cellIs" dxfId="30632" priority="881" operator="equal">
      <formula>"OFF"</formula>
    </cfRule>
    <cfRule type="cellIs" dxfId="30631" priority="882" operator="equal">
      <formula>"PTO"</formula>
    </cfRule>
  </conditionalFormatting>
  <conditionalFormatting sqref="S45">
    <cfRule type="cellIs" dxfId="30630" priority="879" operator="equal">
      <formula>"OFF"</formula>
    </cfRule>
    <cfRule type="cellIs" dxfId="30629" priority="880" operator="equal">
      <formula>"PTO"</formula>
    </cfRule>
  </conditionalFormatting>
  <conditionalFormatting sqref="S45">
    <cfRule type="cellIs" dxfId="30628" priority="877" operator="equal">
      <formula>"OFF"</formula>
    </cfRule>
    <cfRule type="cellIs" dxfId="30627" priority="878" operator="equal">
      <formula>"PTO"</formula>
    </cfRule>
  </conditionalFormatting>
  <conditionalFormatting sqref="S45">
    <cfRule type="cellIs" dxfId="30626" priority="875" operator="equal">
      <formula>"OFF"</formula>
    </cfRule>
    <cfRule type="cellIs" dxfId="30625" priority="876" operator="equal">
      <formula>"PTO"</formula>
    </cfRule>
  </conditionalFormatting>
  <conditionalFormatting sqref="S45">
    <cfRule type="cellIs" dxfId="30624" priority="873" operator="equal">
      <formula>"OFF"</formula>
    </cfRule>
    <cfRule type="cellIs" dxfId="30623" priority="874" operator="equal">
      <formula>"PTO"</formula>
    </cfRule>
  </conditionalFormatting>
  <conditionalFormatting sqref="S45">
    <cfRule type="cellIs" dxfId="30622" priority="871" operator="equal">
      <formula>"OFF"</formula>
    </cfRule>
    <cfRule type="cellIs" dxfId="30621" priority="872" operator="equal">
      <formula>"PTO"</formula>
    </cfRule>
  </conditionalFormatting>
  <conditionalFormatting sqref="S45">
    <cfRule type="cellIs" dxfId="30620" priority="869" operator="equal">
      <formula>"OFF"</formula>
    </cfRule>
    <cfRule type="cellIs" dxfId="30619" priority="870" operator="equal">
      <formula>"PTO"</formula>
    </cfRule>
  </conditionalFormatting>
  <conditionalFormatting sqref="S45">
    <cfRule type="cellIs" dxfId="30618" priority="867" operator="equal">
      <formula>"OFF"</formula>
    </cfRule>
    <cfRule type="cellIs" dxfId="30617" priority="868" operator="equal">
      <formula>"PTO"</formula>
    </cfRule>
  </conditionalFormatting>
  <conditionalFormatting sqref="S45">
    <cfRule type="cellIs" dxfId="30616" priority="865" operator="equal">
      <formula>"OFF"</formula>
    </cfRule>
    <cfRule type="cellIs" dxfId="30615" priority="866" operator="equal">
      <formula>"PTO"</formula>
    </cfRule>
  </conditionalFormatting>
  <conditionalFormatting sqref="S45">
    <cfRule type="cellIs" dxfId="30614" priority="863" operator="equal">
      <formula>"OFF"</formula>
    </cfRule>
    <cfRule type="cellIs" dxfId="30613" priority="864" operator="equal">
      <formula>"PTO"</formula>
    </cfRule>
  </conditionalFormatting>
  <conditionalFormatting sqref="S45">
    <cfRule type="cellIs" dxfId="30612" priority="861" operator="equal">
      <formula>"OFF"</formula>
    </cfRule>
    <cfRule type="cellIs" dxfId="30611" priority="862" operator="equal">
      <formula>"PTO"</formula>
    </cfRule>
  </conditionalFormatting>
  <conditionalFormatting sqref="S45">
    <cfRule type="cellIs" dxfId="30610" priority="859" operator="equal">
      <formula>"OFF"</formula>
    </cfRule>
    <cfRule type="cellIs" dxfId="30609" priority="860" operator="equal">
      <formula>"PTO"</formula>
    </cfRule>
  </conditionalFormatting>
  <conditionalFormatting sqref="S45">
    <cfRule type="cellIs" dxfId="30608" priority="857" operator="equal">
      <formula>"OFF"</formula>
    </cfRule>
    <cfRule type="cellIs" dxfId="30607" priority="858" operator="equal">
      <formula>"PTO"</formula>
    </cfRule>
  </conditionalFormatting>
  <conditionalFormatting sqref="S45">
    <cfRule type="cellIs" dxfId="30606" priority="855" operator="equal">
      <formula>"OFF"</formula>
    </cfRule>
    <cfRule type="cellIs" dxfId="30605" priority="856" operator="equal">
      <formula>"PTO"</formula>
    </cfRule>
  </conditionalFormatting>
  <conditionalFormatting sqref="S45">
    <cfRule type="cellIs" dxfId="30604" priority="853" operator="equal">
      <formula>"OFF"</formula>
    </cfRule>
    <cfRule type="cellIs" dxfId="30603" priority="854" operator="equal">
      <formula>"PTO"</formula>
    </cfRule>
  </conditionalFormatting>
  <conditionalFormatting sqref="S47">
    <cfRule type="cellIs" dxfId="30602" priority="851" operator="equal">
      <formula>"OFF"</formula>
    </cfRule>
    <cfRule type="cellIs" dxfId="30601" priority="852" operator="equal">
      <formula>"PTO"</formula>
    </cfRule>
  </conditionalFormatting>
  <conditionalFormatting sqref="S46">
    <cfRule type="cellIs" dxfId="30600" priority="849" operator="equal">
      <formula>"OFF"</formula>
    </cfRule>
    <cfRule type="cellIs" dxfId="30599" priority="850" operator="equal">
      <formula>"PTO"</formula>
    </cfRule>
  </conditionalFormatting>
  <conditionalFormatting sqref="S49">
    <cfRule type="cellIs" dxfId="30598" priority="847" operator="equal">
      <formula>"OFF"</formula>
    </cfRule>
    <cfRule type="cellIs" dxfId="30597" priority="848" operator="equal">
      <formula>"PTO"</formula>
    </cfRule>
  </conditionalFormatting>
  <conditionalFormatting sqref="S48">
    <cfRule type="cellIs" dxfId="30596" priority="845" operator="equal">
      <formula>"OFF"</formula>
    </cfRule>
    <cfRule type="cellIs" dxfId="30595" priority="846" operator="equal">
      <formula>"PTO"</formula>
    </cfRule>
  </conditionalFormatting>
  <conditionalFormatting sqref="S48">
    <cfRule type="cellIs" dxfId="30594" priority="843" operator="equal">
      <formula>"OFF"</formula>
    </cfRule>
    <cfRule type="cellIs" dxfId="30593" priority="844" operator="equal">
      <formula>"PTO"</formula>
    </cfRule>
  </conditionalFormatting>
  <conditionalFormatting sqref="S48">
    <cfRule type="cellIs" dxfId="30592" priority="841" operator="equal">
      <formula>"OFF"</formula>
    </cfRule>
    <cfRule type="cellIs" dxfId="30591" priority="842" operator="equal">
      <formula>"PTO"</formula>
    </cfRule>
  </conditionalFormatting>
  <conditionalFormatting sqref="S48">
    <cfRule type="cellIs" dxfId="30590" priority="839" operator="equal">
      <formula>"OFF"</formula>
    </cfRule>
    <cfRule type="cellIs" dxfId="30589" priority="840" operator="equal">
      <formula>"PTO"</formula>
    </cfRule>
  </conditionalFormatting>
  <conditionalFormatting sqref="S48">
    <cfRule type="cellIs" dxfId="30588" priority="837" operator="equal">
      <formula>"OFF"</formula>
    </cfRule>
    <cfRule type="cellIs" dxfId="30587" priority="838" operator="equal">
      <formula>"PTO"</formula>
    </cfRule>
  </conditionalFormatting>
  <conditionalFormatting sqref="S48">
    <cfRule type="cellIs" dxfId="30586" priority="835" operator="equal">
      <formula>"OFF"</formula>
    </cfRule>
    <cfRule type="cellIs" dxfId="30585" priority="836" operator="equal">
      <formula>"PTO"</formula>
    </cfRule>
  </conditionalFormatting>
  <conditionalFormatting sqref="S48">
    <cfRule type="cellIs" dxfId="30584" priority="833" operator="equal">
      <formula>"OFF"</formula>
    </cfRule>
    <cfRule type="cellIs" dxfId="30583" priority="834" operator="equal">
      <formula>"PTO"</formula>
    </cfRule>
  </conditionalFormatting>
  <conditionalFormatting sqref="S48">
    <cfRule type="cellIs" dxfId="30582" priority="831" operator="equal">
      <formula>"OFF"</formula>
    </cfRule>
    <cfRule type="cellIs" dxfId="30581" priority="832" operator="equal">
      <formula>"PTO"</formula>
    </cfRule>
  </conditionalFormatting>
  <conditionalFormatting sqref="S48">
    <cfRule type="cellIs" dxfId="30580" priority="829" operator="equal">
      <formula>"OFF"</formula>
    </cfRule>
    <cfRule type="cellIs" dxfId="30579" priority="830" operator="equal">
      <formula>"PTO"</formula>
    </cfRule>
  </conditionalFormatting>
  <conditionalFormatting sqref="S41">
    <cfRule type="cellIs" dxfId="30578" priority="827" operator="equal">
      <formula>"OFF"</formula>
    </cfRule>
    <cfRule type="cellIs" dxfId="30577" priority="828" operator="equal">
      <formula>"PTO"</formula>
    </cfRule>
  </conditionalFormatting>
  <conditionalFormatting sqref="S41">
    <cfRule type="cellIs" dxfId="30576" priority="825" operator="equal">
      <formula>"OFF"</formula>
    </cfRule>
    <cfRule type="cellIs" dxfId="30575" priority="826" operator="equal">
      <formula>"PTO"</formula>
    </cfRule>
  </conditionalFormatting>
  <conditionalFormatting sqref="S41">
    <cfRule type="cellIs" dxfId="30574" priority="823" operator="equal">
      <formula>"OFF"</formula>
    </cfRule>
    <cfRule type="cellIs" dxfId="30573" priority="824" operator="equal">
      <formula>"PTO"</formula>
    </cfRule>
  </conditionalFormatting>
  <conditionalFormatting sqref="S41">
    <cfRule type="cellIs" dxfId="30572" priority="821" operator="equal">
      <formula>"OFF"</formula>
    </cfRule>
    <cfRule type="cellIs" dxfId="30571" priority="822" operator="equal">
      <formula>"PTO"</formula>
    </cfRule>
  </conditionalFormatting>
  <conditionalFormatting sqref="S41">
    <cfRule type="cellIs" dxfId="30570" priority="819" operator="equal">
      <formula>"OFF"</formula>
    </cfRule>
    <cfRule type="cellIs" dxfId="30569" priority="820" operator="equal">
      <formula>"PTO"</formula>
    </cfRule>
  </conditionalFormatting>
  <conditionalFormatting sqref="S41">
    <cfRule type="cellIs" dxfId="30568" priority="817" operator="equal">
      <formula>"OFF"</formula>
    </cfRule>
    <cfRule type="cellIs" dxfId="30567" priority="818" operator="equal">
      <formula>"PTO"</formula>
    </cfRule>
  </conditionalFormatting>
  <conditionalFormatting sqref="S41">
    <cfRule type="cellIs" dxfId="30566" priority="815" operator="equal">
      <formula>"OFF"</formula>
    </cfRule>
    <cfRule type="cellIs" dxfId="30565" priority="816" operator="equal">
      <formula>"PTO"</formula>
    </cfRule>
  </conditionalFormatting>
  <conditionalFormatting sqref="S41">
    <cfRule type="cellIs" dxfId="30564" priority="813" operator="equal">
      <formula>"OFF"</formula>
    </cfRule>
    <cfRule type="cellIs" dxfId="30563" priority="814" operator="equal">
      <formula>"PTO"</formula>
    </cfRule>
  </conditionalFormatting>
  <conditionalFormatting sqref="S41">
    <cfRule type="cellIs" dxfId="30562" priority="811" operator="equal">
      <formula>"OFF"</formula>
    </cfRule>
    <cfRule type="cellIs" dxfId="30561" priority="812" operator="equal">
      <formula>"PTO"</formula>
    </cfRule>
  </conditionalFormatting>
  <conditionalFormatting sqref="S41">
    <cfRule type="cellIs" dxfId="30560" priority="809" operator="equal">
      <formula>"OFF"</formula>
    </cfRule>
    <cfRule type="cellIs" dxfId="30559" priority="810" operator="equal">
      <formula>"PTO"</formula>
    </cfRule>
  </conditionalFormatting>
  <conditionalFormatting sqref="S41">
    <cfRule type="cellIs" dxfId="30558" priority="807" operator="equal">
      <formula>"OFF"</formula>
    </cfRule>
    <cfRule type="cellIs" dxfId="30557" priority="808" operator="equal">
      <formula>"PTO"</formula>
    </cfRule>
  </conditionalFormatting>
  <conditionalFormatting sqref="S41">
    <cfRule type="cellIs" dxfId="30556" priority="805" operator="equal">
      <formula>"OFF"</formula>
    </cfRule>
    <cfRule type="cellIs" dxfId="30555" priority="806" operator="equal">
      <formula>"PTO"</formula>
    </cfRule>
  </conditionalFormatting>
  <conditionalFormatting sqref="S43">
    <cfRule type="cellIs" dxfId="30554" priority="803" operator="equal">
      <formula>"OFF"</formula>
    </cfRule>
    <cfRule type="cellIs" dxfId="30553" priority="804" operator="equal">
      <formula>"PTO"</formula>
    </cfRule>
  </conditionalFormatting>
  <conditionalFormatting sqref="S43">
    <cfRule type="cellIs" dxfId="30552" priority="801" operator="equal">
      <formula>"OFF"</formula>
    </cfRule>
    <cfRule type="cellIs" dxfId="30551" priority="802" operator="equal">
      <formula>"PTO"</formula>
    </cfRule>
  </conditionalFormatting>
  <conditionalFormatting sqref="S43">
    <cfRule type="cellIs" dxfId="30550" priority="799" operator="equal">
      <formula>"OFF"</formula>
    </cfRule>
    <cfRule type="cellIs" dxfId="30549" priority="800" operator="equal">
      <formula>"PTO"</formula>
    </cfRule>
  </conditionalFormatting>
  <conditionalFormatting sqref="S43">
    <cfRule type="cellIs" dxfId="30548" priority="797" operator="equal">
      <formula>"OFF"</formula>
    </cfRule>
    <cfRule type="cellIs" dxfId="30547" priority="798" operator="equal">
      <formula>"PTO"</formula>
    </cfRule>
  </conditionalFormatting>
  <conditionalFormatting sqref="S43">
    <cfRule type="cellIs" dxfId="30546" priority="795" operator="equal">
      <formula>"OFF"</formula>
    </cfRule>
    <cfRule type="cellIs" dxfId="30545" priority="796" operator="equal">
      <formula>"PTO"</formula>
    </cfRule>
  </conditionalFormatting>
  <conditionalFormatting sqref="S41">
    <cfRule type="cellIs" dxfId="30544" priority="793" operator="equal">
      <formula>"OFF"</formula>
    </cfRule>
    <cfRule type="cellIs" dxfId="30543" priority="794" operator="equal">
      <formula>"PTO"</formula>
    </cfRule>
  </conditionalFormatting>
  <conditionalFormatting sqref="S43">
    <cfRule type="cellIs" dxfId="30542" priority="791" operator="equal">
      <formula>"OFF"</formula>
    </cfRule>
    <cfRule type="cellIs" dxfId="30541" priority="792" operator="equal">
      <formula>"PTO"</formula>
    </cfRule>
  </conditionalFormatting>
  <conditionalFormatting sqref="S43">
    <cfRule type="cellIs" dxfId="30540" priority="789" operator="equal">
      <formula>"OFF"</formula>
    </cfRule>
    <cfRule type="cellIs" dxfId="30539" priority="790" operator="equal">
      <formula>"PTO"</formula>
    </cfRule>
  </conditionalFormatting>
  <conditionalFormatting sqref="S43">
    <cfRule type="cellIs" dxfId="30538" priority="787" operator="equal">
      <formula>"OFF"</formula>
    </cfRule>
    <cfRule type="cellIs" dxfId="30537" priority="788" operator="equal">
      <formula>"PTO"</formula>
    </cfRule>
  </conditionalFormatting>
  <conditionalFormatting sqref="S41">
    <cfRule type="cellIs" dxfId="30536" priority="785" operator="equal">
      <formula>"OFF"</formula>
    </cfRule>
    <cfRule type="cellIs" dxfId="30535" priority="786" operator="equal">
      <formula>"PTO"</formula>
    </cfRule>
  </conditionalFormatting>
  <conditionalFormatting sqref="S41">
    <cfRule type="cellIs" dxfId="30534" priority="783" operator="equal">
      <formula>"OFF"</formula>
    </cfRule>
    <cfRule type="cellIs" dxfId="30533" priority="784" operator="equal">
      <formula>"PTO"</formula>
    </cfRule>
  </conditionalFormatting>
  <conditionalFormatting sqref="S41">
    <cfRule type="cellIs" dxfId="30532" priority="781" operator="equal">
      <formula>"OFF"</formula>
    </cfRule>
    <cfRule type="cellIs" dxfId="30531" priority="782" operator="equal">
      <formula>"PTO"</formula>
    </cfRule>
  </conditionalFormatting>
  <conditionalFormatting sqref="S41">
    <cfRule type="cellIs" dxfId="30530" priority="779" operator="equal">
      <formula>"OFF"</formula>
    </cfRule>
    <cfRule type="cellIs" dxfId="30529" priority="780" operator="equal">
      <formula>"PTO"</formula>
    </cfRule>
  </conditionalFormatting>
  <conditionalFormatting sqref="S43">
    <cfRule type="cellIs" dxfId="30528" priority="777" operator="equal">
      <formula>"OFF"</formula>
    </cfRule>
    <cfRule type="cellIs" dxfId="30527" priority="778" operator="equal">
      <formula>"PTO"</formula>
    </cfRule>
  </conditionalFormatting>
  <conditionalFormatting sqref="S43">
    <cfRule type="cellIs" dxfId="30526" priority="775" operator="equal">
      <formula>"OFF"</formula>
    </cfRule>
    <cfRule type="cellIs" dxfId="30525" priority="776" operator="equal">
      <formula>"PTO"</formula>
    </cfRule>
  </conditionalFormatting>
  <conditionalFormatting sqref="S43">
    <cfRule type="cellIs" dxfId="30524" priority="773" operator="equal">
      <formula>"OFF"</formula>
    </cfRule>
    <cfRule type="cellIs" dxfId="30523" priority="774" operator="equal">
      <formula>"PTO"</formula>
    </cfRule>
  </conditionalFormatting>
  <conditionalFormatting sqref="S46">
    <cfRule type="cellIs" dxfId="30522" priority="771" operator="equal">
      <formula>"OFF"</formula>
    </cfRule>
    <cfRule type="cellIs" dxfId="30521" priority="772" operator="equal">
      <formula>"PTO"</formula>
    </cfRule>
  </conditionalFormatting>
  <conditionalFormatting sqref="S46">
    <cfRule type="cellIs" dxfId="30520" priority="769" operator="equal">
      <formula>"OFF"</formula>
    </cfRule>
    <cfRule type="cellIs" dxfId="30519" priority="770" operator="equal">
      <formula>"PTO"</formula>
    </cfRule>
  </conditionalFormatting>
  <conditionalFormatting sqref="S45">
    <cfRule type="cellIs" dxfId="30518" priority="767" operator="equal">
      <formula>"OFF"</formula>
    </cfRule>
    <cfRule type="cellIs" dxfId="30517" priority="768" operator="equal">
      <formula>"PTO"</formula>
    </cfRule>
  </conditionalFormatting>
  <conditionalFormatting sqref="S45">
    <cfRule type="cellIs" dxfId="30516" priority="765" operator="equal">
      <formula>"OFF"</formula>
    </cfRule>
    <cfRule type="cellIs" dxfId="30515" priority="766" operator="equal">
      <formula>"PTO"</formula>
    </cfRule>
  </conditionalFormatting>
  <conditionalFormatting sqref="S45">
    <cfRule type="cellIs" dxfId="30514" priority="763" operator="equal">
      <formula>"OFF"</formula>
    </cfRule>
    <cfRule type="cellIs" dxfId="30513" priority="764" operator="equal">
      <formula>"PTO"</formula>
    </cfRule>
  </conditionalFormatting>
  <conditionalFormatting sqref="S45">
    <cfRule type="cellIs" dxfId="30512" priority="761" operator="equal">
      <formula>"OFF"</formula>
    </cfRule>
    <cfRule type="cellIs" dxfId="30511" priority="762" operator="equal">
      <formula>"PTO"</formula>
    </cfRule>
  </conditionalFormatting>
  <conditionalFormatting sqref="S45">
    <cfRule type="cellIs" dxfId="30510" priority="759" operator="equal">
      <formula>"OFF"</formula>
    </cfRule>
    <cfRule type="cellIs" dxfId="30509" priority="760" operator="equal">
      <formula>"PTO"</formula>
    </cfRule>
  </conditionalFormatting>
  <conditionalFormatting sqref="S45">
    <cfRule type="cellIs" dxfId="30508" priority="757" operator="equal">
      <formula>"OFF"</formula>
    </cfRule>
    <cfRule type="cellIs" dxfId="30507" priority="758" operator="equal">
      <formula>"PTO"</formula>
    </cfRule>
  </conditionalFormatting>
  <conditionalFormatting sqref="S45">
    <cfRule type="cellIs" dxfId="30506" priority="755" operator="equal">
      <formula>"OFF"</formula>
    </cfRule>
    <cfRule type="cellIs" dxfId="30505" priority="756" operator="equal">
      <formula>"PTO"</formula>
    </cfRule>
  </conditionalFormatting>
  <conditionalFormatting sqref="S45">
    <cfRule type="cellIs" dxfId="30504" priority="753" operator="equal">
      <formula>"OFF"</formula>
    </cfRule>
    <cfRule type="cellIs" dxfId="30503" priority="754" operator="equal">
      <formula>"PTO"</formula>
    </cfRule>
  </conditionalFormatting>
  <conditionalFormatting sqref="S45">
    <cfRule type="cellIs" dxfId="30502" priority="751" operator="equal">
      <formula>"OFF"</formula>
    </cfRule>
    <cfRule type="cellIs" dxfId="30501" priority="752" operator="equal">
      <formula>"PTO"</formula>
    </cfRule>
  </conditionalFormatting>
  <conditionalFormatting sqref="S45">
    <cfRule type="cellIs" dxfId="30500" priority="749" operator="equal">
      <formula>"OFF"</formula>
    </cfRule>
    <cfRule type="cellIs" dxfId="30499" priority="750" operator="equal">
      <formula>"PTO"</formula>
    </cfRule>
  </conditionalFormatting>
  <conditionalFormatting sqref="S45">
    <cfRule type="cellIs" dxfId="30498" priority="747" operator="equal">
      <formula>"OFF"</formula>
    </cfRule>
    <cfRule type="cellIs" dxfId="30497" priority="748" operator="equal">
      <formula>"PTO"</formula>
    </cfRule>
  </conditionalFormatting>
  <conditionalFormatting sqref="S45">
    <cfRule type="cellIs" dxfId="30496" priority="745" operator="equal">
      <formula>"OFF"</formula>
    </cfRule>
    <cfRule type="cellIs" dxfId="30495" priority="746" operator="equal">
      <formula>"PTO"</formula>
    </cfRule>
  </conditionalFormatting>
  <conditionalFormatting sqref="S45">
    <cfRule type="cellIs" dxfId="30494" priority="743" operator="equal">
      <formula>"OFF"</formula>
    </cfRule>
    <cfRule type="cellIs" dxfId="30493" priority="744" operator="equal">
      <formula>"PTO"</formula>
    </cfRule>
  </conditionalFormatting>
  <conditionalFormatting sqref="S45">
    <cfRule type="cellIs" dxfId="30492" priority="741" operator="equal">
      <formula>"OFF"</formula>
    </cfRule>
    <cfRule type="cellIs" dxfId="30491" priority="742" operator="equal">
      <formula>"PTO"</formula>
    </cfRule>
  </conditionalFormatting>
  <conditionalFormatting sqref="S45">
    <cfRule type="cellIs" dxfId="30490" priority="739" operator="equal">
      <formula>"OFF"</formula>
    </cfRule>
    <cfRule type="cellIs" dxfId="30489" priority="740" operator="equal">
      <formula>"PTO"</formula>
    </cfRule>
  </conditionalFormatting>
  <conditionalFormatting sqref="S45">
    <cfRule type="cellIs" dxfId="30488" priority="737" operator="equal">
      <formula>"OFF"</formula>
    </cfRule>
    <cfRule type="cellIs" dxfId="30487" priority="738" operator="equal">
      <formula>"PTO"</formula>
    </cfRule>
  </conditionalFormatting>
  <conditionalFormatting sqref="S45">
    <cfRule type="cellIs" dxfId="30486" priority="735" operator="equal">
      <formula>"OFF"</formula>
    </cfRule>
    <cfRule type="cellIs" dxfId="30485" priority="736" operator="equal">
      <formula>"PTO"</formula>
    </cfRule>
  </conditionalFormatting>
  <conditionalFormatting sqref="S45">
    <cfRule type="cellIs" dxfId="30484" priority="733" operator="equal">
      <formula>"OFF"</formula>
    </cfRule>
    <cfRule type="cellIs" dxfId="30483" priority="734" operator="equal">
      <formula>"PTO"</formula>
    </cfRule>
  </conditionalFormatting>
  <conditionalFormatting sqref="S45">
    <cfRule type="cellIs" dxfId="30482" priority="731" operator="equal">
      <formula>"OFF"</formula>
    </cfRule>
    <cfRule type="cellIs" dxfId="30481" priority="732" operator="equal">
      <formula>"PTO"</formula>
    </cfRule>
  </conditionalFormatting>
  <conditionalFormatting sqref="S45">
    <cfRule type="cellIs" dxfId="30480" priority="729" operator="equal">
      <formula>"OFF"</formula>
    </cfRule>
    <cfRule type="cellIs" dxfId="30479" priority="730" operator="equal">
      <formula>"PTO"</formula>
    </cfRule>
  </conditionalFormatting>
  <conditionalFormatting sqref="S45">
    <cfRule type="cellIs" dxfId="30478" priority="727" operator="equal">
      <formula>"OFF"</formula>
    </cfRule>
    <cfRule type="cellIs" dxfId="30477" priority="728" operator="equal">
      <formula>"PTO"</formula>
    </cfRule>
  </conditionalFormatting>
  <conditionalFormatting sqref="S45">
    <cfRule type="cellIs" dxfId="30476" priority="725" operator="equal">
      <formula>"OFF"</formula>
    </cfRule>
    <cfRule type="cellIs" dxfId="30475" priority="726" operator="equal">
      <formula>"PTO"</formula>
    </cfRule>
  </conditionalFormatting>
  <conditionalFormatting sqref="S45">
    <cfRule type="cellIs" dxfId="30474" priority="723" operator="equal">
      <formula>"OFF"</formula>
    </cfRule>
    <cfRule type="cellIs" dxfId="30473" priority="724" operator="equal">
      <formula>"PTO"</formula>
    </cfRule>
  </conditionalFormatting>
  <conditionalFormatting sqref="S45">
    <cfRule type="cellIs" dxfId="30472" priority="721" operator="equal">
      <formula>"OFF"</formula>
    </cfRule>
    <cfRule type="cellIs" dxfId="30471" priority="722" operator="equal">
      <formula>"PTO"</formula>
    </cfRule>
  </conditionalFormatting>
  <conditionalFormatting sqref="S45">
    <cfRule type="cellIs" dxfId="30470" priority="719" operator="equal">
      <formula>"OFF"</formula>
    </cfRule>
    <cfRule type="cellIs" dxfId="30469" priority="720" operator="equal">
      <formula>"PTO"</formula>
    </cfRule>
  </conditionalFormatting>
  <conditionalFormatting sqref="S45">
    <cfRule type="cellIs" dxfId="30468" priority="717" operator="equal">
      <formula>"OFF"</formula>
    </cfRule>
    <cfRule type="cellIs" dxfId="30467" priority="718" operator="equal">
      <formula>"PTO"</formula>
    </cfRule>
  </conditionalFormatting>
  <conditionalFormatting sqref="S46">
    <cfRule type="cellIs" dxfId="30466" priority="715" operator="equal">
      <formula>"OFF"</formula>
    </cfRule>
    <cfRule type="cellIs" dxfId="30465" priority="716" operator="equal">
      <formula>"PTO"</formula>
    </cfRule>
  </conditionalFormatting>
  <conditionalFormatting sqref="S46">
    <cfRule type="cellIs" dxfId="30464" priority="713" operator="equal">
      <formula>"OFF"</formula>
    </cfRule>
    <cfRule type="cellIs" dxfId="30463" priority="714" operator="equal">
      <formula>"PTO"</formula>
    </cfRule>
  </conditionalFormatting>
  <conditionalFormatting sqref="S46">
    <cfRule type="cellIs" dxfId="30462" priority="711" operator="equal">
      <formula>"OFF"</formula>
    </cfRule>
    <cfRule type="cellIs" dxfId="30461" priority="712" operator="equal">
      <formula>"PTO"</formula>
    </cfRule>
  </conditionalFormatting>
  <conditionalFormatting sqref="S46">
    <cfRule type="cellIs" dxfId="30460" priority="709" operator="equal">
      <formula>"OFF"</formula>
    </cfRule>
    <cfRule type="cellIs" dxfId="30459" priority="710" operator="equal">
      <formula>"PTO"</formula>
    </cfRule>
  </conditionalFormatting>
  <conditionalFormatting sqref="S46">
    <cfRule type="cellIs" dxfId="30458" priority="707" operator="equal">
      <formula>"OFF"</formula>
    </cfRule>
    <cfRule type="cellIs" dxfId="30457" priority="708" operator="equal">
      <formula>"PTO"</formula>
    </cfRule>
  </conditionalFormatting>
  <conditionalFormatting sqref="S46">
    <cfRule type="cellIs" dxfId="30456" priority="705" operator="equal">
      <formula>"OFF"</formula>
    </cfRule>
    <cfRule type="cellIs" dxfId="30455" priority="706" operator="equal">
      <formula>"PTO"</formula>
    </cfRule>
  </conditionalFormatting>
  <conditionalFormatting sqref="S46">
    <cfRule type="cellIs" dxfId="30454" priority="703" operator="equal">
      <formula>"OFF"</formula>
    </cfRule>
    <cfRule type="cellIs" dxfId="30453" priority="704" operator="equal">
      <formula>"PTO"</formula>
    </cfRule>
  </conditionalFormatting>
  <conditionalFormatting sqref="S46">
    <cfRule type="cellIs" dxfId="30452" priority="701" operator="equal">
      <formula>"OFF"</formula>
    </cfRule>
    <cfRule type="cellIs" dxfId="30451" priority="702" operator="equal">
      <formula>"PTO"</formula>
    </cfRule>
  </conditionalFormatting>
  <conditionalFormatting sqref="S46">
    <cfRule type="cellIs" dxfId="30450" priority="699" operator="equal">
      <formula>"OFF"</formula>
    </cfRule>
    <cfRule type="cellIs" dxfId="30449" priority="700" operator="equal">
      <formula>"PTO"</formula>
    </cfRule>
  </conditionalFormatting>
  <conditionalFormatting sqref="S46">
    <cfRule type="cellIs" dxfId="30448" priority="697" operator="equal">
      <formula>"OFF"</formula>
    </cfRule>
    <cfRule type="cellIs" dxfId="30447" priority="698" operator="equal">
      <formula>"PTO"</formula>
    </cfRule>
  </conditionalFormatting>
  <conditionalFormatting sqref="S46">
    <cfRule type="cellIs" dxfId="30446" priority="695" operator="equal">
      <formula>"OFF"</formula>
    </cfRule>
    <cfRule type="cellIs" dxfId="30445" priority="696" operator="equal">
      <formula>"PTO"</formula>
    </cfRule>
  </conditionalFormatting>
  <conditionalFormatting sqref="S46">
    <cfRule type="cellIs" dxfId="30444" priority="693" operator="equal">
      <formula>"OFF"</formula>
    </cfRule>
    <cfRule type="cellIs" dxfId="30443" priority="694" operator="equal">
      <formula>"PTO"</formula>
    </cfRule>
  </conditionalFormatting>
  <conditionalFormatting sqref="S46">
    <cfRule type="cellIs" dxfId="30442" priority="691" operator="equal">
      <formula>"OFF"</formula>
    </cfRule>
    <cfRule type="cellIs" dxfId="30441" priority="692" operator="equal">
      <formula>"PTO"</formula>
    </cfRule>
  </conditionalFormatting>
  <conditionalFormatting sqref="S46">
    <cfRule type="cellIs" dxfId="30440" priority="689" operator="equal">
      <formula>"OFF"</formula>
    </cfRule>
    <cfRule type="cellIs" dxfId="30439" priority="690" operator="equal">
      <formula>"PTO"</formula>
    </cfRule>
  </conditionalFormatting>
  <conditionalFormatting sqref="S46">
    <cfRule type="cellIs" dxfId="30438" priority="687" operator="equal">
      <formula>"OFF"</formula>
    </cfRule>
    <cfRule type="cellIs" dxfId="30437" priority="688" operator="equal">
      <formula>"PTO"</formula>
    </cfRule>
  </conditionalFormatting>
  <conditionalFormatting sqref="S46">
    <cfRule type="cellIs" dxfId="30436" priority="685" operator="equal">
      <formula>"OFF"</formula>
    </cfRule>
    <cfRule type="cellIs" dxfId="30435" priority="686" operator="equal">
      <formula>"PTO"</formula>
    </cfRule>
  </conditionalFormatting>
  <conditionalFormatting sqref="S46">
    <cfRule type="cellIs" dxfId="30434" priority="683" operator="equal">
      <formula>"OFF"</formula>
    </cfRule>
    <cfRule type="cellIs" dxfId="30433" priority="684" operator="equal">
      <formula>"PTO"</formula>
    </cfRule>
  </conditionalFormatting>
  <conditionalFormatting sqref="S46">
    <cfRule type="cellIs" dxfId="30432" priority="681" operator="equal">
      <formula>"OFF"</formula>
    </cfRule>
    <cfRule type="cellIs" dxfId="30431" priority="682" operator="equal">
      <formula>"PTO"</formula>
    </cfRule>
  </conditionalFormatting>
  <conditionalFormatting sqref="S46">
    <cfRule type="cellIs" dxfId="30430" priority="679" operator="equal">
      <formula>"OFF"</formula>
    </cfRule>
    <cfRule type="cellIs" dxfId="30429" priority="680" operator="equal">
      <formula>"PTO"</formula>
    </cfRule>
  </conditionalFormatting>
  <conditionalFormatting sqref="S46">
    <cfRule type="cellIs" dxfId="30428" priority="677" operator="equal">
      <formula>"OFF"</formula>
    </cfRule>
    <cfRule type="cellIs" dxfId="30427" priority="678" operator="equal">
      <formula>"PTO"</formula>
    </cfRule>
  </conditionalFormatting>
  <conditionalFormatting sqref="S46">
    <cfRule type="cellIs" dxfId="30426" priority="675" operator="equal">
      <formula>"OFF"</formula>
    </cfRule>
    <cfRule type="cellIs" dxfId="30425" priority="676" operator="equal">
      <formula>"PTO"</formula>
    </cfRule>
  </conditionalFormatting>
  <conditionalFormatting sqref="S46">
    <cfRule type="cellIs" dxfId="30424" priority="673" operator="equal">
      <formula>"OFF"</formula>
    </cfRule>
    <cfRule type="cellIs" dxfId="30423" priority="674" operator="equal">
      <formula>"PTO"</formula>
    </cfRule>
  </conditionalFormatting>
  <conditionalFormatting sqref="S46">
    <cfRule type="cellIs" dxfId="30422" priority="671" operator="equal">
      <formula>"OFF"</formula>
    </cfRule>
    <cfRule type="cellIs" dxfId="30421" priority="672" operator="equal">
      <formula>"PTO"</formula>
    </cfRule>
  </conditionalFormatting>
  <conditionalFormatting sqref="S46">
    <cfRule type="cellIs" dxfId="30420" priority="669" operator="equal">
      <formula>"OFF"</formula>
    </cfRule>
    <cfRule type="cellIs" dxfId="30419" priority="670" operator="equal">
      <formula>"PTO"</formula>
    </cfRule>
  </conditionalFormatting>
  <conditionalFormatting sqref="S46">
    <cfRule type="cellIs" dxfId="30418" priority="667" operator="equal">
      <formula>"OFF"</formula>
    </cfRule>
    <cfRule type="cellIs" dxfId="30417" priority="668" operator="equal">
      <formula>"PTO"</formula>
    </cfRule>
  </conditionalFormatting>
  <conditionalFormatting sqref="S46">
    <cfRule type="cellIs" dxfId="30416" priority="665" operator="equal">
      <formula>"OFF"</formula>
    </cfRule>
    <cfRule type="cellIs" dxfId="30415" priority="666" operator="equal">
      <formula>"PTO"</formula>
    </cfRule>
  </conditionalFormatting>
  <conditionalFormatting sqref="S45">
    <cfRule type="cellIs" dxfId="30414" priority="663" operator="equal">
      <formula>"OFF"</formula>
    </cfRule>
    <cfRule type="cellIs" dxfId="30413" priority="664" operator="equal">
      <formula>"PTO"</formula>
    </cfRule>
  </conditionalFormatting>
  <conditionalFormatting sqref="S45">
    <cfRule type="cellIs" dxfId="30412" priority="661" operator="equal">
      <formula>"OFF"</formula>
    </cfRule>
    <cfRule type="cellIs" dxfId="30411" priority="662" operator="equal">
      <formula>"PTO"</formula>
    </cfRule>
  </conditionalFormatting>
  <conditionalFormatting sqref="S46">
    <cfRule type="cellIs" dxfId="30410" priority="659" operator="equal">
      <formula>"OFF"</formula>
    </cfRule>
    <cfRule type="cellIs" dxfId="30409" priority="660" operator="equal">
      <formula>"PTO"</formula>
    </cfRule>
  </conditionalFormatting>
  <conditionalFormatting sqref="S45">
    <cfRule type="cellIs" dxfId="30408" priority="657" operator="equal">
      <formula>"OFF"</formula>
    </cfRule>
    <cfRule type="cellIs" dxfId="30407" priority="658" operator="equal">
      <formula>"PTO"</formula>
    </cfRule>
  </conditionalFormatting>
  <conditionalFormatting sqref="S47">
    <cfRule type="cellIs" dxfId="30406" priority="655" operator="equal">
      <formula>"OFF"</formula>
    </cfRule>
    <cfRule type="cellIs" dxfId="30405" priority="656" operator="equal">
      <formula>"PTO"</formula>
    </cfRule>
  </conditionalFormatting>
  <conditionalFormatting sqref="S47">
    <cfRule type="cellIs" dxfId="30404" priority="653" operator="equal">
      <formula>"OFF"</formula>
    </cfRule>
    <cfRule type="cellIs" dxfId="30403" priority="654" operator="equal">
      <formula>"PTO"</formula>
    </cfRule>
  </conditionalFormatting>
  <conditionalFormatting sqref="S47">
    <cfRule type="cellIs" dxfId="30402" priority="651" operator="equal">
      <formula>"OFF"</formula>
    </cfRule>
    <cfRule type="cellIs" dxfId="30401" priority="652" operator="equal">
      <formula>"PTO"</formula>
    </cfRule>
  </conditionalFormatting>
  <conditionalFormatting sqref="S47">
    <cfRule type="cellIs" dxfId="30400" priority="649" operator="equal">
      <formula>"OFF"</formula>
    </cfRule>
    <cfRule type="cellIs" dxfId="30399" priority="650" operator="equal">
      <formula>"PTO"</formula>
    </cfRule>
  </conditionalFormatting>
  <conditionalFormatting sqref="S47">
    <cfRule type="cellIs" dxfId="30398" priority="647" operator="equal">
      <formula>"OFF"</formula>
    </cfRule>
    <cfRule type="cellIs" dxfId="30397" priority="648" operator="equal">
      <formula>"PTO"</formula>
    </cfRule>
  </conditionalFormatting>
  <conditionalFormatting sqref="S47">
    <cfRule type="cellIs" dxfId="30396" priority="645" operator="equal">
      <formula>"OFF"</formula>
    </cfRule>
    <cfRule type="cellIs" dxfId="30395" priority="646" operator="equal">
      <formula>"PTO"</formula>
    </cfRule>
  </conditionalFormatting>
  <conditionalFormatting sqref="S47">
    <cfRule type="cellIs" dxfId="30394" priority="643" operator="equal">
      <formula>"OFF"</formula>
    </cfRule>
    <cfRule type="cellIs" dxfId="30393" priority="644" operator="equal">
      <formula>"PTO"</formula>
    </cfRule>
  </conditionalFormatting>
  <conditionalFormatting sqref="S47">
    <cfRule type="cellIs" dxfId="30392" priority="641" operator="equal">
      <formula>"OFF"</formula>
    </cfRule>
    <cfRule type="cellIs" dxfId="30391" priority="642" operator="equal">
      <formula>"PTO"</formula>
    </cfRule>
  </conditionalFormatting>
  <conditionalFormatting sqref="S47">
    <cfRule type="cellIs" dxfId="30390" priority="639" operator="equal">
      <formula>"OFF"</formula>
    </cfRule>
    <cfRule type="cellIs" dxfId="30389" priority="640" operator="equal">
      <formula>"PTO"</formula>
    </cfRule>
  </conditionalFormatting>
  <conditionalFormatting sqref="S47">
    <cfRule type="cellIs" dxfId="30388" priority="637" operator="equal">
      <formula>"OFF"</formula>
    </cfRule>
    <cfRule type="cellIs" dxfId="30387" priority="638" operator="equal">
      <formula>"PTO"</formula>
    </cfRule>
  </conditionalFormatting>
  <conditionalFormatting sqref="S47">
    <cfRule type="cellIs" dxfId="30386" priority="635" operator="equal">
      <formula>"OFF"</formula>
    </cfRule>
    <cfRule type="cellIs" dxfId="30385" priority="636" operator="equal">
      <formula>"PTO"</formula>
    </cfRule>
  </conditionalFormatting>
  <conditionalFormatting sqref="S47">
    <cfRule type="cellIs" dxfId="30384" priority="633" operator="equal">
      <formula>"OFF"</formula>
    </cfRule>
    <cfRule type="cellIs" dxfId="30383" priority="634" operator="equal">
      <formula>"PTO"</formula>
    </cfRule>
  </conditionalFormatting>
  <conditionalFormatting sqref="S47">
    <cfRule type="cellIs" dxfId="30382" priority="631" operator="equal">
      <formula>"OFF"</formula>
    </cfRule>
    <cfRule type="cellIs" dxfId="30381" priority="632" operator="equal">
      <formula>"PTO"</formula>
    </cfRule>
  </conditionalFormatting>
  <conditionalFormatting sqref="S47">
    <cfRule type="cellIs" dxfId="30380" priority="629" operator="equal">
      <formula>"OFF"</formula>
    </cfRule>
    <cfRule type="cellIs" dxfId="30379" priority="630" operator="equal">
      <formula>"PTO"</formula>
    </cfRule>
  </conditionalFormatting>
  <conditionalFormatting sqref="S47">
    <cfRule type="cellIs" dxfId="30378" priority="627" operator="equal">
      <formula>"OFF"</formula>
    </cfRule>
    <cfRule type="cellIs" dxfId="30377" priority="628" operator="equal">
      <formula>"PTO"</formula>
    </cfRule>
  </conditionalFormatting>
  <conditionalFormatting sqref="S47">
    <cfRule type="cellIs" dxfId="30376" priority="625" operator="equal">
      <formula>"OFF"</formula>
    </cfRule>
    <cfRule type="cellIs" dxfId="30375" priority="626" operator="equal">
      <formula>"PTO"</formula>
    </cfRule>
  </conditionalFormatting>
  <conditionalFormatting sqref="S47">
    <cfRule type="cellIs" dxfId="30374" priority="623" operator="equal">
      <formula>"OFF"</formula>
    </cfRule>
    <cfRule type="cellIs" dxfId="30373" priority="624" operator="equal">
      <formula>"PTO"</formula>
    </cfRule>
  </conditionalFormatting>
  <conditionalFormatting sqref="S47">
    <cfRule type="cellIs" dxfId="30372" priority="621" operator="equal">
      <formula>"OFF"</formula>
    </cfRule>
    <cfRule type="cellIs" dxfId="30371" priority="622" operator="equal">
      <formula>"PTO"</formula>
    </cfRule>
  </conditionalFormatting>
  <conditionalFormatting sqref="S47">
    <cfRule type="cellIs" dxfId="30370" priority="619" operator="equal">
      <formula>"OFF"</formula>
    </cfRule>
    <cfRule type="cellIs" dxfId="30369" priority="620" operator="equal">
      <formula>"PTO"</formula>
    </cfRule>
  </conditionalFormatting>
  <conditionalFormatting sqref="S47">
    <cfRule type="cellIs" dxfId="30368" priority="617" operator="equal">
      <formula>"OFF"</formula>
    </cfRule>
    <cfRule type="cellIs" dxfId="30367" priority="618" operator="equal">
      <formula>"PTO"</formula>
    </cfRule>
  </conditionalFormatting>
  <conditionalFormatting sqref="S47">
    <cfRule type="cellIs" dxfId="30366" priority="615" operator="equal">
      <formula>"OFF"</formula>
    </cfRule>
    <cfRule type="cellIs" dxfId="30365" priority="616" operator="equal">
      <formula>"PTO"</formula>
    </cfRule>
  </conditionalFormatting>
  <conditionalFormatting sqref="S47">
    <cfRule type="cellIs" dxfId="30364" priority="613" operator="equal">
      <formula>"OFF"</formula>
    </cfRule>
    <cfRule type="cellIs" dxfId="30363" priority="614" operator="equal">
      <formula>"PTO"</formula>
    </cfRule>
  </conditionalFormatting>
  <conditionalFormatting sqref="S47">
    <cfRule type="cellIs" dxfId="30362" priority="611" operator="equal">
      <formula>"OFF"</formula>
    </cfRule>
    <cfRule type="cellIs" dxfId="30361" priority="612" operator="equal">
      <formula>"PTO"</formula>
    </cfRule>
  </conditionalFormatting>
  <conditionalFormatting sqref="S47">
    <cfRule type="cellIs" dxfId="30360" priority="609" operator="equal">
      <formula>"OFF"</formula>
    </cfRule>
    <cfRule type="cellIs" dxfId="30359" priority="610" operator="equal">
      <formula>"PTO"</formula>
    </cfRule>
  </conditionalFormatting>
  <conditionalFormatting sqref="S47">
    <cfRule type="cellIs" dxfId="30358" priority="607" operator="equal">
      <formula>"OFF"</formula>
    </cfRule>
    <cfRule type="cellIs" dxfId="30357" priority="608" operator="equal">
      <formula>"PTO"</formula>
    </cfRule>
  </conditionalFormatting>
  <conditionalFormatting sqref="S48">
    <cfRule type="cellIs" dxfId="30356" priority="605" operator="equal">
      <formula>"OFF"</formula>
    </cfRule>
    <cfRule type="cellIs" dxfId="30355" priority="606" operator="equal">
      <formula>"PTO"</formula>
    </cfRule>
  </conditionalFormatting>
  <conditionalFormatting sqref="S48">
    <cfRule type="cellIs" dxfId="30354" priority="603" operator="equal">
      <formula>"OFF"</formula>
    </cfRule>
    <cfRule type="cellIs" dxfId="30353" priority="604" operator="equal">
      <formula>"PTO"</formula>
    </cfRule>
  </conditionalFormatting>
  <conditionalFormatting sqref="S48">
    <cfRule type="cellIs" dxfId="30352" priority="601" operator="equal">
      <formula>"OFF"</formula>
    </cfRule>
    <cfRule type="cellIs" dxfId="30351" priority="602" operator="equal">
      <formula>"PTO"</formula>
    </cfRule>
  </conditionalFormatting>
  <conditionalFormatting sqref="S48">
    <cfRule type="cellIs" dxfId="30350" priority="599" operator="equal">
      <formula>"OFF"</formula>
    </cfRule>
    <cfRule type="cellIs" dxfId="30349" priority="600" operator="equal">
      <formula>"PTO"</formula>
    </cfRule>
  </conditionalFormatting>
  <conditionalFormatting sqref="S48">
    <cfRule type="cellIs" dxfId="30348" priority="597" operator="equal">
      <formula>"OFF"</formula>
    </cfRule>
    <cfRule type="cellIs" dxfId="30347" priority="598" operator="equal">
      <formula>"PTO"</formula>
    </cfRule>
  </conditionalFormatting>
  <conditionalFormatting sqref="S48">
    <cfRule type="cellIs" dxfId="30346" priority="595" operator="equal">
      <formula>"OFF"</formula>
    </cfRule>
    <cfRule type="cellIs" dxfId="30345" priority="596" operator="equal">
      <formula>"PTO"</formula>
    </cfRule>
  </conditionalFormatting>
  <conditionalFormatting sqref="S48">
    <cfRule type="cellIs" dxfId="30344" priority="593" operator="equal">
      <formula>"OFF"</formula>
    </cfRule>
    <cfRule type="cellIs" dxfId="30343" priority="594" operator="equal">
      <formula>"PTO"</formula>
    </cfRule>
  </conditionalFormatting>
  <conditionalFormatting sqref="S48">
    <cfRule type="cellIs" dxfId="30342" priority="591" operator="equal">
      <formula>"OFF"</formula>
    </cfRule>
    <cfRule type="cellIs" dxfId="30341" priority="592" operator="equal">
      <formula>"PTO"</formula>
    </cfRule>
  </conditionalFormatting>
  <conditionalFormatting sqref="S48">
    <cfRule type="cellIs" dxfId="30340" priority="589" operator="equal">
      <formula>"OFF"</formula>
    </cfRule>
    <cfRule type="cellIs" dxfId="30339" priority="590" operator="equal">
      <formula>"PTO"</formula>
    </cfRule>
  </conditionalFormatting>
  <conditionalFormatting sqref="S48">
    <cfRule type="cellIs" dxfId="30338" priority="587" operator="equal">
      <formula>"OFF"</formula>
    </cfRule>
    <cfRule type="cellIs" dxfId="30337" priority="588" operator="equal">
      <formula>"PTO"</formula>
    </cfRule>
  </conditionalFormatting>
  <conditionalFormatting sqref="S47">
    <cfRule type="cellIs" dxfId="30336" priority="585" operator="equal">
      <formula>"OFF"</formula>
    </cfRule>
    <cfRule type="cellIs" dxfId="30335" priority="586" operator="equal">
      <formula>"PTO"</formula>
    </cfRule>
  </conditionalFormatting>
  <conditionalFormatting sqref="S47">
    <cfRule type="cellIs" dxfId="30334" priority="583" operator="equal">
      <formula>"OFF"</formula>
    </cfRule>
    <cfRule type="cellIs" dxfId="30333" priority="584" operator="equal">
      <formula>"PTO"</formula>
    </cfRule>
  </conditionalFormatting>
  <conditionalFormatting sqref="S47">
    <cfRule type="cellIs" dxfId="30332" priority="581" operator="equal">
      <formula>"OFF"</formula>
    </cfRule>
    <cfRule type="cellIs" dxfId="30331" priority="582" operator="equal">
      <formula>"PTO"</formula>
    </cfRule>
  </conditionalFormatting>
  <conditionalFormatting sqref="S47">
    <cfRule type="cellIs" dxfId="30330" priority="579" operator="equal">
      <formula>"OFF"</formula>
    </cfRule>
    <cfRule type="cellIs" dxfId="30329" priority="580" operator="equal">
      <formula>"PTO"</formula>
    </cfRule>
  </conditionalFormatting>
  <conditionalFormatting sqref="S47">
    <cfRule type="cellIs" dxfId="30328" priority="577" operator="equal">
      <formula>"OFF"</formula>
    </cfRule>
    <cfRule type="cellIs" dxfId="30327" priority="578" operator="equal">
      <formula>"PTO"</formula>
    </cfRule>
  </conditionalFormatting>
  <conditionalFormatting sqref="S47">
    <cfRule type="cellIs" dxfId="30326" priority="575" operator="equal">
      <formula>"OFF"</formula>
    </cfRule>
    <cfRule type="cellIs" dxfId="30325" priority="576" operator="equal">
      <formula>"PTO"</formula>
    </cfRule>
  </conditionalFormatting>
  <conditionalFormatting sqref="S47">
    <cfRule type="cellIs" dxfId="30324" priority="573" operator="equal">
      <formula>"OFF"</formula>
    </cfRule>
    <cfRule type="cellIs" dxfId="30323" priority="574" operator="equal">
      <formula>"PTO"</formula>
    </cfRule>
  </conditionalFormatting>
  <conditionalFormatting sqref="S47">
    <cfRule type="cellIs" dxfId="30322" priority="571" operator="equal">
      <formula>"OFF"</formula>
    </cfRule>
    <cfRule type="cellIs" dxfId="30321" priority="572" operator="equal">
      <formula>"PTO"</formula>
    </cfRule>
  </conditionalFormatting>
  <conditionalFormatting sqref="S47">
    <cfRule type="cellIs" dxfId="30320" priority="569" operator="equal">
      <formula>"OFF"</formula>
    </cfRule>
    <cfRule type="cellIs" dxfId="30319" priority="570" operator="equal">
      <formula>"PTO"</formula>
    </cfRule>
  </conditionalFormatting>
  <conditionalFormatting sqref="S49">
    <cfRule type="cellIs" dxfId="30318" priority="567" operator="equal">
      <formula>"OFF"</formula>
    </cfRule>
    <cfRule type="cellIs" dxfId="30317" priority="568" operator="equal">
      <formula>"PTO"</formula>
    </cfRule>
  </conditionalFormatting>
  <conditionalFormatting sqref="U45:U50">
    <cfRule type="cellIs" dxfId="30316" priority="565" operator="equal">
      <formula>"OFF"</formula>
    </cfRule>
    <cfRule type="cellIs" dxfId="30315" priority="566" operator="equal">
      <formula>"PTO"</formula>
    </cfRule>
  </conditionalFormatting>
  <conditionalFormatting sqref="U48">
    <cfRule type="cellIs" dxfId="30314" priority="563" operator="equal">
      <formula>"OFF"</formula>
    </cfRule>
    <cfRule type="cellIs" dxfId="30313" priority="564" operator="equal">
      <formula>"PTO"</formula>
    </cfRule>
  </conditionalFormatting>
  <conditionalFormatting sqref="U48">
    <cfRule type="cellIs" dxfId="30312" priority="561" operator="equal">
      <formula>"OFF"</formula>
    </cfRule>
    <cfRule type="cellIs" dxfId="30311" priority="562" operator="equal">
      <formula>"PTO"</formula>
    </cfRule>
  </conditionalFormatting>
  <conditionalFormatting sqref="U48">
    <cfRule type="cellIs" dxfId="30310" priority="559" operator="equal">
      <formula>"OFF"</formula>
    </cfRule>
    <cfRule type="cellIs" dxfId="30309" priority="560" operator="equal">
      <formula>"PTO"</formula>
    </cfRule>
  </conditionalFormatting>
  <conditionalFormatting sqref="U48">
    <cfRule type="cellIs" dxfId="30308" priority="557" operator="equal">
      <formula>"OFF"</formula>
    </cfRule>
    <cfRule type="cellIs" dxfId="30307" priority="558" operator="equal">
      <formula>"PTO"</formula>
    </cfRule>
  </conditionalFormatting>
  <conditionalFormatting sqref="U45">
    <cfRule type="cellIs" dxfId="30306" priority="555" operator="equal">
      <formula>"OFF"</formula>
    </cfRule>
    <cfRule type="cellIs" dxfId="30305" priority="556" operator="equal">
      <formula>"PTO"</formula>
    </cfRule>
  </conditionalFormatting>
  <conditionalFormatting sqref="U45">
    <cfRule type="cellIs" dxfId="30304" priority="553" operator="equal">
      <formula>"OFF"</formula>
    </cfRule>
    <cfRule type="cellIs" dxfId="30303" priority="554" operator="equal">
      <formula>"PTO"</formula>
    </cfRule>
  </conditionalFormatting>
  <conditionalFormatting sqref="U48">
    <cfRule type="cellIs" dxfId="30302" priority="551" operator="equal">
      <formula>"OFF"</formula>
    </cfRule>
    <cfRule type="cellIs" dxfId="30301" priority="552" operator="equal">
      <formula>"PTO"</formula>
    </cfRule>
  </conditionalFormatting>
  <conditionalFormatting sqref="U45">
    <cfRule type="cellIs" dxfId="30300" priority="549" operator="equal">
      <formula>"OFF"</formula>
    </cfRule>
    <cfRule type="cellIs" dxfId="30299" priority="550" operator="equal">
      <formula>"PTO"</formula>
    </cfRule>
  </conditionalFormatting>
  <conditionalFormatting sqref="U50">
    <cfRule type="cellIs" dxfId="30298" priority="547" operator="equal">
      <formula>"OFF"</formula>
    </cfRule>
    <cfRule type="cellIs" dxfId="30297" priority="548" operator="equal">
      <formula>"PTO"</formula>
    </cfRule>
  </conditionalFormatting>
  <conditionalFormatting sqref="U48">
    <cfRule type="cellIs" dxfId="30296" priority="545" operator="equal">
      <formula>"OFF"</formula>
    </cfRule>
    <cfRule type="cellIs" dxfId="30295" priority="546" operator="equal">
      <formula>"PTO"</formula>
    </cfRule>
  </conditionalFormatting>
  <conditionalFormatting sqref="U48">
    <cfRule type="cellIs" dxfId="30294" priority="543" operator="equal">
      <formula>"OFF"</formula>
    </cfRule>
    <cfRule type="cellIs" dxfId="30293" priority="544" operator="equal">
      <formula>"PTO"</formula>
    </cfRule>
  </conditionalFormatting>
  <conditionalFormatting sqref="U48">
    <cfRule type="cellIs" dxfId="30292" priority="541" operator="equal">
      <formula>"OFF"</formula>
    </cfRule>
    <cfRule type="cellIs" dxfId="30291" priority="542" operator="equal">
      <formula>"PTO"</formula>
    </cfRule>
  </conditionalFormatting>
  <conditionalFormatting sqref="U48">
    <cfRule type="cellIs" dxfId="30290" priority="539" operator="equal">
      <formula>"OFF"</formula>
    </cfRule>
    <cfRule type="cellIs" dxfId="30289" priority="540" operator="equal">
      <formula>"PTO"</formula>
    </cfRule>
  </conditionalFormatting>
  <conditionalFormatting sqref="U48">
    <cfRule type="cellIs" dxfId="30288" priority="537" operator="equal">
      <formula>"OFF"</formula>
    </cfRule>
    <cfRule type="cellIs" dxfId="30287" priority="538" operator="equal">
      <formula>"PTO"</formula>
    </cfRule>
  </conditionalFormatting>
  <conditionalFormatting sqref="U48">
    <cfRule type="cellIs" dxfId="30286" priority="535" operator="equal">
      <formula>"OFF"</formula>
    </cfRule>
    <cfRule type="cellIs" dxfId="30285" priority="536" operator="equal">
      <formula>"PTO"</formula>
    </cfRule>
  </conditionalFormatting>
  <conditionalFormatting sqref="U48">
    <cfRule type="cellIs" dxfId="30284" priority="533" operator="equal">
      <formula>"OFF"</formula>
    </cfRule>
    <cfRule type="cellIs" dxfId="30283" priority="534" operator="equal">
      <formula>"PTO"</formula>
    </cfRule>
  </conditionalFormatting>
  <conditionalFormatting sqref="U48">
    <cfRule type="cellIs" dxfId="30282" priority="531" operator="equal">
      <formula>"OFF"</formula>
    </cfRule>
    <cfRule type="cellIs" dxfId="30281" priority="532" operator="equal">
      <formula>"PTO"</formula>
    </cfRule>
  </conditionalFormatting>
  <conditionalFormatting sqref="U48">
    <cfRule type="cellIs" dxfId="30280" priority="529" operator="equal">
      <formula>"OFF"</formula>
    </cfRule>
    <cfRule type="cellIs" dxfId="30279" priority="530" operator="equal">
      <formula>"PTO"</formula>
    </cfRule>
  </conditionalFormatting>
  <conditionalFormatting sqref="U48">
    <cfRule type="cellIs" dxfId="30278" priority="527" operator="equal">
      <formula>"OFF"</formula>
    </cfRule>
    <cfRule type="cellIs" dxfId="30277" priority="528" operator="equal">
      <formula>"PTO"</formula>
    </cfRule>
  </conditionalFormatting>
  <conditionalFormatting sqref="U48">
    <cfRule type="cellIs" dxfId="30276" priority="525" operator="equal">
      <formula>"OFF"</formula>
    </cfRule>
    <cfRule type="cellIs" dxfId="30275" priority="526" operator="equal">
      <formula>"PTO"</formula>
    </cfRule>
  </conditionalFormatting>
  <conditionalFormatting sqref="U48">
    <cfRule type="cellIs" dxfId="30274" priority="523" operator="equal">
      <formula>"OFF"</formula>
    </cfRule>
    <cfRule type="cellIs" dxfId="30273" priority="524" operator="equal">
      <formula>"PTO"</formula>
    </cfRule>
  </conditionalFormatting>
  <conditionalFormatting sqref="U48">
    <cfRule type="cellIs" dxfId="30272" priority="521" operator="equal">
      <formula>"OFF"</formula>
    </cfRule>
    <cfRule type="cellIs" dxfId="30271" priority="522" operator="equal">
      <formula>"PTO"</formula>
    </cfRule>
  </conditionalFormatting>
  <conditionalFormatting sqref="U48">
    <cfRule type="cellIs" dxfId="30270" priority="519" operator="equal">
      <formula>"OFF"</formula>
    </cfRule>
    <cfRule type="cellIs" dxfId="30269" priority="520" operator="equal">
      <formula>"PTO"</formula>
    </cfRule>
  </conditionalFormatting>
  <conditionalFormatting sqref="U48">
    <cfRule type="cellIs" dxfId="30268" priority="517" operator="equal">
      <formula>"OFF"</formula>
    </cfRule>
    <cfRule type="cellIs" dxfId="30267" priority="518" operator="equal">
      <formula>"PTO"</formula>
    </cfRule>
  </conditionalFormatting>
  <conditionalFormatting sqref="U48">
    <cfRule type="cellIs" dxfId="30266" priority="515" operator="equal">
      <formula>"OFF"</formula>
    </cfRule>
    <cfRule type="cellIs" dxfId="30265" priority="516" operator="equal">
      <formula>"PTO"</formula>
    </cfRule>
  </conditionalFormatting>
  <conditionalFormatting sqref="U48">
    <cfRule type="cellIs" dxfId="30264" priority="513" operator="equal">
      <formula>"OFF"</formula>
    </cfRule>
    <cfRule type="cellIs" dxfId="30263" priority="514" operator="equal">
      <formula>"PTO"</formula>
    </cfRule>
  </conditionalFormatting>
  <conditionalFormatting sqref="U48">
    <cfRule type="cellIs" dxfId="30262" priority="511" operator="equal">
      <formula>"OFF"</formula>
    </cfRule>
    <cfRule type="cellIs" dxfId="30261" priority="512" operator="equal">
      <formula>"PTO"</formula>
    </cfRule>
  </conditionalFormatting>
  <conditionalFormatting sqref="U48">
    <cfRule type="cellIs" dxfId="30260" priority="509" operator="equal">
      <formula>"OFF"</formula>
    </cfRule>
    <cfRule type="cellIs" dxfId="30259" priority="510" operator="equal">
      <formula>"PTO"</formula>
    </cfRule>
  </conditionalFormatting>
  <conditionalFormatting sqref="U48">
    <cfRule type="cellIs" dxfId="30258" priority="507" operator="equal">
      <formula>"OFF"</formula>
    </cfRule>
    <cfRule type="cellIs" dxfId="30257" priority="508" operator="equal">
      <formula>"PTO"</formula>
    </cfRule>
  </conditionalFormatting>
  <conditionalFormatting sqref="U43">
    <cfRule type="cellIs" dxfId="30256" priority="505" operator="equal">
      <formula>"OFF"</formula>
    </cfRule>
    <cfRule type="cellIs" dxfId="30255" priority="506" operator="equal">
      <formula>"PTO"</formula>
    </cfRule>
  </conditionalFormatting>
  <conditionalFormatting sqref="U43">
    <cfRule type="cellIs" dxfId="30254" priority="503" operator="equal">
      <formula>"OFF"</formula>
    </cfRule>
    <cfRule type="cellIs" dxfId="30253" priority="504" operator="equal">
      <formula>"PTO"</formula>
    </cfRule>
  </conditionalFormatting>
  <conditionalFormatting sqref="U43">
    <cfRule type="cellIs" dxfId="30252" priority="501" operator="equal">
      <formula>"OFF"</formula>
    </cfRule>
    <cfRule type="cellIs" dxfId="30251" priority="502" operator="equal">
      <formula>"PTO"</formula>
    </cfRule>
  </conditionalFormatting>
  <conditionalFormatting sqref="U43">
    <cfRule type="cellIs" dxfId="30250" priority="499" operator="equal">
      <formula>"OFF"</formula>
    </cfRule>
    <cfRule type="cellIs" dxfId="30249" priority="500" operator="equal">
      <formula>"PTO"</formula>
    </cfRule>
  </conditionalFormatting>
  <conditionalFormatting sqref="U49">
    <cfRule type="cellIs" dxfId="30248" priority="497" operator="equal">
      <formula>"OFF"</formula>
    </cfRule>
    <cfRule type="cellIs" dxfId="30247" priority="498" operator="equal">
      <formula>"PTO"</formula>
    </cfRule>
  </conditionalFormatting>
  <conditionalFormatting sqref="U49">
    <cfRule type="cellIs" dxfId="30246" priority="495" operator="equal">
      <formula>"OFF"</formula>
    </cfRule>
    <cfRule type="cellIs" dxfId="30245" priority="496" operator="equal">
      <formula>"PTO"</formula>
    </cfRule>
  </conditionalFormatting>
  <conditionalFormatting sqref="U49">
    <cfRule type="cellIs" dxfId="30244" priority="493" operator="equal">
      <formula>"OFF"</formula>
    </cfRule>
    <cfRule type="cellIs" dxfId="30243" priority="494" operator="equal">
      <formula>"PTO"</formula>
    </cfRule>
  </conditionalFormatting>
  <conditionalFormatting sqref="U49">
    <cfRule type="cellIs" dxfId="30242" priority="491" operator="equal">
      <formula>"OFF"</formula>
    </cfRule>
    <cfRule type="cellIs" dxfId="30241" priority="492" operator="equal">
      <formula>"PTO"</formula>
    </cfRule>
  </conditionalFormatting>
  <conditionalFormatting sqref="U49">
    <cfRule type="cellIs" dxfId="30240" priority="489" operator="equal">
      <formula>"OFF"</formula>
    </cfRule>
    <cfRule type="cellIs" dxfId="30239" priority="490" operator="equal">
      <formula>"PTO"</formula>
    </cfRule>
  </conditionalFormatting>
  <conditionalFormatting sqref="U49">
    <cfRule type="cellIs" dxfId="30238" priority="487" operator="equal">
      <formula>"OFF"</formula>
    </cfRule>
    <cfRule type="cellIs" dxfId="30237" priority="488" operator="equal">
      <formula>"PTO"</formula>
    </cfRule>
  </conditionalFormatting>
  <conditionalFormatting sqref="U49">
    <cfRule type="cellIs" dxfId="30236" priority="485" operator="equal">
      <formula>"OFF"</formula>
    </cfRule>
    <cfRule type="cellIs" dxfId="30235" priority="486" operator="equal">
      <formula>"PTO"</formula>
    </cfRule>
  </conditionalFormatting>
  <conditionalFormatting sqref="U49">
    <cfRule type="cellIs" dxfId="30234" priority="483" operator="equal">
      <formula>"OFF"</formula>
    </cfRule>
    <cfRule type="cellIs" dxfId="30233" priority="484" operator="equal">
      <formula>"PTO"</formula>
    </cfRule>
  </conditionalFormatting>
  <conditionalFormatting sqref="U49">
    <cfRule type="cellIs" dxfId="30232" priority="481" operator="equal">
      <formula>"OFF"</formula>
    </cfRule>
    <cfRule type="cellIs" dxfId="30231" priority="482" operator="equal">
      <formula>"PTO"</formula>
    </cfRule>
  </conditionalFormatting>
  <conditionalFormatting sqref="U47">
    <cfRule type="cellIs" dxfId="30230" priority="479" operator="equal">
      <formula>"OFF"</formula>
    </cfRule>
    <cfRule type="cellIs" dxfId="30229" priority="480" operator="equal">
      <formula>"PTO"</formula>
    </cfRule>
  </conditionalFormatting>
  <conditionalFormatting sqref="U47">
    <cfRule type="cellIs" dxfId="30228" priority="477" operator="equal">
      <formula>"OFF"</formula>
    </cfRule>
    <cfRule type="cellIs" dxfId="30227" priority="478" operator="equal">
      <formula>"PTO"</formula>
    </cfRule>
  </conditionalFormatting>
  <conditionalFormatting sqref="U45">
    <cfRule type="cellIs" dxfId="30226" priority="475" operator="equal">
      <formula>"OFF"</formula>
    </cfRule>
    <cfRule type="cellIs" dxfId="30225" priority="476" operator="equal">
      <formula>"PTO"</formula>
    </cfRule>
  </conditionalFormatting>
  <conditionalFormatting sqref="U45">
    <cfRule type="cellIs" dxfId="30224" priority="473" operator="equal">
      <formula>"OFF"</formula>
    </cfRule>
    <cfRule type="cellIs" dxfId="30223" priority="474" operator="equal">
      <formula>"PTO"</formula>
    </cfRule>
  </conditionalFormatting>
  <conditionalFormatting sqref="U45">
    <cfRule type="cellIs" dxfId="30222" priority="471" operator="equal">
      <formula>"OFF"</formula>
    </cfRule>
    <cfRule type="cellIs" dxfId="30221" priority="472" operator="equal">
      <formula>"PTO"</formula>
    </cfRule>
  </conditionalFormatting>
  <conditionalFormatting sqref="U46">
    <cfRule type="cellIs" dxfId="30220" priority="469" operator="equal">
      <formula>"OFF"</formula>
    </cfRule>
    <cfRule type="cellIs" dxfId="30219" priority="470" operator="equal">
      <formula>"PTO"</formula>
    </cfRule>
  </conditionalFormatting>
  <conditionalFormatting sqref="U46">
    <cfRule type="cellIs" dxfId="30218" priority="467" operator="equal">
      <formula>"OFF"</formula>
    </cfRule>
    <cfRule type="cellIs" dxfId="30217" priority="468" operator="equal">
      <formula>"PTO"</formula>
    </cfRule>
  </conditionalFormatting>
  <conditionalFormatting sqref="U46">
    <cfRule type="cellIs" dxfId="30216" priority="465" operator="equal">
      <formula>"OFF"</formula>
    </cfRule>
    <cfRule type="cellIs" dxfId="30215" priority="466" operator="equal">
      <formula>"PTO"</formula>
    </cfRule>
  </conditionalFormatting>
  <conditionalFormatting sqref="U46">
    <cfRule type="cellIs" dxfId="30214" priority="463" operator="equal">
      <formula>"OFF"</formula>
    </cfRule>
    <cfRule type="cellIs" dxfId="30213" priority="464" operator="equal">
      <formula>"PTO"</formula>
    </cfRule>
  </conditionalFormatting>
  <conditionalFormatting sqref="U46">
    <cfRule type="cellIs" dxfId="30212" priority="461" operator="equal">
      <formula>"OFF"</formula>
    </cfRule>
    <cfRule type="cellIs" dxfId="30211" priority="462" operator="equal">
      <formula>"PTO"</formula>
    </cfRule>
  </conditionalFormatting>
  <conditionalFormatting sqref="U46">
    <cfRule type="cellIs" dxfId="30210" priority="459" operator="equal">
      <formula>"OFF"</formula>
    </cfRule>
    <cfRule type="cellIs" dxfId="30209" priority="460" operator="equal">
      <formula>"PTO"</formula>
    </cfRule>
  </conditionalFormatting>
  <conditionalFormatting sqref="U46">
    <cfRule type="cellIs" dxfId="30208" priority="457" operator="equal">
      <formula>"OFF"</formula>
    </cfRule>
    <cfRule type="cellIs" dxfId="30207" priority="458" operator="equal">
      <formula>"PTO"</formula>
    </cfRule>
  </conditionalFormatting>
  <conditionalFormatting sqref="U46">
    <cfRule type="cellIs" dxfId="30206" priority="455" operator="equal">
      <formula>"OFF"</formula>
    </cfRule>
    <cfRule type="cellIs" dxfId="30205" priority="456" operator="equal">
      <formula>"PTO"</formula>
    </cfRule>
  </conditionalFormatting>
  <conditionalFormatting sqref="U46">
    <cfRule type="cellIs" dxfId="30204" priority="453" operator="equal">
      <formula>"OFF"</formula>
    </cfRule>
    <cfRule type="cellIs" dxfId="30203" priority="454" operator="equal">
      <formula>"PTO"</formula>
    </cfRule>
  </conditionalFormatting>
  <conditionalFormatting sqref="U46">
    <cfRule type="cellIs" dxfId="30202" priority="451" operator="equal">
      <formula>"OFF"</formula>
    </cfRule>
    <cfRule type="cellIs" dxfId="30201" priority="452" operator="equal">
      <formula>"PTO"</formula>
    </cfRule>
  </conditionalFormatting>
  <conditionalFormatting sqref="U46">
    <cfRule type="cellIs" dxfId="30200" priority="449" operator="equal">
      <formula>"OFF"</formula>
    </cfRule>
    <cfRule type="cellIs" dxfId="30199" priority="450" operator="equal">
      <formula>"PTO"</formula>
    </cfRule>
  </conditionalFormatting>
  <conditionalFormatting sqref="U46">
    <cfRule type="cellIs" dxfId="30198" priority="447" operator="equal">
      <formula>"OFF"</formula>
    </cfRule>
    <cfRule type="cellIs" dxfId="30197" priority="448" operator="equal">
      <formula>"PTO"</formula>
    </cfRule>
  </conditionalFormatting>
  <conditionalFormatting sqref="U46">
    <cfRule type="cellIs" dxfId="30196" priority="445" operator="equal">
      <formula>"OFF"</formula>
    </cfRule>
    <cfRule type="cellIs" dxfId="30195" priority="446" operator="equal">
      <formula>"PTO"</formula>
    </cfRule>
  </conditionalFormatting>
  <conditionalFormatting sqref="U46">
    <cfRule type="cellIs" dxfId="30194" priority="443" operator="equal">
      <formula>"OFF"</formula>
    </cfRule>
    <cfRule type="cellIs" dxfId="30193" priority="444" operator="equal">
      <formula>"PTO"</formula>
    </cfRule>
  </conditionalFormatting>
  <conditionalFormatting sqref="U46">
    <cfRule type="cellIs" dxfId="30192" priority="441" operator="equal">
      <formula>"OFF"</formula>
    </cfRule>
    <cfRule type="cellIs" dxfId="30191" priority="442" operator="equal">
      <formula>"PTO"</formula>
    </cfRule>
  </conditionalFormatting>
  <conditionalFormatting sqref="U46">
    <cfRule type="cellIs" dxfId="30190" priority="439" operator="equal">
      <formula>"OFF"</formula>
    </cfRule>
    <cfRule type="cellIs" dxfId="30189" priority="440" operator="equal">
      <formula>"PTO"</formula>
    </cfRule>
  </conditionalFormatting>
  <conditionalFormatting sqref="U46">
    <cfRule type="cellIs" dxfId="30188" priority="437" operator="equal">
      <formula>"OFF"</formula>
    </cfRule>
    <cfRule type="cellIs" dxfId="30187" priority="438" operator="equal">
      <formula>"PTO"</formula>
    </cfRule>
  </conditionalFormatting>
  <conditionalFormatting sqref="U46">
    <cfRule type="cellIs" dxfId="30186" priority="435" operator="equal">
      <formula>"OFF"</formula>
    </cfRule>
    <cfRule type="cellIs" dxfId="30185" priority="436" operator="equal">
      <formula>"PTO"</formula>
    </cfRule>
  </conditionalFormatting>
  <conditionalFormatting sqref="U46">
    <cfRule type="cellIs" dxfId="30184" priority="433" operator="equal">
      <formula>"OFF"</formula>
    </cfRule>
    <cfRule type="cellIs" dxfId="30183" priority="434" operator="equal">
      <formula>"PTO"</formula>
    </cfRule>
  </conditionalFormatting>
  <conditionalFormatting sqref="U46">
    <cfRule type="cellIs" dxfId="30182" priority="431" operator="equal">
      <formula>"OFF"</formula>
    </cfRule>
    <cfRule type="cellIs" dxfId="30181" priority="432" operator="equal">
      <formula>"PTO"</formula>
    </cfRule>
  </conditionalFormatting>
  <conditionalFormatting sqref="U46">
    <cfRule type="cellIs" dxfId="30180" priority="429" operator="equal">
      <formula>"OFF"</formula>
    </cfRule>
    <cfRule type="cellIs" dxfId="30179" priority="430" operator="equal">
      <formula>"PTO"</formula>
    </cfRule>
  </conditionalFormatting>
  <conditionalFormatting sqref="U46">
    <cfRule type="cellIs" dxfId="30178" priority="427" operator="equal">
      <formula>"OFF"</formula>
    </cfRule>
    <cfRule type="cellIs" dxfId="30177" priority="428" operator="equal">
      <formula>"PTO"</formula>
    </cfRule>
  </conditionalFormatting>
  <conditionalFormatting sqref="U46">
    <cfRule type="cellIs" dxfId="30176" priority="425" operator="equal">
      <formula>"OFF"</formula>
    </cfRule>
    <cfRule type="cellIs" dxfId="30175" priority="426" operator="equal">
      <formula>"PTO"</formula>
    </cfRule>
  </conditionalFormatting>
  <conditionalFormatting sqref="U46">
    <cfRule type="cellIs" dxfId="30174" priority="423" operator="equal">
      <formula>"OFF"</formula>
    </cfRule>
    <cfRule type="cellIs" dxfId="30173" priority="424" operator="equal">
      <formula>"PTO"</formula>
    </cfRule>
  </conditionalFormatting>
  <conditionalFormatting sqref="U46">
    <cfRule type="cellIs" dxfId="30172" priority="421" operator="equal">
      <formula>"OFF"</formula>
    </cfRule>
    <cfRule type="cellIs" dxfId="30171" priority="422" operator="equal">
      <formula>"PTO"</formula>
    </cfRule>
  </conditionalFormatting>
  <conditionalFormatting sqref="U46">
    <cfRule type="cellIs" dxfId="30170" priority="419" operator="equal">
      <formula>"OFF"</formula>
    </cfRule>
    <cfRule type="cellIs" dxfId="30169" priority="420" operator="equal">
      <formula>"PTO"</formula>
    </cfRule>
  </conditionalFormatting>
  <conditionalFormatting sqref="U47:U50">
    <cfRule type="cellIs" dxfId="30168" priority="417" operator="equal">
      <formula>"OFF"</formula>
    </cfRule>
    <cfRule type="cellIs" dxfId="30167" priority="418" operator="equal">
      <formula>"PTO"</formula>
    </cfRule>
  </conditionalFormatting>
  <conditionalFormatting sqref="U47">
    <cfRule type="cellIs" dxfId="30166" priority="415" operator="equal">
      <formula>"OFF"</formula>
    </cfRule>
    <cfRule type="cellIs" dxfId="30165" priority="416" operator="equal">
      <formula>"PTO"</formula>
    </cfRule>
  </conditionalFormatting>
  <conditionalFormatting sqref="U41 U43 U45:U50">
    <cfRule type="cellIs" dxfId="30164" priority="413" operator="equal">
      <formula>"OFF"</formula>
    </cfRule>
    <cfRule type="cellIs" dxfId="30163" priority="414" operator="equal">
      <formula>"PTO"</formula>
    </cfRule>
  </conditionalFormatting>
  <conditionalFormatting sqref="U41 U43 U45:U50">
    <cfRule type="cellIs" dxfId="30162" priority="411" operator="equal">
      <formula>"OFF"</formula>
    </cfRule>
    <cfRule type="cellIs" dxfId="30161" priority="412" operator="equal">
      <formula>"PTO"</formula>
    </cfRule>
  </conditionalFormatting>
  <conditionalFormatting sqref="U41 U43 U45:U50">
    <cfRule type="cellIs" dxfId="30160" priority="409" operator="equal">
      <formula>"OFF"</formula>
    </cfRule>
    <cfRule type="cellIs" dxfId="30159" priority="410" operator="equal">
      <formula>"PTO"</formula>
    </cfRule>
  </conditionalFormatting>
  <conditionalFormatting sqref="U49:U53">
    <cfRule type="cellIs" dxfId="30158" priority="407" operator="equal">
      <formula>"OFF"</formula>
    </cfRule>
    <cfRule type="cellIs" dxfId="30157" priority="408" operator="equal">
      <formula>"PTO"</formula>
    </cfRule>
  </conditionalFormatting>
  <conditionalFormatting sqref="U49:U53">
    <cfRule type="cellIs" dxfId="30156" priority="405" operator="equal">
      <formula>"OFF"</formula>
    </cfRule>
    <cfRule type="cellIs" dxfId="30155" priority="406" operator="equal">
      <formula>"PTO"</formula>
    </cfRule>
  </conditionalFormatting>
  <conditionalFormatting sqref="U49:U53">
    <cfRule type="cellIs" dxfId="30154" priority="403" operator="equal">
      <formula>"OFF"</formula>
    </cfRule>
    <cfRule type="cellIs" dxfId="30153" priority="404" operator="equal">
      <formula>"PTO"</formula>
    </cfRule>
  </conditionalFormatting>
  <conditionalFormatting sqref="U47">
    <cfRule type="cellIs" dxfId="30152" priority="401" operator="equal">
      <formula>"OFF"</formula>
    </cfRule>
    <cfRule type="cellIs" dxfId="30151" priority="402" operator="equal">
      <formula>"PTO"</formula>
    </cfRule>
  </conditionalFormatting>
  <conditionalFormatting sqref="U47">
    <cfRule type="cellIs" dxfId="30150" priority="399" operator="equal">
      <formula>"OFF"</formula>
    </cfRule>
    <cfRule type="cellIs" dxfId="30149" priority="400" operator="equal">
      <formula>"PTO"</formula>
    </cfRule>
  </conditionalFormatting>
  <conditionalFormatting sqref="U47">
    <cfRule type="cellIs" dxfId="30148" priority="397" operator="equal">
      <formula>"OFF"</formula>
    </cfRule>
    <cfRule type="cellIs" dxfId="30147" priority="398" operator="equal">
      <formula>"PTO"</formula>
    </cfRule>
  </conditionalFormatting>
  <conditionalFormatting sqref="U47">
    <cfRule type="cellIs" dxfId="30146" priority="395" operator="equal">
      <formula>"OFF"</formula>
    </cfRule>
    <cfRule type="cellIs" dxfId="30145" priority="396" operator="equal">
      <formula>"PTO"</formula>
    </cfRule>
  </conditionalFormatting>
  <conditionalFormatting sqref="U47">
    <cfRule type="cellIs" dxfId="30144" priority="393" operator="equal">
      <formula>"OFF"</formula>
    </cfRule>
    <cfRule type="cellIs" dxfId="30143" priority="394" operator="equal">
      <formula>"PTO"</formula>
    </cfRule>
  </conditionalFormatting>
  <conditionalFormatting sqref="U47">
    <cfRule type="cellIs" dxfId="30142" priority="391" operator="equal">
      <formula>"OFF"</formula>
    </cfRule>
    <cfRule type="cellIs" dxfId="30141" priority="392" operator="equal">
      <formula>"PTO"</formula>
    </cfRule>
  </conditionalFormatting>
  <conditionalFormatting sqref="U47">
    <cfRule type="cellIs" dxfId="30140" priority="389" operator="equal">
      <formula>"OFF"</formula>
    </cfRule>
    <cfRule type="cellIs" dxfId="30139" priority="390" operator="equal">
      <formula>"PTO"</formula>
    </cfRule>
  </conditionalFormatting>
  <conditionalFormatting sqref="U47">
    <cfRule type="cellIs" dxfId="30138" priority="387" operator="equal">
      <formula>"OFF"</formula>
    </cfRule>
    <cfRule type="cellIs" dxfId="30137" priority="388" operator="equal">
      <formula>"PTO"</formula>
    </cfRule>
  </conditionalFormatting>
  <conditionalFormatting sqref="U47">
    <cfRule type="cellIs" dxfId="30136" priority="385" operator="equal">
      <formula>"OFF"</formula>
    </cfRule>
    <cfRule type="cellIs" dxfId="30135" priority="386" operator="equal">
      <formula>"PTO"</formula>
    </cfRule>
  </conditionalFormatting>
  <conditionalFormatting sqref="U47">
    <cfRule type="cellIs" dxfId="30134" priority="383" operator="equal">
      <formula>"OFF"</formula>
    </cfRule>
    <cfRule type="cellIs" dxfId="30133" priority="384" operator="equal">
      <formula>"PTO"</formula>
    </cfRule>
  </conditionalFormatting>
  <conditionalFormatting sqref="U47">
    <cfRule type="cellIs" dxfId="30132" priority="381" operator="equal">
      <formula>"OFF"</formula>
    </cfRule>
    <cfRule type="cellIs" dxfId="30131" priority="382" operator="equal">
      <formula>"PTO"</formula>
    </cfRule>
  </conditionalFormatting>
  <conditionalFormatting sqref="U47">
    <cfRule type="cellIs" dxfId="30130" priority="379" operator="equal">
      <formula>"OFF"</formula>
    </cfRule>
    <cfRule type="cellIs" dxfId="30129" priority="380" operator="equal">
      <formula>"PTO"</formula>
    </cfRule>
  </conditionalFormatting>
  <conditionalFormatting sqref="U47">
    <cfRule type="cellIs" dxfId="30128" priority="377" operator="equal">
      <formula>"OFF"</formula>
    </cfRule>
    <cfRule type="cellIs" dxfId="30127" priority="378" operator="equal">
      <formula>"PTO"</formula>
    </cfRule>
  </conditionalFormatting>
  <conditionalFormatting sqref="U47">
    <cfRule type="cellIs" dxfId="30126" priority="375" operator="equal">
      <formula>"OFF"</formula>
    </cfRule>
    <cfRule type="cellIs" dxfId="30125" priority="376" operator="equal">
      <formula>"PTO"</formula>
    </cfRule>
  </conditionalFormatting>
  <conditionalFormatting sqref="U47">
    <cfRule type="cellIs" dxfId="30124" priority="373" operator="equal">
      <formula>"OFF"</formula>
    </cfRule>
    <cfRule type="cellIs" dxfId="30123" priority="374" operator="equal">
      <formula>"PTO"</formula>
    </cfRule>
  </conditionalFormatting>
  <conditionalFormatting sqref="U47">
    <cfRule type="cellIs" dxfId="30122" priority="371" operator="equal">
      <formula>"OFF"</formula>
    </cfRule>
    <cfRule type="cellIs" dxfId="30121" priority="372" operator="equal">
      <formula>"PTO"</formula>
    </cfRule>
  </conditionalFormatting>
  <conditionalFormatting sqref="U47">
    <cfRule type="cellIs" dxfId="30120" priority="369" operator="equal">
      <formula>"OFF"</formula>
    </cfRule>
    <cfRule type="cellIs" dxfId="30119" priority="370" operator="equal">
      <formula>"PTO"</formula>
    </cfRule>
  </conditionalFormatting>
  <conditionalFormatting sqref="U47">
    <cfRule type="cellIs" dxfId="30118" priority="367" operator="equal">
      <formula>"OFF"</formula>
    </cfRule>
    <cfRule type="cellIs" dxfId="30117" priority="368" operator="equal">
      <formula>"PTO"</formula>
    </cfRule>
  </conditionalFormatting>
  <conditionalFormatting sqref="U47">
    <cfRule type="cellIs" dxfId="30116" priority="365" operator="equal">
      <formula>"OFF"</formula>
    </cfRule>
    <cfRule type="cellIs" dxfId="30115" priority="366" operator="equal">
      <formula>"PTO"</formula>
    </cfRule>
  </conditionalFormatting>
  <conditionalFormatting sqref="U47">
    <cfRule type="cellIs" dxfId="30114" priority="363" operator="equal">
      <formula>"OFF"</formula>
    </cfRule>
    <cfRule type="cellIs" dxfId="30113" priority="364" operator="equal">
      <formula>"PTO"</formula>
    </cfRule>
  </conditionalFormatting>
  <conditionalFormatting sqref="U47">
    <cfRule type="cellIs" dxfId="30112" priority="361" operator="equal">
      <formula>"OFF"</formula>
    </cfRule>
    <cfRule type="cellIs" dxfId="30111" priority="362" operator="equal">
      <formula>"PTO"</formula>
    </cfRule>
  </conditionalFormatting>
  <conditionalFormatting sqref="U47">
    <cfRule type="cellIs" dxfId="30110" priority="359" operator="equal">
      <formula>"OFF"</formula>
    </cfRule>
    <cfRule type="cellIs" dxfId="30109" priority="360" operator="equal">
      <formula>"PTO"</formula>
    </cfRule>
  </conditionalFormatting>
  <conditionalFormatting sqref="U47">
    <cfRule type="cellIs" dxfId="30108" priority="357" operator="equal">
      <formula>"OFF"</formula>
    </cfRule>
    <cfRule type="cellIs" dxfId="30107" priority="358" operator="equal">
      <formula>"PTO"</formula>
    </cfRule>
  </conditionalFormatting>
  <conditionalFormatting sqref="U47">
    <cfRule type="cellIs" dxfId="30106" priority="355" operator="equal">
      <formula>"OFF"</formula>
    </cfRule>
    <cfRule type="cellIs" dxfId="30105" priority="356" operator="equal">
      <formula>"PTO"</formula>
    </cfRule>
  </conditionalFormatting>
  <conditionalFormatting sqref="U47">
    <cfRule type="cellIs" dxfId="30104" priority="353" operator="equal">
      <formula>"OFF"</formula>
    </cfRule>
    <cfRule type="cellIs" dxfId="30103" priority="354" operator="equal">
      <formula>"PTO"</formula>
    </cfRule>
  </conditionalFormatting>
  <conditionalFormatting sqref="U43">
    <cfRule type="cellIs" dxfId="30102" priority="351" operator="equal">
      <formula>"OFF"</formula>
    </cfRule>
    <cfRule type="cellIs" dxfId="30101" priority="352" operator="equal">
      <formula>"PTO"</formula>
    </cfRule>
  </conditionalFormatting>
  <conditionalFormatting sqref="U43">
    <cfRule type="cellIs" dxfId="30100" priority="349" operator="equal">
      <formula>"OFF"</formula>
    </cfRule>
    <cfRule type="cellIs" dxfId="30099" priority="350" operator="equal">
      <formula>"PTO"</formula>
    </cfRule>
  </conditionalFormatting>
  <conditionalFormatting sqref="U46">
    <cfRule type="cellIs" dxfId="30098" priority="347" operator="equal">
      <formula>"OFF"</formula>
    </cfRule>
    <cfRule type="cellIs" dxfId="30097" priority="348" operator="equal">
      <formula>"PTO"</formula>
    </cfRule>
  </conditionalFormatting>
  <conditionalFormatting sqref="U46">
    <cfRule type="cellIs" dxfId="30096" priority="345" operator="equal">
      <formula>"OFF"</formula>
    </cfRule>
    <cfRule type="cellIs" dxfId="30095" priority="346" operator="equal">
      <formula>"PTO"</formula>
    </cfRule>
  </conditionalFormatting>
  <conditionalFormatting sqref="U43">
    <cfRule type="cellIs" dxfId="30094" priority="343" operator="equal">
      <formula>"OFF"</formula>
    </cfRule>
    <cfRule type="cellIs" dxfId="30093" priority="344" operator="equal">
      <formula>"PTO"</formula>
    </cfRule>
  </conditionalFormatting>
  <conditionalFormatting sqref="U43">
    <cfRule type="cellIs" dxfId="30092" priority="341" operator="equal">
      <formula>"OFF"</formula>
    </cfRule>
    <cfRule type="cellIs" dxfId="30091" priority="342" operator="equal">
      <formula>"PTO"</formula>
    </cfRule>
  </conditionalFormatting>
  <conditionalFormatting sqref="U43">
    <cfRule type="cellIs" dxfId="30090" priority="339" operator="equal">
      <formula>"OFF"</formula>
    </cfRule>
    <cfRule type="cellIs" dxfId="30089" priority="340" operator="equal">
      <formula>"PTO"</formula>
    </cfRule>
  </conditionalFormatting>
  <conditionalFormatting sqref="U45">
    <cfRule type="cellIs" dxfId="30088" priority="337" operator="equal">
      <formula>"OFF"</formula>
    </cfRule>
    <cfRule type="cellIs" dxfId="30087" priority="338" operator="equal">
      <formula>"PTO"</formula>
    </cfRule>
  </conditionalFormatting>
  <conditionalFormatting sqref="U45">
    <cfRule type="cellIs" dxfId="30086" priority="335" operator="equal">
      <formula>"OFF"</formula>
    </cfRule>
    <cfRule type="cellIs" dxfId="30085" priority="336" operator="equal">
      <formula>"PTO"</formula>
    </cfRule>
  </conditionalFormatting>
  <conditionalFormatting sqref="U45">
    <cfRule type="cellIs" dxfId="30084" priority="333" operator="equal">
      <formula>"OFF"</formula>
    </cfRule>
    <cfRule type="cellIs" dxfId="30083" priority="334" operator="equal">
      <formula>"PTO"</formula>
    </cfRule>
  </conditionalFormatting>
  <conditionalFormatting sqref="U45">
    <cfRule type="cellIs" dxfId="30082" priority="331" operator="equal">
      <formula>"OFF"</formula>
    </cfRule>
    <cfRule type="cellIs" dxfId="30081" priority="332" operator="equal">
      <formula>"PTO"</formula>
    </cfRule>
  </conditionalFormatting>
  <conditionalFormatting sqref="U45">
    <cfRule type="cellIs" dxfId="30080" priority="329" operator="equal">
      <formula>"OFF"</formula>
    </cfRule>
    <cfRule type="cellIs" dxfId="30079" priority="330" operator="equal">
      <formula>"PTO"</formula>
    </cfRule>
  </conditionalFormatting>
  <conditionalFormatting sqref="U45">
    <cfRule type="cellIs" dxfId="30078" priority="327" operator="equal">
      <formula>"OFF"</formula>
    </cfRule>
    <cfRule type="cellIs" dxfId="30077" priority="328" operator="equal">
      <formula>"PTO"</formula>
    </cfRule>
  </conditionalFormatting>
  <conditionalFormatting sqref="U45">
    <cfRule type="cellIs" dxfId="30076" priority="325" operator="equal">
      <formula>"OFF"</formula>
    </cfRule>
    <cfRule type="cellIs" dxfId="30075" priority="326" operator="equal">
      <formula>"PTO"</formula>
    </cfRule>
  </conditionalFormatting>
  <conditionalFormatting sqref="U45">
    <cfRule type="cellIs" dxfId="30074" priority="323" operator="equal">
      <formula>"OFF"</formula>
    </cfRule>
    <cfRule type="cellIs" dxfId="30073" priority="324" operator="equal">
      <formula>"PTO"</formula>
    </cfRule>
  </conditionalFormatting>
  <conditionalFormatting sqref="U45">
    <cfRule type="cellIs" dxfId="30072" priority="321" operator="equal">
      <formula>"OFF"</formula>
    </cfRule>
    <cfRule type="cellIs" dxfId="30071" priority="322" operator="equal">
      <formula>"PTO"</formula>
    </cfRule>
  </conditionalFormatting>
  <conditionalFormatting sqref="U45">
    <cfRule type="cellIs" dxfId="30070" priority="319" operator="equal">
      <formula>"OFF"</formula>
    </cfRule>
    <cfRule type="cellIs" dxfId="30069" priority="320" operator="equal">
      <formula>"PTO"</formula>
    </cfRule>
  </conditionalFormatting>
  <conditionalFormatting sqref="U45">
    <cfRule type="cellIs" dxfId="30068" priority="317" operator="equal">
      <formula>"OFF"</formula>
    </cfRule>
    <cfRule type="cellIs" dxfId="30067" priority="318" operator="equal">
      <formula>"PTO"</formula>
    </cfRule>
  </conditionalFormatting>
  <conditionalFormatting sqref="U45">
    <cfRule type="cellIs" dxfId="30066" priority="315" operator="equal">
      <formula>"OFF"</formula>
    </cfRule>
    <cfRule type="cellIs" dxfId="30065" priority="316" operator="equal">
      <formula>"PTO"</formula>
    </cfRule>
  </conditionalFormatting>
  <conditionalFormatting sqref="U45">
    <cfRule type="cellIs" dxfId="30064" priority="313" operator="equal">
      <formula>"OFF"</formula>
    </cfRule>
    <cfRule type="cellIs" dxfId="30063" priority="314" operator="equal">
      <formula>"PTO"</formula>
    </cfRule>
  </conditionalFormatting>
  <conditionalFormatting sqref="U45">
    <cfRule type="cellIs" dxfId="30062" priority="311" operator="equal">
      <formula>"OFF"</formula>
    </cfRule>
    <cfRule type="cellIs" dxfId="30061" priority="312" operator="equal">
      <formula>"PTO"</formula>
    </cfRule>
  </conditionalFormatting>
  <conditionalFormatting sqref="U45">
    <cfRule type="cellIs" dxfId="30060" priority="309" operator="equal">
      <formula>"OFF"</formula>
    </cfRule>
    <cfRule type="cellIs" dxfId="30059" priority="310" operator="equal">
      <formula>"PTO"</formula>
    </cfRule>
  </conditionalFormatting>
  <conditionalFormatting sqref="U45">
    <cfRule type="cellIs" dxfId="30058" priority="307" operator="equal">
      <formula>"OFF"</formula>
    </cfRule>
    <cfRule type="cellIs" dxfId="30057" priority="308" operator="equal">
      <formula>"PTO"</formula>
    </cfRule>
  </conditionalFormatting>
  <conditionalFormatting sqref="U45">
    <cfRule type="cellIs" dxfId="30056" priority="305" operator="equal">
      <formula>"OFF"</formula>
    </cfRule>
    <cfRule type="cellIs" dxfId="30055" priority="306" operator="equal">
      <formula>"PTO"</formula>
    </cfRule>
  </conditionalFormatting>
  <conditionalFormatting sqref="U45">
    <cfRule type="cellIs" dxfId="30054" priority="303" operator="equal">
      <formula>"OFF"</formula>
    </cfRule>
    <cfRule type="cellIs" dxfId="30053" priority="304" operator="equal">
      <formula>"PTO"</formula>
    </cfRule>
  </conditionalFormatting>
  <conditionalFormatting sqref="U45">
    <cfRule type="cellIs" dxfId="30052" priority="301" operator="equal">
      <formula>"OFF"</formula>
    </cfRule>
    <cfRule type="cellIs" dxfId="30051" priority="302" operator="equal">
      <formula>"PTO"</formula>
    </cfRule>
  </conditionalFormatting>
  <conditionalFormatting sqref="U45">
    <cfRule type="cellIs" dxfId="30050" priority="299" operator="equal">
      <formula>"OFF"</formula>
    </cfRule>
    <cfRule type="cellIs" dxfId="30049" priority="300" operator="equal">
      <formula>"PTO"</formula>
    </cfRule>
  </conditionalFormatting>
  <conditionalFormatting sqref="U45">
    <cfRule type="cellIs" dxfId="30048" priority="297" operator="equal">
      <formula>"OFF"</formula>
    </cfRule>
    <cfRule type="cellIs" dxfId="30047" priority="298" operator="equal">
      <formula>"PTO"</formula>
    </cfRule>
  </conditionalFormatting>
  <conditionalFormatting sqref="U45">
    <cfRule type="cellIs" dxfId="30046" priority="295" operator="equal">
      <formula>"OFF"</formula>
    </cfRule>
    <cfRule type="cellIs" dxfId="30045" priority="296" operator="equal">
      <formula>"PTO"</formula>
    </cfRule>
  </conditionalFormatting>
  <conditionalFormatting sqref="U45">
    <cfRule type="cellIs" dxfId="30044" priority="293" operator="equal">
      <formula>"OFF"</formula>
    </cfRule>
    <cfRule type="cellIs" dxfId="30043" priority="294" operator="equal">
      <formula>"PTO"</formula>
    </cfRule>
  </conditionalFormatting>
  <conditionalFormatting sqref="U45">
    <cfRule type="cellIs" dxfId="30042" priority="291" operator="equal">
      <formula>"OFF"</formula>
    </cfRule>
    <cfRule type="cellIs" dxfId="30041" priority="292" operator="equal">
      <formula>"PTO"</formula>
    </cfRule>
  </conditionalFormatting>
  <conditionalFormatting sqref="U45">
    <cfRule type="cellIs" dxfId="30040" priority="289" operator="equal">
      <formula>"OFF"</formula>
    </cfRule>
    <cfRule type="cellIs" dxfId="30039" priority="290" operator="equal">
      <formula>"PTO"</formula>
    </cfRule>
  </conditionalFormatting>
  <conditionalFormatting sqref="U45">
    <cfRule type="cellIs" dxfId="30038" priority="287" operator="equal">
      <formula>"OFF"</formula>
    </cfRule>
    <cfRule type="cellIs" dxfId="30037" priority="288" operator="equal">
      <formula>"PTO"</formula>
    </cfRule>
  </conditionalFormatting>
  <conditionalFormatting sqref="U47">
    <cfRule type="cellIs" dxfId="30036" priority="285" operator="equal">
      <formula>"OFF"</formula>
    </cfRule>
    <cfRule type="cellIs" dxfId="30035" priority="286" operator="equal">
      <formula>"PTO"</formula>
    </cfRule>
  </conditionalFormatting>
  <conditionalFormatting sqref="U46">
    <cfRule type="cellIs" dxfId="30034" priority="283" operator="equal">
      <formula>"OFF"</formula>
    </cfRule>
    <cfRule type="cellIs" dxfId="30033" priority="284" operator="equal">
      <formula>"PTO"</formula>
    </cfRule>
  </conditionalFormatting>
  <conditionalFormatting sqref="U49">
    <cfRule type="cellIs" dxfId="30032" priority="281" operator="equal">
      <formula>"OFF"</formula>
    </cfRule>
    <cfRule type="cellIs" dxfId="30031" priority="282" operator="equal">
      <formula>"PTO"</formula>
    </cfRule>
  </conditionalFormatting>
  <conditionalFormatting sqref="U48">
    <cfRule type="cellIs" dxfId="30030" priority="279" operator="equal">
      <formula>"OFF"</formula>
    </cfRule>
    <cfRule type="cellIs" dxfId="30029" priority="280" operator="equal">
      <formula>"PTO"</formula>
    </cfRule>
  </conditionalFormatting>
  <conditionalFormatting sqref="U48">
    <cfRule type="cellIs" dxfId="30028" priority="277" operator="equal">
      <formula>"OFF"</formula>
    </cfRule>
    <cfRule type="cellIs" dxfId="30027" priority="278" operator="equal">
      <formula>"PTO"</formula>
    </cfRule>
  </conditionalFormatting>
  <conditionalFormatting sqref="U48">
    <cfRule type="cellIs" dxfId="30026" priority="275" operator="equal">
      <formula>"OFF"</formula>
    </cfRule>
    <cfRule type="cellIs" dxfId="30025" priority="276" operator="equal">
      <formula>"PTO"</formula>
    </cfRule>
  </conditionalFormatting>
  <conditionalFormatting sqref="U48">
    <cfRule type="cellIs" dxfId="30024" priority="273" operator="equal">
      <formula>"OFF"</formula>
    </cfRule>
    <cfRule type="cellIs" dxfId="30023" priority="274" operator="equal">
      <formula>"PTO"</formula>
    </cfRule>
  </conditionalFormatting>
  <conditionalFormatting sqref="U48">
    <cfRule type="cellIs" dxfId="30022" priority="271" operator="equal">
      <formula>"OFF"</formula>
    </cfRule>
    <cfRule type="cellIs" dxfId="30021" priority="272" operator="equal">
      <formula>"PTO"</formula>
    </cfRule>
  </conditionalFormatting>
  <conditionalFormatting sqref="U48">
    <cfRule type="cellIs" dxfId="30020" priority="269" operator="equal">
      <formula>"OFF"</formula>
    </cfRule>
    <cfRule type="cellIs" dxfId="30019" priority="270" operator="equal">
      <formula>"PTO"</formula>
    </cfRule>
  </conditionalFormatting>
  <conditionalFormatting sqref="U48">
    <cfRule type="cellIs" dxfId="30018" priority="267" operator="equal">
      <formula>"OFF"</formula>
    </cfRule>
    <cfRule type="cellIs" dxfId="30017" priority="268" operator="equal">
      <formula>"PTO"</formula>
    </cfRule>
  </conditionalFormatting>
  <conditionalFormatting sqref="U48">
    <cfRule type="cellIs" dxfId="30016" priority="265" operator="equal">
      <formula>"OFF"</formula>
    </cfRule>
    <cfRule type="cellIs" dxfId="30015" priority="266" operator="equal">
      <formula>"PTO"</formula>
    </cfRule>
  </conditionalFormatting>
  <conditionalFormatting sqref="U48">
    <cfRule type="cellIs" dxfId="30014" priority="263" operator="equal">
      <formula>"OFF"</formula>
    </cfRule>
    <cfRule type="cellIs" dxfId="30013" priority="264" operator="equal">
      <formula>"PTO"</formula>
    </cfRule>
  </conditionalFormatting>
  <conditionalFormatting sqref="U41">
    <cfRule type="cellIs" dxfId="30012" priority="261" operator="equal">
      <formula>"OFF"</formula>
    </cfRule>
    <cfRule type="cellIs" dxfId="30011" priority="262" operator="equal">
      <formula>"PTO"</formula>
    </cfRule>
  </conditionalFormatting>
  <conditionalFormatting sqref="U41">
    <cfRule type="cellIs" dxfId="30010" priority="259" operator="equal">
      <formula>"OFF"</formula>
    </cfRule>
    <cfRule type="cellIs" dxfId="30009" priority="260" operator="equal">
      <formula>"PTO"</formula>
    </cfRule>
  </conditionalFormatting>
  <conditionalFormatting sqref="U41">
    <cfRule type="cellIs" dxfId="30008" priority="257" operator="equal">
      <formula>"OFF"</formula>
    </cfRule>
    <cfRule type="cellIs" dxfId="30007" priority="258" operator="equal">
      <formula>"PTO"</formula>
    </cfRule>
  </conditionalFormatting>
  <conditionalFormatting sqref="U41">
    <cfRule type="cellIs" dxfId="30006" priority="255" operator="equal">
      <formula>"OFF"</formula>
    </cfRule>
    <cfRule type="cellIs" dxfId="30005" priority="256" operator="equal">
      <formula>"PTO"</formula>
    </cfRule>
  </conditionalFormatting>
  <conditionalFormatting sqref="U41">
    <cfRule type="cellIs" dxfId="30004" priority="253" operator="equal">
      <formula>"OFF"</formula>
    </cfRule>
    <cfRule type="cellIs" dxfId="30003" priority="254" operator="equal">
      <formula>"PTO"</formula>
    </cfRule>
  </conditionalFormatting>
  <conditionalFormatting sqref="U41">
    <cfRule type="cellIs" dxfId="30002" priority="251" operator="equal">
      <formula>"OFF"</formula>
    </cfRule>
    <cfRule type="cellIs" dxfId="30001" priority="252" operator="equal">
      <formula>"PTO"</formula>
    </cfRule>
  </conditionalFormatting>
  <conditionalFormatting sqref="U41">
    <cfRule type="cellIs" dxfId="30000" priority="249" operator="equal">
      <formula>"OFF"</formula>
    </cfRule>
    <cfRule type="cellIs" dxfId="29999" priority="250" operator="equal">
      <formula>"PTO"</formula>
    </cfRule>
  </conditionalFormatting>
  <conditionalFormatting sqref="U41">
    <cfRule type="cellIs" dxfId="29998" priority="247" operator="equal">
      <formula>"OFF"</formula>
    </cfRule>
    <cfRule type="cellIs" dxfId="29997" priority="248" operator="equal">
      <formula>"PTO"</formula>
    </cfRule>
  </conditionalFormatting>
  <conditionalFormatting sqref="U41">
    <cfRule type="cellIs" dxfId="29996" priority="245" operator="equal">
      <formula>"OFF"</formula>
    </cfRule>
    <cfRule type="cellIs" dxfId="29995" priority="246" operator="equal">
      <formula>"PTO"</formula>
    </cfRule>
  </conditionalFormatting>
  <conditionalFormatting sqref="U41">
    <cfRule type="cellIs" dxfId="29994" priority="243" operator="equal">
      <formula>"OFF"</formula>
    </cfRule>
    <cfRule type="cellIs" dxfId="29993" priority="244" operator="equal">
      <formula>"PTO"</formula>
    </cfRule>
  </conditionalFormatting>
  <conditionalFormatting sqref="U41">
    <cfRule type="cellIs" dxfId="29992" priority="241" operator="equal">
      <formula>"OFF"</formula>
    </cfRule>
    <cfRule type="cellIs" dxfId="29991" priority="242" operator="equal">
      <formula>"PTO"</formula>
    </cfRule>
  </conditionalFormatting>
  <conditionalFormatting sqref="U41">
    <cfRule type="cellIs" dxfId="29990" priority="239" operator="equal">
      <formula>"OFF"</formula>
    </cfRule>
    <cfRule type="cellIs" dxfId="29989" priority="240" operator="equal">
      <formula>"PTO"</formula>
    </cfRule>
  </conditionalFormatting>
  <conditionalFormatting sqref="U43">
    <cfRule type="cellIs" dxfId="29988" priority="237" operator="equal">
      <formula>"OFF"</formula>
    </cfRule>
    <cfRule type="cellIs" dxfId="29987" priority="238" operator="equal">
      <formula>"PTO"</formula>
    </cfRule>
  </conditionalFormatting>
  <conditionalFormatting sqref="U43">
    <cfRule type="cellIs" dxfId="29986" priority="235" operator="equal">
      <formula>"OFF"</formula>
    </cfRule>
    <cfRule type="cellIs" dxfId="29985" priority="236" operator="equal">
      <formula>"PTO"</formula>
    </cfRule>
  </conditionalFormatting>
  <conditionalFormatting sqref="U43">
    <cfRule type="cellIs" dxfId="29984" priority="233" operator="equal">
      <formula>"OFF"</formula>
    </cfRule>
    <cfRule type="cellIs" dxfId="29983" priority="234" operator="equal">
      <formula>"PTO"</formula>
    </cfRule>
  </conditionalFormatting>
  <conditionalFormatting sqref="U43">
    <cfRule type="cellIs" dxfId="29982" priority="231" operator="equal">
      <formula>"OFF"</formula>
    </cfRule>
    <cfRule type="cellIs" dxfId="29981" priority="232" operator="equal">
      <formula>"PTO"</formula>
    </cfRule>
  </conditionalFormatting>
  <conditionalFormatting sqref="U43">
    <cfRule type="cellIs" dxfId="29980" priority="229" operator="equal">
      <formula>"OFF"</formula>
    </cfRule>
    <cfRule type="cellIs" dxfId="29979" priority="230" operator="equal">
      <formula>"PTO"</formula>
    </cfRule>
  </conditionalFormatting>
  <conditionalFormatting sqref="U41">
    <cfRule type="cellIs" dxfId="29978" priority="227" operator="equal">
      <formula>"OFF"</formula>
    </cfRule>
    <cfRule type="cellIs" dxfId="29977" priority="228" operator="equal">
      <formula>"PTO"</formula>
    </cfRule>
  </conditionalFormatting>
  <conditionalFormatting sqref="U43">
    <cfRule type="cellIs" dxfId="29976" priority="225" operator="equal">
      <formula>"OFF"</formula>
    </cfRule>
    <cfRule type="cellIs" dxfId="29975" priority="226" operator="equal">
      <formula>"PTO"</formula>
    </cfRule>
  </conditionalFormatting>
  <conditionalFormatting sqref="U43">
    <cfRule type="cellIs" dxfId="29974" priority="223" operator="equal">
      <formula>"OFF"</formula>
    </cfRule>
    <cfRule type="cellIs" dxfId="29973" priority="224" operator="equal">
      <formula>"PTO"</formula>
    </cfRule>
  </conditionalFormatting>
  <conditionalFormatting sqref="U43">
    <cfRule type="cellIs" dxfId="29972" priority="221" operator="equal">
      <formula>"OFF"</formula>
    </cfRule>
    <cfRule type="cellIs" dxfId="29971" priority="222" operator="equal">
      <formula>"PTO"</formula>
    </cfRule>
  </conditionalFormatting>
  <conditionalFormatting sqref="U41">
    <cfRule type="cellIs" dxfId="29970" priority="219" operator="equal">
      <formula>"OFF"</formula>
    </cfRule>
    <cfRule type="cellIs" dxfId="29969" priority="220" operator="equal">
      <formula>"PTO"</formula>
    </cfRule>
  </conditionalFormatting>
  <conditionalFormatting sqref="U41">
    <cfRule type="cellIs" dxfId="29968" priority="217" operator="equal">
      <formula>"OFF"</formula>
    </cfRule>
    <cfRule type="cellIs" dxfId="29967" priority="218" operator="equal">
      <formula>"PTO"</formula>
    </cfRule>
  </conditionalFormatting>
  <conditionalFormatting sqref="U41">
    <cfRule type="cellIs" dxfId="29966" priority="215" operator="equal">
      <formula>"OFF"</formula>
    </cfRule>
    <cfRule type="cellIs" dxfId="29965" priority="216" operator="equal">
      <formula>"PTO"</formula>
    </cfRule>
  </conditionalFormatting>
  <conditionalFormatting sqref="U41">
    <cfRule type="cellIs" dxfId="29964" priority="213" operator="equal">
      <formula>"OFF"</formula>
    </cfRule>
    <cfRule type="cellIs" dxfId="29963" priority="214" operator="equal">
      <formula>"PTO"</formula>
    </cfRule>
  </conditionalFormatting>
  <conditionalFormatting sqref="U43">
    <cfRule type="cellIs" dxfId="29962" priority="211" operator="equal">
      <formula>"OFF"</formula>
    </cfRule>
    <cfRule type="cellIs" dxfId="29961" priority="212" operator="equal">
      <formula>"PTO"</formula>
    </cfRule>
  </conditionalFormatting>
  <conditionalFormatting sqref="U43">
    <cfRule type="cellIs" dxfId="29960" priority="209" operator="equal">
      <formula>"OFF"</formula>
    </cfRule>
    <cfRule type="cellIs" dxfId="29959" priority="210" operator="equal">
      <formula>"PTO"</formula>
    </cfRule>
  </conditionalFormatting>
  <conditionalFormatting sqref="U43">
    <cfRule type="cellIs" dxfId="29958" priority="207" operator="equal">
      <formula>"OFF"</formula>
    </cfRule>
    <cfRule type="cellIs" dxfId="29957" priority="208" operator="equal">
      <formula>"PTO"</formula>
    </cfRule>
  </conditionalFormatting>
  <conditionalFormatting sqref="U46">
    <cfRule type="cellIs" dxfId="29956" priority="205" operator="equal">
      <formula>"OFF"</formula>
    </cfRule>
    <cfRule type="cellIs" dxfId="29955" priority="206" operator="equal">
      <formula>"PTO"</formula>
    </cfRule>
  </conditionalFormatting>
  <conditionalFormatting sqref="U46">
    <cfRule type="cellIs" dxfId="29954" priority="203" operator="equal">
      <formula>"OFF"</formula>
    </cfRule>
    <cfRule type="cellIs" dxfId="29953" priority="204" operator="equal">
      <formula>"PTO"</formula>
    </cfRule>
  </conditionalFormatting>
  <conditionalFormatting sqref="U45">
    <cfRule type="cellIs" dxfId="29952" priority="201" operator="equal">
      <formula>"OFF"</formula>
    </cfRule>
    <cfRule type="cellIs" dxfId="29951" priority="202" operator="equal">
      <formula>"PTO"</formula>
    </cfRule>
  </conditionalFormatting>
  <conditionalFormatting sqref="U45">
    <cfRule type="cellIs" dxfId="29950" priority="199" operator="equal">
      <formula>"OFF"</formula>
    </cfRule>
    <cfRule type="cellIs" dxfId="29949" priority="200" operator="equal">
      <formula>"PTO"</formula>
    </cfRule>
  </conditionalFormatting>
  <conditionalFormatting sqref="U45">
    <cfRule type="cellIs" dxfId="29948" priority="197" operator="equal">
      <formula>"OFF"</formula>
    </cfRule>
    <cfRule type="cellIs" dxfId="29947" priority="198" operator="equal">
      <formula>"PTO"</formula>
    </cfRule>
  </conditionalFormatting>
  <conditionalFormatting sqref="U45">
    <cfRule type="cellIs" dxfId="29946" priority="195" operator="equal">
      <formula>"OFF"</formula>
    </cfRule>
    <cfRule type="cellIs" dxfId="29945" priority="196" operator="equal">
      <formula>"PTO"</formula>
    </cfRule>
  </conditionalFormatting>
  <conditionalFormatting sqref="U45">
    <cfRule type="cellIs" dxfId="29944" priority="193" operator="equal">
      <formula>"OFF"</formula>
    </cfRule>
    <cfRule type="cellIs" dxfId="29943" priority="194" operator="equal">
      <formula>"PTO"</formula>
    </cfRule>
  </conditionalFormatting>
  <conditionalFormatting sqref="U45">
    <cfRule type="cellIs" dxfId="29942" priority="191" operator="equal">
      <formula>"OFF"</formula>
    </cfRule>
    <cfRule type="cellIs" dxfId="29941" priority="192" operator="equal">
      <formula>"PTO"</formula>
    </cfRule>
  </conditionalFormatting>
  <conditionalFormatting sqref="U45">
    <cfRule type="cellIs" dxfId="29940" priority="189" operator="equal">
      <formula>"OFF"</formula>
    </cfRule>
    <cfRule type="cellIs" dxfId="29939" priority="190" operator="equal">
      <formula>"PTO"</formula>
    </cfRule>
  </conditionalFormatting>
  <conditionalFormatting sqref="U45">
    <cfRule type="cellIs" dxfId="29938" priority="187" operator="equal">
      <formula>"OFF"</formula>
    </cfRule>
    <cfRule type="cellIs" dxfId="29937" priority="188" operator="equal">
      <formula>"PTO"</formula>
    </cfRule>
  </conditionalFormatting>
  <conditionalFormatting sqref="U45">
    <cfRule type="cellIs" dxfId="29936" priority="185" operator="equal">
      <formula>"OFF"</formula>
    </cfRule>
    <cfRule type="cellIs" dxfId="29935" priority="186" operator="equal">
      <formula>"PTO"</formula>
    </cfRule>
  </conditionalFormatting>
  <conditionalFormatting sqref="U45">
    <cfRule type="cellIs" dxfId="29934" priority="183" operator="equal">
      <formula>"OFF"</formula>
    </cfRule>
    <cfRule type="cellIs" dxfId="29933" priority="184" operator="equal">
      <formula>"PTO"</formula>
    </cfRule>
  </conditionalFormatting>
  <conditionalFormatting sqref="U45">
    <cfRule type="cellIs" dxfId="29932" priority="181" operator="equal">
      <formula>"OFF"</formula>
    </cfRule>
    <cfRule type="cellIs" dxfId="29931" priority="182" operator="equal">
      <formula>"PTO"</formula>
    </cfRule>
  </conditionalFormatting>
  <conditionalFormatting sqref="U45">
    <cfRule type="cellIs" dxfId="29930" priority="179" operator="equal">
      <formula>"OFF"</formula>
    </cfRule>
    <cfRule type="cellIs" dxfId="29929" priority="180" operator="equal">
      <formula>"PTO"</formula>
    </cfRule>
  </conditionalFormatting>
  <conditionalFormatting sqref="U45">
    <cfRule type="cellIs" dxfId="29928" priority="177" operator="equal">
      <formula>"OFF"</formula>
    </cfRule>
    <cfRule type="cellIs" dxfId="29927" priority="178" operator="equal">
      <formula>"PTO"</formula>
    </cfRule>
  </conditionalFormatting>
  <conditionalFormatting sqref="U45">
    <cfRule type="cellIs" dxfId="29926" priority="175" operator="equal">
      <formula>"OFF"</formula>
    </cfRule>
    <cfRule type="cellIs" dxfId="29925" priority="176" operator="equal">
      <formula>"PTO"</formula>
    </cfRule>
  </conditionalFormatting>
  <conditionalFormatting sqref="U45">
    <cfRule type="cellIs" dxfId="29924" priority="173" operator="equal">
      <formula>"OFF"</formula>
    </cfRule>
    <cfRule type="cellIs" dxfId="29923" priority="174" operator="equal">
      <formula>"PTO"</formula>
    </cfRule>
  </conditionalFormatting>
  <conditionalFormatting sqref="U45">
    <cfRule type="cellIs" dxfId="29922" priority="171" operator="equal">
      <formula>"OFF"</formula>
    </cfRule>
    <cfRule type="cellIs" dxfId="29921" priority="172" operator="equal">
      <formula>"PTO"</formula>
    </cfRule>
  </conditionalFormatting>
  <conditionalFormatting sqref="U45">
    <cfRule type="cellIs" dxfId="29920" priority="169" operator="equal">
      <formula>"OFF"</formula>
    </cfRule>
    <cfRule type="cellIs" dxfId="29919" priority="170" operator="equal">
      <formula>"PTO"</formula>
    </cfRule>
  </conditionalFormatting>
  <conditionalFormatting sqref="U45">
    <cfRule type="cellIs" dxfId="29918" priority="167" operator="equal">
      <formula>"OFF"</formula>
    </cfRule>
    <cfRule type="cellIs" dxfId="29917" priority="168" operator="equal">
      <formula>"PTO"</formula>
    </cfRule>
  </conditionalFormatting>
  <conditionalFormatting sqref="U45">
    <cfRule type="cellIs" dxfId="29916" priority="165" operator="equal">
      <formula>"OFF"</formula>
    </cfRule>
    <cfRule type="cellIs" dxfId="29915" priority="166" operator="equal">
      <formula>"PTO"</formula>
    </cfRule>
  </conditionalFormatting>
  <conditionalFormatting sqref="U45">
    <cfRule type="cellIs" dxfId="29914" priority="163" operator="equal">
      <formula>"OFF"</formula>
    </cfRule>
    <cfRule type="cellIs" dxfId="29913" priority="164" operator="equal">
      <formula>"PTO"</formula>
    </cfRule>
  </conditionalFormatting>
  <conditionalFormatting sqref="U45">
    <cfRule type="cellIs" dxfId="29912" priority="161" operator="equal">
      <formula>"OFF"</formula>
    </cfRule>
    <cfRule type="cellIs" dxfId="29911" priority="162" operator="equal">
      <formula>"PTO"</formula>
    </cfRule>
  </conditionalFormatting>
  <conditionalFormatting sqref="U45">
    <cfRule type="cellIs" dxfId="29910" priority="159" operator="equal">
      <formula>"OFF"</formula>
    </cfRule>
    <cfRule type="cellIs" dxfId="29909" priority="160" operator="equal">
      <formula>"PTO"</formula>
    </cfRule>
  </conditionalFormatting>
  <conditionalFormatting sqref="U45">
    <cfRule type="cellIs" dxfId="29908" priority="157" operator="equal">
      <formula>"OFF"</formula>
    </cfRule>
    <cfRule type="cellIs" dxfId="29907" priority="158" operator="equal">
      <formula>"PTO"</formula>
    </cfRule>
  </conditionalFormatting>
  <conditionalFormatting sqref="U45">
    <cfRule type="cellIs" dxfId="29906" priority="155" operator="equal">
      <formula>"OFF"</formula>
    </cfRule>
    <cfRule type="cellIs" dxfId="29905" priority="156" operator="equal">
      <formula>"PTO"</formula>
    </cfRule>
  </conditionalFormatting>
  <conditionalFormatting sqref="U45">
    <cfRule type="cellIs" dxfId="29904" priority="153" operator="equal">
      <formula>"OFF"</formula>
    </cfRule>
    <cfRule type="cellIs" dxfId="29903" priority="154" operator="equal">
      <formula>"PTO"</formula>
    </cfRule>
  </conditionalFormatting>
  <conditionalFormatting sqref="U45">
    <cfRule type="cellIs" dxfId="29902" priority="151" operator="equal">
      <formula>"OFF"</formula>
    </cfRule>
    <cfRule type="cellIs" dxfId="29901" priority="152" operator="equal">
      <formula>"PTO"</formula>
    </cfRule>
  </conditionalFormatting>
  <conditionalFormatting sqref="U46">
    <cfRule type="cellIs" dxfId="29900" priority="149" operator="equal">
      <formula>"OFF"</formula>
    </cfRule>
    <cfRule type="cellIs" dxfId="29899" priority="150" operator="equal">
      <formula>"PTO"</formula>
    </cfRule>
  </conditionalFormatting>
  <conditionalFormatting sqref="U46">
    <cfRule type="cellIs" dxfId="29898" priority="147" operator="equal">
      <formula>"OFF"</formula>
    </cfRule>
    <cfRule type="cellIs" dxfId="29897" priority="148" operator="equal">
      <formula>"PTO"</formula>
    </cfRule>
  </conditionalFormatting>
  <conditionalFormatting sqref="U46">
    <cfRule type="cellIs" dxfId="29896" priority="145" operator="equal">
      <formula>"OFF"</formula>
    </cfRule>
    <cfRule type="cellIs" dxfId="29895" priority="146" operator="equal">
      <formula>"PTO"</formula>
    </cfRule>
  </conditionalFormatting>
  <conditionalFormatting sqref="U46">
    <cfRule type="cellIs" dxfId="29894" priority="143" operator="equal">
      <formula>"OFF"</formula>
    </cfRule>
    <cfRule type="cellIs" dxfId="29893" priority="144" operator="equal">
      <formula>"PTO"</formula>
    </cfRule>
  </conditionalFormatting>
  <conditionalFormatting sqref="U46">
    <cfRule type="cellIs" dxfId="29892" priority="141" operator="equal">
      <formula>"OFF"</formula>
    </cfRule>
    <cfRule type="cellIs" dxfId="29891" priority="142" operator="equal">
      <formula>"PTO"</formula>
    </cfRule>
  </conditionalFormatting>
  <conditionalFormatting sqref="U46">
    <cfRule type="cellIs" dxfId="29890" priority="139" operator="equal">
      <formula>"OFF"</formula>
    </cfRule>
    <cfRule type="cellIs" dxfId="29889" priority="140" operator="equal">
      <formula>"PTO"</formula>
    </cfRule>
  </conditionalFormatting>
  <conditionalFormatting sqref="U46">
    <cfRule type="cellIs" dxfId="29888" priority="137" operator="equal">
      <formula>"OFF"</formula>
    </cfRule>
    <cfRule type="cellIs" dxfId="29887" priority="138" operator="equal">
      <formula>"PTO"</formula>
    </cfRule>
  </conditionalFormatting>
  <conditionalFormatting sqref="U46">
    <cfRule type="cellIs" dxfId="29886" priority="135" operator="equal">
      <formula>"OFF"</formula>
    </cfRule>
    <cfRule type="cellIs" dxfId="29885" priority="136" operator="equal">
      <formula>"PTO"</formula>
    </cfRule>
  </conditionalFormatting>
  <conditionalFormatting sqref="U46">
    <cfRule type="cellIs" dxfId="29884" priority="133" operator="equal">
      <formula>"OFF"</formula>
    </cfRule>
    <cfRule type="cellIs" dxfId="29883" priority="134" operator="equal">
      <formula>"PTO"</formula>
    </cfRule>
  </conditionalFormatting>
  <conditionalFormatting sqref="U46">
    <cfRule type="cellIs" dxfId="29882" priority="131" operator="equal">
      <formula>"OFF"</formula>
    </cfRule>
    <cfRule type="cellIs" dxfId="29881" priority="132" operator="equal">
      <formula>"PTO"</formula>
    </cfRule>
  </conditionalFormatting>
  <conditionalFormatting sqref="U46">
    <cfRule type="cellIs" dxfId="29880" priority="129" operator="equal">
      <formula>"OFF"</formula>
    </cfRule>
    <cfRule type="cellIs" dxfId="29879" priority="130" operator="equal">
      <formula>"PTO"</formula>
    </cfRule>
  </conditionalFormatting>
  <conditionalFormatting sqref="U46">
    <cfRule type="cellIs" dxfId="29878" priority="127" operator="equal">
      <formula>"OFF"</formula>
    </cfRule>
    <cfRule type="cellIs" dxfId="29877" priority="128" operator="equal">
      <formula>"PTO"</formula>
    </cfRule>
  </conditionalFormatting>
  <conditionalFormatting sqref="U46">
    <cfRule type="cellIs" dxfId="29876" priority="125" operator="equal">
      <formula>"OFF"</formula>
    </cfRule>
    <cfRule type="cellIs" dxfId="29875" priority="126" operator="equal">
      <formula>"PTO"</formula>
    </cfRule>
  </conditionalFormatting>
  <conditionalFormatting sqref="U46">
    <cfRule type="cellIs" dxfId="29874" priority="123" operator="equal">
      <formula>"OFF"</formula>
    </cfRule>
    <cfRule type="cellIs" dxfId="29873" priority="124" operator="equal">
      <formula>"PTO"</formula>
    </cfRule>
  </conditionalFormatting>
  <conditionalFormatting sqref="U46">
    <cfRule type="cellIs" dxfId="29872" priority="121" operator="equal">
      <formula>"OFF"</formula>
    </cfRule>
    <cfRule type="cellIs" dxfId="29871" priority="122" operator="equal">
      <formula>"PTO"</formula>
    </cfRule>
  </conditionalFormatting>
  <conditionalFormatting sqref="U46">
    <cfRule type="cellIs" dxfId="29870" priority="119" operator="equal">
      <formula>"OFF"</formula>
    </cfRule>
    <cfRule type="cellIs" dxfId="29869" priority="120" operator="equal">
      <formula>"PTO"</formula>
    </cfRule>
  </conditionalFormatting>
  <conditionalFormatting sqref="U46">
    <cfRule type="cellIs" dxfId="29868" priority="117" operator="equal">
      <formula>"OFF"</formula>
    </cfRule>
    <cfRule type="cellIs" dxfId="29867" priority="118" operator="equal">
      <formula>"PTO"</formula>
    </cfRule>
  </conditionalFormatting>
  <conditionalFormatting sqref="U46">
    <cfRule type="cellIs" dxfId="29866" priority="115" operator="equal">
      <formula>"OFF"</formula>
    </cfRule>
    <cfRule type="cellIs" dxfId="29865" priority="116" operator="equal">
      <formula>"PTO"</formula>
    </cfRule>
  </conditionalFormatting>
  <conditionalFormatting sqref="U46">
    <cfRule type="cellIs" dxfId="29864" priority="113" operator="equal">
      <formula>"OFF"</formula>
    </cfRule>
    <cfRule type="cellIs" dxfId="29863" priority="114" operator="equal">
      <formula>"PTO"</formula>
    </cfRule>
  </conditionalFormatting>
  <conditionalFormatting sqref="U46">
    <cfRule type="cellIs" dxfId="29862" priority="111" operator="equal">
      <formula>"OFF"</formula>
    </cfRule>
    <cfRule type="cellIs" dxfId="29861" priority="112" operator="equal">
      <formula>"PTO"</formula>
    </cfRule>
  </conditionalFormatting>
  <conditionalFormatting sqref="U46">
    <cfRule type="cellIs" dxfId="29860" priority="109" operator="equal">
      <formula>"OFF"</formula>
    </cfRule>
    <cfRule type="cellIs" dxfId="29859" priority="110" operator="equal">
      <formula>"PTO"</formula>
    </cfRule>
  </conditionalFormatting>
  <conditionalFormatting sqref="U46">
    <cfRule type="cellIs" dxfId="29858" priority="107" operator="equal">
      <formula>"OFF"</formula>
    </cfRule>
    <cfRule type="cellIs" dxfId="29857" priority="108" operator="equal">
      <formula>"PTO"</formula>
    </cfRule>
  </conditionalFormatting>
  <conditionalFormatting sqref="U46">
    <cfRule type="cellIs" dxfId="29856" priority="105" operator="equal">
      <formula>"OFF"</formula>
    </cfRule>
    <cfRule type="cellIs" dxfId="29855" priority="106" operator="equal">
      <formula>"PTO"</formula>
    </cfRule>
  </conditionalFormatting>
  <conditionalFormatting sqref="U46">
    <cfRule type="cellIs" dxfId="29854" priority="103" operator="equal">
      <formula>"OFF"</formula>
    </cfRule>
    <cfRule type="cellIs" dxfId="29853" priority="104" operator="equal">
      <formula>"PTO"</formula>
    </cfRule>
  </conditionalFormatting>
  <conditionalFormatting sqref="U46">
    <cfRule type="cellIs" dxfId="29852" priority="101" operator="equal">
      <formula>"OFF"</formula>
    </cfRule>
    <cfRule type="cellIs" dxfId="29851" priority="102" operator="equal">
      <formula>"PTO"</formula>
    </cfRule>
  </conditionalFormatting>
  <conditionalFormatting sqref="U46">
    <cfRule type="cellIs" dxfId="29850" priority="99" operator="equal">
      <formula>"OFF"</formula>
    </cfRule>
    <cfRule type="cellIs" dxfId="29849" priority="100" operator="equal">
      <formula>"PTO"</formula>
    </cfRule>
  </conditionalFormatting>
  <conditionalFormatting sqref="U45">
    <cfRule type="cellIs" dxfId="29848" priority="97" operator="equal">
      <formula>"OFF"</formula>
    </cfRule>
    <cfRule type="cellIs" dxfId="29847" priority="98" operator="equal">
      <formula>"PTO"</formula>
    </cfRule>
  </conditionalFormatting>
  <conditionalFormatting sqref="U45">
    <cfRule type="cellIs" dxfId="29846" priority="95" operator="equal">
      <formula>"OFF"</formula>
    </cfRule>
    <cfRule type="cellIs" dxfId="29845" priority="96" operator="equal">
      <formula>"PTO"</formula>
    </cfRule>
  </conditionalFormatting>
  <conditionalFormatting sqref="U46">
    <cfRule type="cellIs" dxfId="29844" priority="93" operator="equal">
      <formula>"OFF"</formula>
    </cfRule>
    <cfRule type="cellIs" dxfId="29843" priority="94" operator="equal">
      <formula>"PTO"</formula>
    </cfRule>
  </conditionalFormatting>
  <conditionalFormatting sqref="U45">
    <cfRule type="cellIs" dxfId="29842" priority="91" operator="equal">
      <formula>"OFF"</formula>
    </cfRule>
    <cfRule type="cellIs" dxfId="29841" priority="92" operator="equal">
      <formula>"PTO"</formula>
    </cfRule>
  </conditionalFormatting>
  <conditionalFormatting sqref="U47">
    <cfRule type="cellIs" dxfId="29840" priority="89" operator="equal">
      <formula>"OFF"</formula>
    </cfRule>
    <cfRule type="cellIs" dxfId="29839" priority="90" operator="equal">
      <formula>"PTO"</formula>
    </cfRule>
  </conditionalFormatting>
  <conditionalFormatting sqref="U47">
    <cfRule type="cellIs" dxfId="29838" priority="87" operator="equal">
      <formula>"OFF"</formula>
    </cfRule>
    <cfRule type="cellIs" dxfId="29837" priority="88" operator="equal">
      <formula>"PTO"</formula>
    </cfRule>
  </conditionalFormatting>
  <conditionalFormatting sqref="U47">
    <cfRule type="cellIs" dxfId="29836" priority="85" operator="equal">
      <formula>"OFF"</formula>
    </cfRule>
    <cfRule type="cellIs" dxfId="29835" priority="86" operator="equal">
      <formula>"PTO"</formula>
    </cfRule>
  </conditionalFormatting>
  <conditionalFormatting sqref="U47">
    <cfRule type="cellIs" dxfId="29834" priority="83" operator="equal">
      <formula>"OFF"</formula>
    </cfRule>
    <cfRule type="cellIs" dxfId="29833" priority="84" operator="equal">
      <formula>"PTO"</formula>
    </cfRule>
  </conditionalFormatting>
  <conditionalFormatting sqref="U47">
    <cfRule type="cellIs" dxfId="29832" priority="81" operator="equal">
      <formula>"OFF"</formula>
    </cfRule>
    <cfRule type="cellIs" dxfId="29831" priority="82" operator="equal">
      <formula>"PTO"</formula>
    </cfRule>
  </conditionalFormatting>
  <conditionalFormatting sqref="U47">
    <cfRule type="cellIs" dxfId="29830" priority="79" operator="equal">
      <formula>"OFF"</formula>
    </cfRule>
    <cfRule type="cellIs" dxfId="29829" priority="80" operator="equal">
      <formula>"PTO"</formula>
    </cfRule>
  </conditionalFormatting>
  <conditionalFormatting sqref="U47">
    <cfRule type="cellIs" dxfId="29828" priority="77" operator="equal">
      <formula>"OFF"</formula>
    </cfRule>
    <cfRule type="cellIs" dxfId="29827" priority="78" operator="equal">
      <formula>"PTO"</formula>
    </cfRule>
  </conditionalFormatting>
  <conditionalFormatting sqref="U47">
    <cfRule type="cellIs" dxfId="29826" priority="75" operator="equal">
      <formula>"OFF"</formula>
    </cfRule>
    <cfRule type="cellIs" dxfId="29825" priority="76" operator="equal">
      <formula>"PTO"</formula>
    </cfRule>
  </conditionalFormatting>
  <conditionalFormatting sqref="U47">
    <cfRule type="cellIs" dxfId="29824" priority="73" operator="equal">
      <formula>"OFF"</formula>
    </cfRule>
    <cfRule type="cellIs" dxfId="29823" priority="74" operator="equal">
      <formula>"PTO"</formula>
    </cfRule>
  </conditionalFormatting>
  <conditionalFormatting sqref="U47">
    <cfRule type="cellIs" dxfId="29822" priority="71" operator="equal">
      <formula>"OFF"</formula>
    </cfRule>
    <cfRule type="cellIs" dxfId="29821" priority="72" operator="equal">
      <formula>"PTO"</formula>
    </cfRule>
  </conditionalFormatting>
  <conditionalFormatting sqref="U47">
    <cfRule type="cellIs" dxfId="29820" priority="69" operator="equal">
      <formula>"OFF"</formula>
    </cfRule>
    <cfRule type="cellIs" dxfId="29819" priority="70" operator="equal">
      <formula>"PTO"</formula>
    </cfRule>
  </conditionalFormatting>
  <conditionalFormatting sqref="U47">
    <cfRule type="cellIs" dxfId="29818" priority="67" operator="equal">
      <formula>"OFF"</formula>
    </cfRule>
    <cfRule type="cellIs" dxfId="29817" priority="68" operator="equal">
      <formula>"PTO"</formula>
    </cfRule>
  </conditionalFormatting>
  <conditionalFormatting sqref="U47">
    <cfRule type="cellIs" dxfId="29816" priority="65" operator="equal">
      <formula>"OFF"</formula>
    </cfRule>
    <cfRule type="cellIs" dxfId="29815" priority="66" operator="equal">
      <formula>"PTO"</formula>
    </cfRule>
  </conditionalFormatting>
  <conditionalFormatting sqref="U47">
    <cfRule type="cellIs" dxfId="29814" priority="63" operator="equal">
      <formula>"OFF"</formula>
    </cfRule>
    <cfRule type="cellIs" dxfId="29813" priority="64" operator="equal">
      <formula>"PTO"</formula>
    </cfRule>
  </conditionalFormatting>
  <conditionalFormatting sqref="U47">
    <cfRule type="cellIs" dxfId="29812" priority="61" operator="equal">
      <formula>"OFF"</formula>
    </cfRule>
    <cfRule type="cellIs" dxfId="29811" priority="62" operator="equal">
      <formula>"PTO"</formula>
    </cfRule>
  </conditionalFormatting>
  <conditionalFormatting sqref="U47">
    <cfRule type="cellIs" dxfId="29810" priority="59" operator="equal">
      <formula>"OFF"</formula>
    </cfRule>
    <cfRule type="cellIs" dxfId="29809" priority="60" operator="equal">
      <formula>"PTO"</formula>
    </cfRule>
  </conditionalFormatting>
  <conditionalFormatting sqref="U47">
    <cfRule type="cellIs" dxfId="29808" priority="57" operator="equal">
      <formula>"OFF"</formula>
    </cfRule>
    <cfRule type="cellIs" dxfId="29807" priority="58" operator="equal">
      <formula>"PTO"</formula>
    </cfRule>
  </conditionalFormatting>
  <conditionalFormatting sqref="U47">
    <cfRule type="cellIs" dxfId="29806" priority="55" operator="equal">
      <formula>"OFF"</formula>
    </cfRule>
    <cfRule type="cellIs" dxfId="29805" priority="56" operator="equal">
      <formula>"PTO"</formula>
    </cfRule>
  </conditionalFormatting>
  <conditionalFormatting sqref="U47">
    <cfRule type="cellIs" dxfId="29804" priority="53" operator="equal">
      <formula>"OFF"</formula>
    </cfRule>
    <cfRule type="cellIs" dxfId="29803" priority="54" operator="equal">
      <formula>"PTO"</formula>
    </cfRule>
  </conditionalFormatting>
  <conditionalFormatting sqref="U47">
    <cfRule type="cellIs" dxfId="29802" priority="51" operator="equal">
      <formula>"OFF"</formula>
    </cfRule>
    <cfRule type="cellIs" dxfId="29801" priority="52" operator="equal">
      <formula>"PTO"</formula>
    </cfRule>
  </conditionalFormatting>
  <conditionalFormatting sqref="U47">
    <cfRule type="cellIs" dxfId="29800" priority="49" operator="equal">
      <formula>"OFF"</formula>
    </cfRule>
    <cfRule type="cellIs" dxfId="29799" priority="50" operator="equal">
      <formula>"PTO"</formula>
    </cfRule>
  </conditionalFormatting>
  <conditionalFormatting sqref="U47">
    <cfRule type="cellIs" dxfId="29798" priority="47" operator="equal">
      <formula>"OFF"</formula>
    </cfRule>
    <cfRule type="cellIs" dxfId="29797" priority="48" operator="equal">
      <formula>"PTO"</formula>
    </cfRule>
  </conditionalFormatting>
  <conditionalFormatting sqref="U47">
    <cfRule type="cellIs" dxfId="29796" priority="45" operator="equal">
      <formula>"OFF"</formula>
    </cfRule>
    <cfRule type="cellIs" dxfId="29795" priority="46" operator="equal">
      <formula>"PTO"</formula>
    </cfRule>
  </conditionalFormatting>
  <conditionalFormatting sqref="U47">
    <cfRule type="cellIs" dxfId="29794" priority="43" operator="equal">
      <formula>"OFF"</formula>
    </cfRule>
    <cfRule type="cellIs" dxfId="29793" priority="44" operator="equal">
      <formula>"PTO"</formula>
    </cfRule>
  </conditionalFormatting>
  <conditionalFormatting sqref="U47">
    <cfRule type="cellIs" dxfId="29792" priority="41" operator="equal">
      <formula>"OFF"</formula>
    </cfRule>
    <cfRule type="cellIs" dxfId="29791" priority="42" operator="equal">
      <formula>"PTO"</formula>
    </cfRule>
  </conditionalFormatting>
  <conditionalFormatting sqref="U48">
    <cfRule type="cellIs" dxfId="29790" priority="39" operator="equal">
      <formula>"OFF"</formula>
    </cfRule>
    <cfRule type="cellIs" dxfId="29789" priority="40" operator="equal">
      <formula>"PTO"</formula>
    </cfRule>
  </conditionalFormatting>
  <conditionalFormatting sqref="U48">
    <cfRule type="cellIs" dxfId="29788" priority="37" operator="equal">
      <formula>"OFF"</formula>
    </cfRule>
    <cfRule type="cellIs" dxfId="29787" priority="38" operator="equal">
      <formula>"PTO"</formula>
    </cfRule>
  </conditionalFormatting>
  <conditionalFormatting sqref="U48">
    <cfRule type="cellIs" dxfId="29786" priority="35" operator="equal">
      <formula>"OFF"</formula>
    </cfRule>
    <cfRule type="cellIs" dxfId="29785" priority="36" operator="equal">
      <formula>"PTO"</formula>
    </cfRule>
  </conditionalFormatting>
  <conditionalFormatting sqref="U48">
    <cfRule type="cellIs" dxfId="29784" priority="33" operator="equal">
      <formula>"OFF"</formula>
    </cfRule>
    <cfRule type="cellIs" dxfId="29783" priority="34" operator="equal">
      <formula>"PTO"</formula>
    </cfRule>
  </conditionalFormatting>
  <conditionalFormatting sqref="U48">
    <cfRule type="cellIs" dxfId="29782" priority="31" operator="equal">
      <formula>"OFF"</formula>
    </cfRule>
    <cfRule type="cellIs" dxfId="29781" priority="32" operator="equal">
      <formula>"PTO"</formula>
    </cfRule>
  </conditionalFormatting>
  <conditionalFormatting sqref="U48">
    <cfRule type="cellIs" dxfId="29780" priority="29" operator="equal">
      <formula>"OFF"</formula>
    </cfRule>
    <cfRule type="cellIs" dxfId="29779" priority="30" operator="equal">
      <formula>"PTO"</formula>
    </cfRule>
  </conditionalFormatting>
  <conditionalFormatting sqref="U48">
    <cfRule type="cellIs" dxfId="29778" priority="27" operator="equal">
      <formula>"OFF"</formula>
    </cfRule>
    <cfRule type="cellIs" dxfId="29777" priority="28" operator="equal">
      <formula>"PTO"</formula>
    </cfRule>
  </conditionalFormatting>
  <conditionalFormatting sqref="U48">
    <cfRule type="cellIs" dxfId="29776" priority="25" operator="equal">
      <formula>"OFF"</formula>
    </cfRule>
    <cfRule type="cellIs" dxfId="29775" priority="26" operator="equal">
      <formula>"PTO"</formula>
    </cfRule>
  </conditionalFormatting>
  <conditionalFormatting sqref="U48">
    <cfRule type="cellIs" dxfId="29774" priority="23" operator="equal">
      <formula>"OFF"</formula>
    </cfRule>
    <cfRule type="cellIs" dxfId="29773" priority="24" operator="equal">
      <formula>"PTO"</formula>
    </cfRule>
  </conditionalFormatting>
  <conditionalFormatting sqref="U48">
    <cfRule type="cellIs" dxfId="29772" priority="21" operator="equal">
      <formula>"OFF"</formula>
    </cfRule>
    <cfRule type="cellIs" dxfId="29771" priority="22" operator="equal">
      <formula>"PTO"</formula>
    </cfRule>
  </conditionalFormatting>
  <conditionalFormatting sqref="U47">
    <cfRule type="cellIs" dxfId="29770" priority="19" operator="equal">
      <formula>"OFF"</formula>
    </cfRule>
    <cfRule type="cellIs" dxfId="29769" priority="20" operator="equal">
      <formula>"PTO"</formula>
    </cfRule>
  </conditionalFormatting>
  <conditionalFormatting sqref="U47">
    <cfRule type="cellIs" dxfId="29768" priority="17" operator="equal">
      <formula>"OFF"</formula>
    </cfRule>
    <cfRule type="cellIs" dxfId="29767" priority="18" operator="equal">
      <formula>"PTO"</formula>
    </cfRule>
  </conditionalFormatting>
  <conditionalFormatting sqref="U47">
    <cfRule type="cellIs" dxfId="29766" priority="15" operator="equal">
      <formula>"OFF"</formula>
    </cfRule>
    <cfRule type="cellIs" dxfId="29765" priority="16" operator="equal">
      <formula>"PTO"</formula>
    </cfRule>
  </conditionalFormatting>
  <conditionalFormatting sqref="U47">
    <cfRule type="cellIs" dxfId="29764" priority="13" operator="equal">
      <formula>"OFF"</formula>
    </cfRule>
    <cfRule type="cellIs" dxfId="29763" priority="14" operator="equal">
      <formula>"PTO"</formula>
    </cfRule>
  </conditionalFormatting>
  <conditionalFormatting sqref="U47">
    <cfRule type="cellIs" dxfId="29762" priority="11" operator="equal">
      <formula>"OFF"</formula>
    </cfRule>
    <cfRule type="cellIs" dxfId="29761" priority="12" operator="equal">
      <formula>"PTO"</formula>
    </cfRule>
  </conditionalFormatting>
  <conditionalFormatting sqref="U47">
    <cfRule type="cellIs" dxfId="29760" priority="9" operator="equal">
      <formula>"OFF"</formula>
    </cfRule>
    <cfRule type="cellIs" dxfId="29759" priority="10" operator="equal">
      <formula>"PTO"</formula>
    </cfRule>
  </conditionalFormatting>
  <conditionalFormatting sqref="U47">
    <cfRule type="cellIs" dxfId="29758" priority="7" operator="equal">
      <formula>"OFF"</formula>
    </cfRule>
    <cfRule type="cellIs" dxfId="29757" priority="8" operator="equal">
      <formula>"PTO"</formula>
    </cfRule>
  </conditionalFormatting>
  <conditionalFormatting sqref="U47">
    <cfRule type="cellIs" dxfId="29756" priority="5" operator="equal">
      <formula>"OFF"</formula>
    </cfRule>
    <cfRule type="cellIs" dxfId="29755" priority="6" operator="equal">
      <formula>"PTO"</formula>
    </cfRule>
  </conditionalFormatting>
  <conditionalFormatting sqref="U47">
    <cfRule type="cellIs" dxfId="29754" priority="3" operator="equal">
      <formula>"OFF"</formula>
    </cfRule>
    <cfRule type="cellIs" dxfId="29753" priority="4" operator="equal">
      <formula>"PTO"</formula>
    </cfRule>
  </conditionalFormatting>
  <conditionalFormatting sqref="U49">
    <cfRule type="cellIs" dxfId="29752" priority="1" operator="equal">
      <formula>"OFF"</formula>
    </cfRule>
    <cfRule type="cellIs" dxfId="29751" priority="2" operator="equal">
      <formula>"PTO"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D157"/>
  <sheetViews>
    <sheetView zoomScale="85" zoomScaleNormal="85" workbookViewId="0"/>
  </sheetViews>
  <sheetFormatPr defaultColWidth="9.140625" defaultRowHeight="12.75" x14ac:dyDescent="0.2"/>
  <cols>
    <col min="1" max="1" width="23.42578125" style="9" customWidth="1"/>
    <col min="2" max="2" width="33.140625" style="9" customWidth="1"/>
    <col min="3" max="23" width="9.140625" style="9" bestFit="1" customWidth="1"/>
    <col min="24" max="24" width="12.7109375" style="9" bestFit="1" customWidth="1"/>
    <col min="25" max="25" width="9.140625" style="9" bestFit="1" customWidth="1"/>
    <col min="26" max="26" width="9.140625" style="9"/>
    <col min="27" max="27" width="9.140625" style="9" bestFit="1" customWidth="1"/>
    <col min="28" max="28" width="6.28515625" style="9" customWidth="1"/>
    <col min="29" max="29" width="3" style="9" bestFit="1" customWidth="1"/>
    <col min="30" max="16384" width="9.140625" style="9"/>
  </cols>
  <sheetData>
    <row r="1" spans="1:30" ht="13.5" thickBot="1" x14ac:dyDescent="0.25">
      <c r="A1" s="106" t="s">
        <v>13</v>
      </c>
      <c r="B1" s="175"/>
      <c r="C1" s="311" t="str">
        <f>'Agent Sched'!C1:I1</f>
        <v>WEEK BEGINNING 0427</v>
      </c>
      <c r="D1" s="312"/>
      <c r="E1" s="312"/>
      <c r="F1" s="312"/>
      <c r="G1" s="312"/>
      <c r="H1" s="312"/>
      <c r="I1" s="313"/>
      <c r="J1" s="311" t="str">
        <f>'Agent Sched'!J1:P1</f>
        <v>WEEK BEGINNING 0504</v>
      </c>
      <c r="K1" s="312"/>
      <c r="L1" s="312"/>
      <c r="M1" s="312"/>
      <c r="N1" s="312"/>
      <c r="O1" s="312"/>
      <c r="P1" s="313"/>
      <c r="Q1" s="311" t="str">
        <f>'Agent Sched'!Q1:W1</f>
        <v>WEEK BEGINNING 0511</v>
      </c>
      <c r="R1" s="312"/>
      <c r="S1" s="312"/>
      <c r="T1" s="312"/>
      <c r="U1" s="312"/>
      <c r="V1" s="312"/>
      <c r="W1" s="313"/>
      <c r="X1" s="89"/>
      <c r="Y1" s="90" t="s">
        <v>37</v>
      </c>
    </row>
    <row r="2" spans="1:30" ht="15.75" customHeight="1" x14ac:dyDescent="0.2">
      <c r="A2" s="307" t="s">
        <v>46</v>
      </c>
      <c r="B2" s="307" t="s">
        <v>10</v>
      </c>
      <c r="C2" s="118" t="s">
        <v>0</v>
      </c>
      <c r="D2" s="148" t="s">
        <v>1</v>
      </c>
      <c r="E2" s="148" t="s">
        <v>2</v>
      </c>
      <c r="F2" s="148" t="s">
        <v>3</v>
      </c>
      <c r="G2" s="148" t="s">
        <v>4</v>
      </c>
      <c r="H2" s="148" t="s">
        <v>5</v>
      </c>
      <c r="I2" s="149" t="s">
        <v>6</v>
      </c>
      <c r="J2" s="148" t="s">
        <v>0</v>
      </c>
      <c r="K2" s="148" t="s">
        <v>1</v>
      </c>
      <c r="L2" s="148" t="s">
        <v>2</v>
      </c>
      <c r="M2" s="148" t="s">
        <v>3</v>
      </c>
      <c r="N2" s="148" t="s">
        <v>4</v>
      </c>
      <c r="O2" s="148" t="s">
        <v>5</v>
      </c>
      <c r="P2" s="149" t="s">
        <v>6</v>
      </c>
      <c r="Q2" s="148" t="s">
        <v>0</v>
      </c>
      <c r="R2" s="148" t="s">
        <v>1</v>
      </c>
      <c r="S2" s="148" t="s">
        <v>2</v>
      </c>
      <c r="T2" s="148" t="s">
        <v>3</v>
      </c>
      <c r="U2" s="148" t="s">
        <v>4</v>
      </c>
      <c r="V2" s="148" t="s">
        <v>5</v>
      </c>
      <c r="W2" s="149" t="s">
        <v>6</v>
      </c>
      <c r="X2" s="195" t="s">
        <v>36</v>
      </c>
      <c r="Y2" s="196" t="s">
        <v>6</v>
      </c>
      <c r="AA2" s="129" t="s">
        <v>40</v>
      </c>
      <c r="AB2" s="155"/>
    </row>
    <row r="3" spans="1:30" ht="13.5" thickBot="1" x14ac:dyDescent="0.25">
      <c r="A3" s="318"/>
      <c r="B3" s="318"/>
      <c r="C3" s="108">
        <f>'Agent Sched'!C3</f>
        <v>46139</v>
      </c>
      <c r="D3" s="128">
        <f t="shared" ref="D3:W3" si="0">C3+1</f>
        <v>46140</v>
      </c>
      <c r="E3" s="128">
        <f t="shared" si="0"/>
        <v>46141</v>
      </c>
      <c r="F3" s="128">
        <f t="shared" si="0"/>
        <v>46142</v>
      </c>
      <c r="G3" s="128">
        <f t="shared" si="0"/>
        <v>46143</v>
      </c>
      <c r="H3" s="128">
        <f t="shared" si="0"/>
        <v>46144</v>
      </c>
      <c r="I3" s="109">
        <f t="shared" si="0"/>
        <v>46145</v>
      </c>
      <c r="J3" s="128">
        <f t="shared" si="0"/>
        <v>46146</v>
      </c>
      <c r="K3" s="128">
        <f t="shared" si="0"/>
        <v>46147</v>
      </c>
      <c r="L3" s="128">
        <f t="shared" si="0"/>
        <v>46148</v>
      </c>
      <c r="M3" s="128">
        <f t="shared" si="0"/>
        <v>46149</v>
      </c>
      <c r="N3" s="128">
        <f t="shared" si="0"/>
        <v>46150</v>
      </c>
      <c r="O3" s="128">
        <f t="shared" si="0"/>
        <v>46151</v>
      </c>
      <c r="P3" s="109">
        <f t="shared" si="0"/>
        <v>46152</v>
      </c>
      <c r="Q3" s="128">
        <f t="shared" si="0"/>
        <v>46153</v>
      </c>
      <c r="R3" s="128">
        <f t="shared" si="0"/>
        <v>46154</v>
      </c>
      <c r="S3" s="128">
        <f t="shared" si="0"/>
        <v>46155</v>
      </c>
      <c r="T3" s="128">
        <f t="shared" si="0"/>
        <v>46156</v>
      </c>
      <c r="U3" s="128">
        <f t="shared" si="0"/>
        <v>46157</v>
      </c>
      <c r="V3" s="128">
        <f t="shared" si="0"/>
        <v>46158</v>
      </c>
      <c r="W3" s="109">
        <f t="shared" si="0"/>
        <v>46159</v>
      </c>
      <c r="X3" s="198"/>
      <c r="Y3" s="197">
        <f>C3-1</f>
        <v>46138</v>
      </c>
      <c r="AA3" s="129"/>
      <c r="AB3" s="155"/>
    </row>
    <row r="4" spans="1:30" x14ac:dyDescent="0.2">
      <c r="A4" s="178">
        <f>VLOOKUP(B4,Masterlist!B:E,2,)</f>
        <v>271192</v>
      </c>
      <c r="B4" s="175" t="s">
        <v>105</v>
      </c>
      <c r="C4" s="121">
        <v>0.375</v>
      </c>
      <c r="D4" s="127" t="s">
        <v>7</v>
      </c>
      <c r="E4" s="127" t="s">
        <v>7</v>
      </c>
      <c r="F4" s="127">
        <v>0.375</v>
      </c>
      <c r="G4" s="127">
        <v>0.375</v>
      </c>
      <c r="H4" s="127">
        <v>0.375</v>
      </c>
      <c r="I4" s="117">
        <v>0.375</v>
      </c>
      <c r="J4" s="121">
        <v>0.375</v>
      </c>
      <c r="K4" s="127" t="s">
        <v>7</v>
      </c>
      <c r="L4" s="127" t="s">
        <v>7</v>
      </c>
      <c r="M4" s="127">
        <v>0.375</v>
      </c>
      <c r="N4" s="127">
        <v>0.375</v>
      </c>
      <c r="O4" s="127">
        <v>0.375</v>
      </c>
      <c r="P4" s="117">
        <v>0.375</v>
      </c>
      <c r="Q4" s="121">
        <v>0.375</v>
      </c>
      <c r="R4" s="127" t="s">
        <v>7</v>
      </c>
      <c r="S4" s="127" t="s">
        <v>7</v>
      </c>
      <c r="T4" s="127">
        <v>0.375</v>
      </c>
      <c r="U4" s="127">
        <v>0.375</v>
      </c>
      <c r="V4" s="127">
        <v>0.375</v>
      </c>
      <c r="W4" s="117">
        <v>0.375</v>
      </c>
      <c r="X4" s="127">
        <f>IFERROR(MODE(J4:P4),"OFF")</f>
        <v>0.375</v>
      </c>
      <c r="Y4" s="117">
        <v>0.375</v>
      </c>
      <c r="AA4" s="153">
        <v>0.375</v>
      </c>
      <c r="AB4" s="155">
        <f>COUNTIF(X:X,AA4)</f>
        <v>22</v>
      </c>
      <c r="AD4" s="104"/>
    </row>
    <row r="5" spans="1:30" x14ac:dyDescent="0.2">
      <c r="A5" s="178">
        <f>VLOOKUP(B5,Masterlist!B:E,2,)</f>
        <v>487057</v>
      </c>
      <c r="B5" s="175" t="s">
        <v>61</v>
      </c>
      <c r="C5" s="121">
        <v>0.375</v>
      </c>
      <c r="D5" s="127" t="s">
        <v>7</v>
      </c>
      <c r="E5" s="127" t="s">
        <v>7</v>
      </c>
      <c r="F5" s="127">
        <v>0.375</v>
      </c>
      <c r="G5" s="127">
        <v>0.375</v>
      </c>
      <c r="H5" s="127">
        <v>0.375</v>
      </c>
      <c r="I5" s="117">
        <v>0.375</v>
      </c>
      <c r="J5" s="121">
        <v>0.375</v>
      </c>
      <c r="K5" s="127" t="s">
        <v>7</v>
      </c>
      <c r="L5" s="127" t="s">
        <v>7</v>
      </c>
      <c r="M5" s="127">
        <v>0.375</v>
      </c>
      <c r="N5" s="127">
        <v>0.375</v>
      </c>
      <c r="O5" s="127">
        <v>0.375</v>
      </c>
      <c r="P5" s="117">
        <v>0.375</v>
      </c>
      <c r="Q5" s="121">
        <v>0.375</v>
      </c>
      <c r="R5" s="127" t="s">
        <v>7</v>
      </c>
      <c r="S5" s="127" t="s">
        <v>7</v>
      </c>
      <c r="T5" s="127">
        <v>0.375</v>
      </c>
      <c r="U5" s="127">
        <v>0.375</v>
      </c>
      <c r="V5" s="127">
        <v>0.375</v>
      </c>
      <c r="W5" s="117">
        <v>0.375</v>
      </c>
      <c r="X5" s="127">
        <f>IFERROR(MODE(J5:P5),"OFF")</f>
        <v>0.375</v>
      </c>
      <c r="Y5" s="117">
        <v>0.375</v>
      </c>
      <c r="AA5" s="153">
        <v>0.625</v>
      </c>
      <c r="AB5" s="155">
        <f>COUNTIF(X:X,AA5)</f>
        <v>0</v>
      </c>
      <c r="AD5" s="104"/>
    </row>
    <row r="6" spans="1:30" x14ac:dyDescent="0.2">
      <c r="A6" s="178">
        <f>VLOOKUP(B6,Masterlist!B:E,2,)</f>
        <v>486751</v>
      </c>
      <c r="B6" s="175" t="s">
        <v>83</v>
      </c>
      <c r="C6" s="121">
        <v>0.375</v>
      </c>
      <c r="D6" s="127" t="s">
        <v>7</v>
      </c>
      <c r="E6" s="127" t="s">
        <v>7</v>
      </c>
      <c r="F6" s="127">
        <v>0.375</v>
      </c>
      <c r="G6" s="127">
        <v>0.375</v>
      </c>
      <c r="H6" s="127">
        <v>0.375</v>
      </c>
      <c r="I6" s="117">
        <v>0.375</v>
      </c>
      <c r="J6" s="121">
        <v>0.375</v>
      </c>
      <c r="K6" s="127" t="s">
        <v>7</v>
      </c>
      <c r="L6" s="127" t="s">
        <v>7</v>
      </c>
      <c r="M6" s="127">
        <v>0.375</v>
      </c>
      <c r="N6" s="127">
        <v>0.375</v>
      </c>
      <c r="O6" s="127">
        <v>0.375</v>
      </c>
      <c r="P6" s="117">
        <v>0.375</v>
      </c>
      <c r="Q6" s="121">
        <v>0.375</v>
      </c>
      <c r="R6" s="127" t="s">
        <v>7</v>
      </c>
      <c r="S6" s="127" t="s">
        <v>7</v>
      </c>
      <c r="T6" s="127">
        <v>0.375</v>
      </c>
      <c r="U6" s="127">
        <v>0.375</v>
      </c>
      <c r="V6" s="127">
        <v>0.375</v>
      </c>
      <c r="W6" s="117">
        <v>0.375</v>
      </c>
      <c r="X6" s="127">
        <f>IFERROR(MODE(J6:P6),"OFF")</f>
        <v>0.375</v>
      </c>
      <c r="Y6" s="117">
        <v>0.375</v>
      </c>
      <c r="AA6" s="153">
        <v>0.66666666666666663</v>
      </c>
      <c r="AB6" s="155">
        <f>COUNTIF(X:X,AA6)</f>
        <v>10</v>
      </c>
      <c r="AD6" s="104"/>
    </row>
    <row r="7" spans="1:30" x14ac:dyDescent="0.2">
      <c r="A7" s="178">
        <f>VLOOKUP(B7,Masterlist!B:E,2,)</f>
        <v>487312</v>
      </c>
      <c r="B7" s="175" t="s">
        <v>70</v>
      </c>
      <c r="C7" s="121">
        <v>0.375</v>
      </c>
      <c r="D7" s="127" t="s">
        <v>7</v>
      </c>
      <c r="E7" s="127" t="s">
        <v>7</v>
      </c>
      <c r="F7" s="127">
        <v>0.375</v>
      </c>
      <c r="G7" s="127">
        <v>0.375</v>
      </c>
      <c r="H7" s="127">
        <v>0.375</v>
      </c>
      <c r="I7" s="117">
        <v>0.375</v>
      </c>
      <c r="J7" s="121">
        <v>0.375</v>
      </c>
      <c r="K7" s="127" t="s">
        <v>7</v>
      </c>
      <c r="L7" s="127" t="s">
        <v>7</v>
      </c>
      <c r="M7" s="127">
        <v>0.375</v>
      </c>
      <c r="N7" s="127">
        <v>0.375</v>
      </c>
      <c r="O7" s="127">
        <v>0.375</v>
      </c>
      <c r="P7" s="117">
        <v>0.375</v>
      </c>
      <c r="Q7" s="121">
        <v>0.375</v>
      </c>
      <c r="R7" s="127" t="s">
        <v>7</v>
      </c>
      <c r="S7" s="127" t="s">
        <v>7</v>
      </c>
      <c r="T7" s="127">
        <v>0.375</v>
      </c>
      <c r="U7" s="127">
        <v>0.375</v>
      </c>
      <c r="V7" s="127">
        <v>0.375</v>
      </c>
      <c r="W7" s="117">
        <v>0.375</v>
      </c>
      <c r="X7" s="127">
        <f t="shared" ref="X7:X14" si="1">IFERROR(MODE(Q7:W7),"OFF")</f>
        <v>0.375</v>
      </c>
      <c r="Y7" s="117">
        <v>0.375</v>
      </c>
      <c r="AA7" s="154">
        <v>0.5</v>
      </c>
      <c r="AB7" s="155">
        <f>COUNTIF(X:X,AA7)</f>
        <v>4</v>
      </c>
      <c r="AD7" s="104"/>
    </row>
    <row r="8" spans="1:30" x14ac:dyDescent="0.2">
      <c r="A8" s="178">
        <f>VLOOKUP(B8,Masterlist!B:E,2,)</f>
        <v>486784</v>
      </c>
      <c r="B8" s="175" t="s">
        <v>81</v>
      </c>
      <c r="C8" s="121">
        <v>0.375</v>
      </c>
      <c r="D8" s="127" t="s">
        <v>7</v>
      </c>
      <c r="E8" s="127" t="s">
        <v>7</v>
      </c>
      <c r="F8" s="127">
        <v>0.375</v>
      </c>
      <c r="G8" s="127">
        <v>0.375</v>
      </c>
      <c r="H8" s="127">
        <v>0.375</v>
      </c>
      <c r="I8" s="117">
        <v>0.375</v>
      </c>
      <c r="J8" s="121">
        <v>0.375</v>
      </c>
      <c r="K8" s="127" t="s">
        <v>7</v>
      </c>
      <c r="L8" s="127" t="s">
        <v>7</v>
      </c>
      <c r="M8" s="127">
        <v>0.375</v>
      </c>
      <c r="N8" s="127">
        <v>0.375</v>
      </c>
      <c r="O8" s="127">
        <v>0.375</v>
      </c>
      <c r="P8" s="117">
        <v>0.375</v>
      </c>
      <c r="Q8" s="121">
        <v>0.375</v>
      </c>
      <c r="R8" s="127" t="s">
        <v>7</v>
      </c>
      <c r="S8" s="127" t="s">
        <v>7</v>
      </c>
      <c r="T8" s="127">
        <v>0.375</v>
      </c>
      <c r="U8" s="127">
        <v>0.375</v>
      </c>
      <c r="V8" s="127">
        <v>0.375</v>
      </c>
      <c r="W8" s="117">
        <v>0.375</v>
      </c>
      <c r="X8" s="127">
        <f t="shared" si="1"/>
        <v>0.375</v>
      </c>
      <c r="Y8" s="117">
        <v>0.375</v>
      </c>
      <c r="AA8" s="154">
        <v>0.875</v>
      </c>
      <c r="AB8" s="155">
        <f>COUNTIF(X:X,AA8)</f>
        <v>37</v>
      </c>
      <c r="AD8" s="104"/>
    </row>
    <row r="9" spans="1:30" x14ac:dyDescent="0.2">
      <c r="A9" s="178">
        <f>VLOOKUP(B9,Masterlist!B:E,2,)</f>
        <v>486899</v>
      </c>
      <c r="B9" s="175" t="s">
        <v>90</v>
      </c>
      <c r="C9" s="121">
        <v>0.375</v>
      </c>
      <c r="D9" s="127" t="s">
        <v>7</v>
      </c>
      <c r="E9" s="127" t="s">
        <v>7</v>
      </c>
      <c r="F9" s="127">
        <v>0.375</v>
      </c>
      <c r="G9" s="127">
        <v>0.375</v>
      </c>
      <c r="H9" s="127">
        <v>0.375</v>
      </c>
      <c r="I9" s="117">
        <v>0.375</v>
      </c>
      <c r="J9" s="121">
        <v>0.375</v>
      </c>
      <c r="K9" s="127" t="s">
        <v>7</v>
      </c>
      <c r="L9" s="127" t="s">
        <v>7</v>
      </c>
      <c r="M9" s="127">
        <v>0.375</v>
      </c>
      <c r="N9" s="127">
        <v>0.375</v>
      </c>
      <c r="O9" s="127">
        <v>0.375</v>
      </c>
      <c r="P9" s="117">
        <v>0.375</v>
      </c>
      <c r="Q9" s="121">
        <v>0.375</v>
      </c>
      <c r="R9" s="127" t="s">
        <v>7</v>
      </c>
      <c r="S9" s="127" t="s">
        <v>7</v>
      </c>
      <c r="T9" s="127">
        <v>0.375</v>
      </c>
      <c r="U9" s="127">
        <v>0.375</v>
      </c>
      <c r="V9" s="127">
        <v>0.375</v>
      </c>
      <c r="W9" s="117">
        <v>0.375</v>
      </c>
      <c r="X9" s="127">
        <f t="shared" si="1"/>
        <v>0.375</v>
      </c>
      <c r="Y9" s="117">
        <v>0.375</v>
      </c>
      <c r="AA9" s="132"/>
      <c r="AB9" s="132">
        <f>SUM(AB4:AB8)</f>
        <v>73</v>
      </c>
      <c r="AD9" s="104"/>
    </row>
    <row r="10" spans="1:30" x14ac:dyDescent="0.2">
      <c r="A10" s="178">
        <f>VLOOKUP(B10,Masterlist!B:E,2,)</f>
        <v>487072</v>
      </c>
      <c r="B10" s="175" t="s">
        <v>66</v>
      </c>
      <c r="C10" s="121">
        <v>0.375</v>
      </c>
      <c r="D10" s="127" t="s">
        <v>7</v>
      </c>
      <c r="E10" s="127" t="s">
        <v>7</v>
      </c>
      <c r="F10" s="127">
        <v>0.375</v>
      </c>
      <c r="G10" s="127">
        <v>0.375</v>
      </c>
      <c r="H10" s="127">
        <v>0.375</v>
      </c>
      <c r="I10" s="117">
        <v>0.375</v>
      </c>
      <c r="J10" s="121">
        <v>0.375</v>
      </c>
      <c r="K10" s="127" t="s">
        <v>7</v>
      </c>
      <c r="L10" s="127" t="s">
        <v>7</v>
      </c>
      <c r="M10" s="127">
        <v>0.375</v>
      </c>
      <c r="N10" s="127">
        <v>0.375</v>
      </c>
      <c r="O10" s="127">
        <v>0.375</v>
      </c>
      <c r="P10" s="117">
        <v>0.375</v>
      </c>
      <c r="Q10" s="121">
        <v>0.375</v>
      </c>
      <c r="R10" s="127" t="s">
        <v>7</v>
      </c>
      <c r="S10" s="127" t="s">
        <v>7</v>
      </c>
      <c r="T10" s="127">
        <v>0.375</v>
      </c>
      <c r="U10" s="127">
        <v>0.375</v>
      </c>
      <c r="V10" s="127">
        <v>0.375</v>
      </c>
      <c r="W10" s="117">
        <v>0.375</v>
      </c>
      <c r="X10" s="127">
        <f t="shared" si="1"/>
        <v>0.375</v>
      </c>
      <c r="Y10" s="117">
        <v>0.375</v>
      </c>
      <c r="AA10" s="126"/>
      <c r="AB10" s="11"/>
    </row>
    <row r="11" spans="1:30" x14ac:dyDescent="0.2">
      <c r="A11" s="178">
        <f>VLOOKUP(B11,Masterlist!B:E,2,)</f>
        <v>486891</v>
      </c>
      <c r="B11" s="175" t="s">
        <v>85</v>
      </c>
      <c r="C11" s="121">
        <v>0.375</v>
      </c>
      <c r="D11" s="127" t="s">
        <v>7</v>
      </c>
      <c r="E11" s="127" t="s">
        <v>7</v>
      </c>
      <c r="F11" s="127">
        <v>0.375</v>
      </c>
      <c r="G11" s="127">
        <v>0.375</v>
      </c>
      <c r="H11" s="127">
        <v>0.375</v>
      </c>
      <c r="I11" s="117">
        <v>0.375</v>
      </c>
      <c r="J11" s="121">
        <v>0.375</v>
      </c>
      <c r="K11" s="127" t="s">
        <v>7</v>
      </c>
      <c r="L11" s="127" t="s">
        <v>7</v>
      </c>
      <c r="M11" s="127">
        <v>0.375</v>
      </c>
      <c r="N11" s="127">
        <v>0.375</v>
      </c>
      <c r="O11" s="127">
        <v>0.375</v>
      </c>
      <c r="P11" s="117">
        <v>0.375</v>
      </c>
      <c r="Q11" s="121">
        <v>0.375</v>
      </c>
      <c r="R11" s="127" t="s">
        <v>7</v>
      </c>
      <c r="S11" s="127" t="s">
        <v>7</v>
      </c>
      <c r="T11" s="127">
        <v>0.375</v>
      </c>
      <c r="U11" s="127">
        <v>0.375</v>
      </c>
      <c r="V11" s="127">
        <v>0.375</v>
      </c>
      <c r="W11" s="117">
        <v>0.375</v>
      </c>
      <c r="X11" s="127">
        <f t="shared" si="1"/>
        <v>0.375</v>
      </c>
      <c r="Y11" s="117">
        <v>0.375</v>
      </c>
      <c r="AA11" s="126"/>
      <c r="AB11" s="11"/>
    </row>
    <row r="12" spans="1:30" x14ac:dyDescent="0.2">
      <c r="A12" s="178">
        <f>VLOOKUP(B12,Masterlist!B:E,2,)</f>
        <v>486768</v>
      </c>
      <c r="B12" s="175" t="s">
        <v>74</v>
      </c>
      <c r="C12" s="121">
        <v>0.375</v>
      </c>
      <c r="D12" s="127" t="s">
        <v>7</v>
      </c>
      <c r="E12" s="127" t="s">
        <v>7</v>
      </c>
      <c r="F12" s="127">
        <v>0.375</v>
      </c>
      <c r="G12" s="127">
        <v>0.375</v>
      </c>
      <c r="H12" s="127">
        <v>0.375</v>
      </c>
      <c r="I12" s="117">
        <v>0.375</v>
      </c>
      <c r="J12" s="121">
        <v>0.375</v>
      </c>
      <c r="K12" s="127" t="s">
        <v>7</v>
      </c>
      <c r="L12" s="127" t="s">
        <v>7</v>
      </c>
      <c r="M12" s="127">
        <v>0.375</v>
      </c>
      <c r="N12" s="127">
        <v>0.375</v>
      </c>
      <c r="O12" s="127">
        <v>0.375</v>
      </c>
      <c r="P12" s="117">
        <v>0.375</v>
      </c>
      <c r="Q12" s="121">
        <v>0.375</v>
      </c>
      <c r="R12" s="127" t="s">
        <v>7</v>
      </c>
      <c r="S12" s="127" t="s">
        <v>7</v>
      </c>
      <c r="T12" s="127">
        <v>0.375</v>
      </c>
      <c r="U12" s="127">
        <v>0.375</v>
      </c>
      <c r="V12" s="127">
        <v>0.375</v>
      </c>
      <c r="W12" s="117">
        <v>0.375</v>
      </c>
      <c r="X12" s="127">
        <f t="shared" si="1"/>
        <v>0.375</v>
      </c>
      <c r="Y12" s="117">
        <v>0.375</v>
      </c>
      <c r="AA12" s="126"/>
      <c r="AB12" s="11"/>
    </row>
    <row r="13" spans="1:30" x14ac:dyDescent="0.2">
      <c r="A13" s="178">
        <f>VLOOKUP(B13,Masterlist!B:E,2,)</f>
        <v>501292</v>
      </c>
      <c r="B13" s="199" t="s">
        <v>134</v>
      </c>
      <c r="C13" s="121">
        <v>0.375</v>
      </c>
      <c r="D13" s="127" t="s">
        <v>7</v>
      </c>
      <c r="E13" s="127" t="s">
        <v>7</v>
      </c>
      <c r="F13" s="127">
        <v>0.375</v>
      </c>
      <c r="G13" s="127">
        <v>0.375</v>
      </c>
      <c r="H13" s="127">
        <v>0.375</v>
      </c>
      <c r="I13" s="117">
        <v>0.375</v>
      </c>
      <c r="J13" s="121">
        <v>0.375</v>
      </c>
      <c r="K13" s="127" t="s">
        <v>7</v>
      </c>
      <c r="L13" s="127" t="s">
        <v>7</v>
      </c>
      <c r="M13" s="127">
        <v>0.375</v>
      </c>
      <c r="N13" s="127">
        <v>0.375</v>
      </c>
      <c r="O13" s="127">
        <v>0.375</v>
      </c>
      <c r="P13" s="117">
        <v>0.375</v>
      </c>
      <c r="Q13" s="121">
        <v>0.375</v>
      </c>
      <c r="R13" s="127" t="s">
        <v>7</v>
      </c>
      <c r="S13" s="127" t="s">
        <v>7</v>
      </c>
      <c r="T13" s="127">
        <v>0.375</v>
      </c>
      <c r="U13" s="127">
        <v>0.375</v>
      </c>
      <c r="V13" s="127">
        <v>0.375</v>
      </c>
      <c r="W13" s="117">
        <v>0.375</v>
      </c>
      <c r="X13" s="127">
        <f t="shared" si="1"/>
        <v>0.375</v>
      </c>
      <c r="Y13" s="117">
        <v>0.375</v>
      </c>
      <c r="AA13" s="126"/>
      <c r="AB13" s="11"/>
    </row>
    <row r="14" spans="1:30" x14ac:dyDescent="0.2">
      <c r="A14" s="178">
        <f>VLOOKUP(B14,Masterlist!B:E,2,)</f>
        <v>501650</v>
      </c>
      <c r="B14" s="175" t="s">
        <v>139</v>
      </c>
      <c r="C14" s="121">
        <v>0.375</v>
      </c>
      <c r="D14" s="127" t="s">
        <v>7</v>
      </c>
      <c r="E14" s="127" t="s">
        <v>7</v>
      </c>
      <c r="F14" s="127">
        <v>0.375</v>
      </c>
      <c r="G14" s="127">
        <v>0.375</v>
      </c>
      <c r="H14" s="127">
        <v>0.375</v>
      </c>
      <c r="I14" s="117">
        <v>0.375</v>
      </c>
      <c r="J14" s="121">
        <v>0.375</v>
      </c>
      <c r="K14" s="127" t="s">
        <v>7</v>
      </c>
      <c r="L14" s="127" t="s">
        <v>7</v>
      </c>
      <c r="M14" s="127">
        <v>0.375</v>
      </c>
      <c r="N14" s="127">
        <v>0.375</v>
      </c>
      <c r="O14" s="127">
        <v>0.375</v>
      </c>
      <c r="P14" s="117">
        <v>0.375</v>
      </c>
      <c r="Q14" s="121">
        <v>0.375</v>
      </c>
      <c r="R14" s="127" t="s">
        <v>7</v>
      </c>
      <c r="S14" s="127" t="s">
        <v>7</v>
      </c>
      <c r="T14" s="127">
        <v>0.375</v>
      </c>
      <c r="U14" s="127">
        <v>0.375</v>
      </c>
      <c r="V14" s="127">
        <v>0.375</v>
      </c>
      <c r="W14" s="117">
        <v>0.375</v>
      </c>
      <c r="X14" s="127">
        <f t="shared" si="1"/>
        <v>0.375</v>
      </c>
      <c r="Y14" s="117">
        <v>0.375</v>
      </c>
      <c r="AA14" s="126"/>
      <c r="AB14" s="11"/>
    </row>
    <row r="15" spans="1:30" x14ac:dyDescent="0.2">
      <c r="A15" s="178">
        <f>VLOOKUP(B15,Masterlist!B:E,2,)</f>
        <v>264907</v>
      </c>
      <c r="B15" s="199" t="s">
        <v>32</v>
      </c>
      <c r="C15" s="121">
        <v>0.375</v>
      </c>
      <c r="D15" s="127" t="s">
        <v>7</v>
      </c>
      <c r="E15" s="127" t="s">
        <v>7</v>
      </c>
      <c r="F15" s="127">
        <v>0.375</v>
      </c>
      <c r="G15" s="127">
        <v>0.375</v>
      </c>
      <c r="H15" s="127">
        <v>0.375</v>
      </c>
      <c r="I15" s="117">
        <v>0.375</v>
      </c>
      <c r="J15" s="121">
        <v>0.375</v>
      </c>
      <c r="K15" s="127" t="s">
        <v>7</v>
      </c>
      <c r="L15" s="127" t="s">
        <v>7</v>
      </c>
      <c r="M15" s="127">
        <v>0.375</v>
      </c>
      <c r="N15" s="127">
        <v>0.375</v>
      </c>
      <c r="O15" s="127">
        <v>0.375</v>
      </c>
      <c r="P15" s="117">
        <v>0.375</v>
      </c>
      <c r="Q15" s="121">
        <v>0.375</v>
      </c>
      <c r="R15" s="127" t="s">
        <v>7</v>
      </c>
      <c r="S15" s="127" t="s">
        <v>7</v>
      </c>
      <c r="T15" s="127">
        <v>0.375</v>
      </c>
      <c r="U15" s="127">
        <v>0.375</v>
      </c>
      <c r="V15" s="127">
        <v>0.375</v>
      </c>
      <c r="W15" s="117">
        <v>0.375</v>
      </c>
      <c r="X15" s="127">
        <f t="shared" ref="X15:X23" si="2">IFERROR(MODE(Q15:W15),"OFF")</f>
        <v>0.375</v>
      </c>
      <c r="Y15" s="117">
        <v>0.375</v>
      </c>
      <c r="AA15" s="132"/>
    </row>
    <row r="16" spans="1:30" x14ac:dyDescent="0.2">
      <c r="A16" s="178">
        <f>VLOOKUP(B16,Masterlist!B:E,2,)</f>
        <v>501297</v>
      </c>
      <c r="B16" s="175" t="s">
        <v>136</v>
      </c>
      <c r="C16" s="121">
        <v>0.375</v>
      </c>
      <c r="D16" s="127" t="s">
        <v>7</v>
      </c>
      <c r="E16" s="127" t="s">
        <v>7</v>
      </c>
      <c r="F16" s="127">
        <v>0.375</v>
      </c>
      <c r="G16" s="127">
        <v>0.375</v>
      </c>
      <c r="H16" s="127">
        <v>0.375</v>
      </c>
      <c r="I16" s="117">
        <v>0.375</v>
      </c>
      <c r="J16" s="121">
        <v>0.375</v>
      </c>
      <c r="K16" s="127" t="s">
        <v>7</v>
      </c>
      <c r="L16" s="127" t="s">
        <v>7</v>
      </c>
      <c r="M16" s="127">
        <v>0.375</v>
      </c>
      <c r="N16" s="127">
        <v>0.375</v>
      </c>
      <c r="O16" s="127">
        <v>0.375</v>
      </c>
      <c r="P16" s="117">
        <v>0.375</v>
      </c>
      <c r="Q16" s="121">
        <v>0.375</v>
      </c>
      <c r="R16" s="127" t="s">
        <v>7</v>
      </c>
      <c r="S16" s="127" t="s">
        <v>7</v>
      </c>
      <c r="T16" s="127">
        <v>0.375</v>
      </c>
      <c r="U16" s="127">
        <v>0.375</v>
      </c>
      <c r="V16" s="127">
        <v>0.375</v>
      </c>
      <c r="W16" s="117">
        <v>0.375</v>
      </c>
      <c r="X16" s="127">
        <f t="shared" si="2"/>
        <v>0.375</v>
      </c>
      <c r="Y16" s="117">
        <v>0.375</v>
      </c>
    </row>
    <row r="17" spans="1:28" x14ac:dyDescent="0.2">
      <c r="A17" s="178">
        <f>VLOOKUP(B17,Masterlist!B:E,2,)</f>
        <v>501651</v>
      </c>
      <c r="B17" s="175" t="s">
        <v>140</v>
      </c>
      <c r="C17" s="121">
        <v>0.375</v>
      </c>
      <c r="D17" s="127" t="s">
        <v>7</v>
      </c>
      <c r="E17" s="127" t="s">
        <v>7</v>
      </c>
      <c r="F17" s="127">
        <v>0.375</v>
      </c>
      <c r="G17" s="127">
        <v>0.375</v>
      </c>
      <c r="H17" s="127">
        <v>0.375</v>
      </c>
      <c r="I17" s="117">
        <v>0.375</v>
      </c>
      <c r="J17" s="121">
        <v>0.375</v>
      </c>
      <c r="K17" s="127" t="s">
        <v>7</v>
      </c>
      <c r="L17" s="127" t="s">
        <v>7</v>
      </c>
      <c r="M17" s="127">
        <v>0.375</v>
      </c>
      <c r="N17" s="127">
        <v>0.375</v>
      </c>
      <c r="O17" s="127">
        <v>0.375</v>
      </c>
      <c r="P17" s="117">
        <v>0.375</v>
      </c>
      <c r="Q17" s="121">
        <v>0.375</v>
      </c>
      <c r="R17" s="127" t="s">
        <v>7</v>
      </c>
      <c r="S17" s="127" t="s">
        <v>7</v>
      </c>
      <c r="T17" s="127">
        <v>0.375</v>
      </c>
      <c r="U17" s="127">
        <v>0.375</v>
      </c>
      <c r="V17" s="127">
        <v>0.375</v>
      </c>
      <c r="W17" s="117">
        <v>0.375</v>
      </c>
      <c r="X17" s="127">
        <f t="shared" si="2"/>
        <v>0.375</v>
      </c>
      <c r="Y17" s="117">
        <v>0.375</v>
      </c>
    </row>
    <row r="18" spans="1:28" x14ac:dyDescent="0.2">
      <c r="A18" s="178">
        <f>VLOOKUP(B18,Masterlist!B:E,2,)</f>
        <v>379708</v>
      </c>
      <c r="B18" s="199" t="s">
        <v>145</v>
      </c>
      <c r="C18" s="121">
        <v>0.375</v>
      </c>
      <c r="D18" s="127" t="s">
        <v>7</v>
      </c>
      <c r="E18" s="127" t="s">
        <v>7</v>
      </c>
      <c r="F18" s="127">
        <v>0.375</v>
      </c>
      <c r="G18" s="127">
        <v>0.375</v>
      </c>
      <c r="H18" s="127">
        <v>0.375</v>
      </c>
      <c r="I18" s="117">
        <v>0.375</v>
      </c>
      <c r="J18" s="121">
        <v>0.375</v>
      </c>
      <c r="K18" s="127" t="s">
        <v>7</v>
      </c>
      <c r="L18" s="127" t="s">
        <v>7</v>
      </c>
      <c r="M18" s="127">
        <v>0.375</v>
      </c>
      <c r="N18" s="127">
        <v>0.375</v>
      </c>
      <c r="O18" s="127">
        <v>0.375</v>
      </c>
      <c r="P18" s="117">
        <v>0.375</v>
      </c>
      <c r="Q18" s="121">
        <v>0.375</v>
      </c>
      <c r="R18" s="127" t="s">
        <v>7</v>
      </c>
      <c r="S18" s="127" t="s">
        <v>7</v>
      </c>
      <c r="T18" s="127">
        <v>0.375</v>
      </c>
      <c r="U18" s="127">
        <v>0.375</v>
      </c>
      <c r="V18" s="127">
        <v>0.375</v>
      </c>
      <c r="W18" s="117">
        <v>0.375</v>
      </c>
      <c r="X18" s="127">
        <f t="shared" si="2"/>
        <v>0.375</v>
      </c>
      <c r="Y18" s="117">
        <v>0.375</v>
      </c>
    </row>
    <row r="19" spans="1:28" x14ac:dyDescent="0.2">
      <c r="A19" s="178">
        <f>VLOOKUP(B19,Masterlist!B:E,2,)</f>
        <v>432336</v>
      </c>
      <c r="B19" s="174" t="s">
        <v>146</v>
      </c>
      <c r="C19" s="121">
        <v>0.375</v>
      </c>
      <c r="D19" s="127" t="s">
        <v>7</v>
      </c>
      <c r="E19" s="127" t="s">
        <v>7</v>
      </c>
      <c r="F19" s="127">
        <v>0.375</v>
      </c>
      <c r="G19" s="127">
        <v>0.375</v>
      </c>
      <c r="H19" s="127">
        <v>0.375</v>
      </c>
      <c r="I19" s="117">
        <v>0.375</v>
      </c>
      <c r="J19" s="121">
        <v>0.375</v>
      </c>
      <c r="K19" s="127" t="s">
        <v>7</v>
      </c>
      <c r="L19" s="127" t="s">
        <v>7</v>
      </c>
      <c r="M19" s="127">
        <v>0.375</v>
      </c>
      <c r="N19" s="127">
        <v>0.375</v>
      </c>
      <c r="O19" s="127">
        <v>0.375</v>
      </c>
      <c r="P19" s="117">
        <v>0.375</v>
      </c>
      <c r="Q19" s="121">
        <v>0.375</v>
      </c>
      <c r="R19" s="127" t="s">
        <v>7</v>
      </c>
      <c r="S19" s="127" t="s">
        <v>7</v>
      </c>
      <c r="T19" s="127">
        <v>0.375</v>
      </c>
      <c r="U19" s="127">
        <v>0.375</v>
      </c>
      <c r="V19" s="127">
        <v>0.375</v>
      </c>
      <c r="W19" s="117">
        <v>0.375</v>
      </c>
      <c r="X19" s="127">
        <f t="shared" si="2"/>
        <v>0.375</v>
      </c>
      <c r="Y19" s="117">
        <v>0.375</v>
      </c>
    </row>
    <row r="20" spans="1:28" x14ac:dyDescent="0.2">
      <c r="A20" s="178">
        <f>VLOOKUP(B20,Masterlist!B:E,2,)</f>
        <v>392978</v>
      </c>
      <c r="B20" s="175" t="s">
        <v>147</v>
      </c>
      <c r="C20" s="121">
        <v>0.375</v>
      </c>
      <c r="D20" s="127" t="s">
        <v>7</v>
      </c>
      <c r="E20" s="127" t="s">
        <v>7</v>
      </c>
      <c r="F20" s="127">
        <v>0.375</v>
      </c>
      <c r="G20" s="127">
        <v>0.375</v>
      </c>
      <c r="H20" s="127">
        <v>0.375</v>
      </c>
      <c r="I20" s="117">
        <v>0.375</v>
      </c>
      <c r="J20" s="121">
        <v>0.375</v>
      </c>
      <c r="K20" s="127" t="s">
        <v>7</v>
      </c>
      <c r="L20" s="127" t="s">
        <v>7</v>
      </c>
      <c r="M20" s="127">
        <v>0.375</v>
      </c>
      <c r="N20" s="127">
        <v>0.375</v>
      </c>
      <c r="O20" s="127">
        <v>0.375</v>
      </c>
      <c r="P20" s="117">
        <v>0.375</v>
      </c>
      <c r="Q20" s="121">
        <v>0.375</v>
      </c>
      <c r="R20" s="127" t="s">
        <v>7</v>
      </c>
      <c r="S20" s="127" t="s">
        <v>7</v>
      </c>
      <c r="T20" s="127">
        <v>0.375</v>
      </c>
      <c r="U20" s="127">
        <v>0.375</v>
      </c>
      <c r="V20" s="127">
        <v>0.375</v>
      </c>
      <c r="W20" s="117">
        <v>0.375</v>
      </c>
      <c r="X20" s="127">
        <f t="shared" si="2"/>
        <v>0.375</v>
      </c>
      <c r="Y20" s="117">
        <v>0.375</v>
      </c>
    </row>
    <row r="21" spans="1:28" x14ac:dyDescent="0.2">
      <c r="A21" s="178">
        <f>VLOOKUP(B21,Masterlist!B:E,2,)</f>
        <v>490833</v>
      </c>
      <c r="B21" s="175" t="s">
        <v>144</v>
      </c>
      <c r="C21" s="121">
        <v>0.375</v>
      </c>
      <c r="D21" s="127" t="s">
        <v>7</v>
      </c>
      <c r="E21" s="127" t="s">
        <v>7</v>
      </c>
      <c r="F21" s="127">
        <v>0.375</v>
      </c>
      <c r="G21" s="127">
        <v>0.375</v>
      </c>
      <c r="H21" s="127">
        <v>0.375</v>
      </c>
      <c r="I21" s="117">
        <v>0.375</v>
      </c>
      <c r="J21" s="121">
        <v>0.375</v>
      </c>
      <c r="K21" s="127" t="s">
        <v>7</v>
      </c>
      <c r="L21" s="127" t="s">
        <v>7</v>
      </c>
      <c r="M21" s="127">
        <v>0.375</v>
      </c>
      <c r="N21" s="127">
        <v>0.375</v>
      </c>
      <c r="O21" s="127">
        <v>0.375</v>
      </c>
      <c r="P21" s="117">
        <v>0.375</v>
      </c>
      <c r="Q21" s="121">
        <v>0.375</v>
      </c>
      <c r="R21" s="127" t="s">
        <v>7</v>
      </c>
      <c r="S21" s="127" t="s">
        <v>7</v>
      </c>
      <c r="T21" s="127">
        <v>0.375</v>
      </c>
      <c r="U21" s="127">
        <v>0.375</v>
      </c>
      <c r="V21" s="127">
        <v>0.375</v>
      </c>
      <c r="W21" s="117">
        <v>0.375</v>
      </c>
      <c r="X21" s="127">
        <f t="shared" si="2"/>
        <v>0.375</v>
      </c>
      <c r="Y21" s="117">
        <v>0.375</v>
      </c>
    </row>
    <row r="22" spans="1:28" x14ac:dyDescent="0.2">
      <c r="A22" s="178">
        <f>VLOOKUP(B22,Masterlist!B:E,2,)</f>
        <v>380247</v>
      </c>
      <c r="B22" s="175" t="s">
        <v>207</v>
      </c>
      <c r="C22" s="121">
        <v>0.375</v>
      </c>
      <c r="D22" s="127" t="s">
        <v>7</v>
      </c>
      <c r="E22" s="127" t="s">
        <v>7</v>
      </c>
      <c r="F22" s="127">
        <v>0.375</v>
      </c>
      <c r="G22" s="127">
        <v>0.375</v>
      </c>
      <c r="H22" s="127">
        <v>0.375</v>
      </c>
      <c r="I22" s="117">
        <v>0.375</v>
      </c>
      <c r="J22" s="121">
        <v>0.375</v>
      </c>
      <c r="K22" s="127" t="s">
        <v>7</v>
      </c>
      <c r="L22" s="127" t="s">
        <v>7</v>
      </c>
      <c r="M22" s="127">
        <v>0.375</v>
      </c>
      <c r="N22" s="127">
        <v>0.375</v>
      </c>
      <c r="O22" s="127">
        <v>0.375</v>
      </c>
      <c r="P22" s="117">
        <v>0.375</v>
      </c>
      <c r="Q22" s="121">
        <v>0.375</v>
      </c>
      <c r="R22" s="127" t="s">
        <v>7</v>
      </c>
      <c r="S22" s="127" t="s">
        <v>7</v>
      </c>
      <c r="T22" s="127">
        <v>0.375</v>
      </c>
      <c r="U22" s="127">
        <v>0.375</v>
      </c>
      <c r="V22" s="127">
        <v>0.375</v>
      </c>
      <c r="W22" s="117">
        <v>0.375</v>
      </c>
      <c r="X22" s="127">
        <f t="shared" si="2"/>
        <v>0.375</v>
      </c>
      <c r="Y22" s="117">
        <v>0.375</v>
      </c>
    </row>
    <row r="23" spans="1:28" x14ac:dyDescent="0.2">
      <c r="A23" s="178">
        <f>VLOOKUP(B23,Masterlist!B:E,2,)</f>
        <v>339582</v>
      </c>
      <c r="B23" s="174" t="s">
        <v>209</v>
      </c>
      <c r="C23" s="121">
        <v>0.375</v>
      </c>
      <c r="D23" s="127" t="s">
        <v>7</v>
      </c>
      <c r="E23" s="127" t="s">
        <v>7</v>
      </c>
      <c r="F23" s="127">
        <v>0.375</v>
      </c>
      <c r="G23" s="127">
        <v>0.375</v>
      </c>
      <c r="H23" s="127">
        <v>0.375</v>
      </c>
      <c r="I23" s="117">
        <v>0.375</v>
      </c>
      <c r="J23" s="121">
        <v>0.375</v>
      </c>
      <c r="K23" s="127" t="s">
        <v>7</v>
      </c>
      <c r="L23" s="127" t="s">
        <v>7</v>
      </c>
      <c r="M23" s="127">
        <v>0.375</v>
      </c>
      <c r="N23" s="127">
        <v>0.375</v>
      </c>
      <c r="O23" s="127">
        <v>0.375</v>
      </c>
      <c r="P23" s="117">
        <v>0.375</v>
      </c>
      <c r="Q23" s="121">
        <v>0.375</v>
      </c>
      <c r="R23" s="127" t="s">
        <v>7</v>
      </c>
      <c r="S23" s="127" t="s">
        <v>7</v>
      </c>
      <c r="T23" s="127">
        <v>0.375</v>
      </c>
      <c r="U23" s="127">
        <v>0.375</v>
      </c>
      <c r="V23" s="127">
        <v>0.375</v>
      </c>
      <c r="W23" s="117">
        <v>0.375</v>
      </c>
      <c r="X23" s="127">
        <f t="shared" si="2"/>
        <v>0.375</v>
      </c>
      <c r="Y23" s="117">
        <v>0.375</v>
      </c>
    </row>
    <row r="24" spans="1:28" x14ac:dyDescent="0.2">
      <c r="A24" s="178">
        <f>VLOOKUP(B24,Masterlist!B:E,2,)</f>
        <v>472371</v>
      </c>
      <c r="B24" s="175" t="s">
        <v>49</v>
      </c>
      <c r="C24" s="121">
        <v>0.375</v>
      </c>
      <c r="D24" s="127">
        <v>0.375</v>
      </c>
      <c r="E24" s="127">
        <v>0.375</v>
      </c>
      <c r="F24" s="127">
        <v>0.375</v>
      </c>
      <c r="G24" s="127">
        <v>0.375</v>
      </c>
      <c r="H24" s="127" t="s">
        <v>7</v>
      </c>
      <c r="I24" s="117" t="s">
        <v>7</v>
      </c>
      <c r="J24" s="121">
        <v>0.375</v>
      </c>
      <c r="K24" s="127">
        <v>0.375</v>
      </c>
      <c r="L24" s="127">
        <v>0.375</v>
      </c>
      <c r="M24" s="127">
        <v>0.375</v>
      </c>
      <c r="N24" s="127">
        <v>0.375</v>
      </c>
      <c r="O24" s="127" t="s">
        <v>7</v>
      </c>
      <c r="P24" s="117" t="s">
        <v>7</v>
      </c>
      <c r="Q24" s="121">
        <v>0.375</v>
      </c>
      <c r="R24" s="127">
        <v>0.375</v>
      </c>
      <c r="S24" s="127">
        <v>0.375</v>
      </c>
      <c r="T24" s="127">
        <v>0.375</v>
      </c>
      <c r="U24" s="127">
        <v>0.375</v>
      </c>
      <c r="V24" s="127" t="s">
        <v>7</v>
      </c>
      <c r="W24" s="117" t="s">
        <v>7</v>
      </c>
      <c r="X24" s="127">
        <f>IFERROR(MODE(J24:P24),"OFF")</f>
        <v>0.375</v>
      </c>
      <c r="Y24" s="117" t="s">
        <v>7</v>
      </c>
      <c r="AA24" s="132"/>
      <c r="AB24" s="132"/>
    </row>
    <row r="25" spans="1:28" ht="13.5" thickBot="1" x14ac:dyDescent="0.25">
      <c r="A25" s="261">
        <f>VLOOKUP(B25,Masterlist!B:E,2,)</f>
        <v>487318</v>
      </c>
      <c r="B25" s="69" t="s">
        <v>69</v>
      </c>
      <c r="C25" s="184">
        <v>0.375</v>
      </c>
      <c r="D25" s="183">
        <v>0.375</v>
      </c>
      <c r="E25" s="183">
        <v>0.375</v>
      </c>
      <c r="F25" s="183">
        <v>0.375</v>
      </c>
      <c r="G25" s="183">
        <v>0.375</v>
      </c>
      <c r="H25" s="183" t="s">
        <v>7</v>
      </c>
      <c r="I25" s="185" t="s">
        <v>7</v>
      </c>
      <c r="J25" s="184">
        <v>0.375</v>
      </c>
      <c r="K25" s="183">
        <v>0.375</v>
      </c>
      <c r="L25" s="183">
        <v>0.375</v>
      </c>
      <c r="M25" s="183">
        <v>0.375</v>
      </c>
      <c r="N25" s="183">
        <v>0.375</v>
      </c>
      <c r="O25" s="183" t="s">
        <v>7</v>
      </c>
      <c r="P25" s="185" t="s">
        <v>7</v>
      </c>
      <c r="Q25" s="184">
        <v>0.375</v>
      </c>
      <c r="R25" s="183">
        <v>0.375</v>
      </c>
      <c r="S25" s="183">
        <v>0.375</v>
      </c>
      <c r="T25" s="183">
        <v>0.375</v>
      </c>
      <c r="U25" s="183">
        <v>0.375</v>
      </c>
      <c r="V25" s="183" t="s">
        <v>7</v>
      </c>
      <c r="W25" s="185" t="s">
        <v>7</v>
      </c>
      <c r="X25" s="183">
        <f>IFERROR(MODE(J25:P25),"OFF")</f>
        <v>0.375</v>
      </c>
      <c r="Y25" s="185" t="s">
        <v>7</v>
      </c>
    </row>
    <row r="26" spans="1:28" x14ac:dyDescent="0.2">
      <c r="A26" s="178">
        <f>VLOOKUP(B26,Masterlist!B:E,2,)</f>
        <v>509087</v>
      </c>
      <c r="B26" s="175" t="s">
        <v>210</v>
      </c>
      <c r="C26" s="302">
        <v>0.66666666666666663</v>
      </c>
      <c r="D26" s="301">
        <v>0.66666666666666663</v>
      </c>
      <c r="E26" s="127" t="s">
        <v>7</v>
      </c>
      <c r="F26" s="301">
        <v>0.66666666666666663</v>
      </c>
      <c r="G26" s="301">
        <v>0.66666666666666663</v>
      </c>
      <c r="H26" s="127" t="s">
        <v>7</v>
      </c>
      <c r="I26" s="304">
        <v>0.66666666666666663</v>
      </c>
      <c r="J26" s="121">
        <v>0.66666666666666663</v>
      </c>
      <c r="K26" s="127">
        <v>0.66666666666666663</v>
      </c>
      <c r="L26" s="127">
        <v>0.66666666666666663</v>
      </c>
      <c r="M26" s="127">
        <v>0.66666666666666663</v>
      </c>
      <c r="N26" s="127" t="s">
        <v>7</v>
      </c>
      <c r="O26" s="127" t="s">
        <v>7</v>
      </c>
      <c r="P26" s="117">
        <v>0.66666666666666663</v>
      </c>
      <c r="Q26" s="121">
        <v>0.66666666666666663</v>
      </c>
      <c r="R26" s="127">
        <v>0.66666666666666663</v>
      </c>
      <c r="S26" s="127">
        <v>0.66666666666666663</v>
      </c>
      <c r="T26" s="127">
        <v>0.66666666666666663</v>
      </c>
      <c r="U26" s="127" t="s">
        <v>7</v>
      </c>
      <c r="V26" s="127" t="s">
        <v>7</v>
      </c>
      <c r="W26" s="117">
        <v>0.66666666666666663</v>
      </c>
      <c r="X26" s="127">
        <f>IFERROR(MODE(Q26:W26),"OFF")</f>
        <v>0.66666666666666663</v>
      </c>
      <c r="Y26" s="269">
        <v>0.58333333333333337</v>
      </c>
    </row>
    <row r="27" spans="1:28" x14ac:dyDescent="0.2">
      <c r="A27" s="178">
        <f>VLOOKUP(B27,Masterlist!B:E,2,)</f>
        <v>509096</v>
      </c>
      <c r="B27" s="175" t="s">
        <v>216</v>
      </c>
      <c r="C27" s="302">
        <v>0.66666666666666663</v>
      </c>
      <c r="D27" s="301">
        <v>0.66666666666666663</v>
      </c>
      <c r="E27" s="127" t="s">
        <v>7</v>
      </c>
      <c r="F27" s="301">
        <v>0.66666666666666663</v>
      </c>
      <c r="G27" s="301">
        <v>0.66666666666666663</v>
      </c>
      <c r="H27" s="127" t="s">
        <v>7</v>
      </c>
      <c r="I27" s="304">
        <v>0.66666666666666663</v>
      </c>
      <c r="J27" s="121">
        <v>0.66666666666666663</v>
      </c>
      <c r="K27" s="127">
        <v>0.66666666666666663</v>
      </c>
      <c r="L27" s="127">
        <v>0.66666666666666663</v>
      </c>
      <c r="M27" s="127">
        <v>0.66666666666666663</v>
      </c>
      <c r="N27" s="127" t="s">
        <v>7</v>
      </c>
      <c r="O27" s="127" t="s">
        <v>7</v>
      </c>
      <c r="P27" s="117">
        <v>0.66666666666666663</v>
      </c>
      <c r="Q27" s="121">
        <v>0.66666666666666663</v>
      </c>
      <c r="R27" s="127">
        <v>0.66666666666666663</v>
      </c>
      <c r="S27" s="127">
        <v>0.66666666666666663</v>
      </c>
      <c r="T27" s="127">
        <v>0.66666666666666663</v>
      </c>
      <c r="U27" s="127" t="s">
        <v>7</v>
      </c>
      <c r="V27" s="127" t="s">
        <v>7</v>
      </c>
      <c r="W27" s="117">
        <v>0.66666666666666663</v>
      </c>
      <c r="X27" s="127">
        <f>IFERROR(MODE(Q27:W27),"OFF")</f>
        <v>0.66666666666666663</v>
      </c>
      <c r="Y27" s="269">
        <v>0.58333333333333337</v>
      </c>
      <c r="AA27" s="74"/>
      <c r="AB27" s="73"/>
    </row>
    <row r="28" spans="1:28" x14ac:dyDescent="0.2">
      <c r="A28" s="178">
        <f>VLOOKUP(B28,Masterlist!B:E,2,)</f>
        <v>510345</v>
      </c>
      <c r="B28" s="175" t="s">
        <v>247</v>
      </c>
      <c r="C28" s="302">
        <v>0.66666666666666663</v>
      </c>
      <c r="D28" s="301">
        <v>0.66666666666666663</v>
      </c>
      <c r="E28" s="301">
        <v>0.66666666666666663</v>
      </c>
      <c r="F28" s="267" t="s">
        <v>7</v>
      </c>
      <c r="G28" s="267" t="s">
        <v>7</v>
      </c>
      <c r="H28" s="301">
        <v>0.66666666666666663</v>
      </c>
      <c r="I28" s="304">
        <v>0.66666666666666663</v>
      </c>
      <c r="J28" s="121">
        <v>0.66666666666666663</v>
      </c>
      <c r="K28" s="127">
        <v>0.66666666666666663</v>
      </c>
      <c r="L28" s="127">
        <v>0.66666666666666663</v>
      </c>
      <c r="M28" s="127" t="s">
        <v>7</v>
      </c>
      <c r="N28" s="267" t="s">
        <v>7</v>
      </c>
      <c r="O28" s="127">
        <v>0.66666666666666663</v>
      </c>
      <c r="P28" s="117">
        <v>0.66666666666666663</v>
      </c>
      <c r="Q28" s="121">
        <v>0.66666666666666663</v>
      </c>
      <c r="R28" s="127">
        <v>0.66666666666666663</v>
      </c>
      <c r="S28" s="127">
        <v>0.66666666666666663</v>
      </c>
      <c r="T28" s="127" t="s">
        <v>7</v>
      </c>
      <c r="U28" s="267" t="s">
        <v>7</v>
      </c>
      <c r="V28" s="127">
        <v>0.66666666666666663</v>
      </c>
      <c r="W28" s="117">
        <v>0.66666666666666663</v>
      </c>
      <c r="X28" s="127">
        <f>IFERROR(MODE(Q28:W28),"OFF")</f>
        <v>0.66666666666666663</v>
      </c>
      <c r="Y28" s="269">
        <v>0.58333333333333337</v>
      </c>
      <c r="AA28" s="74"/>
      <c r="AB28" s="73"/>
    </row>
    <row r="29" spans="1:28" s="250" customFormat="1" x14ac:dyDescent="0.2">
      <c r="A29" s="178">
        <f>VLOOKUP(B29,Masterlist!B:E,2,)</f>
        <v>516493</v>
      </c>
      <c r="B29" s="260" t="s">
        <v>308</v>
      </c>
      <c r="C29" s="303">
        <v>0.5</v>
      </c>
      <c r="D29" s="298">
        <v>0.5</v>
      </c>
      <c r="E29" s="127" t="s">
        <v>7</v>
      </c>
      <c r="F29" s="298">
        <v>0.5</v>
      </c>
      <c r="G29" s="298">
        <v>0.5</v>
      </c>
      <c r="H29" s="127" t="s">
        <v>7</v>
      </c>
      <c r="I29" s="299">
        <v>0.5</v>
      </c>
      <c r="J29" s="271">
        <v>0.5</v>
      </c>
      <c r="K29" s="268">
        <v>0.5</v>
      </c>
      <c r="L29" s="268">
        <v>0.5</v>
      </c>
      <c r="M29" s="268">
        <v>0.5</v>
      </c>
      <c r="N29" s="127" t="s">
        <v>7</v>
      </c>
      <c r="O29" s="127" t="s">
        <v>7</v>
      </c>
      <c r="P29" s="269">
        <v>0.5</v>
      </c>
      <c r="Q29" s="271">
        <v>0.5</v>
      </c>
      <c r="R29" s="268">
        <v>0.5</v>
      </c>
      <c r="S29" s="268">
        <v>0.5</v>
      </c>
      <c r="T29" s="268">
        <v>0.5</v>
      </c>
      <c r="U29" s="127" t="s">
        <v>7</v>
      </c>
      <c r="V29" s="127" t="s">
        <v>7</v>
      </c>
      <c r="W29" s="269">
        <v>0.5</v>
      </c>
      <c r="X29" s="127">
        <f>IFERROR(MODE(Q29:W29),"OFF")</f>
        <v>0.5</v>
      </c>
      <c r="Y29" s="269">
        <v>0.5</v>
      </c>
    </row>
    <row r="30" spans="1:28" ht="15" x14ac:dyDescent="0.25">
      <c r="A30" s="178">
        <f>VLOOKUP(B30,Masterlist!B:E,2,)</f>
        <v>512673</v>
      </c>
      <c r="B30" s="260" t="s">
        <v>316</v>
      </c>
      <c r="C30" s="302">
        <v>0.66666666666666663</v>
      </c>
      <c r="D30" s="301">
        <v>0.66666666666666663</v>
      </c>
      <c r="E30" s="127" t="s">
        <v>7</v>
      </c>
      <c r="F30" s="301">
        <v>0.66666666666666663</v>
      </c>
      <c r="G30" s="301">
        <v>0.66666666666666663</v>
      </c>
      <c r="H30" s="127" t="s">
        <v>7</v>
      </c>
      <c r="I30" s="304">
        <v>0.66666666666666663</v>
      </c>
      <c r="J30" s="121">
        <v>0.66666666666666663</v>
      </c>
      <c r="K30" s="127">
        <v>0.66666666666666663</v>
      </c>
      <c r="L30" s="127">
        <v>0.66666666666666663</v>
      </c>
      <c r="M30" s="127">
        <v>0.66666666666666663</v>
      </c>
      <c r="N30" s="127" t="s">
        <v>7</v>
      </c>
      <c r="O30" s="127" t="s">
        <v>7</v>
      </c>
      <c r="P30" s="117">
        <v>0.66666666666666663</v>
      </c>
      <c r="Q30" s="121">
        <v>0.66666666666666663</v>
      </c>
      <c r="R30" s="127">
        <v>0.66666666666666663</v>
      </c>
      <c r="S30" s="127">
        <v>0.66666666666666663</v>
      </c>
      <c r="T30" s="127">
        <v>0.66666666666666663</v>
      </c>
      <c r="U30" s="127" t="s">
        <v>7</v>
      </c>
      <c r="V30" s="127" t="s">
        <v>7</v>
      </c>
      <c r="W30" s="117">
        <v>0.66666666666666663</v>
      </c>
      <c r="X30" s="228">
        <f>IFERROR(MODE(Q30:W30),"OFF")</f>
        <v>0.66666666666666663</v>
      </c>
      <c r="Y30" s="269">
        <v>0.58333333333333337</v>
      </c>
    </row>
    <row r="31" spans="1:28" ht="15" x14ac:dyDescent="0.25">
      <c r="A31" s="178">
        <f>VLOOKUP(B31,Masterlist!B:E,2,)</f>
        <v>509708</v>
      </c>
      <c r="B31" s="266" t="s">
        <v>236</v>
      </c>
      <c r="C31" s="303">
        <v>0.5</v>
      </c>
      <c r="D31" s="298">
        <v>0.5</v>
      </c>
      <c r="E31" s="127" t="s">
        <v>7</v>
      </c>
      <c r="F31" s="298">
        <v>0.5</v>
      </c>
      <c r="G31" s="298">
        <v>0.5</v>
      </c>
      <c r="H31" s="127" t="s">
        <v>7</v>
      </c>
      <c r="I31" s="299">
        <v>0.5</v>
      </c>
      <c r="J31" s="271">
        <v>0.5</v>
      </c>
      <c r="K31" s="268">
        <v>0.5</v>
      </c>
      <c r="L31" s="268">
        <v>0.5</v>
      </c>
      <c r="M31" s="268">
        <v>0.5</v>
      </c>
      <c r="N31" s="127" t="s">
        <v>7</v>
      </c>
      <c r="O31" s="127" t="s">
        <v>7</v>
      </c>
      <c r="P31" s="269">
        <v>0.5</v>
      </c>
      <c r="Q31" s="271">
        <v>0.5</v>
      </c>
      <c r="R31" s="268">
        <v>0.5</v>
      </c>
      <c r="S31" s="268">
        <v>0.5</v>
      </c>
      <c r="T31" s="268">
        <v>0.5</v>
      </c>
      <c r="U31" s="127" t="s">
        <v>7</v>
      </c>
      <c r="V31" s="127" t="s">
        <v>7</v>
      </c>
      <c r="W31" s="269">
        <v>0.5</v>
      </c>
      <c r="X31" s="228">
        <f t="shared" ref="X31:X67" si="3">IFERROR(MODE(Q31:W31),"OFF")</f>
        <v>0.5</v>
      </c>
      <c r="Y31" s="269">
        <v>0.5</v>
      </c>
    </row>
    <row r="32" spans="1:28" ht="15" x14ac:dyDescent="0.25">
      <c r="A32" s="178">
        <f>VLOOKUP(B32,Masterlist!B:E,2,)</f>
        <v>509378</v>
      </c>
      <c r="B32" s="266" t="s">
        <v>229</v>
      </c>
      <c r="C32" s="302">
        <v>0.66666666666666663</v>
      </c>
      <c r="D32" s="301">
        <v>0.66666666666666663</v>
      </c>
      <c r="E32" s="127" t="s">
        <v>7</v>
      </c>
      <c r="F32" s="301">
        <v>0.66666666666666663</v>
      </c>
      <c r="G32" s="301">
        <v>0.66666666666666663</v>
      </c>
      <c r="H32" s="127" t="s">
        <v>7</v>
      </c>
      <c r="I32" s="304">
        <v>0.66666666666666663</v>
      </c>
      <c r="J32" s="121">
        <v>0.66666666666666663</v>
      </c>
      <c r="K32" s="127">
        <v>0.66666666666666663</v>
      </c>
      <c r="L32" s="127">
        <v>0.66666666666666663</v>
      </c>
      <c r="M32" s="127">
        <v>0.66666666666666663</v>
      </c>
      <c r="N32" s="127" t="s">
        <v>7</v>
      </c>
      <c r="O32" s="127" t="s">
        <v>7</v>
      </c>
      <c r="P32" s="117">
        <v>0.66666666666666663</v>
      </c>
      <c r="Q32" s="121">
        <v>0.66666666666666663</v>
      </c>
      <c r="R32" s="127">
        <v>0.66666666666666663</v>
      </c>
      <c r="S32" s="127">
        <v>0.66666666666666663</v>
      </c>
      <c r="T32" s="127">
        <v>0.66666666666666663</v>
      </c>
      <c r="U32" s="127" t="s">
        <v>7</v>
      </c>
      <c r="V32" s="127" t="s">
        <v>7</v>
      </c>
      <c r="W32" s="117">
        <v>0.66666666666666663</v>
      </c>
      <c r="X32" s="228">
        <f t="shared" si="3"/>
        <v>0.66666666666666663</v>
      </c>
      <c r="Y32" s="269">
        <v>0.58333333333333337</v>
      </c>
    </row>
    <row r="33" spans="1:25" ht="15" x14ac:dyDescent="0.25">
      <c r="A33" s="178">
        <f>VLOOKUP(B33,Masterlist!B:E,2,)</f>
        <v>509525</v>
      </c>
      <c r="B33" s="266" t="s">
        <v>233</v>
      </c>
      <c r="C33" s="302">
        <v>0.66666666666666663</v>
      </c>
      <c r="D33" s="301">
        <v>0.66666666666666663</v>
      </c>
      <c r="E33" s="127" t="s">
        <v>7</v>
      </c>
      <c r="F33" s="301">
        <v>0.66666666666666663</v>
      </c>
      <c r="G33" s="301">
        <v>0.66666666666666663</v>
      </c>
      <c r="H33" s="127" t="s">
        <v>7</v>
      </c>
      <c r="I33" s="304">
        <v>0.66666666666666663</v>
      </c>
      <c r="J33" s="121">
        <v>0.66666666666666663</v>
      </c>
      <c r="K33" s="127">
        <v>0.66666666666666663</v>
      </c>
      <c r="L33" s="127">
        <v>0.66666666666666663</v>
      </c>
      <c r="M33" s="127">
        <v>0.66666666666666663</v>
      </c>
      <c r="N33" s="127" t="s">
        <v>7</v>
      </c>
      <c r="O33" s="127" t="s">
        <v>7</v>
      </c>
      <c r="P33" s="117">
        <v>0.66666666666666663</v>
      </c>
      <c r="Q33" s="121">
        <v>0.66666666666666663</v>
      </c>
      <c r="R33" s="127">
        <v>0.66666666666666663</v>
      </c>
      <c r="S33" s="127">
        <v>0.66666666666666663</v>
      </c>
      <c r="T33" s="127">
        <v>0.66666666666666663</v>
      </c>
      <c r="U33" s="127" t="s">
        <v>7</v>
      </c>
      <c r="V33" s="127" t="s">
        <v>7</v>
      </c>
      <c r="W33" s="117">
        <v>0.66666666666666663</v>
      </c>
      <c r="X33" s="228">
        <f t="shared" si="3"/>
        <v>0.66666666666666663</v>
      </c>
      <c r="Y33" s="269">
        <v>0.58333333333333337</v>
      </c>
    </row>
    <row r="34" spans="1:25" ht="15" x14ac:dyDescent="0.25">
      <c r="A34" s="178">
        <f>VLOOKUP(B34,Masterlist!B:E,2,)</f>
        <v>512689</v>
      </c>
      <c r="B34" s="270" t="s">
        <v>302</v>
      </c>
      <c r="C34" s="303">
        <v>0.5</v>
      </c>
      <c r="D34" s="298">
        <v>0.5</v>
      </c>
      <c r="E34" s="127" t="s">
        <v>7</v>
      </c>
      <c r="F34" s="298">
        <v>0.5</v>
      </c>
      <c r="G34" s="298">
        <v>0.5</v>
      </c>
      <c r="H34" s="127" t="s">
        <v>7</v>
      </c>
      <c r="I34" s="299">
        <v>0.5</v>
      </c>
      <c r="J34" s="271">
        <v>0.5</v>
      </c>
      <c r="K34" s="268">
        <v>0.5</v>
      </c>
      <c r="L34" s="268">
        <v>0.5</v>
      </c>
      <c r="M34" s="268">
        <v>0.5</v>
      </c>
      <c r="N34" s="127" t="s">
        <v>7</v>
      </c>
      <c r="O34" s="127" t="s">
        <v>7</v>
      </c>
      <c r="P34" s="269">
        <v>0.5</v>
      </c>
      <c r="Q34" s="271">
        <v>0.5</v>
      </c>
      <c r="R34" s="268">
        <v>0.5</v>
      </c>
      <c r="S34" s="268">
        <v>0.5</v>
      </c>
      <c r="T34" s="268">
        <v>0.5</v>
      </c>
      <c r="U34" s="127" t="s">
        <v>7</v>
      </c>
      <c r="V34" s="127" t="s">
        <v>7</v>
      </c>
      <c r="W34" s="269">
        <v>0.5</v>
      </c>
      <c r="X34" s="228">
        <f t="shared" si="3"/>
        <v>0.5</v>
      </c>
      <c r="Y34" s="269">
        <v>0.5</v>
      </c>
    </row>
    <row r="35" spans="1:25" ht="15" x14ac:dyDescent="0.25">
      <c r="A35" s="178">
        <f>VLOOKUP(B35,Masterlist!B:E,2,)</f>
        <v>512749</v>
      </c>
      <c r="B35" s="270" t="s">
        <v>310</v>
      </c>
      <c r="C35" s="302">
        <v>0.66666666666666663</v>
      </c>
      <c r="D35" s="301">
        <v>0.66666666666666663</v>
      </c>
      <c r="E35" s="127" t="s">
        <v>7</v>
      </c>
      <c r="F35" s="301">
        <v>0.66666666666666663</v>
      </c>
      <c r="G35" s="301">
        <v>0.66666666666666663</v>
      </c>
      <c r="H35" s="127" t="s">
        <v>7</v>
      </c>
      <c r="I35" s="304">
        <v>0.66666666666666663</v>
      </c>
      <c r="J35" s="121">
        <v>0.66666666666666663</v>
      </c>
      <c r="K35" s="127">
        <v>0.66666666666666663</v>
      </c>
      <c r="L35" s="127">
        <v>0.66666666666666663</v>
      </c>
      <c r="M35" s="127">
        <v>0.66666666666666663</v>
      </c>
      <c r="N35" s="127" t="s">
        <v>7</v>
      </c>
      <c r="O35" s="127" t="s">
        <v>7</v>
      </c>
      <c r="P35" s="117">
        <v>0.66666666666666663</v>
      </c>
      <c r="Q35" s="121">
        <v>0.66666666666666663</v>
      </c>
      <c r="R35" s="127">
        <v>0.66666666666666663</v>
      </c>
      <c r="S35" s="127">
        <v>0.66666666666666663</v>
      </c>
      <c r="T35" s="127">
        <v>0.66666666666666663</v>
      </c>
      <c r="U35" s="127" t="s">
        <v>7</v>
      </c>
      <c r="V35" s="127" t="s">
        <v>7</v>
      </c>
      <c r="W35" s="117">
        <v>0.66666666666666663</v>
      </c>
      <c r="X35" s="228">
        <f t="shared" si="3"/>
        <v>0.66666666666666663</v>
      </c>
      <c r="Y35" s="269">
        <v>0.58333333333333337</v>
      </c>
    </row>
    <row r="36" spans="1:25" ht="15" x14ac:dyDescent="0.25">
      <c r="A36" s="178">
        <f>VLOOKUP(B36,Masterlist!B:E,2,)</f>
        <v>512732</v>
      </c>
      <c r="B36" s="270" t="s">
        <v>311</v>
      </c>
      <c r="C36" s="302">
        <v>0.66666666666666663</v>
      </c>
      <c r="D36" s="301">
        <v>0.66666666666666663</v>
      </c>
      <c r="E36" s="127" t="s">
        <v>7</v>
      </c>
      <c r="F36" s="301">
        <v>0.66666666666666663</v>
      </c>
      <c r="G36" s="301">
        <v>0.66666666666666663</v>
      </c>
      <c r="H36" s="127" t="s">
        <v>7</v>
      </c>
      <c r="I36" s="304">
        <v>0.66666666666666663</v>
      </c>
      <c r="J36" s="121">
        <v>0.66666666666666663</v>
      </c>
      <c r="K36" s="127">
        <v>0.66666666666666663</v>
      </c>
      <c r="L36" s="127">
        <v>0.66666666666666663</v>
      </c>
      <c r="M36" s="127">
        <v>0.66666666666666663</v>
      </c>
      <c r="N36" s="127" t="s">
        <v>7</v>
      </c>
      <c r="O36" s="127" t="s">
        <v>7</v>
      </c>
      <c r="P36" s="117">
        <v>0.66666666666666663</v>
      </c>
      <c r="Q36" s="121">
        <v>0.66666666666666663</v>
      </c>
      <c r="R36" s="127">
        <v>0.66666666666666663</v>
      </c>
      <c r="S36" s="127">
        <v>0.66666666666666663</v>
      </c>
      <c r="T36" s="127">
        <v>0.66666666666666663</v>
      </c>
      <c r="U36" s="127" t="s">
        <v>7</v>
      </c>
      <c r="V36" s="127" t="s">
        <v>7</v>
      </c>
      <c r="W36" s="117">
        <v>0.66666666666666663</v>
      </c>
      <c r="X36" s="228">
        <f t="shared" si="3"/>
        <v>0.66666666666666663</v>
      </c>
      <c r="Y36" s="269">
        <v>0.58333333333333337</v>
      </c>
    </row>
    <row r="37" spans="1:25" ht="15" x14ac:dyDescent="0.25">
      <c r="A37" s="178">
        <f>VLOOKUP(B37,Masterlist!B:E,2,)</f>
        <v>516478</v>
      </c>
      <c r="B37" s="270" t="s">
        <v>304</v>
      </c>
      <c r="C37" s="303">
        <v>0.5</v>
      </c>
      <c r="D37" s="298">
        <v>0.5</v>
      </c>
      <c r="E37" s="127" t="s">
        <v>7</v>
      </c>
      <c r="F37" s="298">
        <v>0.5</v>
      </c>
      <c r="G37" s="298">
        <v>0.5</v>
      </c>
      <c r="H37" s="127" t="s">
        <v>7</v>
      </c>
      <c r="I37" s="299">
        <v>0.5</v>
      </c>
      <c r="J37" s="271">
        <v>0.5</v>
      </c>
      <c r="K37" s="268">
        <v>0.5</v>
      </c>
      <c r="L37" s="268">
        <v>0.5</v>
      </c>
      <c r="M37" s="268">
        <v>0.5</v>
      </c>
      <c r="N37" s="127" t="s">
        <v>7</v>
      </c>
      <c r="O37" s="127" t="s">
        <v>7</v>
      </c>
      <c r="P37" s="269">
        <v>0.5</v>
      </c>
      <c r="Q37" s="271">
        <v>0.5</v>
      </c>
      <c r="R37" s="268">
        <v>0.5</v>
      </c>
      <c r="S37" s="268">
        <v>0.5</v>
      </c>
      <c r="T37" s="268">
        <v>0.5</v>
      </c>
      <c r="U37" s="127" t="s">
        <v>7</v>
      </c>
      <c r="V37" s="127" t="s">
        <v>7</v>
      </c>
      <c r="W37" s="269">
        <v>0.5</v>
      </c>
      <c r="X37" s="228">
        <f t="shared" si="3"/>
        <v>0.5</v>
      </c>
      <c r="Y37" s="269">
        <v>0.5</v>
      </c>
    </row>
    <row r="38" spans="1:25" ht="15" x14ac:dyDescent="0.25">
      <c r="A38" s="178">
        <f>VLOOKUP(B38,Masterlist!B:E,2,)</f>
        <v>516492</v>
      </c>
      <c r="B38" s="270" t="s">
        <v>312</v>
      </c>
      <c r="C38" s="302">
        <v>0.66666666666666663</v>
      </c>
      <c r="D38" s="301">
        <v>0.66666666666666663</v>
      </c>
      <c r="E38" s="127" t="s">
        <v>7</v>
      </c>
      <c r="F38" s="301">
        <v>0.66666666666666663</v>
      </c>
      <c r="G38" s="301">
        <v>0.66666666666666663</v>
      </c>
      <c r="H38" s="127" t="s">
        <v>7</v>
      </c>
      <c r="I38" s="304">
        <v>0.66666666666666663</v>
      </c>
      <c r="J38" s="121">
        <v>0.66666666666666663</v>
      </c>
      <c r="K38" s="127">
        <v>0.66666666666666663</v>
      </c>
      <c r="L38" s="127">
        <v>0.66666666666666663</v>
      </c>
      <c r="M38" s="127">
        <v>0.66666666666666663</v>
      </c>
      <c r="N38" s="127" t="s">
        <v>7</v>
      </c>
      <c r="O38" s="127" t="s">
        <v>7</v>
      </c>
      <c r="P38" s="117">
        <v>0.66666666666666663</v>
      </c>
      <c r="Q38" s="121">
        <v>0.66666666666666663</v>
      </c>
      <c r="R38" s="127">
        <v>0.66666666666666663</v>
      </c>
      <c r="S38" s="127">
        <v>0.66666666666666663</v>
      </c>
      <c r="T38" s="127">
        <v>0.66666666666666663</v>
      </c>
      <c r="U38" s="127" t="s">
        <v>7</v>
      </c>
      <c r="V38" s="127" t="s">
        <v>7</v>
      </c>
      <c r="W38" s="117">
        <v>0.66666666666666663</v>
      </c>
      <c r="X38" s="228">
        <f t="shared" si="3"/>
        <v>0.66666666666666663</v>
      </c>
      <c r="Y38" s="269">
        <v>0.58333333333333337</v>
      </c>
    </row>
    <row r="39" spans="1:25" ht="15" x14ac:dyDescent="0.25">
      <c r="A39" s="178">
        <f>VLOOKUP(B39,Masterlist!B:E,2,)</f>
        <v>505816</v>
      </c>
      <c r="B39" s="284" t="s">
        <v>263</v>
      </c>
      <c r="C39" s="302">
        <v>0.66666666666666663</v>
      </c>
      <c r="D39" s="301">
        <v>0.66666666666666663</v>
      </c>
      <c r="E39" s="127" t="s">
        <v>7</v>
      </c>
      <c r="F39" s="301">
        <v>0.66666666666666663</v>
      </c>
      <c r="G39" s="301">
        <v>0.66666666666666663</v>
      </c>
      <c r="H39" s="127" t="s">
        <v>7</v>
      </c>
      <c r="I39" s="304">
        <v>0.66666666666666663</v>
      </c>
      <c r="J39" s="121">
        <v>0.66666666666666663</v>
      </c>
      <c r="K39" s="127">
        <v>0.66666666666666663</v>
      </c>
      <c r="L39" s="127">
        <v>0.66666666666666663</v>
      </c>
      <c r="M39" s="127">
        <v>0.66666666666666663</v>
      </c>
      <c r="N39" s="127" t="s">
        <v>7</v>
      </c>
      <c r="O39" s="127" t="s">
        <v>7</v>
      </c>
      <c r="P39" s="117">
        <v>0.66666666666666663</v>
      </c>
      <c r="Q39" s="121">
        <v>0.66666666666666663</v>
      </c>
      <c r="R39" s="127">
        <v>0.66666666666666663</v>
      </c>
      <c r="S39" s="127">
        <v>0.66666666666666663</v>
      </c>
      <c r="T39" s="127">
        <v>0.66666666666666663</v>
      </c>
      <c r="U39" s="127" t="s">
        <v>7</v>
      </c>
      <c r="V39" s="127" t="s">
        <v>7</v>
      </c>
      <c r="W39" s="117">
        <v>0.66666666666666663</v>
      </c>
      <c r="X39" s="228">
        <f t="shared" si="3"/>
        <v>0.66666666666666663</v>
      </c>
      <c r="Y39" s="269">
        <v>0.58333333333333337</v>
      </c>
    </row>
    <row r="40" spans="1:25" ht="15" x14ac:dyDescent="0.25">
      <c r="A40" s="178">
        <f>VLOOKUP(B40,Masterlist!B:E,2,)</f>
        <v>516334</v>
      </c>
      <c r="B40" s="270" t="s">
        <v>314</v>
      </c>
      <c r="C40" s="268">
        <v>0.58333333333333337</v>
      </c>
      <c r="D40" s="268">
        <v>0.58333333333333337</v>
      </c>
      <c r="E40" s="268">
        <v>0.58333333333333337</v>
      </c>
      <c r="F40" s="268">
        <v>0.58333333333333337</v>
      </c>
      <c r="G40" s="268">
        <v>0.58333333333333337</v>
      </c>
      <c r="H40" s="267" t="s">
        <v>7</v>
      </c>
      <c r="I40" s="272" t="s">
        <v>7</v>
      </c>
      <c r="J40" s="121">
        <v>0.58333333333333337</v>
      </c>
      <c r="K40" s="127">
        <v>0.58333333333333337</v>
      </c>
      <c r="L40" s="127">
        <v>0.58333333333333337</v>
      </c>
      <c r="M40" s="127">
        <v>0.58333333333333337</v>
      </c>
      <c r="N40" s="127">
        <v>0.58333333333333337</v>
      </c>
      <c r="O40" s="127" t="s">
        <v>7</v>
      </c>
      <c r="P40" s="117" t="s">
        <v>7</v>
      </c>
      <c r="Q40" s="121">
        <v>0.58333333333333337</v>
      </c>
      <c r="R40" s="127">
        <v>0.58333333333333337</v>
      </c>
      <c r="S40" s="127">
        <v>0.58333333333333337</v>
      </c>
      <c r="T40" s="127">
        <v>0.58333333333333337</v>
      </c>
      <c r="U40" s="127">
        <v>0.58333333333333337</v>
      </c>
      <c r="V40" s="127" t="s">
        <v>7</v>
      </c>
      <c r="W40" s="117" t="s">
        <v>7</v>
      </c>
      <c r="X40" s="228">
        <f t="shared" si="3"/>
        <v>0.58333333333333337</v>
      </c>
      <c r="Y40" s="272" t="s">
        <v>7</v>
      </c>
    </row>
    <row r="41" spans="1:25" ht="15" x14ac:dyDescent="0.25">
      <c r="A41" s="178">
        <f>VLOOKUP(B41,Masterlist!B:E,2,)</f>
        <v>516490</v>
      </c>
      <c r="B41" s="270" t="s">
        <v>359</v>
      </c>
      <c r="C41" s="268">
        <v>0.58333333333333337</v>
      </c>
      <c r="D41" s="268">
        <v>0.58333333333333337</v>
      </c>
      <c r="E41" s="268">
        <v>0.58333333333333337</v>
      </c>
      <c r="F41" s="268">
        <v>0.58333333333333337</v>
      </c>
      <c r="G41" s="268">
        <v>0.58333333333333337</v>
      </c>
      <c r="H41" s="267" t="s">
        <v>7</v>
      </c>
      <c r="I41" s="272" t="s">
        <v>7</v>
      </c>
      <c r="J41" s="121">
        <v>0.58333333333333337</v>
      </c>
      <c r="K41" s="127">
        <v>0.58333333333333337</v>
      </c>
      <c r="L41" s="127">
        <v>0.58333333333333337</v>
      </c>
      <c r="M41" s="127">
        <v>0.58333333333333337</v>
      </c>
      <c r="N41" s="127">
        <v>0.58333333333333337</v>
      </c>
      <c r="O41" s="127" t="s">
        <v>7</v>
      </c>
      <c r="P41" s="117" t="s">
        <v>7</v>
      </c>
      <c r="Q41" s="121">
        <v>0.58333333333333337</v>
      </c>
      <c r="R41" s="127">
        <v>0.58333333333333337</v>
      </c>
      <c r="S41" s="127">
        <v>0.58333333333333337</v>
      </c>
      <c r="T41" s="127">
        <v>0.58333333333333337</v>
      </c>
      <c r="U41" s="127">
        <v>0.58333333333333337</v>
      </c>
      <c r="V41" s="127" t="s">
        <v>7</v>
      </c>
      <c r="W41" s="117" t="s">
        <v>7</v>
      </c>
      <c r="X41" s="228">
        <f t="shared" si="3"/>
        <v>0.58333333333333337</v>
      </c>
      <c r="Y41" s="272" t="s">
        <v>7</v>
      </c>
    </row>
    <row r="42" spans="1:25" ht="15" x14ac:dyDescent="0.25">
      <c r="A42" s="178">
        <f>VLOOKUP(B42,Masterlist!B:E,2,)</f>
        <v>516119</v>
      </c>
      <c r="B42" s="270" t="s">
        <v>360</v>
      </c>
      <c r="C42" s="268">
        <v>0.58333333333333337</v>
      </c>
      <c r="D42" s="268">
        <v>0.58333333333333337</v>
      </c>
      <c r="E42" s="268">
        <v>0.58333333333333337</v>
      </c>
      <c r="F42" s="268">
        <v>0.58333333333333337</v>
      </c>
      <c r="G42" s="268">
        <v>0.58333333333333337</v>
      </c>
      <c r="H42" s="267" t="s">
        <v>7</v>
      </c>
      <c r="I42" s="272" t="s">
        <v>7</v>
      </c>
      <c r="J42" s="121">
        <v>0.58333333333333337</v>
      </c>
      <c r="K42" s="127">
        <v>0.58333333333333337</v>
      </c>
      <c r="L42" s="127">
        <v>0.58333333333333337</v>
      </c>
      <c r="M42" s="127">
        <v>0.58333333333333337</v>
      </c>
      <c r="N42" s="127">
        <v>0.58333333333333337</v>
      </c>
      <c r="O42" s="127" t="s">
        <v>7</v>
      </c>
      <c r="P42" s="117" t="s">
        <v>7</v>
      </c>
      <c r="Q42" s="121">
        <v>0.58333333333333337</v>
      </c>
      <c r="R42" s="127">
        <v>0.58333333333333337</v>
      </c>
      <c r="S42" s="127">
        <v>0.58333333333333337</v>
      </c>
      <c r="T42" s="127">
        <v>0.58333333333333337</v>
      </c>
      <c r="U42" s="127">
        <v>0.58333333333333337</v>
      </c>
      <c r="V42" s="127" t="s">
        <v>7</v>
      </c>
      <c r="W42" s="117" t="s">
        <v>7</v>
      </c>
      <c r="X42" s="228">
        <f t="shared" si="3"/>
        <v>0.58333333333333337</v>
      </c>
      <c r="Y42" s="272" t="s">
        <v>7</v>
      </c>
    </row>
    <row r="43" spans="1:25" ht="15" x14ac:dyDescent="0.25">
      <c r="A43" s="178">
        <f>VLOOKUP(B43,Masterlist!B:E,2,)</f>
        <v>516907</v>
      </c>
      <c r="B43" s="270" t="s">
        <v>370</v>
      </c>
      <c r="C43" s="268">
        <v>0.58333333333333337</v>
      </c>
      <c r="D43" s="268">
        <v>0.58333333333333337</v>
      </c>
      <c r="E43" s="268">
        <v>0.58333333333333337</v>
      </c>
      <c r="F43" s="268">
        <v>0.58333333333333337</v>
      </c>
      <c r="G43" s="268">
        <v>0.58333333333333337</v>
      </c>
      <c r="H43" s="267" t="s">
        <v>7</v>
      </c>
      <c r="I43" s="272" t="s">
        <v>7</v>
      </c>
      <c r="J43" s="121">
        <v>0.58333333333333337</v>
      </c>
      <c r="K43" s="127">
        <v>0.58333333333333337</v>
      </c>
      <c r="L43" s="127">
        <v>0.58333333333333337</v>
      </c>
      <c r="M43" s="127">
        <v>0.58333333333333337</v>
      </c>
      <c r="N43" s="127">
        <v>0.58333333333333337</v>
      </c>
      <c r="O43" s="127" t="s">
        <v>7</v>
      </c>
      <c r="P43" s="117" t="s">
        <v>7</v>
      </c>
      <c r="Q43" s="121">
        <v>0.58333333333333337</v>
      </c>
      <c r="R43" s="127">
        <v>0.58333333333333337</v>
      </c>
      <c r="S43" s="127">
        <v>0.58333333333333337</v>
      </c>
      <c r="T43" s="127">
        <v>0.58333333333333337</v>
      </c>
      <c r="U43" s="127">
        <v>0.58333333333333337</v>
      </c>
      <c r="V43" s="127" t="s">
        <v>7</v>
      </c>
      <c r="W43" s="117" t="s">
        <v>7</v>
      </c>
      <c r="X43" s="228">
        <f t="shared" si="3"/>
        <v>0.58333333333333337</v>
      </c>
      <c r="Y43" s="272" t="s">
        <v>7</v>
      </c>
    </row>
    <row r="44" spans="1:25" ht="15" x14ac:dyDescent="0.25">
      <c r="A44" s="178">
        <f>VLOOKUP(B44,Masterlist!B:E,2,)</f>
        <v>516542</v>
      </c>
      <c r="B44" s="270" t="s">
        <v>362</v>
      </c>
      <c r="C44" s="268">
        <v>0.58333333333333337</v>
      </c>
      <c r="D44" s="268">
        <v>0.58333333333333337</v>
      </c>
      <c r="E44" s="268">
        <v>0.58333333333333337</v>
      </c>
      <c r="F44" s="268">
        <v>0.58333333333333337</v>
      </c>
      <c r="G44" s="268">
        <v>0.58333333333333337</v>
      </c>
      <c r="H44" s="267" t="s">
        <v>7</v>
      </c>
      <c r="I44" s="272" t="s">
        <v>7</v>
      </c>
      <c r="J44" s="121">
        <v>0.58333333333333337</v>
      </c>
      <c r="K44" s="127">
        <v>0.58333333333333337</v>
      </c>
      <c r="L44" s="127">
        <v>0.58333333333333337</v>
      </c>
      <c r="M44" s="127">
        <v>0.58333333333333337</v>
      </c>
      <c r="N44" s="127">
        <v>0.58333333333333337</v>
      </c>
      <c r="O44" s="127" t="s">
        <v>7</v>
      </c>
      <c r="P44" s="117" t="s">
        <v>7</v>
      </c>
      <c r="Q44" s="121">
        <v>0.58333333333333337</v>
      </c>
      <c r="R44" s="127">
        <v>0.58333333333333337</v>
      </c>
      <c r="S44" s="127">
        <v>0.58333333333333337</v>
      </c>
      <c r="T44" s="127">
        <v>0.58333333333333337</v>
      </c>
      <c r="U44" s="127">
        <v>0.58333333333333337</v>
      </c>
      <c r="V44" s="127" t="s">
        <v>7</v>
      </c>
      <c r="W44" s="117" t="s">
        <v>7</v>
      </c>
      <c r="X44" s="228">
        <f t="shared" si="3"/>
        <v>0.58333333333333337</v>
      </c>
      <c r="Y44" s="272" t="s">
        <v>7</v>
      </c>
    </row>
    <row r="45" spans="1:25" ht="15" x14ac:dyDescent="0.25">
      <c r="A45" s="178">
        <f>VLOOKUP(B45,Masterlist!B:E,2,)</f>
        <v>516909</v>
      </c>
      <c r="B45" s="270" t="s">
        <v>363</v>
      </c>
      <c r="C45" s="268">
        <v>0.58333333333333337</v>
      </c>
      <c r="D45" s="268">
        <v>0.58333333333333337</v>
      </c>
      <c r="E45" s="268">
        <v>0.58333333333333337</v>
      </c>
      <c r="F45" s="268">
        <v>0.58333333333333337</v>
      </c>
      <c r="G45" s="268">
        <v>0.58333333333333337</v>
      </c>
      <c r="H45" s="267" t="s">
        <v>7</v>
      </c>
      <c r="I45" s="272" t="s">
        <v>7</v>
      </c>
      <c r="J45" s="121">
        <v>0.58333333333333337</v>
      </c>
      <c r="K45" s="127">
        <v>0.58333333333333337</v>
      </c>
      <c r="L45" s="127">
        <v>0.58333333333333337</v>
      </c>
      <c r="M45" s="127">
        <v>0.58333333333333337</v>
      </c>
      <c r="N45" s="127">
        <v>0.58333333333333337</v>
      </c>
      <c r="O45" s="127" t="s">
        <v>7</v>
      </c>
      <c r="P45" s="117" t="s">
        <v>7</v>
      </c>
      <c r="Q45" s="121">
        <v>0.58333333333333337</v>
      </c>
      <c r="R45" s="127">
        <v>0.58333333333333337</v>
      </c>
      <c r="S45" s="127">
        <v>0.58333333333333337</v>
      </c>
      <c r="T45" s="127">
        <v>0.58333333333333337</v>
      </c>
      <c r="U45" s="127">
        <v>0.58333333333333337</v>
      </c>
      <c r="V45" s="127" t="s">
        <v>7</v>
      </c>
      <c r="W45" s="117" t="s">
        <v>7</v>
      </c>
      <c r="X45" s="228">
        <f t="shared" si="3"/>
        <v>0.58333333333333337</v>
      </c>
      <c r="Y45" s="272" t="s">
        <v>7</v>
      </c>
    </row>
    <row r="46" spans="1:25" ht="15" x14ac:dyDescent="0.25">
      <c r="A46" s="178">
        <f>VLOOKUP(B46,Masterlist!B:E,2,)</f>
        <v>512681</v>
      </c>
      <c r="B46" s="270" t="s">
        <v>364</v>
      </c>
      <c r="C46" s="268">
        <v>0.58333333333333337</v>
      </c>
      <c r="D46" s="268">
        <v>0.58333333333333337</v>
      </c>
      <c r="E46" s="268">
        <v>0.58333333333333337</v>
      </c>
      <c r="F46" s="268">
        <v>0.58333333333333337</v>
      </c>
      <c r="G46" s="268">
        <v>0.58333333333333337</v>
      </c>
      <c r="H46" s="267" t="s">
        <v>7</v>
      </c>
      <c r="I46" s="272" t="s">
        <v>7</v>
      </c>
      <c r="J46" s="121">
        <v>0.58333333333333337</v>
      </c>
      <c r="K46" s="127">
        <v>0.58333333333333337</v>
      </c>
      <c r="L46" s="127">
        <v>0.58333333333333337</v>
      </c>
      <c r="M46" s="127">
        <v>0.58333333333333337</v>
      </c>
      <c r="N46" s="127">
        <v>0.58333333333333337</v>
      </c>
      <c r="O46" s="127" t="s">
        <v>7</v>
      </c>
      <c r="P46" s="117" t="s">
        <v>7</v>
      </c>
      <c r="Q46" s="121">
        <v>0.58333333333333337</v>
      </c>
      <c r="R46" s="127">
        <v>0.58333333333333337</v>
      </c>
      <c r="S46" s="127">
        <v>0.58333333333333337</v>
      </c>
      <c r="T46" s="127">
        <v>0.58333333333333337</v>
      </c>
      <c r="U46" s="127">
        <v>0.58333333333333337</v>
      </c>
      <c r="V46" s="127" t="s">
        <v>7</v>
      </c>
      <c r="W46" s="117" t="s">
        <v>7</v>
      </c>
      <c r="X46" s="228">
        <f t="shared" si="3"/>
        <v>0.58333333333333337</v>
      </c>
      <c r="Y46" s="272" t="s">
        <v>7</v>
      </c>
    </row>
    <row r="47" spans="1:25" ht="15" x14ac:dyDescent="0.25">
      <c r="A47" s="178">
        <f>VLOOKUP(B47,Masterlist!B:E,2,)</f>
        <v>512741</v>
      </c>
      <c r="B47" s="270" t="s">
        <v>365</v>
      </c>
      <c r="C47" s="268">
        <v>0.58333333333333337</v>
      </c>
      <c r="D47" s="268">
        <v>0.58333333333333337</v>
      </c>
      <c r="E47" s="268">
        <v>0.58333333333333337</v>
      </c>
      <c r="F47" s="268">
        <v>0.58333333333333337</v>
      </c>
      <c r="G47" s="268">
        <v>0.58333333333333337</v>
      </c>
      <c r="H47" s="267" t="s">
        <v>7</v>
      </c>
      <c r="I47" s="272" t="s">
        <v>7</v>
      </c>
      <c r="J47" s="121">
        <v>0.58333333333333337</v>
      </c>
      <c r="K47" s="127">
        <v>0.58333333333333337</v>
      </c>
      <c r="L47" s="127">
        <v>0.58333333333333337</v>
      </c>
      <c r="M47" s="127">
        <v>0.58333333333333337</v>
      </c>
      <c r="N47" s="127">
        <v>0.58333333333333337</v>
      </c>
      <c r="O47" s="127" t="s">
        <v>7</v>
      </c>
      <c r="P47" s="117" t="s">
        <v>7</v>
      </c>
      <c r="Q47" s="121">
        <v>0.58333333333333337</v>
      </c>
      <c r="R47" s="127">
        <v>0.58333333333333337</v>
      </c>
      <c r="S47" s="127">
        <v>0.58333333333333337</v>
      </c>
      <c r="T47" s="127">
        <v>0.58333333333333337</v>
      </c>
      <c r="U47" s="127">
        <v>0.58333333333333337</v>
      </c>
      <c r="V47" s="127" t="s">
        <v>7</v>
      </c>
      <c r="W47" s="117" t="s">
        <v>7</v>
      </c>
      <c r="X47" s="228">
        <f t="shared" si="3"/>
        <v>0.58333333333333337</v>
      </c>
      <c r="Y47" s="272" t="s">
        <v>7</v>
      </c>
    </row>
    <row r="48" spans="1:25" ht="15" x14ac:dyDescent="0.25">
      <c r="A48" s="178">
        <f>VLOOKUP(B48,Masterlist!B:E,2,)</f>
        <v>512736</v>
      </c>
      <c r="B48" s="270" t="s">
        <v>366</v>
      </c>
      <c r="C48" s="268">
        <v>0.58333333333333337</v>
      </c>
      <c r="D48" s="268">
        <v>0.58333333333333337</v>
      </c>
      <c r="E48" s="268">
        <v>0.58333333333333337</v>
      </c>
      <c r="F48" s="268">
        <v>0.58333333333333337</v>
      </c>
      <c r="G48" s="268">
        <v>0.58333333333333337</v>
      </c>
      <c r="H48" s="267" t="s">
        <v>7</v>
      </c>
      <c r="I48" s="272" t="s">
        <v>7</v>
      </c>
      <c r="J48" s="121">
        <v>0.58333333333333337</v>
      </c>
      <c r="K48" s="127">
        <v>0.58333333333333337</v>
      </c>
      <c r="L48" s="127">
        <v>0.58333333333333337</v>
      </c>
      <c r="M48" s="127">
        <v>0.58333333333333337</v>
      </c>
      <c r="N48" s="127">
        <v>0.58333333333333337</v>
      </c>
      <c r="O48" s="127" t="s">
        <v>7</v>
      </c>
      <c r="P48" s="117" t="s">
        <v>7</v>
      </c>
      <c r="Q48" s="121">
        <v>0.58333333333333337</v>
      </c>
      <c r="R48" s="127">
        <v>0.58333333333333337</v>
      </c>
      <c r="S48" s="127">
        <v>0.58333333333333337</v>
      </c>
      <c r="T48" s="127">
        <v>0.58333333333333337</v>
      </c>
      <c r="U48" s="127">
        <v>0.58333333333333337</v>
      </c>
      <c r="V48" s="127" t="s">
        <v>7</v>
      </c>
      <c r="W48" s="117" t="s">
        <v>7</v>
      </c>
      <c r="X48" s="228">
        <f t="shared" si="3"/>
        <v>0.58333333333333337</v>
      </c>
      <c r="Y48" s="272" t="s">
        <v>7</v>
      </c>
    </row>
    <row r="49" spans="1:25" ht="15" x14ac:dyDescent="0.25">
      <c r="A49" s="178">
        <f>VLOOKUP(B49,Masterlist!B:E,2,)</f>
        <v>516243</v>
      </c>
      <c r="B49" s="270" t="s">
        <v>367</v>
      </c>
      <c r="C49" s="268">
        <v>0.58333333333333337</v>
      </c>
      <c r="D49" s="268">
        <v>0.58333333333333337</v>
      </c>
      <c r="E49" s="268">
        <v>0.58333333333333337</v>
      </c>
      <c r="F49" s="268">
        <v>0.58333333333333337</v>
      </c>
      <c r="G49" s="268">
        <v>0.58333333333333337</v>
      </c>
      <c r="H49" s="267" t="s">
        <v>7</v>
      </c>
      <c r="I49" s="272" t="s">
        <v>7</v>
      </c>
      <c r="J49" s="121">
        <v>0.58333333333333337</v>
      </c>
      <c r="K49" s="127">
        <v>0.58333333333333337</v>
      </c>
      <c r="L49" s="127">
        <v>0.58333333333333337</v>
      </c>
      <c r="M49" s="127">
        <v>0.58333333333333337</v>
      </c>
      <c r="N49" s="127">
        <v>0.58333333333333337</v>
      </c>
      <c r="O49" s="127" t="s">
        <v>7</v>
      </c>
      <c r="P49" s="117" t="s">
        <v>7</v>
      </c>
      <c r="Q49" s="121">
        <v>0.58333333333333337</v>
      </c>
      <c r="R49" s="127">
        <v>0.58333333333333337</v>
      </c>
      <c r="S49" s="127">
        <v>0.58333333333333337</v>
      </c>
      <c r="T49" s="127">
        <v>0.58333333333333337</v>
      </c>
      <c r="U49" s="127">
        <v>0.58333333333333337</v>
      </c>
      <c r="V49" s="127" t="s">
        <v>7</v>
      </c>
      <c r="W49" s="117" t="s">
        <v>7</v>
      </c>
      <c r="X49" s="228">
        <f t="shared" si="3"/>
        <v>0.58333333333333337</v>
      </c>
      <c r="Y49" s="272" t="s">
        <v>7</v>
      </c>
    </row>
    <row r="50" spans="1:25" ht="15" x14ac:dyDescent="0.25">
      <c r="A50" s="178">
        <f>VLOOKUP(B50,Masterlist!B:E,2,)</f>
        <v>516328</v>
      </c>
      <c r="B50" s="270" t="s">
        <v>368</v>
      </c>
      <c r="C50" s="268">
        <v>0.58333333333333337</v>
      </c>
      <c r="D50" s="268">
        <v>0.58333333333333337</v>
      </c>
      <c r="E50" s="268">
        <v>0.58333333333333337</v>
      </c>
      <c r="F50" s="268">
        <v>0.58333333333333337</v>
      </c>
      <c r="G50" s="268">
        <v>0.58333333333333337</v>
      </c>
      <c r="H50" s="267" t="s">
        <v>7</v>
      </c>
      <c r="I50" s="272" t="s">
        <v>7</v>
      </c>
      <c r="J50" s="121">
        <v>0.58333333333333337</v>
      </c>
      <c r="K50" s="127">
        <v>0.58333333333333337</v>
      </c>
      <c r="L50" s="127">
        <v>0.58333333333333337</v>
      </c>
      <c r="M50" s="127">
        <v>0.58333333333333337</v>
      </c>
      <c r="N50" s="127">
        <v>0.58333333333333337</v>
      </c>
      <c r="O50" s="127" t="s">
        <v>7</v>
      </c>
      <c r="P50" s="117" t="s">
        <v>7</v>
      </c>
      <c r="Q50" s="121">
        <v>0.58333333333333337</v>
      </c>
      <c r="R50" s="127">
        <v>0.58333333333333337</v>
      </c>
      <c r="S50" s="127">
        <v>0.58333333333333337</v>
      </c>
      <c r="T50" s="127">
        <v>0.58333333333333337</v>
      </c>
      <c r="U50" s="127">
        <v>0.58333333333333337</v>
      </c>
      <c r="V50" s="127" t="s">
        <v>7</v>
      </c>
      <c r="W50" s="117" t="s">
        <v>7</v>
      </c>
      <c r="X50" s="228">
        <f t="shared" si="3"/>
        <v>0.58333333333333337</v>
      </c>
      <c r="Y50" s="272" t="s">
        <v>7</v>
      </c>
    </row>
    <row r="51" spans="1:25" ht="15" x14ac:dyDescent="0.25">
      <c r="A51" s="178">
        <f>VLOOKUP(B51,Masterlist!B:E,2,)</f>
        <v>516927</v>
      </c>
      <c r="B51" s="270" t="s">
        <v>306</v>
      </c>
      <c r="C51" s="268">
        <v>0.875</v>
      </c>
      <c r="D51" s="268">
        <v>0.875</v>
      </c>
      <c r="E51" s="268">
        <v>0.875</v>
      </c>
      <c r="F51" s="267" t="s">
        <v>7</v>
      </c>
      <c r="G51" s="267" t="s">
        <v>7</v>
      </c>
      <c r="H51" s="268">
        <v>0.875</v>
      </c>
      <c r="I51" s="117">
        <v>0.875</v>
      </c>
      <c r="J51" s="121">
        <v>0.875</v>
      </c>
      <c r="K51" s="127">
        <v>0.875</v>
      </c>
      <c r="L51" s="127">
        <v>0.875</v>
      </c>
      <c r="M51" s="127" t="s">
        <v>7</v>
      </c>
      <c r="N51" s="127" t="s">
        <v>7</v>
      </c>
      <c r="O51" s="127">
        <v>0.875</v>
      </c>
      <c r="P51" s="117">
        <v>0.875</v>
      </c>
      <c r="Q51" s="121">
        <v>0.875</v>
      </c>
      <c r="R51" s="127">
        <v>0.875</v>
      </c>
      <c r="S51" s="127">
        <v>0.875</v>
      </c>
      <c r="T51" s="127" t="s">
        <v>7</v>
      </c>
      <c r="U51" s="127" t="s">
        <v>7</v>
      </c>
      <c r="V51" s="127">
        <v>0.875</v>
      </c>
      <c r="W51" s="117">
        <v>0.875</v>
      </c>
      <c r="X51" s="228">
        <f t="shared" si="3"/>
        <v>0.875</v>
      </c>
      <c r="Y51" s="269">
        <v>0.875</v>
      </c>
    </row>
    <row r="52" spans="1:25" ht="15" x14ac:dyDescent="0.25">
      <c r="A52" s="178">
        <f>VLOOKUP(B52,Masterlist!B:E,2,)</f>
        <v>512674</v>
      </c>
      <c r="B52" s="270" t="s">
        <v>307</v>
      </c>
      <c r="C52" s="268">
        <v>0.875</v>
      </c>
      <c r="D52" s="268">
        <v>0.875</v>
      </c>
      <c r="E52" s="268">
        <v>0.875</v>
      </c>
      <c r="F52" s="267" t="s">
        <v>7</v>
      </c>
      <c r="G52" s="267" t="s">
        <v>7</v>
      </c>
      <c r="H52" s="268">
        <v>0.875</v>
      </c>
      <c r="I52" s="117">
        <v>0.875</v>
      </c>
      <c r="J52" s="121">
        <v>0.875</v>
      </c>
      <c r="K52" s="127">
        <v>0.875</v>
      </c>
      <c r="L52" s="127">
        <v>0.875</v>
      </c>
      <c r="M52" s="127" t="s">
        <v>7</v>
      </c>
      <c r="N52" s="127" t="s">
        <v>7</v>
      </c>
      <c r="O52" s="127">
        <v>0.875</v>
      </c>
      <c r="P52" s="117">
        <v>0.875</v>
      </c>
      <c r="Q52" s="121">
        <v>0.875</v>
      </c>
      <c r="R52" s="127">
        <v>0.875</v>
      </c>
      <c r="S52" s="127">
        <v>0.875</v>
      </c>
      <c r="T52" s="127" t="s">
        <v>7</v>
      </c>
      <c r="U52" s="127" t="s">
        <v>7</v>
      </c>
      <c r="V52" s="127">
        <v>0.875</v>
      </c>
      <c r="W52" s="117">
        <v>0.875</v>
      </c>
      <c r="X52" s="228">
        <f t="shared" si="3"/>
        <v>0.875</v>
      </c>
      <c r="Y52" s="269">
        <v>0.875</v>
      </c>
    </row>
    <row r="53" spans="1:25" ht="15" x14ac:dyDescent="0.25">
      <c r="A53" s="178">
        <f>VLOOKUP(B53,Masterlist!B:E,2,)</f>
        <v>501649</v>
      </c>
      <c r="B53" s="266" t="s">
        <v>141</v>
      </c>
      <c r="C53" s="298">
        <v>0.875</v>
      </c>
      <c r="D53" s="298">
        <v>0.875</v>
      </c>
      <c r="E53" s="267" t="s">
        <v>7</v>
      </c>
      <c r="F53" s="298">
        <v>0.875</v>
      </c>
      <c r="G53" s="298">
        <v>0.875</v>
      </c>
      <c r="H53" s="267" t="s">
        <v>7</v>
      </c>
      <c r="I53" s="304">
        <v>0.875</v>
      </c>
      <c r="J53" s="121">
        <v>0.875</v>
      </c>
      <c r="K53" s="127">
        <v>0.875</v>
      </c>
      <c r="L53" s="127">
        <v>0.875</v>
      </c>
      <c r="M53" s="127">
        <v>0.875</v>
      </c>
      <c r="N53" s="127" t="s">
        <v>7</v>
      </c>
      <c r="O53" s="127" t="s">
        <v>7</v>
      </c>
      <c r="P53" s="117">
        <v>0.875</v>
      </c>
      <c r="Q53" s="121">
        <v>0.875</v>
      </c>
      <c r="R53" s="127">
        <v>0.875</v>
      </c>
      <c r="S53" s="127">
        <v>0.875</v>
      </c>
      <c r="T53" s="127">
        <v>0.875</v>
      </c>
      <c r="U53" s="127" t="s">
        <v>7</v>
      </c>
      <c r="V53" s="127" t="s">
        <v>7</v>
      </c>
      <c r="W53" s="117">
        <v>0.875</v>
      </c>
      <c r="X53" s="228">
        <f t="shared" si="3"/>
        <v>0.875</v>
      </c>
      <c r="Y53" s="269">
        <v>0.875</v>
      </c>
    </row>
    <row r="54" spans="1:25" ht="15" x14ac:dyDescent="0.25">
      <c r="A54" s="178">
        <f>VLOOKUP(B54,Masterlist!B:E,2,)</f>
        <v>268764</v>
      </c>
      <c r="B54" s="270" t="s">
        <v>128</v>
      </c>
      <c r="C54" s="298">
        <v>0.875</v>
      </c>
      <c r="D54" s="267" t="s">
        <v>7</v>
      </c>
      <c r="E54" s="298">
        <v>0.875</v>
      </c>
      <c r="F54" s="298">
        <v>0.875</v>
      </c>
      <c r="G54" s="267" t="s">
        <v>7</v>
      </c>
      <c r="H54" s="298">
        <v>0.875</v>
      </c>
      <c r="I54" s="304">
        <v>0.875</v>
      </c>
      <c r="J54" s="121">
        <v>0.875</v>
      </c>
      <c r="K54" s="127">
        <v>0.875</v>
      </c>
      <c r="L54" s="127">
        <v>0.875</v>
      </c>
      <c r="M54" s="127" t="s">
        <v>7</v>
      </c>
      <c r="N54" s="127" t="s">
        <v>7</v>
      </c>
      <c r="O54" s="127">
        <v>0.875</v>
      </c>
      <c r="P54" s="117">
        <v>0.875</v>
      </c>
      <c r="Q54" s="121">
        <v>0.875</v>
      </c>
      <c r="R54" s="127">
        <v>0.875</v>
      </c>
      <c r="S54" s="127">
        <v>0.875</v>
      </c>
      <c r="T54" s="127" t="s">
        <v>7</v>
      </c>
      <c r="U54" s="127" t="s">
        <v>7</v>
      </c>
      <c r="V54" s="127">
        <v>0.875</v>
      </c>
      <c r="W54" s="117">
        <v>0.875</v>
      </c>
      <c r="X54" s="228">
        <f t="shared" si="3"/>
        <v>0.875</v>
      </c>
      <c r="Y54" s="269">
        <v>0.875</v>
      </c>
    </row>
    <row r="55" spans="1:25" ht="15" x14ac:dyDescent="0.25">
      <c r="A55" s="178">
        <f>VLOOKUP(B55,Masterlist!B:E,2,)</f>
        <v>351097</v>
      </c>
      <c r="B55" s="266" t="s">
        <v>19</v>
      </c>
      <c r="C55" s="268">
        <v>0.875</v>
      </c>
      <c r="D55" s="268">
        <v>0.875</v>
      </c>
      <c r="E55" s="268">
        <v>0.875</v>
      </c>
      <c r="F55" s="268">
        <v>0.875</v>
      </c>
      <c r="G55" s="267" t="s">
        <v>7</v>
      </c>
      <c r="H55" s="267" t="s">
        <v>7</v>
      </c>
      <c r="I55" s="117">
        <v>0.875</v>
      </c>
      <c r="J55" s="121">
        <v>0.875</v>
      </c>
      <c r="K55" s="127">
        <v>0.875</v>
      </c>
      <c r="L55" s="127">
        <v>0.875</v>
      </c>
      <c r="M55" s="127">
        <v>0.875</v>
      </c>
      <c r="N55" s="127" t="s">
        <v>7</v>
      </c>
      <c r="O55" s="127" t="s">
        <v>7</v>
      </c>
      <c r="P55" s="117">
        <v>0.875</v>
      </c>
      <c r="Q55" s="121">
        <v>0.875</v>
      </c>
      <c r="R55" s="127">
        <v>0.875</v>
      </c>
      <c r="S55" s="127">
        <v>0.875</v>
      </c>
      <c r="T55" s="127">
        <v>0.875</v>
      </c>
      <c r="U55" s="127" t="s">
        <v>7</v>
      </c>
      <c r="V55" s="127" t="s">
        <v>7</v>
      </c>
      <c r="W55" s="117">
        <v>0.875</v>
      </c>
      <c r="X55" s="228">
        <f t="shared" si="3"/>
        <v>0.875</v>
      </c>
      <c r="Y55" s="269">
        <v>0.875</v>
      </c>
    </row>
    <row r="56" spans="1:25" s="250" customFormat="1" ht="15" x14ac:dyDescent="0.25">
      <c r="A56" s="178">
        <f>VLOOKUP(B56,Masterlist!B:E,2,)</f>
        <v>267728</v>
      </c>
      <c r="B56" s="266" t="s">
        <v>102</v>
      </c>
      <c r="C56" s="268">
        <v>0.875</v>
      </c>
      <c r="D56" s="268">
        <v>0.875</v>
      </c>
      <c r="E56" s="268">
        <v>0.875</v>
      </c>
      <c r="F56" s="268">
        <v>0.875</v>
      </c>
      <c r="G56" s="267" t="s">
        <v>7</v>
      </c>
      <c r="H56" s="267" t="s">
        <v>7</v>
      </c>
      <c r="I56" s="117">
        <v>0.875</v>
      </c>
      <c r="J56" s="121">
        <v>0.875</v>
      </c>
      <c r="K56" s="127">
        <v>0.875</v>
      </c>
      <c r="L56" s="127">
        <v>0.875</v>
      </c>
      <c r="M56" s="127">
        <v>0.875</v>
      </c>
      <c r="N56" s="127" t="s">
        <v>7</v>
      </c>
      <c r="O56" s="127" t="s">
        <v>7</v>
      </c>
      <c r="P56" s="117">
        <v>0.875</v>
      </c>
      <c r="Q56" s="121">
        <v>0.875</v>
      </c>
      <c r="R56" s="127">
        <v>0.875</v>
      </c>
      <c r="S56" s="127">
        <v>0.875</v>
      </c>
      <c r="T56" s="127">
        <v>0.875</v>
      </c>
      <c r="U56" s="127" t="s">
        <v>7</v>
      </c>
      <c r="V56" s="127" t="s">
        <v>7</v>
      </c>
      <c r="W56" s="117">
        <v>0.875</v>
      </c>
      <c r="X56" s="228">
        <f t="shared" si="3"/>
        <v>0.875</v>
      </c>
      <c r="Y56" s="269">
        <v>0.875</v>
      </c>
    </row>
    <row r="57" spans="1:25" ht="15" x14ac:dyDescent="0.25">
      <c r="A57" s="178">
        <f>VLOOKUP(B57,Masterlist!B:E,2,)</f>
        <v>251152</v>
      </c>
      <c r="B57" s="266" t="s">
        <v>107</v>
      </c>
      <c r="C57" s="267" t="s">
        <v>7</v>
      </c>
      <c r="D57" s="268">
        <v>0.875</v>
      </c>
      <c r="E57" s="268">
        <v>0.875</v>
      </c>
      <c r="F57" s="268">
        <v>0.875</v>
      </c>
      <c r="G57" s="268">
        <v>0.875</v>
      </c>
      <c r="H57" s="268">
        <v>0.875</v>
      </c>
      <c r="I57" s="272" t="s">
        <v>7</v>
      </c>
      <c r="J57" s="121" t="s">
        <v>7</v>
      </c>
      <c r="K57" s="127">
        <v>0.875</v>
      </c>
      <c r="L57" s="127">
        <v>0.875</v>
      </c>
      <c r="M57" s="127">
        <v>0.875</v>
      </c>
      <c r="N57" s="127">
        <v>0.875</v>
      </c>
      <c r="O57" s="127">
        <v>0.875</v>
      </c>
      <c r="P57" s="117" t="s">
        <v>7</v>
      </c>
      <c r="Q57" s="121" t="s">
        <v>7</v>
      </c>
      <c r="R57" s="127">
        <v>0.875</v>
      </c>
      <c r="S57" s="127">
        <v>0.875</v>
      </c>
      <c r="T57" s="127">
        <v>0.875</v>
      </c>
      <c r="U57" s="127">
        <v>0.875</v>
      </c>
      <c r="V57" s="127">
        <v>0.875</v>
      </c>
      <c r="W57" s="117" t="s">
        <v>7</v>
      </c>
      <c r="X57" s="228">
        <f t="shared" si="3"/>
        <v>0.875</v>
      </c>
      <c r="Y57" s="272" t="s">
        <v>7</v>
      </c>
    </row>
    <row r="58" spans="1:25" s="250" customFormat="1" ht="15" x14ac:dyDescent="0.25">
      <c r="A58" s="178">
        <f>VLOOKUP(B58,Masterlist!B:E,2,)</f>
        <v>268947</v>
      </c>
      <c r="B58" s="266" t="s">
        <v>109</v>
      </c>
      <c r="C58" s="268">
        <v>0.875</v>
      </c>
      <c r="D58" s="268">
        <v>0.875</v>
      </c>
      <c r="E58" s="268">
        <v>0.875</v>
      </c>
      <c r="F58" s="268">
        <v>0.875</v>
      </c>
      <c r="G58" s="268">
        <v>0.875</v>
      </c>
      <c r="H58" s="267" t="s">
        <v>7</v>
      </c>
      <c r="I58" s="272" t="s">
        <v>7</v>
      </c>
      <c r="J58" s="121">
        <v>0.875</v>
      </c>
      <c r="K58" s="127">
        <v>0.875</v>
      </c>
      <c r="L58" s="127">
        <v>0.875</v>
      </c>
      <c r="M58" s="127">
        <v>0.875</v>
      </c>
      <c r="N58" s="127">
        <v>0.875</v>
      </c>
      <c r="O58" s="127" t="s">
        <v>7</v>
      </c>
      <c r="P58" s="117" t="s">
        <v>7</v>
      </c>
      <c r="Q58" s="121">
        <v>0.875</v>
      </c>
      <c r="R58" s="127">
        <v>0.875</v>
      </c>
      <c r="S58" s="127">
        <v>0.875</v>
      </c>
      <c r="T58" s="127">
        <v>0.875</v>
      </c>
      <c r="U58" s="127">
        <v>0.875</v>
      </c>
      <c r="V58" s="127" t="s">
        <v>7</v>
      </c>
      <c r="W58" s="117" t="s">
        <v>7</v>
      </c>
      <c r="X58" s="228">
        <f t="shared" si="3"/>
        <v>0.875</v>
      </c>
      <c r="Y58" s="272" t="s">
        <v>7</v>
      </c>
    </row>
    <row r="59" spans="1:25" ht="15" x14ac:dyDescent="0.25">
      <c r="A59" s="178">
        <f>VLOOKUP(B59,Masterlist!B:E,2,)</f>
        <v>509377</v>
      </c>
      <c r="B59" s="287" t="s">
        <v>228</v>
      </c>
      <c r="C59" s="267" t="s">
        <v>7</v>
      </c>
      <c r="D59" s="267" t="s">
        <v>7</v>
      </c>
      <c r="E59" s="267" t="s">
        <v>7</v>
      </c>
      <c r="F59" s="267" t="s">
        <v>7</v>
      </c>
      <c r="G59" s="267" t="s">
        <v>7</v>
      </c>
      <c r="H59" s="267" t="s">
        <v>7</v>
      </c>
      <c r="I59" s="272" t="s">
        <v>7</v>
      </c>
      <c r="J59" s="121" t="s">
        <v>7</v>
      </c>
      <c r="K59" s="127" t="s">
        <v>7</v>
      </c>
      <c r="L59" s="127" t="s">
        <v>7</v>
      </c>
      <c r="M59" s="127" t="s">
        <v>7</v>
      </c>
      <c r="N59" s="127" t="s">
        <v>7</v>
      </c>
      <c r="O59" s="127" t="s">
        <v>7</v>
      </c>
      <c r="P59" s="117" t="s">
        <v>7</v>
      </c>
      <c r="Q59" s="121" t="s">
        <v>7</v>
      </c>
      <c r="R59" s="127" t="s">
        <v>7</v>
      </c>
      <c r="S59" s="127" t="s">
        <v>7</v>
      </c>
      <c r="T59" s="127" t="s">
        <v>7</v>
      </c>
      <c r="U59" s="127" t="s">
        <v>7</v>
      </c>
      <c r="V59" s="127" t="s">
        <v>7</v>
      </c>
      <c r="W59" s="117" t="s">
        <v>7</v>
      </c>
      <c r="X59" s="228" t="str">
        <f t="shared" si="3"/>
        <v>OFF</v>
      </c>
      <c r="Y59" s="272" t="s">
        <v>7</v>
      </c>
    </row>
    <row r="60" spans="1:25" ht="15" x14ac:dyDescent="0.25">
      <c r="A60" s="178">
        <f>VLOOKUP(B60,Masterlist!B:E,2,)</f>
        <v>268750</v>
      </c>
      <c r="B60" s="266" t="s">
        <v>127</v>
      </c>
      <c r="C60" s="268">
        <v>0.875</v>
      </c>
      <c r="D60" s="268">
        <v>0.875</v>
      </c>
      <c r="E60" s="268">
        <v>0.875</v>
      </c>
      <c r="F60" s="268">
        <v>0.875</v>
      </c>
      <c r="G60" s="267" t="s">
        <v>7</v>
      </c>
      <c r="H60" s="267" t="s">
        <v>7</v>
      </c>
      <c r="I60" s="117">
        <v>0.875</v>
      </c>
      <c r="J60" s="121">
        <v>0.875</v>
      </c>
      <c r="K60" s="127">
        <v>0.875</v>
      </c>
      <c r="L60" s="127">
        <v>0.875</v>
      </c>
      <c r="M60" s="127">
        <v>0.875</v>
      </c>
      <c r="N60" s="127" t="s">
        <v>7</v>
      </c>
      <c r="O60" s="127" t="s">
        <v>7</v>
      </c>
      <c r="P60" s="117">
        <v>0.875</v>
      </c>
      <c r="Q60" s="121">
        <v>0.875</v>
      </c>
      <c r="R60" s="127">
        <v>0.875</v>
      </c>
      <c r="S60" s="127">
        <v>0.875</v>
      </c>
      <c r="T60" s="127">
        <v>0.875</v>
      </c>
      <c r="U60" s="127" t="s">
        <v>7</v>
      </c>
      <c r="V60" s="127" t="s">
        <v>7</v>
      </c>
      <c r="W60" s="117">
        <v>0.875</v>
      </c>
      <c r="X60" s="228">
        <f t="shared" si="3"/>
        <v>0.875</v>
      </c>
      <c r="Y60" s="269">
        <v>0.875</v>
      </c>
    </row>
    <row r="61" spans="1:25" ht="15" x14ac:dyDescent="0.25">
      <c r="A61" s="178">
        <f>VLOOKUP(B61,Masterlist!B:E,2,)</f>
        <v>304429</v>
      </c>
      <c r="B61" s="266" t="s">
        <v>156</v>
      </c>
      <c r="C61" s="268">
        <v>0.875</v>
      </c>
      <c r="D61" s="268">
        <v>0.875</v>
      </c>
      <c r="E61" s="268">
        <v>0.875</v>
      </c>
      <c r="F61" s="268">
        <v>0.875</v>
      </c>
      <c r="G61" s="268">
        <v>0.875</v>
      </c>
      <c r="H61" s="267" t="s">
        <v>7</v>
      </c>
      <c r="I61" s="272" t="s">
        <v>7</v>
      </c>
      <c r="J61" s="121">
        <v>0.875</v>
      </c>
      <c r="K61" s="127">
        <v>0.875</v>
      </c>
      <c r="L61" s="127">
        <v>0.875</v>
      </c>
      <c r="M61" s="127">
        <v>0.875</v>
      </c>
      <c r="N61" s="127">
        <v>0.875</v>
      </c>
      <c r="O61" s="127" t="s">
        <v>7</v>
      </c>
      <c r="P61" s="117" t="s">
        <v>7</v>
      </c>
      <c r="Q61" s="121">
        <v>0.875</v>
      </c>
      <c r="R61" s="127">
        <v>0.875</v>
      </c>
      <c r="S61" s="127">
        <v>0.875</v>
      </c>
      <c r="T61" s="127">
        <v>0.875</v>
      </c>
      <c r="U61" s="127">
        <v>0.875</v>
      </c>
      <c r="V61" s="127" t="s">
        <v>7</v>
      </c>
      <c r="W61" s="117" t="s">
        <v>7</v>
      </c>
      <c r="X61" s="228">
        <f t="shared" si="3"/>
        <v>0.875</v>
      </c>
      <c r="Y61" s="272" t="s">
        <v>7</v>
      </c>
    </row>
    <row r="62" spans="1:25" ht="15" x14ac:dyDescent="0.25">
      <c r="A62" s="178">
        <f>VLOOKUP(B62,Masterlist!B:E,2,)</f>
        <v>303788</v>
      </c>
      <c r="B62" s="266" t="s">
        <v>158</v>
      </c>
      <c r="C62" s="267" t="s">
        <v>7</v>
      </c>
      <c r="D62" s="268">
        <v>0.875</v>
      </c>
      <c r="E62" s="268">
        <v>0.875</v>
      </c>
      <c r="F62" s="268">
        <v>0.875</v>
      </c>
      <c r="G62" s="268">
        <v>0.875</v>
      </c>
      <c r="H62" s="268">
        <v>0.875</v>
      </c>
      <c r="I62" s="272" t="s">
        <v>7</v>
      </c>
      <c r="J62" s="121" t="s">
        <v>7</v>
      </c>
      <c r="K62" s="127">
        <v>0.875</v>
      </c>
      <c r="L62" s="127">
        <v>0.875</v>
      </c>
      <c r="M62" s="127">
        <v>0.875</v>
      </c>
      <c r="N62" s="127">
        <v>0.875</v>
      </c>
      <c r="O62" s="127">
        <v>0.875</v>
      </c>
      <c r="P62" s="117" t="s">
        <v>7</v>
      </c>
      <c r="Q62" s="121" t="s">
        <v>7</v>
      </c>
      <c r="R62" s="127">
        <v>0.875</v>
      </c>
      <c r="S62" s="127">
        <v>0.875</v>
      </c>
      <c r="T62" s="127">
        <v>0.875</v>
      </c>
      <c r="U62" s="127">
        <v>0.875</v>
      </c>
      <c r="V62" s="127">
        <v>0.875</v>
      </c>
      <c r="W62" s="117" t="s">
        <v>7</v>
      </c>
      <c r="X62" s="228">
        <f t="shared" si="3"/>
        <v>0.875</v>
      </c>
      <c r="Y62" s="272" t="s">
        <v>7</v>
      </c>
    </row>
    <row r="63" spans="1:25" ht="15" x14ac:dyDescent="0.25">
      <c r="A63" s="178">
        <f>VLOOKUP(B63,Masterlist!B:E,2,)</f>
        <v>260187</v>
      </c>
      <c r="B63" s="266" t="s">
        <v>165</v>
      </c>
      <c r="C63" s="268">
        <v>0.875</v>
      </c>
      <c r="D63" s="268">
        <v>0.875</v>
      </c>
      <c r="E63" s="268">
        <v>0.875</v>
      </c>
      <c r="F63" s="268">
        <v>0.875</v>
      </c>
      <c r="G63" s="267" t="s">
        <v>7</v>
      </c>
      <c r="H63" s="267" t="s">
        <v>7</v>
      </c>
      <c r="I63" s="117">
        <v>0.875</v>
      </c>
      <c r="J63" s="121">
        <v>0.875</v>
      </c>
      <c r="K63" s="127">
        <v>0.875</v>
      </c>
      <c r="L63" s="127">
        <v>0.875</v>
      </c>
      <c r="M63" s="127">
        <v>0.875</v>
      </c>
      <c r="N63" s="127" t="s">
        <v>7</v>
      </c>
      <c r="O63" s="127" t="s">
        <v>7</v>
      </c>
      <c r="P63" s="117">
        <v>0.875</v>
      </c>
      <c r="Q63" s="121">
        <v>0.875</v>
      </c>
      <c r="R63" s="127">
        <v>0.875</v>
      </c>
      <c r="S63" s="127">
        <v>0.875</v>
      </c>
      <c r="T63" s="127">
        <v>0.875</v>
      </c>
      <c r="U63" s="127" t="s">
        <v>7</v>
      </c>
      <c r="V63" s="127" t="s">
        <v>7</v>
      </c>
      <c r="W63" s="117">
        <v>0.875</v>
      </c>
      <c r="X63" s="228">
        <f t="shared" si="3"/>
        <v>0.875</v>
      </c>
      <c r="Y63" s="269">
        <v>0.875</v>
      </c>
    </row>
    <row r="64" spans="1:25" ht="15" x14ac:dyDescent="0.25">
      <c r="A64" s="178">
        <f>VLOOKUP(B64,Masterlist!B:E,2,)</f>
        <v>509095</v>
      </c>
      <c r="B64" s="286" t="s">
        <v>293</v>
      </c>
      <c r="C64" s="267" t="s">
        <v>7</v>
      </c>
      <c r="D64" s="267" t="s">
        <v>7</v>
      </c>
      <c r="E64" s="267" t="s">
        <v>7</v>
      </c>
      <c r="F64" s="267" t="s">
        <v>7</v>
      </c>
      <c r="G64" s="267" t="s">
        <v>7</v>
      </c>
      <c r="H64" s="267" t="s">
        <v>7</v>
      </c>
      <c r="I64" s="272" t="s">
        <v>7</v>
      </c>
      <c r="J64" s="121" t="s">
        <v>7</v>
      </c>
      <c r="K64" s="127" t="s">
        <v>7</v>
      </c>
      <c r="L64" s="127" t="s">
        <v>7</v>
      </c>
      <c r="M64" s="127" t="s">
        <v>7</v>
      </c>
      <c r="N64" s="127" t="s">
        <v>7</v>
      </c>
      <c r="O64" s="127" t="s">
        <v>7</v>
      </c>
      <c r="P64" s="117" t="s">
        <v>7</v>
      </c>
      <c r="Q64" s="121" t="s">
        <v>7</v>
      </c>
      <c r="R64" s="127" t="s">
        <v>7</v>
      </c>
      <c r="S64" s="127" t="s">
        <v>7</v>
      </c>
      <c r="T64" s="127" t="s">
        <v>7</v>
      </c>
      <c r="U64" s="127" t="s">
        <v>7</v>
      </c>
      <c r="V64" s="127" t="s">
        <v>7</v>
      </c>
      <c r="W64" s="117" t="s">
        <v>7</v>
      </c>
      <c r="X64" s="228" t="str">
        <f t="shared" si="3"/>
        <v>OFF</v>
      </c>
      <c r="Y64" s="272" t="s">
        <v>7</v>
      </c>
    </row>
    <row r="65" spans="1:25" ht="15" x14ac:dyDescent="0.25">
      <c r="A65" s="178">
        <f>VLOOKUP(B65,Masterlist!B:E,2,)</f>
        <v>516708</v>
      </c>
      <c r="B65" s="270" t="s">
        <v>303</v>
      </c>
      <c r="C65" s="282">
        <v>0.875</v>
      </c>
      <c r="D65" s="282">
        <v>0.875</v>
      </c>
      <c r="E65" s="267" t="s">
        <v>7</v>
      </c>
      <c r="F65" s="267" t="s">
        <v>7</v>
      </c>
      <c r="G65" s="282">
        <v>0.875</v>
      </c>
      <c r="H65" s="282">
        <v>0.875</v>
      </c>
      <c r="I65" s="117">
        <v>0.875</v>
      </c>
      <c r="J65" s="121">
        <v>0.875</v>
      </c>
      <c r="K65" s="127">
        <v>0.875</v>
      </c>
      <c r="L65" s="127" t="s">
        <v>7</v>
      </c>
      <c r="M65" s="127" t="s">
        <v>7</v>
      </c>
      <c r="N65" s="127">
        <v>0.875</v>
      </c>
      <c r="O65" s="127">
        <v>0.875</v>
      </c>
      <c r="P65" s="117">
        <v>0.875</v>
      </c>
      <c r="Q65" s="121">
        <v>0.875</v>
      </c>
      <c r="R65" s="127">
        <v>0.875</v>
      </c>
      <c r="S65" s="127" t="s">
        <v>7</v>
      </c>
      <c r="T65" s="127" t="s">
        <v>7</v>
      </c>
      <c r="U65" s="127">
        <v>0.875</v>
      </c>
      <c r="V65" s="127">
        <v>0.875</v>
      </c>
      <c r="W65" s="117">
        <v>0.875</v>
      </c>
      <c r="X65" s="228">
        <f t="shared" si="3"/>
        <v>0.875</v>
      </c>
      <c r="Y65" s="269">
        <v>0.875</v>
      </c>
    </row>
    <row r="66" spans="1:25" ht="15" x14ac:dyDescent="0.25">
      <c r="A66" s="178">
        <f>VLOOKUP(B66,Masterlist!B:E,2,)</f>
        <v>513105</v>
      </c>
      <c r="B66" s="270" t="s">
        <v>315</v>
      </c>
      <c r="C66" s="282">
        <v>0.875</v>
      </c>
      <c r="D66" s="282">
        <v>0.875</v>
      </c>
      <c r="E66" s="267" t="s">
        <v>7</v>
      </c>
      <c r="F66" s="267" t="s">
        <v>7</v>
      </c>
      <c r="G66" s="282">
        <v>0.875</v>
      </c>
      <c r="H66" s="282">
        <v>0.875</v>
      </c>
      <c r="I66" s="117">
        <v>0.875</v>
      </c>
      <c r="J66" s="121">
        <v>0.875</v>
      </c>
      <c r="K66" s="127">
        <v>0.875</v>
      </c>
      <c r="L66" s="127" t="s">
        <v>7</v>
      </c>
      <c r="M66" s="127" t="s">
        <v>7</v>
      </c>
      <c r="N66" s="127">
        <v>0.875</v>
      </c>
      <c r="O66" s="127">
        <v>0.875</v>
      </c>
      <c r="P66" s="117">
        <v>0.875</v>
      </c>
      <c r="Q66" s="121">
        <v>0.875</v>
      </c>
      <c r="R66" s="127">
        <v>0.875</v>
      </c>
      <c r="S66" s="127" t="s">
        <v>7</v>
      </c>
      <c r="T66" s="127" t="s">
        <v>7</v>
      </c>
      <c r="U66" s="127">
        <v>0.875</v>
      </c>
      <c r="V66" s="127">
        <v>0.875</v>
      </c>
      <c r="W66" s="117">
        <v>0.875</v>
      </c>
      <c r="X66" s="228">
        <f t="shared" si="3"/>
        <v>0.875</v>
      </c>
      <c r="Y66" s="269">
        <v>0.875</v>
      </c>
    </row>
    <row r="67" spans="1:25" ht="15" x14ac:dyDescent="0.25">
      <c r="A67" s="178">
        <f>VLOOKUP(B67,Masterlist!B:E,2,)</f>
        <v>505860</v>
      </c>
      <c r="B67" s="266" t="s">
        <v>198</v>
      </c>
      <c r="C67" s="282">
        <v>0.875</v>
      </c>
      <c r="D67" s="282">
        <v>0.875</v>
      </c>
      <c r="E67" s="267" t="s">
        <v>7</v>
      </c>
      <c r="F67" s="267" t="s">
        <v>7</v>
      </c>
      <c r="G67" s="282">
        <v>0.875</v>
      </c>
      <c r="H67" s="282">
        <v>0.875</v>
      </c>
      <c r="I67" s="117">
        <v>0.875</v>
      </c>
      <c r="J67" s="121">
        <v>0.875</v>
      </c>
      <c r="K67" s="127">
        <v>0.875</v>
      </c>
      <c r="L67" s="127" t="s">
        <v>7</v>
      </c>
      <c r="M67" s="127" t="s">
        <v>7</v>
      </c>
      <c r="N67" s="127">
        <v>0.875</v>
      </c>
      <c r="O67" s="127">
        <v>0.875</v>
      </c>
      <c r="P67" s="117">
        <v>0.875</v>
      </c>
      <c r="Q67" s="121">
        <v>0.875</v>
      </c>
      <c r="R67" s="127">
        <v>0.875</v>
      </c>
      <c r="S67" s="127" t="s">
        <v>7</v>
      </c>
      <c r="T67" s="127" t="s">
        <v>7</v>
      </c>
      <c r="U67" s="127">
        <v>0.875</v>
      </c>
      <c r="V67" s="127">
        <v>0.875</v>
      </c>
      <c r="W67" s="117">
        <v>0.875</v>
      </c>
      <c r="X67" s="228">
        <f t="shared" si="3"/>
        <v>0.875</v>
      </c>
      <c r="Y67" s="269">
        <v>0.875</v>
      </c>
    </row>
    <row r="68" spans="1:25" ht="15" x14ac:dyDescent="0.25">
      <c r="A68" s="178"/>
      <c r="B68" s="266"/>
      <c r="C68" s="281"/>
      <c r="D68" s="282"/>
      <c r="E68" s="279"/>
      <c r="F68" s="279"/>
      <c r="G68" s="282"/>
      <c r="H68" s="282"/>
      <c r="I68" s="283"/>
      <c r="J68" s="282"/>
      <c r="K68" s="282"/>
      <c r="L68" s="279"/>
      <c r="M68" s="279"/>
      <c r="N68" s="282"/>
      <c r="O68" s="282"/>
      <c r="P68" s="117"/>
      <c r="Q68" s="121"/>
      <c r="R68" s="127"/>
      <c r="S68" s="127"/>
      <c r="T68" s="127"/>
      <c r="U68" s="127"/>
      <c r="V68" s="127"/>
      <c r="W68" s="117"/>
      <c r="X68" s="265"/>
      <c r="Y68" s="283"/>
    </row>
    <row r="69" spans="1:25" x14ac:dyDescent="0.2">
      <c r="A69" s="178"/>
      <c r="B69" s="175"/>
      <c r="C69" s="121"/>
      <c r="D69" s="116"/>
      <c r="E69" s="116"/>
      <c r="F69" s="127"/>
      <c r="G69" s="127"/>
      <c r="H69" s="127"/>
      <c r="I69" s="117"/>
      <c r="J69" s="121"/>
      <c r="K69" s="127"/>
      <c r="L69" s="127"/>
      <c r="M69" s="127"/>
      <c r="N69" s="127"/>
      <c r="O69" s="127"/>
      <c r="P69" s="117"/>
      <c r="Q69" s="121"/>
      <c r="R69" s="127"/>
      <c r="S69" s="127"/>
      <c r="T69" s="127"/>
      <c r="U69" s="116"/>
      <c r="V69" s="116"/>
      <c r="W69" s="117"/>
      <c r="X69" s="116"/>
      <c r="Y69" s="117"/>
    </row>
    <row r="70" spans="1:25" x14ac:dyDescent="0.2">
      <c r="A70" s="178"/>
      <c r="B70" s="175"/>
      <c r="C70" s="121"/>
      <c r="D70" s="116"/>
      <c r="E70" s="116"/>
      <c r="F70" s="127"/>
      <c r="G70" s="127"/>
      <c r="H70" s="127"/>
      <c r="I70" s="117"/>
      <c r="J70" s="121"/>
      <c r="K70" s="127"/>
      <c r="L70" s="127"/>
      <c r="M70" s="127"/>
      <c r="N70" s="127"/>
      <c r="O70" s="127"/>
      <c r="P70" s="117"/>
      <c r="Q70" s="121"/>
      <c r="R70" s="127"/>
      <c r="S70" s="127"/>
      <c r="T70" s="127"/>
      <c r="U70" s="116"/>
      <c r="V70" s="116"/>
      <c r="W70" s="117"/>
      <c r="X70" s="116"/>
      <c r="Y70" s="117"/>
    </row>
    <row r="71" spans="1:25" x14ac:dyDescent="0.2">
      <c r="A71" s="178"/>
      <c r="B71" s="175"/>
      <c r="C71" s="86"/>
      <c r="D71" s="116"/>
      <c r="E71" s="116"/>
      <c r="F71" s="116"/>
      <c r="G71" s="116"/>
      <c r="H71" s="116"/>
      <c r="I71" s="116"/>
      <c r="J71" s="86"/>
      <c r="K71" s="116"/>
      <c r="L71" s="116"/>
      <c r="M71" s="127"/>
      <c r="N71" s="127"/>
      <c r="O71" s="127"/>
      <c r="P71" s="117"/>
      <c r="Q71" s="86"/>
      <c r="R71" s="116"/>
      <c r="S71" s="116"/>
      <c r="T71" s="116"/>
      <c r="U71" s="116"/>
      <c r="V71" s="116"/>
      <c r="W71" s="72"/>
      <c r="X71" s="116"/>
      <c r="Y71" s="72"/>
    </row>
    <row r="72" spans="1:25" x14ac:dyDescent="0.2">
      <c r="A72" s="178"/>
      <c r="B72" s="175"/>
      <c r="C72" s="86"/>
      <c r="D72" s="116"/>
      <c r="E72" s="116"/>
      <c r="F72" s="116"/>
      <c r="G72" s="116"/>
      <c r="H72" s="116"/>
      <c r="I72" s="116"/>
      <c r="J72" s="86"/>
      <c r="K72" s="116"/>
      <c r="L72" s="116"/>
      <c r="M72" s="116"/>
      <c r="N72" s="116"/>
      <c r="O72" s="116"/>
      <c r="P72" s="72"/>
      <c r="Q72" s="86"/>
      <c r="R72" s="116"/>
      <c r="S72" s="116"/>
      <c r="T72" s="116"/>
      <c r="U72" s="116"/>
      <c r="V72" s="116"/>
      <c r="W72" s="72"/>
      <c r="X72" s="116"/>
      <c r="Y72" s="72"/>
    </row>
    <row r="73" spans="1:25" x14ac:dyDescent="0.2">
      <c r="A73" s="178"/>
      <c r="B73" s="175"/>
      <c r="C73" s="86"/>
      <c r="D73" s="116"/>
      <c r="E73" s="116"/>
      <c r="F73" s="116"/>
      <c r="G73" s="116"/>
      <c r="H73" s="116"/>
      <c r="I73" s="116"/>
      <c r="J73" s="86"/>
      <c r="K73" s="116"/>
      <c r="L73" s="116"/>
      <c r="M73" s="116"/>
      <c r="N73" s="116"/>
      <c r="O73" s="116"/>
      <c r="P73" s="72"/>
      <c r="Q73" s="86"/>
      <c r="R73" s="116"/>
      <c r="S73" s="116"/>
      <c r="T73" s="116"/>
      <c r="U73" s="116"/>
      <c r="V73" s="116"/>
      <c r="W73" s="72"/>
      <c r="X73" s="116"/>
      <c r="Y73" s="72"/>
    </row>
    <row r="74" spans="1:25" ht="13.5" thickBot="1" x14ac:dyDescent="0.25">
      <c r="A74" s="179"/>
      <c r="B74" s="180"/>
      <c r="C74" s="115"/>
      <c r="D74" s="113"/>
      <c r="E74" s="113"/>
      <c r="F74" s="113"/>
      <c r="G74" s="113"/>
      <c r="H74" s="113"/>
      <c r="I74" s="113"/>
      <c r="J74" s="115"/>
      <c r="K74" s="113"/>
      <c r="L74" s="113"/>
      <c r="M74" s="113"/>
      <c r="N74" s="113"/>
      <c r="O74" s="113"/>
      <c r="P74" s="114"/>
      <c r="Q74" s="115"/>
      <c r="R74" s="113"/>
      <c r="S74" s="113"/>
      <c r="T74" s="113"/>
      <c r="U74" s="113"/>
      <c r="V74" s="113"/>
      <c r="W74" s="114"/>
      <c r="X74" s="113"/>
      <c r="Y74" s="114"/>
    </row>
    <row r="75" spans="1:25" ht="13.5" thickBot="1" x14ac:dyDescent="0.25"/>
    <row r="76" spans="1:25" x14ac:dyDescent="0.2">
      <c r="A76" s="76" t="s">
        <v>124</v>
      </c>
      <c r="B76" s="89"/>
      <c r="C76" s="77">
        <f>COUNTIF(C4:C64,"OFF")</f>
        <v>4</v>
      </c>
      <c r="D76" s="78">
        <f t="shared" ref="D76:W76" si="4">COUNTIF(D4:D64,"OFF")</f>
        <v>23</v>
      </c>
      <c r="E76" s="78">
        <f t="shared" si="4"/>
        <v>36</v>
      </c>
      <c r="F76" s="78">
        <f t="shared" si="4"/>
        <v>5</v>
      </c>
      <c r="G76" s="78">
        <f t="shared" si="4"/>
        <v>10</v>
      </c>
      <c r="H76" s="78">
        <f t="shared" si="4"/>
        <v>35</v>
      </c>
      <c r="I76" s="78">
        <f t="shared" si="4"/>
        <v>19</v>
      </c>
      <c r="J76" s="77">
        <f t="shared" si="4"/>
        <v>4</v>
      </c>
      <c r="K76" s="78">
        <f t="shared" si="4"/>
        <v>22</v>
      </c>
      <c r="L76" s="78">
        <f t="shared" si="4"/>
        <v>22</v>
      </c>
      <c r="M76" s="78">
        <f t="shared" si="4"/>
        <v>6</v>
      </c>
      <c r="N76" s="78">
        <f t="shared" si="4"/>
        <v>24</v>
      </c>
      <c r="O76" s="78">
        <f t="shared" si="4"/>
        <v>35</v>
      </c>
      <c r="P76" s="79">
        <f t="shared" si="4"/>
        <v>19</v>
      </c>
      <c r="Q76" s="78">
        <f t="shared" si="4"/>
        <v>4</v>
      </c>
      <c r="R76" s="78">
        <f t="shared" si="4"/>
        <v>22</v>
      </c>
      <c r="S76" s="78">
        <f t="shared" si="4"/>
        <v>22</v>
      </c>
      <c r="T76" s="78">
        <f t="shared" si="4"/>
        <v>6</v>
      </c>
      <c r="U76" s="78">
        <f t="shared" si="4"/>
        <v>24</v>
      </c>
      <c r="V76" s="78">
        <f t="shared" si="4"/>
        <v>35</v>
      </c>
      <c r="W76" s="79">
        <f t="shared" si="4"/>
        <v>19</v>
      </c>
    </row>
    <row r="77" spans="1:25" x14ac:dyDescent="0.2">
      <c r="A77" s="28" t="s">
        <v>125</v>
      </c>
      <c r="C77" s="80">
        <f t="shared" ref="C77:I77" si="5">COUNTIF(C4:C74,"PTO")</f>
        <v>0</v>
      </c>
      <c r="D77" s="123">
        <f t="shared" si="5"/>
        <v>0</v>
      </c>
      <c r="E77" s="123">
        <f t="shared" si="5"/>
        <v>0</v>
      </c>
      <c r="F77" s="123">
        <f t="shared" si="5"/>
        <v>0</v>
      </c>
      <c r="G77" s="123">
        <f t="shared" si="5"/>
        <v>0</v>
      </c>
      <c r="H77" s="123">
        <f t="shared" si="5"/>
        <v>0</v>
      </c>
      <c r="I77" s="123">
        <f t="shared" si="5"/>
        <v>0</v>
      </c>
      <c r="J77" s="80">
        <f t="shared" ref="J77:W77" si="6">COUNTIF(J4:J74,"PTO")</f>
        <v>0</v>
      </c>
      <c r="K77" s="123">
        <f t="shared" si="6"/>
        <v>0</v>
      </c>
      <c r="L77" s="123">
        <f t="shared" si="6"/>
        <v>0</v>
      </c>
      <c r="M77" s="123">
        <f t="shared" si="6"/>
        <v>0</v>
      </c>
      <c r="N77" s="123">
        <f t="shared" si="6"/>
        <v>0</v>
      </c>
      <c r="O77" s="123">
        <f t="shared" si="6"/>
        <v>0</v>
      </c>
      <c r="P77" s="82">
        <f t="shared" si="6"/>
        <v>0</v>
      </c>
      <c r="Q77" s="123">
        <f t="shared" si="6"/>
        <v>0</v>
      </c>
      <c r="R77" s="123">
        <f t="shared" si="6"/>
        <v>0</v>
      </c>
      <c r="S77" s="123">
        <f t="shared" si="6"/>
        <v>0</v>
      </c>
      <c r="T77" s="123">
        <f t="shared" si="6"/>
        <v>0</v>
      </c>
      <c r="U77" s="123">
        <f t="shared" si="6"/>
        <v>0</v>
      </c>
      <c r="V77" s="123">
        <f t="shared" si="6"/>
        <v>0</v>
      </c>
      <c r="W77" s="82">
        <f t="shared" si="6"/>
        <v>0</v>
      </c>
    </row>
    <row r="78" spans="1:25" x14ac:dyDescent="0.2">
      <c r="A78" s="28" t="s">
        <v>126</v>
      </c>
      <c r="B78" s="175"/>
      <c r="C78" s="80">
        <f t="shared" ref="C78:I78" si="7">COUNTIF(C4:C52,"LOA")</f>
        <v>0</v>
      </c>
      <c r="D78" s="123">
        <f t="shared" si="7"/>
        <v>0</v>
      </c>
      <c r="E78" s="123">
        <f t="shared" si="7"/>
        <v>0</v>
      </c>
      <c r="F78" s="123">
        <f t="shared" si="7"/>
        <v>0</v>
      </c>
      <c r="G78" s="123">
        <f t="shared" si="7"/>
        <v>0</v>
      </c>
      <c r="H78" s="123">
        <f t="shared" si="7"/>
        <v>0</v>
      </c>
      <c r="I78" s="123">
        <f t="shared" si="7"/>
        <v>0</v>
      </c>
      <c r="J78" s="80">
        <f t="shared" ref="J78:W78" si="8">COUNTIF(J4:J52,"LOA")</f>
        <v>0</v>
      </c>
      <c r="K78" s="123">
        <f t="shared" si="8"/>
        <v>0</v>
      </c>
      <c r="L78" s="123">
        <f t="shared" si="8"/>
        <v>0</v>
      </c>
      <c r="M78" s="123">
        <f t="shared" si="8"/>
        <v>0</v>
      </c>
      <c r="N78" s="123">
        <f t="shared" si="8"/>
        <v>0</v>
      </c>
      <c r="O78" s="123">
        <f t="shared" si="8"/>
        <v>0</v>
      </c>
      <c r="P78" s="82">
        <f t="shared" si="8"/>
        <v>0</v>
      </c>
      <c r="Q78" s="123">
        <f t="shared" si="8"/>
        <v>0</v>
      </c>
      <c r="R78" s="123">
        <f t="shared" si="8"/>
        <v>0</v>
      </c>
      <c r="S78" s="123">
        <f t="shared" si="8"/>
        <v>0</v>
      </c>
      <c r="T78" s="123">
        <f t="shared" si="8"/>
        <v>0</v>
      </c>
      <c r="U78" s="123">
        <f t="shared" si="8"/>
        <v>0</v>
      </c>
      <c r="V78" s="123">
        <f t="shared" si="8"/>
        <v>0</v>
      </c>
      <c r="W78" s="82">
        <f t="shared" si="8"/>
        <v>0</v>
      </c>
    </row>
    <row r="79" spans="1:25" x14ac:dyDescent="0.2">
      <c r="A79" s="28" t="s">
        <v>34</v>
      </c>
      <c r="C79" s="80">
        <f t="shared" ref="C79:I79" si="9">COUNTIF(C4:C52,"A")</f>
        <v>0</v>
      </c>
      <c r="D79" s="123">
        <f t="shared" si="9"/>
        <v>0</v>
      </c>
      <c r="E79" s="123">
        <f t="shared" si="9"/>
        <v>0</v>
      </c>
      <c r="F79" s="123">
        <f t="shared" si="9"/>
        <v>0</v>
      </c>
      <c r="G79" s="123">
        <f t="shared" si="9"/>
        <v>0</v>
      </c>
      <c r="H79" s="123">
        <f t="shared" si="9"/>
        <v>0</v>
      </c>
      <c r="I79" s="123">
        <f t="shared" si="9"/>
        <v>0</v>
      </c>
      <c r="J79" s="80">
        <f t="shared" ref="J79:W79" si="10">COUNTIF(J4:J52,"A")</f>
        <v>0</v>
      </c>
      <c r="K79" s="123">
        <f t="shared" si="10"/>
        <v>0</v>
      </c>
      <c r="L79" s="123">
        <f t="shared" si="10"/>
        <v>0</v>
      </c>
      <c r="M79" s="123">
        <f t="shared" si="10"/>
        <v>0</v>
      </c>
      <c r="N79" s="123">
        <f t="shared" si="10"/>
        <v>0</v>
      </c>
      <c r="O79" s="123">
        <f t="shared" si="10"/>
        <v>0</v>
      </c>
      <c r="P79" s="82">
        <f t="shared" si="10"/>
        <v>0</v>
      </c>
      <c r="Q79" s="123">
        <f t="shared" si="10"/>
        <v>0</v>
      </c>
      <c r="R79" s="123">
        <f t="shared" si="10"/>
        <v>0</v>
      </c>
      <c r="S79" s="123">
        <f t="shared" si="10"/>
        <v>0</v>
      </c>
      <c r="T79" s="123">
        <f t="shared" si="10"/>
        <v>0</v>
      </c>
      <c r="U79" s="123">
        <f t="shared" si="10"/>
        <v>0</v>
      </c>
      <c r="V79" s="123">
        <f t="shared" si="10"/>
        <v>0</v>
      </c>
      <c r="W79" s="82">
        <f t="shared" si="10"/>
        <v>0</v>
      </c>
    </row>
    <row r="80" spans="1:25" x14ac:dyDescent="0.2">
      <c r="A80" s="28" t="s">
        <v>15</v>
      </c>
      <c r="C80" s="80">
        <f>(61-C76-C77-C78-C79)</f>
        <v>57</v>
      </c>
      <c r="D80" s="123">
        <f t="shared" ref="D80:W80" si="11">(61-D76-D77-D78-D79)</f>
        <v>38</v>
      </c>
      <c r="E80" s="123">
        <f t="shared" si="11"/>
        <v>25</v>
      </c>
      <c r="F80" s="123">
        <f t="shared" si="11"/>
        <v>56</v>
      </c>
      <c r="G80" s="123">
        <f t="shared" si="11"/>
        <v>51</v>
      </c>
      <c r="H80" s="123">
        <f t="shared" si="11"/>
        <v>26</v>
      </c>
      <c r="I80" s="123">
        <f t="shared" si="11"/>
        <v>42</v>
      </c>
      <c r="J80" s="80">
        <f t="shared" si="11"/>
        <v>57</v>
      </c>
      <c r="K80" s="123">
        <f t="shared" si="11"/>
        <v>39</v>
      </c>
      <c r="L80" s="123">
        <f t="shared" si="11"/>
        <v>39</v>
      </c>
      <c r="M80" s="123">
        <f t="shared" si="11"/>
        <v>55</v>
      </c>
      <c r="N80" s="123">
        <f t="shared" si="11"/>
        <v>37</v>
      </c>
      <c r="O80" s="123">
        <f t="shared" si="11"/>
        <v>26</v>
      </c>
      <c r="P80" s="82">
        <f t="shared" si="11"/>
        <v>42</v>
      </c>
      <c r="Q80" s="123">
        <f t="shared" si="11"/>
        <v>57</v>
      </c>
      <c r="R80" s="123">
        <f t="shared" si="11"/>
        <v>39</v>
      </c>
      <c r="S80" s="123">
        <f t="shared" si="11"/>
        <v>39</v>
      </c>
      <c r="T80" s="123">
        <f t="shared" si="11"/>
        <v>55</v>
      </c>
      <c r="U80" s="123">
        <f t="shared" si="11"/>
        <v>37</v>
      </c>
      <c r="V80" s="123">
        <f t="shared" si="11"/>
        <v>26</v>
      </c>
      <c r="W80" s="82">
        <f t="shared" si="11"/>
        <v>42</v>
      </c>
    </row>
    <row r="81" spans="1:24" ht="13.5" thickBot="1" x14ac:dyDescent="0.25">
      <c r="A81" s="67" t="s">
        <v>33</v>
      </c>
      <c r="B81" s="68"/>
      <c r="C81" s="83">
        <f t="shared" ref="C81:I81" si="12">SUM(C76:C80)</f>
        <v>61</v>
      </c>
      <c r="D81" s="84">
        <f t="shared" si="12"/>
        <v>61</v>
      </c>
      <c r="E81" s="84">
        <f t="shared" si="12"/>
        <v>61</v>
      </c>
      <c r="F81" s="84">
        <f t="shared" si="12"/>
        <v>61</v>
      </c>
      <c r="G81" s="84">
        <f t="shared" si="12"/>
        <v>61</v>
      </c>
      <c r="H81" s="84">
        <f t="shared" si="12"/>
        <v>61</v>
      </c>
      <c r="I81" s="84">
        <f t="shared" si="12"/>
        <v>61</v>
      </c>
      <c r="J81" s="83">
        <f t="shared" ref="J81:W81" si="13">SUM(J76:J80)</f>
        <v>61</v>
      </c>
      <c r="K81" s="84">
        <f t="shared" si="13"/>
        <v>61</v>
      </c>
      <c r="L81" s="84">
        <f t="shared" si="13"/>
        <v>61</v>
      </c>
      <c r="M81" s="84">
        <f t="shared" si="13"/>
        <v>61</v>
      </c>
      <c r="N81" s="84">
        <f t="shared" si="13"/>
        <v>61</v>
      </c>
      <c r="O81" s="84">
        <f t="shared" si="13"/>
        <v>61</v>
      </c>
      <c r="P81" s="85">
        <f t="shared" si="13"/>
        <v>61</v>
      </c>
      <c r="Q81" s="84">
        <f t="shared" si="13"/>
        <v>61</v>
      </c>
      <c r="R81" s="84">
        <f t="shared" si="13"/>
        <v>61</v>
      </c>
      <c r="S81" s="84">
        <f t="shared" si="13"/>
        <v>61</v>
      </c>
      <c r="T81" s="84">
        <f t="shared" si="13"/>
        <v>61</v>
      </c>
      <c r="U81" s="84">
        <f t="shared" si="13"/>
        <v>61</v>
      </c>
      <c r="V81" s="84">
        <f t="shared" si="13"/>
        <v>61</v>
      </c>
      <c r="W81" s="85">
        <f t="shared" si="13"/>
        <v>61</v>
      </c>
    </row>
    <row r="82" spans="1:24" ht="13.7" customHeight="1" thickBot="1" x14ac:dyDescent="0.25">
      <c r="A82" s="101" t="s">
        <v>132</v>
      </c>
      <c r="B82" s="69"/>
      <c r="C82" s="84">
        <f>(COUNTIF(C4:C50,"OT"))*7.5+'Nesting Sched'!C55</f>
        <v>0</v>
      </c>
      <c r="D82" s="84">
        <f>(COUNTIF(D4:D50,"OT"))*7.5+'Nesting Sched'!D55</f>
        <v>0</v>
      </c>
      <c r="E82" s="84">
        <f>(COUNTIF(E4:E50,"OT"))*7.5+'Nesting Sched'!E55</f>
        <v>0</v>
      </c>
      <c r="F82" s="84">
        <f>(COUNTIF(F4:F50,"OT"))*7.5+'Nesting Sched'!F55</f>
        <v>0</v>
      </c>
      <c r="G82" s="84">
        <f>(COUNTIF(G4:G50,"OT"))*7.5+'Nesting Sched'!G55</f>
        <v>0</v>
      </c>
      <c r="H82" s="84">
        <f>(COUNTIF(H4:H50,"OT"))*7.5+'Nesting Sched'!H55</f>
        <v>0</v>
      </c>
      <c r="I82" s="85">
        <f>(COUNTIF(I4:I50,"OT"))*7.5+'Nesting Sched'!I55</f>
        <v>0</v>
      </c>
      <c r="J82" s="83">
        <f>(COUNTIF(J4:J50,"OT"))*7.5+'Nesting Sched'!J55</f>
        <v>0</v>
      </c>
      <c r="K82" s="84">
        <f>(COUNTIF(K4:K50,"OT"))*7.5+'Nesting Sched'!K55</f>
        <v>0</v>
      </c>
      <c r="L82" s="84">
        <f>(COUNTIF(L4:L50,"OT"))*7.5+'Nesting Sched'!L55</f>
        <v>0</v>
      </c>
      <c r="M82" s="84">
        <f>(COUNTIF(M4:M50,"OT"))*7.5+'Nesting Sched'!M55</f>
        <v>0</v>
      </c>
      <c r="N82" s="84">
        <f>(COUNTIF(N4:N50,"OT"))*7.5+'Nesting Sched'!N55</f>
        <v>0</v>
      </c>
      <c r="O82" s="84">
        <f>(COUNTIF(O4:O50,"OT"))*7.5+'Nesting Sched'!O55</f>
        <v>0</v>
      </c>
      <c r="P82" s="85">
        <f>(COUNTIF(P4:P50,"OT"))*7.5+'Nesting Sched'!P55</f>
        <v>0</v>
      </c>
      <c r="Q82" s="84">
        <f>(COUNTIF(Q4:Q50,"OT"))*7.5+'Nesting Sched'!Q55</f>
        <v>0</v>
      </c>
      <c r="R82" s="84">
        <f>(COUNTIF(R4:R50,"OT"))*7.5+'Nesting Sched'!R55</f>
        <v>0</v>
      </c>
      <c r="S82" s="84">
        <f>(COUNTIF(S4:S50,"OT"))*7.5+'Nesting Sched'!S55</f>
        <v>0</v>
      </c>
      <c r="T82" s="84">
        <f>(COUNTIF(T4:T50,"OT"))*7.5+'Nesting Sched'!T55</f>
        <v>0</v>
      </c>
      <c r="U82" s="84">
        <f>(COUNTIF(U4:U50,"OT"))*7.5+'Nesting Sched'!U55</f>
        <v>0</v>
      </c>
      <c r="V82" s="84">
        <f>(COUNTIF(V4:V50,"OT"))*7.5+'Nesting Sched'!V55</f>
        <v>0</v>
      </c>
      <c r="W82" s="85">
        <f>(COUNTIF(W4:W50,"OT"))*7.5+'Nesting Sched'!W55</f>
        <v>0</v>
      </c>
    </row>
    <row r="83" spans="1:24" ht="15.75" hidden="1" customHeight="1" x14ac:dyDescent="0.2">
      <c r="A83" s="9" t="s">
        <v>39</v>
      </c>
      <c r="C83" s="81">
        <f t="shared" ref="C83:W83" si="14">(C80+C77)*0.065</f>
        <v>3.7050000000000001</v>
      </c>
      <c r="D83" s="81">
        <f t="shared" si="14"/>
        <v>2.4700000000000002</v>
      </c>
      <c r="E83" s="81">
        <f t="shared" si="14"/>
        <v>1.625</v>
      </c>
      <c r="F83" s="81">
        <f t="shared" si="14"/>
        <v>3.64</v>
      </c>
      <c r="G83" s="81">
        <f t="shared" si="14"/>
        <v>3.3149999999999999</v>
      </c>
      <c r="H83" s="81">
        <f t="shared" si="14"/>
        <v>1.69</v>
      </c>
      <c r="I83" s="81">
        <f t="shared" si="14"/>
        <v>2.73</v>
      </c>
      <c r="J83" s="81">
        <f t="shared" si="14"/>
        <v>3.7050000000000001</v>
      </c>
      <c r="K83" s="81">
        <f t="shared" si="14"/>
        <v>2.5350000000000001</v>
      </c>
      <c r="L83" s="81">
        <f t="shared" si="14"/>
        <v>2.5350000000000001</v>
      </c>
      <c r="M83" s="81">
        <f t="shared" si="14"/>
        <v>3.5750000000000002</v>
      </c>
      <c r="N83" s="81">
        <f t="shared" si="14"/>
        <v>2.4050000000000002</v>
      </c>
      <c r="O83" s="81">
        <f t="shared" si="14"/>
        <v>1.69</v>
      </c>
      <c r="P83" s="81">
        <f t="shared" si="14"/>
        <v>2.73</v>
      </c>
      <c r="Q83" s="81">
        <f t="shared" si="14"/>
        <v>3.7050000000000001</v>
      </c>
      <c r="R83" s="81">
        <f t="shared" si="14"/>
        <v>2.5350000000000001</v>
      </c>
      <c r="S83" s="81">
        <f t="shared" si="14"/>
        <v>2.5350000000000001</v>
      </c>
      <c r="T83" s="81">
        <f t="shared" si="14"/>
        <v>3.5750000000000002</v>
      </c>
      <c r="U83" s="81">
        <f t="shared" si="14"/>
        <v>2.4050000000000002</v>
      </c>
      <c r="V83" s="81">
        <f t="shared" si="14"/>
        <v>1.69</v>
      </c>
      <c r="W83" s="81">
        <f t="shared" si="14"/>
        <v>2.73</v>
      </c>
    </row>
    <row r="84" spans="1:24" ht="15.75" hidden="1" customHeight="1" x14ac:dyDescent="0.2">
      <c r="A84" s="9" t="s">
        <v>35</v>
      </c>
      <c r="C84" s="81">
        <f t="shared" ref="C84:W84" si="15">IF(C83-C77&lt;0,0,(C83-C77))</f>
        <v>3.7050000000000001</v>
      </c>
      <c r="D84" s="81">
        <f t="shared" si="15"/>
        <v>2.4700000000000002</v>
      </c>
      <c r="E84" s="81">
        <f t="shared" si="15"/>
        <v>1.625</v>
      </c>
      <c r="F84" s="81">
        <f t="shared" si="15"/>
        <v>3.64</v>
      </c>
      <c r="G84" s="81">
        <f t="shared" si="15"/>
        <v>3.3149999999999999</v>
      </c>
      <c r="H84" s="81">
        <f t="shared" si="15"/>
        <v>1.69</v>
      </c>
      <c r="I84" s="81">
        <f t="shared" si="15"/>
        <v>2.73</v>
      </c>
      <c r="J84" s="81">
        <f t="shared" si="15"/>
        <v>3.7050000000000001</v>
      </c>
      <c r="K84" s="81">
        <f t="shared" si="15"/>
        <v>2.5350000000000001</v>
      </c>
      <c r="L84" s="81">
        <f t="shared" si="15"/>
        <v>2.5350000000000001</v>
      </c>
      <c r="M84" s="81">
        <f t="shared" si="15"/>
        <v>3.5750000000000002</v>
      </c>
      <c r="N84" s="81">
        <f t="shared" si="15"/>
        <v>2.4050000000000002</v>
      </c>
      <c r="O84" s="81">
        <f t="shared" si="15"/>
        <v>1.69</v>
      </c>
      <c r="P84" s="81">
        <f t="shared" si="15"/>
        <v>2.73</v>
      </c>
      <c r="Q84" s="81">
        <f t="shared" si="15"/>
        <v>3.7050000000000001</v>
      </c>
      <c r="R84" s="81">
        <f t="shared" si="15"/>
        <v>2.5350000000000001</v>
      </c>
      <c r="S84" s="81">
        <f t="shared" si="15"/>
        <v>2.5350000000000001</v>
      </c>
      <c r="T84" s="81">
        <f t="shared" si="15"/>
        <v>3.5750000000000002</v>
      </c>
      <c r="U84" s="81">
        <f t="shared" si="15"/>
        <v>2.4050000000000002</v>
      </c>
      <c r="V84" s="81">
        <f t="shared" si="15"/>
        <v>1.69</v>
      </c>
      <c r="W84" s="81">
        <f t="shared" si="15"/>
        <v>2.73</v>
      </c>
    </row>
    <row r="85" spans="1:24" ht="13.5" thickBot="1" x14ac:dyDescent="0.25"/>
    <row r="86" spans="1:24" ht="13.5" thickBot="1" x14ac:dyDescent="0.25">
      <c r="A86" s="107" t="s">
        <v>14</v>
      </c>
      <c r="C86" s="311" t="str">
        <f>C1</f>
        <v>WEEK BEGINNING 0427</v>
      </c>
      <c r="D86" s="312"/>
      <c r="E86" s="312"/>
      <c r="F86" s="312"/>
      <c r="G86" s="312"/>
      <c r="H86" s="312"/>
      <c r="I86" s="312"/>
      <c r="J86" s="311" t="str">
        <f>J1</f>
        <v>WEEK BEGINNING 0504</v>
      </c>
      <c r="K86" s="312"/>
      <c r="L86" s="312"/>
      <c r="M86" s="312"/>
      <c r="N86" s="312"/>
      <c r="O86" s="312"/>
      <c r="P86" s="313"/>
      <c r="Q86" s="312" t="str">
        <f>Q1</f>
        <v>WEEK BEGINNING 0511</v>
      </c>
      <c r="R86" s="312"/>
      <c r="S86" s="312"/>
      <c r="T86" s="312"/>
      <c r="U86" s="312"/>
      <c r="V86" s="312"/>
      <c r="W86" s="313"/>
    </row>
    <row r="87" spans="1:24" ht="15.75" customHeight="1" x14ac:dyDescent="0.2">
      <c r="A87" s="316" t="s">
        <v>10</v>
      </c>
      <c r="B87" s="191" t="s">
        <v>97</v>
      </c>
      <c r="C87" s="158" t="s">
        <v>0</v>
      </c>
      <c r="D87" s="152" t="s">
        <v>1</v>
      </c>
      <c r="E87" s="152" t="s">
        <v>2</v>
      </c>
      <c r="F87" s="152" t="s">
        <v>3</v>
      </c>
      <c r="G87" s="152" t="s">
        <v>4</v>
      </c>
      <c r="H87" s="152" t="s">
        <v>5</v>
      </c>
      <c r="I87" s="169" t="s">
        <v>6</v>
      </c>
      <c r="J87" s="158" t="s">
        <v>0</v>
      </c>
      <c r="K87" s="152" t="s">
        <v>1</v>
      </c>
      <c r="L87" s="152" t="s">
        <v>2</v>
      </c>
      <c r="M87" s="152" t="s">
        <v>3</v>
      </c>
      <c r="N87" s="152" t="s">
        <v>4</v>
      </c>
      <c r="O87" s="152" t="s">
        <v>5</v>
      </c>
      <c r="P87" s="159" t="s">
        <v>6</v>
      </c>
      <c r="Q87" s="171" t="s">
        <v>0</v>
      </c>
      <c r="R87" s="152" t="s">
        <v>1</v>
      </c>
      <c r="S87" s="152" t="s">
        <v>2</v>
      </c>
      <c r="T87" s="152" t="s">
        <v>3</v>
      </c>
      <c r="U87" s="152" t="s">
        <v>4</v>
      </c>
      <c r="V87" s="152" t="s">
        <v>5</v>
      </c>
      <c r="W87" s="159" t="s">
        <v>6</v>
      </c>
      <c r="X87" s="162" t="s">
        <v>9</v>
      </c>
    </row>
    <row r="88" spans="1:24" ht="13.5" thickBot="1" x14ac:dyDescent="0.25">
      <c r="A88" s="317"/>
      <c r="B88" s="192"/>
      <c r="C88" s="160">
        <f>C3</f>
        <v>46139</v>
      </c>
      <c r="D88" s="157">
        <f>C88+1</f>
        <v>46140</v>
      </c>
      <c r="E88" s="157">
        <f t="shared" ref="E88:W88" si="16">D88+1</f>
        <v>46141</v>
      </c>
      <c r="F88" s="157">
        <f t="shared" si="16"/>
        <v>46142</v>
      </c>
      <c r="G88" s="157">
        <f t="shared" si="16"/>
        <v>46143</v>
      </c>
      <c r="H88" s="157">
        <f t="shared" si="16"/>
        <v>46144</v>
      </c>
      <c r="I88" s="170">
        <f t="shared" si="16"/>
        <v>46145</v>
      </c>
      <c r="J88" s="160">
        <f t="shared" si="16"/>
        <v>46146</v>
      </c>
      <c r="K88" s="157">
        <f t="shared" si="16"/>
        <v>46147</v>
      </c>
      <c r="L88" s="157">
        <f t="shared" si="16"/>
        <v>46148</v>
      </c>
      <c r="M88" s="157">
        <f t="shared" si="16"/>
        <v>46149</v>
      </c>
      <c r="N88" s="157">
        <f t="shared" si="16"/>
        <v>46150</v>
      </c>
      <c r="O88" s="157">
        <f t="shared" si="16"/>
        <v>46151</v>
      </c>
      <c r="P88" s="161">
        <f>O88+1</f>
        <v>46152</v>
      </c>
      <c r="Q88" s="172">
        <f t="shared" si="16"/>
        <v>46153</v>
      </c>
      <c r="R88" s="157">
        <f t="shared" si="16"/>
        <v>46154</v>
      </c>
      <c r="S88" s="157">
        <f t="shared" si="16"/>
        <v>46155</v>
      </c>
      <c r="T88" s="157">
        <f t="shared" si="16"/>
        <v>46156</v>
      </c>
      <c r="U88" s="157">
        <f t="shared" si="16"/>
        <v>46157</v>
      </c>
      <c r="V88" s="157">
        <f t="shared" si="16"/>
        <v>46158</v>
      </c>
      <c r="W88" s="161">
        <f t="shared" si="16"/>
        <v>46159</v>
      </c>
      <c r="X88" s="168"/>
    </row>
    <row r="89" spans="1:24" x14ac:dyDescent="0.2">
      <c r="A89" s="90" t="str">
        <f t="shared" ref="A89:A133" si="17">IF(B4="","",B4)</f>
        <v>Ann Dominique Ilustre Abada</v>
      </c>
      <c r="B89" s="90" t="str">
        <f>VLOOKUP(A89,Masterlist!B:D,3,)</f>
        <v>Emmanuel Alisbo</v>
      </c>
      <c r="C89" s="165">
        <f>IFERROR(IF(C4 = "PTO", "PTO",C4+"12:00"),"OFF")</f>
        <v>0.875</v>
      </c>
      <c r="D89" s="166" t="str">
        <f>IFERROR(IF(D4 = "PTO", "PTO",D4+"12:00"),"OFF")</f>
        <v>OFF</v>
      </c>
      <c r="E89" s="166" t="str">
        <f t="shared" ref="E89:I104" si="18">IFERROR(IF(E4 = "PTO", "PTO",E4+"12:00"),"OFF")</f>
        <v>OFF</v>
      </c>
      <c r="F89" s="166">
        <f>IFERROR(IF(F4 = "PTO", "PTO",F4+"12:00"),"OFF")</f>
        <v>0.875</v>
      </c>
      <c r="G89" s="166">
        <f t="shared" ref="G89:I89" si="19">IFERROR(IF(G4 = "PTO", "PTO",G4+"12:00"),"OFF")</f>
        <v>0.875</v>
      </c>
      <c r="H89" s="166">
        <f t="shared" si="19"/>
        <v>0.875</v>
      </c>
      <c r="I89" s="166">
        <f t="shared" si="19"/>
        <v>0.875</v>
      </c>
      <c r="J89" s="165">
        <f t="shared" ref="J89:J110" si="20">IFERROR(IF(J4 = "PTO", "PTO",J4+"12:00"),"OFF")</f>
        <v>0.875</v>
      </c>
      <c r="K89" s="166" t="str">
        <f t="shared" ref="K89:P89" si="21">IFERROR(IF(K4 = "PTO", "PTO",K4+"12:00"),"OFF")</f>
        <v>OFF</v>
      </c>
      <c r="L89" s="166" t="str">
        <f t="shared" si="21"/>
        <v>OFF</v>
      </c>
      <c r="M89" s="166">
        <f t="shared" si="21"/>
        <v>0.875</v>
      </c>
      <c r="N89" s="166">
        <f t="shared" si="21"/>
        <v>0.875</v>
      </c>
      <c r="O89" s="166">
        <f t="shared" si="21"/>
        <v>0.875</v>
      </c>
      <c r="P89" s="167">
        <f t="shared" si="21"/>
        <v>0.875</v>
      </c>
      <c r="Q89" s="166">
        <f>IFERROR(IF(Q4 = "PTO", "PTO",Q4+"12:00"),"OFF")</f>
        <v>0.875</v>
      </c>
      <c r="R89" s="166" t="str">
        <f t="shared" ref="R89:W89" si="22">IFERROR(IF(R4 = "PTO", "PTO",R4+"12:00"),"OFF")</f>
        <v>OFF</v>
      </c>
      <c r="S89" s="166" t="str">
        <f t="shared" si="22"/>
        <v>OFF</v>
      </c>
      <c r="T89" s="166">
        <f t="shared" si="22"/>
        <v>0.875</v>
      </c>
      <c r="U89" s="166">
        <f t="shared" si="22"/>
        <v>0.875</v>
      </c>
      <c r="V89" s="166">
        <f t="shared" si="22"/>
        <v>0.875</v>
      </c>
      <c r="W89" s="167">
        <f t="shared" si="22"/>
        <v>0.875</v>
      </c>
      <c r="X89" s="193">
        <f t="shared" ref="X89:X133" si="23">IFERROR(MODE(Q89:W89),"-")</f>
        <v>0.875</v>
      </c>
    </row>
    <row r="90" spans="1:24" x14ac:dyDescent="0.2">
      <c r="A90" s="71" t="str">
        <f t="shared" si="17"/>
        <v>Aya Banderado</v>
      </c>
      <c r="B90" s="71" t="str">
        <f>VLOOKUP(A90,Masterlist!B:D,3,)</f>
        <v>Emmanuel Alisbo</v>
      </c>
      <c r="C90" s="86">
        <f t="shared" ref="C90:D90" si="24">IFERROR(IF(C5 = "PTO", "PTO",C5+"12:00"),"OFF")</f>
        <v>0.875</v>
      </c>
      <c r="D90" s="116" t="str">
        <f t="shared" si="24"/>
        <v>OFF</v>
      </c>
      <c r="E90" s="116" t="str">
        <f t="shared" si="18"/>
        <v>OFF</v>
      </c>
      <c r="F90" s="116">
        <f t="shared" si="18"/>
        <v>0.875</v>
      </c>
      <c r="G90" s="116">
        <f t="shared" si="18"/>
        <v>0.875</v>
      </c>
      <c r="H90" s="116">
        <f t="shared" si="18"/>
        <v>0.875</v>
      </c>
      <c r="I90" s="116">
        <f t="shared" si="18"/>
        <v>0.875</v>
      </c>
      <c r="J90" s="86">
        <f t="shared" si="20"/>
        <v>0.875</v>
      </c>
      <c r="K90" s="116" t="str">
        <f t="shared" ref="K90:Q90" si="25">IFERROR(IF(K5 = "PTO", "PTO",K5+"12:00"),"OFF")</f>
        <v>OFF</v>
      </c>
      <c r="L90" s="116" t="str">
        <f t="shared" si="25"/>
        <v>OFF</v>
      </c>
      <c r="M90" s="116">
        <f t="shared" si="25"/>
        <v>0.875</v>
      </c>
      <c r="N90" s="116">
        <f t="shared" si="25"/>
        <v>0.875</v>
      </c>
      <c r="O90" s="116">
        <f t="shared" si="25"/>
        <v>0.875</v>
      </c>
      <c r="P90" s="72">
        <f t="shared" si="25"/>
        <v>0.875</v>
      </c>
      <c r="Q90" s="116">
        <f t="shared" si="25"/>
        <v>0.875</v>
      </c>
      <c r="R90" s="116" t="str">
        <f t="shared" ref="R90:W90" si="26">IFERROR(IF(R5 = "PTO", "PTO",R5+"12:00"),"OFF")</f>
        <v>OFF</v>
      </c>
      <c r="S90" s="116" t="str">
        <f t="shared" si="26"/>
        <v>OFF</v>
      </c>
      <c r="T90" s="116">
        <f t="shared" si="26"/>
        <v>0.875</v>
      </c>
      <c r="U90" s="116">
        <f t="shared" si="26"/>
        <v>0.875</v>
      </c>
      <c r="V90" s="116">
        <f t="shared" si="26"/>
        <v>0.875</v>
      </c>
      <c r="W90" s="72">
        <f t="shared" si="26"/>
        <v>0.875</v>
      </c>
      <c r="X90" s="97">
        <f t="shared" si="23"/>
        <v>0.875</v>
      </c>
    </row>
    <row r="91" spans="1:24" x14ac:dyDescent="0.2">
      <c r="A91" s="71" t="str">
        <f t="shared" si="17"/>
        <v>Edrine Aaron Verdejo</v>
      </c>
      <c r="B91" s="71" t="str">
        <f>VLOOKUP(A91,Masterlist!B:D,3,)</f>
        <v>Emmanuel Alisbo</v>
      </c>
      <c r="C91" s="86">
        <f t="shared" ref="C91:D91" si="27">IFERROR(IF(C6 = "PTO", "PTO",C6+"12:00"),"OFF")</f>
        <v>0.875</v>
      </c>
      <c r="D91" s="116" t="str">
        <f t="shared" si="27"/>
        <v>OFF</v>
      </c>
      <c r="E91" s="116" t="str">
        <f t="shared" si="18"/>
        <v>OFF</v>
      </c>
      <c r="F91" s="116">
        <f t="shared" si="18"/>
        <v>0.875</v>
      </c>
      <c r="G91" s="116">
        <f t="shared" si="18"/>
        <v>0.875</v>
      </c>
      <c r="H91" s="116">
        <f t="shared" si="18"/>
        <v>0.875</v>
      </c>
      <c r="I91" s="116">
        <f t="shared" si="18"/>
        <v>0.875</v>
      </c>
      <c r="J91" s="86">
        <f t="shared" si="20"/>
        <v>0.875</v>
      </c>
      <c r="K91" s="116" t="str">
        <f t="shared" ref="K91:Q91" si="28">IFERROR(IF(K6 = "PTO", "PTO",K6+"12:00"),"OFF")</f>
        <v>OFF</v>
      </c>
      <c r="L91" s="116" t="str">
        <f t="shared" si="28"/>
        <v>OFF</v>
      </c>
      <c r="M91" s="116">
        <f t="shared" si="28"/>
        <v>0.875</v>
      </c>
      <c r="N91" s="116">
        <f t="shared" si="28"/>
        <v>0.875</v>
      </c>
      <c r="O91" s="116">
        <f t="shared" si="28"/>
        <v>0.875</v>
      </c>
      <c r="P91" s="72">
        <f t="shared" si="28"/>
        <v>0.875</v>
      </c>
      <c r="Q91" s="116">
        <f t="shared" si="28"/>
        <v>0.875</v>
      </c>
      <c r="R91" s="116" t="str">
        <f t="shared" ref="R91:W91" si="29">IFERROR(IF(R6 = "PTO", "PTO",R6+"12:00"),"OFF")</f>
        <v>OFF</v>
      </c>
      <c r="S91" s="116" t="str">
        <f t="shared" si="29"/>
        <v>OFF</v>
      </c>
      <c r="T91" s="116">
        <f t="shared" si="29"/>
        <v>0.875</v>
      </c>
      <c r="U91" s="116">
        <f t="shared" si="29"/>
        <v>0.875</v>
      </c>
      <c r="V91" s="116">
        <f t="shared" si="29"/>
        <v>0.875</v>
      </c>
      <c r="W91" s="72">
        <f t="shared" si="29"/>
        <v>0.875</v>
      </c>
      <c r="X91" s="97">
        <f t="shared" si="23"/>
        <v>0.875</v>
      </c>
    </row>
    <row r="92" spans="1:24" x14ac:dyDescent="0.2">
      <c r="A92" s="71" t="str">
        <f t="shared" si="17"/>
        <v>Kent Gil</v>
      </c>
      <c r="B92" s="71" t="str">
        <f>VLOOKUP(A92,Masterlist!B:D,3,)</f>
        <v>Emmanuel Alisbo</v>
      </c>
      <c r="C92" s="86">
        <f t="shared" ref="C92:D92" si="30">IFERROR(IF(C7 = "PTO", "PTO",C7+"12:00"),"OFF")</f>
        <v>0.875</v>
      </c>
      <c r="D92" s="116" t="str">
        <f t="shared" si="30"/>
        <v>OFF</v>
      </c>
      <c r="E92" s="116" t="str">
        <f t="shared" si="18"/>
        <v>OFF</v>
      </c>
      <c r="F92" s="116">
        <f t="shared" si="18"/>
        <v>0.875</v>
      </c>
      <c r="G92" s="116">
        <f t="shared" si="18"/>
        <v>0.875</v>
      </c>
      <c r="H92" s="116">
        <f t="shared" si="18"/>
        <v>0.875</v>
      </c>
      <c r="I92" s="116">
        <f t="shared" si="18"/>
        <v>0.875</v>
      </c>
      <c r="J92" s="86">
        <f t="shared" si="20"/>
        <v>0.875</v>
      </c>
      <c r="K92" s="116" t="str">
        <f t="shared" ref="K92:Q92" si="31">IFERROR(IF(K7 = "PTO", "PTO",K7+"12:00"),"OFF")</f>
        <v>OFF</v>
      </c>
      <c r="L92" s="116" t="str">
        <f t="shared" si="31"/>
        <v>OFF</v>
      </c>
      <c r="M92" s="116">
        <f t="shared" si="31"/>
        <v>0.875</v>
      </c>
      <c r="N92" s="116">
        <f t="shared" si="31"/>
        <v>0.875</v>
      </c>
      <c r="O92" s="116">
        <f t="shared" si="31"/>
        <v>0.875</v>
      </c>
      <c r="P92" s="72">
        <f t="shared" si="31"/>
        <v>0.875</v>
      </c>
      <c r="Q92" s="116">
        <f t="shared" si="31"/>
        <v>0.875</v>
      </c>
      <c r="R92" s="116" t="str">
        <f t="shared" ref="R92:W92" si="32">IFERROR(IF(R7 = "PTO", "PTO",R7+"12:00"),"OFF")</f>
        <v>OFF</v>
      </c>
      <c r="S92" s="116" t="str">
        <f t="shared" si="32"/>
        <v>OFF</v>
      </c>
      <c r="T92" s="116">
        <f t="shared" si="32"/>
        <v>0.875</v>
      </c>
      <c r="U92" s="116">
        <f t="shared" si="32"/>
        <v>0.875</v>
      </c>
      <c r="V92" s="116">
        <f t="shared" si="32"/>
        <v>0.875</v>
      </c>
      <c r="W92" s="72">
        <f t="shared" si="32"/>
        <v>0.875</v>
      </c>
      <c r="X92" s="97">
        <f t="shared" si="23"/>
        <v>0.875</v>
      </c>
    </row>
    <row r="93" spans="1:24" x14ac:dyDescent="0.2">
      <c r="A93" s="71" t="str">
        <f t="shared" si="17"/>
        <v>Tim Justine Jover</v>
      </c>
      <c r="B93" s="71" t="str">
        <f>VLOOKUP(A93,Masterlist!B:D,3,)</f>
        <v>Emmanuel Alisbo</v>
      </c>
      <c r="C93" s="86">
        <f t="shared" ref="C93:D93" si="33">IFERROR(IF(C8 = "PTO", "PTO",C8+"12:00"),"OFF")</f>
        <v>0.875</v>
      </c>
      <c r="D93" s="116" t="str">
        <f t="shared" si="33"/>
        <v>OFF</v>
      </c>
      <c r="E93" s="116" t="str">
        <f t="shared" si="18"/>
        <v>OFF</v>
      </c>
      <c r="F93" s="116">
        <f t="shared" si="18"/>
        <v>0.875</v>
      </c>
      <c r="G93" s="116">
        <f t="shared" si="18"/>
        <v>0.875</v>
      </c>
      <c r="H93" s="116">
        <f t="shared" si="18"/>
        <v>0.875</v>
      </c>
      <c r="I93" s="116">
        <f t="shared" si="18"/>
        <v>0.875</v>
      </c>
      <c r="J93" s="86">
        <f t="shared" si="20"/>
        <v>0.875</v>
      </c>
      <c r="K93" s="116" t="str">
        <f t="shared" ref="K93:Q93" si="34">IFERROR(IF(K8 = "PTO", "PTO",K8+"12:00"),"OFF")</f>
        <v>OFF</v>
      </c>
      <c r="L93" s="116" t="str">
        <f t="shared" si="34"/>
        <v>OFF</v>
      </c>
      <c r="M93" s="116">
        <f t="shared" si="34"/>
        <v>0.875</v>
      </c>
      <c r="N93" s="116">
        <f t="shared" si="34"/>
        <v>0.875</v>
      </c>
      <c r="O93" s="116">
        <f t="shared" si="34"/>
        <v>0.875</v>
      </c>
      <c r="P93" s="72">
        <f t="shared" si="34"/>
        <v>0.875</v>
      </c>
      <c r="Q93" s="116">
        <f t="shared" si="34"/>
        <v>0.875</v>
      </c>
      <c r="R93" s="116" t="str">
        <f t="shared" ref="R93:W93" si="35">IFERROR(IF(R8 = "PTO", "PTO",R8+"12:00"),"OFF")</f>
        <v>OFF</v>
      </c>
      <c r="S93" s="116" t="str">
        <f t="shared" si="35"/>
        <v>OFF</v>
      </c>
      <c r="T93" s="116">
        <f t="shared" si="35"/>
        <v>0.875</v>
      </c>
      <c r="U93" s="116">
        <f t="shared" si="35"/>
        <v>0.875</v>
      </c>
      <c r="V93" s="116">
        <f t="shared" si="35"/>
        <v>0.875</v>
      </c>
      <c r="W93" s="72">
        <f t="shared" si="35"/>
        <v>0.875</v>
      </c>
      <c r="X93" s="97">
        <f t="shared" si="23"/>
        <v>0.875</v>
      </c>
    </row>
    <row r="94" spans="1:24" x14ac:dyDescent="0.2">
      <c r="A94" s="71" t="str">
        <f t="shared" si="17"/>
        <v>Allyzza Mae Ibañez</v>
      </c>
      <c r="B94" s="71" t="str">
        <f>VLOOKUP(A94,Masterlist!B:D,3,)</f>
        <v>Emmanuel Alisbo</v>
      </c>
      <c r="C94" s="86">
        <f t="shared" ref="C94:D94" si="36">IFERROR(IF(C9 = "PTO", "PTO",C9+"12:00"),"OFF")</f>
        <v>0.875</v>
      </c>
      <c r="D94" s="116" t="str">
        <f t="shared" si="36"/>
        <v>OFF</v>
      </c>
      <c r="E94" s="116" t="str">
        <f t="shared" si="18"/>
        <v>OFF</v>
      </c>
      <c r="F94" s="116">
        <f t="shared" si="18"/>
        <v>0.875</v>
      </c>
      <c r="G94" s="116">
        <f t="shared" si="18"/>
        <v>0.875</v>
      </c>
      <c r="H94" s="116">
        <f t="shared" si="18"/>
        <v>0.875</v>
      </c>
      <c r="I94" s="116">
        <f t="shared" si="18"/>
        <v>0.875</v>
      </c>
      <c r="J94" s="86">
        <f t="shared" si="20"/>
        <v>0.875</v>
      </c>
      <c r="K94" s="116" t="str">
        <f t="shared" ref="K94:Q94" si="37">IFERROR(IF(K9 = "PTO", "PTO",K9+"12:00"),"OFF")</f>
        <v>OFF</v>
      </c>
      <c r="L94" s="116" t="str">
        <f t="shared" si="37"/>
        <v>OFF</v>
      </c>
      <c r="M94" s="116">
        <f t="shared" si="37"/>
        <v>0.875</v>
      </c>
      <c r="N94" s="116">
        <f t="shared" si="37"/>
        <v>0.875</v>
      </c>
      <c r="O94" s="116">
        <f t="shared" si="37"/>
        <v>0.875</v>
      </c>
      <c r="P94" s="72">
        <f t="shared" si="37"/>
        <v>0.875</v>
      </c>
      <c r="Q94" s="116">
        <f t="shared" si="37"/>
        <v>0.875</v>
      </c>
      <c r="R94" s="116" t="str">
        <f t="shared" ref="R94:W94" si="38">IFERROR(IF(R9 = "PTO", "PTO",R9+"12:00"),"OFF")</f>
        <v>OFF</v>
      </c>
      <c r="S94" s="116" t="str">
        <f t="shared" si="38"/>
        <v>OFF</v>
      </c>
      <c r="T94" s="116">
        <f t="shared" si="38"/>
        <v>0.875</v>
      </c>
      <c r="U94" s="116">
        <f t="shared" si="38"/>
        <v>0.875</v>
      </c>
      <c r="V94" s="116">
        <f t="shared" si="38"/>
        <v>0.875</v>
      </c>
      <c r="W94" s="72">
        <f t="shared" si="38"/>
        <v>0.875</v>
      </c>
      <c r="X94" s="97">
        <f t="shared" si="23"/>
        <v>0.875</v>
      </c>
    </row>
    <row r="95" spans="1:24" x14ac:dyDescent="0.2">
      <c r="A95" s="71" t="str">
        <f t="shared" si="17"/>
        <v>John Paul Rando</v>
      </c>
      <c r="B95" s="71" t="str">
        <f>VLOOKUP(A95,Masterlist!B:D,3,)</f>
        <v>Emmanuel Alisbo</v>
      </c>
      <c r="C95" s="86">
        <f t="shared" ref="C95:D95" si="39">IFERROR(IF(C10 = "PTO", "PTO",C10+"12:00"),"OFF")</f>
        <v>0.875</v>
      </c>
      <c r="D95" s="116" t="str">
        <f t="shared" si="39"/>
        <v>OFF</v>
      </c>
      <c r="E95" s="116" t="str">
        <f t="shared" si="18"/>
        <v>OFF</v>
      </c>
      <c r="F95" s="116">
        <f t="shared" si="18"/>
        <v>0.875</v>
      </c>
      <c r="G95" s="116">
        <f t="shared" si="18"/>
        <v>0.875</v>
      </c>
      <c r="H95" s="116">
        <f t="shared" si="18"/>
        <v>0.875</v>
      </c>
      <c r="I95" s="116">
        <f t="shared" si="18"/>
        <v>0.875</v>
      </c>
      <c r="J95" s="86">
        <f t="shared" si="20"/>
        <v>0.875</v>
      </c>
      <c r="K95" s="116" t="str">
        <f t="shared" ref="K95:Q95" si="40">IFERROR(IF(K10 = "PTO", "PTO",K10+"12:00"),"OFF")</f>
        <v>OFF</v>
      </c>
      <c r="L95" s="116" t="str">
        <f t="shared" si="40"/>
        <v>OFF</v>
      </c>
      <c r="M95" s="116">
        <f t="shared" si="40"/>
        <v>0.875</v>
      </c>
      <c r="N95" s="116">
        <f t="shared" si="40"/>
        <v>0.875</v>
      </c>
      <c r="O95" s="116">
        <f t="shared" si="40"/>
        <v>0.875</v>
      </c>
      <c r="P95" s="72">
        <f t="shared" si="40"/>
        <v>0.875</v>
      </c>
      <c r="Q95" s="116">
        <f t="shared" si="40"/>
        <v>0.875</v>
      </c>
      <c r="R95" s="116" t="str">
        <f t="shared" ref="R95:W95" si="41">IFERROR(IF(R10 = "PTO", "PTO",R10+"12:00"),"OFF")</f>
        <v>OFF</v>
      </c>
      <c r="S95" s="116" t="str">
        <f t="shared" si="41"/>
        <v>OFF</v>
      </c>
      <c r="T95" s="116">
        <f t="shared" si="41"/>
        <v>0.875</v>
      </c>
      <c r="U95" s="116">
        <f t="shared" si="41"/>
        <v>0.875</v>
      </c>
      <c r="V95" s="116">
        <f t="shared" si="41"/>
        <v>0.875</v>
      </c>
      <c r="W95" s="72">
        <f t="shared" si="41"/>
        <v>0.875</v>
      </c>
      <c r="X95" s="97">
        <f t="shared" si="23"/>
        <v>0.875</v>
      </c>
    </row>
    <row r="96" spans="1:24" x14ac:dyDescent="0.2">
      <c r="A96" s="71" t="str">
        <f t="shared" si="17"/>
        <v>Edamie Fajardo</v>
      </c>
      <c r="B96" s="71" t="str">
        <f>VLOOKUP(A96,Masterlist!B:D,3,)</f>
        <v>Emmanuel Alisbo</v>
      </c>
      <c r="C96" s="86">
        <f t="shared" ref="C96:D96" si="42">IFERROR(IF(C11 = "PTO", "PTO",C11+"12:00"),"OFF")</f>
        <v>0.875</v>
      </c>
      <c r="D96" s="116" t="str">
        <f t="shared" si="42"/>
        <v>OFF</v>
      </c>
      <c r="E96" s="116" t="str">
        <f t="shared" si="18"/>
        <v>OFF</v>
      </c>
      <c r="F96" s="116">
        <f t="shared" si="18"/>
        <v>0.875</v>
      </c>
      <c r="G96" s="116">
        <f t="shared" si="18"/>
        <v>0.875</v>
      </c>
      <c r="H96" s="116">
        <f t="shared" si="18"/>
        <v>0.875</v>
      </c>
      <c r="I96" s="116">
        <f t="shared" si="18"/>
        <v>0.875</v>
      </c>
      <c r="J96" s="86">
        <f t="shared" si="20"/>
        <v>0.875</v>
      </c>
      <c r="K96" s="116" t="str">
        <f t="shared" ref="K96:Q96" si="43">IFERROR(IF(K11 = "PTO", "PTO",K11+"12:00"),"OFF")</f>
        <v>OFF</v>
      </c>
      <c r="L96" s="116" t="str">
        <f t="shared" si="43"/>
        <v>OFF</v>
      </c>
      <c r="M96" s="116">
        <f t="shared" si="43"/>
        <v>0.875</v>
      </c>
      <c r="N96" s="116">
        <f t="shared" si="43"/>
        <v>0.875</v>
      </c>
      <c r="O96" s="116">
        <f t="shared" si="43"/>
        <v>0.875</v>
      </c>
      <c r="P96" s="72">
        <f t="shared" si="43"/>
        <v>0.875</v>
      </c>
      <c r="Q96" s="116">
        <f t="shared" si="43"/>
        <v>0.875</v>
      </c>
      <c r="R96" s="116" t="str">
        <f t="shared" ref="R96:W96" si="44">IFERROR(IF(R11 = "PTO", "PTO",R11+"12:00"),"OFF")</f>
        <v>OFF</v>
      </c>
      <c r="S96" s="116" t="str">
        <f t="shared" si="44"/>
        <v>OFF</v>
      </c>
      <c r="T96" s="116">
        <f t="shared" si="44"/>
        <v>0.875</v>
      </c>
      <c r="U96" s="116">
        <f t="shared" si="44"/>
        <v>0.875</v>
      </c>
      <c r="V96" s="116">
        <f t="shared" si="44"/>
        <v>0.875</v>
      </c>
      <c r="W96" s="72">
        <f t="shared" si="44"/>
        <v>0.875</v>
      </c>
      <c r="X96" s="97">
        <f t="shared" si="23"/>
        <v>0.875</v>
      </c>
    </row>
    <row r="97" spans="1:24" x14ac:dyDescent="0.2">
      <c r="A97" s="71" t="str">
        <f t="shared" si="17"/>
        <v>Francis Venise Armenton</v>
      </c>
      <c r="B97" s="71" t="str">
        <f>VLOOKUP(A97,Masterlist!B:D,3,)</f>
        <v>Emmanuel Alisbo</v>
      </c>
      <c r="C97" s="86">
        <f t="shared" ref="C97:D97" si="45">IFERROR(IF(C12 = "PTO", "PTO",C12+"12:00"),"OFF")</f>
        <v>0.875</v>
      </c>
      <c r="D97" s="116" t="str">
        <f t="shared" si="45"/>
        <v>OFF</v>
      </c>
      <c r="E97" s="116" t="str">
        <f t="shared" si="18"/>
        <v>OFF</v>
      </c>
      <c r="F97" s="116">
        <f t="shared" si="18"/>
        <v>0.875</v>
      </c>
      <c r="G97" s="116">
        <f t="shared" si="18"/>
        <v>0.875</v>
      </c>
      <c r="H97" s="116">
        <f t="shared" si="18"/>
        <v>0.875</v>
      </c>
      <c r="I97" s="116">
        <f t="shared" si="18"/>
        <v>0.875</v>
      </c>
      <c r="J97" s="86">
        <f t="shared" si="20"/>
        <v>0.875</v>
      </c>
      <c r="K97" s="116" t="str">
        <f t="shared" ref="K97:Q97" si="46">IFERROR(IF(K12 = "PTO", "PTO",K12+"12:00"),"OFF")</f>
        <v>OFF</v>
      </c>
      <c r="L97" s="116" t="str">
        <f t="shared" si="46"/>
        <v>OFF</v>
      </c>
      <c r="M97" s="116">
        <f t="shared" si="46"/>
        <v>0.875</v>
      </c>
      <c r="N97" s="116">
        <f t="shared" si="46"/>
        <v>0.875</v>
      </c>
      <c r="O97" s="116">
        <f t="shared" si="46"/>
        <v>0.875</v>
      </c>
      <c r="P97" s="72">
        <f t="shared" si="46"/>
        <v>0.875</v>
      </c>
      <c r="Q97" s="116">
        <f t="shared" si="46"/>
        <v>0.875</v>
      </c>
      <c r="R97" s="116" t="str">
        <f t="shared" ref="R97:W97" si="47">IFERROR(IF(R12 = "PTO", "PTO",R12+"12:00"),"OFF")</f>
        <v>OFF</v>
      </c>
      <c r="S97" s="116" t="str">
        <f t="shared" si="47"/>
        <v>OFF</v>
      </c>
      <c r="T97" s="116">
        <f t="shared" si="47"/>
        <v>0.875</v>
      </c>
      <c r="U97" s="116">
        <f t="shared" si="47"/>
        <v>0.875</v>
      </c>
      <c r="V97" s="116">
        <f t="shared" si="47"/>
        <v>0.875</v>
      </c>
      <c r="W97" s="72">
        <f t="shared" si="47"/>
        <v>0.875</v>
      </c>
      <c r="X97" s="97">
        <f t="shared" si="23"/>
        <v>0.875</v>
      </c>
    </row>
    <row r="98" spans="1:24" x14ac:dyDescent="0.2">
      <c r="A98" s="71" t="str">
        <f t="shared" si="17"/>
        <v xml:space="preserve">Mary Rose Alegre </v>
      </c>
      <c r="B98" s="71" t="str">
        <f>VLOOKUP(A98,Masterlist!B:D,3,)</f>
        <v>Emmanuel Alisbo</v>
      </c>
      <c r="C98" s="86">
        <f t="shared" ref="C98:D98" si="48">IFERROR(IF(C13 = "PTO", "PTO",C13+"12:00"),"OFF")</f>
        <v>0.875</v>
      </c>
      <c r="D98" s="116" t="str">
        <f t="shared" si="48"/>
        <v>OFF</v>
      </c>
      <c r="E98" s="116" t="str">
        <f t="shared" si="18"/>
        <v>OFF</v>
      </c>
      <c r="F98" s="116">
        <f t="shared" si="18"/>
        <v>0.875</v>
      </c>
      <c r="G98" s="116">
        <f t="shared" si="18"/>
        <v>0.875</v>
      </c>
      <c r="H98" s="116">
        <f t="shared" si="18"/>
        <v>0.875</v>
      </c>
      <c r="I98" s="116">
        <f t="shared" si="18"/>
        <v>0.875</v>
      </c>
      <c r="J98" s="86">
        <f t="shared" si="20"/>
        <v>0.875</v>
      </c>
      <c r="K98" s="116" t="str">
        <f t="shared" ref="K98:Q98" si="49">IFERROR(IF(K13 = "PTO", "PTO",K13+"12:00"),"OFF")</f>
        <v>OFF</v>
      </c>
      <c r="L98" s="116" t="str">
        <f t="shared" si="49"/>
        <v>OFF</v>
      </c>
      <c r="M98" s="116">
        <f t="shared" si="49"/>
        <v>0.875</v>
      </c>
      <c r="N98" s="116">
        <f t="shared" si="49"/>
        <v>0.875</v>
      </c>
      <c r="O98" s="116">
        <f t="shared" si="49"/>
        <v>0.875</v>
      </c>
      <c r="P98" s="72">
        <f t="shared" si="49"/>
        <v>0.875</v>
      </c>
      <c r="Q98" s="116">
        <f t="shared" si="49"/>
        <v>0.875</v>
      </c>
      <c r="R98" s="116" t="str">
        <f t="shared" ref="R98:W98" si="50">IFERROR(IF(R13 = "PTO", "PTO",R13+"12:00"),"OFF")</f>
        <v>OFF</v>
      </c>
      <c r="S98" s="116" t="str">
        <f t="shared" si="50"/>
        <v>OFF</v>
      </c>
      <c r="T98" s="116">
        <f t="shared" si="50"/>
        <v>0.875</v>
      </c>
      <c r="U98" s="116">
        <f t="shared" si="50"/>
        <v>0.875</v>
      </c>
      <c r="V98" s="116">
        <f t="shared" si="50"/>
        <v>0.875</v>
      </c>
      <c r="W98" s="72">
        <f t="shared" si="50"/>
        <v>0.875</v>
      </c>
      <c r="X98" s="97">
        <f t="shared" si="23"/>
        <v>0.875</v>
      </c>
    </row>
    <row r="99" spans="1:24" x14ac:dyDescent="0.2">
      <c r="A99" s="71" t="str">
        <f t="shared" si="17"/>
        <v>Regine Bajinting</v>
      </c>
      <c r="B99" s="71" t="str">
        <f>VLOOKUP(A99,Masterlist!B:D,3,)</f>
        <v>Emmanuel Alisbo</v>
      </c>
      <c r="C99" s="86">
        <f t="shared" ref="C99:D99" si="51">IFERROR(IF(C14 = "PTO", "PTO",C14+"12:00"),"OFF")</f>
        <v>0.875</v>
      </c>
      <c r="D99" s="116" t="str">
        <f t="shared" si="51"/>
        <v>OFF</v>
      </c>
      <c r="E99" s="116" t="str">
        <f t="shared" si="18"/>
        <v>OFF</v>
      </c>
      <c r="F99" s="116">
        <f t="shared" si="18"/>
        <v>0.875</v>
      </c>
      <c r="G99" s="116">
        <f t="shared" si="18"/>
        <v>0.875</v>
      </c>
      <c r="H99" s="116">
        <f t="shared" si="18"/>
        <v>0.875</v>
      </c>
      <c r="I99" s="116">
        <f t="shared" si="18"/>
        <v>0.875</v>
      </c>
      <c r="J99" s="86">
        <f t="shared" si="20"/>
        <v>0.875</v>
      </c>
      <c r="K99" s="116" t="str">
        <f t="shared" ref="K99:Q99" si="52">IFERROR(IF(K14 = "PTO", "PTO",K14+"12:00"),"OFF")</f>
        <v>OFF</v>
      </c>
      <c r="L99" s="116" t="str">
        <f t="shared" si="52"/>
        <v>OFF</v>
      </c>
      <c r="M99" s="116">
        <f t="shared" si="52"/>
        <v>0.875</v>
      </c>
      <c r="N99" s="116">
        <f t="shared" si="52"/>
        <v>0.875</v>
      </c>
      <c r="O99" s="116">
        <f t="shared" si="52"/>
        <v>0.875</v>
      </c>
      <c r="P99" s="72">
        <f t="shared" si="52"/>
        <v>0.875</v>
      </c>
      <c r="Q99" s="116">
        <f t="shared" si="52"/>
        <v>0.875</v>
      </c>
      <c r="R99" s="116" t="str">
        <f t="shared" ref="R99:W99" si="53">IFERROR(IF(R14 = "PTO", "PTO",R14+"12:00"),"OFF")</f>
        <v>OFF</v>
      </c>
      <c r="S99" s="116" t="str">
        <f t="shared" si="53"/>
        <v>OFF</v>
      </c>
      <c r="T99" s="116">
        <f t="shared" si="53"/>
        <v>0.875</v>
      </c>
      <c r="U99" s="116">
        <f t="shared" si="53"/>
        <v>0.875</v>
      </c>
      <c r="V99" s="116">
        <f t="shared" si="53"/>
        <v>0.875</v>
      </c>
      <c r="W99" s="72">
        <f t="shared" si="53"/>
        <v>0.875</v>
      </c>
      <c r="X99" s="97">
        <f t="shared" si="23"/>
        <v>0.875</v>
      </c>
    </row>
    <row r="100" spans="1:24" x14ac:dyDescent="0.2">
      <c r="A100" s="71" t="str">
        <f t="shared" si="17"/>
        <v>Lanie,Cabrera,Ramos</v>
      </c>
      <c r="B100" s="71" t="str">
        <f>VLOOKUP(A100,Masterlist!B:D,3,)</f>
        <v>Emmanuel Alisbo</v>
      </c>
      <c r="C100" s="86">
        <f t="shared" ref="C100:D100" si="54">IFERROR(IF(C15 = "PTO", "PTO",C15+"12:00"),"OFF")</f>
        <v>0.875</v>
      </c>
      <c r="D100" s="116" t="str">
        <f t="shared" si="54"/>
        <v>OFF</v>
      </c>
      <c r="E100" s="116" t="str">
        <f t="shared" si="18"/>
        <v>OFF</v>
      </c>
      <c r="F100" s="116">
        <f t="shared" si="18"/>
        <v>0.875</v>
      </c>
      <c r="G100" s="116">
        <f t="shared" si="18"/>
        <v>0.875</v>
      </c>
      <c r="H100" s="116">
        <f t="shared" si="18"/>
        <v>0.875</v>
      </c>
      <c r="I100" s="116">
        <f t="shared" si="18"/>
        <v>0.875</v>
      </c>
      <c r="J100" s="86">
        <f t="shared" si="20"/>
        <v>0.875</v>
      </c>
      <c r="K100" s="116" t="str">
        <f t="shared" ref="K100:Q100" si="55">IFERROR(IF(K15 = "PTO", "PTO",K15+"12:00"),"OFF")</f>
        <v>OFF</v>
      </c>
      <c r="L100" s="116" t="str">
        <f t="shared" si="55"/>
        <v>OFF</v>
      </c>
      <c r="M100" s="116">
        <f t="shared" si="55"/>
        <v>0.875</v>
      </c>
      <c r="N100" s="116">
        <f t="shared" si="55"/>
        <v>0.875</v>
      </c>
      <c r="O100" s="116">
        <f t="shared" si="55"/>
        <v>0.875</v>
      </c>
      <c r="P100" s="72">
        <f t="shared" si="55"/>
        <v>0.875</v>
      </c>
      <c r="Q100" s="116">
        <f t="shared" si="55"/>
        <v>0.875</v>
      </c>
      <c r="R100" s="116" t="str">
        <f t="shared" ref="R100:W100" si="56">IFERROR(IF(R15 = "PTO", "PTO",R15+"12:00"),"OFF")</f>
        <v>OFF</v>
      </c>
      <c r="S100" s="116" t="str">
        <f t="shared" si="56"/>
        <v>OFF</v>
      </c>
      <c r="T100" s="116">
        <f t="shared" si="56"/>
        <v>0.875</v>
      </c>
      <c r="U100" s="116">
        <f t="shared" si="56"/>
        <v>0.875</v>
      </c>
      <c r="V100" s="116">
        <f t="shared" si="56"/>
        <v>0.875</v>
      </c>
      <c r="W100" s="72">
        <f t="shared" si="56"/>
        <v>0.875</v>
      </c>
      <c r="X100" s="97">
        <f t="shared" si="23"/>
        <v>0.875</v>
      </c>
    </row>
    <row r="101" spans="1:24" x14ac:dyDescent="0.2">
      <c r="A101" s="71" t="str">
        <f t="shared" si="17"/>
        <v xml:space="preserve">Michael Jason Lencioco </v>
      </c>
      <c r="B101" s="71" t="str">
        <f>VLOOKUP(A101,Masterlist!B:D,3,)</f>
        <v>Emmanuel Alisbo</v>
      </c>
      <c r="C101" s="86">
        <f t="shared" ref="C101:D101" si="57">IFERROR(IF(C16 = "PTO", "PTO",C16+"12:00"),"OFF")</f>
        <v>0.875</v>
      </c>
      <c r="D101" s="116" t="str">
        <f t="shared" si="57"/>
        <v>OFF</v>
      </c>
      <c r="E101" s="116" t="str">
        <f t="shared" si="18"/>
        <v>OFF</v>
      </c>
      <c r="F101" s="116">
        <f t="shared" si="18"/>
        <v>0.875</v>
      </c>
      <c r="G101" s="116">
        <f t="shared" si="18"/>
        <v>0.875</v>
      </c>
      <c r="H101" s="116">
        <f t="shared" si="18"/>
        <v>0.875</v>
      </c>
      <c r="I101" s="116">
        <f t="shared" si="18"/>
        <v>0.875</v>
      </c>
      <c r="J101" s="86">
        <f t="shared" si="20"/>
        <v>0.875</v>
      </c>
      <c r="K101" s="116" t="str">
        <f t="shared" ref="K101:Q101" si="58">IFERROR(IF(K16 = "PTO", "PTO",K16+"12:00"),"OFF")</f>
        <v>OFF</v>
      </c>
      <c r="L101" s="116" t="str">
        <f t="shared" si="58"/>
        <v>OFF</v>
      </c>
      <c r="M101" s="116">
        <f t="shared" si="58"/>
        <v>0.875</v>
      </c>
      <c r="N101" s="116">
        <f t="shared" si="58"/>
        <v>0.875</v>
      </c>
      <c r="O101" s="116">
        <f t="shared" si="58"/>
        <v>0.875</v>
      </c>
      <c r="P101" s="72">
        <f t="shared" si="58"/>
        <v>0.875</v>
      </c>
      <c r="Q101" s="116">
        <f t="shared" si="58"/>
        <v>0.875</v>
      </c>
      <c r="R101" s="116" t="str">
        <f t="shared" ref="R101:W101" si="59">IFERROR(IF(R16 = "PTO", "PTO",R16+"12:00"),"OFF")</f>
        <v>OFF</v>
      </c>
      <c r="S101" s="116" t="str">
        <f t="shared" si="59"/>
        <v>OFF</v>
      </c>
      <c r="T101" s="116">
        <f t="shared" si="59"/>
        <v>0.875</v>
      </c>
      <c r="U101" s="116">
        <f t="shared" si="59"/>
        <v>0.875</v>
      </c>
      <c r="V101" s="116">
        <f t="shared" si="59"/>
        <v>0.875</v>
      </c>
      <c r="W101" s="72">
        <f t="shared" si="59"/>
        <v>0.875</v>
      </c>
      <c r="X101" s="97">
        <f t="shared" si="23"/>
        <v>0.875</v>
      </c>
    </row>
    <row r="102" spans="1:24" x14ac:dyDescent="0.2">
      <c r="A102" s="71" t="str">
        <f t="shared" si="17"/>
        <v>Leah May Baron</v>
      </c>
      <c r="B102" s="71" t="str">
        <f>VLOOKUP(A102,Masterlist!B:D,3,)</f>
        <v>Emmanuel Alisbo</v>
      </c>
      <c r="C102" s="86">
        <f t="shared" ref="C102:D102" si="60">IFERROR(IF(C17 = "PTO", "PTO",C17+"12:00"),"OFF")</f>
        <v>0.875</v>
      </c>
      <c r="D102" s="116" t="str">
        <f t="shared" si="60"/>
        <v>OFF</v>
      </c>
      <c r="E102" s="116" t="str">
        <f t="shared" si="18"/>
        <v>OFF</v>
      </c>
      <c r="F102" s="116">
        <f t="shared" si="18"/>
        <v>0.875</v>
      </c>
      <c r="G102" s="116">
        <f t="shared" si="18"/>
        <v>0.875</v>
      </c>
      <c r="H102" s="116">
        <f t="shared" si="18"/>
        <v>0.875</v>
      </c>
      <c r="I102" s="116">
        <f t="shared" si="18"/>
        <v>0.875</v>
      </c>
      <c r="J102" s="86">
        <f t="shared" si="20"/>
        <v>0.875</v>
      </c>
      <c r="K102" s="116" t="str">
        <f t="shared" ref="K102:Q102" si="61">IFERROR(IF(K17 = "PTO", "PTO",K17+"12:00"),"OFF")</f>
        <v>OFF</v>
      </c>
      <c r="L102" s="116" t="str">
        <f t="shared" si="61"/>
        <v>OFF</v>
      </c>
      <c r="M102" s="116">
        <f t="shared" si="61"/>
        <v>0.875</v>
      </c>
      <c r="N102" s="116">
        <f t="shared" si="61"/>
        <v>0.875</v>
      </c>
      <c r="O102" s="116">
        <f t="shared" si="61"/>
        <v>0.875</v>
      </c>
      <c r="P102" s="72">
        <f t="shared" si="61"/>
        <v>0.875</v>
      </c>
      <c r="Q102" s="116">
        <f t="shared" si="61"/>
        <v>0.875</v>
      </c>
      <c r="R102" s="116" t="str">
        <f t="shared" ref="R102:W102" si="62">IFERROR(IF(R17 = "PTO", "PTO",R17+"12:00"),"OFF")</f>
        <v>OFF</v>
      </c>
      <c r="S102" s="116" t="str">
        <f t="shared" si="62"/>
        <v>OFF</v>
      </c>
      <c r="T102" s="116">
        <f t="shared" si="62"/>
        <v>0.875</v>
      </c>
      <c r="U102" s="116">
        <f t="shared" si="62"/>
        <v>0.875</v>
      </c>
      <c r="V102" s="116">
        <f t="shared" si="62"/>
        <v>0.875</v>
      </c>
      <c r="W102" s="72">
        <f t="shared" si="62"/>
        <v>0.875</v>
      </c>
      <c r="X102" s="97">
        <f t="shared" si="23"/>
        <v>0.875</v>
      </c>
    </row>
    <row r="103" spans="1:24" x14ac:dyDescent="0.2">
      <c r="A103" s="71" t="str">
        <f t="shared" si="17"/>
        <v>Pressie Jean  Costas</v>
      </c>
      <c r="B103" s="71" t="str">
        <f>VLOOKUP(A103,Masterlist!B:D,3,)</f>
        <v>Emmanuel Alisbo</v>
      </c>
      <c r="C103" s="86">
        <f t="shared" ref="C103:D103" si="63">IFERROR(IF(C18 = "PTO", "PTO",C18+"12:00"),"OFF")</f>
        <v>0.875</v>
      </c>
      <c r="D103" s="116" t="str">
        <f t="shared" si="63"/>
        <v>OFF</v>
      </c>
      <c r="E103" s="116" t="str">
        <f t="shared" si="18"/>
        <v>OFF</v>
      </c>
      <c r="F103" s="116">
        <f t="shared" si="18"/>
        <v>0.875</v>
      </c>
      <c r="G103" s="116">
        <f t="shared" si="18"/>
        <v>0.875</v>
      </c>
      <c r="H103" s="116">
        <f t="shared" si="18"/>
        <v>0.875</v>
      </c>
      <c r="I103" s="116">
        <f t="shared" si="18"/>
        <v>0.875</v>
      </c>
      <c r="J103" s="86">
        <f t="shared" si="20"/>
        <v>0.875</v>
      </c>
      <c r="K103" s="116" t="str">
        <f t="shared" ref="K103:Q103" si="64">IFERROR(IF(K18 = "PTO", "PTO",K18+"12:00"),"OFF")</f>
        <v>OFF</v>
      </c>
      <c r="L103" s="116" t="str">
        <f t="shared" si="64"/>
        <v>OFF</v>
      </c>
      <c r="M103" s="116">
        <f t="shared" si="64"/>
        <v>0.875</v>
      </c>
      <c r="N103" s="116">
        <f t="shared" si="64"/>
        <v>0.875</v>
      </c>
      <c r="O103" s="116">
        <f t="shared" si="64"/>
        <v>0.875</v>
      </c>
      <c r="P103" s="72">
        <f t="shared" si="64"/>
        <v>0.875</v>
      </c>
      <c r="Q103" s="116">
        <f t="shared" si="64"/>
        <v>0.875</v>
      </c>
      <c r="R103" s="116" t="str">
        <f t="shared" ref="R103:W103" si="65">IFERROR(IF(R18 = "PTO", "PTO",R18+"12:00"),"OFF")</f>
        <v>OFF</v>
      </c>
      <c r="S103" s="116" t="str">
        <f t="shared" si="65"/>
        <v>OFF</v>
      </c>
      <c r="T103" s="116">
        <f t="shared" si="65"/>
        <v>0.875</v>
      </c>
      <c r="U103" s="116">
        <f t="shared" si="65"/>
        <v>0.875</v>
      </c>
      <c r="V103" s="116">
        <f t="shared" si="65"/>
        <v>0.875</v>
      </c>
      <c r="W103" s="72">
        <f t="shared" si="65"/>
        <v>0.875</v>
      </c>
      <c r="X103" s="97">
        <f t="shared" si="23"/>
        <v>0.875</v>
      </c>
    </row>
    <row r="104" spans="1:24" x14ac:dyDescent="0.2">
      <c r="A104" s="71" t="str">
        <f t="shared" si="17"/>
        <v>Ladyvanessa Jalbuena</v>
      </c>
      <c r="B104" s="71" t="str">
        <f>VLOOKUP(A104,Masterlist!B:D,3,)</f>
        <v>Emmanuel Alisbo</v>
      </c>
      <c r="C104" s="86">
        <f t="shared" ref="C104:D104" si="66">IFERROR(IF(C19 = "PTO", "PTO",C19+"12:00"),"OFF")</f>
        <v>0.875</v>
      </c>
      <c r="D104" s="116" t="str">
        <f t="shared" si="66"/>
        <v>OFF</v>
      </c>
      <c r="E104" s="116" t="str">
        <f t="shared" si="18"/>
        <v>OFF</v>
      </c>
      <c r="F104" s="116">
        <f t="shared" si="18"/>
        <v>0.875</v>
      </c>
      <c r="G104" s="116">
        <f t="shared" si="18"/>
        <v>0.875</v>
      </c>
      <c r="H104" s="116">
        <f t="shared" si="18"/>
        <v>0.875</v>
      </c>
      <c r="I104" s="116">
        <f t="shared" si="18"/>
        <v>0.875</v>
      </c>
      <c r="J104" s="86">
        <f t="shared" si="20"/>
        <v>0.875</v>
      </c>
      <c r="K104" s="116" t="str">
        <f t="shared" ref="K104:Q104" si="67">IFERROR(IF(K19 = "PTO", "PTO",K19+"12:00"),"OFF")</f>
        <v>OFF</v>
      </c>
      <c r="L104" s="116" t="str">
        <f t="shared" si="67"/>
        <v>OFF</v>
      </c>
      <c r="M104" s="116">
        <f t="shared" si="67"/>
        <v>0.875</v>
      </c>
      <c r="N104" s="116">
        <f t="shared" si="67"/>
        <v>0.875</v>
      </c>
      <c r="O104" s="116">
        <f t="shared" si="67"/>
        <v>0.875</v>
      </c>
      <c r="P104" s="72">
        <f t="shared" si="67"/>
        <v>0.875</v>
      </c>
      <c r="Q104" s="116">
        <f t="shared" si="67"/>
        <v>0.875</v>
      </c>
      <c r="R104" s="116" t="str">
        <f t="shared" ref="R104:W104" si="68">IFERROR(IF(R19 = "PTO", "PTO",R19+"12:00"),"OFF")</f>
        <v>OFF</v>
      </c>
      <c r="S104" s="116" t="str">
        <f t="shared" si="68"/>
        <v>OFF</v>
      </c>
      <c r="T104" s="116">
        <f t="shared" si="68"/>
        <v>0.875</v>
      </c>
      <c r="U104" s="116">
        <f t="shared" si="68"/>
        <v>0.875</v>
      </c>
      <c r="V104" s="116">
        <f t="shared" si="68"/>
        <v>0.875</v>
      </c>
      <c r="W104" s="72">
        <f t="shared" si="68"/>
        <v>0.875</v>
      </c>
      <c r="X104" s="97">
        <f t="shared" si="23"/>
        <v>0.875</v>
      </c>
    </row>
    <row r="105" spans="1:24" x14ac:dyDescent="0.2">
      <c r="A105" s="71" t="str">
        <f t="shared" si="17"/>
        <v>Senemeah Pagsugiron</v>
      </c>
      <c r="B105" s="71" t="str">
        <f>VLOOKUP(A105,Masterlist!B:D,3,)</f>
        <v>Emmanuel Alisbo</v>
      </c>
      <c r="C105" s="86">
        <f t="shared" ref="C105:I110" si="69">IFERROR(IF(C20 = "PTO", "PTO",C20+"12:00"),"OFF")</f>
        <v>0.875</v>
      </c>
      <c r="D105" s="116" t="str">
        <f t="shared" si="69"/>
        <v>OFF</v>
      </c>
      <c r="E105" s="116" t="str">
        <f t="shared" si="69"/>
        <v>OFF</v>
      </c>
      <c r="F105" s="116">
        <f t="shared" si="69"/>
        <v>0.875</v>
      </c>
      <c r="G105" s="116">
        <f t="shared" si="69"/>
        <v>0.875</v>
      </c>
      <c r="H105" s="116">
        <f t="shared" si="69"/>
        <v>0.875</v>
      </c>
      <c r="I105" s="116">
        <f t="shared" si="69"/>
        <v>0.875</v>
      </c>
      <c r="J105" s="86">
        <f t="shared" si="20"/>
        <v>0.875</v>
      </c>
      <c r="K105" s="116" t="str">
        <f t="shared" ref="K105:Q105" si="70">IFERROR(IF(K20 = "PTO", "PTO",K20+"12:00"),"OFF")</f>
        <v>OFF</v>
      </c>
      <c r="L105" s="116" t="str">
        <f t="shared" si="70"/>
        <v>OFF</v>
      </c>
      <c r="M105" s="116">
        <f t="shared" si="70"/>
        <v>0.875</v>
      </c>
      <c r="N105" s="116">
        <f t="shared" si="70"/>
        <v>0.875</v>
      </c>
      <c r="O105" s="116">
        <f t="shared" si="70"/>
        <v>0.875</v>
      </c>
      <c r="P105" s="72">
        <f t="shared" si="70"/>
        <v>0.875</v>
      </c>
      <c r="Q105" s="116">
        <f t="shared" si="70"/>
        <v>0.875</v>
      </c>
      <c r="R105" s="116" t="str">
        <f t="shared" ref="R105:W105" si="71">IFERROR(IF(R20 = "PTO", "PTO",R20+"12:00"),"OFF")</f>
        <v>OFF</v>
      </c>
      <c r="S105" s="116" t="str">
        <f t="shared" si="71"/>
        <v>OFF</v>
      </c>
      <c r="T105" s="116">
        <f t="shared" si="71"/>
        <v>0.875</v>
      </c>
      <c r="U105" s="116">
        <f t="shared" si="71"/>
        <v>0.875</v>
      </c>
      <c r="V105" s="116">
        <f t="shared" si="71"/>
        <v>0.875</v>
      </c>
      <c r="W105" s="72">
        <f t="shared" si="71"/>
        <v>0.875</v>
      </c>
      <c r="X105" s="97">
        <f t="shared" si="23"/>
        <v>0.875</v>
      </c>
    </row>
    <row r="106" spans="1:24" x14ac:dyDescent="0.2">
      <c r="A106" s="71" t="str">
        <f t="shared" si="17"/>
        <v>Samfer Kim   Ventura</v>
      </c>
      <c r="B106" s="71" t="str">
        <f>VLOOKUP(A106,Masterlist!B:D,3,)</f>
        <v>Emmanuel Alisbo</v>
      </c>
      <c r="C106" s="86">
        <f t="shared" ref="C106:D106" si="72">IFERROR(IF(C21 = "PTO", "PTO",C21+"12:00"),"OFF")</f>
        <v>0.875</v>
      </c>
      <c r="D106" s="116" t="str">
        <f t="shared" si="72"/>
        <v>OFF</v>
      </c>
      <c r="E106" s="116" t="str">
        <f t="shared" si="69"/>
        <v>OFF</v>
      </c>
      <c r="F106" s="116">
        <f t="shared" si="69"/>
        <v>0.875</v>
      </c>
      <c r="G106" s="116">
        <f t="shared" si="69"/>
        <v>0.875</v>
      </c>
      <c r="H106" s="116">
        <f t="shared" si="69"/>
        <v>0.875</v>
      </c>
      <c r="I106" s="116">
        <f t="shared" si="69"/>
        <v>0.875</v>
      </c>
      <c r="J106" s="86">
        <f t="shared" si="20"/>
        <v>0.875</v>
      </c>
      <c r="K106" s="116" t="str">
        <f t="shared" ref="K106:Q106" si="73">IFERROR(IF(K21 = "PTO", "PTO",K21+"12:00"),"OFF")</f>
        <v>OFF</v>
      </c>
      <c r="L106" s="116" t="str">
        <f t="shared" si="73"/>
        <v>OFF</v>
      </c>
      <c r="M106" s="116">
        <f t="shared" si="73"/>
        <v>0.875</v>
      </c>
      <c r="N106" s="116">
        <f t="shared" si="73"/>
        <v>0.875</v>
      </c>
      <c r="O106" s="116">
        <f t="shared" si="73"/>
        <v>0.875</v>
      </c>
      <c r="P106" s="72">
        <f t="shared" si="73"/>
        <v>0.875</v>
      </c>
      <c r="Q106" s="116">
        <f t="shared" si="73"/>
        <v>0.875</v>
      </c>
      <c r="R106" s="116" t="str">
        <f t="shared" ref="R106:W106" si="74">IFERROR(IF(R21 = "PTO", "PTO",R21+"12:00"),"OFF")</f>
        <v>OFF</v>
      </c>
      <c r="S106" s="116" t="str">
        <f t="shared" si="74"/>
        <v>OFF</v>
      </c>
      <c r="T106" s="116">
        <f t="shared" si="74"/>
        <v>0.875</v>
      </c>
      <c r="U106" s="116">
        <f t="shared" si="74"/>
        <v>0.875</v>
      </c>
      <c r="V106" s="116">
        <f t="shared" si="74"/>
        <v>0.875</v>
      </c>
      <c r="W106" s="72">
        <f t="shared" si="74"/>
        <v>0.875</v>
      </c>
      <c r="X106" s="97">
        <f t="shared" si="23"/>
        <v>0.875</v>
      </c>
    </row>
    <row r="107" spans="1:24" x14ac:dyDescent="0.2">
      <c r="A107" s="71" t="str">
        <f t="shared" si="17"/>
        <v>Jeremy Rae Tan</v>
      </c>
      <c r="B107" s="71" t="str">
        <f>VLOOKUP(A107,Masterlist!B:D,3,)</f>
        <v>Emmanuel Alisbo</v>
      </c>
      <c r="C107" s="86">
        <f t="shared" ref="C107:D107" si="75">IFERROR(IF(C22 = "PTO", "PTO",C22+"12:00"),"OFF")</f>
        <v>0.875</v>
      </c>
      <c r="D107" s="116" t="str">
        <f t="shared" si="75"/>
        <v>OFF</v>
      </c>
      <c r="E107" s="116" t="str">
        <f t="shared" si="69"/>
        <v>OFF</v>
      </c>
      <c r="F107" s="116">
        <f t="shared" si="69"/>
        <v>0.875</v>
      </c>
      <c r="G107" s="116">
        <f t="shared" si="69"/>
        <v>0.875</v>
      </c>
      <c r="H107" s="116">
        <f t="shared" si="69"/>
        <v>0.875</v>
      </c>
      <c r="I107" s="116">
        <f t="shared" si="69"/>
        <v>0.875</v>
      </c>
      <c r="J107" s="86">
        <f t="shared" si="20"/>
        <v>0.875</v>
      </c>
      <c r="K107" s="116" t="str">
        <f t="shared" ref="K107:Q107" si="76">IFERROR(IF(K22 = "PTO", "PTO",K22+"12:00"),"OFF")</f>
        <v>OFF</v>
      </c>
      <c r="L107" s="116" t="str">
        <f t="shared" si="76"/>
        <v>OFF</v>
      </c>
      <c r="M107" s="116">
        <f t="shared" si="76"/>
        <v>0.875</v>
      </c>
      <c r="N107" s="116">
        <f t="shared" si="76"/>
        <v>0.875</v>
      </c>
      <c r="O107" s="116">
        <f t="shared" si="76"/>
        <v>0.875</v>
      </c>
      <c r="P107" s="72">
        <f t="shared" si="76"/>
        <v>0.875</v>
      </c>
      <c r="Q107" s="116">
        <f t="shared" si="76"/>
        <v>0.875</v>
      </c>
      <c r="R107" s="116" t="str">
        <f t="shared" ref="R107:W107" si="77">IFERROR(IF(R22 = "PTO", "PTO",R22+"12:00"),"OFF")</f>
        <v>OFF</v>
      </c>
      <c r="S107" s="116" t="str">
        <f t="shared" si="77"/>
        <v>OFF</v>
      </c>
      <c r="T107" s="116">
        <f t="shared" si="77"/>
        <v>0.875</v>
      </c>
      <c r="U107" s="116">
        <f t="shared" si="77"/>
        <v>0.875</v>
      </c>
      <c r="V107" s="116">
        <f t="shared" si="77"/>
        <v>0.875</v>
      </c>
      <c r="W107" s="72">
        <f t="shared" si="77"/>
        <v>0.875</v>
      </c>
      <c r="X107" s="97">
        <f t="shared" si="23"/>
        <v>0.875</v>
      </c>
    </row>
    <row r="108" spans="1:24" x14ac:dyDescent="0.2">
      <c r="A108" s="71" t="str">
        <f t="shared" si="17"/>
        <v>Jason Jegonia</v>
      </c>
      <c r="B108" s="71" t="str">
        <f>VLOOKUP(A108,Masterlist!B:D,3,)</f>
        <v>Emmanuel Alisbo</v>
      </c>
      <c r="C108" s="86">
        <f t="shared" ref="C108:D108" si="78">IFERROR(IF(C23 = "PTO", "PTO",C23+"12:00"),"OFF")</f>
        <v>0.875</v>
      </c>
      <c r="D108" s="116" t="str">
        <f t="shared" si="78"/>
        <v>OFF</v>
      </c>
      <c r="E108" s="116" t="str">
        <f t="shared" si="69"/>
        <v>OFF</v>
      </c>
      <c r="F108" s="116">
        <f t="shared" si="69"/>
        <v>0.875</v>
      </c>
      <c r="G108" s="116">
        <f t="shared" si="69"/>
        <v>0.875</v>
      </c>
      <c r="H108" s="116">
        <f t="shared" si="69"/>
        <v>0.875</v>
      </c>
      <c r="I108" s="116">
        <f t="shared" si="69"/>
        <v>0.875</v>
      </c>
      <c r="J108" s="86">
        <f t="shared" si="20"/>
        <v>0.875</v>
      </c>
      <c r="K108" s="116" t="str">
        <f t="shared" ref="K108:Q108" si="79">IFERROR(IF(K23 = "PTO", "PTO",K23+"12:00"),"OFF")</f>
        <v>OFF</v>
      </c>
      <c r="L108" s="116" t="str">
        <f t="shared" si="79"/>
        <v>OFF</v>
      </c>
      <c r="M108" s="116">
        <f t="shared" si="79"/>
        <v>0.875</v>
      </c>
      <c r="N108" s="116">
        <f t="shared" si="79"/>
        <v>0.875</v>
      </c>
      <c r="O108" s="116">
        <f t="shared" si="79"/>
        <v>0.875</v>
      </c>
      <c r="P108" s="72">
        <f t="shared" si="79"/>
        <v>0.875</v>
      </c>
      <c r="Q108" s="116">
        <f t="shared" si="79"/>
        <v>0.875</v>
      </c>
      <c r="R108" s="116" t="str">
        <f t="shared" ref="R108:W108" si="80">IFERROR(IF(R23 = "PTO", "PTO",R23+"12:00"),"OFF")</f>
        <v>OFF</v>
      </c>
      <c r="S108" s="116" t="str">
        <f t="shared" si="80"/>
        <v>OFF</v>
      </c>
      <c r="T108" s="116">
        <f t="shared" si="80"/>
        <v>0.875</v>
      </c>
      <c r="U108" s="116">
        <f t="shared" si="80"/>
        <v>0.875</v>
      </c>
      <c r="V108" s="116">
        <f t="shared" si="80"/>
        <v>0.875</v>
      </c>
      <c r="W108" s="72">
        <f t="shared" si="80"/>
        <v>0.875</v>
      </c>
      <c r="X108" s="97">
        <f t="shared" si="23"/>
        <v>0.875</v>
      </c>
    </row>
    <row r="109" spans="1:24" x14ac:dyDescent="0.2">
      <c r="A109" s="71" t="str">
        <f t="shared" si="17"/>
        <v>Ariane Jane Mainar</v>
      </c>
      <c r="B109" s="71" t="str">
        <f>VLOOKUP(A109,Masterlist!B:D,3,)</f>
        <v>Edmark,Rimondo,Adorable</v>
      </c>
      <c r="C109" s="86">
        <f t="shared" ref="C109:D109" si="81">IFERROR(IF(C24 = "PTO", "PTO",C24+"12:00"),"OFF")</f>
        <v>0.875</v>
      </c>
      <c r="D109" s="116">
        <f t="shared" si="81"/>
        <v>0.875</v>
      </c>
      <c r="E109" s="116">
        <f t="shared" si="69"/>
        <v>0.875</v>
      </c>
      <c r="F109" s="116">
        <f t="shared" si="69"/>
        <v>0.875</v>
      </c>
      <c r="G109" s="116">
        <f t="shared" si="69"/>
        <v>0.875</v>
      </c>
      <c r="H109" s="116" t="str">
        <f t="shared" si="69"/>
        <v>OFF</v>
      </c>
      <c r="I109" s="116" t="str">
        <f t="shared" si="69"/>
        <v>OFF</v>
      </c>
      <c r="J109" s="86">
        <f t="shared" si="20"/>
        <v>0.875</v>
      </c>
      <c r="K109" s="116">
        <f t="shared" ref="K109:Q109" si="82">IFERROR(IF(K24 = "PTO", "PTO",K24+"12:00"),"OFF")</f>
        <v>0.875</v>
      </c>
      <c r="L109" s="116">
        <f t="shared" si="82"/>
        <v>0.875</v>
      </c>
      <c r="M109" s="116">
        <f t="shared" si="82"/>
        <v>0.875</v>
      </c>
      <c r="N109" s="116">
        <f t="shared" si="82"/>
        <v>0.875</v>
      </c>
      <c r="O109" s="116" t="str">
        <f t="shared" si="82"/>
        <v>OFF</v>
      </c>
      <c r="P109" s="72" t="str">
        <f t="shared" si="82"/>
        <v>OFF</v>
      </c>
      <c r="Q109" s="116">
        <f t="shared" si="82"/>
        <v>0.875</v>
      </c>
      <c r="R109" s="116">
        <f t="shared" ref="R109:W109" si="83">IFERROR(IF(R24 = "PTO", "PTO",R24+"12:00"),"OFF")</f>
        <v>0.875</v>
      </c>
      <c r="S109" s="116">
        <f t="shared" si="83"/>
        <v>0.875</v>
      </c>
      <c r="T109" s="116">
        <f t="shared" si="83"/>
        <v>0.875</v>
      </c>
      <c r="U109" s="116">
        <f t="shared" si="83"/>
        <v>0.875</v>
      </c>
      <c r="V109" s="116" t="str">
        <f t="shared" si="83"/>
        <v>OFF</v>
      </c>
      <c r="W109" s="72" t="str">
        <f t="shared" si="83"/>
        <v>OFF</v>
      </c>
      <c r="X109" s="97">
        <f t="shared" si="23"/>
        <v>0.875</v>
      </c>
    </row>
    <row r="110" spans="1:24" ht="13.5" thickBot="1" x14ac:dyDescent="0.25">
      <c r="A110" s="71" t="str">
        <f t="shared" si="17"/>
        <v>Shaun Mario Octaviano</v>
      </c>
      <c r="B110" s="71" t="str">
        <f>VLOOKUP(A110,Masterlist!B:D,3,)</f>
        <v>Edmark,Rimondo,Adorable</v>
      </c>
      <c r="C110" s="86">
        <f t="shared" ref="C110:D110" si="84">IFERROR(IF(C25 = "PTO", "PTO",C25+"12:00"),"OFF")</f>
        <v>0.875</v>
      </c>
      <c r="D110" s="116">
        <f t="shared" si="84"/>
        <v>0.875</v>
      </c>
      <c r="E110" s="116">
        <f t="shared" si="69"/>
        <v>0.875</v>
      </c>
      <c r="F110" s="116">
        <f t="shared" si="69"/>
        <v>0.875</v>
      </c>
      <c r="G110" s="116">
        <f t="shared" si="69"/>
        <v>0.875</v>
      </c>
      <c r="H110" s="116" t="str">
        <f t="shared" si="69"/>
        <v>OFF</v>
      </c>
      <c r="I110" s="116" t="str">
        <f t="shared" si="69"/>
        <v>OFF</v>
      </c>
      <c r="J110" s="86">
        <f t="shared" si="20"/>
        <v>0.875</v>
      </c>
      <c r="K110" s="116">
        <f t="shared" ref="K110:Q110" si="85">IFERROR(IF(K25 = "PTO", "PTO",K25+"12:00"),"OFF")</f>
        <v>0.875</v>
      </c>
      <c r="L110" s="116">
        <f t="shared" si="85"/>
        <v>0.875</v>
      </c>
      <c r="M110" s="116">
        <f t="shared" si="85"/>
        <v>0.875</v>
      </c>
      <c r="N110" s="116">
        <f t="shared" si="85"/>
        <v>0.875</v>
      </c>
      <c r="O110" s="116" t="str">
        <f t="shared" si="85"/>
        <v>OFF</v>
      </c>
      <c r="P110" s="72" t="str">
        <f t="shared" si="85"/>
        <v>OFF</v>
      </c>
      <c r="Q110" s="116">
        <f t="shared" si="85"/>
        <v>0.875</v>
      </c>
      <c r="R110" s="116">
        <f t="shared" ref="R110:W110" si="86">IFERROR(IF(R25 = "PTO", "PTO",R25+"12:00"),"OFF")</f>
        <v>0.875</v>
      </c>
      <c r="S110" s="116">
        <f t="shared" si="86"/>
        <v>0.875</v>
      </c>
      <c r="T110" s="116">
        <f t="shared" si="86"/>
        <v>0.875</v>
      </c>
      <c r="U110" s="116">
        <f t="shared" si="86"/>
        <v>0.875</v>
      </c>
      <c r="V110" s="116" t="str">
        <f t="shared" si="86"/>
        <v>OFF</v>
      </c>
      <c r="W110" s="72" t="str">
        <f t="shared" si="86"/>
        <v>OFF</v>
      </c>
      <c r="X110" s="97">
        <f t="shared" si="23"/>
        <v>0.875</v>
      </c>
    </row>
    <row r="111" spans="1:24" x14ac:dyDescent="0.2">
      <c r="A111" s="76" t="str">
        <f t="shared" si="17"/>
        <v>Clarisse Aujero</v>
      </c>
      <c r="B111" s="90" t="str">
        <f>VLOOKUP(A111,Masterlist!B:D,3,)</f>
        <v>Edmark,Rimondo,Adorable</v>
      </c>
      <c r="C111" s="300">
        <f>IFERROR(IF(Y26 = "PTO", "PTO",Y26+"12:00"),"OFF")</f>
        <v>1.0833333333333335</v>
      </c>
      <c r="D111" s="300">
        <f>IFERROR(IF(C26 = "PTO", "PTO",C26+"12:00"),"OFF")</f>
        <v>1.1666666666666665</v>
      </c>
      <c r="E111" s="300">
        <f t="shared" ref="E111:F111" si="87">IFERROR(IF(D26 = "PTO", "PTO",D26+"12:00"),"OFF")</f>
        <v>1.1666666666666665</v>
      </c>
      <c r="F111" s="166" t="str">
        <f t="shared" si="87"/>
        <v>OFF</v>
      </c>
      <c r="G111" s="300">
        <f>IFERROR(IF(F26 = "PTO", "PTO",F26+"12:00"),"OFF")</f>
        <v>1.1666666666666665</v>
      </c>
      <c r="H111" s="166">
        <f>IFERROR(IF(G26 = "PTO", "PTO",G26+"12:00"),"OFF")</f>
        <v>1.1666666666666665</v>
      </c>
      <c r="I111" s="300" t="str">
        <f t="shared" ref="I111:J133" si="88">IFERROR(IF(H26 = "PTO", "PTO",H26+"12:00"),"OFF")</f>
        <v>OFF</v>
      </c>
      <c r="J111" s="165">
        <f t="shared" si="88"/>
        <v>1.1666666666666665</v>
      </c>
      <c r="K111" s="166">
        <f t="shared" ref="K111:P111" si="89">IFERROR(IF(J26 = "PTO", "PTO",J26+"12:00"),"OFF")</f>
        <v>1.1666666666666665</v>
      </c>
      <c r="L111" s="166">
        <f t="shared" si="89"/>
        <v>1.1666666666666665</v>
      </c>
      <c r="M111" s="166">
        <f t="shared" si="89"/>
        <v>1.1666666666666665</v>
      </c>
      <c r="N111" s="166">
        <f t="shared" si="89"/>
        <v>1.1666666666666665</v>
      </c>
      <c r="O111" s="166" t="str">
        <f t="shared" si="89"/>
        <v>OFF</v>
      </c>
      <c r="P111" s="167" t="str">
        <f t="shared" si="89"/>
        <v>OFF</v>
      </c>
      <c r="Q111" s="166">
        <f t="shared" ref="Q111:W120" si="90">IFERROR(IF(P26 = "PTO", "PTO",P26+"12:00"),"OFF")</f>
        <v>1.1666666666666665</v>
      </c>
      <c r="R111" s="166">
        <f t="shared" si="90"/>
        <v>1.1666666666666665</v>
      </c>
      <c r="S111" s="166">
        <f t="shared" si="90"/>
        <v>1.1666666666666665</v>
      </c>
      <c r="T111" s="166">
        <f t="shared" si="90"/>
        <v>1.1666666666666665</v>
      </c>
      <c r="U111" s="166">
        <f t="shared" si="90"/>
        <v>1.1666666666666665</v>
      </c>
      <c r="V111" s="166" t="str">
        <f t="shared" si="90"/>
        <v>OFF</v>
      </c>
      <c r="W111" s="167" t="str">
        <f t="shared" si="90"/>
        <v>OFF</v>
      </c>
      <c r="X111" s="193">
        <f t="shared" si="23"/>
        <v>1.1666666666666665</v>
      </c>
    </row>
    <row r="112" spans="1:24" x14ac:dyDescent="0.2">
      <c r="A112" s="28" t="str">
        <f t="shared" si="17"/>
        <v>Marck Lourence Racines</v>
      </c>
      <c r="B112" s="71" t="str">
        <f>VLOOKUP(A112,Masterlist!B:D,3,)</f>
        <v>Edmark,Rimondo,Adorable</v>
      </c>
      <c r="C112" s="301">
        <f t="shared" ref="C112:C118" si="91">IFERROR(IF(Y27 = "PTO", "PTO",Y27+"12:00"),"OFF")</f>
        <v>1.0833333333333335</v>
      </c>
      <c r="D112" s="301">
        <f t="shared" ref="D112:H112" si="92">IFERROR(IF(C27 = "PTO", "PTO",C27+"12:00"),"OFF")</f>
        <v>1.1666666666666665</v>
      </c>
      <c r="E112" s="301">
        <f t="shared" si="92"/>
        <v>1.1666666666666665</v>
      </c>
      <c r="F112" s="116" t="str">
        <f t="shared" si="92"/>
        <v>OFF</v>
      </c>
      <c r="G112" s="301">
        <f t="shared" si="92"/>
        <v>1.1666666666666665</v>
      </c>
      <c r="H112" s="116">
        <f t="shared" si="92"/>
        <v>1.1666666666666665</v>
      </c>
      <c r="I112" s="301" t="str">
        <f t="shared" ref="I112:I119" si="93">IFERROR(IF(H27 = "PTO", "PTO",H27+"12:00"),"OFF")</f>
        <v>OFF</v>
      </c>
      <c r="J112" s="86">
        <f t="shared" si="88"/>
        <v>1.1666666666666665</v>
      </c>
      <c r="K112" s="116">
        <f t="shared" ref="K112:P121" si="94">IFERROR(IF(J27 = "PTO", "PTO",J27+"12:00"),"OFF")</f>
        <v>1.1666666666666665</v>
      </c>
      <c r="L112" s="116">
        <f t="shared" si="94"/>
        <v>1.1666666666666665</v>
      </c>
      <c r="M112" s="116">
        <f t="shared" si="94"/>
        <v>1.1666666666666665</v>
      </c>
      <c r="N112" s="116">
        <f t="shared" si="94"/>
        <v>1.1666666666666665</v>
      </c>
      <c r="O112" s="116" t="str">
        <f t="shared" si="94"/>
        <v>OFF</v>
      </c>
      <c r="P112" s="72" t="str">
        <f t="shared" si="94"/>
        <v>OFF</v>
      </c>
      <c r="Q112" s="116">
        <f t="shared" si="90"/>
        <v>1.1666666666666665</v>
      </c>
      <c r="R112" s="116">
        <f t="shared" si="90"/>
        <v>1.1666666666666665</v>
      </c>
      <c r="S112" s="116">
        <f t="shared" si="90"/>
        <v>1.1666666666666665</v>
      </c>
      <c r="T112" s="116">
        <f t="shared" si="90"/>
        <v>1.1666666666666665</v>
      </c>
      <c r="U112" s="116">
        <f t="shared" si="90"/>
        <v>1.1666666666666665</v>
      </c>
      <c r="V112" s="116" t="str">
        <f t="shared" si="90"/>
        <v>OFF</v>
      </c>
      <c r="W112" s="72" t="str">
        <f t="shared" si="90"/>
        <v>OFF</v>
      </c>
      <c r="X112" s="97">
        <f t="shared" si="23"/>
        <v>1.1666666666666665</v>
      </c>
    </row>
    <row r="113" spans="1:24" x14ac:dyDescent="0.2">
      <c r="A113" s="28" t="str">
        <f t="shared" si="17"/>
        <v>Blossom Pearl Villorente</v>
      </c>
      <c r="B113" s="71" t="str">
        <f>VLOOKUP(A113,Masterlist!B:D,3,)</f>
        <v>Edmark,Rimondo,Adorable</v>
      </c>
      <c r="C113" s="301">
        <f t="shared" si="91"/>
        <v>1.0833333333333335</v>
      </c>
      <c r="D113" s="301">
        <f t="shared" ref="D113:H113" si="95">IFERROR(IF(C28 = "PTO", "PTO",C28+"12:00"),"OFF")</f>
        <v>1.1666666666666665</v>
      </c>
      <c r="E113" s="301">
        <f t="shared" si="95"/>
        <v>1.1666666666666665</v>
      </c>
      <c r="F113" s="301">
        <f t="shared" si="95"/>
        <v>1.1666666666666665</v>
      </c>
      <c r="G113" s="301" t="str">
        <f t="shared" si="95"/>
        <v>OFF</v>
      </c>
      <c r="H113" s="116" t="str">
        <f t="shared" si="95"/>
        <v>OFF</v>
      </c>
      <c r="I113" s="301">
        <f t="shared" si="93"/>
        <v>1.1666666666666665</v>
      </c>
      <c r="J113" s="86">
        <f t="shared" si="88"/>
        <v>1.1666666666666665</v>
      </c>
      <c r="K113" s="116">
        <f t="shared" si="94"/>
        <v>1.1666666666666665</v>
      </c>
      <c r="L113" s="116">
        <f t="shared" si="94"/>
        <v>1.1666666666666665</v>
      </c>
      <c r="M113" s="116">
        <f t="shared" si="94"/>
        <v>1.1666666666666665</v>
      </c>
      <c r="N113" s="116" t="str">
        <f t="shared" si="94"/>
        <v>OFF</v>
      </c>
      <c r="O113" s="116" t="str">
        <f t="shared" si="94"/>
        <v>OFF</v>
      </c>
      <c r="P113" s="72">
        <f t="shared" si="94"/>
        <v>1.1666666666666665</v>
      </c>
      <c r="Q113" s="116">
        <f t="shared" si="90"/>
        <v>1.1666666666666665</v>
      </c>
      <c r="R113" s="116">
        <f t="shared" si="90"/>
        <v>1.1666666666666665</v>
      </c>
      <c r="S113" s="116">
        <f t="shared" si="90"/>
        <v>1.1666666666666665</v>
      </c>
      <c r="T113" s="116">
        <f t="shared" si="90"/>
        <v>1.1666666666666665</v>
      </c>
      <c r="U113" s="116" t="str">
        <f t="shared" si="90"/>
        <v>OFF</v>
      </c>
      <c r="V113" s="116" t="str">
        <f t="shared" si="90"/>
        <v>OFF</v>
      </c>
      <c r="W113" s="72">
        <f t="shared" si="90"/>
        <v>1.1666666666666665</v>
      </c>
      <c r="X113" s="97">
        <f t="shared" si="23"/>
        <v>1.1666666666666665</v>
      </c>
    </row>
    <row r="114" spans="1:24" x14ac:dyDescent="0.2">
      <c r="A114" s="28" t="str">
        <f t="shared" si="17"/>
        <v>Veneille Florence Siva</v>
      </c>
      <c r="B114" s="71" t="str">
        <f>VLOOKUP(A114,Masterlist!B:D,3,)</f>
        <v>Edmark,Rimondo,Adorable</v>
      </c>
      <c r="C114" s="301">
        <f t="shared" si="91"/>
        <v>1</v>
      </c>
      <c r="D114" s="301">
        <f t="shared" ref="D114:H114" si="96">IFERROR(IF(C29 = "PTO", "PTO",C29+"12:00"),"OFF")</f>
        <v>1</v>
      </c>
      <c r="E114" s="301">
        <f t="shared" si="96"/>
        <v>1</v>
      </c>
      <c r="F114" s="116" t="str">
        <f t="shared" si="96"/>
        <v>OFF</v>
      </c>
      <c r="G114" s="301">
        <f t="shared" si="96"/>
        <v>1</v>
      </c>
      <c r="H114" s="116">
        <f t="shared" si="96"/>
        <v>1</v>
      </c>
      <c r="I114" s="301" t="str">
        <f t="shared" si="93"/>
        <v>OFF</v>
      </c>
      <c r="J114" s="86">
        <f t="shared" si="88"/>
        <v>1</v>
      </c>
      <c r="K114" s="116">
        <f t="shared" si="94"/>
        <v>1</v>
      </c>
      <c r="L114" s="116">
        <f t="shared" si="94"/>
        <v>1</v>
      </c>
      <c r="M114" s="116">
        <f t="shared" si="94"/>
        <v>1</v>
      </c>
      <c r="N114" s="116">
        <f t="shared" si="94"/>
        <v>1</v>
      </c>
      <c r="O114" s="116" t="str">
        <f t="shared" si="94"/>
        <v>OFF</v>
      </c>
      <c r="P114" s="72" t="str">
        <f t="shared" si="94"/>
        <v>OFF</v>
      </c>
      <c r="Q114" s="116">
        <f t="shared" si="90"/>
        <v>1</v>
      </c>
      <c r="R114" s="116">
        <f t="shared" si="90"/>
        <v>1</v>
      </c>
      <c r="S114" s="116">
        <f t="shared" si="90"/>
        <v>1</v>
      </c>
      <c r="T114" s="116">
        <f t="shared" si="90"/>
        <v>1</v>
      </c>
      <c r="U114" s="116">
        <f t="shared" si="90"/>
        <v>1</v>
      </c>
      <c r="V114" s="116" t="str">
        <f t="shared" si="90"/>
        <v>OFF</v>
      </c>
      <c r="W114" s="72" t="str">
        <f t="shared" si="90"/>
        <v>OFF</v>
      </c>
      <c r="X114" s="97">
        <f t="shared" si="23"/>
        <v>1</v>
      </c>
    </row>
    <row r="115" spans="1:24" x14ac:dyDescent="0.2">
      <c r="A115" s="28" t="str">
        <f t="shared" si="17"/>
        <v>Sheila Marie Casta</v>
      </c>
      <c r="B115" s="71" t="str">
        <f>VLOOKUP(A115,Masterlist!B:D,3,)</f>
        <v>Edmark,Rimondo,Adorable</v>
      </c>
      <c r="C115" s="301">
        <f t="shared" si="91"/>
        <v>1.0833333333333335</v>
      </c>
      <c r="D115" s="301">
        <f t="shared" ref="D115:H115" si="97">IFERROR(IF(C30 = "PTO", "PTO",C30+"12:00"),"OFF")</f>
        <v>1.1666666666666665</v>
      </c>
      <c r="E115" s="301">
        <f t="shared" si="97"/>
        <v>1.1666666666666665</v>
      </c>
      <c r="F115" s="116" t="str">
        <f t="shared" si="97"/>
        <v>OFF</v>
      </c>
      <c r="G115" s="301">
        <f t="shared" si="97"/>
        <v>1.1666666666666665</v>
      </c>
      <c r="H115" s="116">
        <f t="shared" si="97"/>
        <v>1.1666666666666665</v>
      </c>
      <c r="I115" s="301" t="str">
        <f t="shared" si="93"/>
        <v>OFF</v>
      </c>
      <c r="J115" s="86">
        <f t="shared" si="88"/>
        <v>1.1666666666666665</v>
      </c>
      <c r="K115" s="116">
        <f t="shared" si="94"/>
        <v>1.1666666666666665</v>
      </c>
      <c r="L115" s="116">
        <f t="shared" si="94"/>
        <v>1.1666666666666665</v>
      </c>
      <c r="M115" s="116">
        <f t="shared" si="94"/>
        <v>1.1666666666666665</v>
      </c>
      <c r="N115" s="116">
        <f t="shared" si="94"/>
        <v>1.1666666666666665</v>
      </c>
      <c r="O115" s="116" t="str">
        <f t="shared" si="94"/>
        <v>OFF</v>
      </c>
      <c r="P115" s="72" t="str">
        <f t="shared" si="94"/>
        <v>OFF</v>
      </c>
      <c r="Q115" s="116">
        <f t="shared" si="90"/>
        <v>1.1666666666666665</v>
      </c>
      <c r="R115" s="116">
        <f t="shared" si="90"/>
        <v>1.1666666666666665</v>
      </c>
      <c r="S115" s="116">
        <f t="shared" si="90"/>
        <v>1.1666666666666665</v>
      </c>
      <c r="T115" s="116">
        <f t="shared" si="90"/>
        <v>1.1666666666666665</v>
      </c>
      <c r="U115" s="116">
        <f t="shared" si="90"/>
        <v>1.1666666666666665</v>
      </c>
      <c r="V115" s="116" t="str">
        <f t="shared" si="90"/>
        <v>OFF</v>
      </c>
      <c r="W115" s="72" t="str">
        <f t="shared" si="90"/>
        <v>OFF</v>
      </c>
      <c r="X115" s="97">
        <f t="shared" si="23"/>
        <v>1.1666666666666665</v>
      </c>
    </row>
    <row r="116" spans="1:24" x14ac:dyDescent="0.2">
      <c r="A116" s="28" t="str">
        <f t="shared" si="17"/>
        <v>Laurie Ann Billones</v>
      </c>
      <c r="B116" s="71" t="str">
        <f>VLOOKUP(A116,Masterlist!B:D,3,)</f>
        <v>Edmark,Rimondo,Adorable</v>
      </c>
      <c r="C116" s="301">
        <f t="shared" si="91"/>
        <v>1</v>
      </c>
      <c r="D116" s="301">
        <f t="shared" ref="D116:H116" si="98">IFERROR(IF(C31 = "PTO", "PTO",C31+"12:00"),"OFF")</f>
        <v>1</v>
      </c>
      <c r="E116" s="301">
        <f t="shared" si="98"/>
        <v>1</v>
      </c>
      <c r="F116" s="116" t="str">
        <f t="shared" si="98"/>
        <v>OFF</v>
      </c>
      <c r="G116" s="301">
        <f t="shared" si="98"/>
        <v>1</v>
      </c>
      <c r="H116" s="116">
        <f t="shared" si="98"/>
        <v>1</v>
      </c>
      <c r="I116" s="301" t="str">
        <f t="shared" si="93"/>
        <v>OFF</v>
      </c>
      <c r="J116" s="86">
        <f t="shared" si="88"/>
        <v>1</v>
      </c>
      <c r="K116" s="116">
        <f t="shared" si="94"/>
        <v>1</v>
      </c>
      <c r="L116" s="116">
        <f t="shared" si="94"/>
        <v>1</v>
      </c>
      <c r="M116" s="116">
        <f t="shared" si="94"/>
        <v>1</v>
      </c>
      <c r="N116" s="116">
        <f t="shared" si="94"/>
        <v>1</v>
      </c>
      <c r="O116" s="116" t="str">
        <f t="shared" si="94"/>
        <v>OFF</v>
      </c>
      <c r="P116" s="72" t="str">
        <f t="shared" si="94"/>
        <v>OFF</v>
      </c>
      <c r="Q116" s="116">
        <f t="shared" si="90"/>
        <v>1</v>
      </c>
      <c r="R116" s="116">
        <f t="shared" si="90"/>
        <v>1</v>
      </c>
      <c r="S116" s="116">
        <f t="shared" si="90"/>
        <v>1</v>
      </c>
      <c r="T116" s="116">
        <f t="shared" si="90"/>
        <v>1</v>
      </c>
      <c r="U116" s="116">
        <f t="shared" si="90"/>
        <v>1</v>
      </c>
      <c r="V116" s="116" t="str">
        <f t="shared" si="90"/>
        <v>OFF</v>
      </c>
      <c r="W116" s="72" t="str">
        <f t="shared" si="90"/>
        <v>OFF</v>
      </c>
      <c r="X116" s="97">
        <f t="shared" si="23"/>
        <v>1</v>
      </c>
    </row>
    <row r="117" spans="1:24" x14ac:dyDescent="0.2">
      <c r="A117" s="28" t="str">
        <f t="shared" si="17"/>
        <v>Daisy Erlano</v>
      </c>
      <c r="B117" s="71" t="str">
        <f>VLOOKUP(A117,Masterlist!B:D,3,)</f>
        <v>Edmark,Rimondo,Adorable</v>
      </c>
      <c r="C117" s="301">
        <f t="shared" si="91"/>
        <v>1.0833333333333335</v>
      </c>
      <c r="D117" s="301">
        <f t="shared" ref="D117:H117" si="99">IFERROR(IF(C32 = "PTO", "PTO",C32+"12:00"),"OFF")</f>
        <v>1.1666666666666665</v>
      </c>
      <c r="E117" s="301">
        <f t="shared" si="99"/>
        <v>1.1666666666666665</v>
      </c>
      <c r="F117" s="116" t="str">
        <f t="shared" si="99"/>
        <v>OFF</v>
      </c>
      <c r="G117" s="301">
        <f t="shared" si="99"/>
        <v>1.1666666666666665</v>
      </c>
      <c r="H117" s="116">
        <f t="shared" si="99"/>
        <v>1.1666666666666665</v>
      </c>
      <c r="I117" s="301" t="str">
        <f t="shared" si="93"/>
        <v>OFF</v>
      </c>
      <c r="J117" s="86">
        <f t="shared" si="88"/>
        <v>1.1666666666666665</v>
      </c>
      <c r="K117" s="116">
        <f t="shared" si="94"/>
        <v>1.1666666666666665</v>
      </c>
      <c r="L117" s="116">
        <f t="shared" si="94"/>
        <v>1.1666666666666665</v>
      </c>
      <c r="M117" s="116">
        <f t="shared" si="94"/>
        <v>1.1666666666666665</v>
      </c>
      <c r="N117" s="116">
        <f t="shared" si="94"/>
        <v>1.1666666666666665</v>
      </c>
      <c r="O117" s="116" t="str">
        <f t="shared" si="94"/>
        <v>OFF</v>
      </c>
      <c r="P117" s="72" t="str">
        <f t="shared" si="94"/>
        <v>OFF</v>
      </c>
      <c r="Q117" s="116">
        <f t="shared" si="90"/>
        <v>1.1666666666666665</v>
      </c>
      <c r="R117" s="116">
        <f t="shared" si="90"/>
        <v>1.1666666666666665</v>
      </c>
      <c r="S117" s="116">
        <f t="shared" si="90"/>
        <v>1.1666666666666665</v>
      </c>
      <c r="T117" s="116">
        <f t="shared" si="90"/>
        <v>1.1666666666666665</v>
      </c>
      <c r="U117" s="116">
        <f t="shared" si="90"/>
        <v>1.1666666666666665</v>
      </c>
      <c r="V117" s="116" t="str">
        <f t="shared" si="90"/>
        <v>OFF</v>
      </c>
      <c r="W117" s="72" t="str">
        <f t="shared" si="90"/>
        <v>OFF</v>
      </c>
      <c r="X117" s="97">
        <f t="shared" si="23"/>
        <v>1.1666666666666665</v>
      </c>
    </row>
    <row r="118" spans="1:24" x14ac:dyDescent="0.2">
      <c r="A118" s="28" t="str">
        <f t="shared" si="17"/>
        <v>Gicelle Dyan Carisma</v>
      </c>
      <c r="B118" s="71" t="str">
        <f>VLOOKUP(A118,Masterlist!B:D,3,)</f>
        <v>Edmark,Rimondo,Adorable</v>
      </c>
      <c r="C118" s="301">
        <f t="shared" si="91"/>
        <v>1.0833333333333335</v>
      </c>
      <c r="D118" s="301">
        <f t="shared" ref="D118:H118" si="100">IFERROR(IF(C33 = "PTO", "PTO",C33+"12:00"),"OFF")</f>
        <v>1.1666666666666665</v>
      </c>
      <c r="E118" s="301">
        <f t="shared" si="100"/>
        <v>1.1666666666666665</v>
      </c>
      <c r="F118" s="116" t="str">
        <f t="shared" si="100"/>
        <v>OFF</v>
      </c>
      <c r="G118" s="301">
        <f t="shared" si="100"/>
        <v>1.1666666666666665</v>
      </c>
      <c r="H118" s="116">
        <f t="shared" si="100"/>
        <v>1.1666666666666665</v>
      </c>
      <c r="I118" s="301" t="str">
        <f t="shared" si="93"/>
        <v>OFF</v>
      </c>
      <c r="J118" s="86">
        <f t="shared" si="88"/>
        <v>1.1666666666666665</v>
      </c>
      <c r="K118" s="116">
        <f t="shared" si="94"/>
        <v>1.1666666666666665</v>
      </c>
      <c r="L118" s="116">
        <f t="shared" si="94"/>
        <v>1.1666666666666665</v>
      </c>
      <c r="M118" s="116">
        <f t="shared" si="94"/>
        <v>1.1666666666666665</v>
      </c>
      <c r="N118" s="116">
        <f t="shared" si="94"/>
        <v>1.1666666666666665</v>
      </c>
      <c r="O118" s="116" t="str">
        <f t="shared" si="94"/>
        <v>OFF</v>
      </c>
      <c r="P118" s="72" t="str">
        <f t="shared" si="94"/>
        <v>OFF</v>
      </c>
      <c r="Q118" s="116">
        <f t="shared" si="90"/>
        <v>1.1666666666666665</v>
      </c>
      <c r="R118" s="116">
        <f t="shared" si="90"/>
        <v>1.1666666666666665</v>
      </c>
      <c r="S118" s="116">
        <f t="shared" si="90"/>
        <v>1.1666666666666665</v>
      </c>
      <c r="T118" s="116">
        <f t="shared" si="90"/>
        <v>1.1666666666666665</v>
      </c>
      <c r="U118" s="116">
        <f t="shared" si="90"/>
        <v>1.1666666666666665</v>
      </c>
      <c r="V118" s="116" t="str">
        <f t="shared" si="90"/>
        <v>OFF</v>
      </c>
      <c r="W118" s="72" t="str">
        <f t="shared" si="90"/>
        <v>OFF</v>
      </c>
      <c r="X118" s="97">
        <f t="shared" si="23"/>
        <v>1.1666666666666665</v>
      </c>
    </row>
    <row r="119" spans="1:24" x14ac:dyDescent="0.2">
      <c r="A119" s="28" t="str">
        <f t="shared" si="17"/>
        <v>Floriden Aura Guino-o</v>
      </c>
      <c r="B119" s="71" t="str">
        <f>VLOOKUP(A119,Masterlist!B:D,3,)</f>
        <v>Edmark,Rimondo,Adorable</v>
      </c>
      <c r="C119" s="301">
        <f>IFERROR(IF(Y34 = "PTO", "PTO",Y34+"12:00"),"OFF")</f>
        <v>1</v>
      </c>
      <c r="D119" s="301">
        <f t="shared" ref="D119:H119" si="101">IFERROR(IF(C34 = "PTO", "PTO",C34+"12:00"),"OFF")</f>
        <v>1</v>
      </c>
      <c r="E119" s="301">
        <f t="shared" si="101"/>
        <v>1</v>
      </c>
      <c r="F119" s="116" t="str">
        <f t="shared" si="101"/>
        <v>OFF</v>
      </c>
      <c r="G119" s="301">
        <f t="shared" si="101"/>
        <v>1</v>
      </c>
      <c r="H119" s="116">
        <f t="shared" si="101"/>
        <v>1</v>
      </c>
      <c r="I119" s="301" t="str">
        <f t="shared" si="93"/>
        <v>OFF</v>
      </c>
      <c r="J119" s="86">
        <f t="shared" si="88"/>
        <v>1</v>
      </c>
      <c r="K119" s="116">
        <f t="shared" si="94"/>
        <v>1</v>
      </c>
      <c r="L119" s="116">
        <f t="shared" si="94"/>
        <v>1</v>
      </c>
      <c r="M119" s="116">
        <f t="shared" si="94"/>
        <v>1</v>
      </c>
      <c r="N119" s="116">
        <f t="shared" si="94"/>
        <v>1</v>
      </c>
      <c r="O119" s="116" t="str">
        <f t="shared" si="94"/>
        <v>OFF</v>
      </c>
      <c r="P119" s="72" t="str">
        <f t="shared" si="94"/>
        <v>OFF</v>
      </c>
      <c r="Q119" s="116">
        <f t="shared" si="90"/>
        <v>1</v>
      </c>
      <c r="R119" s="116">
        <f t="shared" si="90"/>
        <v>1</v>
      </c>
      <c r="S119" s="116">
        <f t="shared" si="90"/>
        <v>1</v>
      </c>
      <c r="T119" s="116">
        <f t="shared" si="90"/>
        <v>1</v>
      </c>
      <c r="U119" s="116">
        <f t="shared" si="90"/>
        <v>1</v>
      </c>
      <c r="V119" s="116" t="str">
        <f t="shared" si="90"/>
        <v>OFF</v>
      </c>
      <c r="W119" s="72" t="str">
        <f t="shared" si="90"/>
        <v>OFF</v>
      </c>
      <c r="X119" s="97">
        <f t="shared" si="23"/>
        <v>1</v>
      </c>
    </row>
    <row r="120" spans="1:24" x14ac:dyDescent="0.2">
      <c r="A120" s="28" t="str">
        <f t="shared" si="17"/>
        <v>Medalyn Sealza</v>
      </c>
      <c r="B120" s="71" t="str">
        <f>VLOOKUP(A120,Masterlist!B:D,3,)</f>
        <v>Edmark,Rimondo,Adorable</v>
      </c>
      <c r="C120" s="301">
        <f t="shared" ref="C120:C132" si="102">IFERROR(IF(Y35 = "PTO", "PTO",Y35+"12:00"),"OFF")</f>
        <v>1.0833333333333335</v>
      </c>
      <c r="D120" s="301">
        <f t="shared" ref="D120:H121" si="103">IFERROR(IF(C35 = "PTO", "PTO",C35+"12:00"),"OFF")</f>
        <v>1.1666666666666665</v>
      </c>
      <c r="E120" s="301">
        <f t="shared" si="103"/>
        <v>1.1666666666666665</v>
      </c>
      <c r="F120" s="116" t="str">
        <f t="shared" si="103"/>
        <v>OFF</v>
      </c>
      <c r="G120" s="301">
        <f t="shared" si="103"/>
        <v>1.1666666666666665</v>
      </c>
      <c r="H120" s="116">
        <f t="shared" si="103"/>
        <v>1.1666666666666665</v>
      </c>
      <c r="I120" s="301" t="str">
        <f t="shared" ref="I120:I132" si="104">IFERROR(IF(H35 = "PTO", "PTO",H35+"12:00"),"OFF")</f>
        <v>OFF</v>
      </c>
      <c r="J120" s="86">
        <f t="shared" si="88"/>
        <v>1.1666666666666665</v>
      </c>
      <c r="K120" s="116">
        <f t="shared" si="94"/>
        <v>1.1666666666666665</v>
      </c>
      <c r="L120" s="116">
        <f t="shared" si="94"/>
        <v>1.1666666666666665</v>
      </c>
      <c r="M120" s="116">
        <f t="shared" si="94"/>
        <v>1.1666666666666665</v>
      </c>
      <c r="N120" s="116">
        <f t="shared" si="94"/>
        <v>1.1666666666666665</v>
      </c>
      <c r="O120" s="116" t="str">
        <f t="shared" si="94"/>
        <v>OFF</v>
      </c>
      <c r="P120" s="72" t="str">
        <f t="shared" si="94"/>
        <v>OFF</v>
      </c>
      <c r="Q120" s="116">
        <f t="shared" si="90"/>
        <v>1.1666666666666665</v>
      </c>
      <c r="R120" s="116">
        <f t="shared" si="90"/>
        <v>1.1666666666666665</v>
      </c>
      <c r="S120" s="116">
        <f t="shared" si="90"/>
        <v>1.1666666666666665</v>
      </c>
      <c r="T120" s="116">
        <f t="shared" si="90"/>
        <v>1.1666666666666665</v>
      </c>
      <c r="U120" s="116">
        <f t="shared" si="90"/>
        <v>1.1666666666666665</v>
      </c>
      <c r="V120" s="116" t="str">
        <f t="shared" si="90"/>
        <v>OFF</v>
      </c>
      <c r="W120" s="72" t="str">
        <f t="shared" si="90"/>
        <v>OFF</v>
      </c>
      <c r="X120" s="97">
        <f t="shared" si="23"/>
        <v>1.1666666666666665</v>
      </c>
    </row>
    <row r="121" spans="1:24" x14ac:dyDescent="0.2">
      <c r="A121" s="28" t="str">
        <f t="shared" si="17"/>
        <v>April Grace Arrubio</v>
      </c>
      <c r="B121" s="71" t="str">
        <f>VLOOKUP(A121,Masterlist!B:D,3,)</f>
        <v>Edmark,Rimondo,Adorable</v>
      </c>
      <c r="C121" s="301">
        <f t="shared" ref="C121" si="105">IFERROR(IF(Y36 = "PTO", "PTO",Y36+"12:00"),"OFF")</f>
        <v>1.0833333333333335</v>
      </c>
      <c r="D121" s="301">
        <f t="shared" si="103"/>
        <v>1.1666666666666665</v>
      </c>
      <c r="E121" s="301">
        <f t="shared" si="103"/>
        <v>1.1666666666666665</v>
      </c>
      <c r="F121" s="116" t="str">
        <f t="shared" si="103"/>
        <v>OFF</v>
      </c>
      <c r="G121" s="301">
        <f t="shared" ref="G121:H121" si="106">IFERROR(IF(F36 = "PTO", "PTO",F36+"12:00"),"OFF")</f>
        <v>1.1666666666666665</v>
      </c>
      <c r="H121" s="116">
        <f t="shared" si="106"/>
        <v>1.1666666666666665</v>
      </c>
      <c r="I121" s="301" t="str">
        <f t="shared" si="104"/>
        <v>OFF</v>
      </c>
      <c r="J121" s="86">
        <f t="shared" si="88"/>
        <v>1.1666666666666665</v>
      </c>
      <c r="K121" s="116">
        <f t="shared" si="94"/>
        <v>1.1666666666666665</v>
      </c>
      <c r="L121" s="116">
        <f t="shared" si="94"/>
        <v>1.1666666666666665</v>
      </c>
      <c r="M121" s="116">
        <f t="shared" si="94"/>
        <v>1.1666666666666665</v>
      </c>
      <c r="N121" s="116">
        <f t="shared" si="94"/>
        <v>1.1666666666666665</v>
      </c>
      <c r="O121" s="116" t="str">
        <f t="shared" si="94"/>
        <v>OFF</v>
      </c>
      <c r="P121" s="72" t="str">
        <f t="shared" si="94"/>
        <v>OFF</v>
      </c>
      <c r="Q121" s="116">
        <f t="shared" ref="Q121:W130" si="107">IFERROR(IF(P36 = "PTO", "PTO",P36+"12:00"),"OFF")</f>
        <v>1.1666666666666665</v>
      </c>
      <c r="R121" s="116">
        <f t="shared" si="107"/>
        <v>1.1666666666666665</v>
      </c>
      <c r="S121" s="116">
        <f t="shared" si="107"/>
        <v>1.1666666666666665</v>
      </c>
      <c r="T121" s="116">
        <f t="shared" si="107"/>
        <v>1.1666666666666665</v>
      </c>
      <c r="U121" s="116">
        <f t="shared" si="107"/>
        <v>1.1666666666666665</v>
      </c>
      <c r="V121" s="116" t="str">
        <f t="shared" si="107"/>
        <v>OFF</v>
      </c>
      <c r="W121" s="72" t="str">
        <f t="shared" si="107"/>
        <v>OFF</v>
      </c>
      <c r="X121" s="97">
        <f t="shared" si="23"/>
        <v>1.1666666666666665</v>
      </c>
    </row>
    <row r="122" spans="1:24" x14ac:dyDescent="0.2">
      <c r="A122" s="28" t="str">
        <f t="shared" si="17"/>
        <v>Amando Cadigal</v>
      </c>
      <c r="B122" s="71" t="str">
        <f>VLOOKUP(A122,Masterlist!B:D,3,)</f>
        <v>Edmark,Rimondo,Adorable</v>
      </c>
      <c r="C122" s="301">
        <f t="shared" si="102"/>
        <v>1</v>
      </c>
      <c r="D122" s="301">
        <f t="shared" ref="D122:H122" si="108">IFERROR(IF(C37 = "PTO", "PTO",C37+"12:00"),"OFF")</f>
        <v>1</v>
      </c>
      <c r="E122" s="301">
        <f t="shared" si="108"/>
        <v>1</v>
      </c>
      <c r="F122" s="116" t="str">
        <f t="shared" si="108"/>
        <v>OFF</v>
      </c>
      <c r="G122" s="301">
        <f t="shared" si="108"/>
        <v>1</v>
      </c>
      <c r="H122" s="116">
        <f t="shared" si="108"/>
        <v>1</v>
      </c>
      <c r="I122" s="301" t="str">
        <f t="shared" si="104"/>
        <v>OFF</v>
      </c>
      <c r="J122" s="86">
        <f t="shared" si="88"/>
        <v>1</v>
      </c>
      <c r="K122" s="116">
        <f t="shared" ref="K122:P131" si="109">IFERROR(IF(J37 = "PTO", "PTO",J37+"12:00"),"OFF")</f>
        <v>1</v>
      </c>
      <c r="L122" s="116">
        <f t="shared" si="109"/>
        <v>1</v>
      </c>
      <c r="M122" s="116">
        <f t="shared" si="109"/>
        <v>1</v>
      </c>
      <c r="N122" s="116">
        <f t="shared" si="109"/>
        <v>1</v>
      </c>
      <c r="O122" s="116" t="str">
        <f t="shared" si="109"/>
        <v>OFF</v>
      </c>
      <c r="P122" s="72" t="str">
        <f t="shared" si="109"/>
        <v>OFF</v>
      </c>
      <c r="Q122" s="116">
        <f t="shared" si="107"/>
        <v>1</v>
      </c>
      <c r="R122" s="116">
        <f t="shared" si="107"/>
        <v>1</v>
      </c>
      <c r="S122" s="116">
        <f t="shared" si="107"/>
        <v>1</v>
      </c>
      <c r="T122" s="116">
        <f t="shared" si="107"/>
        <v>1</v>
      </c>
      <c r="U122" s="116">
        <f t="shared" si="107"/>
        <v>1</v>
      </c>
      <c r="V122" s="116" t="str">
        <f t="shared" si="107"/>
        <v>OFF</v>
      </c>
      <c r="W122" s="72" t="str">
        <f t="shared" si="107"/>
        <v>OFF</v>
      </c>
      <c r="X122" s="97">
        <f t="shared" si="23"/>
        <v>1</v>
      </c>
    </row>
    <row r="123" spans="1:24" x14ac:dyDescent="0.2">
      <c r="A123" s="28" t="str">
        <f t="shared" si="17"/>
        <v>Winlord Christian Del Oeste</v>
      </c>
      <c r="B123" s="71" t="str">
        <f>VLOOKUP(A123,Masterlist!B:D,3,)</f>
        <v>Edmark,Rimondo,Adorable</v>
      </c>
      <c r="C123" s="301">
        <f t="shared" si="102"/>
        <v>1.0833333333333335</v>
      </c>
      <c r="D123" s="301">
        <f t="shared" ref="D123:H123" si="110">IFERROR(IF(C38 = "PTO", "PTO",C38+"12:00"),"OFF")</f>
        <v>1.1666666666666665</v>
      </c>
      <c r="E123" s="301">
        <f t="shared" si="110"/>
        <v>1.1666666666666665</v>
      </c>
      <c r="F123" s="116" t="str">
        <f t="shared" si="110"/>
        <v>OFF</v>
      </c>
      <c r="G123" s="301">
        <f t="shared" si="110"/>
        <v>1.1666666666666665</v>
      </c>
      <c r="H123" s="116">
        <f t="shared" si="110"/>
        <v>1.1666666666666665</v>
      </c>
      <c r="I123" s="301" t="str">
        <f t="shared" si="104"/>
        <v>OFF</v>
      </c>
      <c r="J123" s="86">
        <f t="shared" si="88"/>
        <v>1.1666666666666665</v>
      </c>
      <c r="K123" s="116">
        <f t="shared" si="109"/>
        <v>1.1666666666666665</v>
      </c>
      <c r="L123" s="116">
        <f t="shared" si="109"/>
        <v>1.1666666666666665</v>
      </c>
      <c r="M123" s="116">
        <f t="shared" si="109"/>
        <v>1.1666666666666665</v>
      </c>
      <c r="N123" s="116">
        <f t="shared" si="109"/>
        <v>1.1666666666666665</v>
      </c>
      <c r="O123" s="116" t="str">
        <f t="shared" si="109"/>
        <v>OFF</v>
      </c>
      <c r="P123" s="72" t="str">
        <f t="shared" si="109"/>
        <v>OFF</v>
      </c>
      <c r="Q123" s="116">
        <f t="shared" si="107"/>
        <v>1.1666666666666665</v>
      </c>
      <c r="R123" s="116">
        <f t="shared" si="107"/>
        <v>1.1666666666666665</v>
      </c>
      <c r="S123" s="116">
        <f t="shared" si="107"/>
        <v>1.1666666666666665</v>
      </c>
      <c r="T123" s="116">
        <f t="shared" si="107"/>
        <v>1.1666666666666665</v>
      </c>
      <c r="U123" s="116">
        <f t="shared" si="107"/>
        <v>1.1666666666666665</v>
      </c>
      <c r="V123" s="116" t="str">
        <f t="shared" si="107"/>
        <v>OFF</v>
      </c>
      <c r="W123" s="72" t="str">
        <f t="shared" si="107"/>
        <v>OFF</v>
      </c>
      <c r="X123" s="97">
        <f t="shared" si="23"/>
        <v>1.1666666666666665</v>
      </c>
    </row>
    <row r="124" spans="1:24" x14ac:dyDescent="0.2">
      <c r="A124" s="28" t="str">
        <f t="shared" si="17"/>
        <v xml:space="preserve">Chzarl Mae  Distajo </v>
      </c>
      <c r="B124" s="71" t="str">
        <f>VLOOKUP(A124,Masterlist!B:D,3,)</f>
        <v>Edmark,Rimondo,Adorable</v>
      </c>
      <c r="C124" s="301">
        <f t="shared" si="102"/>
        <v>1.0833333333333335</v>
      </c>
      <c r="D124" s="301">
        <f t="shared" ref="D124:H124" si="111">IFERROR(IF(C39 = "PTO", "PTO",C39+"12:00"),"OFF")</f>
        <v>1.1666666666666665</v>
      </c>
      <c r="E124" s="301">
        <f t="shared" si="111"/>
        <v>1.1666666666666665</v>
      </c>
      <c r="F124" s="116" t="str">
        <f t="shared" si="111"/>
        <v>OFF</v>
      </c>
      <c r="G124" s="301">
        <f t="shared" si="111"/>
        <v>1.1666666666666665</v>
      </c>
      <c r="H124" s="116">
        <f t="shared" si="111"/>
        <v>1.1666666666666665</v>
      </c>
      <c r="I124" s="301" t="str">
        <f t="shared" si="104"/>
        <v>OFF</v>
      </c>
      <c r="J124" s="86">
        <f t="shared" si="88"/>
        <v>1.1666666666666665</v>
      </c>
      <c r="K124" s="116">
        <f t="shared" si="109"/>
        <v>1.1666666666666665</v>
      </c>
      <c r="L124" s="116">
        <f t="shared" si="109"/>
        <v>1.1666666666666665</v>
      </c>
      <c r="M124" s="116">
        <f t="shared" si="109"/>
        <v>1.1666666666666665</v>
      </c>
      <c r="N124" s="116">
        <f t="shared" si="109"/>
        <v>1.1666666666666665</v>
      </c>
      <c r="O124" s="116" t="str">
        <f t="shared" si="109"/>
        <v>OFF</v>
      </c>
      <c r="P124" s="72" t="str">
        <f t="shared" si="109"/>
        <v>OFF</v>
      </c>
      <c r="Q124" s="116">
        <f t="shared" si="107"/>
        <v>1.1666666666666665</v>
      </c>
      <c r="R124" s="116">
        <f t="shared" si="107"/>
        <v>1.1666666666666665</v>
      </c>
      <c r="S124" s="116">
        <f t="shared" si="107"/>
        <v>1.1666666666666665</v>
      </c>
      <c r="T124" s="116">
        <f t="shared" si="107"/>
        <v>1.1666666666666665</v>
      </c>
      <c r="U124" s="116">
        <f t="shared" si="107"/>
        <v>1.1666666666666665</v>
      </c>
      <c r="V124" s="116" t="str">
        <f t="shared" si="107"/>
        <v>OFF</v>
      </c>
      <c r="W124" s="72" t="str">
        <f t="shared" si="107"/>
        <v>OFF</v>
      </c>
      <c r="X124" s="97">
        <f t="shared" si="23"/>
        <v>1.1666666666666665</v>
      </c>
    </row>
    <row r="125" spans="1:24" x14ac:dyDescent="0.2">
      <c r="A125" s="28" t="str">
        <f t="shared" si="17"/>
        <v>Joanne Magampo</v>
      </c>
      <c r="B125" s="71" t="str">
        <f>VLOOKUP(A125,Masterlist!B:D,3,)</f>
        <v>Samson Galvez</v>
      </c>
      <c r="C125" s="116" t="str">
        <f t="shared" si="102"/>
        <v>OFF</v>
      </c>
      <c r="D125" s="116">
        <f t="shared" ref="D125:H125" si="112">IFERROR(IF(C40 = "PTO", "PTO",C40+"12:00"),"OFF")</f>
        <v>1.0833333333333335</v>
      </c>
      <c r="E125" s="116">
        <f t="shared" si="112"/>
        <v>1.0833333333333335</v>
      </c>
      <c r="F125" s="116">
        <f t="shared" si="112"/>
        <v>1.0833333333333335</v>
      </c>
      <c r="G125" s="116">
        <f t="shared" si="112"/>
        <v>1.0833333333333335</v>
      </c>
      <c r="H125" s="116">
        <f t="shared" si="112"/>
        <v>1.0833333333333335</v>
      </c>
      <c r="I125" s="116" t="str">
        <f t="shared" si="104"/>
        <v>OFF</v>
      </c>
      <c r="J125" s="86" t="str">
        <f t="shared" si="88"/>
        <v>OFF</v>
      </c>
      <c r="K125" s="116">
        <f t="shared" si="109"/>
        <v>1.0833333333333335</v>
      </c>
      <c r="L125" s="116">
        <f t="shared" si="109"/>
        <v>1.0833333333333335</v>
      </c>
      <c r="M125" s="116">
        <f t="shared" si="109"/>
        <v>1.0833333333333335</v>
      </c>
      <c r="N125" s="116">
        <f t="shared" si="109"/>
        <v>1.0833333333333335</v>
      </c>
      <c r="O125" s="116">
        <f t="shared" si="109"/>
        <v>1.0833333333333335</v>
      </c>
      <c r="P125" s="72" t="str">
        <f t="shared" si="109"/>
        <v>OFF</v>
      </c>
      <c r="Q125" s="116" t="str">
        <f t="shared" si="107"/>
        <v>OFF</v>
      </c>
      <c r="R125" s="116">
        <f t="shared" si="107"/>
        <v>1.0833333333333335</v>
      </c>
      <c r="S125" s="116">
        <f t="shared" si="107"/>
        <v>1.0833333333333335</v>
      </c>
      <c r="T125" s="116">
        <f t="shared" si="107"/>
        <v>1.0833333333333335</v>
      </c>
      <c r="U125" s="116">
        <f t="shared" si="107"/>
        <v>1.0833333333333335</v>
      </c>
      <c r="V125" s="116">
        <f t="shared" si="107"/>
        <v>1.0833333333333335</v>
      </c>
      <c r="W125" s="72" t="str">
        <f t="shared" si="107"/>
        <v>OFF</v>
      </c>
      <c r="X125" s="97">
        <f t="shared" si="23"/>
        <v>1.0833333333333335</v>
      </c>
    </row>
    <row r="126" spans="1:24" x14ac:dyDescent="0.2">
      <c r="A126" s="28" t="str">
        <f t="shared" si="17"/>
        <v>Shane Nicole Ladoing Provindido</v>
      </c>
      <c r="B126" s="71" t="str">
        <f>VLOOKUP(A126,Masterlist!B:D,3,)</f>
        <v>Samson Galvez</v>
      </c>
      <c r="C126" s="116" t="str">
        <f t="shared" si="102"/>
        <v>OFF</v>
      </c>
      <c r="D126" s="116">
        <f t="shared" ref="D126:H127" si="113">IFERROR(IF(C41 = "PTO", "PTO",C41+"12:00"),"OFF")</f>
        <v>1.0833333333333335</v>
      </c>
      <c r="E126" s="116">
        <f t="shared" si="113"/>
        <v>1.0833333333333335</v>
      </c>
      <c r="F126" s="116">
        <f t="shared" si="113"/>
        <v>1.0833333333333335</v>
      </c>
      <c r="G126" s="116">
        <f t="shared" si="113"/>
        <v>1.0833333333333335</v>
      </c>
      <c r="H126" s="116">
        <f t="shared" si="113"/>
        <v>1.0833333333333335</v>
      </c>
      <c r="I126" s="127" t="str">
        <f t="shared" si="104"/>
        <v>OFF</v>
      </c>
      <c r="J126" s="86" t="str">
        <f t="shared" si="88"/>
        <v>OFF</v>
      </c>
      <c r="K126" s="116">
        <f t="shared" si="109"/>
        <v>1.0833333333333335</v>
      </c>
      <c r="L126" s="116">
        <f t="shared" si="109"/>
        <v>1.0833333333333335</v>
      </c>
      <c r="M126" s="116">
        <f t="shared" si="109"/>
        <v>1.0833333333333335</v>
      </c>
      <c r="N126" s="116">
        <f t="shared" si="109"/>
        <v>1.0833333333333335</v>
      </c>
      <c r="O126" s="116">
        <f t="shared" si="109"/>
        <v>1.0833333333333335</v>
      </c>
      <c r="P126" s="72" t="str">
        <f t="shared" si="109"/>
        <v>OFF</v>
      </c>
      <c r="Q126" s="116" t="str">
        <f t="shared" si="107"/>
        <v>OFF</v>
      </c>
      <c r="R126" s="116">
        <f t="shared" si="107"/>
        <v>1.0833333333333335</v>
      </c>
      <c r="S126" s="116">
        <f t="shared" si="107"/>
        <v>1.0833333333333335</v>
      </c>
      <c r="T126" s="116">
        <f t="shared" si="107"/>
        <v>1.0833333333333335</v>
      </c>
      <c r="U126" s="116">
        <f t="shared" si="107"/>
        <v>1.0833333333333335</v>
      </c>
      <c r="V126" s="116">
        <f t="shared" si="107"/>
        <v>1.0833333333333335</v>
      </c>
      <c r="W126" s="72" t="str">
        <f t="shared" si="107"/>
        <v>OFF</v>
      </c>
      <c r="X126" s="97">
        <f t="shared" si="23"/>
        <v>1.0833333333333335</v>
      </c>
    </row>
    <row r="127" spans="1:24" s="250" customFormat="1" x14ac:dyDescent="0.2">
      <c r="A127" s="28" t="str">
        <f t="shared" si="17"/>
        <v>Maricris Bensing Glimada</v>
      </c>
      <c r="B127" s="71" t="str">
        <f>VLOOKUP(A127,Masterlist!B:D,3,)</f>
        <v>Samson Galvez</v>
      </c>
      <c r="C127" s="127" t="str">
        <f t="shared" si="102"/>
        <v>OFF</v>
      </c>
      <c r="D127" s="127">
        <f t="shared" ref="D127:G127" si="114">IFERROR(IF(C42 = "PTO", "PTO",C42+"12:00"),"OFF")</f>
        <v>1.0833333333333335</v>
      </c>
      <c r="E127" s="127">
        <f t="shared" si="114"/>
        <v>1.0833333333333335</v>
      </c>
      <c r="F127" s="127">
        <f t="shared" si="114"/>
        <v>1.0833333333333335</v>
      </c>
      <c r="G127" s="127">
        <f t="shared" si="114"/>
        <v>1.0833333333333335</v>
      </c>
      <c r="H127" s="116">
        <f t="shared" si="113"/>
        <v>1.0833333333333335</v>
      </c>
      <c r="I127" s="127" t="str">
        <f t="shared" si="104"/>
        <v>OFF</v>
      </c>
      <c r="J127" s="121" t="str">
        <f t="shared" si="88"/>
        <v>OFF</v>
      </c>
      <c r="K127" s="127">
        <f t="shared" si="109"/>
        <v>1.0833333333333335</v>
      </c>
      <c r="L127" s="127">
        <f t="shared" si="109"/>
        <v>1.0833333333333335</v>
      </c>
      <c r="M127" s="127">
        <f t="shared" si="109"/>
        <v>1.0833333333333335</v>
      </c>
      <c r="N127" s="127">
        <f t="shared" si="109"/>
        <v>1.0833333333333335</v>
      </c>
      <c r="O127" s="127">
        <f t="shared" si="109"/>
        <v>1.0833333333333335</v>
      </c>
      <c r="P127" s="72" t="str">
        <f t="shared" si="109"/>
        <v>OFF</v>
      </c>
      <c r="Q127" s="127" t="str">
        <f t="shared" si="107"/>
        <v>OFF</v>
      </c>
      <c r="R127" s="127">
        <f t="shared" si="107"/>
        <v>1.0833333333333335</v>
      </c>
      <c r="S127" s="127">
        <f t="shared" si="107"/>
        <v>1.0833333333333335</v>
      </c>
      <c r="T127" s="127">
        <f t="shared" si="107"/>
        <v>1.0833333333333335</v>
      </c>
      <c r="U127" s="127">
        <f t="shared" si="107"/>
        <v>1.0833333333333335</v>
      </c>
      <c r="V127" s="127">
        <f t="shared" si="107"/>
        <v>1.0833333333333335</v>
      </c>
      <c r="W127" s="72" t="str">
        <f t="shared" si="107"/>
        <v>OFF</v>
      </c>
      <c r="X127" s="249">
        <f t="shared" si="23"/>
        <v>1.0833333333333335</v>
      </c>
    </row>
    <row r="128" spans="1:24" x14ac:dyDescent="0.2">
      <c r="A128" s="28" t="str">
        <f t="shared" si="17"/>
        <v>Rico Balgame</v>
      </c>
      <c r="B128" s="71" t="str">
        <f>VLOOKUP(A128,Masterlist!B:D,3,)</f>
        <v>Samson Galvez</v>
      </c>
      <c r="C128" s="116" t="str">
        <f t="shared" si="102"/>
        <v>OFF</v>
      </c>
      <c r="D128" s="116">
        <f t="shared" ref="D128:H128" si="115">IFERROR(IF(C43 = "PTO", "PTO",C43+"12:00"),"OFF")</f>
        <v>1.0833333333333335</v>
      </c>
      <c r="E128" s="116">
        <f t="shared" si="115"/>
        <v>1.0833333333333335</v>
      </c>
      <c r="F128" s="116">
        <f t="shared" si="115"/>
        <v>1.0833333333333335</v>
      </c>
      <c r="G128" s="116">
        <f t="shared" si="115"/>
        <v>1.0833333333333335</v>
      </c>
      <c r="H128" s="116">
        <f t="shared" si="115"/>
        <v>1.0833333333333335</v>
      </c>
      <c r="I128" s="116" t="str">
        <f t="shared" si="104"/>
        <v>OFF</v>
      </c>
      <c r="J128" s="86" t="str">
        <f t="shared" si="88"/>
        <v>OFF</v>
      </c>
      <c r="K128" s="116">
        <f t="shared" si="109"/>
        <v>1.0833333333333335</v>
      </c>
      <c r="L128" s="116">
        <f t="shared" si="109"/>
        <v>1.0833333333333335</v>
      </c>
      <c r="M128" s="116">
        <f t="shared" si="109"/>
        <v>1.0833333333333335</v>
      </c>
      <c r="N128" s="116">
        <f t="shared" si="109"/>
        <v>1.0833333333333335</v>
      </c>
      <c r="O128" s="116">
        <f t="shared" si="109"/>
        <v>1.0833333333333335</v>
      </c>
      <c r="P128" s="72" t="str">
        <f t="shared" si="109"/>
        <v>OFF</v>
      </c>
      <c r="Q128" s="116" t="str">
        <f t="shared" si="107"/>
        <v>OFF</v>
      </c>
      <c r="R128" s="116">
        <f t="shared" si="107"/>
        <v>1.0833333333333335</v>
      </c>
      <c r="S128" s="116">
        <f t="shared" si="107"/>
        <v>1.0833333333333335</v>
      </c>
      <c r="T128" s="116">
        <f t="shared" si="107"/>
        <v>1.0833333333333335</v>
      </c>
      <c r="U128" s="116">
        <f t="shared" si="107"/>
        <v>1.0833333333333335</v>
      </c>
      <c r="V128" s="116">
        <f t="shared" si="107"/>
        <v>1.0833333333333335</v>
      </c>
      <c r="W128" s="72" t="str">
        <f t="shared" si="107"/>
        <v>OFF</v>
      </c>
      <c r="X128" s="97">
        <f t="shared" si="23"/>
        <v>1.0833333333333335</v>
      </c>
    </row>
    <row r="129" spans="1:24" x14ac:dyDescent="0.2">
      <c r="A129" s="28" t="str">
        <f t="shared" si="17"/>
        <v>Blessy Gien Alba</v>
      </c>
      <c r="B129" s="71" t="str">
        <f>VLOOKUP(A129,Masterlist!B:D,3,)</f>
        <v>Samson Galvez</v>
      </c>
      <c r="C129" s="116" t="str">
        <f t="shared" si="102"/>
        <v>OFF</v>
      </c>
      <c r="D129" s="116">
        <f t="shared" ref="D129:H129" si="116">IFERROR(IF(C44 = "PTO", "PTO",C44+"12:00"),"OFF")</f>
        <v>1.0833333333333335</v>
      </c>
      <c r="E129" s="116">
        <f t="shared" si="116"/>
        <v>1.0833333333333335</v>
      </c>
      <c r="F129" s="116">
        <f t="shared" si="116"/>
        <v>1.0833333333333335</v>
      </c>
      <c r="G129" s="116">
        <f t="shared" si="116"/>
        <v>1.0833333333333335</v>
      </c>
      <c r="H129" s="116">
        <f t="shared" si="116"/>
        <v>1.0833333333333335</v>
      </c>
      <c r="I129" s="127" t="str">
        <f t="shared" si="104"/>
        <v>OFF</v>
      </c>
      <c r="J129" s="86" t="str">
        <f t="shared" si="88"/>
        <v>OFF</v>
      </c>
      <c r="K129" s="116">
        <f t="shared" si="109"/>
        <v>1.0833333333333335</v>
      </c>
      <c r="L129" s="116">
        <f t="shared" si="109"/>
        <v>1.0833333333333335</v>
      </c>
      <c r="M129" s="116">
        <f t="shared" si="109"/>
        <v>1.0833333333333335</v>
      </c>
      <c r="N129" s="116">
        <f t="shared" si="109"/>
        <v>1.0833333333333335</v>
      </c>
      <c r="O129" s="116">
        <f t="shared" si="109"/>
        <v>1.0833333333333335</v>
      </c>
      <c r="P129" s="72" t="str">
        <f t="shared" si="109"/>
        <v>OFF</v>
      </c>
      <c r="Q129" s="116" t="str">
        <f t="shared" si="107"/>
        <v>OFF</v>
      </c>
      <c r="R129" s="116">
        <f t="shared" si="107"/>
        <v>1.0833333333333335</v>
      </c>
      <c r="S129" s="116">
        <f t="shared" si="107"/>
        <v>1.0833333333333335</v>
      </c>
      <c r="T129" s="116">
        <f t="shared" si="107"/>
        <v>1.0833333333333335</v>
      </c>
      <c r="U129" s="116">
        <f t="shared" si="107"/>
        <v>1.0833333333333335</v>
      </c>
      <c r="V129" s="116">
        <f t="shared" si="107"/>
        <v>1.0833333333333335</v>
      </c>
      <c r="W129" s="72" t="str">
        <f t="shared" si="107"/>
        <v>OFF</v>
      </c>
      <c r="X129" s="97">
        <f t="shared" si="23"/>
        <v>1.0833333333333335</v>
      </c>
    </row>
    <row r="130" spans="1:24" ht="12.75" customHeight="1" x14ac:dyDescent="0.2">
      <c r="A130" s="28" t="str">
        <f t="shared" si="17"/>
        <v>John Piolo Dela Cruz</v>
      </c>
      <c r="B130" s="71" t="str">
        <f>VLOOKUP(A130,Masterlist!B:D,3,)</f>
        <v>Samson Galvez</v>
      </c>
      <c r="C130" s="116" t="str">
        <f t="shared" si="102"/>
        <v>OFF</v>
      </c>
      <c r="D130" s="116">
        <f t="shared" ref="D130:H130" si="117">IFERROR(IF(C45 = "PTO", "PTO",C45+"12:00"),"OFF")</f>
        <v>1.0833333333333335</v>
      </c>
      <c r="E130" s="116">
        <f t="shared" si="117"/>
        <v>1.0833333333333335</v>
      </c>
      <c r="F130" s="116">
        <f t="shared" si="117"/>
        <v>1.0833333333333335</v>
      </c>
      <c r="G130" s="116">
        <f t="shared" si="117"/>
        <v>1.0833333333333335</v>
      </c>
      <c r="H130" s="116">
        <f t="shared" si="117"/>
        <v>1.0833333333333335</v>
      </c>
      <c r="I130" s="127" t="str">
        <f t="shared" si="104"/>
        <v>OFF</v>
      </c>
      <c r="J130" s="86" t="str">
        <f t="shared" si="88"/>
        <v>OFF</v>
      </c>
      <c r="K130" s="116">
        <f t="shared" si="109"/>
        <v>1.0833333333333335</v>
      </c>
      <c r="L130" s="116">
        <f t="shared" si="109"/>
        <v>1.0833333333333335</v>
      </c>
      <c r="M130" s="116">
        <f t="shared" si="109"/>
        <v>1.0833333333333335</v>
      </c>
      <c r="N130" s="116">
        <f t="shared" si="109"/>
        <v>1.0833333333333335</v>
      </c>
      <c r="O130" s="116">
        <f t="shared" si="109"/>
        <v>1.0833333333333335</v>
      </c>
      <c r="P130" s="72" t="str">
        <f t="shared" si="109"/>
        <v>OFF</v>
      </c>
      <c r="Q130" s="116" t="str">
        <f t="shared" si="107"/>
        <v>OFF</v>
      </c>
      <c r="R130" s="116">
        <f t="shared" si="107"/>
        <v>1.0833333333333335</v>
      </c>
      <c r="S130" s="116">
        <f t="shared" si="107"/>
        <v>1.0833333333333335</v>
      </c>
      <c r="T130" s="116">
        <f t="shared" si="107"/>
        <v>1.0833333333333335</v>
      </c>
      <c r="U130" s="116">
        <f t="shared" si="107"/>
        <v>1.0833333333333335</v>
      </c>
      <c r="V130" s="116">
        <f t="shared" si="107"/>
        <v>1.0833333333333335</v>
      </c>
      <c r="W130" s="72" t="str">
        <f t="shared" si="107"/>
        <v>OFF</v>
      </c>
      <c r="X130" s="97">
        <f t="shared" si="23"/>
        <v>1.0833333333333335</v>
      </c>
    </row>
    <row r="131" spans="1:24" x14ac:dyDescent="0.2">
      <c r="A131" s="28" t="str">
        <f t="shared" si="17"/>
        <v>Andrea De Los Reyes</v>
      </c>
      <c r="B131" s="71" t="str">
        <f>VLOOKUP(A131,Masterlist!B:D,3,)</f>
        <v>Samson Galvez</v>
      </c>
      <c r="C131" s="116" t="str">
        <f t="shared" si="102"/>
        <v>OFF</v>
      </c>
      <c r="D131" s="116">
        <f t="shared" ref="D131:H131" si="118">IFERROR(IF(C46 = "PTO", "PTO",C46+"12:00"),"OFF")</f>
        <v>1.0833333333333335</v>
      </c>
      <c r="E131" s="116">
        <f t="shared" si="118"/>
        <v>1.0833333333333335</v>
      </c>
      <c r="F131" s="116">
        <f t="shared" si="118"/>
        <v>1.0833333333333335</v>
      </c>
      <c r="G131" s="116">
        <f t="shared" si="118"/>
        <v>1.0833333333333335</v>
      </c>
      <c r="H131" s="116">
        <f t="shared" si="118"/>
        <v>1.0833333333333335</v>
      </c>
      <c r="I131" s="116" t="str">
        <f t="shared" si="104"/>
        <v>OFF</v>
      </c>
      <c r="J131" s="86" t="str">
        <f t="shared" si="88"/>
        <v>OFF</v>
      </c>
      <c r="K131" s="116">
        <f t="shared" si="109"/>
        <v>1.0833333333333335</v>
      </c>
      <c r="L131" s="116">
        <f t="shared" si="109"/>
        <v>1.0833333333333335</v>
      </c>
      <c r="M131" s="116">
        <f t="shared" si="109"/>
        <v>1.0833333333333335</v>
      </c>
      <c r="N131" s="116">
        <f t="shared" si="109"/>
        <v>1.0833333333333335</v>
      </c>
      <c r="O131" s="116">
        <f t="shared" si="109"/>
        <v>1.0833333333333335</v>
      </c>
      <c r="P131" s="72" t="str">
        <f t="shared" si="109"/>
        <v>OFF</v>
      </c>
      <c r="Q131" s="116" t="str">
        <f t="shared" ref="Q131:W133" si="119">IFERROR(IF(P46 = "PTO", "PTO",P46+"12:00"),"OFF")</f>
        <v>OFF</v>
      </c>
      <c r="R131" s="116">
        <f t="shared" si="119"/>
        <v>1.0833333333333335</v>
      </c>
      <c r="S131" s="116">
        <f t="shared" si="119"/>
        <v>1.0833333333333335</v>
      </c>
      <c r="T131" s="116">
        <f t="shared" si="119"/>
        <v>1.0833333333333335</v>
      </c>
      <c r="U131" s="116">
        <f t="shared" si="119"/>
        <v>1.0833333333333335</v>
      </c>
      <c r="V131" s="116">
        <f t="shared" si="119"/>
        <v>1.0833333333333335</v>
      </c>
      <c r="W131" s="72" t="str">
        <f t="shared" si="119"/>
        <v>OFF</v>
      </c>
      <c r="X131" s="97">
        <f t="shared" si="23"/>
        <v>1.0833333333333335</v>
      </c>
    </row>
    <row r="132" spans="1:24" x14ac:dyDescent="0.2">
      <c r="A132" s="28" t="str">
        <f t="shared" si="17"/>
        <v>Lowella Jaruda</v>
      </c>
      <c r="B132" s="71" t="str">
        <f>VLOOKUP(A132,Masterlist!B:D,3,)</f>
        <v>Samson Galvez</v>
      </c>
      <c r="C132" s="116" t="str">
        <f t="shared" si="102"/>
        <v>OFF</v>
      </c>
      <c r="D132" s="116">
        <f t="shared" ref="D132:H132" si="120">IFERROR(IF(C47 = "PTO", "PTO",C47+"12:00"),"OFF")</f>
        <v>1.0833333333333335</v>
      </c>
      <c r="E132" s="116">
        <f t="shared" si="120"/>
        <v>1.0833333333333335</v>
      </c>
      <c r="F132" s="116">
        <f t="shared" si="120"/>
        <v>1.0833333333333335</v>
      </c>
      <c r="G132" s="116">
        <f t="shared" si="120"/>
        <v>1.0833333333333335</v>
      </c>
      <c r="H132" s="116">
        <f t="shared" si="120"/>
        <v>1.0833333333333335</v>
      </c>
      <c r="I132" s="116" t="str">
        <f t="shared" si="104"/>
        <v>OFF</v>
      </c>
      <c r="J132" s="86" t="str">
        <f t="shared" si="88"/>
        <v>OFF</v>
      </c>
      <c r="K132" s="116">
        <f t="shared" ref="K132:P133" si="121">IFERROR(IF(J47 = "PTO", "PTO",J47+"12:00"),"OFF")</f>
        <v>1.0833333333333335</v>
      </c>
      <c r="L132" s="116">
        <f t="shared" si="121"/>
        <v>1.0833333333333335</v>
      </c>
      <c r="M132" s="116">
        <f t="shared" si="121"/>
        <v>1.0833333333333335</v>
      </c>
      <c r="N132" s="116">
        <f t="shared" si="121"/>
        <v>1.0833333333333335</v>
      </c>
      <c r="O132" s="116">
        <f t="shared" si="121"/>
        <v>1.0833333333333335</v>
      </c>
      <c r="P132" s="72" t="str">
        <f t="shared" si="121"/>
        <v>OFF</v>
      </c>
      <c r="Q132" s="116" t="str">
        <f t="shared" si="119"/>
        <v>OFF</v>
      </c>
      <c r="R132" s="116">
        <f t="shared" si="119"/>
        <v>1.0833333333333335</v>
      </c>
      <c r="S132" s="116">
        <f t="shared" si="119"/>
        <v>1.0833333333333335</v>
      </c>
      <c r="T132" s="116">
        <f t="shared" si="119"/>
        <v>1.0833333333333335</v>
      </c>
      <c r="U132" s="116">
        <f t="shared" si="119"/>
        <v>1.0833333333333335</v>
      </c>
      <c r="V132" s="116">
        <f t="shared" si="119"/>
        <v>1.0833333333333335</v>
      </c>
      <c r="W132" s="72" t="str">
        <f t="shared" si="119"/>
        <v>OFF</v>
      </c>
      <c r="X132" s="97">
        <f t="shared" si="23"/>
        <v>1.0833333333333335</v>
      </c>
    </row>
    <row r="133" spans="1:24" x14ac:dyDescent="0.2">
      <c r="A133" s="28" t="str">
        <f t="shared" si="17"/>
        <v>Danica Alarilla</v>
      </c>
      <c r="B133" s="71" t="str">
        <f>VLOOKUP(A133,Masterlist!B:D,3,)</f>
        <v>Samson Galvez</v>
      </c>
      <c r="C133" s="116" t="str">
        <f>IFERROR(IF(Y48 = "PTO", "PTO",Y48+"12:00"),"OFF")</f>
        <v>OFF</v>
      </c>
      <c r="D133" s="116">
        <f>IFERROR(IF(C48 = "PTO", "PTO",C48+"12:00"),"OFF")</f>
        <v>1.0833333333333335</v>
      </c>
      <c r="E133" s="116">
        <f t="shared" ref="E133:H133" si="122">IFERROR(IF(D48 = "PTO", "PTO",D48+"12:00"),"OFF")</f>
        <v>1.0833333333333335</v>
      </c>
      <c r="F133" s="116">
        <f t="shared" si="122"/>
        <v>1.0833333333333335</v>
      </c>
      <c r="G133" s="116">
        <f t="shared" si="122"/>
        <v>1.0833333333333335</v>
      </c>
      <c r="H133" s="116">
        <f t="shared" si="122"/>
        <v>1.0833333333333335</v>
      </c>
      <c r="I133" s="116" t="str">
        <f t="shared" si="88"/>
        <v>OFF</v>
      </c>
      <c r="J133" s="86" t="str">
        <f t="shared" si="88"/>
        <v>OFF</v>
      </c>
      <c r="K133" s="116">
        <f t="shared" si="121"/>
        <v>1.0833333333333335</v>
      </c>
      <c r="L133" s="116">
        <f t="shared" si="121"/>
        <v>1.0833333333333335</v>
      </c>
      <c r="M133" s="116">
        <f t="shared" si="121"/>
        <v>1.0833333333333335</v>
      </c>
      <c r="N133" s="116">
        <f t="shared" si="121"/>
        <v>1.0833333333333335</v>
      </c>
      <c r="O133" s="116">
        <f t="shared" si="121"/>
        <v>1.0833333333333335</v>
      </c>
      <c r="P133" s="72" t="str">
        <f t="shared" si="121"/>
        <v>OFF</v>
      </c>
      <c r="Q133" s="116" t="str">
        <f t="shared" si="119"/>
        <v>OFF</v>
      </c>
      <c r="R133" s="116">
        <f t="shared" si="119"/>
        <v>1.0833333333333335</v>
      </c>
      <c r="S133" s="116">
        <f t="shared" si="119"/>
        <v>1.0833333333333335</v>
      </c>
      <c r="T133" s="116">
        <f t="shared" si="119"/>
        <v>1.0833333333333335</v>
      </c>
      <c r="U133" s="116">
        <f t="shared" si="119"/>
        <v>1.0833333333333335</v>
      </c>
      <c r="V133" s="116">
        <f t="shared" si="119"/>
        <v>1.0833333333333335</v>
      </c>
      <c r="W133" s="72" t="str">
        <f t="shared" si="119"/>
        <v>OFF</v>
      </c>
      <c r="X133" s="97">
        <f t="shared" si="23"/>
        <v>1.0833333333333335</v>
      </c>
    </row>
    <row r="134" spans="1:24" x14ac:dyDescent="0.2">
      <c r="A134" s="28" t="str">
        <f t="shared" ref="A134" si="123">IF(B49="","",B49)</f>
        <v>John Mark Solis</v>
      </c>
      <c r="B134" s="71" t="str">
        <f>VLOOKUP(A134,Masterlist!B:D,3,)</f>
        <v>Samson Galvez</v>
      </c>
      <c r="C134" s="116" t="str">
        <f t="shared" ref="C134:C145" si="124">IFERROR(IF(Y49 = "PTO", "PTO",Y49+"12:00"),"OFF")</f>
        <v>OFF</v>
      </c>
      <c r="D134" s="116">
        <f t="shared" ref="D134:H134" si="125">IFERROR(IF(C49 = "PTO", "PTO",C49+"12:00"),"OFF")</f>
        <v>1.0833333333333335</v>
      </c>
      <c r="E134" s="116">
        <f t="shared" si="125"/>
        <v>1.0833333333333335</v>
      </c>
      <c r="F134" s="116">
        <f t="shared" si="125"/>
        <v>1.0833333333333335</v>
      </c>
      <c r="G134" s="116">
        <f t="shared" si="125"/>
        <v>1.0833333333333335</v>
      </c>
      <c r="H134" s="116">
        <f t="shared" si="125"/>
        <v>1.0833333333333335</v>
      </c>
      <c r="I134" s="116" t="str">
        <f t="shared" ref="I134:I145" si="126">IFERROR(IF(H49 = "PTO", "PTO",H49+"12:00"),"OFF")</f>
        <v>OFF</v>
      </c>
      <c r="J134" s="86" t="str">
        <f t="shared" ref="J134" si="127">IFERROR(IF(I49 = "PTO", "PTO",I49+"12:00"),"OFF")</f>
        <v>OFF</v>
      </c>
      <c r="K134" s="116">
        <f t="shared" ref="K134" si="128">IFERROR(IF(J49 = "PTO", "PTO",J49+"12:00"),"OFF")</f>
        <v>1.0833333333333335</v>
      </c>
      <c r="L134" s="116">
        <f t="shared" ref="L134" si="129">IFERROR(IF(K49 = "PTO", "PTO",K49+"12:00"),"OFF")</f>
        <v>1.0833333333333335</v>
      </c>
      <c r="M134" s="116">
        <f t="shared" ref="M134" si="130">IFERROR(IF(L49 = "PTO", "PTO",L49+"12:00"),"OFF")</f>
        <v>1.0833333333333335</v>
      </c>
      <c r="N134" s="116">
        <f t="shared" ref="N134" si="131">IFERROR(IF(M49 = "PTO", "PTO",M49+"12:00"),"OFF")</f>
        <v>1.0833333333333335</v>
      </c>
      <c r="O134" s="116">
        <f t="shared" ref="O134" si="132">IFERROR(IF(N49 = "PTO", "PTO",N49+"12:00"),"OFF")</f>
        <v>1.0833333333333335</v>
      </c>
      <c r="P134" s="72" t="str">
        <f t="shared" ref="P134" si="133">IFERROR(IF(O49 = "PTO", "PTO",O49+"12:00"),"OFF")</f>
        <v>OFF</v>
      </c>
      <c r="Q134" s="116" t="str">
        <f t="shared" ref="Q134" si="134">IFERROR(IF(P49 = "PTO", "PTO",P49+"12:00"),"OFF")</f>
        <v>OFF</v>
      </c>
      <c r="R134" s="116">
        <f t="shared" ref="R134" si="135">IFERROR(IF(Q49 = "PTO", "PTO",Q49+"12:00"),"OFF")</f>
        <v>1.0833333333333335</v>
      </c>
      <c r="S134" s="116">
        <f t="shared" ref="S134" si="136">IFERROR(IF(R49 = "PTO", "PTO",R49+"12:00"),"OFF")</f>
        <v>1.0833333333333335</v>
      </c>
      <c r="T134" s="116">
        <f t="shared" ref="T134" si="137">IFERROR(IF(S49 = "PTO", "PTO",S49+"12:00"),"OFF")</f>
        <v>1.0833333333333335</v>
      </c>
      <c r="U134" s="116">
        <f t="shared" ref="U134" si="138">IFERROR(IF(T49 = "PTO", "PTO",T49+"12:00"),"OFF")</f>
        <v>1.0833333333333335</v>
      </c>
      <c r="V134" s="116">
        <f t="shared" ref="V134" si="139">IFERROR(IF(U49 = "PTO", "PTO",U49+"12:00"),"OFF")</f>
        <v>1.0833333333333335</v>
      </c>
      <c r="W134" s="72" t="str">
        <f t="shared" ref="W134" si="140">IFERROR(IF(V49 = "PTO", "PTO",V49+"12:00"),"OFF")</f>
        <v>OFF</v>
      </c>
      <c r="X134" s="97">
        <f t="shared" ref="X134" si="141">IFERROR(MODE(Q134:W134),"-")</f>
        <v>1.0833333333333335</v>
      </c>
    </row>
    <row r="135" spans="1:24" x14ac:dyDescent="0.2">
      <c r="A135" s="28" t="str">
        <f t="shared" ref="A135:A145" si="142">IF(B50="","",B50)</f>
        <v>Marjorie Estope</v>
      </c>
      <c r="B135" s="71" t="str">
        <f>VLOOKUP(A135,Masterlist!B:D,3,)</f>
        <v>Samson Galvez</v>
      </c>
      <c r="C135" s="116" t="str">
        <f t="shared" si="124"/>
        <v>OFF</v>
      </c>
      <c r="D135" s="116">
        <f t="shared" ref="D135:H135" si="143">IFERROR(IF(C50 = "PTO", "PTO",C50+"12:00"),"OFF")</f>
        <v>1.0833333333333335</v>
      </c>
      <c r="E135" s="116">
        <f t="shared" si="143"/>
        <v>1.0833333333333335</v>
      </c>
      <c r="F135" s="116">
        <f t="shared" si="143"/>
        <v>1.0833333333333335</v>
      </c>
      <c r="G135" s="116">
        <f t="shared" si="143"/>
        <v>1.0833333333333335</v>
      </c>
      <c r="H135" s="116">
        <f t="shared" si="143"/>
        <v>1.0833333333333335</v>
      </c>
      <c r="I135" s="116" t="str">
        <f t="shared" si="126"/>
        <v>OFF</v>
      </c>
      <c r="J135" s="86" t="str">
        <f t="shared" ref="J135:W135" si="144">IFERROR(IF(I50 = "PTO", "PTO",I50+"12:00"),"OFF")</f>
        <v>OFF</v>
      </c>
      <c r="K135" s="116">
        <f t="shared" si="144"/>
        <v>1.0833333333333335</v>
      </c>
      <c r="L135" s="116">
        <f t="shared" si="144"/>
        <v>1.0833333333333335</v>
      </c>
      <c r="M135" s="116">
        <f t="shared" si="144"/>
        <v>1.0833333333333335</v>
      </c>
      <c r="N135" s="116">
        <f t="shared" si="144"/>
        <v>1.0833333333333335</v>
      </c>
      <c r="O135" s="116">
        <f t="shared" si="144"/>
        <v>1.0833333333333335</v>
      </c>
      <c r="P135" s="72" t="str">
        <f t="shared" si="144"/>
        <v>OFF</v>
      </c>
      <c r="Q135" s="116" t="str">
        <f t="shared" si="144"/>
        <v>OFF</v>
      </c>
      <c r="R135" s="116">
        <f t="shared" si="144"/>
        <v>1.0833333333333335</v>
      </c>
      <c r="S135" s="116">
        <f t="shared" si="144"/>
        <v>1.0833333333333335</v>
      </c>
      <c r="T135" s="116">
        <f t="shared" si="144"/>
        <v>1.0833333333333335</v>
      </c>
      <c r="U135" s="116">
        <f t="shared" si="144"/>
        <v>1.0833333333333335</v>
      </c>
      <c r="V135" s="116">
        <f t="shared" si="144"/>
        <v>1.0833333333333335</v>
      </c>
      <c r="W135" s="72" t="str">
        <f t="shared" si="144"/>
        <v>OFF</v>
      </c>
      <c r="X135" s="97">
        <f t="shared" ref="X135:X138" si="145">IFERROR(MODE(Q135:W135),"-")</f>
        <v>1.0833333333333335</v>
      </c>
    </row>
    <row r="136" spans="1:24" x14ac:dyDescent="0.2">
      <c r="A136" s="28" t="str">
        <f t="shared" si="142"/>
        <v>Daina May Salazar</v>
      </c>
      <c r="B136" s="71" t="str">
        <f>VLOOKUP(A136,Masterlist!B:D,3,)</f>
        <v>Febie Joy Gadnao</v>
      </c>
      <c r="C136" s="116">
        <f t="shared" si="124"/>
        <v>1.375</v>
      </c>
      <c r="D136" s="116">
        <f t="shared" ref="D136:H136" si="146">IFERROR(IF(C51 = "PTO", "PTO",C51+"12:00"),"OFF")</f>
        <v>1.375</v>
      </c>
      <c r="E136" s="116">
        <f t="shared" si="146"/>
        <v>1.375</v>
      </c>
      <c r="F136" s="116">
        <f t="shared" si="146"/>
        <v>1.375</v>
      </c>
      <c r="G136" s="116" t="str">
        <f t="shared" si="146"/>
        <v>OFF</v>
      </c>
      <c r="H136" s="116" t="str">
        <f t="shared" si="146"/>
        <v>OFF</v>
      </c>
      <c r="I136" s="116">
        <f t="shared" si="126"/>
        <v>1.375</v>
      </c>
      <c r="J136" s="86">
        <f t="shared" ref="J136:W138" si="147">IFERROR(IF(I51 = "PTO", "PTO",I51+"12:00"),"OFF")</f>
        <v>1.375</v>
      </c>
      <c r="K136" s="116">
        <f t="shared" si="147"/>
        <v>1.375</v>
      </c>
      <c r="L136" s="116">
        <f t="shared" si="147"/>
        <v>1.375</v>
      </c>
      <c r="M136" s="116">
        <f t="shared" si="147"/>
        <v>1.375</v>
      </c>
      <c r="N136" s="116" t="str">
        <f t="shared" si="147"/>
        <v>OFF</v>
      </c>
      <c r="O136" s="116" t="str">
        <f t="shared" si="147"/>
        <v>OFF</v>
      </c>
      <c r="P136" s="72">
        <f t="shared" si="147"/>
        <v>1.375</v>
      </c>
      <c r="Q136" s="116">
        <f t="shared" si="147"/>
        <v>1.375</v>
      </c>
      <c r="R136" s="116">
        <f t="shared" si="147"/>
        <v>1.375</v>
      </c>
      <c r="S136" s="116">
        <f t="shared" si="147"/>
        <v>1.375</v>
      </c>
      <c r="T136" s="116">
        <f t="shared" si="147"/>
        <v>1.375</v>
      </c>
      <c r="U136" s="116" t="str">
        <f t="shared" si="147"/>
        <v>OFF</v>
      </c>
      <c r="V136" s="116" t="str">
        <f t="shared" si="147"/>
        <v>OFF</v>
      </c>
      <c r="W136" s="72">
        <f t="shared" si="147"/>
        <v>1.375</v>
      </c>
      <c r="X136" s="97">
        <f t="shared" si="145"/>
        <v>1.375</v>
      </c>
    </row>
    <row r="137" spans="1:24" x14ac:dyDescent="0.2">
      <c r="A137" s="28" t="str">
        <f t="shared" si="142"/>
        <v>Ricky Labrada</v>
      </c>
      <c r="B137" s="71" t="str">
        <f>VLOOKUP(A137,Masterlist!B:D,3,)</f>
        <v>Febie Joy Gadnao</v>
      </c>
      <c r="C137" s="116">
        <f t="shared" si="124"/>
        <v>1.375</v>
      </c>
      <c r="D137" s="116">
        <f t="shared" ref="D137:H137" si="148">IFERROR(IF(C52 = "PTO", "PTO",C52+"12:00"),"OFF")</f>
        <v>1.375</v>
      </c>
      <c r="E137" s="116">
        <f t="shared" si="148"/>
        <v>1.375</v>
      </c>
      <c r="F137" s="116">
        <f t="shared" si="148"/>
        <v>1.375</v>
      </c>
      <c r="G137" s="116" t="str">
        <f t="shared" si="148"/>
        <v>OFF</v>
      </c>
      <c r="H137" s="116" t="str">
        <f t="shared" si="148"/>
        <v>OFF</v>
      </c>
      <c r="I137" s="116">
        <f t="shared" si="126"/>
        <v>1.375</v>
      </c>
      <c r="J137" s="86">
        <f t="shared" ref="J137:W142" si="149">IFERROR(IF(I52 = "PTO", "PTO",I52+"12:00"),"OFF")</f>
        <v>1.375</v>
      </c>
      <c r="K137" s="116">
        <f t="shared" si="149"/>
        <v>1.375</v>
      </c>
      <c r="L137" s="116">
        <f t="shared" si="149"/>
        <v>1.375</v>
      </c>
      <c r="M137" s="116">
        <f t="shared" si="149"/>
        <v>1.375</v>
      </c>
      <c r="N137" s="116" t="str">
        <f t="shared" si="149"/>
        <v>OFF</v>
      </c>
      <c r="O137" s="116" t="str">
        <f t="shared" si="147"/>
        <v>OFF</v>
      </c>
      <c r="P137" s="72">
        <f t="shared" si="149"/>
        <v>1.375</v>
      </c>
      <c r="Q137" s="116">
        <f t="shared" si="149"/>
        <v>1.375</v>
      </c>
      <c r="R137" s="116">
        <f t="shared" si="149"/>
        <v>1.375</v>
      </c>
      <c r="S137" s="116">
        <f t="shared" si="149"/>
        <v>1.375</v>
      </c>
      <c r="T137" s="116">
        <f t="shared" si="149"/>
        <v>1.375</v>
      </c>
      <c r="U137" s="116" t="str">
        <f t="shared" si="149"/>
        <v>OFF</v>
      </c>
      <c r="V137" s="116" t="str">
        <f t="shared" si="149"/>
        <v>OFF</v>
      </c>
      <c r="W137" s="72">
        <f t="shared" si="149"/>
        <v>1.375</v>
      </c>
      <c r="X137" s="97">
        <f t="shared" si="145"/>
        <v>1.375</v>
      </c>
    </row>
    <row r="138" spans="1:24" x14ac:dyDescent="0.2">
      <c r="A138" s="28" t="str">
        <f t="shared" si="142"/>
        <v>Erlyn Joy Claro</v>
      </c>
      <c r="B138" s="71" t="str">
        <f>VLOOKUP(A138,Masterlist!B:D,3,)</f>
        <v>Febie Joy Gadnao</v>
      </c>
      <c r="C138" s="116">
        <f t="shared" si="124"/>
        <v>1.375</v>
      </c>
      <c r="D138" s="116">
        <f t="shared" ref="D138:H138" si="150">IFERROR(IF(C53 = "PTO", "PTO",C53+"12:00"),"OFF")</f>
        <v>1.375</v>
      </c>
      <c r="E138" s="116">
        <f t="shared" si="150"/>
        <v>1.375</v>
      </c>
      <c r="F138" s="116" t="str">
        <f t="shared" si="150"/>
        <v>OFF</v>
      </c>
      <c r="G138" s="116">
        <f t="shared" si="150"/>
        <v>1.375</v>
      </c>
      <c r="H138" s="116">
        <f t="shared" si="150"/>
        <v>1.375</v>
      </c>
      <c r="I138" s="116" t="str">
        <f t="shared" si="126"/>
        <v>OFF</v>
      </c>
      <c r="J138" s="86">
        <f t="shared" ref="J138:W138" si="151">IFERROR(IF(I53 = "PTO", "PTO",I53+"12:00"),"OFF")</f>
        <v>1.375</v>
      </c>
      <c r="K138" s="116">
        <f t="shared" si="151"/>
        <v>1.375</v>
      </c>
      <c r="L138" s="116">
        <f t="shared" si="151"/>
        <v>1.375</v>
      </c>
      <c r="M138" s="116">
        <f t="shared" si="151"/>
        <v>1.375</v>
      </c>
      <c r="N138" s="116">
        <f t="shared" si="151"/>
        <v>1.375</v>
      </c>
      <c r="O138" s="116" t="str">
        <f t="shared" si="147"/>
        <v>OFF</v>
      </c>
      <c r="P138" s="72" t="str">
        <f t="shared" si="151"/>
        <v>OFF</v>
      </c>
      <c r="Q138" s="116">
        <f t="shared" si="151"/>
        <v>1.375</v>
      </c>
      <c r="R138" s="116">
        <f t="shared" si="149"/>
        <v>1.375</v>
      </c>
      <c r="S138" s="116">
        <f t="shared" si="151"/>
        <v>1.375</v>
      </c>
      <c r="T138" s="116">
        <f t="shared" si="151"/>
        <v>1.375</v>
      </c>
      <c r="U138" s="116">
        <f t="shared" si="151"/>
        <v>1.375</v>
      </c>
      <c r="V138" s="116" t="str">
        <f t="shared" si="151"/>
        <v>OFF</v>
      </c>
      <c r="W138" s="72" t="str">
        <f t="shared" si="151"/>
        <v>OFF</v>
      </c>
      <c r="X138" s="97">
        <f t="shared" si="145"/>
        <v>1.375</v>
      </c>
    </row>
    <row r="139" spans="1:24" x14ac:dyDescent="0.2">
      <c r="A139" s="28" t="str">
        <f t="shared" si="142"/>
        <v>Rhea Mae Fungot</v>
      </c>
      <c r="B139" s="71" t="str">
        <f>VLOOKUP(A139,Masterlist!B:D,3,)</f>
        <v>Febie Joy Gadnao</v>
      </c>
      <c r="C139" s="116">
        <f t="shared" si="124"/>
        <v>1.375</v>
      </c>
      <c r="D139" s="116">
        <f t="shared" ref="D139:H139" si="152">IFERROR(IF(C54 = "PTO", "PTO",C54+"12:00"),"OFF")</f>
        <v>1.375</v>
      </c>
      <c r="E139" s="116" t="str">
        <f t="shared" si="152"/>
        <v>OFF</v>
      </c>
      <c r="F139" s="116">
        <f t="shared" si="152"/>
        <v>1.375</v>
      </c>
      <c r="G139" s="116">
        <f t="shared" si="152"/>
        <v>1.375</v>
      </c>
      <c r="H139" s="116" t="str">
        <f t="shared" si="152"/>
        <v>OFF</v>
      </c>
      <c r="I139" s="116">
        <f t="shared" si="126"/>
        <v>1.375</v>
      </c>
      <c r="J139" s="86">
        <f t="shared" ref="J139:W139" si="153">IFERROR(IF(I54 = "PTO", "PTO",I54+"12:00"),"OFF")</f>
        <v>1.375</v>
      </c>
      <c r="K139" s="116">
        <f t="shared" si="153"/>
        <v>1.375</v>
      </c>
      <c r="L139" s="116">
        <f t="shared" si="153"/>
        <v>1.375</v>
      </c>
      <c r="M139" s="116">
        <f t="shared" si="153"/>
        <v>1.375</v>
      </c>
      <c r="N139" s="116" t="str">
        <f t="shared" si="153"/>
        <v>OFF</v>
      </c>
      <c r="O139" s="116" t="str">
        <f t="shared" si="153"/>
        <v>OFF</v>
      </c>
      <c r="P139" s="72">
        <f t="shared" si="153"/>
        <v>1.375</v>
      </c>
      <c r="Q139" s="116">
        <f t="shared" si="153"/>
        <v>1.375</v>
      </c>
      <c r="R139" s="116">
        <f t="shared" si="149"/>
        <v>1.375</v>
      </c>
      <c r="S139" s="116">
        <f t="shared" si="153"/>
        <v>1.375</v>
      </c>
      <c r="T139" s="116">
        <f t="shared" si="153"/>
        <v>1.375</v>
      </c>
      <c r="U139" s="116" t="str">
        <f t="shared" si="153"/>
        <v>OFF</v>
      </c>
      <c r="V139" s="116" t="str">
        <f t="shared" si="153"/>
        <v>OFF</v>
      </c>
      <c r="W139" s="72">
        <f t="shared" si="153"/>
        <v>1.375</v>
      </c>
      <c r="X139" s="97">
        <f t="shared" ref="X139:X145" si="154">IFERROR(MODE(Q139:W139),"-")</f>
        <v>1.375</v>
      </c>
    </row>
    <row r="140" spans="1:24" x14ac:dyDescent="0.2">
      <c r="A140" s="28" t="str">
        <f t="shared" si="142"/>
        <v>Anthony,Fernandez,Tabladillo</v>
      </c>
      <c r="B140" s="71" t="str">
        <f>VLOOKUP(A140,Masterlist!B:D,3,)</f>
        <v>Febie Joy Gadnao</v>
      </c>
      <c r="C140" s="116">
        <f t="shared" si="124"/>
        <v>1.375</v>
      </c>
      <c r="D140" s="116">
        <f t="shared" ref="D140:H140" si="155">IFERROR(IF(C55 = "PTO", "PTO",C55+"12:00"),"OFF")</f>
        <v>1.375</v>
      </c>
      <c r="E140" s="116">
        <f t="shared" si="155"/>
        <v>1.375</v>
      </c>
      <c r="F140" s="116">
        <f t="shared" si="155"/>
        <v>1.375</v>
      </c>
      <c r="G140" s="116">
        <f t="shared" si="155"/>
        <v>1.375</v>
      </c>
      <c r="H140" s="116" t="str">
        <f t="shared" si="155"/>
        <v>OFF</v>
      </c>
      <c r="I140" s="116" t="str">
        <f t="shared" si="126"/>
        <v>OFF</v>
      </c>
      <c r="J140" s="86">
        <f t="shared" ref="J140:W140" si="156">IFERROR(IF(I55 = "PTO", "PTO",I55+"12:00"),"OFF")</f>
        <v>1.375</v>
      </c>
      <c r="K140" s="116">
        <f t="shared" si="156"/>
        <v>1.375</v>
      </c>
      <c r="L140" s="116">
        <f t="shared" si="156"/>
        <v>1.375</v>
      </c>
      <c r="M140" s="116">
        <f t="shared" si="156"/>
        <v>1.375</v>
      </c>
      <c r="N140" s="116">
        <f t="shared" si="156"/>
        <v>1.375</v>
      </c>
      <c r="O140" s="116" t="str">
        <f t="shared" si="156"/>
        <v>OFF</v>
      </c>
      <c r="P140" s="72" t="str">
        <f t="shared" si="156"/>
        <v>OFF</v>
      </c>
      <c r="Q140" s="116">
        <f t="shared" si="156"/>
        <v>1.375</v>
      </c>
      <c r="R140" s="116">
        <f t="shared" si="149"/>
        <v>1.375</v>
      </c>
      <c r="S140" s="116">
        <f t="shared" si="156"/>
        <v>1.375</v>
      </c>
      <c r="T140" s="116">
        <f t="shared" si="156"/>
        <v>1.375</v>
      </c>
      <c r="U140" s="116">
        <f t="shared" si="156"/>
        <v>1.375</v>
      </c>
      <c r="V140" s="116" t="str">
        <f t="shared" si="156"/>
        <v>OFF</v>
      </c>
      <c r="W140" s="72" t="str">
        <f t="shared" si="156"/>
        <v>OFF</v>
      </c>
      <c r="X140" s="97">
        <f t="shared" si="154"/>
        <v>1.375</v>
      </c>
    </row>
    <row r="141" spans="1:24" x14ac:dyDescent="0.2">
      <c r="A141" s="28" t="str">
        <f t="shared" si="142"/>
        <v>May Catherine Anotado Gortayo</v>
      </c>
      <c r="B141" s="71" t="str">
        <f>VLOOKUP(A141,Masterlist!B:D,3,)</f>
        <v>Febie Joy Gadnao</v>
      </c>
      <c r="C141" s="116">
        <f t="shared" si="124"/>
        <v>1.375</v>
      </c>
      <c r="D141" s="116">
        <f t="shared" ref="D141:H141" si="157">IFERROR(IF(C56 = "PTO", "PTO",C56+"12:00"),"OFF")</f>
        <v>1.375</v>
      </c>
      <c r="E141" s="116">
        <f t="shared" si="157"/>
        <v>1.375</v>
      </c>
      <c r="F141" s="116">
        <f t="shared" si="157"/>
        <v>1.375</v>
      </c>
      <c r="G141" s="116">
        <f t="shared" si="157"/>
        <v>1.375</v>
      </c>
      <c r="H141" s="116" t="str">
        <f t="shared" si="157"/>
        <v>OFF</v>
      </c>
      <c r="I141" s="116" t="str">
        <f t="shared" si="126"/>
        <v>OFF</v>
      </c>
      <c r="J141" s="86">
        <f t="shared" ref="J141:W141" si="158">IFERROR(IF(I56 = "PTO", "PTO",I56+"12:00"),"OFF")</f>
        <v>1.375</v>
      </c>
      <c r="K141" s="116">
        <f t="shared" si="158"/>
        <v>1.375</v>
      </c>
      <c r="L141" s="116">
        <f t="shared" si="158"/>
        <v>1.375</v>
      </c>
      <c r="M141" s="116">
        <f t="shared" si="158"/>
        <v>1.375</v>
      </c>
      <c r="N141" s="116">
        <f t="shared" si="158"/>
        <v>1.375</v>
      </c>
      <c r="O141" s="116" t="str">
        <f t="shared" si="158"/>
        <v>OFF</v>
      </c>
      <c r="P141" s="72" t="str">
        <f t="shared" si="158"/>
        <v>OFF</v>
      </c>
      <c r="Q141" s="116">
        <f t="shared" si="158"/>
        <v>1.375</v>
      </c>
      <c r="R141" s="116">
        <f t="shared" si="149"/>
        <v>1.375</v>
      </c>
      <c r="S141" s="116">
        <f t="shared" si="158"/>
        <v>1.375</v>
      </c>
      <c r="T141" s="116">
        <f t="shared" si="158"/>
        <v>1.375</v>
      </c>
      <c r="U141" s="116">
        <f t="shared" si="158"/>
        <v>1.375</v>
      </c>
      <c r="V141" s="116" t="str">
        <f t="shared" si="158"/>
        <v>OFF</v>
      </c>
      <c r="W141" s="72" t="str">
        <f t="shared" si="158"/>
        <v>OFF</v>
      </c>
      <c r="X141" s="97">
        <f t="shared" si="154"/>
        <v>1.375</v>
      </c>
    </row>
    <row r="142" spans="1:24" x14ac:dyDescent="0.2">
      <c r="A142" s="28" t="str">
        <f t="shared" si="142"/>
        <v>Mae Ann Gito Garque</v>
      </c>
      <c r="B142" s="71" t="str">
        <f>VLOOKUP(A142,Masterlist!B:D,3,)</f>
        <v>Febie Joy Gadnao</v>
      </c>
      <c r="C142" s="127" t="str">
        <f t="shared" si="124"/>
        <v>OFF</v>
      </c>
      <c r="D142" s="127" t="str">
        <f t="shared" ref="D142:H142" si="159">IFERROR(IF(C57 = "PTO", "PTO",C57+"12:00"),"OFF")</f>
        <v>OFF</v>
      </c>
      <c r="E142" s="127">
        <f t="shared" si="159"/>
        <v>1.375</v>
      </c>
      <c r="F142" s="127">
        <f t="shared" si="159"/>
        <v>1.375</v>
      </c>
      <c r="G142" s="127">
        <f t="shared" si="159"/>
        <v>1.375</v>
      </c>
      <c r="H142" s="116">
        <f t="shared" si="159"/>
        <v>1.375</v>
      </c>
      <c r="I142" s="116">
        <f t="shared" si="126"/>
        <v>1.375</v>
      </c>
      <c r="J142" s="86" t="str">
        <f t="shared" ref="J142:W142" si="160">IFERROR(IF(I57 = "PTO", "PTO",I57+"12:00"),"OFF")</f>
        <v>OFF</v>
      </c>
      <c r="K142" s="116" t="str">
        <f t="shared" si="160"/>
        <v>OFF</v>
      </c>
      <c r="L142" s="116">
        <f t="shared" si="160"/>
        <v>1.375</v>
      </c>
      <c r="M142" s="116">
        <f t="shared" si="160"/>
        <v>1.375</v>
      </c>
      <c r="N142" s="116">
        <f t="shared" si="160"/>
        <v>1.375</v>
      </c>
      <c r="O142" s="116">
        <f t="shared" si="160"/>
        <v>1.375</v>
      </c>
      <c r="P142" s="72">
        <f t="shared" si="160"/>
        <v>1.375</v>
      </c>
      <c r="Q142" s="116" t="str">
        <f t="shared" si="160"/>
        <v>OFF</v>
      </c>
      <c r="R142" s="116" t="str">
        <f t="shared" si="149"/>
        <v>OFF</v>
      </c>
      <c r="S142" s="116">
        <f t="shared" si="160"/>
        <v>1.375</v>
      </c>
      <c r="T142" s="116">
        <f t="shared" si="160"/>
        <v>1.375</v>
      </c>
      <c r="U142" s="116">
        <f t="shared" si="160"/>
        <v>1.375</v>
      </c>
      <c r="V142" s="116">
        <f t="shared" si="160"/>
        <v>1.375</v>
      </c>
      <c r="W142" s="72">
        <f t="shared" si="160"/>
        <v>1.375</v>
      </c>
      <c r="X142" s="97">
        <f t="shared" si="154"/>
        <v>1.375</v>
      </c>
    </row>
    <row r="143" spans="1:24" x14ac:dyDescent="0.2">
      <c r="A143" s="28" t="str">
        <f t="shared" si="142"/>
        <v>Noel Roman Delos Reyes</v>
      </c>
      <c r="B143" s="71" t="str">
        <f>VLOOKUP(A143,Masterlist!B:D,3,)</f>
        <v>Febie Joy Gadnao</v>
      </c>
      <c r="C143" s="116" t="str">
        <f t="shared" si="124"/>
        <v>OFF</v>
      </c>
      <c r="D143" s="116">
        <f t="shared" ref="D143:H143" si="161">IFERROR(IF(C58 = "PTO", "PTO",C58+"12:00"),"OFF")</f>
        <v>1.375</v>
      </c>
      <c r="E143" s="116">
        <f t="shared" si="161"/>
        <v>1.375</v>
      </c>
      <c r="F143" s="116">
        <f t="shared" si="161"/>
        <v>1.375</v>
      </c>
      <c r="G143" s="116">
        <f t="shared" si="161"/>
        <v>1.375</v>
      </c>
      <c r="H143" s="116">
        <f t="shared" si="161"/>
        <v>1.375</v>
      </c>
      <c r="I143" s="116" t="str">
        <f t="shared" si="126"/>
        <v>OFF</v>
      </c>
      <c r="J143" s="86" t="str">
        <f t="shared" ref="J143:W143" si="162">IFERROR(IF(I58 = "PTO", "PTO",I58+"12:00"),"OFF")</f>
        <v>OFF</v>
      </c>
      <c r="K143" s="116">
        <f t="shared" si="162"/>
        <v>1.375</v>
      </c>
      <c r="L143" s="116">
        <f t="shared" si="162"/>
        <v>1.375</v>
      </c>
      <c r="M143" s="116">
        <f t="shared" si="162"/>
        <v>1.375</v>
      </c>
      <c r="N143" s="116">
        <f t="shared" si="162"/>
        <v>1.375</v>
      </c>
      <c r="O143" s="116">
        <f t="shared" si="162"/>
        <v>1.375</v>
      </c>
      <c r="P143" s="72" t="str">
        <f t="shared" si="162"/>
        <v>OFF</v>
      </c>
      <c r="Q143" s="116" t="str">
        <f t="shared" si="162"/>
        <v>OFF</v>
      </c>
      <c r="R143" s="116">
        <f t="shared" si="162"/>
        <v>1.375</v>
      </c>
      <c r="S143" s="116">
        <f t="shared" si="162"/>
        <v>1.375</v>
      </c>
      <c r="T143" s="116">
        <f t="shared" si="162"/>
        <v>1.375</v>
      </c>
      <c r="U143" s="116">
        <f t="shared" si="162"/>
        <v>1.375</v>
      </c>
      <c r="V143" s="116">
        <f t="shared" si="162"/>
        <v>1.375</v>
      </c>
      <c r="W143" s="72" t="str">
        <f t="shared" si="162"/>
        <v>OFF</v>
      </c>
      <c r="X143" s="97">
        <f t="shared" si="154"/>
        <v>1.375</v>
      </c>
    </row>
    <row r="144" spans="1:24" x14ac:dyDescent="0.2">
      <c r="A144" s="28" t="str">
        <f t="shared" si="142"/>
        <v>Josette Len Alde</v>
      </c>
      <c r="B144" s="71" t="str">
        <f>VLOOKUP(A144,Masterlist!B:D,3,)</f>
        <v>Febie Joy Gadnao</v>
      </c>
      <c r="C144" s="116" t="str">
        <f t="shared" si="124"/>
        <v>OFF</v>
      </c>
      <c r="D144" s="116" t="str">
        <f t="shared" ref="D144:H144" si="163">IFERROR(IF(C59 = "PTO", "PTO",C59+"12:00"),"OFF")</f>
        <v>OFF</v>
      </c>
      <c r="E144" s="116" t="str">
        <f t="shared" si="163"/>
        <v>OFF</v>
      </c>
      <c r="F144" s="116" t="str">
        <f t="shared" si="163"/>
        <v>OFF</v>
      </c>
      <c r="G144" s="116" t="str">
        <f t="shared" si="163"/>
        <v>OFF</v>
      </c>
      <c r="H144" s="116" t="str">
        <f t="shared" si="163"/>
        <v>OFF</v>
      </c>
      <c r="I144" s="116" t="str">
        <f t="shared" si="126"/>
        <v>OFF</v>
      </c>
      <c r="J144" s="86" t="str">
        <f t="shared" ref="J144:W144" si="164">IFERROR(IF(I59 = "PTO", "PTO",I59+"12:00"),"OFF")</f>
        <v>OFF</v>
      </c>
      <c r="K144" s="116" t="str">
        <f t="shared" si="164"/>
        <v>OFF</v>
      </c>
      <c r="L144" s="116" t="str">
        <f t="shared" si="164"/>
        <v>OFF</v>
      </c>
      <c r="M144" s="116" t="str">
        <f t="shared" si="164"/>
        <v>OFF</v>
      </c>
      <c r="N144" s="116" t="str">
        <f t="shared" si="164"/>
        <v>OFF</v>
      </c>
      <c r="O144" s="116" t="str">
        <f t="shared" si="164"/>
        <v>OFF</v>
      </c>
      <c r="P144" s="72" t="str">
        <f t="shared" si="164"/>
        <v>OFF</v>
      </c>
      <c r="Q144" s="116" t="str">
        <f t="shared" si="164"/>
        <v>OFF</v>
      </c>
      <c r="R144" s="116" t="str">
        <f t="shared" si="164"/>
        <v>OFF</v>
      </c>
      <c r="S144" s="116" t="str">
        <f t="shared" si="164"/>
        <v>OFF</v>
      </c>
      <c r="T144" s="116" t="str">
        <f t="shared" si="164"/>
        <v>OFF</v>
      </c>
      <c r="U144" s="116" t="str">
        <f t="shared" si="164"/>
        <v>OFF</v>
      </c>
      <c r="V144" s="116" t="str">
        <f t="shared" si="164"/>
        <v>OFF</v>
      </c>
      <c r="W144" s="72" t="str">
        <f t="shared" si="164"/>
        <v>OFF</v>
      </c>
      <c r="X144" s="97" t="str">
        <f t="shared" si="154"/>
        <v>-</v>
      </c>
    </row>
    <row r="145" spans="1:24" x14ac:dyDescent="0.2">
      <c r="A145" s="28" t="str">
        <f t="shared" si="142"/>
        <v>Rovilou Bayog</v>
      </c>
      <c r="B145" s="71" t="str">
        <f>VLOOKUP(A145,Masterlist!B:D,3,)</f>
        <v>Febie Joy Gadnao</v>
      </c>
      <c r="C145" s="116">
        <f t="shared" si="124"/>
        <v>1.375</v>
      </c>
      <c r="D145" s="116">
        <f t="shared" ref="D145:H145" si="165">IFERROR(IF(C60 = "PTO", "PTO",C60+"12:00"),"OFF")</f>
        <v>1.375</v>
      </c>
      <c r="E145" s="116">
        <f t="shared" si="165"/>
        <v>1.375</v>
      </c>
      <c r="F145" s="116">
        <f t="shared" si="165"/>
        <v>1.375</v>
      </c>
      <c r="G145" s="116">
        <f t="shared" si="165"/>
        <v>1.375</v>
      </c>
      <c r="H145" s="116" t="str">
        <f t="shared" si="165"/>
        <v>OFF</v>
      </c>
      <c r="I145" s="116" t="str">
        <f t="shared" si="126"/>
        <v>OFF</v>
      </c>
      <c r="J145" s="86">
        <f t="shared" ref="J145:W145" si="166">IFERROR(IF(I60 = "PTO", "PTO",I60+"12:00"),"OFF")</f>
        <v>1.375</v>
      </c>
      <c r="K145" s="116">
        <f t="shared" si="166"/>
        <v>1.375</v>
      </c>
      <c r="L145" s="116">
        <f t="shared" si="166"/>
        <v>1.375</v>
      </c>
      <c r="M145" s="116">
        <f t="shared" si="166"/>
        <v>1.375</v>
      </c>
      <c r="N145" s="116">
        <f t="shared" si="166"/>
        <v>1.375</v>
      </c>
      <c r="O145" s="116" t="str">
        <f t="shared" si="166"/>
        <v>OFF</v>
      </c>
      <c r="P145" s="72" t="str">
        <f t="shared" si="166"/>
        <v>OFF</v>
      </c>
      <c r="Q145" s="116">
        <f t="shared" si="166"/>
        <v>1.375</v>
      </c>
      <c r="R145" s="116">
        <f t="shared" si="166"/>
        <v>1.375</v>
      </c>
      <c r="S145" s="116">
        <f t="shared" si="166"/>
        <v>1.375</v>
      </c>
      <c r="T145" s="116">
        <f t="shared" si="166"/>
        <v>1.375</v>
      </c>
      <c r="U145" s="116">
        <f t="shared" si="166"/>
        <v>1.375</v>
      </c>
      <c r="V145" s="116" t="str">
        <f t="shared" si="166"/>
        <v>OFF</v>
      </c>
      <c r="W145" s="72" t="str">
        <f t="shared" si="166"/>
        <v>OFF</v>
      </c>
      <c r="X145" s="97">
        <f t="shared" si="154"/>
        <v>1.375</v>
      </c>
    </row>
    <row r="146" spans="1:24" x14ac:dyDescent="0.2">
      <c r="A146" s="28" t="str">
        <f t="shared" ref="A146:A155" si="167">IF(B61="","",B61)</f>
        <v>Judith Gardose</v>
      </c>
      <c r="B146" s="71" t="str">
        <f>VLOOKUP(A146,Masterlist!B:D,3,)</f>
        <v>Febie Joy Gadnao</v>
      </c>
      <c r="C146" s="116" t="str">
        <f t="shared" ref="C146:C152" si="168">IFERROR(IF(Y61 = "PTO", "PTO",Y61+"12:00"),"OFF")</f>
        <v>OFF</v>
      </c>
      <c r="D146" s="116">
        <f t="shared" ref="D146:D152" si="169">IFERROR(IF(C61 = "PTO", "PTO",C61+"12:00"),"OFF")</f>
        <v>1.375</v>
      </c>
      <c r="E146" s="116">
        <f t="shared" ref="E146:E152" si="170">IFERROR(IF(D61 = "PTO", "PTO",D61+"12:00"),"OFF")</f>
        <v>1.375</v>
      </c>
      <c r="F146" s="116">
        <f t="shared" ref="F146:F152" si="171">IFERROR(IF(E61 = "PTO", "PTO",E61+"12:00"),"OFF")</f>
        <v>1.375</v>
      </c>
      <c r="G146" s="116">
        <f t="shared" ref="G146:G152" si="172">IFERROR(IF(F61 = "PTO", "PTO",F61+"12:00"),"OFF")</f>
        <v>1.375</v>
      </c>
      <c r="H146" s="116">
        <f t="shared" ref="H146:H152" si="173">IFERROR(IF(G61 = "PTO", "PTO",G61+"12:00"),"OFF")</f>
        <v>1.375</v>
      </c>
      <c r="I146" s="116" t="str">
        <f t="shared" ref="I146:I152" si="174">IFERROR(IF(H61 = "PTO", "PTO",H61+"12:00"),"OFF")</f>
        <v>OFF</v>
      </c>
      <c r="J146" s="86" t="str">
        <f t="shared" ref="J146:J152" si="175">IFERROR(IF(I61 = "PTO", "PTO",I61+"12:00"),"OFF")</f>
        <v>OFF</v>
      </c>
      <c r="K146" s="116">
        <f t="shared" ref="K146:K152" si="176">IFERROR(IF(J61 = "PTO", "PTO",J61+"12:00"),"OFF")</f>
        <v>1.375</v>
      </c>
      <c r="L146" s="116">
        <f t="shared" ref="L146:L152" si="177">IFERROR(IF(K61 = "PTO", "PTO",K61+"12:00"),"OFF")</f>
        <v>1.375</v>
      </c>
      <c r="M146" s="116">
        <f t="shared" ref="M146:M152" si="178">IFERROR(IF(L61 = "PTO", "PTO",L61+"12:00"),"OFF")</f>
        <v>1.375</v>
      </c>
      <c r="N146" s="116">
        <f t="shared" ref="N146:N152" si="179">IFERROR(IF(M61 = "PTO", "PTO",M61+"12:00"),"OFF")</f>
        <v>1.375</v>
      </c>
      <c r="O146" s="116">
        <f t="shared" ref="O146:O152" si="180">IFERROR(IF(N61 = "PTO", "PTO",N61+"12:00"),"OFF")</f>
        <v>1.375</v>
      </c>
      <c r="P146" s="72" t="str">
        <f t="shared" ref="P146:P152" si="181">IFERROR(IF(O61 = "PTO", "PTO",O61+"12:00"),"OFF")</f>
        <v>OFF</v>
      </c>
      <c r="Q146" s="116" t="str">
        <f t="shared" ref="Q146:Q152" si="182">IFERROR(IF(P61 = "PTO", "PTO",P61+"12:00"),"OFF")</f>
        <v>OFF</v>
      </c>
      <c r="R146" s="116">
        <f t="shared" ref="R146:R152" si="183">IFERROR(IF(Q61 = "PTO", "PTO",Q61+"12:00"),"OFF")</f>
        <v>1.375</v>
      </c>
      <c r="S146" s="116">
        <f t="shared" ref="S146:S152" si="184">IFERROR(IF(R61 = "PTO", "PTO",R61+"12:00"),"OFF")</f>
        <v>1.375</v>
      </c>
      <c r="T146" s="116">
        <f t="shared" ref="T146:T152" si="185">IFERROR(IF(S61 = "PTO", "PTO",S61+"12:00"),"OFF")</f>
        <v>1.375</v>
      </c>
      <c r="U146" s="116">
        <f t="shared" ref="U146:U152" si="186">IFERROR(IF(T61 = "PTO", "PTO",T61+"12:00"),"OFF")</f>
        <v>1.375</v>
      </c>
      <c r="V146" s="116">
        <f t="shared" ref="V146:V152" si="187">IFERROR(IF(U61 = "PTO", "PTO",U61+"12:00"),"OFF")</f>
        <v>1.375</v>
      </c>
      <c r="W146" s="72" t="str">
        <f t="shared" ref="W146:W152" si="188">IFERROR(IF(V61 = "PTO", "PTO",V61+"12:00"),"OFF")</f>
        <v>OFF</v>
      </c>
      <c r="X146" s="97">
        <f t="shared" ref="X146:X152" si="189">IFERROR(MODE(Q146:W146),"-")</f>
        <v>1.375</v>
      </c>
    </row>
    <row r="147" spans="1:24" x14ac:dyDescent="0.2">
      <c r="A147" s="28" t="str">
        <f t="shared" si="167"/>
        <v>Edgardo Lacson</v>
      </c>
      <c r="B147" s="71" t="str">
        <f>VLOOKUP(A147,Masterlist!B:D,3,)</f>
        <v>Febie Joy Gadnao</v>
      </c>
      <c r="C147" s="116" t="str">
        <f t="shared" si="168"/>
        <v>OFF</v>
      </c>
      <c r="D147" s="116" t="str">
        <f t="shared" si="169"/>
        <v>OFF</v>
      </c>
      <c r="E147" s="116">
        <f t="shared" si="170"/>
        <v>1.375</v>
      </c>
      <c r="F147" s="116">
        <f t="shared" si="171"/>
        <v>1.375</v>
      </c>
      <c r="G147" s="116">
        <f t="shared" si="172"/>
        <v>1.375</v>
      </c>
      <c r="H147" s="116">
        <f t="shared" si="173"/>
        <v>1.375</v>
      </c>
      <c r="I147" s="116">
        <f t="shared" si="174"/>
        <v>1.375</v>
      </c>
      <c r="J147" s="86" t="str">
        <f t="shared" si="175"/>
        <v>OFF</v>
      </c>
      <c r="K147" s="116" t="str">
        <f t="shared" si="176"/>
        <v>OFF</v>
      </c>
      <c r="L147" s="116">
        <f t="shared" si="177"/>
        <v>1.375</v>
      </c>
      <c r="M147" s="116">
        <f t="shared" si="178"/>
        <v>1.375</v>
      </c>
      <c r="N147" s="116">
        <f t="shared" si="179"/>
        <v>1.375</v>
      </c>
      <c r="O147" s="116">
        <f t="shared" si="180"/>
        <v>1.375</v>
      </c>
      <c r="P147" s="72">
        <f t="shared" si="181"/>
        <v>1.375</v>
      </c>
      <c r="Q147" s="116" t="str">
        <f t="shared" si="182"/>
        <v>OFF</v>
      </c>
      <c r="R147" s="116" t="str">
        <f t="shared" si="183"/>
        <v>OFF</v>
      </c>
      <c r="S147" s="116">
        <f t="shared" si="184"/>
        <v>1.375</v>
      </c>
      <c r="T147" s="116">
        <f t="shared" si="185"/>
        <v>1.375</v>
      </c>
      <c r="U147" s="116">
        <f t="shared" si="186"/>
        <v>1.375</v>
      </c>
      <c r="V147" s="116">
        <f t="shared" si="187"/>
        <v>1.375</v>
      </c>
      <c r="W147" s="72">
        <f t="shared" si="188"/>
        <v>1.375</v>
      </c>
      <c r="X147" s="97">
        <f t="shared" si="189"/>
        <v>1.375</v>
      </c>
    </row>
    <row r="148" spans="1:24" x14ac:dyDescent="0.2">
      <c r="A148" s="28" t="str">
        <f t="shared" si="167"/>
        <v>Anna Marie  Acuesta</v>
      </c>
      <c r="B148" s="71" t="str">
        <f>VLOOKUP(A148,Masterlist!B:D,3,)</f>
        <v>Febie Joy Gadnao</v>
      </c>
      <c r="C148" s="116">
        <f t="shared" si="168"/>
        <v>1.375</v>
      </c>
      <c r="D148" s="116">
        <f t="shared" si="169"/>
        <v>1.375</v>
      </c>
      <c r="E148" s="116">
        <f t="shared" si="170"/>
        <v>1.375</v>
      </c>
      <c r="F148" s="116">
        <f t="shared" si="171"/>
        <v>1.375</v>
      </c>
      <c r="G148" s="116">
        <f t="shared" si="172"/>
        <v>1.375</v>
      </c>
      <c r="H148" s="116" t="str">
        <f t="shared" si="173"/>
        <v>OFF</v>
      </c>
      <c r="I148" s="116" t="str">
        <f t="shared" si="174"/>
        <v>OFF</v>
      </c>
      <c r="J148" s="86">
        <f t="shared" si="175"/>
        <v>1.375</v>
      </c>
      <c r="K148" s="116">
        <f t="shared" si="176"/>
        <v>1.375</v>
      </c>
      <c r="L148" s="116">
        <f t="shared" si="177"/>
        <v>1.375</v>
      </c>
      <c r="M148" s="116">
        <f t="shared" si="178"/>
        <v>1.375</v>
      </c>
      <c r="N148" s="116">
        <f t="shared" si="179"/>
        <v>1.375</v>
      </c>
      <c r="O148" s="116" t="str">
        <f t="shared" si="180"/>
        <v>OFF</v>
      </c>
      <c r="P148" s="72" t="str">
        <f t="shared" si="181"/>
        <v>OFF</v>
      </c>
      <c r="Q148" s="116">
        <f t="shared" si="182"/>
        <v>1.375</v>
      </c>
      <c r="R148" s="116">
        <f t="shared" si="183"/>
        <v>1.375</v>
      </c>
      <c r="S148" s="116">
        <f t="shared" si="184"/>
        <v>1.375</v>
      </c>
      <c r="T148" s="116">
        <f t="shared" si="185"/>
        <v>1.375</v>
      </c>
      <c r="U148" s="116">
        <f t="shared" si="186"/>
        <v>1.375</v>
      </c>
      <c r="V148" s="116" t="str">
        <f t="shared" si="187"/>
        <v>OFF</v>
      </c>
      <c r="W148" s="72" t="str">
        <f t="shared" si="188"/>
        <v>OFF</v>
      </c>
      <c r="X148" s="97">
        <f t="shared" si="189"/>
        <v>1.375</v>
      </c>
    </row>
    <row r="149" spans="1:24" x14ac:dyDescent="0.2">
      <c r="A149" s="28" t="str">
        <f t="shared" si="167"/>
        <v>Fevy Joy Legada</v>
      </c>
      <c r="B149" s="71" t="str">
        <f>VLOOKUP(A149,Masterlist!B:D,3,)</f>
        <v>Febie Joy Gadnao</v>
      </c>
      <c r="C149" s="116" t="str">
        <f t="shared" si="168"/>
        <v>OFF</v>
      </c>
      <c r="D149" s="116" t="str">
        <f t="shared" si="169"/>
        <v>OFF</v>
      </c>
      <c r="E149" s="116" t="str">
        <f t="shared" si="170"/>
        <v>OFF</v>
      </c>
      <c r="F149" s="116" t="str">
        <f t="shared" si="171"/>
        <v>OFF</v>
      </c>
      <c r="G149" s="116" t="str">
        <f t="shared" si="172"/>
        <v>OFF</v>
      </c>
      <c r="H149" s="116" t="str">
        <f t="shared" si="173"/>
        <v>OFF</v>
      </c>
      <c r="I149" s="116" t="str">
        <f t="shared" si="174"/>
        <v>OFF</v>
      </c>
      <c r="J149" s="86" t="str">
        <f t="shared" si="175"/>
        <v>OFF</v>
      </c>
      <c r="K149" s="116" t="str">
        <f t="shared" si="176"/>
        <v>OFF</v>
      </c>
      <c r="L149" s="116" t="str">
        <f t="shared" si="177"/>
        <v>OFF</v>
      </c>
      <c r="M149" s="116" t="str">
        <f t="shared" si="178"/>
        <v>OFF</v>
      </c>
      <c r="N149" s="116" t="str">
        <f t="shared" si="179"/>
        <v>OFF</v>
      </c>
      <c r="O149" s="116" t="str">
        <f t="shared" si="180"/>
        <v>OFF</v>
      </c>
      <c r="P149" s="72" t="str">
        <f t="shared" si="181"/>
        <v>OFF</v>
      </c>
      <c r="Q149" s="116" t="str">
        <f t="shared" si="182"/>
        <v>OFF</v>
      </c>
      <c r="R149" s="116" t="str">
        <f t="shared" si="183"/>
        <v>OFF</v>
      </c>
      <c r="S149" s="116" t="str">
        <f t="shared" si="184"/>
        <v>OFF</v>
      </c>
      <c r="T149" s="116" t="str">
        <f t="shared" si="185"/>
        <v>OFF</v>
      </c>
      <c r="U149" s="116" t="str">
        <f t="shared" si="186"/>
        <v>OFF</v>
      </c>
      <c r="V149" s="116" t="str">
        <f t="shared" si="187"/>
        <v>OFF</v>
      </c>
      <c r="W149" s="72" t="str">
        <f t="shared" si="188"/>
        <v>OFF</v>
      </c>
      <c r="X149" s="97" t="str">
        <f t="shared" si="189"/>
        <v>-</v>
      </c>
    </row>
    <row r="150" spans="1:24" x14ac:dyDescent="0.2">
      <c r="A150" s="28" t="str">
        <f t="shared" si="167"/>
        <v xml:space="preserve">John Russel Alcon </v>
      </c>
      <c r="B150" s="71" t="str">
        <f>VLOOKUP(A150,Masterlist!B:D,3,)</f>
        <v>Febie Joy Gadnao</v>
      </c>
      <c r="C150" s="116">
        <f t="shared" si="168"/>
        <v>1.375</v>
      </c>
      <c r="D150" s="116">
        <f t="shared" si="169"/>
        <v>1.375</v>
      </c>
      <c r="E150" s="116">
        <f t="shared" si="170"/>
        <v>1.375</v>
      </c>
      <c r="F150" s="116" t="str">
        <f t="shared" si="171"/>
        <v>OFF</v>
      </c>
      <c r="G150" s="116" t="str">
        <f t="shared" si="172"/>
        <v>OFF</v>
      </c>
      <c r="H150" s="116">
        <f t="shared" si="173"/>
        <v>1.375</v>
      </c>
      <c r="I150" s="116">
        <f t="shared" si="174"/>
        <v>1.375</v>
      </c>
      <c r="J150" s="86">
        <f t="shared" si="175"/>
        <v>1.375</v>
      </c>
      <c r="K150" s="116">
        <f t="shared" si="176"/>
        <v>1.375</v>
      </c>
      <c r="L150" s="116">
        <f t="shared" si="177"/>
        <v>1.375</v>
      </c>
      <c r="M150" s="116" t="str">
        <f t="shared" si="178"/>
        <v>OFF</v>
      </c>
      <c r="N150" s="116" t="str">
        <f t="shared" si="179"/>
        <v>OFF</v>
      </c>
      <c r="O150" s="116">
        <f t="shared" si="180"/>
        <v>1.375</v>
      </c>
      <c r="P150" s="72">
        <f t="shared" si="181"/>
        <v>1.375</v>
      </c>
      <c r="Q150" s="116">
        <f t="shared" si="182"/>
        <v>1.375</v>
      </c>
      <c r="R150" s="116">
        <f t="shared" si="183"/>
        <v>1.375</v>
      </c>
      <c r="S150" s="116">
        <f t="shared" si="184"/>
        <v>1.375</v>
      </c>
      <c r="T150" s="116" t="str">
        <f t="shared" si="185"/>
        <v>OFF</v>
      </c>
      <c r="U150" s="116" t="str">
        <f t="shared" si="186"/>
        <v>OFF</v>
      </c>
      <c r="V150" s="116">
        <f t="shared" si="187"/>
        <v>1.375</v>
      </c>
      <c r="W150" s="72">
        <f t="shared" si="188"/>
        <v>1.375</v>
      </c>
      <c r="X150" s="97">
        <f t="shared" si="189"/>
        <v>1.375</v>
      </c>
    </row>
    <row r="151" spans="1:24" x14ac:dyDescent="0.2">
      <c r="A151" s="28" t="str">
        <f t="shared" si="167"/>
        <v>Cyro Babayen-on</v>
      </c>
      <c r="B151" s="71" t="str">
        <f>VLOOKUP(A151,Masterlist!B:D,3,)</f>
        <v>Febie Joy Gadnao</v>
      </c>
      <c r="C151" s="116">
        <f t="shared" si="168"/>
        <v>1.375</v>
      </c>
      <c r="D151" s="116">
        <f t="shared" si="169"/>
        <v>1.375</v>
      </c>
      <c r="E151" s="116">
        <f t="shared" si="170"/>
        <v>1.375</v>
      </c>
      <c r="F151" s="116" t="str">
        <f t="shared" si="171"/>
        <v>OFF</v>
      </c>
      <c r="G151" s="116" t="str">
        <f t="shared" si="172"/>
        <v>OFF</v>
      </c>
      <c r="H151" s="116">
        <f t="shared" si="173"/>
        <v>1.375</v>
      </c>
      <c r="I151" s="116">
        <f t="shared" si="174"/>
        <v>1.375</v>
      </c>
      <c r="J151" s="86">
        <f t="shared" si="175"/>
        <v>1.375</v>
      </c>
      <c r="K151" s="116">
        <f t="shared" si="176"/>
        <v>1.375</v>
      </c>
      <c r="L151" s="116">
        <f t="shared" si="177"/>
        <v>1.375</v>
      </c>
      <c r="M151" s="116" t="str">
        <f t="shared" si="178"/>
        <v>OFF</v>
      </c>
      <c r="N151" s="116" t="str">
        <f t="shared" si="179"/>
        <v>OFF</v>
      </c>
      <c r="O151" s="116">
        <f t="shared" si="180"/>
        <v>1.375</v>
      </c>
      <c r="P151" s="72">
        <f t="shared" si="181"/>
        <v>1.375</v>
      </c>
      <c r="Q151" s="116">
        <f t="shared" si="182"/>
        <v>1.375</v>
      </c>
      <c r="R151" s="116">
        <f t="shared" si="183"/>
        <v>1.375</v>
      </c>
      <c r="S151" s="116">
        <f t="shared" si="184"/>
        <v>1.375</v>
      </c>
      <c r="T151" s="116" t="str">
        <f t="shared" si="185"/>
        <v>OFF</v>
      </c>
      <c r="U151" s="116" t="str">
        <f t="shared" si="186"/>
        <v>OFF</v>
      </c>
      <c r="V151" s="116">
        <f t="shared" si="187"/>
        <v>1.375</v>
      </c>
      <c r="W151" s="72">
        <f t="shared" si="188"/>
        <v>1.375</v>
      </c>
      <c r="X151" s="97">
        <f t="shared" si="189"/>
        <v>1.375</v>
      </c>
    </row>
    <row r="152" spans="1:24" x14ac:dyDescent="0.2">
      <c r="A152" s="28" t="str">
        <f t="shared" si="167"/>
        <v>Kenneth  Durban</v>
      </c>
      <c r="B152" s="71" t="str">
        <f>VLOOKUP(A152,Masterlist!B:D,3,)</f>
        <v>Febie Joy Gadnao</v>
      </c>
      <c r="C152" s="116">
        <f t="shared" si="168"/>
        <v>1.375</v>
      </c>
      <c r="D152" s="116">
        <f t="shared" si="169"/>
        <v>1.375</v>
      </c>
      <c r="E152" s="116">
        <f t="shared" si="170"/>
        <v>1.375</v>
      </c>
      <c r="F152" s="116" t="str">
        <f t="shared" si="171"/>
        <v>OFF</v>
      </c>
      <c r="G152" s="116" t="str">
        <f t="shared" si="172"/>
        <v>OFF</v>
      </c>
      <c r="H152" s="116">
        <f t="shared" si="173"/>
        <v>1.375</v>
      </c>
      <c r="I152" s="116">
        <f t="shared" si="174"/>
        <v>1.375</v>
      </c>
      <c r="J152" s="86">
        <f t="shared" si="175"/>
        <v>1.375</v>
      </c>
      <c r="K152" s="116">
        <f t="shared" si="176"/>
        <v>1.375</v>
      </c>
      <c r="L152" s="116">
        <f t="shared" si="177"/>
        <v>1.375</v>
      </c>
      <c r="M152" s="116" t="str">
        <f t="shared" si="178"/>
        <v>OFF</v>
      </c>
      <c r="N152" s="116" t="str">
        <f t="shared" si="179"/>
        <v>OFF</v>
      </c>
      <c r="O152" s="116">
        <f t="shared" si="180"/>
        <v>1.375</v>
      </c>
      <c r="P152" s="72">
        <f t="shared" si="181"/>
        <v>1.375</v>
      </c>
      <c r="Q152" s="116">
        <f t="shared" si="182"/>
        <v>1.375</v>
      </c>
      <c r="R152" s="116">
        <f t="shared" si="183"/>
        <v>1.375</v>
      </c>
      <c r="S152" s="116">
        <f t="shared" si="184"/>
        <v>1.375</v>
      </c>
      <c r="T152" s="116" t="str">
        <f t="shared" si="185"/>
        <v>OFF</v>
      </c>
      <c r="U152" s="116" t="str">
        <f t="shared" si="186"/>
        <v>OFF</v>
      </c>
      <c r="V152" s="116">
        <f t="shared" si="187"/>
        <v>1.375</v>
      </c>
      <c r="W152" s="72">
        <f t="shared" si="188"/>
        <v>1.375</v>
      </c>
      <c r="X152" s="97">
        <f t="shared" si="189"/>
        <v>1.375</v>
      </c>
    </row>
    <row r="153" spans="1:24" x14ac:dyDescent="0.2">
      <c r="A153" s="28" t="str">
        <f t="shared" si="167"/>
        <v/>
      </c>
      <c r="B153" s="71"/>
      <c r="C153" s="116"/>
      <c r="D153" s="116"/>
      <c r="E153" s="116"/>
      <c r="F153" s="116"/>
      <c r="G153" s="116"/>
      <c r="H153" s="116"/>
      <c r="I153" s="116"/>
      <c r="J153" s="86"/>
      <c r="K153" s="116"/>
      <c r="L153" s="116"/>
      <c r="M153" s="116"/>
      <c r="N153" s="116"/>
      <c r="O153" s="116"/>
      <c r="P153" s="72"/>
      <c r="Q153" s="116"/>
      <c r="R153" s="116"/>
      <c r="S153" s="116"/>
      <c r="T153" s="116"/>
      <c r="U153" s="116"/>
      <c r="V153" s="116"/>
      <c r="W153" s="72"/>
      <c r="X153" s="97"/>
    </row>
    <row r="154" spans="1:24" x14ac:dyDescent="0.2">
      <c r="A154" s="28" t="str">
        <f t="shared" si="167"/>
        <v/>
      </c>
      <c r="B154" s="71"/>
      <c r="C154" s="116"/>
      <c r="D154" s="116"/>
      <c r="E154" s="116"/>
      <c r="F154" s="116"/>
      <c r="G154" s="116"/>
      <c r="H154" s="116"/>
      <c r="I154" s="116"/>
      <c r="J154" s="86"/>
      <c r="K154" s="116"/>
      <c r="L154" s="116"/>
      <c r="M154" s="116"/>
      <c r="N154" s="116"/>
      <c r="O154" s="116"/>
      <c r="P154" s="72"/>
      <c r="Q154" s="116"/>
      <c r="R154" s="116"/>
      <c r="S154" s="116"/>
      <c r="T154" s="116"/>
      <c r="U154" s="116"/>
      <c r="V154" s="116"/>
      <c r="W154" s="72"/>
      <c r="X154" s="97"/>
    </row>
    <row r="155" spans="1:24" x14ac:dyDescent="0.2">
      <c r="A155" s="28" t="str">
        <f t="shared" si="167"/>
        <v/>
      </c>
      <c r="B155" s="71"/>
      <c r="C155" s="116"/>
      <c r="D155" s="116"/>
      <c r="E155" s="116"/>
      <c r="F155" s="116"/>
      <c r="G155" s="116"/>
      <c r="H155" s="116"/>
      <c r="I155" s="116"/>
      <c r="J155" s="86"/>
      <c r="K155" s="116"/>
      <c r="L155" s="116"/>
      <c r="M155" s="116"/>
      <c r="N155" s="116"/>
      <c r="O155" s="116"/>
      <c r="P155" s="72"/>
      <c r="Q155" s="116"/>
      <c r="R155" s="116"/>
      <c r="S155" s="116"/>
      <c r="T155" s="116"/>
      <c r="U155" s="116"/>
      <c r="V155" s="116"/>
      <c r="W155" s="72"/>
      <c r="X155" s="97"/>
    </row>
    <row r="156" spans="1:24" x14ac:dyDescent="0.2">
      <c r="A156" s="28"/>
      <c r="B156" s="71"/>
      <c r="C156" s="116"/>
      <c r="D156" s="116"/>
      <c r="E156" s="116"/>
      <c r="F156" s="116"/>
      <c r="G156" s="116"/>
      <c r="H156" s="116"/>
      <c r="I156" s="116"/>
      <c r="J156" s="86"/>
      <c r="K156" s="116"/>
      <c r="L156" s="116"/>
      <c r="M156" s="116"/>
      <c r="N156" s="116"/>
      <c r="O156" s="116"/>
      <c r="P156" s="72"/>
      <c r="Q156" s="116"/>
      <c r="R156" s="116"/>
      <c r="S156" s="116"/>
      <c r="T156" s="116"/>
      <c r="U156" s="116"/>
      <c r="V156" s="116"/>
      <c r="W156" s="72"/>
      <c r="X156" s="97"/>
    </row>
    <row r="157" spans="1:24" ht="13.5" thickBot="1" x14ac:dyDescent="0.25">
      <c r="A157" s="67"/>
      <c r="B157" s="151"/>
      <c r="C157" s="113"/>
      <c r="D157" s="113"/>
      <c r="E157" s="113"/>
      <c r="F157" s="113"/>
      <c r="G157" s="113"/>
      <c r="H157" s="113"/>
      <c r="I157" s="113"/>
      <c r="J157" s="115"/>
      <c r="K157" s="113"/>
      <c r="L157" s="113"/>
      <c r="M157" s="113"/>
      <c r="N157" s="113"/>
      <c r="O157" s="113"/>
      <c r="P157" s="114"/>
      <c r="Q157" s="113"/>
      <c r="R157" s="113"/>
      <c r="S157" s="113"/>
      <c r="T157" s="113"/>
      <c r="U157" s="113"/>
      <c r="V157" s="113"/>
      <c r="W157" s="113"/>
      <c r="X157" s="189"/>
    </row>
  </sheetData>
  <sortState ref="A24:Y53">
    <sortCondition descending="1" ref="A24:A53"/>
  </sortState>
  <mergeCells count="9">
    <mergeCell ref="A87:A88"/>
    <mergeCell ref="C1:I1"/>
    <mergeCell ref="J1:P1"/>
    <mergeCell ref="Q1:W1"/>
    <mergeCell ref="A2:A3"/>
    <mergeCell ref="B2:B3"/>
    <mergeCell ref="C86:I86"/>
    <mergeCell ref="J86:P86"/>
    <mergeCell ref="Q86:W86"/>
  </mergeCells>
  <conditionalFormatting sqref="C71:Y74 C69:C70 I69:J70 P69:Q70 N69:N70 W69:Y70 U69:U70 F69:F70 C89:W157">
    <cfRule type="cellIs" dxfId="29750" priority="260224" operator="equal">
      <formula>"OFF"</formula>
    </cfRule>
    <cfRule type="cellIs" dxfId="29749" priority="260225" operator="equal">
      <formula>"PTO"</formula>
    </cfRule>
  </conditionalFormatting>
  <conditionalFormatting sqref="AW19:AW23 BU19:BU23 CS19:CS23 DQ19:DQ23 EO19:EO23 FM19:FM23 GK19:GK23 HI19:HI23 IG19:IG23 JE19:JE23 KC19:KC23 LA19:LA23 LY19:LY23 MW19:MW23 NU19:NU23 OS19:OS23 PQ19:PQ23 QO19:QO23 RM19:RM23 SK19:SK23 TI19:TI23 UG19:UG23 VE19:VE23 WC19:WC23 XA19:XA23 XY19:XY23 YW19:YW23 ZU19:ZU23 AAS19:AAS23 ABQ19:ABQ23 ACO19:ACO23 ADM19:ADM23 AEK19:AEK23 AFI19:AFI23 AGG19:AGG23 AHE19:AHE23 AIC19:AIC23 AJA19:AJA23 AJY19:AJY23 AKW19:AKW23 ALU19:ALU23 AMS19:AMS23 ANQ19:ANQ23 AOO19:AOO23 APM19:APM23 AQK19:AQK23 ARI19:ARI23 ASG19:ASG23 ATE19:ATE23 AUC19:AUC23 AVA19:AVA23 AVY19:AVY23 AWW19:AWW23 AXU19:AXU23 AYS19:AYS23 AZQ19:AZQ23 BAO19:BAO23 BBM19:BBM23 BCK19:BCK23 BDI19:BDI23 BEG19:BEG23 BFE19:BFE23 BGC19:BGC23 BHA19:BHA23 BHY19:BHY23 BIW19:BIW23 BJU19:BJU23 BKS19:BKS23 BLQ19:BLQ23 BMO19:BMO23 BNM19:BNM23 BOK19:BOK23 BPI19:BPI23 BQG19:BQG23 BRE19:BRE23 BSC19:BSC23 BTA19:BTA23 BTY19:BTY23 BUW19:BUW23 BVU19:BVU23 BWS19:BWS23 BXQ19:BXQ23 BYO19:BYO23 BZM19:BZM23 CAK19:CAK23 CBI19:CBI23 CCG19:CCG23 CDE19:CDE23 CEC19:CEC23 CFA19:CFA23 CFY19:CFY23 CGW19:CGW23 CHU19:CHU23 CIS19:CIS23 CJQ19:CJQ23 CKO19:CKO23 CLM19:CLM23 CMK19:CMK23 CNI19:CNI23 COG19:COG23 CPE19:CPE23 CQC19:CQC23 CRA19:CRA23 CRY19:CRY23 CSW19:CSW23 CTU19:CTU23 CUS19:CUS23 CVQ19:CVQ23 CWO19:CWO23 CXM19:CXM23 CYK19:CYK23 CZI19:CZI23 DAG19:DAG23 DBE19:DBE23 DCC19:DCC23 DDA19:DDA23 DDY19:DDY23 DEW19:DEW23 DFU19:DFU23 DGS19:DGS23 DHQ19:DHQ23 DIO19:DIO23 DJM19:DJM23 DKK19:DKK23 DLI19:DLI23 DMG19:DMG23 DNE19:DNE23 DOC19:DOC23 DPA19:DPA23 DPY19:DPY23 DQW19:DQW23 DRU19:DRU23 DSS19:DSS23 DTQ19:DTQ23 DUO19:DUO23 DVM19:DVM23 DWK19:DWK23 DXI19:DXI23 DYG19:DYG23 DZE19:DZE23 EAC19:EAC23 EBA19:EBA23 EBY19:EBY23 ECW19:ECW23 EDU19:EDU23 EES19:EES23 EFQ19:EFQ23 EGO19:EGO23 EHM19:EHM23 EIK19:EIK23 EJI19:EJI23 EKG19:EKG23 ELE19:ELE23 EMC19:EMC23 ENA19:ENA23 ENY19:ENY23 EOW19:EOW23 EPU19:EPU23 EQS19:EQS23 ERQ19:ERQ23 ESO19:ESO23 ETM19:ETM23 EUK19:EUK23 EVI19:EVI23 EWG19:EWG23 EXE19:EXE23 EYC19:EYC23 EZA19:EZA23 EZY19:EZY23 FAW19:FAW23 FBU19:FBU23 FCS19:FCS23 FDQ19:FDQ23 FEO19:FEO23 FFM19:FFM23 FGK19:FGK23 FHI19:FHI23 FIG19:FIG23 FJE19:FJE23 FKC19:FKC23 FLA19:FLA23 FLY19:FLY23 FMW19:FMW23 FNU19:FNU23 FOS19:FOS23 FPQ19:FPQ23 FQO19:FQO23 FRM19:FRM23 FSK19:FSK23 FTI19:FTI23 FUG19:FUG23 FVE19:FVE23 FWC19:FWC23 FXA19:FXA23 FXY19:FXY23 FYW19:FYW23 FZU19:FZU23 GAS19:GAS23 GBQ19:GBQ23 GCO19:GCO23 GDM19:GDM23 GEK19:GEK23 GFI19:GFI23 GGG19:GGG23 GHE19:GHE23 GIC19:GIC23 GJA19:GJA23 GJY19:GJY23 GKW19:GKW23 GLU19:GLU23 GMS19:GMS23 GNQ19:GNQ23 GOO19:GOO23 GPM19:GPM23 GQK19:GQK23 GRI19:GRI23 GSG19:GSG23 GTE19:GTE23 GUC19:GUC23 GVA19:GVA23 GVY19:GVY23 GWW19:GWW23 GXU19:GXU23 GYS19:GYS23 GZQ19:GZQ23 HAO19:HAO23 HBM19:HBM23 HCK19:HCK23 HDI19:HDI23 HEG19:HEG23 HFE19:HFE23 HGC19:HGC23 HHA19:HHA23 HHY19:HHY23 HIW19:HIW23 HJU19:HJU23 HKS19:HKS23 HLQ19:HLQ23 HMO19:HMO23 HNM19:HNM23 HOK19:HOK23 HPI19:HPI23 HQG19:HQG23 HRE19:HRE23 HSC19:HSC23 HTA19:HTA23 HTY19:HTY23 HUW19:HUW23 HVU19:HVU23 HWS19:HWS23 HXQ19:HXQ23 HYO19:HYO23 HZM19:HZM23 IAK19:IAK23 IBI19:IBI23 ICG19:ICG23 IDE19:IDE23 IEC19:IEC23 IFA19:IFA23 IFY19:IFY23 IGW19:IGW23 IHU19:IHU23 IIS19:IIS23 IJQ19:IJQ23 IKO19:IKO23 ILM19:ILM23 IMK19:IMK23 INI19:INI23 IOG19:IOG23 IPE19:IPE23 IQC19:IQC23 IRA19:IRA23 IRY19:IRY23 ISW19:ISW23 ITU19:ITU23 IUS19:IUS23 IVQ19:IVQ23 IWO19:IWO23 IXM19:IXM23 IYK19:IYK23 IZI19:IZI23 JAG19:JAG23 JBE19:JBE23 JCC19:JCC23 JDA19:JDA23 JDY19:JDY23 JEW19:JEW23 JFU19:JFU23 JGS19:JGS23 JHQ19:JHQ23 JIO19:JIO23 JJM19:JJM23 JKK19:JKK23 JLI19:JLI23 JMG19:JMG23 JNE19:JNE23 JOC19:JOC23 JPA19:JPA23 JPY19:JPY23 JQW19:JQW23 JRU19:JRU23 JSS19:JSS23 JTQ19:JTQ23 JUO19:JUO23 JVM19:JVM23 JWK19:JWK23 JXI19:JXI23 JYG19:JYG23 JZE19:JZE23 KAC19:KAC23 KBA19:KBA23 KBY19:KBY23 KCW19:KCW23 KDU19:KDU23 KES19:KES23 KFQ19:KFQ23 KGO19:KGO23 KHM19:KHM23 KIK19:KIK23 KJI19:KJI23 KKG19:KKG23 KLE19:KLE23 KMC19:KMC23 KNA19:KNA23 KNY19:KNY23 KOW19:KOW23 KPU19:KPU23 KQS19:KQS23 KRQ19:KRQ23 KSO19:KSO23 KTM19:KTM23 KUK19:KUK23 KVI19:KVI23 KWG19:KWG23 KXE19:KXE23 KYC19:KYC23 KZA19:KZA23 KZY19:KZY23 LAW19:LAW23 LBU19:LBU23 LCS19:LCS23 LDQ19:LDQ23 LEO19:LEO23 LFM19:LFM23 LGK19:LGK23 LHI19:LHI23 LIG19:LIG23 LJE19:LJE23 LKC19:LKC23 LLA19:LLA23 LLY19:LLY23 LMW19:LMW23 LNU19:LNU23 LOS19:LOS23 LPQ19:LPQ23 LQO19:LQO23 LRM19:LRM23 LSK19:LSK23 LTI19:LTI23 LUG19:LUG23 LVE19:LVE23 LWC19:LWC23 LXA19:LXA23 LXY19:LXY23 LYW19:LYW23 LZU19:LZU23 MAS19:MAS23 MBQ19:MBQ23 MCO19:MCO23 MDM19:MDM23 MEK19:MEK23 MFI19:MFI23 MGG19:MGG23 MHE19:MHE23 MIC19:MIC23 MJA19:MJA23 MJY19:MJY23 MKW19:MKW23 MLU19:MLU23 MMS19:MMS23 MNQ19:MNQ23 MOO19:MOO23 MPM19:MPM23 MQK19:MQK23 MRI19:MRI23 MSG19:MSG23 MTE19:MTE23 MUC19:MUC23 MVA19:MVA23 MVY19:MVY23 MWW19:MWW23 MXU19:MXU23 MYS19:MYS23 MZQ19:MZQ23 NAO19:NAO23 NBM19:NBM23 NCK19:NCK23 NDI19:NDI23 NEG19:NEG23 NFE19:NFE23 NGC19:NGC23 NHA19:NHA23 NHY19:NHY23 NIW19:NIW23 NJU19:NJU23 NKS19:NKS23 NLQ19:NLQ23 NMO19:NMO23 NNM19:NNM23 NOK19:NOK23 NPI19:NPI23 NQG19:NQG23 NRE19:NRE23 NSC19:NSC23 NTA19:NTA23 NTY19:NTY23 NUW19:NUW23 NVU19:NVU23 NWS19:NWS23 NXQ19:NXQ23 NYO19:NYO23 NZM19:NZM23 OAK19:OAK23 OBI19:OBI23 OCG19:OCG23 ODE19:ODE23 OEC19:OEC23 OFA19:OFA23 OFY19:OFY23 OGW19:OGW23 OHU19:OHU23 OIS19:OIS23 OJQ19:OJQ23 OKO19:OKO23 OLM19:OLM23 OMK19:OMK23 ONI19:ONI23 OOG19:OOG23 OPE19:OPE23 OQC19:OQC23 ORA19:ORA23 ORY19:ORY23 OSW19:OSW23 OTU19:OTU23 OUS19:OUS23 OVQ19:OVQ23 OWO19:OWO23 OXM19:OXM23 OYK19:OYK23 OZI19:OZI23 PAG19:PAG23 PBE19:PBE23 PCC19:PCC23 PDA19:PDA23 PDY19:PDY23 PEW19:PEW23 PFU19:PFU23 PGS19:PGS23 PHQ19:PHQ23 PIO19:PIO23 PJM19:PJM23 PKK19:PKK23 PLI19:PLI23 PMG19:PMG23 PNE19:PNE23 POC19:POC23 PPA19:PPA23 PPY19:PPY23 PQW19:PQW23 PRU19:PRU23 PSS19:PSS23 PTQ19:PTQ23 PUO19:PUO23 PVM19:PVM23 PWK19:PWK23 PXI19:PXI23 PYG19:PYG23 PZE19:PZE23 QAC19:QAC23 QBA19:QBA23 QBY19:QBY23 QCW19:QCW23 QDU19:QDU23 QES19:QES23 QFQ19:QFQ23 QGO19:QGO23 QHM19:QHM23 QIK19:QIK23 QJI19:QJI23 QKG19:QKG23 QLE19:QLE23 QMC19:QMC23 QNA19:QNA23 QNY19:QNY23 QOW19:QOW23 QPU19:QPU23 QQS19:QQS23 QRQ19:QRQ23 QSO19:QSO23 QTM19:QTM23 QUK19:QUK23 QVI19:QVI23 QWG19:QWG23 QXE19:QXE23 QYC19:QYC23 QZA19:QZA23 QZY19:QZY23 RAW19:RAW23 RBU19:RBU23 RCS19:RCS23 RDQ19:RDQ23 REO19:REO23 RFM19:RFM23 RGK19:RGK23 RHI19:RHI23 RIG19:RIG23 RJE19:RJE23 RKC19:RKC23 RLA19:RLA23 RLY19:RLY23 RMW19:RMW23 RNU19:RNU23 ROS19:ROS23 RPQ19:RPQ23 RQO19:RQO23 RRM19:RRM23 RSK19:RSK23 RTI19:RTI23 RUG19:RUG23 RVE19:RVE23 RWC19:RWC23 RXA19:RXA23 RXY19:RXY23 RYW19:RYW23 RZU19:RZU23 SAS19:SAS23 SBQ19:SBQ23 SCO19:SCO23 SDM19:SDM23 SEK19:SEK23 SFI19:SFI23 SGG19:SGG23 SHE19:SHE23 SIC19:SIC23 SJA19:SJA23 SJY19:SJY23 SKW19:SKW23 SLU19:SLU23 SMS19:SMS23 SNQ19:SNQ23 SOO19:SOO23 SPM19:SPM23 SQK19:SQK23 SRI19:SRI23 SSG19:SSG23 STE19:STE23 SUC19:SUC23 SVA19:SVA23 SVY19:SVY23 SWW19:SWW23 SXU19:SXU23 SYS19:SYS23 SZQ19:SZQ23 TAO19:TAO23 TBM19:TBM23 TCK19:TCK23 TDI19:TDI23 TEG19:TEG23 TFE19:TFE23 TGC19:TGC23 THA19:THA23 THY19:THY23 TIW19:TIW23 TJU19:TJU23 TKS19:TKS23 TLQ19:TLQ23 TMO19:TMO23 TNM19:TNM23 TOK19:TOK23 TPI19:TPI23 TQG19:TQG23 TRE19:TRE23 TSC19:TSC23 TTA19:TTA23 TTY19:TTY23 TUW19:TUW23 TVU19:TVU23 TWS19:TWS23 TXQ19:TXQ23 TYO19:TYO23 TZM19:TZM23 UAK19:UAK23 UBI19:UBI23 UCG19:UCG23 UDE19:UDE23 UEC19:UEC23 UFA19:UFA23 UFY19:UFY23 UGW19:UGW23 UHU19:UHU23 UIS19:UIS23 UJQ19:UJQ23 UKO19:UKO23 ULM19:ULM23 UMK19:UMK23 UNI19:UNI23 UOG19:UOG23 UPE19:UPE23 UQC19:UQC23 URA19:URA23 URY19:URY23 USW19:USW23 UTU19:UTU23 UUS19:UUS23 UVQ19:UVQ23 UWO19:UWO23 UXM19:UXM23 UYK19:UYK23 UZI19:UZI23 VAG19:VAG23 VBE19:VBE23 VCC19:VCC23 VDA19:VDA23 VDY19:VDY23 VEW19:VEW23 VFU19:VFU23 VGS19:VGS23 VHQ19:VHQ23 VIO19:VIO23 VJM19:VJM23 VKK19:VKK23 VLI19:VLI23 VMG19:VMG23 VNE19:VNE23 VOC19:VOC23 VPA19:VPA23 VPY19:VPY23 VQW19:VQW23 VRU19:VRU23 VSS19:VSS23 VTQ19:VTQ23 VUO19:VUO23 VVM19:VVM23 VWK19:VWK23 VXI19:VXI23 VYG19:VYG23 VZE19:VZE23 WAC19:WAC23 WBA19:WBA23 WBY19:WBY23 WCW19:WCW23 WDU19:WDU23 WES19:WES23 WFQ19:WFQ23 WGO19:WGO23 WHM19:WHM23 WIK19:WIK23 WJI19:WJI23 WKG19:WKG23 WLE19:WLE23 WMC19:WMC23 WNA19:WNA23 WNY19:WNY23 WOW19:WOW23 WPU19:WPU23 WQS19:WQS23 WRQ19:WRQ23 WSO19:WSO23 WTM19:WTM23 WUK19:WUK23 WVI19:WVI23 WWG19:WWG23 WXE19:WXE23 WYC19:WYC23 WZA19:WZA23 WZY19:WZY23 XAW19:XAW23 XBU19:XBU23 XCS19:XCS23 XDQ19:XDQ23 XEO19:XEO23">
    <cfRule type="cellIs" dxfId="29748" priority="260222" operator="equal">
      <formula>"OFF"</formula>
    </cfRule>
    <cfRule type="cellIs" dxfId="29747" priority="260223" operator="equal">
      <formula>"PTO"</formula>
    </cfRule>
  </conditionalFormatting>
  <conditionalFormatting sqref="AA4">
    <cfRule type="cellIs" dxfId="29746" priority="207941" operator="equal">
      <formula>"OFF"</formula>
    </cfRule>
    <cfRule type="cellIs" dxfId="29745" priority="207942" operator="equal">
      <formula>"PTO"</formula>
    </cfRule>
  </conditionalFormatting>
  <conditionalFormatting sqref="AA4">
    <cfRule type="cellIs" dxfId="29744" priority="207939" operator="equal">
      <formula>"OFF"</formula>
    </cfRule>
    <cfRule type="cellIs" dxfId="29743" priority="207940" operator="equal">
      <formula>"PTO"</formula>
    </cfRule>
  </conditionalFormatting>
  <conditionalFormatting sqref="AA5">
    <cfRule type="cellIs" dxfId="29742" priority="207849" operator="equal">
      <formula>"OFF"</formula>
    </cfRule>
    <cfRule type="cellIs" dxfId="29741" priority="207850" operator="equal">
      <formula>"PTO"</formula>
    </cfRule>
  </conditionalFormatting>
  <conditionalFormatting sqref="AA6">
    <cfRule type="cellIs" dxfId="29740" priority="207847" operator="equal">
      <formula>"OFF"</formula>
    </cfRule>
    <cfRule type="cellIs" dxfId="29739" priority="207848" operator="equal">
      <formula>"PTO"</formula>
    </cfRule>
  </conditionalFormatting>
  <conditionalFormatting sqref="V4:X7 V4:W25 Q4:Q25 V41:W52 Q41:Q52 Q55:Q64 V55:W64 V68:W68 Q68">
    <cfRule type="cellIs" dxfId="29738" priority="204934" operator="equal">
      <formula>"OFF"</formula>
    </cfRule>
    <cfRule type="cellIs" dxfId="29737" priority="204935" operator="equal">
      <formula>"PTO"</formula>
    </cfRule>
  </conditionalFormatting>
  <conditionalFormatting sqref="B8">
    <cfRule type="duplicateValues" dxfId="29736" priority="204879"/>
  </conditionalFormatting>
  <conditionalFormatting sqref="V8:X8 Q8">
    <cfRule type="cellIs" dxfId="29735" priority="204877" operator="equal">
      <formula>"OFF"</formula>
    </cfRule>
    <cfRule type="cellIs" dxfId="29734" priority="204878" operator="equal">
      <formula>"PTO"</formula>
    </cfRule>
  </conditionalFormatting>
  <conditionalFormatting sqref="X9">
    <cfRule type="cellIs" dxfId="29733" priority="204874" operator="equal">
      <formula>"OFF"</formula>
    </cfRule>
    <cfRule type="cellIs" dxfId="29732" priority="204875" operator="equal">
      <formula>"PTO"</formula>
    </cfRule>
  </conditionalFormatting>
  <conditionalFormatting sqref="B10">
    <cfRule type="duplicateValues" dxfId="29731" priority="204873"/>
  </conditionalFormatting>
  <conditionalFormatting sqref="V10:X10 Q10">
    <cfRule type="cellIs" dxfId="29730" priority="204871" operator="equal">
      <formula>"OFF"</formula>
    </cfRule>
    <cfRule type="cellIs" dxfId="29729" priority="204872" operator="equal">
      <formula>"PTO"</formula>
    </cfRule>
  </conditionalFormatting>
  <conditionalFormatting sqref="B12 B14 B16:B17">
    <cfRule type="duplicateValues" dxfId="29728" priority="204870"/>
  </conditionalFormatting>
  <conditionalFormatting sqref="V19:W22 Q11:Q12 V11:X12 V14:X14 Q14 Q16:Q17 V16:X17 Q21:Q22">
    <cfRule type="cellIs" dxfId="29727" priority="204868" operator="equal">
      <formula>"OFF"</formula>
    </cfRule>
    <cfRule type="cellIs" dxfId="29726" priority="204869" operator="equal">
      <formula>"PTO"</formula>
    </cfRule>
  </conditionalFormatting>
  <conditionalFormatting sqref="B9">
    <cfRule type="duplicateValues" dxfId="29725" priority="204864"/>
  </conditionalFormatting>
  <conditionalFormatting sqref="B11">
    <cfRule type="duplicateValues" dxfId="29724" priority="204862"/>
  </conditionalFormatting>
  <conditionalFormatting sqref="R4:S25 R41:S52 R55:S64 R68:S68">
    <cfRule type="cellIs" dxfId="29723" priority="204794" operator="equal">
      <formula>"OFF"</formula>
    </cfRule>
    <cfRule type="cellIs" dxfId="29722" priority="204795" operator="equal">
      <formula>"PTO"</formula>
    </cfRule>
  </conditionalFormatting>
  <conditionalFormatting sqref="R8:S8">
    <cfRule type="cellIs" dxfId="29721" priority="204792" operator="equal">
      <formula>"OFF"</formula>
    </cfRule>
    <cfRule type="cellIs" dxfId="29720" priority="204793" operator="equal">
      <formula>"PTO"</formula>
    </cfRule>
  </conditionalFormatting>
  <conditionalFormatting sqref="R10:S10">
    <cfRule type="cellIs" dxfId="29719" priority="204788" operator="equal">
      <formula>"OFF"</formula>
    </cfRule>
    <cfRule type="cellIs" dxfId="29718" priority="204789" operator="equal">
      <formula>"PTO"</formula>
    </cfRule>
  </conditionalFormatting>
  <conditionalFormatting sqref="R11:S12 R14:S14 R16:S17 R19:S23">
    <cfRule type="cellIs" dxfId="29717" priority="204786" operator="equal">
      <formula>"OFF"</formula>
    </cfRule>
    <cfRule type="cellIs" dxfId="29716" priority="204787" operator="equal">
      <formula>"PTO"</formula>
    </cfRule>
  </conditionalFormatting>
  <conditionalFormatting sqref="T4:U25 T41:U52 T55:U64 T68:U68">
    <cfRule type="cellIs" dxfId="29715" priority="204784" operator="equal">
      <formula>"OFF"</formula>
    </cfRule>
    <cfRule type="cellIs" dxfId="29714" priority="204785" operator="equal">
      <formula>"PTO"</formula>
    </cfRule>
  </conditionalFormatting>
  <conditionalFormatting sqref="T8:U8">
    <cfRule type="cellIs" dxfId="29713" priority="204782" operator="equal">
      <formula>"OFF"</formula>
    </cfRule>
    <cfRule type="cellIs" dxfId="29712" priority="204783" operator="equal">
      <formula>"PTO"</formula>
    </cfRule>
  </conditionalFormatting>
  <conditionalFormatting sqref="T10:U10">
    <cfRule type="cellIs" dxfId="29711" priority="204778" operator="equal">
      <formula>"OFF"</formula>
    </cfRule>
    <cfRule type="cellIs" dxfId="29710" priority="204779" operator="equal">
      <formula>"PTO"</formula>
    </cfRule>
  </conditionalFormatting>
  <conditionalFormatting sqref="T11:U12 T14:U14 T16:U17 T19:U23">
    <cfRule type="cellIs" dxfId="29709" priority="204776" operator="equal">
      <formula>"OFF"</formula>
    </cfRule>
    <cfRule type="cellIs" dxfId="29708" priority="204777" operator="equal">
      <formula>"PTO"</formula>
    </cfRule>
  </conditionalFormatting>
  <conditionalFormatting sqref="X30:X68">
    <cfRule type="cellIs" dxfId="29707" priority="204445" operator="equal">
      <formula>"OFF"</formula>
    </cfRule>
    <cfRule type="cellIs" dxfId="29706" priority="204446" operator="equal">
      <formula>"PTO"</formula>
    </cfRule>
  </conditionalFormatting>
  <conditionalFormatting sqref="X30:X68">
    <cfRule type="cellIs" dxfId="29705" priority="204214" operator="equal">
      <formula>"OFF"</formula>
    </cfRule>
    <cfRule type="cellIs" dxfId="29704" priority="204215" operator="equal">
      <formula>"PTO"</formula>
    </cfRule>
  </conditionalFormatting>
  <conditionalFormatting sqref="W20 T20">
    <cfRule type="cellIs" dxfId="29703" priority="204116" operator="equal">
      <formula>"OFF"</formula>
    </cfRule>
    <cfRule type="cellIs" dxfId="29702" priority="204117" operator="equal">
      <formula>"PTO"</formula>
    </cfRule>
  </conditionalFormatting>
  <conditionalFormatting sqref="X19">
    <cfRule type="cellIs" dxfId="29701" priority="204128" operator="equal">
      <formula>"OFF"</formula>
    </cfRule>
    <cfRule type="cellIs" dxfId="29700" priority="204129" operator="equal">
      <formula>"PTO"</formula>
    </cfRule>
  </conditionalFormatting>
  <conditionalFormatting sqref="X20">
    <cfRule type="cellIs" dxfId="29699" priority="204126" operator="equal">
      <formula>"OFF"</formula>
    </cfRule>
    <cfRule type="cellIs" dxfId="29698" priority="204127" operator="equal">
      <formula>"PTO"</formula>
    </cfRule>
  </conditionalFormatting>
  <conditionalFormatting sqref="W19 T19">
    <cfRule type="cellIs" dxfId="29697" priority="204118" operator="equal">
      <formula>"OFF"</formula>
    </cfRule>
    <cfRule type="cellIs" dxfId="29696" priority="204119" operator="equal">
      <formula>"PTO"</formula>
    </cfRule>
  </conditionalFormatting>
  <conditionalFormatting sqref="T19:U19">
    <cfRule type="cellIs" dxfId="29695" priority="204114" operator="equal">
      <formula>"OFF"</formula>
    </cfRule>
    <cfRule type="cellIs" dxfId="29694" priority="204115" operator="equal">
      <formula>"PTO"</formula>
    </cfRule>
  </conditionalFormatting>
  <conditionalFormatting sqref="T20:U20">
    <cfRule type="cellIs" dxfId="29693" priority="204112" operator="equal">
      <formula>"OFF"</formula>
    </cfRule>
    <cfRule type="cellIs" dxfId="29692" priority="204113" operator="equal">
      <formula>"PTO"</formula>
    </cfRule>
  </conditionalFormatting>
  <conditionalFormatting sqref="R19:S19">
    <cfRule type="cellIs" dxfId="29691" priority="204110" operator="equal">
      <formula>"OFF"</formula>
    </cfRule>
    <cfRule type="cellIs" dxfId="29690" priority="204111" operator="equal">
      <formula>"PTO"</formula>
    </cfRule>
  </conditionalFormatting>
  <conditionalFormatting sqref="R20:S20">
    <cfRule type="cellIs" dxfId="29689" priority="204108" operator="equal">
      <formula>"OFF"</formula>
    </cfRule>
    <cfRule type="cellIs" dxfId="29688" priority="204109" operator="equal">
      <formula>"PTO"</formula>
    </cfRule>
  </conditionalFormatting>
  <conditionalFormatting sqref="V19:V20">
    <cfRule type="cellIs" dxfId="29687" priority="204106" operator="equal">
      <formula>"OFF"</formula>
    </cfRule>
    <cfRule type="cellIs" dxfId="29686" priority="204107" operator="equal">
      <formula>"PTO"</formula>
    </cfRule>
  </conditionalFormatting>
  <conditionalFormatting sqref="X21">
    <cfRule type="cellIs" dxfId="29685" priority="204066" operator="equal">
      <formula>"OFF"</formula>
    </cfRule>
    <cfRule type="cellIs" dxfId="29684" priority="204067" operator="equal">
      <formula>"PTO"</formula>
    </cfRule>
  </conditionalFormatting>
  <conditionalFormatting sqref="X22">
    <cfRule type="cellIs" dxfId="29683" priority="204064" operator="equal">
      <formula>"OFF"</formula>
    </cfRule>
    <cfRule type="cellIs" dxfId="29682" priority="204065" operator="equal">
      <formula>"PTO"</formula>
    </cfRule>
  </conditionalFormatting>
  <conditionalFormatting sqref="Q21 W21 T21">
    <cfRule type="cellIs" dxfId="29681" priority="204048" operator="equal">
      <formula>"OFF"</formula>
    </cfRule>
    <cfRule type="cellIs" dxfId="29680" priority="204049" operator="equal">
      <formula>"PTO"</formula>
    </cfRule>
  </conditionalFormatting>
  <conditionalFormatting sqref="Q22 W22 T22:T23">
    <cfRule type="cellIs" dxfId="29679" priority="204046" operator="equal">
      <formula>"OFF"</formula>
    </cfRule>
    <cfRule type="cellIs" dxfId="29678" priority="204047" operator="equal">
      <formula>"PTO"</formula>
    </cfRule>
  </conditionalFormatting>
  <conditionalFormatting sqref="T21:U21">
    <cfRule type="cellIs" dxfId="29677" priority="204042" operator="equal">
      <formula>"OFF"</formula>
    </cfRule>
    <cfRule type="cellIs" dxfId="29676" priority="204043" operator="equal">
      <formula>"PTO"</formula>
    </cfRule>
  </conditionalFormatting>
  <conditionalFormatting sqref="T22:U23">
    <cfRule type="cellIs" dxfId="29675" priority="204040" operator="equal">
      <formula>"OFF"</formula>
    </cfRule>
    <cfRule type="cellIs" dxfId="29674" priority="204041" operator="equal">
      <formula>"PTO"</formula>
    </cfRule>
  </conditionalFormatting>
  <conditionalFormatting sqref="R21:S21">
    <cfRule type="cellIs" dxfId="29673" priority="204036" operator="equal">
      <formula>"OFF"</formula>
    </cfRule>
    <cfRule type="cellIs" dxfId="29672" priority="204037" operator="equal">
      <formula>"PTO"</formula>
    </cfRule>
  </conditionalFormatting>
  <conditionalFormatting sqref="R22:S23">
    <cfRule type="cellIs" dxfId="29671" priority="204034" operator="equal">
      <formula>"OFF"</formula>
    </cfRule>
    <cfRule type="cellIs" dxfId="29670" priority="204035" operator="equal">
      <formula>"PTO"</formula>
    </cfRule>
  </conditionalFormatting>
  <conditionalFormatting sqref="V21:V22">
    <cfRule type="cellIs" dxfId="29669" priority="204032" operator="equal">
      <formula>"OFF"</formula>
    </cfRule>
    <cfRule type="cellIs" dxfId="29668" priority="204033" operator="equal">
      <formula>"PTO"</formula>
    </cfRule>
  </conditionalFormatting>
  <conditionalFormatting sqref="B13">
    <cfRule type="duplicateValues" dxfId="29667" priority="203840"/>
  </conditionalFormatting>
  <conditionalFormatting sqref="X13">
    <cfRule type="cellIs" dxfId="29666" priority="203838" operator="equal">
      <formula>"OFF"</formula>
    </cfRule>
    <cfRule type="cellIs" dxfId="29665" priority="203839" operator="equal">
      <formula>"PTO"</formula>
    </cfRule>
  </conditionalFormatting>
  <conditionalFormatting sqref="B13">
    <cfRule type="duplicateValues" dxfId="29664" priority="203837"/>
  </conditionalFormatting>
  <conditionalFormatting sqref="Q13:W13">
    <cfRule type="cellIs" dxfId="29663" priority="203835" operator="equal">
      <formula>"OFF"</formula>
    </cfRule>
    <cfRule type="cellIs" dxfId="29662" priority="203836" operator="equal">
      <formula>"PTO"</formula>
    </cfRule>
  </conditionalFormatting>
  <conditionalFormatting sqref="Q13:W13">
    <cfRule type="cellIs" dxfId="29661" priority="203833" operator="equal">
      <formula>"OFF"</formula>
    </cfRule>
    <cfRule type="cellIs" dxfId="29660" priority="203834" operator="equal">
      <formula>"PTO"</formula>
    </cfRule>
  </conditionalFormatting>
  <conditionalFormatting sqref="Q13:W13">
    <cfRule type="cellIs" dxfId="29659" priority="203831" operator="equal">
      <formula>"OFF"</formula>
    </cfRule>
    <cfRule type="cellIs" dxfId="29658" priority="203832" operator="equal">
      <formula>"PTO"</formula>
    </cfRule>
  </conditionalFormatting>
  <conditionalFormatting sqref="Q13:W13">
    <cfRule type="cellIs" dxfId="29657" priority="203829" operator="equal">
      <formula>"OFF"</formula>
    </cfRule>
    <cfRule type="cellIs" dxfId="29656" priority="203830" operator="equal">
      <formula>"PTO"</formula>
    </cfRule>
  </conditionalFormatting>
  <conditionalFormatting sqref="Q13:W13">
    <cfRule type="cellIs" dxfId="29655" priority="203827" operator="equal">
      <formula>"OFF"</formula>
    </cfRule>
    <cfRule type="cellIs" dxfId="29654" priority="203828" operator="equal">
      <formula>"PTO"</formula>
    </cfRule>
  </conditionalFormatting>
  <conditionalFormatting sqref="Q13:W13">
    <cfRule type="cellIs" dxfId="29653" priority="203825" operator="equal">
      <formula>"OFF"</formula>
    </cfRule>
    <cfRule type="cellIs" dxfId="29652" priority="203826" operator="equal">
      <formula>"PTO"</formula>
    </cfRule>
  </conditionalFormatting>
  <conditionalFormatting sqref="Q13:W13">
    <cfRule type="cellIs" dxfId="29651" priority="203823" operator="equal">
      <formula>"OFF"</formula>
    </cfRule>
    <cfRule type="cellIs" dxfId="29650" priority="203824" operator="equal">
      <formula>"PTO"</formula>
    </cfRule>
  </conditionalFormatting>
  <conditionalFormatting sqref="Q13:W13">
    <cfRule type="cellIs" dxfId="29649" priority="203821" operator="equal">
      <formula>"OFF"</formula>
    </cfRule>
    <cfRule type="cellIs" dxfId="29648" priority="203822" operator="equal">
      <formula>"PTO"</formula>
    </cfRule>
  </conditionalFormatting>
  <conditionalFormatting sqref="B15">
    <cfRule type="duplicateValues" dxfId="29647" priority="203820"/>
  </conditionalFormatting>
  <conditionalFormatting sqref="X15">
    <cfRule type="cellIs" dxfId="29646" priority="203818" operator="equal">
      <formula>"OFF"</formula>
    </cfRule>
    <cfRule type="cellIs" dxfId="29645" priority="203819" operator="equal">
      <formula>"PTO"</formula>
    </cfRule>
  </conditionalFormatting>
  <conditionalFormatting sqref="B15">
    <cfRule type="duplicateValues" dxfId="29644" priority="203817"/>
  </conditionalFormatting>
  <conditionalFormatting sqref="Q15:W15">
    <cfRule type="cellIs" dxfId="29643" priority="203815" operator="equal">
      <formula>"OFF"</formula>
    </cfRule>
    <cfRule type="cellIs" dxfId="29642" priority="203816" operator="equal">
      <formula>"PTO"</formula>
    </cfRule>
  </conditionalFormatting>
  <conditionalFormatting sqref="Q15:W15">
    <cfRule type="cellIs" dxfId="29641" priority="203813" operator="equal">
      <formula>"OFF"</formula>
    </cfRule>
    <cfRule type="cellIs" dxfId="29640" priority="203814" operator="equal">
      <formula>"PTO"</formula>
    </cfRule>
  </conditionalFormatting>
  <conditionalFormatting sqref="Q15:W15">
    <cfRule type="cellIs" dxfId="29639" priority="203811" operator="equal">
      <formula>"OFF"</formula>
    </cfRule>
    <cfRule type="cellIs" dxfId="29638" priority="203812" operator="equal">
      <formula>"PTO"</formula>
    </cfRule>
  </conditionalFormatting>
  <conditionalFormatting sqref="Q15:W15">
    <cfRule type="cellIs" dxfId="29637" priority="203809" operator="equal">
      <formula>"OFF"</formula>
    </cfRule>
    <cfRule type="cellIs" dxfId="29636" priority="203810" operator="equal">
      <formula>"PTO"</formula>
    </cfRule>
  </conditionalFormatting>
  <conditionalFormatting sqref="Q15:W15">
    <cfRule type="cellIs" dxfId="29635" priority="203807" operator="equal">
      <formula>"OFF"</formula>
    </cfRule>
    <cfRule type="cellIs" dxfId="29634" priority="203808" operator="equal">
      <formula>"PTO"</formula>
    </cfRule>
  </conditionalFormatting>
  <conditionalFormatting sqref="Q15:W15">
    <cfRule type="cellIs" dxfId="29633" priority="203805" operator="equal">
      <formula>"OFF"</formula>
    </cfRule>
    <cfRule type="cellIs" dxfId="29632" priority="203806" operator="equal">
      <formula>"PTO"</formula>
    </cfRule>
  </conditionalFormatting>
  <conditionalFormatting sqref="Q15:W15">
    <cfRule type="cellIs" dxfId="29631" priority="203803" operator="equal">
      <formula>"OFF"</formula>
    </cfRule>
    <cfRule type="cellIs" dxfId="29630" priority="203804" operator="equal">
      <formula>"PTO"</formula>
    </cfRule>
  </conditionalFormatting>
  <conditionalFormatting sqref="Q15:W15">
    <cfRule type="cellIs" dxfId="29629" priority="203801" operator="equal">
      <formula>"OFF"</formula>
    </cfRule>
    <cfRule type="cellIs" dxfId="29628" priority="203802" operator="equal">
      <formula>"PTO"</formula>
    </cfRule>
  </conditionalFormatting>
  <conditionalFormatting sqref="B18">
    <cfRule type="duplicateValues" dxfId="29627" priority="203800"/>
  </conditionalFormatting>
  <conditionalFormatting sqref="X18">
    <cfRule type="cellIs" dxfId="29626" priority="203798" operator="equal">
      <formula>"OFF"</formula>
    </cfRule>
    <cfRule type="cellIs" dxfId="29625" priority="203799" operator="equal">
      <formula>"PTO"</formula>
    </cfRule>
  </conditionalFormatting>
  <conditionalFormatting sqref="B18">
    <cfRule type="duplicateValues" dxfId="29624" priority="203797"/>
  </conditionalFormatting>
  <conditionalFormatting sqref="Q18:W18">
    <cfRule type="cellIs" dxfId="29623" priority="203795" operator="equal">
      <formula>"OFF"</formula>
    </cfRule>
    <cfRule type="cellIs" dxfId="29622" priority="203796" operator="equal">
      <formula>"PTO"</formula>
    </cfRule>
  </conditionalFormatting>
  <conditionalFormatting sqref="Q18:W18">
    <cfRule type="cellIs" dxfId="29621" priority="203793" operator="equal">
      <formula>"OFF"</formula>
    </cfRule>
    <cfRule type="cellIs" dxfId="29620" priority="203794" operator="equal">
      <formula>"PTO"</formula>
    </cfRule>
  </conditionalFormatting>
  <conditionalFormatting sqref="Q18:W18">
    <cfRule type="cellIs" dxfId="29619" priority="203791" operator="equal">
      <formula>"OFF"</formula>
    </cfRule>
    <cfRule type="cellIs" dxfId="29618" priority="203792" operator="equal">
      <formula>"PTO"</formula>
    </cfRule>
  </conditionalFormatting>
  <conditionalFormatting sqref="Q18:W18">
    <cfRule type="cellIs" dxfId="29617" priority="203789" operator="equal">
      <formula>"OFF"</formula>
    </cfRule>
    <cfRule type="cellIs" dxfId="29616" priority="203790" operator="equal">
      <formula>"PTO"</formula>
    </cfRule>
  </conditionalFormatting>
  <conditionalFormatting sqref="Q18:W18">
    <cfRule type="cellIs" dxfId="29615" priority="203787" operator="equal">
      <formula>"OFF"</formula>
    </cfRule>
    <cfRule type="cellIs" dxfId="29614" priority="203788" operator="equal">
      <formula>"PTO"</formula>
    </cfRule>
  </conditionalFormatting>
  <conditionalFormatting sqref="Q18:W18">
    <cfRule type="cellIs" dxfId="29613" priority="203785" operator="equal">
      <formula>"OFF"</formula>
    </cfRule>
    <cfRule type="cellIs" dxfId="29612" priority="203786" operator="equal">
      <formula>"PTO"</formula>
    </cfRule>
  </conditionalFormatting>
  <conditionalFormatting sqref="Q18:W18">
    <cfRule type="cellIs" dxfId="29611" priority="203783" operator="equal">
      <formula>"OFF"</formula>
    </cfRule>
    <cfRule type="cellIs" dxfId="29610" priority="203784" operator="equal">
      <formula>"PTO"</formula>
    </cfRule>
  </conditionalFormatting>
  <conditionalFormatting sqref="Q18:W18">
    <cfRule type="cellIs" dxfId="29609" priority="203781" operator="equal">
      <formula>"OFF"</formula>
    </cfRule>
    <cfRule type="cellIs" dxfId="29608" priority="203782" operator="equal">
      <formula>"PTO"</formula>
    </cfRule>
  </conditionalFormatting>
  <conditionalFormatting sqref="Q24:X24 X24:X25">
    <cfRule type="cellIs" dxfId="29607" priority="203779" operator="equal">
      <formula>"OFF"</formula>
    </cfRule>
    <cfRule type="cellIs" dxfId="29606" priority="203780" operator="equal">
      <formula>"PTO"</formula>
    </cfRule>
  </conditionalFormatting>
  <conditionalFormatting sqref="B26">
    <cfRule type="duplicateValues" dxfId="29605" priority="203774"/>
  </conditionalFormatting>
  <conditionalFormatting sqref="X26">
    <cfRule type="cellIs" dxfId="29604" priority="203772" operator="equal">
      <formula>"OFF"</formula>
    </cfRule>
    <cfRule type="cellIs" dxfId="29603" priority="203773" operator="equal">
      <formula>"PTO"</formula>
    </cfRule>
  </conditionalFormatting>
  <conditionalFormatting sqref="B26">
    <cfRule type="duplicateValues" dxfId="29602" priority="203771"/>
  </conditionalFormatting>
  <conditionalFormatting sqref="B27">
    <cfRule type="duplicateValues" dxfId="29601" priority="203754"/>
  </conditionalFormatting>
  <conditionalFormatting sqref="X27">
    <cfRule type="cellIs" dxfId="29600" priority="203752" operator="equal">
      <formula>"OFF"</formula>
    </cfRule>
    <cfRule type="cellIs" dxfId="29599" priority="203753" operator="equal">
      <formula>"PTO"</formula>
    </cfRule>
  </conditionalFormatting>
  <conditionalFormatting sqref="B27">
    <cfRule type="duplicateValues" dxfId="29598" priority="203751"/>
  </conditionalFormatting>
  <conditionalFormatting sqref="B28">
    <cfRule type="duplicateValues" dxfId="29597" priority="203734"/>
  </conditionalFormatting>
  <conditionalFormatting sqref="X28">
    <cfRule type="cellIs" dxfId="29596" priority="203732" operator="equal">
      <formula>"OFF"</formula>
    </cfRule>
    <cfRule type="cellIs" dxfId="29595" priority="203733" operator="equal">
      <formula>"PTO"</formula>
    </cfRule>
  </conditionalFormatting>
  <conditionalFormatting sqref="B28">
    <cfRule type="duplicateValues" dxfId="29594" priority="203731"/>
  </conditionalFormatting>
  <conditionalFormatting sqref="X23">
    <cfRule type="cellIs" dxfId="29593" priority="184938" operator="equal">
      <formula>"OFF"</formula>
    </cfRule>
    <cfRule type="cellIs" dxfId="29592" priority="184939" operator="equal">
      <formula>"PTO"</formula>
    </cfRule>
  </conditionalFormatting>
  <conditionalFormatting sqref="Q23:T23 W23">
    <cfRule type="cellIs" dxfId="29591" priority="184936" operator="equal">
      <formula>"OFF"</formula>
    </cfRule>
    <cfRule type="cellIs" dxfId="29590" priority="184937" operator="equal">
      <formula>"PTO"</formula>
    </cfRule>
  </conditionalFormatting>
  <conditionalFormatting sqref="U23">
    <cfRule type="cellIs" dxfId="29589" priority="184932" operator="equal">
      <formula>"OFF"</formula>
    </cfRule>
    <cfRule type="cellIs" dxfId="29588" priority="184933" operator="equal">
      <formula>"PTO"</formula>
    </cfRule>
  </conditionalFormatting>
  <conditionalFormatting sqref="V23">
    <cfRule type="cellIs" dxfId="29587" priority="184930" operator="equal">
      <formula>"OFF"</formula>
    </cfRule>
    <cfRule type="cellIs" dxfId="29586" priority="184931" operator="equal">
      <formula>"PTO"</formula>
    </cfRule>
  </conditionalFormatting>
  <conditionalFormatting sqref="X30:X68">
    <cfRule type="cellIs" dxfId="29585" priority="184682" operator="equal">
      <formula>"OFF"</formula>
    </cfRule>
    <cfRule type="cellIs" dxfId="29584" priority="184683" operator="equal">
      <formula>"PTO"</formula>
    </cfRule>
  </conditionalFormatting>
  <conditionalFormatting sqref="Y69:Y75">
    <cfRule type="cellIs" dxfId="29583" priority="173863" operator="equal">
      <formula>"OFF"</formula>
    </cfRule>
    <cfRule type="cellIs" dxfId="29582" priority="173864" operator="equal">
      <formula>"PTO"</formula>
    </cfRule>
  </conditionalFormatting>
  <conditionalFormatting sqref="Y69:Y75">
    <cfRule type="cellIs" dxfId="29581" priority="173861" operator="equal">
      <formula>"OFF"</formula>
    </cfRule>
    <cfRule type="cellIs" dxfId="29580" priority="173862" operator="equal">
      <formula>"PTO"</formula>
    </cfRule>
  </conditionalFormatting>
  <conditionalFormatting sqref="Y69:Y75">
    <cfRule type="cellIs" dxfId="29579" priority="173859" operator="equal">
      <formula>"OFF"</formula>
    </cfRule>
    <cfRule type="cellIs" dxfId="29578" priority="173860" operator="equal">
      <formula>"PTO"</formula>
    </cfRule>
  </conditionalFormatting>
  <conditionalFormatting sqref="Y69:Y75">
    <cfRule type="cellIs" dxfId="29577" priority="173857" operator="equal">
      <formula>"OFF"</formula>
    </cfRule>
    <cfRule type="cellIs" dxfId="29576" priority="173858" operator="equal">
      <formula>"PTO"</formula>
    </cfRule>
  </conditionalFormatting>
  <conditionalFormatting sqref="Y69:Y75">
    <cfRule type="cellIs" dxfId="29575" priority="173855" operator="equal">
      <formula>"OFF"</formula>
    </cfRule>
    <cfRule type="cellIs" dxfId="29574" priority="173856" operator="equal">
      <formula>"PTO"</formula>
    </cfRule>
  </conditionalFormatting>
  <conditionalFormatting sqref="Y69:Y75">
    <cfRule type="cellIs" dxfId="29573" priority="173853" operator="equal">
      <formula>"OFF"</formula>
    </cfRule>
    <cfRule type="cellIs" dxfId="29572" priority="173854" operator="equal">
      <formula>"PTO"</formula>
    </cfRule>
  </conditionalFormatting>
  <conditionalFormatting sqref="Y69:Y75">
    <cfRule type="cellIs" dxfId="29571" priority="173851" operator="equal">
      <formula>"OFF"</formula>
    </cfRule>
    <cfRule type="cellIs" dxfId="29570" priority="173852" operator="equal">
      <formula>"PTO"</formula>
    </cfRule>
  </conditionalFormatting>
  <conditionalFormatting sqref="Q19">
    <cfRule type="cellIs" dxfId="29569" priority="158839" operator="equal">
      <formula>"OFF"</formula>
    </cfRule>
    <cfRule type="cellIs" dxfId="29568" priority="158840" operator="equal">
      <formula>"PTO"</formula>
    </cfRule>
  </conditionalFormatting>
  <conditionalFormatting sqref="Q19">
    <cfRule type="cellIs" dxfId="29567" priority="158837" operator="equal">
      <formula>"OFF"</formula>
    </cfRule>
    <cfRule type="cellIs" dxfId="29566" priority="158838" operator="equal">
      <formula>"PTO"</formula>
    </cfRule>
  </conditionalFormatting>
  <conditionalFormatting sqref="Q19">
    <cfRule type="cellIs" dxfId="29565" priority="158835" operator="equal">
      <formula>"OFF"</formula>
    </cfRule>
    <cfRule type="cellIs" dxfId="29564" priority="158836" operator="equal">
      <formula>"PTO"</formula>
    </cfRule>
  </conditionalFormatting>
  <conditionalFormatting sqref="Q19">
    <cfRule type="cellIs" dxfId="29563" priority="158833" operator="equal">
      <formula>"OFF"</formula>
    </cfRule>
    <cfRule type="cellIs" dxfId="29562" priority="158834" operator="equal">
      <formula>"PTO"</formula>
    </cfRule>
  </conditionalFormatting>
  <conditionalFormatting sqref="Q19">
    <cfRule type="cellIs" dxfId="29561" priority="158831" operator="equal">
      <formula>"OFF"</formula>
    </cfRule>
    <cfRule type="cellIs" dxfId="29560" priority="158832" operator="equal">
      <formula>"PTO"</formula>
    </cfRule>
  </conditionalFormatting>
  <conditionalFormatting sqref="Q19">
    <cfRule type="cellIs" dxfId="29559" priority="158829" operator="equal">
      <formula>"OFF"</formula>
    </cfRule>
    <cfRule type="cellIs" dxfId="29558" priority="158830" operator="equal">
      <formula>"PTO"</formula>
    </cfRule>
  </conditionalFormatting>
  <conditionalFormatting sqref="Q19">
    <cfRule type="cellIs" dxfId="29557" priority="158827" operator="equal">
      <formula>"OFF"</formula>
    </cfRule>
    <cfRule type="cellIs" dxfId="29556" priority="158828" operator="equal">
      <formula>"PTO"</formula>
    </cfRule>
  </conditionalFormatting>
  <conditionalFormatting sqref="Q19">
    <cfRule type="cellIs" dxfId="29555" priority="158825" operator="equal">
      <formula>"OFF"</formula>
    </cfRule>
    <cfRule type="cellIs" dxfId="29554" priority="158826" operator="equal">
      <formula>"PTO"</formula>
    </cfRule>
  </conditionalFormatting>
  <conditionalFormatting sqref="W69:W70">
    <cfRule type="cellIs" dxfId="29553" priority="125175" operator="equal">
      <formula>"OFF"</formula>
    </cfRule>
    <cfRule type="cellIs" dxfId="29552" priority="125176" operator="equal">
      <formula>"PTO"</formula>
    </cfRule>
  </conditionalFormatting>
  <conditionalFormatting sqref="W69:W70">
    <cfRule type="cellIs" dxfId="29551" priority="125173" operator="equal">
      <formula>"OFF"</formula>
    </cfRule>
    <cfRule type="cellIs" dxfId="29550" priority="125174" operator="equal">
      <formula>"PTO"</formula>
    </cfRule>
  </conditionalFormatting>
  <conditionalFormatting sqref="W69:W70">
    <cfRule type="cellIs" dxfId="29549" priority="125171" operator="equal">
      <formula>"OFF"</formula>
    </cfRule>
    <cfRule type="cellIs" dxfId="29548" priority="125172" operator="equal">
      <formula>"PTO"</formula>
    </cfRule>
  </conditionalFormatting>
  <conditionalFormatting sqref="W69:W70">
    <cfRule type="cellIs" dxfId="29547" priority="125071" operator="equal">
      <formula>"OFF"</formula>
    </cfRule>
    <cfRule type="cellIs" dxfId="29546" priority="125072" operator="equal">
      <formula>"PTO"</formula>
    </cfRule>
  </conditionalFormatting>
  <conditionalFormatting sqref="W69:W70">
    <cfRule type="cellIs" dxfId="29545" priority="125069" operator="equal">
      <formula>"OFF"</formula>
    </cfRule>
    <cfRule type="cellIs" dxfId="29544" priority="125070" operator="equal">
      <formula>"PTO"</formula>
    </cfRule>
  </conditionalFormatting>
  <conditionalFormatting sqref="W69:W70">
    <cfRule type="cellIs" dxfId="29543" priority="125067" operator="equal">
      <formula>"OFF"</formula>
    </cfRule>
    <cfRule type="cellIs" dxfId="29542" priority="125068" operator="equal">
      <formula>"PTO"</formula>
    </cfRule>
  </conditionalFormatting>
  <conditionalFormatting sqref="W69:W70">
    <cfRule type="cellIs" dxfId="29541" priority="125065" operator="equal">
      <formula>"OFF"</formula>
    </cfRule>
    <cfRule type="cellIs" dxfId="29540" priority="125066" operator="equal">
      <formula>"PTO"</formula>
    </cfRule>
  </conditionalFormatting>
  <conditionalFormatting sqref="W69:W70">
    <cfRule type="cellIs" dxfId="29539" priority="125063" operator="equal">
      <formula>"OFF"</formula>
    </cfRule>
    <cfRule type="cellIs" dxfId="29538" priority="125064" operator="equal">
      <formula>"PTO"</formula>
    </cfRule>
  </conditionalFormatting>
  <conditionalFormatting sqref="W69:W70">
    <cfRule type="cellIs" dxfId="29537" priority="125061" operator="equal">
      <formula>"OFF"</formula>
    </cfRule>
    <cfRule type="cellIs" dxfId="29536" priority="125062" operator="equal">
      <formula>"PTO"</formula>
    </cfRule>
  </conditionalFormatting>
  <conditionalFormatting sqref="W69:W70">
    <cfRule type="cellIs" dxfId="29535" priority="125059" operator="equal">
      <formula>"OFF"</formula>
    </cfRule>
    <cfRule type="cellIs" dxfId="29534" priority="125060" operator="equal">
      <formula>"PTO"</formula>
    </cfRule>
  </conditionalFormatting>
  <conditionalFormatting sqref="W69:W70">
    <cfRule type="cellIs" dxfId="29533" priority="125057" operator="equal">
      <formula>"OFF"</formula>
    </cfRule>
    <cfRule type="cellIs" dxfId="29532" priority="125058" operator="equal">
      <formula>"PTO"</formula>
    </cfRule>
  </conditionalFormatting>
  <conditionalFormatting sqref="W69:W70">
    <cfRule type="cellIs" dxfId="29531" priority="125055" operator="equal">
      <formula>"OFF"</formula>
    </cfRule>
    <cfRule type="cellIs" dxfId="29530" priority="125056" operator="equal">
      <formula>"PTO"</formula>
    </cfRule>
  </conditionalFormatting>
  <conditionalFormatting sqref="W69:W70">
    <cfRule type="cellIs" dxfId="29529" priority="125053" operator="equal">
      <formula>"OFF"</formula>
    </cfRule>
    <cfRule type="cellIs" dxfId="29528" priority="125054" operator="equal">
      <formula>"PTO"</formula>
    </cfRule>
  </conditionalFormatting>
  <conditionalFormatting sqref="W69:W70">
    <cfRule type="cellIs" dxfId="29527" priority="125051" operator="equal">
      <formula>"OFF"</formula>
    </cfRule>
    <cfRule type="cellIs" dxfId="29526" priority="125052" operator="equal">
      <formula>"PTO"</formula>
    </cfRule>
  </conditionalFormatting>
  <conditionalFormatting sqref="W69:W70">
    <cfRule type="cellIs" dxfId="29525" priority="125049" operator="equal">
      <formula>"OFF"</formula>
    </cfRule>
    <cfRule type="cellIs" dxfId="29524" priority="125050" operator="equal">
      <formula>"PTO"</formula>
    </cfRule>
  </conditionalFormatting>
  <conditionalFormatting sqref="W69:W70">
    <cfRule type="cellIs" dxfId="29523" priority="125047" operator="equal">
      <formula>"OFF"</formula>
    </cfRule>
    <cfRule type="cellIs" dxfId="29522" priority="125048" operator="equal">
      <formula>"PTO"</formula>
    </cfRule>
  </conditionalFormatting>
  <conditionalFormatting sqref="W69:W70">
    <cfRule type="cellIs" dxfId="29521" priority="124807" operator="equal">
      <formula>"OFF"</formula>
    </cfRule>
    <cfRule type="cellIs" dxfId="29520" priority="124808" operator="equal">
      <formula>"PTO"</formula>
    </cfRule>
  </conditionalFormatting>
  <conditionalFormatting sqref="W69:W70">
    <cfRule type="cellIs" dxfId="29519" priority="124805" operator="equal">
      <formula>"OFF"</formula>
    </cfRule>
    <cfRule type="cellIs" dxfId="29518" priority="124806" operator="equal">
      <formula>"PTO"</formula>
    </cfRule>
  </conditionalFormatting>
  <conditionalFormatting sqref="W69:W70">
    <cfRule type="cellIs" dxfId="29517" priority="124803" operator="equal">
      <formula>"OFF"</formula>
    </cfRule>
    <cfRule type="cellIs" dxfId="29516" priority="124804" operator="equal">
      <formula>"PTO"</formula>
    </cfRule>
  </conditionalFormatting>
  <conditionalFormatting sqref="W69:W70">
    <cfRule type="cellIs" dxfId="29515" priority="124801" operator="equal">
      <formula>"OFF"</formula>
    </cfRule>
    <cfRule type="cellIs" dxfId="29514" priority="124802" operator="equal">
      <formula>"PTO"</formula>
    </cfRule>
  </conditionalFormatting>
  <conditionalFormatting sqref="W69:W70">
    <cfRule type="cellIs" dxfId="29513" priority="124799" operator="equal">
      <formula>"OFF"</formula>
    </cfRule>
    <cfRule type="cellIs" dxfId="29512" priority="124800" operator="equal">
      <formula>"PTO"</formula>
    </cfRule>
  </conditionalFormatting>
  <conditionalFormatting sqref="W69:W70">
    <cfRule type="cellIs" dxfId="29511" priority="124797" operator="equal">
      <formula>"OFF"</formula>
    </cfRule>
    <cfRule type="cellIs" dxfId="29510" priority="124798" operator="equal">
      <formula>"PTO"</formula>
    </cfRule>
  </conditionalFormatting>
  <conditionalFormatting sqref="U69:U70">
    <cfRule type="cellIs" dxfId="29509" priority="121028" operator="equal">
      <formula>"OFF"</formula>
    </cfRule>
    <cfRule type="cellIs" dxfId="29508" priority="121029" operator="equal">
      <formula>"PTO"</formula>
    </cfRule>
  </conditionalFormatting>
  <conditionalFormatting sqref="U69:U70">
    <cfRule type="cellIs" dxfId="29507" priority="121026" operator="equal">
      <formula>"OFF"</formula>
    </cfRule>
    <cfRule type="cellIs" dxfId="29506" priority="121027" operator="equal">
      <formula>"PTO"</formula>
    </cfRule>
  </conditionalFormatting>
  <conditionalFormatting sqref="U69:U70">
    <cfRule type="cellIs" dxfId="29505" priority="121016" operator="equal">
      <formula>"OFF"</formula>
    </cfRule>
    <cfRule type="cellIs" dxfId="29504" priority="121017" operator="equal">
      <formula>"PTO"</formula>
    </cfRule>
  </conditionalFormatting>
  <conditionalFormatting sqref="U69:U70">
    <cfRule type="cellIs" dxfId="29503" priority="121014" operator="equal">
      <formula>"OFF"</formula>
    </cfRule>
    <cfRule type="cellIs" dxfId="29502" priority="121015" operator="equal">
      <formula>"PTO"</formula>
    </cfRule>
  </conditionalFormatting>
  <conditionalFormatting sqref="U69:U70">
    <cfRule type="cellIs" dxfId="29501" priority="121012" operator="equal">
      <formula>"OFF"</formula>
    </cfRule>
    <cfRule type="cellIs" dxfId="29500" priority="121013" operator="equal">
      <formula>"PTO"</formula>
    </cfRule>
  </conditionalFormatting>
  <conditionalFormatting sqref="U69:U70">
    <cfRule type="cellIs" dxfId="29499" priority="121010" operator="equal">
      <formula>"OFF"</formula>
    </cfRule>
    <cfRule type="cellIs" dxfId="29498" priority="121011" operator="equal">
      <formula>"PTO"</formula>
    </cfRule>
  </conditionalFormatting>
  <conditionalFormatting sqref="U69:U70">
    <cfRule type="cellIs" dxfId="29497" priority="121000" operator="equal">
      <formula>"OFF"</formula>
    </cfRule>
    <cfRule type="cellIs" dxfId="29496" priority="121001" operator="equal">
      <formula>"PTO"</formula>
    </cfRule>
  </conditionalFormatting>
  <conditionalFormatting sqref="U69:U70">
    <cfRule type="cellIs" dxfId="29495" priority="120998" operator="equal">
      <formula>"OFF"</formula>
    </cfRule>
    <cfRule type="cellIs" dxfId="29494" priority="120999" operator="equal">
      <formula>"PTO"</formula>
    </cfRule>
  </conditionalFormatting>
  <conditionalFormatting sqref="U69:U70">
    <cfRule type="cellIs" dxfId="29493" priority="120996" operator="equal">
      <formula>"OFF"</formula>
    </cfRule>
    <cfRule type="cellIs" dxfId="29492" priority="120997" operator="equal">
      <formula>"PTO"</formula>
    </cfRule>
  </conditionalFormatting>
  <conditionalFormatting sqref="U69:U70">
    <cfRule type="cellIs" dxfId="29491" priority="120994" operator="equal">
      <formula>"OFF"</formula>
    </cfRule>
    <cfRule type="cellIs" dxfId="29490" priority="120995" operator="equal">
      <formula>"PTO"</formula>
    </cfRule>
  </conditionalFormatting>
  <conditionalFormatting sqref="U69:U70">
    <cfRule type="cellIs" dxfId="29489" priority="120984" operator="equal">
      <formula>"OFF"</formula>
    </cfRule>
    <cfRule type="cellIs" dxfId="29488" priority="120985" operator="equal">
      <formula>"PTO"</formula>
    </cfRule>
  </conditionalFormatting>
  <conditionalFormatting sqref="U69:U70">
    <cfRule type="cellIs" dxfId="29487" priority="120982" operator="equal">
      <formula>"OFF"</formula>
    </cfRule>
    <cfRule type="cellIs" dxfId="29486" priority="120983" operator="equal">
      <formula>"PTO"</formula>
    </cfRule>
  </conditionalFormatting>
  <conditionalFormatting sqref="U69:U70">
    <cfRule type="cellIs" dxfId="29485" priority="120980" operator="equal">
      <formula>"OFF"</formula>
    </cfRule>
    <cfRule type="cellIs" dxfId="29484" priority="120981" operator="equal">
      <formula>"PTO"</formula>
    </cfRule>
  </conditionalFormatting>
  <conditionalFormatting sqref="U69:U70">
    <cfRule type="cellIs" dxfId="29483" priority="120978" operator="equal">
      <formula>"OFF"</formula>
    </cfRule>
    <cfRule type="cellIs" dxfId="29482" priority="120979" operator="equal">
      <formula>"PTO"</formula>
    </cfRule>
  </conditionalFormatting>
  <conditionalFormatting sqref="U69:U70">
    <cfRule type="cellIs" dxfId="29481" priority="120968" operator="equal">
      <formula>"OFF"</formula>
    </cfRule>
    <cfRule type="cellIs" dxfId="29480" priority="120969" operator="equal">
      <formula>"PTO"</formula>
    </cfRule>
  </conditionalFormatting>
  <conditionalFormatting sqref="U69:U70">
    <cfRule type="cellIs" dxfId="29479" priority="120966" operator="equal">
      <formula>"OFF"</formula>
    </cfRule>
    <cfRule type="cellIs" dxfId="29478" priority="120967" operator="equal">
      <formula>"PTO"</formula>
    </cfRule>
  </conditionalFormatting>
  <conditionalFormatting sqref="U69:U70">
    <cfRule type="cellIs" dxfId="29477" priority="120964" operator="equal">
      <formula>"OFF"</formula>
    </cfRule>
    <cfRule type="cellIs" dxfId="29476" priority="120965" operator="equal">
      <formula>"PTO"</formula>
    </cfRule>
  </conditionalFormatting>
  <conditionalFormatting sqref="U69:U70">
    <cfRule type="cellIs" dxfId="29475" priority="120962" operator="equal">
      <formula>"OFF"</formula>
    </cfRule>
    <cfRule type="cellIs" dxfId="29474" priority="120963" operator="equal">
      <formula>"PTO"</formula>
    </cfRule>
  </conditionalFormatting>
  <conditionalFormatting sqref="U69:U70">
    <cfRule type="cellIs" dxfId="29473" priority="120910" operator="equal">
      <formula>"OFF"</formula>
    </cfRule>
    <cfRule type="cellIs" dxfId="29472" priority="120911" operator="equal">
      <formula>"PTO"</formula>
    </cfRule>
  </conditionalFormatting>
  <conditionalFormatting sqref="U69:U70">
    <cfRule type="cellIs" dxfId="29471" priority="120908" operator="equal">
      <formula>"OFF"</formula>
    </cfRule>
    <cfRule type="cellIs" dxfId="29470" priority="120909" operator="equal">
      <formula>"PTO"</formula>
    </cfRule>
  </conditionalFormatting>
  <conditionalFormatting sqref="U69:U70">
    <cfRule type="cellIs" dxfId="29469" priority="120906" operator="equal">
      <formula>"OFF"</formula>
    </cfRule>
    <cfRule type="cellIs" dxfId="29468" priority="120907" operator="equal">
      <formula>"PTO"</formula>
    </cfRule>
  </conditionalFormatting>
  <conditionalFormatting sqref="U69:U70">
    <cfRule type="cellIs" dxfId="29467" priority="120904" operator="equal">
      <formula>"OFF"</formula>
    </cfRule>
    <cfRule type="cellIs" dxfId="29466" priority="120905" operator="equal">
      <formula>"PTO"</formula>
    </cfRule>
  </conditionalFormatting>
  <conditionalFormatting sqref="U69:U70">
    <cfRule type="cellIs" dxfId="29465" priority="120902" operator="equal">
      <formula>"OFF"</formula>
    </cfRule>
    <cfRule type="cellIs" dxfId="29464" priority="120903" operator="equal">
      <formula>"PTO"</formula>
    </cfRule>
  </conditionalFormatting>
  <conditionalFormatting sqref="U69:U70">
    <cfRule type="cellIs" dxfId="29463" priority="120900" operator="equal">
      <formula>"OFF"</formula>
    </cfRule>
    <cfRule type="cellIs" dxfId="29462" priority="120901" operator="equal">
      <formula>"PTO"</formula>
    </cfRule>
  </conditionalFormatting>
  <conditionalFormatting sqref="U69:U70">
    <cfRule type="cellIs" dxfId="29461" priority="120898" operator="equal">
      <formula>"OFF"</formula>
    </cfRule>
    <cfRule type="cellIs" dxfId="29460" priority="120899" operator="equal">
      <formula>"PTO"</formula>
    </cfRule>
  </conditionalFormatting>
  <conditionalFormatting sqref="U69:U70">
    <cfRule type="cellIs" dxfId="29459" priority="120896" operator="equal">
      <formula>"OFF"</formula>
    </cfRule>
    <cfRule type="cellIs" dxfId="29458" priority="120897" operator="equal">
      <formula>"PTO"</formula>
    </cfRule>
  </conditionalFormatting>
  <conditionalFormatting sqref="U69:U70">
    <cfRule type="cellIs" dxfId="29457" priority="120894" operator="equal">
      <formula>"OFF"</formula>
    </cfRule>
    <cfRule type="cellIs" dxfId="29456" priority="120895" operator="equal">
      <formula>"PTO"</formula>
    </cfRule>
  </conditionalFormatting>
  <conditionalFormatting sqref="U69:U70">
    <cfRule type="cellIs" dxfId="29455" priority="120892" operator="equal">
      <formula>"OFF"</formula>
    </cfRule>
    <cfRule type="cellIs" dxfId="29454" priority="120893" operator="equal">
      <formula>"PTO"</formula>
    </cfRule>
  </conditionalFormatting>
  <conditionalFormatting sqref="U69:U70">
    <cfRule type="cellIs" dxfId="29453" priority="120890" operator="equal">
      <formula>"OFF"</formula>
    </cfRule>
    <cfRule type="cellIs" dxfId="29452" priority="120891" operator="equal">
      <formula>"PTO"</formula>
    </cfRule>
  </conditionalFormatting>
  <conditionalFormatting sqref="U69:U70">
    <cfRule type="cellIs" dxfId="29451" priority="120888" operator="equal">
      <formula>"OFF"</formula>
    </cfRule>
    <cfRule type="cellIs" dxfId="29450" priority="120889" operator="equal">
      <formula>"PTO"</formula>
    </cfRule>
  </conditionalFormatting>
  <conditionalFormatting sqref="U69:U70">
    <cfRule type="cellIs" dxfId="29449" priority="120886" operator="equal">
      <formula>"OFF"</formula>
    </cfRule>
    <cfRule type="cellIs" dxfId="29448" priority="120887" operator="equal">
      <formula>"PTO"</formula>
    </cfRule>
  </conditionalFormatting>
  <conditionalFormatting sqref="U69:U70">
    <cfRule type="cellIs" dxfId="29447" priority="120884" operator="equal">
      <formula>"OFF"</formula>
    </cfRule>
    <cfRule type="cellIs" dxfId="29446" priority="120885" operator="equal">
      <formula>"PTO"</formula>
    </cfRule>
  </conditionalFormatting>
  <conditionalFormatting sqref="U69:U70">
    <cfRule type="cellIs" dxfId="29445" priority="120882" operator="equal">
      <formula>"OFF"</formula>
    </cfRule>
    <cfRule type="cellIs" dxfId="29444" priority="120883" operator="equal">
      <formula>"PTO"</formula>
    </cfRule>
  </conditionalFormatting>
  <conditionalFormatting sqref="U69:U70">
    <cfRule type="cellIs" dxfId="29443" priority="120880" operator="equal">
      <formula>"OFF"</formula>
    </cfRule>
    <cfRule type="cellIs" dxfId="29442" priority="120881" operator="equal">
      <formula>"PTO"</formula>
    </cfRule>
  </conditionalFormatting>
  <conditionalFormatting sqref="U69:U70">
    <cfRule type="cellIs" dxfId="29441" priority="120878" operator="equal">
      <formula>"OFF"</formula>
    </cfRule>
    <cfRule type="cellIs" dxfId="29440" priority="120879" operator="equal">
      <formula>"PTO"</formula>
    </cfRule>
  </conditionalFormatting>
  <conditionalFormatting sqref="U69:U70">
    <cfRule type="cellIs" dxfId="29439" priority="120876" operator="equal">
      <formula>"OFF"</formula>
    </cfRule>
    <cfRule type="cellIs" dxfId="29438" priority="120877" operator="equal">
      <formula>"PTO"</formula>
    </cfRule>
  </conditionalFormatting>
  <conditionalFormatting sqref="U69:U70">
    <cfRule type="cellIs" dxfId="29437" priority="120874" operator="equal">
      <formula>"OFF"</formula>
    </cfRule>
    <cfRule type="cellIs" dxfId="29436" priority="120875" operator="equal">
      <formula>"PTO"</formula>
    </cfRule>
  </conditionalFormatting>
  <conditionalFormatting sqref="U69:U70">
    <cfRule type="cellIs" dxfId="29435" priority="120872" operator="equal">
      <formula>"OFF"</formula>
    </cfRule>
    <cfRule type="cellIs" dxfId="29434" priority="120873" operator="equal">
      <formula>"PTO"</formula>
    </cfRule>
  </conditionalFormatting>
  <conditionalFormatting sqref="U69:U70">
    <cfRule type="cellIs" dxfId="29433" priority="120870" operator="equal">
      <formula>"OFF"</formula>
    </cfRule>
    <cfRule type="cellIs" dxfId="29432" priority="120871" operator="equal">
      <formula>"PTO"</formula>
    </cfRule>
  </conditionalFormatting>
  <conditionalFormatting sqref="U69:U70">
    <cfRule type="cellIs" dxfId="29431" priority="120868" operator="equal">
      <formula>"OFF"</formula>
    </cfRule>
    <cfRule type="cellIs" dxfId="29430" priority="120869" operator="equal">
      <formula>"PTO"</formula>
    </cfRule>
  </conditionalFormatting>
  <conditionalFormatting sqref="U69:U70">
    <cfRule type="cellIs" dxfId="29429" priority="120866" operator="equal">
      <formula>"OFF"</formula>
    </cfRule>
    <cfRule type="cellIs" dxfId="29428" priority="120867" operator="equal">
      <formula>"PTO"</formula>
    </cfRule>
  </conditionalFormatting>
  <conditionalFormatting sqref="U69:U70">
    <cfRule type="cellIs" dxfId="29427" priority="120864" operator="equal">
      <formula>"OFF"</formula>
    </cfRule>
    <cfRule type="cellIs" dxfId="29426" priority="120865" operator="equal">
      <formula>"PTO"</formula>
    </cfRule>
  </conditionalFormatting>
  <conditionalFormatting sqref="U69:U70">
    <cfRule type="cellIs" dxfId="29425" priority="120862" operator="equal">
      <formula>"OFF"</formula>
    </cfRule>
    <cfRule type="cellIs" dxfId="29424" priority="120863" operator="equal">
      <formula>"PTO"</formula>
    </cfRule>
  </conditionalFormatting>
  <conditionalFormatting sqref="U69:U70">
    <cfRule type="cellIs" dxfId="29423" priority="120860" operator="equal">
      <formula>"OFF"</formula>
    </cfRule>
    <cfRule type="cellIs" dxfId="29422" priority="120861" operator="equal">
      <formula>"PTO"</formula>
    </cfRule>
  </conditionalFormatting>
  <conditionalFormatting sqref="U69:U70">
    <cfRule type="cellIs" dxfId="29421" priority="120858" operator="equal">
      <formula>"OFF"</formula>
    </cfRule>
    <cfRule type="cellIs" dxfId="29420" priority="120859" operator="equal">
      <formula>"PTO"</formula>
    </cfRule>
  </conditionalFormatting>
  <conditionalFormatting sqref="U69:U70">
    <cfRule type="cellIs" dxfId="29419" priority="120856" operator="equal">
      <formula>"OFF"</formula>
    </cfRule>
    <cfRule type="cellIs" dxfId="29418" priority="120857" operator="equal">
      <formula>"PTO"</formula>
    </cfRule>
  </conditionalFormatting>
  <conditionalFormatting sqref="U69:U70">
    <cfRule type="cellIs" dxfId="29417" priority="120854" operator="equal">
      <formula>"OFF"</formula>
    </cfRule>
    <cfRule type="cellIs" dxfId="29416" priority="120855" operator="equal">
      <formula>"PTO"</formula>
    </cfRule>
  </conditionalFormatting>
  <conditionalFormatting sqref="U69:U70">
    <cfRule type="cellIs" dxfId="29415" priority="120852" operator="equal">
      <formula>"OFF"</formula>
    </cfRule>
    <cfRule type="cellIs" dxfId="29414" priority="120853" operator="equal">
      <formula>"PTO"</formula>
    </cfRule>
  </conditionalFormatting>
  <conditionalFormatting sqref="U69:U70">
    <cfRule type="cellIs" dxfId="29413" priority="120850" operator="equal">
      <formula>"OFF"</formula>
    </cfRule>
    <cfRule type="cellIs" dxfId="29412" priority="120851" operator="equal">
      <formula>"PTO"</formula>
    </cfRule>
  </conditionalFormatting>
  <conditionalFormatting sqref="U69:U70">
    <cfRule type="cellIs" dxfId="29411" priority="120848" operator="equal">
      <formula>"OFF"</formula>
    </cfRule>
    <cfRule type="cellIs" dxfId="29410" priority="120849" operator="equal">
      <formula>"PTO"</formula>
    </cfRule>
  </conditionalFormatting>
  <conditionalFormatting sqref="U69:U70">
    <cfRule type="cellIs" dxfId="29409" priority="120846" operator="equal">
      <formula>"OFF"</formula>
    </cfRule>
    <cfRule type="cellIs" dxfId="29408" priority="120847" operator="equal">
      <formula>"PTO"</formula>
    </cfRule>
  </conditionalFormatting>
  <conditionalFormatting sqref="U69:U70">
    <cfRule type="cellIs" dxfId="29407" priority="120844" operator="equal">
      <formula>"OFF"</formula>
    </cfRule>
    <cfRule type="cellIs" dxfId="29406" priority="120845" operator="equal">
      <formula>"PTO"</formula>
    </cfRule>
  </conditionalFormatting>
  <conditionalFormatting sqref="C69:C70">
    <cfRule type="cellIs" dxfId="29405" priority="120826" operator="equal">
      <formula>"OFF"</formula>
    </cfRule>
    <cfRule type="cellIs" dxfId="29404" priority="120827" operator="equal">
      <formula>"PTO"</formula>
    </cfRule>
  </conditionalFormatting>
  <conditionalFormatting sqref="C69:C70">
    <cfRule type="cellIs" dxfId="29403" priority="120824" operator="equal">
      <formula>"OFF"</formula>
    </cfRule>
    <cfRule type="cellIs" dxfId="29402" priority="120825" operator="equal">
      <formula>"PTO"</formula>
    </cfRule>
  </conditionalFormatting>
  <conditionalFormatting sqref="C69:C70">
    <cfRule type="cellIs" dxfId="29401" priority="120822" operator="equal">
      <formula>"OFF"</formula>
    </cfRule>
    <cfRule type="cellIs" dxfId="29400" priority="120823" operator="equal">
      <formula>"PTO"</formula>
    </cfRule>
  </conditionalFormatting>
  <conditionalFormatting sqref="C69:C70">
    <cfRule type="cellIs" dxfId="29399" priority="120820" operator="equal">
      <formula>"OFF"</formula>
    </cfRule>
    <cfRule type="cellIs" dxfId="29398" priority="120821" operator="equal">
      <formula>"PTO"</formula>
    </cfRule>
  </conditionalFormatting>
  <conditionalFormatting sqref="C69:C70">
    <cfRule type="cellIs" dxfId="29397" priority="120818" operator="equal">
      <formula>"OFF"</formula>
    </cfRule>
    <cfRule type="cellIs" dxfId="29396" priority="120819" operator="equal">
      <formula>"PTO"</formula>
    </cfRule>
  </conditionalFormatting>
  <conditionalFormatting sqref="C69:C70">
    <cfRule type="cellIs" dxfId="29395" priority="120816" operator="equal">
      <formula>"OFF"</formula>
    </cfRule>
    <cfRule type="cellIs" dxfId="29394" priority="120817" operator="equal">
      <formula>"PTO"</formula>
    </cfRule>
  </conditionalFormatting>
  <conditionalFormatting sqref="C69:C70">
    <cfRule type="cellIs" dxfId="29393" priority="120814" operator="equal">
      <formula>"OFF"</formula>
    </cfRule>
    <cfRule type="cellIs" dxfId="29392" priority="120815" operator="equal">
      <formula>"PTO"</formula>
    </cfRule>
  </conditionalFormatting>
  <conditionalFormatting sqref="C69:C70">
    <cfRule type="cellIs" dxfId="29391" priority="120804" operator="equal">
      <formula>"OFF"</formula>
    </cfRule>
    <cfRule type="cellIs" dxfId="29390" priority="120805" operator="equal">
      <formula>"PTO"</formula>
    </cfRule>
  </conditionalFormatting>
  <conditionalFormatting sqref="C69:C70">
    <cfRule type="cellIs" dxfId="29389" priority="120802" operator="equal">
      <formula>"OFF"</formula>
    </cfRule>
    <cfRule type="cellIs" dxfId="29388" priority="120803" operator="equal">
      <formula>"PTO"</formula>
    </cfRule>
  </conditionalFormatting>
  <conditionalFormatting sqref="C69:C70">
    <cfRule type="cellIs" dxfId="29387" priority="120800" operator="equal">
      <formula>"OFF"</formula>
    </cfRule>
    <cfRule type="cellIs" dxfId="29386" priority="120801" operator="equal">
      <formula>"PTO"</formula>
    </cfRule>
  </conditionalFormatting>
  <conditionalFormatting sqref="C69:C70">
    <cfRule type="cellIs" dxfId="29385" priority="120798" operator="equal">
      <formula>"OFF"</formula>
    </cfRule>
    <cfRule type="cellIs" dxfId="29384" priority="120799" operator="equal">
      <formula>"PTO"</formula>
    </cfRule>
  </conditionalFormatting>
  <conditionalFormatting sqref="C69:C70">
    <cfRule type="cellIs" dxfId="29383" priority="120788" operator="equal">
      <formula>"OFF"</formula>
    </cfRule>
    <cfRule type="cellIs" dxfId="29382" priority="120789" operator="equal">
      <formula>"PTO"</formula>
    </cfRule>
  </conditionalFormatting>
  <conditionalFormatting sqref="C69:C70">
    <cfRule type="cellIs" dxfId="29381" priority="120786" operator="equal">
      <formula>"OFF"</formula>
    </cfRule>
    <cfRule type="cellIs" dxfId="29380" priority="120787" operator="equal">
      <formula>"PTO"</formula>
    </cfRule>
  </conditionalFormatting>
  <conditionalFormatting sqref="C69:C70">
    <cfRule type="cellIs" dxfId="29379" priority="120784" operator="equal">
      <formula>"OFF"</formula>
    </cfRule>
    <cfRule type="cellIs" dxfId="29378" priority="120785" operator="equal">
      <formula>"PTO"</formula>
    </cfRule>
  </conditionalFormatting>
  <conditionalFormatting sqref="C69:C70">
    <cfRule type="cellIs" dxfId="29377" priority="120782" operator="equal">
      <formula>"OFF"</formula>
    </cfRule>
    <cfRule type="cellIs" dxfId="29376" priority="120783" operator="equal">
      <formula>"PTO"</formula>
    </cfRule>
  </conditionalFormatting>
  <conditionalFormatting sqref="C69:C70">
    <cfRule type="cellIs" dxfId="29375" priority="120772" operator="equal">
      <formula>"OFF"</formula>
    </cfRule>
    <cfRule type="cellIs" dxfId="29374" priority="120773" operator="equal">
      <formula>"PTO"</formula>
    </cfRule>
  </conditionalFormatting>
  <conditionalFormatting sqref="C69:C70">
    <cfRule type="cellIs" dxfId="29373" priority="120770" operator="equal">
      <formula>"OFF"</formula>
    </cfRule>
    <cfRule type="cellIs" dxfId="29372" priority="120771" operator="equal">
      <formula>"PTO"</formula>
    </cfRule>
  </conditionalFormatting>
  <conditionalFormatting sqref="C69:C70">
    <cfRule type="cellIs" dxfId="29371" priority="120768" operator="equal">
      <formula>"OFF"</formula>
    </cfRule>
    <cfRule type="cellIs" dxfId="29370" priority="120769" operator="equal">
      <formula>"PTO"</formula>
    </cfRule>
  </conditionalFormatting>
  <conditionalFormatting sqref="C69:C70">
    <cfRule type="cellIs" dxfId="29369" priority="120766" operator="equal">
      <formula>"OFF"</formula>
    </cfRule>
    <cfRule type="cellIs" dxfId="29368" priority="120767" operator="equal">
      <formula>"PTO"</formula>
    </cfRule>
  </conditionalFormatting>
  <conditionalFormatting sqref="C69:C70">
    <cfRule type="cellIs" dxfId="29367" priority="120756" operator="equal">
      <formula>"OFF"</formula>
    </cfRule>
    <cfRule type="cellIs" dxfId="29366" priority="120757" operator="equal">
      <formula>"PTO"</formula>
    </cfRule>
  </conditionalFormatting>
  <conditionalFormatting sqref="C69:C70">
    <cfRule type="cellIs" dxfId="29365" priority="120754" operator="equal">
      <formula>"OFF"</formula>
    </cfRule>
    <cfRule type="cellIs" dxfId="29364" priority="120755" operator="equal">
      <formula>"PTO"</formula>
    </cfRule>
  </conditionalFormatting>
  <conditionalFormatting sqref="C69:C70">
    <cfRule type="cellIs" dxfId="29363" priority="120752" operator="equal">
      <formula>"OFF"</formula>
    </cfRule>
    <cfRule type="cellIs" dxfId="29362" priority="120753" operator="equal">
      <formula>"PTO"</formula>
    </cfRule>
  </conditionalFormatting>
  <conditionalFormatting sqref="C69:C70">
    <cfRule type="cellIs" dxfId="29361" priority="120750" operator="equal">
      <formula>"OFF"</formula>
    </cfRule>
    <cfRule type="cellIs" dxfId="29360" priority="120751" operator="equal">
      <formula>"PTO"</formula>
    </cfRule>
  </conditionalFormatting>
  <conditionalFormatting sqref="C69:C70">
    <cfRule type="cellIs" dxfId="29359" priority="120748" operator="equal">
      <formula>"OFF"</formula>
    </cfRule>
    <cfRule type="cellIs" dxfId="29358" priority="120749" operator="equal">
      <formula>"PTO"</formula>
    </cfRule>
  </conditionalFormatting>
  <conditionalFormatting sqref="C69:C70">
    <cfRule type="cellIs" dxfId="29357" priority="120746" operator="equal">
      <formula>"OFF"</formula>
    </cfRule>
    <cfRule type="cellIs" dxfId="29356" priority="120747" operator="equal">
      <formula>"PTO"</formula>
    </cfRule>
  </conditionalFormatting>
  <conditionalFormatting sqref="C69:C70">
    <cfRule type="cellIs" dxfId="29355" priority="120744" operator="equal">
      <formula>"OFF"</formula>
    </cfRule>
    <cfRule type="cellIs" dxfId="29354" priority="120745" operator="equal">
      <formula>"PTO"</formula>
    </cfRule>
  </conditionalFormatting>
  <conditionalFormatting sqref="C69:C70">
    <cfRule type="cellIs" dxfId="29353" priority="120742" operator="equal">
      <formula>"OFF"</formula>
    </cfRule>
    <cfRule type="cellIs" dxfId="29352" priority="120743" operator="equal">
      <formula>"PTO"</formula>
    </cfRule>
  </conditionalFormatting>
  <conditionalFormatting sqref="C69:C70">
    <cfRule type="cellIs" dxfId="29351" priority="120740" operator="equal">
      <formula>"OFF"</formula>
    </cfRule>
    <cfRule type="cellIs" dxfId="29350" priority="120741" operator="equal">
      <formula>"PTO"</formula>
    </cfRule>
  </conditionalFormatting>
  <conditionalFormatting sqref="C69:C70">
    <cfRule type="cellIs" dxfId="29349" priority="120738" operator="equal">
      <formula>"OFF"</formula>
    </cfRule>
    <cfRule type="cellIs" dxfId="29348" priority="120739" operator="equal">
      <formula>"PTO"</formula>
    </cfRule>
  </conditionalFormatting>
  <conditionalFormatting sqref="C69:C70">
    <cfRule type="cellIs" dxfId="29347" priority="120736" operator="equal">
      <formula>"OFF"</formula>
    </cfRule>
    <cfRule type="cellIs" dxfId="29346" priority="120737" operator="equal">
      <formula>"PTO"</formula>
    </cfRule>
  </conditionalFormatting>
  <conditionalFormatting sqref="C69:C70">
    <cfRule type="cellIs" dxfId="29345" priority="120734" operator="equal">
      <formula>"OFF"</formula>
    </cfRule>
    <cfRule type="cellIs" dxfId="29344" priority="120735" operator="equal">
      <formula>"PTO"</formula>
    </cfRule>
  </conditionalFormatting>
  <conditionalFormatting sqref="C69:C70">
    <cfRule type="cellIs" dxfId="29343" priority="120732" operator="equal">
      <formula>"OFF"</formula>
    </cfRule>
    <cfRule type="cellIs" dxfId="29342" priority="120733" operator="equal">
      <formula>"PTO"</formula>
    </cfRule>
  </conditionalFormatting>
  <conditionalFormatting sqref="C69:C70">
    <cfRule type="cellIs" dxfId="29341" priority="120730" operator="equal">
      <formula>"OFF"</formula>
    </cfRule>
    <cfRule type="cellIs" dxfId="29340" priority="120731" operator="equal">
      <formula>"PTO"</formula>
    </cfRule>
  </conditionalFormatting>
  <conditionalFormatting sqref="C69:C70">
    <cfRule type="cellIs" dxfId="29339" priority="120728" operator="equal">
      <formula>"OFF"</formula>
    </cfRule>
    <cfRule type="cellIs" dxfId="29338" priority="120729" operator="equal">
      <formula>"PTO"</formula>
    </cfRule>
  </conditionalFormatting>
  <conditionalFormatting sqref="C69:C70">
    <cfRule type="cellIs" dxfId="29337" priority="120726" operator="equal">
      <formula>"OFF"</formula>
    </cfRule>
    <cfRule type="cellIs" dxfId="29336" priority="120727" operator="equal">
      <formula>"PTO"</formula>
    </cfRule>
  </conditionalFormatting>
  <conditionalFormatting sqref="C69:C70">
    <cfRule type="cellIs" dxfId="29335" priority="120724" operator="equal">
      <formula>"OFF"</formula>
    </cfRule>
    <cfRule type="cellIs" dxfId="29334" priority="120725" operator="equal">
      <formula>"PTO"</formula>
    </cfRule>
  </conditionalFormatting>
  <conditionalFormatting sqref="C69:C70">
    <cfRule type="cellIs" dxfId="29333" priority="120722" operator="equal">
      <formula>"OFF"</formula>
    </cfRule>
    <cfRule type="cellIs" dxfId="29332" priority="120723" operator="equal">
      <formula>"PTO"</formula>
    </cfRule>
  </conditionalFormatting>
  <conditionalFormatting sqref="C69:C70">
    <cfRule type="cellIs" dxfId="29331" priority="120720" operator="equal">
      <formula>"OFF"</formula>
    </cfRule>
    <cfRule type="cellIs" dxfId="29330" priority="120721" operator="equal">
      <formula>"PTO"</formula>
    </cfRule>
  </conditionalFormatting>
  <conditionalFormatting sqref="C69:C70">
    <cfRule type="cellIs" dxfId="29329" priority="120718" operator="equal">
      <formula>"OFF"</formula>
    </cfRule>
    <cfRule type="cellIs" dxfId="29328" priority="120719" operator="equal">
      <formula>"PTO"</formula>
    </cfRule>
  </conditionalFormatting>
  <conditionalFormatting sqref="C69:C70">
    <cfRule type="cellIs" dxfId="29327" priority="120716" operator="equal">
      <formula>"OFF"</formula>
    </cfRule>
    <cfRule type="cellIs" dxfId="29326" priority="120717" operator="equal">
      <formula>"PTO"</formula>
    </cfRule>
  </conditionalFormatting>
  <conditionalFormatting sqref="C69:C70">
    <cfRule type="cellIs" dxfId="29325" priority="120714" operator="equal">
      <formula>"OFF"</formula>
    </cfRule>
    <cfRule type="cellIs" dxfId="29324" priority="120715" operator="equal">
      <formula>"PTO"</formula>
    </cfRule>
  </conditionalFormatting>
  <conditionalFormatting sqref="C69:C70">
    <cfRule type="cellIs" dxfId="29323" priority="120712" operator="equal">
      <formula>"OFF"</formula>
    </cfRule>
    <cfRule type="cellIs" dxfId="29322" priority="120713" operator="equal">
      <formula>"PTO"</formula>
    </cfRule>
  </conditionalFormatting>
  <conditionalFormatting sqref="C69:C70">
    <cfRule type="cellIs" dxfId="29321" priority="120710" operator="equal">
      <formula>"OFF"</formula>
    </cfRule>
    <cfRule type="cellIs" dxfId="29320" priority="120711" operator="equal">
      <formula>"PTO"</formula>
    </cfRule>
  </conditionalFormatting>
  <conditionalFormatting sqref="C69:C70">
    <cfRule type="cellIs" dxfId="29319" priority="120708" operator="equal">
      <formula>"OFF"</formula>
    </cfRule>
    <cfRule type="cellIs" dxfId="29318" priority="120709" operator="equal">
      <formula>"PTO"</formula>
    </cfRule>
  </conditionalFormatting>
  <conditionalFormatting sqref="U69:U70">
    <cfRule type="cellIs" dxfId="29317" priority="120383" operator="equal">
      <formula>"OFF"</formula>
    </cfRule>
    <cfRule type="cellIs" dxfId="29316" priority="120384" operator="equal">
      <formula>"PTO"</formula>
    </cfRule>
  </conditionalFormatting>
  <conditionalFormatting sqref="U69:U70">
    <cfRule type="cellIs" dxfId="29315" priority="120381" operator="equal">
      <formula>"OFF"</formula>
    </cfRule>
    <cfRule type="cellIs" dxfId="29314" priority="120382" operator="equal">
      <formula>"PTO"</formula>
    </cfRule>
  </conditionalFormatting>
  <conditionalFormatting sqref="U69:U70">
    <cfRule type="cellIs" dxfId="29313" priority="120371" operator="equal">
      <formula>"OFF"</formula>
    </cfRule>
    <cfRule type="cellIs" dxfId="29312" priority="120372" operator="equal">
      <formula>"PTO"</formula>
    </cfRule>
  </conditionalFormatting>
  <conditionalFormatting sqref="U69:U70">
    <cfRule type="cellIs" dxfId="29311" priority="120369" operator="equal">
      <formula>"OFF"</formula>
    </cfRule>
    <cfRule type="cellIs" dxfId="29310" priority="120370" operator="equal">
      <formula>"PTO"</formula>
    </cfRule>
  </conditionalFormatting>
  <conditionalFormatting sqref="U69:U70">
    <cfRule type="cellIs" dxfId="29309" priority="120367" operator="equal">
      <formula>"OFF"</formula>
    </cfRule>
    <cfRule type="cellIs" dxfId="29308" priority="120368" operator="equal">
      <formula>"PTO"</formula>
    </cfRule>
  </conditionalFormatting>
  <conditionalFormatting sqref="U69:U70">
    <cfRule type="cellIs" dxfId="29307" priority="120365" operator="equal">
      <formula>"OFF"</formula>
    </cfRule>
    <cfRule type="cellIs" dxfId="29306" priority="120366" operator="equal">
      <formula>"PTO"</formula>
    </cfRule>
  </conditionalFormatting>
  <conditionalFormatting sqref="U69:U70">
    <cfRule type="cellIs" dxfId="29305" priority="120355" operator="equal">
      <formula>"OFF"</formula>
    </cfRule>
    <cfRule type="cellIs" dxfId="29304" priority="120356" operator="equal">
      <formula>"PTO"</formula>
    </cfRule>
  </conditionalFormatting>
  <conditionalFormatting sqref="U69:U70">
    <cfRule type="cellIs" dxfId="29303" priority="120353" operator="equal">
      <formula>"OFF"</formula>
    </cfRule>
    <cfRule type="cellIs" dxfId="29302" priority="120354" operator="equal">
      <formula>"PTO"</formula>
    </cfRule>
  </conditionalFormatting>
  <conditionalFormatting sqref="U69:U70">
    <cfRule type="cellIs" dxfId="29301" priority="120351" operator="equal">
      <formula>"OFF"</formula>
    </cfRule>
    <cfRule type="cellIs" dxfId="29300" priority="120352" operator="equal">
      <formula>"PTO"</formula>
    </cfRule>
  </conditionalFormatting>
  <conditionalFormatting sqref="U69:U70">
    <cfRule type="cellIs" dxfId="29299" priority="120349" operator="equal">
      <formula>"OFF"</formula>
    </cfRule>
    <cfRule type="cellIs" dxfId="29298" priority="120350" operator="equal">
      <formula>"PTO"</formula>
    </cfRule>
  </conditionalFormatting>
  <conditionalFormatting sqref="U69:U70">
    <cfRule type="cellIs" dxfId="29297" priority="120339" operator="equal">
      <formula>"OFF"</formula>
    </cfRule>
    <cfRule type="cellIs" dxfId="29296" priority="120340" operator="equal">
      <formula>"PTO"</formula>
    </cfRule>
  </conditionalFormatting>
  <conditionalFormatting sqref="U69:U70">
    <cfRule type="cellIs" dxfId="29295" priority="120337" operator="equal">
      <formula>"OFF"</formula>
    </cfRule>
    <cfRule type="cellIs" dxfId="29294" priority="120338" operator="equal">
      <formula>"PTO"</formula>
    </cfRule>
  </conditionalFormatting>
  <conditionalFormatting sqref="U69:U70">
    <cfRule type="cellIs" dxfId="29293" priority="120335" operator="equal">
      <formula>"OFF"</formula>
    </cfRule>
    <cfRule type="cellIs" dxfId="29292" priority="120336" operator="equal">
      <formula>"PTO"</formula>
    </cfRule>
  </conditionalFormatting>
  <conditionalFormatting sqref="U69:U70">
    <cfRule type="cellIs" dxfId="29291" priority="120333" operator="equal">
      <formula>"OFF"</formula>
    </cfRule>
    <cfRule type="cellIs" dxfId="29290" priority="120334" operator="equal">
      <formula>"PTO"</formula>
    </cfRule>
  </conditionalFormatting>
  <conditionalFormatting sqref="U69:U70">
    <cfRule type="cellIs" dxfId="29289" priority="120323" operator="equal">
      <formula>"OFF"</formula>
    </cfRule>
    <cfRule type="cellIs" dxfId="29288" priority="120324" operator="equal">
      <formula>"PTO"</formula>
    </cfRule>
  </conditionalFormatting>
  <conditionalFormatting sqref="U69:U70">
    <cfRule type="cellIs" dxfId="29287" priority="120321" operator="equal">
      <formula>"OFF"</formula>
    </cfRule>
    <cfRule type="cellIs" dxfId="29286" priority="120322" operator="equal">
      <formula>"PTO"</formula>
    </cfRule>
  </conditionalFormatting>
  <conditionalFormatting sqref="U69:U70">
    <cfRule type="cellIs" dxfId="29285" priority="120319" operator="equal">
      <formula>"OFF"</formula>
    </cfRule>
    <cfRule type="cellIs" dxfId="29284" priority="120320" operator="equal">
      <formula>"PTO"</formula>
    </cfRule>
  </conditionalFormatting>
  <conditionalFormatting sqref="U69:U70">
    <cfRule type="cellIs" dxfId="29283" priority="120317" operator="equal">
      <formula>"OFF"</formula>
    </cfRule>
    <cfRule type="cellIs" dxfId="29282" priority="120318" operator="equal">
      <formula>"PTO"</formula>
    </cfRule>
  </conditionalFormatting>
  <conditionalFormatting sqref="U69:U70">
    <cfRule type="cellIs" dxfId="29281" priority="120265" operator="equal">
      <formula>"OFF"</formula>
    </cfRule>
    <cfRule type="cellIs" dxfId="29280" priority="120266" operator="equal">
      <formula>"PTO"</formula>
    </cfRule>
  </conditionalFormatting>
  <conditionalFormatting sqref="U69:U70">
    <cfRule type="cellIs" dxfId="29279" priority="120263" operator="equal">
      <formula>"OFF"</formula>
    </cfRule>
    <cfRule type="cellIs" dxfId="29278" priority="120264" operator="equal">
      <formula>"PTO"</formula>
    </cfRule>
  </conditionalFormatting>
  <conditionalFormatting sqref="U69:U70">
    <cfRule type="cellIs" dxfId="29277" priority="120261" operator="equal">
      <formula>"OFF"</formula>
    </cfRule>
    <cfRule type="cellIs" dxfId="29276" priority="120262" operator="equal">
      <formula>"PTO"</formula>
    </cfRule>
  </conditionalFormatting>
  <conditionalFormatting sqref="U69:U70">
    <cfRule type="cellIs" dxfId="29275" priority="120259" operator="equal">
      <formula>"OFF"</formula>
    </cfRule>
    <cfRule type="cellIs" dxfId="29274" priority="120260" operator="equal">
      <formula>"PTO"</formula>
    </cfRule>
  </conditionalFormatting>
  <conditionalFormatting sqref="U69:U70">
    <cfRule type="cellIs" dxfId="29273" priority="120257" operator="equal">
      <formula>"OFF"</formula>
    </cfRule>
    <cfRule type="cellIs" dxfId="29272" priority="120258" operator="equal">
      <formula>"PTO"</formula>
    </cfRule>
  </conditionalFormatting>
  <conditionalFormatting sqref="U69:U70">
    <cfRule type="cellIs" dxfId="29271" priority="120255" operator="equal">
      <formula>"OFF"</formula>
    </cfRule>
    <cfRule type="cellIs" dxfId="29270" priority="120256" operator="equal">
      <formula>"PTO"</formula>
    </cfRule>
  </conditionalFormatting>
  <conditionalFormatting sqref="U69:U70">
    <cfRule type="cellIs" dxfId="29269" priority="120253" operator="equal">
      <formula>"OFF"</formula>
    </cfRule>
    <cfRule type="cellIs" dxfId="29268" priority="120254" operator="equal">
      <formula>"PTO"</formula>
    </cfRule>
  </conditionalFormatting>
  <conditionalFormatting sqref="U69:U70">
    <cfRule type="cellIs" dxfId="29267" priority="120251" operator="equal">
      <formula>"OFF"</formula>
    </cfRule>
    <cfRule type="cellIs" dxfId="29266" priority="120252" operator="equal">
      <formula>"PTO"</formula>
    </cfRule>
  </conditionalFormatting>
  <conditionalFormatting sqref="U69:U70">
    <cfRule type="cellIs" dxfId="29265" priority="120249" operator="equal">
      <formula>"OFF"</formula>
    </cfRule>
    <cfRule type="cellIs" dxfId="29264" priority="120250" operator="equal">
      <formula>"PTO"</formula>
    </cfRule>
  </conditionalFormatting>
  <conditionalFormatting sqref="U69:U70">
    <cfRule type="cellIs" dxfId="29263" priority="120247" operator="equal">
      <formula>"OFF"</formula>
    </cfRule>
    <cfRule type="cellIs" dxfId="29262" priority="120248" operator="equal">
      <formula>"PTO"</formula>
    </cfRule>
  </conditionalFormatting>
  <conditionalFormatting sqref="U69:U70">
    <cfRule type="cellIs" dxfId="29261" priority="120245" operator="equal">
      <formula>"OFF"</formula>
    </cfRule>
    <cfRule type="cellIs" dxfId="29260" priority="120246" operator="equal">
      <formula>"PTO"</formula>
    </cfRule>
  </conditionalFormatting>
  <conditionalFormatting sqref="U69:U70">
    <cfRule type="cellIs" dxfId="29259" priority="120243" operator="equal">
      <formula>"OFF"</formula>
    </cfRule>
    <cfRule type="cellIs" dxfId="29258" priority="120244" operator="equal">
      <formula>"PTO"</formula>
    </cfRule>
  </conditionalFormatting>
  <conditionalFormatting sqref="U69:U70">
    <cfRule type="cellIs" dxfId="29257" priority="120241" operator="equal">
      <formula>"OFF"</formula>
    </cfRule>
    <cfRule type="cellIs" dxfId="29256" priority="120242" operator="equal">
      <formula>"PTO"</formula>
    </cfRule>
  </conditionalFormatting>
  <conditionalFormatting sqref="U69:U70">
    <cfRule type="cellIs" dxfId="29255" priority="120239" operator="equal">
      <formula>"OFF"</formula>
    </cfRule>
    <cfRule type="cellIs" dxfId="29254" priority="120240" operator="equal">
      <formula>"PTO"</formula>
    </cfRule>
  </conditionalFormatting>
  <conditionalFormatting sqref="U69:U70">
    <cfRule type="cellIs" dxfId="29253" priority="120237" operator="equal">
      <formula>"OFF"</formula>
    </cfRule>
    <cfRule type="cellIs" dxfId="29252" priority="120238" operator="equal">
      <formula>"PTO"</formula>
    </cfRule>
  </conditionalFormatting>
  <conditionalFormatting sqref="U69:U70">
    <cfRule type="cellIs" dxfId="29251" priority="120235" operator="equal">
      <formula>"OFF"</formula>
    </cfRule>
    <cfRule type="cellIs" dxfId="29250" priority="120236" operator="equal">
      <formula>"PTO"</formula>
    </cfRule>
  </conditionalFormatting>
  <conditionalFormatting sqref="U69:U70">
    <cfRule type="cellIs" dxfId="29249" priority="120233" operator="equal">
      <formula>"OFF"</formula>
    </cfRule>
    <cfRule type="cellIs" dxfId="29248" priority="120234" operator="equal">
      <formula>"PTO"</formula>
    </cfRule>
  </conditionalFormatting>
  <conditionalFormatting sqref="U69:U70">
    <cfRule type="cellIs" dxfId="29247" priority="120231" operator="equal">
      <formula>"OFF"</formula>
    </cfRule>
    <cfRule type="cellIs" dxfId="29246" priority="120232" operator="equal">
      <formula>"PTO"</formula>
    </cfRule>
  </conditionalFormatting>
  <conditionalFormatting sqref="U69:U70">
    <cfRule type="cellIs" dxfId="29245" priority="120229" operator="equal">
      <formula>"OFF"</formula>
    </cfRule>
    <cfRule type="cellIs" dxfId="29244" priority="120230" operator="equal">
      <formula>"PTO"</formula>
    </cfRule>
  </conditionalFormatting>
  <conditionalFormatting sqref="U69:U70">
    <cfRule type="cellIs" dxfId="29243" priority="120227" operator="equal">
      <formula>"OFF"</formula>
    </cfRule>
    <cfRule type="cellIs" dxfId="29242" priority="120228" operator="equal">
      <formula>"PTO"</formula>
    </cfRule>
  </conditionalFormatting>
  <conditionalFormatting sqref="U69:U70">
    <cfRule type="cellIs" dxfId="29241" priority="120225" operator="equal">
      <formula>"OFF"</formula>
    </cfRule>
    <cfRule type="cellIs" dxfId="29240" priority="120226" operator="equal">
      <formula>"PTO"</formula>
    </cfRule>
  </conditionalFormatting>
  <conditionalFormatting sqref="U69:U70">
    <cfRule type="cellIs" dxfId="29239" priority="120223" operator="equal">
      <formula>"OFF"</formula>
    </cfRule>
    <cfRule type="cellIs" dxfId="29238" priority="120224" operator="equal">
      <formula>"PTO"</formula>
    </cfRule>
  </conditionalFormatting>
  <conditionalFormatting sqref="U69:U70">
    <cfRule type="cellIs" dxfId="29237" priority="120221" operator="equal">
      <formula>"OFF"</formula>
    </cfRule>
    <cfRule type="cellIs" dxfId="29236" priority="120222" operator="equal">
      <formula>"PTO"</formula>
    </cfRule>
  </conditionalFormatting>
  <conditionalFormatting sqref="U69:U70">
    <cfRule type="cellIs" dxfId="29235" priority="120219" operator="equal">
      <formula>"OFF"</formula>
    </cfRule>
    <cfRule type="cellIs" dxfId="29234" priority="120220" operator="equal">
      <formula>"PTO"</formula>
    </cfRule>
  </conditionalFormatting>
  <conditionalFormatting sqref="U69:U70">
    <cfRule type="cellIs" dxfId="29233" priority="120217" operator="equal">
      <formula>"OFF"</formula>
    </cfRule>
    <cfRule type="cellIs" dxfId="29232" priority="120218" operator="equal">
      <formula>"PTO"</formula>
    </cfRule>
  </conditionalFormatting>
  <conditionalFormatting sqref="U69:U70">
    <cfRule type="cellIs" dxfId="29231" priority="120215" operator="equal">
      <formula>"OFF"</formula>
    </cfRule>
    <cfRule type="cellIs" dxfId="29230" priority="120216" operator="equal">
      <formula>"PTO"</formula>
    </cfRule>
  </conditionalFormatting>
  <conditionalFormatting sqref="U69:U70">
    <cfRule type="cellIs" dxfId="29229" priority="120213" operator="equal">
      <formula>"OFF"</formula>
    </cfRule>
    <cfRule type="cellIs" dxfId="29228" priority="120214" operator="equal">
      <formula>"PTO"</formula>
    </cfRule>
  </conditionalFormatting>
  <conditionalFormatting sqref="U69:U70">
    <cfRule type="cellIs" dxfId="29227" priority="120211" operator="equal">
      <formula>"OFF"</formula>
    </cfRule>
    <cfRule type="cellIs" dxfId="29226" priority="120212" operator="equal">
      <formula>"PTO"</formula>
    </cfRule>
  </conditionalFormatting>
  <conditionalFormatting sqref="U69:U70">
    <cfRule type="cellIs" dxfId="29225" priority="120209" operator="equal">
      <formula>"OFF"</formula>
    </cfRule>
    <cfRule type="cellIs" dxfId="29224" priority="120210" operator="equal">
      <formula>"PTO"</formula>
    </cfRule>
  </conditionalFormatting>
  <conditionalFormatting sqref="U69:U70">
    <cfRule type="cellIs" dxfId="29223" priority="120207" operator="equal">
      <formula>"OFF"</formula>
    </cfRule>
    <cfRule type="cellIs" dxfId="29222" priority="120208" operator="equal">
      <formula>"PTO"</formula>
    </cfRule>
  </conditionalFormatting>
  <conditionalFormatting sqref="U69:U70">
    <cfRule type="cellIs" dxfId="29221" priority="120205" operator="equal">
      <formula>"OFF"</formula>
    </cfRule>
    <cfRule type="cellIs" dxfId="29220" priority="120206" operator="equal">
      <formula>"PTO"</formula>
    </cfRule>
  </conditionalFormatting>
  <conditionalFormatting sqref="U69:U70">
    <cfRule type="cellIs" dxfId="29219" priority="120203" operator="equal">
      <formula>"OFF"</formula>
    </cfRule>
    <cfRule type="cellIs" dxfId="29218" priority="120204" operator="equal">
      <formula>"PTO"</formula>
    </cfRule>
  </conditionalFormatting>
  <conditionalFormatting sqref="U69:U70">
    <cfRule type="cellIs" dxfId="29217" priority="120201" operator="equal">
      <formula>"OFF"</formula>
    </cfRule>
    <cfRule type="cellIs" dxfId="29216" priority="120202" operator="equal">
      <formula>"PTO"</formula>
    </cfRule>
  </conditionalFormatting>
  <conditionalFormatting sqref="U69:U70">
    <cfRule type="cellIs" dxfId="29215" priority="120199" operator="equal">
      <formula>"OFF"</formula>
    </cfRule>
    <cfRule type="cellIs" dxfId="29214" priority="120200" operator="equal">
      <formula>"PTO"</formula>
    </cfRule>
  </conditionalFormatting>
  <conditionalFormatting sqref="C69:C70">
    <cfRule type="cellIs" dxfId="29213" priority="120181" operator="equal">
      <formula>"OFF"</formula>
    </cfRule>
    <cfRule type="cellIs" dxfId="29212" priority="120182" operator="equal">
      <formula>"PTO"</formula>
    </cfRule>
  </conditionalFormatting>
  <conditionalFormatting sqref="C69:C70">
    <cfRule type="cellIs" dxfId="29211" priority="120179" operator="equal">
      <formula>"OFF"</formula>
    </cfRule>
    <cfRule type="cellIs" dxfId="29210" priority="120180" operator="equal">
      <formula>"PTO"</formula>
    </cfRule>
  </conditionalFormatting>
  <conditionalFormatting sqref="C69:C70">
    <cfRule type="cellIs" dxfId="29209" priority="120177" operator="equal">
      <formula>"OFF"</formula>
    </cfRule>
    <cfRule type="cellIs" dxfId="29208" priority="120178" operator="equal">
      <formula>"PTO"</formula>
    </cfRule>
  </conditionalFormatting>
  <conditionalFormatting sqref="C69:C70">
    <cfRule type="cellIs" dxfId="29207" priority="120175" operator="equal">
      <formula>"OFF"</formula>
    </cfRule>
    <cfRule type="cellIs" dxfId="29206" priority="120176" operator="equal">
      <formula>"PTO"</formula>
    </cfRule>
  </conditionalFormatting>
  <conditionalFormatting sqref="C69:C70">
    <cfRule type="cellIs" dxfId="29205" priority="120173" operator="equal">
      <formula>"OFF"</formula>
    </cfRule>
    <cfRule type="cellIs" dxfId="29204" priority="120174" operator="equal">
      <formula>"PTO"</formula>
    </cfRule>
  </conditionalFormatting>
  <conditionalFormatting sqref="C69:C70">
    <cfRule type="cellIs" dxfId="29203" priority="120171" operator="equal">
      <formula>"OFF"</formula>
    </cfRule>
    <cfRule type="cellIs" dxfId="29202" priority="120172" operator="equal">
      <formula>"PTO"</formula>
    </cfRule>
  </conditionalFormatting>
  <conditionalFormatting sqref="C69:C70">
    <cfRule type="cellIs" dxfId="29201" priority="120169" operator="equal">
      <formula>"OFF"</formula>
    </cfRule>
    <cfRule type="cellIs" dxfId="29200" priority="120170" operator="equal">
      <formula>"PTO"</formula>
    </cfRule>
  </conditionalFormatting>
  <conditionalFormatting sqref="C69:C70">
    <cfRule type="cellIs" dxfId="29199" priority="120159" operator="equal">
      <formula>"OFF"</formula>
    </cfRule>
    <cfRule type="cellIs" dxfId="29198" priority="120160" operator="equal">
      <formula>"PTO"</formula>
    </cfRule>
  </conditionalFormatting>
  <conditionalFormatting sqref="C69:C70">
    <cfRule type="cellIs" dxfId="29197" priority="120157" operator="equal">
      <formula>"OFF"</formula>
    </cfRule>
    <cfRule type="cellIs" dxfId="29196" priority="120158" operator="equal">
      <formula>"PTO"</formula>
    </cfRule>
  </conditionalFormatting>
  <conditionalFormatting sqref="C69:C70">
    <cfRule type="cellIs" dxfId="29195" priority="120155" operator="equal">
      <formula>"OFF"</formula>
    </cfRule>
    <cfRule type="cellIs" dxfId="29194" priority="120156" operator="equal">
      <formula>"PTO"</formula>
    </cfRule>
  </conditionalFormatting>
  <conditionalFormatting sqref="C69:C70">
    <cfRule type="cellIs" dxfId="29193" priority="120153" operator="equal">
      <formula>"OFF"</formula>
    </cfRule>
    <cfRule type="cellIs" dxfId="29192" priority="120154" operator="equal">
      <formula>"PTO"</formula>
    </cfRule>
  </conditionalFormatting>
  <conditionalFormatting sqref="C69:C70">
    <cfRule type="cellIs" dxfId="29191" priority="120143" operator="equal">
      <formula>"OFF"</formula>
    </cfRule>
    <cfRule type="cellIs" dxfId="29190" priority="120144" operator="equal">
      <formula>"PTO"</formula>
    </cfRule>
  </conditionalFormatting>
  <conditionalFormatting sqref="C69:C70">
    <cfRule type="cellIs" dxfId="29189" priority="120141" operator="equal">
      <formula>"OFF"</formula>
    </cfRule>
    <cfRule type="cellIs" dxfId="29188" priority="120142" operator="equal">
      <formula>"PTO"</formula>
    </cfRule>
  </conditionalFormatting>
  <conditionalFormatting sqref="C69:C70">
    <cfRule type="cellIs" dxfId="29187" priority="120139" operator="equal">
      <formula>"OFF"</formula>
    </cfRule>
    <cfRule type="cellIs" dxfId="29186" priority="120140" operator="equal">
      <formula>"PTO"</formula>
    </cfRule>
  </conditionalFormatting>
  <conditionalFormatting sqref="C69:C70">
    <cfRule type="cellIs" dxfId="29185" priority="120137" operator="equal">
      <formula>"OFF"</formula>
    </cfRule>
    <cfRule type="cellIs" dxfId="29184" priority="120138" operator="equal">
      <formula>"PTO"</formula>
    </cfRule>
  </conditionalFormatting>
  <conditionalFormatting sqref="C69:C70">
    <cfRule type="cellIs" dxfId="29183" priority="120127" operator="equal">
      <formula>"OFF"</formula>
    </cfRule>
    <cfRule type="cellIs" dxfId="29182" priority="120128" operator="equal">
      <formula>"PTO"</formula>
    </cfRule>
  </conditionalFormatting>
  <conditionalFormatting sqref="C69:C70">
    <cfRule type="cellIs" dxfId="29181" priority="120125" operator="equal">
      <formula>"OFF"</formula>
    </cfRule>
    <cfRule type="cellIs" dxfId="29180" priority="120126" operator="equal">
      <formula>"PTO"</formula>
    </cfRule>
  </conditionalFormatting>
  <conditionalFormatting sqref="C69:C70">
    <cfRule type="cellIs" dxfId="29179" priority="120123" operator="equal">
      <formula>"OFF"</formula>
    </cfRule>
    <cfRule type="cellIs" dxfId="29178" priority="120124" operator="equal">
      <formula>"PTO"</formula>
    </cfRule>
  </conditionalFormatting>
  <conditionalFormatting sqref="C69:C70">
    <cfRule type="cellIs" dxfId="29177" priority="120121" operator="equal">
      <formula>"OFF"</formula>
    </cfRule>
    <cfRule type="cellIs" dxfId="29176" priority="120122" operator="equal">
      <formula>"PTO"</formula>
    </cfRule>
  </conditionalFormatting>
  <conditionalFormatting sqref="C69:C70">
    <cfRule type="cellIs" dxfId="29175" priority="120111" operator="equal">
      <formula>"OFF"</formula>
    </cfRule>
    <cfRule type="cellIs" dxfId="29174" priority="120112" operator="equal">
      <formula>"PTO"</formula>
    </cfRule>
  </conditionalFormatting>
  <conditionalFormatting sqref="C69:C70">
    <cfRule type="cellIs" dxfId="29173" priority="120109" operator="equal">
      <formula>"OFF"</formula>
    </cfRule>
    <cfRule type="cellIs" dxfId="29172" priority="120110" operator="equal">
      <formula>"PTO"</formula>
    </cfRule>
  </conditionalFormatting>
  <conditionalFormatting sqref="C69:C70">
    <cfRule type="cellIs" dxfId="29171" priority="120107" operator="equal">
      <formula>"OFF"</formula>
    </cfRule>
    <cfRule type="cellIs" dxfId="29170" priority="120108" operator="equal">
      <formula>"PTO"</formula>
    </cfRule>
  </conditionalFormatting>
  <conditionalFormatting sqref="C69:C70">
    <cfRule type="cellIs" dxfId="29169" priority="120105" operator="equal">
      <formula>"OFF"</formula>
    </cfRule>
    <cfRule type="cellIs" dxfId="29168" priority="120106" operator="equal">
      <formula>"PTO"</formula>
    </cfRule>
  </conditionalFormatting>
  <conditionalFormatting sqref="C69:C70">
    <cfRule type="cellIs" dxfId="29167" priority="120103" operator="equal">
      <formula>"OFF"</formula>
    </cfRule>
    <cfRule type="cellIs" dxfId="29166" priority="120104" operator="equal">
      <formula>"PTO"</formula>
    </cfRule>
  </conditionalFormatting>
  <conditionalFormatting sqref="C69:C70">
    <cfRule type="cellIs" dxfId="29165" priority="120101" operator="equal">
      <formula>"OFF"</formula>
    </cfRule>
    <cfRule type="cellIs" dxfId="29164" priority="120102" operator="equal">
      <formula>"PTO"</formula>
    </cfRule>
  </conditionalFormatting>
  <conditionalFormatting sqref="C69:C70">
    <cfRule type="cellIs" dxfId="29163" priority="120099" operator="equal">
      <formula>"OFF"</formula>
    </cfRule>
    <cfRule type="cellIs" dxfId="29162" priority="120100" operator="equal">
      <formula>"PTO"</formula>
    </cfRule>
  </conditionalFormatting>
  <conditionalFormatting sqref="C69:C70">
    <cfRule type="cellIs" dxfId="29161" priority="120097" operator="equal">
      <formula>"OFF"</formula>
    </cfRule>
    <cfRule type="cellIs" dxfId="29160" priority="120098" operator="equal">
      <formula>"PTO"</formula>
    </cfRule>
  </conditionalFormatting>
  <conditionalFormatting sqref="C69:C70">
    <cfRule type="cellIs" dxfId="29159" priority="120095" operator="equal">
      <formula>"OFF"</formula>
    </cfRule>
    <cfRule type="cellIs" dxfId="29158" priority="120096" operator="equal">
      <formula>"PTO"</formula>
    </cfRule>
  </conditionalFormatting>
  <conditionalFormatting sqref="C69:C70">
    <cfRule type="cellIs" dxfId="29157" priority="120093" operator="equal">
      <formula>"OFF"</formula>
    </cfRule>
    <cfRule type="cellIs" dxfId="29156" priority="120094" operator="equal">
      <formula>"PTO"</formula>
    </cfRule>
  </conditionalFormatting>
  <conditionalFormatting sqref="C69:C70">
    <cfRule type="cellIs" dxfId="29155" priority="120091" operator="equal">
      <formula>"OFF"</formula>
    </cfRule>
    <cfRule type="cellIs" dxfId="29154" priority="120092" operator="equal">
      <formula>"PTO"</formula>
    </cfRule>
  </conditionalFormatting>
  <conditionalFormatting sqref="C69:C70">
    <cfRule type="cellIs" dxfId="29153" priority="120089" operator="equal">
      <formula>"OFF"</formula>
    </cfRule>
    <cfRule type="cellIs" dxfId="29152" priority="120090" operator="equal">
      <formula>"PTO"</formula>
    </cfRule>
  </conditionalFormatting>
  <conditionalFormatting sqref="C69:C70">
    <cfRule type="cellIs" dxfId="29151" priority="120087" operator="equal">
      <formula>"OFF"</formula>
    </cfRule>
    <cfRule type="cellIs" dxfId="29150" priority="120088" operator="equal">
      <formula>"PTO"</formula>
    </cfRule>
  </conditionalFormatting>
  <conditionalFormatting sqref="C69:C70">
    <cfRule type="cellIs" dxfId="29149" priority="120085" operator="equal">
      <formula>"OFF"</formula>
    </cfRule>
    <cfRule type="cellIs" dxfId="29148" priority="120086" operator="equal">
      <formula>"PTO"</formula>
    </cfRule>
  </conditionalFormatting>
  <conditionalFormatting sqref="C69:C70">
    <cfRule type="cellIs" dxfId="29147" priority="120083" operator="equal">
      <formula>"OFF"</formula>
    </cfRule>
    <cfRule type="cellIs" dxfId="29146" priority="120084" operator="equal">
      <formula>"PTO"</formula>
    </cfRule>
  </conditionalFormatting>
  <conditionalFormatting sqref="C69:C70">
    <cfRule type="cellIs" dxfId="29145" priority="120081" operator="equal">
      <formula>"OFF"</formula>
    </cfRule>
    <cfRule type="cellIs" dxfId="29144" priority="120082" operator="equal">
      <formula>"PTO"</formula>
    </cfRule>
  </conditionalFormatting>
  <conditionalFormatting sqref="C69:C70">
    <cfRule type="cellIs" dxfId="29143" priority="120079" operator="equal">
      <formula>"OFF"</formula>
    </cfRule>
    <cfRule type="cellIs" dxfId="29142" priority="120080" operator="equal">
      <formula>"PTO"</formula>
    </cfRule>
  </conditionalFormatting>
  <conditionalFormatting sqref="C69:C70">
    <cfRule type="cellIs" dxfId="29141" priority="120077" operator="equal">
      <formula>"OFF"</formula>
    </cfRule>
    <cfRule type="cellIs" dxfId="29140" priority="120078" operator="equal">
      <formula>"PTO"</formula>
    </cfRule>
  </conditionalFormatting>
  <conditionalFormatting sqref="C69:C70">
    <cfRule type="cellIs" dxfId="29139" priority="120075" operator="equal">
      <formula>"OFF"</formula>
    </cfRule>
    <cfRule type="cellIs" dxfId="29138" priority="120076" operator="equal">
      <formula>"PTO"</formula>
    </cfRule>
  </conditionalFormatting>
  <conditionalFormatting sqref="C69:C70">
    <cfRule type="cellIs" dxfId="29137" priority="120073" operator="equal">
      <formula>"OFF"</formula>
    </cfRule>
    <cfRule type="cellIs" dxfId="29136" priority="120074" operator="equal">
      <formula>"PTO"</formula>
    </cfRule>
  </conditionalFormatting>
  <conditionalFormatting sqref="C69:C70">
    <cfRule type="cellIs" dxfId="29135" priority="120071" operator="equal">
      <formula>"OFF"</formula>
    </cfRule>
    <cfRule type="cellIs" dxfId="29134" priority="120072" operator="equal">
      <formula>"PTO"</formula>
    </cfRule>
  </conditionalFormatting>
  <conditionalFormatting sqref="C69:C70">
    <cfRule type="cellIs" dxfId="29133" priority="120069" operator="equal">
      <formula>"OFF"</formula>
    </cfRule>
    <cfRule type="cellIs" dxfId="29132" priority="120070" operator="equal">
      <formula>"PTO"</formula>
    </cfRule>
  </conditionalFormatting>
  <conditionalFormatting sqref="C69:C70">
    <cfRule type="cellIs" dxfId="29131" priority="120067" operator="equal">
      <formula>"OFF"</formula>
    </cfRule>
    <cfRule type="cellIs" dxfId="29130" priority="120068" operator="equal">
      <formula>"PTO"</formula>
    </cfRule>
  </conditionalFormatting>
  <conditionalFormatting sqref="C69:C70">
    <cfRule type="cellIs" dxfId="29129" priority="120065" operator="equal">
      <formula>"OFF"</formula>
    </cfRule>
    <cfRule type="cellIs" dxfId="29128" priority="120066" operator="equal">
      <formula>"PTO"</formula>
    </cfRule>
  </conditionalFormatting>
  <conditionalFormatting sqref="C69:C70">
    <cfRule type="cellIs" dxfId="29127" priority="120063" operator="equal">
      <formula>"OFF"</formula>
    </cfRule>
    <cfRule type="cellIs" dxfId="29126" priority="120064" operator="equal">
      <formula>"PTO"</formula>
    </cfRule>
  </conditionalFormatting>
  <conditionalFormatting sqref="Q25:X25">
    <cfRule type="cellIs" dxfId="29125" priority="112924" operator="equal">
      <formula>"OFF"</formula>
    </cfRule>
    <cfRule type="cellIs" dxfId="29124" priority="112925" operator="equal">
      <formula>"PTO"</formula>
    </cfRule>
  </conditionalFormatting>
  <conditionalFormatting sqref="W69:W70">
    <cfRule type="cellIs" dxfId="29123" priority="108454" operator="equal">
      <formula>"OFF"</formula>
    </cfRule>
    <cfRule type="cellIs" dxfId="29122" priority="108455" operator="equal">
      <formula>"PTO"</formula>
    </cfRule>
  </conditionalFormatting>
  <conditionalFormatting sqref="W69:W70">
    <cfRule type="cellIs" dxfId="29121" priority="108452" operator="equal">
      <formula>"OFF"</formula>
    </cfRule>
    <cfRule type="cellIs" dxfId="29120" priority="108453" operator="equal">
      <formula>"PTO"</formula>
    </cfRule>
  </conditionalFormatting>
  <conditionalFormatting sqref="W69:W70">
    <cfRule type="cellIs" dxfId="29119" priority="108450" operator="equal">
      <formula>"OFF"</formula>
    </cfRule>
    <cfRule type="cellIs" dxfId="29118" priority="108451" operator="equal">
      <formula>"PTO"</formula>
    </cfRule>
  </conditionalFormatting>
  <conditionalFormatting sqref="W69:W70">
    <cfRule type="cellIs" dxfId="29117" priority="108448" operator="equal">
      <formula>"OFF"</formula>
    </cfRule>
    <cfRule type="cellIs" dxfId="29116" priority="108449" operator="equal">
      <formula>"PTO"</formula>
    </cfRule>
  </conditionalFormatting>
  <conditionalFormatting sqref="W69:W70">
    <cfRule type="cellIs" dxfId="29115" priority="108446" operator="equal">
      <formula>"OFF"</formula>
    </cfRule>
    <cfRule type="cellIs" dxfId="29114" priority="108447" operator="equal">
      <formula>"PTO"</formula>
    </cfRule>
  </conditionalFormatting>
  <conditionalFormatting sqref="W69:W70">
    <cfRule type="cellIs" dxfId="29113" priority="108444" operator="equal">
      <formula>"OFF"</formula>
    </cfRule>
    <cfRule type="cellIs" dxfId="29112" priority="108445" operator="equal">
      <formula>"PTO"</formula>
    </cfRule>
  </conditionalFormatting>
  <conditionalFormatting sqref="W69:W70">
    <cfRule type="cellIs" dxfId="29111" priority="108442" operator="equal">
      <formula>"OFF"</formula>
    </cfRule>
    <cfRule type="cellIs" dxfId="29110" priority="108443" operator="equal">
      <formula>"PTO"</formula>
    </cfRule>
  </conditionalFormatting>
  <conditionalFormatting sqref="W69:W70">
    <cfRule type="cellIs" dxfId="29109" priority="108440" operator="equal">
      <formula>"OFF"</formula>
    </cfRule>
    <cfRule type="cellIs" dxfId="29108" priority="108441" operator="equal">
      <formula>"PTO"</formula>
    </cfRule>
  </conditionalFormatting>
  <conditionalFormatting sqref="W69:W70">
    <cfRule type="cellIs" dxfId="29107" priority="108438" operator="equal">
      <formula>"OFF"</formula>
    </cfRule>
    <cfRule type="cellIs" dxfId="29106" priority="108439" operator="equal">
      <formula>"PTO"</formula>
    </cfRule>
  </conditionalFormatting>
  <conditionalFormatting sqref="W69:W70">
    <cfRule type="cellIs" dxfId="29105" priority="108436" operator="equal">
      <formula>"OFF"</formula>
    </cfRule>
    <cfRule type="cellIs" dxfId="29104" priority="108437" operator="equal">
      <formula>"PTO"</formula>
    </cfRule>
  </conditionalFormatting>
  <conditionalFormatting sqref="W69:W70">
    <cfRule type="cellIs" dxfId="29103" priority="108434" operator="equal">
      <formula>"OFF"</formula>
    </cfRule>
    <cfRule type="cellIs" dxfId="29102" priority="108435" operator="equal">
      <formula>"PTO"</formula>
    </cfRule>
  </conditionalFormatting>
  <conditionalFormatting sqref="W69:W70">
    <cfRule type="cellIs" dxfId="29101" priority="108432" operator="equal">
      <formula>"OFF"</formula>
    </cfRule>
    <cfRule type="cellIs" dxfId="29100" priority="108433" operator="equal">
      <formula>"PTO"</formula>
    </cfRule>
  </conditionalFormatting>
  <conditionalFormatting sqref="W69:W70">
    <cfRule type="cellIs" dxfId="29099" priority="108430" operator="equal">
      <formula>"OFF"</formula>
    </cfRule>
    <cfRule type="cellIs" dxfId="29098" priority="108431" operator="equal">
      <formula>"PTO"</formula>
    </cfRule>
  </conditionalFormatting>
  <conditionalFormatting sqref="O4:P25 J4:J25">
    <cfRule type="cellIs" dxfId="29097" priority="103876" operator="equal">
      <formula>"OFF"</formula>
    </cfRule>
    <cfRule type="cellIs" dxfId="29096" priority="103877" operator="equal">
      <formula>"PTO"</formula>
    </cfRule>
  </conditionalFormatting>
  <conditionalFormatting sqref="O8:P8 J8">
    <cfRule type="cellIs" dxfId="29095" priority="103874" operator="equal">
      <formula>"OFF"</formula>
    </cfRule>
    <cfRule type="cellIs" dxfId="29094" priority="103875" operator="equal">
      <formula>"PTO"</formula>
    </cfRule>
  </conditionalFormatting>
  <conditionalFormatting sqref="O10:P10 J10">
    <cfRule type="cellIs" dxfId="29093" priority="103872" operator="equal">
      <formula>"OFF"</formula>
    </cfRule>
    <cfRule type="cellIs" dxfId="29092" priority="103873" operator="equal">
      <formula>"PTO"</formula>
    </cfRule>
  </conditionalFormatting>
  <conditionalFormatting sqref="J12 O11:P12 O14:P14 J14 J16:J17 O16:P17 J20:J22 O19:P22">
    <cfRule type="cellIs" dxfId="29091" priority="103870" operator="equal">
      <formula>"OFF"</formula>
    </cfRule>
    <cfRule type="cellIs" dxfId="29090" priority="103871" operator="equal">
      <formula>"PTO"</formula>
    </cfRule>
  </conditionalFormatting>
  <conditionalFormatting sqref="K4:L25">
    <cfRule type="cellIs" dxfId="29089" priority="103868" operator="equal">
      <formula>"OFF"</formula>
    </cfRule>
    <cfRule type="cellIs" dxfId="29088" priority="103869" operator="equal">
      <formula>"PTO"</formula>
    </cfRule>
  </conditionalFormatting>
  <conditionalFormatting sqref="K8:L8">
    <cfRule type="cellIs" dxfId="29087" priority="103866" operator="equal">
      <formula>"OFF"</formula>
    </cfRule>
    <cfRule type="cellIs" dxfId="29086" priority="103867" operator="equal">
      <formula>"PTO"</formula>
    </cfRule>
  </conditionalFormatting>
  <conditionalFormatting sqref="K10:L10">
    <cfRule type="cellIs" dxfId="29085" priority="103864" operator="equal">
      <formula>"OFF"</formula>
    </cfRule>
    <cfRule type="cellIs" dxfId="29084" priority="103865" operator="equal">
      <formula>"PTO"</formula>
    </cfRule>
  </conditionalFormatting>
  <conditionalFormatting sqref="K11:L12 K14:L14 K16:L17 K19:L23">
    <cfRule type="cellIs" dxfId="29083" priority="103862" operator="equal">
      <formula>"OFF"</formula>
    </cfRule>
    <cfRule type="cellIs" dxfId="29082" priority="103863" operator="equal">
      <formula>"PTO"</formula>
    </cfRule>
  </conditionalFormatting>
  <conditionalFormatting sqref="M4:N25">
    <cfRule type="cellIs" dxfId="29081" priority="103860" operator="equal">
      <formula>"OFF"</formula>
    </cfRule>
    <cfRule type="cellIs" dxfId="29080" priority="103861" operator="equal">
      <formula>"PTO"</formula>
    </cfRule>
  </conditionalFormatting>
  <conditionalFormatting sqref="M8:N8">
    <cfRule type="cellIs" dxfId="29079" priority="103858" operator="equal">
      <formula>"OFF"</formula>
    </cfRule>
    <cfRule type="cellIs" dxfId="29078" priority="103859" operator="equal">
      <formula>"PTO"</formula>
    </cfRule>
  </conditionalFormatting>
  <conditionalFormatting sqref="M10:N10">
    <cfRule type="cellIs" dxfId="29077" priority="103856" operator="equal">
      <formula>"OFF"</formula>
    </cfRule>
    <cfRule type="cellIs" dxfId="29076" priority="103857" operator="equal">
      <formula>"PTO"</formula>
    </cfRule>
  </conditionalFormatting>
  <conditionalFormatting sqref="M11:N12 M14:N14 M16:N17 M19:N23">
    <cfRule type="cellIs" dxfId="29075" priority="103854" operator="equal">
      <formula>"OFF"</formula>
    </cfRule>
    <cfRule type="cellIs" dxfId="29074" priority="103855" operator="equal">
      <formula>"PTO"</formula>
    </cfRule>
  </conditionalFormatting>
  <conditionalFormatting sqref="J20 P20 M20">
    <cfRule type="cellIs" dxfId="29073" priority="103852" operator="equal">
      <formula>"OFF"</formula>
    </cfRule>
    <cfRule type="cellIs" dxfId="29072" priority="103853" operator="equal">
      <formula>"PTO"</formula>
    </cfRule>
  </conditionalFormatting>
  <conditionalFormatting sqref="P19 M19">
    <cfRule type="cellIs" dxfId="29071" priority="103850" operator="equal">
      <formula>"OFF"</formula>
    </cfRule>
    <cfRule type="cellIs" dxfId="29070" priority="103851" operator="equal">
      <formula>"PTO"</formula>
    </cfRule>
  </conditionalFormatting>
  <conditionalFormatting sqref="M19:N19">
    <cfRule type="cellIs" dxfId="29069" priority="103848" operator="equal">
      <formula>"OFF"</formula>
    </cfRule>
    <cfRule type="cellIs" dxfId="29068" priority="103849" operator="equal">
      <formula>"PTO"</formula>
    </cfRule>
  </conditionalFormatting>
  <conditionalFormatting sqref="M20:N20">
    <cfRule type="cellIs" dxfId="29067" priority="103846" operator="equal">
      <formula>"OFF"</formula>
    </cfRule>
    <cfRule type="cellIs" dxfId="29066" priority="103847" operator="equal">
      <formula>"PTO"</formula>
    </cfRule>
  </conditionalFormatting>
  <conditionalFormatting sqref="K19:L19">
    <cfRule type="cellIs" dxfId="29065" priority="103844" operator="equal">
      <formula>"OFF"</formula>
    </cfRule>
    <cfRule type="cellIs" dxfId="29064" priority="103845" operator="equal">
      <formula>"PTO"</formula>
    </cfRule>
  </conditionalFormatting>
  <conditionalFormatting sqref="K20:L20">
    <cfRule type="cellIs" dxfId="29063" priority="103842" operator="equal">
      <formula>"OFF"</formula>
    </cfRule>
    <cfRule type="cellIs" dxfId="29062" priority="103843" operator="equal">
      <formula>"PTO"</formula>
    </cfRule>
  </conditionalFormatting>
  <conditionalFormatting sqref="O19:O20">
    <cfRule type="cellIs" dxfId="29061" priority="103840" operator="equal">
      <formula>"OFF"</formula>
    </cfRule>
    <cfRule type="cellIs" dxfId="29060" priority="103841" operator="equal">
      <formula>"PTO"</formula>
    </cfRule>
  </conditionalFormatting>
  <conditionalFormatting sqref="J21 P21 M21">
    <cfRule type="cellIs" dxfId="29059" priority="103838" operator="equal">
      <formula>"OFF"</formula>
    </cfRule>
    <cfRule type="cellIs" dxfId="29058" priority="103839" operator="equal">
      <formula>"PTO"</formula>
    </cfRule>
  </conditionalFormatting>
  <conditionalFormatting sqref="J22 P22 M22:M23">
    <cfRule type="cellIs" dxfId="29057" priority="103836" operator="equal">
      <formula>"OFF"</formula>
    </cfRule>
    <cfRule type="cellIs" dxfId="29056" priority="103837" operator="equal">
      <formula>"PTO"</formula>
    </cfRule>
  </conditionalFormatting>
  <conditionalFormatting sqref="M21:N21">
    <cfRule type="cellIs" dxfId="29055" priority="103834" operator="equal">
      <formula>"OFF"</formula>
    </cfRule>
    <cfRule type="cellIs" dxfId="29054" priority="103835" operator="equal">
      <formula>"PTO"</formula>
    </cfRule>
  </conditionalFormatting>
  <conditionalFormatting sqref="M22:N23">
    <cfRule type="cellIs" dxfId="29053" priority="103832" operator="equal">
      <formula>"OFF"</formula>
    </cfRule>
    <cfRule type="cellIs" dxfId="29052" priority="103833" operator="equal">
      <formula>"PTO"</formula>
    </cfRule>
  </conditionalFormatting>
  <conditionalFormatting sqref="K21:L21">
    <cfRule type="cellIs" dxfId="29051" priority="103830" operator="equal">
      <formula>"OFF"</formula>
    </cfRule>
    <cfRule type="cellIs" dxfId="29050" priority="103831" operator="equal">
      <formula>"PTO"</formula>
    </cfRule>
  </conditionalFormatting>
  <conditionalFormatting sqref="K22:L23">
    <cfRule type="cellIs" dxfId="29049" priority="103828" operator="equal">
      <formula>"OFF"</formula>
    </cfRule>
    <cfRule type="cellIs" dxfId="29048" priority="103829" operator="equal">
      <formula>"PTO"</formula>
    </cfRule>
  </conditionalFormatting>
  <conditionalFormatting sqref="O21:O22">
    <cfRule type="cellIs" dxfId="29047" priority="103826" operator="equal">
      <formula>"OFF"</formula>
    </cfRule>
    <cfRule type="cellIs" dxfId="29046" priority="103827" operator="equal">
      <formula>"PTO"</formula>
    </cfRule>
  </conditionalFormatting>
  <conditionalFormatting sqref="J13:P13">
    <cfRule type="cellIs" dxfId="29045" priority="103824" operator="equal">
      <formula>"OFF"</formula>
    </cfRule>
    <cfRule type="cellIs" dxfId="29044" priority="103825" operator="equal">
      <formula>"PTO"</formula>
    </cfRule>
  </conditionalFormatting>
  <conditionalFormatting sqref="J13:P13">
    <cfRule type="cellIs" dxfId="29043" priority="103822" operator="equal">
      <formula>"OFF"</formula>
    </cfRule>
    <cfRule type="cellIs" dxfId="29042" priority="103823" operator="equal">
      <formula>"PTO"</formula>
    </cfRule>
  </conditionalFormatting>
  <conditionalFormatting sqref="J13:P13">
    <cfRule type="cellIs" dxfId="29041" priority="103820" operator="equal">
      <formula>"OFF"</formula>
    </cfRule>
    <cfRule type="cellIs" dxfId="29040" priority="103821" operator="equal">
      <formula>"PTO"</formula>
    </cfRule>
  </conditionalFormatting>
  <conditionalFormatting sqref="J13:P13">
    <cfRule type="cellIs" dxfId="29039" priority="103818" operator="equal">
      <formula>"OFF"</formula>
    </cfRule>
    <cfRule type="cellIs" dxfId="29038" priority="103819" operator="equal">
      <formula>"PTO"</formula>
    </cfRule>
  </conditionalFormatting>
  <conditionalFormatting sqref="J13:P13">
    <cfRule type="cellIs" dxfId="29037" priority="103816" operator="equal">
      <formula>"OFF"</formula>
    </cfRule>
    <cfRule type="cellIs" dxfId="29036" priority="103817" operator="equal">
      <formula>"PTO"</formula>
    </cfRule>
  </conditionalFormatting>
  <conditionalFormatting sqref="J13:P13">
    <cfRule type="cellIs" dxfId="29035" priority="103814" operator="equal">
      <formula>"OFF"</formula>
    </cfRule>
    <cfRule type="cellIs" dxfId="29034" priority="103815" operator="equal">
      <formula>"PTO"</formula>
    </cfRule>
  </conditionalFormatting>
  <conditionalFormatting sqref="J13:P13">
    <cfRule type="cellIs" dxfId="29033" priority="103812" operator="equal">
      <formula>"OFF"</formula>
    </cfRule>
    <cfRule type="cellIs" dxfId="29032" priority="103813" operator="equal">
      <formula>"PTO"</formula>
    </cfRule>
  </conditionalFormatting>
  <conditionalFormatting sqref="J13:P13">
    <cfRule type="cellIs" dxfId="29031" priority="103810" operator="equal">
      <formula>"OFF"</formula>
    </cfRule>
    <cfRule type="cellIs" dxfId="29030" priority="103811" operator="equal">
      <formula>"PTO"</formula>
    </cfRule>
  </conditionalFormatting>
  <conditionalFormatting sqref="J15:P15">
    <cfRule type="cellIs" dxfId="29029" priority="103808" operator="equal">
      <formula>"OFF"</formula>
    </cfRule>
    <cfRule type="cellIs" dxfId="29028" priority="103809" operator="equal">
      <formula>"PTO"</formula>
    </cfRule>
  </conditionalFormatting>
  <conditionalFormatting sqref="J15:P15">
    <cfRule type="cellIs" dxfId="29027" priority="103806" operator="equal">
      <formula>"OFF"</formula>
    </cfRule>
    <cfRule type="cellIs" dxfId="29026" priority="103807" operator="equal">
      <formula>"PTO"</formula>
    </cfRule>
  </conditionalFormatting>
  <conditionalFormatting sqref="J15:P15">
    <cfRule type="cellIs" dxfId="29025" priority="103804" operator="equal">
      <formula>"OFF"</formula>
    </cfRule>
    <cfRule type="cellIs" dxfId="29024" priority="103805" operator="equal">
      <formula>"PTO"</formula>
    </cfRule>
  </conditionalFormatting>
  <conditionalFormatting sqref="J15:P15">
    <cfRule type="cellIs" dxfId="29023" priority="103802" operator="equal">
      <formula>"OFF"</formula>
    </cfRule>
    <cfRule type="cellIs" dxfId="29022" priority="103803" operator="equal">
      <formula>"PTO"</formula>
    </cfRule>
  </conditionalFormatting>
  <conditionalFormatting sqref="J15:P15">
    <cfRule type="cellIs" dxfId="29021" priority="103800" operator="equal">
      <formula>"OFF"</formula>
    </cfRule>
    <cfRule type="cellIs" dxfId="29020" priority="103801" operator="equal">
      <formula>"PTO"</formula>
    </cfRule>
  </conditionalFormatting>
  <conditionalFormatting sqref="J15:P15">
    <cfRule type="cellIs" dxfId="29019" priority="103798" operator="equal">
      <formula>"OFF"</formula>
    </cfRule>
    <cfRule type="cellIs" dxfId="29018" priority="103799" operator="equal">
      <formula>"PTO"</formula>
    </cfRule>
  </conditionalFormatting>
  <conditionalFormatting sqref="J15:P15">
    <cfRule type="cellIs" dxfId="29017" priority="103796" operator="equal">
      <formula>"OFF"</formula>
    </cfRule>
    <cfRule type="cellIs" dxfId="29016" priority="103797" operator="equal">
      <formula>"PTO"</formula>
    </cfRule>
  </conditionalFormatting>
  <conditionalFormatting sqref="J15:P15">
    <cfRule type="cellIs" dxfId="29015" priority="103794" operator="equal">
      <formula>"OFF"</formula>
    </cfRule>
    <cfRule type="cellIs" dxfId="29014" priority="103795" operator="equal">
      <formula>"PTO"</formula>
    </cfRule>
  </conditionalFormatting>
  <conditionalFormatting sqref="J18:P18">
    <cfRule type="cellIs" dxfId="29013" priority="103792" operator="equal">
      <formula>"OFF"</formula>
    </cfRule>
    <cfRule type="cellIs" dxfId="29012" priority="103793" operator="equal">
      <formula>"PTO"</formula>
    </cfRule>
  </conditionalFormatting>
  <conditionalFormatting sqref="J18:P18">
    <cfRule type="cellIs" dxfId="29011" priority="103790" operator="equal">
      <formula>"OFF"</formula>
    </cfRule>
    <cfRule type="cellIs" dxfId="29010" priority="103791" operator="equal">
      <formula>"PTO"</formula>
    </cfRule>
  </conditionalFormatting>
  <conditionalFormatting sqref="J18:P18">
    <cfRule type="cellIs" dxfId="29009" priority="103788" operator="equal">
      <formula>"OFF"</formula>
    </cfRule>
    <cfRule type="cellIs" dxfId="29008" priority="103789" operator="equal">
      <formula>"PTO"</formula>
    </cfRule>
  </conditionalFormatting>
  <conditionalFormatting sqref="J18:P18">
    <cfRule type="cellIs" dxfId="29007" priority="103786" operator="equal">
      <formula>"OFF"</formula>
    </cfRule>
    <cfRule type="cellIs" dxfId="29006" priority="103787" operator="equal">
      <formula>"PTO"</formula>
    </cfRule>
  </conditionalFormatting>
  <conditionalFormatting sqref="J18:P18">
    <cfRule type="cellIs" dxfId="29005" priority="103784" operator="equal">
      <formula>"OFF"</formula>
    </cfRule>
    <cfRule type="cellIs" dxfId="29004" priority="103785" operator="equal">
      <formula>"PTO"</formula>
    </cfRule>
  </conditionalFormatting>
  <conditionalFormatting sqref="J18:P18">
    <cfRule type="cellIs" dxfId="29003" priority="103782" operator="equal">
      <formula>"OFF"</formula>
    </cfRule>
    <cfRule type="cellIs" dxfId="29002" priority="103783" operator="equal">
      <formula>"PTO"</formula>
    </cfRule>
  </conditionalFormatting>
  <conditionalFormatting sqref="J18:P18">
    <cfRule type="cellIs" dxfId="29001" priority="103780" operator="equal">
      <formula>"OFF"</formula>
    </cfRule>
    <cfRule type="cellIs" dxfId="29000" priority="103781" operator="equal">
      <formula>"PTO"</formula>
    </cfRule>
  </conditionalFormatting>
  <conditionalFormatting sqref="J18:P18">
    <cfRule type="cellIs" dxfId="28999" priority="103778" operator="equal">
      <formula>"OFF"</formula>
    </cfRule>
    <cfRule type="cellIs" dxfId="28998" priority="103779" operator="equal">
      <formula>"PTO"</formula>
    </cfRule>
  </conditionalFormatting>
  <conditionalFormatting sqref="J24:P24">
    <cfRule type="cellIs" dxfId="28997" priority="103776" operator="equal">
      <formula>"OFF"</formula>
    </cfRule>
    <cfRule type="cellIs" dxfId="28996" priority="103777" operator="equal">
      <formula>"PTO"</formula>
    </cfRule>
  </conditionalFormatting>
  <conditionalFormatting sqref="J23:M23 P23">
    <cfRule type="cellIs" dxfId="28995" priority="103774" operator="equal">
      <formula>"OFF"</formula>
    </cfRule>
    <cfRule type="cellIs" dxfId="28994" priority="103775" operator="equal">
      <formula>"PTO"</formula>
    </cfRule>
  </conditionalFormatting>
  <conditionalFormatting sqref="N23">
    <cfRule type="cellIs" dxfId="28993" priority="103772" operator="equal">
      <formula>"OFF"</formula>
    </cfRule>
    <cfRule type="cellIs" dxfId="28992" priority="103773" operator="equal">
      <formula>"PTO"</formula>
    </cfRule>
  </conditionalFormatting>
  <conditionalFormatting sqref="O23">
    <cfRule type="cellIs" dxfId="28991" priority="103770" operator="equal">
      <formula>"OFF"</formula>
    </cfRule>
    <cfRule type="cellIs" dxfId="28990" priority="103771" operator="equal">
      <formula>"PTO"</formula>
    </cfRule>
  </conditionalFormatting>
  <conditionalFormatting sqref="J19">
    <cfRule type="cellIs" dxfId="28989" priority="103768" operator="equal">
      <formula>"OFF"</formula>
    </cfRule>
    <cfRule type="cellIs" dxfId="28988" priority="103769" operator="equal">
      <formula>"PTO"</formula>
    </cfRule>
  </conditionalFormatting>
  <conditionalFormatting sqref="J19">
    <cfRule type="cellIs" dxfId="28987" priority="103766" operator="equal">
      <formula>"OFF"</formula>
    </cfRule>
    <cfRule type="cellIs" dxfId="28986" priority="103767" operator="equal">
      <formula>"PTO"</formula>
    </cfRule>
  </conditionalFormatting>
  <conditionalFormatting sqref="J19">
    <cfRule type="cellIs" dxfId="28985" priority="103764" operator="equal">
      <formula>"OFF"</formula>
    </cfRule>
    <cfRule type="cellIs" dxfId="28984" priority="103765" operator="equal">
      <formula>"PTO"</formula>
    </cfRule>
  </conditionalFormatting>
  <conditionalFormatting sqref="J19">
    <cfRule type="cellIs" dxfId="28983" priority="103762" operator="equal">
      <formula>"OFF"</formula>
    </cfRule>
    <cfRule type="cellIs" dxfId="28982" priority="103763" operator="equal">
      <formula>"PTO"</formula>
    </cfRule>
  </conditionalFormatting>
  <conditionalFormatting sqref="J19">
    <cfRule type="cellIs" dxfId="28981" priority="103760" operator="equal">
      <formula>"OFF"</formula>
    </cfRule>
    <cfRule type="cellIs" dxfId="28980" priority="103761" operator="equal">
      <formula>"PTO"</formula>
    </cfRule>
  </conditionalFormatting>
  <conditionalFormatting sqref="J19">
    <cfRule type="cellIs" dxfId="28979" priority="103758" operator="equal">
      <formula>"OFF"</formula>
    </cfRule>
    <cfRule type="cellIs" dxfId="28978" priority="103759" operator="equal">
      <formula>"PTO"</formula>
    </cfRule>
  </conditionalFormatting>
  <conditionalFormatting sqref="J19">
    <cfRule type="cellIs" dxfId="28977" priority="103756" operator="equal">
      <formula>"OFF"</formula>
    </cfRule>
    <cfRule type="cellIs" dxfId="28976" priority="103757" operator="equal">
      <formula>"PTO"</formula>
    </cfRule>
  </conditionalFormatting>
  <conditionalFormatting sqref="J19">
    <cfRule type="cellIs" dxfId="28975" priority="103754" operator="equal">
      <formula>"OFF"</formula>
    </cfRule>
    <cfRule type="cellIs" dxfId="28974" priority="103755" operator="equal">
      <formula>"PTO"</formula>
    </cfRule>
  </conditionalFormatting>
  <conditionalFormatting sqref="J25:P25">
    <cfRule type="cellIs" dxfId="28973" priority="103752" operator="equal">
      <formula>"OFF"</formula>
    </cfRule>
    <cfRule type="cellIs" dxfId="28972" priority="103753" operator="equal">
      <formula>"PTO"</formula>
    </cfRule>
  </conditionalFormatting>
  <conditionalFormatting sqref="W69:W70">
    <cfRule type="cellIs" dxfId="28971" priority="82212" operator="equal">
      <formula>"OFF"</formula>
    </cfRule>
    <cfRule type="cellIs" dxfId="28970" priority="82213" operator="equal">
      <formula>"PTO"</formula>
    </cfRule>
  </conditionalFormatting>
  <conditionalFormatting sqref="W69:W70">
    <cfRule type="cellIs" dxfId="28969" priority="82210" operator="equal">
      <formula>"OFF"</formula>
    </cfRule>
    <cfRule type="cellIs" dxfId="28968" priority="82211" operator="equal">
      <formula>"PTO"</formula>
    </cfRule>
  </conditionalFormatting>
  <conditionalFormatting sqref="W69:W70">
    <cfRule type="cellIs" dxfId="28967" priority="82208" operator="equal">
      <formula>"OFF"</formula>
    </cfRule>
    <cfRule type="cellIs" dxfId="28966" priority="82209" operator="equal">
      <formula>"PTO"</formula>
    </cfRule>
  </conditionalFormatting>
  <conditionalFormatting sqref="W69:W70">
    <cfRule type="cellIs" dxfId="28965" priority="82206" operator="equal">
      <formula>"OFF"</formula>
    </cfRule>
    <cfRule type="cellIs" dxfId="28964" priority="82207" operator="equal">
      <formula>"PTO"</formula>
    </cfRule>
  </conditionalFormatting>
  <conditionalFormatting sqref="W69:W70">
    <cfRule type="cellIs" dxfId="28963" priority="82204" operator="equal">
      <formula>"OFF"</formula>
    </cfRule>
    <cfRule type="cellIs" dxfId="28962" priority="82205" operator="equal">
      <formula>"PTO"</formula>
    </cfRule>
  </conditionalFormatting>
  <conditionalFormatting sqref="W69:W70">
    <cfRule type="cellIs" dxfId="28961" priority="82202" operator="equal">
      <formula>"OFF"</formula>
    </cfRule>
    <cfRule type="cellIs" dxfId="28960" priority="82203" operator="equal">
      <formula>"PTO"</formula>
    </cfRule>
  </conditionalFormatting>
  <conditionalFormatting sqref="W69:W70">
    <cfRule type="cellIs" dxfId="28959" priority="82200" operator="equal">
      <formula>"OFF"</formula>
    </cfRule>
    <cfRule type="cellIs" dxfId="28958" priority="82201" operator="equal">
      <formula>"PTO"</formula>
    </cfRule>
  </conditionalFormatting>
  <conditionalFormatting sqref="W69:W70">
    <cfRule type="cellIs" dxfId="28957" priority="82198" operator="equal">
      <formula>"OFF"</formula>
    </cfRule>
    <cfRule type="cellIs" dxfId="28956" priority="82199" operator="equal">
      <formula>"PTO"</formula>
    </cfRule>
  </conditionalFormatting>
  <conditionalFormatting sqref="W69:W70">
    <cfRule type="cellIs" dxfId="28955" priority="82196" operator="equal">
      <formula>"OFF"</formula>
    </cfRule>
    <cfRule type="cellIs" dxfId="28954" priority="82197" operator="equal">
      <formula>"PTO"</formula>
    </cfRule>
  </conditionalFormatting>
  <conditionalFormatting sqref="W69:W70">
    <cfRule type="cellIs" dxfId="28953" priority="82194" operator="equal">
      <formula>"OFF"</formula>
    </cfRule>
    <cfRule type="cellIs" dxfId="28952" priority="82195" operator="equal">
      <formula>"PTO"</formula>
    </cfRule>
  </conditionalFormatting>
  <conditionalFormatting sqref="W69:W70">
    <cfRule type="cellIs" dxfId="28951" priority="82192" operator="equal">
      <formula>"OFF"</formula>
    </cfRule>
    <cfRule type="cellIs" dxfId="28950" priority="82193" operator="equal">
      <formula>"PTO"</formula>
    </cfRule>
  </conditionalFormatting>
  <conditionalFormatting sqref="W69:W70">
    <cfRule type="cellIs" dxfId="28949" priority="82190" operator="equal">
      <formula>"OFF"</formula>
    </cfRule>
    <cfRule type="cellIs" dxfId="28948" priority="82191" operator="equal">
      <formula>"PTO"</formula>
    </cfRule>
  </conditionalFormatting>
  <conditionalFormatting sqref="W69:W70">
    <cfRule type="cellIs" dxfId="28947" priority="82188" operator="equal">
      <formula>"OFF"</formula>
    </cfRule>
    <cfRule type="cellIs" dxfId="28946" priority="82189" operator="equal">
      <formula>"PTO"</formula>
    </cfRule>
  </conditionalFormatting>
  <conditionalFormatting sqref="W69:W70">
    <cfRule type="cellIs" dxfId="28945" priority="82184" operator="equal">
      <formula>"OFF"</formula>
    </cfRule>
    <cfRule type="cellIs" dxfId="28944" priority="82185" operator="equal">
      <formula>"PTO"</formula>
    </cfRule>
  </conditionalFormatting>
  <conditionalFormatting sqref="H4:I25 C4:C25">
    <cfRule type="cellIs" dxfId="28943" priority="72279" operator="equal">
      <formula>"OFF"</formula>
    </cfRule>
    <cfRule type="cellIs" dxfId="28942" priority="72280" operator="equal">
      <formula>"PTO"</formula>
    </cfRule>
  </conditionalFormatting>
  <conditionalFormatting sqref="H8:I8 C8">
    <cfRule type="cellIs" dxfId="28941" priority="72277" operator="equal">
      <formula>"OFF"</formula>
    </cfRule>
    <cfRule type="cellIs" dxfId="28940" priority="72278" operator="equal">
      <formula>"PTO"</formula>
    </cfRule>
  </conditionalFormatting>
  <conditionalFormatting sqref="H10:I10 C10">
    <cfRule type="cellIs" dxfId="28939" priority="72275" operator="equal">
      <formula>"OFF"</formula>
    </cfRule>
    <cfRule type="cellIs" dxfId="28938" priority="72276" operator="equal">
      <formula>"PTO"</formula>
    </cfRule>
  </conditionalFormatting>
  <conditionalFormatting sqref="C11:C12 H12:I12 H14:I14 C14 C17 H16:I17 C20:C22 H19:I22">
    <cfRule type="cellIs" dxfId="28937" priority="72273" operator="equal">
      <formula>"OFF"</formula>
    </cfRule>
    <cfRule type="cellIs" dxfId="28936" priority="72274" operator="equal">
      <formula>"PTO"</formula>
    </cfRule>
  </conditionalFormatting>
  <conditionalFormatting sqref="D4:E25">
    <cfRule type="cellIs" dxfId="28935" priority="72271" operator="equal">
      <formula>"OFF"</formula>
    </cfRule>
    <cfRule type="cellIs" dxfId="28934" priority="72272" operator="equal">
      <formula>"PTO"</formula>
    </cfRule>
  </conditionalFormatting>
  <conditionalFormatting sqref="D8:E8">
    <cfRule type="cellIs" dxfId="28933" priority="72269" operator="equal">
      <formula>"OFF"</formula>
    </cfRule>
    <cfRule type="cellIs" dxfId="28932" priority="72270" operator="equal">
      <formula>"PTO"</formula>
    </cfRule>
  </conditionalFormatting>
  <conditionalFormatting sqref="D10:E10">
    <cfRule type="cellIs" dxfId="28931" priority="72267" operator="equal">
      <formula>"OFF"</formula>
    </cfRule>
    <cfRule type="cellIs" dxfId="28930" priority="72268" operator="equal">
      <formula>"PTO"</formula>
    </cfRule>
  </conditionalFormatting>
  <conditionalFormatting sqref="D11:E12 D14:E14 D16:E17 D19:E23">
    <cfRule type="cellIs" dxfId="28929" priority="72265" operator="equal">
      <formula>"OFF"</formula>
    </cfRule>
    <cfRule type="cellIs" dxfId="28928" priority="72266" operator="equal">
      <formula>"PTO"</formula>
    </cfRule>
  </conditionalFormatting>
  <conditionalFormatting sqref="F4:G25">
    <cfRule type="cellIs" dxfId="28927" priority="72263" operator="equal">
      <formula>"OFF"</formula>
    </cfRule>
    <cfRule type="cellIs" dxfId="28926" priority="72264" operator="equal">
      <formula>"PTO"</formula>
    </cfRule>
  </conditionalFormatting>
  <conditionalFormatting sqref="F8:G8">
    <cfRule type="cellIs" dxfId="28925" priority="72261" operator="equal">
      <formula>"OFF"</formula>
    </cfRule>
    <cfRule type="cellIs" dxfId="28924" priority="72262" operator="equal">
      <formula>"PTO"</formula>
    </cfRule>
  </conditionalFormatting>
  <conditionalFormatting sqref="F10:G10">
    <cfRule type="cellIs" dxfId="28923" priority="72259" operator="equal">
      <formula>"OFF"</formula>
    </cfRule>
    <cfRule type="cellIs" dxfId="28922" priority="72260" operator="equal">
      <formula>"PTO"</formula>
    </cfRule>
  </conditionalFormatting>
  <conditionalFormatting sqref="F11:G12 F14:G14 F16:G17 F20:G23 G19">
    <cfRule type="cellIs" dxfId="28921" priority="72257" operator="equal">
      <formula>"OFF"</formula>
    </cfRule>
    <cfRule type="cellIs" dxfId="28920" priority="72258" operator="equal">
      <formula>"PTO"</formula>
    </cfRule>
  </conditionalFormatting>
  <conditionalFormatting sqref="C20 I20 F20">
    <cfRule type="cellIs" dxfId="28919" priority="72255" operator="equal">
      <formula>"OFF"</formula>
    </cfRule>
    <cfRule type="cellIs" dxfId="28918" priority="72256" operator="equal">
      <formula>"PTO"</formula>
    </cfRule>
  </conditionalFormatting>
  <conditionalFormatting sqref="I19">
    <cfRule type="cellIs" dxfId="28917" priority="72253" operator="equal">
      <formula>"OFF"</formula>
    </cfRule>
    <cfRule type="cellIs" dxfId="28916" priority="72254" operator="equal">
      <formula>"PTO"</formula>
    </cfRule>
  </conditionalFormatting>
  <conditionalFormatting sqref="G19">
    <cfRule type="cellIs" dxfId="28915" priority="72251" operator="equal">
      <formula>"OFF"</formula>
    </cfRule>
    <cfRule type="cellIs" dxfId="28914" priority="72252" operator="equal">
      <formula>"PTO"</formula>
    </cfRule>
  </conditionalFormatting>
  <conditionalFormatting sqref="F20:G20">
    <cfRule type="cellIs" dxfId="28913" priority="72249" operator="equal">
      <formula>"OFF"</formula>
    </cfRule>
    <cfRule type="cellIs" dxfId="28912" priority="72250" operator="equal">
      <formula>"PTO"</formula>
    </cfRule>
  </conditionalFormatting>
  <conditionalFormatting sqref="D19:E19">
    <cfRule type="cellIs" dxfId="28911" priority="72247" operator="equal">
      <formula>"OFF"</formula>
    </cfRule>
    <cfRule type="cellIs" dxfId="28910" priority="72248" operator="equal">
      <formula>"PTO"</formula>
    </cfRule>
  </conditionalFormatting>
  <conditionalFormatting sqref="D20:E20">
    <cfRule type="cellIs" dxfId="28909" priority="72245" operator="equal">
      <formula>"OFF"</formula>
    </cfRule>
    <cfRule type="cellIs" dxfId="28908" priority="72246" operator="equal">
      <formula>"PTO"</formula>
    </cfRule>
  </conditionalFormatting>
  <conditionalFormatting sqref="H19:H20">
    <cfRule type="cellIs" dxfId="28907" priority="72243" operator="equal">
      <formula>"OFF"</formula>
    </cfRule>
    <cfRule type="cellIs" dxfId="28906" priority="72244" operator="equal">
      <formula>"PTO"</formula>
    </cfRule>
  </conditionalFormatting>
  <conditionalFormatting sqref="C21 I21 F21">
    <cfRule type="cellIs" dxfId="28905" priority="72241" operator="equal">
      <formula>"OFF"</formula>
    </cfRule>
    <cfRule type="cellIs" dxfId="28904" priority="72242" operator="equal">
      <formula>"PTO"</formula>
    </cfRule>
  </conditionalFormatting>
  <conditionalFormatting sqref="C22 I22 F22:F23">
    <cfRule type="cellIs" dxfId="28903" priority="72239" operator="equal">
      <formula>"OFF"</formula>
    </cfRule>
    <cfRule type="cellIs" dxfId="28902" priority="72240" operator="equal">
      <formula>"PTO"</formula>
    </cfRule>
  </conditionalFormatting>
  <conditionalFormatting sqref="F21:G21">
    <cfRule type="cellIs" dxfId="28901" priority="72237" operator="equal">
      <formula>"OFF"</formula>
    </cfRule>
    <cfRule type="cellIs" dxfId="28900" priority="72238" operator="equal">
      <formula>"PTO"</formula>
    </cfRule>
  </conditionalFormatting>
  <conditionalFormatting sqref="F22:G23">
    <cfRule type="cellIs" dxfId="28899" priority="72235" operator="equal">
      <formula>"OFF"</formula>
    </cfRule>
    <cfRule type="cellIs" dxfId="28898" priority="72236" operator="equal">
      <formula>"PTO"</formula>
    </cfRule>
  </conditionalFormatting>
  <conditionalFormatting sqref="D21:E21">
    <cfRule type="cellIs" dxfId="28897" priority="72233" operator="equal">
      <formula>"OFF"</formula>
    </cfRule>
    <cfRule type="cellIs" dxfId="28896" priority="72234" operator="equal">
      <formula>"PTO"</formula>
    </cfRule>
  </conditionalFormatting>
  <conditionalFormatting sqref="D22:E23">
    <cfRule type="cellIs" dxfId="28895" priority="72231" operator="equal">
      <formula>"OFF"</formula>
    </cfRule>
    <cfRule type="cellIs" dxfId="28894" priority="72232" operator="equal">
      <formula>"PTO"</formula>
    </cfRule>
  </conditionalFormatting>
  <conditionalFormatting sqref="H21:H22">
    <cfRule type="cellIs" dxfId="28893" priority="72229" operator="equal">
      <formula>"OFF"</formula>
    </cfRule>
    <cfRule type="cellIs" dxfId="28892" priority="72230" operator="equal">
      <formula>"PTO"</formula>
    </cfRule>
  </conditionalFormatting>
  <conditionalFormatting sqref="C13:I13">
    <cfRule type="cellIs" dxfId="28891" priority="72227" operator="equal">
      <formula>"OFF"</formula>
    </cfRule>
    <cfRule type="cellIs" dxfId="28890" priority="72228" operator="equal">
      <formula>"PTO"</formula>
    </cfRule>
  </conditionalFormatting>
  <conditionalFormatting sqref="C13:I13">
    <cfRule type="cellIs" dxfId="28889" priority="72225" operator="equal">
      <formula>"OFF"</formula>
    </cfRule>
    <cfRule type="cellIs" dxfId="28888" priority="72226" operator="equal">
      <formula>"PTO"</formula>
    </cfRule>
  </conditionalFormatting>
  <conditionalFormatting sqref="C13:I13">
    <cfRule type="cellIs" dxfId="28887" priority="72223" operator="equal">
      <formula>"OFF"</formula>
    </cfRule>
    <cfRule type="cellIs" dxfId="28886" priority="72224" operator="equal">
      <formula>"PTO"</formula>
    </cfRule>
  </conditionalFormatting>
  <conditionalFormatting sqref="C13:I13">
    <cfRule type="cellIs" dxfId="28885" priority="72221" operator="equal">
      <formula>"OFF"</formula>
    </cfRule>
    <cfRule type="cellIs" dxfId="28884" priority="72222" operator="equal">
      <formula>"PTO"</formula>
    </cfRule>
  </conditionalFormatting>
  <conditionalFormatting sqref="C13:I13">
    <cfRule type="cellIs" dxfId="28883" priority="72219" operator="equal">
      <formula>"OFF"</formula>
    </cfRule>
    <cfRule type="cellIs" dxfId="28882" priority="72220" operator="equal">
      <formula>"PTO"</formula>
    </cfRule>
  </conditionalFormatting>
  <conditionalFormatting sqref="C13:I13">
    <cfRule type="cellIs" dxfId="28881" priority="72217" operator="equal">
      <formula>"OFF"</formula>
    </cfRule>
    <cfRule type="cellIs" dxfId="28880" priority="72218" operator="equal">
      <formula>"PTO"</formula>
    </cfRule>
  </conditionalFormatting>
  <conditionalFormatting sqref="C13:I13">
    <cfRule type="cellIs" dxfId="28879" priority="72215" operator="equal">
      <formula>"OFF"</formula>
    </cfRule>
    <cfRule type="cellIs" dxfId="28878" priority="72216" operator="equal">
      <formula>"PTO"</formula>
    </cfRule>
  </conditionalFormatting>
  <conditionalFormatting sqref="C13:I13">
    <cfRule type="cellIs" dxfId="28877" priority="72213" operator="equal">
      <formula>"OFF"</formula>
    </cfRule>
    <cfRule type="cellIs" dxfId="28876" priority="72214" operator="equal">
      <formula>"PTO"</formula>
    </cfRule>
  </conditionalFormatting>
  <conditionalFormatting sqref="D15:E15 G15:I15">
    <cfRule type="cellIs" dxfId="28875" priority="72211" operator="equal">
      <formula>"OFF"</formula>
    </cfRule>
    <cfRule type="cellIs" dxfId="28874" priority="72212" operator="equal">
      <formula>"PTO"</formula>
    </cfRule>
  </conditionalFormatting>
  <conditionalFormatting sqref="D15:E15 G15:I15">
    <cfRule type="cellIs" dxfId="28873" priority="72209" operator="equal">
      <formula>"OFF"</formula>
    </cfRule>
    <cfRule type="cellIs" dxfId="28872" priority="72210" operator="equal">
      <formula>"PTO"</formula>
    </cfRule>
  </conditionalFormatting>
  <conditionalFormatting sqref="D15:E15 G15:I15">
    <cfRule type="cellIs" dxfId="28871" priority="72207" operator="equal">
      <formula>"OFF"</formula>
    </cfRule>
    <cfRule type="cellIs" dxfId="28870" priority="72208" operator="equal">
      <formula>"PTO"</formula>
    </cfRule>
  </conditionalFormatting>
  <conditionalFormatting sqref="D15:E15 G15:I15">
    <cfRule type="cellIs" dxfId="28869" priority="72205" operator="equal">
      <formula>"OFF"</formula>
    </cfRule>
    <cfRule type="cellIs" dxfId="28868" priority="72206" operator="equal">
      <formula>"PTO"</formula>
    </cfRule>
  </conditionalFormatting>
  <conditionalFormatting sqref="D15:E15 G15:I15">
    <cfRule type="cellIs" dxfId="28867" priority="72203" operator="equal">
      <formula>"OFF"</formula>
    </cfRule>
    <cfRule type="cellIs" dxfId="28866" priority="72204" operator="equal">
      <formula>"PTO"</formula>
    </cfRule>
  </conditionalFormatting>
  <conditionalFormatting sqref="D15:E15 G15:I15">
    <cfRule type="cellIs" dxfId="28865" priority="72201" operator="equal">
      <formula>"OFF"</formula>
    </cfRule>
    <cfRule type="cellIs" dxfId="28864" priority="72202" operator="equal">
      <formula>"PTO"</formula>
    </cfRule>
  </conditionalFormatting>
  <conditionalFormatting sqref="D15:E15 G15:I15">
    <cfRule type="cellIs" dxfId="28863" priority="72199" operator="equal">
      <formula>"OFF"</formula>
    </cfRule>
    <cfRule type="cellIs" dxfId="28862" priority="72200" operator="equal">
      <formula>"PTO"</formula>
    </cfRule>
  </conditionalFormatting>
  <conditionalFormatting sqref="D15:E15 G15:I15">
    <cfRule type="cellIs" dxfId="28861" priority="72197" operator="equal">
      <formula>"OFF"</formula>
    </cfRule>
    <cfRule type="cellIs" dxfId="28860" priority="72198" operator="equal">
      <formula>"PTO"</formula>
    </cfRule>
  </conditionalFormatting>
  <conditionalFormatting sqref="C18:I18">
    <cfRule type="cellIs" dxfId="28859" priority="72195" operator="equal">
      <formula>"OFF"</formula>
    </cfRule>
    <cfRule type="cellIs" dxfId="28858" priority="72196" operator="equal">
      <formula>"PTO"</formula>
    </cfRule>
  </conditionalFormatting>
  <conditionalFormatting sqref="C18:I18">
    <cfRule type="cellIs" dxfId="28857" priority="72193" operator="equal">
      <formula>"OFF"</formula>
    </cfRule>
    <cfRule type="cellIs" dxfId="28856" priority="72194" operator="equal">
      <formula>"PTO"</formula>
    </cfRule>
  </conditionalFormatting>
  <conditionalFormatting sqref="C18:I18">
    <cfRule type="cellIs" dxfId="28855" priority="72191" operator="equal">
      <formula>"OFF"</formula>
    </cfRule>
    <cfRule type="cellIs" dxfId="28854" priority="72192" operator="equal">
      <formula>"PTO"</formula>
    </cfRule>
  </conditionalFormatting>
  <conditionalFormatting sqref="C18:I18">
    <cfRule type="cellIs" dxfId="28853" priority="72189" operator="equal">
      <formula>"OFF"</formula>
    </cfRule>
    <cfRule type="cellIs" dxfId="28852" priority="72190" operator="equal">
      <formula>"PTO"</formula>
    </cfRule>
  </conditionalFormatting>
  <conditionalFormatting sqref="C18:I18">
    <cfRule type="cellIs" dxfId="28851" priority="72187" operator="equal">
      <formula>"OFF"</formula>
    </cfRule>
    <cfRule type="cellIs" dxfId="28850" priority="72188" operator="equal">
      <formula>"PTO"</formula>
    </cfRule>
  </conditionalFormatting>
  <conditionalFormatting sqref="C18:I18">
    <cfRule type="cellIs" dxfId="28849" priority="72185" operator="equal">
      <formula>"OFF"</formula>
    </cfRule>
    <cfRule type="cellIs" dxfId="28848" priority="72186" operator="equal">
      <formula>"PTO"</formula>
    </cfRule>
  </conditionalFormatting>
  <conditionalFormatting sqref="C18:I18">
    <cfRule type="cellIs" dxfId="28847" priority="72183" operator="equal">
      <formula>"OFF"</formula>
    </cfRule>
    <cfRule type="cellIs" dxfId="28846" priority="72184" operator="equal">
      <formula>"PTO"</formula>
    </cfRule>
  </conditionalFormatting>
  <conditionalFormatting sqref="C18:I18">
    <cfRule type="cellIs" dxfId="28845" priority="72181" operator="equal">
      <formula>"OFF"</formula>
    </cfRule>
    <cfRule type="cellIs" dxfId="28844" priority="72182" operator="equal">
      <formula>"PTO"</formula>
    </cfRule>
  </conditionalFormatting>
  <conditionalFormatting sqref="H24:I24">
    <cfRule type="cellIs" dxfId="28843" priority="72179" operator="equal">
      <formula>"OFF"</formula>
    </cfRule>
    <cfRule type="cellIs" dxfId="28842" priority="72180" operator="equal">
      <formula>"PTO"</formula>
    </cfRule>
  </conditionalFormatting>
  <conditionalFormatting sqref="C23:F23 I23">
    <cfRule type="cellIs" dxfId="28841" priority="72177" operator="equal">
      <formula>"OFF"</formula>
    </cfRule>
    <cfRule type="cellIs" dxfId="28840" priority="72178" operator="equal">
      <formula>"PTO"</formula>
    </cfRule>
  </conditionalFormatting>
  <conditionalFormatting sqref="G23">
    <cfRule type="cellIs" dxfId="28839" priority="72175" operator="equal">
      <formula>"OFF"</formula>
    </cfRule>
    <cfRule type="cellIs" dxfId="28838" priority="72176" operator="equal">
      <formula>"PTO"</formula>
    </cfRule>
  </conditionalFormatting>
  <conditionalFormatting sqref="H23">
    <cfRule type="cellIs" dxfId="28837" priority="72173" operator="equal">
      <formula>"OFF"</formula>
    </cfRule>
    <cfRule type="cellIs" dxfId="28836" priority="72174" operator="equal">
      <formula>"PTO"</formula>
    </cfRule>
  </conditionalFormatting>
  <conditionalFormatting sqref="C19">
    <cfRule type="cellIs" dxfId="28835" priority="72171" operator="equal">
      <formula>"OFF"</formula>
    </cfRule>
    <cfRule type="cellIs" dxfId="28834" priority="72172" operator="equal">
      <formula>"PTO"</formula>
    </cfRule>
  </conditionalFormatting>
  <conditionalFormatting sqref="C19">
    <cfRule type="cellIs" dxfId="28833" priority="72169" operator="equal">
      <formula>"OFF"</formula>
    </cfRule>
    <cfRule type="cellIs" dxfId="28832" priority="72170" operator="equal">
      <formula>"PTO"</formula>
    </cfRule>
  </conditionalFormatting>
  <conditionalFormatting sqref="C19">
    <cfRule type="cellIs" dxfId="28831" priority="72167" operator="equal">
      <formula>"OFF"</formula>
    </cfRule>
    <cfRule type="cellIs" dxfId="28830" priority="72168" operator="equal">
      <formula>"PTO"</formula>
    </cfRule>
  </conditionalFormatting>
  <conditionalFormatting sqref="C19">
    <cfRule type="cellIs" dxfId="28829" priority="72165" operator="equal">
      <formula>"OFF"</formula>
    </cfRule>
    <cfRule type="cellIs" dxfId="28828" priority="72166" operator="equal">
      <formula>"PTO"</formula>
    </cfRule>
  </conditionalFormatting>
  <conditionalFormatting sqref="C19">
    <cfRule type="cellIs" dxfId="28827" priority="72163" operator="equal">
      <formula>"OFF"</formula>
    </cfRule>
    <cfRule type="cellIs" dxfId="28826" priority="72164" operator="equal">
      <formula>"PTO"</formula>
    </cfRule>
  </conditionalFormatting>
  <conditionalFormatting sqref="C19">
    <cfRule type="cellIs" dxfId="28825" priority="72161" operator="equal">
      <formula>"OFF"</formula>
    </cfRule>
    <cfRule type="cellIs" dxfId="28824" priority="72162" operator="equal">
      <formula>"PTO"</formula>
    </cfRule>
  </conditionalFormatting>
  <conditionalFormatting sqref="C19">
    <cfRule type="cellIs" dxfId="28823" priority="72159" operator="equal">
      <formula>"OFF"</formula>
    </cfRule>
    <cfRule type="cellIs" dxfId="28822" priority="72160" operator="equal">
      <formula>"PTO"</formula>
    </cfRule>
  </conditionalFormatting>
  <conditionalFormatting sqref="C19">
    <cfRule type="cellIs" dxfId="28821" priority="72157" operator="equal">
      <formula>"OFF"</formula>
    </cfRule>
    <cfRule type="cellIs" dxfId="28820" priority="72158" operator="equal">
      <formula>"PTO"</formula>
    </cfRule>
  </conditionalFormatting>
  <conditionalFormatting sqref="C25:I25">
    <cfRule type="cellIs" dxfId="28819" priority="72155" operator="equal">
      <formula>"OFF"</formula>
    </cfRule>
    <cfRule type="cellIs" dxfId="28818" priority="72156" operator="equal">
      <formula>"PTO"</formula>
    </cfRule>
  </conditionalFormatting>
  <conditionalFormatting sqref="Q69:Q70 W69:W70">
    <cfRule type="cellIs" dxfId="28817" priority="56192" operator="equal">
      <formula>"OFF"</formula>
    </cfRule>
    <cfRule type="cellIs" dxfId="28816" priority="56193" operator="equal">
      <formula>"PTO"</formula>
    </cfRule>
  </conditionalFormatting>
  <conditionalFormatting sqref="Q69:Q70 W69:W70">
    <cfRule type="cellIs" dxfId="28815" priority="56190" operator="equal">
      <formula>"OFF"</formula>
    </cfRule>
    <cfRule type="cellIs" dxfId="28814" priority="56191" operator="equal">
      <formula>"PTO"</formula>
    </cfRule>
  </conditionalFormatting>
  <conditionalFormatting sqref="W69:W70">
    <cfRule type="cellIs" dxfId="28813" priority="56188" operator="equal">
      <formula>"OFF"</formula>
    </cfRule>
    <cfRule type="cellIs" dxfId="28812" priority="56189" operator="equal">
      <formula>"PTO"</formula>
    </cfRule>
  </conditionalFormatting>
  <conditionalFormatting sqref="Q69:Q70 W69:W70">
    <cfRule type="cellIs" dxfId="28811" priority="56186" operator="equal">
      <formula>"OFF"</formula>
    </cfRule>
    <cfRule type="cellIs" dxfId="28810" priority="56187" operator="equal">
      <formula>"PTO"</formula>
    </cfRule>
  </conditionalFormatting>
  <conditionalFormatting sqref="W69:W70">
    <cfRule type="cellIs" dxfId="28809" priority="56184" operator="equal">
      <formula>"OFF"</formula>
    </cfRule>
    <cfRule type="cellIs" dxfId="28808" priority="56185" operator="equal">
      <formula>"PTO"</formula>
    </cfRule>
  </conditionalFormatting>
  <conditionalFormatting sqref="W69:W70">
    <cfRule type="cellIs" dxfId="28807" priority="56182" operator="equal">
      <formula>"OFF"</formula>
    </cfRule>
    <cfRule type="cellIs" dxfId="28806" priority="56183" operator="equal">
      <formula>"PTO"</formula>
    </cfRule>
  </conditionalFormatting>
  <conditionalFormatting sqref="Q69:Q70 W69:W70">
    <cfRule type="cellIs" dxfId="28805" priority="56176" operator="equal">
      <formula>"OFF"</formula>
    </cfRule>
    <cfRule type="cellIs" dxfId="28804" priority="56177" operator="equal">
      <formula>"PTO"</formula>
    </cfRule>
  </conditionalFormatting>
  <conditionalFormatting sqref="W69:W70">
    <cfRule type="cellIs" dxfId="28803" priority="56174" operator="equal">
      <formula>"OFF"</formula>
    </cfRule>
    <cfRule type="cellIs" dxfId="28802" priority="56175" operator="equal">
      <formula>"PTO"</formula>
    </cfRule>
  </conditionalFormatting>
  <conditionalFormatting sqref="Q69:Q70 W69:W70">
    <cfRule type="cellIs" dxfId="28801" priority="56172" operator="equal">
      <formula>"OFF"</formula>
    </cfRule>
    <cfRule type="cellIs" dxfId="28800" priority="56173" operator="equal">
      <formula>"PTO"</formula>
    </cfRule>
  </conditionalFormatting>
  <conditionalFormatting sqref="Q69:Q70 W69:W70">
    <cfRule type="cellIs" dxfId="28799" priority="56170" operator="equal">
      <formula>"OFF"</formula>
    </cfRule>
    <cfRule type="cellIs" dxfId="28798" priority="56171" operator="equal">
      <formula>"PTO"</formula>
    </cfRule>
  </conditionalFormatting>
  <conditionalFormatting sqref="W69:W70">
    <cfRule type="cellIs" dxfId="28797" priority="56168" operator="equal">
      <formula>"OFF"</formula>
    </cfRule>
    <cfRule type="cellIs" dxfId="28796" priority="56169" operator="equal">
      <formula>"PTO"</formula>
    </cfRule>
  </conditionalFormatting>
  <conditionalFormatting sqref="Q69:Q70 W69:W70">
    <cfRule type="cellIs" dxfId="28795" priority="56166" operator="equal">
      <formula>"OFF"</formula>
    </cfRule>
    <cfRule type="cellIs" dxfId="28794" priority="56167" operator="equal">
      <formula>"PTO"</formula>
    </cfRule>
  </conditionalFormatting>
  <conditionalFormatting sqref="W69:W70">
    <cfRule type="cellIs" dxfId="28793" priority="56164" operator="equal">
      <formula>"OFF"</formula>
    </cfRule>
    <cfRule type="cellIs" dxfId="28792" priority="56165" operator="equal">
      <formula>"PTO"</formula>
    </cfRule>
  </conditionalFormatting>
  <conditionalFormatting sqref="Q69:Q70 W69:W70">
    <cfRule type="cellIs" dxfId="28791" priority="56162" operator="equal">
      <formula>"OFF"</formula>
    </cfRule>
    <cfRule type="cellIs" dxfId="28790" priority="56163" operator="equal">
      <formula>"PTO"</formula>
    </cfRule>
  </conditionalFormatting>
  <conditionalFormatting sqref="Q69:Q70 W69:W70">
    <cfRule type="cellIs" dxfId="28789" priority="56160" operator="equal">
      <formula>"OFF"</formula>
    </cfRule>
    <cfRule type="cellIs" dxfId="28788" priority="56161" operator="equal">
      <formula>"PTO"</formula>
    </cfRule>
  </conditionalFormatting>
  <conditionalFormatting sqref="Q69:Q70 W69:W70">
    <cfRule type="cellIs" dxfId="28787" priority="56158" operator="equal">
      <formula>"OFF"</formula>
    </cfRule>
    <cfRule type="cellIs" dxfId="28786" priority="56159" operator="equal">
      <formula>"PTO"</formula>
    </cfRule>
  </conditionalFormatting>
  <conditionalFormatting sqref="W69:W70">
    <cfRule type="cellIs" dxfId="28785" priority="56152" operator="equal">
      <formula>"OFF"</formula>
    </cfRule>
    <cfRule type="cellIs" dxfId="28784" priority="56153" operator="equal">
      <formula>"PTO"</formula>
    </cfRule>
  </conditionalFormatting>
  <conditionalFormatting sqref="Q69:Q70 W69:W70">
    <cfRule type="cellIs" dxfId="28783" priority="56150" operator="equal">
      <formula>"OFF"</formula>
    </cfRule>
    <cfRule type="cellIs" dxfId="28782" priority="56151" operator="equal">
      <formula>"PTO"</formula>
    </cfRule>
  </conditionalFormatting>
  <conditionalFormatting sqref="Q69:Q70 W69:W70">
    <cfRule type="cellIs" dxfId="28781" priority="56148" operator="equal">
      <formula>"OFF"</formula>
    </cfRule>
    <cfRule type="cellIs" dxfId="28780" priority="56149" operator="equal">
      <formula>"PTO"</formula>
    </cfRule>
  </conditionalFormatting>
  <conditionalFormatting sqref="Q69:Q70">
    <cfRule type="cellIs" dxfId="28779" priority="56146" operator="equal">
      <formula>"OFF"</formula>
    </cfRule>
    <cfRule type="cellIs" dxfId="28778" priority="56147" operator="equal">
      <formula>"PTO"</formula>
    </cfRule>
  </conditionalFormatting>
  <conditionalFormatting sqref="Q69:Q70">
    <cfRule type="cellIs" dxfId="28777" priority="56140" operator="equal">
      <formula>"OFF"</formula>
    </cfRule>
    <cfRule type="cellIs" dxfId="28776" priority="56141" operator="equal">
      <formula>"PTO"</formula>
    </cfRule>
  </conditionalFormatting>
  <conditionalFormatting sqref="Q69:Q70">
    <cfRule type="cellIs" dxfId="28775" priority="56138" operator="equal">
      <formula>"OFF"</formula>
    </cfRule>
    <cfRule type="cellIs" dxfId="28774" priority="56139" operator="equal">
      <formula>"PTO"</formula>
    </cfRule>
  </conditionalFormatting>
  <conditionalFormatting sqref="Q69:Q70">
    <cfRule type="cellIs" dxfId="28773" priority="56136" operator="equal">
      <formula>"OFF"</formula>
    </cfRule>
    <cfRule type="cellIs" dxfId="28772" priority="56137" operator="equal">
      <formula>"PTO"</formula>
    </cfRule>
  </conditionalFormatting>
  <conditionalFormatting sqref="Q69:Q70">
    <cfRule type="cellIs" dxfId="28771" priority="56134" operator="equal">
      <formula>"OFF"</formula>
    </cfRule>
    <cfRule type="cellIs" dxfId="28770" priority="56135" operator="equal">
      <formula>"PTO"</formula>
    </cfRule>
  </conditionalFormatting>
  <conditionalFormatting sqref="Q69:Q70">
    <cfRule type="cellIs" dxfId="28769" priority="56132" operator="equal">
      <formula>"OFF"</formula>
    </cfRule>
    <cfRule type="cellIs" dxfId="28768" priority="56133" operator="equal">
      <formula>"PTO"</formula>
    </cfRule>
  </conditionalFormatting>
  <conditionalFormatting sqref="Q69:Q70">
    <cfRule type="cellIs" dxfId="28767" priority="56130" operator="equal">
      <formula>"OFF"</formula>
    </cfRule>
    <cfRule type="cellIs" dxfId="28766" priority="56131" operator="equal">
      <formula>"PTO"</formula>
    </cfRule>
  </conditionalFormatting>
  <conditionalFormatting sqref="Q69:Q70">
    <cfRule type="cellIs" dxfId="28765" priority="56128" operator="equal">
      <formula>"OFF"</formula>
    </cfRule>
    <cfRule type="cellIs" dxfId="28764" priority="56129" operator="equal">
      <formula>"PTO"</formula>
    </cfRule>
  </conditionalFormatting>
  <conditionalFormatting sqref="J69:J70">
    <cfRule type="cellIs" dxfId="28763" priority="56060" operator="equal">
      <formula>"OFF"</formula>
    </cfRule>
    <cfRule type="cellIs" dxfId="28762" priority="56061" operator="equal">
      <formula>"PTO"</formula>
    </cfRule>
  </conditionalFormatting>
  <conditionalFormatting sqref="J69:J70">
    <cfRule type="cellIs" dxfId="28761" priority="56058" operator="equal">
      <formula>"OFF"</formula>
    </cfRule>
    <cfRule type="cellIs" dxfId="28760" priority="56059" operator="equal">
      <formula>"PTO"</formula>
    </cfRule>
  </conditionalFormatting>
  <conditionalFormatting sqref="J69:J70">
    <cfRule type="cellIs" dxfId="28759" priority="56054" operator="equal">
      <formula>"OFF"</formula>
    </cfRule>
    <cfRule type="cellIs" dxfId="28758" priority="56055" operator="equal">
      <formula>"PTO"</formula>
    </cfRule>
  </conditionalFormatting>
  <conditionalFormatting sqref="J69:J70">
    <cfRule type="cellIs" dxfId="28757" priority="56048" operator="equal">
      <formula>"OFF"</formula>
    </cfRule>
    <cfRule type="cellIs" dxfId="28756" priority="56049" operator="equal">
      <formula>"PTO"</formula>
    </cfRule>
  </conditionalFormatting>
  <conditionalFormatting sqref="J69:J70">
    <cfRule type="cellIs" dxfId="28755" priority="56044" operator="equal">
      <formula>"OFF"</formula>
    </cfRule>
    <cfRule type="cellIs" dxfId="28754" priority="56045" operator="equal">
      <formula>"PTO"</formula>
    </cfRule>
  </conditionalFormatting>
  <conditionalFormatting sqref="J69:J70">
    <cfRule type="cellIs" dxfId="28753" priority="56042" operator="equal">
      <formula>"OFF"</formula>
    </cfRule>
    <cfRule type="cellIs" dxfId="28752" priority="56043" operator="equal">
      <formula>"PTO"</formula>
    </cfRule>
  </conditionalFormatting>
  <conditionalFormatting sqref="J69:J70">
    <cfRule type="cellIs" dxfId="28751" priority="56038" operator="equal">
      <formula>"OFF"</formula>
    </cfRule>
    <cfRule type="cellIs" dxfId="28750" priority="56039" operator="equal">
      <formula>"PTO"</formula>
    </cfRule>
  </conditionalFormatting>
  <conditionalFormatting sqref="J69:J70">
    <cfRule type="cellIs" dxfId="28749" priority="56034" operator="equal">
      <formula>"OFF"</formula>
    </cfRule>
    <cfRule type="cellIs" dxfId="28748" priority="56035" operator="equal">
      <formula>"PTO"</formula>
    </cfRule>
  </conditionalFormatting>
  <conditionalFormatting sqref="J69:J70">
    <cfRule type="cellIs" dxfId="28747" priority="56032" operator="equal">
      <formula>"OFF"</formula>
    </cfRule>
    <cfRule type="cellIs" dxfId="28746" priority="56033" operator="equal">
      <formula>"PTO"</formula>
    </cfRule>
  </conditionalFormatting>
  <conditionalFormatting sqref="J69:J70">
    <cfRule type="cellIs" dxfId="28745" priority="56030" operator="equal">
      <formula>"OFF"</formula>
    </cfRule>
    <cfRule type="cellIs" dxfId="28744" priority="56031" operator="equal">
      <formula>"PTO"</formula>
    </cfRule>
  </conditionalFormatting>
  <conditionalFormatting sqref="Y69:Y70">
    <cfRule type="cellIs" dxfId="28743" priority="56018" operator="equal">
      <formula>"OFF"</formula>
    </cfRule>
    <cfRule type="cellIs" dxfId="28742" priority="56019" operator="equal">
      <formula>"PTO"</formula>
    </cfRule>
  </conditionalFormatting>
  <conditionalFormatting sqref="Y69:Y70">
    <cfRule type="cellIs" dxfId="28741" priority="56016" operator="equal">
      <formula>"OFF"</formula>
    </cfRule>
    <cfRule type="cellIs" dxfId="28740" priority="56017" operator="equal">
      <formula>"PTO"</formula>
    </cfRule>
  </conditionalFormatting>
  <conditionalFormatting sqref="Y69:Y70">
    <cfRule type="cellIs" dxfId="28739" priority="56014" operator="equal">
      <formula>"OFF"</formula>
    </cfRule>
    <cfRule type="cellIs" dxfId="28738" priority="56015" operator="equal">
      <formula>"PTO"</formula>
    </cfRule>
  </conditionalFormatting>
  <conditionalFormatting sqref="Y69:Y70">
    <cfRule type="cellIs" dxfId="28737" priority="56012" operator="equal">
      <formula>"OFF"</formula>
    </cfRule>
    <cfRule type="cellIs" dxfId="28736" priority="56013" operator="equal">
      <formula>"PTO"</formula>
    </cfRule>
  </conditionalFormatting>
  <conditionalFormatting sqref="Y69:Y70">
    <cfRule type="cellIs" dxfId="28735" priority="56010" operator="equal">
      <formula>"OFF"</formula>
    </cfRule>
    <cfRule type="cellIs" dxfId="28734" priority="56011" operator="equal">
      <formula>"PTO"</formula>
    </cfRule>
  </conditionalFormatting>
  <conditionalFormatting sqref="Y69:Y70">
    <cfRule type="cellIs" dxfId="28733" priority="56008" operator="equal">
      <formula>"OFF"</formula>
    </cfRule>
    <cfRule type="cellIs" dxfId="28732" priority="56009" operator="equal">
      <formula>"PTO"</formula>
    </cfRule>
  </conditionalFormatting>
  <conditionalFormatting sqref="Y69:Y70">
    <cfRule type="cellIs" dxfId="28731" priority="56006" operator="equal">
      <formula>"OFF"</formula>
    </cfRule>
    <cfRule type="cellIs" dxfId="28730" priority="56007" operator="equal">
      <formula>"PTO"</formula>
    </cfRule>
  </conditionalFormatting>
  <conditionalFormatting sqref="Y69:Y70">
    <cfRule type="cellIs" dxfId="28729" priority="56004" operator="equal">
      <formula>"OFF"</formula>
    </cfRule>
    <cfRule type="cellIs" dxfId="28728" priority="56005" operator="equal">
      <formula>"PTO"</formula>
    </cfRule>
  </conditionalFormatting>
  <conditionalFormatting sqref="Y69:Y70">
    <cfRule type="cellIs" dxfId="28727" priority="56002" operator="equal">
      <formula>"OFF"</formula>
    </cfRule>
    <cfRule type="cellIs" dxfId="28726" priority="56003" operator="equal">
      <formula>"PTO"</formula>
    </cfRule>
  </conditionalFormatting>
  <conditionalFormatting sqref="Y69:Y70">
    <cfRule type="cellIs" dxfId="28725" priority="56000" operator="equal">
      <formula>"OFF"</formula>
    </cfRule>
    <cfRule type="cellIs" dxfId="28724" priority="56001" operator="equal">
      <formula>"PTO"</formula>
    </cfRule>
  </conditionalFormatting>
  <conditionalFormatting sqref="Y69:Y70">
    <cfRule type="cellIs" dxfId="28723" priority="55998" operator="equal">
      <formula>"OFF"</formula>
    </cfRule>
    <cfRule type="cellIs" dxfId="28722" priority="55999" operator="equal">
      <formula>"PTO"</formula>
    </cfRule>
  </conditionalFormatting>
  <conditionalFormatting sqref="Y69:Y70">
    <cfRule type="cellIs" dxfId="28721" priority="55996" operator="equal">
      <formula>"OFF"</formula>
    </cfRule>
    <cfRule type="cellIs" dxfId="28720" priority="55997" operator="equal">
      <formula>"PTO"</formula>
    </cfRule>
  </conditionalFormatting>
  <conditionalFormatting sqref="Y69:Y70">
    <cfRule type="cellIs" dxfId="28719" priority="55994" operator="equal">
      <formula>"OFF"</formula>
    </cfRule>
    <cfRule type="cellIs" dxfId="28718" priority="55995" operator="equal">
      <formula>"PTO"</formula>
    </cfRule>
  </conditionalFormatting>
  <conditionalFormatting sqref="Y69:Y70">
    <cfRule type="cellIs" dxfId="28717" priority="55992" operator="equal">
      <formula>"OFF"</formula>
    </cfRule>
    <cfRule type="cellIs" dxfId="28716" priority="55993" operator="equal">
      <formula>"PTO"</formula>
    </cfRule>
  </conditionalFormatting>
  <conditionalFormatting sqref="Y69:Y70">
    <cfRule type="cellIs" dxfId="28715" priority="55990" operator="equal">
      <formula>"OFF"</formula>
    </cfRule>
    <cfRule type="cellIs" dxfId="28714" priority="55991" operator="equal">
      <formula>"PTO"</formula>
    </cfRule>
  </conditionalFormatting>
  <conditionalFormatting sqref="Y69:Y70">
    <cfRule type="cellIs" dxfId="28713" priority="55988" operator="equal">
      <formula>"OFF"</formula>
    </cfRule>
    <cfRule type="cellIs" dxfId="28712" priority="55989" operator="equal">
      <formula>"PTO"</formula>
    </cfRule>
  </conditionalFormatting>
  <conditionalFormatting sqref="Y69:Y70">
    <cfRule type="cellIs" dxfId="28711" priority="55986" operator="equal">
      <formula>"OFF"</formula>
    </cfRule>
    <cfRule type="cellIs" dxfId="28710" priority="55987" operator="equal">
      <formula>"PTO"</formula>
    </cfRule>
  </conditionalFormatting>
  <conditionalFormatting sqref="Q69:Q70">
    <cfRule type="cellIs" dxfId="28709" priority="55852" operator="equal">
      <formula>"OFF"</formula>
    </cfRule>
    <cfRule type="cellIs" dxfId="28708" priority="55853" operator="equal">
      <formula>"PTO"</formula>
    </cfRule>
  </conditionalFormatting>
  <conditionalFormatting sqref="Q69:Q70">
    <cfRule type="cellIs" dxfId="28707" priority="55850" operator="equal">
      <formula>"OFF"</formula>
    </cfRule>
    <cfRule type="cellIs" dxfId="28706" priority="55851" operator="equal">
      <formula>"PTO"</formula>
    </cfRule>
  </conditionalFormatting>
  <conditionalFormatting sqref="Q69:Q70">
    <cfRule type="cellIs" dxfId="28705" priority="55846" operator="equal">
      <formula>"OFF"</formula>
    </cfRule>
    <cfRule type="cellIs" dxfId="28704" priority="55847" operator="equal">
      <formula>"PTO"</formula>
    </cfRule>
  </conditionalFormatting>
  <conditionalFormatting sqref="Q69:Q70">
    <cfRule type="cellIs" dxfId="28703" priority="55844" operator="equal">
      <formula>"OFF"</formula>
    </cfRule>
    <cfRule type="cellIs" dxfId="28702" priority="55845" operator="equal">
      <formula>"PTO"</formula>
    </cfRule>
  </conditionalFormatting>
  <conditionalFormatting sqref="Q69:Q70">
    <cfRule type="cellIs" dxfId="28701" priority="55840" operator="equal">
      <formula>"OFF"</formula>
    </cfRule>
    <cfRule type="cellIs" dxfId="28700" priority="55841" operator="equal">
      <formula>"PTO"</formula>
    </cfRule>
  </conditionalFormatting>
  <conditionalFormatting sqref="Q69:Q70">
    <cfRule type="cellIs" dxfId="28699" priority="55838" operator="equal">
      <formula>"OFF"</formula>
    </cfRule>
    <cfRule type="cellIs" dxfId="28698" priority="55839" operator="equal">
      <formula>"PTO"</formula>
    </cfRule>
  </conditionalFormatting>
  <conditionalFormatting sqref="Q69:Q70">
    <cfRule type="cellIs" dxfId="28697" priority="55836" operator="equal">
      <formula>"OFF"</formula>
    </cfRule>
    <cfRule type="cellIs" dxfId="28696" priority="55837" operator="equal">
      <formula>"PTO"</formula>
    </cfRule>
  </conditionalFormatting>
  <conditionalFormatting sqref="Q69:Q70">
    <cfRule type="cellIs" dxfId="28695" priority="55834" operator="equal">
      <formula>"OFF"</formula>
    </cfRule>
    <cfRule type="cellIs" dxfId="28694" priority="55835" operator="equal">
      <formula>"PTO"</formula>
    </cfRule>
  </conditionalFormatting>
  <conditionalFormatting sqref="Q69:Q70">
    <cfRule type="cellIs" dxfId="28693" priority="55832" operator="equal">
      <formula>"OFF"</formula>
    </cfRule>
    <cfRule type="cellIs" dxfId="28692" priority="55833" operator="equal">
      <formula>"PTO"</formula>
    </cfRule>
  </conditionalFormatting>
  <conditionalFormatting sqref="Q69:Q70">
    <cfRule type="cellIs" dxfId="28691" priority="55830" operator="equal">
      <formula>"OFF"</formula>
    </cfRule>
    <cfRule type="cellIs" dxfId="28690" priority="55831" operator="equal">
      <formula>"PTO"</formula>
    </cfRule>
  </conditionalFormatting>
  <conditionalFormatting sqref="Q69:Q70">
    <cfRule type="cellIs" dxfId="28689" priority="55828" operator="equal">
      <formula>"OFF"</formula>
    </cfRule>
    <cfRule type="cellIs" dxfId="28688" priority="55829" operator="equal">
      <formula>"PTO"</formula>
    </cfRule>
  </conditionalFormatting>
  <conditionalFormatting sqref="Q69:Q70">
    <cfRule type="cellIs" dxfId="28687" priority="55826" operator="equal">
      <formula>"OFF"</formula>
    </cfRule>
    <cfRule type="cellIs" dxfId="28686" priority="55827" operator="equal">
      <formula>"PTO"</formula>
    </cfRule>
  </conditionalFormatting>
  <conditionalFormatting sqref="Q69:Q70">
    <cfRule type="cellIs" dxfId="28685" priority="55824" operator="equal">
      <formula>"OFF"</formula>
    </cfRule>
    <cfRule type="cellIs" dxfId="28684" priority="55825" operator="equal">
      <formula>"PTO"</formula>
    </cfRule>
  </conditionalFormatting>
  <conditionalFormatting sqref="W69:W70">
    <cfRule type="cellIs" dxfId="28683" priority="55798" operator="equal">
      <formula>"OFF"</formula>
    </cfRule>
    <cfRule type="cellIs" dxfId="28682" priority="55799" operator="equal">
      <formula>"PTO"</formula>
    </cfRule>
  </conditionalFormatting>
  <conditionalFormatting sqref="W69:W70">
    <cfRule type="cellIs" dxfId="28681" priority="55796" operator="equal">
      <formula>"OFF"</formula>
    </cfRule>
    <cfRule type="cellIs" dxfId="28680" priority="55797" operator="equal">
      <formula>"PTO"</formula>
    </cfRule>
  </conditionalFormatting>
  <conditionalFormatting sqref="W69:W70">
    <cfRule type="cellIs" dxfId="28679" priority="55794" operator="equal">
      <formula>"OFF"</formula>
    </cfRule>
    <cfRule type="cellIs" dxfId="28678" priority="55795" operator="equal">
      <formula>"PTO"</formula>
    </cfRule>
  </conditionalFormatting>
  <conditionalFormatting sqref="W69:W70">
    <cfRule type="cellIs" dxfId="28677" priority="55792" operator="equal">
      <formula>"OFF"</formula>
    </cfRule>
    <cfRule type="cellIs" dxfId="28676" priority="55793" operator="equal">
      <formula>"PTO"</formula>
    </cfRule>
  </conditionalFormatting>
  <conditionalFormatting sqref="W69:W70">
    <cfRule type="cellIs" dxfId="28675" priority="55790" operator="equal">
      <formula>"OFF"</formula>
    </cfRule>
    <cfRule type="cellIs" dxfId="28674" priority="55791" operator="equal">
      <formula>"PTO"</formula>
    </cfRule>
  </conditionalFormatting>
  <conditionalFormatting sqref="W69:W70">
    <cfRule type="cellIs" dxfId="28673" priority="55788" operator="equal">
      <formula>"OFF"</formula>
    </cfRule>
    <cfRule type="cellIs" dxfId="28672" priority="55789" operator="equal">
      <formula>"PTO"</formula>
    </cfRule>
  </conditionalFormatting>
  <conditionalFormatting sqref="W69:W70">
    <cfRule type="cellIs" dxfId="28671" priority="55786" operator="equal">
      <formula>"OFF"</formula>
    </cfRule>
    <cfRule type="cellIs" dxfId="28670" priority="55787" operator="equal">
      <formula>"PTO"</formula>
    </cfRule>
  </conditionalFormatting>
  <conditionalFormatting sqref="W69:W70">
    <cfRule type="cellIs" dxfId="28669" priority="55784" operator="equal">
      <formula>"OFF"</formula>
    </cfRule>
    <cfRule type="cellIs" dxfId="28668" priority="55785" operator="equal">
      <formula>"PTO"</formula>
    </cfRule>
  </conditionalFormatting>
  <conditionalFormatting sqref="W69:W70">
    <cfRule type="cellIs" dxfId="28667" priority="55782" operator="equal">
      <formula>"OFF"</formula>
    </cfRule>
    <cfRule type="cellIs" dxfId="28666" priority="55783" operator="equal">
      <formula>"PTO"</formula>
    </cfRule>
  </conditionalFormatting>
  <conditionalFormatting sqref="W69:W70">
    <cfRule type="cellIs" dxfId="28665" priority="55780" operator="equal">
      <formula>"OFF"</formula>
    </cfRule>
    <cfRule type="cellIs" dxfId="28664" priority="55781" operator="equal">
      <formula>"PTO"</formula>
    </cfRule>
  </conditionalFormatting>
  <conditionalFormatting sqref="W69:W70">
    <cfRule type="cellIs" dxfId="28663" priority="55778" operator="equal">
      <formula>"OFF"</formula>
    </cfRule>
    <cfRule type="cellIs" dxfId="28662" priority="55779" operator="equal">
      <formula>"PTO"</formula>
    </cfRule>
  </conditionalFormatting>
  <conditionalFormatting sqref="W69:W70">
    <cfRule type="cellIs" dxfId="28661" priority="55776" operator="equal">
      <formula>"OFF"</formula>
    </cfRule>
    <cfRule type="cellIs" dxfId="28660" priority="55777" operator="equal">
      <formula>"PTO"</formula>
    </cfRule>
  </conditionalFormatting>
  <conditionalFormatting sqref="W69:W70">
    <cfRule type="cellIs" dxfId="28659" priority="55774" operator="equal">
      <formula>"OFF"</formula>
    </cfRule>
    <cfRule type="cellIs" dxfId="28658" priority="55775" operator="equal">
      <formula>"PTO"</formula>
    </cfRule>
  </conditionalFormatting>
  <conditionalFormatting sqref="W69:W70">
    <cfRule type="cellIs" dxfId="28657" priority="55772" operator="equal">
      <formula>"OFF"</formula>
    </cfRule>
    <cfRule type="cellIs" dxfId="28656" priority="55773" operator="equal">
      <formula>"PTO"</formula>
    </cfRule>
  </conditionalFormatting>
  <conditionalFormatting sqref="W69:W70">
    <cfRule type="cellIs" dxfId="28655" priority="55770" operator="equal">
      <formula>"OFF"</formula>
    </cfRule>
    <cfRule type="cellIs" dxfId="28654" priority="55771" operator="equal">
      <formula>"PTO"</formula>
    </cfRule>
  </conditionalFormatting>
  <conditionalFormatting sqref="W69:W70">
    <cfRule type="cellIs" dxfId="28653" priority="55768" operator="equal">
      <formula>"OFF"</formula>
    </cfRule>
    <cfRule type="cellIs" dxfId="28652" priority="55769" operator="equal">
      <formula>"PTO"</formula>
    </cfRule>
  </conditionalFormatting>
  <conditionalFormatting sqref="W69:W70">
    <cfRule type="cellIs" dxfId="28651" priority="55766" operator="equal">
      <formula>"OFF"</formula>
    </cfRule>
    <cfRule type="cellIs" dxfId="28650" priority="55767" operator="equal">
      <formula>"PTO"</formula>
    </cfRule>
  </conditionalFormatting>
  <conditionalFormatting sqref="W69:W70">
    <cfRule type="cellIs" dxfId="28649" priority="55764" operator="equal">
      <formula>"OFF"</formula>
    </cfRule>
    <cfRule type="cellIs" dxfId="28648" priority="55765" operator="equal">
      <formula>"PTO"</formula>
    </cfRule>
  </conditionalFormatting>
  <conditionalFormatting sqref="W69:W70">
    <cfRule type="cellIs" dxfId="28647" priority="55762" operator="equal">
      <formula>"OFF"</formula>
    </cfRule>
    <cfRule type="cellIs" dxfId="28646" priority="55763" operator="equal">
      <formula>"PTO"</formula>
    </cfRule>
  </conditionalFormatting>
  <conditionalFormatting sqref="Q69:Q70">
    <cfRule type="cellIs" dxfId="28645" priority="55732" operator="equal">
      <formula>"OFF"</formula>
    </cfRule>
    <cfRule type="cellIs" dxfId="28644" priority="55733" operator="equal">
      <formula>"PTO"</formula>
    </cfRule>
  </conditionalFormatting>
  <conditionalFormatting sqref="Q69:Q70">
    <cfRule type="cellIs" dxfId="28643" priority="55730" operator="equal">
      <formula>"OFF"</formula>
    </cfRule>
    <cfRule type="cellIs" dxfId="28642" priority="55731" operator="equal">
      <formula>"PTO"</formula>
    </cfRule>
  </conditionalFormatting>
  <conditionalFormatting sqref="Q69:Q70">
    <cfRule type="cellIs" dxfId="28641" priority="55726" operator="equal">
      <formula>"OFF"</formula>
    </cfRule>
    <cfRule type="cellIs" dxfId="28640" priority="55727" operator="equal">
      <formula>"PTO"</formula>
    </cfRule>
  </conditionalFormatting>
  <conditionalFormatting sqref="Q69:Q70">
    <cfRule type="cellIs" dxfId="28639" priority="55724" operator="equal">
      <formula>"OFF"</formula>
    </cfRule>
    <cfRule type="cellIs" dxfId="28638" priority="55725" operator="equal">
      <formula>"PTO"</formula>
    </cfRule>
  </conditionalFormatting>
  <conditionalFormatting sqref="Q69:Q70">
    <cfRule type="cellIs" dxfId="28637" priority="55720" operator="equal">
      <formula>"OFF"</formula>
    </cfRule>
    <cfRule type="cellIs" dxfId="28636" priority="55721" operator="equal">
      <formula>"PTO"</formula>
    </cfRule>
  </conditionalFormatting>
  <conditionalFormatting sqref="Q69:Q70">
    <cfRule type="cellIs" dxfId="28635" priority="55718" operator="equal">
      <formula>"OFF"</formula>
    </cfRule>
    <cfRule type="cellIs" dxfId="28634" priority="55719" operator="equal">
      <formula>"PTO"</formula>
    </cfRule>
  </conditionalFormatting>
  <conditionalFormatting sqref="Q69:Q70">
    <cfRule type="cellIs" dxfId="28633" priority="55716" operator="equal">
      <formula>"OFF"</formula>
    </cfRule>
    <cfRule type="cellIs" dxfId="28632" priority="55717" operator="equal">
      <formula>"PTO"</formula>
    </cfRule>
  </conditionalFormatting>
  <conditionalFormatting sqref="Q69:Q70">
    <cfRule type="cellIs" dxfId="28631" priority="55714" operator="equal">
      <formula>"OFF"</formula>
    </cfRule>
    <cfRule type="cellIs" dxfId="28630" priority="55715" operator="equal">
      <formula>"PTO"</formula>
    </cfRule>
  </conditionalFormatting>
  <conditionalFormatting sqref="Q69:Q70">
    <cfRule type="cellIs" dxfId="28629" priority="55712" operator="equal">
      <formula>"OFF"</formula>
    </cfRule>
    <cfRule type="cellIs" dxfId="28628" priority="55713" operator="equal">
      <formula>"PTO"</formula>
    </cfRule>
  </conditionalFormatting>
  <conditionalFormatting sqref="Q69:Q70">
    <cfRule type="cellIs" dxfId="28627" priority="55710" operator="equal">
      <formula>"OFF"</formula>
    </cfRule>
    <cfRule type="cellIs" dxfId="28626" priority="55711" operator="equal">
      <formula>"PTO"</formula>
    </cfRule>
  </conditionalFormatting>
  <conditionalFormatting sqref="Q69:Q70">
    <cfRule type="cellIs" dxfId="28625" priority="55708" operator="equal">
      <formula>"OFF"</formula>
    </cfRule>
    <cfRule type="cellIs" dxfId="28624" priority="55709" operator="equal">
      <formula>"PTO"</formula>
    </cfRule>
  </conditionalFormatting>
  <conditionalFormatting sqref="Q69:Q70">
    <cfRule type="cellIs" dxfId="28623" priority="55706" operator="equal">
      <formula>"OFF"</formula>
    </cfRule>
    <cfRule type="cellIs" dxfId="28622" priority="55707" operator="equal">
      <formula>"PTO"</formula>
    </cfRule>
  </conditionalFormatting>
  <conditionalFormatting sqref="Q69:Q70">
    <cfRule type="cellIs" dxfId="28621" priority="55704" operator="equal">
      <formula>"OFF"</formula>
    </cfRule>
    <cfRule type="cellIs" dxfId="28620" priority="55705" operator="equal">
      <formula>"PTO"</formula>
    </cfRule>
  </conditionalFormatting>
  <conditionalFormatting sqref="W69:W70">
    <cfRule type="cellIs" dxfId="28619" priority="55678" operator="equal">
      <formula>"OFF"</formula>
    </cfRule>
    <cfRule type="cellIs" dxfId="28618" priority="55679" operator="equal">
      <formula>"PTO"</formula>
    </cfRule>
  </conditionalFormatting>
  <conditionalFormatting sqref="W69:W70">
    <cfRule type="cellIs" dxfId="28617" priority="55676" operator="equal">
      <formula>"OFF"</formula>
    </cfRule>
    <cfRule type="cellIs" dxfId="28616" priority="55677" operator="equal">
      <formula>"PTO"</formula>
    </cfRule>
  </conditionalFormatting>
  <conditionalFormatting sqref="W69:W70">
    <cfRule type="cellIs" dxfId="28615" priority="55674" operator="equal">
      <formula>"OFF"</formula>
    </cfRule>
    <cfRule type="cellIs" dxfId="28614" priority="55675" operator="equal">
      <formula>"PTO"</formula>
    </cfRule>
  </conditionalFormatting>
  <conditionalFormatting sqref="W69:W70">
    <cfRule type="cellIs" dxfId="28613" priority="55672" operator="equal">
      <formula>"OFF"</formula>
    </cfRule>
    <cfRule type="cellIs" dxfId="28612" priority="55673" operator="equal">
      <formula>"PTO"</formula>
    </cfRule>
  </conditionalFormatting>
  <conditionalFormatting sqref="W69:W70">
    <cfRule type="cellIs" dxfId="28611" priority="55670" operator="equal">
      <formula>"OFF"</formula>
    </cfRule>
    <cfRule type="cellIs" dxfId="28610" priority="55671" operator="equal">
      <formula>"PTO"</formula>
    </cfRule>
  </conditionalFormatting>
  <conditionalFormatting sqref="W69:W70">
    <cfRule type="cellIs" dxfId="28609" priority="55668" operator="equal">
      <formula>"OFF"</formula>
    </cfRule>
    <cfRule type="cellIs" dxfId="28608" priority="55669" operator="equal">
      <formula>"PTO"</formula>
    </cfRule>
  </conditionalFormatting>
  <conditionalFormatting sqref="W69:W70">
    <cfRule type="cellIs" dxfId="28607" priority="55666" operator="equal">
      <formula>"OFF"</formula>
    </cfRule>
    <cfRule type="cellIs" dxfId="28606" priority="55667" operator="equal">
      <formula>"PTO"</formula>
    </cfRule>
  </conditionalFormatting>
  <conditionalFormatting sqref="W69:W70">
    <cfRule type="cellIs" dxfId="28605" priority="55664" operator="equal">
      <formula>"OFF"</formula>
    </cfRule>
    <cfRule type="cellIs" dxfId="28604" priority="55665" operator="equal">
      <formula>"PTO"</formula>
    </cfRule>
  </conditionalFormatting>
  <conditionalFormatting sqref="W69:W70">
    <cfRule type="cellIs" dxfId="28603" priority="55662" operator="equal">
      <formula>"OFF"</formula>
    </cfRule>
    <cfRule type="cellIs" dxfId="28602" priority="55663" operator="equal">
      <formula>"PTO"</formula>
    </cfRule>
  </conditionalFormatting>
  <conditionalFormatting sqref="W69:W70">
    <cfRule type="cellIs" dxfId="28601" priority="55660" operator="equal">
      <formula>"OFF"</formula>
    </cfRule>
    <cfRule type="cellIs" dxfId="28600" priority="55661" operator="equal">
      <formula>"PTO"</formula>
    </cfRule>
  </conditionalFormatting>
  <conditionalFormatting sqref="W69:W70">
    <cfRule type="cellIs" dxfId="28599" priority="55658" operator="equal">
      <formula>"OFF"</formula>
    </cfRule>
    <cfRule type="cellIs" dxfId="28598" priority="55659" operator="equal">
      <formula>"PTO"</formula>
    </cfRule>
  </conditionalFormatting>
  <conditionalFormatting sqref="W69:W70">
    <cfRule type="cellIs" dxfId="28597" priority="55656" operator="equal">
      <formula>"OFF"</formula>
    </cfRule>
    <cfRule type="cellIs" dxfId="28596" priority="55657" operator="equal">
      <formula>"PTO"</formula>
    </cfRule>
  </conditionalFormatting>
  <conditionalFormatting sqref="W69:W70">
    <cfRule type="cellIs" dxfId="28595" priority="55654" operator="equal">
      <formula>"OFF"</formula>
    </cfRule>
    <cfRule type="cellIs" dxfId="28594" priority="55655" operator="equal">
      <formula>"PTO"</formula>
    </cfRule>
  </conditionalFormatting>
  <conditionalFormatting sqref="Y69:Y70">
    <cfRule type="cellIs" dxfId="28593" priority="55324" operator="equal">
      <formula>"OFF"</formula>
    </cfRule>
    <cfRule type="cellIs" dxfId="28592" priority="55325" operator="equal">
      <formula>"PTO"</formula>
    </cfRule>
  </conditionalFormatting>
  <conditionalFormatting sqref="Y69:Y70">
    <cfRule type="cellIs" dxfId="28591" priority="55322" operator="equal">
      <formula>"OFF"</formula>
    </cfRule>
    <cfRule type="cellIs" dxfId="28590" priority="55323" operator="equal">
      <formula>"PTO"</formula>
    </cfRule>
  </conditionalFormatting>
  <conditionalFormatting sqref="Y69:Y70">
    <cfRule type="cellIs" dxfId="28589" priority="55320" operator="equal">
      <formula>"OFF"</formula>
    </cfRule>
    <cfRule type="cellIs" dxfId="28588" priority="55321" operator="equal">
      <formula>"PTO"</formula>
    </cfRule>
  </conditionalFormatting>
  <conditionalFormatting sqref="Y69:Y70">
    <cfRule type="cellIs" dxfId="28587" priority="55318" operator="equal">
      <formula>"OFF"</formula>
    </cfRule>
    <cfRule type="cellIs" dxfId="28586" priority="55319" operator="equal">
      <formula>"PTO"</formula>
    </cfRule>
  </conditionalFormatting>
  <conditionalFormatting sqref="Y69:Y70">
    <cfRule type="cellIs" dxfId="28585" priority="55316" operator="equal">
      <formula>"OFF"</formula>
    </cfRule>
    <cfRule type="cellIs" dxfId="28584" priority="55317" operator="equal">
      <formula>"PTO"</formula>
    </cfRule>
  </conditionalFormatting>
  <conditionalFormatting sqref="Y69:Y70">
    <cfRule type="cellIs" dxfId="28583" priority="55314" operator="equal">
      <formula>"OFF"</formula>
    </cfRule>
    <cfRule type="cellIs" dxfId="28582" priority="55315" operator="equal">
      <formula>"PTO"</formula>
    </cfRule>
  </conditionalFormatting>
  <conditionalFormatting sqref="Y69:Y70">
    <cfRule type="cellIs" dxfId="28581" priority="55312" operator="equal">
      <formula>"OFF"</formula>
    </cfRule>
    <cfRule type="cellIs" dxfId="28580" priority="55313" operator="equal">
      <formula>"PTO"</formula>
    </cfRule>
  </conditionalFormatting>
  <conditionalFormatting sqref="Y69:Y70">
    <cfRule type="cellIs" dxfId="28579" priority="55310" operator="equal">
      <formula>"OFF"</formula>
    </cfRule>
    <cfRule type="cellIs" dxfId="28578" priority="55311" operator="equal">
      <formula>"PTO"</formula>
    </cfRule>
  </conditionalFormatting>
  <conditionalFormatting sqref="Y69:Y70">
    <cfRule type="cellIs" dxfId="28577" priority="55308" operator="equal">
      <formula>"OFF"</formula>
    </cfRule>
    <cfRule type="cellIs" dxfId="28576" priority="55309" operator="equal">
      <formula>"PTO"</formula>
    </cfRule>
  </conditionalFormatting>
  <conditionalFormatting sqref="Y69:Y70">
    <cfRule type="cellIs" dxfId="28575" priority="55306" operator="equal">
      <formula>"OFF"</formula>
    </cfRule>
    <cfRule type="cellIs" dxfId="28574" priority="55307" operator="equal">
      <formula>"PTO"</formula>
    </cfRule>
  </conditionalFormatting>
  <conditionalFormatting sqref="Y69:Y70">
    <cfRule type="cellIs" dxfId="28573" priority="55304" operator="equal">
      <formula>"OFF"</formula>
    </cfRule>
    <cfRule type="cellIs" dxfId="28572" priority="55305" operator="equal">
      <formula>"PTO"</formula>
    </cfRule>
  </conditionalFormatting>
  <conditionalFormatting sqref="Y69:Y70">
    <cfRule type="cellIs" dxfId="28571" priority="55302" operator="equal">
      <formula>"OFF"</formula>
    </cfRule>
    <cfRule type="cellIs" dxfId="28570" priority="55303" operator="equal">
      <formula>"PTO"</formula>
    </cfRule>
  </conditionalFormatting>
  <conditionalFormatting sqref="Y69:Y70">
    <cfRule type="cellIs" dxfId="28569" priority="55300" operator="equal">
      <formula>"OFF"</formula>
    </cfRule>
    <cfRule type="cellIs" dxfId="28568" priority="55301" operator="equal">
      <formula>"PTO"</formula>
    </cfRule>
  </conditionalFormatting>
  <conditionalFormatting sqref="Y69:Y70">
    <cfRule type="cellIs" dxfId="28567" priority="55298" operator="equal">
      <formula>"OFF"</formula>
    </cfRule>
    <cfRule type="cellIs" dxfId="28566" priority="55299" operator="equal">
      <formula>"PTO"</formula>
    </cfRule>
  </conditionalFormatting>
  <conditionalFormatting sqref="Y69:Y70">
    <cfRule type="cellIs" dxfId="28565" priority="55296" operator="equal">
      <formula>"OFF"</formula>
    </cfRule>
    <cfRule type="cellIs" dxfId="28564" priority="55297" operator="equal">
      <formula>"PTO"</formula>
    </cfRule>
  </conditionalFormatting>
  <conditionalFormatting sqref="Y69:Y70">
    <cfRule type="cellIs" dxfId="28563" priority="55294" operator="equal">
      <formula>"OFF"</formula>
    </cfRule>
    <cfRule type="cellIs" dxfId="28562" priority="55295" operator="equal">
      <formula>"PTO"</formula>
    </cfRule>
  </conditionalFormatting>
  <conditionalFormatting sqref="Y69:Y70">
    <cfRule type="cellIs" dxfId="28561" priority="55292" operator="equal">
      <formula>"OFF"</formula>
    </cfRule>
    <cfRule type="cellIs" dxfId="28560" priority="55293" operator="equal">
      <formula>"PTO"</formula>
    </cfRule>
  </conditionalFormatting>
  <conditionalFormatting sqref="Y69:Y70">
    <cfRule type="cellIs" dxfId="28559" priority="55290" operator="equal">
      <formula>"OFF"</formula>
    </cfRule>
    <cfRule type="cellIs" dxfId="28558" priority="55291" operator="equal">
      <formula>"PTO"</formula>
    </cfRule>
  </conditionalFormatting>
  <conditionalFormatting sqref="Y69:Y70">
    <cfRule type="cellIs" dxfId="28557" priority="55288" operator="equal">
      <formula>"OFF"</formula>
    </cfRule>
    <cfRule type="cellIs" dxfId="28556" priority="55289" operator="equal">
      <formula>"PTO"</formula>
    </cfRule>
  </conditionalFormatting>
  <conditionalFormatting sqref="Y69:Y70">
    <cfRule type="cellIs" dxfId="28555" priority="55286" operator="equal">
      <formula>"OFF"</formula>
    </cfRule>
    <cfRule type="cellIs" dxfId="28554" priority="55287" operator="equal">
      <formula>"PTO"</formula>
    </cfRule>
  </conditionalFormatting>
  <conditionalFormatting sqref="Y69:Y70">
    <cfRule type="cellIs" dxfId="28553" priority="55284" operator="equal">
      <formula>"OFF"</formula>
    </cfRule>
    <cfRule type="cellIs" dxfId="28552" priority="55285" operator="equal">
      <formula>"PTO"</formula>
    </cfRule>
  </conditionalFormatting>
  <conditionalFormatting sqref="Y69:Y70">
    <cfRule type="cellIs" dxfId="28551" priority="55282" operator="equal">
      <formula>"OFF"</formula>
    </cfRule>
    <cfRule type="cellIs" dxfId="28550" priority="55283" operator="equal">
      <formula>"PTO"</formula>
    </cfRule>
  </conditionalFormatting>
  <conditionalFormatting sqref="Y69:Y70">
    <cfRule type="cellIs" dxfId="28549" priority="55280" operator="equal">
      <formula>"OFF"</formula>
    </cfRule>
    <cfRule type="cellIs" dxfId="28548" priority="55281" operator="equal">
      <formula>"PTO"</formula>
    </cfRule>
  </conditionalFormatting>
  <conditionalFormatting sqref="Y69:Y70">
    <cfRule type="cellIs" dxfId="28547" priority="55278" operator="equal">
      <formula>"OFF"</formula>
    </cfRule>
    <cfRule type="cellIs" dxfId="28546" priority="55279" operator="equal">
      <formula>"PTO"</formula>
    </cfRule>
  </conditionalFormatting>
  <conditionalFormatting sqref="Y69:Y70">
    <cfRule type="cellIs" dxfId="28545" priority="55276" operator="equal">
      <formula>"OFF"</formula>
    </cfRule>
    <cfRule type="cellIs" dxfId="28544" priority="55277" operator="equal">
      <formula>"PTO"</formula>
    </cfRule>
  </conditionalFormatting>
  <conditionalFormatting sqref="Y69:Y70">
    <cfRule type="cellIs" dxfId="28543" priority="55274" operator="equal">
      <formula>"OFF"</formula>
    </cfRule>
    <cfRule type="cellIs" dxfId="28542" priority="55275" operator="equal">
      <formula>"PTO"</formula>
    </cfRule>
  </conditionalFormatting>
  <conditionalFormatting sqref="Y69:Y70">
    <cfRule type="cellIs" dxfId="28541" priority="55272" operator="equal">
      <formula>"OFF"</formula>
    </cfRule>
    <cfRule type="cellIs" dxfId="28540" priority="55273" operator="equal">
      <formula>"PTO"</formula>
    </cfRule>
  </conditionalFormatting>
  <conditionalFormatting sqref="Y69:Y70">
    <cfRule type="cellIs" dxfId="28539" priority="55270" operator="equal">
      <formula>"OFF"</formula>
    </cfRule>
    <cfRule type="cellIs" dxfId="28538" priority="55271" operator="equal">
      <formula>"PTO"</formula>
    </cfRule>
  </conditionalFormatting>
  <conditionalFormatting sqref="Y69:Y70">
    <cfRule type="cellIs" dxfId="28537" priority="55268" operator="equal">
      <formula>"OFF"</formula>
    </cfRule>
    <cfRule type="cellIs" dxfId="28536" priority="55269" operator="equal">
      <formula>"PTO"</formula>
    </cfRule>
  </conditionalFormatting>
  <conditionalFormatting sqref="Y69:Y70">
    <cfRule type="cellIs" dxfId="28535" priority="55266" operator="equal">
      <formula>"OFF"</formula>
    </cfRule>
    <cfRule type="cellIs" dxfId="28534" priority="55267" operator="equal">
      <formula>"PTO"</formula>
    </cfRule>
  </conditionalFormatting>
  <conditionalFormatting sqref="Y69:Y70">
    <cfRule type="cellIs" dxfId="28533" priority="55264" operator="equal">
      <formula>"OFF"</formula>
    </cfRule>
    <cfRule type="cellIs" dxfId="28532" priority="55265" operator="equal">
      <formula>"PTO"</formula>
    </cfRule>
  </conditionalFormatting>
  <conditionalFormatting sqref="Y69:Y70">
    <cfRule type="cellIs" dxfId="28531" priority="55262" operator="equal">
      <formula>"OFF"</formula>
    </cfRule>
    <cfRule type="cellIs" dxfId="28530" priority="55263" operator="equal">
      <formula>"PTO"</formula>
    </cfRule>
  </conditionalFormatting>
  <conditionalFormatting sqref="Y69:Y70">
    <cfRule type="cellIs" dxfId="28529" priority="55260" operator="equal">
      <formula>"OFF"</formula>
    </cfRule>
    <cfRule type="cellIs" dxfId="28528" priority="55261" operator="equal">
      <formula>"PTO"</formula>
    </cfRule>
  </conditionalFormatting>
  <conditionalFormatting sqref="Y69:Y70">
    <cfRule type="cellIs" dxfId="28527" priority="55258" operator="equal">
      <formula>"OFF"</formula>
    </cfRule>
    <cfRule type="cellIs" dxfId="28526" priority="55259" operator="equal">
      <formula>"PTO"</formula>
    </cfRule>
  </conditionalFormatting>
  <conditionalFormatting sqref="J69:J70">
    <cfRule type="cellIs" dxfId="28525" priority="55256" operator="equal">
      <formula>"OFF"</formula>
    </cfRule>
    <cfRule type="cellIs" dxfId="28524" priority="55257" operator="equal">
      <formula>"PTO"</formula>
    </cfRule>
  </conditionalFormatting>
  <conditionalFormatting sqref="J69:J70">
    <cfRule type="cellIs" dxfId="28523" priority="55254" operator="equal">
      <formula>"OFF"</formula>
    </cfRule>
    <cfRule type="cellIs" dxfId="28522" priority="55255" operator="equal">
      <formula>"PTO"</formula>
    </cfRule>
  </conditionalFormatting>
  <conditionalFormatting sqref="J69:J70">
    <cfRule type="cellIs" dxfId="28521" priority="55252" operator="equal">
      <formula>"OFF"</formula>
    </cfRule>
    <cfRule type="cellIs" dxfId="28520" priority="55253" operator="equal">
      <formula>"PTO"</formula>
    </cfRule>
  </conditionalFormatting>
  <conditionalFormatting sqref="J69:J70">
    <cfRule type="cellIs" dxfId="28519" priority="55250" operator="equal">
      <formula>"OFF"</formula>
    </cfRule>
    <cfRule type="cellIs" dxfId="28518" priority="55251" operator="equal">
      <formula>"PTO"</formula>
    </cfRule>
  </conditionalFormatting>
  <conditionalFormatting sqref="J69:J70">
    <cfRule type="cellIs" dxfId="28517" priority="55248" operator="equal">
      <formula>"OFF"</formula>
    </cfRule>
    <cfRule type="cellIs" dxfId="28516" priority="55249" operator="equal">
      <formula>"PTO"</formula>
    </cfRule>
  </conditionalFormatting>
  <conditionalFormatting sqref="J69:J70">
    <cfRule type="cellIs" dxfId="28515" priority="55246" operator="equal">
      <formula>"OFF"</formula>
    </cfRule>
    <cfRule type="cellIs" dxfId="28514" priority="55247" operator="equal">
      <formula>"PTO"</formula>
    </cfRule>
  </conditionalFormatting>
  <conditionalFormatting sqref="J69:J70">
    <cfRule type="cellIs" dxfId="28513" priority="55244" operator="equal">
      <formula>"OFF"</formula>
    </cfRule>
    <cfRule type="cellIs" dxfId="28512" priority="55245" operator="equal">
      <formula>"PTO"</formula>
    </cfRule>
  </conditionalFormatting>
  <conditionalFormatting sqref="J69:J70">
    <cfRule type="cellIs" dxfId="28511" priority="55242" operator="equal">
      <formula>"OFF"</formula>
    </cfRule>
    <cfRule type="cellIs" dxfId="28510" priority="55243" operator="equal">
      <formula>"PTO"</formula>
    </cfRule>
  </conditionalFormatting>
  <conditionalFormatting sqref="J69:J70">
    <cfRule type="cellIs" dxfId="28509" priority="55240" operator="equal">
      <formula>"OFF"</formula>
    </cfRule>
    <cfRule type="cellIs" dxfId="28508" priority="55241" operator="equal">
      <formula>"PTO"</formula>
    </cfRule>
  </conditionalFormatting>
  <conditionalFormatting sqref="J69:J70">
    <cfRule type="cellIs" dxfId="28507" priority="55238" operator="equal">
      <formula>"OFF"</formula>
    </cfRule>
    <cfRule type="cellIs" dxfId="28506" priority="55239" operator="equal">
      <formula>"PTO"</formula>
    </cfRule>
  </conditionalFormatting>
  <conditionalFormatting sqref="P69:P70">
    <cfRule type="cellIs" dxfId="28505" priority="55138" operator="equal">
      <formula>"OFF"</formula>
    </cfRule>
    <cfRule type="cellIs" dxfId="28504" priority="55139" operator="equal">
      <formula>"PTO"</formula>
    </cfRule>
  </conditionalFormatting>
  <conditionalFormatting sqref="P69:P70">
    <cfRule type="cellIs" dxfId="28503" priority="55136" operator="equal">
      <formula>"OFF"</formula>
    </cfRule>
    <cfRule type="cellIs" dxfId="28502" priority="55137" operator="equal">
      <formula>"PTO"</formula>
    </cfRule>
  </conditionalFormatting>
  <conditionalFormatting sqref="P69:P70">
    <cfRule type="cellIs" dxfId="28501" priority="55134" operator="equal">
      <formula>"OFF"</formula>
    </cfRule>
    <cfRule type="cellIs" dxfId="28500" priority="55135" operator="equal">
      <formula>"PTO"</formula>
    </cfRule>
  </conditionalFormatting>
  <conditionalFormatting sqref="P69:P70">
    <cfRule type="cellIs" dxfId="28499" priority="55132" operator="equal">
      <formula>"OFF"</formula>
    </cfRule>
    <cfRule type="cellIs" dxfId="28498" priority="55133" operator="equal">
      <formula>"PTO"</formula>
    </cfRule>
  </conditionalFormatting>
  <conditionalFormatting sqref="P69:P70">
    <cfRule type="cellIs" dxfId="28497" priority="55130" operator="equal">
      <formula>"OFF"</formula>
    </cfRule>
    <cfRule type="cellIs" dxfId="28496" priority="55131" operator="equal">
      <formula>"PTO"</formula>
    </cfRule>
  </conditionalFormatting>
  <conditionalFormatting sqref="P69:P70">
    <cfRule type="cellIs" dxfId="28495" priority="55128" operator="equal">
      <formula>"OFF"</formula>
    </cfRule>
    <cfRule type="cellIs" dxfId="28494" priority="55129" operator="equal">
      <formula>"PTO"</formula>
    </cfRule>
  </conditionalFormatting>
  <conditionalFormatting sqref="P69:P70">
    <cfRule type="cellIs" dxfId="28493" priority="55126" operator="equal">
      <formula>"OFF"</formula>
    </cfRule>
    <cfRule type="cellIs" dxfId="28492" priority="55127" operator="equal">
      <formula>"PTO"</formula>
    </cfRule>
  </conditionalFormatting>
  <conditionalFormatting sqref="P69:P70">
    <cfRule type="cellIs" dxfId="28491" priority="55124" operator="equal">
      <formula>"OFF"</formula>
    </cfRule>
    <cfRule type="cellIs" dxfId="28490" priority="55125" operator="equal">
      <formula>"PTO"</formula>
    </cfRule>
  </conditionalFormatting>
  <conditionalFormatting sqref="P69:P70">
    <cfRule type="cellIs" dxfId="28489" priority="55122" operator="equal">
      <formula>"OFF"</formula>
    </cfRule>
    <cfRule type="cellIs" dxfId="28488" priority="55123" operator="equal">
      <formula>"PTO"</formula>
    </cfRule>
  </conditionalFormatting>
  <conditionalFormatting sqref="P69:P70">
    <cfRule type="cellIs" dxfId="28487" priority="55120" operator="equal">
      <formula>"OFF"</formula>
    </cfRule>
    <cfRule type="cellIs" dxfId="28486" priority="55121" operator="equal">
      <formula>"PTO"</formula>
    </cfRule>
  </conditionalFormatting>
  <conditionalFormatting sqref="P69:P70">
    <cfRule type="cellIs" dxfId="28485" priority="55118" operator="equal">
      <formula>"OFF"</formula>
    </cfRule>
    <cfRule type="cellIs" dxfId="28484" priority="55119" operator="equal">
      <formula>"PTO"</formula>
    </cfRule>
  </conditionalFormatting>
  <conditionalFormatting sqref="P69:P70">
    <cfRule type="cellIs" dxfId="28483" priority="55116" operator="equal">
      <formula>"OFF"</formula>
    </cfRule>
    <cfRule type="cellIs" dxfId="28482" priority="55117" operator="equal">
      <formula>"PTO"</formula>
    </cfRule>
  </conditionalFormatting>
  <conditionalFormatting sqref="P69:P70">
    <cfRule type="cellIs" dxfId="28481" priority="55114" operator="equal">
      <formula>"OFF"</formula>
    </cfRule>
    <cfRule type="cellIs" dxfId="28480" priority="55115" operator="equal">
      <formula>"PTO"</formula>
    </cfRule>
  </conditionalFormatting>
  <conditionalFormatting sqref="P69:P70">
    <cfRule type="cellIs" dxfId="28479" priority="55112" operator="equal">
      <formula>"OFF"</formula>
    </cfRule>
    <cfRule type="cellIs" dxfId="28478" priority="55113" operator="equal">
      <formula>"PTO"</formula>
    </cfRule>
  </conditionalFormatting>
  <conditionalFormatting sqref="P69:P70">
    <cfRule type="cellIs" dxfId="28477" priority="55110" operator="equal">
      <formula>"OFF"</formula>
    </cfRule>
    <cfRule type="cellIs" dxfId="28476" priority="55111" operator="equal">
      <formula>"PTO"</formula>
    </cfRule>
  </conditionalFormatting>
  <conditionalFormatting sqref="P69:P70">
    <cfRule type="cellIs" dxfId="28475" priority="55108" operator="equal">
      <formula>"OFF"</formula>
    </cfRule>
    <cfRule type="cellIs" dxfId="28474" priority="55109" operator="equal">
      <formula>"PTO"</formula>
    </cfRule>
  </conditionalFormatting>
  <conditionalFormatting sqref="P69:P70">
    <cfRule type="cellIs" dxfId="28473" priority="55106" operator="equal">
      <formula>"OFF"</formula>
    </cfRule>
    <cfRule type="cellIs" dxfId="28472" priority="55107" operator="equal">
      <formula>"PTO"</formula>
    </cfRule>
  </conditionalFormatting>
  <conditionalFormatting sqref="P69:P70">
    <cfRule type="cellIs" dxfId="28471" priority="55104" operator="equal">
      <formula>"OFF"</formula>
    </cfRule>
    <cfRule type="cellIs" dxfId="28470" priority="55105" operator="equal">
      <formula>"PTO"</formula>
    </cfRule>
  </conditionalFormatting>
  <conditionalFormatting sqref="P69:P70">
    <cfRule type="cellIs" dxfId="28469" priority="55102" operator="equal">
      <formula>"OFF"</formula>
    </cfRule>
    <cfRule type="cellIs" dxfId="28468" priority="55103" operator="equal">
      <formula>"PTO"</formula>
    </cfRule>
  </conditionalFormatting>
  <conditionalFormatting sqref="P69:P70">
    <cfRule type="cellIs" dxfId="28467" priority="55100" operator="equal">
      <formula>"OFF"</formula>
    </cfRule>
    <cfRule type="cellIs" dxfId="28466" priority="55101" operator="equal">
      <formula>"PTO"</formula>
    </cfRule>
  </conditionalFormatting>
  <conditionalFormatting sqref="F69:F70">
    <cfRule type="cellIs" dxfId="28465" priority="48312" operator="equal">
      <formula>"OFF"</formula>
    </cfRule>
    <cfRule type="cellIs" dxfId="28464" priority="48313" operator="equal">
      <formula>"PTO"</formula>
    </cfRule>
  </conditionalFormatting>
  <conditionalFormatting sqref="F69:F70">
    <cfRule type="cellIs" dxfId="28463" priority="48310" operator="equal">
      <formula>"OFF"</formula>
    </cfRule>
    <cfRule type="cellIs" dxfId="28462" priority="48311" operator="equal">
      <formula>"PTO"</formula>
    </cfRule>
  </conditionalFormatting>
  <conditionalFormatting sqref="F69:F70">
    <cfRule type="cellIs" dxfId="28461" priority="48308" operator="equal">
      <formula>"OFF"</formula>
    </cfRule>
    <cfRule type="cellIs" dxfId="28460" priority="48309" operator="equal">
      <formula>"PTO"</formula>
    </cfRule>
  </conditionalFormatting>
  <conditionalFormatting sqref="F69:F70">
    <cfRule type="cellIs" dxfId="28459" priority="48306" operator="equal">
      <formula>"OFF"</formula>
    </cfRule>
    <cfRule type="cellIs" dxfId="28458" priority="48307" operator="equal">
      <formula>"PTO"</formula>
    </cfRule>
  </conditionalFormatting>
  <conditionalFormatting sqref="F69:F70">
    <cfRule type="cellIs" dxfId="28457" priority="48304" operator="equal">
      <formula>"OFF"</formula>
    </cfRule>
    <cfRule type="cellIs" dxfId="28456" priority="48305" operator="equal">
      <formula>"PTO"</formula>
    </cfRule>
  </conditionalFormatting>
  <conditionalFormatting sqref="F69:F70">
    <cfRule type="cellIs" dxfId="28455" priority="48302" operator="equal">
      <formula>"OFF"</formula>
    </cfRule>
    <cfRule type="cellIs" dxfId="28454" priority="48303" operator="equal">
      <formula>"PTO"</formula>
    </cfRule>
  </conditionalFormatting>
  <conditionalFormatting sqref="F69:F70">
    <cfRule type="cellIs" dxfId="28453" priority="48300" operator="equal">
      <formula>"OFF"</formula>
    </cfRule>
    <cfRule type="cellIs" dxfId="28452" priority="48301" operator="equal">
      <formula>"PTO"</formula>
    </cfRule>
  </conditionalFormatting>
  <conditionalFormatting sqref="F69:F70">
    <cfRule type="cellIs" dxfId="28451" priority="48298" operator="equal">
      <formula>"OFF"</formula>
    </cfRule>
    <cfRule type="cellIs" dxfId="28450" priority="48299" operator="equal">
      <formula>"PTO"</formula>
    </cfRule>
  </conditionalFormatting>
  <conditionalFormatting sqref="F69:F70">
    <cfRule type="cellIs" dxfId="28449" priority="48296" operator="equal">
      <formula>"OFF"</formula>
    </cfRule>
    <cfRule type="cellIs" dxfId="28448" priority="48297" operator="equal">
      <formula>"PTO"</formula>
    </cfRule>
  </conditionalFormatting>
  <conditionalFormatting sqref="F69:F70">
    <cfRule type="cellIs" dxfId="28447" priority="48294" operator="equal">
      <formula>"OFF"</formula>
    </cfRule>
    <cfRule type="cellIs" dxfId="28446" priority="48295" operator="equal">
      <formula>"PTO"</formula>
    </cfRule>
  </conditionalFormatting>
  <conditionalFormatting sqref="F69:F70">
    <cfRule type="cellIs" dxfId="28445" priority="48292" operator="equal">
      <formula>"OFF"</formula>
    </cfRule>
    <cfRule type="cellIs" dxfId="28444" priority="48293" operator="equal">
      <formula>"PTO"</formula>
    </cfRule>
  </conditionalFormatting>
  <conditionalFormatting sqref="F69:F70">
    <cfRule type="cellIs" dxfId="28443" priority="48290" operator="equal">
      <formula>"OFF"</formula>
    </cfRule>
    <cfRule type="cellIs" dxfId="28442" priority="48291" operator="equal">
      <formula>"PTO"</formula>
    </cfRule>
  </conditionalFormatting>
  <conditionalFormatting sqref="F69:F70">
    <cfRule type="cellIs" dxfId="28441" priority="48288" operator="equal">
      <formula>"OFF"</formula>
    </cfRule>
    <cfRule type="cellIs" dxfId="28440" priority="48289" operator="equal">
      <formula>"PTO"</formula>
    </cfRule>
  </conditionalFormatting>
  <conditionalFormatting sqref="F69:F70">
    <cfRule type="cellIs" dxfId="28439" priority="48286" operator="equal">
      <formula>"OFF"</formula>
    </cfRule>
    <cfRule type="cellIs" dxfId="28438" priority="48287" operator="equal">
      <formula>"PTO"</formula>
    </cfRule>
  </conditionalFormatting>
  <conditionalFormatting sqref="F69:F70">
    <cfRule type="cellIs" dxfId="28437" priority="48284" operator="equal">
      <formula>"OFF"</formula>
    </cfRule>
    <cfRule type="cellIs" dxfId="28436" priority="48285" operator="equal">
      <formula>"PTO"</formula>
    </cfRule>
  </conditionalFormatting>
  <conditionalFormatting sqref="F69:F70">
    <cfRule type="cellIs" dxfId="28435" priority="48282" operator="equal">
      <formula>"OFF"</formula>
    </cfRule>
    <cfRule type="cellIs" dxfId="28434" priority="48283" operator="equal">
      <formula>"PTO"</formula>
    </cfRule>
  </conditionalFormatting>
  <conditionalFormatting sqref="F69:F70">
    <cfRule type="cellIs" dxfId="28433" priority="48280" operator="equal">
      <formula>"OFF"</formula>
    </cfRule>
    <cfRule type="cellIs" dxfId="28432" priority="48281" operator="equal">
      <formula>"PTO"</formula>
    </cfRule>
  </conditionalFormatting>
  <conditionalFormatting sqref="F69:F70">
    <cfRule type="cellIs" dxfId="28431" priority="48278" operator="equal">
      <formula>"OFF"</formula>
    </cfRule>
    <cfRule type="cellIs" dxfId="28430" priority="48279" operator="equal">
      <formula>"PTO"</formula>
    </cfRule>
  </conditionalFormatting>
  <conditionalFormatting sqref="F69:F70">
    <cfRule type="cellIs" dxfId="28429" priority="48276" operator="equal">
      <formula>"OFF"</formula>
    </cfRule>
    <cfRule type="cellIs" dxfId="28428" priority="48277" operator="equal">
      <formula>"PTO"</formula>
    </cfRule>
  </conditionalFormatting>
  <conditionalFormatting sqref="F69:F70">
    <cfRule type="cellIs" dxfId="28427" priority="48274" operator="equal">
      <formula>"OFF"</formula>
    </cfRule>
    <cfRule type="cellIs" dxfId="28426" priority="48275" operator="equal">
      <formula>"PTO"</formula>
    </cfRule>
  </conditionalFormatting>
  <conditionalFormatting sqref="F69:F70">
    <cfRule type="cellIs" dxfId="28425" priority="48272" operator="equal">
      <formula>"OFF"</formula>
    </cfRule>
    <cfRule type="cellIs" dxfId="28424" priority="48273" operator="equal">
      <formula>"PTO"</formula>
    </cfRule>
  </conditionalFormatting>
  <conditionalFormatting sqref="F69:F70">
    <cfRule type="cellIs" dxfId="28423" priority="48270" operator="equal">
      <formula>"OFF"</formula>
    </cfRule>
    <cfRule type="cellIs" dxfId="28422" priority="48271" operator="equal">
      <formula>"PTO"</formula>
    </cfRule>
  </conditionalFormatting>
  <conditionalFormatting sqref="F69:F70">
    <cfRule type="cellIs" dxfId="28421" priority="48268" operator="equal">
      <formula>"OFF"</formula>
    </cfRule>
    <cfRule type="cellIs" dxfId="28420" priority="48269" operator="equal">
      <formula>"PTO"</formula>
    </cfRule>
  </conditionalFormatting>
  <conditionalFormatting sqref="F69:F70">
    <cfRule type="cellIs" dxfId="28419" priority="48266" operator="equal">
      <formula>"OFF"</formula>
    </cfRule>
    <cfRule type="cellIs" dxfId="28418" priority="48267" operator="equal">
      <formula>"PTO"</formula>
    </cfRule>
  </conditionalFormatting>
  <conditionalFormatting sqref="F69:F70">
    <cfRule type="cellIs" dxfId="28417" priority="48264" operator="equal">
      <formula>"OFF"</formula>
    </cfRule>
    <cfRule type="cellIs" dxfId="28416" priority="48265" operator="equal">
      <formula>"PTO"</formula>
    </cfRule>
  </conditionalFormatting>
  <conditionalFormatting sqref="F69:F70">
    <cfRule type="cellIs" dxfId="28415" priority="48262" operator="equal">
      <formula>"OFF"</formula>
    </cfRule>
    <cfRule type="cellIs" dxfId="28414" priority="48263" operator="equal">
      <formula>"PTO"</formula>
    </cfRule>
  </conditionalFormatting>
  <conditionalFormatting sqref="F69:F70">
    <cfRule type="cellIs" dxfId="28413" priority="48260" operator="equal">
      <formula>"OFF"</formula>
    </cfRule>
    <cfRule type="cellIs" dxfId="28412" priority="48261" operator="equal">
      <formula>"PTO"</formula>
    </cfRule>
  </conditionalFormatting>
  <conditionalFormatting sqref="F69:F70">
    <cfRule type="cellIs" dxfId="28411" priority="48258" operator="equal">
      <formula>"OFF"</formula>
    </cfRule>
    <cfRule type="cellIs" dxfId="28410" priority="48259" operator="equal">
      <formula>"PTO"</formula>
    </cfRule>
  </conditionalFormatting>
  <conditionalFormatting sqref="F69:F70">
    <cfRule type="cellIs" dxfId="28409" priority="48256" operator="equal">
      <formula>"OFF"</formula>
    </cfRule>
    <cfRule type="cellIs" dxfId="28408" priority="48257" operator="equal">
      <formula>"PTO"</formula>
    </cfRule>
  </conditionalFormatting>
  <conditionalFormatting sqref="F69:F70">
    <cfRule type="cellIs" dxfId="28407" priority="48254" operator="equal">
      <formula>"OFF"</formula>
    </cfRule>
    <cfRule type="cellIs" dxfId="28406" priority="48255" operator="equal">
      <formula>"PTO"</formula>
    </cfRule>
  </conditionalFormatting>
  <conditionalFormatting sqref="F69:F70">
    <cfRule type="cellIs" dxfId="28405" priority="48252" operator="equal">
      <formula>"OFF"</formula>
    </cfRule>
    <cfRule type="cellIs" dxfId="28404" priority="48253" operator="equal">
      <formula>"PTO"</formula>
    </cfRule>
  </conditionalFormatting>
  <conditionalFormatting sqref="F69:F70">
    <cfRule type="cellIs" dxfId="28403" priority="48250" operator="equal">
      <formula>"OFF"</formula>
    </cfRule>
    <cfRule type="cellIs" dxfId="28402" priority="48251" operator="equal">
      <formula>"PTO"</formula>
    </cfRule>
  </conditionalFormatting>
  <conditionalFormatting sqref="F69:F70">
    <cfRule type="cellIs" dxfId="28401" priority="48248" operator="equal">
      <formula>"OFF"</formula>
    </cfRule>
    <cfRule type="cellIs" dxfId="28400" priority="48249" operator="equal">
      <formula>"PTO"</formula>
    </cfRule>
  </conditionalFormatting>
  <conditionalFormatting sqref="F69:F70">
    <cfRule type="cellIs" dxfId="28399" priority="48246" operator="equal">
      <formula>"OFF"</formula>
    </cfRule>
    <cfRule type="cellIs" dxfId="28398" priority="48247" operator="equal">
      <formula>"PTO"</formula>
    </cfRule>
  </conditionalFormatting>
  <conditionalFormatting sqref="F69:F70">
    <cfRule type="cellIs" dxfId="28397" priority="48244" operator="equal">
      <formula>"OFF"</formula>
    </cfRule>
    <cfRule type="cellIs" dxfId="28396" priority="48245" operator="equal">
      <formula>"PTO"</formula>
    </cfRule>
  </conditionalFormatting>
  <conditionalFormatting sqref="F69:F70">
    <cfRule type="cellIs" dxfId="28395" priority="48242" operator="equal">
      <formula>"OFF"</formula>
    </cfRule>
    <cfRule type="cellIs" dxfId="28394" priority="48243" operator="equal">
      <formula>"PTO"</formula>
    </cfRule>
  </conditionalFormatting>
  <conditionalFormatting sqref="F69:F70">
    <cfRule type="cellIs" dxfId="28393" priority="48240" operator="equal">
      <formula>"OFF"</formula>
    </cfRule>
    <cfRule type="cellIs" dxfId="28392" priority="48241" operator="equal">
      <formula>"PTO"</formula>
    </cfRule>
  </conditionalFormatting>
  <conditionalFormatting sqref="F69:F70">
    <cfRule type="cellIs" dxfId="28391" priority="48238" operator="equal">
      <formula>"OFF"</formula>
    </cfRule>
    <cfRule type="cellIs" dxfId="28390" priority="48239" operator="equal">
      <formula>"PTO"</formula>
    </cfRule>
  </conditionalFormatting>
  <conditionalFormatting sqref="F69:F70">
    <cfRule type="cellIs" dxfId="28389" priority="48236" operator="equal">
      <formula>"OFF"</formula>
    </cfRule>
    <cfRule type="cellIs" dxfId="28388" priority="48237" operator="equal">
      <formula>"PTO"</formula>
    </cfRule>
  </conditionalFormatting>
  <conditionalFormatting sqref="F69:F70">
    <cfRule type="cellIs" dxfId="28387" priority="48234" operator="equal">
      <formula>"OFF"</formula>
    </cfRule>
    <cfRule type="cellIs" dxfId="28386" priority="48235" operator="equal">
      <formula>"PTO"</formula>
    </cfRule>
  </conditionalFormatting>
  <conditionalFormatting sqref="F69:F70">
    <cfRule type="cellIs" dxfId="28385" priority="48232" operator="equal">
      <formula>"OFF"</formula>
    </cfRule>
    <cfRule type="cellIs" dxfId="28384" priority="48233" operator="equal">
      <formula>"PTO"</formula>
    </cfRule>
  </conditionalFormatting>
  <conditionalFormatting sqref="F69:F70">
    <cfRule type="cellIs" dxfId="28383" priority="48230" operator="equal">
      <formula>"OFF"</formula>
    </cfRule>
    <cfRule type="cellIs" dxfId="28382" priority="48231" operator="equal">
      <formula>"PTO"</formula>
    </cfRule>
  </conditionalFormatting>
  <conditionalFormatting sqref="F69:F70">
    <cfRule type="cellIs" dxfId="28381" priority="48228" operator="equal">
      <formula>"OFF"</formula>
    </cfRule>
    <cfRule type="cellIs" dxfId="28380" priority="48229" operator="equal">
      <formula>"PTO"</formula>
    </cfRule>
  </conditionalFormatting>
  <conditionalFormatting sqref="F69:F70">
    <cfRule type="cellIs" dxfId="28379" priority="48226" operator="equal">
      <formula>"OFF"</formula>
    </cfRule>
    <cfRule type="cellIs" dxfId="28378" priority="48227" operator="equal">
      <formula>"PTO"</formula>
    </cfRule>
  </conditionalFormatting>
  <conditionalFormatting sqref="F69:F70">
    <cfRule type="cellIs" dxfId="28377" priority="48224" operator="equal">
      <formula>"OFF"</formula>
    </cfRule>
    <cfRule type="cellIs" dxfId="28376" priority="48225" operator="equal">
      <formula>"PTO"</formula>
    </cfRule>
  </conditionalFormatting>
  <conditionalFormatting sqref="F69:F70">
    <cfRule type="cellIs" dxfId="28375" priority="48222" operator="equal">
      <formula>"OFF"</formula>
    </cfRule>
    <cfRule type="cellIs" dxfId="28374" priority="48223" operator="equal">
      <formula>"PTO"</formula>
    </cfRule>
  </conditionalFormatting>
  <conditionalFormatting sqref="F69:F70">
    <cfRule type="cellIs" dxfId="28373" priority="48220" operator="equal">
      <formula>"OFF"</formula>
    </cfRule>
    <cfRule type="cellIs" dxfId="28372" priority="48221" operator="equal">
      <formula>"PTO"</formula>
    </cfRule>
  </conditionalFormatting>
  <conditionalFormatting sqref="F69:F70">
    <cfRule type="cellIs" dxfId="28371" priority="48218" operator="equal">
      <formula>"OFF"</formula>
    </cfRule>
    <cfRule type="cellIs" dxfId="28370" priority="48219" operator="equal">
      <formula>"PTO"</formula>
    </cfRule>
  </conditionalFormatting>
  <conditionalFormatting sqref="F69:F70">
    <cfRule type="cellIs" dxfId="28369" priority="48216" operator="equal">
      <formula>"OFF"</formula>
    </cfRule>
    <cfRule type="cellIs" dxfId="28368" priority="48217" operator="equal">
      <formula>"PTO"</formula>
    </cfRule>
  </conditionalFormatting>
  <conditionalFormatting sqref="F69:F70">
    <cfRule type="cellIs" dxfId="28367" priority="48214" operator="equal">
      <formula>"OFF"</formula>
    </cfRule>
    <cfRule type="cellIs" dxfId="28366" priority="48215" operator="equal">
      <formula>"PTO"</formula>
    </cfRule>
  </conditionalFormatting>
  <conditionalFormatting sqref="F69:F70">
    <cfRule type="cellIs" dxfId="28365" priority="48212" operator="equal">
      <formula>"OFF"</formula>
    </cfRule>
    <cfRule type="cellIs" dxfId="28364" priority="48213" operator="equal">
      <formula>"PTO"</formula>
    </cfRule>
  </conditionalFormatting>
  <conditionalFormatting sqref="C69:C70">
    <cfRule type="cellIs" dxfId="28363" priority="48210" operator="equal">
      <formula>"OFF"</formula>
    </cfRule>
    <cfRule type="cellIs" dxfId="28362" priority="48211" operator="equal">
      <formula>"PTO"</formula>
    </cfRule>
  </conditionalFormatting>
  <conditionalFormatting sqref="C69:C70">
    <cfRule type="cellIs" dxfId="28361" priority="48208" operator="equal">
      <formula>"OFF"</formula>
    </cfRule>
    <cfRule type="cellIs" dxfId="28360" priority="48209" operator="equal">
      <formula>"PTO"</formula>
    </cfRule>
  </conditionalFormatting>
  <conditionalFormatting sqref="C69:C70">
    <cfRule type="cellIs" dxfId="28359" priority="48206" operator="equal">
      <formula>"OFF"</formula>
    </cfRule>
    <cfRule type="cellIs" dxfId="28358" priority="48207" operator="equal">
      <formula>"PTO"</formula>
    </cfRule>
  </conditionalFormatting>
  <conditionalFormatting sqref="C69:C70">
    <cfRule type="cellIs" dxfId="28357" priority="48204" operator="equal">
      <formula>"OFF"</formula>
    </cfRule>
    <cfRule type="cellIs" dxfId="28356" priority="48205" operator="equal">
      <formula>"PTO"</formula>
    </cfRule>
  </conditionalFormatting>
  <conditionalFormatting sqref="C69:C70">
    <cfRule type="cellIs" dxfId="28355" priority="48202" operator="equal">
      <formula>"OFF"</formula>
    </cfRule>
    <cfRule type="cellIs" dxfId="28354" priority="48203" operator="equal">
      <formula>"PTO"</formula>
    </cfRule>
  </conditionalFormatting>
  <conditionalFormatting sqref="C69:C70">
    <cfRule type="cellIs" dxfId="28353" priority="48200" operator="equal">
      <formula>"OFF"</formula>
    </cfRule>
    <cfRule type="cellIs" dxfId="28352" priority="48201" operator="equal">
      <formula>"PTO"</formula>
    </cfRule>
  </conditionalFormatting>
  <conditionalFormatting sqref="C69:C70">
    <cfRule type="cellIs" dxfId="28351" priority="48198" operator="equal">
      <formula>"OFF"</formula>
    </cfRule>
    <cfRule type="cellIs" dxfId="28350" priority="48199" operator="equal">
      <formula>"PTO"</formula>
    </cfRule>
  </conditionalFormatting>
  <conditionalFormatting sqref="C69:C70">
    <cfRule type="cellIs" dxfId="28349" priority="48196" operator="equal">
      <formula>"OFF"</formula>
    </cfRule>
    <cfRule type="cellIs" dxfId="28348" priority="48197" operator="equal">
      <formula>"PTO"</formula>
    </cfRule>
  </conditionalFormatting>
  <conditionalFormatting sqref="C69:C70">
    <cfRule type="cellIs" dxfId="28347" priority="48194" operator="equal">
      <formula>"OFF"</formula>
    </cfRule>
    <cfRule type="cellIs" dxfId="28346" priority="48195" operator="equal">
      <formula>"PTO"</formula>
    </cfRule>
  </conditionalFormatting>
  <conditionalFormatting sqref="C69:C70">
    <cfRule type="cellIs" dxfId="28345" priority="48192" operator="equal">
      <formula>"OFF"</formula>
    </cfRule>
    <cfRule type="cellIs" dxfId="28344" priority="48193" operator="equal">
      <formula>"PTO"</formula>
    </cfRule>
  </conditionalFormatting>
  <conditionalFormatting sqref="C69:C70">
    <cfRule type="cellIs" dxfId="28343" priority="48190" operator="equal">
      <formula>"OFF"</formula>
    </cfRule>
    <cfRule type="cellIs" dxfId="28342" priority="48191" operator="equal">
      <formula>"PTO"</formula>
    </cfRule>
  </conditionalFormatting>
  <conditionalFormatting sqref="C69:C70">
    <cfRule type="cellIs" dxfId="28341" priority="48188" operator="equal">
      <formula>"OFF"</formula>
    </cfRule>
    <cfRule type="cellIs" dxfId="28340" priority="48189" operator="equal">
      <formula>"PTO"</formula>
    </cfRule>
  </conditionalFormatting>
  <conditionalFormatting sqref="C69:C70">
    <cfRule type="cellIs" dxfId="28339" priority="48186" operator="equal">
      <formula>"OFF"</formula>
    </cfRule>
    <cfRule type="cellIs" dxfId="28338" priority="48187" operator="equal">
      <formula>"PTO"</formula>
    </cfRule>
  </conditionalFormatting>
  <conditionalFormatting sqref="C69:C70">
    <cfRule type="cellIs" dxfId="28337" priority="48184" operator="equal">
      <formula>"OFF"</formula>
    </cfRule>
    <cfRule type="cellIs" dxfId="28336" priority="48185" operator="equal">
      <formula>"PTO"</formula>
    </cfRule>
  </conditionalFormatting>
  <conditionalFormatting sqref="C69:C70">
    <cfRule type="cellIs" dxfId="28335" priority="48182" operator="equal">
      <formula>"OFF"</formula>
    </cfRule>
    <cfRule type="cellIs" dxfId="28334" priority="48183" operator="equal">
      <formula>"PTO"</formula>
    </cfRule>
  </conditionalFormatting>
  <conditionalFormatting sqref="C69:C70">
    <cfRule type="cellIs" dxfId="28333" priority="48180" operator="equal">
      <formula>"OFF"</formula>
    </cfRule>
    <cfRule type="cellIs" dxfId="28332" priority="48181" operator="equal">
      <formula>"PTO"</formula>
    </cfRule>
  </conditionalFormatting>
  <conditionalFormatting sqref="C69:C70">
    <cfRule type="cellIs" dxfId="28331" priority="48178" operator="equal">
      <formula>"OFF"</formula>
    </cfRule>
    <cfRule type="cellIs" dxfId="28330" priority="48179" operator="equal">
      <formula>"PTO"</formula>
    </cfRule>
  </conditionalFormatting>
  <conditionalFormatting sqref="C69:C70">
    <cfRule type="cellIs" dxfId="28329" priority="48176" operator="equal">
      <formula>"OFF"</formula>
    </cfRule>
    <cfRule type="cellIs" dxfId="28328" priority="48177" operator="equal">
      <formula>"PTO"</formula>
    </cfRule>
  </conditionalFormatting>
  <conditionalFormatting sqref="C69:C70">
    <cfRule type="cellIs" dxfId="28327" priority="48174" operator="equal">
      <formula>"OFF"</formula>
    </cfRule>
    <cfRule type="cellIs" dxfId="28326" priority="48175" operator="equal">
      <formula>"PTO"</formula>
    </cfRule>
  </conditionalFormatting>
  <conditionalFormatting sqref="C69:C70">
    <cfRule type="cellIs" dxfId="28325" priority="48172" operator="equal">
      <formula>"OFF"</formula>
    </cfRule>
    <cfRule type="cellIs" dxfId="28324" priority="48173" operator="equal">
      <formula>"PTO"</formula>
    </cfRule>
  </conditionalFormatting>
  <conditionalFormatting sqref="I69:I70">
    <cfRule type="cellIs" dxfId="28323" priority="47962" operator="equal">
      <formula>"OFF"</formula>
    </cfRule>
    <cfRule type="cellIs" dxfId="28322" priority="47963" operator="equal">
      <formula>"PTO"</formula>
    </cfRule>
  </conditionalFormatting>
  <conditionalFormatting sqref="I69:I70">
    <cfRule type="cellIs" dxfId="28321" priority="47960" operator="equal">
      <formula>"OFF"</formula>
    </cfRule>
    <cfRule type="cellIs" dxfId="28320" priority="47961" operator="equal">
      <formula>"PTO"</formula>
    </cfRule>
  </conditionalFormatting>
  <conditionalFormatting sqref="I69:I70">
    <cfRule type="cellIs" dxfId="28319" priority="47958" operator="equal">
      <formula>"OFF"</formula>
    </cfRule>
    <cfRule type="cellIs" dxfId="28318" priority="47959" operator="equal">
      <formula>"PTO"</formula>
    </cfRule>
  </conditionalFormatting>
  <conditionalFormatting sqref="I69:I70">
    <cfRule type="cellIs" dxfId="28317" priority="47956" operator="equal">
      <formula>"OFF"</formula>
    </cfRule>
    <cfRule type="cellIs" dxfId="28316" priority="47957" operator="equal">
      <formula>"PTO"</formula>
    </cfRule>
  </conditionalFormatting>
  <conditionalFormatting sqref="I69:I70">
    <cfRule type="cellIs" dxfId="28315" priority="47954" operator="equal">
      <formula>"OFF"</formula>
    </cfRule>
    <cfRule type="cellIs" dxfId="28314" priority="47955" operator="equal">
      <formula>"PTO"</formula>
    </cfRule>
  </conditionalFormatting>
  <conditionalFormatting sqref="I69:I70">
    <cfRule type="cellIs" dxfId="28313" priority="47952" operator="equal">
      <formula>"OFF"</formula>
    </cfRule>
    <cfRule type="cellIs" dxfId="28312" priority="47953" operator="equal">
      <formula>"PTO"</formula>
    </cfRule>
  </conditionalFormatting>
  <conditionalFormatting sqref="I69:I70">
    <cfRule type="cellIs" dxfId="28311" priority="47950" operator="equal">
      <formula>"OFF"</formula>
    </cfRule>
    <cfRule type="cellIs" dxfId="28310" priority="47951" operator="equal">
      <formula>"PTO"</formula>
    </cfRule>
  </conditionalFormatting>
  <conditionalFormatting sqref="I69:I70">
    <cfRule type="cellIs" dxfId="28309" priority="47948" operator="equal">
      <formula>"OFF"</formula>
    </cfRule>
    <cfRule type="cellIs" dxfId="28308" priority="47949" operator="equal">
      <formula>"PTO"</formula>
    </cfRule>
  </conditionalFormatting>
  <conditionalFormatting sqref="I69:I70">
    <cfRule type="cellIs" dxfId="28307" priority="47946" operator="equal">
      <formula>"OFF"</formula>
    </cfRule>
    <cfRule type="cellIs" dxfId="28306" priority="47947" operator="equal">
      <formula>"PTO"</formula>
    </cfRule>
  </conditionalFormatting>
  <conditionalFormatting sqref="I69:I70">
    <cfRule type="cellIs" dxfId="28305" priority="47944" operator="equal">
      <formula>"OFF"</formula>
    </cfRule>
    <cfRule type="cellIs" dxfId="28304" priority="47945" operator="equal">
      <formula>"PTO"</formula>
    </cfRule>
  </conditionalFormatting>
  <conditionalFormatting sqref="I69:I70">
    <cfRule type="cellIs" dxfId="28303" priority="47942" operator="equal">
      <formula>"OFF"</formula>
    </cfRule>
    <cfRule type="cellIs" dxfId="28302" priority="47943" operator="equal">
      <formula>"PTO"</formula>
    </cfRule>
  </conditionalFormatting>
  <conditionalFormatting sqref="I69:I70">
    <cfRule type="cellIs" dxfId="28301" priority="47940" operator="equal">
      <formula>"OFF"</formula>
    </cfRule>
    <cfRule type="cellIs" dxfId="28300" priority="47941" operator="equal">
      <formula>"PTO"</formula>
    </cfRule>
  </conditionalFormatting>
  <conditionalFormatting sqref="I69:I70">
    <cfRule type="cellIs" dxfId="28299" priority="47938" operator="equal">
      <formula>"OFF"</formula>
    </cfRule>
    <cfRule type="cellIs" dxfId="28298" priority="47939" operator="equal">
      <formula>"PTO"</formula>
    </cfRule>
  </conditionalFormatting>
  <conditionalFormatting sqref="I69:I70">
    <cfRule type="cellIs" dxfId="28297" priority="47936" operator="equal">
      <formula>"OFF"</formula>
    </cfRule>
    <cfRule type="cellIs" dxfId="28296" priority="47937" operator="equal">
      <formula>"PTO"</formula>
    </cfRule>
  </conditionalFormatting>
  <conditionalFormatting sqref="I69:I70">
    <cfRule type="cellIs" dxfId="28295" priority="47934" operator="equal">
      <formula>"OFF"</formula>
    </cfRule>
    <cfRule type="cellIs" dxfId="28294" priority="47935" operator="equal">
      <formula>"PTO"</formula>
    </cfRule>
  </conditionalFormatting>
  <conditionalFormatting sqref="I69:I70">
    <cfRule type="cellIs" dxfId="28293" priority="47932" operator="equal">
      <formula>"OFF"</formula>
    </cfRule>
    <cfRule type="cellIs" dxfId="28292" priority="47933" operator="equal">
      <formula>"PTO"</formula>
    </cfRule>
  </conditionalFormatting>
  <conditionalFormatting sqref="I69:I70">
    <cfRule type="cellIs" dxfId="28291" priority="47930" operator="equal">
      <formula>"OFF"</formula>
    </cfRule>
    <cfRule type="cellIs" dxfId="28290" priority="47931" operator="equal">
      <formula>"PTO"</formula>
    </cfRule>
  </conditionalFormatting>
  <conditionalFormatting sqref="I69:I70">
    <cfRule type="cellIs" dxfId="28289" priority="47928" operator="equal">
      <formula>"OFF"</formula>
    </cfRule>
    <cfRule type="cellIs" dxfId="28288" priority="47929" operator="equal">
      <formula>"PTO"</formula>
    </cfRule>
  </conditionalFormatting>
  <conditionalFormatting sqref="I69:I70">
    <cfRule type="cellIs" dxfId="28287" priority="47926" operator="equal">
      <formula>"OFF"</formula>
    </cfRule>
    <cfRule type="cellIs" dxfId="28286" priority="47927" operator="equal">
      <formula>"PTO"</formula>
    </cfRule>
  </conditionalFormatting>
  <conditionalFormatting sqref="I69:I70">
    <cfRule type="cellIs" dxfId="28285" priority="47924" operator="equal">
      <formula>"OFF"</formula>
    </cfRule>
    <cfRule type="cellIs" dxfId="28284" priority="47925" operator="equal">
      <formula>"PTO"</formula>
    </cfRule>
  </conditionalFormatting>
  <conditionalFormatting sqref="N69:N70">
    <cfRule type="cellIs" dxfId="28283" priority="47922" operator="equal">
      <formula>"OFF"</formula>
    </cfRule>
    <cfRule type="cellIs" dxfId="28282" priority="47923" operator="equal">
      <formula>"PTO"</formula>
    </cfRule>
  </conditionalFormatting>
  <conditionalFormatting sqref="N69:N70">
    <cfRule type="cellIs" dxfId="28281" priority="47920" operator="equal">
      <formula>"OFF"</formula>
    </cfRule>
    <cfRule type="cellIs" dxfId="28280" priority="47921" operator="equal">
      <formula>"PTO"</formula>
    </cfRule>
  </conditionalFormatting>
  <conditionalFormatting sqref="N69:N70">
    <cfRule type="cellIs" dxfId="28279" priority="47918" operator="equal">
      <formula>"OFF"</formula>
    </cfRule>
    <cfRule type="cellIs" dxfId="28278" priority="47919" operator="equal">
      <formula>"PTO"</formula>
    </cfRule>
  </conditionalFormatting>
  <conditionalFormatting sqref="N69:N70">
    <cfRule type="cellIs" dxfId="28277" priority="47916" operator="equal">
      <formula>"OFF"</formula>
    </cfRule>
    <cfRule type="cellIs" dxfId="28276" priority="47917" operator="equal">
      <formula>"PTO"</formula>
    </cfRule>
  </conditionalFormatting>
  <conditionalFormatting sqref="N69:N70">
    <cfRule type="cellIs" dxfId="28275" priority="47914" operator="equal">
      <formula>"OFF"</formula>
    </cfRule>
    <cfRule type="cellIs" dxfId="28274" priority="47915" operator="equal">
      <formula>"PTO"</formula>
    </cfRule>
  </conditionalFormatting>
  <conditionalFormatting sqref="N69:N70">
    <cfRule type="cellIs" dxfId="28273" priority="47912" operator="equal">
      <formula>"OFF"</formula>
    </cfRule>
    <cfRule type="cellIs" dxfId="28272" priority="47913" operator="equal">
      <formula>"PTO"</formula>
    </cfRule>
  </conditionalFormatting>
  <conditionalFormatting sqref="N69:N70">
    <cfRule type="cellIs" dxfId="28271" priority="47910" operator="equal">
      <formula>"OFF"</formula>
    </cfRule>
    <cfRule type="cellIs" dxfId="28270" priority="47911" operator="equal">
      <formula>"PTO"</formula>
    </cfRule>
  </conditionalFormatting>
  <conditionalFormatting sqref="N69:N70">
    <cfRule type="cellIs" dxfId="28269" priority="47908" operator="equal">
      <formula>"OFF"</formula>
    </cfRule>
    <cfRule type="cellIs" dxfId="28268" priority="47909" operator="equal">
      <formula>"PTO"</formula>
    </cfRule>
  </conditionalFormatting>
  <conditionalFormatting sqref="N69:N70">
    <cfRule type="cellIs" dxfId="28267" priority="47906" operator="equal">
      <formula>"OFF"</formula>
    </cfRule>
    <cfRule type="cellIs" dxfId="28266" priority="47907" operator="equal">
      <formula>"PTO"</formula>
    </cfRule>
  </conditionalFormatting>
  <conditionalFormatting sqref="N69:N70">
    <cfRule type="cellIs" dxfId="28265" priority="47904" operator="equal">
      <formula>"OFF"</formula>
    </cfRule>
    <cfRule type="cellIs" dxfId="28264" priority="47905" operator="equal">
      <formula>"PTO"</formula>
    </cfRule>
  </conditionalFormatting>
  <conditionalFormatting sqref="N69:N70">
    <cfRule type="cellIs" dxfId="28263" priority="47902" operator="equal">
      <formula>"OFF"</formula>
    </cfRule>
    <cfRule type="cellIs" dxfId="28262" priority="47903" operator="equal">
      <formula>"PTO"</formula>
    </cfRule>
  </conditionalFormatting>
  <conditionalFormatting sqref="N69:N70">
    <cfRule type="cellIs" dxfId="28261" priority="47900" operator="equal">
      <formula>"OFF"</formula>
    </cfRule>
    <cfRule type="cellIs" dxfId="28260" priority="47901" operator="equal">
      <formula>"PTO"</formula>
    </cfRule>
  </conditionalFormatting>
  <conditionalFormatting sqref="N69:N70">
    <cfRule type="cellIs" dxfId="28259" priority="47898" operator="equal">
      <formula>"OFF"</formula>
    </cfRule>
    <cfRule type="cellIs" dxfId="28258" priority="47899" operator="equal">
      <formula>"PTO"</formula>
    </cfRule>
  </conditionalFormatting>
  <conditionalFormatting sqref="N69:N70">
    <cfRule type="cellIs" dxfId="28257" priority="47896" operator="equal">
      <formula>"OFF"</formula>
    </cfRule>
    <cfRule type="cellIs" dxfId="28256" priority="47897" operator="equal">
      <formula>"PTO"</formula>
    </cfRule>
  </conditionalFormatting>
  <conditionalFormatting sqref="N69:N70">
    <cfRule type="cellIs" dxfId="28255" priority="47894" operator="equal">
      <formula>"OFF"</formula>
    </cfRule>
    <cfRule type="cellIs" dxfId="28254" priority="47895" operator="equal">
      <formula>"PTO"</formula>
    </cfRule>
  </conditionalFormatting>
  <conditionalFormatting sqref="N69:N70">
    <cfRule type="cellIs" dxfId="28253" priority="47892" operator="equal">
      <formula>"OFF"</formula>
    </cfRule>
    <cfRule type="cellIs" dxfId="28252" priority="47893" operator="equal">
      <formula>"PTO"</formula>
    </cfRule>
  </conditionalFormatting>
  <conditionalFormatting sqref="N69:N70">
    <cfRule type="cellIs" dxfId="28251" priority="47890" operator="equal">
      <formula>"OFF"</formula>
    </cfRule>
    <cfRule type="cellIs" dxfId="28250" priority="47891" operator="equal">
      <formula>"PTO"</formula>
    </cfRule>
  </conditionalFormatting>
  <conditionalFormatting sqref="N69:N70">
    <cfRule type="cellIs" dxfId="28249" priority="47888" operator="equal">
      <formula>"OFF"</formula>
    </cfRule>
    <cfRule type="cellIs" dxfId="28248" priority="47889" operator="equal">
      <formula>"PTO"</formula>
    </cfRule>
  </conditionalFormatting>
  <conditionalFormatting sqref="N69:N70">
    <cfRule type="cellIs" dxfId="28247" priority="47886" operator="equal">
      <formula>"OFF"</formula>
    </cfRule>
    <cfRule type="cellIs" dxfId="28246" priority="47887" operator="equal">
      <formula>"PTO"</formula>
    </cfRule>
  </conditionalFormatting>
  <conditionalFormatting sqref="N69:N70">
    <cfRule type="cellIs" dxfId="28245" priority="47884" operator="equal">
      <formula>"OFF"</formula>
    </cfRule>
    <cfRule type="cellIs" dxfId="28244" priority="47885" operator="equal">
      <formula>"PTO"</formula>
    </cfRule>
  </conditionalFormatting>
  <conditionalFormatting sqref="N69:N70">
    <cfRule type="cellIs" dxfId="28243" priority="47882" operator="equal">
      <formula>"OFF"</formula>
    </cfRule>
    <cfRule type="cellIs" dxfId="28242" priority="47883" operator="equal">
      <formula>"PTO"</formula>
    </cfRule>
  </conditionalFormatting>
  <conditionalFormatting sqref="N69:N70">
    <cfRule type="cellIs" dxfId="28241" priority="47880" operator="equal">
      <formula>"OFF"</formula>
    </cfRule>
    <cfRule type="cellIs" dxfId="28240" priority="47881" operator="equal">
      <formula>"PTO"</formula>
    </cfRule>
  </conditionalFormatting>
  <conditionalFormatting sqref="N69:N70">
    <cfRule type="cellIs" dxfId="28239" priority="47878" operator="equal">
      <formula>"OFF"</formula>
    </cfRule>
    <cfRule type="cellIs" dxfId="28238" priority="47879" operator="equal">
      <formula>"PTO"</formula>
    </cfRule>
  </conditionalFormatting>
  <conditionalFormatting sqref="N69:N70">
    <cfRule type="cellIs" dxfId="28237" priority="47876" operator="equal">
      <formula>"OFF"</formula>
    </cfRule>
    <cfRule type="cellIs" dxfId="28236" priority="47877" operator="equal">
      <formula>"PTO"</formula>
    </cfRule>
  </conditionalFormatting>
  <conditionalFormatting sqref="N69:N70">
    <cfRule type="cellIs" dxfId="28235" priority="47874" operator="equal">
      <formula>"OFF"</formula>
    </cfRule>
    <cfRule type="cellIs" dxfId="28234" priority="47875" operator="equal">
      <formula>"PTO"</formula>
    </cfRule>
  </conditionalFormatting>
  <conditionalFormatting sqref="N69:N70">
    <cfRule type="cellIs" dxfId="28233" priority="47872" operator="equal">
      <formula>"OFF"</formula>
    </cfRule>
    <cfRule type="cellIs" dxfId="28232" priority="47873" operator="equal">
      <formula>"PTO"</formula>
    </cfRule>
  </conditionalFormatting>
  <conditionalFormatting sqref="N69:N70">
    <cfRule type="cellIs" dxfId="28231" priority="47870" operator="equal">
      <formula>"OFF"</formula>
    </cfRule>
    <cfRule type="cellIs" dxfId="28230" priority="47871" operator="equal">
      <formula>"PTO"</formula>
    </cfRule>
  </conditionalFormatting>
  <conditionalFormatting sqref="N69:N70">
    <cfRule type="cellIs" dxfId="28229" priority="47868" operator="equal">
      <formula>"OFF"</formula>
    </cfRule>
    <cfRule type="cellIs" dxfId="28228" priority="47869" operator="equal">
      <formula>"PTO"</formula>
    </cfRule>
  </conditionalFormatting>
  <conditionalFormatting sqref="N69:N70">
    <cfRule type="cellIs" dxfId="28227" priority="47866" operator="equal">
      <formula>"OFF"</formula>
    </cfRule>
    <cfRule type="cellIs" dxfId="28226" priority="47867" operator="equal">
      <formula>"PTO"</formula>
    </cfRule>
  </conditionalFormatting>
  <conditionalFormatting sqref="N69:N70">
    <cfRule type="cellIs" dxfId="28225" priority="47864" operator="equal">
      <formula>"OFF"</formula>
    </cfRule>
    <cfRule type="cellIs" dxfId="28224" priority="47865" operator="equal">
      <formula>"PTO"</formula>
    </cfRule>
  </conditionalFormatting>
  <conditionalFormatting sqref="N69:N70">
    <cfRule type="cellIs" dxfId="28223" priority="47862" operator="equal">
      <formula>"OFF"</formula>
    </cfRule>
    <cfRule type="cellIs" dxfId="28222" priority="47863" operator="equal">
      <formula>"PTO"</formula>
    </cfRule>
  </conditionalFormatting>
  <conditionalFormatting sqref="N69:N70">
    <cfRule type="cellIs" dxfId="28221" priority="47860" operator="equal">
      <formula>"OFF"</formula>
    </cfRule>
    <cfRule type="cellIs" dxfId="28220" priority="47861" operator="equal">
      <formula>"PTO"</formula>
    </cfRule>
  </conditionalFormatting>
  <conditionalFormatting sqref="N69:N70">
    <cfRule type="cellIs" dxfId="28219" priority="47858" operator="equal">
      <formula>"OFF"</formula>
    </cfRule>
    <cfRule type="cellIs" dxfId="28218" priority="47859" operator="equal">
      <formula>"PTO"</formula>
    </cfRule>
  </conditionalFormatting>
  <conditionalFormatting sqref="N69:N70">
    <cfRule type="cellIs" dxfId="28217" priority="47856" operator="equal">
      <formula>"OFF"</formula>
    </cfRule>
    <cfRule type="cellIs" dxfId="28216" priority="47857" operator="equal">
      <formula>"PTO"</formula>
    </cfRule>
  </conditionalFormatting>
  <conditionalFormatting sqref="N69:N70">
    <cfRule type="cellIs" dxfId="28215" priority="47854" operator="equal">
      <formula>"OFF"</formula>
    </cfRule>
    <cfRule type="cellIs" dxfId="28214" priority="47855" operator="equal">
      <formula>"PTO"</formula>
    </cfRule>
  </conditionalFormatting>
  <conditionalFormatting sqref="N69:N70">
    <cfRule type="cellIs" dxfId="28213" priority="47852" operator="equal">
      <formula>"OFF"</formula>
    </cfRule>
    <cfRule type="cellIs" dxfId="28212" priority="47853" operator="equal">
      <formula>"PTO"</formula>
    </cfRule>
  </conditionalFormatting>
  <conditionalFormatting sqref="N69:N70">
    <cfRule type="cellIs" dxfId="28211" priority="47850" operator="equal">
      <formula>"OFF"</formula>
    </cfRule>
    <cfRule type="cellIs" dxfId="28210" priority="47851" operator="equal">
      <formula>"PTO"</formula>
    </cfRule>
  </conditionalFormatting>
  <conditionalFormatting sqref="N69:N70">
    <cfRule type="cellIs" dxfId="28209" priority="47848" operator="equal">
      <formula>"OFF"</formula>
    </cfRule>
    <cfRule type="cellIs" dxfId="28208" priority="47849" operator="equal">
      <formula>"PTO"</formula>
    </cfRule>
  </conditionalFormatting>
  <conditionalFormatting sqref="N69:N70">
    <cfRule type="cellIs" dxfId="28207" priority="47846" operator="equal">
      <formula>"OFF"</formula>
    </cfRule>
    <cfRule type="cellIs" dxfId="28206" priority="47847" operator="equal">
      <formula>"PTO"</formula>
    </cfRule>
  </conditionalFormatting>
  <conditionalFormatting sqref="N69:N70">
    <cfRule type="cellIs" dxfId="28205" priority="47844" operator="equal">
      <formula>"OFF"</formula>
    </cfRule>
    <cfRule type="cellIs" dxfId="28204" priority="47845" operator="equal">
      <formula>"PTO"</formula>
    </cfRule>
  </conditionalFormatting>
  <conditionalFormatting sqref="N69:N70">
    <cfRule type="cellIs" dxfId="28203" priority="47842" operator="equal">
      <formula>"OFF"</formula>
    </cfRule>
    <cfRule type="cellIs" dxfId="28202" priority="47843" operator="equal">
      <formula>"PTO"</formula>
    </cfRule>
  </conditionalFormatting>
  <conditionalFormatting sqref="N69:N70">
    <cfRule type="cellIs" dxfId="28201" priority="47840" operator="equal">
      <formula>"OFF"</formula>
    </cfRule>
    <cfRule type="cellIs" dxfId="28200" priority="47841" operator="equal">
      <formula>"PTO"</formula>
    </cfRule>
  </conditionalFormatting>
  <conditionalFormatting sqref="N69:N70">
    <cfRule type="cellIs" dxfId="28199" priority="47838" operator="equal">
      <formula>"OFF"</formula>
    </cfRule>
    <cfRule type="cellIs" dxfId="28198" priority="47839" operator="equal">
      <formula>"PTO"</formula>
    </cfRule>
  </conditionalFormatting>
  <conditionalFormatting sqref="N69:N70">
    <cfRule type="cellIs" dxfId="28197" priority="47836" operator="equal">
      <formula>"OFF"</formula>
    </cfRule>
    <cfRule type="cellIs" dxfId="28196" priority="47837" operator="equal">
      <formula>"PTO"</formula>
    </cfRule>
  </conditionalFormatting>
  <conditionalFormatting sqref="N69:N70">
    <cfRule type="cellIs" dxfId="28195" priority="47834" operator="equal">
      <formula>"OFF"</formula>
    </cfRule>
    <cfRule type="cellIs" dxfId="28194" priority="47835" operator="equal">
      <formula>"PTO"</formula>
    </cfRule>
  </conditionalFormatting>
  <conditionalFormatting sqref="N69:N70">
    <cfRule type="cellIs" dxfId="28193" priority="47832" operator="equal">
      <formula>"OFF"</formula>
    </cfRule>
    <cfRule type="cellIs" dxfId="28192" priority="47833" operator="equal">
      <formula>"PTO"</formula>
    </cfRule>
  </conditionalFormatting>
  <conditionalFormatting sqref="N69:N70">
    <cfRule type="cellIs" dxfId="28191" priority="47830" operator="equal">
      <formula>"OFF"</formula>
    </cfRule>
    <cfRule type="cellIs" dxfId="28190" priority="47831" operator="equal">
      <formula>"PTO"</formula>
    </cfRule>
  </conditionalFormatting>
  <conditionalFormatting sqref="N69:N70">
    <cfRule type="cellIs" dxfId="28189" priority="47828" operator="equal">
      <formula>"OFF"</formula>
    </cfRule>
    <cfRule type="cellIs" dxfId="28188" priority="47829" operator="equal">
      <formula>"PTO"</formula>
    </cfRule>
  </conditionalFormatting>
  <conditionalFormatting sqref="N69:N70">
    <cfRule type="cellIs" dxfId="28187" priority="47826" operator="equal">
      <formula>"OFF"</formula>
    </cfRule>
    <cfRule type="cellIs" dxfId="28186" priority="47827" operator="equal">
      <formula>"PTO"</formula>
    </cfRule>
  </conditionalFormatting>
  <conditionalFormatting sqref="N69:N70">
    <cfRule type="cellIs" dxfId="28185" priority="47824" operator="equal">
      <formula>"OFF"</formula>
    </cfRule>
    <cfRule type="cellIs" dxfId="28184" priority="47825" operator="equal">
      <formula>"PTO"</formula>
    </cfRule>
  </conditionalFormatting>
  <conditionalFormatting sqref="N69:N70">
    <cfRule type="cellIs" dxfId="28183" priority="47822" operator="equal">
      <formula>"OFF"</formula>
    </cfRule>
    <cfRule type="cellIs" dxfId="28182" priority="47823" operator="equal">
      <formula>"PTO"</formula>
    </cfRule>
  </conditionalFormatting>
  <conditionalFormatting sqref="N69:N70">
    <cfRule type="cellIs" dxfId="28181" priority="47820" operator="equal">
      <formula>"OFF"</formula>
    </cfRule>
    <cfRule type="cellIs" dxfId="28180" priority="47821" operator="equal">
      <formula>"PTO"</formula>
    </cfRule>
  </conditionalFormatting>
  <conditionalFormatting sqref="N69:N70">
    <cfRule type="cellIs" dxfId="28179" priority="47818" operator="equal">
      <formula>"OFF"</formula>
    </cfRule>
    <cfRule type="cellIs" dxfId="28178" priority="47819" operator="equal">
      <formula>"PTO"</formula>
    </cfRule>
  </conditionalFormatting>
  <conditionalFormatting sqref="N69:N70">
    <cfRule type="cellIs" dxfId="28177" priority="47816" operator="equal">
      <formula>"OFF"</formula>
    </cfRule>
    <cfRule type="cellIs" dxfId="28176" priority="47817" operator="equal">
      <formula>"PTO"</formula>
    </cfRule>
  </conditionalFormatting>
  <conditionalFormatting sqref="N69:N70">
    <cfRule type="cellIs" dxfId="28175" priority="47814" operator="equal">
      <formula>"OFF"</formula>
    </cfRule>
    <cfRule type="cellIs" dxfId="28174" priority="47815" operator="equal">
      <formula>"PTO"</formula>
    </cfRule>
  </conditionalFormatting>
  <conditionalFormatting sqref="N69:N70">
    <cfRule type="cellIs" dxfId="28173" priority="47812" operator="equal">
      <formula>"OFF"</formula>
    </cfRule>
    <cfRule type="cellIs" dxfId="28172" priority="47813" operator="equal">
      <formula>"PTO"</formula>
    </cfRule>
  </conditionalFormatting>
  <conditionalFormatting sqref="N69:N70">
    <cfRule type="cellIs" dxfId="28171" priority="47810" operator="equal">
      <formula>"OFF"</formula>
    </cfRule>
    <cfRule type="cellIs" dxfId="28170" priority="47811" operator="equal">
      <formula>"PTO"</formula>
    </cfRule>
  </conditionalFormatting>
  <conditionalFormatting sqref="N69:N70">
    <cfRule type="cellIs" dxfId="28169" priority="47808" operator="equal">
      <formula>"OFF"</formula>
    </cfRule>
    <cfRule type="cellIs" dxfId="28168" priority="47809" operator="equal">
      <formula>"PTO"</formula>
    </cfRule>
  </conditionalFormatting>
  <conditionalFormatting sqref="N69:N70">
    <cfRule type="cellIs" dxfId="28167" priority="47806" operator="equal">
      <formula>"OFF"</formula>
    </cfRule>
    <cfRule type="cellIs" dxfId="28166" priority="47807" operator="equal">
      <formula>"PTO"</formula>
    </cfRule>
  </conditionalFormatting>
  <conditionalFormatting sqref="N69:N70">
    <cfRule type="cellIs" dxfId="28165" priority="47804" operator="equal">
      <formula>"OFF"</formula>
    </cfRule>
    <cfRule type="cellIs" dxfId="28164" priority="47805" operator="equal">
      <formula>"PTO"</formula>
    </cfRule>
  </conditionalFormatting>
  <conditionalFormatting sqref="N69:N70">
    <cfRule type="cellIs" dxfId="28163" priority="47802" operator="equal">
      <formula>"OFF"</formula>
    </cfRule>
    <cfRule type="cellIs" dxfId="28162" priority="47803" operator="equal">
      <formula>"PTO"</formula>
    </cfRule>
  </conditionalFormatting>
  <conditionalFormatting sqref="N69:N70">
    <cfRule type="cellIs" dxfId="28161" priority="47800" operator="equal">
      <formula>"OFF"</formula>
    </cfRule>
    <cfRule type="cellIs" dxfId="28160" priority="47801" operator="equal">
      <formula>"PTO"</formula>
    </cfRule>
  </conditionalFormatting>
  <conditionalFormatting sqref="N69:N70">
    <cfRule type="cellIs" dxfId="28159" priority="47798" operator="equal">
      <formula>"OFF"</formula>
    </cfRule>
    <cfRule type="cellIs" dxfId="28158" priority="47799" operator="equal">
      <formula>"PTO"</formula>
    </cfRule>
  </conditionalFormatting>
  <conditionalFormatting sqref="N69:N70">
    <cfRule type="cellIs" dxfId="28157" priority="47796" operator="equal">
      <formula>"OFF"</formula>
    </cfRule>
    <cfRule type="cellIs" dxfId="28156" priority="47797" operator="equal">
      <formula>"PTO"</formula>
    </cfRule>
  </conditionalFormatting>
  <conditionalFormatting sqref="N69:N70">
    <cfRule type="cellIs" dxfId="28155" priority="47794" operator="equal">
      <formula>"OFF"</formula>
    </cfRule>
    <cfRule type="cellIs" dxfId="28154" priority="47795" operator="equal">
      <formula>"PTO"</formula>
    </cfRule>
  </conditionalFormatting>
  <conditionalFormatting sqref="N69:N70">
    <cfRule type="cellIs" dxfId="28153" priority="47792" operator="equal">
      <formula>"OFF"</formula>
    </cfRule>
    <cfRule type="cellIs" dxfId="28152" priority="47793" operator="equal">
      <formula>"PTO"</formula>
    </cfRule>
  </conditionalFormatting>
  <conditionalFormatting sqref="N69:N70">
    <cfRule type="cellIs" dxfId="28151" priority="47790" operator="equal">
      <formula>"OFF"</formula>
    </cfRule>
    <cfRule type="cellIs" dxfId="28150" priority="47791" operator="equal">
      <formula>"PTO"</formula>
    </cfRule>
  </conditionalFormatting>
  <conditionalFormatting sqref="N69:N70">
    <cfRule type="cellIs" dxfId="28149" priority="47788" operator="equal">
      <formula>"OFF"</formula>
    </cfRule>
    <cfRule type="cellIs" dxfId="28148" priority="47789" operator="equal">
      <formula>"PTO"</formula>
    </cfRule>
  </conditionalFormatting>
  <conditionalFormatting sqref="N69:N70">
    <cfRule type="cellIs" dxfId="28147" priority="47786" operator="equal">
      <formula>"OFF"</formula>
    </cfRule>
    <cfRule type="cellIs" dxfId="28146" priority="47787" operator="equal">
      <formula>"PTO"</formula>
    </cfRule>
  </conditionalFormatting>
  <conditionalFormatting sqref="N69:N70">
    <cfRule type="cellIs" dxfId="28145" priority="47784" operator="equal">
      <formula>"OFF"</formula>
    </cfRule>
    <cfRule type="cellIs" dxfId="28144" priority="47785" operator="equal">
      <formula>"PTO"</formula>
    </cfRule>
  </conditionalFormatting>
  <conditionalFormatting sqref="N69:N70">
    <cfRule type="cellIs" dxfId="28143" priority="47782" operator="equal">
      <formula>"OFF"</formula>
    </cfRule>
    <cfRule type="cellIs" dxfId="28142" priority="47783" operator="equal">
      <formula>"PTO"</formula>
    </cfRule>
  </conditionalFormatting>
  <conditionalFormatting sqref="N69:N70">
    <cfRule type="cellIs" dxfId="28141" priority="47780" operator="equal">
      <formula>"OFF"</formula>
    </cfRule>
    <cfRule type="cellIs" dxfId="28140" priority="47781" operator="equal">
      <formula>"PTO"</formula>
    </cfRule>
  </conditionalFormatting>
  <conditionalFormatting sqref="N69:N70">
    <cfRule type="cellIs" dxfId="28139" priority="47778" operator="equal">
      <formula>"OFF"</formula>
    </cfRule>
    <cfRule type="cellIs" dxfId="28138" priority="47779" operator="equal">
      <formula>"PTO"</formula>
    </cfRule>
  </conditionalFormatting>
  <conditionalFormatting sqref="N69:N70">
    <cfRule type="cellIs" dxfId="28137" priority="47776" operator="equal">
      <formula>"OFF"</formula>
    </cfRule>
    <cfRule type="cellIs" dxfId="28136" priority="47777" operator="equal">
      <formula>"PTO"</formula>
    </cfRule>
  </conditionalFormatting>
  <conditionalFormatting sqref="N69:N70">
    <cfRule type="cellIs" dxfId="28135" priority="47774" operator="equal">
      <formula>"OFF"</formula>
    </cfRule>
    <cfRule type="cellIs" dxfId="28134" priority="47775" operator="equal">
      <formula>"PTO"</formula>
    </cfRule>
  </conditionalFormatting>
  <conditionalFormatting sqref="N69:N70">
    <cfRule type="cellIs" dxfId="28133" priority="47772" operator="equal">
      <formula>"OFF"</formula>
    </cfRule>
    <cfRule type="cellIs" dxfId="28132" priority="47773" operator="equal">
      <formula>"PTO"</formula>
    </cfRule>
  </conditionalFormatting>
  <conditionalFormatting sqref="N69:N70">
    <cfRule type="cellIs" dxfId="28131" priority="47770" operator="equal">
      <formula>"OFF"</formula>
    </cfRule>
    <cfRule type="cellIs" dxfId="28130" priority="47771" operator="equal">
      <formula>"PTO"</formula>
    </cfRule>
  </conditionalFormatting>
  <conditionalFormatting sqref="N69:N70">
    <cfRule type="cellIs" dxfId="28129" priority="47768" operator="equal">
      <formula>"OFF"</formula>
    </cfRule>
    <cfRule type="cellIs" dxfId="28128" priority="47769" operator="equal">
      <formula>"PTO"</formula>
    </cfRule>
  </conditionalFormatting>
  <conditionalFormatting sqref="N69:N70">
    <cfRule type="cellIs" dxfId="28127" priority="47766" operator="equal">
      <formula>"OFF"</formula>
    </cfRule>
    <cfRule type="cellIs" dxfId="28126" priority="47767" operator="equal">
      <formula>"PTO"</formula>
    </cfRule>
  </conditionalFormatting>
  <conditionalFormatting sqref="N69:N70">
    <cfRule type="cellIs" dxfId="28125" priority="47764" operator="equal">
      <formula>"OFF"</formula>
    </cfRule>
    <cfRule type="cellIs" dxfId="28124" priority="47765" operator="equal">
      <formula>"PTO"</formula>
    </cfRule>
  </conditionalFormatting>
  <conditionalFormatting sqref="N69:N70">
    <cfRule type="cellIs" dxfId="28123" priority="47762" operator="equal">
      <formula>"OFF"</formula>
    </cfRule>
    <cfRule type="cellIs" dxfId="28122" priority="47763" operator="equal">
      <formula>"PTO"</formula>
    </cfRule>
  </conditionalFormatting>
  <conditionalFormatting sqref="N69:N70">
    <cfRule type="cellIs" dxfId="28121" priority="47760" operator="equal">
      <formula>"OFF"</formula>
    </cfRule>
    <cfRule type="cellIs" dxfId="28120" priority="47761" operator="equal">
      <formula>"PTO"</formula>
    </cfRule>
  </conditionalFormatting>
  <conditionalFormatting sqref="N69:N70">
    <cfRule type="cellIs" dxfId="28119" priority="47758" operator="equal">
      <formula>"OFF"</formula>
    </cfRule>
    <cfRule type="cellIs" dxfId="28118" priority="47759" operator="equal">
      <formula>"PTO"</formula>
    </cfRule>
  </conditionalFormatting>
  <conditionalFormatting sqref="N69:N70">
    <cfRule type="cellIs" dxfId="28117" priority="47756" operator="equal">
      <formula>"OFF"</formula>
    </cfRule>
    <cfRule type="cellIs" dxfId="28116" priority="47757" operator="equal">
      <formula>"PTO"</formula>
    </cfRule>
  </conditionalFormatting>
  <conditionalFormatting sqref="N69:N70">
    <cfRule type="cellIs" dxfId="28115" priority="47754" operator="equal">
      <formula>"OFF"</formula>
    </cfRule>
    <cfRule type="cellIs" dxfId="28114" priority="47755" operator="equal">
      <formula>"PTO"</formula>
    </cfRule>
  </conditionalFormatting>
  <conditionalFormatting sqref="N69:N70">
    <cfRule type="cellIs" dxfId="28113" priority="47752" operator="equal">
      <formula>"OFF"</formula>
    </cfRule>
    <cfRule type="cellIs" dxfId="28112" priority="47753" operator="equal">
      <formula>"PTO"</formula>
    </cfRule>
  </conditionalFormatting>
  <conditionalFormatting sqref="N69:N70">
    <cfRule type="cellIs" dxfId="28111" priority="47750" operator="equal">
      <formula>"OFF"</formula>
    </cfRule>
    <cfRule type="cellIs" dxfId="28110" priority="47751" operator="equal">
      <formula>"PTO"</formula>
    </cfRule>
  </conditionalFormatting>
  <conditionalFormatting sqref="N69:N70">
    <cfRule type="cellIs" dxfId="28109" priority="47748" operator="equal">
      <formula>"OFF"</formula>
    </cfRule>
    <cfRule type="cellIs" dxfId="28108" priority="47749" operator="equal">
      <formula>"PTO"</formula>
    </cfRule>
  </conditionalFormatting>
  <conditionalFormatting sqref="N69:N70">
    <cfRule type="cellIs" dxfId="28107" priority="47746" operator="equal">
      <formula>"OFF"</formula>
    </cfRule>
    <cfRule type="cellIs" dxfId="28106" priority="47747" operator="equal">
      <formula>"PTO"</formula>
    </cfRule>
  </conditionalFormatting>
  <conditionalFormatting sqref="N69:N70">
    <cfRule type="cellIs" dxfId="28105" priority="47744" operator="equal">
      <formula>"OFF"</formula>
    </cfRule>
    <cfRule type="cellIs" dxfId="28104" priority="47745" operator="equal">
      <formula>"PTO"</formula>
    </cfRule>
  </conditionalFormatting>
  <conditionalFormatting sqref="N69:N70">
    <cfRule type="cellIs" dxfId="28103" priority="47742" operator="equal">
      <formula>"OFF"</formula>
    </cfRule>
    <cfRule type="cellIs" dxfId="28102" priority="47743" operator="equal">
      <formula>"PTO"</formula>
    </cfRule>
  </conditionalFormatting>
  <conditionalFormatting sqref="N69:N70">
    <cfRule type="cellIs" dxfId="28101" priority="47740" operator="equal">
      <formula>"OFF"</formula>
    </cfRule>
    <cfRule type="cellIs" dxfId="28100" priority="47741" operator="equal">
      <formula>"PTO"</formula>
    </cfRule>
  </conditionalFormatting>
  <conditionalFormatting sqref="N69:N70">
    <cfRule type="cellIs" dxfId="28099" priority="47738" operator="equal">
      <formula>"OFF"</formula>
    </cfRule>
    <cfRule type="cellIs" dxfId="28098" priority="47739" operator="equal">
      <formula>"PTO"</formula>
    </cfRule>
  </conditionalFormatting>
  <conditionalFormatting sqref="N69:N70">
    <cfRule type="cellIs" dxfId="28097" priority="47736" operator="equal">
      <formula>"OFF"</formula>
    </cfRule>
    <cfRule type="cellIs" dxfId="28096" priority="47737" operator="equal">
      <formula>"PTO"</formula>
    </cfRule>
  </conditionalFormatting>
  <conditionalFormatting sqref="N69:N70">
    <cfRule type="cellIs" dxfId="28095" priority="47734" operator="equal">
      <formula>"OFF"</formula>
    </cfRule>
    <cfRule type="cellIs" dxfId="28094" priority="47735" operator="equal">
      <formula>"PTO"</formula>
    </cfRule>
  </conditionalFormatting>
  <conditionalFormatting sqref="N69:N70">
    <cfRule type="cellIs" dxfId="28093" priority="47732" operator="equal">
      <formula>"OFF"</formula>
    </cfRule>
    <cfRule type="cellIs" dxfId="28092" priority="47733" operator="equal">
      <formula>"PTO"</formula>
    </cfRule>
  </conditionalFormatting>
  <conditionalFormatting sqref="N69:N70">
    <cfRule type="cellIs" dxfId="28091" priority="47730" operator="equal">
      <formula>"OFF"</formula>
    </cfRule>
    <cfRule type="cellIs" dxfId="28090" priority="47731" operator="equal">
      <formula>"PTO"</formula>
    </cfRule>
  </conditionalFormatting>
  <conditionalFormatting sqref="N69:N70">
    <cfRule type="cellIs" dxfId="28089" priority="47728" operator="equal">
      <formula>"OFF"</formula>
    </cfRule>
    <cfRule type="cellIs" dxfId="28088" priority="47729" operator="equal">
      <formula>"PTO"</formula>
    </cfRule>
  </conditionalFormatting>
  <conditionalFormatting sqref="N69:N70">
    <cfRule type="cellIs" dxfId="28087" priority="47726" operator="equal">
      <formula>"OFF"</formula>
    </cfRule>
    <cfRule type="cellIs" dxfId="28086" priority="47727" operator="equal">
      <formula>"PTO"</formula>
    </cfRule>
  </conditionalFormatting>
  <conditionalFormatting sqref="N69:N70">
    <cfRule type="cellIs" dxfId="28085" priority="47724" operator="equal">
      <formula>"OFF"</formula>
    </cfRule>
    <cfRule type="cellIs" dxfId="28084" priority="47725" operator="equal">
      <formula>"PTO"</formula>
    </cfRule>
  </conditionalFormatting>
  <conditionalFormatting sqref="N69:N70">
    <cfRule type="cellIs" dxfId="28083" priority="47722" operator="equal">
      <formula>"OFF"</formula>
    </cfRule>
    <cfRule type="cellIs" dxfId="28082" priority="47723" operator="equal">
      <formula>"PTO"</formula>
    </cfRule>
  </conditionalFormatting>
  <conditionalFormatting sqref="O69:O70">
    <cfRule type="cellIs" dxfId="28081" priority="47720" operator="equal">
      <formula>"OFF"</formula>
    </cfRule>
    <cfRule type="cellIs" dxfId="28080" priority="47721" operator="equal">
      <formula>"PTO"</formula>
    </cfRule>
  </conditionalFormatting>
  <conditionalFormatting sqref="O69:O70">
    <cfRule type="cellIs" dxfId="28079" priority="47718" operator="equal">
      <formula>"OFF"</formula>
    </cfRule>
    <cfRule type="cellIs" dxfId="28078" priority="47719" operator="equal">
      <formula>"PTO"</formula>
    </cfRule>
  </conditionalFormatting>
  <conditionalFormatting sqref="O69:O70">
    <cfRule type="cellIs" dxfId="28077" priority="47716" operator="equal">
      <formula>"OFF"</formula>
    </cfRule>
    <cfRule type="cellIs" dxfId="28076" priority="47717" operator="equal">
      <formula>"PTO"</formula>
    </cfRule>
  </conditionalFormatting>
  <conditionalFormatting sqref="O69:O70">
    <cfRule type="cellIs" dxfId="28075" priority="47714" operator="equal">
      <formula>"OFF"</formula>
    </cfRule>
    <cfRule type="cellIs" dxfId="28074" priority="47715" operator="equal">
      <formula>"PTO"</formula>
    </cfRule>
  </conditionalFormatting>
  <conditionalFormatting sqref="O69:O70">
    <cfRule type="cellIs" dxfId="28073" priority="47712" operator="equal">
      <formula>"OFF"</formula>
    </cfRule>
    <cfRule type="cellIs" dxfId="28072" priority="47713" operator="equal">
      <formula>"PTO"</formula>
    </cfRule>
  </conditionalFormatting>
  <conditionalFormatting sqref="O69:O70">
    <cfRule type="cellIs" dxfId="28071" priority="47710" operator="equal">
      <formula>"OFF"</formula>
    </cfRule>
    <cfRule type="cellIs" dxfId="28070" priority="47711" operator="equal">
      <formula>"PTO"</formula>
    </cfRule>
  </conditionalFormatting>
  <conditionalFormatting sqref="O69:O70">
    <cfRule type="cellIs" dxfId="28069" priority="47708" operator="equal">
      <formula>"OFF"</formula>
    </cfRule>
    <cfRule type="cellIs" dxfId="28068" priority="47709" operator="equal">
      <formula>"PTO"</formula>
    </cfRule>
  </conditionalFormatting>
  <conditionalFormatting sqref="O69:O70">
    <cfRule type="cellIs" dxfId="28067" priority="47706" operator="equal">
      <formula>"OFF"</formula>
    </cfRule>
    <cfRule type="cellIs" dxfId="28066" priority="47707" operator="equal">
      <formula>"PTO"</formula>
    </cfRule>
  </conditionalFormatting>
  <conditionalFormatting sqref="O69:O70">
    <cfRule type="cellIs" dxfId="28065" priority="47704" operator="equal">
      <formula>"OFF"</formula>
    </cfRule>
    <cfRule type="cellIs" dxfId="28064" priority="47705" operator="equal">
      <formula>"PTO"</formula>
    </cfRule>
  </conditionalFormatting>
  <conditionalFormatting sqref="O69:O70">
    <cfRule type="cellIs" dxfId="28063" priority="47702" operator="equal">
      <formula>"OFF"</formula>
    </cfRule>
    <cfRule type="cellIs" dxfId="28062" priority="47703" operator="equal">
      <formula>"PTO"</formula>
    </cfRule>
  </conditionalFormatting>
  <conditionalFormatting sqref="O69:O70">
    <cfRule type="cellIs" dxfId="28061" priority="47700" operator="equal">
      <formula>"OFF"</formula>
    </cfRule>
    <cfRule type="cellIs" dxfId="28060" priority="47701" operator="equal">
      <formula>"PTO"</formula>
    </cfRule>
  </conditionalFormatting>
  <conditionalFormatting sqref="O69:O70">
    <cfRule type="cellIs" dxfId="28059" priority="47698" operator="equal">
      <formula>"OFF"</formula>
    </cfRule>
    <cfRule type="cellIs" dxfId="28058" priority="47699" operator="equal">
      <formula>"PTO"</formula>
    </cfRule>
  </conditionalFormatting>
  <conditionalFormatting sqref="O69:O70">
    <cfRule type="cellIs" dxfId="28057" priority="47696" operator="equal">
      <formula>"OFF"</formula>
    </cfRule>
    <cfRule type="cellIs" dxfId="28056" priority="47697" operator="equal">
      <formula>"PTO"</formula>
    </cfRule>
  </conditionalFormatting>
  <conditionalFormatting sqref="O69:O70">
    <cfRule type="cellIs" dxfId="28055" priority="47694" operator="equal">
      <formula>"OFF"</formula>
    </cfRule>
    <cfRule type="cellIs" dxfId="28054" priority="47695" operator="equal">
      <formula>"PTO"</formula>
    </cfRule>
  </conditionalFormatting>
  <conditionalFormatting sqref="O69:O70">
    <cfRule type="cellIs" dxfId="28053" priority="47692" operator="equal">
      <formula>"OFF"</formula>
    </cfRule>
    <cfRule type="cellIs" dxfId="28052" priority="47693" operator="equal">
      <formula>"PTO"</formula>
    </cfRule>
  </conditionalFormatting>
  <conditionalFormatting sqref="O69:O70">
    <cfRule type="cellIs" dxfId="28051" priority="47690" operator="equal">
      <formula>"OFF"</formula>
    </cfRule>
    <cfRule type="cellIs" dxfId="28050" priority="47691" operator="equal">
      <formula>"PTO"</formula>
    </cfRule>
  </conditionalFormatting>
  <conditionalFormatting sqref="O69:O70">
    <cfRule type="cellIs" dxfId="28049" priority="47688" operator="equal">
      <formula>"OFF"</formula>
    </cfRule>
    <cfRule type="cellIs" dxfId="28048" priority="47689" operator="equal">
      <formula>"PTO"</formula>
    </cfRule>
  </conditionalFormatting>
  <conditionalFormatting sqref="O69:O70">
    <cfRule type="cellIs" dxfId="28047" priority="47686" operator="equal">
      <formula>"OFF"</formula>
    </cfRule>
    <cfRule type="cellIs" dxfId="28046" priority="47687" operator="equal">
      <formula>"PTO"</formula>
    </cfRule>
  </conditionalFormatting>
  <conditionalFormatting sqref="O69:O70">
    <cfRule type="cellIs" dxfId="28045" priority="47684" operator="equal">
      <formula>"OFF"</formula>
    </cfRule>
    <cfRule type="cellIs" dxfId="28044" priority="47685" operator="equal">
      <formula>"PTO"</formula>
    </cfRule>
  </conditionalFormatting>
  <conditionalFormatting sqref="O69:O70">
    <cfRule type="cellIs" dxfId="28043" priority="47682" operator="equal">
      <formula>"OFF"</formula>
    </cfRule>
    <cfRule type="cellIs" dxfId="28042" priority="47683" operator="equal">
      <formula>"PTO"</formula>
    </cfRule>
  </conditionalFormatting>
  <conditionalFormatting sqref="O69:O70">
    <cfRule type="cellIs" dxfId="28041" priority="47680" operator="equal">
      <formula>"OFF"</formula>
    </cfRule>
    <cfRule type="cellIs" dxfId="28040" priority="47681" operator="equal">
      <formula>"PTO"</formula>
    </cfRule>
  </conditionalFormatting>
  <conditionalFormatting sqref="O69:O70">
    <cfRule type="cellIs" dxfId="28039" priority="47678" operator="equal">
      <formula>"OFF"</formula>
    </cfRule>
    <cfRule type="cellIs" dxfId="28038" priority="47679" operator="equal">
      <formula>"PTO"</formula>
    </cfRule>
  </conditionalFormatting>
  <conditionalFormatting sqref="O69:O70">
    <cfRule type="cellIs" dxfId="28037" priority="47676" operator="equal">
      <formula>"OFF"</formula>
    </cfRule>
    <cfRule type="cellIs" dxfId="28036" priority="47677" operator="equal">
      <formula>"PTO"</formula>
    </cfRule>
  </conditionalFormatting>
  <conditionalFormatting sqref="O69:O70">
    <cfRule type="cellIs" dxfId="28035" priority="47674" operator="equal">
      <formula>"OFF"</formula>
    </cfRule>
    <cfRule type="cellIs" dxfId="28034" priority="47675" operator="equal">
      <formula>"PTO"</formula>
    </cfRule>
  </conditionalFormatting>
  <conditionalFormatting sqref="O69:O70">
    <cfRule type="cellIs" dxfId="28033" priority="47672" operator="equal">
      <formula>"OFF"</formula>
    </cfRule>
    <cfRule type="cellIs" dxfId="28032" priority="47673" operator="equal">
      <formula>"PTO"</formula>
    </cfRule>
  </conditionalFormatting>
  <conditionalFormatting sqref="O69:O70">
    <cfRule type="cellIs" dxfId="28031" priority="47670" operator="equal">
      <formula>"OFF"</formula>
    </cfRule>
    <cfRule type="cellIs" dxfId="28030" priority="47671" operator="equal">
      <formula>"PTO"</formula>
    </cfRule>
  </conditionalFormatting>
  <conditionalFormatting sqref="O69:O70">
    <cfRule type="cellIs" dxfId="28029" priority="47668" operator="equal">
      <formula>"OFF"</formula>
    </cfRule>
    <cfRule type="cellIs" dxfId="28028" priority="47669" operator="equal">
      <formula>"PTO"</formula>
    </cfRule>
  </conditionalFormatting>
  <conditionalFormatting sqref="O69:O70">
    <cfRule type="cellIs" dxfId="28027" priority="47666" operator="equal">
      <formula>"OFF"</formula>
    </cfRule>
    <cfRule type="cellIs" dxfId="28026" priority="47667" operator="equal">
      <formula>"PTO"</formula>
    </cfRule>
  </conditionalFormatting>
  <conditionalFormatting sqref="O69:O70">
    <cfRule type="cellIs" dxfId="28025" priority="47664" operator="equal">
      <formula>"OFF"</formula>
    </cfRule>
    <cfRule type="cellIs" dxfId="28024" priority="47665" operator="equal">
      <formula>"PTO"</formula>
    </cfRule>
  </conditionalFormatting>
  <conditionalFormatting sqref="O69:O70">
    <cfRule type="cellIs" dxfId="28023" priority="47662" operator="equal">
      <formula>"OFF"</formula>
    </cfRule>
    <cfRule type="cellIs" dxfId="28022" priority="47663" operator="equal">
      <formula>"PTO"</formula>
    </cfRule>
  </conditionalFormatting>
  <conditionalFormatting sqref="O69:O70">
    <cfRule type="cellIs" dxfId="28021" priority="47660" operator="equal">
      <formula>"OFF"</formula>
    </cfRule>
    <cfRule type="cellIs" dxfId="28020" priority="47661" operator="equal">
      <formula>"PTO"</formula>
    </cfRule>
  </conditionalFormatting>
  <conditionalFormatting sqref="O69:O70">
    <cfRule type="cellIs" dxfId="28019" priority="47658" operator="equal">
      <formula>"OFF"</formula>
    </cfRule>
    <cfRule type="cellIs" dxfId="28018" priority="47659" operator="equal">
      <formula>"PTO"</formula>
    </cfRule>
  </conditionalFormatting>
  <conditionalFormatting sqref="O69:O70">
    <cfRule type="cellIs" dxfId="28017" priority="47656" operator="equal">
      <formula>"OFF"</formula>
    </cfRule>
    <cfRule type="cellIs" dxfId="28016" priority="47657" operator="equal">
      <formula>"PTO"</formula>
    </cfRule>
  </conditionalFormatting>
  <conditionalFormatting sqref="O69:O70">
    <cfRule type="cellIs" dxfId="28015" priority="47654" operator="equal">
      <formula>"OFF"</formula>
    </cfRule>
    <cfRule type="cellIs" dxfId="28014" priority="47655" operator="equal">
      <formula>"PTO"</formula>
    </cfRule>
  </conditionalFormatting>
  <conditionalFormatting sqref="O69:O70">
    <cfRule type="cellIs" dxfId="28013" priority="47652" operator="equal">
      <formula>"OFF"</formula>
    </cfRule>
    <cfRule type="cellIs" dxfId="28012" priority="47653" operator="equal">
      <formula>"PTO"</formula>
    </cfRule>
  </conditionalFormatting>
  <conditionalFormatting sqref="O69:O70">
    <cfRule type="cellIs" dxfId="28011" priority="47650" operator="equal">
      <formula>"OFF"</formula>
    </cfRule>
    <cfRule type="cellIs" dxfId="28010" priority="47651" operator="equal">
      <formula>"PTO"</formula>
    </cfRule>
  </conditionalFormatting>
  <conditionalFormatting sqref="O69:O70">
    <cfRule type="cellIs" dxfId="28009" priority="47648" operator="equal">
      <formula>"OFF"</formula>
    </cfRule>
    <cfRule type="cellIs" dxfId="28008" priority="47649" operator="equal">
      <formula>"PTO"</formula>
    </cfRule>
  </conditionalFormatting>
  <conditionalFormatting sqref="O69:O70">
    <cfRule type="cellIs" dxfId="28007" priority="47646" operator="equal">
      <formula>"OFF"</formula>
    </cfRule>
    <cfRule type="cellIs" dxfId="28006" priority="47647" operator="equal">
      <formula>"PTO"</formula>
    </cfRule>
  </conditionalFormatting>
  <conditionalFormatting sqref="O69:O70">
    <cfRule type="cellIs" dxfId="28005" priority="47644" operator="equal">
      <formula>"OFF"</formula>
    </cfRule>
    <cfRule type="cellIs" dxfId="28004" priority="47645" operator="equal">
      <formula>"PTO"</formula>
    </cfRule>
  </conditionalFormatting>
  <conditionalFormatting sqref="O69:O70">
    <cfRule type="cellIs" dxfId="28003" priority="47642" operator="equal">
      <formula>"OFF"</formula>
    </cfRule>
    <cfRule type="cellIs" dxfId="28002" priority="47643" operator="equal">
      <formula>"PTO"</formula>
    </cfRule>
  </conditionalFormatting>
  <conditionalFormatting sqref="O69:O70">
    <cfRule type="cellIs" dxfId="28001" priority="47640" operator="equal">
      <formula>"OFF"</formula>
    </cfRule>
    <cfRule type="cellIs" dxfId="28000" priority="47641" operator="equal">
      <formula>"PTO"</formula>
    </cfRule>
  </conditionalFormatting>
  <conditionalFormatting sqref="O69:O70">
    <cfRule type="cellIs" dxfId="27999" priority="47638" operator="equal">
      <formula>"OFF"</formula>
    </cfRule>
    <cfRule type="cellIs" dxfId="27998" priority="47639" operator="equal">
      <formula>"PTO"</formula>
    </cfRule>
  </conditionalFormatting>
  <conditionalFormatting sqref="O69:O70">
    <cfRule type="cellIs" dxfId="27997" priority="47636" operator="equal">
      <formula>"OFF"</formula>
    </cfRule>
    <cfRule type="cellIs" dxfId="27996" priority="47637" operator="equal">
      <formula>"PTO"</formula>
    </cfRule>
  </conditionalFormatting>
  <conditionalFormatting sqref="O69:O70">
    <cfRule type="cellIs" dxfId="27995" priority="47634" operator="equal">
      <formula>"OFF"</formula>
    </cfRule>
    <cfRule type="cellIs" dxfId="27994" priority="47635" operator="equal">
      <formula>"PTO"</formula>
    </cfRule>
  </conditionalFormatting>
  <conditionalFormatting sqref="O69:O70">
    <cfRule type="cellIs" dxfId="27993" priority="47632" operator="equal">
      <formula>"OFF"</formula>
    </cfRule>
    <cfRule type="cellIs" dxfId="27992" priority="47633" operator="equal">
      <formula>"PTO"</formula>
    </cfRule>
  </conditionalFormatting>
  <conditionalFormatting sqref="O69:O70">
    <cfRule type="cellIs" dxfId="27991" priority="47630" operator="equal">
      <formula>"OFF"</formula>
    </cfRule>
    <cfRule type="cellIs" dxfId="27990" priority="47631" operator="equal">
      <formula>"PTO"</formula>
    </cfRule>
  </conditionalFormatting>
  <conditionalFormatting sqref="O69:O70">
    <cfRule type="cellIs" dxfId="27989" priority="47628" operator="equal">
      <formula>"OFF"</formula>
    </cfRule>
    <cfRule type="cellIs" dxfId="27988" priority="47629" operator="equal">
      <formula>"PTO"</formula>
    </cfRule>
  </conditionalFormatting>
  <conditionalFormatting sqref="O69:O70">
    <cfRule type="cellIs" dxfId="27987" priority="47626" operator="equal">
      <formula>"OFF"</formula>
    </cfRule>
    <cfRule type="cellIs" dxfId="27986" priority="47627" operator="equal">
      <formula>"PTO"</formula>
    </cfRule>
  </conditionalFormatting>
  <conditionalFormatting sqref="O69:O70">
    <cfRule type="cellIs" dxfId="27985" priority="47624" operator="equal">
      <formula>"OFF"</formula>
    </cfRule>
    <cfRule type="cellIs" dxfId="27984" priority="47625" operator="equal">
      <formula>"PTO"</formula>
    </cfRule>
  </conditionalFormatting>
  <conditionalFormatting sqref="O69:O70">
    <cfRule type="cellIs" dxfId="27983" priority="47622" operator="equal">
      <formula>"OFF"</formula>
    </cfRule>
    <cfRule type="cellIs" dxfId="27982" priority="47623" operator="equal">
      <formula>"PTO"</formula>
    </cfRule>
  </conditionalFormatting>
  <conditionalFormatting sqref="O69:O70">
    <cfRule type="cellIs" dxfId="27981" priority="47620" operator="equal">
      <formula>"OFF"</formula>
    </cfRule>
    <cfRule type="cellIs" dxfId="27980" priority="47621" operator="equal">
      <formula>"PTO"</formula>
    </cfRule>
  </conditionalFormatting>
  <conditionalFormatting sqref="O69:O70">
    <cfRule type="cellIs" dxfId="27979" priority="47618" operator="equal">
      <formula>"OFF"</formula>
    </cfRule>
    <cfRule type="cellIs" dxfId="27978" priority="47619" operator="equal">
      <formula>"PTO"</formula>
    </cfRule>
  </conditionalFormatting>
  <conditionalFormatting sqref="O69:O70">
    <cfRule type="cellIs" dxfId="27977" priority="47616" operator="equal">
      <formula>"OFF"</formula>
    </cfRule>
    <cfRule type="cellIs" dxfId="27976" priority="47617" operator="equal">
      <formula>"PTO"</formula>
    </cfRule>
  </conditionalFormatting>
  <conditionalFormatting sqref="O69:O70">
    <cfRule type="cellIs" dxfId="27975" priority="47614" operator="equal">
      <formula>"OFF"</formula>
    </cfRule>
    <cfRule type="cellIs" dxfId="27974" priority="47615" operator="equal">
      <formula>"PTO"</formula>
    </cfRule>
  </conditionalFormatting>
  <conditionalFormatting sqref="O69:O70">
    <cfRule type="cellIs" dxfId="27973" priority="47612" operator="equal">
      <formula>"OFF"</formula>
    </cfRule>
    <cfRule type="cellIs" dxfId="27972" priority="47613" operator="equal">
      <formula>"PTO"</formula>
    </cfRule>
  </conditionalFormatting>
  <conditionalFormatting sqref="O69:O70">
    <cfRule type="cellIs" dxfId="27971" priority="47610" operator="equal">
      <formula>"OFF"</formula>
    </cfRule>
    <cfRule type="cellIs" dxfId="27970" priority="47611" operator="equal">
      <formula>"PTO"</formula>
    </cfRule>
  </conditionalFormatting>
  <conditionalFormatting sqref="O69:O70">
    <cfRule type="cellIs" dxfId="27969" priority="47608" operator="equal">
      <formula>"OFF"</formula>
    </cfRule>
    <cfRule type="cellIs" dxfId="27968" priority="47609" operator="equal">
      <formula>"PTO"</formula>
    </cfRule>
  </conditionalFormatting>
  <conditionalFormatting sqref="O69:O70">
    <cfRule type="cellIs" dxfId="27967" priority="47606" operator="equal">
      <formula>"OFF"</formula>
    </cfRule>
    <cfRule type="cellIs" dxfId="27966" priority="47607" operator="equal">
      <formula>"PTO"</formula>
    </cfRule>
  </conditionalFormatting>
  <conditionalFormatting sqref="O69:O70">
    <cfRule type="cellIs" dxfId="27965" priority="47604" operator="equal">
      <formula>"OFF"</formula>
    </cfRule>
    <cfRule type="cellIs" dxfId="27964" priority="47605" operator="equal">
      <formula>"PTO"</formula>
    </cfRule>
  </conditionalFormatting>
  <conditionalFormatting sqref="O69:O70">
    <cfRule type="cellIs" dxfId="27963" priority="47602" operator="equal">
      <formula>"OFF"</formula>
    </cfRule>
    <cfRule type="cellIs" dxfId="27962" priority="47603" operator="equal">
      <formula>"PTO"</formula>
    </cfRule>
  </conditionalFormatting>
  <conditionalFormatting sqref="O69:O70">
    <cfRule type="cellIs" dxfId="27961" priority="47600" operator="equal">
      <formula>"OFF"</formula>
    </cfRule>
    <cfRule type="cellIs" dxfId="27960" priority="47601" operator="equal">
      <formula>"PTO"</formula>
    </cfRule>
  </conditionalFormatting>
  <conditionalFormatting sqref="O69:O70">
    <cfRule type="cellIs" dxfId="27959" priority="47598" operator="equal">
      <formula>"OFF"</formula>
    </cfRule>
    <cfRule type="cellIs" dxfId="27958" priority="47599" operator="equal">
      <formula>"PTO"</formula>
    </cfRule>
  </conditionalFormatting>
  <conditionalFormatting sqref="O69:O70">
    <cfRule type="cellIs" dxfId="27957" priority="47596" operator="equal">
      <formula>"OFF"</formula>
    </cfRule>
    <cfRule type="cellIs" dxfId="27956" priority="47597" operator="equal">
      <formula>"PTO"</formula>
    </cfRule>
  </conditionalFormatting>
  <conditionalFormatting sqref="O69:O70">
    <cfRule type="cellIs" dxfId="27955" priority="47594" operator="equal">
      <formula>"OFF"</formula>
    </cfRule>
    <cfRule type="cellIs" dxfId="27954" priority="47595" operator="equal">
      <formula>"PTO"</formula>
    </cfRule>
  </conditionalFormatting>
  <conditionalFormatting sqref="O69:O70">
    <cfRule type="cellIs" dxfId="27953" priority="47592" operator="equal">
      <formula>"OFF"</formula>
    </cfRule>
    <cfRule type="cellIs" dxfId="27952" priority="47593" operator="equal">
      <formula>"PTO"</formula>
    </cfRule>
  </conditionalFormatting>
  <conditionalFormatting sqref="O69:O70">
    <cfRule type="cellIs" dxfId="27951" priority="47590" operator="equal">
      <formula>"OFF"</formula>
    </cfRule>
    <cfRule type="cellIs" dxfId="27950" priority="47591" operator="equal">
      <formula>"PTO"</formula>
    </cfRule>
  </conditionalFormatting>
  <conditionalFormatting sqref="O69:O70">
    <cfRule type="cellIs" dxfId="27949" priority="47588" operator="equal">
      <formula>"OFF"</formula>
    </cfRule>
    <cfRule type="cellIs" dxfId="27948" priority="47589" operator="equal">
      <formula>"PTO"</formula>
    </cfRule>
  </conditionalFormatting>
  <conditionalFormatting sqref="O69:O70">
    <cfRule type="cellIs" dxfId="27947" priority="47586" operator="equal">
      <formula>"OFF"</formula>
    </cfRule>
    <cfRule type="cellIs" dxfId="27946" priority="47587" operator="equal">
      <formula>"PTO"</formula>
    </cfRule>
  </conditionalFormatting>
  <conditionalFormatting sqref="O69:O70">
    <cfRule type="cellIs" dxfId="27945" priority="47584" operator="equal">
      <formula>"OFF"</formula>
    </cfRule>
    <cfRule type="cellIs" dxfId="27944" priority="47585" operator="equal">
      <formula>"PTO"</formula>
    </cfRule>
  </conditionalFormatting>
  <conditionalFormatting sqref="O69:O70">
    <cfRule type="cellIs" dxfId="27943" priority="47582" operator="equal">
      <formula>"OFF"</formula>
    </cfRule>
    <cfRule type="cellIs" dxfId="27942" priority="47583" operator="equal">
      <formula>"PTO"</formula>
    </cfRule>
  </conditionalFormatting>
  <conditionalFormatting sqref="O69:O70">
    <cfRule type="cellIs" dxfId="27941" priority="47580" operator="equal">
      <formula>"OFF"</formula>
    </cfRule>
    <cfRule type="cellIs" dxfId="27940" priority="47581" operator="equal">
      <formula>"PTO"</formula>
    </cfRule>
  </conditionalFormatting>
  <conditionalFormatting sqref="O69:O70">
    <cfRule type="cellIs" dxfId="27939" priority="47578" operator="equal">
      <formula>"OFF"</formula>
    </cfRule>
    <cfRule type="cellIs" dxfId="27938" priority="47579" operator="equal">
      <formula>"PTO"</formula>
    </cfRule>
  </conditionalFormatting>
  <conditionalFormatting sqref="O69:O70">
    <cfRule type="cellIs" dxfId="27937" priority="47576" operator="equal">
      <formula>"OFF"</formula>
    </cfRule>
    <cfRule type="cellIs" dxfId="27936" priority="47577" operator="equal">
      <formula>"PTO"</formula>
    </cfRule>
  </conditionalFormatting>
  <conditionalFormatting sqref="O69:O70">
    <cfRule type="cellIs" dxfId="27935" priority="47574" operator="equal">
      <formula>"OFF"</formula>
    </cfRule>
    <cfRule type="cellIs" dxfId="27934" priority="47575" operator="equal">
      <formula>"PTO"</formula>
    </cfRule>
  </conditionalFormatting>
  <conditionalFormatting sqref="O69:O70">
    <cfRule type="cellIs" dxfId="27933" priority="47572" operator="equal">
      <formula>"OFF"</formula>
    </cfRule>
    <cfRule type="cellIs" dxfId="27932" priority="47573" operator="equal">
      <formula>"PTO"</formula>
    </cfRule>
  </conditionalFormatting>
  <conditionalFormatting sqref="O69:O70">
    <cfRule type="cellIs" dxfId="27931" priority="47570" operator="equal">
      <formula>"OFF"</formula>
    </cfRule>
    <cfRule type="cellIs" dxfId="27930" priority="47571" operator="equal">
      <formula>"PTO"</formula>
    </cfRule>
  </conditionalFormatting>
  <conditionalFormatting sqref="O69:O70">
    <cfRule type="cellIs" dxfId="27929" priority="47568" operator="equal">
      <formula>"OFF"</formula>
    </cfRule>
    <cfRule type="cellIs" dxfId="27928" priority="47569" operator="equal">
      <formula>"PTO"</formula>
    </cfRule>
  </conditionalFormatting>
  <conditionalFormatting sqref="O69:O70">
    <cfRule type="cellIs" dxfId="27927" priority="47566" operator="equal">
      <formula>"OFF"</formula>
    </cfRule>
    <cfRule type="cellIs" dxfId="27926" priority="47567" operator="equal">
      <formula>"PTO"</formula>
    </cfRule>
  </conditionalFormatting>
  <conditionalFormatting sqref="O69:O70">
    <cfRule type="cellIs" dxfId="27925" priority="47564" operator="equal">
      <formula>"OFF"</formula>
    </cfRule>
    <cfRule type="cellIs" dxfId="27924" priority="47565" operator="equal">
      <formula>"PTO"</formula>
    </cfRule>
  </conditionalFormatting>
  <conditionalFormatting sqref="O69:O70">
    <cfRule type="cellIs" dxfId="27923" priority="47562" operator="equal">
      <formula>"OFF"</formula>
    </cfRule>
    <cfRule type="cellIs" dxfId="27922" priority="47563" operator="equal">
      <formula>"PTO"</formula>
    </cfRule>
  </conditionalFormatting>
  <conditionalFormatting sqref="O69:O70">
    <cfRule type="cellIs" dxfId="27921" priority="47560" operator="equal">
      <formula>"OFF"</formula>
    </cfRule>
    <cfRule type="cellIs" dxfId="27920" priority="47561" operator="equal">
      <formula>"PTO"</formula>
    </cfRule>
  </conditionalFormatting>
  <conditionalFormatting sqref="O69:O70">
    <cfRule type="cellIs" dxfId="27919" priority="47558" operator="equal">
      <formula>"OFF"</formula>
    </cfRule>
    <cfRule type="cellIs" dxfId="27918" priority="47559" operator="equal">
      <formula>"PTO"</formula>
    </cfRule>
  </conditionalFormatting>
  <conditionalFormatting sqref="O69:O70">
    <cfRule type="cellIs" dxfId="27917" priority="47556" operator="equal">
      <formula>"OFF"</formula>
    </cfRule>
    <cfRule type="cellIs" dxfId="27916" priority="47557" operator="equal">
      <formula>"PTO"</formula>
    </cfRule>
  </conditionalFormatting>
  <conditionalFormatting sqref="O69:O70">
    <cfRule type="cellIs" dxfId="27915" priority="47554" operator="equal">
      <formula>"OFF"</formula>
    </cfRule>
    <cfRule type="cellIs" dxfId="27914" priority="47555" operator="equal">
      <formula>"PTO"</formula>
    </cfRule>
  </conditionalFormatting>
  <conditionalFormatting sqref="O69:O70">
    <cfRule type="cellIs" dxfId="27913" priority="47552" operator="equal">
      <formula>"OFF"</formula>
    </cfRule>
    <cfRule type="cellIs" dxfId="27912" priority="47553" operator="equal">
      <formula>"PTO"</formula>
    </cfRule>
  </conditionalFormatting>
  <conditionalFormatting sqref="O69:O70">
    <cfRule type="cellIs" dxfId="27911" priority="47550" operator="equal">
      <formula>"OFF"</formula>
    </cfRule>
    <cfRule type="cellIs" dxfId="27910" priority="47551" operator="equal">
      <formula>"PTO"</formula>
    </cfRule>
  </conditionalFormatting>
  <conditionalFormatting sqref="O69:O70">
    <cfRule type="cellIs" dxfId="27909" priority="47548" operator="equal">
      <formula>"OFF"</formula>
    </cfRule>
    <cfRule type="cellIs" dxfId="27908" priority="47549" operator="equal">
      <formula>"PTO"</formula>
    </cfRule>
  </conditionalFormatting>
  <conditionalFormatting sqref="O69:O70">
    <cfRule type="cellIs" dxfId="27907" priority="47546" operator="equal">
      <formula>"OFF"</formula>
    </cfRule>
    <cfRule type="cellIs" dxfId="27906" priority="47547" operator="equal">
      <formula>"PTO"</formula>
    </cfRule>
  </conditionalFormatting>
  <conditionalFormatting sqref="O69:O70">
    <cfRule type="cellIs" dxfId="27905" priority="47544" operator="equal">
      <formula>"OFF"</formula>
    </cfRule>
    <cfRule type="cellIs" dxfId="27904" priority="47545" operator="equal">
      <formula>"PTO"</formula>
    </cfRule>
  </conditionalFormatting>
  <conditionalFormatting sqref="O69:O70">
    <cfRule type="cellIs" dxfId="27903" priority="47542" operator="equal">
      <formula>"OFF"</formula>
    </cfRule>
    <cfRule type="cellIs" dxfId="27902" priority="47543" operator="equal">
      <formula>"PTO"</formula>
    </cfRule>
  </conditionalFormatting>
  <conditionalFormatting sqref="O69:O70">
    <cfRule type="cellIs" dxfId="27901" priority="47540" operator="equal">
      <formula>"OFF"</formula>
    </cfRule>
    <cfRule type="cellIs" dxfId="27900" priority="47541" operator="equal">
      <formula>"PTO"</formula>
    </cfRule>
  </conditionalFormatting>
  <conditionalFormatting sqref="O69:O70">
    <cfRule type="cellIs" dxfId="27899" priority="47538" operator="equal">
      <formula>"OFF"</formula>
    </cfRule>
    <cfRule type="cellIs" dxfId="27898" priority="47539" operator="equal">
      <formula>"PTO"</formula>
    </cfRule>
  </conditionalFormatting>
  <conditionalFormatting sqref="O69:O70">
    <cfRule type="cellIs" dxfId="27897" priority="47536" operator="equal">
      <formula>"OFF"</formula>
    </cfRule>
    <cfRule type="cellIs" dxfId="27896" priority="47537" operator="equal">
      <formula>"PTO"</formula>
    </cfRule>
  </conditionalFormatting>
  <conditionalFormatting sqref="O69:O70">
    <cfRule type="cellIs" dxfId="27895" priority="47534" operator="equal">
      <formula>"OFF"</formula>
    </cfRule>
    <cfRule type="cellIs" dxfId="27894" priority="47535" operator="equal">
      <formula>"PTO"</formula>
    </cfRule>
  </conditionalFormatting>
  <conditionalFormatting sqref="O69:O70">
    <cfRule type="cellIs" dxfId="27893" priority="47532" operator="equal">
      <formula>"OFF"</formula>
    </cfRule>
    <cfRule type="cellIs" dxfId="27892" priority="47533" operator="equal">
      <formula>"PTO"</formula>
    </cfRule>
  </conditionalFormatting>
  <conditionalFormatting sqref="O69:O70">
    <cfRule type="cellIs" dxfId="27891" priority="47530" operator="equal">
      <formula>"OFF"</formula>
    </cfRule>
    <cfRule type="cellIs" dxfId="27890" priority="47531" operator="equal">
      <formula>"PTO"</formula>
    </cfRule>
  </conditionalFormatting>
  <conditionalFormatting sqref="O69:O70">
    <cfRule type="cellIs" dxfId="27889" priority="47528" operator="equal">
      <formula>"OFF"</formula>
    </cfRule>
    <cfRule type="cellIs" dxfId="27888" priority="47529" operator="equal">
      <formula>"PTO"</formula>
    </cfRule>
  </conditionalFormatting>
  <conditionalFormatting sqref="O69:O70">
    <cfRule type="cellIs" dxfId="27887" priority="47526" operator="equal">
      <formula>"OFF"</formula>
    </cfRule>
    <cfRule type="cellIs" dxfId="27886" priority="47527" operator="equal">
      <formula>"PTO"</formula>
    </cfRule>
  </conditionalFormatting>
  <conditionalFormatting sqref="O69:O70">
    <cfRule type="cellIs" dxfId="27885" priority="47524" operator="equal">
      <formula>"OFF"</formula>
    </cfRule>
    <cfRule type="cellIs" dxfId="27884" priority="47525" operator="equal">
      <formula>"PTO"</formula>
    </cfRule>
  </conditionalFormatting>
  <conditionalFormatting sqref="O69:O70">
    <cfRule type="cellIs" dxfId="27883" priority="47522" operator="equal">
      <formula>"OFF"</formula>
    </cfRule>
    <cfRule type="cellIs" dxfId="27882" priority="47523" operator="equal">
      <formula>"PTO"</formula>
    </cfRule>
  </conditionalFormatting>
  <conditionalFormatting sqref="O69:O70">
    <cfRule type="cellIs" dxfId="27881" priority="47520" operator="equal">
      <formula>"OFF"</formula>
    </cfRule>
    <cfRule type="cellIs" dxfId="27880" priority="47521" operator="equal">
      <formula>"PTO"</formula>
    </cfRule>
  </conditionalFormatting>
  <conditionalFormatting sqref="K69:M70">
    <cfRule type="cellIs" dxfId="27879" priority="47518" operator="equal">
      <formula>"OFF"</formula>
    </cfRule>
    <cfRule type="cellIs" dxfId="27878" priority="47519" operator="equal">
      <formula>"PTO"</formula>
    </cfRule>
  </conditionalFormatting>
  <conditionalFormatting sqref="K69:M70">
    <cfRule type="cellIs" dxfId="27877" priority="47516" operator="equal">
      <formula>"OFF"</formula>
    </cfRule>
    <cfRule type="cellIs" dxfId="27876" priority="47517" operator="equal">
      <formula>"PTO"</formula>
    </cfRule>
  </conditionalFormatting>
  <conditionalFormatting sqref="K69:M70">
    <cfRule type="cellIs" dxfId="27875" priority="47514" operator="equal">
      <formula>"OFF"</formula>
    </cfRule>
    <cfRule type="cellIs" dxfId="27874" priority="47515" operator="equal">
      <formula>"PTO"</formula>
    </cfRule>
  </conditionalFormatting>
  <conditionalFormatting sqref="K69:M70">
    <cfRule type="cellIs" dxfId="27873" priority="47512" operator="equal">
      <formula>"OFF"</formula>
    </cfRule>
    <cfRule type="cellIs" dxfId="27872" priority="47513" operator="equal">
      <formula>"PTO"</formula>
    </cfRule>
  </conditionalFormatting>
  <conditionalFormatting sqref="K69:M70">
    <cfRule type="cellIs" dxfId="27871" priority="47510" operator="equal">
      <formula>"OFF"</formula>
    </cfRule>
    <cfRule type="cellIs" dxfId="27870" priority="47511" operator="equal">
      <formula>"PTO"</formula>
    </cfRule>
  </conditionalFormatting>
  <conditionalFormatting sqref="K69:M70">
    <cfRule type="cellIs" dxfId="27869" priority="47508" operator="equal">
      <formula>"OFF"</formula>
    </cfRule>
    <cfRule type="cellIs" dxfId="27868" priority="47509" operator="equal">
      <formula>"PTO"</formula>
    </cfRule>
  </conditionalFormatting>
  <conditionalFormatting sqref="K69:M70">
    <cfRule type="cellIs" dxfId="27867" priority="47506" operator="equal">
      <formula>"OFF"</formula>
    </cfRule>
    <cfRule type="cellIs" dxfId="27866" priority="47507" operator="equal">
      <formula>"PTO"</formula>
    </cfRule>
  </conditionalFormatting>
  <conditionalFormatting sqref="K69:M70">
    <cfRule type="cellIs" dxfId="27865" priority="47504" operator="equal">
      <formula>"OFF"</formula>
    </cfRule>
    <cfRule type="cellIs" dxfId="27864" priority="47505" operator="equal">
      <formula>"PTO"</formula>
    </cfRule>
  </conditionalFormatting>
  <conditionalFormatting sqref="K69:M70">
    <cfRule type="cellIs" dxfId="27863" priority="47502" operator="equal">
      <formula>"OFF"</formula>
    </cfRule>
    <cfRule type="cellIs" dxfId="27862" priority="47503" operator="equal">
      <formula>"PTO"</formula>
    </cfRule>
  </conditionalFormatting>
  <conditionalFormatting sqref="K69:M70">
    <cfRule type="cellIs" dxfId="27861" priority="47500" operator="equal">
      <formula>"OFF"</formula>
    </cfRule>
    <cfRule type="cellIs" dxfId="27860" priority="47501" operator="equal">
      <formula>"PTO"</formula>
    </cfRule>
  </conditionalFormatting>
  <conditionalFormatting sqref="K69:M70">
    <cfRule type="cellIs" dxfId="27859" priority="47498" operator="equal">
      <formula>"OFF"</formula>
    </cfRule>
    <cfRule type="cellIs" dxfId="27858" priority="47499" operator="equal">
      <formula>"PTO"</formula>
    </cfRule>
  </conditionalFormatting>
  <conditionalFormatting sqref="K69:M70">
    <cfRule type="cellIs" dxfId="27857" priority="47496" operator="equal">
      <formula>"OFF"</formula>
    </cfRule>
    <cfRule type="cellIs" dxfId="27856" priority="47497" operator="equal">
      <formula>"PTO"</formula>
    </cfRule>
  </conditionalFormatting>
  <conditionalFormatting sqref="K69:M70">
    <cfRule type="cellIs" dxfId="27855" priority="47494" operator="equal">
      <formula>"OFF"</formula>
    </cfRule>
    <cfRule type="cellIs" dxfId="27854" priority="47495" operator="equal">
      <formula>"PTO"</formula>
    </cfRule>
  </conditionalFormatting>
  <conditionalFormatting sqref="K69:M70">
    <cfRule type="cellIs" dxfId="27853" priority="47492" operator="equal">
      <formula>"OFF"</formula>
    </cfRule>
    <cfRule type="cellIs" dxfId="27852" priority="47493" operator="equal">
      <formula>"PTO"</formula>
    </cfRule>
  </conditionalFormatting>
  <conditionalFormatting sqref="K69:M70">
    <cfRule type="cellIs" dxfId="27851" priority="47490" operator="equal">
      <formula>"OFF"</formula>
    </cfRule>
    <cfRule type="cellIs" dxfId="27850" priority="47491" operator="equal">
      <formula>"PTO"</formula>
    </cfRule>
  </conditionalFormatting>
  <conditionalFormatting sqref="K69:M70">
    <cfRule type="cellIs" dxfId="27849" priority="47488" operator="equal">
      <formula>"OFF"</formula>
    </cfRule>
    <cfRule type="cellIs" dxfId="27848" priority="47489" operator="equal">
      <formula>"PTO"</formula>
    </cfRule>
  </conditionalFormatting>
  <conditionalFormatting sqref="K69:M70">
    <cfRule type="cellIs" dxfId="27847" priority="47486" operator="equal">
      <formula>"OFF"</formula>
    </cfRule>
    <cfRule type="cellIs" dxfId="27846" priority="47487" operator="equal">
      <formula>"PTO"</formula>
    </cfRule>
  </conditionalFormatting>
  <conditionalFormatting sqref="K69:M70">
    <cfRule type="cellIs" dxfId="27845" priority="47484" operator="equal">
      <formula>"OFF"</formula>
    </cfRule>
    <cfRule type="cellIs" dxfId="27844" priority="47485" operator="equal">
      <formula>"PTO"</formula>
    </cfRule>
  </conditionalFormatting>
  <conditionalFormatting sqref="K69:M70">
    <cfRule type="cellIs" dxfId="27843" priority="47482" operator="equal">
      <formula>"OFF"</formula>
    </cfRule>
    <cfRule type="cellIs" dxfId="27842" priority="47483" operator="equal">
      <formula>"PTO"</formula>
    </cfRule>
  </conditionalFormatting>
  <conditionalFormatting sqref="K69:M70">
    <cfRule type="cellIs" dxfId="27841" priority="47480" operator="equal">
      <formula>"OFF"</formula>
    </cfRule>
    <cfRule type="cellIs" dxfId="27840" priority="47481" operator="equal">
      <formula>"PTO"</formula>
    </cfRule>
  </conditionalFormatting>
  <conditionalFormatting sqref="K69:M70">
    <cfRule type="cellIs" dxfId="27839" priority="47478" operator="equal">
      <formula>"OFF"</formula>
    </cfRule>
    <cfRule type="cellIs" dxfId="27838" priority="47479" operator="equal">
      <formula>"PTO"</formula>
    </cfRule>
  </conditionalFormatting>
  <conditionalFormatting sqref="K69:M70">
    <cfRule type="cellIs" dxfId="27837" priority="47476" operator="equal">
      <formula>"OFF"</formula>
    </cfRule>
    <cfRule type="cellIs" dxfId="27836" priority="47477" operator="equal">
      <formula>"PTO"</formula>
    </cfRule>
  </conditionalFormatting>
  <conditionalFormatting sqref="K69:M70">
    <cfRule type="cellIs" dxfId="27835" priority="47474" operator="equal">
      <formula>"OFF"</formula>
    </cfRule>
    <cfRule type="cellIs" dxfId="27834" priority="47475" operator="equal">
      <formula>"PTO"</formula>
    </cfRule>
  </conditionalFormatting>
  <conditionalFormatting sqref="K69:M70">
    <cfRule type="cellIs" dxfId="27833" priority="47472" operator="equal">
      <formula>"OFF"</formula>
    </cfRule>
    <cfRule type="cellIs" dxfId="27832" priority="47473" operator="equal">
      <formula>"PTO"</formula>
    </cfRule>
  </conditionalFormatting>
  <conditionalFormatting sqref="K69:M70">
    <cfRule type="cellIs" dxfId="27831" priority="47470" operator="equal">
      <formula>"OFF"</formula>
    </cfRule>
    <cfRule type="cellIs" dxfId="27830" priority="47471" operator="equal">
      <formula>"PTO"</formula>
    </cfRule>
  </conditionalFormatting>
  <conditionalFormatting sqref="K69:M70">
    <cfRule type="cellIs" dxfId="27829" priority="47468" operator="equal">
      <formula>"OFF"</formula>
    </cfRule>
    <cfRule type="cellIs" dxfId="27828" priority="47469" operator="equal">
      <formula>"PTO"</formula>
    </cfRule>
  </conditionalFormatting>
  <conditionalFormatting sqref="K69:M70">
    <cfRule type="cellIs" dxfId="27827" priority="47466" operator="equal">
      <formula>"OFF"</formula>
    </cfRule>
    <cfRule type="cellIs" dxfId="27826" priority="47467" operator="equal">
      <formula>"PTO"</formula>
    </cfRule>
  </conditionalFormatting>
  <conditionalFormatting sqref="K69:M70">
    <cfRule type="cellIs" dxfId="27825" priority="47464" operator="equal">
      <formula>"OFF"</formula>
    </cfRule>
    <cfRule type="cellIs" dxfId="27824" priority="47465" operator="equal">
      <formula>"PTO"</formula>
    </cfRule>
  </conditionalFormatting>
  <conditionalFormatting sqref="K69:M70">
    <cfRule type="cellIs" dxfId="27823" priority="47462" operator="equal">
      <formula>"OFF"</formula>
    </cfRule>
    <cfRule type="cellIs" dxfId="27822" priority="47463" operator="equal">
      <formula>"PTO"</formula>
    </cfRule>
  </conditionalFormatting>
  <conditionalFormatting sqref="K69:M70">
    <cfRule type="cellIs" dxfId="27821" priority="47460" operator="equal">
      <formula>"OFF"</formula>
    </cfRule>
    <cfRule type="cellIs" dxfId="27820" priority="47461" operator="equal">
      <formula>"PTO"</formula>
    </cfRule>
  </conditionalFormatting>
  <conditionalFormatting sqref="K69:M70">
    <cfRule type="cellIs" dxfId="27819" priority="47458" operator="equal">
      <formula>"OFF"</formula>
    </cfRule>
    <cfRule type="cellIs" dxfId="27818" priority="47459" operator="equal">
      <formula>"PTO"</formula>
    </cfRule>
  </conditionalFormatting>
  <conditionalFormatting sqref="K69:M70">
    <cfRule type="cellIs" dxfId="27817" priority="47456" operator="equal">
      <formula>"OFF"</formula>
    </cfRule>
    <cfRule type="cellIs" dxfId="27816" priority="47457" operator="equal">
      <formula>"PTO"</formula>
    </cfRule>
  </conditionalFormatting>
  <conditionalFormatting sqref="K69:M70">
    <cfRule type="cellIs" dxfId="27815" priority="47454" operator="equal">
      <formula>"OFF"</formula>
    </cfRule>
    <cfRule type="cellIs" dxfId="27814" priority="47455" operator="equal">
      <formula>"PTO"</formula>
    </cfRule>
  </conditionalFormatting>
  <conditionalFormatting sqref="K69:M70">
    <cfRule type="cellIs" dxfId="27813" priority="47452" operator="equal">
      <formula>"OFF"</formula>
    </cfRule>
    <cfRule type="cellIs" dxfId="27812" priority="47453" operator="equal">
      <formula>"PTO"</formula>
    </cfRule>
  </conditionalFormatting>
  <conditionalFormatting sqref="K69:M70">
    <cfRule type="cellIs" dxfId="27811" priority="47450" operator="equal">
      <formula>"OFF"</formula>
    </cfRule>
    <cfRule type="cellIs" dxfId="27810" priority="47451" operator="equal">
      <formula>"PTO"</formula>
    </cfRule>
  </conditionalFormatting>
  <conditionalFormatting sqref="K69:M70">
    <cfRule type="cellIs" dxfId="27809" priority="47448" operator="equal">
      <formula>"OFF"</formula>
    </cfRule>
    <cfRule type="cellIs" dxfId="27808" priority="47449" operator="equal">
      <formula>"PTO"</formula>
    </cfRule>
  </conditionalFormatting>
  <conditionalFormatting sqref="K69:M70">
    <cfRule type="cellIs" dxfId="27807" priority="47446" operator="equal">
      <formula>"OFF"</formula>
    </cfRule>
    <cfRule type="cellIs" dxfId="27806" priority="47447" operator="equal">
      <formula>"PTO"</formula>
    </cfRule>
  </conditionalFormatting>
  <conditionalFormatting sqref="K69:M70">
    <cfRule type="cellIs" dxfId="27805" priority="47444" operator="equal">
      <formula>"OFF"</formula>
    </cfRule>
    <cfRule type="cellIs" dxfId="27804" priority="47445" operator="equal">
      <formula>"PTO"</formula>
    </cfRule>
  </conditionalFormatting>
  <conditionalFormatting sqref="K69:M70">
    <cfRule type="cellIs" dxfId="27803" priority="47442" operator="equal">
      <formula>"OFF"</formula>
    </cfRule>
    <cfRule type="cellIs" dxfId="27802" priority="47443" operator="equal">
      <formula>"PTO"</formula>
    </cfRule>
  </conditionalFormatting>
  <conditionalFormatting sqref="K69:M70">
    <cfRule type="cellIs" dxfId="27801" priority="47440" operator="equal">
      <formula>"OFF"</formula>
    </cfRule>
    <cfRule type="cellIs" dxfId="27800" priority="47441" operator="equal">
      <formula>"PTO"</formula>
    </cfRule>
  </conditionalFormatting>
  <conditionalFormatting sqref="K69:M70">
    <cfRule type="cellIs" dxfId="27799" priority="47438" operator="equal">
      <formula>"OFF"</formula>
    </cfRule>
    <cfRule type="cellIs" dxfId="27798" priority="47439" operator="equal">
      <formula>"PTO"</formula>
    </cfRule>
  </conditionalFormatting>
  <conditionalFormatting sqref="K69:M70">
    <cfRule type="cellIs" dxfId="27797" priority="47436" operator="equal">
      <formula>"OFF"</formula>
    </cfRule>
    <cfRule type="cellIs" dxfId="27796" priority="47437" operator="equal">
      <formula>"PTO"</formula>
    </cfRule>
  </conditionalFormatting>
  <conditionalFormatting sqref="K69:M70">
    <cfRule type="cellIs" dxfId="27795" priority="47434" operator="equal">
      <formula>"OFF"</formula>
    </cfRule>
    <cfRule type="cellIs" dxfId="27794" priority="47435" operator="equal">
      <formula>"PTO"</formula>
    </cfRule>
  </conditionalFormatting>
  <conditionalFormatting sqref="K69:M70">
    <cfRule type="cellIs" dxfId="27793" priority="47432" operator="equal">
      <formula>"OFF"</formula>
    </cfRule>
    <cfRule type="cellIs" dxfId="27792" priority="47433" operator="equal">
      <formula>"PTO"</formula>
    </cfRule>
  </conditionalFormatting>
  <conditionalFormatting sqref="K69:M70">
    <cfRule type="cellIs" dxfId="27791" priority="47430" operator="equal">
      <formula>"OFF"</formula>
    </cfRule>
    <cfRule type="cellIs" dxfId="27790" priority="47431" operator="equal">
      <formula>"PTO"</formula>
    </cfRule>
  </conditionalFormatting>
  <conditionalFormatting sqref="K69:M70">
    <cfRule type="cellIs" dxfId="27789" priority="47428" operator="equal">
      <formula>"OFF"</formula>
    </cfRule>
    <cfRule type="cellIs" dxfId="27788" priority="47429" operator="equal">
      <formula>"PTO"</formula>
    </cfRule>
  </conditionalFormatting>
  <conditionalFormatting sqref="K69:M70">
    <cfRule type="cellIs" dxfId="27787" priority="47426" operator="equal">
      <formula>"OFF"</formula>
    </cfRule>
    <cfRule type="cellIs" dxfId="27786" priority="47427" operator="equal">
      <formula>"PTO"</formula>
    </cfRule>
  </conditionalFormatting>
  <conditionalFormatting sqref="K69:M70">
    <cfRule type="cellIs" dxfId="27785" priority="47424" operator="equal">
      <formula>"OFF"</formula>
    </cfRule>
    <cfRule type="cellIs" dxfId="27784" priority="47425" operator="equal">
      <formula>"PTO"</formula>
    </cfRule>
  </conditionalFormatting>
  <conditionalFormatting sqref="K69:M70">
    <cfRule type="cellIs" dxfId="27783" priority="47422" operator="equal">
      <formula>"OFF"</formula>
    </cfRule>
    <cfRule type="cellIs" dxfId="27782" priority="47423" operator="equal">
      <formula>"PTO"</formula>
    </cfRule>
  </conditionalFormatting>
  <conditionalFormatting sqref="K69:M70">
    <cfRule type="cellIs" dxfId="27781" priority="47420" operator="equal">
      <formula>"OFF"</formula>
    </cfRule>
    <cfRule type="cellIs" dxfId="27780" priority="47421" operator="equal">
      <formula>"PTO"</formula>
    </cfRule>
  </conditionalFormatting>
  <conditionalFormatting sqref="K69:M70">
    <cfRule type="cellIs" dxfId="27779" priority="47418" operator="equal">
      <formula>"OFF"</formula>
    </cfRule>
    <cfRule type="cellIs" dxfId="27778" priority="47419" operator="equal">
      <formula>"PTO"</formula>
    </cfRule>
  </conditionalFormatting>
  <conditionalFormatting sqref="V69:V70">
    <cfRule type="cellIs" dxfId="27777" priority="47416" operator="equal">
      <formula>"OFF"</formula>
    </cfRule>
    <cfRule type="cellIs" dxfId="27776" priority="47417" operator="equal">
      <formula>"PTO"</formula>
    </cfRule>
  </conditionalFormatting>
  <conditionalFormatting sqref="V69:V70">
    <cfRule type="cellIs" dxfId="27775" priority="47414" operator="equal">
      <formula>"OFF"</formula>
    </cfRule>
    <cfRule type="cellIs" dxfId="27774" priority="47415" operator="equal">
      <formula>"PTO"</formula>
    </cfRule>
  </conditionalFormatting>
  <conditionalFormatting sqref="V69:V70">
    <cfRule type="cellIs" dxfId="27773" priority="47412" operator="equal">
      <formula>"OFF"</formula>
    </cfRule>
    <cfRule type="cellIs" dxfId="27772" priority="47413" operator="equal">
      <formula>"PTO"</formula>
    </cfRule>
  </conditionalFormatting>
  <conditionalFormatting sqref="V69:V70">
    <cfRule type="cellIs" dxfId="27771" priority="47410" operator="equal">
      <formula>"OFF"</formula>
    </cfRule>
    <cfRule type="cellIs" dxfId="27770" priority="47411" operator="equal">
      <formula>"PTO"</formula>
    </cfRule>
  </conditionalFormatting>
  <conditionalFormatting sqref="V69:V70">
    <cfRule type="cellIs" dxfId="27769" priority="47408" operator="equal">
      <formula>"OFF"</formula>
    </cfRule>
    <cfRule type="cellIs" dxfId="27768" priority="47409" operator="equal">
      <formula>"PTO"</formula>
    </cfRule>
  </conditionalFormatting>
  <conditionalFormatting sqref="V69:V70">
    <cfRule type="cellIs" dxfId="27767" priority="47406" operator="equal">
      <formula>"OFF"</formula>
    </cfRule>
    <cfRule type="cellIs" dxfId="27766" priority="47407" operator="equal">
      <formula>"PTO"</formula>
    </cfRule>
  </conditionalFormatting>
  <conditionalFormatting sqref="V69:V70">
    <cfRule type="cellIs" dxfId="27765" priority="47404" operator="equal">
      <formula>"OFF"</formula>
    </cfRule>
    <cfRule type="cellIs" dxfId="27764" priority="47405" operator="equal">
      <formula>"PTO"</formula>
    </cfRule>
  </conditionalFormatting>
  <conditionalFormatting sqref="V69:V70">
    <cfRule type="cellIs" dxfId="27763" priority="47402" operator="equal">
      <formula>"OFF"</formula>
    </cfRule>
    <cfRule type="cellIs" dxfId="27762" priority="47403" operator="equal">
      <formula>"PTO"</formula>
    </cfRule>
  </conditionalFormatting>
  <conditionalFormatting sqref="V69:V70">
    <cfRule type="cellIs" dxfId="27761" priority="47400" operator="equal">
      <formula>"OFF"</formula>
    </cfRule>
    <cfRule type="cellIs" dxfId="27760" priority="47401" operator="equal">
      <formula>"PTO"</formula>
    </cfRule>
  </conditionalFormatting>
  <conditionalFormatting sqref="V69:V70">
    <cfRule type="cellIs" dxfId="27759" priority="47398" operator="equal">
      <formula>"OFF"</formula>
    </cfRule>
    <cfRule type="cellIs" dxfId="27758" priority="47399" operator="equal">
      <formula>"PTO"</formula>
    </cfRule>
  </conditionalFormatting>
  <conditionalFormatting sqref="V69:V70">
    <cfRule type="cellIs" dxfId="27757" priority="47396" operator="equal">
      <formula>"OFF"</formula>
    </cfRule>
    <cfRule type="cellIs" dxfId="27756" priority="47397" operator="equal">
      <formula>"PTO"</formula>
    </cfRule>
  </conditionalFormatting>
  <conditionalFormatting sqref="V69:V70">
    <cfRule type="cellIs" dxfId="27755" priority="47394" operator="equal">
      <formula>"OFF"</formula>
    </cfRule>
    <cfRule type="cellIs" dxfId="27754" priority="47395" operator="equal">
      <formula>"PTO"</formula>
    </cfRule>
  </conditionalFormatting>
  <conditionalFormatting sqref="V69:V70">
    <cfRule type="cellIs" dxfId="27753" priority="47392" operator="equal">
      <formula>"OFF"</formula>
    </cfRule>
    <cfRule type="cellIs" dxfId="27752" priority="47393" operator="equal">
      <formula>"PTO"</formula>
    </cfRule>
  </conditionalFormatting>
  <conditionalFormatting sqref="V69:V70">
    <cfRule type="cellIs" dxfId="27751" priority="47390" operator="equal">
      <formula>"OFF"</formula>
    </cfRule>
    <cfRule type="cellIs" dxfId="27750" priority="47391" operator="equal">
      <formula>"PTO"</formula>
    </cfRule>
  </conditionalFormatting>
  <conditionalFormatting sqref="V69:V70">
    <cfRule type="cellIs" dxfId="27749" priority="47388" operator="equal">
      <formula>"OFF"</formula>
    </cfRule>
    <cfRule type="cellIs" dxfId="27748" priority="47389" operator="equal">
      <formula>"PTO"</formula>
    </cfRule>
  </conditionalFormatting>
  <conditionalFormatting sqref="V69:V70">
    <cfRule type="cellIs" dxfId="27747" priority="47386" operator="equal">
      <formula>"OFF"</formula>
    </cfRule>
    <cfRule type="cellIs" dxfId="27746" priority="47387" operator="equal">
      <formula>"PTO"</formula>
    </cfRule>
  </conditionalFormatting>
  <conditionalFormatting sqref="V69:V70">
    <cfRule type="cellIs" dxfId="27745" priority="47384" operator="equal">
      <formula>"OFF"</formula>
    </cfRule>
    <cfRule type="cellIs" dxfId="27744" priority="47385" operator="equal">
      <formula>"PTO"</formula>
    </cfRule>
  </conditionalFormatting>
  <conditionalFormatting sqref="V69:V70">
    <cfRule type="cellIs" dxfId="27743" priority="47382" operator="equal">
      <formula>"OFF"</formula>
    </cfRule>
    <cfRule type="cellIs" dxfId="27742" priority="47383" operator="equal">
      <formula>"PTO"</formula>
    </cfRule>
  </conditionalFormatting>
  <conditionalFormatting sqref="V69:V70">
    <cfRule type="cellIs" dxfId="27741" priority="47380" operator="equal">
      <formula>"OFF"</formula>
    </cfRule>
    <cfRule type="cellIs" dxfId="27740" priority="47381" operator="equal">
      <formula>"PTO"</formula>
    </cfRule>
  </conditionalFormatting>
  <conditionalFormatting sqref="V69:V70">
    <cfRule type="cellIs" dxfId="27739" priority="47378" operator="equal">
      <formula>"OFF"</formula>
    </cfRule>
    <cfRule type="cellIs" dxfId="27738" priority="47379" operator="equal">
      <formula>"PTO"</formula>
    </cfRule>
  </conditionalFormatting>
  <conditionalFormatting sqref="V69:V70">
    <cfRule type="cellIs" dxfId="27737" priority="47376" operator="equal">
      <formula>"OFF"</formula>
    </cfRule>
    <cfRule type="cellIs" dxfId="27736" priority="47377" operator="equal">
      <formula>"PTO"</formula>
    </cfRule>
  </conditionalFormatting>
  <conditionalFormatting sqref="V69:V70">
    <cfRule type="cellIs" dxfId="27735" priority="47374" operator="equal">
      <formula>"OFF"</formula>
    </cfRule>
    <cfRule type="cellIs" dxfId="27734" priority="47375" operator="equal">
      <formula>"PTO"</formula>
    </cfRule>
  </conditionalFormatting>
  <conditionalFormatting sqref="V69:V70">
    <cfRule type="cellIs" dxfId="27733" priority="47372" operator="equal">
      <formula>"OFF"</formula>
    </cfRule>
    <cfRule type="cellIs" dxfId="27732" priority="47373" operator="equal">
      <formula>"PTO"</formula>
    </cfRule>
  </conditionalFormatting>
  <conditionalFormatting sqref="V69:V70">
    <cfRule type="cellIs" dxfId="27731" priority="47370" operator="equal">
      <formula>"OFF"</formula>
    </cfRule>
    <cfRule type="cellIs" dxfId="27730" priority="47371" operator="equal">
      <formula>"PTO"</formula>
    </cfRule>
  </conditionalFormatting>
  <conditionalFormatting sqref="V69:V70">
    <cfRule type="cellIs" dxfId="27729" priority="47368" operator="equal">
      <formula>"OFF"</formula>
    </cfRule>
    <cfRule type="cellIs" dxfId="27728" priority="47369" operator="equal">
      <formula>"PTO"</formula>
    </cfRule>
  </conditionalFormatting>
  <conditionalFormatting sqref="V69:V70">
    <cfRule type="cellIs" dxfId="27727" priority="47366" operator="equal">
      <formula>"OFF"</formula>
    </cfRule>
    <cfRule type="cellIs" dxfId="27726" priority="47367" operator="equal">
      <formula>"PTO"</formula>
    </cfRule>
  </conditionalFormatting>
  <conditionalFormatting sqref="V69:V70">
    <cfRule type="cellIs" dxfId="27725" priority="47364" operator="equal">
      <formula>"OFF"</formula>
    </cfRule>
    <cfRule type="cellIs" dxfId="27724" priority="47365" operator="equal">
      <formula>"PTO"</formula>
    </cfRule>
  </conditionalFormatting>
  <conditionalFormatting sqref="V69:V70">
    <cfRule type="cellIs" dxfId="27723" priority="47362" operator="equal">
      <formula>"OFF"</formula>
    </cfRule>
    <cfRule type="cellIs" dxfId="27722" priority="47363" operator="equal">
      <formula>"PTO"</formula>
    </cfRule>
  </conditionalFormatting>
  <conditionalFormatting sqref="V69:V70">
    <cfRule type="cellIs" dxfId="27721" priority="47360" operator="equal">
      <formula>"OFF"</formula>
    </cfRule>
    <cfRule type="cellIs" dxfId="27720" priority="47361" operator="equal">
      <formula>"PTO"</formula>
    </cfRule>
  </conditionalFormatting>
  <conditionalFormatting sqref="V69:V70">
    <cfRule type="cellIs" dxfId="27719" priority="47358" operator="equal">
      <formula>"OFF"</formula>
    </cfRule>
    <cfRule type="cellIs" dxfId="27718" priority="47359" operator="equal">
      <formula>"PTO"</formula>
    </cfRule>
  </conditionalFormatting>
  <conditionalFormatting sqref="V69:V70">
    <cfRule type="cellIs" dxfId="27717" priority="47356" operator="equal">
      <formula>"OFF"</formula>
    </cfRule>
    <cfRule type="cellIs" dxfId="27716" priority="47357" operator="equal">
      <formula>"PTO"</formula>
    </cfRule>
  </conditionalFormatting>
  <conditionalFormatting sqref="V69:V70">
    <cfRule type="cellIs" dxfId="27715" priority="47354" operator="equal">
      <formula>"OFF"</formula>
    </cfRule>
    <cfRule type="cellIs" dxfId="27714" priority="47355" operator="equal">
      <formula>"PTO"</formula>
    </cfRule>
  </conditionalFormatting>
  <conditionalFormatting sqref="V69:V70">
    <cfRule type="cellIs" dxfId="27713" priority="47352" operator="equal">
      <formula>"OFF"</formula>
    </cfRule>
    <cfRule type="cellIs" dxfId="27712" priority="47353" operator="equal">
      <formula>"PTO"</formula>
    </cfRule>
  </conditionalFormatting>
  <conditionalFormatting sqref="V69:V70">
    <cfRule type="cellIs" dxfId="27711" priority="47350" operator="equal">
      <formula>"OFF"</formula>
    </cfRule>
    <cfRule type="cellIs" dxfId="27710" priority="47351" operator="equal">
      <formula>"PTO"</formula>
    </cfRule>
  </conditionalFormatting>
  <conditionalFormatting sqref="V69:V70">
    <cfRule type="cellIs" dxfId="27709" priority="47348" operator="equal">
      <formula>"OFF"</formula>
    </cfRule>
    <cfRule type="cellIs" dxfId="27708" priority="47349" operator="equal">
      <formula>"PTO"</formula>
    </cfRule>
  </conditionalFormatting>
  <conditionalFormatting sqref="V69:V70">
    <cfRule type="cellIs" dxfId="27707" priority="47346" operator="equal">
      <formula>"OFF"</formula>
    </cfRule>
    <cfRule type="cellIs" dxfId="27706" priority="47347" operator="equal">
      <formula>"PTO"</formula>
    </cfRule>
  </conditionalFormatting>
  <conditionalFormatting sqref="V69:V70">
    <cfRule type="cellIs" dxfId="27705" priority="47344" operator="equal">
      <formula>"OFF"</formula>
    </cfRule>
    <cfRule type="cellIs" dxfId="27704" priority="47345" operator="equal">
      <formula>"PTO"</formula>
    </cfRule>
  </conditionalFormatting>
  <conditionalFormatting sqref="V69:V70">
    <cfRule type="cellIs" dxfId="27703" priority="47342" operator="equal">
      <formula>"OFF"</formula>
    </cfRule>
    <cfRule type="cellIs" dxfId="27702" priority="47343" operator="equal">
      <formula>"PTO"</formula>
    </cfRule>
  </conditionalFormatting>
  <conditionalFormatting sqref="V69:V70">
    <cfRule type="cellIs" dxfId="27701" priority="47340" operator="equal">
      <formula>"OFF"</formula>
    </cfRule>
    <cfRule type="cellIs" dxfId="27700" priority="47341" operator="equal">
      <formula>"PTO"</formula>
    </cfRule>
  </conditionalFormatting>
  <conditionalFormatting sqref="V69:V70">
    <cfRule type="cellIs" dxfId="27699" priority="47338" operator="equal">
      <formula>"OFF"</formula>
    </cfRule>
    <cfRule type="cellIs" dxfId="27698" priority="47339" operator="equal">
      <formula>"PTO"</formula>
    </cfRule>
  </conditionalFormatting>
  <conditionalFormatting sqref="V69:V70">
    <cfRule type="cellIs" dxfId="27697" priority="47336" operator="equal">
      <formula>"OFF"</formula>
    </cfRule>
    <cfRule type="cellIs" dxfId="27696" priority="47337" operator="equal">
      <formula>"PTO"</formula>
    </cfRule>
  </conditionalFormatting>
  <conditionalFormatting sqref="V69:V70">
    <cfRule type="cellIs" dxfId="27695" priority="47334" operator="equal">
      <formula>"OFF"</formula>
    </cfRule>
    <cfRule type="cellIs" dxfId="27694" priority="47335" operator="equal">
      <formula>"PTO"</formula>
    </cfRule>
  </conditionalFormatting>
  <conditionalFormatting sqref="V69:V70">
    <cfRule type="cellIs" dxfId="27693" priority="47332" operator="equal">
      <formula>"OFF"</formula>
    </cfRule>
    <cfRule type="cellIs" dxfId="27692" priority="47333" operator="equal">
      <formula>"PTO"</formula>
    </cfRule>
  </conditionalFormatting>
  <conditionalFormatting sqref="V69:V70">
    <cfRule type="cellIs" dxfId="27691" priority="47330" operator="equal">
      <formula>"OFF"</formula>
    </cfRule>
    <cfRule type="cellIs" dxfId="27690" priority="47331" operator="equal">
      <formula>"PTO"</formula>
    </cfRule>
  </conditionalFormatting>
  <conditionalFormatting sqref="V69:V70">
    <cfRule type="cellIs" dxfId="27689" priority="47328" operator="equal">
      <formula>"OFF"</formula>
    </cfRule>
    <cfRule type="cellIs" dxfId="27688" priority="47329" operator="equal">
      <formula>"PTO"</formula>
    </cfRule>
  </conditionalFormatting>
  <conditionalFormatting sqref="V69:V70">
    <cfRule type="cellIs" dxfId="27687" priority="47326" operator="equal">
      <formula>"OFF"</formula>
    </cfRule>
    <cfRule type="cellIs" dxfId="27686" priority="47327" operator="equal">
      <formula>"PTO"</formula>
    </cfRule>
  </conditionalFormatting>
  <conditionalFormatting sqref="V69:V70">
    <cfRule type="cellIs" dxfId="27685" priority="47324" operator="equal">
      <formula>"OFF"</formula>
    </cfRule>
    <cfRule type="cellIs" dxfId="27684" priority="47325" operator="equal">
      <formula>"PTO"</formula>
    </cfRule>
  </conditionalFormatting>
  <conditionalFormatting sqref="V69:V70">
    <cfRule type="cellIs" dxfId="27683" priority="47322" operator="equal">
      <formula>"OFF"</formula>
    </cfRule>
    <cfRule type="cellIs" dxfId="27682" priority="47323" operator="equal">
      <formula>"PTO"</formula>
    </cfRule>
  </conditionalFormatting>
  <conditionalFormatting sqref="V69:V70">
    <cfRule type="cellIs" dxfId="27681" priority="47320" operator="equal">
      <formula>"OFF"</formula>
    </cfRule>
    <cfRule type="cellIs" dxfId="27680" priority="47321" operator="equal">
      <formula>"PTO"</formula>
    </cfRule>
  </conditionalFormatting>
  <conditionalFormatting sqref="V69:V70">
    <cfRule type="cellIs" dxfId="27679" priority="47318" operator="equal">
      <formula>"OFF"</formula>
    </cfRule>
    <cfRule type="cellIs" dxfId="27678" priority="47319" operator="equal">
      <formula>"PTO"</formula>
    </cfRule>
  </conditionalFormatting>
  <conditionalFormatting sqref="V69:V70">
    <cfRule type="cellIs" dxfId="27677" priority="47316" operator="equal">
      <formula>"OFF"</formula>
    </cfRule>
    <cfRule type="cellIs" dxfId="27676" priority="47317" operator="equal">
      <formula>"PTO"</formula>
    </cfRule>
  </conditionalFormatting>
  <conditionalFormatting sqref="V69:V70">
    <cfRule type="cellIs" dxfId="27675" priority="47314" operator="equal">
      <formula>"OFF"</formula>
    </cfRule>
    <cfRule type="cellIs" dxfId="27674" priority="47315" operator="equal">
      <formula>"PTO"</formula>
    </cfRule>
  </conditionalFormatting>
  <conditionalFormatting sqref="V69:V70">
    <cfRule type="cellIs" dxfId="27673" priority="47312" operator="equal">
      <formula>"OFF"</formula>
    </cfRule>
    <cfRule type="cellIs" dxfId="27672" priority="47313" operator="equal">
      <formula>"PTO"</formula>
    </cfRule>
  </conditionalFormatting>
  <conditionalFormatting sqref="V69:V70">
    <cfRule type="cellIs" dxfId="27671" priority="47310" operator="equal">
      <formula>"OFF"</formula>
    </cfRule>
    <cfRule type="cellIs" dxfId="27670" priority="47311" operator="equal">
      <formula>"PTO"</formula>
    </cfRule>
  </conditionalFormatting>
  <conditionalFormatting sqref="V69:V70">
    <cfRule type="cellIs" dxfId="27669" priority="47308" operator="equal">
      <formula>"OFF"</formula>
    </cfRule>
    <cfRule type="cellIs" dxfId="27668" priority="47309" operator="equal">
      <formula>"PTO"</formula>
    </cfRule>
  </conditionalFormatting>
  <conditionalFormatting sqref="V69:V70">
    <cfRule type="cellIs" dxfId="27667" priority="47306" operator="equal">
      <formula>"OFF"</formula>
    </cfRule>
    <cfRule type="cellIs" dxfId="27666" priority="47307" operator="equal">
      <formula>"PTO"</formula>
    </cfRule>
  </conditionalFormatting>
  <conditionalFormatting sqref="V69:V70">
    <cfRule type="cellIs" dxfId="27665" priority="47304" operator="equal">
      <formula>"OFF"</formula>
    </cfRule>
    <cfRule type="cellIs" dxfId="27664" priority="47305" operator="equal">
      <formula>"PTO"</formula>
    </cfRule>
  </conditionalFormatting>
  <conditionalFormatting sqref="V69:V70">
    <cfRule type="cellIs" dxfId="27663" priority="47302" operator="equal">
      <formula>"OFF"</formula>
    </cfRule>
    <cfRule type="cellIs" dxfId="27662" priority="47303" operator="equal">
      <formula>"PTO"</formula>
    </cfRule>
  </conditionalFormatting>
  <conditionalFormatting sqref="V69:V70">
    <cfRule type="cellIs" dxfId="27661" priority="47300" operator="equal">
      <formula>"OFF"</formula>
    </cfRule>
    <cfRule type="cellIs" dxfId="27660" priority="47301" operator="equal">
      <formula>"PTO"</formula>
    </cfRule>
  </conditionalFormatting>
  <conditionalFormatting sqref="V69:V70">
    <cfRule type="cellIs" dxfId="27659" priority="47298" operator="equal">
      <formula>"OFF"</formula>
    </cfRule>
    <cfRule type="cellIs" dxfId="27658" priority="47299" operator="equal">
      <formula>"PTO"</formula>
    </cfRule>
  </conditionalFormatting>
  <conditionalFormatting sqref="V69:V70">
    <cfRule type="cellIs" dxfId="27657" priority="47296" operator="equal">
      <formula>"OFF"</formula>
    </cfRule>
    <cfRule type="cellIs" dxfId="27656" priority="47297" operator="equal">
      <formula>"PTO"</formula>
    </cfRule>
  </conditionalFormatting>
  <conditionalFormatting sqref="V69:V70">
    <cfRule type="cellIs" dxfId="27655" priority="47294" operator="equal">
      <formula>"OFF"</formula>
    </cfRule>
    <cfRule type="cellIs" dxfId="27654" priority="47295" operator="equal">
      <formula>"PTO"</formula>
    </cfRule>
  </conditionalFormatting>
  <conditionalFormatting sqref="V69:V70">
    <cfRule type="cellIs" dxfId="27653" priority="47292" operator="equal">
      <formula>"OFF"</formula>
    </cfRule>
    <cfRule type="cellIs" dxfId="27652" priority="47293" operator="equal">
      <formula>"PTO"</formula>
    </cfRule>
  </conditionalFormatting>
  <conditionalFormatting sqref="V69:V70">
    <cfRule type="cellIs" dxfId="27651" priority="47290" operator="equal">
      <formula>"OFF"</formula>
    </cfRule>
    <cfRule type="cellIs" dxfId="27650" priority="47291" operator="equal">
      <formula>"PTO"</formula>
    </cfRule>
  </conditionalFormatting>
  <conditionalFormatting sqref="V69:V70">
    <cfRule type="cellIs" dxfId="27649" priority="47288" operator="equal">
      <formula>"OFF"</formula>
    </cfRule>
    <cfRule type="cellIs" dxfId="27648" priority="47289" operator="equal">
      <formula>"PTO"</formula>
    </cfRule>
  </conditionalFormatting>
  <conditionalFormatting sqref="V69:V70">
    <cfRule type="cellIs" dxfId="27647" priority="47286" operator="equal">
      <formula>"OFF"</formula>
    </cfRule>
    <cfRule type="cellIs" dxfId="27646" priority="47287" operator="equal">
      <formula>"PTO"</formula>
    </cfRule>
  </conditionalFormatting>
  <conditionalFormatting sqref="V69:V70">
    <cfRule type="cellIs" dxfId="27645" priority="47284" operator="equal">
      <formula>"OFF"</formula>
    </cfRule>
    <cfRule type="cellIs" dxfId="27644" priority="47285" operator="equal">
      <formula>"PTO"</formula>
    </cfRule>
  </conditionalFormatting>
  <conditionalFormatting sqref="V69:V70">
    <cfRule type="cellIs" dxfId="27643" priority="47282" operator="equal">
      <formula>"OFF"</formula>
    </cfRule>
    <cfRule type="cellIs" dxfId="27642" priority="47283" operator="equal">
      <formula>"PTO"</formula>
    </cfRule>
  </conditionalFormatting>
  <conditionalFormatting sqref="V69:V70">
    <cfRule type="cellIs" dxfId="27641" priority="47280" operator="equal">
      <formula>"OFF"</formula>
    </cfRule>
    <cfRule type="cellIs" dxfId="27640" priority="47281" operator="equal">
      <formula>"PTO"</formula>
    </cfRule>
  </conditionalFormatting>
  <conditionalFormatting sqref="V69:V70">
    <cfRule type="cellIs" dxfId="27639" priority="47278" operator="equal">
      <formula>"OFF"</formula>
    </cfRule>
    <cfRule type="cellIs" dxfId="27638" priority="47279" operator="equal">
      <formula>"PTO"</formula>
    </cfRule>
  </conditionalFormatting>
  <conditionalFormatting sqref="V69:V70">
    <cfRule type="cellIs" dxfId="27637" priority="47276" operator="equal">
      <formula>"OFF"</formula>
    </cfRule>
    <cfRule type="cellIs" dxfId="27636" priority="47277" operator="equal">
      <formula>"PTO"</formula>
    </cfRule>
  </conditionalFormatting>
  <conditionalFormatting sqref="V69:V70">
    <cfRule type="cellIs" dxfId="27635" priority="47274" operator="equal">
      <formula>"OFF"</formula>
    </cfRule>
    <cfRule type="cellIs" dxfId="27634" priority="47275" operator="equal">
      <formula>"PTO"</formula>
    </cfRule>
  </conditionalFormatting>
  <conditionalFormatting sqref="V69:V70">
    <cfRule type="cellIs" dxfId="27633" priority="47272" operator="equal">
      <formula>"OFF"</formula>
    </cfRule>
    <cfRule type="cellIs" dxfId="27632" priority="47273" operator="equal">
      <formula>"PTO"</formula>
    </cfRule>
  </conditionalFormatting>
  <conditionalFormatting sqref="V69:V70">
    <cfRule type="cellIs" dxfId="27631" priority="47270" operator="equal">
      <formula>"OFF"</formula>
    </cfRule>
    <cfRule type="cellIs" dxfId="27630" priority="47271" operator="equal">
      <formula>"PTO"</formula>
    </cfRule>
  </conditionalFormatting>
  <conditionalFormatting sqref="V69:V70">
    <cfRule type="cellIs" dxfId="27629" priority="47268" operator="equal">
      <formula>"OFF"</formula>
    </cfRule>
    <cfRule type="cellIs" dxfId="27628" priority="47269" operator="equal">
      <formula>"PTO"</formula>
    </cfRule>
  </conditionalFormatting>
  <conditionalFormatting sqref="V69:V70">
    <cfRule type="cellIs" dxfId="27627" priority="47266" operator="equal">
      <formula>"OFF"</formula>
    </cfRule>
    <cfRule type="cellIs" dxfId="27626" priority="47267" operator="equal">
      <formula>"PTO"</formula>
    </cfRule>
  </conditionalFormatting>
  <conditionalFormatting sqref="V69:V70">
    <cfRule type="cellIs" dxfId="27625" priority="47264" operator="equal">
      <formula>"OFF"</formula>
    </cfRule>
    <cfRule type="cellIs" dxfId="27624" priority="47265" operator="equal">
      <formula>"PTO"</formula>
    </cfRule>
  </conditionalFormatting>
  <conditionalFormatting sqref="V69:V70">
    <cfRule type="cellIs" dxfId="27623" priority="47262" operator="equal">
      <formula>"OFF"</formula>
    </cfRule>
    <cfRule type="cellIs" dxfId="27622" priority="47263" operator="equal">
      <formula>"PTO"</formula>
    </cfRule>
  </conditionalFormatting>
  <conditionalFormatting sqref="V69:V70">
    <cfRule type="cellIs" dxfId="27621" priority="47260" operator="equal">
      <formula>"OFF"</formula>
    </cfRule>
    <cfRule type="cellIs" dxfId="27620" priority="47261" operator="equal">
      <formula>"PTO"</formula>
    </cfRule>
  </conditionalFormatting>
  <conditionalFormatting sqref="V69:V70">
    <cfRule type="cellIs" dxfId="27619" priority="47258" operator="equal">
      <formula>"OFF"</formula>
    </cfRule>
    <cfRule type="cellIs" dxfId="27618" priority="47259" operator="equal">
      <formula>"PTO"</formula>
    </cfRule>
  </conditionalFormatting>
  <conditionalFormatting sqref="V69:V70">
    <cfRule type="cellIs" dxfId="27617" priority="47256" operator="equal">
      <formula>"OFF"</formula>
    </cfRule>
    <cfRule type="cellIs" dxfId="27616" priority="47257" operator="equal">
      <formula>"PTO"</formula>
    </cfRule>
  </conditionalFormatting>
  <conditionalFormatting sqref="V69:V70">
    <cfRule type="cellIs" dxfId="27615" priority="47254" operator="equal">
      <formula>"OFF"</formula>
    </cfRule>
    <cfRule type="cellIs" dxfId="27614" priority="47255" operator="equal">
      <formula>"PTO"</formula>
    </cfRule>
  </conditionalFormatting>
  <conditionalFormatting sqref="V69:V70">
    <cfRule type="cellIs" dxfId="27613" priority="47252" operator="equal">
      <formula>"OFF"</formula>
    </cfRule>
    <cfRule type="cellIs" dxfId="27612" priority="47253" operator="equal">
      <formula>"PTO"</formula>
    </cfRule>
  </conditionalFormatting>
  <conditionalFormatting sqref="V69:V70">
    <cfRule type="cellIs" dxfId="27611" priority="47250" operator="equal">
      <formula>"OFF"</formula>
    </cfRule>
    <cfRule type="cellIs" dxfId="27610" priority="47251" operator="equal">
      <formula>"PTO"</formula>
    </cfRule>
  </conditionalFormatting>
  <conditionalFormatting sqref="V69:V70">
    <cfRule type="cellIs" dxfId="27609" priority="47248" operator="equal">
      <formula>"OFF"</formula>
    </cfRule>
    <cfRule type="cellIs" dxfId="27608" priority="47249" operator="equal">
      <formula>"PTO"</formula>
    </cfRule>
  </conditionalFormatting>
  <conditionalFormatting sqref="V69:V70">
    <cfRule type="cellIs" dxfId="27607" priority="47246" operator="equal">
      <formula>"OFF"</formula>
    </cfRule>
    <cfRule type="cellIs" dxfId="27606" priority="47247" operator="equal">
      <formula>"PTO"</formula>
    </cfRule>
  </conditionalFormatting>
  <conditionalFormatting sqref="V69:V70">
    <cfRule type="cellIs" dxfId="27605" priority="47244" operator="equal">
      <formula>"OFF"</formula>
    </cfRule>
    <cfRule type="cellIs" dxfId="27604" priority="47245" operator="equal">
      <formula>"PTO"</formula>
    </cfRule>
  </conditionalFormatting>
  <conditionalFormatting sqref="V69:V70">
    <cfRule type="cellIs" dxfId="27603" priority="47242" operator="equal">
      <formula>"OFF"</formula>
    </cfRule>
    <cfRule type="cellIs" dxfId="27602" priority="47243" operator="equal">
      <formula>"PTO"</formula>
    </cfRule>
  </conditionalFormatting>
  <conditionalFormatting sqref="V69:V70">
    <cfRule type="cellIs" dxfId="27601" priority="47240" operator="equal">
      <formula>"OFF"</formula>
    </cfRule>
    <cfRule type="cellIs" dxfId="27600" priority="47241" operator="equal">
      <formula>"PTO"</formula>
    </cfRule>
  </conditionalFormatting>
  <conditionalFormatting sqref="V69:V70">
    <cfRule type="cellIs" dxfId="27599" priority="47238" operator="equal">
      <formula>"OFF"</formula>
    </cfRule>
    <cfRule type="cellIs" dxfId="27598" priority="47239" operator="equal">
      <formula>"PTO"</formula>
    </cfRule>
  </conditionalFormatting>
  <conditionalFormatting sqref="V69:V70">
    <cfRule type="cellIs" dxfId="27597" priority="47236" operator="equal">
      <formula>"OFF"</formula>
    </cfRule>
    <cfRule type="cellIs" dxfId="27596" priority="47237" operator="equal">
      <formula>"PTO"</formula>
    </cfRule>
  </conditionalFormatting>
  <conditionalFormatting sqref="V69:V70">
    <cfRule type="cellIs" dxfId="27595" priority="47234" operator="equal">
      <formula>"OFF"</formula>
    </cfRule>
    <cfRule type="cellIs" dxfId="27594" priority="47235" operator="equal">
      <formula>"PTO"</formula>
    </cfRule>
  </conditionalFormatting>
  <conditionalFormatting sqref="V69:V70">
    <cfRule type="cellIs" dxfId="27593" priority="47232" operator="equal">
      <formula>"OFF"</formula>
    </cfRule>
    <cfRule type="cellIs" dxfId="27592" priority="47233" operator="equal">
      <formula>"PTO"</formula>
    </cfRule>
  </conditionalFormatting>
  <conditionalFormatting sqref="V69:V70">
    <cfRule type="cellIs" dxfId="27591" priority="47230" operator="equal">
      <formula>"OFF"</formula>
    </cfRule>
    <cfRule type="cellIs" dxfId="27590" priority="47231" operator="equal">
      <formula>"PTO"</formula>
    </cfRule>
  </conditionalFormatting>
  <conditionalFormatting sqref="V69:V70">
    <cfRule type="cellIs" dxfId="27589" priority="47228" operator="equal">
      <formula>"OFF"</formula>
    </cfRule>
    <cfRule type="cellIs" dxfId="27588" priority="47229" operator="equal">
      <formula>"PTO"</formula>
    </cfRule>
  </conditionalFormatting>
  <conditionalFormatting sqref="V69:V70">
    <cfRule type="cellIs" dxfId="27587" priority="47226" operator="equal">
      <formula>"OFF"</formula>
    </cfRule>
    <cfRule type="cellIs" dxfId="27586" priority="47227" operator="equal">
      <formula>"PTO"</formula>
    </cfRule>
  </conditionalFormatting>
  <conditionalFormatting sqref="V69:V70">
    <cfRule type="cellIs" dxfId="27585" priority="47224" operator="equal">
      <formula>"OFF"</formula>
    </cfRule>
    <cfRule type="cellIs" dxfId="27584" priority="47225" operator="equal">
      <formula>"PTO"</formula>
    </cfRule>
  </conditionalFormatting>
  <conditionalFormatting sqref="V69:V70">
    <cfRule type="cellIs" dxfId="27583" priority="47222" operator="equal">
      <formula>"OFF"</formula>
    </cfRule>
    <cfRule type="cellIs" dxfId="27582" priority="47223" operator="equal">
      <formula>"PTO"</formula>
    </cfRule>
  </conditionalFormatting>
  <conditionalFormatting sqref="V69:V70">
    <cfRule type="cellIs" dxfId="27581" priority="47220" operator="equal">
      <formula>"OFF"</formula>
    </cfRule>
    <cfRule type="cellIs" dxfId="27580" priority="47221" operator="equal">
      <formula>"PTO"</formula>
    </cfRule>
  </conditionalFormatting>
  <conditionalFormatting sqref="V69:V70">
    <cfRule type="cellIs" dxfId="27579" priority="47218" operator="equal">
      <formula>"OFF"</formula>
    </cfRule>
    <cfRule type="cellIs" dxfId="27578" priority="47219" operator="equal">
      <formula>"PTO"</formula>
    </cfRule>
  </conditionalFormatting>
  <conditionalFormatting sqref="V69:V70">
    <cfRule type="cellIs" dxfId="27577" priority="47216" operator="equal">
      <formula>"OFF"</formula>
    </cfRule>
    <cfRule type="cellIs" dxfId="27576" priority="47217" operator="equal">
      <formula>"PTO"</formula>
    </cfRule>
  </conditionalFormatting>
  <conditionalFormatting sqref="V69:V70">
    <cfRule type="cellIs" dxfId="27575" priority="47214" operator="equal">
      <formula>"OFF"</formula>
    </cfRule>
    <cfRule type="cellIs" dxfId="27574" priority="47215" operator="equal">
      <formula>"PTO"</formula>
    </cfRule>
  </conditionalFormatting>
  <conditionalFormatting sqref="V69:V70">
    <cfRule type="cellIs" dxfId="27573" priority="47212" operator="equal">
      <formula>"OFF"</formula>
    </cfRule>
    <cfRule type="cellIs" dxfId="27572" priority="47213" operator="equal">
      <formula>"PTO"</formula>
    </cfRule>
  </conditionalFormatting>
  <conditionalFormatting sqref="V69:V70">
    <cfRule type="cellIs" dxfId="27571" priority="47210" operator="equal">
      <formula>"OFF"</formula>
    </cfRule>
    <cfRule type="cellIs" dxfId="27570" priority="47211" operator="equal">
      <formula>"PTO"</formula>
    </cfRule>
  </conditionalFormatting>
  <conditionalFormatting sqref="R69:T70">
    <cfRule type="cellIs" dxfId="27569" priority="47208" operator="equal">
      <formula>"OFF"</formula>
    </cfRule>
    <cfRule type="cellIs" dxfId="27568" priority="47209" operator="equal">
      <formula>"PTO"</formula>
    </cfRule>
  </conditionalFormatting>
  <conditionalFormatting sqref="R69:T70">
    <cfRule type="cellIs" dxfId="27567" priority="47206" operator="equal">
      <formula>"OFF"</formula>
    </cfRule>
    <cfRule type="cellIs" dxfId="27566" priority="47207" operator="equal">
      <formula>"PTO"</formula>
    </cfRule>
  </conditionalFormatting>
  <conditionalFormatting sqref="R69:T70">
    <cfRule type="cellIs" dxfId="27565" priority="47204" operator="equal">
      <formula>"OFF"</formula>
    </cfRule>
    <cfRule type="cellIs" dxfId="27564" priority="47205" operator="equal">
      <formula>"PTO"</formula>
    </cfRule>
  </conditionalFormatting>
  <conditionalFormatting sqref="R69:T70">
    <cfRule type="cellIs" dxfId="27563" priority="47202" operator="equal">
      <formula>"OFF"</formula>
    </cfRule>
    <cfRule type="cellIs" dxfId="27562" priority="47203" operator="equal">
      <formula>"PTO"</formula>
    </cfRule>
  </conditionalFormatting>
  <conditionalFormatting sqref="R69:T70">
    <cfRule type="cellIs" dxfId="27561" priority="47200" operator="equal">
      <formula>"OFF"</formula>
    </cfRule>
    <cfRule type="cellIs" dxfId="27560" priority="47201" operator="equal">
      <formula>"PTO"</formula>
    </cfRule>
  </conditionalFormatting>
  <conditionalFormatting sqref="R69:T70">
    <cfRule type="cellIs" dxfId="27559" priority="47198" operator="equal">
      <formula>"OFF"</formula>
    </cfRule>
    <cfRule type="cellIs" dxfId="27558" priority="47199" operator="equal">
      <formula>"PTO"</formula>
    </cfRule>
  </conditionalFormatting>
  <conditionalFormatting sqref="R69:T70">
    <cfRule type="cellIs" dxfId="27557" priority="47196" operator="equal">
      <formula>"OFF"</formula>
    </cfRule>
    <cfRule type="cellIs" dxfId="27556" priority="47197" operator="equal">
      <formula>"PTO"</formula>
    </cfRule>
  </conditionalFormatting>
  <conditionalFormatting sqref="R69:T70">
    <cfRule type="cellIs" dxfId="27555" priority="47194" operator="equal">
      <formula>"OFF"</formula>
    </cfRule>
    <cfRule type="cellIs" dxfId="27554" priority="47195" operator="equal">
      <formula>"PTO"</formula>
    </cfRule>
  </conditionalFormatting>
  <conditionalFormatting sqref="R69:T70">
    <cfRule type="cellIs" dxfId="27553" priority="47192" operator="equal">
      <formula>"OFF"</formula>
    </cfRule>
    <cfRule type="cellIs" dxfId="27552" priority="47193" operator="equal">
      <formula>"PTO"</formula>
    </cfRule>
  </conditionalFormatting>
  <conditionalFormatting sqref="R69:T70">
    <cfRule type="cellIs" dxfId="27551" priority="47190" operator="equal">
      <formula>"OFF"</formula>
    </cfRule>
    <cfRule type="cellIs" dxfId="27550" priority="47191" operator="equal">
      <formula>"PTO"</formula>
    </cfRule>
  </conditionalFormatting>
  <conditionalFormatting sqref="R69:T70">
    <cfRule type="cellIs" dxfId="27549" priority="47188" operator="equal">
      <formula>"OFF"</formula>
    </cfRule>
    <cfRule type="cellIs" dxfId="27548" priority="47189" operator="equal">
      <formula>"PTO"</formula>
    </cfRule>
  </conditionalFormatting>
  <conditionalFormatting sqref="R69:T70">
    <cfRule type="cellIs" dxfId="27547" priority="47186" operator="equal">
      <formula>"OFF"</formula>
    </cfRule>
    <cfRule type="cellIs" dxfId="27546" priority="47187" operator="equal">
      <formula>"PTO"</formula>
    </cfRule>
  </conditionalFormatting>
  <conditionalFormatting sqref="R69:T70">
    <cfRule type="cellIs" dxfId="27545" priority="47184" operator="equal">
      <formula>"OFF"</formula>
    </cfRule>
    <cfRule type="cellIs" dxfId="27544" priority="47185" operator="equal">
      <formula>"PTO"</formula>
    </cfRule>
  </conditionalFormatting>
  <conditionalFormatting sqref="R69:T70">
    <cfRule type="cellIs" dxfId="27543" priority="47182" operator="equal">
      <formula>"OFF"</formula>
    </cfRule>
    <cfRule type="cellIs" dxfId="27542" priority="47183" operator="equal">
      <formula>"PTO"</formula>
    </cfRule>
  </conditionalFormatting>
  <conditionalFormatting sqref="R69:T70">
    <cfRule type="cellIs" dxfId="27541" priority="47180" operator="equal">
      <formula>"OFF"</formula>
    </cfRule>
    <cfRule type="cellIs" dxfId="27540" priority="47181" operator="equal">
      <formula>"PTO"</formula>
    </cfRule>
  </conditionalFormatting>
  <conditionalFormatting sqref="R69:T70">
    <cfRule type="cellIs" dxfId="27539" priority="47178" operator="equal">
      <formula>"OFF"</formula>
    </cfRule>
    <cfRule type="cellIs" dxfId="27538" priority="47179" operator="equal">
      <formula>"PTO"</formula>
    </cfRule>
  </conditionalFormatting>
  <conditionalFormatting sqref="R69:T70">
    <cfRule type="cellIs" dxfId="27537" priority="47176" operator="equal">
      <formula>"OFF"</formula>
    </cfRule>
    <cfRule type="cellIs" dxfId="27536" priority="47177" operator="equal">
      <formula>"PTO"</formula>
    </cfRule>
  </conditionalFormatting>
  <conditionalFormatting sqref="R69:T70">
    <cfRule type="cellIs" dxfId="27535" priority="47174" operator="equal">
      <formula>"OFF"</formula>
    </cfRule>
    <cfRule type="cellIs" dxfId="27534" priority="47175" operator="equal">
      <formula>"PTO"</formula>
    </cfRule>
  </conditionalFormatting>
  <conditionalFormatting sqref="R69:T70">
    <cfRule type="cellIs" dxfId="27533" priority="47172" operator="equal">
      <formula>"OFF"</formula>
    </cfRule>
    <cfRule type="cellIs" dxfId="27532" priority="47173" operator="equal">
      <formula>"PTO"</formula>
    </cfRule>
  </conditionalFormatting>
  <conditionalFormatting sqref="R69:T70">
    <cfRule type="cellIs" dxfId="27531" priority="47170" operator="equal">
      <formula>"OFF"</formula>
    </cfRule>
    <cfRule type="cellIs" dxfId="27530" priority="47171" operator="equal">
      <formula>"PTO"</formula>
    </cfRule>
  </conditionalFormatting>
  <conditionalFormatting sqref="R69:T70">
    <cfRule type="cellIs" dxfId="27529" priority="47168" operator="equal">
      <formula>"OFF"</formula>
    </cfRule>
    <cfRule type="cellIs" dxfId="27528" priority="47169" operator="equal">
      <formula>"PTO"</formula>
    </cfRule>
  </conditionalFormatting>
  <conditionalFormatting sqref="R69:T70">
    <cfRule type="cellIs" dxfId="27527" priority="47166" operator="equal">
      <formula>"OFF"</formula>
    </cfRule>
    <cfRule type="cellIs" dxfId="27526" priority="47167" operator="equal">
      <formula>"PTO"</formula>
    </cfRule>
  </conditionalFormatting>
  <conditionalFormatting sqref="R69:T70">
    <cfRule type="cellIs" dxfId="27525" priority="47164" operator="equal">
      <formula>"OFF"</formula>
    </cfRule>
    <cfRule type="cellIs" dxfId="27524" priority="47165" operator="equal">
      <formula>"PTO"</formula>
    </cfRule>
  </conditionalFormatting>
  <conditionalFormatting sqref="R69:T70">
    <cfRule type="cellIs" dxfId="27523" priority="47162" operator="equal">
      <formula>"OFF"</formula>
    </cfRule>
    <cfRule type="cellIs" dxfId="27522" priority="47163" operator="equal">
      <formula>"PTO"</formula>
    </cfRule>
  </conditionalFormatting>
  <conditionalFormatting sqref="R69:T70">
    <cfRule type="cellIs" dxfId="27521" priority="47160" operator="equal">
      <formula>"OFF"</formula>
    </cfRule>
    <cfRule type="cellIs" dxfId="27520" priority="47161" operator="equal">
      <formula>"PTO"</formula>
    </cfRule>
  </conditionalFormatting>
  <conditionalFormatting sqref="R69:T70">
    <cfRule type="cellIs" dxfId="27519" priority="47158" operator="equal">
      <formula>"OFF"</formula>
    </cfRule>
    <cfRule type="cellIs" dxfId="27518" priority="47159" operator="equal">
      <formula>"PTO"</formula>
    </cfRule>
  </conditionalFormatting>
  <conditionalFormatting sqref="R69:T70">
    <cfRule type="cellIs" dxfId="27517" priority="47156" operator="equal">
      <formula>"OFF"</formula>
    </cfRule>
    <cfRule type="cellIs" dxfId="27516" priority="47157" operator="equal">
      <formula>"PTO"</formula>
    </cfRule>
  </conditionalFormatting>
  <conditionalFormatting sqref="R69:T70">
    <cfRule type="cellIs" dxfId="27515" priority="47154" operator="equal">
      <formula>"OFF"</formula>
    </cfRule>
    <cfRule type="cellIs" dxfId="27514" priority="47155" operator="equal">
      <formula>"PTO"</formula>
    </cfRule>
  </conditionalFormatting>
  <conditionalFormatting sqref="R69:T70">
    <cfRule type="cellIs" dxfId="27513" priority="47152" operator="equal">
      <formula>"OFF"</formula>
    </cfRule>
    <cfRule type="cellIs" dxfId="27512" priority="47153" operator="equal">
      <formula>"PTO"</formula>
    </cfRule>
  </conditionalFormatting>
  <conditionalFormatting sqref="R69:T70">
    <cfRule type="cellIs" dxfId="27511" priority="47150" operator="equal">
      <formula>"OFF"</formula>
    </cfRule>
    <cfRule type="cellIs" dxfId="27510" priority="47151" operator="equal">
      <formula>"PTO"</formula>
    </cfRule>
  </conditionalFormatting>
  <conditionalFormatting sqref="R69:T70">
    <cfRule type="cellIs" dxfId="27509" priority="47148" operator="equal">
      <formula>"OFF"</formula>
    </cfRule>
    <cfRule type="cellIs" dxfId="27508" priority="47149" operator="equal">
      <formula>"PTO"</formula>
    </cfRule>
  </conditionalFormatting>
  <conditionalFormatting sqref="R69:T70">
    <cfRule type="cellIs" dxfId="27507" priority="47146" operator="equal">
      <formula>"OFF"</formula>
    </cfRule>
    <cfRule type="cellIs" dxfId="27506" priority="47147" operator="equal">
      <formula>"PTO"</formula>
    </cfRule>
  </conditionalFormatting>
  <conditionalFormatting sqref="R69:T70">
    <cfRule type="cellIs" dxfId="27505" priority="47144" operator="equal">
      <formula>"OFF"</formula>
    </cfRule>
    <cfRule type="cellIs" dxfId="27504" priority="47145" operator="equal">
      <formula>"PTO"</formula>
    </cfRule>
  </conditionalFormatting>
  <conditionalFormatting sqref="R69:T70">
    <cfRule type="cellIs" dxfId="27503" priority="47142" operator="equal">
      <formula>"OFF"</formula>
    </cfRule>
    <cfRule type="cellIs" dxfId="27502" priority="47143" operator="equal">
      <formula>"PTO"</formula>
    </cfRule>
  </conditionalFormatting>
  <conditionalFormatting sqref="R69:T70">
    <cfRule type="cellIs" dxfId="27501" priority="47140" operator="equal">
      <formula>"OFF"</formula>
    </cfRule>
    <cfRule type="cellIs" dxfId="27500" priority="47141" operator="equal">
      <formula>"PTO"</formula>
    </cfRule>
  </conditionalFormatting>
  <conditionalFormatting sqref="R69:T70">
    <cfRule type="cellIs" dxfId="27499" priority="47138" operator="equal">
      <formula>"OFF"</formula>
    </cfRule>
    <cfRule type="cellIs" dxfId="27498" priority="47139" operator="equal">
      <formula>"PTO"</formula>
    </cfRule>
  </conditionalFormatting>
  <conditionalFormatting sqref="R69:T70">
    <cfRule type="cellIs" dxfId="27497" priority="47136" operator="equal">
      <formula>"OFF"</formula>
    </cfRule>
    <cfRule type="cellIs" dxfId="27496" priority="47137" operator="equal">
      <formula>"PTO"</formula>
    </cfRule>
  </conditionalFormatting>
  <conditionalFormatting sqref="R69:T70">
    <cfRule type="cellIs" dxfId="27495" priority="47134" operator="equal">
      <formula>"OFF"</formula>
    </cfRule>
    <cfRule type="cellIs" dxfId="27494" priority="47135" operator="equal">
      <formula>"PTO"</formula>
    </cfRule>
  </conditionalFormatting>
  <conditionalFormatting sqref="R69:T70">
    <cfRule type="cellIs" dxfId="27493" priority="47132" operator="equal">
      <formula>"OFF"</formula>
    </cfRule>
    <cfRule type="cellIs" dxfId="27492" priority="47133" operator="equal">
      <formula>"PTO"</formula>
    </cfRule>
  </conditionalFormatting>
  <conditionalFormatting sqref="R69:T70">
    <cfRule type="cellIs" dxfId="27491" priority="47130" operator="equal">
      <formula>"OFF"</formula>
    </cfRule>
    <cfRule type="cellIs" dxfId="27490" priority="47131" operator="equal">
      <formula>"PTO"</formula>
    </cfRule>
  </conditionalFormatting>
  <conditionalFormatting sqref="R69:T70">
    <cfRule type="cellIs" dxfId="27489" priority="47128" operator="equal">
      <formula>"OFF"</formula>
    </cfRule>
    <cfRule type="cellIs" dxfId="27488" priority="47129" operator="equal">
      <formula>"PTO"</formula>
    </cfRule>
  </conditionalFormatting>
  <conditionalFormatting sqref="R69:T70">
    <cfRule type="cellIs" dxfId="27487" priority="47126" operator="equal">
      <formula>"OFF"</formula>
    </cfRule>
    <cfRule type="cellIs" dxfId="27486" priority="47127" operator="equal">
      <formula>"PTO"</formula>
    </cfRule>
  </conditionalFormatting>
  <conditionalFormatting sqref="R69:T70">
    <cfRule type="cellIs" dxfId="27485" priority="47124" operator="equal">
      <formula>"OFF"</formula>
    </cfRule>
    <cfRule type="cellIs" dxfId="27484" priority="47125" operator="equal">
      <formula>"PTO"</formula>
    </cfRule>
  </conditionalFormatting>
  <conditionalFormatting sqref="R69:T70">
    <cfRule type="cellIs" dxfId="27483" priority="47122" operator="equal">
      <formula>"OFF"</formula>
    </cfRule>
    <cfRule type="cellIs" dxfId="27482" priority="47123" operator="equal">
      <formula>"PTO"</formula>
    </cfRule>
  </conditionalFormatting>
  <conditionalFormatting sqref="R69:T70">
    <cfRule type="cellIs" dxfId="27481" priority="47120" operator="equal">
      <formula>"OFF"</formula>
    </cfRule>
    <cfRule type="cellIs" dxfId="27480" priority="47121" operator="equal">
      <formula>"PTO"</formula>
    </cfRule>
  </conditionalFormatting>
  <conditionalFormatting sqref="R69:T70">
    <cfRule type="cellIs" dxfId="27479" priority="47118" operator="equal">
      <formula>"OFF"</formula>
    </cfRule>
    <cfRule type="cellIs" dxfId="27478" priority="47119" operator="equal">
      <formula>"PTO"</formula>
    </cfRule>
  </conditionalFormatting>
  <conditionalFormatting sqref="R69:T70">
    <cfRule type="cellIs" dxfId="27477" priority="47116" operator="equal">
      <formula>"OFF"</formula>
    </cfRule>
    <cfRule type="cellIs" dxfId="27476" priority="47117" operator="equal">
      <formula>"PTO"</formula>
    </cfRule>
  </conditionalFormatting>
  <conditionalFormatting sqref="R69:T70">
    <cfRule type="cellIs" dxfId="27475" priority="47114" operator="equal">
      <formula>"OFF"</formula>
    </cfRule>
    <cfRule type="cellIs" dxfId="27474" priority="47115" operator="equal">
      <formula>"PTO"</formula>
    </cfRule>
  </conditionalFormatting>
  <conditionalFormatting sqref="R69:T70">
    <cfRule type="cellIs" dxfId="27473" priority="47112" operator="equal">
      <formula>"OFF"</formula>
    </cfRule>
    <cfRule type="cellIs" dxfId="27472" priority="47113" operator="equal">
      <formula>"PTO"</formula>
    </cfRule>
  </conditionalFormatting>
  <conditionalFormatting sqref="R69:T70">
    <cfRule type="cellIs" dxfId="27471" priority="47110" operator="equal">
      <formula>"OFF"</formula>
    </cfRule>
    <cfRule type="cellIs" dxfId="27470" priority="47111" operator="equal">
      <formula>"PTO"</formula>
    </cfRule>
  </conditionalFormatting>
  <conditionalFormatting sqref="R69:T70">
    <cfRule type="cellIs" dxfId="27469" priority="47108" operator="equal">
      <formula>"OFF"</formula>
    </cfRule>
    <cfRule type="cellIs" dxfId="27468" priority="47109" operator="equal">
      <formula>"PTO"</formula>
    </cfRule>
  </conditionalFormatting>
  <conditionalFormatting sqref="D69:D70">
    <cfRule type="cellIs" dxfId="27467" priority="47106" operator="equal">
      <formula>"OFF"</formula>
    </cfRule>
    <cfRule type="cellIs" dxfId="27466" priority="47107" operator="equal">
      <formula>"PTO"</formula>
    </cfRule>
  </conditionalFormatting>
  <conditionalFormatting sqref="D69:D70">
    <cfRule type="cellIs" dxfId="27465" priority="47104" operator="equal">
      <formula>"OFF"</formula>
    </cfRule>
    <cfRule type="cellIs" dxfId="27464" priority="47105" operator="equal">
      <formula>"PTO"</formula>
    </cfRule>
  </conditionalFormatting>
  <conditionalFormatting sqref="D69:D70">
    <cfRule type="cellIs" dxfId="27463" priority="47102" operator="equal">
      <formula>"OFF"</formula>
    </cfRule>
    <cfRule type="cellIs" dxfId="27462" priority="47103" operator="equal">
      <formula>"PTO"</formula>
    </cfRule>
  </conditionalFormatting>
  <conditionalFormatting sqref="D69:D70">
    <cfRule type="cellIs" dxfId="27461" priority="47100" operator="equal">
      <formula>"OFF"</formula>
    </cfRule>
    <cfRule type="cellIs" dxfId="27460" priority="47101" operator="equal">
      <formula>"PTO"</formula>
    </cfRule>
  </conditionalFormatting>
  <conditionalFormatting sqref="D69:D70">
    <cfRule type="cellIs" dxfId="27459" priority="47098" operator="equal">
      <formula>"OFF"</formula>
    </cfRule>
    <cfRule type="cellIs" dxfId="27458" priority="47099" operator="equal">
      <formula>"PTO"</formula>
    </cfRule>
  </conditionalFormatting>
  <conditionalFormatting sqref="D69:D70">
    <cfRule type="cellIs" dxfId="27457" priority="47096" operator="equal">
      <formula>"OFF"</formula>
    </cfRule>
    <cfRule type="cellIs" dxfId="27456" priority="47097" operator="equal">
      <formula>"PTO"</formula>
    </cfRule>
  </conditionalFormatting>
  <conditionalFormatting sqref="D69:D70">
    <cfRule type="cellIs" dxfId="27455" priority="47094" operator="equal">
      <formula>"OFF"</formula>
    </cfRule>
    <cfRule type="cellIs" dxfId="27454" priority="47095" operator="equal">
      <formula>"PTO"</formula>
    </cfRule>
  </conditionalFormatting>
  <conditionalFormatting sqref="D69:D70">
    <cfRule type="cellIs" dxfId="27453" priority="47092" operator="equal">
      <formula>"OFF"</formula>
    </cfRule>
    <cfRule type="cellIs" dxfId="27452" priority="47093" operator="equal">
      <formula>"PTO"</formula>
    </cfRule>
  </conditionalFormatting>
  <conditionalFormatting sqref="D69:D70">
    <cfRule type="cellIs" dxfId="27451" priority="47090" operator="equal">
      <formula>"OFF"</formula>
    </cfRule>
    <cfRule type="cellIs" dxfId="27450" priority="47091" operator="equal">
      <formula>"PTO"</formula>
    </cfRule>
  </conditionalFormatting>
  <conditionalFormatting sqref="D69:D70">
    <cfRule type="cellIs" dxfId="27449" priority="47088" operator="equal">
      <formula>"OFF"</formula>
    </cfRule>
    <cfRule type="cellIs" dxfId="27448" priority="47089" operator="equal">
      <formula>"PTO"</formula>
    </cfRule>
  </conditionalFormatting>
  <conditionalFormatting sqref="D69:D70">
    <cfRule type="cellIs" dxfId="27447" priority="47086" operator="equal">
      <formula>"OFF"</formula>
    </cfRule>
    <cfRule type="cellIs" dxfId="27446" priority="47087" operator="equal">
      <formula>"PTO"</formula>
    </cfRule>
  </conditionalFormatting>
  <conditionalFormatting sqref="D69:D70">
    <cfRule type="cellIs" dxfId="27445" priority="47084" operator="equal">
      <formula>"OFF"</formula>
    </cfRule>
    <cfRule type="cellIs" dxfId="27444" priority="47085" operator="equal">
      <formula>"PTO"</formula>
    </cfRule>
  </conditionalFormatting>
  <conditionalFormatting sqref="D69:D70">
    <cfRule type="cellIs" dxfId="27443" priority="47082" operator="equal">
      <formula>"OFF"</formula>
    </cfRule>
    <cfRule type="cellIs" dxfId="27442" priority="47083" operator="equal">
      <formula>"PTO"</formula>
    </cfRule>
  </conditionalFormatting>
  <conditionalFormatting sqref="D69:D70">
    <cfRule type="cellIs" dxfId="27441" priority="47080" operator="equal">
      <formula>"OFF"</formula>
    </cfRule>
    <cfRule type="cellIs" dxfId="27440" priority="47081" operator="equal">
      <formula>"PTO"</formula>
    </cfRule>
  </conditionalFormatting>
  <conditionalFormatting sqref="D69:D70">
    <cfRule type="cellIs" dxfId="27439" priority="47078" operator="equal">
      <formula>"OFF"</formula>
    </cfRule>
    <cfRule type="cellIs" dxfId="27438" priority="47079" operator="equal">
      <formula>"PTO"</formula>
    </cfRule>
  </conditionalFormatting>
  <conditionalFormatting sqref="D69:D70">
    <cfRule type="cellIs" dxfId="27437" priority="47076" operator="equal">
      <formula>"OFF"</formula>
    </cfRule>
    <cfRule type="cellIs" dxfId="27436" priority="47077" operator="equal">
      <formula>"PTO"</formula>
    </cfRule>
  </conditionalFormatting>
  <conditionalFormatting sqref="D69:D70">
    <cfRule type="cellIs" dxfId="27435" priority="47074" operator="equal">
      <formula>"OFF"</formula>
    </cfRule>
    <cfRule type="cellIs" dxfId="27434" priority="47075" operator="equal">
      <formula>"PTO"</formula>
    </cfRule>
  </conditionalFormatting>
  <conditionalFormatting sqref="D69:D70">
    <cfRule type="cellIs" dxfId="27433" priority="47072" operator="equal">
      <formula>"OFF"</formula>
    </cfRule>
    <cfRule type="cellIs" dxfId="27432" priority="47073" operator="equal">
      <formula>"PTO"</formula>
    </cfRule>
  </conditionalFormatting>
  <conditionalFormatting sqref="D69:D70">
    <cfRule type="cellIs" dxfId="27431" priority="47070" operator="equal">
      <formula>"OFF"</formula>
    </cfRule>
    <cfRule type="cellIs" dxfId="27430" priority="47071" operator="equal">
      <formula>"PTO"</formula>
    </cfRule>
  </conditionalFormatting>
  <conditionalFormatting sqref="D69:D70">
    <cfRule type="cellIs" dxfId="27429" priority="47068" operator="equal">
      <formula>"OFF"</formula>
    </cfRule>
    <cfRule type="cellIs" dxfId="27428" priority="47069" operator="equal">
      <formula>"PTO"</formula>
    </cfRule>
  </conditionalFormatting>
  <conditionalFormatting sqref="D69:D70">
    <cfRule type="cellIs" dxfId="27427" priority="47066" operator="equal">
      <formula>"OFF"</formula>
    </cfRule>
    <cfRule type="cellIs" dxfId="27426" priority="47067" operator="equal">
      <formula>"PTO"</formula>
    </cfRule>
  </conditionalFormatting>
  <conditionalFormatting sqref="D69:D70">
    <cfRule type="cellIs" dxfId="27425" priority="47064" operator="equal">
      <formula>"OFF"</formula>
    </cfRule>
    <cfRule type="cellIs" dxfId="27424" priority="47065" operator="equal">
      <formula>"PTO"</formula>
    </cfRule>
  </conditionalFormatting>
  <conditionalFormatting sqref="D69:D70">
    <cfRule type="cellIs" dxfId="27423" priority="47062" operator="equal">
      <formula>"OFF"</formula>
    </cfRule>
    <cfRule type="cellIs" dxfId="27422" priority="47063" operator="equal">
      <formula>"PTO"</formula>
    </cfRule>
  </conditionalFormatting>
  <conditionalFormatting sqref="D69:D70">
    <cfRule type="cellIs" dxfId="27421" priority="47060" operator="equal">
      <formula>"OFF"</formula>
    </cfRule>
    <cfRule type="cellIs" dxfId="27420" priority="47061" operator="equal">
      <formula>"PTO"</formula>
    </cfRule>
  </conditionalFormatting>
  <conditionalFormatting sqref="D69:D70">
    <cfRule type="cellIs" dxfId="27419" priority="47058" operator="equal">
      <formula>"OFF"</formula>
    </cfRule>
    <cfRule type="cellIs" dxfId="27418" priority="47059" operator="equal">
      <formula>"PTO"</formula>
    </cfRule>
  </conditionalFormatting>
  <conditionalFormatting sqref="D69:D70">
    <cfRule type="cellIs" dxfId="27417" priority="47056" operator="equal">
      <formula>"OFF"</formula>
    </cfRule>
    <cfRule type="cellIs" dxfId="27416" priority="47057" operator="equal">
      <formula>"PTO"</formula>
    </cfRule>
  </conditionalFormatting>
  <conditionalFormatting sqref="D69:D70">
    <cfRule type="cellIs" dxfId="27415" priority="47054" operator="equal">
      <formula>"OFF"</formula>
    </cfRule>
    <cfRule type="cellIs" dxfId="27414" priority="47055" operator="equal">
      <formula>"PTO"</formula>
    </cfRule>
  </conditionalFormatting>
  <conditionalFormatting sqref="D69:D70">
    <cfRule type="cellIs" dxfId="27413" priority="47052" operator="equal">
      <formula>"OFF"</formula>
    </cfRule>
    <cfRule type="cellIs" dxfId="27412" priority="47053" operator="equal">
      <formula>"PTO"</formula>
    </cfRule>
  </conditionalFormatting>
  <conditionalFormatting sqref="D69:D70">
    <cfRule type="cellIs" dxfId="27411" priority="47050" operator="equal">
      <formula>"OFF"</formula>
    </cfRule>
    <cfRule type="cellIs" dxfId="27410" priority="47051" operator="equal">
      <formula>"PTO"</formula>
    </cfRule>
  </conditionalFormatting>
  <conditionalFormatting sqref="D69:D70">
    <cfRule type="cellIs" dxfId="27409" priority="47048" operator="equal">
      <formula>"OFF"</formula>
    </cfRule>
    <cfRule type="cellIs" dxfId="27408" priority="47049" operator="equal">
      <formula>"PTO"</formula>
    </cfRule>
  </conditionalFormatting>
  <conditionalFormatting sqref="D69:D70">
    <cfRule type="cellIs" dxfId="27407" priority="47046" operator="equal">
      <formula>"OFF"</formula>
    </cfRule>
    <cfRule type="cellIs" dxfId="27406" priority="47047" operator="equal">
      <formula>"PTO"</formula>
    </cfRule>
  </conditionalFormatting>
  <conditionalFormatting sqref="D69:D70">
    <cfRule type="cellIs" dxfId="27405" priority="47044" operator="equal">
      <formula>"OFF"</formula>
    </cfRule>
    <cfRule type="cellIs" dxfId="27404" priority="47045" operator="equal">
      <formula>"PTO"</formula>
    </cfRule>
  </conditionalFormatting>
  <conditionalFormatting sqref="D69:D70">
    <cfRule type="cellIs" dxfId="27403" priority="47042" operator="equal">
      <formula>"OFF"</formula>
    </cfRule>
    <cfRule type="cellIs" dxfId="27402" priority="47043" operator="equal">
      <formula>"PTO"</formula>
    </cfRule>
  </conditionalFormatting>
  <conditionalFormatting sqref="D69:D70">
    <cfRule type="cellIs" dxfId="27401" priority="47040" operator="equal">
      <formula>"OFF"</formula>
    </cfRule>
    <cfRule type="cellIs" dxfId="27400" priority="47041" operator="equal">
      <formula>"PTO"</formula>
    </cfRule>
  </conditionalFormatting>
  <conditionalFormatting sqref="D69:D70">
    <cfRule type="cellIs" dxfId="27399" priority="47038" operator="equal">
      <formula>"OFF"</formula>
    </cfRule>
    <cfRule type="cellIs" dxfId="27398" priority="47039" operator="equal">
      <formula>"PTO"</formula>
    </cfRule>
  </conditionalFormatting>
  <conditionalFormatting sqref="D69:D70">
    <cfRule type="cellIs" dxfId="27397" priority="47036" operator="equal">
      <formula>"OFF"</formula>
    </cfRule>
    <cfRule type="cellIs" dxfId="27396" priority="47037" operator="equal">
      <formula>"PTO"</formula>
    </cfRule>
  </conditionalFormatting>
  <conditionalFormatting sqref="D69:D70">
    <cfRule type="cellIs" dxfId="27395" priority="47034" operator="equal">
      <formula>"OFF"</formula>
    </cfRule>
    <cfRule type="cellIs" dxfId="27394" priority="47035" operator="equal">
      <formula>"PTO"</formula>
    </cfRule>
  </conditionalFormatting>
  <conditionalFormatting sqref="D69:D70">
    <cfRule type="cellIs" dxfId="27393" priority="47032" operator="equal">
      <formula>"OFF"</formula>
    </cfRule>
    <cfRule type="cellIs" dxfId="27392" priority="47033" operator="equal">
      <formula>"PTO"</formula>
    </cfRule>
  </conditionalFormatting>
  <conditionalFormatting sqref="D69:D70">
    <cfRule type="cellIs" dxfId="27391" priority="47030" operator="equal">
      <formula>"OFF"</formula>
    </cfRule>
    <cfRule type="cellIs" dxfId="27390" priority="47031" operator="equal">
      <formula>"PTO"</formula>
    </cfRule>
  </conditionalFormatting>
  <conditionalFormatting sqref="D69:D70">
    <cfRule type="cellIs" dxfId="27389" priority="47028" operator="equal">
      <formula>"OFF"</formula>
    </cfRule>
    <cfRule type="cellIs" dxfId="27388" priority="47029" operator="equal">
      <formula>"PTO"</formula>
    </cfRule>
  </conditionalFormatting>
  <conditionalFormatting sqref="D69:D70">
    <cfRule type="cellIs" dxfId="27387" priority="47026" operator="equal">
      <formula>"OFF"</formula>
    </cfRule>
    <cfRule type="cellIs" dxfId="27386" priority="47027" operator="equal">
      <formula>"PTO"</formula>
    </cfRule>
  </conditionalFormatting>
  <conditionalFormatting sqref="D69:D70">
    <cfRule type="cellIs" dxfId="27385" priority="47024" operator="equal">
      <formula>"OFF"</formula>
    </cfRule>
    <cfRule type="cellIs" dxfId="27384" priority="47025" operator="equal">
      <formula>"PTO"</formula>
    </cfRule>
  </conditionalFormatting>
  <conditionalFormatting sqref="D69:D70">
    <cfRule type="cellIs" dxfId="27383" priority="47022" operator="equal">
      <formula>"OFF"</formula>
    </cfRule>
    <cfRule type="cellIs" dxfId="27382" priority="47023" operator="equal">
      <formula>"PTO"</formula>
    </cfRule>
  </conditionalFormatting>
  <conditionalFormatting sqref="D69:D70">
    <cfRule type="cellIs" dxfId="27381" priority="47020" operator="equal">
      <formula>"OFF"</formula>
    </cfRule>
    <cfRule type="cellIs" dxfId="27380" priority="47021" operator="equal">
      <formula>"PTO"</formula>
    </cfRule>
  </conditionalFormatting>
  <conditionalFormatting sqref="D69:D70">
    <cfRule type="cellIs" dxfId="27379" priority="47018" operator="equal">
      <formula>"OFF"</formula>
    </cfRule>
    <cfRule type="cellIs" dxfId="27378" priority="47019" operator="equal">
      <formula>"PTO"</formula>
    </cfRule>
  </conditionalFormatting>
  <conditionalFormatting sqref="D69:D70">
    <cfRule type="cellIs" dxfId="27377" priority="47016" operator="equal">
      <formula>"OFF"</formula>
    </cfRule>
    <cfRule type="cellIs" dxfId="27376" priority="47017" operator="equal">
      <formula>"PTO"</formula>
    </cfRule>
  </conditionalFormatting>
  <conditionalFormatting sqref="D69:D70">
    <cfRule type="cellIs" dxfId="27375" priority="47014" operator="equal">
      <formula>"OFF"</formula>
    </cfRule>
    <cfRule type="cellIs" dxfId="27374" priority="47015" operator="equal">
      <formula>"PTO"</formula>
    </cfRule>
  </conditionalFormatting>
  <conditionalFormatting sqref="D69:D70">
    <cfRule type="cellIs" dxfId="27373" priority="47012" operator="equal">
      <formula>"OFF"</formula>
    </cfRule>
    <cfRule type="cellIs" dxfId="27372" priority="47013" operator="equal">
      <formula>"PTO"</formula>
    </cfRule>
  </conditionalFormatting>
  <conditionalFormatting sqref="D69:D70">
    <cfRule type="cellIs" dxfId="27371" priority="47010" operator="equal">
      <formula>"OFF"</formula>
    </cfRule>
    <cfRule type="cellIs" dxfId="27370" priority="47011" operator="equal">
      <formula>"PTO"</formula>
    </cfRule>
  </conditionalFormatting>
  <conditionalFormatting sqref="D69:D70">
    <cfRule type="cellIs" dxfId="27369" priority="47008" operator="equal">
      <formula>"OFF"</formula>
    </cfRule>
    <cfRule type="cellIs" dxfId="27368" priority="47009" operator="equal">
      <formula>"PTO"</formula>
    </cfRule>
  </conditionalFormatting>
  <conditionalFormatting sqref="D69:D70">
    <cfRule type="cellIs" dxfId="27367" priority="47006" operator="equal">
      <formula>"OFF"</formula>
    </cfRule>
    <cfRule type="cellIs" dxfId="27366" priority="47007" operator="equal">
      <formula>"PTO"</formula>
    </cfRule>
  </conditionalFormatting>
  <conditionalFormatting sqref="D69:D70">
    <cfRule type="cellIs" dxfId="27365" priority="47004" operator="equal">
      <formula>"OFF"</formula>
    </cfRule>
    <cfRule type="cellIs" dxfId="27364" priority="47005" operator="equal">
      <formula>"PTO"</formula>
    </cfRule>
  </conditionalFormatting>
  <conditionalFormatting sqref="D69:D70">
    <cfRule type="cellIs" dxfId="27363" priority="47002" operator="equal">
      <formula>"OFF"</formula>
    </cfRule>
    <cfRule type="cellIs" dxfId="27362" priority="47003" operator="equal">
      <formula>"PTO"</formula>
    </cfRule>
  </conditionalFormatting>
  <conditionalFormatting sqref="D69:D70">
    <cfRule type="cellIs" dxfId="27361" priority="47000" operator="equal">
      <formula>"OFF"</formula>
    </cfRule>
    <cfRule type="cellIs" dxfId="27360" priority="47001" operator="equal">
      <formula>"PTO"</formula>
    </cfRule>
  </conditionalFormatting>
  <conditionalFormatting sqref="D69:D70">
    <cfRule type="cellIs" dxfId="27359" priority="46998" operator="equal">
      <formula>"OFF"</formula>
    </cfRule>
    <cfRule type="cellIs" dxfId="27358" priority="46999" operator="equal">
      <formula>"PTO"</formula>
    </cfRule>
  </conditionalFormatting>
  <conditionalFormatting sqref="D69:D70">
    <cfRule type="cellIs" dxfId="27357" priority="46996" operator="equal">
      <formula>"OFF"</formula>
    </cfRule>
    <cfRule type="cellIs" dxfId="27356" priority="46997" operator="equal">
      <formula>"PTO"</formula>
    </cfRule>
  </conditionalFormatting>
  <conditionalFormatting sqref="D69:D70">
    <cfRule type="cellIs" dxfId="27355" priority="46994" operator="equal">
      <formula>"OFF"</formula>
    </cfRule>
    <cfRule type="cellIs" dxfId="27354" priority="46995" operator="equal">
      <formula>"PTO"</formula>
    </cfRule>
  </conditionalFormatting>
  <conditionalFormatting sqref="D69:D70">
    <cfRule type="cellIs" dxfId="27353" priority="46992" operator="equal">
      <formula>"OFF"</formula>
    </cfRule>
    <cfRule type="cellIs" dxfId="27352" priority="46993" operator="equal">
      <formula>"PTO"</formula>
    </cfRule>
  </conditionalFormatting>
  <conditionalFormatting sqref="D69:D70">
    <cfRule type="cellIs" dxfId="27351" priority="46990" operator="equal">
      <formula>"OFF"</formula>
    </cfRule>
    <cfRule type="cellIs" dxfId="27350" priority="46991" operator="equal">
      <formula>"PTO"</formula>
    </cfRule>
  </conditionalFormatting>
  <conditionalFormatting sqref="D69:D70">
    <cfRule type="cellIs" dxfId="27349" priority="46988" operator="equal">
      <formula>"OFF"</formula>
    </cfRule>
    <cfRule type="cellIs" dxfId="27348" priority="46989" operator="equal">
      <formula>"PTO"</formula>
    </cfRule>
  </conditionalFormatting>
  <conditionalFormatting sqref="D69:D70">
    <cfRule type="cellIs" dxfId="27347" priority="46986" operator="equal">
      <formula>"OFF"</formula>
    </cfRule>
    <cfRule type="cellIs" dxfId="27346" priority="46987" operator="equal">
      <formula>"PTO"</formula>
    </cfRule>
  </conditionalFormatting>
  <conditionalFormatting sqref="D69:D70">
    <cfRule type="cellIs" dxfId="27345" priority="46984" operator="equal">
      <formula>"OFF"</formula>
    </cfRule>
    <cfRule type="cellIs" dxfId="27344" priority="46985" operator="equal">
      <formula>"PTO"</formula>
    </cfRule>
  </conditionalFormatting>
  <conditionalFormatting sqref="D69:D70">
    <cfRule type="cellIs" dxfId="27343" priority="46982" operator="equal">
      <formula>"OFF"</formula>
    </cfRule>
    <cfRule type="cellIs" dxfId="27342" priority="46983" operator="equal">
      <formula>"PTO"</formula>
    </cfRule>
  </conditionalFormatting>
  <conditionalFormatting sqref="D69:D70">
    <cfRule type="cellIs" dxfId="27341" priority="46980" operator="equal">
      <formula>"OFF"</formula>
    </cfRule>
    <cfRule type="cellIs" dxfId="27340" priority="46981" operator="equal">
      <formula>"PTO"</formula>
    </cfRule>
  </conditionalFormatting>
  <conditionalFormatting sqref="D69:D70">
    <cfRule type="cellIs" dxfId="27339" priority="46978" operator="equal">
      <formula>"OFF"</formula>
    </cfRule>
    <cfRule type="cellIs" dxfId="27338" priority="46979" operator="equal">
      <formula>"PTO"</formula>
    </cfRule>
  </conditionalFormatting>
  <conditionalFormatting sqref="D69:D70">
    <cfRule type="cellIs" dxfId="27337" priority="46976" operator="equal">
      <formula>"OFF"</formula>
    </cfRule>
    <cfRule type="cellIs" dxfId="27336" priority="46977" operator="equal">
      <formula>"PTO"</formula>
    </cfRule>
  </conditionalFormatting>
  <conditionalFormatting sqref="D69:D70">
    <cfRule type="cellIs" dxfId="27335" priority="46974" operator="equal">
      <formula>"OFF"</formula>
    </cfRule>
    <cfRule type="cellIs" dxfId="27334" priority="46975" operator="equal">
      <formula>"PTO"</formula>
    </cfRule>
  </conditionalFormatting>
  <conditionalFormatting sqref="D69:D70">
    <cfRule type="cellIs" dxfId="27333" priority="46972" operator="equal">
      <formula>"OFF"</formula>
    </cfRule>
    <cfRule type="cellIs" dxfId="27332" priority="46973" operator="equal">
      <formula>"PTO"</formula>
    </cfRule>
  </conditionalFormatting>
  <conditionalFormatting sqref="D69:D70">
    <cfRule type="cellIs" dxfId="27331" priority="46970" operator="equal">
      <formula>"OFF"</formula>
    </cfRule>
    <cfRule type="cellIs" dxfId="27330" priority="46971" operator="equal">
      <formula>"PTO"</formula>
    </cfRule>
  </conditionalFormatting>
  <conditionalFormatting sqref="D69:D70">
    <cfRule type="cellIs" dxfId="27329" priority="46968" operator="equal">
      <formula>"OFF"</formula>
    </cfRule>
    <cfRule type="cellIs" dxfId="27328" priority="46969" operator="equal">
      <formula>"PTO"</formula>
    </cfRule>
  </conditionalFormatting>
  <conditionalFormatting sqref="D69:D70">
    <cfRule type="cellIs" dxfId="27327" priority="46966" operator="equal">
      <formula>"OFF"</formula>
    </cfRule>
    <cfRule type="cellIs" dxfId="27326" priority="46967" operator="equal">
      <formula>"PTO"</formula>
    </cfRule>
  </conditionalFormatting>
  <conditionalFormatting sqref="D69:D70">
    <cfRule type="cellIs" dxfId="27325" priority="46964" operator="equal">
      <formula>"OFF"</formula>
    </cfRule>
    <cfRule type="cellIs" dxfId="27324" priority="46965" operator="equal">
      <formula>"PTO"</formula>
    </cfRule>
  </conditionalFormatting>
  <conditionalFormatting sqref="D69:D70">
    <cfRule type="cellIs" dxfId="27323" priority="46962" operator="equal">
      <formula>"OFF"</formula>
    </cfRule>
    <cfRule type="cellIs" dxfId="27322" priority="46963" operator="equal">
      <formula>"PTO"</formula>
    </cfRule>
  </conditionalFormatting>
  <conditionalFormatting sqref="D69:D70">
    <cfRule type="cellIs" dxfId="27321" priority="46960" operator="equal">
      <formula>"OFF"</formula>
    </cfRule>
    <cfRule type="cellIs" dxfId="27320" priority="46961" operator="equal">
      <formula>"PTO"</formula>
    </cfRule>
  </conditionalFormatting>
  <conditionalFormatting sqref="D69:D70">
    <cfRule type="cellIs" dxfId="27319" priority="46958" operator="equal">
      <formula>"OFF"</formula>
    </cfRule>
    <cfRule type="cellIs" dxfId="27318" priority="46959" operator="equal">
      <formula>"PTO"</formula>
    </cfRule>
  </conditionalFormatting>
  <conditionalFormatting sqref="D69:D70">
    <cfRule type="cellIs" dxfId="27317" priority="46956" operator="equal">
      <formula>"OFF"</formula>
    </cfRule>
    <cfRule type="cellIs" dxfId="27316" priority="46957" operator="equal">
      <formula>"PTO"</formula>
    </cfRule>
  </conditionalFormatting>
  <conditionalFormatting sqref="D69:D70">
    <cfRule type="cellIs" dxfId="27315" priority="46954" operator="equal">
      <formula>"OFF"</formula>
    </cfRule>
    <cfRule type="cellIs" dxfId="27314" priority="46955" operator="equal">
      <formula>"PTO"</formula>
    </cfRule>
  </conditionalFormatting>
  <conditionalFormatting sqref="D69:D70">
    <cfRule type="cellIs" dxfId="27313" priority="46952" operator="equal">
      <formula>"OFF"</formula>
    </cfRule>
    <cfRule type="cellIs" dxfId="27312" priority="46953" operator="equal">
      <formula>"PTO"</formula>
    </cfRule>
  </conditionalFormatting>
  <conditionalFormatting sqref="D69:D70">
    <cfRule type="cellIs" dxfId="27311" priority="46950" operator="equal">
      <formula>"OFF"</formula>
    </cfRule>
    <cfRule type="cellIs" dxfId="27310" priority="46951" operator="equal">
      <formula>"PTO"</formula>
    </cfRule>
  </conditionalFormatting>
  <conditionalFormatting sqref="D69:D70">
    <cfRule type="cellIs" dxfId="27309" priority="46948" operator="equal">
      <formula>"OFF"</formula>
    </cfRule>
    <cfRule type="cellIs" dxfId="27308" priority="46949" operator="equal">
      <formula>"PTO"</formula>
    </cfRule>
  </conditionalFormatting>
  <conditionalFormatting sqref="D69:D70">
    <cfRule type="cellIs" dxfId="27307" priority="46946" operator="equal">
      <formula>"OFF"</formula>
    </cfRule>
    <cfRule type="cellIs" dxfId="27306" priority="46947" operator="equal">
      <formula>"PTO"</formula>
    </cfRule>
  </conditionalFormatting>
  <conditionalFormatting sqref="D69:D70">
    <cfRule type="cellIs" dxfId="27305" priority="46944" operator="equal">
      <formula>"OFF"</formula>
    </cfRule>
    <cfRule type="cellIs" dxfId="27304" priority="46945" operator="equal">
      <formula>"PTO"</formula>
    </cfRule>
  </conditionalFormatting>
  <conditionalFormatting sqref="D69:D70">
    <cfRule type="cellIs" dxfId="27303" priority="46942" operator="equal">
      <formula>"OFF"</formula>
    </cfRule>
    <cfRule type="cellIs" dxfId="27302" priority="46943" operator="equal">
      <formula>"PTO"</formula>
    </cfRule>
  </conditionalFormatting>
  <conditionalFormatting sqref="D69:D70">
    <cfRule type="cellIs" dxfId="27301" priority="46940" operator="equal">
      <formula>"OFF"</formula>
    </cfRule>
    <cfRule type="cellIs" dxfId="27300" priority="46941" operator="equal">
      <formula>"PTO"</formula>
    </cfRule>
  </conditionalFormatting>
  <conditionalFormatting sqref="D69:D70">
    <cfRule type="cellIs" dxfId="27299" priority="46938" operator="equal">
      <formula>"OFF"</formula>
    </cfRule>
    <cfRule type="cellIs" dxfId="27298" priority="46939" operator="equal">
      <formula>"PTO"</formula>
    </cfRule>
  </conditionalFormatting>
  <conditionalFormatting sqref="D69:D70">
    <cfRule type="cellIs" dxfId="27297" priority="46936" operator="equal">
      <formula>"OFF"</formula>
    </cfRule>
    <cfRule type="cellIs" dxfId="27296" priority="46937" operator="equal">
      <formula>"PTO"</formula>
    </cfRule>
  </conditionalFormatting>
  <conditionalFormatting sqref="D69:D70">
    <cfRule type="cellIs" dxfId="27295" priority="46934" operator="equal">
      <formula>"OFF"</formula>
    </cfRule>
    <cfRule type="cellIs" dxfId="27294" priority="46935" operator="equal">
      <formula>"PTO"</formula>
    </cfRule>
  </conditionalFormatting>
  <conditionalFormatting sqref="D69:D70">
    <cfRule type="cellIs" dxfId="27293" priority="46932" operator="equal">
      <formula>"OFF"</formula>
    </cfRule>
    <cfRule type="cellIs" dxfId="27292" priority="46933" operator="equal">
      <formula>"PTO"</formula>
    </cfRule>
  </conditionalFormatting>
  <conditionalFormatting sqref="D69:D70">
    <cfRule type="cellIs" dxfId="27291" priority="46930" operator="equal">
      <formula>"OFF"</formula>
    </cfRule>
    <cfRule type="cellIs" dxfId="27290" priority="46931" operator="equal">
      <formula>"PTO"</formula>
    </cfRule>
  </conditionalFormatting>
  <conditionalFormatting sqref="D69:D70">
    <cfRule type="cellIs" dxfId="27289" priority="46928" operator="equal">
      <formula>"OFF"</formula>
    </cfRule>
    <cfRule type="cellIs" dxfId="27288" priority="46929" operator="equal">
      <formula>"PTO"</formula>
    </cfRule>
  </conditionalFormatting>
  <conditionalFormatting sqref="D69:D70">
    <cfRule type="cellIs" dxfId="27287" priority="46926" operator="equal">
      <formula>"OFF"</formula>
    </cfRule>
    <cfRule type="cellIs" dxfId="27286" priority="46927" operator="equal">
      <formula>"PTO"</formula>
    </cfRule>
  </conditionalFormatting>
  <conditionalFormatting sqref="D69:D70">
    <cfRule type="cellIs" dxfId="27285" priority="46924" operator="equal">
      <formula>"OFF"</formula>
    </cfRule>
    <cfRule type="cellIs" dxfId="27284" priority="46925" operator="equal">
      <formula>"PTO"</formula>
    </cfRule>
  </conditionalFormatting>
  <conditionalFormatting sqref="D69:D70">
    <cfRule type="cellIs" dxfId="27283" priority="46922" operator="equal">
      <formula>"OFF"</formula>
    </cfRule>
    <cfRule type="cellIs" dxfId="27282" priority="46923" operator="equal">
      <formula>"PTO"</formula>
    </cfRule>
  </conditionalFormatting>
  <conditionalFormatting sqref="D69:D70">
    <cfRule type="cellIs" dxfId="27281" priority="46920" operator="equal">
      <formula>"OFF"</formula>
    </cfRule>
    <cfRule type="cellIs" dxfId="27280" priority="46921" operator="equal">
      <formula>"PTO"</formula>
    </cfRule>
  </conditionalFormatting>
  <conditionalFormatting sqref="D69:D70">
    <cfRule type="cellIs" dxfId="27279" priority="46918" operator="equal">
      <formula>"OFF"</formula>
    </cfRule>
    <cfRule type="cellIs" dxfId="27278" priority="46919" operator="equal">
      <formula>"PTO"</formula>
    </cfRule>
  </conditionalFormatting>
  <conditionalFormatting sqref="D69:D70">
    <cfRule type="cellIs" dxfId="27277" priority="46916" operator="equal">
      <formula>"OFF"</formula>
    </cfRule>
    <cfRule type="cellIs" dxfId="27276" priority="46917" operator="equal">
      <formula>"PTO"</formula>
    </cfRule>
  </conditionalFormatting>
  <conditionalFormatting sqref="D69:D70">
    <cfRule type="cellIs" dxfId="27275" priority="46914" operator="equal">
      <formula>"OFF"</formula>
    </cfRule>
    <cfRule type="cellIs" dxfId="27274" priority="46915" operator="equal">
      <formula>"PTO"</formula>
    </cfRule>
  </conditionalFormatting>
  <conditionalFormatting sqref="D69:D70">
    <cfRule type="cellIs" dxfId="27273" priority="46912" operator="equal">
      <formula>"OFF"</formula>
    </cfRule>
    <cfRule type="cellIs" dxfId="27272" priority="46913" operator="equal">
      <formula>"PTO"</formula>
    </cfRule>
  </conditionalFormatting>
  <conditionalFormatting sqref="D69:D70">
    <cfRule type="cellIs" dxfId="27271" priority="46910" operator="equal">
      <formula>"OFF"</formula>
    </cfRule>
    <cfRule type="cellIs" dxfId="27270" priority="46911" operator="equal">
      <formula>"PTO"</formula>
    </cfRule>
  </conditionalFormatting>
  <conditionalFormatting sqref="D69:D70">
    <cfRule type="cellIs" dxfId="27269" priority="46908" operator="equal">
      <formula>"OFF"</formula>
    </cfRule>
    <cfRule type="cellIs" dxfId="27268" priority="46909" operator="equal">
      <formula>"PTO"</formula>
    </cfRule>
  </conditionalFormatting>
  <conditionalFormatting sqref="D69:D70">
    <cfRule type="cellIs" dxfId="27267" priority="46906" operator="equal">
      <formula>"OFF"</formula>
    </cfRule>
    <cfRule type="cellIs" dxfId="27266" priority="46907" operator="equal">
      <formula>"PTO"</formula>
    </cfRule>
  </conditionalFormatting>
  <conditionalFormatting sqref="D69:D70">
    <cfRule type="cellIs" dxfId="27265" priority="46904" operator="equal">
      <formula>"OFF"</formula>
    </cfRule>
    <cfRule type="cellIs" dxfId="27264" priority="46905" operator="equal">
      <formula>"PTO"</formula>
    </cfRule>
  </conditionalFormatting>
  <conditionalFormatting sqref="D69:D70">
    <cfRule type="cellIs" dxfId="27263" priority="46902" operator="equal">
      <formula>"OFF"</formula>
    </cfRule>
    <cfRule type="cellIs" dxfId="27262" priority="46903" operator="equal">
      <formula>"PTO"</formula>
    </cfRule>
  </conditionalFormatting>
  <conditionalFormatting sqref="D69:D70">
    <cfRule type="cellIs" dxfId="27261" priority="46900" operator="equal">
      <formula>"OFF"</formula>
    </cfRule>
    <cfRule type="cellIs" dxfId="27260" priority="46901" operator="equal">
      <formula>"PTO"</formula>
    </cfRule>
  </conditionalFormatting>
  <conditionalFormatting sqref="E69:E70">
    <cfRule type="cellIs" dxfId="27259" priority="46898" operator="equal">
      <formula>"OFF"</formula>
    </cfRule>
    <cfRule type="cellIs" dxfId="27258" priority="46899" operator="equal">
      <formula>"PTO"</formula>
    </cfRule>
  </conditionalFormatting>
  <conditionalFormatting sqref="E69:E70">
    <cfRule type="cellIs" dxfId="27257" priority="46896" operator="equal">
      <formula>"OFF"</formula>
    </cfRule>
    <cfRule type="cellIs" dxfId="27256" priority="46897" operator="equal">
      <formula>"PTO"</formula>
    </cfRule>
  </conditionalFormatting>
  <conditionalFormatting sqref="E69:E70">
    <cfRule type="cellIs" dxfId="27255" priority="46894" operator="equal">
      <formula>"OFF"</formula>
    </cfRule>
    <cfRule type="cellIs" dxfId="27254" priority="46895" operator="equal">
      <formula>"PTO"</formula>
    </cfRule>
  </conditionalFormatting>
  <conditionalFormatting sqref="E69:E70">
    <cfRule type="cellIs" dxfId="27253" priority="46892" operator="equal">
      <formula>"OFF"</formula>
    </cfRule>
    <cfRule type="cellIs" dxfId="27252" priority="46893" operator="equal">
      <formula>"PTO"</formula>
    </cfRule>
  </conditionalFormatting>
  <conditionalFormatting sqref="E69:E70">
    <cfRule type="cellIs" dxfId="27251" priority="46890" operator="equal">
      <formula>"OFF"</formula>
    </cfRule>
    <cfRule type="cellIs" dxfId="27250" priority="46891" operator="equal">
      <formula>"PTO"</formula>
    </cfRule>
  </conditionalFormatting>
  <conditionalFormatting sqref="E69:E70">
    <cfRule type="cellIs" dxfId="27249" priority="46888" operator="equal">
      <formula>"OFF"</formula>
    </cfRule>
    <cfRule type="cellIs" dxfId="27248" priority="46889" operator="equal">
      <formula>"PTO"</formula>
    </cfRule>
  </conditionalFormatting>
  <conditionalFormatting sqref="E69:E70">
    <cfRule type="cellIs" dxfId="27247" priority="46886" operator="equal">
      <formula>"OFF"</formula>
    </cfRule>
    <cfRule type="cellIs" dxfId="27246" priority="46887" operator="equal">
      <formula>"PTO"</formula>
    </cfRule>
  </conditionalFormatting>
  <conditionalFormatting sqref="E69:E70">
    <cfRule type="cellIs" dxfId="27245" priority="46884" operator="equal">
      <formula>"OFF"</formula>
    </cfRule>
    <cfRule type="cellIs" dxfId="27244" priority="46885" operator="equal">
      <formula>"PTO"</formula>
    </cfRule>
  </conditionalFormatting>
  <conditionalFormatting sqref="E69:E70">
    <cfRule type="cellIs" dxfId="27243" priority="46882" operator="equal">
      <formula>"OFF"</formula>
    </cfRule>
    <cfRule type="cellIs" dxfId="27242" priority="46883" operator="equal">
      <formula>"PTO"</formula>
    </cfRule>
  </conditionalFormatting>
  <conditionalFormatting sqref="E69:E70">
    <cfRule type="cellIs" dxfId="27241" priority="46880" operator="equal">
      <formula>"OFF"</formula>
    </cfRule>
    <cfRule type="cellIs" dxfId="27240" priority="46881" operator="equal">
      <formula>"PTO"</formula>
    </cfRule>
  </conditionalFormatting>
  <conditionalFormatting sqref="E69:E70">
    <cfRule type="cellIs" dxfId="27239" priority="46878" operator="equal">
      <formula>"OFF"</formula>
    </cfRule>
    <cfRule type="cellIs" dxfId="27238" priority="46879" operator="equal">
      <formula>"PTO"</formula>
    </cfRule>
  </conditionalFormatting>
  <conditionalFormatting sqref="E69:E70">
    <cfRule type="cellIs" dxfId="27237" priority="46876" operator="equal">
      <formula>"OFF"</formula>
    </cfRule>
    <cfRule type="cellIs" dxfId="27236" priority="46877" operator="equal">
      <formula>"PTO"</formula>
    </cfRule>
  </conditionalFormatting>
  <conditionalFormatting sqref="E69:E70">
    <cfRule type="cellIs" dxfId="27235" priority="46874" operator="equal">
      <formula>"OFF"</formula>
    </cfRule>
    <cfRule type="cellIs" dxfId="27234" priority="46875" operator="equal">
      <formula>"PTO"</formula>
    </cfRule>
  </conditionalFormatting>
  <conditionalFormatting sqref="E69:E70">
    <cfRule type="cellIs" dxfId="27233" priority="46872" operator="equal">
      <formula>"OFF"</formula>
    </cfRule>
    <cfRule type="cellIs" dxfId="27232" priority="46873" operator="equal">
      <formula>"PTO"</formula>
    </cfRule>
  </conditionalFormatting>
  <conditionalFormatting sqref="E69:E70">
    <cfRule type="cellIs" dxfId="27231" priority="46870" operator="equal">
      <formula>"OFF"</formula>
    </cfRule>
    <cfRule type="cellIs" dxfId="27230" priority="46871" operator="equal">
      <formula>"PTO"</formula>
    </cfRule>
  </conditionalFormatting>
  <conditionalFormatting sqref="E69:E70">
    <cfRule type="cellIs" dxfId="27229" priority="46868" operator="equal">
      <formula>"OFF"</formula>
    </cfRule>
    <cfRule type="cellIs" dxfId="27228" priority="46869" operator="equal">
      <formula>"PTO"</formula>
    </cfRule>
  </conditionalFormatting>
  <conditionalFormatting sqref="E69:E70">
    <cfRule type="cellIs" dxfId="27227" priority="46866" operator="equal">
      <formula>"OFF"</formula>
    </cfRule>
    <cfRule type="cellIs" dxfId="27226" priority="46867" operator="equal">
      <formula>"PTO"</formula>
    </cfRule>
  </conditionalFormatting>
  <conditionalFormatting sqref="E69:E70">
    <cfRule type="cellIs" dxfId="27225" priority="46864" operator="equal">
      <formula>"OFF"</formula>
    </cfRule>
    <cfRule type="cellIs" dxfId="27224" priority="46865" operator="equal">
      <formula>"PTO"</formula>
    </cfRule>
  </conditionalFormatting>
  <conditionalFormatting sqref="E69:E70">
    <cfRule type="cellIs" dxfId="27223" priority="46862" operator="equal">
      <formula>"OFF"</formula>
    </cfRule>
    <cfRule type="cellIs" dxfId="27222" priority="46863" operator="equal">
      <formula>"PTO"</formula>
    </cfRule>
  </conditionalFormatting>
  <conditionalFormatting sqref="E69:E70">
    <cfRule type="cellIs" dxfId="27221" priority="46860" operator="equal">
      <formula>"OFF"</formula>
    </cfRule>
    <cfRule type="cellIs" dxfId="27220" priority="46861" operator="equal">
      <formula>"PTO"</formula>
    </cfRule>
  </conditionalFormatting>
  <conditionalFormatting sqref="E69:E70">
    <cfRule type="cellIs" dxfId="27219" priority="46858" operator="equal">
      <formula>"OFF"</formula>
    </cfRule>
    <cfRule type="cellIs" dxfId="27218" priority="46859" operator="equal">
      <formula>"PTO"</formula>
    </cfRule>
  </conditionalFormatting>
  <conditionalFormatting sqref="E69:E70">
    <cfRule type="cellIs" dxfId="27217" priority="46856" operator="equal">
      <formula>"OFF"</formula>
    </cfRule>
    <cfRule type="cellIs" dxfId="27216" priority="46857" operator="equal">
      <formula>"PTO"</formula>
    </cfRule>
  </conditionalFormatting>
  <conditionalFormatting sqref="E69:E70">
    <cfRule type="cellIs" dxfId="27215" priority="46854" operator="equal">
      <formula>"OFF"</formula>
    </cfRule>
    <cfRule type="cellIs" dxfId="27214" priority="46855" operator="equal">
      <formula>"PTO"</formula>
    </cfRule>
  </conditionalFormatting>
  <conditionalFormatting sqref="E69:E70">
    <cfRule type="cellIs" dxfId="27213" priority="46852" operator="equal">
      <formula>"OFF"</formula>
    </cfRule>
    <cfRule type="cellIs" dxfId="27212" priority="46853" operator="equal">
      <formula>"PTO"</formula>
    </cfRule>
  </conditionalFormatting>
  <conditionalFormatting sqref="E69:E70">
    <cfRule type="cellIs" dxfId="27211" priority="46850" operator="equal">
      <formula>"OFF"</formula>
    </cfRule>
    <cfRule type="cellIs" dxfId="27210" priority="46851" operator="equal">
      <formula>"PTO"</formula>
    </cfRule>
  </conditionalFormatting>
  <conditionalFormatting sqref="E69:E70">
    <cfRule type="cellIs" dxfId="27209" priority="46848" operator="equal">
      <formula>"OFF"</formula>
    </cfRule>
    <cfRule type="cellIs" dxfId="27208" priority="46849" operator="equal">
      <formula>"PTO"</formula>
    </cfRule>
  </conditionalFormatting>
  <conditionalFormatting sqref="E69:E70">
    <cfRule type="cellIs" dxfId="27207" priority="46846" operator="equal">
      <formula>"OFF"</formula>
    </cfRule>
    <cfRule type="cellIs" dxfId="27206" priority="46847" operator="equal">
      <formula>"PTO"</formula>
    </cfRule>
  </conditionalFormatting>
  <conditionalFormatting sqref="E69:E70">
    <cfRule type="cellIs" dxfId="27205" priority="46844" operator="equal">
      <formula>"OFF"</formula>
    </cfRule>
    <cfRule type="cellIs" dxfId="27204" priority="46845" operator="equal">
      <formula>"PTO"</formula>
    </cfRule>
  </conditionalFormatting>
  <conditionalFormatting sqref="E69:E70">
    <cfRule type="cellIs" dxfId="27203" priority="46842" operator="equal">
      <formula>"OFF"</formula>
    </cfRule>
    <cfRule type="cellIs" dxfId="27202" priority="46843" operator="equal">
      <formula>"PTO"</formula>
    </cfRule>
  </conditionalFormatting>
  <conditionalFormatting sqref="E69:E70">
    <cfRule type="cellIs" dxfId="27201" priority="46840" operator="equal">
      <formula>"OFF"</formula>
    </cfRule>
    <cfRule type="cellIs" dxfId="27200" priority="46841" operator="equal">
      <formula>"PTO"</formula>
    </cfRule>
  </conditionalFormatting>
  <conditionalFormatting sqref="E69:E70">
    <cfRule type="cellIs" dxfId="27199" priority="46838" operator="equal">
      <formula>"OFF"</formula>
    </cfRule>
    <cfRule type="cellIs" dxfId="27198" priority="46839" operator="equal">
      <formula>"PTO"</formula>
    </cfRule>
  </conditionalFormatting>
  <conditionalFormatting sqref="E69:E70">
    <cfRule type="cellIs" dxfId="27197" priority="46836" operator="equal">
      <formula>"OFF"</formula>
    </cfRule>
    <cfRule type="cellIs" dxfId="27196" priority="46837" operator="equal">
      <formula>"PTO"</formula>
    </cfRule>
  </conditionalFormatting>
  <conditionalFormatting sqref="E69:E70">
    <cfRule type="cellIs" dxfId="27195" priority="46834" operator="equal">
      <formula>"OFF"</formula>
    </cfRule>
    <cfRule type="cellIs" dxfId="27194" priority="46835" operator="equal">
      <formula>"PTO"</formula>
    </cfRule>
  </conditionalFormatting>
  <conditionalFormatting sqref="E69:E70">
    <cfRule type="cellIs" dxfId="27193" priority="46832" operator="equal">
      <formula>"OFF"</formula>
    </cfRule>
    <cfRule type="cellIs" dxfId="27192" priority="46833" operator="equal">
      <formula>"PTO"</formula>
    </cfRule>
  </conditionalFormatting>
  <conditionalFormatting sqref="E69:E70">
    <cfRule type="cellIs" dxfId="27191" priority="46830" operator="equal">
      <formula>"OFF"</formula>
    </cfRule>
    <cfRule type="cellIs" dxfId="27190" priority="46831" operator="equal">
      <formula>"PTO"</formula>
    </cfRule>
  </conditionalFormatting>
  <conditionalFormatting sqref="E69:E70">
    <cfRule type="cellIs" dxfId="27189" priority="46828" operator="equal">
      <formula>"OFF"</formula>
    </cfRule>
    <cfRule type="cellIs" dxfId="27188" priority="46829" operator="equal">
      <formula>"PTO"</formula>
    </cfRule>
  </conditionalFormatting>
  <conditionalFormatting sqref="E69:E70">
    <cfRule type="cellIs" dxfId="27187" priority="46826" operator="equal">
      <formula>"OFF"</formula>
    </cfRule>
    <cfRule type="cellIs" dxfId="27186" priority="46827" operator="equal">
      <formula>"PTO"</formula>
    </cfRule>
  </conditionalFormatting>
  <conditionalFormatting sqref="E69:E70">
    <cfRule type="cellIs" dxfId="27185" priority="46824" operator="equal">
      <formula>"OFF"</formula>
    </cfRule>
    <cfRule type="cellIs" dxfId="27184" priority="46825" operator="equal">
      <formula>"PTO"</formula>
    </cfRule>
  </conditionalFormatting>
  <conditionalFormatting sqref="E69:E70">
    <cfRule type="cellIs" dxfId="27183" priority="46822" operator="equal">
      <formula>"OFF"</formula>
    </cfRule>
    <cfRule type="cellIs" dxfId="27182" priority="46823" operator="equal">
      <formula>"PTO"</formula>
    </cfRule>
  </conditionalFormatting>
  <conditionalFormatting sqref="E69:E70">
    <cfRule type="cellIs" dxfId="27181" priority="46820" operator="equal">
      <formula>"OFF"</formula>
    </cfRule>
    <cfRule type="cellIs" dxfId="27180" priority="46821" operator="equal">
      <formula>"PTO"</formula>
    </cfRule>
  </conditionalFormatting>
  <conditionalFormatting sqref="E69:E70">
    <cfRule type="cellIs" dxfId="27179" priority="46818" operator="equal">
      <formula>"OFF"</formula>
    </cfRule>
    <cfRule type="cellIs" dxfId="27178" priority="46819" operator="equal">
      <formula>"PTO"</formula>
    </cfRule>
  </conditionalFormatting>
  <conditionalFormatting sqref="E69:E70">
    <cfRule type="cellIs" dxfId="27177" priority="46816" operator="equal">
      <formula>"OFF"</formula>
    </cfRule>
    <cfRule type="cellIs" dxfId="27176" priority="46817" operator="equal">
      <formula>"PTO"</formula>
    </cfRule>
  </conditionalFormatting>
  <conditionalFormatting sqref="E69:E70">
    <cfRule type="cellIs" dxfId="27175" priority="46814" operator="equal">
      <formula>"OFF"</formula>
    </cfRule>
    <cfRule type="cellIs" dxfId="27174" priority="46815" operator="equal">
      <formula>"PTO"</formula>
    </cfRule>
  </conditionalFormatting>
  <conditionalFormatting sqref="E69:E70">
    <cfRule type="cellIs" dxfId="27173" priority="46812" operator="equal">
      <formula>"OFF"</formula>
    </cfRule>
    <cfRule type="cellIs" dxfId="27172" priority="46813" operator="equal">
      <formula>"PTO"</formula>
    </cfRule>
  </conditionalFormatting>
  <conditionalFormatting sqref="E69:E70">
    <cfRule type="cellIs" dxfId="27171" priority="46810" operator="equal">
      <formula>"OFF"</formula>
    </cfRule>
    <cfRule type="cellIs" dxfId="27170" priority="46811" operator="equal">
      <formula>"PTO"</formula>
    </cfRule>
  </conditionalFormatting>
  <conditionalFormatting sqref="E69:E70">
    <cfRule type="cellIs" dxfId="27169" priority="46808" operator="equal">
      <formula>"OFF"</formula>
    </cfRule>
    <cfRule type="cellIs" dxfId="27168" priority="46809" operator="equal">
      <formula>"PTO"</formula>
    </cfRule>
  </conditionalFormatting>
  <conditionalFormatting sqref="E69:E70">
    <cfRule type="cellIs" dxfId="27167" priority="46806" operator="equal">
      <formula>"OFF"</formula>
    </cfRule>
    <cfRule type="cellIs" dxfId="27166" priority="46807" operator="equal">
      <formula>"PTO"</formula>
    </cfRule>
  </conditionalFormatting>
  <conditionalFormatting sqref="E69:E70">
    <cfRule type="cellIs" dxfId="27165" priority="46804" operator="equal">
      <formula>"OFF"</formula>
    </cfRule>
    <cfRule type="cellIs" dxfId="27164" priority="46805" operator="equal">
      <formula>"PTO"</formula>
    </cfRule>
  </conditionalFormatting>
  <conditionalFormatting sqref="E69:E70">
    <cfRule type="cellIs" dxfId="27163" priority="46802" operator="equal">
      <formula>"OFF"</formula>
    </cfRule>
    <cfRule type="cellIs" dxfId="27162" priority="46803" operator="equal">
      <formula>"PTO"</formula>
    </cfRule>
  </conditionalFormatting>
  <conditionalFormatting sqref="E69:E70">
    <cfRule type="cellIs" dxfId="27161" priority="46800" operator="equal">
      <formula>"OFF"</formula>
    </cfRule>
    <cfRule type="cellIs" dxfId="27160" priority="46801" operator="equal">
      <formula>"PTO"</formula>
    </cfRule>
  </conditionalFormatting>
  <conditionalFormatting sqref="E69:E70">
    <cfRule type="cellIs" dxfId="27159" priority="46798" operator="equal">
      <formula>"OFF"</formula>
    </cfRule>
    <cfRule type="cellIs" dxfId="27158" priority="46799" operator="equal">
      <formula>"PTO"</formula>
    </cfRule>
  </conditionalFormatting>
  <conditionalFormatting sqref="E69:E70">
    <cfRule type="cellIs" dxfId="27157" priority="46796" operator="equal">
      <formula>"OFF"</formula>
    </cfRule>
    <cfRule type="cellIs" dxfId="27156" priority="46797" operator="equal">
      <formula>"PTO"</formula>
    </cfRule>
  </conditionalFormatting>
  <conditionalFormatting sqref="E69:E70">
    <cfRule type="cellIs" dxfId="27155" priority="46794" operator="equal">
      <formula>"OFF"</formula>
    </cfRule>
    <cfRule type="cellIs" dxfId="27154" priority="46795" operator="equal">
      <formula>"PTO"</formula>
    </cfRule>
  </conditionalFormatting>
  <conditionalFormatting sqref="E69:E70">
    <cfRule type="cellIs" dxfId="27153" priority="46792" operator="equal">
      <formula>"OFF"</formula>
    </cfRule>
    <cfRule type="cellIs" dxfId="27152" priority="46793" operator="equal">
      <formula>"PTO"</formula>
    </cfRule>
  </conditionalFormatting>
  <conditionalFormatting sqref="E69:E70">
    <cfRule type="cellIs" dxfId="27151" priority="46790" operator="equal">
      <formula>"OFF"</formula>
    </cfRule>
    <cfRule type="cellIs" dxfId="27150" priority="46791" operator="equal">
      <formula>"PTO"</formula>
    </cfRule>
  </conditionalFormatting>
  <conditionalFormatting sqref="E69:E70">
    <cfRule type="cellIs" dxfId="27149" priority="46788" operator="equal">
      <formula>"OFF"</formula>
    </cfRule>
    <cfRule type="cellIs" dxfId="27148" priority="46789" operator="equal">
      <formula>"PTO"</formula>
    </cfRule>
  </conditionalFormatting>
  <conditionalFormatting sqref="E69:E70">
    <cfRule type="cellIs" dxfId="27147" priority="46786" operator="equal">
      <formula>"OFF"</formula>
    </cfRule>
    <cfRule type="cellIs" dxfId="27146" priority="46787" operator="equal">
      <formula>"PTO"</formula>
    </cfRule>
  </conditionalFormatting>
  <conditionalFormatting sqref="E69:E70">
    <cfRule type="cellIs" dxfId="27145" priority="46784" operator="equal">
      <formula>"OFF"</formula>
    </cfRule>
    <cfRule type="cellIs" dxfId="27144" priority="46785" operator="equal">
      <formula>"PTO"</formula>
    </cfRule>
  </conditionalFormatting>
  <conditionalFormatting sqref="E69:E70">
    <cfRule type="cellIs" dxfId="27143" priority="46782" operator="equal">
      <formula>"OFF"</formula>
    </cfRule>
    <cfRule type="cellIs" dxfId="27142" priority="46783" operator="equal">
      <formula>"PTO"</formula>
    </cfRule>
  </conditionalFormatting>
  <conditionalFormatting sqref="E69:E70">
    <cfRule type="cellIs" dxfId="27141" priority="46780" operator="equal">
      <formula>"OFF"</formula>
    </cfRule>
    <cfRule type="cellIs" dxfId="27140" priority="46781" operator="equal">
      <formula>"PTO"</formula>
    </cfRule>
  </conditionalFormatting>
  <conditionalFormatting sqref="E69:E70">
    <cfRule type="cellIs" dxfId="27139" priority="46778" operator="equal">
      <formula>"OFF"</formula>
    </cfRule>
    <cfRule type="cellIs" dxfId="27138" priority="46779" operator="equal">
      <formula>"PTO"</formula>
    </cfRule>
  </conditionalFormatting>
  <conditionalFormatting sqref="E69:E70">
    <cfRule type="cellIs" dxfId="27137" priority="46776" operator="equal">
      <formula>"OFF"</formula>
    </cfRule>
    <cfRule type="cellIs" dxfId="27136" priority="46777" operator="equal">
      <formula>"PTO"</formula>
    </cfRule>
  </conditionalFormatting>
  <conditionalFormatting sqref="E69:E70">
    <cfRule type="cellIs" dxfId="27135" priority="46774" operator="equal">
      <formula>"OFF"</formula>
    </cfRule>
    <cfRule type="cellIs" dxfId="27134" priority="46775" operator="equal">
      <formula>"PTO"</formula>
    </cfRule>
  </conditionalFormatting>
  <conditionalFormatting sqref="E69:E70">
    <cfRule type="cellIs" dxfId="27133" priority="46772" operator="equal">
      <formula>"OFF"</formula>
    </cfRule>
    <cfRule type="cellIs" dxfId="27132" priority="46773" operator="equal">
      <formula>"PTO"</formula>
    </cfRule>
  </conditionalFormatting>
  <conditionalFormatting sqref="E69:E70">
    <cfRule type="cellIs" dxfId="27131" priority="46770" operator="equal">
      <formula>"OFF"</formula>
    </cfRule>
    <cfRule type="cellIs" dxfId="27130" priority="46771" operator="equal">
      <formula>"PTO"</formula>
    </cfRule>
  </conditionalFormatting>
  <conditionalFormatting sqref="E69:E70">
    <cfRule type="cellIs" dxfId="27129" priority="46768" operator="equal">
      <formula>"OFF"</formula>
    </cfRule>
    <cfRule type="cellIs" dxfId="27128" priority="46769" operator="equal">
      <formula>"PTO"</formula>
    </cfRule>
  </conditionalFormatting>
  <conditionalFormatting sqref="E69:E70">
    <cfRule type="cellIs" dxfId="27127" priority="46766" operator="equal">
      <formula>"OFF"</formula>
    </cfRule>
    <cfRule type="cellIs" dxfId="27126" priority="46767" operator="equal">
      <formula>"PTO"</formula>
    </cfRule>
  </conditionalFormatting>
  <conditionalFormatting sqref="E69:E70">
    <cfRule type="cellIs" dxfId="27125" priority="46764" operator="equal">
      <formula>"OFF"</formula>
    </cfRule>
    <cfRule type="cellIs" dxfId="27124" priority="46765" operator="equal">
      <formula>"PTO"</formula>
    </cfRule>
  </conditionalFormatting>
  <conditionalFormatting sqref="E69:E70">
    <cfRule type="cellIs" dxfId="27123" priority="46762" operator="equal">
      <formula>"OFF"</formula>
    </cfRule>
    <cfRule type="cellIs" dxfId="27122" priority="46763" operator="equal">
      <formula>"PTO"</formula>
    </cfRule>
  </conditionalFormatting>
  <conditionalFormatting sqref="E69:E70">
    <cfRule type="cellIs" dxfId="27121" priority="46760" operator="equal">
      <formula>"OFF"</formula>
    </cfRule>
    <cfRule type="cellIs" dxfId="27120" priority="46761" operator="equal">
      <formula>"PTO"</formula>
    </cfRule>
  </conditionalFormatting>
  <conditionalFormatting sqref="E69:E70">
    <cfRule type="cellIs" dxfId="27119" priority="46758" operator="equal">
      <formula>"OFF"</formula>
    </cfRule>
    <cfRule type="cellIs" dxfId="27118" priority="46759" operator="equal">
      <formula>"PTO"</formula>
    </cfRule>
  </conditionalFormatting>
  <conditionalFormatting sqref="E69:E70">
    <cfRule type="cellIs" dxfId="27117" priority="46756" operator="equal">
      <formula>"OFF"</formula>
    </cfRule>
    <cfRule type="cellIs" dxfId="27116" priority="46757" operator="equal">
      <formula>"PTO"</formula>
    </cfRule>
  </conditionalFormatting>
  <conditionalFormatting sqref="E69:E70">
    <cfRule type="cellIs" dxfId="27115" priority="46754" operator="equal">
      <formula>"OFF"</formula>
    </cfRule>
    <cfRule type="cellIs" dxfId="27114" priority="46755" operator="equal">
      <formula>"PTO"</formula>
    </cfRule>
  </conditionalFormatting>
  <conditionalFormatting sqref="E69:E70">
    <cfRule type="cellIs" dxfId="27113" priority="46752" operator="equal">
      <formula>"OFF"</formula>
    </cfRule>
    <cfRule type="cellIs" dxfId="27112" priority="46753" operator="equal">
      <formula>"PTO"</formula>
    </cfRule>
  </conditionalFormatting>
  <conditionalFormatting sqref="E69:E70">
    <cfRule type="cellIs" dxfId="27111" priority="46750" operator="equal">
      <formula>"OFF"</formula>
    </cfRule>
    <cfRule type="cellIs" dxfId="27110" priority="46751" operator="equal">
      <formula>"PTO"</formula>
    </cfRule>
  </conditionalFormatting>
  <conditionalFormatting sqref="E69:E70">
    <cfRule type="cellIs" dxfId="27109" priority="46748" operator="equal">
      <formula>"OFF"</formula>
    </cfRule>
    <cfRule type="cellIs" dxfId="27108" priority="46749" operator="equal">
      <formula>"PTO"</formula>
    </cfRule>
  </conditionalFormatting>
  <conditionalFormatting sqref="E69:E70">
    <cfRule type="cellIs" dxfId="27107" priority="46746" operator="equal">
      <formula>"OFF"</formula>
    </cfRule>
    <cfRule type="cellIs" dxfId="27106" priority="46747" operator="equal">
      <formula>"PTO"</formula>
    </cfRule>
  </conditionalFormatting>
  <conditionalFormatting sqref="E69:E70">
    <cfRule type="cellIs" dxfId="27105" priority="46744" operator="equal">
      <formula>"OFF"</formula>
    </cfRule>
    <cfRule type="cellIs" dxfId="27104" priority="46745" operator="equal">
      <formula>"PTO"</formula>
    </cfRule>
  </conditionalFormatting>
  <conditionalFormatting sqref="E69:E70">
    <cfRule type="cellIs" dxfId="27103" priority="46742" operator="equal">
      <formula>"OFF"</formula>
    </cfRule>
    <cfRule type="cellIs" dxfId="27102" priority="46743" operator="equal">
      <formula>"PTO"</formula>
    </cfRule>
  </conditionalFormatting>
  <conditionalFormatting sqref="E69:E70">
    <cfRule type="cellIs" dxfId="27101" priority="46740" operator="equal">
      <formula>"OFF"</formula>
    </cfRule>
    <cfRule type="cellIs" dxfId="27100" priority="46741" operator="equal">
      <formula>"PTO"</formula>
    </cfRule>
  </conditionalFormatting>
  <conditionalFormatting sqref="E69:E70">
    <cfRule type="cellIs" dxfId="27099" priority="46738" operator="equal">
      <formula>"OFF"</formula>
    </cfRule>
    <cfRule type="cellIs" dxfId="27098" priority="46739" operator="equal">
      <formula>"PTO"</formula>
    </cfRule>
  </conditionalFormatting>
  <conditionalFormatting sqref="E69:E70">
    <cfRule type="cellIs" dxfId="27097" priority="46736" operator="equal">
      <formula>"OFF"</formula>
    </cfRule>
    <cfRule type="cellIs" dxfId="27096" priority="46737" operator="equal">
      <formula>"PTO"</formula>
    </cfRule>
  </conditionalFormatting>
  <conditionalFormatting sqref="E69:E70">
    <cfRule type="cellIs" dxfId="27095" priority="46734" operator="equal">
      <formula>"OFF"</formula>
    </cfRule>
    <cfRule type="cellIs" dxfId="27094" priority="46735" operator="equal">
      <formula>"PTO"</formula>
    </cfRule>
  </conditionalFormatting>
  <conditionalFormatting sqref="E69:E70">
    <cfRule type="cellIs" dxfId="27093" priority="46732" operator="equal">
      <formula>"OFF"</formula>
    </cfRule>
    <cfRule type="cellIs" dxfId="27092" priority="46733" operator="equal">
      <formula>"PTO"</formula>
    </cfRule>
  </conditionalFormatting>
  <conditionalFormatting sqref="E69:E70">
    <cfRule type="cellIs" dxfId="27091" priority="46730" operator="equal">
      <formula>"OFF"</formula>
    </cfRule>
    <cfRule type="cellIs" dxfId="27090" priority="46731" operator="equal">
      <formula>"PTO"</formula>
    </cfRule>
  </conditionalFormatting>
  <conditionalFormatting sqref="E69:E70">
    <cfRule type="cellIs" dxfId="27089" priority="46728" operator="equal">
      <formula>"OFF"</formula>
    </cfRule>
    <cfRule type="cellIs" dxfId="27088" priority="46729" operator="equal">
      <formula>"PTO"</formula>
    </cfRule>
  </conditionalFormatting>
  <conditionalFormatting sqref="E69:E70">
    <cfRule type="cellIs" dxfId="27087" priority="46726" operator="equal">
      <formula>"OFF"</formula>
    </cfRule>
    <cfRule type="cellIs" dxfId="27086" priority="46727" operator="equal">
      <formula>"PTO"</formula>
    </cfRule>
  </conditionalFormatting>
  <conditionalFormatting sqref="E69:E70">
    <cfRule type="cellIs" dxfId="27085" priority="46724" operator="equal">
      <formula>"OFF"</formula>
    </cfRule>
    <cfRule type="cellIs" dxfId="27084" priority="46725" operator="equal">
      <formula>"PTO"</formula>
    </cfRule>
  </conditionalFormatting>
  <conditionalFormatting sqref="E69:E70">
    <cfRule type="cellIs" dxfId="27083" priority="46722" operator="equal">
      <formula>"OFF"</formula>
    </cfRule>
    <cfRule type="cellIs" dxfId="27082" priority="46723" operator="equal">
      <formula>"PTO"</formula>
    </cfRule>
  </conditionalFormatting>
  <conditionalFormatting sqref="E69:E70">
    <cfRule type="cellIs" dxfId="27081" priority="46720" operator="equal">
      <formula>"OFF"</formula>
    </cfRule>
    <cfRule type="cellIs" dxfId="27080" priority="46721" operator="equal">
      <formula>"PTO"</formula>
    </cfRule>
  </conditionalFormatting>
  <conditionalFormatting sqref="E69:E70">
    <cfRule type="cellIs" dxfId="27079" priority="46718" operator="equal">
      <formula>"OFF"</formula>
    </cfRule>
    <cfRule type="cellIs" dxfId="27078" priority="46719" operator="equal">
      <formula>"PTO"</formula>
    </cfRule>
  </conditionalFormatting>
  <conditionalFormatting sqref="E69:E70">
    <cfRule type="cellIs" dxfId="27077" priority="46716" operator="equal">
      <formula>"OFF"</formula>
    </cfRule>
    <cfRule type="cellIs" dxfId="27076" priority="46717" operator="equal">
      <formula>"PTO"</formula>
    </cfRule>
  </conditionalFormatting>
  <conditionalFormatting sqref="E69:E70">
    <cfRule type="cellIs" dxfId="27075" priority="46714" operator="equal">
      <formula>"OFF"</formula>
    </cfRule>
    <cfRule type="cellIs" dxfId="27074" priority="46715" operator="equal">
      <formula>"PTO"</formula>
    </cfRule>
  </conditionalFormatting>
  <conditionalFormatting sqref="E69:E70">
    <cfRule type="cellIs" dxfId="27073" priority="46712" operator="equal">
      <formula>"OFF"</formula>
    </cfRule>
    <cfRule type="cellIs" dxfId="27072" priority="46713" operator="equal">
      <formula>"PTO"</formula>
    </cfRule>
  </conditionalFormatting>
  <conditionalFormatting sqref="E69:E70">
    <cfRule type="cellIs" dxfId="27071" priority="46710" operator="equal">
      <formula>"OFF"</formula>
    </cfRule>
    <cfRule type="cellIs" dxfId="27070" priority="46711" operator="equal">
      <formula>"PTO"</formula>
    </cfRule>
  </conditionalFormatting>
  <conditionalFormatting sqref="E69:E70">
    <cfRule type="cellIs" dxfId="27069" priority="46708" operator="equal">
      <formula>"OFF"</formula>
    </cfRule>
    <cfRule type="cellIs" dxfId="27068" priority="46709" operator="equal">
      <formula>"PTO"</formula>
    </cfRule>
  </conditionalFormatting>
  <conditionalFormatting sqref="E69:E70">
    <cfRule type="cellIs" dxfId="27067" priority="46706" operator="equal">
      <formula>"OFF"</formula>
    </cfRule>
    <cfRule type="cellIs" dxfId="27066" priority="46707" operator="equal">
      <formula>"PTO"</formula>
    </cfRule>
  </conditionalFormatting>
  <conditionalFormatting sqref="E69:E70">
    <cfRule type="cellIs" dxfId="27065" priority="46704" operator="equal">
      <formula>"OFF"</formula>
    </cfRule>
    <cfRule type="cellIs" dxfId="27064" priority="46705" operator="equal">
      <formula>"PTO"</formula>
    </cfRule>
  </conditionalFormatting>
  <conditionalFormatting sqref="E69:E70">
    <cfRule type="cellIs" dxfId="27063" priority="46702" operator="equal">
      <formula>"OFF"</formula>
    </cfRule>
    <cfRule type="cellIs" dxfId="27062" priority="46703" operator="equal">
      <formula>"PTO"</formula>
    </cfRule>
  </conditionalFormatting>
  <conditionalFormatting sqref="E69:E70">
    <cfRule type="cellIs" dxfId="27061" priority="46700" operator="equal">
      <formula>"OFF"</formula>
    </cfRule>
    <cfRule type="cellIs" dxfId="27060" priority="46701" operator="equal">
      <formula>"PTO"</formula>
    </cfRule>
  </conditionalFormatting>
  <conditionalFormatting sqref="E69:E70">
    <cfRule type="cellIs" dxfId="27059" priority="46698" operator="equal">
      <formula>"OFF"</formula>
    </cfRule>
    <cfRule type="cellIs" dxfId="27058" priority="46699" operator="equal">
      <formula>"PTO"</formula>
    </cfRule>
  </conditionalFormatting>
  <conditionalFormatting sqref="E69:E70">
    <cfRule type="cellIs" dxfId="27057" priority="46696" operator="equal">
      <formula>"OFF"</formula>
    </cfRule>
    <cfRule type="cellIs" dxfId="27056" priority="46697" operator="equal">
      <formula>"PTO"</formula>
    </cfRule>
  </conditionalFormatting>
  <conditionalFormatting sqref="E69:E70">
    <cfRule type="cellIs" dxfId="27055" priority="46694" operator="equal">
      <formula>"OFF"</formula>
    </cfRule>
    <cfRule type="cellIs" dxfId="27054" priority="46695" operator="equal">
      <formula>"PTO"</formula>
    </cfRule>
  </conditionalFormatting>
  <conditionalFormatting sqref="E69:E70">
    <cfRule type="cellIs" dxfId="27053" priority="46692" operator="equal">
      <formula>"OFF"</formula>
    </cfRule>
    <cfRule type="cellIs" dxfId="27052" priority="46693" operator="equal">
      <formula>"PTO"</formula>
    </cfRule>
  </conditionalFormatting>
  <conditionalFormatting sqref="G69:H70">
    <cfRule type="cellIs" dxfId="27051" priority="46690" operator="equal">
      <formula>"OFF"</formula>
    </cfRule>
    <cfRule type="cellIs" dxfId="27050" priority="46691" operator="equal">
      <formula>"PTO"</formula>
    </cfRule>
  </conditionalFormatting>
  <conditionalFormatting sqref="G69:H70">
    <cfRule type="cellIs" dxfId="27049" priority="46160" operator="equal">
      <formula>"OFF"</formula>
    </cfRule>
    <cfRule type="cellIs" dxfId="27048" priority="46161" operator="equal">
      <formula>"PTO"</formula>
    </cfRule>
  </conditionalFormatting>
  <conditionalFormatting sqref="G69:H70">
    <cfRule type="cellIs" dxfId="27047" priority="46158" operator="equal">
      <formula>"OFF"</formula>
    </cfRule>
    <cfRule type="cellIs" dxfId="27046" priority="46159" operator="equal">
      <formula>"PTO"</formula>
    </cfRule>
  </conditionalFormatting>
  <conditionalFormatting sqref="G69:H70">
    <cfRule type="cellIs" dxfId="27045" priority="46156" operator="equal">
      <formula>"OFF"</formula>
    </cfRule>
    <cfRule type="cellIs" dxfId="27044" priority="46157" operator="equal">
      <formula>"PTO"</formula>
    </cfRule>
  </conditionalFormatting>
  <conditionalFormatting sqref="G69:H70">
    <cfRule type="cellIs" dxfId="27043" priority="46154" operator="equal">
      <formula>"OFF"</formula>
    </cfRule>
    <cfRule type="cellIs" dxfId="27042" priority="46155" operator="equal">
      <formula>"PTO"</formula>
    </cfRule>
  </conditionalFormatting>
  <conditionalFormatting sqref="G69:H70">
    <cfRule type="cellIs" dxfId="27041" priority="46152" operator="equal">
      <formula>"OFF"</formula>
    </cfRule>
    <cfRule type="cellIs" dxfId="27040" priority="46153" operator="equal">
      <formula>"PTO"</formula>
    </cfRule>
  </conditionalFormatting>
  <conditionalFormatting sqref="G69:H70">
    <cfRule type="cellIs" dxfId="27039" priority="46150" operator="equal">
      <formula>"OFF"</formula>
    </cfRule>
    <cfRule type="cellIs" dxfId="27038" priority="46151" operator="equal">
      <formula>"PTO"</formula>
    </cfRule>
  </conditionalFormatting>
  <conditionalFormatting sqref="G69:H70">
    <cfRule type="cellIs" dxfId="27037" priority="46148" operator="equal">
      <formula>"OFF"</formula>
    </cfRule>
    <cfRule type="cellIs" dxfId="27036" priority="46149" operator="equal">
      <formula>"PTO"</formula>
    </cfRule>
  </conditionalFormatting>
  <conditionalFormatting sqref="G69:H70">
    <cfRule type="cellIs" dxfId="27035" priority="46146" operator="equal">
      <formula>"OFF"</formula>
    </cfRule>
    <cfRule type="cellIs" dxfId="27034" priority="46147" operator="equal">
      <formula>"PTO"</formula>
    </cfRule>
  </conditionalFormatting>
  <conditionalFormatting sqref="G69:H70">
    <cfRule type="cellIs" dxfId="27033" priority="46144" operator="equal">
      <formula>"OFF"</formula>
    </cfRule>
    <cfRule type="cellIs" dxfId="27032" priority="46145" operator="equal">
      <formula>"PTO"</formula>
    </cfRule>
  </conditionalFormatting>
  <conditionalFormatting sqref="G69:H70">
    <cfRule type="cellIs" dxfId="27031" priority="46142" operator="equal">
      <formula>"OFF"</formula>
    </cfRule>
    <cfRule type="cellIs" dxfId="27030" priority="46143" operator="equal">
      <formula>"PTO"</formula>
    </cfRule>
  </conditionalFormatting>
  <conditionalFormatting sqref="G69:H70">
    <cfRule type="cellIs" dxfId="27029" priority="46140" operator="equal">
      <formula>"OFF"</formula>
    </cfRule>
    <cfRule type="cellIs" dxfId="27028" priority="46141" operator="equal">
      <formula>"PTO"</formula>
    </cfRule>
  </conditionalFormatting>
  <conditionalFormatting sqref="G69:H70">
    <cfRule type="cellIs" dxfId="27027" priority="46138" operator="equal">
      <formula>"OFF"</formula>
    </cfRule>
    <cfRule type="cellIs" dxfId="27026" priority="46139" operator="equal">
      <formula>"PTO"</formula>
    </cfRule>
  </conditionalFormatting>
  <conditionalFormatting sqref="G69:H70">
    <cfRule type="cellIs" dxfId="27025" priority="46136" operator="equal">
      <formula>"OFF"</formula>
    </cfRule>
    <cfRule type="cellIs" dxfId="27024" priority="46137" operator="equal">
      <formula>"PTO"</formula>
    </cfRule>
  </conditionalFormatting>
  <conditionalFormatting sqref="G69:H70">
    <cfRule type="cellIs" dxfId="27023" priority="46134" operator="equal">
      <formula>"OFF"</formula>
    </cfRule>
    <cfRule type="cellIs" dxfId="27022" priority="46135" operator="equal">
      <formula>"PTO"</formula>
    </cfRule>
  </conditionalFormatting>
  <conditionalFormatting sqref="G69:H70">
    <cfRule type="cellIs" dxfId="27021" priority="46132" operator="equal">
      <formula>"OFF"</formula>
    </cfRule>
    <cfRule type="cellIs" dxfId="27020" priority="46133" operator="equal">
      <formula>"PTO"</formula>
    </cfRule>
  </conditionalFormatting>
  <conditionalFormatting sqref="G69:H70">
    <cfRule type="cellIs" dxfId="27019" priority="46130" operator="equal">
      <formula>"OFF"</formula>
    </cfRule>
    <cfRule type="cellIs" dxfId="27018" priority="46131" operator="equal">
      <formula>"PTO"</formula>
    </cfRule>
  </conditionalFormatting>
  <conditionalFormatting sqref="G69:H70">
    <cfRule type="cellIs" dxfId="27017" priority="46128" operator="equal">
      <formula>"OFF"</formula>
    </cfRule>
    <cfRule type="cellIs" dxfId="27016" priority="46129" operator="equal">
      <formula>"PTO"</formula>
    </cfRule>
  </conditionalFormatting>
  <conditionalFormatting sqref="G69:H70">
    <cfRule type="cellIs" dxfId="27015" priority="46126" operator="equal">
      <formula>"OFF"</formula>
    </cfRule>
    <cfRule type="cellIs" dxfId="27014" priority="46127" operator="equal">
      <formula>"PTO"</formula>
    </cfRule>
  </conditionalFormatting>
  <conditionalFormatting sqref="G69:H70">
    <cfRule type="cellIs" dxfId="27013" priority="46124" operator="equal">
      <formula>"OFF"</formula>
    </cfRule>
    <cfRule type="cellIs" dxfId="27012" priority="46125" operator="equal">
      <formula>"PTO"</formula>
    </cfRule>
  </conditionalFormatting>
  <conditionalFormatting sqref="G69:H70">
    <cfRule type="cellIs" dxfId="27011" priority="46122" operator="equal">
      <formula>"OFF"</formula>
    </cfRule>
    <cfRule type="cellIs" dxfId="27010" priority="46123" operator="equal">
      <formula>"PTO"</formula>
    </cfRule>
  </conditionalFormatting>
  <conditionalFormatting sqref="G69:H70">
    <cfRule type="cellIs" dxfId="27009" priority="46120" operator="equal">
      <formula>"OFF"</formula>
    </cfRule>
    <cfRule type="cellIs" dxfId="27008" priority="46121" operator="equal">
      <formula>"PTO"</formula>
    </cfRule>
  </conditionalFormatting>
  <conditionalFormatting sqref="G69:H70">
    <cfRule type="cellIs" dxfId="27007" priority="46118" operator="equal">
      <formula>"OFF"</formula>
    </cfRule>
    <cfRule type="cellIs" dxfId="27006" priority="46119" operator="equal">
      <formula>"PTO"</formula>
    </cfRule>
  </conditionalFormatting>
  <conditionalFormatting sqref="G69:H70">
    <cfRule type="cellIs" dxfId="27005" priority="46116" operator="equal">
      <formula>"OFF"</formula>
    </cfRule>
    <cfRule type="cellIs" dxfId="27004" priority="46117" operator="equal">
      <formula>"PTO"</formula>
    </cfRule>
  </conditionalFormatting>
  <conditionalFormatting sqref="G69:H70">
    <cfRule type="cellIs" dxfId="27003" priority="46114" operator="equal">
      <formula>"OFF"</formula>
    </cfRule>
    <cfRule type="cellIs" dxfId="27002" priority="46115" operator="equal">
      <formula>"PTO"</formula>
    </cfRule>
  </conditionalFormatting>
  <conditionalFormatting sqref="G69:H70">
    <cfRule type="cellIs" dxfId="27001" priority="46112" operator="equal">
      <formula>"OFF"</formula>
    </cfRule>
    <cfRule type="cellIs" dxfId="27000" priority="46113" operator="equal">
      <formula>"PTO"</formula>
    </cfRule>
  </conditionalFormatting>
  <conditionalFormatting sqref="G69:H70">
    <cfRule type="cellIs" dxfId="26999" priority="46110" operator="equal">
      <formula>"OFF"</formula>
    </cfRule>
    <cfRule type="cellIs" dxfId="26998" priority="46111" operator="equal">
      <formula>"PTO"</formula>
    </cfRule>
  </conditionalFormatting>
  <conditionalFormatting sqref="G69:H70">
    <cfRule type="cellIs" dxfId="26997" priority="46108" operator="equal">
      <formula>"OFF"</formula>
    </cfRule>
    <cfRule type="cellIs" dxfId="26996" priority="46109" operator="equal">
      <formula>"PTO"</formula>
    </cfRule>
  </conditionalFormatting>
  <conditionalFormatting sqref="G69:H70">
    <cfRule type="cellIs" dxfId="26995" priority="46106" operator="equal">
      <formula>"OFF"</formula>
    </cfRule>
    <cfRule type="cellIs" dxfId="26994" priority="46107" operator="equal">
      <formula>"PTO"</formula>
    </cfRule>
  </conditionalFormatting>
  <conditionalFormatting sqref="G69:H70">
    <cfRule type="cellIs" dxfId="26993" priority="46104" operator="equal">
      <formula>"OFF"</formula>
    </cfRule>
    <cfRule type="cellIs" dxfId="26992" priority="46105" operator="equal">
      <formula>"PTO"</formula>
    </cfRule>
  </conditionalFormatting>
  <conditionalFormatting sqref="G69:H70">
    <cfRule type="cellIs" dxfId="26991" priority="46102" operator="equal">
      <formula>"OFF"</formula>
    </cfRule>
    <cfRule type="cellIs" dxfId="26990" priority="46103" operator="equal">
      <formula>"PTO"</formula>
    </cfRule>
  </conditionalFormatting>
  <conditionalFormatting sqref="G69:H70">
    <cfRule type="cellIs" dxfId="26989" priority="46100" operator="equal">
      <formula>"OFF"</formula>
    </cfRule>
    <cfRule type="cellIs" dxfId="26988" priority="46101" operator="equal">
      <formula>"PTO"</formula>
    </cfRule>
  </conditionalFormatting>
  <conditionalFormatting sqref="G69:H70">
    <cfRule type="cellIs" dxfId="26987" priority="46098" operator="equal">
      <formula>"OFF"</formula>
    </cfRule>
    <cfRule type="cellIs" dxfId="26986" priority="46099" operator="equal">
      <formula>"PTO"</formula>
    </cfRule>
  </conditionalFormatting>
  <conditionalFormatting sqref="G69:H70">
    <cfRule type="cellIs" dxfId="26985" priority="46096" operator="equal">
      <formula>"OFF"</formula>
    </cfRule>
    <cfRule type="cellIs" dxfId="26984" priority="46097" operator="equal">
      <formula>"PTO"</formula>
    </cfRule>
  </conditionalFormatting>
  <conditionalFormatting sqref="G69:H70">
    <cfRule type="cellIs" dxfId="26983" priority="46094" operator="equal">
      <formula>"OFF"</formula>
    </cfRule>
    <cfRule type="cellIs" dxfId="26982" priority="46095" operator="equal">
      <formula>"PTO"</formula>
    </cfRule>
  </conditionalFormatting>
  <conditionalFormatting sqref="G69:H70">
    <cfRule type="cellIs" dxfId="26981" priority="46092" operator="equal">
      <formula>"OFF"</formula>
    </cfRule>
    <cfRule type="cellIs" dxfId="26980" priority="46093" operator="equal">
      <formula>"PTO"</formula>
    </cfRule>
  </conditionalFormatting>
  <conditionalFormatting sqref="G69:H70">
    <cfRule type="cellIs" dxfId="26979" priority="46090" operator="equal">
      <formula>"OFF"</formula>
    </cfRule>
    <cfRule type="cellIs" dxfId="26978" priority="46091" operator="equal">
      <formula>"PTO"</formula>
    </cfRule>
  </conditionalFormatting>
  <conditionalFormatting sqref="G69:H70">
    <cfRule type="cellIs" dxfId="26977" priority="46088" operator="equal">
      <formula>"OFF"</formula>
    </cfRule>
    <cfRule type="cellIs" dxfId="26976" priority="46089" operator="equal">
      <formula>"PTO"</formula>
    </cfRule>
  </conditionalFormatting>
  <conditionalFormatting sqref="G69:H70">
    <cfRule type="cellIs" dxfId="26975" priority="46086" operator="equal">
      <formula>"OFF"</formula>
    </cfRule>
    <cfRule type="cellIs" dxfId="26974" priority="46087" operator="equal">
      <formula>"PTO"</formula>
    </cfRule>
  </conditionalFormatting>
  <conditionalFormatting sqref="G69:H70">
    <cfRule type="cellIs" dxfId="26973" priority="46084" operator="equal">
      <formula>"OFF"</formula>
    </cfRule>
    <cfRule type="cellIs" dxfId="26972" priority="46085" operator="equal">
      <formula>"PTO"</formula>
    </cfRule>
  </conditionalFormatting>
  <conditionalFormatting sqref="G69:H70">
    <cfRule type="cellIs" dxfId="26971" priority="46082" operator="equal">
      <formula>"OFF"</formula>
    </cfRule>
    <cfRule type="cellIs" dxfId="26970" priority="46083" operator="equal">
      <formula>"PTO"</formula>
    </cfRule>
  </conditionalFormatting>
  <conditionalFormatting sqref="G69:H70">
    <cfRule type="cellIs" dxfId="26969" priority="46080" operator="equal">
      <formula>"OFF"</formula>
    </cfRule>
    <cfRule type="cellIs" dxfId="26968" priority="46081" operator="equal">
      <formula>"PTO"</formula>
    </cfRule>
  </conditionalFormatting>
  <conditionalFormatting sqref="G69:H70">
    <cfRule type="cellIs" dxfId="26967" priority="46078" operator="equal">
      <formula>"OFF"</formula>
    </cfRule>
    <cfRule type="cellIs" dxfId="26966" priority="46079" operator="equal">
      <formula>"PTO"</formula>
    </cfRule>
  </conditionalFormatting>
  <conditionalFormatting sqref="G69:H70">
    <cfRule type="cellIs" dxfId="26965" priority="46076" operator="equal">
      <formula>"OFF"</formula>
    </cfRule>
    <cfRule type="cellIs" dxfId="26964" priority="46077" operator="equal">
      <formula>"PTO"</formula>
    </cfRule>
  </conditionalFormatting>
  <conditionalFormatting sqref="G69:H70">
    <cfRule type="cellIs" dxfId="26963" priority="46074" operator="equal">
      <formula>"OFF"</formula>
    </cfRule>
    <cfRule type="cellIs" dxfId="26962" priority="46075" operator="equal">
      <formula>"PTO"</formula>
    </cfRule>
  </conditionalFormatting>
  <conditionalFormatting sqref="G69:H70">
    <cfRule type="cellIs" dxfId="26961" priority="46072" operator="equal">
      <formula>"OFF"</formula>
    </cfRule>
    <cfRule type="cellIs" dxfId="26960" priority="46073" operator="equal">
      <formula>"PTO"</formula>
    </cfRule>
  </conditionalFormatting>
  <conditionalFormatting sqref="G69:H70">
    <cfRule type="cellIs" dxfId="26959" priority="46070" operator="equal">
      <formula>"OFF"</formula>
    </cfRule>
    <cfRule type="cellIs" dxfId="26958" priority="46071" operator="equal">
      <formula>"PTO"</formula>
    </cfRule>
  </conditionalFormatting>
  <conditionalFormatting sqref="G69:H70">
    <cfRule type="cellIs" dxfId="26957" priority="46068" operator="equal">
      <formula>"OFF"</formula>
    </cfRule>
    <cfRule type="cellIs" dxfId="26956" priority="46069" operator="equal">
      <formula>"PTO"</formula>
    </cfRule>
  </conditionalFormatting>
  <conditionalFormatting sqref="G69:H70">
    <cfRule type="cellIs" dxfId="26955" priority="46066" operator="equal">
      <formula>"OFF"</formula>
    </cfRule>
    <cfRule type="cellIs" dxfId="26954" priority="46067" operator="equal">
      <formula>"PTO"</formula>
    </cfRule>
  </conditionalFormatting>
  <conditionalFormatting sqref="G69:H70">
    <cfRule type="cellIs" dxfId="26953" priority="46064" operator="equal">
      <formula>"OFF"</formula>
    </cfRule>
    <cfRule type="cellIs" dxfId="26952" priority="46065" operator="equal">
      <formula>"PTO"</formula>
    </cfRule>
  </conditionalFormatting>
  <conditionalFormatting sqref="G69:H70">
    <cfRule type="cellIs" dxfId="26951" priority="46062" operator="equal">
      <formula>"OFF"</formula>
    </cfRule>
    <cfRule type="cellIs" dxfId="26950" priority="46063" operator="equal">
      <formula>"PTO"</formula>
    </cfRule>
  </conditionalFormatting>
  <conditionalFormatting sqref="G69:H70">
    <cfRule type="cellIs" dxfId="26949" priority="46060" operator="equal">
      <formula>"OFF"</formula>
    </cfRule>
    <cfRule type="cellIs" dxfId="26948" priority="46061" operator="equal">
      <formula>"PTO"</formula>
    </cfRule>
  </conditionalFormatting>
  <conditionalFormatting sqref="H11:I11">
    <cfRule type="cellIs" dxfId="26947" priority="43470" operator="equal">
      <formula>"OFF"</formula>
    </cfRule>
    <cfRule type="cellIs" dxfId="26946" priority="43471" operator="equal">
      <formula>"PTO"</formula>
    </cfRule>
  </conditionalFormatting>
  <conditionalFormatting sqref="F15">
    <cfRule type="cellIs" dxfId="26945" priority="43468" operator="equal">
      <formula>"OFF"</formula>
    </cfRule>
    <cfRule type="cellIs" dxfId="26944" priority="43469" operator="equal">
      <formula>"PTO"</formula>
    </cfRule>
  </conditionalFormatting>
  <conditionalFormatting sqref="C15:C16">
    <cfRule type="cellIs" dxfId="26943" priority="43466" operator="equal">
      <formula>"OFF"</formula>
    </cfRule>
    <cfRule type="cellIs" dxfId="26942" priority="43467" operator="equal">
      <formula>"PTO"</formula>
    </cfRule>
  </conditionalFormatting>
  <conditionalFormatting sqref="F19">
    <cfRule type="cellIs" dxfId="26941" priority="43464" operator="equal">
      <formula>"OFF"</formula>
    </cfRule>
    <cfRule type="cellIs" dxfId="26940" priority="43465" operator="equal">
      <formula>"PTO"</formula>
    </cfRule>
  </conditionalFormatting>
  <conditionalFormatting sqref="F19">
    <cfRule type="cellIs" dxfId="26939" priority="43462" operator="equal">
      <formula>"OFF"</formula>
    </cfRule>
    <cfRule type="cellIs" dxfId="26938" priority="43463" operator="equal">
      <formula>"PTO"</formula>
    </cfRule>
  </conditionalFormatting>
  <conditionalFormatting sqref="F19">
    <cfRule type="cellIs" dxfId="26937" priority="43460" operator="equal">
      <formula>"OFF"</formula>
    </cfRule>
    <cfRule type="cellIs" dxfId="26936" priority="43461" operator="equal">
      <formula>"PTO"</formula>
    </cfRule>
  </conditionalFormatting>
  <conditionalFormatting sqref="F19">
    <cfRule type="cellIs" dxfId="26935" priority="43458" operator="equal">
      <formula>"OFF"</formula>
    </cfRule>
    <cfRule type="cellIs" dxfId="26934" priority="43459" operator="equal">
      <formula>"PTO"</formula>
    </cfRule>
  </conditionalFormatting>
  <conditionalFormatting sqref="F19">
    <cfRule type="cellIs" dxfId="26933" priority="43456" operator="equal">
      <formula>"OFF"</formula>
    </cfRule>
    <cfRule type="cellIs" dxfId="26932" priority="43457" operator="equal">
      <formula>"PTO"</formula>
    </cfRule>
  </conditionalFormatting>
  <conditionalFormatting sqref="F19">
    <cfRule type="cellIs" dxfId="26931" priority="43454" operator="equal">
      <formula>"OFF"</formula>
    </cfRule>
    <cfRule type="cellIs" dxfId="26930" priority="43455" operator="equal">
      <formula>"PTO"</formula>
    </cfRule>
  </conditionalFormatting>
  <conditionalFormatting sqref="F19">
    <cfRule type="cellIs" dxfId="26929" priority="43452" operator="equal">
      <formula>"OFF"</formula>
    </cfRule>
    <cfRule type="cellIs" dxfId="26928" priority="43453" operator="equal">
      <formula>"PTO"</formula>
    </cfRule>
  </conditionalFormatting>
  <conditionalFormatting sqref="F19">
    <cfRule type="cellIs" dxfId="26927" priority="43450" operator="equal">
      <formula>"OFF"</formula>
    </cfRule>
    <cfRule type="cellIs" dxfId="26926" priority="43451" operator="equal">
      <formula>"PTO"</formula>
    </cfRule>
  </conditionalFormatting>
  <conditionalFormatting sqref="I22">
    <cfRule type="cellIs" dxfId="26925" priority="43448" operator="equal">
      <formula>"OFF"</formula>
    </cfRule>
    <cfRule type="cellIs" dxfId="26924" priority="43449" operator="equal">
      <formula>"PTO"</formula>
    </cfRule>
  </conditionalFormatting>
  <conditionalFormatting sqref="C24">
    <cfRule type="cellIs" dxfId="26923" priority="43446" operator="equal">
      <formula>"OFF"</formula>
    </cfRule>
    <cfRule type="cellIs" dxfId="26922" priority="43447" operator="equal">
      <formula>"PTO"</formula>
    </cfRule>
  </conditionalFormatting>
  <conditionalFormatting sqref="D24:G24">
    <cfRule type="cellIs" dxfId="26921" priority="43444" operator="equal">
      <formula>"OFF"</formula>
    </cfRule>
    <cfRule type="cellIs" dxfId="26920" priority="43445" operator="equal">
      <formula>"PTO"</formula>
    </cfRule>
  </conditionalFormatting>
  <conditionalFormatting sqref="D24:G24">
    <cfRule type="cellIs" dxfId="26919" priority="43442" operator="equal">
      <formula>"OFF"</formula>
    </cfRule>
    <cfRule type="cellIs" dxfId="26918" priority="43443" operator="equal">
      <formula>"PTO"</formula>
    </cfRule>
  </conditionalFormatting>
  <conditionalFormatting sqref="D24:G24">
    <cfRule type="cellIs" dxfId="26917" priority="43440" operator="equal">
      <formula>"OFF"</formula>
    </cfRule>
    <cfRule type="cellIs" dxfId="26916" priority="43441" operator="equal">
      <formula>"PTO"</formula>
    </cfRule>
  </conditionalFormatting>
  <conditionalFormatting sqref="D24:G24">
    <cfRule type="cellIs" dxfId="26915" priority="43438" operator="equal">
      <formula>"OFF"</formula>
    </cfRule>
    <cfRule type="cellIs" dxfId="26914" priority="43439" operator="equal">
      <formula>"PTO"</formula>
    </cfRule>
  </conditionalFormatting>
  <conditionalFormatting sqref="J11">
    <cfRule type="cellIs" dxfId="26913" priority="43412" operator="equal">
      <formula>"OFF"</formula>
    </cfRule>
    <cfRule type="cellIs" dxfId="26912" priority="43413" operator="equal">
      <formula>"PTO"</formula>
    </cfRule>
  </conditionalFormatting>
  <conditionalFormatting sqref="P20">
    <cfRule type="cellIs" dxfId="26911" priority="43410" operator="equal">
      <formula>"OFF"</formula>
    </cfRule>
    <cfRule type="cellIs" dxfId="26910" priority="43411" operator="equal">
      <formula>"PTO"</formula>
    </cfRule>
  </conditionalFormatting>
  <conditionalFormatting sqref="Q20">
    <cfRule type="cellIs" dxfId="26909" priority="43408" operator="equal">
      <formula>"OFF"</formula>
    </cfRule>
    <cfRule type="cellIs" dxfId="26908" priority="43409" operator="equal">
      <formula>"PTO"</formula>
    </cfRule>
  </conditionalFormatting>
  <conditionalFormatting sqref="Q20">
    <cfRule type="cellIs" dxfId="26907" priority="43406" operator="equal">
      <formula>"OFF"</formula>
    </cfRule>
    <cfRule type="cellIs" dxfId="26906" priority="43407" operator="equal">
      <formula>"PTO"</formula>
    </cfRule>
  </conditionalFormatting>
  <conditionalFormatting sqref="Q20">
    <cfRule type="cellIs" dxfId="26905" priority="43404" operator="equal">
      <formula>"OFF"</formula>
    </cfRule>
    <cfRule type="cellIs" dxfId="26904" priority="43405" operator="equal">
      <formula>"PTO"</formula>
    </cfRule>
  </conditionalFormatting>
  <conditionalFormatting sqref="Q20">
    <cfRule type="cellIs" dxfId="26903" priority="43402" operator="equal">
      <formula>"OFF"</formula>
    </cfRule>
    <cfRule type="cellIs" dxfId="26902" priority="43403" operator="equal">
      <formula>"PTO"</formula>
    </cfRule>
  </conditionalFormatting>
  <conditionalFormatting sqref="Q20">
    <cfRule type="cellIs" dxfId="26901" priority="43400" operator="equal">
      <formula>"OFF"</formula>
    </cfRule>
    <cfRule type="cellIs" dxfId="26900" priority="43401" operator="equal">
      <formula>"PTO"</formula>
    </cfRule>
  </conditionalFormatting>
  <conditionalFormatting sqref="Q20">
    <cfRule type="cellIs" dxfId="26899" priority="43398" operator="equal">
      <formula>"OFF"</formula>
    </cfRule>
    <cfRule type="cellIs" dxfId="26898" priority="43399" operator="equal">
      <formula>"PTO"</formula>
    </cfRule>
  </conditionalFormatting>
  <conditionalFormatting sqref="Q20">
    <cfRule type="cellIs" dxfId="26897" priority="43396" operator="equal">
      <formula>"OFF"</formula>
    </cfRule>
    <cfRule type="cellIs" dxfId="26896" priority="43397" operator="equal">
      <formula>"PTO"</formula>
    </cfRule>
  </conditionalFormatting>
  <conditionalFormatting sqref="Q20">
    <cfRule type="cellIs" dxfId="26895" priority="43394" operator="equal">
      <formula>"OFF"</formula>
    </cfRule>
    <cfRule type="cellIs" dxfId="26894" priority="43395" operator="equal">
      <formula>"PTO"</formula>
    </cfRule>
  </conditionalFormatting>
  <conditionalFormatting sqref="B29">
    <cfRule type="duplicateValues" dxfId="26893" priority="29699"/>
  </conditionalFormatting>
  <conditionalFormatting sqref="X29">
    <cfRule type="cellIs" dxfId="26892" priority="28857" operator="equal">
      <formula>"OFF"</formula>
    </cfRule>
    <cfRule type="cellIs" dxfId="26891" priority="28858" operator="equal">
      <formula>"PTO"</formula>
    </cfRule>
  </conditionalFormatting>
  <conditionalFormatting sqref="B30">
    <cfRule type="duplicateValues" dxfId="26890" priority="28856"/>
  </conditionalFormatting>
  <conditionalFormatting sqref="B30">
    <cfRule type="duplicateValues" dxfId="26889" priority="28855"/>
  </conditionalFormatting>
  <conditionalFormatting sqref="H9:I9 C9">
    <cfRule type="cellIs" dxfId="26888" priority="26417" operator="equal">
      <formula>"OFF"</formula>
    </cfRule>
    <cfRule type="cellIs" dxfId="26887" priority="26418" operator="equal">
      <formula>"PTO"</formula>
    </cfRule>
  </conditionalFormatting>
  <conditionalFormatting sqref="D9:E9">
    <cfRule type="cellIs" dxfId="26886" priority="26415" operator="equal">
      <formula>"OFF"</formula>
    </cfRule>
    <cfRule type="cellIs" dxfId="26885" priority="26416" operator="equal">
      <formula>"PTO"</formula>
    </cfRule>
  </conditionalFormatting>
  <conditionalFormatting sqref="F9:G9">
    <cfRule type="cellIs" dxfId="26884" priority="26413" operator="equal">
      <formula>"OFF"</formula>
    </cfRule>
    <cfRule type="cellIs" dxfId="26883" priority="26414" operator="equal">
      <formula>"PTO"</formula>
    </cfRule>
  </conditionalFormatting>
  <conditionalFormatting sqref="O9:P9 J9">
    <cfRule type="cellIs" dxfId="26882" priority="26411" operator="equal">
      <formula>"OFF"</formula>
    </cfRule>
    <cfRule type="cellIs" dxfId="26881" priority="26412" operator="equal">
      <formula>"PTO"</formula>
    </cfRule>
  </conditionalFormatting>
  <conditionalFormatting sqref="K9:L9">
    <cfRule type="cellIs" dxfId="26880" priority="26409" operator="equal">
      <formula>"OFF"</formula>
    </cfRule>
    <cfRule type="cellIs" dxfId="26879" priority="26410" operator="equal">
      <formula>"PTO"</formula>
    </cfRule>
  </conditionalFormatting>
  <conditionalFormatting sqref="M9:N9">
    <cfRule type="cellIs" dxfId="26878" priority="26407" operator="equal">
      <formula>"OFF"</formula>
    </cfRule>
    <cfRule type="cellIs" dxfId="26877" priority="26408" operator="equal">
      <formula>"PTO"</formula>
    </cfRule>
  </conditionalFormatting>
  <conditionalFormatting sqref="V9:W9 Q9">
    <cfRule type="cellIs" dxfId="26876" priority="26405" operator="equal">
      <formula>"OFF"</formula>
    </cfRule>
    <cfRule type="cellIs" dxfId="26875" priority="26406" operator="equal">
      <formula>"PTO"</formula>
    </cfRule>
  </conditionalFormatting>
  <conditionalFormatting sqref="R9:S9">
    <cfRule type="cellIs" dxfId="26874" priority="26403" operator="equal">
      <formula>"OFF"</formula>
    </cfRule>
    <cfRule type="cellIs" dxfId="26873" priority="26404" operator="equal">
      <formula>"PTO"</formula>
    </cfRule>
  </conditionalFormatting>
  <conditionalFormatting sqref="T9:U9">
    <cfRule type="cellIs" dxfId="26872" priority="26401" operator="equal">
      <formula>"OFF"</formula>
    </cfRule>
    <cfRule type="cellIs" dxfId="26871" priority="26402" operator="equal">
      <formula>"PTO"</formula>
    </cfRule>
  </conditionalFormatting>
  <conditionalFormatting sqref="P51:P57">
    <cfRule type="cellIs" dxfId="26870" priority="23433" operator="equal">
      <formula>"OFF"</formula>
    </cfRule>
    <cfRule type="cellIs" dxfId="26869" priority="23434" operator="equal">
      <formula>"PTO"</formula>
    </cfRule>
  </conditionalFormatting>
  <conditionalFormatting sqref="P61">
    <cfRule type="cellIs" dxfId="26868" priority="23431" operator="equal">
      <formula>"OFF"</formula>
    </cfRule>
    <cfRule type="cellIs" dxfId="26867" priority="23432" operator="equal">
      <formula>"PTO"</formula>
    </cfRule>
  </conditionalFormatting>
  <conditionalFormatting sqref="P64">
    <cfRule type="cellIs" dxfId="26866" priority="23429" operator="equal">
      <formula>"OFF"</formula>
    </cfRule>
    <cfRule type="cellIs" dxfId="26865" priority="23430" operator="equal">
      <formula>"PTO"</formula>
    </cfRule>
  </conditionalFormatting>
  <conditionalFormatting sqref="P65:P68">
    <cfRule type="cellIs" dxfId="26864" priority="23427" operator="equal">
      <formula>"OFF"</formula>
    </cfRule>
    <cfRule type="cellIs" dxfId="26863" priority="23428" operator="equal">
      <formula>"PTO"</formula>
    </cfRule>
  </conditionalFormatting>
  <conditionalFormatting sqref="V57">
    <cfRule type="cellIs" dxfId="26862" priority="23425" operator="equal">
      <formula>"OFF"</formula>
    </cfRule>
    <cfRule type="cellIs" dxfId="26861" priority="23426" operator="equal">
      <formula>"PTO"</formula>
    </cfRule>
  </conditionalFormatting>
  <conditionalFormatting sqref="P60">
    <cfRule type="cellIs" dxfId="26860" priority="21917" operator="equal">
      <formula>"OFF"</formula>
    </cfRule>
    <cfRule type="cellIs" dxfId="26859" priority="21918" operator="equal">
      <formula>"PTO"</formula>
    </cfRule>
  </conditionalFormatting>
  <conditionalFormatting sqref="P63">
    <cfRule type="cellIs" dxfId="26858" priority="21915" operator="equal">
      <formula>"OFF"</formula>
    </cfRule>
    <cfRule type="cellIs" dxfId="26857" priority="21916" operator="equal">
      <formula>"PTO"</formula>
    </cfRule>
  </conditionalFormatting>
  <conditionalFormatting sqref="V56">
    <cfRule type="cellIs" dxfId="26856" priority="21913" operator="equal">
      <formula>"OFF"</formula>
    </cfRule>
    <cfRule type="cellIs" dxfId="26855" priority="21914" operator="equal">
      <formula>"PTO"</formula>
    </cfRule>
  </conditionalFormatting>
  <conditionalFormatting sqref="Y4:Y25">
    <cfRule type="cellIs" dxfId="26854" priority="21835" operator="equal">
      <formula>"OFF"</formula>
    </cfRule>
    <cfRule type="cellIs" dxfId="26853" priority="21836" operator="equal">
      <formula>"PTO"</formula>
    </cfRule>
  </conditionalFormatting>
  <conditionalFormatting sqref="Y8">
    <cfRule type="cellIs" dxfId="26852" priority="21833" operator="equal">
      <formula>"OFF"</formula>
    </cfRule>
    <cfRule type="cellIs" dxfId="26851" priority="21834" operator="equal">
      <formula>"PTO"</formula>
    </cfRule>
  </conditionalFormatting>
  <conditionalFormatting sqref="Y10">
    <cfRule type="cellIs" dxfId="26850" priority="21831" operator="equal">
      <formula>"OFF"</formula>
    </cfRule>
    <cfRule type="cellIs" dxfId="26849" priority="21832" operator="equal">
      <formula>"PTO"</formula>
    </cfRule>
  </conditionalFormatting>
  <conditionalFormatting sqref="Y12 Y14 Y16:Y17 Y19:Y22">
    <cfRule type="cellIs" dxfId="26848" priority="21829" operator="equal">
      <formula>"OFF"</formula>
    </cfRule>
    <cfRule type="cellIs" dxfId="26847" priority="21830" operator="equal">
      <formula>"PTO"</formula>
    </cfRule>
  </conditionalFormatting>
  <conditionalFormatting sqref="Y20">
    <cfRule type="cellIs" dxfId="26846" priority="21827" operator="equal">
      <formula>"OFF"</formula>
    </cfRule>
    <cfRule type="cellIs" dxfId="26845" priority="21828" operator="equal">
      <formula>"PTO"</formula>
    </cfRule>
  </conditionalFormatting>
  <conditionalFormatting sqref="Y19">
    <cfRule type="cellIs" dxfId="26844" priority="21825" operator="equal">
      <formula>"OFF"</formula>
    </cfRule>
    <cfRule type="cellIs" dxfId="26843" priority="21826" operator="equal">
      <formula>"PTO"</formula>
    </cfRule>
  </conditionalFormatting>
  <conditionalFormatting sqref="Y21">
    <cfRule type="cellIs" dxfId="26842" priority="21823" operator="equal">
      <formula>"OFF"</formula>
    </cfRule>
    <cfRule type="cellIs" dxfId="26841" priority="21824" operator="equal">
      <formula>"PTO"</formula>
    </cfRule>
  </conditionalFormatting>
  <conditionalFormatting sqref="Y22">
    <cfRule type="cellIs" dxfId="26840" priority="21821" operator="equal">
      <formula>"OFF"</formula>
    </cfRule>
    <cfRule type="cellIs" dxfId="26839" priority="21822" operator="equal">
      <formula>"PTO"</formula>
    </cfRule>
  </conditionalFormatting>
  <conditionalFormatting sqref="Y13">
    <cfRule type="cellIs" dxfId="26838" priority="21819" operator="equal">
      <formula>"OFF"</formula>
    </cfRule>
    <cfRule type="cellIs" dxfId="26837" priority="21820" operator="equal">
      <formula>"PTO"</formula>
    </cfRule>
  </conditionalFormatting>
  <conditionalFormatting sqref="Y13">
    <cfRule type="cellIs" dxfId="26836" priority="21817" operator="equal">
      <formula>"OFF"</formula>
    </cfRule>
    <cfRule type="cellIs" dxfId="26835" priority="21818" operator="equal">
      <formula>"PTO"</formula>
    </cfRule>
  </conditionalFormatting>
  <conditionalFormatting sqref="Y13">
    <cfRule type="cellIs" dxfId="26834" priority="21815" operator="equal">
      <formula>"OFF"</formula>
    </cfRule>
    <cfRule type="cellIs" dxfId="26833" priority="21816" operator="equal">
      <formula>"PTO"</formula>
    </cfRule>
  </conditionalFormatting>
  <conditionalFormatting sqref="Y13">
    <cfRule type="cellIs" dxfId="26832" priority="21813" operator="equal">
      <formula>"OFF"</formula>
    </cfRule>
    <cfRule type="cellIs" dxfId="26831" priority="21814" operator="equal">
      <formula>"PTO"</formula>
    </cfRule>
  </conditionalFormatting>
  <conditionalFormatting sqref="Y13">
    <cfRule type="cellIs" dxfId="26830" priority="21811" operator="equal">
      <formula>"OFF"</formula>
    </cfRule>
    <cfRule type="cellIs" dxfId="26829" priority="21812" operator="equal">
      <formula>"PTO"</formula>
    </cfRule>
  </conditionalFormatting>
  <conditionalFormatting sqref="Y13">
    <cfRule type="cellIs" dxfId="26828" priority="21809" operator="equal">
      <formula>"OFF"</formula>
    </cfRule>
    <cfRule type="cellIs" dxfId="26827" priority="21810" operator="equal">
      <formula>"PTO"</formula>
    </cfRule>
  </conditionalFormatting>
  <conditionalFormatting sqref="Y13">
    <cfRule type="cellIs" dxfId="26826" priority="21807" operator="equal">
      <formula>"OFF"</formula>
    </cfRule>
    <cfRule type="cellIs" dxfId="26825" priority="21808" operator="equal">
      <formula>"PTO"</formula>
    </cfRule>
  </conditionalFormatting>
  <conditionalFormatting sqref="Y13">
    <cfRule type="cellIs" dxfId="26824" priority="21805" operator="equal">
      <formula>"OFF"</formula>
    </cfRule>
    <cfRule type="cellIs" dxfId="26823" priority="21806" operator="equal">
      <formula>"PTO"</formula>
    </cfRule>
  </conditionalFormatting>
  <conditionalFormatting sqref="Y15">
    <cfRule type="cellIs" dxfId="26822" priority="21803" operator="equal">
      <formula>"OFF"</formula>
    </cfRule>
    <cfRule type="cellIs" dxfId="26821" priority="21804" operator="equal">
      <formula>"PTO"</formula>
    </cfRule>
  </conditionalFormatting>
  <conditionalFormatting sqref="Y15">
    <cfRule type="cellIs" dxfId="26820" priority="21801" operator="equal">
      <formula>"OFF"</formula>
    </cfRule>
    <cfRule type="cellIs" dxfId="26819" priority="21802" operator="equal">
      <formula>"PTO"</formula>
    </cfRule>
  </conditionalFormatting>
  <conditionalFormatting sqref="Y15">
    <cfRule type="cellIs" dxfId="26818" priority="21799" operator="equal">
      <formula>"OFF"</formula>
    </cfRule>
    <cfRule type="cellIs" dxfId="26817" priority="21800" operator="equal">
      <formula>"PTO"</formula>
    </cfRule>
  </conditionalFormatting>
  <conditionalFormatting sqref="Y15">
    <cfRule type="cellIs" dxfId="26816" priority="21797" operator="equal">
      <formula>"OFF"</formula>
    </cfRule>
    <cfRule type="cellIs" dxfId="26815" priority="21798" operator="equal">
      <formula>"PTO"</formula>
    </cfRule>
  </conditionalFormatting>
  <conditionalFormatting sqref="Y15">
    <cfRule type="cellIs" dxfId="26814" priority="21795" operator="equal">
      <formula>"OFF"</formula>
    </cfRule>
    <cfRule type="cellIs" dxfId="26813" priority="21796" operator="equal">
      <formula>"PTO"</formula>
    </cfRule>
  </conditionalFormatting>
  <conditionalFormatting sqref="Y15">
    <cfRule type="cellIs" dxfId="26812" priority="21793" operator="equal">
      <formula>"OFF"</formula>
    </cfRule>
    <cfRule type="cellIs" dxfId="26811" priority="21794" operator="equal">
      <formula>"PTO"</formula>
    </cfRule>
  </conditionalFormatting>
  <conditionalFormatting sqref="Y15">
    <cfRule type="cellIs" dxfId="26810" priority="21791" operator="equal">
      <formula>"OFF"</formula>
    </cfRule>
    <cfRule type="cellIs" dxfId="26809" priority="21792" operator="equal">
      <formula>"PTO"</formula>
    </cfRule>
  </conditionalFormatting>
  <conditionalFormatting sqref="Y15">
    <cfRule type="cellIs" dxfId="26808" priority="21789" operator="equal">
      <formula>"OFF"</formula>
    </cfRule>
    <cfRule type="cellIs" dxfId="26807" priority="21790" operator="equal">
      <formula>"PTO"</formula>
    </cfRule>
  </conditionalFormatting>
  <conditionalFormatting sqref="Y18">
    <cfRule type="cellIs" dxfId="26806" priority="21787" operator="equal">
      <formula>"OFF"</formula>
    </cfRule>
    <cfRule type="cellIs" dxfId="26805" priority="21788" operator="equal">
      <formula>"PTO"</formula>
    </cfRule>
  </conditionalFormatting>
  <conditionalFormatting sqref="Y18">
    <cfRule type="cellIs" dxfId="26804" priority="21785" operator="equal">
      <formula>"OFF"</formula>
    </cfRule>
    <cfRule type="cellIs" dxfId="26803" priority="21786" operator="equal">
      <formula>"PTO"</formula>
    </cfRule>
  </conditionalFormatting>
  <conditionalFormatting sqref="Y18">
    <cfRule type="cellIs" dxfId="26802" priority="21783" operator="equal">
      <formula>"OFF"</formula>
    </cfRule>
    <cfRule type="cellIs" dxfId="26801" priority="21784" operator="equal">
      <formula>"PTO"</formula>
    </cfRule>
  </conditionalFormatting>
  <conditionalFormatting sqref="Y18">
    <cfRule type="cellIs" dxfId="26800" priority="21781" operator="equal">
      <formula>"OFF"</formula>
    </cfRule>
    <cfRule type="cellIs" dxfId="26799" priority="21782" operator="equal">
      <formula>"PTO"</formula>
    </cfRule>
  </conditionalFormatting>
  <conditionalFormatting sqref="Y18">
    <cfRule type="cellIs" dxfId="26798" priority="21779" operator="equal">
      <formula>"OFF"</formula>
    </cfRule>
    <cfRule type="cellIs" dxfId="26797" priority="21780" operator="equal">
      <formula>"PTO"</formula>
    </cfRule>
  </conditionalFormatting>
  <conditionalFormatting sqref="Y18">
    <cfRule type="cellIs" dxfId="26796" priority="21777" operator="equal">
      <formula>"OFF"</formula>
    </cfRule>
    <cfRule type="cellIs" dxfId="26795" priority="21778" operator="equal">
      <formula>"PTO"</formula>
    </cfRule>
  </conditionalFormatting>
  <conditionalFormatting sqref="Y18">
    <cfRule type="cellIs" dxfId="26794" priority="21775" operator="equal">
      <formula>"OFF"</formula>
    </cfRule>
    <cfRule type="cellIs" dxfId="26793" priority="21776" operator="equal">
      <formula>"PTO"</formula>
    </cfRule>
  </conditionalFormatting>
  <conditionalFormatting sqref="Y18">
    <cfRule type="cellIs" dxfId="26792" priority="21773" operator="equal">
      <formula>"OFF"</formula>
    </cfRule>
    <cfRule type="cellIs" dxfId="26791" priority="21774" operator="equal">
      <formula>"PTO"</formula>
    </cfRule>
  </conditionalFormatting>
  <conditionalFormatting sqref="Y24">
    <cfRule type="cellIs" dxfId="26790" priority="21771" operator="equal">
      <formula>"OFF"</formula>
    </cfRule>
    <cfRule type="cellIs" dxfId="26789" priority="21772" operator="equal">
      <formula>"PTO"</formula>
    </cfRule>
  </conditionalFormatting>
  <conditionalFormatting sqref="Y23">
    <cfRule type="cellIs" dxfId="26788" priority="21769" operator="equal">
      <formula>"OFF"</formula>
    </cfRule>
    <cfRule type="cellIs" dxfId="26787" priority="21770" operator="equal">
      <formula>"PTO"</formula>
    </cfRule>
  </conditionalFormatting>
  <conditionalFormatting sqref="Y25">
    <cfRule type="cellIs" dxfId="26786" priority="21767" operator="equal">
      <formula>"OFF"</formula>
    </cfRule>
    <cfRule type="cellIs" dxfId="26785" priority="21768" operator="equal">
      <formula>"PTO"</formula>
    </cfRule>
  </conditionalFormatting>
  <conditionalFormatting sqref="Y11">
    <cfRule type="cellIs" dxfId="26784" priority="21765" operator="equal">
      <formula>"OFF"</formula>
    </cfRule>
    <cfRule type="cellIs" dxfId="26783" priority="21766" operator="equal">
      <formula>"PTO"</formula>
    </cfRule>
  </conditionalFormatting>
  <conditionalFormatting sqref="Y22">
    <cfRule type="cellIs" dxfId="26782" priority="21763" operator="equal">
      <formula>"OFF"</formula>
    </cfRule>
    <cfRule type="cellIs" dxfId="26781" priority="21764" operator="equal">
      <formula>"PTO"</formula>
    </cfRule>
  </conditionalFormatting>
  <conditionalFormatting sqref="Y9">
    <cfRule type="cellIs" dxfId="26780" priority="21761" operator="equal">
      <formula>"OFF"</formula>
    </cfRule>
    <cfRule type="cellIs" dxfId="26779" priority="21762" operator="equal">
      <formula>"PTO"</formula>
    </cfRule>
  </conditionalFormatting>
  <conditionalFormatting sqref="O40:P52 J40:J67 O54:P64 P53 P65:P67">
    <cfRule type="cellIs" dxfId="26778" priority="21759" operator="equal">
      <formula>"OFF"</formula>
    </cfRule>
    <cfRule type="cellIs" dxfId="26777" priority="21760" operator="equal">
      <formula>"PTO"</formula>
    </cfRule>
  </conditionalFormatting>
  <conditionalFormatting sqref="K40:L52 K55:L64 K53 K65:K67">
    <cfRule type="cellIs" dxfId="26776" priority="21757" operator="equal">
      <formula>"OFF"</formula>
    </cfRule>
    <cfRule type="cellIs" dxfId="26775" priority="21758" operator="equal">
      <formula>"PTO"</formula>
    </cfRule>
  </conditionalFormatting>
  <conditionalFormatting sqref="M40:N52 M55:N64">
    <cfRule type="cellIs" dxfId="26774" priority="21755" operator="equal">
      <formula>"OFF"</formula>
    </cfRule>
    <cfRule type="cellIs" dxfId="26773" priority="21756" operator="equal">
      <formula>"PTO"</formula>
    </cfRule>
  </conditionalFormatting>
  <conditionalFormatting sqref="I51:I57">
    <cfRule type="cellIs" dxfId="26772" priority="20253" operator="equal">
      <formula>"OFF"</formula>
    </cfRule>
    <cfRule type="cellIs" dxfId="26771" priority="20254" operator="equal">
      <formula>"PTO"</formula>
    </cfRule>
  </conditionalFormatting>
  <conditionalFormatting sqref="I61">
    <cfRule type="cellIs" dxfId="26770" priority="20251" operator="equal">
      <formula>"OFF"</formula>
    </cfRule>
    <cfRule type="cellIs" dxfId="26769" priority="20252" operator="equal">
      <formula>"PTO"</formula>
    </cfRule>
  </conditionalFormatting>
  <conditionalFormatting sqref="I64">
    <cfRule type="cellIs" dxfId="26768" priority="20249" operator="equal">
      <formula>"OFF"</formula>
    </cfRule>
    <cfRule type="cellIs" dxfId="26767" priority="20250" operator="equal">
      <formula>"PTO"</formula>
    </cfRule>
  </conditionalFormatting>
  <conditionalFormatting sqref="I65:I67">
    <cfRule type="cellIs" dxfId="26766" priority="20247" operator="equal">
      <formula>"OFF"</formula>
    </cfRule>
    <cfRule type="cellIs" dxfId="26765" priority="20248" operator="equal">
      <formula>"PTO"</formula>
    </cfRule>
  </conditionalFormatting>
  <conditionalFormatting sqref="O57">
    <cfRule type="cellIs" dxfId="26764" priority="20245" operator="equal">
      <formula>"OFF"</formula>
    </cfRule>
    <cfRule type="cellIs" dxfId="26763" priority="20246" operator="equal">
      <formula>"PTO"</formula>
    </cfRule>
  </conditionalFormatting>
  <conditionalFormatting sqref="I26 C26:C28 C30 C32:C33 C35:C36 C38:C39 I30 I32:I33 I35:I36 I38:I39">
    <cfRule type="cellIs" dxfId="26762" priority="20243" operator="equal">
      <formula>"OFF"</formula>
    </cfRule>
    <cfRule type="cellIs" dxfId="26761" priority="20244" operator="equal">
      <formula>"PTO"</formula>
    </cfRule>
  </conditionalFormatting>
  <conditionalFormatting sqref="D26:E27 E29 E31 E34 E37 D26:D28 D30 D32:E33 D35:E36 D38:E39">
    <cfRule type="cellIs" dxfId="26760" priority="20241" operator="equal">
      <formula>"OFF"</formula>
    </cfRule>
    <cfRule type="cellIs" dxfId="26759" priority="20242" operator="equal">
      <formula>"PTO"</formula>
    </cfRule>
  </conditionalFormatting>
  <conditionalFormatting sqref="E26:E27 E29">
    <cfRule type="cellIs" dxfId="26758" priority="20239" operator="equal">
      <formula>"OFF"</formula>
    </cfRule>
    <cfRule type="cellIs" dxfId="26757" priority="20240" operator="equal">
      <formula>"PTO"</formula>
    </cfRule>
  </conditionalFormatting>
  <conditionalFormatting sqref="I26">
    <cfRule type="cellIs" dxfId="26756" priority="20237" operator="equal">
      <formula>"OFF"</formula>
    </cfRule>
    <cfRule type="cellIs" dxfId="26755" priority="20238" operator="equal">
      <formula>"PTO"</formula>
    </cfRule>
  </conditionalFormatting>
  <conditionalFormatting sqref="I26 C26:C28">
    <cfRule type="cellIs" dxfId="26754" priority="20235" operator="equal">
      <formula>"OFF"</formula>
    </cfRule>
    <cfRule type="cellIs" dxfId="26753" priority="20236" operator="equal">
      <formula>"PTO"</formula>
    </cfRule>
  </conditionalFormatting>
  <conditionalFormatting sqref="I26 C26:C28">
    <cfRule type="cellIs" dxfId="26752" priority="20233" operator="equal">
      <formula>"OFF"</formula>
    </cfRule>
    <cfRule type="cellIs" dxfId="26751" priority="20234" operator="equal">
      <formula>"PTO"</formula>
    </cfRule>
  </conditionalFormatting>
  <conditionalFormatting sqref="I26 C26:C28">
    <cfRule type="cellIs" dxfId="26750" priority="20231" operator="equal">
      <formula>"OFF"</formula>
    </cfRule>
    <cfRule type="cellIs" dxfId="26749" priority="20232" operator="equal">
      <formula>"PTO"</formula>
    </cfRule>
  </conditionalFormatting>
  <conditionalFormatting sqref="I26 C26:C28">
    <cfRule type="cellIs" dxfId="26748" priority="20229" operator="equal">
      <formula>"OFF"</formula>
    </cfRule>
    <cfRule type="cellIs" dxfId="26747" priority="20230" operator="equal">
      <formula>"PTO"</formula>
    </cfRule>
  </conditionalFormatting>
  <conditionalFormatting sqref="I26 C26:C28">
    <cfRule type="cellIs" dxfId="26746" priority="20227" operator="equal">
      <formula>"OFF"</formula>
    </cfRule>
    <cfRule type="cellIs" dxfId="26745" priority="20228" operator="equal">
      <formula>"PTO"</formula>
    </cfRule>
  </conditionalFormatting>
  <conditionalFormatting sqref="I26 C26:C28">
    <cfRule type="cellIs" dxfId="26744" priority="20225" operator="equal">
      <formula>"OFF"</formula>
    </cfRule>
    <cfRule type="cellIs" dxfId="26743" priority="20226" operator="equal">
      <formula>"PTO"</formula>
    </cfRule>
  </conditionalFormatting>
  <conditionalFormatting sqref="I26 C26:C28">
    <cfRule type="cellIs" dxfId="26742" priority="20223" operator="equal">
      <formula>"OFF"</formula>
    </cfRule>
    <cfRule type="cellIs" dxfId="26741" priority="20224" operator="equal">
      <formula>"PTO"</formula>
    </cfRule>
  </conditionalFormatting>
  <conditionalFormatting sqref="I26 C26:C28">
    <cfRule type="cellIs" dxfId="26740" priority="20221" operator="equal">
      <formula>"OFF"</formula>
    </cfRule>
    <cfRule type="cellIs" dxfId="26739" priority="20222" operator="equal">
      <formula>"PTO"</formula>
    </cfRule>
  </conditionalFormatting>
  <conditionalFormatting sqref="C27">
    <cfRule type="cellIs" dxfId="26738" priority="20219" operator="equal">
      <formula>"OFF"</formula>
    </cfRule>
    <cfRule type="cellIs" dxfId="26737" priority="20220" operator="equal">
      <formula>"PTO"</formula>
    </cfRule>
  </conditionalFormatting>
  <conditionalFormatting sqref="C27">
    <cfRule type="cellIs" dxfId="26736" priority="20217" operator="equal">
      <formula>"OFF"</formula>
    </cfRule>
    <cfRule type="cellIs" dxfId="26735" priority="20218" operator="equal">
      <formula>"PTO"</formula>
    </cfRule>
  </conditionalFormatting>
  <conditionalFormatting sqref="C27">
    <cfRule type="cellIs" dxfId="26734" priority="20215" operator="equal">
      <formula>"OFF"</formula>
    </cfRule>
    <cfRule type="cellIs" dxfId="26733" priority="20216" operator="equal">
      <formula>"PTO"</formula>
    </cfRule>
  </conditionalFormatting>
  <conditionalFormatting sqref="C27">
    <cfRule type="cellIs" dxfId="26732" priority="20213" operator="equal">
      <formula>"OFF"</formula>
    </cfRule>
    <cfRule type="cellIs" dxfId="26731" priority="20214" operator="equal">
      <formula>"PTO"</formula>
    </cfRule>
  </conditionalFormatting>
  <conditionalFormatting sqref="C27">
    <cfRule type="cellIs" dxfId="26730" priority="20211" operator="equal">
      <formula>"OFF"</formula>
    </cfRule>
    <cfRule type="cellIs" dxfId="26729" priority="20212" operator="equal">
      <formula>"PTO"</formula>
    </cfRule>
  </conditionalFormatting>
  <conditionalFormatting sqref="C27">
    <cfRule type="cellIs" dxfId="26728" priority="20209" operator="equal">
      <formula>"OFF"</formula>
    </cfRule>
    <cfRule type="cellIs" dxfId="26727" priority="20210" operator="equal">
      <formula>"PTO"</formula>
    </cfRule>
  </conditionalFormatting>
  <conditionalFormatting sqref="C27">
    <cfRule type="cellIs" dxfId="26726" priority="20207" operator="equal">
      <formula>"OFF"</formula>
    </cfRule>
    <cfRule type="cellIs" dxfId="26725" priority="20208" operator="equal">
      <formula>"PTO"</formula>
    </cfRule>
  </conditionalFormatting>
  <conditionalFormatting sqref="C27">
    <cfRule type="cellIs" dxfId="26724" priority="20205" operator="equal">
      <formula>"OFF"</formula>
    </cfRule>
    <cfRule type="cellIs" dxfId="26723" priority="20206" operator="equal">
      <formula>"PTO"</formula>
    </cfRule>
  </conditionalFormatting>
  <conditionalFormatting sqref="D26:D28">
    <cfRule type="cellIs" dxfId="26722" priority="20203" operator="equal">
      <formula>"OFF"</formula>
    </cfRule>
    <cfRule type="cellIs" dxfId="26721" priority="20204" operator="equal">
      <formula>"PTO"</formula>
    </cfRule>
  </conditionalFormatting>
  <conditionalFormatting sqref="D26:D28">
    <cfRule type="cellIs" dxfId="26720" priority="20201" operator="equal">
      <formula>"OFF"</formula>
    </cfRule>
    <cfRule type="cellIs" dxfId="26719" priority="20202" operator="equal">
      <formula>"PTO"</formula>
    </cfRule>
  </conditionalFormatting>
  <conditionalFormatting sqref="D26:D28">
    <cfRule type="cellIs" dxfId="26718" priority="20199" operator="equal">
      <formula>"OFF"</formula>
    </cfRule>
    <cfRule type="cellIs" dxfId="26717" priority="20200" operator="equal">
      <formula>"PTO"</formula>
    </cfRule>
  </conditionalFormatting>
  <conditionalFormatting sqref="D26:D28">
    <cfRule type="cellIs" dxfId="26716" priority="20197" operator="equal">
      <formula>"OFF"</formula>
    </cfRule>
    <cfRule type="cellIs" dxfId="26715" priority="20198" operator="equal">
      <formula>"PTO"</formula>
    </cfRule>
  </conditionalFormatting>
  <conditionalFormatting sqref="D26:D28">
    <cfRule type="cellIs" dxfId="26714" priority="20195" operator="equal">
      <formula>"OFF"</formula>
    </cfRule>
    <cfRule type="cellIs" dxfId="26713" priority="20196" operator="equal">
      <formula>"PTO"</formula>
    </cfRule>
  </conditionalFormatting>
  <conditionalFormatting sqref="D26:D28">
    <cfRule type="cellIs" dxfId="26712" priority="20193" operator="equal">
      <formula>"OFF"</formula>
    </cfRule>
    <cfRule type="cellIs" dxfId="26711" priority="20194" operator="equal">
      <formula>"PTO"</formula>
    </cfRule>
  </conditionalFormatting>
  <conditionalFormatting sqref="D26:D28">
    <cfRule type="cellIs" dxfId="26710" priority="20191" operator="equal">
      <formula>"OFF"</formula>
    </cfRule>
    <cfRule type="cellIs" dxfId="26709" priority="20192" operator="equal">
      <formula>"PTO"</formula>
    </cfRule>
  </conditionalFormatting>
  <conditionalFormatting sqref="D26:D28">
    <cfRule type="cellIs" dxfId="26708" priority="20189" operator="equal">
      <formula>"OFF"</formula>
    </cfRule>
    <cfRule type="cellIs" dxfId="26707" priority="20190" operator="equal">
      <formula>"PTO"</formula>
    </cfRule>
  </conditionalFormatting>
  <conditionalFormatting sqref="D27">
    <cfRule type="cellIs" dxfId="26706" priority="20187" operator="equal">
      <formula>"OFF"</formula>
    </cfRule>
    <cfRule type="cellIs" dxfId="26705" priority="20188" operator="equal">
      <formula>"PTO"</formula>
    </cfRule>
  </conditionalFormatting>
  <conditionalFormatting sqref="D27">
    <cfRule type="cellIs" dxfId="26704" priority="20185" operator="equal">
      <formula>"OFF"</formula>
    </cfRule>
    <cfRule type="cellIs" dxfId="26703" priority="20186" operator="equal">
      <formula>"PTO"</formula>
    </cfRule>
  </conditionalFormatting>
  <conditionalFormatting sqref="D27">
    <cfRule type="cellIs" dxfId="26702" priority="20183" operator="equal">
      <formula>"OFF"</formula>
    </cfRule>
    <cfRule type="cellIs" dxfId="26701" priority="20184" operator="equal">
      <formula>"PTO"</formula>
    </cfRule>
  </conditionalFormatting>
  <conditionalFormatting sqref="D27">
    <cfRule type="cellIs" dxfId="26700" priority="20181" operator="equal">
      <formula>"OFF"</formula>
    </cfRule>
    <cfRule type="cellIs" dxfId="26699" priority="20182" operator="equal">
      <formula>"PTO"</formula>
    </cfRule>
  </conditionalFormatting>
  <conditionalFormatting sqref="D27">
    <cfRule type="cellIs" dxfId="26698" priority="20179" operator="equal">
      <formula>"OFF"</formula>
    </cfRule>
    <cfRule type="cellIs" dxfId="26697" priority="20180" operator="equal">
      <formula>"PTO"</formula>
    </cfRule>
  </conditionalFormatting>
  <conditionalFormatting sqref="D27">
    <cfRule type="cellIs" dxfId="26696" priority="20177" operator="equal">
      <formula>"OFF"</formula>
    </cfRule>
    <cfRule type="cellIs" dxfId="26695" priority="20178" operator="equal">
      <formula>"PTO"</formula>
    </cfRule>
  </conditionalFormatting>
  <conditionalFormatting sqref="D27">
    <cfRule type="cellIs" dxfId="26694" priority="20175" operator="equal">
      <formula>"OFF"</formula>
    </cfRule>
    <cfRule type="cellIs" dxfId="26693" priority="20176" operator="equal">
      <formula>"PTO"</formula>
    </cfRule>
  </conditionalFormatting>
  <conditionalFormatting sqref="D27">
    <cfRule type="cellIs" dxfId="26692" priority="20173" operator="equal">
      <formula>"OFF"</formula>
    </cfRule>
    <cfRule type="cellIs" dxfId="26691" priority="20174" operator="equal">
      <formula>"PTO"</formula>
    </cfRule>
  </conditionalFormatting>
  <conditionalFormatting sqref="E26">
    <cfRule type="cellIs" dxfId="26690" priority="19947" operator="equal">
      <formula>"OFF"</formula>
    </cfRule>
    <cfRule type="cellIs" dxfId="26689" priority="19948" operator="equal">
      <formula>"PTO"</formula>
    </cfRule>
  </conditionalFormatting>
  <conditionalFormatting sqref="E26">
    <cfRule type="cellIs" dxfId="26688" priority="19945" operator="equal">
      <formula>"OFF"</formula>
    </cfRule>
    <cfRule type="cellIs" dxfId="26687" priority="19946" operator="equal">
      <formula>"PTO"</formula>
    </cfRule>
  </conditionalFormatting>
  <conditionalFormatting sqref="E26">
    <cfRule type="cellIs" dxfId="26686" priority="19943" operator="equal">
      <formula>"OFF"</formula>
    </cfRule>
    <cfRule type="cellIs" dxfId="26685" priority="19944" operator="equal">
      <formula>"PTO"</formula>
    </cfRule>
  </conditionalFormatting>
  <conditionalFormatting sqref="E26">
    <cfRule type="cellIs" dxfId="26684" priority="19941" operator="equal">
      <formula>"OFF"</formula>
    </cfRule>
    <cfRule type="cellIs" dxfId="26683" priority="19942" operator="equal">
      <formula>"PTO"</formula>
    </cfRule>
  </conditionalFormatting>
  <conditionalFormatting sqref="E26">
    <cfRule type="cellIs" dxfId="26682" priority="19939" operator="equal">
      <formula>"OFF"</formula>
    </cfRule>
    <cfRule type="cellIs" dxfId="26681" priority="19940" operator="equal">
      <formula>"PTO"</formula>
    </cfRule>
  </conditionalFormatting>
  <conditionalFormatting sqref="E26">
    <cfRule type="cellIs" dxfId="26680" priority="19937" operator="equal">
      <formula>"OFF"</formula>
    </cfRule>
    <cfRule type="cellIs" dxfId="26679" priority="19938" operator="equal">
      <formula>"PTO"</formula>
    </cfRule>
  </conditionalFormatting>
  <conditionalFormatting sqref="E26">
    <cfRule type="cellIs" dxfId="26678" priority="19935" operator="equal">
      <formula>"OFF"</formula>
    </cfRule>
    <cfRule type="cellIs" dxfId="26677" priority="19936" operator="equal">
      <formula>"PTO"</formula>
    </cfRule>
  </conditionalFormatting>
  <conditionalFormatting sqref="E26">
    <cfRule type="cellIs" dxfId="26676" priority="19933" operator="equal">
      <formula>"OFF"</formula>
    </cfRule>
    <cfRule type="cellIs" dxfId="26675" priority="19934" operator="equal">
      <formula>"PTO"</formula>
    </cfRule>
  </conditionalFormatting>
  <conditionalFormatting sqref="E27">
    <cfRule type="cellIs" dxfId="26674" priority="19931" operator="equal">
      <formula>"OFF"</formula>
    </cfRule>
    <cfRule type="cellIs" dxfId="26673" priority="19932" operator="equal">
      <formula>"PTO"</formula>
    </cfRule>
  </conditionalFormatting>
  <conditionalFormatting sqref="E27">
    <cfRule type="cellIs" dxfId="26672" priority="19929" operator="equal">
      <formula>"OFF"</formula>
    </cfRule>
    <cfRule type="cellIs" dxfId="26671" priority="19930" operator="equal">
      <formula>"PTO"</formula>
    </cfRule>
  </conditionalFormatting>
  <conditionalFormatting sqref="E27">
    <cfRule type="cellIs" dxfId="26670" priority="19927" operator="equal">
      <formula>"OFF"</formula>
    </cfRule>
    <cfRule type="cellIs" dxfId="26669" priority="19928" operator="equal">
      <formula>"PTO"</formula>
    </cfRule>
  </conditionalFormatting>
  <conditionalFormatting sqref="E27">
    <cfRule type="cellIs" dxfId="26668" priority="19925" operator="equal">
      <formula>"OFF"</formula>
    </cfRule>
    <cfRule type="cellIs" dxfId="26667" priority="19926" operator="equal">
      <formula>"PTO"</formula>
    </cfRule>
  </conditionalFormatting>
  <conditionalFormatting sqref="E27">
    <cfRule type="cellIs" dxfId="26666" priority="19923" operator="equal">
      <formula>"OFF"</formula>
    </cfRule>
    <cfRule type="cellIs" dxfId="26665" priority="19924" operator="equal">
      <formula>"PTO"</formula>
    </cfRule>
  </conditionalFormatting>
  <conditionalFormatting sqref="E27">
    <cfRule type="cellIs" dxfId="26664" priority="19921" operator="equal">
      <formula>"OFF"</formula>
    </cfRule>
    <cfRule type="cellIs" dxfId="26663" priority="19922" operator="equal">
      <formula>"PTO"</formula>
    </cfRule>
  </conditionalFormatting>
  <conditionalFormatting sqref="E27">
    <cfRule type="cellIs" dxfId="26662" priority="19919" operator="equal">
      <formula>"OFF"</formula>
    </cfRule>
    <cfRule type="cellIs" dxfId="26661" priority="19920" operator="equal">
      <formula>"PTO"</formula>
    </cfRule>
  </conditionalFormatting>
  <conditionalFormatting sqref="E27">
    <cfRule type="cellIs" dxfId="26660" priority="19917" operator="equal">
      <formula>"OFF"</formula>
    </cfRule>
    <cfRule type="cellIs" dxfId="26659" priority="19918" operator="equal">
      <formula>"PTO"</formula>
    </cfRule>
  </conditionalFormatting>
  <conditionalFormatting sqref="E29">
    <cfRule type="cellIs" dxfId="26658" priority="19803" operator="equal">
      <formula>"OFF"</formula>
    </cfRule>
    <cfRule type="cellIs" dxfId="26657" priority="19804" operator="equal">
      <formula>"PTO"</formula>
    </cfRule>
  </conditionalFormatting>
  <conditionalFormatting sqref="E29">
    <cfRule type="cellIs" dxfId="26656" priority="19801" operator="equal">
      <formula>"OFF"</formula>
    </cfRule>
    <cfRule type="cellIs" dxfId="26655" priority="19802" operator="equal">
      <formula>"PTO"</formula>
    </cfRule>
  </conditionalFormatting>
  <conditionalFormatting sqref="E29">
    <cfRule type="cellIs" dxfId="26654" priority="19799" operator="equal">
      <formula>"OFF"</formula>
    </cfRule>
    <cfRule type="cellIs" dxfId="26653" priority="19800" operator="equal">
      <formula>"PTO"</formula>
    </cfRule>
  </conditionalFormatting>
  <conditionalFormatting sqref="E29">
    <cfRule type="cellIs" dxfId="26652" priority="19797" operator="equal">
      <formula>"OFF"</formula>
    </cfRule>
    <cfRule type="cellIs" dxfId="26651" priority="19798" operator="equal">
      <formula>"PTO"</formula>
    </cfRule>
  </conditionalFormatting>
  <conditionalFormatting sqref="E29">
    <cfRule type="cellIs" dxfId="26650" priority="19795" operator="equal">
      <formula>"OFF"</formula>
    </cfRule>
    <cfRule type="cellIs" dxfId="26649" priority="19796" operator="equal">
      <formula>"PTO"</formula>
    </cfRule>
  </conditionalFormatting>
  <conditionalFormatting sqref="E29">
    <cfRule type="cellIs" dxfId="26648" priority="19793" operator="equal">
      <formula>"OFF"</formula>
    </cfRule>
    <cfRule type="cellIs" dxfId="26647" priority="19794" operator="equal">
      <formula>"PTO"</formula>
    </cfRule>
  </conditionalFormatting>
  <conditionalFormatting sqref="E29">
    <cfRule type="cellIs" dxfId="26646" priority="19791" operator="equal">
      <formula>"OFF"</formula>
    </cfRule>
    <cfRule type="cellIs" dxfId="26645" priority="19792" operator="equal">
      <formula>"PTO"</formula>
    </cfRule>
  </conditionalFormatting>
  <conditionalFormatting sqref="E29">
    <cfRule type="cellIs" dxfId="26644" priority="19789" operator="equal">
      <formula>"OFF"</formula>
    </cfRule>
    <cfRule type="cellIs" dxfId="26643" priority="19790" operator="equal">
      <formula>"PTO"</formula>
    </cfRule>
  </conditionalFormatting>
  <conditionalFormatting sqref="C30">
    <cfRule type="cellIs" dxfId="26642" priority="19787" operator="equal">
      <formula>"OFF"</formula>
    </cfRule>
    <cfRule type="cellIs" dxfId="26641" priority="19788" operator="equal">
      <formula>"PTO"</formula>
    </cfRule>
  </conditionalFormatting>
  <conditionalFormatting sqref="C30:D30">
    <cfRule type="cellIs" dxfId="26640" priority="19785" operator="equal">
      <formula>"OFF"</formula>
    </cfRule>
    <cfRule type="cellIs" dxfId="26639" priority="19786" operator="equal">
      <formula>"PTO"</formula>
    </cfRule>
  </conditionalFormatting>
  <conditionalFormatting sqref="C30:D30">
    <cfRule type="cellIs" dxfId="26638" priority="19783" operator="equal">
      <formula>"OFF"</formula>
    </cfRule>
    <cfRule type="cellIs" dxfId="26637" priority="19784" operator="equal">
      <formula>"PTO"</formula>
    </cfRule>
  </conditionalFormatting>
  <conditionalFormatting sqref="C30">
    <cfRule type="cellIs" dxfId="26636" priority="19781" operator="equal">
      <formula>"OFF"</formula>
    </cfRule>
    <cfRule type="cellIs" dxfId="26635" priority="19782" operator="equal">
      <formula>"PTO"</formula>
    </cfRule>
  </conditionalFormatting>
  <conditionalFormatting sqref="C30">
    <cfRule type="cellIs" dxfId="26634" priority="19779" operator="equal">
      <formula>"OFF"</formula>
    </cfRule>
    <cfRule type="cellIs" dxfId="26633" priority="19780" operator="equal">
      <formula>"PTO"</formula>
    </cfRule>
  </conditionalFormatting>
  <conditionalFormatting sqref="C30">
    <cfRule type="cellIs" dxfId="26632" priority="19777" operator="equal">
      <formula>"OFF"</formula>
    </cfRule>
    <cfRule type="cellIs" dxfId="26631" priority="19778" operator="equal">
      <formula>"PTO"</formula>
    </cfRule>
  </conditionalFormatting>
  <conditionalFormatting sqref="C30">
    <cfRule type="cellIs" dxfId="26630" priority="19775" operator="equal">
      <formula>"OFF"</formula>
    </cfRule>
    <cfRule type="cellIs" dxfId="26629" priority="19776" operator="equal">
      <formula>"PTO"</formula>
    </cfRule>
  </conditionalFormatting>
  <conditionalFormatting sqref="D30">
    <cfRule type="cellIs" dxfId="26628" priority="19773" operator="equal">
      <formula>"OFF"</formula>
    </cfRule>
    <cfRule type="cellIs" dxfId="26627" priority="19774" operator="equal">
      <formula>"PTO"</formula>
    </cfRule>
  </conditionalFormatting>
  <conditionalFormatting sqref="D30">
    <cfRule type="cellIs" dxfId="26626" priority="19771" operator="equal">
      <formula>"OFF"</formula>
    </cfRule>
    <cfRule type="cellIs" dxfId="26625" priority="19772" operator="equal">
      <formula>"PTO"</formula>
    </cfRule>
  </conditionalFormatting>
  <conditionalFormatting sqref="D30">
    <cfRule type="cellIs" dxfId="26624" priority="19769" operator="equal">
      <formula>"OFF"</formula>
    </cfRule>
    <cfRule type="cellIs" dxfId="26623" priority="19770" operator="equal">
      <formula>"PTO"</formula>
    </cfRule>
  </conditionalFormatting>
  <conditionalFormatting sqref="D30">
    <cfRule type="cellIs" dxfId="26622" priority="19767" operator="equal">
      <formula>"OFF"</formula>
    </cfRule>
    <cfRule type="cellIs" dxfId="26621" priority="19768" operator="equal">
      <formula>"PTO"</formula>
    </cfRule>
  </conditionalFormatting>
  <conditionalFormatting sqref="C30">
    <cfRule type="cellIs" dxfId="26620" priority="19765" operator="equal">
      <formula>"OFF"</formula>
    </cfRule>
    <cfRule type="cellIs" dxfId="26619" priority="19766" operator="equal">
      <formula>"PTO"</formula>
    </cfRule>
  </conditionalFormatting>
  <conditionalFormatting sqref="C30">
    <cfRule type="cellIs" dxfId="26618" priority="19763" operator="equal">
      <formula>"OFF"</formula>
    </cfRule>
    <cfRule type="cellIs" dxfId="26617" priority="19764" operator="equal">
      <formula>"PTO"</formula>
    </cfRule>
  </conditionalFormatting>
  <conditionalFormatting sqref="C30">
    <cfRule type="cellIs" dxfId="26616" priority="19761" operator="equal">
      <formula>"OFF"</formula>
    </cfRule>
    <cfRule type="cellIs" dxfId="26615" priority="19762" operator="equal">
      <formula>"PTO"</formula>
    </cfRule>
  </conditionalFormatting>
  <conditionalFormatting sqref="C30">
    <cfRule type="cellIs" dxfId="26614" priority="19759" operator="equal">
      <formula>"OFF"</formula>
    </cfRule>
    <cfRule type="cellIs" dxfId="26613" priority="19760" operator="equal">
      <formula>"PTO"</formula>
    </cfRule>
  </conditionalFormatting>
  <conditionalFormatting sqref="D30">
    <cfRule type="cellIs" dxfId="26612" priority="19757" operator="equal">
      <formula>"OFF"</formula>
    </cfRule>
    <cfRule type="cellIs" dxfId="26611" priority="19758" operator="equal">
      <formula>"PTO"</formula>
    </cfRule>
  </conditionalFormatting>
  <conditionalFormatting sqref="D30">
    <cfRule type="cellIs" dxfId="26610" priority="19755" operator="equal">
      <formula>"OFF"</formula>
    </cfRule>
    <cfRule type="cellIs" dxfId="26609" priority="19756" operator="equal">
      <formula>"PTO"</formula>
    </cfRule>
  </conditionalFormatting>
  <conditionalFormatting sqref="D30">
    <cfRule type="cellIs" dxfId="26608" priority="19753" operator="equal">
      <formula>"OFF"</formula>
    </cfRule>
    <cfRule type="cellIs" dxfId="26607" priority="19754" operator="equal">
      <formula>"PTO"</formula>
    </cfRule>
  </conditionalFormatting>
  <conditionalFormatting sqref="D30">
    <cfRule type="cellIs" dxfId="26606" priority="19751" operator="equal">
      <formula>"OFF"</formula>
    </cfRule>
    <cfRule type="cellIs" dxfId="26605" priority="19752" operator="equal">
      <formula>"PTO"</formula>
    </cfRule>
  </conditionalFormatting>
  <conditionalFormatting sqref="C30">
    <cfRule type="cellIs" dxfId="26604" priority="19749" operator="equal">
      <formula>"OFF"</formula>
    </cfRule>
    <cfRule type="cellIs" dxfId="26603" priority="19750" operator="equal">
      <formula>"PTO"</formula>
    </cfRule>
  </conditionalFormatting>
  <conditionalFormatting sqref="C30">
    <cfRule type="cellIs" dxfId="26602" priority="19747" operator="equal">
      <formula>"OFF"</formula>
    </cfRule>
    <cfRule type="cellIs" dxfId="26601" priority="19748" operator="equal">
      <formula>"PTO"</formula>
    </cfRule>
  </conditionalFormatting>
  <conditionalFormatting sqref="C30">
    <cfRule type="cellIs" dxfId="26600" priority="19745" operator="equal">
      <formula>"OFF"</formula>
    </cfRule>
    <cfRule type="cellIs" dxfId="26599" priority="19746" operator="equal">
      <formula>"PTO"</formula>
    </cfRule>
  </conditionalFormatting>
  <conditionalFormatting sqref="C30">
    <cfRule type="cellIs" dxfId="26598" priority="19743" operator="equal">
      <formula>"OFF"</formula>
    </cfRule>
    <cfRule type="cellIs" dxfId="26597" priority="19744" operator="equal">
      <formula>"PTO"</formula>
    </cfRule>
  </conditionalFormatting>
  <conditionalFormatting sqref="D30">
    <cfRule type="cellIs" dxfId="26596" priority="19741" operator="equal">
      <formula>"OFF"</formula>
    </cfRule>
    <cfRule type="cellIs" dxfId="26595" priority="19742" operator="equal">
      <formula>"PTO"</formula>
    </cfRule>
  </conditionalFormatting>
  <conditionalFormatting sqref="D30">
    <cfRule type="cellIs" dxfId="26594" priority="19739" operator="equal">
      <formula>"OFF"</formula>
    </cfRule>
    <cfRule type="cellIs" dxfId="26593" priority="19740" operator="equal">
      <formula>"PTO"</formula>
    </cfRule>
  </conditionalFormatting>
  <conditionalFormatting sqref="D30">
    <cfRule type="cellIs" dxfId="26592" priority="19737" operator="equal">
      <formula>"OFF"</formula>
    </cfRule>
    <cfRule type="cellIs" dxfId="26591" priority="19738" operator="equal">
      <formula>"PTO"</formula>
    </cfRule>
  </conditionalFormatting>
  <conditionalFormatting sqref="D30">
    <cfRule type="cellIs" dxfId="26590" priority="19735" operator="equal">
      <formula>"OFF"</formula>
    </cfRule>
    <cfRule type="cellIs" dxfId="26589" priority="19736" operator="equal">
      <formula>"PTO"</formula>
    </cfRule>
  </conditionalFormatting>
  <conditionalFormatting sqref="C30">
    <cfRule type="cellIs" dxfId="26588" priority="19733" operator="equal">
      <formula>"OFF"</formula>
    </cfRule>
    <cfRule type="cellIs" dxfId="26587" priority="19734" operator="equal">
      <formula>"PTO"</formula>
    </cfRule>
  </conditionalFormatting>
  <conditionalFormatting sqref="C30">
    <cfRule type="cellIs" dxfId="26586" priority="19731" operator="equal">
      <formula>"OFF"</formula>
    </cfRule>
    <cfRule type="cellIs" dxfId="26585" priority="19732" operator="equal">
      <formula>"PTO"</formula>
    </cfRule>
  </conditionalFormatting>
  <conditionalFormatting sqref="C30">
    <cfRule type="cellIs" dxfId="26584" priority="19729" operator="equal">
      <formula>"OFF"</formula>
    </cfRule>
    <cfRule type="cellIs" dxfId="26583" priority="19730" operator="equal">
      <formula>"PTO"</formula>
    </cfRule>
  </conditionalFormatting>
  <conditionalFormatting sqref="C30">
    <cfRule type="cellIs" dxfId="26582" priority="19727" operator="equal">
      <formula>"OFF"</formula>
    </cfRule>
    <cfRule type="cellIs" dxfId="26581" priority="19728" operator="equal">
      <formula>"PTO"</formula>
    </cfRule>
  </conditionalFormatting>
  <conditionalFormatting sqref="D30">
    <cfRule type="cellIs" dxfId="26580" priority="19725" operator="equal">
      <formula>"OFF"</formula>
    </cfRule>
    <cfRule type="cellIs" dxfId="26579" priority="19726" operator="equal">
      <formula>"PTO"</formula>
    </cfRule>
  </conditionalFormatting>
  <conditionalFormatting sqref="D30">
    <cfRule type="cellIs" dxfId="26578" priority="19723" operator="equal">
      <formula>"OFF"</formula>
    </cfRule>
    <cfRule type="cellIs" dxfId="26577" priority="19724" operator="equal">
      <formula>"PTO"</formula>
    </cfRule>
  </conditionalFormatting>
  <conditionalFormatting sqref="D30">
    <cfRule type="cellIs" dxfId="26576" priority="19721" operator="equal">
      <formula>"OFF"</formula>
    </cfRule>
    <cfRule type="cellIs" dxfId="26575" priority="19722" operator="equal">
      <formula>"PTO"</formula>
    </cfRule>
  </conditionalFormatting>
  <conditionalFormatting sqref="D30">
    <cfRule type="cellIs" dxfId="26574" priority="19719" operator="equal">
      <formula>"OFF"</formula>
    </cfRule>
    <cfRule type="cellIs" dxfId="26573" priority="19720" operator="equal">
      <formula>"PTO"</formula>
    </cfRule>
  </conditionalFormatting>
  <conditionalFormatting sqref="C30">
    <cfRule type="cellIs" dxfId="26572" priority="19717" operator="equal">
      <formula>"OFF"</formula>
    </cfRule>
    <cfRule type="cellIs" dxfId="26571" priority="19718" operator="equal">
      <formula>"PTO"</formula>
    </cfRule>
  </conditionalFormatting>
  <conditionalFormatting sqref="C30">
    <cfRule type="cellIs" dxfId="26570" priority="19715" operator="equal">
      <formula>"OFF"</formula>
    </cfRule>
    <cfRule type="cellIs" dxfId="26569" priority="19716" operator="equal">
      <formula>"PTO"</formula>
    </cfRule>
  </conditionalFormatting>
  <conditionalFormatting sqref="C30">
    <cfRule type="cellIs" dxfId="26568" priority="19713" operator="equal">
      <formula>"OFF"</formula>
    </cfRule>
    <cfRule type="cellIs" dxfId="26567" priority="19714" operator="equal">
      <formula>"PTO"</formula>
    </cfRule>
  </conditionalFormatting>
  <conditionalFormatting sqref="C30">
    <cfRule type="cellIs" dxfId="26566" priority="19711" operator="equal">
      <formula>"OFF"</formula>
    </cfRule>
    <cfRule type="cellIs" dxfId="26565" priority="19712" operator="equal">
      <formula>"PTO"</formula>
    </cfRule>
  </conditionalFormatting>
  <conditionalFormatting sqref="C30">
    <cfRule type="cellIs" dxfId="26564" priority="19709" operator="equal">
      <formula>"OFF"</formula>
    </cfRule>
    <cfRule type="cellIs" dxfId="26563" priority="19710" operator="equal">
      <formula>"PTO"</formula>
    </cfRule>
  </conditionalFormatting>
  <conditionalFormatting sqref="C30">
    <cfRule type="cellIs" dxfId="26562" priority="19707" operator="equal">
      <formula>"OFF"</formula>
    </cfRule>
    <cfRule type="cellIs" dxfId="26561" priority="19708" operator="equal">
      <formula>"PTO"</formula>
    </cfRule>
  </conditionalFormatting>
  <conditionalFormatting sqref="C30">
    <cfRule type="cellIs" dxfId="26560" priority="19705" operator="equal">
      <formula>"OFF"</formula>
    </cfRule>
    <cfRule type="cellIs" dxfId="26559" priority="19706" operator="equal">
      <formula>"PTO"</formula>
    </cfRule>
  </conditionalFormatting>
  <conditionalFormatting sqref="C30">
    <cfRule type="cellIs" dxfId="26558" priority="19703" operator="equal">
      <formula>"OFF"</formula>
    </cfRule>
    <cfRule type="cellIs" dxfId="26557" priority="19704" operator="equal">
      <formula>"PTO"</formula>
    </cfRule>
  </conditionalFormatting>
  <conditionalFormatting sqref="C30">
    <cfRule type="cellIs" dxfId="26556" priority="19701" operator="equal">
      <formula>"OFF"</formula>
    </cfRule>
    <cfRule type="cellIs" dxfId="26555" priority="19702" operator="equal">
      <formula>"PTO"</formula>
    </cfRule>
  </conditionalFormatting>
  <conditionalFormatting sqref="C30">
    <cfRule type="cellIs" dxfId="26554" priority="19699" operator="equal">
      <formula>"OFF"</formula>
    </cfRule>
    <cfRule type="cellIs" dxfId="26553" priority="19700" operator="equal">
      <formula>"PTO"</formula>
    </cfRule>
  </conditionalFormatting>
  <conditionalFormatting sqref="C30">
    <cfRule type="cellIs" dxfId="26552" priority="19697" operator="equal">
      <formula>"OFF"</formula>
    </cfRule>
    <cfRule type="cellIs" dxfId="26551" priority="19698" operator="equal">
      <formula>"PTO"</formula>
    </cfRule>
  </conditionalFormatting>
  <conditionalFormatting sqref="C30">
    <cfRule type="cellIs" dxfId="26550" priority="19695" operator="equal">
      <formula>"OFF"</formula>
    </cfRule>
    <cfRule type="cellIs" dxfId="26549" priority="19696" operator="equal">
      <formula>"PTO"</formula>
    </cfRule>
  </conditionalFormatting>
  <conditionalFormatting sqref="C30">
    <cfRule type="cellIs" dxfId="26548" priority="19693" operator="equal">
      <formula>"OFF"</formula>
    </cfRule>
    <cfRule type="cellIs" dxfId="26547" priority="19694" operator="equal">
      <formula>"PTO"</formula>
    </cfRule>
  </conditionalFormatting>
  <conditionalFormatting sqref="C30">
    <cfRule type="cellIs" dxfId="26546" priority="19691" operator="equal">
      <formula>"OFF"</formula>
    </cfRule>
    <cfRule type="cellIs" dxfId="26545" priority="19692" operator="equal">
      <formula>"PTO"</formula>
    </cfRule>
  </conditionalFormatting>
  <conditionalFormatting sqref="C30">
    <cfRule type="cellIs" dxfId="26544" priority="19689" operator="equal">
      <formula>"OFF"</formula>
    </cfRule>
    <cfRule type="cellIs" dxfId="26543" priority="19690" operator="equal">
      <formula>"PTO"</formula>
    </cfRule>
  </conditionalFormatting>
  <conditionalFormatting sqref="C30">
    <cfRule type="cellIs" dxfId="26542" priority="19687" operator="equal">
      <formula>"OFF"</formula>
    </cfRule>
    <cfRule type="cellIs" dxfId="26541" priority="19688" operator="equal">
      <formula>"PTO"</formula>
    </cfRule>
  </conditionalFormatting>
  <conditionalFormatting sqref="C30">
    <cfRule type="cellIs" dxfId="26540" priority="19685" operator="equal">
      <formula>"OFF"</formula>
    </cfRule>
    <cfRule type="cellIs" dxfId="26539" priority="19686" operator="equal">
      <formula>"PTO"</formula>
    </cfRule>
  </conditionalFormatting>
  <conditionalFormatting sqref="C30">
    <cfRule type="cellIs" dxfId="26538" priority="19683" operator="equal">
      <formula>"OFF"</formula>
    </cfRule>
    <cfRule type="cellIs" dxfId="26537" priority="19684" operator="equal">
      <formula>"PTO"</formula>
    </cfRule>
  </conditionalFormatting>
  <conditionalFormatting sqref="C30">
    <cfRule type="cellIs" dxfId="26536" priority="19681" operator="equal">
      <formula>"OFF"</formula>
    </cfRule>
    <cfRule type="cellIs" dxfId="26535" priority="19682" operator="equal">
      <formula>"PTO"</formula>
    </cfRule>
  </conditionalFormatting>
  <conditionalFormatting sqref="C30">
    <cfRule type="cellIs" dxfId="26534" priority="19679" operator="equal">
      <formula>"OFF"</formula>
    </cfRule>
    <cfRule type="cellIs" dxfId="26533" priority="19680" operator="equal">
      <formula>"PTO"</formula>
    </cfRule>
  </conditionalFormatting>
  <conditionalFormatting sqref="C30">
    <cfRule type="cellIs" dxfId="26532" priority="19677" operator="equal">
      <formula>"OFF"</formula>
    </cfRule>
    <cfRule type="cellIs" dxfId="26531" priority="19678" operator="equal">
      <formula>"PTO"</formula>
    </cfRule>
  </conditionalFormatting>
  <conditionalFormatting sqref="C30">
    <cfRule type="cellIs" dxfId="26530" priority="19675" operator="equal">
      <formula>"OFF"</formula>
    </cfRule>
    <cfRule type="cellIs" dxfId="26529" priority="19676" operator="equal">
      <formula>"PTO"</formula>
    </cfRule>
  </conditionalFormatting>
  <conditionalFormatting sqref="C30">
    <cfRule type="cellIs" dxfId="26528" priority="19673" operator="equal">
      <formula>"OFF"</formula>
    </cfRule>
    <cfRule type="cellIs" dxfId="26527" priority="19674" operator="equal">
      <formula>"PTO"</formula>
    </cfRule>
  </conditionalFormatting>
  <conditionalFormatting sqref="C30">
    <cfRule type="cellIs" dxfId="26526" priority="19671" operator="equal">
      <formula>"OFF"</formula>
    </cfRule>
    <cfRule type="cellIs" dxfId="26525" priority="19672" operator="equal">
      <formula>"PTO"</formula>
    </cfRule>
  </conditionalFormatting>
  <conditionalFormatting sqref="C30">
    <cfRule type="cellIs" dxfId="26524" priority="19669" operator="equal">
      <formula>"OFF"</formula>
    </cfRule>
    <cfRule type="cellIs" dxfId="26523" priority="19670" operator="equal">
      <formula>"PTO"</formula>
    </cfRule>
  </conditionalFormatting>
  <conditionalFormatting sqref="D30">
    <cfRule type="cellIs" dxfId="26522" priority="19667" operator="equal">
      <formula>"OFF"</formula>
    </cfRule>
    <cfRule type="cellIs" dxfId="26521" priority="19668" operator="equal">
      <formula>"PTO"</formula>
    </cfRule>
  </conditionalFormatting>
  <conditionalFormatting sqref="D30">
    <cfRule type="cellIs" dxfId="26520" priority="19665" operator="equal">
      <formula>"OFF"</formula>
    </cfRule>
    <cfRule type="cellIs" dxfId="26519" priority="19666" operator="equal">
      <formula>"PTO"</formula>
    </cfRule>
  </conditionalFormatting>
  <conditionalFormatting sqref="D30">
    <cfRule type="cellIs" dxfId="26518" priority="19663" operator="equal">
      <formula>"OFF"</formula>
    </cfRule>
    <cfRule type="cellIs" dxfId="26517" priority="19664" operator="equal">
      <formula>"PTO"</formula>
    </cfRule>
  </conditionalFormatting>
  <conditionalFormatting sqref="D30">
    <cfRule type="cellIs" dxfId="26516" priority="19661" operator="equal">
      <formula>"OFF"</formula>
    </cfRule>
    <cfRule type="cellIs" dxfId="26515" priority="19662" operator="equal">
      <formula>"PTO"</formula>
    </cfRule>
  </conditionalFormatting>
  <conditionalFormatting sqref="D30">
    <cfRule type="cellIs" dxfId="26514" priority="19659" operator="equal">
      <formula>"OFF"</formula>
    </cfRule>
    <cfRule type="cellIs" dxfId="26513" priority="19660" operator="equal">
      <formula>"PTO"</formula>
    </cfRule>
  </conditionalFormatting>
  <conditionalFormatting sqref="D30">
    <cfRule type="cellIs" dxfId="26512" priority="19657" operator="equal">
      <formula>"OFF"</formula>
    </cfRule>
    <cfRule type="cellIs" dxfId="26511" priority="19658" operator="equal">
      <formula>"PTO"</formula>
    </cfRule>
  </conditionalFormatting>
  <conditionalFormatting sqref="D30">
    <cfRule type="cellIs" dxfId="26510" priority="19655" operator="equal">
      <formula>"OFF"</formula>
    </cfRule>
    <cfRule type="cellIs" dxfId="26509" priority="19656" operator="equal">
      <formula>"PTO"</formula>
    </cfRule>
  </conditionalFormatting>
  <conditionalFormatting sqref="D30">
    <cfRule type="cellIs" dxfId="26508" priority="19653" operator="equal">
      <formula>"OFF"</formula>
    </cfRule>
    <cfRule type="cellIs" dxfId="26507" priority="19654" operator="equal">
      <formula>"PTO"</formula>
    </cfRule>
  </conditionalFormatting>
  <conditionalFormatting sqref="D30">
    <cfRule type="cellIs" dxfId="26506" priority="19651" operator="equal">
      <formula>"OFF"</formula>
    </cfRule>
    <cfRule type="cellIs" dxfId="26505" priority="19652" operator="equal">
      <formula>"PTO"</formula>
    </cfRule>
  </conditionalFormatting>
  <conditionalFormatting sqref="D30">
    <cfRule type="cellIs" dxfId="26504" priority="19649" operator="equal">
      <formula>"OFF"</formula>
    </cfRule>
    <cfRule type="cellIs" dxfId="26503" priority="19650" operator="equal">
      <formula>"PTO"</formula>
    </cfRule>
  </conditionalFormatting>
  <conditionalFormatting sqref="D30">
    <cfRule type="cellIs" dxfId="26502" priority="19647" operator="equal">
      <formula>"OFF"</formula>
    </cfRule>
    <cfRule type="cellIs" dxfId="26501" priority="19648" operator="equal">
      <formula>"PTO"</formula>
    </cfRule>
  </conditionalFormatting>
  <conditionalFormatting sqref="D30">
    <cfRule type="cellIs" dxfId="26500" priority="19645" operator="equal">
      <formula>"OFF"</formula>
    </cfRule>
    <cfRule type="cellIs" dxfId="26499" priority="19646" operator="equal">
      <formula>"PTO"</formula>
    </cfRule>
  </conditionalFormatting>
  <conditionalFormatting sqref="D30">
    <cfRule type="cellIs" dxfId="26498" priority="19643" operator="equal">
      <formula>"OFF"</formula>
    </cfRule>
    <cfRule type="cellIs" dxfId="26497" priority="19644" operator="equal">
      <formula>"PTO"</formula>
    </cfRule>
  </conditionalFormatting>
  <conditionalFormatting sqref="D30">
    <cfRule type="cellIs" dxfId="26496" priority="19641" operator="equal">
      <formula>"OFF"</formula>
    </cfRule>
    <cfRule type="cellIs" dxfId="26495" priority="19642" operator="equal">
      <formula>"PTO"</formula>
    </cfRule>
  </conditionalFormatting>
  <conditionalFormatting sqref="D30">
    <cfRule type="cellIs" dxfId="26494" priority="19639" operator="equal">
      <formula>"OFF"</formula>
    </cfRule>
    <cfRule type="cellIs" dxfId="26493" priority="19640" operator="equal">
      <formula>"PTO"</formula>
    </cfRule>
  </conditionalFormatting>
  <conditionalFormatting sqref="D30">
    <cfRule type="cellIs" dxfId="26492" priority="19637" operator="equal">
      <formula>"OFF"</formula>
    </cfRule>
    <cfRule type="cellIs" dxfId="26491" priority="19638" operator="equal">
      <formula>"PTO"</formula>
    </cfRule>
  </conditionalFormatting>
  <conditionalFormatting sqref="D30">
    <cfRule type="cellIs" dxfId="26490" priority="19635" operator="equal">
      <formula>"OFF"</formula>
    </cfRule>
    <cfRule type="cellIs" dxfId="26489" priority="19636" operator="equal">
      <formula>"PTO"</formula>
    </cfRule>
  </conditionalFormatting>
  <conditionalFormatting sqref="D30">
    <cfRule type="cellIs" dxfId="26488" priority="19633" operator="equal">
      <formula>"OFF"</formula>
    </cfRule>
    <cfRule type="cellIs" dxfId="26487" priority="19634" operator="equal">
      <formula>"PTO"</formula>
    </cfRule>
  </conditionalFormatting>
  <conditionalFormatting sqref="D30">
    <cfRule type="cellIs" dxfId="26486" priority="19631" operator="equal">
      <formula>"OFF"</formula>
    </cfRule>
    <cfRule type="cellIs" dxfId="26485" priority="19632" operator="equal">
      <formula>"PTO"</formula>
    </cfRule>
  </conditionalFormatting>
  <conditionalFormatting sqref="D30">
    <cfRule type="cellIs" dxfId="26484" priority="19629" operator="equal">
      <formula>"OFF"</formula>
    </cfRule>
    <cfRule type="cellIs" dxfId="26483" priority="19630" operator="equal">
      <formula>"PTO"</formula>
    </cfRule>
  </conditionalFormatting>
  <conditionalFormatting sqref="D30">
    <cfRule type="cellIs" dxfId="26482" priority="19627" operator="equal">
      <formula>"OFF"</formula>
    </cfRule>
    <cfRule type="cellIs" dxfId="26481" priority="19628" operator="equal">
      <formula>"PTO"</formula>
    </cfRule>
  </conditionalFormatting>
  <conditionalFormatting sqref="D30">
    <cfRule type="cellIs" dxfId="26480" priority="19625" operator="equal">
      <formula>"OFF"</formula>
    </cfRule>
    <cfRule type="cellIs" dxfId="26479" priority="19626" operator="equal">
      <formula>"PTO"</formula>
    </cfRule>
  </conditionalFormatting>
  <conditionalFormatting sqref="D30">
    <cfRule type="cellIs" dxfId="26478" priority="19623" operator="equal">
      <formula>"OFF"</formula>
    </cfRule>
    <cfRule type="cellIs" dxfId="26477" priority="19624" operator="equal">
      <formula>"PTO"</formula>
    </cfRule>
  </conditionalFormatting>
  <conditionalFormatting sqref="D30">
    <cfRule type="cellIs" dxfId="26476" priority="19621" operator="equal">
      <formula>"OFF"</formula>
    </cfRule>
    <cfRule type="cellIs" dxfId="26475" priority="19622" operator="equal">
      <formula>"PTO"</formula>
    </cfRule>
  </conditionalFormatting>
  <conditionalFormatting sqref="D30">
    <cfRule type="cellIs" dxfId="26474" priority="19619" operator="equal">
      <formula>"OFF"</formula>
    </cfRule>
    <cfRule type="cellIs" dxfId="26473" priority="19620" operator="equal">
      <formula>"PTO"</formula>
    </cfRule>
  </conditionalFormatting>
  <conditionalFormatting sqref="I26 I30 I32:I33 I35:I36 I38:I39">
    <cfRule type="cellIs" dxfId="26472" priority="19615" operator="equal">
      <formula>"OFF"</formula>
    </cfRule>
    <cfRule type="cellIs" dxfId="26471" priority="19616" operator="equal">
      <formula>"PTO"</formula>
    </cfRule>
  </conditionalFormatting>
  <conditionalFormatting sqref="I26 I30 I32:I33 I35:I36 I38:I39">
    <cfRule type="cellIs" dxfId="26470" priority="19613" operator="equal">
      <formula>"OFF"</formula>
    </cfRule>
    <cfRule type="cellIs" dxfId="26469" priority="19614" operator="equal">
      <formula>"PTO"</formula>
    </cfRule>
  </conditionalFormatting>
  <conditionalFormatting sqref="I26 I30 I32:I33 I35:I36 I38:I39">
    <cfRule type="cellIs" dxfId="26468" priority="19611" operator="equal">
      <formula>"OFF"</formula>
    </cfRule>
    <cfRule type="cellIs" dxfId="26467" priority="19612" operator="equal">
      <formula>"PTO"</formula>
    </cfRule>
  </conditionalFormatting>
  <conditionalFormatting sqref="I26 I30 I32:I33 I35:I36 I38:I39">
    <cfRule type="cellIs" dxfId="26466" priority="19609" operator="equal">
      <formula>"OFF"</formula>
    </cfRule>
    <cfRule type="cellIs" dxfId="26465" priority="19610" operator="equal">
      <formula>"PTO"</formula>
    </cfRule>
  </conditionalFormatting>
  <conditionalFormatting sqref="I26 I30 I32:I33 I35:I36 I38:I39">
    <cfRule type="cellIs" dxfId="26464" priority="19607" operator="equal">
      <formula>"OFF"</formula>
    </cfRule>
    <cfRule type="cellIs" dxfId="26463" priority="19608" operator="equal">
      <formula>"PTO"</formula>
    </cfRule>
  </conditionalFormatting>
  <conditionalFormatting sqref="I26 I30 I32:I33 I35:I36 I38:I39">
    <cfRule type="cellIs" dxfId="26462" priority="19605" operator="equal">
      <formula>"OFF"</formula>
    </cfRule>
    <cfRule type="cellIs" dxfId="26461" priority="19606" operator="equal">
      <formula>"PTO"</formula>
    </cfRule>
  </conditionalFormatting>
  <conditionalFormatting sqref="I26 I30 I32:I33 I35:I36 I38:I39">
    <cfRule type="cellIs" dxfId="26460" priority="19603" operator="equal">
      <formula>"OFF"</formula>
    </cfRule>
    <cfRule type="cellIs" dxfId="26459" priority="19604" operator="equal">
      <formula>"PTO"</formula>
    </cfRule>
  </conditionalFormatting>
  <conditionalFormatting sqref="I26 I30 I32:I33 I35:I36 I38:I39">
    <cfRule type="cellIs" dxfId="26458" priority="19601" operator="equal">
      <formula>"OFF"</formula>
    </cfRule>
    <cfRule type="cellIs" dxfId="26457" priority="19602" operator="equal">
      <formula>"PTO"</formula>
    </cfRule>
  </conditionalFormatting>
  <conditionalFormatting sqref="C30">
    <cfRule type="cellIs" dxfId="26456" priority="19599" operator="equal">
      <formula>"OFF"</formula>
    </cfRule>
    <cfRule type="cellIs" dxfId="26455" priority="19600" operator="equal">
      <formula>"PTO"</formula>
    </cfRule>
  </conditionalFormatting>
  <conditionalFormatting sqref="C30:D30">
    <cfRule type="cellIs" dxfId="26454" priority="19597" operator="equal">
      <formula>"OFF"</formula>
    </cfRule>
    <cfRule type="cellIs" dxfId="26453" priority="19598" operator="equal">
      <formula>"PTO"</formula>
    </cfRule>
  </conditionalFormatting>
  <conditionalFormatting sqref="C30:D30">
    <cfRule type="cellIs" dxfId="26452" priority="19595" operator="equal">
      <formula>"OFF"</formula>
    </cfRule>
    <cfRule type="cellIs" dxfId="26451" priority="19596" operator="equal">
      <formula>"PTO"</formula>
    </cfRule>
  </conditionalFormatting>
  <conditionalFormatting sqref="C30">
    <cfRule type="cellIs" dxfId="26450" priority="19593" operator="equal">
      <formula>"OFF"</formula>
    </cfRule>
    <cfRule type="cellIs" dxfId="26449" priority="19594" operator="equal">
      <formula>"PTO"</formula>
    </cfRule>
  </conditionalFormatting>
  <conditionalFormatting sqref="C30">
    <cfRule type="cellIs" dxfId="26448" priority="19591" operator="equal">
      <formula>"OFF"</formula>
    </cfRule>
    <cfRule type="cellIs" dxfId="26447" priority="19592" operator="equal">
      <formula>"PTO"</formula>
    </cfRule>
  </conditionalFormatting>
  <conditionalFormatting sqref="C30">
    <cfRule type="cellIs" dxfId="26446" priority="19589" operator="equal">
      <formula>"OFF"</formula>
    </cfRule>
    <cfRule type="cellIs" dxfId="26445" priority="19590" operator="equal">
      <formula>"PTO"</formula>
    </cfRule>
  </conditionalFormatting>
  <conditionalFormatting sqref="C30">
    <cfRule type="cellIs" dxfId="26444" priority="19587" operator="equal">
      <formula>"OFF"</formula>
    </cfRule>
    <cfRule type="cellIs" dxfId="26443" priority="19588" operator="equal">
      <formula>"PTO"</formula>
    </cfRule>
  </conditionalFormatting>
  <conditionalFormatting sqref="D30">
    <cfRule type="cellIs" dxfId="26442" priority="19585" operator="equal">
      <formula>"OFF"</formula>
    </cfRule>
    <cfRule type="cellIs" dxfId="26441" priority="19586" operator="equal">
      <formula>"PTO"</formula>
    </cfRule>
  </conditionalFormatting>
  <conditionalFormatting sqref="D30">
    <cfRule type="cellIs" dxfId="26440" priority="19583" operator="equal">
      <formula>"OFF"</formula>
    </cfRule>
    <cfRule type="cellIs" dxfId="26439" priority="19584" operator="equal">
      <formula>"PTO"</formula>
    </cfRule>
  </conditionalFormatting>
  <conditionalFormatting sqref="D30">
    <cfRule type="cellIs" dxfId="26438" priority="19581" operator="equal">
      <formula>"OFF"</formula>
    </cfRule>
    <cfRule type="cellIs" dxfId="26437" priority="19582" operator="equal">
      <formula>"PTO"</formula>
    </cfRule>
  </conditionalFormatting>
  <conditionalFormatting sqref="D30">
    <cfRule type="cellIs" dxfId="26436" priority="19579" operator="equal">
      <formula>"OFF"</formula>
    </cfRule>
    <cfRule type="cellIs" dxfId="26435" priority="19580" operator="equal">
      <formula>"PTO"</formula>
    </cfRule>
  </conditionalFormatting>
  <conditionalFormatting sqref="C30">
    <cfRule type="cellIs" dxfId="26434" priority="19577" operator="equal">
      <formula>"OFF"</formula>
    </cfRule>
    <cfRule type="cellIs" dxfId="26433" priority="19578" operator="equal">
      <formula>"PTO"</formula>
    </cfRule>
  </conditionalFormatting>
  <conditionalFormatting sqref="C30">
    <cfRule type="cellIs" dxfId="26432" priority="19575" operator="equal">
      <formula>"OFF"</formula>
    </cfRule>
    <cfRule type="cellIs" dxfId="26431" priority="19576" operator="equal">
      <formula>"PTO"</formula>
    </cfRule>
  </conditionalFormatting>
  <conditionalFormatting sqref="C30">
    <cfRule type="cellIs" dxfId="26430" priority="19573" operator="equal">
      <formula>"OFF"</formula>
    </cfRule>
    <cfRule type="cellIs" dxfId="26429" priority="19574" operator="equal">
      <formula>"PTO"</formula>
    </cfRule>
  </conditionalFormatting>
  <conditionalFormatting sqref="C30">
    <cfRule type="cellIs" dxfId="26428" priority="19571" operator="equal">
      <formula>"OFF"</formula>
    </cfRule>
    <cfRule type="cellIs" dxfId="26427" priority="19572" operator="equal">
      <formula>"PTO"</formula>
    </cfRule>
  </conditionalFormatting>
  <conditionalFormatting sqref="D30">
    <cfRule type="cellIs" dxfId="26426" priority="19569" operator="equal">
      <formula>"OFF"</formula>
    </cfRule>
    <cfRule type="cellIs" dxfId="26425" priority="19570" operator="equal">
      <formula>"PTO"</formula>
    </cfRule>
  </conditionalFormatting>
  <conditionalFormatting sqref="D30">
    <cfRule type="cellIs" dxfId="26424" priority="19567" operator="equal">
      <formula>"OFF"</formula>
    </cfRule>
    <cfRule type="cellIs" dxfId="26423" priority="19568" operator="equal">
      <formula>"PTO"</formula>
    </cfRule>
  </conditionalFormatting>
  <conditionalFormatting sqref="D30">
    <cfRule type="cellIs" dxfId="26422" priority="19565" operator="equal">
      <formula>"OFF"</formula>
    </cfRule>
    <cfRule type="cellIs" dxfId="26421" priority="19566" operator="equal">
      <formula>"PTO"</formula>
    </cfRule>
  </conditionalFormatting>
  <conditionalFormatting sqref="D30">
    <cfRule type="cellIs" dxfId="26420" priority="19563" operator="equal">
      <formula>"OFF"</formula>
    </cfRule>
    <cfRule type="cellIs" dxfId="26419" priority="19564" operator="equal">
      <formula>"PTO"</formula>
    </cfRule>
  </conditionalFormatting>
  <conditionalFormatting sqref="C30">
    <cfRule type="cellIs" dxfId="26418" priority="19561" operator="equal">
      <formula>"OFF"</formula>
    </cfRule>
    <cfRule type="cellIs" dxfId="26417" priority="19562" operator="equal">
      <formula>"PTO"</formula>
    </cfRule>
  </conditionalFormatting>
  <conditionalFormatting sqref="C30">
    <cfRule type="cellIs" dxfId="26416" priority="19559" operator="equal">
      <formula>"OFF"</formula>
    </cfRule>
    <cfRule type="cellIs" dxfId="26415" priority="19560" operator="equal">
      <formula>"PTO"</formula>
    </cfRule>
  </conditionalFormatting>
  <conditionalFormatting sqref="C30">
    <cfRule type="cellIs" dxfId="26414" priority="19557" operator="equal">
      <formula>"OFF"</formula>
    </cfRule>
    <cfRule type="cellIs" dxfId="26413" priority="19558" operator="equal">
      <formula>"PTO"</formula>
    </cfRule>
  </conditionalFormatting>
  <conditionalFormatting sqref="C30">
    <cfRule type="cellIs" dxfId="26412" priority="19555" operator="equal">
      <formula>"OFF"</formula>
    </cfRule>
    <cfRule type="cellIs" dxfId="26411" priority="19556" operator="equal">
      <formula>"PTO"</formula>
    </cfRule>
  </conditionalFormatting>
  <conditionalFormatting sqref="D30">
    <cfRule type="cellIs" dxfId="26410" priority="19553" operator="equal">
      <formula>"OFF"</formula>
    </cfRule>
    <cfRule type="cellIs" dxfId="26409" priority="19554" operator="equal">
      <formula>"PTO"</formula>
    </cfRule>
  </conditionalFormatting>
  <conditionalFormatting sqref="D30">
    <cfRule type="cellIs" dxfId="26408" priority="19551" operator="equal">
      <formula>"OFF"</formula>
    </cfRule>
    <cfRule type="cellIs" dxfId="26407" priority="19552" operator="equal">
      <formula>"PTO"</formula>
    </cfRule>
  </conditionalFormatting>
  <conditionalFormatting sqref="D30">
    <cfRule type="cellIs" dxfId="26406" priority="19549" operator="equal">
      <formula>"OFF"</formula>
    </cfRule>
    <cfRule type="cellIs" dxfId="26405" priority="19550" operator="equal">
      <formula>"PTO"</formula>
    </cfRule>
  </conditionalFormatting>
  <conditionalFormatting sqref="D30">
    <cfRule type="cellIs" dxfId="26404" priority="19547" operator="equal">
      <formula>"OFF"</formula>
    </cfRule>
    <cfRule type="cellIs" dxfId="26403" priority="19548" operator="equal">
      <formula>"PTO"</formula>
    </cfRule>
  </conditionalFormatting>
  <conditionalFormatting sqref="C30">
    <cfRule type="cellIs" dxfId="26402" priority="19545" operator="equal">
      <formula>"OFF"</formula>
    </cfRule>
    <cfRule type="cellIs" dxfId="26401" priority="19546" operator="equal">
      <formula>"PTO"</formula>
    </cfRule>
  </conditionalFormatting>
  <conditionalFormatting sqref="C30">
    <cfRule type="cellIs" dxfId="26400" priority="19543" operator="equal">
      <formula>"OFF"</formula>
    </cfRule>
    <cfRule type="cellIs" dxfId="26399" priority="19544" operator="equal">
      <formula>"PTO"</formula>
    </cfRule>
  </conditionalFormatting>
  <conditionalFormatting sqref="C30">
    <cfRule type="cellIs" dxfId="26398" priority="19541" operator="equal">
      <formula>"OFF"</formula>
    </cfRule>
    <cfRule type="cellIs" dxfId="26397" priority="19542" operator="equal">
      <formula>"PTO"</formula>
    </cfRule>
  </conditionalFormatting>
  <conditionalFormatting sqref="C30">
    <cfRule type="cellIs" dxfId="26396" priority="19539" operator="equal">
      <formula>"OFF"</formula>
    </cfRule>
    <cfRule type="cellIs" dxfId="26395" priority="19540" operator="equal">
      <formula>"PTO"</formula>
    </cfRule>
  </conditionalFormatting>
  <conditionalFormatting sqref="D30">
    <cfRule type="cellIs" dxfId="26394" priority="19537" operator="equal">
      <formula>"OFF"</formula>
    </cfRule>
    <cfRule type="cellIs" dxfId="26393" priority="19538" operator="equal">
      <formula>"PTO"</formula>
    </cfRule>
  </conditionalFormatting>
  <conditionalFormatting sqref="D30">
    <cfRule type="cellIs" dxfId="26392" priority="19535" operator="equal">
      <formula>"OFF"</formula>
    </cfRule>
    <cfRule type="cellIs" dxfId="26391" priority="19536" operator="equal">
      <formula>"PTO"</formula>
    </cfRule>
  </conditionalFormatting>
  <conditionalFormatting sqref="D30">
    <cfRule type="cellIs" dxfId="26390" priority="19533" operator="equal">
      <formula>"OFF"</formula>
    </cfRule>
    <cfRule type="cellIs" dxfId="26389" priority="19534" operator="equal">
      <formula>"PTO"</formula>
    </cfRule>
  </conditionalFormatting>
  <conditionalFormatting sqref="D30">
    <cfRule type="cellIs" dxfId="26388" priority="19531" operator="equal">
      <formula>"OFF"</formula>
    </cfRule>
    <cfRule type="cellIs" dxfId="26387" priority="19532" operator="equal">
      <formula>"PTO"</formula>
    </cfRule>
  </conditionalFormatting>
  <conditionalFormatting sqref="C30">
    <cfRule type="cellIs" dxfId="26386" priority="19529" operator="equal">
      <formula>"OFF"</formula>
    </cfRule>
    <cfRule type="cellIs" dxfId="26385" priority="19530" operator="equal">
      <formula>"PTO"</formula>
    </cfRule>
  </conditionalFormatting>
  <conditionalFormatting sqref="C30">
    <cfRule type="cellIs" dxfId="26384" priority="19527" operator="equal">
      <formula>"OFF"</formula>
    </cfRule>
    <cfRule type="cellIs" dxfId="26383" priority="19528" operator="equal">
      <formula>"PTO"</formula>
    </cfRule>
  </conditionalFormatting>
  <conditionalFormatting sqref="C30">
    <cfRule type="cellIs" dxfId="26382" priority="19525" operator="equal">
      <formula>"OFF"</formula>
    </cfRule>
    <cfRule type="cellIs" dxfId="26381" priority="19526" operator="equal">
      <formula>"PTO"</formula>
    </cfRule>
  </conditionalFormatting>
  <conditionalFormatting sqref="C30">
    <cfRule type="cellIs" dxfId="26380" priority="19523" operator="equal">
      <formula>"OFF"</formula>
    </cfRule>
    <cfRule type="cellIs" dxfId="26379" priority="19524" operator="equal">
      <formula>"PTO"</formula>
    </cfRule>
  </conditionalFormatting>
  <conditionalFormatting sqref="C30">
    <cfRule type="cellIs" dxfId="26378" priority="19521" operator="equal">
      <formula>"OFF"</formula>
    </cfRule>
    <cfRule type="cellIs" dxfId="26377" priority="19522" operator="equal">
      <formula>"PTO"</formula>
    </cfRule>
  </conditionalFormatting>
  <conditionalFormatting sqref="C30">
    <cfRule type="cellIs" dxfId="26376" priority="19519" operator="equal">
      <formula>"OFF"</formula>
    </cfRule>
    <cfRule type="cellIs" dxfId="26375" priority="19520" operator="equal">
      <formula>"PTO"</formula>
    </cfRule>
  </conditionalFormatting>
  <conditionalFormatting sqref="C30">
    <cfRule type="cellIs" dxfId="26374" priority="19517" operator="equal">
      <formula>"OFF"</formula>
    </cfRule>
    <cfRule type="cellIs" dxfId="26373" priority="19518" operator="equal">
      <formula>"PTO"</formula>
    </cfRule>
  </conditionalFormatting>
  <conditionalFormatting sqref="C30">
    <cfRule type="cellIs" dxfId="26372" priority="19515" operator="equal">
      <formula>"OFF"</formula>
    </cfRule>
    <cfRule type="cellIs" dxfId="26371" priority="19516" operator="equal">
      <formula>"PTO"</formula>
    </cfRule>
  </conditionalFormatting>
  <conditionalFormatting sqref="C30">
    <cfRule type="cellIs" dxfId="26370" priority="19513" operator="equal">
      <formula>"OFF"</formula>
    </cfRule>
    <cfRule type="cellIs" dxfId="26369" priority="19514" operator="equal">
      <formula>"PTO"</formula>
    </cfRule>
  </conditionalFormatting>
  <conditionalFormatting sqref="C30">
    <cfRule type="cellIs" dxfId="26368" priority="19511" operator="equal">
      <formula>"OFF"</formula>
    </cfRule>
    <cfRule type="cellIs" dxfId="26367" priority="19512" operator="equal">
      <formula>"PTO"</formula>
    </cfRule>
  </conditionalFormatting>
  <conditionalFormatting sqref="C30">
    <cfRule type="cellIs" dxfId="26366" priority="19509" operator="equal">
      <formula>"OFF"</formula>
    </cfRule>
    <cfRule type="cellIs" dxfId="26365" priority="19510" operator="equal">
      <formula>"PTO"</formula>
    </cfRule>
  </conditionalFormatting>
  <conditionalFormatting sqref="C30">
    <cfRule type="cellIs" dxfId="26364" priority="19507" operator="equal">
      <formula>"OFF"</formula>
    </cfRule>
    <cfRule type="cellIs" dxfId="26363" priority="19508" operator="equal">
      <formula>"PTO"</formula>
    </cfRule>
  </conditionalFormatting>
  <conditionalFormatting sqref="C30">
    <cfRule type="cellIs" dxfId="26362" priority="19505" operator="equal">
      <formula>"OFF"</formula>
    </cfRule>
    <cfRule type="cellIs" dxfId="26361" priority="19506" operator="equal">
      <formula>"PTO"</formula>
    </cfRule>
  </conditionalFormatting>
  <conditionalFormatting sqref="C30">
    <cfRule type="cellIs" dxfId="26360" priority="19503" operator="equal">
      <formula>"OFF"</formula>
    </cfRule>
    <cfRule type="cellIs" dxfId="26359" priority="19504" operator="equal">
      <formula>"PTO"</formula>
    </cfRule>
  </conditionalFormatting>
  <conditionalFormatting sqref="C30">
    <cfRule type="cellIs" dxfId="26358" priority="19501" operator="equal">
      <formula>"OFF"</formula>
    </cfRule>
    <cfRule type="cellIs" dxfId="26357" priority="19502" operator="equal">
      <formula>"PTO"</formula>
    </cfRule>
  </conditionalFormatting>
  <conditionalFormatting sqref="C30">
    <cfRule type="cellIs" dxfId="26356" priority="19499" operator="equal">
      <formula>"OFF"</formula>
    </cfRule>
    <cfRule type="cellIs" dxfId="26355" priority="19500" operator="equal">
      <formula>"PTO"</formula>
    </cfRule>
  </conditionalFormatting>
  <conditionalFormatting sqref="C30">
    <cfRule type="cellIs" dxfId="26354" priority="19497" operator="equal">
      <formula>"OFF"</formula>
    </cfRule>
    <cfRule type="cellIs" dxfId="26353" priority="19498" operator="equal">
      <formula>"PTO"</formula>
    </cfRule>
  </conditionalFormatting>
  <conditionalFormatting sqref="C30">
    <cfRule type="cellIs" dxfId="26352" priority="19495" operator="equal">
      <formula>"OFF"</formula>
    </cfRule>
    <cfRule type="cellIs" dxfId="26351" priority="19496" operator="equal">
      <formula>"PTO"</formula>
    </cfRule>
  </conditionalFormatting>
  <conditionalFormatting sqref="C30">
    <cfRule type="cellIs" dxfId="26350" priority="19493" operator="equal">
      <formula>"OFF"</formula>
    </cfRule>
    <cfRule type="cellIs" dxfId="26349" priority="19494" operator="equal">
      <formula>"PTO"</formula>
    </cfRule>
  </conditionalFormatting>
  <conditionalFormatting sqref="C30">
    <cfRule type="cellIs" dxfId="26348" priority="19491" operator="equal">
      <formula>"OFF"</formula>
    </cfRule>
    <cfRule type="cellIs" dxfId="26347" priority="19492" operator="equal">
      <formula>"PTO"</formula>
    </cfRule>
  </conditionalFormatting>
  <conditionalFormatting sqref="C30">
    <cfRule type="cellIs" dxfId="26346" priority="19489" operator="equal">
      <formula>"OFF"</formula>
    </cfRule>
    <cfRule type="cellIs" dxfId="26345" priority="19490" operator="equal">
      <formula>"PTO"</formula>
    </cfRule>
  </conditionalFormatting>
  <conditionalFormatting sqref="C30">
    <cfRule type="cellIs" dxfId="26344" priority="19487" operator="equal">
      <formula>"OFF"</formula>
    </cfRule>
    <cfRule type="cellIs" dxfId="26343" priority="19488" operator="equal">
      <formula>"PTO"</formula>
    </cfRule>
  </conditionalFormatting>
  <conditionalFormatting sqref="C30">
    <cfRule type="cellIs" dxfId="26342" priority="19485" operator="equal">
      <formula>"OFF"</formula>
    </cfRule>
    <cfRule type="cellIs" dxfId="26341" priority="19486" operator="equal">
      <formula>"PTO"</formula>
    </cfRule>
  </conditionalFormatting>
  <conditionalFormatting sqref="C30">
    <cfRule type="cellIs" dxfId="26340" priority="19483" operator="equal">
      <formula>"OFF"</formula>
    </cfRule>
    <cfRule type="cellIs" dxfId="26339" priority="19484" operator="equal">
      <formula>"PTO"</formula>
    </cfRule>
  </conditionalFormatting>
  <conditionalFormatting sqref="C30">
    <cfRule type="cellIs" dxfId="26338" priority="19481" operator="equal">
      <formula>"OFF"</formula>
    </cfRule>
    <cfRule type="cellIs" dxfId="26337" priority="19482" operator="equal">
      <formula>"PTO"</formula>
    </cfRule>
  </conditionalFormatting>
  <conditionalFormatting sqref="D30">
    <cfRule type="cellIs" dxfId="26336" priority="19479" operator="equal">
      <formula>"OFF"</formula>
    </cfRule>
    <cfRule type="cellIs" dxfId="26335" priority="19480" operator="equal">
      <formula>"PTO"</formula>
    </cfRule>
  </conditionalFormatting>
  <conditionalFormatting sqref="D30">
    <cfRule type="cellIs" dxfId="26334" priority="19477" operator="equal">
      <formula>"OFF"</formula>
    </cfRule>
    <cfRule type="cellIs" dxfId="26333" priority="19478" operator="equal">
      <formula>"PTO"</formula>
    </cfRule>
  </conditionalFormatting>
  <conditionalFormatting sqref="D30">
    <cfRule type="cellIs" dxfId="26332" priority="19475" operator="equal">
      <formula>"OFF"</formula>
    </cfRule>
    <cfRule type="cellIs" dxfId="26331" priority="19476" operator="equal">
      <formula>"PTO"</formula>
    </cfRule>
  </conditionalFormatting>
  <conditionalFormatting sqref="D30">
    <cfRule type="cellIs" dxfId="26330" priority="19473" operator="equal">
      <formula>"OFF"</formula>
    </cfRule>
    <cfRule type="cellIs" dxfId="26329" priority="19474" operator="equal">
      <formula>"PTO"</formula>
    </cfRule>
  </conditionalFormatting>
  <conditionalFormatting sqref="D30">
    <cfRule type="cellIs" dxfId="26328" priority="19471" operator="equal">
      <formula>"OFF"</formula>
    </cfRule>
    <cfRule type="cellIs" dxfId="26327" priority="19472" operator="equal">
      <formula>"PTO"</formula>
    </cfRule>
  </conditionalFormatting>
  <conditionalFormatting sqref="D30">
    <cfRule type="cellIs" dxfId="26326" priority="19469" operator="equal">
      <formula>"OFF"</formula>
    </cfRule>
    <cfRule type="cellIs" dxfId="26325" priority="19470" operator="equal">
      <formula>"PTO"</formula>
    </cfRule>
  </conditionalFormatting>
  <conditionalFormatting sqref="D30">
    <cfRule type="cellIs" dxfId="26324" priority="19467" operator="equal">
      <formula>"OFF"</formula>
    </cfRule>
    <cfRule type="cellIs" dxfId="26323" priority="19468" operator="equal">
      <formula>"PTO"</formula>
    </cfRule>
  </conditionalFormatting>
  <conditionalFormatting sqref="D30">
    <cfRule type="cellIs" dxfId="26322" priority="19465" operator="equal">
      <formula>"OFF"</formula>
    </cfRule>
    <cfRule type="cellIs" dxfId="26321" priority="19466" operator="equal">
      <formula>"PTO"</formula>
    </cfRule>
  </conditionalFormatting>
  <conditionalFormatting sqref="D30">
    <cfRule type="cellIs" dxfId="26320" priority="19463" operator="equal">
      <formula>"OFF"</formula>
    </cfRule>
    <cfRule type="cellIs" dxfId="26319" priority="19464" operator="equal">
      <formula>"PTO"</formula>
    </cfRule>
  </conditionalFormatting>
  <conditionalFormatting sqref="D30">
    <cfRule type="cellIs" dxfId="26318" priority="19461" operator="equal">
      <formula>"OFF"</formula>
    </cfRule>
    <cfRule type="cellIs" dxfId="26317" priority="19462" operator="equal">
      <formula>"PTO"</formula>
    </cfRule>
  </conditionalFormatting>
  <conditionalFormatting sqref="D30">
    <cfRule type="cellIs" dxfId="26316" priority="19459" operator="equal">
      <formula>"OFF"</formula>
    </cfRule>
    <cfRule type="cellIs" dxfId="26315" priority="19460" operator="equal">
      <formula>"PTO"</formula>
    </cfRule>
  </conditionalFormatting>
  <conditionalFormatting sqref="D30">
    <cfRule type="cellIs" dxfId="26314" priority="19457" operator="equal">
      <formula>"OFF"</formula>
    </cfRule>
    <cfRule type="cellIs" dxfId="26313" priority="19458" operator="equal">
      <formula>"PTO"</formula>
    </cfRule>
  </conditionalFormatting>
  <conditionalFormatting sqref="D30">
    <cfRule type="cellIs" dxfId="26312" priority="19455" operator="equal">
      <formula>"OFF"</formula>
    </cfRule>
    <cfRule type="cellIs" dxfId="26311" priority="19456" operator="equal">
      <formula>"PTO"</formula>
    </cfRule>
  </conditionalFormatting>
  <conditionalFormatting sqref="D30">
    <cfRule type="cellIs" dxfId="26310" priority="19453" operator="equal">
      <formula>"OFF"</formula>
    </cfRule>
    <cfRule type="cellIs" dxfId="26309" priority="19454" operator="equal">
      <formula>"PTO"</formula>
    </cfRule>
  </conditionalFormatting>
  <conditionalFormatting sqref="D30">
    <cfRule type="cellIs" dxfId="26308" priority="19451" operator="equal">
      <formula>"OFF"</formula>
    </cfRule>
    <cfRule type="cellIs" dxfId="26307" priority="19452" operator="equal">
      <formula>"PTO"</formula>
    </cfRule>
  </conditionalFormatting>
  <conditionalFormatting sqref="D30">
    <cfRule type="cellIs" dxfId="26306" priority="19449" operator="equal">
      <formula>"OFF"</formula>
    </cfRule>
    <cfRule type="cellIs" dxfId="26305" priority="19450" operator="equal">
      <formula>"PTO"</formula>
    </cfRule>
  </conditionalFormatting>
  <conditionalFormatting sqref="D30">
    <cfRule type="cellIs" dxfId="26304" priority="19447" operator="equal">
      <formula>"OFF"</formula>
    </cfRule>
    <cfRule type="cellIs" dxfId="26303" priority="19448" operator="equal">
      <formula>"PTO"</formula>
    </cfRule>
  </conditionalFormatting>
  <conditionalFormatting sqref="D30">
    <cfRule type="cellIs" dxfId="26302" priority="19445" operator="equal">
      <formula>"OFF"</formula>
    </cfRule>
    <cfRule type="cellIs" dxfId="26301" priority="19446" operator="equal">
      <formula>"PTO"</formula>
    </cfRule>
  </conditionalFormatting>
  <conditionalFormatting sqref="D30">
    <cfRule type="cellIs" dxfId="26300" priority="19443" operator="equal">
      <formula>"OFF"</formula>
    </cfRule>
    <cfRule type="cellIs" dxfId="26299" priority="19444" operator="equal">
      <formula>"PTO"</formula>
    </cfRule>
  </conditionalFormatting>
  <conditionalFormatting sqref="D30">
    <cfRule type="cellIs" dxfId="26298" priority="19441" operator="equal">
      <formula>"OFF"</formula>
    </cfRule>
    <cfRule type="cellIs" dxfId="26297" priority="19442" operator="equal">
      <formula>"PTO"</formula>
    </cfRule>
  </conditionalFormatting>
  <conditionalFormatting sqref="D30">
    <cfRule type="cellIs" dxfId="26296" priority="19439" operator="equal">
      <formula>"OFF"</formula>
    </cfRule>
    <cfRule type="cellIs" dxfId="26295" priority="19440" operator="equal">
      <formula>"PTO"</formula>
    </cfRule>
  </conditionalFormatting>
  <conditionalFormatting sqref="D30">
    <cfRule type="cellIs" dxfId="26294" priority="19437" operator="equal">
      <formula>"OFF"</formula>
    </cfRule>
    <cfRule type="cellIs" dxfId="26293" priority="19438" operator="equal">
      <formula>"PTO"</formula>
    </cfRule>
  </conditionalFormatting>
  <conditionalFormatting sqref="D30">
    <cfRule type="cellIs" dxfId="26292" priority="19435" operator="equal">
      <formula>"OFF"</formula>
    </cfRule>
    <cfRule type="cellIs" dxfId="26291" priority="19436" operator="equal">
      <formula>"PTO"</formula>
    </cfRule>
  </conditionalFormatting>
  <conditionalFormatting sqref="D30">
    <cfRule type="cellIs" dxfId="26290" priority="19433" operator="equal">
      <formula>"OFF"</formula>
    </cfRule>
    <cfRule type="cellIs" dxfId="26289" priority="19434" operator="equal">
      <formula>"PTO"</formula>
    </cfRule>
  </conditionalFormatting>
  <conditionalFormatting sqref="D30">
    <cfRule type="cellIs" dxfId="26288" priority="19431" operator="equal">
      <formula>"OFF"</formula>
    </cfRule>
    <cfRule type="cellIs" dxfId="26287" priority="19432" operator="equal">
      <formula>"PTO"</formula>
    </cfRule>
  </conditionalFormatting>
  <conditionalFormatting sqref="I26 I30 I32:I33 I35:I36 I38:I39">
    <cfRule type="cellIs" dxfId="26286" priority="19427" operator="equal">
      <formula>"OFF"</formula>
    </cfRule>
    <cfRule type="cellIs" dxfId="26285" priority="19428" operator="equal">
      <formula>"PTO"</formula>
    </cfRule>
  </conditionalFormatting>
  <conditionalFormatting sqref="I26 I30 I32:I33 I35:I36 I38:I39">
    <cfRule type="cellIs" dxfId="26284" priority="19425" operator="equal">
      <formula>"OFF"</formula>
    </cfRule>
    <cfRule type="cellIs" dxfId="26283" priority="19426" operator="equal">
      <formula>"PTO"</formula>
    </cfRule>
  </conditionalFormatting>
  <conditionalFormatting sqref="I26 I30 I32:I33 I35:I36 I38:I39">
    <cfRule type="cellIs" dxfId="26282" priority="19423" operator="equal">
      <formula>"OFF"</formula>
    </cfRule>
    <cfRule type="cellIs" dxfId="26281" priority="19424" operator="equal">
      <formula>"PTO"</formula>
    </cfRule>
  </conditionalFormatting>
  <conditionalFormatting sqref="I26 I30 I32:I33 I35:I36 I38:I39">
    <cfRule type="cellIs" dxfId="26280" priority="19421" operator="equal">
      <formula>"OFF"</formula>
    </cfRule>
    <cfRule type="cellIs" dxfId="26279" priority="19422" operator="equal">
      <formula>"PTO"</formula>
    </cfRule>
  </conditionalFormatting>
  <conditionalFormatting sqref="I26 I30 I32:I33 I35:I36 I38:I39">
    <cfRule type="cellIs" dxfId="26278" priority="19419" operator="equal">
      <formula>"OFF"</formula>
    </cfRule>
    <cfRule type="cellIs" dxfId="26277" priority="19420" operator="equal">
      <formula>"PTO"</formula>
    </cfRule>
  </conditionalFormatting>
  <conditionalFormatting sqref="I26 I30 I32:I33 I35:I36 I38:I39">
    <cfRule type="cellIs" dxfId="26276" priority="19417" operator="equal">
      <formula>"OFF"</formula>
    </cfRule>
    <cfRule type="cellIs" dxfId="26275" priority="19418" operator="equal">
      <formula>"PTO"</formula>
    </cfRule>
  </conditionalFormatting>
  <conditionalFormatting sqref="I26 I30 I32:I33 I35:I36 I38:I39">
    <cfRule type="cellIs" dxfId="26274" priority="19415" operator="equal">
      <formula>"OFF"</formula>
    </cfRule>
    <cfRule type="cellIs" dxfId="26273" priority="19416" operator="equal">
      <formula>"PTO"</formula>
    </cfRule>
  </conditionalFormatting>
  <conditionalFormatting sqref="I26 I30 I32:I33 I35:I36 I38:I39">
    <cfRule type="cellIs" dxfId="26272" priority="19413" operator="equal">
      <formula>"OFF"</formula>
    </cfRule>
    <cfRule type="cellIs" dxfId="26271" priority="19414" operator="equal">
      <formula>"PTO"</formula>
    </cfRule>
  </conditionalFormatting>
  <conditionalFormatting sqref="E26">
    <cfRule type="cellIs" dxfId="26270" priority="19411" operator="equal">
      <formula>"OFF"</formula>
    </cfRule>
    <cfRule type="cellIs" dxfId="26269" priority="19412" operator="equal">
      <formula>"PTO"</formula>
    </cfRule>
  </conditionalFormatting>
  <conditionalFormatting sqref="E26">
    <cfRule type="cellIs" dxfId="26268" priority="19409" operator="equal">
      <formula>"OFF"</formula>
    </cfRule>
    <cfRule type="cellIs" dxfId="26267" priority="19410" operator="equal">
      <formula>"PTO"</formula>
    </cfRule>
  </conditionalFormatting>
  <conditionalFormatting sqref="E26">
    <cfRule type="cellIs" dxfId="26266" priority="19407" operator="equal">
      <formula>"OFF"</formula>
    </cfRule>
    <cfRule type="cellIs" dxfId="26265" priority="19408" operator="equal">
      <formula>"PTO"</formula>
    </cfRule>
  </conditionalFormatting>
  <conditionalFormatting sqref="E26">
    <cfRule type="cellIs" dxfId="26264" priority="19405" operator="equal">
      <formula>"OFF"</formula>
    </cfRule>
    <cfRule type="cellIs" dxfId="26263" priority="19406" operator="equal">
      <formula>"PTO"</formula>
    </cfRule>
  </conditionalFormatting>
  <conditionalFormatting sqref="E26">
    <cfRule type="cellIs" dxfId="26262" priority="19403" operator="equal">
      <formula>"OFF"</formula>
    </cfRule>
    <cfRule type="cellIs" dxfId="26261" priority="19404" operator="equal">
      <formula>"PTO"</formula>
    </cfRule>
  </conditionalFormatting>
  <conditionalFormatting sqref="E26">
    <cfRule type="cellIs" dxfId="26260" priority="19401" operator="equal">
      <formula>"OFF"</formula>
    </cfRule>
    <cfRule type="cellIs" dxfId="26259" priority="19402" operator="equal">
      <formula>"PTO"</formula>
    </cfRule>
  </conditionalFormatting>
  <conditionalFormatting sqref="E26">
    <cfRule type="cellIs" dxfId="26258" priority="19399" operator="equal">
      <formula>"OFF"</formula>
    </cfRule>
    <cfRule type="cellIs" dxfId="26257" priority="19400" operator="equal">
      <formula>"PTO"</formula>
    </cfRule>
  </conditionalFormatting>
  <conditionalFormatting sqref="E26">
    <cfRule type="cellIs" dxfId="26256" priority="19397" operator="equal">
      <formula>"OFF"</formula>
    </cfRule>
    <cfRule type="cellIs" dxfId="26255" priority="19398" operator="equal">
      <formula>"PTO"</formula>
    </cfRule>
  </conditionalFormatting>
  <conditionalFormatting sqref="E27">
    <cfRule type="cellIs" dxfId="26254" priority="19395" operator="equal">
      <formula>"OFF"</formula>
    </cfRule>
    <cfRule type="cellIs" dxfId="26253" priority="19396" operator="equal">
      <formula>"PTO"</formula>
    </cfRule>
  </conditionalFormatting>
  <conditionalFormatting sqref="E27">
    <cfRule type="cellIs" dxfId="26252" priority="19393" operator="equal">
      <formula>"OFF"</formula>
    </cfRule>
    <cfRule type="cellIs" dxfId="26251" priority="19394" operator="equal">
      <formula>"PTO"</formula>
    </cfRule>
  </conditionalFormatting>
  <conditionalFormatting sqref="E27">
    <cfRule type="cellIs" dxfId="26250" priority="19391" operator="equal">
      <formula>"OFF"</formula>
    </cfRule>
    <cfRule type="cellIs" dxfId="26249" priority="19392" operator="equal">
      <formula>"PTO"</formula>
    </cfRule>
  </conditionalFormatting>
  <conditionalFormatting sqref="E27">
    <cfRule type="cellIs" dxfId="26248" priority="19389" operator="equal">
      <formula>"OFF"</formula>
    </cfRule>
    <cfRule type="cellIs" dxfId="26247" priority="19390" operator="equal">
      <formula>"PTO"</formula>
    </cfRule>
  </conditionalFormatting>
  <conditionalFormatting sqref="E27">
    <cfRule type="cellIs" dxfId="26246" priority="19387" operator="equal">
      <formula>"OFF"</formula>
    </cfRule>
    <cfRule type="cellIs" dxfId="26245" priority="19388" operator="equal">
      <formula>"PTO"</formula>
    </cfRule>
  </conditionalFormatting>
  <conditionalFormatting sqref="E27">
    <cfRule type="cellIs" dxfId="26244" priority="19385" operator="equal">
      <formula>"OFF"</formula>
    </cfRule>
    <cfRule type="cellIs" dxfId="26243" priority="19386" operator="equal">
      <formula>"PTO"</formula>
    </cfRule>
  </conditionalFormatting>
  <conditionalFormatting sqref="E27">
    <cfRule type="cellIs" dxfId="26242" priority="19383" operator="equal">
      <formula>"OFF"</formula>
    </cfRule>
    <cfRule type="cellIs" dxfId="26241" priority="19384" operator="equal">
      <formula>"PTO"</formula>
    </cfRule>
  </conditionalFormatting>
  <conditionalFormatting sqref="E27">
    <cfRule type="cellIs" dxfId="26240" priority="19381" operator="equal">
      <formula>"OFF"</formula>
    </cfRule>
    <cfRule type="cellIs" dxfId="26239" priority="19382" operator="equal">
      <formula>"PTO"</formula>
    </cfRule>
  </conditionalFormatting>
  <conditionalFormatting sqref="E26">
    <cfRule type="cellIs" dxfId="26238" priority="19379" operator="equal">
      <formula>"OFF"</formula>
    </cfRule>
    <cfRule type="cellIs" dxfId="26237" priority="19380" operator="equal">
      <formula>"PTO"</formula>
    </cfRule>
  </conditionalFormatting>
  <conditionalFormatting sqref="E26">
    <cfRule type="cellIs" dxfId="26236" priority="19377" operator="equal">
      <formula>"OFF"</formula>
    </cfRule>
    <cfRule type="cellIs" dxfId="26235" priority="19378" operator="equal">
      <formula>"PTO"</formula>
    </cfRule>
  </conditionalFormatting>
  <conditionalFormatting sqref="E26">
    <cfRule type="cellIs" dxfId="26234" priority="19375" operator="equal">
      <formula>"OFF"</formula>
    </cfRule>
    <cfRule type="cellIs" dxfId="26233" priority="19376" operator="equal">
      <formula>"PTO"</formula>
    </cfRule>
  </conditionalFormatting>
  <conditionalFormatting sqref="E26">
    <cfRule type="cellIs" dxfId="26232" priority="19373" operator="equal">
      <formula>"OFF"</formula>
    </cfRule>
    <cfRule type="cellIs" dxfId="26231" priority="19374" operator="equal">
      <formula>"PTO"</formula>
    </cfRule>
  </conditionalFormatting>
  <conditionalFormatting sqref="E26">
    <cfRule type="cellIs" dxfId="26230" priority="19371" operator="equal">
      <formula>"OFF"</formula>
    </cfRule>
    <cfRule type="cellIs" dxfId="26229" priority="19372" operator="equal">
      <formula>"PTO"</formula>
    </cfRule>
  </conditionalFormatting>
  <conditionalFormatting sqref="E26">
    <cfRule type="cellIs" dxfId="26228" priority="19369" operator="equal">
      <formula>"OFF"</formula>
    </cfRule>
    <cfRule type="cellIs" dxfId="26227" priority="19370" operator="equal">
      <formula>"PTO"</formula>
    </cfRule>
  </conditionalFormatting>
  <conditionalFormatting sqref="E26">
    <cfRule type="cellIs" dxfId="26226" priority="19367" operator="equal">
      <formula>"OFF"</formula>
    </cfRule>
    <cfRule type="cellIs" dxfId="26225" priority="19368" operator="equal">
      <formula>"PTO"</formula>
    </cfRule>
  </conditionalFormatting>
  <conditionalFormatting sqref="E26">
    <cfRule type="cellIs" dxfId="26224" priority="19365" operator="equal">
      <formula>"OFF"</formula>
    </cfRule>
    <cfRule type="cellIs" dxfId="26223" priority="19366" operator="equal">
      <formula>"PTO"</formula>
    </cfRule>
  </conditionalFormatting>
  <conditionalFormatting sqref="E27">
    <cfRule type="cellIs" dxfId="26222" priority="19363" operator="equal">
      <formula>"OFF"</formula>
    </cfRule>
    <cfRule type="cellIs" dxfId="26221" priority="19364" operator="equal">
      <formula>"PTO"</formula>
    </cfRule>
  </conditionalFormatting>
  <conditionalFormatting sqref="E27">
    <cfRule type="cellIs" dxfId="26220" priority="19361" operator="equal">
      <formula>"OFF"</formula>
    </cfRule>
    <cfRule type="cellIs" dxfId="26219" priority="19362" operator="equal">
      <formula>"PTO"</formula>
    </cfRule>
  </conditionalFormatting>
  <conditionalFormatting sqref="E27">
    <cfRule type="cellIs" dxfId="26218" priority="19359" operator="equal">
      <formula>"OFF"</formula>
    </cfRule>
    <cfRule type="cellIs" dxfId="26217" priority="19360" operator="equal">
      <formula>"PTO"</formula>
    </cfRule>
  </conditionalFormatting>
  <conditionalFormatting sqref="E27">
    <cfRule type="cellIs" dxfId="26216" priority="19357" operator="equal">
      <formula>"OFF"</formula>
    </cfRule>
    <cfRule type="cellIs" dxfId="26215" priority="19358" operator="equal">
      <formula>"PTO"</formula>
    </cfRule>
  </conditionalFormatting>
  <conditionalFormatting sqref="E27">
    <cfRule type="cellIs" dxfId="26214" priority="19355" operator="equal">
      <formula>"OFF"</formula>
    </cfRule>
    <cfRule type="cellIs" dxfId="26213" priority="19356" operator="equal">
      <formula>"PTO"</formula>
    </cfRule>
  </conditionalFormatting>
  <conditionalFormatting sqref="E27">
    <cfRule type="cellIs" dxfId="26212" priority="19353" operator="equal">
      <formula>"OFF"</formula>
    </cfRule>
    <cfRule type="cellIs" dxfId="26211" priority="19354" operator="equal">
      <formula>"PTO"</formula>
    </cfRule>
  </conditionalFormatting>
  <conditionalFormatting sqref="E27">
    <cfRule type="cellIs" dxfId="26210" priority="19351" operator="equal">
      <formula>"OFF"</formula>
    </cfRule>
    <cfRule type="cellIs" dxfId="26209" priority="19352" operator="equal">
      <formula>"PTO"</formula>
    </cfRule>
  </conditionalFormatting>
  <conditionalFormatting sqref="E27">
    <cfRule type="cellIs" dxfId="26208" priority="19349" operator="equal">
      <formula>"OFF"</formula>
    </cfRule>
    <cfRule type="cellIs" dxfId="26207" priority="19350" operator="equal">
      <formula>"PTO"</formula>
    </cfRule>
  </conditionalFormatting>
  <conditionalFormatting sqref="E26">
    <cfRule type="cellIs" dxfId="26206" priority="19347" operator="equal">
      <formula>"OFF"</formula>
    </cfRule>
    <cfRule type="cellIs" dxfId="26205" priority="19348" operator="equal">
      <formula>"PTO"</formula>
    </cfRule>
  </conditionalFormatting>
  <conditionalFormatting sqref="E26">
    <cfRule type="cellIs" dxfId="26204" priority="19345" operator="equal">
      <formula>"OFF"</formula>
    </cfRule>
    <cfRule type="cellIs" dxfId="26203" priority="19346" operator="equal">
      <formula>"PTO"</formula>
    </cfRule>
  </conditionalFormatting>
  <conditionalFormatting sqref="E26">
    <cfRule type="cellIs" dxfId="26202" priority="19343" operator="equal">
      <formula>"OFF"</formula>
    </cfRule>
    <cfRule type="cellIs" dxfId="26201" priority="19344" operator="equal">
      <formula>"PTO"</formula>
    </cfRule>
  </conditionalFormatting>
  <conditionalFormatting sqref="E26">
    <cfRule type="cellIs" dxfId="26200" priority="19341" operator="equal">
      <formula>"OFF"</formula>
    </cfRule>
    <cfRule type="cellIs" dxfId="26199" priority="19342" operator="equal">
      <formula>"PTO"</formula>
    </cfRule>
  </conditionalFormatting>
  <conditionalFormatting sqref="E26">
    <cfRule type="cellIs" dxfId="26198" priority="19339" operator="equal">
      <formula>"OFF"</formula>
    </cfRule>
    <cfRule type="cellIs" dxfId="26197" priority="19340" operator="equal">
      <formula>"PTO"</formula>
    </cfRule>
  </conditionalFormatting>
  <conditionalFormatting sqref="E26">
    <cfRule type="cellIs" dxfId="26196" priority="19337" operator="equal">
      <formula>"OFF"</formula>
    </cfRule>
    <cfRule type="cellIs" dxfId="26195" priority="19338" operator="equal">
      <formula>"PTO"</formula>
    </cfRule>
  </conditionalFormatting>
  <conditionalFormatting sqref="E26">
    <cfRule type="cellIs" dxfId="26194" priority="19335" operator="equal">
      <formula>"OFF"</formula>
    </cfRule>
    <cfRule type="cellIs" dxfId="26193" priority="19336" operator="equal">
      <formula>"PTO"</formula>
    </cfRule>
  </conditionalFormatting>
  <conditionalFormatting sqref="E26">
    <cfRule type="cellIs" dxfId="26192" priority="19333" operator="equal">
      <formula>"OFF"</formula>
    </cfRule>
    <cfRule type="cellIs" dxfId="26191" priority="19334" operator="equal">
      <formula>"PTO"</formula>
    </cfRule>
  </conditionalFormatting>
  <conditionalFormatting sqref="E27">
    <cfRule type="cellIs" dxfId="26190" priority="19331" operator="equal">
      <formula>"OFF"</formula>
    </cfRule>
    <cfRule type="cellIs" dxfId="26189" priority="19332" operator="equal">
      <formula>"PTO"</formula>
    </cfRule>
  </conditionalFormatting>
  <conditionalFormatting sqref="E27">
    <cfRule type="cellIs" dxfId="26188" priority="19329" operator="equal">
      <formula>"OFF"</formula>
    </cfRule>
    <cfRule type="cellIs" dxfId="26187" priority="19330" operator="equal">
      <formula>"PTO"</formula>
    </cfRule>
  </conditionalFormatting>
  <conditionalFormatting sqref="E27">
    <cfRule type="cellIs" dxfId="26186" priority="19327" operator="equal">
      <formula>"OFF"</formula>
    </cfRule>
    <cfRule type="cellIs" dxfId="26185" priority="19328" operator="equal">
      <formula>"PTO"</formula>
    </cfRule>
  </conditionalFormatting>
  <conditionalFormatting sqref="E27">
    <cfRule type="cellIs" dxfId="26184" priority="19325" operator="equal">
      <formula>"OFF"</formula>
    </cfRule>
    <cfRule type="cellIs" dxfId="26183" priority="19326" operator="equal">
      <formula>"PTO"</formula>
    </cfRule>
  </conditionalFormatting>
  <conditionalFormatting sqref="E27">
    <cfRule type="cellIs" dxfId="26182" priority="19323" operator="equal">
      <formula>"OFF"</formula>
    </cfRule>
    <cfRule type="cellIs" dxfId="26181" priority="19324" operator="equal">
      <formula>"PTO"</formula>
    </cfRule>
  </conditionalFormatting>
  <conditionalFormatting sqref="E27">
    <cfRule type="cellIs" dxfId="26180" priority="19321" operator="equal">
      <formula>"OFF"</formula>
    </cfRule>
    <cfRule type="cellIs" dxfId="26179" priority="19322" operator="equal">
      <formula>"PTO"</formula>
    </cfRule>
  </conditionalFormatting>
  <conditionalFormatting sqref="E27">
    <cfRule type="cellIs" dxfId="26178" priority="19319" operator="equal">
      <formula>"OFF"</formula>
    </cfRule>
    <cfRule type="cellIs" dxfId="26177" priority="19320" operator="equal">
      <formula>"PTO"</formula>
    </cfRule>
  </conditionalFormatting>
  <conditionalFormatting sqref="E27">
    <cfRule type="cellIs" dxfId="26176" priority="19317" operator="equal">
      <formula>"OFF"</formula>
    </cfRule>
    <cfRule type="cellIs" dxfId="26175" priority="19318" operator="equal">
      <formula>"PTO"</formula>
    </cfRule>
  </conditionalFormatting>
  <conditionalFormatting sqref="E26">
    <cfRule type="cellIs" dxfId="26174" priority="19315" operator="equal">
      <formula>"OFF"</formula>
    </cfRule>
    <cfRule type="cellIs" dxfId="26173" priority="19316" operator="equal">
      <formula>"PTO"</formula>
    </cfRule>
  </conditionalFormatting>
  <conditionalFormatting sqref="E26">
    <cfRule type="cellIs" dxfId="26172" priority="19313" operator="equal">
      <formula>"OFF"</formula>
    </cfRule>
    <cfRule type="cellIs" dxfId="26171" priority="19314" operator="equal">
      <formula>"PTO"</formula>
    </cfRule>
  </conditionalFormatting>
  <conditionalFormatting sqref="E26">
    <cfRule type="cellIs" dxfId="26170" priority="19311" operator="equal">
      <formula>"OFF"</formula>
    </cfRule>
    <cfRule type="cellIs" dxfId="26169" priority="19312" operator="equal">
      <formula>"PTO"</formula>
    </cfRule>
  </conditionalFormatting>
  <conditionalFormatting sqref="E26">
    <cfRule type="cellIs" dxfId="26168" priority="19309" operator="equal">
      <formula>"OFF"</formula>
    </cfRule>
    <cfRule type="cellIs" dxfId="26167" priority="19310" operator="equal">
      <formula>"PTO"</formula>
    </cfRule>
  </conditionalFormatting>
  <conditionalFormatting sqref="E26">
    <cfRule type="cellIs" dxfId="26166" priority="19307" operator="equal">
      <formula>"OFF"</formula>
    </cfRule>
    <cfRule type="cellIs" dxfId="26165" priority="19308" operator="equal">
      <formula>"PTO"</formula>
    </cfRule>
  </conditionalFormatting>
  <conditionalFormatting sqref="E26">
    <cfRule type="cellIs" dxfId="26164" priority="19305" operator="equal">
      <formula>"OFF"</formula>
    </cfRule>
    <cfRule type="cellIs" dxfId="26163" priority="19306" operator="equal">
      <formula>"PTO"</formula>
    </cfRule>
  </conditionalFormatting>
  <conditionalFormatting sqref="E26">
    <cfRule type="cellIs" dxfId="26162" priority="19303" operator="equal">
      <formula>"OFF"</formula>
    </cfRule>
    <cfRule type="cellIs" dxfId="26161" priority="19304" operator="equal">
      <formula>"PTO"</formula>
    </cfRule>
  </conditionalFormatting>
  <conditionalFormatting sqref="E26">
    <cfRule type="cellIs" dxfId="26160" priority="19301" operator="equal">
      <formula>"OFF"</formula>
    </cfRule>
    <cfRule type="cellIs" dxfId="26159" priority="19302" operator="equal">
      <formula>"PTO"</formula>
    </cfRule>
  </conditionalFormatting>
  <conditionalFormatting sqref="E27">
    <cfRule type="cellIs" dxfId="26158" priority="19299" operator="equal">
      <formula>"OFF"</formula>
    </cfRule>
    <cfRule type="cellIs" dxfId="26157" priority="19300" operator="equal">
      <formula>"PTO"</formula>
    </cfRule>
  </conditionalFormatting>
  <conditionalFormatting sqref="E27">
    <cfRule type="cellIs" dxfId="26156" priority="19297" operator="equal">
      <formula>"OFF"</formula>
    </cfRule>
    <cfRule type="cellIs" dxfId="26155" priority="19298" operator="equal">
      <formula>"PTO"</formula>
    </cfRule>
  </conditionalFormatting>
  <conditionalFormatting sqref="E27">
    <cfRule type="cellIs" dxfId="26154" priority="19295" operator="equal">
      <formula>"OFF"</formula>
    </cfRule>
    <cfRule type="cellIs" dxfId="26153" priority="19296" operator="equal">
      <formula>"PTO"</formula>
    </cfRule>
  </conditionalFormatting>
  <conditionalFormatting sqref="E27">
    <cfRule type="cellIs" dxfId="26152" priority="19293" operator="equal">
      <formula>"OFF"</formula>
    </cfRule>
    <cfRule type="cellIs" dxfId="26151" priority="19294" operator="equal">
      <formula>"PTO"</formula>
    </cfRule>
  </conditionalFormatting>
  <conditionalFormatting sqref="E27">
    <cfRule type="cellIs" dxfId="26150" priority="19291" operator="equal">
      <formula>"OFF"</formula>
    </cfRule>
    <cfRule type="cellIs" dxfId="26149" priority="19292" operator="equal">
      <formula>"PTO"</formula>
    </cfRule>
  </conditionalFormatting>
  <conditionalFormatting sqref="E27">
    <cfRule type="cellIs" dxfId="26148" priority="19289" operator="equal">
      <formula>"OFF"</formula>
    </cfRule>
    <cfRule type="cellIs" dxfId="26147" priority="19290" operator="equal">
      <formula>"PTO"</formula>
    </cfRule>
  </conditionalFormatting>
  <conditionalFormatting sqref="E27">
    <cfRule type="cellIs" dxfId="26146" priority="19287" operator="equal">
      <formula>"OFF"</formula>
    </cfRule>
    <cfRule type="cellIs" dxfId="26145" priority="19288" operator="equal">
      <formula>"PTO"</formula>
    </cfRule>
  </conditionalFormatting>
  <conditionalFormatting sqref="E27">
    <cfRule type="cellIs" dxfId="26144" priority="19285" operator="equal">
      <formula>"OFF"</formula>
    </cfRule>
    <cfRule type="cellIs" dxfId="26143" priority="19286" operator="equal">
      <formula>"PTO"</formula>
    </cfRule>
  </conditionalFormatting>
  <conditionalFormatting sqref="E26">
    <cfRule type="cellIs" dxfId="26142" priority="19283" operator="equal">
      <formula>"OFF"</formula>
    </cfRule>
    <cfRule type="cellIs" dxfId="26141" priority="19284" operator="equal">
      <formula>"PTO"</formula>
    </cfRule>
  </conditionalFormatting>
  <conditionalFormatting sqref="E26">
    <cfRule type="cellIs" dxfId="26140" priority="19281" operator="equal">
      <formula>"OFF"</formula>
    </cfRule>
    <cfRule type="cellIs" dxfId="26139" priority="19282" operator="equal">
      <formula>"PTO"</formula>
    </cfRule>
  </conditionalFormatting>
  <conditionalFormatting sqref="E26">
    <cfRule type="cellIs" dxfId="26138" priority="19279" operator="equal">
      <formula>"OFF"</formula>
    </cfRule>
    <cfRule type="cellIs" dxfId="26137" priority="19280" operator="equal">
      <formula>"PTO"</formula>
    </cfRule>
  </conditionalFormatting>
  <conditionalFormatting sqref="E26">
    <cfRule type="cellIs" dxfId="26136" priority="19277" operator="equal">
      <formula>"OFF"</formula>
    </cfRule>
    <cfRule type="cellIs" dxfId="26135" priority="19278" operator="equal">
      <formula>"PTO"</formula>
    </cfRule>
  </conditionalFormatting>
  <conditionalFormatting sqref="E26">
    <cfRule type="cellIs" dxfId="26134" priority="19275" operator="equal">
      <formula>"OFF"</formula>
    </cfRule>
    <cfRule type="cellIs" dxfId="26133" priority="19276" operator="equal">
      <formula>"PTO"</formula>
    </cfRule>
  </conditionalFormatting>
  <conditionalFormatting sqref="E26">
    <cfRule type="cellIs" dxfId="26132" priority="19273" operator="equal">
      <formula>"OFF"</formula>
    </cfRule>
    <cfRule type="cellIs" dxfId="26131" priority="19274" operator="equal">
      <formula>"PTO"</formula>
    </cfRule>
  </conditionalFormatting>
  <conditionalFormatting sqref="E26">
    <cfRule type="cellIs" dxfId="26130" priority="19271" operator="equal">
      <formula>"OFF"</formula>
    </cfRule>
    <cfRule type="cellIs" dxfId="26129" priority="19272" operator="equal">
      <formula>"PTO"</formula>
    </cfRule>
  </conditionalFormatting>
  <conditionalFormatting sqref="E26">
    <cfRule type="cellIs" dxfId="26128" priority="19269" operator="equal">
      <formula>"OFF"</formula>
    </cfRule>
    <cfRule type="cellIs" dxfId="26127" priority="19270" operator="equal">
      <formula>"PTO"</formula>
    </cfRule>
  </conditionalFormatting>
  <conditionalFormatting sqref="E27">
    <cfRule type="cellIs" dxfId="26126" priority="19267" operator="equal">
      <formula>"OFF"</formula>
    </cfRule>
    <cfRule type="cellIs" dxfId="26125" priority="19268" operator="equal">
      <formula>"PTO"</formula>
    </cfRule>
  </conditionalFormatting>
  <conditionalFormatting sqref="E27">
    <cfRule type="cellIs" dxfId="26124" priority="19265" operator="equal">
      <formula>"OFF"</formula>
    </cfRule>
    <cfRule type="cellIs" dxfId="26123" priority="19266" operator="equal">
      <formula>"PTO"</formula>
    </cfRule>
  </conditionalFormatting>
  <conditionalFormatting sqref="E27">
    <cfRule type="cellIs" dxfId="26122" priority="19263" operator="equal">
      <formula>"OFF"</formula>
    </cfRule>
    <cfRule type="cellIs" dxfId="26121" priority="19264" operator="equal">
      <formula>"PTO"</formula>
    </cfRule>
  </conditionalFormatting>
  <conditionalFormatting sqref="E27">
    <cfRule type="cellIs" dxfId="26120" priority="19261" operator="equal">
      <formula>"OFF"</formula>
    </cfRule>
    <cfRule type="cellIs" dxfId="26119" priority="19262" operator="equal">
      <formula>"PTO"</formula>
    </cfRule>
  </conditionalFormatting>
  <conditionalFormatting sqref="E27">
    <cfRule type="cellIs" dxfId="26118" priority="19259" operator="equal">
      <formula>"OFF"</formula>
    </cfRule>
    <cfRule type="cellIs" dxfId="26117" priority="19260" operator="equal">
      <formula>"PTO"</formula>
    </cfRule>
  </conditionalFormatting>
  <conditionalFormatting sqref="E27">
    <cfRule type="cellIs" dxfId="26116" priority="19257" operator="equal">
      <formula>"OFF"</formula>
    </cfRule>
    <cfRule type="cellIs" dxfId="26115" priority="19258" operator="equal">
      <formula>"PTO"</formula>
    </cfRule>
  </conditionalFormatting>
  <conditionalFormatting sqref="E27">
    <cfRule type="cellIs" dxfId="26114" priority="19255" operator="equal">
      <formula>"OFF"</formula>
    </cfRule>
    <cfRule type="cellIs" dxfId="26113" priority="19256" operator="equal">
      <formula>"PTO"</formula>
    </cfRule>
  </conditionalFormatting>
  <conditionalFormatting sqref="E27">
    <cfRule type="cellIs" dxfId="26112" priority="19253" operator="equal">
      <formula>"OFF"</formula>
    </cfRule>
    <cfRule type="cellIs" dxfId="26111" priority="19254" operator="equal">
      <formula>"PTO"</formula>
    </cfRule>
  </conditionalFormatting>
  <conditionalFormatting sqref="E26">
    <cfRule type="cellIs" dxfId="26110" priority="19251" operator="equal">
      <formula>"OFF"</formula>
    </cfRule>
    <cfRule type="cellIs" dxfId="26109" priority="19252" operator="equal">
      <formula>"PTO"</formula>
    </cfRule>
  </conditionalFormatting>
  <conditionalFormatting sqref="E26">
    <cfRule type="cellIs" dxfId="26108" priority="19249" operator="equal">
      <formula>"OFF"</formula>
    </cfRule>
    <cfRule type="cellIs" dxfId="26107" priority="19250" operator="equal">
      <formula>"PTO"</formula>
    </cfRule>
  </conditionalFormatting>
  <conditionalFormatting sqref="E26">
    <cfRule type="cellIs" dxfId="26106" priority="19247" operator="equal">
      <formula>"OFF"</formula>
    </cfRule>
    <cfRule type="cellIs" dxfId="26105" priority="19248" operator="equal">
      <formula>"PTO"</formula>
    </cfRule>
  </conditionalFormatting>
  <conditionalFormatting sqref="E26">
    <cfRule type="cellIs" dxfId="26104" priority="19245" operator="equal">
      <formula>"OFF"</formula>
    </cfRule>
    <cfRule type="cellIs" dxfId="26103" priority="19246" operator="equal">
      <formula>"PTO"</formula>
    </cfRule>
  </conditionalFormatting>
  <conditionalFormatting sqref="E26">
    <cfRule type="cellIs" dxfId="26102" priority="19243" operator="equal">
      <formula>"OFF"</formula>
    </cfRule>
    <cfRule type="cellIs" dxfId="26101" priority="19244" operator="equal">
      <formula>"PTO"</formula>
    </cfRule>
  </conditionalFormatting>
  <conditionalFormatting sqref="E26">
    <cfRule type="cellIs" dxfId="26100" priority="19241" operator="equal">
      <formula>"OFF"</formula>
    </cfRule>
    <cfRule type="cellIs" dxfId="26099" priority="19242" operator="equal">
      <formula>"PTO"</formula>
    </cfRule>
  </conditionalFormatting>
  <conditionalFormatting sqref="E26">
    <cfRule type="cellIs" dxfId="26098" priority="19239" operator="equal">
      <formula>"OFF"</formula>
    </cfRule>
    <cfRule type="cellIs" dxfId="26097" priority="19240" operator="equal">
      <formula>"PTO"</formula>
    </cfRule>
  </conditionalFormatting>
  <conditionalFormatting sqref="E26">
    <cfRule type="cellIs" dxfId="26096" priority="19237" operator="equal">
      <formula>"OFF"</formula>
    </cfRule>
    <cfRule type="cellIs" dxfId="26095" priority="19238" operator="equal">
      <formula>"PTO"</formula>
    </cfRule>
  </conditionalFormatting>
  <conditionalFormatting sqref="E27">
    <cfRule type="cellIs" dxfId="26094" priority="19235" operator="equal">
      <formula>"OFF"</formula>
    </cfRule>
    <cfRule type="cellIs" dxfId="26093" priority="19236" operator="equal">
      <formula>"PTO"</formula>
    </cfRule>
  </conditionalFormatting>
  <conditionalFormatting sqref="E27">
    <cfRule type="cellIs" dxfId="26092" priority="19233" operator="equal">
      <formula>"OFF"</formula>
    </cfRule>
    <cfRule type="cellIs" dxfId="26091" priority="19234" operator="equal">
      <formula>"PTO"</formula>
    </cfRule>
  </conditionalFormatting>
  <conditionalFormatting sqref="E27">
    <cfRule type="cellIs" dxfId="26090" priority="19231" operator="equal">
      <formula>"OFF"</formula>
    </cfRule>
    <cfRule type="cellIs" dxfId="26089" priority="19232" operator="equal">
      <formula>"PTO"</formula>
    </cfRule>
  </conditionalFormatting>
  <conditionalFormatting sqref="E27">
    <cfRule type="cellIs" dxfId="26088" priority="19229" operator="equal">
      <formula>"OFF"</formula>
    </cfRule>
    <cfRule type="cellIs" dxfId="26087" priority="19230" operator="equal">
      <formula>"PTO"</formula>
    </cfRule>
  </conditionalFormatting>
  <conditionalFormatting sqref="E27">
    <cfRule type="cellIs" dxfId="26086" priority="19227" operator="equal">
      <formula>"OFF"</formula>
    </cfRule>
    <cfRule type="cellIs" dxfId="26085" priority="19228" operator="equal">
      <formula>"PTO"</formula>
    </cfRule>
  </conditionalFormatting>
  <conditionalFormatting sqref="E27">
    <cfRule type="cellIs" dxfId="26084" priority="19225" operator="equal">
      <formula>"OFF"</formula>
    </cfRule>
    <cfRule type="cellIs" dxfId="26083" priority="19226" operator="equal">
      <formula>"PTO"</formula>
    </cfRule>
  </conditionalFormatting>
  <conditionalFormatting sqref="E27">
    <cfRule type="cellIs" dxfId="26082" priority="19223" operator="equal">
      <formula>"OFF"</formula>
    </cfRule>
    <cfRule type="cellIs" dxfId="26081" priority="19224" operator="equal">
      <formula>"PTO"</formula>
    </cfRule>
  </conditionalFormatting>
  <conditionalFormatting sqref="E27">
    <cfRule type="cellIs" dxfId="26080" priority="19221" operator="equal">
      <formula>"OFF"</formula>
    </cfRule>
    <cfRule type="cellIs" dxfId="26079" priority="19222" operator="equal">
      <formula>"PTO"</formula>
    </cfRule>
  </conditionalFormatting>
  <conditionalFormatting sqref="E26">
    <cfRule type="cellIs" dxfId="26078" priority="19219" operator="equal">
      <formula>"OFF"</formula>
    </cfRule>
    <cfRule type="cellIs" dxfId="26077" priority="19220" operator="equal">
      <formula>"PTO"</formula>
    </cfRule>
  </conditionalFormatting>
  <conditionalFormatting sqref="E26">
    <cfRule type="cellIs" dxfId="26076" priority="19217" operator="equal">
      <formula>"OFF"</formula>
    </cfRule>
    <cfRule type="cellIs" dxfId="26075" priority="19218" operator="equal">
      <formula>"PTO"</formula>
    </cfRule>
  </conditionalFormatting>
  <conditionalFormatting sqref="E26">
    <cfRule type="cellIs" dxfId="26074" priority="19215" operator="equal">
      <formula>"OFF"</formula>
    </cfRule>
    <cfRule type="cellIs" dxfId="26073" priority="19216" operator="equal">
      <formula>"PTO"</formula>
    </cfRule>
  </conditionalFormatting>
  <conditionalFormatting sqref="E26">
    <cfRule type="cellIs" dxfId="26072" priority="19213" operator="equal">
      <formula>"OFF"</formula>
    </cfRule>
    <cfRule type="cellIs" dxfId="26071" priority="19214" operator="equal">
      <formula>"PTO"</formula>
    </cfRule>
  </conditionalFormatting>
  <conditionalFormatting sqref="E26">
    <cfRule type="cellIs" dxfId="26070" priority="19211" operator="equal">
      <formula>"OFF"</formula>
    </cfRule>
    <cfRule type="cellIs" dxfId="26069" priority="19212" operator="equal">
      <formula>"PTO"</formula>
    </cfRule>
  </conditionalFormatting>
  <conditionalFormatting sqref="E26">
    <cfRule type="cellIs" dxfId="26068" priority="19209" operator="equal">
      <formula>"OFF"</formula>
    </cfRule>
    <cfRule type="cellIs" dxfId="26067" priority="19210" operator="equal">
      <formula>"PTO"</formula>
    </cfRule>
  </conditionalFormatting>
  <conditionalFormatting sqref="E26">
    <cfRule type="cellIs" dxfId="26066" priority="19207" operator="equal">
      <formula>"OFF"</formula>
    </cfRule>
    <cfRule type="cellIs" dxfId="26065" priority="19208" operator="equal">
      <formula>"PTO"</formula>
    </cfRule>
  </conditionalFormatting>
  <conditionalFormatting sqref="E26">
    <cfRule type="cellIs" dxfId="26064" priority="19205" operator="equal">
      <formula>"OFF"</formula>
    </cfRule>
    <cfRule type="cellIs" dxfId="26063" priority="19206" operator="equal">
      <formula>"PTO"</formula>
    </cfRule>
  </conditionalFormatting>
  <conditionalFormatting sqref="E27">
    <cfRule type="cellIs" dxfId="26062" priority="19203" operator="equal">
      <formula>"OFF"</formula>
    </cfRule>
    <cfRule type="cellIs" dxfId="26061" priority="19204" operator="equal">
      <formula>"PTO"</formula>
    </cfRule>
  </conditionalFormatting>
  <conditionalFormatting sqref="E27">
    <cfRule type="cellIs" dxfId="26060" priority="19201" operator="equal">
      <formula>"OFF"</formula>
    </cfRule>
    <cfRule type="cellIs" dxfId="26059" priority="19202" operator="equal">
      <formula>"PTO"</formula>
    </cfRule>
  </conditionalFormatting>
  <conditionalFormatting sqref="E27">
    <cfRule type="cellIs" dxfId="26058" priority="19199" operator="equal">
      <formula>"OFF"</formula>
    </cfRule>
    <cfRule type="cellIs" dxfId="26057" priority="19200" operator="equal">
      <formula>"PTO"</formula>
    </cfRule>
  </conditionalFormatting>
  <conditionalFormatting sqref="E27">
    <cfRule type="cellIs" dxfId="26056" priority="19197" operator="equal">
      <formula>"OFF"</formula>
    </cfRule>
    <cfRule type="cellIs" dxfId="26055" priority="19198" operator="equal">
      <formula>"PTO"</formula>
    </cfRule>
  </conditionalFormatting>
  <conditionalFormatting sqref="E27">
    <cfRule type="cellIs" dxfId="26054" priority="19195" operator="equal">
      <formula>"OFF"</formula>
    </cfRule>
    <cfRule type="cellIs" dxfId="26053" priority="19196" operator="equal">
      <formula>"PTO"</formula>
    </cfRule>
  </conditionalFormatting>
  <conditionalFormatting sqref="E27">
    <cfRule type="cellIs" dxfId="26052" priority="19193" operator="equal">
      <formula>"OFF"</formula>
    </cfRule>
    <cfRule type="cellIs" dxfId="26051" priority="19194" operator="equal">
      <formula>"PTO"</formula>
    </cfRule>
  </conditionalFormatting>
  <conditionalFormatting sqref="E27">
    <cfRule type="cellIs" dxfId="26050" priority="19191" operator="equal">
      <formula>"OFF"</formula>
    </cfRule>
    <cfRule type="cellIs" dxfId="26049" priority="19192" operator="equal">
      <formula>"PTO"</formula>
    </cfRule>
  </conditionalFormatting>
  <conditionalFormatting sqref="E27">
    <cfRule type="cellIs" dxfId="26048" priority="19189" operator="equal">
      <formula>"OFF"</formula>
    </cfRule>
    <cfRule type="cellIs" dxfId="26047" priority="19190" operator="equal">
      <formula>"PTO"</formula>
    </cfRule>
  </conditionalFormatting>
  <conditionalFormatting sqref="E29">
    <cfRule type="cellIs" dxfId="26046" priority="18963" operator="equal">
      <formula>"OFF"</formula>
    </cfRule>
    <cfRule type="cellIs" dxfId="26045" priority="18964" operator="equal">
      <formula>"PTO"</formula>
    </cfRule>
  </conditionalFormatting>
  <conditionalFormatting sqref="E29">
    <cfRule type="cellIs" dxfId="26044" priority="18961" operator="equal">
      <formula>"OFF"</formula>
    </cfRule>
    <cfRule type="cellIs" dxfId="26043" priority="18962" operator="equal">
      <formula>"PTO"</formula>
    </cfRule>
  </conditionalFormatting>
  <conditionalFormatting sqref="E29">
    <cfRule type="cellIs" dxfId="26042" priority="18959" operator="equal">
      <formula>"OFF"</formula>
    </cfRule>
    <cfRule type="cellIs" dxfId="26041" priority="18960" operator="equal">
      <formula>"PTO"</formula>
    </cfRule>
  </conditionalFormatting>
  <conditionalFormatting sqref="E29">
    <cfRule type="cellIs" dxfId="26040" priority="18957" operator="equal">
      <formula>"OFF"</formula>
    </cfRule>
    <cfRule type="cellIs" dxfId="26039" priority="18958" operator="equal">
      <formula>"PTO"</formula>
    </cfRule>
  </conditionalFormatting>
  <conditionalFormatting sqref="E29">
    <cfRule type="cellIs" dxfId="26038" priority="18955" operator="equal">
      <formula>"OFF"</formula>
    </cfRule>
    <cfRule type="cellIs" dxfId="26037" priority="18956" operator="equal">
      <formula>"PTO"</formula>
    </cfRule>
  </conditionalFormatting>
  <conditionalFormatting sqref="E29">
    <cfRule type="cellIs" dxfId="26036" priority="18953" operator="equal">
      <formula>"OFF"</formula>
    </cfRule>
    <cfRule type="cellIs" dxfId="26035" priority="18954" operator="equal">
      <formula>"PTO"</formula>
    </cfRule>
  </conditionalFormatting>
  <conditionalFormatting sqref="E29">
    <cfRule type="cellIs" dxfId="26034" priority="18951" operator="equal">
      <formula>"OFF"</formula>
    </cfRule>
    <cfRule type="cellIs" dxfId="26033" priority="18952" operator="equal">
      <formula>"PTO"</formula>
    </cfRule>
  </conditionalFormatting>
  <conditionalFormatting sqref="E29">
    <cfRule type="cellIs" dxfId="26032" priority="18949" operator="equal">
      <formula>"OFF"</formula>
    </cfRule>
    <cfRule type="cellIs" dxfId="26031" priority="18950" operator="equal">
      <formula>"PTO"</formula>
    </cfRule>
  </conditionalFormatting>
  <conditionalFormatting sqref="E29">
    <cfRule type="cellIs" dxfId="26030" priority="18947" operator="equal">
      <formula>"OFF"</formula>
    </cfRule>
    <cfRule type="cellIs" dxfId="26029" priority="18948" operator="equal">
      <formula>"PTO"</formula>
    </cfRule>
  </conditionalFormatting>
  <conditionalFormatting sqref="E29">
    <cfRule type="cellIs" dxfId="26028" priority="18945" operator="equal">
      <formula>"OFF"</formula>
    </cfRule>
    <cfRule type="cellIs" dxfId="26027" priority="18946" operator="equal">
      <formula>"PTO"</formula>
    </cfRule>
  </conditionalFormatting>
  <conditionalFormatting sqref="E29">
    <cfRule type="cellIs" dxfId="26026" priority="18943" operator="equal">
      <formula>"OFF"</formula>
    </cfRule>
    <cfRule type="cellIs" dxfId="26025" priority="18944" operator="equal">
      <formula>"PTO"</formula>
    </cfRule>
  </conditionalFormatting>
  <conditionalFormatting sqref="E29">
    <cfRule type="cellIs" dxfId="26024" priority="18941" operator="equal">
      <formula>"OFF"</formula>
    </cfRule>
    <cfRule type="cellIs" dxfId="26023" priority="18942" operator="equal">
      <formula>"PTO"</formula>
    </cfRule>
  </conditionalFormatting>
  <conditionalFormatting sqref="E29">
    <cfRule type="cellIs" dxfId="26022" priority="18939" operator="equal">
      <formula>"OFF"</formula>
    </cfRule>
    <cfRule type="cellIs" dxfId="26021" priority="18940" operator="equal">
      <formula>"PTO"</formula>
    </cfRule>
  </conditionalFormatting>
  <conditionalFormatting sqref="E29">
    <cfRule type="cellIs" dxfId="26020" priority="18937" operator="equal">
      <formula>"OFF"</formula>
    </cfRule>
    <cfRule type="cellIs" dxfId="26019" priority="18938" operator="equal">
      <formula>"PTO"</formula>
    </cfRule>
  </conditionalFormatting>
  <conditionalFormatting sqref="E29">
    <cfRule type="cellIs" dxfId="26018" priority="18935" operator="equal">
      <formula>"OFF"</formula>
    </cfRule>
    <cfRule type="cellIs" dxfId="26017" priority="18936" operator="equal">
      <formula>"PTO"</formula>
    </cfRule>
  </conditionalFormatting>
  <conditionalFormatting sqref="E29">
    <cfRule type="cellIs" dxfId="26016" priority="18933" operator="equal">
      <formula>"OFF"</formula>
    </cfRule>
    <cfRule type="cellIs" dxfId="26015" priority="18934" operator="equal">
      <formula>"PTO"</formula>
    </cfRule>
  </conditionalFormatting>
  <conditionalFormatting sqref="E29">
    <cfRule type="cellIs" dxfId="26014" priority="18931" operator="equal">
      <formula>"OFF"</formula>
    </cfRule>
    <cfRule type="cellIs" dxfId="26013" priority="18932" operator="equal">
      <formula>"PTO"</formula>
    </cfRule>
  </conditionalFormatting>
  <conditionalFormatting sqref="E29">
    <cfRule type="cellIs" dxfId="26012" priority="18929" operator="equal">
      <formula>"OFF"</formula>
    </cfRule>
    <cfRule type="cellIs" dxfId="26011" priority="18930" operator="equal">
      <formula>"PTO"</formula>
    </cfRule>
  </conditionalFormatting>
  <conditionalFormatting sqref="E29">
    <cfRule type="cellIs" dxfId="26010" priority="18927" operator="equal">
      <formula>"OFF"</formula>
    </cfRule>
    <cfRule type="cellIs" dxfId="26009" priority="18928" operator="equal">
      <formula>"PTO"</formula>
    </cfRule>
  </conditionalFormatting>
  <conditionalFormatting sqref="E29">
    <cfRule type="cellIs" dxfId="26008" priority="18925" operator="equal">
      <formula>"OFF"</formula>
    </cfRule>
    <cfRule type="cellIs" dxfId="26007" priority="18926" operator="equal">
      <formula>"PTO"</formula>
    </cfRule>
  </conditionalFormatting>
  <conditionalFormatting sqref="E29">
    <cfRule type="cellIs" dxfId="26006" priority="18923" operator="equal">
      <formula>"OFF"</formula>
    </cfRule>
    <cfRule type="cellIs" dxfId="26005" priority="18924" operator="equal">
      <formula>"PTO"</formula>
    </cfRule>
  </conditionalFormatting>
  <conditionalFormatting sqref="E29">
    <cfRule type="cellIs" dxfId="26004" priority="18921" operator="equal">
      <formula>"OFF"</formula>
    </cfRule>
    <cfRule type="cellIs" dxfId="26003" priority="18922" operator="equal">
      <formula>"PTO"</formula>
    </cfRule>
  </conditionalFormatting>
  <conditionalFormatting sqref="E29">
    <cfRule type="cellIs" dxfId="26002" priority="18919" operator="equal">
      <formula>"OFF"</formula>
    </cfRule>
    <cfRule type="cellIs" dxfId="26001" priority="18920" operator="equal">
      <formula>"PTO"</formula>
    </cfRule>
  </conditionalFormatting>
  <conditionalFormatting sqref="E29">
    <cfRule type="cellIs" dxfId="26000" priority="18917" operator="equal">
      <formula>"OFF"</formula>
    </cfRule>
    <cfRule type="cellIs" dxfId="25999" priority="18918" operator="equal">
      <formula>"PTO"</formula>
    </cfRule>
  </conditionalFormatting>
  <conditionalFormatting sqref="E29">
    <cfRule type="cellIs" dxfId="25998" priority="18915" operator="equal">
      <formula>"OFF"</formula>
    </cfRule>
    <cfRule type="cellIs" dxfId="25997" priority="18916" operator="equal">
      <formula>"PTO"</formula>
    </cfRule>
  </conditionalFormatting>
  <conditionalFormatting sqref="E29">
    <cfRule type="cellIs" dxfId="25996" priority="18913" operator="equal">
      <formula>"OFF"</formula>
    </cfRule>
    <cfRule type="cellIs" dxfId="25995" priority="18914" operator="equal">
      <formula>"PTO"</formula>
    </cfRule>
  </conditionalFormatting>
  <conditionalFormatting sqref="E29">
    <cfRule type="cellIs" dxfId="25994" priority="18911" operator="equal">
      <formula>"OFF"</formula>
    </cfRule>
    <cfRule type="cellIs" dxfId="25993" priority="18912" operator="equal">
      <formula>"PTO"</formula>
    </cfRule>
  </conditionalFormatting>
  <conditionalFormatting sqref="E29">
    <cfRule type="cellIs" dxfId="25992" priority="18909" operator="equal">
      <formula>"OFF"</formula>
    </cfRule>
    <cfRule type="cellIs" dxfId="25991" priority="18910" operator="equal">
      <formula>"PTO"</formula>
    </cfRule>
  </conditionalFormatting>
  <conditionalFormatting sqref="E29">
    <cfRule type="cellIs" dxfId="25990" priority="18907" operator="equal">
      <formula>"OFF"</formula>
    </cfRule>
    <cfRule type="cellIs" dxfId="25989" priority="18908" operator="equal">
      <formula>"PTO"</formula>
    </cfRule>
  </conditionalFormatting>
  <conditionalFormatting sqref="E29">
    <cfRule type="cellIs" dxfId="25988" priority="18905" operator="equal">
      <formula>"OFF"</formula>
    </cfRule>
    <cfRule type="cellIs" dxfId="25987" priority="18906" operator="equal">
      <formula>"PTO"</formula>
    </cfRule>
  </conditionalFormatting>
  <conditionalFormatting sqref="E29">
    <cfRule type="cellIs" dxfId="25986" priority="18903" operator="equal">
      <formula>"OFF"</formula>
    </cfRule>
    <cfRule type="cellIs" dxfId="25985" priority="18904" operator="equal">
      <formula>"PTO"</formula>
    </cfRule>
  </conditionalFormatting>
  <conditionalFormatting sqref="E29">
    <cfRule type="cellIs" dxfId="25984" priority="18901" operator="equal">
      <formula>"OFF"</formula>
    </cfRule>
    <cfRule type="cellIs" dxfId="25983" priority="18902" operator="equal">
      <formula>"PTO"</formula>
    </cfRule>
  </conditionalFormatting>
  <conditionalFormatting sqref="E29">
    <cfRule type="cellIs" dxfId="25982" priority="18899" operator="equal">
      <formula>"OFF"</formula>
    </cfRule>
    <cfRule type="cellIs" dxfId="25981" priority="18900" operator="equal">
      <formula>"PTO"</formula>
    </cfRule>
  </conditionalFormatting>
  <conditionalFormatting sqref="E29">
    <cfRule type="cellIs" dxfId="25980" priority="18897" operator="equal">
      <formula>"OFF"</formula>
    </cfRule>
    <cfRule type="cellIs" dxfId="25979" priority="18898" operator="equal">
      <formula>"PTO"</formula>
    </cfRule>
  </conditionalFormatting>
  <conditionalFormatting sqref="E29">
    <cfRule type="cellIs" dxfId="25978" priority="18895" operator="equal">
      <formula>"OFF"</formula>
    </cfRule>
    <cfRule type="cellIs" dxfId="25977" priority="18896" operator="equal">
      <formula>"PTO"</formula>
    </cfRule>
  </conditionalFormatting>
  <conditionalFormatting sqref="E29">
    <cfRule type="cellIs" dxfId="25976" priority="18893" operator="equal">
      <formula>"OFF"</formula>
    </cfRule>
    <cfRule type="cellIs" dxfId="25975" priority="18894" operator="equal">
      <formula>"PTO"</formula>
    </cfRule>
  </conditionalFormatting>
  <conditionalFormatting sqref="E29">
    <cfRule type="cellIs" dxfId="25974" priority="18891" operator="equal">
      <formula>"OFF"</formula>
    </cfRule>
    <cfRule type="cellIs" dxfId="25973" priority="18892" operator="equal">
      <formula>"PTO"</formula>
    </cfRule>
  </conditionalFormatting>
  <conditionalFormatting sqref="E29">
    <cfRule type="cellIs" dxfId="25972" priority="18889" operator="equal">
      <formula>"OFF"</formula>
    </cfRule>
    <cfRule type="cellIs" dxfId="25971" priority="18890" operator="equal">
      <formula>"PTO"</formula>
    </cfRule>
  </conditionalFormatting>
  <conditionalFormatting sqref="E29">
    <cfRule type="cellIs" dxfId="25970" priority="18887" operator="equal">
      <formula>"OFF"</formula>
    </cfRule>
    <cfRule type="cellIs" dxfId="25969" priority="18888" operator="equal">
      <formula>"PTO"</formula>
    </cfRule>
  </conditionalFormatting>
  <conditionalFormatting sqref="E29">
    <cfRule type="cellIs" dxfId="25968" priority="18885" operator="equal">
      <formula>"OFF"</formula>
    </cfRule>
    <cfRule type="cellIs" dxfId="25967" priority="18886" operator="equal">
      <formula>"PTO"</formula>
    </cfRule>
  </conditionalFormatting>
  <conditionalFormatting sqref="E29">
    <cfRule type="cellIs" dxfId="25966" priority="18883" operator="equal">
      <formula>"OFF"</formula>
    </cfRule>
    <cfRule type="cellIs" dxfId="25965" priority="18884" operator="equal">
      <formula>"PTO"</formula>
    </cfRule>
  </conditionalFormatting>
  <conditionalFormatting sqref="E29">
    <cfRule type="cellIs" dxfId="25964" priority="18881" operator="equal">
      <formula>"OFF"</formula>
    </cfRule>
    <cfRule type="cellIs" dxfId="25963" priority="18882" operator="equal">
      <formula>"PTO"</formula>
    </cfRule>
  </conditionalFormatting>
  <conditionalFormatting sqref="E29">
    <cfRule type="cellIs" dxfId="25962" priority="18879" operator="equal">
      <formula>"OFF"</formula>
    </cfRule>
    <cfRule type="cellIs" dxfId="25961" priority="18880" operator="equal">
      <formula>"PTO"</formula>
    </cfRule>
  </conditionalFormatting>
  <conditionalFormatting sqref="E29">
    <cfRule type="cellIs" dxfId="25960" priority="18877" operator="equal">
      <formula>"OFF"</formula>
    </cfRule>
    <cfRule type="cellIs" dxfId="25959" priority="18878" operator="equal">
      <formula>"PTO"</formula>
    </cfRule>
  </conditionalFormatting>
  <conditionalFormatting sqref="E29">
    <cfRule type="cellIs" dxfId="25958" priority="18875" operator="equal">
      <formula>"OFF"</formula>
    </cfRule>
    <cfRule type="cellIs" dxfId="25957" priority="18876" operator="equal">
      <formula>"PTO"</formula>
    </cfRule>
  </conditionalFormatting>
  <conditionalFormatting sqref="E29">
    <cfRule type="cellIs" dxfId="25956" priority="18873" operator="equal">
      <formula>"OFF"</formula>
    </cfRule>
    <cfRule type="cellIs" dxfId="25955" priority="18874" operator="equal">
      <formula>"PTO"</formula>
    </cfRule>
  </conditionalFormatting>
  <conditionalFormatting sqref="E29">
    <cfRule type="cellIs" dxfId="25954" priority="18871" operator="equal">
      <formula>"OFF"</formula>
    </cfRule>
    <cfRule type="cellIs" dxfId="25953" priority="18872" operator="equal">
      <formula>"PTO"</formula>
    </cfRule>
  </conditionalFormatting>
  <conditionalFormatting sqref="E29">
    <cfRule type="cellIs" dxfId="25952" priority="18869" operator="equal">
      <formula>"OFF"</formula>
    </cfRule>
    <cfRule type="cellIs" dxfId="25951" priority="18870" operator="equal">
      <formula>"PTO"</formula>
    </cfRule>
  </conditionalFormatting>
  <conditionalFormatting sqref="E29">
    <cfRule type="cellIs" dxfId="25950" priority="18867" operator="equal">
      <formula>"OFF"</formula>
    </cfRule>
    <cfRule type="cellIs" dxfId="25949" priority="18868" operator="equal">
      <formula>"PTO"</formula>
    </cfRule>
  </conditionalFormatting>
  <conditionalFormatting sqref="E29">
    <cfRule type="cellIs" dxfId="25948" priority="18865" operator="equal">
      <formula>"OFF"</formula>
    </cfRule>
    <cfRule type="cellIs" dxfId="25947" priority="18866" operator="equal">
      <formula>"PTO"</formula>
    </cfRule>
  </conditionalFormatting>
  <conditionalFormatting sqref="E29">
    <cfRule type="cellIs" dxfId="25946" priority="18863" operator="equal">
      <formula>"OFF"</formula>
    </cfRule>
    <cfRule type="cellIs" dxfId="25945" priority="18864" operator="equal">
      <formula>"PTO"</formula>
    </cfRule>
  </conditionalFormatting>
  <conditionalFormatting sqref="E29">
    <cfRule type="cellIs" dxfId="25944" priority="18861" operator="equal">
      <formula>"OFF"</formula>
    </cfRule>
    <cfRule type="cellIs" dxfId="25943" priority="18862" operator="equal">
      <formula>"PTO"</formula>
    </cfRule>
  </conditionalFormatting>
  <conditionalFormatting sqref="E29">
    <cfRule type="cellIs" dxfId="25942" priority="18859" operator="equal">
      <formula>"OFF"</formula>
    </cfRule>
    <cfRule type="cellIs" dxfId="25941" priority="18860" operator="equal">
      <formula>"PTO"</formula>
    </cfRule>
  </conditionalFormatting>
  <conditionalFormatting sqref="E29">
    <cfRule type="cellIs" dxfId="25940" priority="18857" operator="equal">
      <formula>"OFF"</formula>
    </cfRule>
    <cfRule type="cellIs" dxfId="25939" priority="18858" operator="equal">
      <formula>"PTO"</formula>
    </cfRule>
  </conditionalFormatting>
  <conditionalFormatting sqref="E29">
    <cfRule type="cellIs" dxfId="25938" priority="18855" operator="equal">
      <formula>"OFF"</formula>
    </cfRule>
    <cfRule type="cellIs" dxfId="25937" priority="18856" operator="equal">
      <formula>"PTO"</formula>
    </cfRule>
  </conditionalFormatting>
  <conditionalFormatting sqref="E29">
    <cfRule type="cellIs" dxfId="25936" priority="18853" operator="equal">
      <formula>"OFF"</formula>
    </cfRule>
    <cfRule type="cellIs" dxfId="25935" priority="18854" operator="equal">
      <formula>"PTO"</formula>
    </cfRule>
  </conditionalFormatting>
  <conditionalFormatting sqref="I60">
    <cfRule type="cellIs" dxfId="25934" priority="18737" operator="equal">
      <formula>"OFF"</formula>
    </cfRule>
    <cfRule type="cellIs" dxfId="25933" priority="18738" operator="equal">
      <formula>"PTO"</formula>
    </cfRule>
  </conditionalFormatting>
  <conditionalFormatting sqref="I63">
    <cfRule type="cellIs" dxfId="25932" priority="18735" operator="equal">
      <formula>"OFF"</formula>
    </cfRule>
    <cfRule type="cellIs" dxfId="25931" priority="18736" operator="equal">
      <formula>"PTO"</formula>
    </cfRule>
  </conditionalFormatting>
  <conditionalFormatting sqref="O56">
    <cfRule type="cellIs" dxfId="25930" priority="18733" operator="equal">
      <formula>"OFF"</formula>
    </cfRule>
    <cfRule type="cellIs" dxfId="25929" priority="18734" operator="equal">
      <formula>"PTO"</formula>
    </cfRule>
  </conditionalFormatting>
  <conditionalFormatting sqref="C30">
    <cfRule type="cellIs" dxfId="25928" priority="18731" operator="equal">
      <formula>"OFF"</formula>
    </cfRule>
    <cfRule type="cellIs" dxfId="25927" priority="18732" operator="equal">
      <formula>"PTO"</formula>
    </cfRule>
  </conditionalFormatting>
  <conditionalFormatting sqref="C30">
    <cfRule type="cellIs" dxfId="25926" priority="18729" operator="equal">
      <formula>"OFF"</formula>
    </cfRule>
    <cfRule type="cellIs" dxfId="25925" priority="18730" operator="equal">
      <formula>"PTO"</formula>
    </cfRule>
  </conditionalFormatting>
  <conditionalFormatting sqref="C30">
    <cfRule type="cellIs" dxfId="25924" priority="18727" operator="equal">
      <formula>"OFF"</formula>
    </cfRule>
    <cfRule type="cellIs" dxfId="25923" priority="18728" operator="equal">
      <formula>"PTO"</formula>
    </cfRule>
  </conditionalFormatting>
  <conditionalFormatting sqref="C30">
    <cfRule type="cellIs" dxfId="25922" priority="18725" operator="equal">
      <formula>"OFF"</formula>
    </cfRule>
    <cfRule type="cellIs" dxfId="25921" priority="18726" operator="equal">
      <formula>"PTO"</formula>
    </cfRule>
  </conditionalFormatting>
  <conditionalFormatting sqref="C30">
    <cfRule type="cellIs" dxfId="25920" priority="18723" operator="equal">
      <formula>"OFF"</formula>
    </cfRule>
    <cfRule type="cellIs" dxfId="25919" priority="18724" operator="equal">
      <formula>"PTO"</formula>
    </cfRule>
  </conditionalFormatting>
  <conditionalFormatting sqref="C30">
    <cfRule type="cellIs" dxfId="25918" priority="18721" operator="equal">
      <formula>"OFF"</formula>
    </cfRule>
    <cfRule type="cellIs" dxfId="25917" priority="18722" operator="equal">
      <formula>"PTO"</formula>
    </cfRule>
  </conditionalFormatting>
  <conditionalFormatting sqref="C30">
    <cfRule type="cellIs" dxfId="25916" priority="18719" operator="equal">
      <formula>"OFF"</formula>
    </cfRule>
    <cfRule type="cellIs" dxfId="25915" priority="18720" operator="equal">
      <formula>"PTO"</formula>
    </cfRule>
  </conditionalFormatting>
  <conditionalFormatting sqref="C30">
    <cfRule type="cellIs" dxfId="25914" priority="18717" operator="equal">
      <formula>"OFF"</formula>
    </cfRule>
    <cfRule type="cellIs" dxfId="25913" priority="18718" operator="equal">
      <formula>"PTO"</formula>
    </cfRule>
  </conditionalFormatting>
  <conditionalFormatting sqref="C32:C33">
    <cfRule type="cellIs" dxfId="25912" priority="18715" operator="equal">
      <formula>"OFF"</formula>
    </cfRule>
    <cfRule type="cellIs" dxfId="25911" priority="18716" operator="equal">
      <formula>"PTO"</formula>
    </cfRule>
  </conditionalFormatting>
  <conditionalFormatting sqref="C32:C33">
    <cfRule type="cellIs" dxfId="25910" priority="18713" operator="equal">
      <formula>"OFF"</formula>
    </cfRule>
    <cfRule type="cellIs" dxfId="25909" priority="18714" operator="equal">
      <formula>"PTO"</formula>
    </cfRule>
  </conditionalFormatting>
  <conditionalFormatting sqref="C32:C33">
    <cfRule type="cellIs" dxfId="25908" priority="18711" operator="equal">
      <formula>"OFF"</formula>
    </cfRule>
    <cfRule type="cellIs" dxfId="25907" priority="18712" operator="equal">
      <formula>"PTO"</formula>
    </cfRule>
  </conditionalFormatting>
  <conditionalFormatting sqref="C32:C33">
    <cfRule type="cellIs" dxfId="25906" priority="18709" operator="equal">
      <formula>"OFF"</formula>
    </cfRule>
    <cfRule type="cellIs" dxfId="25905" priority="18710" operator="equal">
      <formula>"PTO"</formula>
    </cfRule>
  </conditionalFormatting>
  <conditionalFormatting sqref="C32:C33">
    <cfRule type="cellIs" dxfId="25904" priority="18707" operator="equal">
      <formula>"OFF"</formula>
    </cfRule>
    <cfRule type="cellIs" dxfId="25903" priority="18708" operator="equal">
      <formula>"PTO"</formula>
    </cfRule>
  </conditionalFormatting>
  <conditionalFormatting sqref="C32:C33">
    <cfRule type="cellIs" dxfId="25902" priority="18705" operator="equal">
      <formula>"OFF"</formula>
    </cfRule>
    <cfRule type="cellIs" dxfId="25901" priority="18706" operator="equal">
      <formula>"PTO"</formula>
    </cfRule>
  </conditionalFormatting>
  <conditionalFormatting sqref="C32:C33">
    <cfRule type="cellIs" dxfId="25900" priority="18703" operator="equal">
      <formula>"OFF"</formula>
    </cfRule>
    <cfRule type="cellIs" dxfId="25899" priority="18704" operator="equal">
      <formula>"PTO"</formula>
    </cfRule>
  </conditionalFormatting>
  <conditionalFormatting sqref="C32:C33">
    <cfRule type="cellIs" dxfId="25898" priority="18701" operator="equal">
      <formula>"OFF"</formula>
    </cfRule>
    <cfRule type="cellIs" dxfId="25897" priority="18702" operator="equal">
      <formula>"PTO"</formula>
    </cfRule>
  </conditionalFormatting>
  <conditionalFormatting sqref="C35:C36">
    <cfRule type="cellIs" dxfId="25896" priority="18699" operator="equal">
      <formula>"OFF"</formula>
    </cfRule>
    <cfRule type="cellIs" dxfId="25895" priority="18700" operator="equal">
      <formula>"PTO"</formula>
    </cfRule>
  </conditionalFormatting>
  <conditionalFormatting sqref="C35:C36">
    <cfRule type="cellIs" dxfId="25894" priority="18697" operator="equal">
      <formula>"OFF"</formula>
    </cfRule>
    <cfRule type="cellIs" dxfId="25893" priority="18698" operator="equal">
      <formula>"PTO"</formula>
    </cfRule>
  </conditionalFormatting>
  <conditionalFormatting sqref="C35:C36">
    <cfRule type="cellIs" dxfId="25892" priority="18695" operator="equal">
      <formula>"OFF"</formula>
    </cfRule>
    <cfRule type="cellIs" dxfId="25891" priority="18696" operator="equal">
      <formula>"PTO"</formula>
    </cfRule>
  </conditionalFormatting>
  <conditionalFormatting sqref="C35:C36">
    <cfRule type="cellIs" dxfId="25890" priority="18693" operator="equal">
      <formula>"OFF"</formula>
    </cfRule>
    <cfRule type="cellIs" dxfId="25889" priority="18694" operator="equal">
      <formula>"PTO"</formula>
    </cfRule>
  </conditionalFormatting>
  <conditionalFormatting sqref="C35:C36">
    <cfRule type="cellIs" dxfId="25888" priority="18691" operator="equal">
      <formula>"OFF"</formula>
    </cfRule>
    <cfRule type="cellIs" dxfId="25887" priority="18692" operator="equal">
      <formula>"PTO"</formula>
    </cfRule>
  </conditionalFormatting>
  <conditionalFormatting sqref="C35:C36">
    <cfRule type="cellIs" dxfId="25886" priority="18689" operator="equal">
      <formula>"OFF"</formula>
    </cfRule>
    <cfRule type="cellIs" dxfId="25885" priority="18690" operator="equal">
      <formula>"PTO"</formula>
    </cfRule>
  </conditionalFormatting>
  <conditionalFormatting sqref="C35:C36">
    <cfRule type="cellIs" dxfId="25884" priority="18687" operator="equal">
      <formula>"OFF"</formula>
    </cfRule>
    <cfRule type="cellIs" dxfId="25883" priority="18688" operator="equal">
      <formula>"PTO"</formula>
    </cfRule>
  </conditionalFormatting>
  <conditionalFormatting sqref="C35:C36">
    <cfRule type="cellIs" dxfId="25882" priority="18685" operator="equal">
      <formula>"OFF"</formula>
    </cfRule>
    <cfRule type="cellIs" dxfId="25881" priority="18686" operator="equal">
      <formula>"PTO"</formula>
    </cfRule>
  </conditionalFormatting>
  <conditionalFormatting sqref="C38:C39">
    <cfRule type="cellIs" dxfId="25880" priority="18683" operator="equal">
      <formula>"OFF"</formula>
    </cfRule>
    <cfRule type="cellIs" dxfId="25879" priority="18684" operator="equal">
      <formula>"PTO"</formula>
    </cfRule>
  </conditionalFormatting>
  <conditionalFormatting sqref="C38:C39">
    <cfRule type="cellIs" dxfId="25878" priority="18681" operator="equal">
      <formula>"OFF"</formula>
    </cfRule>
    <cfRule type="cellIs" dxfId="25877" priority="18682" operator="equal">
      <formula>"PTO"</formula>
    </cfRule>
  </conditionalFormatting>
  <conditionalFormatting sqref="C38:C39">
    <cfRule type="cellIs" dxfId="25876" priority="18679" operator="equal">
      <formula>"OFF"</formula>
    </cfRule>
    <cfRule type="cellIs" dxfId="25875" priority="18680" operator="equal">
      <formula>"PTO"</formula>
    </cfRule>
  </conditionalFormatting>
  <conditionalFormatting sqref="C38:C39">
    <cfRule type="cellIs" dxfId="25874" priority="18677" operator="equal">
      <formula>"OFF"</formula>
    </cfRule>
    <cfRule type="cellIs" dxfId="25873" priority="18678" operator="equal">
      <formula>"PTO"</formula>
    </cfRule>
  </conditionalFormatting>
  <conditionalFormatting sqref="C38:C39">
    <cfRule type="cellIs" dxfId="25872" priority="18675" operator="equal">
      <formula>"OFF"</formula>
    </cfRule>
    <cfRule type="cellIs" dxfId="25871" priority="18676" operator="equal">
      <formula>"PTO"</formula>
    </cfRule>
  </conditionalFormatting>
  <conditionalFormatting sqref="C38:C39">
    <cfRule type="cellIs" dxfId="25870" priority="18673" operator="equal">
      <formula>"OFF"</formula>
    </cfRule>
    <cfRule type="cellIs" dxfId="25869" priority="18674" operator="equal">
      <formula>"PTO"</formula>
    </cfRule>
  </conditionalFormatting>
  <conditionalFormatting sqref="C38:C39">
    <cfRule type="cellIs" dxfId="25868" priority="18671" operator="equal">
      <formula>"OFF"</formula>
    </cfRule>
    <cfRule type="cellIs" dxfId="25867" priority="18672" operator="equal">
      <formula>"PTO"</formula>
    </cfRule>
  </conditionalFormatting>
  <conditionalFormatting sqref="C38:C39">
    <cfRule type="cellIs" dxfId="25866" priority="18669" operator="equal">
      <formula>"OFF"</formula>
    </cfRule>
    <cfRule type="cellIs" dxfId="25865" priority="18670" operator="equal">
      <formula>"PTO"</formula>
    </cfRule>
  </conditionalFormatting>
  <conditionalFormatting sqref="D30">
    <cfRule type="cellIs" dxfId="25864" priority="18667" operator="equal">
      <formula>"OFF"</formula>
    </cfRule>
    <cfRule type="cellIs" dxfId="25863" priority="18668" operator="equal">
      <formula>"PTO"</formula>
    </cfRule>
  </conditionalFormatting>
  <conditionalFormatting sqref="D30">
    <cfRule type="cellIs" dxfId="25862" priority="18665" operator="equal">
      <formula>"OFF"</formula>
    </cfRule>
    <cfRule type="cellIs" dxfId="25861" priority="18666" operator="equal">
      <formula>"PTO"</formula>
    </cfRule>
  </conditionalFormatting>
  <conditionalFormatting sqref="D30">
    <cfRule type="cellIs" dxfId="25860" priority="18663" operator="equal">
      <formula>"OFF"</formula>
    </cfRule>
    <cfRule type="cellIs" dxfId="25859" priority="18664" operator="equal">
      <formula>"PTO"</formula>
    </cfRule>
  </conditionalFormatting>
  <conditionalFormatting sqref="D30">
    <cfRule type="cellIs" dxfId="25858" priority="18661" operator="equal">
      <formula>"OFF"</formula>
    </cfRule>
    <cfRule type="cellIs" dxfId="25857" priority="18662" operator="equal">
      <formula>"PTO"</formula>
    </cfRule>
  </conditionalFormatting>
  <conditionalFormatting sqref="D30">
    <cfRule type="cellIs" dxfId="25856" priority="18659" operator="equal">
      <formula>"OFF"</formula>
    </cfRule>
    <cfRule type="cellIs" dxfId="25855" priority="18660" operator="equal">
      <formula>"PTO"</formula>
    </cfRule>
  </conditionalFormatting>
  <conditionalFormatting sqref="D30">
    <cfRule type="cellIs" dxfId="25854" priority="18657" operator="equal">
      <formula>"OFF"</formula>
    </cfRule>
    <cfRule type="cellIs" dxfId="25853" priority="18658" operator="equal">
      <formula>"PTO"</formula>
    </cfRule>
  </conditionalFormatting>
  <conditionalFormatting sqref="D30">
    <cfRule type="cellIs" dxfId="25852" priority="18655" operator="equal">
      <formula>"OFF"</formula>
    </cfRule>
    <cfRule type="cellIs" dxfId="25851" priority="18656" operator="equal">
      <formula>"PTO"</formula>
    </cfRule>
  </conditionalFormatting>
  <conditionalFormatting sqref="D30">
    <cfRule type="cellIs" dxfId="25850" priority="18653" operator="equal">
      <formula>"OFF"</formula>
    </cfRule>
    <cfRule type="cellIs" dxfId="25849" priority="18654" operator="equal">
      <formula>"PTO"</formula>
    </cfRule>
  </conditionalFormatting>
  <conditionalFormatting sqref="D32:D33">
    <cfRule type="cellIs" dxfId="25848" priority="18651" operator="equal">
      <formula>"OFF"</formula>
    </cfRule>
    <cfRule type="cellIs" dxfId="25847" priority="18652" operator="equal">
      <formula>"PTO"</formula>
    </cfRule>
  </conditionalFormatting>
  <conditionalFormatting sqref="D32:D33">
    <cfRule type="cellIs" dxfId="25846" priority="18649" operator="equal">
      <formula>"OFF"</formula>
    </cfRule>
    <cfRule type="cellIs" dxfId="25845" priority="18650" operator="equal">
      <formula>"PTO"</formula>
    </cfRule>
  </conditionalFormatting>
  <conditionalFormatting sqref="D32:D33">
    <cfRule type="cellIs" dxfId="25844" priority="18647" operator="equal">
      <formula>"OFF"</formula>
    </cfRule>
    <cfRule type="cellIs" dxfId="25843" priority="18648" operator="equal">
      <formula>"PTO"</formula>
    </cfRule>
  </conditionalFormatting>
  <conditionalFormatting sqref="D32:D33">
    <cfRule type="cellIs" dxfId="25842" priority="18645" operator="equal">
      <formula>"OFF"</formula>
    </cfRule>
    <cfRule type="cellIs" dxfId="25841" priority="18646" operator="equal">
      <formula>"PTO"</formula>
    </cfRule>
  </conditionalFormatting>
  <conditionalFormatting sqref="D32:D33">
    <cfRule type="cellIs" dxfId="25840" priority="18643" operator="equal">
      <formula>"OFF"</formula>
    </cfRule>
    <cfRule type="cellIs" dxfId="25839" priority="18644" operator="equal">
      <formula>"PTO"</formula>
    </cfRule>
  </conditionalFormatting>
  <conditionalFormatting sqref="D32:D33">
    <cfRule type="cellIs" dxfId="25838" priority="18641" operator="equal">
      <formula>"OFF"</formula>
    </cfRule>
    <cfRule type="cellIs" dxfId="25837" priority="18642" operator="equal">
      <formula>"PTO"</formula>
    </cfRule>
  </conditionalFormatting>
  <conditionalFormatting sqref="D32:D33">
    <cfRule type="cellIs" dxfId="25836" priority="18639" operator="equal">
      <formula>"OFF"</formula>
    </cfRule>
    <cfRule type="cellIs" dxfId="25835" priority="18640" operator="equal">
      <formula>"PTO"</formula>
    </cfRule>
  </conditionalFormatting>
  <conditionalFormatting sqref="D32:D33">
    <cfRule type="cellIs" dxfId="25834" priority="18637" operator="equal">
      <formula>"OFF"</formula>
    </cfRule>
    <cfRule type="cellIs" dxfId="25833" priority="18638" operator="equal">
      <formula>"PTO"</formula>
    </cfRule>
  </conditionalFormatting>
  <conditionalFormatting sqref="D35:D36">
    <cfRule type="cellIs" dxfId="25832" priority="18635" operator="equal">
      <formula>"OFF"</formula>
    </cfRule>
    <cfRule type="cellIs" dxfId="25831" priority="18636" operator="equal">
      <formula>"PTO"</formula>
    </cfRule>
  </conditionalFormatting>
  <conditionalFormatting sqref="D35:D36">
    <cfRule type="cellIs" dxfId="25830" priority="18633" operator="equal">
      <formula>"OFF"</formula>
    </cfRule>
    <cfRule type="cellIs" dxfId="25829" priority="18634" operator="equal">
      <formula>"PTO"</formula>
    </cfRule>
  </conditionalFormatting>
  <conditionalFormatting sqref="D35:D36">
    <cfRule type="cellIs" dxfId="25828" priority="18631" operator="equal">
      <formula>"OFF"</formula>
    </cfRule>
    <cfRule type="cellIs" dxfId="25827" priority="18632" operator="equal">
      <formula>"PTO"</formula>
    </cfRule>
  </conditionalFormatting>
  <conditionalFormatting sqref="D35:D36">
    <cfRule type="cellIs" dxfId="25826" priority="18629" operator="equal">
      <formula>"OFF"</formula>
    </cfRule>
    <cfRule type="cellIs" dxfId="25825" priority="18630" operator="equal">
      <formula>"PTO"</formula>
    </cfRule>
  </conditionalFormatting>
  <conditionalFormatting sqref="D35:D36">
    <cfRule type="cellIs" dxfId="25824" priority="18627" operator="equal">
      <formula>"OFF"</formula>
    </cfRule>
    <cfRule type="cellIs" dxfId="25823" priority="18628" operator="equal">
      <formula>"PTO"</formula>
    </cfRule>
  </conditionalFormatting>
  <conditionalFormatting sqref="D35:D36">
    <cfRule type="cellIs" dxfId="25822" priority="18625" operator="equal">
      <formula>"OFF"</formula>
    </cfRule>
    <cfRule type="cellIs" dxfId="25821" priority="18626" operator="equal">
      <formula>"PTO"</formula>
    </cfRule>
  </conditionalFormatting>
  <conditionalFormatting sqref="D35:D36">
    <cfRule type="cellIs" dxfId="25820" priority="18623" operator="equal">
      <formula>"OFF"</formula>
    </cfRule>
    <cfRule type="cellIs" dxfId="25819" priority="18624" operator="equal">
      <formula>"PTO"</formula>
    </cfRule>
  </conditionalFormatting>
  <conditionalFormatting sqref="D35:D36">
    <cfRule type="cellIs" dxfId="25818" priority="18621" operator="equal">
      <formula>"OFF"</formula>
    </cfRule>
    <cfRule type="cellIs" dxfId="25817" priority="18622" operator="equal">
      <formula>"PTO"</formula>
    </cfRule>
  </conditionalFormatting>
  <conditionalFormatting sqref="D38:D39">
    <cfRule type="cellIs" dxfId="25816" priority="18619" operator="equal">
      <formula>"OFF"</formula>
    </cfRule>
    <cfRule type="cellIs" dxfId="25815" priority="18620" operator="equal">
      <formula>"PTO"</formula>
    </cfRule>
  </conditionalFormatting>
  <conditionalFormatting sqref="D38:D39">
    <cfRule type="cellIs" dxfId="25814" priority="18617" operator="equal">
      <formula>"OFF"</formula>
    </cfRule>
    <cfRule type="cellIs" dxfId="25813" priority="18618" operator="equal">
      <formula>"PTO"</formula>
    </cfRule>
  </conditionalFormatting>
  <conditionalFormatting sqref="D38:D39">
    <cfRule type="cellIs" dxfId="25812" priority="18615" operator="equal">
      <formula>"OFF"</formula>
    </cfRule>
    <cfRule type="cellIs" dxfId="25811" priority="18616" operator="equal">
      <formula>"PTO"</formula>
    </cfRule>
  </conditionalFormatting>
  <conditionalFormatting sqref="D38:D39">
    <cfRule type="cellIs" dxfId="25810" priority="18613" operator="equal">
      <formula>"OFF"</formula>
    </cfRule>
    <cfRule type="cellIs" dxfId="25809" priority="18614" operator="equal">
      <formula>"PTO"</formula>
    </cfRule>
  </conditionalFormatting>
  <conditionalFormatting sqref="D38:D39">
    <cfRule type="cellIs" dxfId="25808" priority="18611" operator="equal">
      <formula>"OFF"</formula>
    </cfRule>
    <cfRule type="cellIs" dxfId="25807" priority="18612" operator="equal">
      <formula>"PTO"</formula>
    </cfRule>
  </conditionalFormatting>
  <conditionalFormatting sqref="D38:D39">
    <cfRule type="cellIs" dxfId="25806" priority="18609" operator="equal">
      <formula>"OFF"</formula>
    </cfRule>
    <cfRule type="cellIs" dxfId="25805" priority="18610" operator="equal">
      <formula>"PTO"</formula>
    </cfRule>
  </conditionalFormatting>
  <conditionalFormatting sqref="D38:D39">
    <cfRule type="cellIs" dxfId="25804" priority="18607" operator="equal">
      <formula>"OFF"</formula>
    </cfRule>
    <cfRule type="cellIs" dxfId="25803" priority="18608" operator="equal">
      <formula>"PTO"</formula>
    </cfRule>
  </conditionalFormatting>
  <conditionalFormatting sqref="D38:D39">
    <cfRule type="cellIs" dxfId="25802" priority="18605" operator="equal">
      <formula>"OFF"</formula>
    </cfRule>
    <cfRule type="cellIs" dxfId="25801" priority="18606" operator="equal">
      <formula>"PTO"</formula>
    </cfRule>
  </conditionalFormatting>
  <conditionalFormatting sqref="E28">
    <cfRule type="cellIs" dxfId="25800" priority="18603" operator="equal">
      <formula>"OFF"</formula>
    </cfRule>
    <cfRule type="cellIs" dxfId="25799" priority="18604" operator="equal">
      <formula>"PTO"</formula>
    </cfRule>
  </conditionalFormatting>
  <conditionalFormatting sqref="E28">
    <cfRule type="cellIs" dxfId="25798" priority="18601" operator="equal">
      <formula>"OFF"</formula>
    </cfRule>
    <cfRule type="cellIs" dxfId="25797" priority="18602" operator="equal">
      <formula>"PTO"</formula>
    </cfRule>
  </conditionalFormatting>
  <conditionalFormatting sqref="E28">
    <cfRule type="cellIs" dxfId="25796" priority="18599" operator="equal">
      <formula>"OFF"</formula>
    </cfRule>
    <cfRule type="cellIs" dxfId="25795" priority="18600" operator="equal">
      <formula>"PTO"</formula>
    </cfRule>
  </conditionalFormatting>
  <conditionalFormatting sqref="E28">
    <cfRule type="cellIs" dxfId="25794" priority="18597" operator="equal">
      <formula>"OFF"</formula>
    </cfRule>
    <cfRule type="cellIs" dxfId="25793" priority="18598" operator="equal">
      <formula>"PTO"</formula>
    </cfRule>
  </conditionalFormatting>
  <conditionalFormatting sqref="E28">
    <cfRule type="cellIs" dxfId="25792" priority="18595" operator="equal">
      <formula>"OFF"</formula>
    </cfRule>
    <cfRule type="cellIs" dxfId="25791" priority="18596" operator="equal">
      <formula>"PTO"</formula>
    </cfRule>
  </conditionalFormatting>
  <conditionalFormatting sqref="E28">
    <cfRule type="cellIs" dxfId="25790" priority="18593" operator="equal">
      <formula>"OFF"</formula>
    </cfRule>
    <cfRule type="cellIs" dxfId="25789" priority="18594" operator="equal">
      <formula>"PTO"</formula>
    </cfRule>
  </conditionalFormatting>
  <conditionalFormatting sqref="E28">
    <cfRule type="cellIs" dxfId="25788" priority="18591" operator="equal">
      <formula>"OFF"</formula>
    </cfRule>
    <cfRule type="cellIs" dxfId="25787" priority="18592" operator="equal">
      <formula>"PTO"</formula>
    </cfRule>
  </conditionalFormatting>
  <conditionalFormatting sqref="E28">
    <cfRule type="cellIs" dxfId="25786" priority="18589" operator="equal">
      <formula>"OFF"</formula>
    </cfRule>
    <cfRule type="cellIs" dxfId="25785" priority="18590" operator="equal">
      <formula>"PTO"</formula>
    </cfRule>
  </conditionalFormatting>
  <conditionalFormatting sqref="E28">
    <cfRule type="cellIs" dxfId="25784" priority="18587" operator="equal">
      <formula>"OFF"</formula>
    </cfRule>
    <cfRule type="cellIs" dxfId="25783" priority="18588" operator="equal">
      <formula>"PTO"</formula>
    </cfRule>
  </conditionalFormatting>
  <conditionalFormatting sqref="H28">
    <cfRule type="cellIs" dxfId="25782" priority="17735" operator="equal">
      <formula>"OFF"</formula>
    </cfRule>
    <cfRule type="cellIs" dxfId="25781" priority="17736" operator="equal">
      <formula>"PTO"</formula>
    </cfRule>
  </conditionalFormatting>
  <conditionalFormatting sqref="H28">
    <cfRule type="cellIs" dxfId="25780" priority="17733" operator="equal">
      <formula>"OFF"</formula>
    </cfRule>
    <cfRule type="cellIs" dxfId="25779" priority="17734" operator="equal">
      <formula>"PTO"</formula>
    </cfRule>
  </conditionalFormatting>
  <conditionalFormatting sqref="H28">
    <cfRule type="cellIs" dxfId="25778" priority="17731" operator="equal">
      <formula>"OFF"</formula>
    </cfRule>
    <cfRule type="cellIs" dxfId="25777" priority="17732" operator="equal">
      <formula>"PTO"</formula>
    </cfRule>
  </conditionalFormatting>
  <conditionalFormatting sqref="H28">
    <cfRule type="cellIs" dxfId="25776" priority="17729" operator="equal">
      <formula>"OFF"</formula>
    </cfRule>
    <cfRule type="cellIs" dxfId="25775" priority="17730" operator="equal">
      <formula>"PTO"</formula>
    </cfRule>
  </conditionalFormatting>
  <conditionalFormatting sqref="H28">
    <cfRule type="cellIs" dxfId="25774" priority="17727" operator="equal">
      <formula>"OFF"</formula>
    </cfRule>
    <cfRule type="cellIs" dxfId="25773" priority="17728" operator="equal">
      <formula>"PTO"</formula>
    </cfRule>
  </conditionalFormatting>
  <conditionalFormatting sqref="H28">
    <cfRule type="cellIs" dxfId="25772" priority="17725" operator="equal">
      <formula>"OFF"</formula>
    </cfRule>
    <cfRule type="cellIs" dxfId="25771" priority="17726" operator="equal">
      <formula>"PTO"</formula>
    </cfRule>
  </conditionalFormatting>
  <conditionalFormatting sqref="H28">
    <cfRule type="cellIs" dxfId="25770" priority="17723" operator="equal">
      <formula>"OFF"</formula>
    </cfRule>
    <cfRule type="cellIs" dxfId="25769" priority="17724" operator="equal">
      <formula>"PTO"</formula>
    </cfRule>
  </conditionalFormatting>
  <conditionalFormatting sqref="H28">
    <cfRule type="cellIs" dxfId="25768" priority="17721" operator="equal">
      <formula>"OFF"</formula>
    </cfRule>
    <cfRule type="cellIs" dxfId="25767" priority="17722" operator="equal">
      <formula>"PTO"</formula>
    </cfRule>
  </conditionalFormatting>
  <conditionalFormatting sqref="H28">
    <cfRule type="cellIs" dxfId="25766" priority="17719" operator="equal">
      <formula>"OFF"</formula>
    </cfRule>
    <cfRule type="cellIs" dxfId="25765" priority="17720" operator="equal">
      <formula>"PTO"</formula>
    </cfRule>
  </conditionalFormatting>
  <conditionalFormatting sqref="F26:F27 F32:F33 F35:F36 F38:F39">
    <cfRule type="cellIs" dxfId="25764" priority="17645" operator="equal">
      <formula>"OFF"</formula>
    </cfRule>
    <cfRule type="cellIs" dxfId="25763" priority="17646" operator="equal">
      <formula>"PTO"</formula>
    </cfRule>
  </conditionalFormatting>
  <conditionalFormatting sqref="F26:F27">
    <cfRule type="cellIs" dxfId="25762" priority="17643" operator="equal">
      <formula>"OFF"</formula>
    </cfRule>
    <cfRule type="cellIs" dxfId="25761" priority="17644" operator="equal">
      <formula>"PTO"</formula>
    </cfRule>
  </conditionalFormatting>
  <conditionalFormatting sqref="F26:F27">
    <cfRule type="cellIs" dxfId="25760" priority="17641" operator="equal">
      <formula>"OFF"</formula>
    </cfRule>
    <cfRule type="cellIs" dxfId="25759" priority="17642" operator="equal">
      <formula>"PTO"</formula>
    </cfRule>
  </conditionalFormatting>
  <conditionalFormatting sqref="F26:F27">
    <cfRule type="cellIs" dxfId="25758" priority="17639" operator="equal">
      <formula>"OFF"</formula>
    </cfRule>
    <cfRule type="cellIs" dxfId="25757" priority="17640" operator="equal">
      <formula>"PTO"</formula>
    </cfRule>
  </conditionalFormatting>
  <conditionalFormatting sqref="F26:F27">
    <cfRule type="cellIs" dxfId="25756" priority="17637" operator="equal">
      <formula>"OFF"</formula>
    </cfRule>
    <cfRule type="cellIs" dxfId="25755" priority="17638" operator="equal">
      <formula>"PTO"</formula>
    </cfRule>
  </conditionalFormatting>
  <conditionalFormatting sqref="F26:F27">
    <cfRule type="cellIs" dxfId="25754" priority="17635" operator="equal">
      <formula>"OFF"</formula>
    </cfRule>
    <cfRule type="cellIs" dxfId="25753" priority="17636" operator="equal">
      <formula>"PTO"</formula>
    </cfRule>
  </conditionalFormatting>
  <conditionalFormatting sqref="F26:F27">
    <cfRule type="cellIs" dxfId="25752" priority="17633" operator="equal">
      <formula>"OFF"</formula>
    </cfRule>
    <cfRule type="cellIs" dxfId="25751" priority="17634" operator="equal">
      <formula>"PTO"</formula>
    </cfRule>
  </conditionalFormatting>
  <conditionalFormatting sqref="F26:F27">
    <cfRule type="cellIs" dxfId="25750" priority="17631" operator="equal">
      <formula>"OFF"</formula>
    </cfRule>
    <cfRule type="cellIs" dxfId="25749" priority="17632" operator="equal">
      <formula>"PTO"</formula>
    </cfRule>
  </conditionalFormatting>
  <conditionalFormatting sqref="F26:F27">
    <cfRule type="cellIs" dxfId="25748" priority="17629" operator="equal">
      <formula>"OFF"</formula>
    </cfRule>
    <cfRule type="cellIs" dxfId="25747" priority="17630" operator="equal">
      <formula>"PTO"</formula>
    </cfRule>
  </conditionalFormatting>
  <conditionalFormatting sqref="F27">
    <cfRule type="cellIs" dxfId="25746" priority="17627" operator="equal">
      <formula>"OFF"</formula>
    </cfRule>
    <cfRule type="cellIs" dxfId="25745" priority="17628" operator="equal">
      <formula>"PTO"</formula>
    </cfRule>
  </conditionalFormatting>
  <conditionalFormatting sqref="F27">
    <cfRule type="cellIs" dxfId="25744" priority="17625" operator="equal">
      <formula>"OFF"</formula>
    </cfRule>
    <cfRule type="cellIs" dxfId="25743" priority="17626" operator="equal">
      <formula>"PTO"</formula>
    </cfRule>
  </conditionalFormatting>
  <conditionalFormatting sqref="F27">
    <cfRule type="cellIs" dxfId="25742" priority="17623" operator="equal">
      <formula>"OFF"</formula>
    </cfRule>
    <cfRule type="cellIs" dxfId="25741" priority="17624" operator="equal">
      <formula>"PTO"</formula>
    </cfRule>
  </conditionalFormatting>
  <conditionalFormatting sqref="F27">
    <cfRule type="cellIs" dxfId="25740" priority="17621" operator="equal">
      <formula>"OFF"</formula>
    </cfRule>
    <cfRule type="cellIs" dxfId="25739" priority="17622" operator="equal">
      <formula>"PTO"</formula>
    </cfRule>
  </conditionalFormatting>
  <conditionalFormatting sqref="F27">
    <cfRule type="cellIs" dxfId="25738" priority="17619" operator="equal">
      <formula>"OFF"</formula>
    </cfRule>
    <cfRule type="cellIs" dxfId="25737" priority="17620" operator="equal">
      <formula>"PTO"</formula>
    </cfRule>
  </conditionalFormatting>
  <conditionalFormatting sqref="F27">
    <cfRule type="cellIs" dxfId="25736" priority="17617" operator="equal">
      <formula>"OFF"</formula>
    </cfRule>
    <cfRule type="cellIs" dxfId="25735" priority="17618" operator="equal">
      <formula>"PTO"</formula>
    </cfRule>
  </conditionalFormatting>
  <conditionalFormatting sqref="F27">
    <cfRule type="cellIs" dxfId="25734" priority="17615" operator="equal">
      <formula>"OFF"</formula>
    </cfRule>
    <cfRule type="cellIs" dxfId="25733" priority="17616" operator="equal">
      <formula>"PTO"</formula>
    </cfRule>
  </conditionalFormatting>
  <conditionalFormatting sqref="F27">
    <cfRule type="cellIs" dxfId="25732" priority="17613" operator="equal">
      <formula>"OFF"</formula>
    </cfRule>
    <cfRule type="cellIs" dxfId="25731" priority="17614" operator="equal">
      <formula>"PTO"</formula>
    </cfRule>
  </conditionalFormatting>
  <conditionalFormatting sqref="F32:F33">
    <cfRule type="cellIs" dxfId="25730" priority="17423" operator="equal">
      <formula>"OFF"</formula>
    </cfRule>
    <cfRule type="cellIs" dxfId="25729" priority="17424" operator="equal">
      <formula>"PTO"</formula>
    </cfRule>
  </conditionalFormatting>
  <conditionalFormatting sqref="F32:F33">
    <cfRule type="cellIs" dxfId="25728" priority="17421" operator="equal">
      <formula>"OFF"</formula>
    </cfRule>
    <cfRule type="cellIs" dxfId="25727" priority="17422" operator="equal">
      <formula>"PTO"</formula>
    </cfRule>
  </conditionalFormatting>
  <conditionalFormatting sqref="F32:F33">
    <cfRule type="cellIs" dxfId="25726" priority="17419" operator="equal">
      <formula>"OFF"</formula>
    </cfRule>
    <cfRule type="cellIs" dxfId="25725" priority="17420" operator="equal">
      <formula>"PTO"</formula>
    </cfRule>
  </conditionalFormatting>
  <conditionalFormatting sqref="F32:F33">
    <cfRule type="cellIs" dxfId="25724" priority="17417" operator="equal">
      <formula>"OFF"</formula>
    </cfRule>
    <cfRule type="cellIs" dxfId="25723" priority="17418" operator="equal">
      <formula>"PTO"</formula>
    </cfRule>
  </conditionalFormatting>
  <conditionalFormatting sqref="F32:F33">
    <cfRule type="cellIs" dxfId="25722" priority="17415" operator="equal">
      <formula>"OFF"</formula>
    </cfRule>
    <cfRule type="cellIs" dxfId="25721" priority="17416" operator="equal">
      <formula>"PTO"</formula>
    </cfRule>
  </conditionalFormatting>
  <conditionalFormatting sqref="F32:F33">
    <cfRule type="cellIs" dxfId="25720" priority="17413" operator="equal">
      <formula>"OFF"</formula>
    </cfRule>
    <cfRule type="cellIs" dxfId="25719" priority="17414" operator="equal">
      <formula>"PTO"</formula>
    </cfRule>
  </conditionalFormatting>
  <conditionalFormatting sqref="F32:F33">
    <cfRule type="cellIs" dxfId="25718" priority="17411" operator="equal">
      <formula>"OFF"</formula>
    </cfRule>
    <cfRule type="cellIs" dxfId="25717" priority="17412" operator="equal">
      <formula>"PTO"</formula>
    </cfRule>
  </conditionalFormatting>
  <conditionalFormatting sqref="F32:F33">
    <cfRule type="cellIs" dxfId="25716" priority="17409" operator="equal">
      <formula>"OFF"</formula>
    </cfRule>
    <cfRule type="cellIs" dxfId="25715" priority="17410" operator="equal">
      <formula>"PTO"</formula>
    </cfRule>
  </conditionalFormatting>
  <conditionalFormatting sqref="F35:F36">
    <cfRule type="cellIs" dxfId="25714" priority="17407" operator="equal">
      <formula>"OFF"</formula>
    </cfRule>
    <cfRule type="cellIs" dxfId="25713" priority="17408" operator="equal">
      <formula>"PTO"</formula>
    </cfRule>
  </conditionalFormatting>
  <conditionalFormatting sqref="F35:F36">
    <cfRule type="cellIs" dxfId="25712" priority="17405" operator="equal">
      <formula>"OFF"</formula>
    </cfRule>
    <cfRule type="cellIs" dxfId="25711" priority="17406" operator="equal">
      <formula>"PTO"</formula>
    </cfRule>
  </conditionalFormatting>
  <conditionalFormatting sqref="F35:F36">
    <cfRule type="cellIs" dxfId="25710" priority="17403" operator="equal">
      <formula>"OFF"</formula>
    </cfRule>
    <cfRule type="cellIs" dxfId="25709" priority="17404" operator="equal">
      <formula>"PTO"</formula>
    </cfRule>
  </conditionalFormatting>
  <conditionalFormatting sqref="F35:F36">
    <cfRule type="cellIs" dxfId="25708" priority="17401" operator="equal">
      <formula>"OFF"</formula>
    </cfRule>
    <cfRule type="cellIs" dxfId="25707" priority="17402" operator="equal">
      <formula>"PTO"</formula>
    </cfRule>
  </conditionalFormatting>
  <conditionalFormatting sqref="F35:F36">
    <cfRule type="cellIs" dxfId="25706" priority="17399" operator="equal">
      <formula>"OFF"</formula>
    </cfRule>
    <cfRule type="cellIs" dxfId="25705" priority="17400" operator="equal">
      <formula>"PTO"</formula>
    </cfRule>
  </conditionalFormatting>
  <conditionalFormatting sqref="F35:F36">
    <cfRule type="cellIs" dxfId="25704" priority="17397" operator="equal">
      <formula>"OFF"</formula>
    </cfRule>
    <cfRule type="cellIs" dxfId="25703" priority="17398" operator="equal">
      <formula>"PTO"</formula>
    </cfRule>
  </conditionalFormatting>
  <conditionalFormatting sqref="F35:F36">
    <cfRule type="cellIs" dxfId="25702" priority="17395" operator="equal">
      <formula>"OFF"</formula>
    </cfRule>
    <cfRule type="cellIs" dxfId="25701" priority="17396" operator="equal">
      <formula>"PTO"</formula>
    </cfRule>
  </conditionalFormatting>
  <conditionalFormatting sqref="F35:F36">
    <cfRule type="cellIs" dxfId="25700" priority="17393" operator="equal">
      <formula>"OFF"</formula>
    </cfRule>
    <cfRule type="cellIs" dxfId="25699" priority="17394" operator="equal">
      <formula>"PTO"</formula>
    </cfRule>
  </conditionalFormatting>
  <conditionalFormatting sqref="F38:F39">
    <cfRule type="cellIs" dxfId="25698" priority="17391" operator="equal">
      <formula>"OFF"</formula>
    </cfRule>
    <cfRule type="cellIs" dxfId="25697" priority="17392" operator="equal">
      <formula>"PTO"</formula>
    </cfRule>
  </conditionalFormatting>
  <conditionalFormatting sqref="F38:F39">
    <cfRule type="cellIs" dxfId="25696" priority="17389" operator="equal">
      <formula>"OFF"</formula>
    </cfRule>
    <cfRule type="cellIs" dxfId="25695" priority="17390" operator="equal">
      <formula>"PTO"</formula>
    </cfRule>
  </conditionalFormatting>
  <conditionalFormatting sqref="F38:F39">
    <cfRule type="cellIs" dxfId="25694" priority="17387" operator="equal">
      <formula>"OFF"</formula>
    </cfRule>
    <cfRule type="cellIs" dxfId="25693" priority="17388" operator="equal">
      <formula>"PTO"</formula>
    </cfRule>
  </conditionalFormatting>
  <conditionalFormatting sqref="F38:F39">
    <cfRule type="cellIs" dxfId="25692" priority="17385" operator="equal">
      <formula>"OFF"</formula>
    </cfRule>
    <cfRule type="cellIs" dxfId="25691" priority="17386" operator="equal">
      <formula>"PTO"</formula>
    </cfRule>
  </conditionalFormatting>
  <conditionalFormatting sqref="F38:F39">
    <cfRule type="cellIs" dxfId="25690" priority="17383" operator="equal">
      <formula>"OFF"</formula>
    </cfRule>
    <cfRule type="cellIs" dxfId="25689" priority="17384" operator="equal">
      <formula>"PTO"</formula>
    </cfRule>
  </conditionalFormatting>
  <conditionalFormatting sqref="F38:F39">
    <cfRule type="cellIs" dxfId="25688" priority="17381" operator="equal">
      <formula>"OFF"</formula>
    </cfRule>
    <cfRule type="cellIs" dxfId="25687" priority="17382" operator="equal">
      <formula>"PTO"</formula>
    </cfRule>
  </conditionalFormatting>
  <conditionalFormatting sqref="F38:F39">
    <cfRule type="cellIs" dxfId="25686" priority="17379" operator="equal">
      <formula>"OFF"</formula>
    </cfRule>
    <cfRule type="cellIs" dxfId="25685" priority="17380" operator="equal">
      <formula>"PTO"</formula>
    </cfRule>
  </conditionalFormatting>
  <conditionalFormatting sqref="F38:F39">
    <cfRule type="cellIs" dxfId="25684" priority="17377" operator="equal">
      <formula>"OFF"</formula>
    </cfRule>
    <cfRule type="cellIs" dxfId="25683" priority="17378" operator="equal">
      <formula>"PTO"</formula>
    </cfRule>
  </conditionalFormatting>
  <conditionalFormatting sqref="I27:I28">
    <cfRule type="cellIs" dxfId="25682" priority="17375" operator="equal">
      <formula>"OFF"</formula>
    </cfRule>
    <cfRule type="cellIs" dxfId="25681" priority="17376" operator="equal">
      <formula>"PTO"</formula>
    </cfRule>
  </conditionalFormatting>
  <conditionalFormatting sqref="I27:I28">
    <cfRule type="cellIs" dxfId="25680" priority="17373" operator="equal">
      <formula>"OFF"</formula>
    </cfRule>
    <cfRule type="cellIs" dxfId="25679" priority="17374" operator="equal">
      <formula>"PTO"</formula>
    </cfRule>
  </conditionalFormatting>
  <conditionalFormatting sqref="I27:I28">
    <cfRule type="cellIs" dxfId="25678" priority="17371" operator="equal">
      <formula>"OFF"</formula>
    </cfRule>
    <cfRule type="cellIs" dxfId="25677" priority="17372" operator="equal">
      <formula>"PTO"</formula>
    </cfRule>
  </conditionalFormatting>
  <conditionalFormatting sqref="I27:I28">
    <cfRule type="cellIs" dxfId="25676" priority="17369" operator="equal">
      <formula>"OFF"</formula>
    </cfRule>
    <cfRule type="cellIs" dxfId="25675" priority="17370" operator="equal">
      <formula>"PTO"</formula>
    </cfRule>
  </conditionalFormatting>
  <conditionalFormatting sqref="I27:I28">
    <cfRule type="cellIs" dxfId="25674" priority="17367" operator="equal">
      <formula>"OFF"</formula>
    </cfRule>
    <cfRule type="cellIs" dxfId="25673" priority="17368" operator="equal">
      <formula>"PTO"</formula>
    </cfRule>
  </conditionalFormatting>
  <conditionalFormatting sqref="I27:I28">
    <cfRule type="cellIs" dxfId="25672" priority="17365" operator="equal">
      <formula>"OFF"</formula>
    </cfRule>
    <cfRule type="cellIs" dxfId="25671" priority="17366" operator="equal">
      <formula>"PTO"</formula>
    </cfRule>
  </conditionalFormatting>
  <conditionalFormatting sqref="I27:I28">
    <cfRule type="cellIs" dxfId="25670" priority="17363" operator="equal">
      <formula>"OFF"</formula>
    </cfRule>
    <cfRule type="cellIs" dxfId="25669" priority="17364" operator="equal">
      <formula>"PTO"</formula>
    </cfRule>
  </conditionalFormatting>
  <conditionalFormatting sqref="I27:I28">
    <cfRule type="cellIs" dxfId="25668" priority="17361" operator="equal">
      <formula>"OFF"</formula>
    </cfRule>
    <cfRule type="cellIs" dxfId="25667" priority="17362" operator="equal">
      <formula>"PTO"</formula>
    </cfRule>
  </conditionalFormatting>
  <conditionalFormatting sqref="I27:I28">
    <cfRule type="cellIs" dxfId="25666" priority="17359" operator="equal">
      <formula>"OFF"</formula>
    </cfRule>
    <cfRule type="cellIs" dxfId="25665" priority="17360" operator="equal">
      <formula>"PTO"</formula>
    </cfRule>
  </conditionalFormatting>
  <conditionalFormatting sqref="I27:I28">
    <cfRule type="cellIs" dxfId="25664" priority="17357" operator="equal">
      <formula>"OFF"</formula>
    </cfRule>
    <cfRule type="cellIs" dxfId="25663" priority="17358" operator="equal">
      <formula>"PTO"</formula>
    </cfRule>
  </conditionalFormatting>
  <conditionalFormatting sqref="I27:I28">
    <cfRule type="cellIs" dxfId="25662" priority="17355" operator="equal">
      <formula>"OFF"</formula>
    </cfRule>
    <cfRule type="cellIs" dxfId="25661" priority="17356" operator="equal">
      <formula>"PTO"</formula>
    </cfRule>
  </conditionalFormatting>
  <conditionalFormatting sqref="I27:I28">
    <cfRule type="cellIs" dxfId="25660" priority="17353" operator="equal">
      <formula>"OFF"</formula>
    </cfRule>
    <cfRule type="cellIs" dxfId="25659" priority="17354" operator="equal">
      <formula>"PTO"</formula>
    </cfRule>
  </conditionalFormatting>
  <conditionalFormatting sqref="I27:I28">
    <cfRule type="cellIs" dxfId="25658" priority="17351" operator="equal">
      <formula>"OFF"</formula>
    </cfRule>
    <cfRule type="cellIs" dxfId="25657" priority="17352" operator="equal">
      <formula>"PTO"</formula>
    </cfRule>
  </conditionalFormatting>
  <conditionalFormatting sqref="I27:I28">
    <cfRule type="cellIs" dxfId="25656" priority="17349" operator="equal">
      <formula>"OFF"</formula>
    </cfRule>
    <cfRule type="cellIs" dxfId="25655" priority="17350" operator="equal">
      <formula>"PTO"</formula>
    </cfRule>
  </conditionalFormatting>
  <conditionalFormatting sqref="I27:I28">
    <cfRule type="cellIs" dxfId="25654" priority="17347" operator="equal">
      <formula>"OFF"</formula>
    </cfRule>
    <cfRule type="cellIs" dxfId="25653" priority="17348" operator="equal">
      <formula>"PTO"</formula>
    </cfRule>
  </conditionalFormatting>
  <conditionalFormatting sqref="I27:I28">
    <cfRule type="cellIs" dxfId="25652" priority="17345" operator="equal">
      <formula>"OFF"</formula>
    </cfRule>
    <cfRule type="cellIs" dxfId="25651" priority="17346" operator="equal">
      <formula>"PTO"</formula>
    </cfRule>
  </conditionalFormatting>
  <conditionalFormatting sqref="I27:I28">
    <cfRule type="cellIs" dxfId="25650" priority="17343" operator="equal">
      <formula>"OFF"</formula>
    </cfRule>
    <cfRule type="cellIs" dxfId="25649" priority="17344" operator="equal">
      <formula>"PTO"</formula>
    </cfRule>
  </conditionalFormatting>
  <conditionalFormatting sqref="I27:I28">
    <cfRule type="cellIs" dxfId="25648" priority="17341" operator="equal">
      <formula>"OFF"</formula>
    </cfRule>
    <cfRule type="cellIs" dxfId="25647" priority="17342" operator="equal">
      <formula>"PTO"</formula>
    </cfRule>
  </conditionalFormatting>
  <conditionalFormatting sqref="I27:I28">
    <cfRule type="cellIs" dxfId="25646" priority="17339" operator="equal">
      <formula>"OFF"</formula>
    </cfRule>
    <cfRule type="cellIs" dxfId="25645" priority="17340" operator="equal">
      <formula>"PTO"</formula>
    </cfRule>
  </conditionalFormatting>
  <conditionalFormatting sqref="I27:I28">
    <cfRule type="cellIs" dxfId="25644" priority="17337" operator="equal">
      <formula>"OFF"</formula>
    </cfRule>
    <cfRule type="cellIs" dxfId="25643" priority="17338" operator="equal">
      <formula>"PTO"</formula>
    </cfRule>
  </conditionalFormatting>
  <conditionalFormatting sqref="I27:I28">
    <cfRule type="cellIs" dxfId="25642" priority="17335" operator="equal">
      <formula>"OFF"</formula>
    </cfRule>
    <cfRule type="cellIs" dxfId="25641" priority="17336" operator="equal">
      <formula>"PTO"</formula>
    </cfRule>
  </conditionalFormatting>
  <conditionalFormatting sqref="I27:I28">
    <cfRule type="cellIs" dxfId="25640" priority="17333" operator="equal">
      <formula>"OFF"</formula>
    </cfRule>
    <cfRule type="cellIs" dxfId="25639" priority="17334" operator="equal">
      <formula>"PTO"</formula>
    </cfRule>
  </conditionalFormatting>
  <conditionalFormatting sqref="I27:I28">
    <cfRule type="cellIs" dxfId="25638" priority="17331" operator="equal">
      <formula>"OFF"</formula>
    </cfRule>
    <cfRule type="cellIs" dxfId="25637" priority="17332" operator="equal">
      <formula>"PTO"</formula>
    </cfRule>
  </conditionalFormatting>
  <conditionalFormatting sqref="I27:I28">
    <cfRule type="cellIs" dxfId="25636" priority="17329" operator="equal">
      <formula>"OFF"</formula>
    </cfRule>
    <cfRule type="cellIs" dxfId="25635" priority="17330" operator="equal">
      <formula>"PTO"</formula>
    </cfRule>
  </conditionalFormatting>
  <conditionalFormatting sqref="I27:I28">
    <cfRule type="cellIs" dxfId="25634" priority="17327" operator="equal">
      <formula>"OFF"</formula>
    </cfRule>
    <cfRule type="cellIs" dxfId="25633" priority="17328" operator="equal">
      <formula>"PTO"</formula>
    </cfRule>
  </conditionalFormatting>
  <conditionalFormatting sqref="I27:I28">
    <cfRule type="cellIs" dxfId="25632" priority="17325" operator="equal">
      <formula>"OFF"</formula>
    </cfRule>
    <cfRule type="cellIs" dxfId="25631" priority="17326" operator="equal">
      <formula>"PTO"</formula>
    </cfRule>
  </conditionalFormatting>
  <conditionalFormatting sqref="I30">
    <cfRule type="cellIs" dxfId="25630" priority="17323" operator="equal">
      <formula>"OFF"</formula>
    </cfRule>
    <cfRule type="cellIs" dxfId="25629" priority="17324" operator="equal">
      <formula>"PTO"</formula>
    </cfRule>
  </conditionalFormatting>
  <conditionalFormatting sqref="I30">
    <cfRule type="cellIs" dxfId="25628" priority="17321" operator="equal">
      <formula>"OFF"</formula>
    </cfRule>
    <cfRule type="cellIs" dxfId="25627" priority="17322" operator="equal">
      <formula>"PTO"</formula>
    </cfRule>
  </conditionalFormatting>
  <conditionalFormatting sqref="I30">
    <cfRule type="cellIs" dxfId="25626" priority="17319" operator="equal">
      <formula>"OFF"</formula>
    </cfRule>
    <cfRule type="cellIs" dxfId="25625" priority="17320" operator="equal">
      <formula>"PTO"</formula>
    </cfRule>
  </conditionalFormatting>
  <conditionalFormatting sqref="I30">
    <cfRule type="cellIs" dxfId="25624" priority="17317" operator="equal">
      <formula>"OFF"</formula>
    </cfRule>
    <cfRule type="cellIs" dxfId="25623" priority="17318" operator="equal">
      <formula>"PTO"</formula>
    </cfRule>
  </conditionalFormatting>
  <conditionalFormatting sqref="I30">
    <cfRule type="cellIs" dxfId="25622" priority="17315" operator="equal">
      <formula>"OFF"</formula>
    </cfRule>
    <cfRule type="cellIs" dxfId="25621" priority="17316" operator="equal">
      <formula>"PTO"</formula>
    </cfRule>
  </conditionalFormatting>
  <conditionalFormatting sqref="I30">
    <cfRule type="cellIs" dxfId="25620" priority="17313" operator="equal">
      <formula>"OFF"</formula>
    </cfRule>
    <cfRule type="cellIs" dxfId="25619" priority="17314" operator="equal">
      <formula>"PTO"</formula>
    </cfRule>
  </conditionalFormatting>
  <conditionalFormatting sqref="I30">
    <cfRule type="cellIs" dxfId="25618" priority="17311" operator="equal">
      <formula>"OFF"</formula>
    </cfRule>
    <cfRule type="cellIs" dxfId="25617" priority="17312" operator="equal">
      <formula>"PTO"</formula>
    </cfRule>
  </conditionalFormatting>
  <conditionalFormatting sqref="I30">
    <cfRule type="cellIs" dxfId="25616" priority="17309" operator="equal">
      <formula>"OFF"</formula>
    </cfRule>
    <cfRule type="cellIs" dxfId="25615" priority="17310" operator="equal">
      <formula>"PTO"</formula>
    </cfRule>
  </conditionalFormatting>
  <conditionalFormatting sqref="I30">
    <cfRule type="cellIs" dxfId="25614" priority="17307" operator="equal">
      <formula>"OFF"</formula>
    </cfRule>
    <cfRule type="cellIs" dxfId="25613" priority="17308" operator="equal">
      <formula>"PTO"</formula>
    </cfRule>
  </conditionalFormatting>
  <conditionalFormatting sqref="I32:I33">
    <cfRule type="cellIs" dxfId="25612" priority="17305" operator="equal">
      <formula>"OFF"</formula>
    </cfRule>
    <cfRule type="cellIs" dxfId="25611" priority="17306" operator="equal">
      <formula>"PTO"</formula>
    </cfRule>
  </conditionalFormatting>
  <conditionalFormatting sqref="I32:I33">
    <cfRule type="cellIs" dxfId="25610" priority="17303" operator="equal">
      <formula>"OFF"</formula>
    </cfRule>
    <cfRule type="cellIs" dxfId="25609" priority="17304" operator="equal">
      <formula>"PTO"</formula>
    </cfRule>
  </conditionalFormatting>
  <conditionalFormatting sqref="I32:I33">
    <cfRule type="cellIs" dxfId="25608" priority="17301" operator="equal">
      <formula>"OFF"</formula>
    </cfRule>
    <cfRule type="cellIs" dxfId="25607" priority="17302" operator="equal">
      <formula>"PTO"</formula>
    </cfRule>
  </conditionalFormatting>
  <conditionalFormatting sqref="I32:I33">
    <cfRule type="cellIs" dxfId="25606" priority="17299" operator="equal">
      <formula>"OFF"</formula>
    </cfRule>
    <cfRule type="cellIs" dxfId="25605" priority="17300" operator="equal">
      <formula>"PTO"</formula>
    </cfRule>
  </conditionalFormatting>
  <conditionalFormatting sqref="I32:I33">
    <cfRule type="cellIs" dxfId="25604" priority="17297" operator="equal">
      <formula>"OFF"</formula>
    </cfRule>
    <cfRule type="cellIs" dxfId="25603" priority="17298" operator="equal">
      <formula>"PTO"</formula>
    </cfRule>
  </conditionalFormatting>
  <conditionalFormatting sqref="I32:I33">
    <cfRule type="cellIs" dxfId="25602" priority="17295" operator="equal">
      <formula>"OFF"</formula>
    </cfRule>
    <cfRule type="cellIs" dxfId="25601" priority="17296" operator="equal">
      <formula>"PTO"</formula>
    </cfRule>
  </conditionalFormatting>
  <conditionalFormatting sqref="I32:I33">
    <cfRule type="cellIs" dxfId="25600" priority="17293" operator="equal">
      <formula>"OFF"</formula>
    </cfRule>
    <cfRule type="cellIs" dxfId="25599" priority="17294" operator="equal">
      <formula>"PTO"</formula>
    </cfRule>
  </conditionalFormatting>
  <conditionalFormatting sqref="I32:I33">
    <cfRule type="cellIs" dxfId="25598" priority="17291" operator="equal">
      <formula>"OFF"</formula>
    </cfRule>
    <cfRule type="cellIs" dxfId="25597" priority="17292" operator="equal">
      <formula>"PTO"</formula>
    </cfRule>
  </conditionalFormatting>
  <conditionalFormatting sqref="I32:I33">
    <cfRule type="cellIs" dxfId="25596" priority="17289" operator="equal">
      <formula>"OFF"</formula>
    </cfRule>
    <cfRule type="cellIs" dxfId="25595" priority="17290" operator="equal">
      <formula>"PTO"</formula>
    </cfRule>
  </conditionalFormatting>
  <conditionalFormatting sqref="I35:I36">
    <cfRule type="cellIs" dxfId="25594" priority="17287" operator="equal">
      <formula>"OFF"</formula>
    </cfRule>
    <cfRule type="cellIs" dxfId="25593" priority="17288" operator="equal">
      <formula>"PTO"</formula>
    </cfRule>
  </conditionalFormatting>
  <conditionalFormatting sqref="I35:I36">
    <cfRule type="cellIs" dxfId="25592" priority="17285" operator="equal">
      <formula>"OFF"</formula>
    </cfRule>
    <cfRule type="cellIs" dxfId="25591" priority="17286" operator="equal">
      <formula>"PTO"</formula>
    </cfRule>
  </conditionalFormatting>
  <conditionalFormatting sqref="I35:I36">
    <cfRule type="cellIs" dxfId="25590" priority="17283" operator="equal">
      <formula>"OFF"</formula>
    </cfRule>
    <cfRule type="cellIs" dxfId="25589" priority="17284" operator="equal">
      <formula>"PTO"</formula>
    </cfRule>
  </conditionalFormatting>
  <conditionalFormatting sqref="I35:I36">
    <cfRule type="cellIs" dxfId="25588" priority="17281" operator="equal">
      <formula>"OFF"</formula>
    </cfRule>
    <cfRule type="cellIs" dxfId="25587" priority="17282" operator="equal">
      <formula>"PTO"</formula>
    </cfRule>
  </conditionalFormatting>
  <conditionalFormatting sqref="I35:I36">
    <cfRule type="cellIs" dxfId="25586" priority="17279" operator="equal">
      <formula>"OFF"</formula>
    </cfRule>
    <cfRule type="cellIs" dxfId="25585" priority="17280" operator="equal">
      <formula>"PTO"</formula>
    </cfRule>
  </conditionalFormatting>
  <conditionalFormatting sqref="I35:I36">
    <cfRule type="cellIs" dxfId="25584" priority="17277" operator="equal">
      <formula>"OFF"</formula>
    </cfRule>
    <cfRule type="cellIs" dxfId="25583" priority="17278" operator="equal">
      <formula>"PTO"</formula>
    </cfRule>
  </conditionalFormatting>
  <conditionalFormatting sqref="I35:I36">
    <cfRule type="cellIs" dxfId="25582" priority="17275" operator="equal">
      <formula>"OFF"</formula>
    </cfRule>
    <cfRule type="cellIs" dxfId="25581" priority="17276" operator="equal">
      <formula>"PTO"</formula>
    </cfRule>
  </conditionalFormatting>
  <conditionalFormatting sqref="I35:I36">
    <cfRule type="cellIs" dxfId="25580" priority="17273" operator="equal">
      <formula>"OFF"</formula>
    </cfRule>
    <cfRule type="cellIs" dxfId="25579" priority="17274" operator="equal">
      <formula>"PTO"</formula>
    </cfRule>
  </conditionalFormatting>
  <conditionalFormatting sqref="I35:I36">
    <cfRule type="cellIs" dxfId="25578" priority="17271" operator="equal">
      <formula>"OFF"</formula>
    </cfRule>
    <cfRule type="cellIs" dxfId="25577" priority="17272" operator="equal">
      <formula>"PTO"</formula>
    </cfRule>
  </conditionalFormatting>
  <conditionalFormatting sqref="I38:I39">
    <cfRule type="cellIs" dxfId="25576" priority="17269" operator="equal">
      <formula>"OFF"</formula>
    </cfRule>
    <cfRule type="cellIs" dxfId="25575" priority="17270" operator="equal">
      <formula>"PTO"</formula>
    </cfRule>
  </conditionalFormatting>
  <conditionalFormatting sqref="I38:I39">
    <cfRule type="cellIs" dxfId="25574" priority="17267" operator="equal">
      <formula>"OFF"</formula>
    </cfRule>
    <cfRule type="cellIs" dxfId="25573" priority="17268" operator="equal">
      <formula>"PTO"</formula>
    </cfRule>
  </conditionalFormatting>
  <conditionalFormatting sqref="I38:I39">
    <cfRule type="cellIs" dxfId="25572" priority="17265" operator="equal">
      <formula>"OFF"</formula>
    </cfRule>
    <cfRule type="cellIs" dxfId="25571" priority="17266" operator="equal">
      <formula>"PTO"</formula>
    </cfRule>
  </conditionalFormatting>
  <conditionalFormatting sqref="I38:I39">
    <cfRule type="cellIs" dxfId="25570" priority="17263" operator="equal">
      <formula>"OFF"</formula>
    </cfRule>
    <cfRule type="cellIs" dxfId="25569" priority="17264" operator="equal">
      <formula>"PTO"</formula>
    </cfRule>
  </conditionalFormatting>
  <conditionalFormatting sqref="I38:I39">
    <cfRule type="cellIs" dxfId="25568" priority="17261" operator="equal">
      <formula>"OFF"</formula>
    </cfRule>
    <cfRule type="cellIs" dxfId="25567" priority="17262" operator="equal">
      <formula>"PTO"</formula>
    </cfRule>
  </conditionalFormatting>
  <conditionalFormatting sqref="I38:I39">
    <cfRule type="cellIs" dxfId="25566" priority="17259" operator="equal">
      <formula>"OFF"</formula>
    </cfRule>
    <cfRule type="cellIs" dxfId="25565" priority="17260" operator="equal">
      <formula>"PTO"</formula>
    </cfRule>
  </conditionalFormatting>
  <conditionalFormatting sqref="I38:I39">
    <cfRule type="cellIs" dxfId="25564" priority="17257" operator="equal">
      <formula>"OFF"</formula>
    </cfRule>
    <cfRule type="cellIs" dxfId="25563" priority="17258" operator="equal">
      <formula>"PTO"</formula>
    </cfRule>
  </conditionalFormatting>
  <conditionalFormatting sqref="I38:I39">
    <cfRule type="cellIs" dxfId="25562" priority="17255" operator="equal">
      <formula>"OFF"</formula>
    </cfRule>
    <cfRule type="cellIs" dxfId="25561" priority="17256" operator="equal">
      <formula>"PTO"</formula>
    </cfRule>
  </conditionalFormatting>
  <conditionalFormatting sqref="I38:I39">
    <cfRule type="cellIs" dxfId="25560" priority="17253" operator="equal">
      <formula>"OFF"</formula>
    </cfRule>
    <cfRule type="cellIs" dxfId="25559" priority="17254" operator="equal">
      <formula>"PTO"</formula>
    </cfRule>
  </conditionalFormatting>
  <conditionalFormatting sqref="N26:N27 N29:N39">
    <cfRule type="cellIs" dxfId="25558" priority="17251" operator="equal">
      <formula>"OFF"</formula>
    </cfRule>
    <cfRule type="cellIs" dxfId="25557" priority="17252" operator="equal">
      <formula>"PTO"</formula>
    </cfRule>
  </conditionalFormatting>
  <conditionalFormatting sqref="N26">
    <cfRule type="cellIs" dxfId="25556" priority="17249" operator="equal">
      <formula>"OFF"</formula>
    </cfRule>
    <cfRule type="cellIs" dxfId="25555" priority="17250" operator="equal">
      <formula>"PTO"</formula>
    </cfRule>
  </conditionalFormatting>
  <conditionalFormatting sqref="N26">
    <cfRule type="cellIs" dxfId="25554" priority="17247" operator="equal">
      <formula>"OFF"</formula>
    </cfRule>
    <cfRule type="cellIs" dxfId="25553" priority="17248" operator="equal">
      <formula>"PTO"</formula>
    </cfRule>
  </conditionalFormatting>
  <conditionalFormatting sqref="N26">
    <cfRule type="cellIs" dxfId="25552" priority="17245" operator="equal">
      <formula>"OFF"</formula>
    </cfRule>
    <cfRule type="cellIs" dxfId="25551" priority="17246" operator="equal">
      <formula>"PTO"</formula>
    </cfRule>
  </conditionalFormatting>
  <conditionalFormatting sqref="N26">
    <cfRule type="cellIs" dxfId="25550" priority="17243" operator="equal">
      <formula>"OFF"</formula>
    </cfRule>
    <cfRule type="cellIs" dxfId="25549" priority="17244" operator="equal">
      <formula>"PTO"</formula>
    </cfRule>
  </conditionalFormatting>
  <conditionalFormatting sqref="N26">
    <cfRule type="cellIs" dxfId="25548" priority="17241" operator="equal">
      <formula>"OFF"</formula>
    </cfRule>
    <cfRule type="cellIs" dxfId="25547" priority="17242" operator="equal">
      <formula>"PTO"</formula>
    </cfRule>
  </conditionalFormatting>
  <conditionalFormatting sqref="N26">
    <cfRule type="cellIs" dxfId="25546" priority="17239" operator="equal">
      <formula>"OFF"</formula>
    </cfRule>
    <cfRule type="cellIs" dxfId="25545" priority="17240" operator="equal">
      <formula>"PTO"</formula>
    </cfRule>
  </conditionalFormatting>
  <conditionalFormatting sqref="N26">
    <cfRule type="cellIs" dxfId="25544" priority="17237" operator="equal">
      <formula>"OFF"</formula>
    </cfRule>
    <cfRule type="cellIs" dxfId="25543" priority="17238" operator="equal">
      <formula>"PTO"</formula>
    </cfRule>
  </conditionalFormatting>
  <conditionalFormatting sqref="N26">
    <cfRule type="cellIs" dxfId="25542" priority="17235" operator="equal">
      <formula>"OFF"</formula>
    </cfRule>
    <cfRule type="cellIs" dxfId="25541" priority="17236" operator="equal">
      <formula>"PTO"</formula>
    </cfRule>
  </conditionalFormatting>
  <conditionalFormatting sqref="N27">
    <cfRule type="cellIs" dxfId="25540" priority="17233" operator="equal">
      <formula>"OFF"</formula>
    </cfRule>
    <cfRule type="cellIs" dxfId="25539" priority="17234" operator="equal">
      <formula>"PTO"</formula>
    </cfRule>
  </conditionalFormatting>
  <conditionalFormatting sqref="N27">
    <cfRule type="cellIs" dxfId="25538" priority="17231" operator="equal">
      <formula>"OFF"</formula>
    </cfRule>
    <cfRule type="cellIs" dxfId="25537" priority="17232" operator="equal">
      <formula>"PTO"</formula>
    </cfRule>
  </conditionalFormatting>
  <conditionalFormatting sqref="N27">
    <cfRule type="cellIs" dxfId="25536" priority="17229" operator="equal">
      <formula>"OFF"</formula>
    </cfRule>
    <cfRule type="cellIs" dxfId="25535" priority="17230" operator="equal">
      <formula>"PTO"</formula>
    </cfRule>
  </conditionalFormatting>
  <conditionalFormatting sqref="N27">
    <cfRule type="cellIs" dxfId="25534" priority="17227" operator="equal">
      <formula>"OFF"</formula>
    </cfRule>
    <cfRule type="cellIs" dxfId="25533" priority="17228" operator="equal">
      <formula>"PTO"</formula>
    </cfRule>
  </conditionalFormatting>
  <conditionalFormatting sqref="N27">
    <cfRule type="cellIs" dxfId="25532" priority="17225" operator="equal">
      <formula>"OFF"</formula>
    </cfRule>
    <cfRule type="cellIs" dxfId="25531" priority="17226" operator="equal">
      <formula>"PTO"</formula>
    </cfRule>
  </conditionalFormatting>
  <conditionalFormatting sqref="N27">
    <cfRule type="cellIs" dxfId="25530" priority="17223" operator="equal">
      <formula>"OFF"</formula>
    </cfRule>
    <cfRule type="cellIs" dxfId="25529" priority="17224" operator="equal">
      <formula>"PTO"</formula>
    </cfRule>
  </conditionalFormatting>
  <conditionalFormatting sqref="N27">
    <cfRule type="cellIs" dxfId="25528" priority="17221" operator="equal">
      <formula>"OFF"</formula>
    </cfRule>
    <cfRule type="cellIs" dxfId="25527" priority="17222" operator="equal">
      <formula>"PTO"</formula>
    </cfRule>
  </conditionalFormatting>
  <conditionalFormatting sqref="N27">
    <cfRule type="cellIs" dxfId="25526" priority="17219" operator="equal">
      <formula>"OFF"</formula>
    </cfRule>
    <cfRule type="cellIs" dxfId="25525" priority="17220" operator="equal">
      <formula>"PTO"</formula>
    </cfRule>
  </conditionalFormatting>
  <conditionalFormatting sqref="N26">
    <cfRule type="cellIs" dxfId="25524" priority="17217" operator="equal">
      <formula>"OFF"</formula>
    </cfRule>
    <cfRule type="cellIs" dxfId="25523" priority="17218" operator="equal">
      <formula>"PTO"</formula>
    </cfRule>
  </conditionalFormatting>
  <conditionalFormatting sqref="N26">
    <cfRule type="cellIs" dxfId="25522" priority="17215" operator="equal">
      <formula>"OFF"</formula>
    </cfRule>
    <cfRule type="cellIs" dxfId="25521" priority="17216" operator="equal">
      <formula>"PTO"</formula>
    </cfRule>
  </conditionalFormatting>
  <conditionalFormatting sqref="N26">
    <cfRule type="cellIs" dxfId="25520" priority="17213" operator="equal">
      <formula>"OFF"</formula>
    </cfRule>
    <cfRule type="cellIs" dxfId="25519" priority="17214" operator="equal">
      <formula>"PTO"</formula>
    </cfRule>
  </conditionalFormatting>
  <conditionalFormatting sqref="N26">
    <cfRule type="cellIs" dxfId="25518" priority="17211" operator="equal">
      <formula>"OFF"</formula>
    </cfRule>
    <cfRule type="cellIs" dxfId="25517" priority="17212" operator="equal">
      <formula>"PTO"</formula>
    </cfRule>
  </conditionalFormatting>
  <conditionalFormatting sqref="N26">
    <cfRule type="cellIs" dxfId="25516" priority="17209" operator="equal">
      <formula>"OFF"</formula>
    </cfRule>
    <cfRule type="cellIs" dxfId="25515" priority="17210" operator="equal">
      <formula>"PTO"</formula>
    </cfRule>
  </conditionalFormatting>
  <conditionalFormatting sqref="N26">
    <cfRule type="cellIs" dxfId="25514" priority="17207" operator="equal">
      <formula>"OFF"</formula>
    </cfRule>
    <cfRule type="cellIs" dxfId="25513" priority="17208" operator="equal">
      <formula>"PTO"</formula>
    </cfRule>
  </conditionalFormatting>
  <conditionalFormatting sqref="N26">
    <cfRule type="cellIs" dxfId="25512" priority="17205" operator="equal">
      <formula>"OFF"</formula>
    </cfRule>
    <cfRule type="cellIs" dxfId="25511" priority="17206" operator="equal">
      <formula>"PTO"</formula>
    </cfRule>
  </conditionalFormatting>
  <conditionalFormatting sqref="N26">
    <cfRule type="cellIs" dxfId="25510" priority="17203" operator="equal">
      <formula>"OFF"</formula>
    </cfRule>
    <cfRule type="cellIs" dxfId="25509" priority="17204" operator="equal">
      <formula>"PTO"</formula>
    </cfRule>
  </conditionalFormatting>
  <conditionalFormatting sqref="N27">
    <cfRule type="cellIs" dxfId="25508" priority="17201" operator="equal">
      <formula>"OFF"</formula>
    </cfRule>
    <cfRule type="cellIs" dxfId="25507" priority="17202" operator="equal">
      <formula>"PTO"</formula>
    </cfRule>
  </conditionalFormatting>
  <conditionalFormatting sqref="N27">
    <cfRule type="cellIs" dxfId="25506" priority="17199" operator="equal">
      <formula>"OFF"</formula>
    </cfRule>
    <cfRule type="cellIs" dxfId="25505" priority="17200" operator="equal">
      <formula>"PTO"</formula>
    </cfRule>
  </conditionalFormatting>
  <conditionalFormatting sqref="N27">
    <cfRule type="cellIs" dxfId="25504" priority="17197" operator="equal">
      <formula>"OFF"</formula>
    </cfRule>
    <cfRule type="cellIs" dxfId="25503" priority="17198" operator="equal">
      <formula>"PTO"</formula>
    </cfRule>
  </conditionalFormatting>
  <conditionalFormatting sqref="N27">
    <cfRule type="cellIs" dxfId="25502" priority="17195" operator="equal">
      <formula>"OFF"</formula>
    </cfRule>
    <cfRule type="cellIs" dxfId="25501" priority="17196" operator="equal">
      <formula>"PTO"</formula>
    </cfRule>
  </conditionalFormatting>
  <conditionalFormatting sqref="N27">
    <cfRule type="cellIs" dxfId="25500" priority="17193" operator="equal">
      <formula>"OFF"</formula>
    </cfRule>
    <cfRule type="cellIs" dxfId="25499" priority="17194" operator="equal">
      <formula>"PTO"</formula>
    </cfRule>
  </conditionalFormatting>
  <conditionalFormatting sqref="N27">
    <cfRule type="cellIs" dxfId="25498" priority="17191" operator="equal">
      <formula>"OFF"</formula>
    </cfRule>
    <cfRule type="cellIs" dxfId="25497" priority="17192" operator="equal">
      <formula>"PTO"</formula>
    </cfRule>
  </conditionalFormatting>
  <conditionalFormatting sqref="N27">
    <cfRule type="cellIs" dxfId="25496" priority="17189" operator="equal">
      <formula>"OFF"</formula>
    </cfRule>
    <cfRule type="cellIs" dxfId="25495" priority="17190" operator="equal">
      <formula>"PTO"</formula>
    </cfRule>
  </conditionalFormatting>
  <conditionalFormatting sqref="N27">
    <cfRule type="cellIs" dxfId="25494" priority="17187" operator="equal">
      <formula>"OFF"</formula>
    </cfRule>
    <cfRule type="cellIs" dxfId="25493" priority="17188" operator="equal">
      <formula>"PTO"</formula>
    </cfRule>
  </conditionalFormatting>
  <conditionalFormatting sqref="N26">
    <cfRule type="cellIs" dxfId="25492" priority="17185" operator="equal">
      <formula>"OFF"</formula>
    </cfRule>
    <cfRule type="cellIs" dxfId="25491" priority="17186" operator="equal">
      <formula>"PTO"</formula>
    </cfRule>
  </conditionalFormatting>
  <conditionalFormatting sqref="N26">
    <cfRule type="cellIs" dxfId="25490" priority="17183" operator="equal">
      <formula>"OFF"</formula>
    </cfRule>
    <cfRule type="cellIs" dxfId="25489" priority="17184" operator="equal">
      <formula>"PTO"</formula>
    </cfRule>
  </conditionalFormatting>
  <conditionalFormatting sqref="N26">
    <cfRule type="cellIs" dxfId="25488" priority="17181" operator="equal">
      <formula>"OFF"</formula>
    </cfRule>
    <cfRule type="cellIs" dxfId="25487" priority="17182" operator="equal">
      <formula>"PTO"</formula>
    </cfRule>
  </conditionalFormatting>
  <conditionalFormatting sqref="N26">
    <cfRule type="cellIs" dxfId="25486" priority="17179" operator="equal">
      <formula>"OFF"</formula>
    </cfRule>
    <cfRule type="cellIs" dxfId="25485" priority="17180" operator="equal">
      <formula>"PTO"</formula>
    </cfRule>
  </conditionalFormatting>
  <conditionalFormatting sqref="N26">
    <cfRule type="cellIs" dxfId="25484" priority="17177" operator="equal">
      <formula>"OFF"</formula>
    </cfRule>
    <cfRule type="cellIs" dxfId="25483" priority="17178" operator="equal">
      <formula>"PTO"</formula>
    </cfRule>
  </conditionalFormatting>
  <conditionalFormatting sqref="N26">
    <cfRule type="cellIs" dxfId="25482" priority="17175" operator="equal">
      <formula>"OFF"</formula>
    </cfRule>
    <cfRule type="cellIs" dxfId="25481" priority="17176" operator="equal">
      <formula>"PTO"</formula>
    </cfRule>
  </conditionalFormatting>
  <conditionalFormatting sqref="N26">
    <cfRule type="cellIs" dxfId="25480" priority="17173" operator="equal">
      <formula>"OFF"</formula>
    </cfRule>
    <cfRule type="cellIs" dxfId="25479" priority="17174" operator="equal">
      <formula>"PTO"</formula>
    </cfRule>
  </conditionalFormatting>
  <conditionalFormatting sqref="N26">
    <cfRule type="cellIs" dxfId="25478" priority="17171" operator="equal">
      <formula>"OFF"</formula>
    </cfRule>
    <cfRule type="cellIs" dxfId="25477" priority="17172" operator="equal">
      <formula>"PTO"</formula>
    </cfRule>
  </conditionalFormatting>
  <conditionalFormatting sqref="N27">
    <cfRule type="cellIs" dxfId="25476" priority="17169" operator="equal">
      <formula>"OFF"</formula>
    </cfRule>
    <cfRule type="cellIs" dxfId="25475" priority="17170" operator="equal">
      <formula>"PTO"</formula>
    </cfRule>
  </conditionalFormatting>
  <conditionalFormatting sqref="N27">
    <cfRule type="cellIs" dxfId="25474" priority="17167" operator="equal">
      <formula>"OFF"</formula>
    </cfRule>
    <cfRule type="cellIs" dxfId="25473" priority="17168" operator="equal">
      <formula>"PTO"</formula>
    </cfRule>
  </conditionalFormatting>
  <conditionalFormatting sqref="N27">
    <cfRule type="cellIs" dxfId="25472" priority="17165" operator="equal">
      <formula>"OFF"</formula>
    </cfRule>
    <cfRule type="cellIs" dxfId="25471" priority="17166" operator="equal">
      <formula>"PTO"</formula>
    </cfRule>
  </conditionalFormatting>
  <conditionalFormatting sqref="N27">
    <cfRule type="cellIs" dxfId="25470" priority="17163" operator="equal">
      <formula>"OFF"</formula>
    </cfRule>
    <cfRule type="cellIs" dxfId="25469" priority="17164" operator="equal">
      <formula>"PTO"</formula>
    </cfRule>
  </conditionalFormatting>
  <conditionalFormatting sqref="N27">
    <cfRule type="cellIs" dxfId="25468" priority="17161" operator="equal">
      <formula>"OFF"</formula>
    </cfRule>
    <cfRule type="cellIs" dxfId="25467" priority="17162" operator="equal">
      <formula>"PTO"</formula>
    </cfRule>
  </conditionalFormatting>
  <conditionalFormatting sqref="N27">
    <cfRule type="cellIs" dxfId="25466" priority="17159" operator="equal">
      <formula>"OFF"</formula>
    </cfRule>
    <cfRule type="cellIs" dxfId="25465" priority="17160" operator="equal">
      <formula>"PTO"</formula>
    </cfRule>
  </conditionalFormatting>
  <conditionalFormatting sqref="N27">
    <cfRule type="cellIs" dxfId="25464" priority="17157" operator="equal">
      <formula>"OFF"</formula>
    </cfRule>
    <cfRule type="cellIs" dxfId="25463" priority="17158" operator="equal">
      <formula>"PTO"</formula>
    </cfRule>
  </conditionalFormatting>
  <conditionalFormatting sqref="N27">
    <cfRule type="cellIs" dxfId="25462" priority="17155" operator="equal">
      <formula>"OFF"</formula>
    </cfRule>
    <cfRule type="cellIs" dxfId="25461" priority="17156" operator="equal">
      <formula>"PTO"</formula>
    </cfRule>
  </conditionalFormatting>
  <conditionalFormatting sqref="N26">
    <cfRule type="cellIs" dxfId="25460" priority="17153" operator="equal">
      <formula>"OFF"</formula>
    </cfRule>
    <cfRule type="cellIs" dxfId="25459" priority="17154" operator="equal">
      <formula>"PTO"</formula>
    </cfRule>
  </conditionalFormatting>
  <conditionalFormatting sqref="N26">
    <cfRule type="cellIs" dxfId="25458" priority="17151" operator="equal">
      <formula>"OFF"</formula>
    </cfRule>
    <cfRule type="cellIs" dxfId="25457" priority="17152" operator="equal">
      <formula>"PTO"</formula>
    </cfRule>
  </conditionalFormatting>
  <conditionalFormatting sqref="N26">
    <cfRule type="cellIs" dxfId="25456" priority="17149" operator="equal">
      <formula>"OFF"</formula>
    </cfRule>
    <cfRule type="cellIs" dxfId="25455" priority="17150" operator="equal">
      <formula>"PTO"</formula>
    </cfRule>
  </conditionalFormatting>
  <conditionalFormatting sqref="N26">
    <cfRule type="cellIs" dxfId="25454" priority="17147" operator="equal">
      <formula>"OFF"</formula>
    </cfRule>
    <cfRule type="cellIs" dxfId="25453" priority="17148" operator="equal">
      <formula>"PTO"</formula>
    </cfRule>
  </conditionalFormatting>
  <conditionalFormatting sqref="N26">
    <cfRule type="cellIs" dxfId="25452" priority="17145" operator="equal">
      <formula>"OFF"</formula>
    </cfRule>
    <cfRule type="cellIs" dxfId="25451" priority="17146" operator="equal">
      <formula>"PTO"</formula>
    </cfRule>
  </conditionalFormatting>
  <conditionalFormatting sqref="N26">
    <cfRule type="cellIs" dxfId="25450" priority="17143" operator="equal">
      <formula>"OFF"</formula>
    </cfRule>
    <cfRule type="cellIs" dxfId="25449" priority="17144" operator="equal">
      <formula>"PTO"</formula>
    </cfRule>
  </conditionalFormatting>
  <conditionalFormatting sqref="N26">
    <cfRule type="cellIs" dxfId="25448" priority="17141" operator="equal">
      <formula>"OFF"</formula>
    </cfRule>
    <cfRule type="cellIs" dxfId="25447" priority="17142" operator="equal">
      <formula>"PTO"</formula>
    </cfRule>
  </conditionalFormatting>
  <conditionalFormatting sqref="N26">
    <cfRule type="cellIs" dxfId="25446" priority="17139" operator="equal">
      <formula>"OFF"</formula>
    </cfRule>
    <cfRule type="cellIs" dxfId="25445" priority="17140" operator="equal">
      <formula>"PTO"</formula>
    </cfRule>
  </conditionalFormatting>
  <conditionalFormatting sqref="N27">
    <cfRule type="cellIs" dxfId="25444" priority="17137" operator="equal">
      <formula>"OFF"</formula>
    </cfRule>
    <cfRule type="cellIs" dxfId="25443" priority="17138" operator="equal">
      <formula>"PTO"</formula>
    </cfRule>
  </conditionalFormatting>
  <conditionalFormatting sqref="N27">
    <cfRule type="cellIs" dxfId="25442" priority="17135" operator="equal">
      <formula>"OFF"</formula>
    </cfRule>
    <cfRule type="cellIs" dxfId="25441" priority="17136" operator="equal">
      <formula>"PTO"</formula>
    </cfRule>
  </conditionalFormatting>
  <conditionalFormatting sqref="N27">
    <cfRule type="cellIs" dxfId="25440" priority="17133" operator="equal">
      <formula>"OFF"</formula>
    </cfRule>
    <cfRule type="cellIs" dxfId="25439" priority="17134" operator="equal">
      <formula>"PTO"</formula>
    </cfRule>
  </conditionalFormatting>
  <conditionalFormatting sqref="N27">
    <cfRule type="cellIs" dxfId="25438" priority="17131" operator="equal">
      <formula>"OFF"</formula>
    </cfRule>
    <cfRule type="cellIs" dxfId="25437" priority="17132" operator="equal">
      <formula>"PTO"</formula>
    </cfRule>
  </conditionalFormatting>
  <conditionalFormatting sqref="N27">
    <cfRule type="cellIs" dxfId="25436" priority="17129" operator="equal">
      <formula>"OFF"</formula>
    </cfRule>
    <cfRule type="cellIs" dxfId="25435" priority="17130" operator="equal">
      <formula>"PTO"</formula>
    </cfRule>
  </conditionalFormatting>
  <conditionalFormatting sqref="N27">
    <cfRule type="cellIs" dxfId="25434" priority="17127" operator="equal">
      <formula>"OFF"</formula>
    </cfRule>
    <cfRule type="cellIs" dxfId="25433" priority="17128" operator="equal">
      <formula>"PTO"</formula>
    </cfRule>
  </conditionalFormatting>
  <conditionalFormatting sqref="N27">
    <cfRule type="cellIs" dxfId="25432" priority="17125" operator="equal">
      <formula>"OFF"</formula>
    </cfRule>
    <cfRule type="cellIs" dxfId="25431" priority="17126" operator="equal">
      <formula>"PTO"</formula>
    </cfRule>
  </conditionalFormatting>
  <conditionalFormatting sqref="N27">
    <cfRule type="cellIs" dxfId="25430" priority="17123" operator="equal">
      <formula>"OFF"</formula>
    </cfRule>
    <cfRule type="cellIs" dxfId="25429" priority="17124" operator="equal">
      <formula>"PTO"</formula>
    </cfRule>
  </conditionalFormatting>
  <conditionalFormatting sqref="N26">
    <cfRule type="cellIs" dxfId="25428" priority="17121" operator="equal">
      <formula>"OFF"</formula>
    </cfRule>
    <cfRule type="cellIs" dxfId="25427" priority="17122" operator="equal">
      <formula>"PTO"</formula>
    </cfRule>
  </conditionalFormatting>
  <conditionalFormatting sqref="N26">
    <cfRule type="cellIs" dxfId="25426" priority="17119" operator="equal">
      <formula>"OFF"</formula>
    </cfRule>
    <cfRule type="cellIs" dxfId="25425" priority="17120" operator="equal">
      <formula>"PTO"</formula>
    </cfRule>
  </conditionalFormatting>
  <conditionalFormatting sqref="N26">
    <cfRule type="cellIs" dxfId="25424" priority="17117" operator="equal">
      <formula>"OFF"</formula>
    </cfRule>
    <cfRule type="cellIs" dxfId="25423" priority="17118" operator="equal">
      <formula>"PTO"</formula>
    </cfRule>
  </conditionalFormatting>
  <conditionalFormatting sqref="N26">
    <cfRule type="cellIs" dxfId="25422" priority="17115" operator="equal">
      <formula>"OFF"</formula>
    </cfRule>
    <cfRule type="cellIs" dxfId="25421" priority="17116" operator="equal">
      <formula>"PTO"</formula>
    </cfRule>
  </conditionalFormatting>
  <conditionalFormatting sqref="N26">
    <cfRule type="cellIs" dxfId="25420" priority="17113" operator="equal">
      <formula>"OFF"</formula>
    </cfRule>
    <cfRule type="cellIs" dxfId="25419" priority="17114" operator="equal">
      <formula>"PTO"</formula>
    </cfRule>
  </conditionalFormatting>
  <conditionalFormatting sqref="N26">
    <cfRule type="cellIs" dxfId="25418" priority="17111" operator="equal">
      <formula>"OFF"</formula>
    </cfRule>
    <cfRule type="cellIs" dxfId="25417" priority="17112" operator="equal">
      <formula>"PTO"</formula>
    </cfRule>
  </conditionalFormatting>
  <conditionalFormatting sqref="N26">
    <cfRule type="cellIs" dxfId="25416" priority="17109" operator="equal">
      <formula>"OFF"</formula>
    </cfRule>
    <cfRule type="cellIs" dxfId="25415" priority="17110" operator="equal">
      <formula>"PTO"</formula>
    </cfRule>
  </conditionalFormatting>
  <conditionalFormatting sqref="N26">
    <cfRule type="cellIs" dxfId="25414" priority="17107" operator="equal">
      <formula>"OFF"</formula>
    </cfRule>
    <cfRule type="cellIs" dxfId="25413" priority="17108" operator="equal">
      <formula>"PTO"</formula>
    </cfRule>
  </conditionalFormatting>
  <conditionalFormatting sqref="N27">
    <cfRule type="cellIs" dxfId="25412" priority="17105" operator="equal">
      <formula>"OFF"</formula>
    </cfRule>
    <cfRule type="cellIs" dxfId="25411" priority="17106" operator="equal">
      <formula>"PTO"</formula>
    </cfRule>
  </conditionalFormatting>
  <conditionalFormatting sqref="N27">
    <cfRule type="cellIs" dxfId="25410" priority="17103" operator="equal">
      <formula>"OFF"</formula>
    </cfRule>
    <cfRule type="cellIs" dxfId="25409" priority="17104" operator="equal">
      <formula>"PTO"</formula>
    </cfRule>
  </conditionalFormatting>
  <conditionalFormatting sqref="N27">
    <cfRule type="cellIs" dxfId="25408" priority="17101" operator="equal">
      <formula>"OFF"</formula>
    </cfRule>
    <cfRule type="cellIs" dxfId="25407" priority="17102" operator="equal">
      <formula>"PTO"</formula>
    </cfRule>
  </conditionalFormatting>
  <conditionalFormatting sqref="N27">
    <cfRule type="cellIs" dxfId="25406" priority="17099" operator="equal">
      <formula>"OFF"</formula>
    </cfRule>
    <cfRule type="cellIs" dxfId="25405" priority="17100" operator="equal">
      <formula>"PTO"</formula>
    </cfRule>
  </conditionalFormatting>
  <conditionalFormatting sqref="N27">
    <cfRule type="cellIs" dxfId="25404" priority="17097" operator="equal">
      <formula>"OFF"</formula>
    </cfRule>
    <cfRule type="cellIs" dxfId="25403" priority="17098" operator="equal">
      <formula>"PTO"</formula>
    </cfRule>
  </conditionalFormatting>
  <conditionalFormatting sqref="N27">
    <cfRule type="cellIs" dxfId="25402" priority="17095" operator="equal">
      <formula>"OFF"</formula>
    </cfRule>
    <cfRule type="cellIs" dxfId="25401" priority="17096" operator="equal">
      <formula>"PTO"</formula>
    </cfRule>
  </conditionalFormatting>
  <conditionalFormatting sqref="N27">
    <cfRule type="cellIs" dxfId="25400" priority="17093" operator="equal">
      <formula>"OFF"</formula>
    </cfRule>
    <cfRule type="cellIs" dxfId="25399" priority="17094" operator="equal">
      <formula>"PTO"</formula>
    </cfRule>
  </conditionalFormatting>
  <conditionalFormatting sqref="N27">
    <cfRule type="cellIs" dxfId="25398" priority="17091" operator="equal">
      <formula>"OFF"</formula>
    </cfRule>
    <cfRule type="cellIs" dxfId="25397" priority="17092" operator="equal">
      <formula>"PTO"</formula>
    </cfRule>
  </conditionalFormatting>
  <conditionalFormatting sqref="N26">
    <cfRule type="cellIs" dxfId="25396" priority="17089" operator="equal">
      <formula>"OFF"</formula>
    </cfRule>
    <cfRule type="cellIs" dxfId="25395" priority="17090" operator="equal">
      <formula>"PTO"</formula>
    </cfRule>
  </conditionalFormatting>
  <conditionalFormatting sqref="N26">
    <cfRule type="cellIs" dxfId="25394" priority="17087" operator="equal">
      <formula>"OFF"</formula>
    </cfRule>
    <cfRule type="cellIs" dxfId="25393" priority="17088" operator="equal">
      <formula>"PTO"</formula>
    </cfRule>
  </conditionalFormatting>
  <conditionalFormatting sqref="N26">
    <cfRule type="cellIs" dxfId="25392" priority="17085" operator="equal">
      <formula>"OFF"</formula>
    </cfRule>
    <cfRule type="cellIs" dxfId="25391" priority="17086" operator="equal">
      <formula>"PTO"</formula>
    </cfRule>
  </conditionalFormatting>
  <conditionalFormatting sqref="N26">
    <cfRule type="cellIs" dxfId="25390" priority="17083" operator="equal">
      <formula>"OFF"</formula>
    </cfRule>
    <cfRule type="cellIs" dxfId="25389" priority="17084" operator="equal">
      <formula>"PTO"</formula>
    </cfRule>
  </conditionalFormatting>
  <conditionalFormatting sqref="N26">
    <cfRule type="cellIs" dxfId="25388" priority="17081" operator="equal">
      <formula>"OFF"</formula>
    </cfRule>
    <cfRule type="cellIs" dxfId="25387" priority="17082" operator="equal">
      <formula>"PTO"</formula>
    </cfRule>
  </conditionalFormatting>
  <conditionalFormatting sqref="N26">
    <cfRule type="cellIs" dxfId="25386" priority="17079" operator="equal">
      <formula>"OFF"</formula>
    </cfRule>
    <cfRule type="cellIs" dxfId="25385" priority="17080" operator="equal">
      <formula>"PTO"</formula>
    </cfRule>
  </conditionalFormatting>
  <conditionalFormatting sqref="N26">
    <cfRule type="cellIs" dxfId="25384" priority="17077" operator="equal">
      <formula>"OFF"</formula>
    </cfRule>
    <cfRule type="cellIs" dxfId="25383" priority="17078" operator="equal">
      <formula>"PTO"</formula>
    </cfRule>
  </conditionalFormatting>
  <conditionalFormatting sqref="N26">
    <cfRule type="cellIs" dxfId="25382" priority="17075" operator="equal">
      <formula>"OFF"</formula>
    </cfRule>
    <cfRule type="cellIs" dxfId="25381" priority="17076" operator="equal">
      <formula>"PTO"</formula>
    </cfRule>
  </conditionalFormatting>
  <conditionalFormatting sqref="N27">
    <cfRule type="cellIs" dxfId="25380" priority="17073" operator="equal">
      <formula>"OFF"</formula>
    </cfRule>
    <cfRule type="cellIs" dxfId="25379" priority="17074" operator="equal">
      <formula>"PTO"</formula>
    </cfRule>
  </conditionalFormatting>
  <conditionalFormatting sqref="N27">
    <cfRule type="cellIs" dxfId="25378" priority="17071" operator="equal">
      <formula>"OFF"</formula>
    </cfRule>
    <cfRule type="cellIs" dxfId="25377" priority="17072" operator="equal">
      <formula>"PTO"</formula>
    </cfRule>
  </conditionalFormatting>
  <conditionalFormatting sqref="N27">
    <cfRule type="cellIs" dxfId="25376" priority="17069" operator="equal">
      <formula>"OFF"</formula>
    </cfRule>
    <cfRule type="cellIs" dxfId="25375" priority="17070" operator="equal">
      <formula>"PTO"</formula>
    </cfRule>
  </conditionalFormatting>
  <conditionalFormatting sqref="N27">
    <cfRule type="cellIs" dxfId="25374" priority="17067" operator="equal">
      <formula>"OFF"</formula>
    </cfRule>
    <cfRule type="cellIs" dxfId="25373" priority="17068" operator="equal">
      <formula>"PTO"</formula>
    </cfRule>
  </conditionalFormatting>
  <conditionalFormatting sqref="N27">
    <cfRule type="cellIs" dxfId="25372" priority="17065" operator="equal">
      <formula>"OFF"</formula>
    </cfRule>
    <cfRule type="cellIs" dxfId="25371" priority="17066" operator="equal">
      <formula>"PTO"</formula>
    </cfRule>
  </conditionalFormatting>
  <conditionalFormatting sqref="N27">
    <cfRule type="cellIs" dxfId="25370" priority="17063" operator="equal">
      <formula>"OFF"</formula>
    </cfRule>
    <cfRule type="cellIs" dxfId="25369" priority="17064" operator="equal">
      <formula>"PTO"</formula>
    </cfRule>
  </conditionalFormatting>
  <conditionalFormatting sqref="N27">
    <cfRule type="cellIs" dxfId="25368" priority="17061" operator="equal">
      <formula>"OFF"</formula>
    </cfRule>
    <cfRule type="cellIs" dxfId="25367" priority="17062" operator="equal">
      <formula>"PTO"</formula>
    </cfRule>
  </conditionalFormatting>
  <conditionalFormatting sqref="N27">
    <cfRule type="cellIs" dxfId="25366" priority="17059" operator="equal">
      <formula>"OFF"</formula>
    </cfRule>
    <cfRule type="cellIs" dxfId="25365" priority="17060" operator="equal">
      <formula>"PTO"</formula>
    </cfRule>
  </conditionalFormatting>
  <conditionalFormatting sqref="N26">
    <cfRule type="cellIs" dxfId="25364" priority="17057" operator="equal">
      <formula>"OFF"</formula>
    </cfRule>
    <cfRule type="cellIs" dxfId="25363" priority="17058" operator="equal">
      <formula>"PTO"</formula>
    </cfRule>
  </conditionalFormatting>
  <conditionalFormatting sqref="N26">
    <cfRule type="cellIs" dxfId="25362" priority="17055" operator="equal">
      <formula>"OFF"</formula>
    </cfRule>
    <cfRule type="cellIs" dxfId="25361" priority="17056" operator="equal">
      <formula>"PTO"</formula>
    </cfRule>
  </conditionalFormatting>
  <conditionalFormatting sqref="N26">
    <cfRule type="cellIs" dxfId="25360" priority="17053" operator="equal">
      <formula>"OFF"</formula>
    </cfRule>
    <cfRule type="cellIs" dxfId="25359" priority="17054" operator="equal">
      <formula>"PTO"</formula>
    </cfRule>
  </conditionalFormatting>
  <conditionalFormatting sqref="N26">
    <cfRule type="cellIs" dxfId="25358" priority="17051" operator="equal">
      <formula>"OFF"</formula>
    </cfRule>
    <cfRule type="cellIs" dxfId="25357" priority="17052" operator="equal">
      <formula>"PTO"</formula>
    </cfRule>
  </conditionalFormatting>
  <conditionalFormatting sqref="N26">
    <cfRule type="cellIs" dxfId="25356" priority="17049" operator="equal">
      <formula>"OFF"</formula>
    </cfRule>
    <cfRule type="cellIs" dxfId="25355" priority="17050" operator="equal">
      <formula>"PTO"</formula>
    </cfRule>
  </conditionalFormatting>
  <conditionalFormatting sqref="N26">
    <cfRule type="cellIs" dxfId="25354" priority="17047" operator="equal">
      <formula>"OFF"</formula>
    </cfRule>
    <cfRule type="cellIs" dxfId="25353" priority="17048" operator="equal">
      <formula>"PTO"</formula>
    </cfRule>
  </conditionalFormatting>
  <conditionalFormatting sqref="N26">
    <cfRule type="cellIs" dxfId="25352" priority="17045" operator="equal">
      <formula>"OFF"</formula>
    </cfRule>
    <cfRule type="cellIs" dxfId="25351" priority="17046" operator="equal">
      <formula>"PTO"</formula>
    </cfRule>
  </conditionalFormatting>
  <conditionalFormatting sqref="N26">
    <cfRule type="cellIs" dxfId="25350" priority="17043" operator="equal">
      <formula>"OFF"</formula>
    </cfRule>
    <cfRule type="cellIs" dxfId="25349" priority="17044" operator="equal">
      <formula>"PTO"</formula>
    </cfRule>
  </conditionalFormatting>
  <conditionalFormatting sqref="N27">
    <cfRule type="cellIs" dxfId="25348" priority="17041" operator="equal">
      <formula>"OFF"</formula>
    </cfRule>
    <cfRule type="cellIs" dxfId="25347" priority="17042" operator="equal">
      <formula>"PTO"</formula>
    </cfRule>
  </conditionalFormatting>
  <conditionalFormatting sqref="N27">
    <cfRule type="cellIs" dxfId="25346" priority="17039" operator="equal">
      <formula>"OFF"</formula>
    </cfRule>
    <cfRule type="cellIs" dxfId="25345" priority="17040" operator="equal">
      <formula>"PTO"</formula>
    </cfRule>
  </conditionalFormatting>
  <conditionalFormatting sqref="N27">
    <cfRule type="cellIs" dxfId="25344" priority="17037" operator="equal">
      <formula>"OFF"</formula>
    </cfRule>
    <cfRule type="cellIs" dxfId="25343" priority="17038" operator="equal">
      <formula>"PTO"</formula>
    </cfRule>
  </conditionalFormatting>
  <conditionalFormatting sqref="N27">
    <cfRule type="cellIs" dxfId="25342" priority="17035" operator="equal">
      <formula>"OFF"</formula>
    </cfRule>
    <cfRule type="cellIs" dxfId="25341" priority="17036" operator="equal">
      <formula>"PTO"</formula>
    </cfRule>
  </conditionalFormatting>
  <conditionalFormatting sqref="N27">
    <cfRule type="cellIs" dxfId="25340" priority="17033" operator="equal">
      <formula>"OFF"</formula>
    </cfRule>
    <cfRule type="cellIs" dxfId="25339" priority="17034" operator="equal">
      <formula>"PTO"</formula>
    </cfRule>
  </conditionalFormatting>
  <conditionalFormatting sqref="N27">
    <cfRule type="cellIs" dxfId="25338" priority="17031" operator="equal">
      <formula>"OFF"</formula>
    </cfRule>
    <cfRule type="cellIs" dxfId="25337" priority="17032" operator="equal">
      <formula>"PTO"</formula>
    </cfRule>
  </conditionalFormatting>
  <conditionalFormatting sqref="N27">
    <cfRule type="cellIs" dxfId="25336" priority="17029" operator="equal">
      <formula>"OFF"</formula>
    </cfRule>
    <cfRule type="cellIs" dxfId="25335" priority="17030" operator="equal">
      <formula>"PTO"</formula>
    </cfRule>
  </conditionalFormatting>
  <conditionalFormatting sqref="N27">
    <cfRule type="cellIs" dxfId="25334" priority="17027" operator="equal">
      <formula>"OFF"</formula>
    </cfRule>
    <cfRule type="cellIs" dxfId="25333" priority="17028" operator="equal">
      <formula>"PTO"</formula>
    </cfRule>
  </conditionalFormatting>
  <conditionalFormatting sqref="N29">
    <cfRule type="cellIs" dxfId="25332" priority="17025" operator="equal">
      <formula>"OFF"</formula>
    </cfRule>
    <cfRule type="cellIs" dxfId="25331" priority="17026" operator="equal">
      <formula>"PTO"</formula>
    </cfRule>
  </conditionalFormatting>
  <conditionalFormatting sqref="N29">
    <cfRule type="cellIs" dxfId="25330" priority="17023" operator="equal">
      <formula>"OFF"</formula>
    </cfRule>
    <cfRule type="cellIs" dxfId="25329" priority="17024" operator="equal">
      <formula>"PTO"</formula>
    </cfRule>
  </conditionalFormatting>
  <conditionalFormatting sqref="N29">
    <cfRule type="cellIs" dxfId="25328" priority="17021" operator="equal">
      <formula>"OFF"</formula>
    </cfRule>
    <cfRule type="cellIs" dxfId="25327" priority="17022" operator="equal">
      <formula>"PTO"</formula>
    </cfRule>
  </conditionalFormatting>
  <conditionalFormatting sqref="N29">
    <cfRule type="cellIs" dxfId="25326" priority="17019" operator="equal">
      <formula>"OFF"</formula>
    </cfRule>
    <cfRule type="cellIs" dxfId="25325" priority="17020" operator="equal">
      <formula>"PTO"</formula>
    </cfRule>
  </conditionalFormatting>
  <conditionalFormatting sqref="N29">
    <cfRule type="cellIs" dxfId="25324" priority="17017" operator="equal">
      <formula>"OFF"</formula>
    </cfRule>
    <cfRule type="cellIs" dxfId="25323" priority="17018" operator="equal">
      <formula>"PTO"</formula>
    </cfRule>
  </conditionalFormatting>
  <conditionalFormatting sqref="N29">
    <cfRule type="cellIs" dxfId="25322" priority="17015" operator="equal">
      <formula>"OFF"</formula>
    </cfRule>
    <cfRule type="cellIs" dxfId="25321" priority="17016" operator="equal">
      <formula>"PTO"</formula>
    </cfRule>
  </conditionalFormatting>
  <conditionalFormatting sqref="N29">
    <cfRule type="cellIs" dxfId="25320" priority="17013" operator="equal">
      <formula>"OFF"</formula>
    </cfRule>
    <cfRule type="cellIs" dxfId="25319" priority="17014" operator="equal">
      <formula>"PTO"</formula>
    </cfRule>
  </conditionalFormatting>
  <conditionalFormatting sqref="N29">
    <cfRule type="cellIs" dxfId="25318" priority="17011" operator="equal">
      <formula>"OFF"</formula>
    </cfRule>
    <cfRule type="cellIs" dxfId="25317" priority="17012" operator="equal">
      <formula>"PTO"</formula>
    </cfRule>
  </conditionalFormatting>
  <conditionalFormatting sqref="N29">
    <cfRule type="cellIs" dxfId="25316" priority="17009" operator="equal">
      <formula>"OFF"</formula>
    </cfRule>
    <cfRule type="cellIs" dxfId="25315" priority="17010" operator="equal">
      <formula>"PTO"</formula>
    </cfRule>
  </conditionalFormatting>
  <conditionalFormatting sqref="N29">
    <cfRule type="cellIs" dxfId="25314" priority="17007" operator="equal">
      <formula>"OFF"</formula>
    </cfRule>
    <cfRule type="cellIs" dxfId="25313" priority="17008" operator="equal">
      <formula>"PTO"</formula>
    </cfRule>
  </conditionalFormatting>
  <conditionalFormatting sqref="N29">
    <cfRule type="cellIs" dxfId="25312" priority="17005" operator="equal">
      <formula>"OFF"</formula>
    </cfRule>
    <cfRule type="cellIs" dxfId="25311" priority="17006" operator="equal">
      <formula>"PTO"</formula>
    </cfRule>
  </conditionalFormatting>
  <conditionalFormatting sqref="N29">
    <cfRule type="cellIs" dxfId="25310" priority="17003" operator="equal">
      <formula>"OFF"</formula>
    </cfRule>
    <cfRule type="cellIs" dxfId="25309" priority="17004" operator="equal">
      <formula>"PTO"</formula>
    </cfRule>
  </conditionalFormatting>
  <conditionalFormatting sqref="N29">
    <cfRule type="cellIs" dxfId="25308" priority="17001" operator="equal">
      <formula>"OFF"</formula>
    </cfRule>
    <cfRule type="cellIs" dxfId="25307" priority="17002" operator="equal">
      <formula>"PTO"</formula>
    </cfRule>
  </conditionalFormatting>
  <conditionalFormatting sqref="N29">
    <cfRule type="cellIs" dxfId="25306" priority="16999" operator="equal">
      <formula>"OFF"</formula>
    </cfRule>
    <cfRule type="cellIs" dxfId="25305" priority="17000" operator="equal">
      <formula>"PTO"</formula>
    </cfRule>
  </conditionalFormatting>
  <conditionalFormatting sqref="N29">
    <cfRule type="cellIs" dxfId="25304" priority="16997" operator="equal">
      <formula>"OFF"</formula>
    </cfRule>
    <cfRule type="cellIs" dxfId="25303" priority="16998" operator="equal">
      <formula>"PTO"</formula>
    </cfRule>
  </conditionalFormatting>
  <conditionalFormatting sqref="N29">
    <cfRule type="cellIs" dxfId="25302" priority="16995" operator="equal">
      <formula>"OFF"</formula>
    </cfRule>
    <cfRule type="cellIs" dxfId="25301" priority="16996" operator="equal">
      <formula>"PTO"</formula>
    </cfRule>
  </conditionalFormatting>
  <conditionalFormatting sqref="N29">
    <cfRule type="cellIs" dxfId="25300" priority="16993" operator="equal">
      <formula>"OFF"</formula>
    </cfRule>
    <cfRule type="cellIs" dxfId="25299" priority="16994" operator="equal">
      <formula>"PTO"</formula>
    </cfRule>
  </conditionalFormatting>
  <conditionalFormatting sqref="N29">
    <cfRule type="cellIs" dxfId="25298" priority="16991" operator="equal">
      <formula>"OFF"</formula>
    </cfRule>
    <cfRule type="cellIs" dxfId="25297" priority="16992" operator="equal">
      <formula>"PTO"</formula>
    </cfRule>
  </conditionalFormatting>
  <conditionalFormatting sqref="N29">
    <cfRule type="cellIs" dxfId="25296" priority="16989" operator="equal">
      <formula>"OFF"</formula>
    </cfRule>
    <cfRule type="cellIs" dxfId="25295" priority="16990" operator="equal">
      <formula>"PTO"</formula>
    </cfRule>
  </conditionalFormatting>
  <conditionalFormatting sqref="N29">
    <cfRule type="cellIs" dxfId="25294" priority="16987" operator="equal">
      <formula>"OFF"</formula>
    </cfRule>
    <cfRule type="cellIs" dxfId="25293" priority="16988" operator="equal">
      <formula>"PTO"</formula>
    </cfRule>
  </conditionalFormatting>
  <conditionalFormatting sqref="N29">
    <cfRule type="cellIs" dxfId="25292" priority="16985" operator="equal">
      <formula>"OFF"</formula>
    </cfRule>
    <cfRule type="cellIs" dxfId="25291" priority="16986" operator="equal">
      <formula>"PTO"</formula>
    </cfRule>
  </conditionalFormatting>
  <conditionalFormatting sqref="N29">
    <cfRule type="cellIs" dxfId="25290" priority="16983" operator="equal">
      <formula>"OFF"</formula>
    </cfRule>
    <cfRule type="cellIs" dxfId="25289" priority="16984" operator="equal">
      <formula>"PTO"</formula>
    </cfRule>
  </conditionalFormatting>
  <conditionalFormatting sqref="N29">
    <cfRule type="cellIs" dxfId="25288" priority="16981" operator="equal">
      <formula>"OFF"</formula>
    </cfRule>
    <cfRule type="cellIs" dxfId="25287" priority="16982" operator="equal">
      <formula>"PTO"</formula>
    </cfRule>
  </conditionalFormatting>
  <conditionalFormatting sqref="N29">
    <cfRule type="cellIs" dxfId="25286" priority="16979" operator="equal">
      <formula>"OFF"</formula>
    </cfRule>
    <cfRule type="cellIs" dxfId="25285" priority="16980" operator="equal">
      <formula>"PTO"</formula>
    </cfRule>
  </conditionalFormatting>
  <conditionalFormatting sqref="N29">
    <cfRule type="cellIs" dxfId="25284" priority="16977" operator="equal">
      <formula>"OFF"</formula>
    </cfRule>
    <cfRule type="cellIs" dxfId="25283" priority="16978" operator="equal">
      <formula>"PTO"</formula>
    </cfRule>
  </conditionalFormatting>
  <conditionalFormatting sqref="N29">
    <cfRule type="cellIs" dxfId="25282" priority="16975" operator="equal">
      <formula>"OFF"</formula>
    </cfRule>
    <cfRule type="cellIs" dxfId="25281" priority="16976" operator="equal">
      <formula>"PTO"</formula>
    </cfRule>
  </conditionalFormatting>
  <conditionalFormatting sqref="N29">
    <cfRule type="cellIs" dxfId="25280" priority="16973" operator="equal">
      <formula>"OFF"</formula>
    </cfRule>
    <cfRule type="cellIs" dxfId="25279" priority="16974" operator="equal">
      <formula>"PTO"</formula>
    </cfRule>
  </conditionalFormatting>
  <conditionalFormatting sqref="N29">
    <cfRule type="cellIs" dxfId="25278" priority="16971" operator="equal">
      <formula>"OFF"</formula>
    </cfRule>
    <cfRule type="cellIs" dxfId="25277" priority="16972" operator="equal">
      <formula>"PTO"</formula>
    </cfRule>
  </conditionalFormatting>
  <conditionalFormatting sqref="N29">
    <cfRule type="cellIs" dxfId="25276" priority="16969" operator="equal">
      <formula>"OFF"</formula>
    </cfRule>
    <cfRule type="cellIs" dxfId="25275" priority="16970" operator="equal">
      <formula>"PTO"</formula>
    </cfRule>
  </conditionalFormatting>
  <conditionalFormatting sqref="N29">
    <cfRule type="cellIs" dxfId="25274" priority="16967" operator="equal">
      <formula>"OFF"</formula>
    </cfRule>
    <cfRule type="cellIs" dxfId="25273" priority="16968" operator="equal">
      <formula>"PTO"</formula>
    </cfRule>
  </conditionalFormatting>
  <conditionalFormatting sqref="N29">
    <cfRule type="cellIs" dxfId="25272" priority="16965" operator="equal">
      <formula>"OFF"</formula>
    </cfRule>
    <cfRule type="cellIs" dxfId="25271" priority="16966" operator="equal">
      <formula>"PTO"</formula>
    </cfRule>
  </conditionalFormatting>
  <conditionalFormatting sqref="N29">
    <cfRule type="cellIs" dxfId="25270" priority="16963" operator="equal">
      <formula>"OFF"</formula>
    </cfRule>
    <cfRule type="cellIs" dxfId="25269" priority="16964" operator="equal">
      <formula>"PTO"</formula>
    </cfRule>
  </conditionalFormatting>
  <conditionalFormatting sqref="N29">
    <cfRule type="cellIs" dxfId="25268" priority="16961" operator="equal">
      <formula>"OFF"</formula>
    </cfRule>
    <cfRule type="cellIs" dxfId="25267" priority="16962" operator="equal">
      <formula>"PTO"</formula>
    </cfRule>
  </conditionalFormatting>
  <conditionalFormatting sqref="N29">
    <cfRule type="cellIs" dxfId="25266" priority="16959" operator="equal">
      <formula>"OFF"</formula>
    </cfRule>
    <cfRule type="cellIs" dxfId="25265" priority="16960" operator="equal">
      <formula>"PTO"</formula>
    </cfRule>
  </conditionalFormatting>
  <conditionalFormatting sqref="N29">
    <cfRule type="cellIs" dxfId="25264" priority="16957" operator="equal">
      <formula>"OFF"</formula>
    </cfRule>
    <cfRule type="cellIs" dxfId="25263" priority="16958" operator="equal">
      <formula>"PTO"</formula>
    </cfRule>
  </conditionalFormatting>
  <conditionalFormatting sqref="N29">
    <cfRule type="cellIs" dxfId="25262" priority="16955" operator="equal">
      <formula>"OFF"</formula>
    </cfRule>
    <cfRule type="cellIs" dxfId="25261" priority="16956" operator="equal">
      <formula>"PTO"</formula>
    </cfRule>
  </conditionalFormatting>
  <conditionalFormatting sqref="N29">
    <cfRule type="cellIs" dxfId="25260" priority="16953" operator="equal">
      <formula>"OFF"</formula>
    </cfRule>
    <cfRule type="cellIs" dxfId="25259" priority="16954" operator="equal">
      <formula>"PTO"</formula>
    </cfRule>
  </conditionalFormatting>
  <conditionalFormatting sqref="N29">
    <cfRule type="cellIs" dxfId="25258" priority="16951" operator="equal">
      <formula>"OFF"</formula>
    </cfRule>
    <cfRule type="cellIs" dxfId="25257" priority="16952" operator="equal">
      <formula>"PTO"</formula>
    </cfRule>
  </conditionalFormatting>
  <conditionalFormatting sqref="N29">
    <cfRule type="cellIs" dxfId="25256" priority="16949" operator="equal">
      <formula>"OFF"</formula>
    </cfRule>
    <cfRule type="cellIs" dxfId="25255" priority="16950" operator="equal">
      <formula>"PTO"</formula>
    </cfRule>
  </conditionalFormatting>
  <conditionalFormatting sqref="N29">
    <cfRule type="cellIs" dxfId="25254" priority="16947" operator="equal">
      <formula>"OFF"</formula>
    </cfRule>
    <cfRule type="cellIs" dxfId="25253" priority="16948" operator="equal">
      <formula>"PTO"</formula>
    </cfRule>
  </conditionalFormatting>
  <conditionalFormatting sqref="N29">
    <cfRule type="cellIs" dxfId="25252" priority="16945" operator="equal">
      <formula>"OFF"</formula>
    </cfRule>
    <cfRule type="cellIs" dxfId="25251" priority="16946" operator="equal">
      <formula>"PTO"</formula>
    </cfRule>
  </conditionalFormatting>
  <conditionalFormatting sqref="N29">
    <cfRule type="cellIs" dxfId="25250" priority="16943" operator="equal">
      <formula>"OFF"</formula>
    </cfRule>
    <cfRule type="cellIs" dxfId="25249" priority="16944" operator="equal">
      <formula>"PTO"</formula>
    </cfRule>
  </conditionalFormatting>
  <conditionalFormatting sqref="N29">
    <cfRule type="cellIs" dxfId="25248" priority="16941" operator="equal">
      <formula>"OFF"</formula>
    </cfRule>
    <cfRule type="cellIs" dxfId="25247" priority="16942" operator="equal">
      <formula>"PTO"</formula>
    </cfRule>
  </conditionalFormatting>
  <conditionalFormatting sqref="N29">
    <cfRule type="cellIs" dxfId="25246" priority="16939" operator="equal">
      <formula>"OFF"</formula>
    </cfRule>
    <cfRule type="cellIs" dxfId="25245" priority="16940" operator="equal">
      <formula>"PTO"</formula>
    </cfRule>
  </conditionalFormatting>
  <conditionalFormatting sqref="N29">
    <cfRule type="cellIs" dxfId="25244" priority="16937" operator="equal">
      <formula>"OFF"</formula>
    </cfRule>
    <cfRule type="cellIs" dxfId="25243" priority="16938" operator="equal">
      <formula>"PTO"</formula>
    </cfRule>
  </conditionalFormatting>
  <conditionalFormatting sqref="N29">
    <cfRule type="cellIs" dxfId="25242" priority="16935" operator="equal">
      <formula>"OFF"</formula>
    </cfRule>
    <cfRule type="cellIs" dxfId="25241" priority="16936" operator="equal">
      <formula>"PTO"</formula>
    </cfRule>
  </conditionalFormatting>
  <conditionalFormatting sqref="N29">
    <cfRule type="cellIs" dxfId="25240" priority="16933" operator="equal">
      <formula>"OFF"</formula>
    </cfRule>
    <cfRule type="cellIs" dxfId="25239" priority="16934" operator="equal">
      <formula>"PTO"</formula>
    </cfRule>
  </conditionalFormatting>
  <conditionalFormatting sqref="N29">
    <cfRule type="cellIs" dxfId="25238" priority="16931" operator="equal">
      <formula>"OFF"</formula>
    </cfRule>
    <cfRule type="cellIs" dxfId="25237" priority="16932" operator="equal">
      <formula>"PTO"</formula>
    </cfRule>
  </conditionalFormatting>
  <conditionalFormatting sqref="N29">
    <cfRule type="cellIs" dxfId="25236" priority="16929" operator="equal">
      <formula>"OFF"</formula>
    </cfRule>
    <cfRule type="cellIs" dxfId="25235" priority="16930" operator="equal">
      <formula>"PTO"</formula>
    </cfRule>
  </conditionalFormatting>
  <conditionalFormatting sqref="N29">
    <cfRule type="cellIs" dxfId="25234" priority="16927" operator="equal">
      <formula>"OFF"</formula>
    </cfRule>
    <cfRule type="cellIs" dxfId="25233" priority="16928" operator="equal">
      <formula>"PTO"</formula>
    </cfRule>
  </conditionalFormatting>
  <conditionalFormatting sqref="N29">
    <cfRule type="cellIs" dxfId="25232" priority="16925" operator="equal">
      <formula>"OFF"</formula>
    </cfRule>
    <cfRule type="cellIs" dxfId="25231" priority="16926" operator="equal">
      <formula>"PTO"</formula>
    </cfRule>
  </conditionalFormatting>
  <conditionalFormatting sqref="N29">
    <cfRule type="cellIs" dxfId="25230" priority="16923" operator="equal">
      <formula>"OFF"</formula>
    </cfRule>
    <cfRule type="cellIs" dxfId="25229" priority="16924" operator="equal">
      <formula>"PTO"</formula>
    </cfRule>
  </conditionalFormatting>
  <conditionalFormatting sqref="N29">
    <cfRule type="cellIs" dxfId="25228" priority="16921" operator="equal">
      <formula>"OFF"</formula>
    </cfRule>
    <cfRule type="cellIs" dxfId="25227" priority="16922" operator="equal">
      <formula>"PTO"</formula>
    </cfRule>
  </conditionalFormatting>
  <conditionalFormatting sqref="N29">
    <cfRule type="cellIs" dxfId="25226" priority="16919" operator="equal">
      <formula>"OFF"</formula>
    </cfRule>
    <cfRule type="cellIs" dxfId="25225" priority="16920" operator="equal">
      <formula>"PTO"</formula>
    </cfRule>
  </conditionalFormatting>
  <conditionalFormatting sqref="N29">
    <cfRule type="cellIs" dxfId="25224" priority="16917" operator="equal">
      <formula>"OFF"</formula>
    </cfRule>
    <cfRule type="cellIs" dxfId="25223" priority="16918" operator="equal">
      <formula>"PTO"</formula>
    </cfRule>
  </conditionalFormatting>
  <conditionalFormatting sqref="N29">
    <cfRule type="cellIs" dxfId="25222" priority="16915" operator="equal">
      <formula>"OFF"</formula>
    </cfRule>
    <cfRule type="cellIs" dxfId="25221" priority="16916" operator="equal">
      <formula>"PTO"</formula>
    </cfRule>
  </conditionalFormatting>
  <conditionalFormatting sqref="N30">
    <cfRule type="cellIs" dxfId="25220" priority="16913" operator="equal">
      <formula>"OFF"</formula>
    </cfRule>
    <cfRule type="cellIs" dxfId="25219" priority="16914" operator="equal">
      <formula>"PTO"</formula>
    </cfRule>
  </conditionalFormatting>
  <conditionalFormatting sqref="N30">
    <cfRule type="cellIs" dxfId="25218" priority="16911" operator="equal">
      <formula>"OFF"</formula>
    </cfRule>
    <cfRule type="cellIs" dxfId="25217" priority="16912" operator="equal">
      <formula>"PTO"</formula>
    </cfRule>
  </conditionalFormatting>
  <conditionalFormatting sqref="N30">
    <cfRule type="cellIs" dxfId="25216" priority="16909" operator="equal">
      <formula>"OFF"</formula>
    </cfRule>
    <cfRule type="cellIs" dxfId="25215" priority="16910" operator="equal">
      <formula>"PTO"</formula>
    </cfRule>
  </conditionalFormatting>
  <conditionalFormatting sqref="N30">
    <cfRule type="cellIs" dxfId="25214" priority="16907" operator="equal">
      <formula>"OFF"</formula>
    </cfRule>
    <cfRule type="cellIs" dxfId="25213" priority="16908" operator="equal">
      <formula>"PTO"</formula>
    </cfRule>
  </conditionalFormatting>
  <conditionalFormatting sqref="N30">
    <cfRule type="cellIs" dxfId="25212" priority="16905" operator="equal">
      <formula>"OFF"</formula>
    </cfRule>
    <cfRule type="cellIs" dxfId="25211" priority="16906" operator="equal">
      <formula>"PTO"</formula>
    </cfRule>
  </conditionalFormatting>
  <conditionalFormatting sqref="N30">
    <cfRule type="cellIs" dxfId="25210" priority="16903" operator="equal">
      <formula>"OFF"</formula>
    </cfRule>
    <cfRule type="cellIs" dxfId="25209" priority="16904" operator="equal">
      <formula>"PTO"</formula>
    </cfRule>
  </conditionalFormatting>
  <conditionalFormatting sqref="N30">
    <cfRule type="cellIs" dxfId="25208" priority="16901" operator="equal">
      <formula>"OFF"</formula>
    </cfRule>
    <cfRule type="cellIs" dxfId="25207" priority="16902" operator="equal">
      <formula>"PTO"</formula>
    </cfRule>
  </conditionalFormatting>
  <conditionalFormatting sqref="N30">
    <cfRule type="cellIs" dxfId="25206" priority="16899" operator="equal">
      <formula>"OFF"</formula>
    </cfRule>
    <cfRule type="cellIs" dxfId="25205" priority="16900" operator="equal">
      <formula>"PTO"</formula>
    </cfRule>
  </conditionalFormatting>
  <conditionalFormatting sqref="N30">
    <cfRule type="cellIs" dxfId="25204" priority="16897" operator="equal">
      <formula>"OFF"</formula>
    </cfRule>
    <cfRule type="cellIs" dxfId="25203" priority="16898" operator="equal">
      <formula>"PTO"</formula>
    </cfRule>
  </conditionalFormatting>
  <conditionalFormatting sqref="N30">
    <cfRule type="cellIs" dxfId="25202" priority="16895" operator="equal">
      <formula>"OFF"</formula>
    </cfRule>
    <cfRule type="cellIs" dxfId="25201" priority="16896" operator="equal">
      <formula>"PTO"</formula>
    </cfRule>
  </conditionalFormatting>
  <conditionalFormatting sqref="N30">
    <cfRule type="cellIs" dxfId="25200" priority="16893" operator="equal">
      <formula>"OFF"</formula>
    </cfRule>
    <cfRule type="cellIs" dxfId="25199" priority="16894" operator="equal">
      <formula>"PTO"</formula>
    </cfRule>
  </conditionalFormatting>
  <conditionalFormatting sqref="N30">
    <cfRule type="cellIs" dxfId="25198" priority="16891" operator="equal">
      <formula>"OFF"</formula>
    </cfRule>
    <cfRule type="cellIs" dxfId="25197" priority="16892" operator="equal">
      <formula>"PTO"</formula>
    </cfRule>
  </conditionalFormatting>
  <conditionalFormatting sqref="N30">
    <cfRule type="cellIs" dxfId="25196" priority="16889" operator="equal">
      <formula>"OFF"</formula>
    </cfRule>
    <cfRule type="cellIs" dxfId="25195" priority="16890" operator="equal">
      <formula>"PTO"</formula>
    </cfRule>
  </conditionalFormatting>
  <conditionalFormatting sqref="N30">
    <cfRule type="cellIs" dxfId="25194" priority="16887" operator="equal">
      <formula>"OFF"</formula>
    </cfRule>
    <cfRule type="cellIs" dxfId="25193" priority="16888" operator="equal">
      <formula>"PTO"</formula>
    </cfRule>
  </conditionalFormatting>
  <conditionalFormatting sqref="N30">
    <cfRule type="cellIs" dxfId="25192" priority="16885" operator="equal">
      <formula>"OFF"</formula>
    </cfRule>
    <cfRule type="cellIs" dxfId="25191" priority="16886" operator="equal">
      <formula>"PTO"</formula>
    </cfRule>
  </conditionalFormatting>
  <conditionalFormatting sqref="N30">
    <cfRule type="cellIs" dxfId="25190" priority="16883" operator="equal">
      <formula>"OFF"</formula>
    </cfRule>
    <cfRule type="cellIs" dxfId="25189" priority="16884" operator="equal">
      <formula>"PTO"</formula>
    </cfRule>
  </conditionalFormatting>
  <conditionalFormatting sqref="N30">
    <cfRule type="cellIs" dxfId="25188" priority="16881" operator="equal">
      <formula>"OFF"</formula>
    </cfRule>
    <cfRule type="cellIs" dxfId="25187" priority="16882" operator="equal">
      <formula>"PTO"</formula>
    </cfRule>
  </conditionalFormatting>
  <conditionalFormatting sqref="N30">
    <cfRule type="cellIs" dxfId="25186" priority="16879" operator="equal">
      <formula>"OFF"</formula>
    </cfRule>
    <cfRule type="cellIs" dxfId="25185" priority="16880" operator="equal">
      <formula>"PTO"</formula>
    </cfRule>
  </conditionalFormatting>
  <conditionalFormatting sqref="N30">
    <cfRule type="cellIs" dxfId="25184" priority="16877" operator="equal">
      <formula>"OFF"</formula>
    </cfRule>
    <cfRule type="cellIs" dxfId="25183" priority="16878" operator="equal">
      <formula>"PTO"</formula>
    </cfRule>
  </conditionalFormatting>
  <conditionalFormatting sqref="N30">
    <cfRule type="cellIs" dxfId="25182" priority="16875" operator="equal">
      <formula>"OFF"</formula>
    </cfRule>
    <cfRule type="cellIs" dxfId="25181" priority="16876" operator="equal">
      <formula>"PTO"</formula>
    </cfRule>
  </conditionalFormatting>
  <conditionalFormatting sqref="N30">
    <cfRule type="cellIs" dxfId="25180" priority="16873" operator="equal">
      <formula>"OFF"</formula>
    </cfRule>
    <cfRule type="cellIs" dxfId="25179" priority="16874" operator="equal">
      <formula>"PTO"</formula>
    </cfRule>
  </conditionalFormatting>
  <conditionalFormatting sqref="N30">
    <cfRule type="cellIs" dxfId="25178" priority="16871" operator="equal">
      <formula>"OFF"</formula>
    </cfRule>
    <cfRule type="cellIs" dxfId="25177" priority="16872" operator="equal">
      <formula>"PTO"</formula>
    </cfRule>
  </conditionalFormatting>
  <conditionalFormatting sqref="N30">
    <cfRule type="cellIs" dxfId="25176" priority="16869" operator="equal">
      <formula>"OFF"</formula>
    </cfRule>
    <cfRule type="cellIs" dxfId="25175" priority="16870" operator="equal">
      <formula>"PTO"</formula>
    </cfRule>
  </conditionalFormatting>
  <conditionalFormatting sqref="N30">
    <cfRule type="cellIs" dxfId="25174" priority="16867" operator="equal">
      <formula>"OFF"</formula>
    </cfRule>
    <cfRule type="cellIs" dxfId="25173" priority="16868" operator="equal">
      <formula>"PTO"</formula>
    </cfRule>
  </conditionalFormatting>
  <conditionalFormatting sqref="N30">
    <cfRule type="cellIs" dxfId="25172" priority="16865" operator="equal">
      <formula>"OFF"</formula>
    </cfRule>
    <cfRule type="cellIs" dxfId="25171" priority="16866" operator="equal">
      <formula>"PTO"</formula>
    </cfRule>
  </conditionalFormatting>
  <conditionalFormatting sqref="N30">
    <cfRule type="cellIs" dxfId="25170" priority="16863" operator="equal">
      <formula>"OFF"</formula>
    </cfRule>
    <cfRule type="cellIs" dxfId="25169" priority="16864" operator="equal">
      <formula>"PTO"</formula>
    </cfRule>
  </conditionalFormatting>
  <conditionalFormatting sqref="N30">
    <cfRule type="cellIs" dxfId="25168" priority="16861" operator="equal">
      <formula>"OFF"</formula>
    </cfRule>
    <cfRule type="cellIs" dxfId="25167" priority="16862" operator="equal">
      <formula>"PTO"</formula>
    </cfRule>
  </conditionalFormatting>
  <conditionalFormatting sqref="N30">
    <cfRule type="cellIs" dxfId="25166" priority="16859" operator="equal">
      <formula>"OFF"</formula>
    </cfRule>
    <cfRule type="cellIs" dxfId="25165" priority="16860" operator="equal">
      <formula>"PTO"</formula>
    </cfRule>
  </conditionalFormatting>
  <conditionalFormatting sqref="N30">
    <cfRule type="cellIs" dxfId="25164" priority="16857" operator="equal">
      <formula>"OFF"</formula>
    </cfRule>
    <cfRule type="cellIs" dxfId="25163" priority="16858" operator="equal">
      <formula>"PTO"</formula>
    </cfRule>
  </conditionalFormatting>
  <conditionalFormatting sqref="N30">
    <cfRule type="cellIs" dxfId="25162" priority="16855" operator="equal">
      <formula>"OFF"</formula>
    </cfRule>
    <cfRule type="cellIs" dxfId="25161" priority="16856" operator="equal">
      <formula>"PTO"</formula>
    </cfRule>
  </conditionalFormatting>
  <conditionalFormatting sqref="N30">
    <cfRule type="cellIs" dxfId="25160" priority="16853" operator="equal">
      <formula>"OFF"</formula>
    </cfRule>
    <cfRule type="cellIs" dxfId="25159" priority="16854" operator="equal">
      <formula>"PTO"</formula>
    </cfRule>
  </conditionalFormatting>
  <conditionalFormatting sqref="N30">
    <cfRule type="cellIs" dxfId="25158" priority="16851" operator="equal">
      <formula>"OFF"</formula>
    </cfRule>
    <cfRule type="cellIs" dxfId="25157" priority="16852" operator="equal">
      <formula>"PTO"</formula>
    </cfRule>
  </conditionalFormatting>
  <conditionalFormatting sqref="N30">
    <cfRule type="cellIs" dxfId="25156" priority="16849" operator="equal">
      <formula>"OFF"</formula>
    </cfRule>
    <cfRule type="cellIs" dxfId="25155" priority="16850" operator="equal">
      <formula>"PTO"</formula>
    </cfRule>
  </conditionalFormatting>
  <conditionalFormatting sqref="N30">
    <cfRule type="cellIs" dxfId="25154" priority="16847" operator="equal">
      <formula>"OFF"</formula>
    </cfRule>
    <cfRule type="cellIs" dxfId="25153" priority="16848" operator="equal">
      <formula>"PTO"</formula>
    </cfRule>
  </conditionalFormatting>
  <conditionalFormatting sqref="N30">
    <cfRule type="cellIs" dxfId="25152" priority="16845" operator="equal">
      <formula>"OFF"</formula>
    </cfRule>
    <cfRule type="cellIs" dxfId="25151" priority="16846" operator="equal">
      <formula>"PTO"</formula>
    </cfRule>
  </conditionalFormatting>
  <conditionalFormatting sqref="N30">
    <cfRule type="cellIs" dxfId="25150" priority="16843" operator="equal">
      <formula>"OFF"</formula>
    </cfRule>
    <cfRule type="cellIs" dxfId="25149" priority="16844" operator="equal">
      <formula>"PTO"</formula>
    </cfRule>
  </conditionalFormatting>
  <conditionalFormatting sqref="N30">
    <cfRule type="cellIs" dxfId="25148" priority="16841" operator="equal">
      <formula>"OFF"</formula>
    </cfRule>
    <cfRule type="cellIs" dxfId="25147" priority="16842" operator="equal">
      <formula>"PTO"</formula>
    </cfRule>
  </conditionalFormatting>
  <conditionalFormatting sqref="N30">
    <cfRule type="cellIs" dxfId="25146" priority="16839" operator="equal">
      <formula>"OFF"</formula>
    </cfRule>
    <cfRule type="cellIs" dxfId="25145" priority="16840" operator="equal">
      <formula>"PTO"</formula>
    </cfRule>
  </conditionalFormatting>
  <conditionalFormatting sqref="N30">
    <cfRule type="cellIs" dxfId="25144" priority="16837" operator="equal">
      <formula>"OFF"</formula>
    </cfRule>
    <cfRule type="cellIs" dxfId="25143" priority="16838" operator="equal">
      <formula>"PTO"</formula>
    </cfRule>
  </conditionalFormatting>
  <conditionalFormatting sqref="N30">
    <cfRule type="cellIs" dxfId="25142" priority="16835" operator="equal">
      <formula>"OFF"</formula>
    </cfRule>
    <cfRule type="cellIs" dxfId="25141" priority="16836" operator="equal">
      <formula>"PTO"</formula>
    </cfRule>
  </conditionalFormatting>
  <conditionalFormatting sqref="N30">
    <cfRule type="cellIs" dxfId="25140" priority="16833" operator="equal">
      <formula>"OFF"</formula>
    </cfRule>
    <cfRule type="cellIs" dxfId="25139" priority="16834" operator="equal">
      <formula>"PTO"</formula>
    </cfRule>
  </conditionalFormatting>
  <conditionalFormatting sqref="N30">
    <cfRule type="cellIs" dxfId="25138" priority="16831" operator="equal">
      <formula>"OFF"</formula>
    </cfRule>
    <cfRule type="cellIs" dxfId="25137" priority="16832" operator="equal">
      <formula>"PTO"</formula>
    </cfRule>
  </conditionalFormatting>
  <conditionalFormatting sqref="N30">
    <cfRule type="cellIs" dxfId="25136" priority="16829" operator="equal">
      <formula>"OFF"</formula>
    </cfRule>
    <cfRule type="cellIs" dxfId="25135" priority="16830" operator="equal">
      <formula>"PTO"</formula>
    </cfRule>
  </conditionalFormatting>
  <conditionalFormatting sqref="N30">
    <cfRule type="cellIs" dxfId="25134" priority="16827" operator="equal">
      <formula>"OFF"</formula>
    </cfRule>
    <cfRule type="cellIs" dxfId="25133" priority="16828" operator="equal">
      <formula>"PTO"</formula>
    </cfRule>
  </conditionalFormatting>
  <conditionalFormatting sqref="N30">
    <cfRule type="cellIs" dxfId="25132" priority="16825" operator="equal">
      <formula>"OFF"</formula>
    </cfRule>
    <cfRule type="cellIs" dxfId="25131" priority="16826" operator="equal">
      <formula>"PTO"</formula>
    </cfRule>
  </conditionalFormatting>
  <conditionalFormatting sqref="N30">
    <cfRule type="cellIs" dxfId="25130" priority="16823" operator="equal">
      <formula>"OFF"</formula>
    </cfRule>
    <cfRule type="cellIs" dxfId="25129" priority="16824" operator="equal">
      <formula>"PTO"</formula>
    </cfRule>
  </conditionalFormatting>
  <conditionalFormatting sqref="N30">
    <cfRule type="cellIs" dxfId="25128" priority="16821" operator="equal">
      <formula>"OFF"</formula>
    </cfRule>
    <cfRule type="cellIs" dxfId="25127" priority="16822" operator="equal">
      <formula>"PTO"</formula>
    </cfRule>
  </conditionalFormatting>
  <conditionalFormatting sqref="N30">
    <cfRule type="cellIs" dxfId="25126" priority="16819" operator="equal">
      <formula>"OFF"</formula>
    </cfRule>
    <cfRule type="cellIs" dxfId="25125" priority="16820" operator="equal">
      <formula>"PTO"</formula>
    </cfRule>
  </conditionalFormatting>
  <conditionalFormatting sqref="N30">
    <cfRule type="cellIs" dxfId="25124" priority="16817" operator="equal">
      <formula>"OFF"</formula>
    </cfRule>
    <cfRule type="cellIs" dxfId="25123" priority="16818" operator="equal">
      <formula>"PTO"</formula>
    </cfRule>
  </conditionalFormatting>
  <conditionalFormatting sqref="N30">
    <cfRule type="cellIs" dxfId="25122" priority="16815" operator="equal">
      <formula>"OFF"</formula>
    </cfRule>
    <cfRule type="cellIs" dxfId="25121" priority="16816" operator="equal">
      <formula>"PTO"</formula>
    </cfRule>
  </conditionalFormatting>
  <conditionalFormatting sqref="N30">
    <cfRule type="cellIs" dxfId="25120" priority="16813" operator="equal">
      <formula>"OFF"</formula>
    </cfRule>
    <cfRule type="cellIs" dxfId="25119" priority="16814" operator="equal">
      <formula>"PTO"</formula>
    </cfRule>
  </conditionalFormatting>
  <conditionalFormatting sqref="N30">
    <cfRule type="cellIs" dxfId="25118" priority="16811" operator="equal">
      <formula>"OFF"</formula>
    </cfRule>
    <cfRule type="cellIs" dxfId="25117" priority="16812" operator="equal">
      <formula>"PTO"</formula>
    </cfRule>
  </conditionalFormatting>
  <conditionalFormatting sqref="N30">
    <cfRule type="cellIs" dxfId="25116" priority="16809" operator="equal">
      <formula>"OFF"</formula>
    </cfRule>
    <cfRule type="cellIs" dxfId="25115" priority="16810" operator="equal">
      <formula>"PTO"</formula>
    </cfRule>
  </conditionalFormatting>
  <conditionalFormatting sqref="N30">
    <cfRule type="cellIs" dxfId="25114" priority="16807" operator="equal">
      <formula>"OFF"</formula>
    </cfRule>
    <cfRule type="cellIs" dxfId="25113" priority="16808" operator="equal">
      <formula>"PTO"</formula>
    </cfRule>
  </conditionalFormatting>
  <conditionalFormatting sqref="N30">
    <cfRule type="cellIs" dxfId="25112" priority="16805" operator="equal">
      <formula>"OFF"</formula>
    </cfRule>
    <cfRule type="cellIs" dxfId="25111" priority="16806" operator="equal">
      <formula>"PTO"</formula>
    </cfRule>
  </conditionalFormatting>
  <conditionalFormatting sqref="N30">
    <cfRule type="cellIs" dxfId="25110" priority="16803" operator="equal">
      <formula>"OFF"</formula>
    </cfRule>
    <cfRule type="cellIs" dxfId="25109" priority="16804" operator="equal">
      <formula>"PTO"</formula>
    </cfRule>
  </conditionalFormatting>
  <conditionalFormatting sqref="N30">
    <cfRule type="cellIs" dxfId="25108" priority="16801" operator="equal">
      <formula>"OFF"</formula>
    </cfRule>
    <cfRule type="cellIs" dxfId="25107" priority="16802" operator="equal">
      <formula>"PTO"</formula>
    </cfRule>
  </conditionalFormatting>
  <conditionalFormatting sqref="N30">
    <cfRule type="cellIs" dxfId="25106" priority="16799" operator="equal">
      <formula>"OFF"</formula>
    </cfRule>
    <cfRule type="cellIs" dxfId="25105" priority="16800" operator="equal">
      <formula>"PTO"</formula>
    </cfRule>
  </conditionalFormatting>
  <conditionalFormatting sqref="N30">
    <cfRule type="cellIs" dxfId="25104" priority="16797" operator="equal">
      <formula>"OFF"</formula>
    </cfRule>
    <cfRule type="cellIs" dxfId="25103" priority="16798" operator="equal">
      <formula>"PTO"</formula>
    </cfRule>
  </conditionalFormatting>
  <conditionalFormatting sqref="N30">
    <cfRule type="cellIs" dxfId="25102" priority="16795" operator="equal">
      <formula>"OFF"</formula>
    </cfRule>
    <cfRule type="cellIs" dxfId="25101" priority="16796" operator="equal">
      <formula>"PTO"</formula>
    </cfRule>
  </conditionalFormatting>
  <conditionalFormatting sqref="N30">
    <cfRule type="cellIs" dxfId="25100" priority="16793" operator="equal">
      <formula>"OFF"</formula>
    </cfRule>
    <cfRule type="cellIs" dxfId="25099" priority="16794" operator="equal">
      <formula>"PTO"</formula>
    </cfRule>
  </conditionalFormatting>
  <conditionalFormatting sqref="N30">
    <cfRule type="cellIs" dxfId="25098" priority="16791" operator="equal">
      <formula>"OFF"</formula>
    </cfRule>
    <cfRule type="cellIs" dxfId="25097" priority="16792" operator="equal">
      <formula>"PTO"</formula>
    </cfRule>
  </conditionalFormatting>
  <conditionalFormatting sqref="N30">
    <cfRule type="cellIs" dxfId="25096" priority="16789" operator="equal">
      <formula>"OFF"</formula>
    </cfRule>
    <cfRule type="cellIs" dxfId="25095" priority="16790" operator="equal">
      <formula>"PTO"</formula>
    </cfRule>
  </conditionalFormatting>
  <conditionalFormatting sqref="N30">
    <cfRule type="cellIs" dxfId="25094" priority="16787" operator="equal">
      <formula>"OFF"</formula>
    </cfRule>
    <cfRule type="cellIs" dxfId="25093" priority="16788" operator="equal">
      <formula>"PTO"</formula>
    </cfRule>
  </conditionalFormatting>
  <conditionalFormatting sqref="N30">
    <cfRule type="cellIs" dxfId="25092" priority="16785" operator="equal">
      <formula>"OFF"</formula>
    </cfRule>
    <cfRule type="cellIs" dxfId="25091" priority="16786" operator="equal">
      <formula>"PTO"</formula>
    </cfRule>
  </conditionalFormatting>
  <conditionalFormatting sqref="N30">
    <cfRule type="cellIs" dxfId="25090" priority="16783" operator="equal">
      <formula>"OFF"</formula>
    </cfRule>
    <cfRule type="cellIs" dxfId="25089" priority="16784" operator="equal">
      <formula>"PTO"</formula>
    </cfRule>
  </conditionalFormatting>
  <conditionalFormatting sqref="N30">
    <cfRule type="cellIs" dxfId="25088" priority="16781" operator="equal">
      <formula>"OFF"</formula>
    </cfRule>
    <cfRule type="cellIs" dxfId="25087" priority="16782" operator="equal">
      <formula>"PTO"</formula>
    </cfRule>
  </conditionalFormatting>
  <conditionalFormatting sqref="N30">
    <cfRule type="cellIs" dxfId="25086" priority="16779" operator="equal">
      <formula>"OFF"</formula>
    </cfRule>
    <cfRule type="cellIs" dxfId="25085" priority="16780" operator="equal">
      <formula>"PTO"</formula>
    </cfRule>
  </conditionalFormatting>
  <conditionalFormatting sqref="N30">
    <cfRule type="cellIs" dxfId="25084" priority="16777" operator="equal">
      <formula>"OFF"</formula>
    </cfRule>
    <cfRule type="cellIs" dxfId="25083" priority="16778" operator="equal">
      <formula>"PTO"</formula>
    </cfRule>
  </conditionalFormatting>
  <conditionalFormatting sqref="N30">
    <cfRule type="cellIs" dxfId="25082" priority="16775" operator="equal">
      <formula>"OFF"</formula>
    </cfRule>
    <cfRule type="cellIs" dxfId="25081" priority="16776" operator="equal">
      <formula>"PTO"</formula>
    </cfRule>
  </conditionalFormatting>
  <conditionalFormatting sqref="N30">
    <cfRule type="cellIs" dxfId="25080" priority="16773" operator="equal">
      <formula>"OFF"</formula>
    </cfRule>
    <cfRule type="cellIs" dxfId="25079" priority="16774" operator="equal">
      <formula>"PTO"</formula>
    </cfRule>
  </conditionalFormatting>
  <conditionalFormatting sqref="N30">
    <cfRule type="cellIs" dxfId="25078" priority="16771" operator="equal">
      <formula>"OFF"</formula>
    </cfRule>
    <cfRule type="cellIs" dxfId="25077" priority="16772" operator="equal">
      <formula>"PTO"</formula>
    </cfRule>
  </conditionalFormatting>
  <conditionalFormatting sqref="N30">
    <cfRule type="cellIs" dxfId="25076" priority="16769" operator="equal">
      <formula>"OFF"</formula>
    </cfRule>
    <cfRule type="cellIs" dxfId="25075" priority="16770" operator="equal">
      <formula>"PTO"</formula>
    </cfRule>
  </conditionalFormatting>
  <conditionalFormatting sqref="N30">
    <cfRule type="cellIs" dxfId="25074" priority="16767" operator="equal">
      <formula>"OFF"</formula>
    </cfRule>
    <cfRule type="cellIs" dxfId="25073" priority="16768" operator="equal">
      <formula>"PTO"</formula>
    </cfRule>
  </conditionalFormatting>
  <conditionalFormatting sqref="N30">
    <cfRule type="cellIs" dxfId="25072" priority="16765" operator="equal">
      <formula>"OFF"</formula>
    </cfRule>
    <cfRule type="cellIs" dxfId="25071" priority="16766" operator="equal">
      <formula>"PTO"</formula>
    </cfRule>
  </conditionalFormatting>
  <conditionalFormatting sqref="N30">
    <cfRule type="cellIs" dxfId="25070" priority="16763" operator="equal">
      <formula>"OFF"</formula>
    </cfRule>
    <cfRule type="cellIs" dxfId="25069" priority="16764" operator="equal">
      <formula>"PTO"</formula>
    </cfRule>
  </conditionalFormatting>
  <conditionalFormatting sqref="N30">
    <cfRule type="cellIs" dxfId="25068" priority="16761" operator="equal">
      <formula>"OFF"</formula>
    </cfRule>
    <cfRule type="cellIs" dxfId="25067" priority="16762" operator="equal">
      <formula>"PTO"</formula>
    </cfRule>
  </conditionalFormatting>
  <conditionalFormatting sqref="N30">
    <cfRule type="cellIs" dxfId="25066" priority="16759" operator="equal">
      <formula>"OFF"</formula>
    </cfRule>
    <cfRule type="cellIs" dxfId="25065" priority="16760" operator="equal">
      <formula>"PTO"</formula>
    </cfRule>
  </conditionalFormatting>
  <conditionalFormatting sqref="N30">
    <cfRule type="cellIs" dxfId="25064" priority="16757" operator="equal">
      <formula>"OFF"</formula>
    </cfRule>
    <cfRule type="cellIs" dxfId="25063" priority="16758" operator="equal">
      <formula>"PTO"</formula>
    </cfRule>
  </conditionalFormatting>
  <conditionalFormatting sqref="N30">
    <cfRule type="cellIs" dxfId="25062" priority="16755" operator="equal">
      <formula>"OFF"</formula>
    </cfRule>
    <cfRule type="cellIs" dxfId="25061" priority="16756" operator="equal">
      <formula>"PTO"</formula>
    </cfRule>
  </conditionalFormatting>
  <conditionalFormatting sqref="N30">
    <cfRule type="cellIs" dxfId="25060" priority="16753" operator="equal">
      <formula>"OFF"</formula>
    </cfRule>
    <cfRule type="cellIs" dxfId="25059" priority="16754" operator="equal">
      <formula>"PTO"</formula>
    </cfRule>
  </conditionalFormatting>
  <conditionalFormatting sqref="N30">
    <cfRule type="cellIs" dxfId="25058" priority="16751" operator="equal">
      <formula>"OFF"</formula>
    </cfRule>
    <cfRule type="cellIs" dxfId="25057" priority="16752" operator="equal">
      <formula>"PTO"</formula>
    </cfRule>
  </conditionalFormatting>
  <conditionalFormatting sqref="N30">
    <cfRule type="cellIs" dxfId="25056" priority="16749" operator="equal">
      <formula>"OFF"</formula>
    </cfRule>
    <cfRule type="cellIs" dxfId="25055" priority="16750" operator="equal">
      <formula>"PTO"</formula>
    </cfRule>
  </conditionalFormatting>
  <conditionalFormatting sqref="N30">
    <cfRule type="cellIs" dxfId="25054" priority="16747" operator="equal">
      <formula>"OFF"</formula>
    </cfRule>
    <cfRule type="cellIs" dxfId="25053" priority="16748" operator="equal">
      <formula>"PTO"</formula>
    </cfRule>
  </conditionalFormatting>
  <conditionalFormatting sqref="N30">
    <cfRule type="cellIs" dxfId="25052" priority="16745" operator="equal">
      <formula>"OFF"</formula>
    </cfRule>
    <cfRule type="cellIs" dxfId="25051" priority="16746" operator="equal">
      <formula>"PTO"</formula>
    </cfRule>
  </conditionalFormatting>
  <conditionalFormatting sqref="N30">
    <cfRule type="cellIs" dxfId="25050" priority="16743" operator="equal">
      <formula>"OFF"</formula>
    </cfRule>
    <cfRule type="cellIs" dxfId="25049" priority="16744" operator="equal">
      <formula>"PTO"</formula>
    </cfRule>
  </conditionalFormatting>
  <conditionalFormatting sqref="N30">
    <cfRule type="cellIs" dxfId="25048" priority="16741" operator="equal">
      <formula>"OFF"</formula>
    </cfRule>
    <cfRule type="cellIs" dxfId="25047" priority="16742" operator="equal">
      <formula>"PTO"</formula>
    </cfRule>
  </conditionalFormatting>
  <conditionalFormatting sqref="N30">
    <cfRule type="cellIs" dxfId="25046" priority="16739" operator="equal">
      <formula>"OFF"</formula>
    </cfRule>
    <cfRule type="cellIs" dxfId="25045" priority="16740" operator="equal">
      <formula>"PTO"</formula>
    </cfRule>
  </conditionalFormatting>
  <conditionalFormatting sqref="N26">
    <cfRule type="cellIs" dxfId="25044" priority="16737" operator="equal">
      <formula>"OFF"</formula>
    </cfRule>
    <cfRule type="cellIs" dxfId="25043" priority="16738" operator="equal">
      <formula>"PTO"</formula>
    </cfRule>
  </conditionalFormatting>
  <conditionalFormatting sqref="N26">
    <cfRule type="cellIs" dxfId="25042" priority="16735" operator="equal">
      <formula>"OFF"</formula>
    </cfRule>
    <cfRule type="cellIs" dxfId="25041" priority="16736" operator="equal">
      <formula>"PTO"</formula>
    </cfRule>
  </conditionalFormatting>
  <conditionalFormatting sqref="N26">
    <cfRule type="cellIs" dxfId="25040" priority="16733" operator="equal">
      <formula>"OFF"</formula>
    </cfRule>
    <cfRule type="cellIs" dxfId="25039" priority="16734" operator="equal">
      <formula>"PTO"</formula>
    </cfRule>
  </conditionalFormatting>
  <conditionalFormatting sqref="N26">
    <cfRule type="cellIs" dxfId="25038" priority="16731" operator="equal">
      <formula>"OFF"</formula>
    </cfRule>
    <cfRule type="cellIs" dxfId="25037" priority="16732" operator="equal">
      <formula>"PTO"</formula>
    </cfRule>
  </conditionalFormatting>
  <conditionalFormatting sqref="N26">
    <cfRule type="cellIs" dxfId="25036" priority="16729" operator="equal">
      <formula>"OFF"</formula>
    </cfRule>
    <cfRule type="cellIs" dxfId="25035" priority="16730" operator="equal">
      <formula>"PTO"</formula>
    </cfRule>
  </conditionalFormatting>
  <conditionalFormatting sqref="N26">
    <cfRule type="cellIs" dxfId="25034" priority="16727" operator="equal">
      <formula>"OFF"</formula>
    </cfRule>
    <cfRule type="cellIs" dxfId="25033" priority="16728" operator="equal">
      <formula>"PTO"</formula>
    </cfRule>
  </conditionalFormatting>
  <conditionalFormatting sqref="N26">
    <cfRule type="cellIs" dxfId="25032" priority="16725" operator="equal">
      <formula>"OFF"</formula>
    </cfRule>
    <cfRule type="cellIs" dxfId="25031" priority="16726" operator="equal">
      <formula>"PTO"</formula>
    </cfRule>
  </conditionalFormatting>
  <conditionalFormatting sqref="N26">
    <cfRule type="cellIs" dxfId="25030" priority="16723" operator="equal">
      <formula>"OFF"</formula>
    </cfRule>
    <cfRule type="cellIs" dxfId="25029" priority="16724" operator="equal">
      <formula>"PTO"</formula>
    </cfRule>
  </conditionalFormatting>
  <conditionalFormatting sqref="N27">
    <cfRule type="cellIs" dxfId="25028" priority="16721" operator="equal">
      <formula>"OFF"</formula>
    </cfRule>
    <cfRule type="cellIs" dxfId="25027" priority="16722" operator="equal">
      <formula>"PTO"</formula>
    </cfRule>
  </conditionalFormatting>
  <conditionalFormatting sqref="N27">
    <cfRule type="cellIs" dxfId="25026" priority="16719" operator="equal">
      <formula>"OFF"</formula>
    </cfRule>
    <cfRule type="cellIs" dxfId="25025" priority="16720" operator="equal">
      <formula>"PTO"</formula>
    </cfRule>
  </conditionalFormatting>
  <conditionalFormatting sqref="N27">
    <cfRule type="cellIs" dxfId="25024" priority="16717" operator="equal">
      <formula>"OFF"</formula>
    </cfRule>
    <cfRule type="cellIs" dxfId="25023" priority="16718" operator="equal">
      <formula>"PTO"</formula>
    </cfRule>
  </conditionalFormatting>
  <conditionalFormatting sqref="N27">
    <cfRule type="cellIs" dxfId="25022" priority="16715" operator="equal">
      <formula>"OFF"</formula>
    </cfRule>
    <cfRule type="cellIs" dxfId="25021" priority="16716" operator="equal">
      <formula>"PTO"</formula>
    </cfRule>
  </conditionalFormatting>
  <conditionalFormatting sqref="N27">
    <cfRule type="cellIs" dxfId="25020" priority="16713" operator="equal">
      <formula>"OFF"</formula>
    </cfRule>
    <cfRule type="cellIs" dxfId="25019" priority="16714" operator="equal">
      <formula>"PTO"</formula>
    </cfRule>
  </conditionalFormatting>
  <conditionalFormatting sqref="N27">
    <cfRule type="cellIs" dxfId="25018" priority="16711" operator="equal">
      <formula>"OFF"</formula>
    </cfRule>
    <cfRule type="cellIs" dxfId="25017" priority="16712" operator="equal">
      <formula>"PTO"</formula>
    </cfRule>
  </conditionalFormatting>
  <conditionalFormatting sqref="N27">
    <cfRule type="cellIs" dxfId="25016" priority="16709" operator="equal">
      <formula>"OFF"</formula>
    </cfRule>
    <cfRule type="cellIs" dxfId="25015" priority="16710" operator="equal">
      <formula>"PTO"</formula>
    </cfRule>
  </conditionalFormatting>
  <conditionalFormatting sqref="N27">
    <cfRule type="cellIs" dxfId="25014" priority="16707" operator="equal">
      <formula>"OFF"</formula>
    </cfRule>
    <cfRule type="cellIs" dxfId="25013" priority="16708" operator="equal">
      <formula>"PTO"</formula>
    </cfRule>
  </conditionalFormatting>
  <conditionalFormatting sqref="N26">
    <cfRule type="cellIs" dxfId="25012" priority="16705" operator="equal">
      <formula>"OFF"</formula>
    </cfRule>
    <cfRule type="cellIs" dxfId="25011" priority="16706" operator="equal">
      <formula>"PTO"</formula>
    </cfRule>
  </conditionalFormatting>
  <conditionalFormatting sqref="N26">
    <cfRule type="cellIs" dxfId="25010" priority="16703" operator="equal">
      <formula>"OFF"</formula>
    </cfRule>
    <cfRule type="cellIs" dxfId="25009" priority="16704" operator="equal">
      <formula>"PTO"</formula>
    </cfRule>
  </conditionalFormatting>
  <conditionalFormatting sqref="N26">
    <cfRule type="cellIs" dxfId="25008" priority="16701" operator="equal">
      <formula>"OFF"</formula>
    </cfRule>
    <cfRule type="cellIs" dxfId="25007" priority="16702" operator="equal">
      <formula>"PTO"</formula>
    </cfRule>
  </conditionalFormatting>
  <conditionalFormatting sqref="N26">
    <cfRule type="cellIs" dxfId="25006" priority="16699" operator="equal">
      <formula>"OFF"</formula>
    </cfRule>
    <cfRule type="cellIs" dxfId="25005" priority="16700" operator="equal">
      <formula>"PTO"</formula>
    </cfRule>
  </conditionalFormatting>
  <conditionalFormatting sqref="N26">
    <cfRule type="cellIs" dxfId="25004" priority="16697" operator="equal">
      <formula>"OFF"</formula>
    </cfRule>
    <cfRule type="cellIs" dxfId="25003" priority="16698" operator="equal">
      <formula>"PTO"</formula>
    </cfRule>
  </conditionalFormatting>
  <conditionalFormatting sqref="N26">
    <cfRule type="cellIs" dxfId="25002" priority="16695" operator="equal">
      <formula>"OFF"</formula>
    </cfRule>
    <cfRule type="cellIs" dxfId="25001" priority="16696" operator="equal">
      <formula>"PTO"</formula>
    </cfRule>
  </conditionalFormatting>
  <conditionalFormatting sqref="N26">
    <cfRule type="cellIs" dxfId="25000" priority="16693" operator="equal">
      <formula>"OFF"</formula>
    </cfRule>
    <cfRule type="cellIs" dxfId="24999" priority="16694" operator="equal">
      <formula>"PTO"</formula>
    </cfRule>
  </conditionalFormatting>
  <conditionalFormatting sqref="N26">
    <cfRule type="cellIs" dxfId="24998" priority="16691" operator="equal">
      <formula>"OFF"</formula>
    </cfRule>
    <cfRule type="cellIs" dxfId="24997" priority="16692" operator="equal">
      <formula>"PTO"</formula>
    </cfRule>
  </conditionalFormatting>
  <conditionalFormatting sqref="N27">
    <cfRule type="cellIs" dxfId="24996" priority="16689" operator="equal">
      <formula>"OFF"</formula>
    </cfRule>
    <cfRule type="cellIs" dxfId="24995" priority="16690" operator="equal">
      <formula>"PTO"</formula>
    </cfRule>
  </conditionalFormatting>
  <conditionalFormatting sqref="N27">
    <cfRule type="cellIs" dxfId="24994" priority="16687" operator="equal">
      <formula>"OFF"</formula>
    </cfRule>
    <cfRule type="cellIs" dxfId="24993" priority="16688" operator="equal">
      <formula>"PTO"</formula>
    </cfRule>
  </conditionalFormatting>
  <conditionalFormatting sqref="N27">
    <cfRule type="cellIs" dxfId="24992" priority="16685" operator="equal">
      <formula>"OFF"</formula>
    </cfRule>
    <cfRule type="cellIs" dxfId="24991" priority="16686" operator="equal">
      <formula>"PTO"</formula>
    </cfRule>
  </conditionalFormatting>
  <conditionalFormatting sqref="N27">
    <cfRule type="cellIs" dxfId="24990" priority="16683" operator="equal">
      <formula>"OFF"</formula>
    </cfRule>
    <cfRule type="cellIs" dxfId="24989" priority="16684" operator="equal">
      <formula>"PTO"</formula>
    </cfRule>
  </conditionalFormatting>
  <conditionalFormatting sqref="N27">
    <cfRule type="cellIs" dxfId="24988" priority="16681" operator="equal">
      <formula>"OFF"</formula>
    </cfRule>
    <cfRule type="cellIs" dxfId="24987" priority="16682" operator="equal">
      <formula>"PTO"</formula>
    </cfRule>
  </conditionalFormatting>
  <conditionalFormatting sqref="N27">
    <cfRule type="cellIs" dxfId="24986" priority="16679" operator="equal">
      <formula>"OFF"</formula>
    </cfRule>
    <cfRule type="cellIs" dxfId="24985" priority="16680" operator="equal">
      <formula>"PTO"</formula>
    </cfRule>
  </conditionalFormatting>
  <conditionalFormatting sqref="N27">
    <cfRule type="cellIs" dxfId="24984" priority="16677" operator="equal">
      <formula>"OFF"</formula>
    </cfRule>
    <cfRule type="cellIs" dxfId="24983" priority="16678" operator="equal">
      <formula>"PTO"</formula>
    </cfRule>
  </conditionalFormatting>
  <conditionalFormatting sqref="N27">
    <cfRule type="cellIs" dxfId="24982" priority="16675" operator="equal">
      <formula>"OFF"</formula>
    </cfRule>
    <cfRule type="cellIs" dxfId="24981" priority="16676" operator="equal">
      <formula>"PTO"</formula>
    </cfRule>
  </conditionalFormatting>
  <conditionalFormatting sqref="N26">
    <cfRule type="cellIs" dxfId="24980" priority="16673" operator="equal">
      <formula>"OFF"</formula>
    </cfRule>
    <cfRule type="cellIs" dxfId="24979" priority="16674" operator="equal">
      <formula>"PTO"</formula>
    </cfRule>
  </conditionalFormatting>
  <conditionalFormatting sqref="N26">
    <cfRule type="cellIs" dxfId="24978" priority="16671" operator="equal">
      <formula>"OFF"</formula>
    </cfRule>
    <cfRule type="cellIs" dxfId="24977" priority="16672" operator="equal">
      <formula>"PTO"</formula>
    </cfRule>
  </conditionalFormatting>
  <conditionalFormatting sqref="N26">
    <cfRule type="cellIs" dxfId="24976" priority="16669" operator="equal">
      <formula>"OFF"</formula>
    </cfRule>
    <cfRule type="cellIs" dxfId="24975" priority="16670" operator="equal">
      <formula>"PTO"</formula>
    </cfRule>
  </conditionalFormatting>
  <conditionalFormatting sqref="N26">
    <cfRule type="cellIs" dxfId="24974" priority="16667" operator="equal">
      <formula>"OFF"</formula>
    </cfRule>
    <cfRule type="cellIs" dxfId="24973" priority="16668" operator="equal">
      <formula>"PTO"</formula>
    </cfRule>
  </conditionalFormatting>
  <conditionalFormatting sqref="N26">
    <cfRule type="cellIs" dxfId="24972" priority="16665" operator="equal">
      <formula>"OFF"</formula>
    </cfRule>
    <cfRule type="cellIs" dxfId="24971" priority="16666" operator="equal">
      <formula>"PTO"</formula>
    </cfRule>
  </conditionalFormatting>
  <conditionalFormatting sqref="N26">
    <cfRule type="cellIs" dxfId="24970" priority="16663" operator="equal">
      <formula>"OFF"</formula>
    </cfRule>
    <cfRule type="cellIs" dxfId="24969" priority="16664" operator="equal">
      <formula>"PTO"</formula>
    </cfRule>
  </conditionalFormatting>
  <conditionalFormatting sqref="N26">
    <cfRule type="cellIs" dxfId="24968" priority="16661" operator="equal">
      <formula>"OFF"</formula>
    </cfRule>
    <cfRule type="cellIs" dxfId="24967" priority="16662" operator="equal">
      <formula>"PTO"</formula>
    </cfRule>
  </conditionalFormatting>
  <conditionalFormatting sqref="N26">
    <cfRule type="cellIs" dxfId="24966" priority="16659" operator="equal">
      <formula>"OFF"</formula>
    </cfRule>
    <cfRule type="cellIs" dxfId="24965" priority="16660" operator="equal">
      <formula>"PTO"</formula>
    </cfRule>
  </conditionalFormatting>
  <conditionalFormatting sqref="N27">
    <cfRule type="cellIs" dxfId="24964" priority="16657" operator="equal">
      <formula>"OFF"</formula>
    </cfRule>
    <cfRule type="cellIs" dxfId="24963" priority="16658" operator="equal">
      <formula>"PTO"</formula>
    </cfRule>
  </conditionalFormatting>
  <conditionalFormatting sqref="N27">
    <cfRule type="cellIs" dxfId="24962" priority="16655" operator="equal">
      <formula>"OFF"</formula>
    </cfRule>
    <cfRule type="cellIs" dxfId="24961" priority="16656" operator="equal">
      <formula>"PTO"</formula>
    </cfRule>
  </conditionalFormatting>
  <conditionalFormatting sqref="N27">
    <cfRule type="cellIs" dxfId="24960" priority="16653" operator="equal">
      <formula>"OFF"</formula>
    </cfRule>
    <cfRule type="cellIs" dxfId="24959" priority="16654" operator="equal">
      <formula>"PTO"</formula>
    </cfRule>
  </conditionalFormatting>
  <conditionalFormatting sqref="N27">
    <cfRule type="cellIs" dxfId="24958" priority="16651" operator="equal">
      <formula>"OFF"</formula>
    </cfRule>
    <cfRule type="cellIs" dxfId="24957" priority="16652" operator="equal">
      <formula>"PTO"</formula>
    </cfRule>
  </conditionalFormatting>
  <conditionalFormatting sqref="N27">
    <cfRule type="cellIs" dxfId="24956" priority="16649" operator="equal">
      <formula>"OFF"</formula>
    </cfRule>
    <cfRule type="cellIs" dxfId="24955" priority="16650" operator="equal">
      <formula>"PTO"</formula>
    </cfRule>
  </conditionalFormatting>
  <conditionalFormatting sqref="N27">
    <cfRule type="cellIs" dxfId="24954" priority="16647" operator="equal">
      <formula>"OFF"</formula>
    </cfRule>
    <cfRule type="cellIs" dxfId="24953" priority="16648" operator="equal">
      <formula>"PTO"</formula>
    </cfRule>
  </conditionalFormatting>
  <conditionalFormatting sqref="N27">
    <cfRule type="cellIs" dxfId="24952" priority="16645" operator="equal">
      <formula>"OFF"</formula>
    </cfRule>
    <cfRule type="cellIs" dxfId="24951" priority="16646" operator="equal">
      <formula>"PTO"</formula>
    </cfRule>
  </conditionalFormatting>
  <conditionalFormatting sqref="N27">
    <cfRule type="cellIs" dxfId="24950" priority="16643" operator="equal">
      <formula>"OFF"</formula>
    </cfRule>
    <cfRule type="cellIs" dxfId="24949" priority="16644" operator="equal">
      <formula>"PTO"</formula>
    </cfRule>
  </conditionalFormatting>
  <conditionalFormatting sqref="N26">
    <cfRule type="cellIs" dxfId="24948" priority="16641" operator="equal">
      <formula>"OFF"</formula>
    </cfRule>
    <cfRule type="cellIs" dxfId="24947" priority="16642" operator="equal">
      <formula>"PTO"</formula>
    </cfRule>
  </conditionalFormatting>
  <conditionalFormatting sqref="N26">
    <cfRule type="cellIs" dxfId="24946" priority="16639" operator="equal">
      <formula>"OFF"</formula>
    </cfRule>
    <cfRule type="cellIs" dxfId="24945" priority="16640" operator="equal">
      <formula>"PTO"</formula>
    </cfRule>
  </conditionalFormatting>
  <conditionalFormatting sqref="N26">
    <cfRule type="cellIs" dxfId="24944" priority="16637" operator="equal">
      <formula>"OFF"</formula>
    </cfRule>
    <cfRule type="cellIs" dxfId="24943" priority="16638" operator="equal">
      <formula>"PTO"</formula>
    </cfRule>
  </conditionalFormatting>
  <conditionalFormatting sqref="N26">
    <cfRule type="cellIs" dxfId="24942" priority="16635" operator="equal">
      <formula>"OFF"</formula>
    </cfRule>
    <cfRule type="cellIs" dxfId="24941" priority="16636" operator="equal">
      <formula>"PTO"</formula>
    </cfRule>
  </conditionalFormatting>
  <conditionalFormatting sqref="N26">
    <cfRule type="cellIs" dxfId="24940" priority="16633" operator="equal">
      <formula>"OFF"</formula>
    </cfRule>
    <cfRule type="cellIs" dxfId="24939" priority="16634" operator="equal">
      <formula>"PTO"</formula>
    </cfRule>
  </conditionalFormatting>
  <conditionalFormatting sqref="N26">
    <cfRule type="cellIs" dxfId="24938" priority="16631" operator="equal">
      <formula>"OFF"</formula>
    </cfRule>
    <cfRule type="cellIs" dxfId="24937" priority="16632" operator="equal">
      <formula>"PTO"</formula>
    </cfRule>
  </conditionalFormatting>
  <conditionalFormatting sqref="N26">
    <cfRule type="cellIs" dxfId="24936" priority="16629" operator="equal">
      <formula>"OFF"</formula>
    </cfRule>
    <cfRule type="cellIs" dxfId="24935" priority="16630" operator="equal">
      <formula>"PTO"</formula>
    </cfRule>
  </conditionalFormatting>
  <conditionalFormatting sqref="N26">
    <cfRule type="cellIs" dxfId="24934" priority="16627" operator="equal">
      <formula>"OFF"</formula>
    </cfRule>
    <cfRule type="cellIs" dxfId="24933" priority="16628" operator="equal">
      <formula>"PTO"</formula>
    </cfRule>
  </conditionalFormatting>
  <conditionalFormatting sqref="N27">
    <cfRule type="cellIs" dxfId="24932" priority="16625" operator="equal">
      <formula>"OFF"</formula>
    </cfRule>
    <cfRule type="cellIs" dxfId="24931" priority="16626" operator="equal">
      <formula>"PTO"</formula>
    </cfRule>
  </conditionalFormatting>
  <conditionalFormatting sqref="N27">
    <cfRule type="cellIs" dxfId="24930" priority="16623" operator="equal">
      <formula>"OFF"</formula>
    </cfRule>
    <cfRule type="cellIs" dxfId="24929" priority="16624" operator="equal">
      <formula>"PTO"</formula>
    </cfRule>
  </conditionalFormatting>
  <conditionalFormatting sqref="N27">
    <cfRule type="cellIs" dxfId="24928" priority="16621" operator="equal">
      <formula>"OFF"</formula>
    </cfRule>
    <cfRule type="cellIs" dxfId="24927" priority="16622" operator="equal">
      <formula>"PTO"</formula>
    </cfRule>
  </conditionalFormatting>
  <conditionalFormatting sqref="N27">
    <cfRule type="cellIs" dxfId="24926" priority="16619" operator="equal">
      <formula>"OFF"</formula>
    </cfRule>
    <cfRule type="cellIs" dxfId="24925" priority="16620" operator="equal">
      <formula>"PTO"</formula>
    </cfRule>
  </conditionalFormatting>
  <conditionalFormatting sqref="N27">
    <cfRule type="cellIs" dxfId="24924" priority="16617" operator="equal">
      <formula>"OFF"</formula>
    </cfRule>
    <cfRule type="cellIs" dxfId="24923" priority="16618" operator="equal">
      <formula>"PTO"</formula>
    </cfRule>
  </conditionalFormatting>
  <conditionalFormatting sqref="N27">
    <cfRule type="cellIs" dxfId="24922" priority="16615" operator="equal">
      <formula>"OFF"</formula>
    </cfRule>
    <cfRule type="cellIs" dxfId="24921" priority="16616" operator="equal">
      <formula>"PTO"</formula>
    </cfRule>
  </conditionalFormatting>
  <conditionalFormatting sqref="N27">
    <cfRule type="cellIs" dxfId="24920" priority="16613" operator="equal">
      <formula>"OFF"</formula>
    </cfRule>
    <cfRule type="cellIs" dxfId="24919" priority="16614" operator="equal">
      <formula>"PTO"</formula>
    </cfRule>
  </conditionalFormatting>
  <conditionalFormatting sqref="N27">
    <cfRule type="cellIs" dxfId="24918" priority="16611" operator="equal">
      <formula>"OFF"</formula>
    </cfRule>
    <cfRule type="cellIs" dxfId="24917" priority="16612" operator="equal">
      <formula>"PTO"</formula>
    </cfRule>
  </conditionalFormatting>
  <conditionalFormatting sqref="N26">
    <cfRule type="cellIs" dxfId="24916" priority="16609" operator="equal">
      <formula>"OFF"</formula>
    </cfRule>
    <cfRule type="cellIs" dxfId="24915" priority="16610" operator="equal">
      <formula>"PTO"</formula>
    </cfRule>
  </conditionalFormatting>
  <conditionalFormatting sqref="N26">
    <cfRule type="cellIs" dxfId="24914" priority="16607" operator="equal">
      <formula>"OFF"</formula>
    </cfRule>
    <cfRule type="cellIs" dxfId="24913" priority="16608" operator="equal">
      <formula>"PTO"</formula>
    </cfRule>
  </conditionalFormatting>
  <conditionalFormatting sqref="N26">
    <cfRule type="cellIs" dxfId="24912" priority="16605" operator="equal">
      <formula>"OFF"</formula>
    </cfRule>
    <cfRule type="cellIs" dxfId="24911" priority="16606" operator="equal">
      <formula>"PTO"</formula>
    </cfRule>
  </conditionalFormatting>
  <conditionalFormatting sqref="N26">
    <cfRule type="cellIs" dxfId="24910" priority="16603" operator="equal">
      <formula>"OFF"</formula>
    </cfRule>
    <cfRule type="cellIs" dxfId="24909" priority="16604" operator="equal">
      <formula>"PTO"</formula>
    </cfRule>
  </conditionalFormatting>
  <conditionalFormatting sqref="N26">
    <cfRule type="cellIs" dxfId="24908" priority="16601" operator="equal">
      <formula>"OFF"</formula>
    </cfRule>
    <cfRule type="cellIs" dxfId="24907" priority="16602" operator="equal">
      <formula>"PTO"</formula>
    </cfRule>
  </conditionalFormatting>
  <conditionalFormatting sqref="N26">
    <cfRule type="cellIs" dxfId="24906" priority="16599" operator="equal">
      <formula>"OFF"</formula>
    </cfRule>
    <cfRule type="cellIs" dxfId="24905" priority="16600" operator="equal">
      <formula>"PTO"</formula>
    </cfRule>
  </conditionalFormatting>
  <conditionalFormatting sqref="N26">
    <cfRule type="cellIs" dxfId="24904" priority="16597" operator="equal">
      <formula>"OFF"</formula>
    </cfRule>
    <cfRule type="cellIs" dxfId="24903" priority="16598" operator="equal">
      <formula>"PTO"</formula>
    </cfRule>
  </conditionalFormatting>
  <conditionalFormatting sqref="N26">
    <cfRule type="cellIs" dxfId="24902" priority="16595" operator="equal">
      <formula>"OFF"</formula>
    </cfRule>
    <cfRule type="cellIs" dxfId="24901" priority="16596" operator="equal">
      <formula>"PTO"</formula>
    </cfRule>
  </conditionalFormatting>
  <conditionalFormatting sqref="N27">
    <cfRule type="cellIs" dxfId="24900" priority="16593" operator="equal">
      <formula>"OFF"</formula>
    </cfRule>
    <cfRule type="cellIs" dxfId="24899" priority="16594" operator="equal">
      <formula>"PTO"</formula>
    </cfRule>
  </conditionalFormatting>
  <conditionalFormatting sqref="N27">
    <cfRule type="cellIs" dxfId="24898" priority="16591" operator="equal">
      <formula>"OFF"</formula>
    </cfRule>
    <cfRule type="cellIs" dxfId="24897" priority="16592" operator="equal">
      <formula>"PTO"</formula>
    </cfRule>
  </conditionalFormatting>
  <conditionalFormatting sqref="N27">
    <cfRule type="cellIs" dxfId="24896" priority="16589" operator="equal">
      <formula>"OFF"</formula>
    </cfRule>
    <cfRule type="cellIs" dxfId="24895" priority="16590" operator="equal">
      <formula>"PTO"</formula>
    </cfRule>
  </conditionalFormatting>
  <conditionalFormatting sqref="N27">
    <cfRule type="cellIs" dxfId="24894" priority="16587" operator="equal">
      <formula>"OFF"</formula>
    </cfRule>
    <cfRule type="cellIs" dxfId="24893" priority="16588" operator="equal">
      <formula>"PTO"</formula>
    </cfRule>
  </conditionalFormatting>
  <conditionalFormatting sqref="N27">
    <cfRule type="cellIs" dxfId="24892" priority="16585" operator="equal">
      <formula>"OFF"</formula>
    </cfRule>
    <cfRule type="cellIs" dxfId="24891" priority="16586" operator="equal">
      <formula>"PTO"</formula>
    </cfRule>
  </conditionalFormatting>
  <conditionalFormatting sqref="N27">
    <cfRule type="cellIs" dxfId="24890" priority="16583" operator="equal">
      <formula>"OFF"</formula>
    </cfRule>
    <cfRule type="cellIs" dxfId="24889" priority="16584" operator="equal">
      <formula>"PTO"</formula>
    </cfRule>
  </conditionalFormatting>
  <conditionalFormatting sqref="N27">
    <cfRule type="cellIs" dxfId="24888" priority="16581" operator="equal">
      <formula>"OFF"</formula>
    </cfRule>
    <cfRule type="cellIs" dxfId="24887" priority="16582" operator="equal">
      <formula>"PTO"</formula>
    </cfRule>
  </conditionalFormatting>
  <conditionalFormatting sqref="N27">
    <cfRule type="cellIs" dxfId="24886" priority="16579" operator="equal">
      <formula>"OFF"</formula>
    </cfRule>
    <cfRule type="cellIs" dxfId="24885" priority="16580" operator="equal">
      <formula>"PTO"</formula>
    </cfRule>
  </conditionalFormatting>
  <conditionalFormatting sqref="N26">
    <cfRule type="cellIs" dxfId="24884" priority="16577" operator="equal">
      <formula>"OFF"</formula>
    </cfRule>
    <cfRule type="cellIs" dxfId="24883" priority="16578" operator="equal">
      <formula>"PTO"</formula>
    </cfRule>
  </conditionalFormatting>
  <conditionalFormatting sqref="N26">
    <cfRule type="cellIs" dxfId="24882" priority="16575" operator="equal">
      <formula>"OFF"</formula>
    </cfRule>
    <cfRule type="cellIs" dxfId="24881" priority="16576" operator="equal">
      <formula>"PTO"</formula>
    </cfRule>
  </conditionalFormatting>
  <conditionalFormatting sqref="N26">
    <cfRule type="cellIs" dxfId="24880" priority="16573" operator="equal">
      <formula>"OFF"</formula>
    </cfRule>
    <cfRule type="cellIs" dxfId="24879" priority="16574" operator="equal">
      <formula>"PTO"</formula>
    </cfRule>
  </conditionalFormatting>
  <conditionalFormatting sqref="N26">
    <cfRule type="cellIs" dxfId="24878" priority="16571" operator="equal">
      <formula>"OFF"</formula>
    </cfRule>
    <cfRule type="cellIs" dxfId="24877" priority="16572" operator="equal">
      <formula>"PTO"</formula>
    </cfRule>
  </conditionalFormatting>
  <conditionalFormatting sqref="N26">
    <cfRule type="cellIs" dxfId="24876" priority="16569" operator="equal">
      <formula>"OFF"</formula>
    </cfRule>
    <cfRule type="cellIs" dxfId="24875" priority="16570" operator="equal">
      <formula>"PTO"</formula>
    </cfRule>
  </conditionalFormatting>
  <conditionalFormatting sqref="N26">
    <cfRule type="cellIs" dxfId="24874" priority="16567" operator="equal">
      <formula>"OFF"</formula>
    </cfRule>
    <cfRule type="cellIs" dxfId="24873" priority="16568" operator="equal">
      <formula>"PTO"</formula>
    </cfRule>
  </conditionalFormatting>
  <conditionalFormatting sqref="N26">
    <cfRule type="cellIs" dxfId="24872" priority="16565" operator="equal">
      <formula>"OFF"</formula>
    </cfRule>
    <cfRule type="cellIs" dxfId="24871" priority="16566" operator="equal">
      <formula>"PTO"</formula>
    </cfRule>
  </conditionalFormatting>
  <conditionalFormatting sqref="N26">
    <cfRule type="cellIs" dxfId="24870" priority="16563" operator="equal">
      <formula>"OFF"</formula>
    </cfRule>
    <cfRule type="cellIs" dxfId="24869" priority="16564" operator="equal">
      <formula>"PTO"</formula>
    </cfRule>
  </conditionalFormatting>
  <conditionalFormatting sqref="N27">
    <cfRule type="cellIs" dxfId="24868" priority="16561" operator="equal">
      <formula>"OFF"</formula>
    </cfRule>
    <cfRule type="cellIs" dxfId="24867" priority="16562" operator="equal">
      <formula>"PTO"</formula>
    </cfRule>
  </conditionalFormatting>
  <conditionalFormatting sqref="N27">
    <cfRule type="cellIs" dxfId="24866" priority="16559" operator="equal">
      <formula>"OFF"</formula>
    </cfRule>
    <cfRule type="cellIs" dxfId="24865" priority="16560" operator="equal">
      <formula>"PTO"</formula>
    </cfRule>
  </conditionalFormatting>
  <conditionalFormatting sqref="N27">
    <cfRule type="cellIs" dxfId="24864" priority="16557" operator="equal">
      <formula>"OFF"</formula>
    </cfRule>
    <cfRule type="cellIs" dxfId="24863" priority="16558" operator="equal">
      <formula>"PTO"</formula>
    </cfRule>
  </conditionalFormatting>
  <conditionalFormatting sqref="N27">
    <cfRule type="cellIs" dxfId="24862" priority="16555" operator="equal">
      <formula>"OFF"</formula>
    </cfRule>
    <cfRule type="cellIs" dxfId="24861" priority="16556" operator="equal">
      <formula>"PTO"</formula>
    </cfRule>
  </conditionalFormatting>
  <conditionalFormatting sqref="N27">
    <cfRule type="cellIs" dxfId="24860" priority="16553" operator="equal">
      <formula>"OFF"</formula>
    </cfRule>
    <cfRule type="cellIs" dxfId="24859" priority="16554" operator="equal">
      <formula>"PTO"</formula>
    </cfRule>
  </conditionalFormatting>
  <conditionalFormatting sqref="N27">
    <cfRule type="cellIs" dxfId="24858" priority="16551" operator="equal">
      <formula>"OFF"</formula>
    </cfRule>
    <cfRule type="cellIs" dxfId="24857" priority="16552" operator="equal">
      <formula>"PTO"</formula>
    </cfRule>
  </conditionalFormatting>
  <conditionalFormatting sqref="N27">
    <cfRule type="cellIs" dxfId="24856" priority="16549" operator="equal">
      <formula>"OFF"</formula>
    </cfRule>
    <cfRule type="cellIs" dxfId="24855" priority="16550" operator="equal">
      <formula>"PTO"</formula>
    </cfRule>
  </conditionalFormatting>
  <conditionalFormatting sqref="N27">
    <cfRule type="cellIs" dxfId="24854" priority="16547" operator="equal">
      <formula>"OFF"</formula>
    </cfRule>
    <cfRule type="cellIs" dxfId="24853" priority="16548" operator="equal">
      <formula>"PTO"</formula>
    </cfRule>
  </conditionalFormatting>
  <conditionalFormatting sqref="N26">
    <cfRule type="cellIs" dxfId="24852" priority="16545" operator="equal">
      <formula>"OFF"</formula>
    </cfRule>
    <cfRule type="cellIs" dxfId="24851" priority="16546" operator="equal">
      <formula>"PTO"</formula>
    </cfRule>
  </conditionalFormatting>
  <conditionalFormatting sqref="N26">
    <cfRule type="cellIs" dxfId="24850" priority="16543" operator="equal">
      <formula>"OFF"</formula>
    </cfRule>
    <cfRule type="cellIs" dxfId="24849" priority="16544" operator="equal">
      <formula>"PTO"</formula>
    </cfRule>
  </conditionalFormatting>
  <conditionalFormatting sqref="N26">
    <cfRule type="cellIs" dxfId="24848" priority="16541" operator="equal">
      <formula>"OFF"</formula>
    </cfRule>
    <cfRule type="cellIs" dxfId="24847" priority="16542" operator="equal">
      <formula>"PTO"</formula>
    </cfRule>
  </conditionalFormatting>
  <conditionalFormatting sqref="N26">
    <cfRule type="cellIs" dxfId="24846" priority="16539" operator="equal">
      <formula>"OFF"</formula>
    </cfRule>
    <cfRule type="cellIs" dxfId="24845" priority="16540" operator="equal">
      <formula>"PTO"</formula>
    </cfRule>
  </conditionalFormatting>
  <conditionalFormatting sqref="N26">
    <cfRule type="cellIs" dxfId="24844" priority="16537" operator="equal">
      <formula>"OFF"</formula>
    </cfRule>
    <cfRule type="cellIs" dxfId="24843" priority="16538" operator="equal">
      <formula>"PTO"</formula>
    </cfRule>
  </conditionalFormatting>
  <conditionalFormatting sqref="N26">
    <cfRule type="cellIs" dxfId="24842" priority="16535" operator="equal">
      <formula>"OFF"</formula>
    </cfRule>
    <cfRule type="cellIs" dxfId="24841" priority="16536" operator="equal">
      <formula>"PTO"</formula>
    </cfRule>
  </conditionalFormatting>
  <conditionalFormatting sqref="N26">
    <cfRule type="cellIs" dxfId="24840" priority="16533" operator="equal">
      <formula>"OFF"</formula>
    </cfRule>
    <cfRule type="cellIs" dxfId="24839" priority="16534" operator="equal">
      <formula>"PTO"</formula>
    </cfRule>
  </conditionalFormatting>
  <conditionalFormatting sqref="N26">
    <cfRule type="cellIs" dxfId="24838" priority="16531" operator="equal">
      <formula>"OFF"</formula>
    </cfRule>
    <cfRule type="cellIs" dxfId="24837" priority="16532" operator="equal">
      <formula>"PTO"</formula>
    </cfRule>
  </conditionalFormatting>
  <conditionalFormatting sqref="N27">
    <cfRule type="cellIs" dxfId="24836" priority="16529" operator="equal">
      <formula>"OFF"</formula>
    </cfRule>
    <cfRule type="cellIs" dxfId="24835" priority="16530" operator="equal">
      <formula>"PTO"</formula>
    </cfRule>
  </conditionalFormatting>
  <conditionalFormatting sqref="N27">
    <cfRule type="cellIs" dxfId="24834" priority="16527" operator="equal">
      <formula>"OFF"</formula>
    </cfRule>
    <cfRule type="cellIs" dxfId="24833" priority="16528" operator="equal">
      <formula>"PTO"</formula>
    </cfRule>
  </conditionalFormatting>
  <conditionalFormatting sqref="N27">
    <cfRule type="cellIs" dxfId="24832" priority="16525" operator="equal">
      <formula>"OFF"</formula>
    </cfRule>
    <cfRule type="cellIs" dxfId="24831" priority="16526" operator="equal">
      <formula>"PTO"</formula>
    </cfRule>
  </conditionalFormatting>
  <conditionalFormatting sqref="N27">
    <cfRule type="cellIs" dxfId="24830" priority="16523" operator="equal">
      <formula>"OFF"</formula>
    </cfRule>
    <cfRule type="cellIs" dxfId="24829" priority="16524" operator="equal">
      <formula>"PTO"</formula>
    </cfRule>
  </conditionalFormatting>
  <conditionalFormatting sqref="N27">
    <cfRule type="cellIs" dxfId="24828" priority="16521" operator="equal">
      <formula>"OFF"</formula>
    </cfRule>
    <cfRule type="cellIs" dxfId="24827" priority="16522" operator="equal">
      <formula>"PTO"</formula>
    </cfRule>
  </conditionalFormatting>
  <conditionalFormatting sqref="N27">
    <cfRule type="cellIs" dxfId="24826" priority="16519" operator="equal">
      <formula>"OFF"</formula>
    </cfRule>
    <cfRule type="cellIs" dxfId="24825" priority="16520" operator="equal">
      <formula>"PTO"</formula>
    </cfRule>
  </conditionalFormatting>
  <conditionalFormatting sqref="N27">
    <cfRule type="cellIs" dxfId="24824" priority="16517" operator="equal">
      <formula>"OFF"</formula>
    </cfRule>
    <cfRule type="cellIs" dxfId="24823" priority="16518" operator="equal">
      <formula>"PTO"</formula>
    </cfRule>
  </conditionalFormatting>
  <conditionalFormatting sqref="N27">
    <cfRule type="cellIs" dxfId="24822" priority="16515" operator="equal">
      <formula>"OFF"</formula>
    </cfRule>
    <cfRule type="cellIs" dxfId="24821" priority="16516" operator="equal">
      <formula>"PTO"</formula>
    </cfRule>
  </conditionalFormatting>
  <conditionalFormatting sqref="N29">
    <cfRule type="cellIs" dxfId="24820" priority="16513" operator="equal">
      <formula>"OFF"</formula>
    </cfRule>
    <cfRule type="cellIs" dxfId="24819" priority="16514" operator="equal">
      <formula>"PTO"</formula>
    </cfRule>
  </conditionalFormatting>
  <conditionalFormatting sqref="N29">
    <cfRule type="cellIs" dxfId="24818" priority="16511" operator="equal">
      <formula>"OFF"</formula>
    </cfRule>
    <cfRule type="cellIs" dxfId="24817" priority="16512" operator="equal">
      <formula>"PTO"</formula>
    </cfRule>
  </conditionalFormatting>
  <conditionalFormatting sqref="N29">
    <cfRule type="cellIs" dxfId="24816" priority="16509" operator="equal">
      <formula>"OFF"</formula>
    </cfRule>
    <cfRule type="cellIs" dxfId="24815" priority="16510" operator="equal">
      <formula>"PTO"</formula>
    </cfRule>
  </conditionalFormatting>
  <conditionalFormatting sqref="N29">
    <cfRule type="cellIs" dxfId="24814" priority="16507" operator="equal">
      <formula>"OFF"</formula>
    </cfRule>
    <cfRule type="cellIs" dxfId="24813" priority="16508" operator="equal">
      <formula>"PTO"</formula>
    </cfRule>
  </conditionalFormatting>
  <conditionalFormatting sqref="N29">
    <cfRule type="cellIs" dxfId="24812" priority="16505" operator="equal">
      <formula>"OFF"</formula>
    </cfRule>
    <cfRule type="cellIs" dxfId="24811" priority="16506" operator="equal">
      <formula>"PTO"</formula>
    </cfRule>
  </conditionalFormatting>
  <conditionalFormatting sqref="N29">
    <cfRule type="cellIs" dxfId="24810" priority="16503" operator="equal">
      <formula>"OFF"</formula>
    </cfRule>
    <cfRule type="cellIs" dxfId="24809" priority="16504" operator="equal">
      <formula>"PTO"</formula>
    </cfRule>
  </conditionalFormatting>
  <conditionalFormatting sqref="N29">
    <cfRule type="cellIs" dxfId="24808" priority="16501" operator="equal">
      <formula>"OFF"</formula>
    </cfRule>
    <cfRule type="cellIs" dxfId="24807" priority="16502" operator="equal">
      <formula>"PTO"</formula>
    </cfRule>
  </conditionalFormatting>
  <conditionalFormatting sqref="N29">
    <cfRule type="cellIs" dxfId="24806" priority="16499" operator="equal">
      <formula>"OFF"</formula>
    </cfRule>
    <cfRule type="cellIs" dxfId="24805" priority="16500" operator="equal">
      <formula>"PTO"</formula>
    </cfRule>
  </conditionalFormatting>
  <conditionalFormatting sqref="N29">
    <cfRule type="cellIs" dxfId="24804" priority="16497" operator="equal">
      <formula>"OFF"</formula>
    </cfRule>
    <cfRule type="cellIs" dxfId="24803" priority="16498" operator="equal">
      <formula>"PTO"</formula>
    </cfRule>
  </conditionalFormatting>
  <conditionalFormatting sqref="N29">
    <cfRule type="cellIs" dxfId="24802" priority="16495" operator="equal">
      <formula>"OFF"</formula>
    </cfRule>
    <cfRule type="cellIs" dxfId="24801" priority="16496" operator="equal">
      <formula>"PTO"</formula>
    </cfRule>
  </conditionalFormatting>
  <conditionalFormatting sqref="N29">
    <cfRule type="cellIs" dxfId="24800" priority="16493" operator="equal">
      <formula>"OFF"</formula>
    </cfRule>
    <cfRule type="cellIs" dxfId="24799" priority="16494" operator="equal">
      <formula>"PTO"</formula>
    </cfRule>
  </conditionalFormatting>
  <conditionalFormatting sqref="N29">
    <cfRule type="cellIs" dxfId="24798" priority="16491" operator="equal">
      <formula>"OFF"</formula>
    </cfRule>
    <cfRule type="cellIs" dxfId="24797" priority="16492" operator="equal">
      <formula>"PTO"</formula>
    </cfRule>
  </conditionalFormatting>
  <conditionalFormatting sqref="N29">
    <cfRule type="cellIs" dxfId="24796" priority="16489" operator="equal">
      <formula>"OFF"</formula>
    </cfRule>
    <cfRule type="cellIs" dxfId="24795" priority="16490" operator="equal">
      <formula>"PTO"</formula>
    </cfRule>
  </conditionalFormatting>
  <conditionalFormatting sqref="N29">
    <cfRule type="cellIs" dxfId="24794" priority="16487" operator="equal">
      <formula>"OFF"</formula>
    </cfRule>
    <cfRule type="cellIs" dxfId="24793" priority="16488" operator="equal">
      <formula>"PTO"</formula>
    </cfRule>
  </conditionalFormatting>
  <conditionalFormatting sqref="N29">
    <cfRule type="cellIs" dxfId="24792" priority="16485" operator="equal">
      <formula>"OFF"</formula>
    </cfRule>
    <cfRule type="cellIs" dxfId="24791" priority="16486" operator="equal">
      <formula>"PTO"</formula>
    </cfRule>
  </conditionalFormatting>
  <conditionalFormatting sqref="N29">
    <cfRule type="cellIs" dxfId="24790" priority="16483" operator="equal">
      <formula>"OFF"</formula>
    </cfRule>
    <cfRule type="cellIs" dxfId="24789" priority="16484" operator="equal">
      <formula>"PTO"</formula>
    </cfRule>
  </conditionalFormatting>
  <conditionalFormatting sqref="N29">
    <cfRule type="cellIs" dxfId="24788" priority="16481" operator="equal">
      <formula>"OFF"</formula>
    </cfRule>
    <cfRule type="cellIs" dxfId="24787" priority="16482" operator="equal">
      <formula>"PTO"</formula>
    </cfRule>
  </conditionalFormatting>
  <conditionalFormatting sqref="N29">
    <cfRule type="cellIs" dxfId="24786" priority="16479" operator="equal">
      <formula>"OFF"</formula>
    </cfRule>
    <cfRule type="cellIs" dxfId="24785" priority="16480" operator="equal">
      <formula>"PTO"</formula>
    </cfRule>
  </conditionalFormatting>
  <conditionalFormatting sqref="N29">
    <cfRule type="cellIs" dxfId="24784" priority="16477" operator="equal">
      <formula>"OFF"</formula>
    </cfRule>
    <cfRule type="cellIs" dxfId="24783" priority="16478" operator="equal">
      <formula>"PTO"</formula>
    </cfRule>
  </conditionalFormatting>
  <conditionalFormatting sqref="N29">
    <cfRule type="cellIs" dxfId="24782" priority="16475" operator="equal">
      <formula>"OFF"</formula>
    </cfRule>
    <cfRule type="cellIs" dxfId="24781" priority="16476" operator="equal">
      <formula>"PTO"</formula>
    </cfRule>
  </conditionalFormatting>
  <conditionalFormatting sqref="N29">
    <cfRule type="cellIs" dxfId="24780" priority="16473" operator="equal">
      <formula>"OFF"</formula>
    </cfRule>
    <cfRule type="cellIs" dxfId="24779" priority="16474" operator="equal">
      <formula>"PTO"</formula>
    </cfRule>
  </conditionalFormatting>
  <conditionalFormatting sqref="N29">
    <cfRule type="cellIs" dxfId="24778" priority="16471" operator="equal">
      <formula>"OFF"</formula>
    </cfRule>
    <cfRule type="cellIs" dxfId="24777" priority="16472" operator="equal">
      <formula>"PTO"</formula>
    </cfRule>
  </conditionalFormatting>
  <conditionalFormatting sqref="N29">
    <cfRule type="cellIs" dxfId="24776" priority="16469" operator="equal">
      <formula>"OFF"</formula>
    </cfRule>
    <cfRule type="cellIs" dxfId="24775" priority="16470" operator="equal">
      <formula>"PTO"</formula>
    </cfRule>
  </conditionalFormatting>
  <conditionalFormatting sqref="N29">
    <cfRule type="cellIs" dxfId="24774" priority="16467" operator="equal">
      <formula>"OFF"</formula>
    </cfRule>
    <cfRule type="cellIs" dxfId="24773" priority="16468" operator="equal">
      <formula>"PTO"</formula>
    </cfRule>
  </conditionalFormatting>
  <conditionalFormatting sqref="N29">
    <cfRule type="cellIs" dxfId="24772" priority="16465" operator="equal">
      <formula>"OFF"</formula>
    </cfRule>
    <cfRule type="cellIs" dxfId="24771" priority="16466" operator="equal">
      <formula>"PTO"</formula>
    </cfRule>
  </conditionalFormatting>
  <conditionalFormatting sqref="N29">
    <cfRule type="cellIs" dxfId="24770" priority="16463" operator="equal">
      <formula>"OFF"</formula>
    </cfRule>
    <cfRule type="cellIs" dxfId="24769" priority="16464" operator="equal">
      <formula>"PTO"</formula>
    </cfRule>
  </conditionalFormatting>
  <conditionalFormatting sqref="N29">
    <cfRule type="cellIs" dxfId="24768" priority="16461" operator="equal">
      <formula>"OFF"</formula>
    </cfRule>
    <cfRule type="cellIs" dxfId="24767" priority="16462" operator="equal">
      <formula>"PTO"</formula>
    </cfRule>
  </conditionalFormatting>
  <conditionalFormatting sqref="N29">
    <cfRule type="cellIs" dxfId="24766" priority="16459" operator="equal">
      <formula>"OFF"</formula>
    </cfRule>
    <cfRule type="cellIs" dxfId="24765" priority="16460" operator="equal">
      <formula>"PTO"</formula>
    </cfRule>
  </conditionalFormatting>
  <conditionalFormatting sqref="N29">
    <cfRule type="cellIs" dxfId="24764" priority="16457" operator="equal">
      <formula>"OFF"</formula>
    </cfRule>
    <cfRule type="cellIs" dxfId="24763" priority="16458" operator="equal">
      <formula>"PTO"</formula>
    </cfRule>
  </conditionalFormatting>
  <conditionalFormatting sqref="N29">
    <cfRule type="cellIs" dxfId="24762" priority="16455" operator="equal">
      <formula>"OFF"</formula>
    </cfRule>
    <cfRule type="cellIs" dxfId="24761" priority="16456" operator="equal">
      <formula>"PTO"</formula>
    </cfRule>
  </conditionalFormatting>
  <conditionalFormatting sqref="N29">
    <cfRule type="cellIs" dxfId="24760" priority="16453" operator="equal">
      <formula>"OFF"</formula>
    </cfRule>
    <cfRule type="cellIs" dxfId="24759" priority="16454" operator="equal">
      <formula>"PTO"</formula>
    </cfRule>
  </conditionalFormatting>
  <conditionalFormatting sqref="N29">
    <cfRule type="cellIs" dxfId="24758" priority="16451" operator="equal">
      <formula>"OFF"</formula>
    </cfRule>
    <cfRule type="cellIs" dxfId="24757" priority="16452" operator="equal">
      <formula>"PTO"</formula>
    </cfRule>
  </conditionalFormatting>
  <conditionalFormatting sqref="N29">
    <cfRule type="cellIs" dxfId="24756" priority="16449" operator="equal">
      <formula>"OFF"</formula>
    </cfRule>
    <cfRule type="cellIs" dxfId="24755" priority="16450" operator="equal">
      <formula>"PTO"</formula>
    </cfRule>
  </conditionalFormatting>
  <conditionalFormatting sqref="N29">
    <cfRule type="cellIs" dxfId="24754" priority="16447" operator="equal">
      <formula>"OFF"</formula>
    </cfRule>
    <cfRule type="cellIs" dxfId="24753" priority="16448" operator="equal">
      <formula>"PTO"</formula>
    </cfRule>
  </conditionalFormatting>
  <conditionalFormatting sqref="N29">
    <cfRule type="cellIs" dxfId="24752" priority="16445" operator="equal">
      <formula>"OFF"</formula>
    </cfRule>
    <cfRule type="cellIs" dxfId="24751" priority="16446" operator="equal">
      <formula>"PTO"</formula>
    </cfRule>
  </conditionalFormatting>
  <conditionalFormatting sqref="N29">
    <cfRule type="cellIs" dxfId="24750" priority="16443" operator="equal">
      <formula>"OFF"</formula>
    </cfRule>
    <cfRule type="cellIs" dxfId="24749" priority="16444" operator="equal">
      <formula>"PTO"</formula>
    </cfRule>
  </conditionalFormatting>
  <conditionalFormatting sqref="N29">
    <cfRule type="cellIs" dxfId="24748" priority="16441" operator="equal">
      <formula>"OFF"</formula>
    </cfRule>
    <cfRule type="cellIs" dxfId="24747" priority="16442" operator="equal">
      <formula>"PTO"</formula>
    </cfRule>
  </conditionalFormatting>
  <conditionalFormatting sqref="N29">
    <cfRule type="cellIs" dxfId="24746" priority="16439" operator="equal">
      <formula>"OFF"</formula>
    </cfRule>
    <cfRule type="cellIs" dxfId="24745" priority="16440" operator="equal">
      <formula>"PTO"</formula>
    </cfRule>
  </conditionalFormatting>
  <conditionalFormatting sqref="N29">
    <cfRule type="cellIs" dxfId="24744" priority="16437" operator="equal">
      <formula>"OFF"</formula>
    </cfRule>
    <cfRule type="cellIs" dxfId="24743" priority="16438" operator="equal">
      <formula>"PTO"</formula>
    </cfRule>
  </conditionalFormatting>
  <conditionalFormatting sqref="N29">
    <cfRule type="cellIs" dxfId="24742" priority="16435" operator="equal">
      <formula>"OFF"</formula>
    </cfRule>
    <cfRule type="cellIs" dxfId="24741" priority="16436" operator="equal">
      <formula>"PTO"</formula>
    </cfRule>
  </conditionalFormatting>
  <conditionalFormatting sqref="N29">
    <cfRule type="cellIs" dxfId="24740" priority="16433" operator="equal">
      <formula>"OFF"</formula>
    </cfRule>
    <cfRule type="cellIs" dxfId="24739" priority="16434" operator="equal">
      <formula>"PTO"</formula>
    </cfRule>
  </conditionalFormatting>
  <conditionalFormatting sqref="N29">
    <cfRule type="cellIs" dxfId="24738" priority="16431" operator="equal">
      <formula>"OFF"</formula>
    </cfRule>
    <cfRule type="cellIs" dxfId="24737" priority="16432" operator="equal">
      <formula>"PTO"</formula>
    </cfRule>
  </conditionalFormatting>
  <conditionalFormatting sqref="N29">
    <cfRule type="cellIs" dxfId="24736" priority="16429" operator="equal">
      <formula>"OFF"</formula>
    </cfRule>
    <cfRule type="cellIs" dxfId="24735" priority="16430" operator="equal">
      <formula>"PTO"</formula>
    </cfRule>
  </conditionalFormatting>
  <conditionalFormatting sqref="N29">
    <cfRule type="cellIs" dxfId="24734" priority="16427" operator="equal">
      <formula>"OFF"</formula>
    </cfRule>
    <cfRule type="cellIs" dxfId="24733" priority="16428" operator="equal">
      <formula>"PTO"</formula>
    </cfRule>
  </conditionalFormatting>
  <conditionalFormatting sqref="N29">
    <cfRule type="cellIs" dxfId="24732" priority="16425" operator="equal">
      <formula>"OFF"</formula>
    </cfRule>
    <cfRule type="cellIs" dxfId="24731" priority="16426" operator="equal">
      <formula>"PTO"</formula>
    </cfRule>
  </conditionalFormatting>
  <conditionalFormatting sqref="N29">
    <cfRule type="cellIs" dxfId="24730" priority="16423" operator="equal">
      <formula>"OFF"</formula>
    </cfRule>
    <cfRule type="cellIs" dxfId="24729" priority="16424" operator="equal">
      <formula>"PTO"</formula>
    </cfRule>
  </conditionalFormatting>
  <conditionalFormatting sqref="N29">
    <cfRule type="cellIs" dxfId="24728" priority="16421" operator="equal">
      <formula>"OFF"</formula>
    </cfRule>
    <cfRule type="cellIs" dxfId="24727" priority="16422" operator="equal">
      <formula>"PTO"</formula>
    </cfRule>
  </conditionalFormatting>
  <conditionalFormatting sqref="N29">
    <cfRule type="cellIs" dxfId="24726" priority="16419" operator="equal">
      <formula>"OFF"</formula>
    </cfRule>
    <cfRule type="cellIs" dxfId="24725" priority="16420" operator="equal">
      <formula>"PTO"</formula>
    </cfRule>
  </conditionalFormatting>
  <conditionalFormatting sqref="N29">
    <cfRule type="cellIs" dxfId="24724" priority="16417" operator="equal">
      <formula>"OFF"</formula>
    </cfRule>
    <cfRule type="cellIs" dxfId="24723" priority="16418" operator="equal">
      <formula>"PTO"</formula>
    </cfRule>
  </conditionalFormatting>
  <conditionalFormatting sqref="N29">
    <cfRule type="cellIs" dxfId="24722" priority="16415" operator="equal">
      <formula>"OFF"</formula>
    </cfRule>
    <cfRule type="cellIs" dxfId="24721" priority="16416" operator="equal">
      <formula>"PTO"</formula>
    </cfRule>
  </conditionalFormatting>
  <conditionalFormatting sqref="N29">
    <cfRule type="cellIs" dxfId="24720" priority="16413" operator="equal">
      <formula>"OFF"</formula>
    </cfRule>
    <cfRule type="cellIs" dxfId="24719" priority="16414" operator="equal">
      <formula>"PTO"</formula>
    </cfRule>
  </conditionalFormatting>
  <conditionalFormatting sqref="N29">
    <cfRule type="cellIs" dxfId="24718" priority="16411" operator="equal">
      <formula>"OFF"</formula>
    </cfRule>
    <cfRule type="cellIs" dxfId="24717" priority="16412" operator="equal">
      <formula>"PTO"</formula>
    </cfRule>
  </conditionalFormatting>
  <conditionalFormatting sqref="N29">
    <cfRule type="cellIs" dxfId="24716" priority="16409" operator="equal">
      <formula>"OFF"</formula>
    </cfRule>
    <cfRule type="cellIs" dxfId="24715" priority="16410" operator="equal">
      <formula>"PTO"</formula>
    </cfRule>
  </conditionalFormatting>
  <conditionalFormatting sqref="N29">
    <cfRule type="cellIs" dxfId="24714" priority="16407" operator="equal">
      <formula>"OFF"</formula>
    </cfRule>
    <cfRule type="cellIs" dxfId="24713" priority="16408" operator="equal">
      <formula>"PTO"</formula>
    </cfRule>
  </conditionalFormatting>
  <conditionalFormatting sqref="N29">
    <cfRule type="cellIs" dxfId="24712" priority="16405" operator="equal">
      <formula>"OFF"</formula>
    </cfRule>
    <cfRule type="cellIs" dxfId="24711" priority="16406" operator="equal">
      <formula>"PTO"</formula>
    </cfRule>
  </conditionalFormatting>
  <conditionalFormatting sqref="N29">
    <cfRule type="cellIs" dxfId="24710" priority="16403" operator="equal">
      <formula>"OFF"</formula>
    </cfRule>
    <cfRule type="cellIs" dxfId="24709" priority="16404" operator="equal">
      <formula>"PTO"</formula>
    </cfRule>
  </conditionalFormatting>
  <conditionalFormatting sqref="N26:N27 N29:N39">
    <cfRule type="cellIs" dxfId="24708" priority="16401" operator="equal">
      <formula>"OFF"</formula>
    </cfRule>
    <cfRule type="cellIs" dxfId="24707" priority="16402" operator="equal">
      <formula>"PTO"</formula>
    </cfRule>
  </conditionalFormatting>
  <conditionalFormatting sqref="N26">
    <cfRule type="cellIs" dxfId="24706" priority="16399" operator="equal">
      <formula>"OFF"</formula>
    </cfRule>
    <cfRule type="cellIs" dxfId="24705" priority="16400" operator="equal">
      <formula>"PTO"</formula>
    </cfRule>
  </conditionalFormatting>
  <conditionalFormatting sqref="N26">
    <cfRule type="cellIs" dxfId="24704" priority="16397" operator="equal">
      <formula>"OFF"</formula>
    </cfRule>
    <cfRule type="cellIs" dxfId="24703" priority="16398" operator="equal">
      <formula>"PTO"</formula>
    </cfRule>
  </conditionalFormatting>
  <conditionalFormatting sqref="N26">
    <cfRule type="cellIs" dxfId="24702" priority="16395" operator="equal">
      <formula>"OFF"</formula>
    </cfRule>
    <cfRule type="cellIs" dxfId="24701" priority="16396" operator="equal">
      <formula>"PTO"</formula>
    </cfRule>
  </conditionalFormatting>
  <conditionalFormatting sqref="N26">
    <cfRule type="cellIs" dxfId="24700" priority="16393" operator="equal">
      <formula>"OFF"</formula>
    </cfRule>
    <cfRule type="cellIs" dxfId="24699" priority="16394" operator="equal">
      <formula>"PTO"</formula>
    </cfRule>
  </conditionalFormatting>
  <conditionalFormatting sqref="N26">
    <cfRule type="cellIs" dxfId="24698" priority="16391" operator="equal">
      <formula>"OFF"</formula>
    </cfRule>
    <cfRule type="cellIs" dxfId="24697" priority="16392" operator="equal">
      <formula>"PTO"</formula>
    </cfRule>
  </conditionalFormatting>
  <conditionalFormatting sqref="N26">
    <cfRule type="cellIs" dxfId="24696" priority="16389" operator="equal">
      <formula>"OFF"</formula>
    </cfRule>
    <cfRule type="cellIs" dxfId="24695" priority="16390" operator="equal">
      <formula>"PTO"</formula>
    </cfRule>
  </conditionalFormatting>
  <conditionalFormatting sqref="N26">
    <cfRule type="cellIs" dxfId="24694" priority="16387" operator="equal">
      <formula>"OFF"</formula>
    </cfRule>
    <cfRule type="cellIs" dxfId="24693" priority="16388" operator="equal">
      <formula>"PTO"</formula>
    </cfRule>
  </conditionalFormatting>
  <conditionalFormatting sqref="N26">
    <cfRule type="cellIs" dxfId="24692" priority="16385" operator="equal">
      <formula>"OFF"</formula>
    </cfRule>
    <cfRule type="cellIs" dxfId="24691" priority="16386" operator="equal">
      <formula>"PTO"</formula>
    </cfRule>
  </conditionalFormatting>
  <conditionalFormatting sqref="N27">
    <cfRule type="cellIs" dxfId="24690" priority="16383" operator="equal">
      <formula>"OFF"</formula>
    </cfRule>
    <cfRule type="cellIs" dxfId="24689" priority="16384" operator="equal">
      <formula>"PTO"</formula>
    </cfRule>
  </conditionalFormatting>
  <conditionalFormatting sqref="N27">
    <cfRule type="cellIs" dxfId="24688" priority="16381" operator="equal">
      <formula>"OFF"</formula>
    </cfRule>
    <cfRule type="cellIs" dxfId="24687" priority="16382" operator="equal">
      <formula>"PTO"</formula>
    </cfRule>
  </conditionalFormatting>
  <conditionalFormatting sqref="N27">
    <cfRule type="cellIs" dxfId="24686" priority="16379" operator="equal">
      <formula>"OFF"</formula>
    </cfRule>
    <cfRule type="cellIs" dxfId="24685" priority="16380" operator="equal">
      <formula>"PTO"</formula>
    </cfRule>
  </conditionalFormatting>
  <conditionalFormatting sqref="N27">
    <cfRule type="cellIs" dxfId="24684" priority="16377" operator="equal">
      <formula>"OFF"</formula>
    </cfRule>
    <cfRule type="cellIs" dxfId="24683" priority="16378" operator="equal">
      <formula>"PTO"</formula>
    </cfRule>
  </conditionalFormatting>
  <conditionalFormatting sqref="N27">
    <cfRule type="cellIs" dxfId="24682" priority="16375" operator="equal">
      <formula>"OFF"</formula>
    </cfRule>
    <cfRule type="cellIs" dxfId="24681" priority="16376" operator="equal">
      <formula>"PTO"</formula>
    </cfRule>
  </conditionalFormatting>
  <conditionalFormatting sqref="N27">
    <cfRule type="cellIs" dxfId="24680" priority="16373" operator="equal">
      <formula>"OFF"</formula>
    </cfRule>
    <cfRule type="cellIs" dxfId="24679" priority="16374" operator="equal">
      <formula>"PTO"</formula>
    </cfRule>
  </conditionalFormatting>
  <conditionalFormatting sqref="N27">
    <cfRule type="cellIs" dxfId="24678" priority="16371" operator="equal">
      <formula>"OFF"</formula>
    </cfRule>
    <cfRule type="cellIs" dxfId="24677" priority="16372" operator="equal">
      <formula>"PTO"</formula>
    </cfRule>
  </conditionalFormatting>
  <conditionalFormatting sqref="N27">
    <cfRule type="cellIs" dxfId="24676" priority="16369" operator="equal">
      <formula>"OFF"</formula>
    </cfRule>
    <cfRule type="cellIs" dxfId="24675" priority="16370" operator="equal">
      <formula>"PTO"</formula>
    </cfRule>
  </conditionalFormatting>
  <conditionalFormatting sqref="N26">
    <cfRule type="cellIs" dxfId="24674" priority="16367" operator="equal">
      <formula>"OFF"</formula>
    </cfRule>
    <cfRule type="cellIs" dxfId="24673" priority="16368" operator="equal">
      <formula>"PTO"</formula>
    </cfRule>
  </conditionalFormatting>
  <conditionalFormatting sqref="N26">
    <cfRule type="cellIs" dxfId="24672" priority="16365" operator="equal">
      <formula>"OFF"</formula>
    </cfRule>
    <cfRule type="cellIs" dxfId="24671" priority="16366" operator="equal">
      <formula>"PTO"</formula>
    </cfRule>
  </conditionalFormatting>
  <conditionalFormatting sqref="N26">
    <cfRule type="cellIs" dxfId="24670" priority="16363" operator="equal">
      <formula>"OFF"</formula>
    </cfRule>
    <cfRule type="cellIs" dxfId="24669" priority="16364" operator="equal">
      <formula>"PTO"</formula>
    </cfRule>
  </conditionalFormatting>
  <conditionalFormatting sqref="N26">
    <cfRule type="cellIs" dxfId="24668" priority="16361" operator="equal">
      <formula>"OFF"</formula>
    </cfRule>
    <cfRule type="cellIs" dxfId="24667" priority="16362" operator="equal">
      <formula>"PTO"</formula>
    </cfRule>
  </conditionalFormatting>
  <conditionalFormatting sqref="N26">
    <cfRule type="cellIs" dxfId="24666" priority="16359" operator="equal">
      <formula>"OFF"</formula>
    </cfRule>
    <cfRule type="cellIs" dxfId="24665" priority="16360" operator="equal">
      <formula>"PTO"</formula>
    </cfRule>
  </conditionalFormatting>
  <conditionalFormatting sqref="N26">
    <cfRule type="cellIs" dxfId="24664" priority="16357" operator="equal">
      <formula>"OFF"</formula>
    </cfRule>
    <cfRule type="cellIs" dxfId="24663" priority="16358" operator="equal">
      <formula>"PTO"</formula>
    </cfRule>
  </conditionalFormatting>
  <conditionalFormatting sqref="N26">
    <cfRule type="cellIs" dxfId="24662" priority="16355" operator="equal">
      <formula>"OFF"</formula>
    </cfRule>
    <cfRule type="cellIs" dxfId="24661" priority="16356" operator="equal">
      <formula>"PTO"</formula>
    </cfRule>
  </conditionalFormatting>
  <conditionalFormatting sqref="N26">
    <cfRule type="cellIs" dxfId="24660" priority="16353" operator="equal">
      <formula>"OFF"</formula>
    </cfRule>
    <cfRule type="cellIs" dxfId="24659" priority="16354" operator="equal">
      <formula>"PTO"</formula>
    </cfRule>
  </conditionalFormatting>
  <conditionalFormatting sqref="N27">
    <cfRule type="cellIs" dxfId="24658" priority="16351" operator="equal">
      <formula>"OFF"</formula>
    </cfRule>
    <cfRule type="cellIs" dxfId="24657" priority="16352" operator="equal">
      <formula>"PTO"</formula>
    </cfRule>
  </conditionalFormatting>
  <conditionalFormatting sqref="N27">
    <cfRule type="cellIs" dxfId="24656" priority="16349" operator="equal">
      <formula>"OFF"</formula>
    </cfRule>
    <cfRule type="cellIs" dxfId="24655" priority="16350" operator="equal">
      <formula>"PTO"</formula>
    </cfRule>
  </conditionalFormatting>
  <conditionalFormatting sqref="N27">
    <cfRule type="cellIs" dxfId="24654" priority="16347" operator="equal">
      <formula>"OFF"</formula>
    </cfRule>
    <cfRule type="cellIs" dxfId="24653" priority="16348" operator="equal">
      <formula>"PTO"</formula>
    </cfRule>
  </conditionalFormatting>
  <conditionalFormatting sqref="N27">
    <cfRule type="cellIs" dxfId="24652" priority="16345" operator="equal">
      <formula>"OFF"</formula>
    </cfRule>
    <cfRule type="cellIs" dxfId="24651" priority="16346" operator="equal">
      <formula>"PTO"</formula>
    </cfRule>
  </conditionalFormatting>
  <conditionalFormatting sqref="N27">
    <cfRule type="cellIs" dxfId="24650" priority="16343" operator="equal">
      <formula>"OFF"</formula>
    </cfRule>
    <cfRule type="cellIs" dxfId="24649" priority="16344" operator="equal">
      <formula>"PTO"</formula>
    </cfRule>
  </conditionalFormatting>
  <conditionalFormatting sqref="N27">
    <cfRule type="cellIs" dxfId="24648" priority="16341" operator="equal">
      <formula>"OFF"</formula>
    </cfRule>
    <cfRule type="cellIs" dxfId="24647" priority="16342" operator="equal">
      <formula>"PTO"</formula>
    </cfRule>
  </conditionalFormatting>
  <conditionalFormatting sqref="N27">
    <cfRule type="cellIs" dxfId="24646" priority="16339" operator="equal">
      <formula>"OFF"</formula>
    </cfRule>
    <cfRule type="cellIs" dxfId="24645" priority="16340" operator="equal">
      <formula>"PTO"</formula>
    </cfRule>
  </conditionalFormatting>
  <conditionalFormatting sqref="N27">
    <cfRule type="cellIs" dxfId="24644" priority="16337" operator="equal">
      <formula>"OFF"</formula>
    </cfRule>
    <cfRule type="cellIs" dxfId="24643" priority="16338" operator="equal">
      <formula>"PTO"</formula>
    </cfRule>
  </conditionalFormatting>
  <conditionalFormatting sqref="N26">
    <cfRule type="cellIs" dxfId="24642" priority="16335" operator="equal">
      <formula>"OFF"</formula>
    </cfRule>
    <cfRule type="cellIs" dxfId="24641" priority="16336" operator="equal">
      <formula>"PTO"</formula>
    </cfRule>
  </conditionalFormatting>
  <conditionalFormatting sqref="N26">
    <cfRule type="cellIs" dxfId="24640" priority="16333" operator="equal">
      <formula>"OFF"</formula>
    </cfRule>
    <cfRule type="cellIs" dxfId="24639" priority="16334" operator="equal">
      <formula>"PTO"</formula>
    </cfRule>
  </conditionalFormatting>
  <conditionalFormatting sqref="N26">
    <cfRule type="cellIs" dxfId="24638" priority="16331" operator="equal">
      <formula>"OFF"</formula>
    </cfRule>
    <cfRule type="cellIs" dxfId="24637" priority="16332" operator="equal">
      <formula>"PTO"</formula>
    </cfRule>
  </conditionalFormatting>
  <conditionalFormatting sqref="N26">
    <cfRule type="cellIs" dxfId="24636" priority="16329" operator="equal">
      <formula>"OFF"</formula>
    </cfRule>
    <cfRule type="cellIs" dxfId="24635" priority="16330" operator="equal">
      <formula>"PTO"</formula>
    </cfRule>
  </conditionalFormatting>
  <conditionalFormatting sqref="N26">
    <cfRule type="cellIs" dxfId="24634" priority="16327" operator="equal">
      <formula>"OFF"</formula>
    </cfRule>
    <cfRule type="cellIs" dxfId="24633" priority="16328" operator="equal">
      <formula>"PTO"</formula>
    </cfRule>
  </conditionalFormatting>
  <conditionalFormatting sqref="N26">
    <cfRule type="cellIs" dxfId="24632" priority="16325" operator="equal">
      <formula>"OFF"</formula>
    </cfRule>
    <cfRule type="cellIs" dxfId="24631" priority="16326" operator="equal">
      <formula>"PTO"</formula>
    </cfRule>
  </conditionalFormatting>
  <conditionalFormatting sqref="N26">
    <cfRule type="cellIs" dxfId="24630" priority="16323" operator="equal">
      <formula>"OFF"</formula>
    </cfRule>
    <cfRule type="cellIs" dxfId="24629" priority="16324" operator="equal">
      <formula>"PTO"</formula>
    </cfRule>
  </conditionalFormatting>
  <conditionalFormatting sqref="N26">
    <cfRule type="cellIs" dxfId="24628" priority="16321" operator="equal">
      <formula>"OFF"</formula>
    </cfRule>
    <cfRule type="cellIs" dxfId="24627" priority="16322" operator="equal">
      <formula>"PTO"</formula>
    </cfRule>
  </conditionalFormatting>
  <conditionalFormatting sqref="N27">
    <cfRule type="cellIs" dxfId="24626" priority="16319" operator="equal">
      <formula>"OFF"</formula>
    </cfRule>
    <cfRule type="cellIs" dxfId="24625" priority="16320" operator="equal">
      <formula>"PTO"</formula>
    </cfRule>
  </conditionalFormatting>
  <conditionalFormatting sqref="N27">
    <cfRule type="cellIs" dxfId="24624" priority="16317" operator="equal">
      <formula>"OFF"</formula>
    </cfRule>
    <cfRule type="cellIs" dxfId="24623" priority="16318" operator="equal">
      <formula>"PTO"</formula>
    </cfRule>
  </conditionalFormatting>
  <conditionalFormatting sqref="N27">
    <cfRule type="cellIs" dxfId="24622" priority="16315" operator="equal">
      <formula>"OFF"</formula>
    </cfRule>
    <cfRule type="cellIs" dxfId="24621" priority="16316" operator="equal">
      <formula>"PTO"</formula>
    </cfRule>
  </conditionalFormatting>
  <conditionalFormatting sqref="N27">
    <cfRule type="cellIs" dxfId="24620" priority="16313" operator="equal">
      <formula>"OFF"</formula>
    </cfRule>
    <cfRule type="cellIs" dxfId="24619" priority="16314" operator="equal">
      <formula>"PTO"</formula>
    </cfRule>
  </conditionalFormatting>
  <conditionalFormatting sqref="N27">
    <cfRule type="cellIs" dxfId="24618" priority="16311" operator="equal">
      <formula>"OFF"</formula>
    </cfRule>
    <cfRule type="cellIs" dxfId="24617" priority="16312" operator="equal">
      <formula>"PTO"</formula>
    </cfRule>
  </conditionalFormatting>
  <conditionalFormatting sqref="N27">
    <cfRule type="cellIs" dxfId="24616" priority="16309" operator="equal">
      <formula>"OFF"</formula>
    </cfRule>
    <cfRule type="cellIs" dxfId="24615" priority="16310" operator="equal">
      <formula>"PTO"</formula>
    </cfRule>
  </conditionalFormatting>
  <conditionalFormatting sqref="N27">
    <cfRule type="cellIs" dxfId="24614" priority="16307" operator="equal">
      <formula>"OFF"</formula>
    </cfRule>
    <cfRule type="cellIs" dxfId="24613" priority="16308" operator="equal">
      <formula>"PTO"</formula>
    </cfRule>
  </conditionalFormatting>
  <conditionalFormatting sqref="N27">
    <cfRule type="cellIs" dxfId="24612" priority="16305" operator="equal">
      <formula>"OFF"</formula>
    </cfRule>
    <cfRule type="cellIs" dxfId="24611" priority="16306" operator="equal">
      <formula>"PTO"</formula>
    </cfRule>
  </conditionalFormatting>
  <conditionalFormatting sqref="N26">
    <cfRule type="cellIs" dxfId="24610" priority="16303" operator="equal">
      <formula>"OFF"</formula>
    </cfRule>
    <cfRule type="cellIs" dxfId="24609" priority="16304" operator="equal">
      <formula>"PTO"</formula>
    </cfRule>
  </conditionalFormatting>
  <conditionalFormatting sqref="N26">
    <cfRule type="cellIs" dxfId="24608" priority="16301" operator="equal">
      <formula>"OFF"</formula>
    </cfRule>
    <cfRule type="cellIs" dxfId="24607" priority="16302" operator="equal">
      <formula>"PTO"</formula>
    </cfRule>
  </conditionalFormatting>
  <conditionalFormatting sqref="N26">
    <cfRule type="cellIs" dxfId="24606" priority="16299" operator="equal">
      <formula>"OFF"</formula>
    </cfRule>
    <cfRule type="cellIs" dxfId="24605" priority="16300" operator="equal">
      <formula>"PTO"</formula>
    </cfRule>
  </conditionalFormatting>
  <conditionalFormatting sqref="N26">
    <cfRule type="cellIs" dxfId="24604" priority="16297" operator="equal">
      <formula>"OFF"</formula>
    </cfRule>
    <cfRule type="cellIs" dxfId="24603" priority="16298" operator="equal">
      <formula>"PTO"</formula>
    </cfRule>
  </conditionalFormatting>
  <conditionalFormatting sqref="N26">
    <cfRule type="cellIs" dxfId="24602" priority="16295" operator="equal">
      <formula>"OFF"</formula>
    </cfRule>
    <cfRule type="cellIs" dxfId="24601" priority="16296" operator="equal">
      <formula>"PTO"</formula>
    </cfRule>
  </conditionalFormatting>
  <conditionalFormatting sqref="N26">
    <cfRule type="cellIs" dxfId="24600" priority="16293" operator="equal">
      <formula>"OFF"</formula>
    </cfRule>
    <cfRule type="cellIs" dxfId="24599" priority="16294" operator="equal">
      <formula>"PTO"</formula>
    </cfRule>
  </conditionalFormatting>
  <conditionalFormatting sqref="N26">
    <cfRule type="cellIs" dxfId="24598" priority="16291" operator="equal">
      <formula>"OFF"</formula>
    </cfRule>
    <cfRule type="cellIs" dxfId="24597" priority="16292" operator="equal">
      <formula>"PTO"</formula>
    </cfRule>
  </conditionalFormatting>
  <conditionalFormatting sqref="N26">
    <cfRule type="cellIs" dxfId="24596" priority="16289" operator="equal">
      <formula>"OFF"</formula>
    </cfRule>
    <cfRule type="cellIs" dxfId="24595" priority="16290" operator="equal">
      <formula>"PTO"</formula>
    </cfRule>
  </conditionalFormatting>
  <conditionalFormatting sqref="N27">
    <cfRule type="cellIs" dxfId="24594" priority="16287" operator="equal">
      <formula>"OFF"</formula>
    </cfRule>
    <cfRule type="cellIs" dxfId="24593" priority="16288" operator="equal">
      <formula>"PTO"</formula>
    </cfRule>
  </conditionalFormatting>
  <conditionalFormatting sqref="N27">
    <cfRule type="cellIs" dxfId="24592" priority="16285" operator="equal">
      <formula>"OFF"</formula>
    </cfRule>
    <cfRule type="cellIs" dxfId="24591" priority="16286" operator="equal">
      <formula>"PTO"</formula>
    </cfRule>
  </conditionalFormatting>
  <conditionalFormatting sqref="N27">
    <cfRule type="cellIs" dxfId="24590" priority="16283" operator="equal">
      <formula>"OFF"</formula>
    </cfRule>
    <cfRule type="cellIs" dxfId="24589" priority="16284" operator="equal">
      <formula>"PTO"</formula>
    </cfRule>
  </conditionalFormatting>
  <conditionalFormatting sqref="N27">
    <cfRule type="cellIs" dxfId="24588" priority="16281" operator="equal">
      <formula>"OFF"</formula>
    </cfRule>
    <cfRule type="cellIs" dxfId="24587" priority="16282" operator="equal">
      <formula>"PTO"</formula>
    </cfRule>
  </conditionalFormatting>
  <conditionalFormatting sqref="N27">
    <cfRule type="cellIs" dxfId="24586" priority="16279" operator="equal">
      <formula>"OFF"</formula>
    </cfRule>
    <cfRule type="cellIs" dxfId="24585" priority="16280" operator="equal">
      <formula>"PTO"</formula>
    </cfRule>
  </conditionalFormatting>
  <conditionalFormatting sqref="N27">
    <cfRule type="cellIs" dxfId="24584" priority="16277" operator="equal">
      <formula>"OFF"</formula>
    </cfRule>
    <cfRule type="cellIs" dxfId="24583" priority="16278" operator="equal">
      <formula>"PTO"</formula>
    </cfRule>
  </conditionalFormatting>
  <conditionalFormatting sqref="N27">
    <cfRule type="cellIs" dxfId="24582" priority="16275" operator="equal">
      <formula>"OFF"</formula>
    </cfRule>
    <cfRule type="cellIs" dxfId="24581" priority="16276" operator="equal">
      <formula>"PTO"</formula>
    </cfRule>
  </conditionalFormatting>
  <conditionalFormatting sqref="N27">
    <cfRule type="cellIs" dxfId="24580" priority="16273" operator="equal">
      <formula>"OFF"</formula>
    </cfRule>
    <cfRule type="cellIs" dxfId="24579" priority="16274" operator="equal">
      <formula>"PTO"</formula>
    </cfRule>
  </conditionalFormatting>
  <conditionalFormatting sqref="N26">
    <cfRule type="cellIs" dxfId="24578" priority="16271" operator="equal">
      <formula>"OFF"</formula>
    </cfRule>
    <cfRule type="cellIs" dxfId="24577" priority="16272" operator="equal">
      <formula>"PTO"</formula>
    </cfRule>
  </conditionalFormatting>
  <conditionalFormatting sqref="N26">
    <cfRule type="cellIs" dxfId="24576" priority="16269" operator="equal">
      <formula>"OFF"</formula>
    </cfRule>
    <cfRule type="cellIs" dxfId="24575" priority="16270" operator="equal">
      <formula>"PTO"</formula>
    </cfRule>
  </conditionalFormatting>
  <conditionalFormatting sqref="N26">
    <cfRule type="cellIs" dxfId="24574" priority="16267" operator="equal">
      <formula>"OFF"</formula>
    </cfRule>
    <cfRule type="cellIs" dxfId="24573" priority="16268" operator="equal">
      <formula>"PTO"</formula>
    </cfRule>
  </conditionalFormatting>
  <conditionalFormatting sqref="N26">
    <cfRule type="cellIs" dxfId="24572" priority="16265" operator="equal">
      <formula>"OFF"</formula>
    </cfRule>
    <cfRule type="cellIs" dxfId="24571" priority="16266" operator="equal">
      <formula>"PTO"</formula>
    </cfRule>
  </conditionalFormatting>
  <conditionalFormatting sqref="N26">
    <cfRule type="cellIs" dxfId="24570" priority="16263" operator="equal">
      <formula>"OFF"</formula>
    </cfRule>
    <cfRule type="cellIs" dxfId="24569" priority="16264" operator="equal">
      <formula>"PTO"</formula>
    </cfRule>
  </conditionalFormatting>
  <conditionalFormatting sqref="N26">
    <cfRule type="cellIs" dxfId="24568" priority="16261" operator="equal">
      <formula>"OFF"</formula>
    </cfRule>
    <cfRule type="cellIs" dxfId="24567" priority="16262" operator="equal">
      <formula>"PTO"</formula>
    </cfRule>
  </conditionalFormatting>
  <conditionalFormatting sqref="N26">
    <cfRule type="cellIs" dxfId="24566" priority="16259" operator="equal">
      <formula>"OFF"</formula>
    </cfRule>
    <cfRule type="cellIs" dxfId="24565" priority="16260" operator="equal">
      <formula>"PTO"</formula>
    </cfRule>
  </conditionalFormatting>
  <conditionalFormatting sqref="N26">
    <cfRule type="cellIs" dxfId="24564" priority="16257" operator="equal">
      <formula>"OFF"</formula>
    </cfRule>
    <cfRule type="cellIs" dxfId="24563" priority="16258" operator="equal">
      <formula>"PTO"</formula>
    </cfRule>
  </conditionalFormatting>
  <conditionalFormatting sqref="N27">
    <cfRule type="cellIs" dxfId="24562" priority="16255" operator="equal">
      <formula>"OFF"</formula>
    </cfRule>
    <cfRule type="cellIs" dxfId="24561" priority="16256" operator="equal">
      <formula>"PTO"</formula>
    </cfRule>
  </conditionalFormatting>
  <conditionalFormatting sqref="N27">
    <cfRule type="cellIs" dxfId="24560" priority="16253" operator="equal">
      <formula>"OFF"</formula>
    </cfRule>
    <cfRule type="cellIs" dxfId="24559" priority="16254" operator="equal">
      <formula>"PTO"</formula>
    </cfRule>
  </conditionalFormatting>
  <conditionalFormatting sqref="N27">
    <cfRule type="cellIs" dxfId="24558" priority="16251" operator="equal">
      <formula>"OFF"</formula>
    </cfRule>
    <cfRule type="cellIs" dxfId="24557" priority="16252" operator="equal">
      <formula>"PTO"</formula>
    </cfRule>
  </conditionalFormatting>
  <conditionalFormatting sqref="N27">
    <cfRule type="cellIs" dxfId="24556" priority="16249" operator="equal">
      <formula>"OFF"</formula>
    </cfRule>
    <cfRule type="cellIs" dxfId="24555" priority="16250" operator="equal">
      <formula>"PTO"</formula>
    </cfRule>
  </conditionalFormatting>
  <conditionalFormatting sqref="N27">
    <cfRule type="cellIs" dxfId="24554" priority="16247" operator="equal">
      <formula>"OFF"</formula>
    </cfRule>
    <cfRule type="cellIs" dxfId="24553" priority="16248" operator="equal">
      <formula>"PTO"</formula>
    </cfRule>
  </conditionalFormatting>
  <conditionalFormatting sqref="N27">
    <cfRule type="cellIs" dxfId="24552" priority="16245" operator="equal">
      <formula>"OFF"</formula>
    </cfRule>
    <cfRule type="cellIs" dxfId="24551" priority="16246" operator="equal">
      <formula>"PTO"</formula>
    </cfRule>
  </conditionalFormatting>
  <conditionalFormatting sqref="N27">
    <cfRule type="cellIs" dxfId="24550" priority="16243" operator="equal">
      <formula>"OFF"</formula>
    </cfRule>
    <cfRule type="cellIs" dxfId="24549" priority="16244" operator="equal">
      <formula>"PTO"</formula>
    </cfRule>
  </conditionalFormatting>
  <conditionalFormatting sqref="N27">
    <cfRule type="cellIs" dxfId="24548" priority="16241" operator="equal">
      <formula>"OFF"</formula>
    </cfRule>
    <cfRule type="cellIs" dxfId="24547" priority="16242" operator="equal">
      <formula>"PTO"</formula>
    </cfRule>
  </conditionalFormatting>
  <conditionalFormatting sqref="N26">
    <cfRule type="cellIs" dxfId="24546" priority="16239" operator="equal">
      <formula>"OFF"</formula>
    </cfRule>
    <cfRule type="cellIs" dxfId="24545" priority="16240" operator="equal">
      <formula>"PTO"</formula>
    </cfRule>
  </conditionalFormatting>
  <conditionalFormatting sqref="N26">
    <cfRule type="cellIs" dxfId="24544" priority="16237" operator="equal">
      <formula>"OFF"</formula>
    </cfRule>
    <cfRule type="cellIs" dxfId="24543" priority="16238" operator="equal">
      <formula>"PTO"</formula>
    </cfRule>
  </conditionalFormatting>
  <conditionalFormatting sqref="N26">
    <cfRule type="cellIs" dxfId="24542" priority="16235" operator="equal">
      <formula>"OFF"</formula>
    </cfRule>
    <cfRule type="cellIs" dxfId="24541" priority="16236" operator="equal">
      <formula>"PTO"</formula>
    </cfRule>
  </conditionalFormatting>
  <conditionalFormatting sqref="N26">
    <cfRule type="cellIs" dxfId="24540" priority="16233" operator="equal">
      <formula>"OFF"</formula>
    </cfRule>
    <cfRule type="cellIs" dxfId="24539" priority="16234" operator="equal">
      <formula>"PTO"</formula>
    </cfRule>
  </conditionalFormatting>
  <conditionalFormatting sqref="N26">
    <cfRule type="cellIs" dxfId="24538" priority="16231" operator="equal">
      <formula>"OFF"</formula>
    </cfRule>
    <cfRule type="cellIs" dxfId="24537" priority="16232" operator="equal">
      <formula>"PTO"</formula>
    </cfRule>
  </conditionalFormatting>
  <conditionalFormatting sqref="N26">
    <cfRule type="cellIs" dxfId="24536" priority="16229" operator="equal">
      <formula>"OFF"</formula>
    </cfRule>
    <cfRule type="cellIs" dxfId="24535" priority="16230" operator="equal">
      <formula>"PTO"</formula>
    </cfRule>
  </conditionalFormatting>
  <conditionalFormatting sqref="N26">
    <cfRule type="cellIs" dxfId="24534" priority="16227" operator="equal">
      <formula>"OFF"</formula>
    </cfRule>
    <cfRule type="cellIs" dxfId="24533" priority="16228" operator="equal">
      <formula>"PTO"</formula>
    </cfRule>
  </conditionalFormatting>
  <conditionalFormatting sqref="N26">
    <cfRule type="cellIs" dxfId="24532" priority="16225" operator="equal">
      <formula>"OFF"</formula>
    </cfRule>
    <cfRule type="cellIs" dxfId="24531" priority="16226" operator="equal">
      <formula>"PTO"</formula>
    </cfRule>
  </conditionalFormatting>
  <conditionalFormatting sqref="N27">
    <cfRule type="cellIs" dxfId="24530" priority="16223" operator="equal">
      <formula>"OFF"</formula>
    </cfRule>
    <cfRule type="cellIs" dxfId="24529" priority="16224" operator="equal">
      <formula>"PTO"</formula>
    </cfRule>
  </conditionalFormatting>
  <conditionalFormatting sqref="N27">
    <cfRule type="cellIs" dxfId="24528" priority="16221" operator="equal">
      <formula>"OFF"</formula>
    </cfRule>
    <cfRule type="cellIs" dxfId="24527" priority="16222" operator="equal">
      <formula>"PTO"</formula>
    </cfRule>
  </conditionalFormatting>
  <conditionalFormatting sqref="N27">
    <cfRule type="cellIs" dxfId="24526" priority="16219" operator="equal">
      <formula>"OFF"</formula>
    </cfRule>
    <cfRule type="cellIs" dxfId="24525" priority="16220" operator="equal">
      <formula>"PTO"</formula>
    </cfRule>
  </conditionalFormatting>
  <conditionalFormatting sqref="N27">
    <cfRule type="cellIs" dxfId="24524" priority="16217" operator="equal">
      <formula>"OFF"</formula>
    </cfRule>
    <cfRule type="cellIs" dxfId="24523" priority="16218" operator="equal">
      <formula>"PTO"</formula>
    </cfRule>
  </conditionalFormatting>
  <conditionalFormatting sqref="N27">
    <cfRule type="cellIs" dxfId="24522" priority="16215" operator="equal">
      <formula>"OFF"</formula>
    </cfRule>
    <cfRule type="cellIs" dxfId="24521" priority="16216" operator="equal">
      <formula>"PTO"</formula>
    </cfRule>
  </conditionalFormatting>
  <conditionalFormatting sqref="N27">
    <cfRule type="cellIs" dxfId="24520" priority="16213" operator="equal">
      <formula>"OFF"</formula>
    </cfRule>
    <cfRule type="cellIs" dxfId="24519" priority="16214" operator="equal">
      <formula>"PTO"</formula>
    </cfRule>
  </conditionalFormatting>
  <conditionalFormatting sqref="N27">
    <cfRule type="cellIs" dxfId="24518" priority="16211" operator="equal">
      <formula>"OFF"</formula>
    </cfRule>
    <cfRule type="cellIs" dxfId="24517" priority="16212" operator="equal">
      <formula>"PTO"</formula>
    </cfRule>
  </conditionalFormatting>
  <conditionalFormatting sqref="N27">
    <cfRule type="cellIs" dxfId="24516" priority="16209" operator="equal">
      <formula>"OFF"</formula>
    </cfRule>
    <cfRule type="cellIs" dxfId="24515" priority="16210" operator="equal">
      <formula>"PTO"</formula>
    </cfRule>
  </conditionalFormatting>
  <conditionalFormatting sqref="N26">
    <cfRule type="cellIs" dxfId="24514" priority="16207" operator="equal">
      <formula>"OFF"</formula>
    </cfRule>
    <cfRule type="cellIs" dxfId="24513" priority="16208" operator="equal">
      <formula>"PTO"</formula>
    </cfRule>
  </conditionalFormatting>
  <conditionalFormatting sqref="N26">
    <cfRule type="cellIs" dxfId="24512" priority="16205" operator="equal">
      <formula>"OFF"</formula>
    </cfRule>
    <cfRule type="cellIs" dxfId="24511" priority="16206" operator="equal">
      <formula>"PTO"</formula>
    </cfRule>
  </conditionalFormatting>
  <conditionalFormatting sqref="N26">
    <cfRule type="cellIs" dxfId="24510" priority="16203" operator="equal">
      <formula>"OFF"</formula>
    </cfRule>
    <cfRule type="cellIs" dxfId="24509" priority="16204" operator="equal">
      <formula>"PTO"</formula>
    </cfRule>
  </conditionalFormatting>
  <conditionalFormatting sqref="N26">
    <cfRule type="cellIs" dxfId="24508" priority="16201" operator="equal">
      <formula>"OFF"</formula>
    </cfRule>
    <cfRule type="cellIs" dxfId="24507" priority="16202" operator="equal">
      <formula>"PTO"</formula>
    </cfRule>
  </conditionalFormatting>
  <conditionalFormatting sqref="N26">
    <cfRule type="cellIs" dxfId="24506" priority="16199" operator="equal">
      <formula>"OFF"</formula>
    </cfRule>
    <cfRule type="cellIs" dxfId="24505" priority="16200" operator="equal">
      <formula>"PTO"</formula>
    </cfRule>
  </conditionalFormatting>
  <conditionalFormatting sqref="N26">
    <cfRule type="cellIs" dxfId="24504" priority="16197" operator="equal">
      <formula>"OFF"</formula>
    </cfRule>
    <cfRule type="cellIs" dxfId="24503" priority="16198" operator="equal">
      <formula>"PTO"</formula>
    </cfRule>
  </conditionalFormatting>
  <conditionalFormatting sqref="N26">
    <cfRule type="cellIs" dxfId="24502" priority="16195" operator="equal">
      <formula>"OFF"</formula>
    </cfRule>
    <cfRule type="cellIs" dxfId="24501" priority="16196" operator="equal">
      <formula>"PTO"</formula>
    </cfRule>
  </conditionalFormatting>
  <conditionalFormatting sqref="N26">
    <cfRule type="cellIs" dxfId="24500" priority="16193" operator="equal">
      <formula>"OFF"</formula>
    </cfRule>
    <cfRule type="cellIs" dxfId="24499" priority="16194" operator="equal">
      <formula>"PTO"</formula>
    </cfRule>
  </conditionalFormatting>
  <conditionalFormatting sqref="N27">
    <cfRule type="cellIs" dxfId="24498" priority="16191" operator="equal">
      <formula>"OFF"</formula>
    </cfRule>
    <cfRule type="cellIs" dxfId="24497" priority="16192" operator="equal">
      <formula>"PTO"</formula>
    </cfRule>
  </conditionalFormatting>
  <conditionalFormatting sqref="N27">
    <cfRule type="cellIs" dxfId="24496" priority="16189" operator="equal">
      <formula>"OFF"</formula>
    </cfRule>
    <cfRule type="cellIs" dxfId="24495" priority="16190" operator="equal">
      <formula>"PTO"</formula>
    </cfRule>
  </conditionalFormatting>
  <conditionalFormatting sqref="N27">
    <cfRule type="cellIs" dxfId="24494" priority="16187" operator="equal">
      <formula>"OFF"</formula>
    </cfRule>
    <cfRule type="cellIs" dxfId="24493" priority="16188" operator="equal">
      <formula>"PTO"</formula>
    </cfRule>
  </conditionalFormatting>
  <conditionalFormatting sqref="N27">
    <cfRule type="cellIs" dxfId="24492" priority="16185" operator="equal">
      <formula>"OFF"</formula>
    </cfRule>
    <cfRule type="cellIs" dxfId="24491" priority="16186" operator="equal">
      <formula>"PTO"</formula>
    </cfRule>
  </conditionalFormatting>
  <conditionalFormatting sqref="N27">
    <cfRule type="cellIs" dxfId="24490" priority="16183" operator="equal">
      <formula>"OFF"</formula>
    </cfRule>
    <cfRule type="cellIs" dxfId="24489" priority="16184" operator="equal">
      <formula>"PTO"</formula>
    </cfRule>
  </conditionalFormatting>
  <conditionalFormatting sqref="N27">
    <cfRule type="cellIs" dxfId="24488" priority="16181" operator="equal">
      <formula>"OFF"</formula>
    </cfRule>
    <cfRule type="cellIs" dxfId="24487" priority="16182" operator="equal">
      <formula>"PTO"</formula>
    </cfRule>
  </conditionalFormatting>
  <conditionalFormatting sqref="N27">
    <cfRule type="cellIs" dxfId="24486" priority="16179" operator="equal">
      <formula>"OFF"</formula>
    </cfRule>
    <cfRule type="cellIs" dxfId="24485" priority="16180" operator="equal">
      <formula>"PTO"</formula>
    </cfRule>
  </conditionalFormatting>
  <conditionalFormatting sqref="N27">
    <cfRule type="cellIs" dxfId="24484" priority="16177" operator="equal">
      <formula>"OFF"</formula>
    </cfRule>
    <cfRule type="cellIs" dxfId="24483" priority="16178" operator="equal">
      <formula>"PTO"</formula>
    </cfRule>
  </conditionalFormatting>
  <conditionalFormatting sqref="N29">
    <cfRule type="cellIs" dxfId="24482" priority="16175" operator="equal">
      <formula>"OFF"</formula>
    </cfRule>
    <cfRule type="cellIs" dxfId="24481" priority="16176" operator="equal">
      <formula>"PTO"</formula>
    </cfRule>
  </conditionalFormatting>
  <conditionalFormatting sqref="N29">
    <cfRule type="cellIs" dxfId="24480" priority="16173" operator="equal">
      <formula>"OFF"</formula>
    </cfRule>
    <cfRule type="cellIs" dxfId="24479" priority="16174" operator="equal">
      <formula>"PTO"</formula>
    </cfRule>
  </conditionalFormatting>
  <conditionalFormatting sqref="N29">
    <cfRule type="cellIs" dxfId="24478" priority="16171" operator="equal">
      <formula>"OFF"</formula>
    </cfRule>
    <cfRule type="cellIs" dxfId="24477" priority="16172" operator="equal">
      <formula>"PTO"</formula>
    </cfRule>
  </conditionalFormatting>
  <conditionalFormatting sqref="N29">
    <cfRule type="cellIs" dxfId="24476" priority="16169" operator="equal">
      <formula>"OFF"</formula>
    </cfRule>
    <cfRule type="cellIs" dxfId="24475" priority="16170" operator="equal">
      <formula>"PTO"</formula>
    </cfRule>
  </conditionalFormatting>
  <conditionalFormatting sqref="N29">
    <cfRule type="cellIs" dxfId="24474" priority="16167" operator="equal">
      <formula>"OFF"</formula>
    </cfRule>
    <cfRule type="cellIs" dxfId="24473" priority="16168" operator="equal">
      <formula>"PTO"</formula>
    </cfRule>
  </conditionalFormatting>
  <conditionalFormatting sqref="N29">
    <cfRule type="cellIs" dxfId="24472" priority="16165" operator="equal">
      <formula>"OFF"</formula>
    </cfRule>
    <cfRule type="cellIs" dxfId="24471" priority="16166" operator="equal">
      <formula>"PTO"</formula>
    </cfRule>
  </conditionalFormatting>
  <conditionalFormatting sqref="N29">
    <cfRule type="cellIs" dxfId="24470" priority="16163" operator="equal">
      <formula>"OFF"</formula>
    </cfRule>
    <cfRule type="cellIs" dxfId="24469" priority="16164" operator="equal">
      <formula>"PTO"</formula>
    </cfRule>
  </conditionalFormatting>
  <conditionalFormatting sqref="N29">
    <cfRule type="cellIs" dxfId="24468" priority="16161" operator="equal">
      <formula>"OFF"</formula>
    </cfRule>
    <cfRule type="cellIs" dxfId="24467" priority="16162" operator="equal">
      <formula>"PTO"</formula>
    </cfRule>
  </conditionalFormatting>
  <conditionalFormatting sqref="N29">
    <cfRule type="cellIs" dxfId="24466" priority="16159" operator="equal">
      <formula>"OFF"</formula>
    </cfRule>
    <cfRule type="cellIs" dxfId="24465" priority="16160" operator="equal">
      <formula>"PTO"</formula>
    </cfRule>
  </conditionalFormatting>
  <conditionalFormatting sqref="N29">
    <cfRule type="cellIs" dxfId="24464" priority="16157" operator="equal">
      <formula>"OFF"</formula>
    </cfRule>
    <cfRule type="cellIs" dxfId="24463" priority="16158" operator="equal">
      <formula>"PTO"</formula>
    </cfRule>
  </conditionalFormatting>
  <conditionalFormatting sqref="N29">
    <cfRule type="cellIs" dxfId="24462" priority="16155" operator="equal">
      <formula>"OFF"</formula>
    </cfRule>
    <cfRule type="cellIs" dxfId="24461" priority="16156" operator="equal">
      <formula>"PTO"</formula>
    </cfRule>
  </conditionalFormatting>
  <conditionalFormatting sqref="N29">
    <cfRule type="cellIs" dxfId="24460" priority="16153" operator="equal">
      <formula>"OFF"</formula>
    </cfRule>
    <cfRule type="cellIs" dxfId="24459" priority="16154" operator="equal">
      <formula>"PTO"</formula>
    </cfRule>
  </conditionalFormatting>
  <conditionalFormatting sqref="N29">
    <cfRule type="cellIs" dxfId="24458" priority="16151" operator="equal">
      <formula>"OFF"</formula>
    </cfRule>
    <cfRule type="cellIs" dxfId="24457" priority="16152" operator="equal">
      <formula>"PTO"</formula>
    </cfRule>
  </conditionalFormatting>
  <conditionalFormatting sqref="N29">
    <cfRule type="cellIs" dxfId="24456" priority="16149" operator="equal">
      <formula>"OFF"</formula>
    </cfRule>
    <cfRule type="cellIs" dxfId="24455" priority="16150" operator="equal">
      <formula>"PTO"</formula>
    </cfRule>
  </conditionalFormatting>
  <conditionalFormatting sqref="N29">
    <cfRule type="cellIs" dxfId="24454" priority="16147" operator="equal">
      <formula>"OFF"</formula>
    </cfRule>
    <cfRule type="cellIs" dxfId="24453" priority="16148" operator="equal">
      <formula>"PTO"</formula>
    </cfRule>
  </conditionalFormatting>
  <conditionalFormatting sqref="N29">
    <cfRule type="cellIs" dxfId="24452" priority="16145" operator="equal">
      <formula>"OFF"</formula>
    </cfRule>
    <cfRule type="cellIs" dxfId="24451" priority="16146" operator="equal">
      <formula>"PTO"</formula>
    </cfRule>
  </conditionalFormatting>
  <conditionalFormatting sqref="N29">
    <cfRule type="cellIs" dxfId="24450" priority="16143" operator="equal">
      <formula>"OFF"</formula>
    </cfRule>
    <cfRule type="cellIs" dxfId="24449" priority="16144" operator="equal">
      <formula>"PTO"</formula>
    </cfRule>
  </conditionalFormatting>
  <conditionalFormatting sqref="N29">
    <cfRule type="cellIs" dxfId="24448" priority="16141" operator="equal">
      <formula>"OFF"</formula>
    </cfRule>
    <cfRule type="cellIs" dxfId="24447" priority="16142" operator="equal">
      <formula>"PTO"</formula>
    </cfRule>
  </conditionalFormatting>
  <conditionalFormatting sqref="N29">
    <cfRule type="cellIs" dxfId="24446" priority="16139" operator="equal">
      <formula>"OFF"</formula>
    </cfRule>
    <cfRule type="cellIs" dxfId="24445" priority="16140" operator="equal">
      <formula>"PTO"</formula>
    </cfRule>
  </conditionalFormatting>
  <conditionalFormatting sqref="N29">
    <cfRule type="cellIs" dxfId="24444" priority="16137" operator="equal">
      <formula>"OFF"</formula>
    </cfRule>
    <cfRule type="cellIs" dxfId="24443" priority="16138" operator="equal">
      <formula>"PTO"</formula>
    </cfRule>
  </conditionalFormatting>
  <conditionalFormatting sqref="N29">
    <cfRule type="cellIs" dxfId="24442" priority="16135" operator="equal">
      <formula>"OFF"</formula>
    </cfRule>
    <cfRule type="cellIs" dxfId="24441" priority="16136" operator="equal">
      <formula>"PTO"</formula>
    </cfRule>
  </conditionalFormatting>
  <conditionalFormatting sqref="N29">
    <cfRule type="cellIs" dxfId="24440" priority="16133" operator="equal">
      <formula>"OFF"</formula>
    </cfRule>
    <cfRule type="cellIs" dxfId="24439" priority="16134" operator="equal">
      <formula>"PTO"</formula>
    </cfRule>
  </conditionalFormatting>
  <conditionalFormatting sqref="N29">
    <cfRule type="cellIs" dxfId="24438" priority="16131" operator="equal">
      <formula>"OFF"</formula>
    </cfRule>
    <cfRule type="cellIs" dxfId="24437" priority="16132" operator="equal">
      <formula>"PTO"</formula>
    </cfRule>
  </conditionalFormatting>
  <conditionalFormatting sqref="N29">
    <cfRule type="cellIs" dxfId="24436" priority="16129" operator="equal">
      <formula>"OFF"</formula>
    </cfRule>
    <cfRule type="cellIs" dxfId="24435" priority="16130" operator="equal">
      <formula>"PTO"</formula>
    </cfRule>
  </conditionalFormatting>
  <conditionalFormatting sqref="N29">
    <cfRule type="cellIs" dxfId="24434" priority="16127" operator="equal">
      <formula>"OFF"</formula>
    </cfRule>
    <cfRule type="cellIs" dxfId="24433" priority="16128" operator="equal">
      <formula>"PTO"</formula>
    </cfRule>
  </conditionalFormatting>
  <conditionalFormatting sqref="N29">
    <cfRule type="cellIs" dxfId="24432" priority="16125" operator="equal">
      <formula>"OFF"</formula>
    </cfRule>
    <cfRule type="cellIs" dxfId="24431" priority="16126" operator="equal">
      <formula>"PTO"</formula>
    </cfRule>
  </conditionalFormatting>
  <conditionalFormatting sqref="N29">
    <cfRule type="cellIs" dxfId="24430" priority="16123" operator="equal">
      <formula>"OFF"</formula>
    </cfRule>
    <cfRule type="cellIs" dxfId="24429" priority="16124" operator="equal">
      <formula>"PTO"</formula>
    </cfRule>
  </conditionalFormatting>
  <conditionalFormatting sqref="N29">
    <cfRule type="cellIs" dxfId="24428" priority="16121" operator="equal">
      <formula>"OFF"</formula>
    </cfRule>
    <cfRule type="cellIs" dxfId="24427" priority="16122" operator="equal">
      <formula>"PTO"</formula>
    </cfRule>
  </conditionalFormatting>
  <conditionalFormatting sqref="N29">
    <cfRule type="cellIs" dxfId="24426" priority="16119" operator="equal">
      <formula>"OFF"</formula>
    </cfRule>
    <cfRule type="cellIs" dxfId="24425" priority="16120" operator="equal">
      <formula>"PTO"</formula>
    </cfRule>
  </conditionalFormatting>
  <conditionalFormatting sqref="N29">
    <cfRule type="cellIs" dxfId="24424" priority="16117" operator="equal">
      <formula>"OFF"</formula>
    </cfRule>
    <cfRule type="cellIs" dxfId="24423" priority="16118" operator="equal">
      <formula>"PTO"</formula>
    </cfRule>
  </conditionalFormatting>
  <conditionalFormatting sqref="N29">
    <cfRule type="cellIs" dxfId="24422" priority="16115" operator="equal">
      <formula>"OFF"</formula>
    </cfRule>
    <cfRule type="cellIs" dxfId="24421" priority="16116" operator="equal">
      <formula>"PTO"</formula>
    </cfRule>
  </conditionalFormatting>
  <conditionalFormatting sqref="N29">
    <cfRule type="cellIs" dxfId="24420" priority="16113" operator="equal">
      <formula>"OFF"</formula>
    </cfRule>
    <cfRule type="cellIs" dxfId="24419" priority="16114" operator="equal">
      <formula>"PTO"</formula>
    </cfRule>
  </conditionalFormatting>
  <conditionalFormatting sqref="N29">
    <cfRule type="cellIs" dxfId="24418" priority="16111" operator="equal">
      <formula>"OFF"</formula>
    </cfRule>
    <cfRule type="cellIs" dxfId="24417" priority="16112" operator="equal">
      <formula>"PTO"</formula>
    </cfRule>
  </conditionalFormatting>
  <conditionalFormatting sqref="N29">
    <cfRule type="cellIs" dxfId="24416" priority="16109" operator="equal">
      <formula>"OFF"</formula>
    </cfRule>
    <cfRule type="cellIs" dxfId="24415" priority="16110" operator="equal">
      <formula>"PTO"</formula>
    </cfRule>
  </conditionalFormatting>
  <conditionalFormatting sqref="N29">
    <cfRule type="cellIs" dxfId="24414" priority="16107" operator="equal">
      <formula>"OFF"</formula>
    </cfRule>
    <cfRule type="cellIs" dxfId="24413" priority="16108" operator="equal">
      <formula>"PTO"</formula>
    </cfRule>
  </conditionalFormatting>
  <conditionalFormatting sqref="N29">
    <cfRule type="cellIs" dxfId="24412" priority="16105" operator="equal">
      <formula>"OFF"</formula>
    </cfRule>
    <cfRule type="cellIs" dxfId="24411" priority="16106" operator="equal">
      <formula>"PTO"</formula>
    </cfRule>
  </conditionalFormatting>
  <conditionalFormatting sqref="N29">
    <cfRule type="cellIs" dxfId="24410" priority="16103" operator="equal">
      <formula>"OFF"</formula>
    </cfRule>
    <cfRule type="cellIs" dxfId="24409" priority="16104" operator="equal">
      <formula>"PTO"</formula>
    </cfRule>
  </conditionalFormatting>
  <conditionalFormatting sqref="N29">
    <cfRule type="cellIs" dxfId="24408" priority="16101" operator="equal">
      <formula>"OFF"</formula>
    </cfRule>
    <cfRule type="cellIs" dxfId="24407" priority="16102" operator="equal">
      <formula>"PTO"</formula>
    </cfRule>
  </conditionalFormatting>
  <conditionalFormatting sqref="N29">
    <cfRule type="cellIs" dxfId="24406" priority="16099" operator="equal">
      <formula>"OFF"</formula>
    </cfRule>
    <cfRule type="cellIs" dxfId="24405" priority="16100" operator="equal">
      <formula>"PTO"</formula>
    </cfRule>
  </conditionalFormatting>
  <conditionalFormatting sqref="N29">
    <cfRule type="cellIs" dxfId="24404" priority="16097" operator="equal">
      <formula>"OFF"</formula>
    </cfRule>
    <cfRule type="cellIs" dxfId="24403" priority="16098" operator="equal">
      <formula>"PTO"</formula>
    </cfRule>
  </conditionalFormatting>
  <conditionalFormatting sqref="N29">
    <cfRule type="cellIs" dxfId="24402" priority="16095" operator="equal">
      <formula>"OFF"</formula>
    </cfRule>
    <cfRule type="cellIs" dxfId="24401" priority="16096" operator="equal">
      <formula>"PTO"</formula>
    </cfRule>
  </conditionalFormatting>
  <conditionalFormatting sqref="N29">
    <cfRule type="cellIs" dxfId="24400" priority="16093" operator="equal">
      <formula>"OFF"</formula>
    </cfRule>
    <cfRule type="cellIs" dxfId="24399" priority="16094" operator="equal">
      <formula>"PTO"</formula>
    </cfRule>
  </conditionalFormatting>
  <conditionalFormatting sqref="N29">
    <cfRule type="cellIs" dxfId="24398" priority="16091" operator="equal">
      <formula>"OFF"</formula>
    </cfRule>
    <cfRule type="cellIs" dxfId="24397" priority="16092" operator="equal">
      <formula>"PTO"</formula>
    </cfRule>
  </conditionalFormatting>
  <conditionalFormatting sqref="N29">
    <cfRule type="cellIs" dxfId="24396" priority="16089" operator="equal">
      <formula>"OFF"</formula>
    </cfRule>
    <cfRule type="cellIs" dxfId="24395" priority="16090" operator="equal">
      <formula>"PTO"</formula>
    </cfRule>
  </conditionalFormatting>
  <conditionalFormatting sqref="N29">
    <cfRule type="cellIs" dxfId="24394" priority="16087" operator="equal">
      <formula>"OFF"</formula>
    </cfRule>
    <cfRule type="cellIs" dxfId="24393" priority="16088" operator="equal">
      <formula>"PTO"</formula>
    </cfRule>
  </conditionalFormatting>
  <conditionalFormatting sqref="N29">
    <cfRule type="cellIs" dxfId="24392" priority="16085" operator="equal">
      <formula>"OFF"</formula>
    </cfRule>
    <cfRule type="cellIs" dxfId="24391" priority="16086" operator="equal">
      <formula>"PTO"</formula>
    </cfRule>
  </conditionalFormatting>
  <conditionalFormatting sqref="N29">
    <cfRule type="cellIs" dxfId="24390" priority="16083" operator="equal">
      <formula>"OFF"</formula>
    </cfRule>
    <cfRule type="cellIs" dxfId="24389" priority="16084" operator="equal">
      <formula>"PTO"</formula>
    </cfRule>
  </conditionalFormatting>
  <conditionalFormatting sqref="N29">
    <cfRule type="cellIs" dxfId="24388" priority="16081" operator="equal">
      <formula>"OFF"</formula>
    </cfRule>
    <cfRule type="cellIs" dxfId="24387" priority="16082" operator="equal">
      <formula>"PTO"</formula>
    </cfRule>
  </conditionalFormatting>
  <conditionalFormatting sqref="N29">
    <cfRule type="cellIs" dxfId="24386" priority="16079" operator="equal">
      <formula>"OFF"</formula>
    </cfRule>
    <cfRule type="cellIs" dxfId="24385" priority="16080" operator="equal">
      <formula>"PTO"</formula>
    </cfRule>
  </conditionalFormatting>
  <conditionalFormatting sqref="N29">
    <cfRule type="cellIs" dxfId="24384" priority="16077" operator="equal">
      <formula>"OFF"</formula>
    </cfRule>
    <cfRule type="cellIs" dxfId="24383" priority="16078" operator="equal">
      <formula>"PTO"</formula>
    </cfRule>
  </conditionalFormatting>
  <conditionalFormatting sqref="N29">
    <cfRule type="cellIs" dxfId="24382" priority="16075" operator="equal">
      <formula>"OFF"</formula>
    </cfRule>
    <cfRule type="cellIs" dxfId="24381" priority="16076" operator="equal">
      <formula>"PTO"</formula>
    </cfRule>
  </conditionalFormatting>
  <conditionalFormatting sqref="N29">
    <cfRule type="cellIs" dxfId="24380" priority="16073" operator="equal">
      <formula>"OFF"</formula>
    </cfRule>
    <cfRule type="cellIs" dxfId="24379" priority="16074" operator="equal">
      <formula>"PTO"</formula>
    </cfRule>
  </conditionalFormatting>
  <conditionalFormatting sqref="N29">
    <cfRule type="cellIs" dxfId="24378" priority="16071" operator="equal">
      <formula>"OFF"</formula>
    </cfRule>
    <cfRule type="cellIs" dxfId="24377" priority="16072" operator="equal">
      <formula>"PTO"</formula>
    </cfRule>
  </conditionalFormatting>
  <conditionalFormatting sqref="N29">
    <cfRule type="cellIs" dxfId="24376" priority="16069" operator="equal">
      <formula>"OFF"</formula>
    </cfRule>
    <cfRule type="cellIs" dxfId="24375" priority="16070" operator="equal">
      <formula>"PTO"</formula>
    </cfRule>
  </conditionalFormatting>
  <conditionalFormatting sqref="N29">
    <cfRule type="cellIs" dxfId="24374" priority="16067" operator="equal">
      <formula>"OFF"</formula>
    </cfRule>
    <cfRule type="cellIs" dxfId="24373" priority="16068" operator="equal">
      <formula>"PTO"</formula>
    </cfRule>
  </conditionalFormatting>
  <conditionalFormatting sqref="N29">
    <cfRule type="cellIs" dxfId="24372" priority="16065" operator="equal">
      <formula>"OFF"</formula>
    </cfRule>
    <cfRule type="cellIs" dxfId="24371" priority="16066" operator="equal">
      <formula>"PTO"</formula>
    </cfRule>
  </conditionalFormatting>
  <conditionalFormatting sqref="N30">
    <cfRule type="cellIs" dxfId="24370" priority="16063" operator="equal">
      <formula>"OFF"</formula>
    </cfRule>
    <cfRule type="cellIs" dxfId="24369" priority="16064" operator="equal">
      <formula>"PTO"</formula>
    </cfRule>
  </conditionalFormatting>
  <conditionalFormatting sqref="N30">
    <cfRule type="cellIs" dxfId="24368" priority="16061" operator="equal">
      <formula>"OFF"</formula>
    </cfRule>
    <cfRule type="cellIs" dxfId="24367" priority="16062" operator="equal">
      <formula>"PTO"</formula>
    </cfRule>
  </conditionalFormatting>
  <conditionalFormatting sqref="N30">
    <cfRule type="cellIs" dxfId="24366" priority="16059" operator="equal">
      <formula>"OFF"</formula>
    </cfRule>
    <cfRule type="cellIs" dxfId="24365" priority="16060" operator="equal">
      <formula>"PTO"</formula>
    </cfRule>
  </conditionalFormatting>
  <conditionalFormatting sqref="N30">
    <cfRule type="cellIs" dxfId="24364" priority="16057" operator="equal">
      <formula>"OFF"</formula>
    </cfRule>
    <cfRule type="cellIs" dxfId="24363" priority="16058" operator="equal">
      <formula>"PTO"</formula>
    </cfRule>
  </conditionalFormatting>
  <conditionalFormatting sqref="N30">
    <cfRule type="cellIs" dxfId="24362" priority="16055" operator="equal">
      <formula>"OFF"</formula>
    </cfRule>
    <cfRule type="cellIs" dxfId="24361" priority="16056" operator="equal">
      <formula>"PTO"</formula>
    </cfRule>
  </conditionalFormatting>
  <conditionalFormatting sqref="N30">
    <cfRule type="cellIs" dxfId="24360" priority="16053" operator="equal">
      <formula>"OFF"</formula>
    </cfRule>
    <cfRule type="cellIs" dxfId="24359" priority="16054" operator="equal">
      <formula>"PTO"</formula>
    </cfRule>
  </conditionalFormatting>
  <conditionalFormatting sqref="N30">
    <cfRule type="cellIs" dxfId="24358" priority="16051" operator="equal">
      <formula>"OFF"</formula>
    </cfRule>
    <cfRule type="cellIs" dxfId="24357" priority="16052" operator="equal">
      <formula>"PTO"</formula>
    </cfRule>
  </conditionalFormatting>
  <conditionalFormatting sqref="N30">
    <cfRule type="cellIs" dxfId="24356" priority="16049" operator="equal">
      <formula>"OFF"</formula>
    </cfRule>
    <cfRule type="cellIs" dxfId="24355" priority="16050" operator="equal">
      <formula>"PTO"</formula>
    </cfRule>
  </conditionalFormatting>
  <conditionalFormatting sqref="N30">
    <cfRule type="cellIs" dxfId="24354" priority="16047" operator="equal">
      <formula>"OFF"</formula>
    </cfRule>
    <cfRule type="cellIs" dxfId="24353" priority="16048" operator="equal">
      <formula>"PTO"</formula>
    </cfRule>
  </conditionalFormatting>
  <conditionalFormatting sqref="N30">
    <cfRule type="cellIs" dxfId="24352" priority="16045" operator="equal">
      <formula>"OFF"</formula>
    </cfRule>
    <cfRule type="cellIs" dxfId="24351" priority="16046" operator="equal">
      <formula>"PTO"</formula>
    </cfRule>
  </conditionalFormatting>
  <conditionalFormatting sqref="N30">
    <cfRule type="cellIs" dxfId="24350" priority="16043" operator="equal">
      <formula>"OFF"</formula>
    </cfRule>
    <cfRule type="cellIs" dxfId="24349" priority="16044" operator="equal">
      <formula>"PTO"</formula>
    </cfRule>
  </conditionalFormatting>
  <conditionalFormatting sqref="N30">
    <cfRule type="cellIs" dxfId="24348" priority="16041" operator="equal">
      <formula>"OFF"</formula>
    </cfRule>
    <cfRule type="cellIs" dxfId="24347" priority="16042" operator="equal">
      <formula>"PTO"</formula>
    </cfRule>
  </conditionalFormatting>
  <conditionalFormatting sqref="N30">
    <cfRule type="cellIs" dxfId="24346" priority="16039" operator="equal">
      <formula>"OFF"</formula>
    </cfRule>
    <cfRule type="cellIs" dxfId="24345" priority="16040" operator="equal">
      <formula>"PTO"</formula>
    </cfRule>
  </conditionalFormatting>
  <conditionalFormatting sqref="N30">
    <cfRule type="cellIs" dxfId="24344" priority="16037" operator="equal">
      <formula>"OFF"</formula>
    </cfRule>
    <cfRule type="cellIs" dxfId="24343" priority="16038" operator="equal">
      <formula>"PTO"</formula>
    </cfRule>
  </conditionalFormatting>
  <conditionalFormatting sqref="N30">
    <cfRule type="cellIs" dxfId="24342" priority="16035" operator="equal">
      <formula>"OFF"</formula>
    </cfRule>
    <cfRule type="cellIs" dxfId="24341" priority="16036" operator="equal">
      <formula>"PTO"</formula>
    </cfRule>
  </conditionalFormatting>
  <conditionalFormatting sqref="N30">
    <cfRule type="cellIs" dxfId="24340" priority="16033" operator="equal">
      <formula>"OFF"</formula>
    </cfRule>
    <cfRule type="cellIs" dxfId="24339" priority="16034" operator="equal">
      <formula>"PTO"</formula>
    </cfRule>
  </conditionalFormatting>
  <conditionalFormatting sqref="N30">
    <cfRule type="cellIs" dxfId="24338" priority="16031" operator="equal">
      <formula>"OFF"</formula>
    </cfRule>
    <cfRule type="cellIs" dxfId="24337" priority="16032" operator="equal">
      <formula>"PTO"</formula>
    </cfRule>
  </conditionalFormatting>
  <conditionalFormatting sqref="N30">
    <cfRule type="cellIs" dxfId="24336" priority="16029" operator="equal">
      <formula>"OFF"</formula>
    </cfRule>
    <cfRule type="cellIs" dxfId="24335" priority="16030" operator="equal">
      <formula>"PTO"</formula>
    </cfRule>
  </conditionalFormatting>
  <conditionalFormatting sqref="N30">
    <cfRule type="cellIs" dxfId="24334" priority="16027" operator="equal">
      <formula>"OFF"</formula>
    </cfRule>
    <cfRule type="cellIs" dxfId="24333" priority="16028" operator="equal">
      <formula>"PTO"</formula>
    </cfRule>
  </conditionalFormatting>
  <conditionalFormatting sqref="N30">
    <cfRule type="cellIs" dxfId="24332" priority="16025" operator="equal">
      <formula>"OFF"</formula>
    </cfRule>
    <cfRule type="cellIs" dxfId="24331" priority="16026" operator="equal">
      <formula>"PTO"</formula>
    </cfRule>
  </conditionalFormatting>
  <conditionalFormatting sqref="N30">
    <cfRule type="cellIs" dxfId="24330" priority="16023" operator="equal">
      <formula>"OFF"</formula>
    </cfRule>
    <cfRule type="cellIs" dxfId="24329" priority="16024" operator="equal">
      <formula>"PTO"</formula>
    </cfRule>
  </conditionalFormatting>
  <conditionalFormatting sqref="N30">
    <cfRule type="cellIs" dxfId="24328" priority="16021" operator="equal">
      <formula>"OFF"</formula>
    </cfRule>
    <cfRule type="cellIs" dxfId="24327" priority="16022" operator="equal">
      <formula>"PTO"</formula>
    </cfRule>
  </conditionalFormatting>
  <conditionalFormatting sqref="N30">
    <cfRule type="cellIs" dxfId="24326" priority="16019" operator="equal">
      <formula>"OFF"</formula>
    </cfRule>
    <cfRule type="cellIs" dxfId="24325" priority="16020" operator="equal">
      <formula>"PTO"</formula>
    </cfRule>
  </conditionalFormatting>
  <conditionalFormatting sqref="N30">
    <cfRule type="cellIs" dxfId="24324" priority="16017" operator="equal">
      <formula>"OFF"</formula>
    </cfRule>
    <cfRule type="cellIs" dxfId="24323" priority="16018" operator="equal">
      <formula>"PTO"</formula>
    </cfRule>
  </conditionalFormatting>
  <conditionalFormatting sqref="N30">
    <cfRule type="cellIs" dxfId="24322" priority="16015" operator="equal">
      <formula>"OFF"</formula>
    </cfRule>
    <cfRule type="cellIs" dxfId="24321" priority="16016" operator="equal">
      <formula>"PTO"</formula>
    </cfRule>
  </conditionalFormatting>
  <conditionalFormatting sqref="N30">
    <cfRule type="cellIs" dxfId="24320" priority="16013" operator="equal">
      <formula>"OFF"</formula>
    </cfRule>
    <cfRule type="cellIs" dxfId="24319" priority="16014" operator="equal">
      <formula>"PTO"</formula>
    </cfRule>
  </conditionalFormatting>
  <conditionalFormatting sqref="N30">
    <cfRule type="cellIs" dxfId="24318" priority="16011" operator="equal">
      <formula>"OFF"</formula>
    </cfRule>
    <cfRule type="cellIs" dxfId="24317" priority="16012" operator="equal">
      <formula>"PTO"</formula>
    </cfRule>
  </conditionalFormatting>
  <conditionalFormatting sqref="N30">
    <cfRule type="cellIs" dxfId="24316" priority="16009" operator="equal">
      <formula>"OFF"</formula>
    </cfRule>
    <cfRule type="cellIs" dxfId="24315" priority="16010" operator="equal">
      <formula>"PTO"</formula>
    </cfRule>
  </conditionalFormatting>
  <conditionalFormatting sqref="N30">
    <cfRule type="cellIs" dxfId="24314" priority="16007" operator="equal">
      <formula>"OFF"</formula>
    </cfRule>
    <cfRule type="cellIs" dxfId="24313" priority="16008" operator="equal">
      <formula>"PTO"</formula>
    </cfRule>
  </conditionalFormatting>
  <conditionalFormatting sqref="N30">
    <cfRule type="cellIs" dxfId="24312" priority="16005" operator="equal">
      <formula>"OFF"</formula>
    </cfRule>
    <cfRule type="cellIs" dxfId="24311" priority="16006" operator="equal">
      <formula>"PTO"</formula>
    </cfRule>
  </conditionalFormatting>
  <conditionalFormatting sqref="N30">
    <cfRule type="cellIs" dxfId="24310" priority="16003" operator="equal">
      <formula>"OFF"</formula>
    </cfRule>
    <cfRule type="cellIs" dxfId="24309" priority="16004" operator="equal">
      <formula>"PTO"</formula>
    </cfRule>
  </conditionalFormatting>
  <conditionalFormatting sqref="N30">
    <cfRule type="cellIs" dxfId="24308" priority="16001" operator="equal">
      <formula>"OFF"</formula>
    </cfRule>
    <cfRule type="cellIs" dxfId="24307" priority="16002" operator="equal">
      <formula>"PTO"</formula>
    </cfRule>
  </conditionalFormatting>
  <conditionalFormatting sqref="N30">
    <cfRule type="cellIs" dxfId="24306" priority="15999" operator="equal">
      <formula>"OFF"</formula>
    </cfRule>
    <cfRule type="cellIs" dxfId="24305" priority="16000" operator="equal">
      <formula>"PTO"</formula>
    </cfRule>
  </conditionalFormatting>
  <conditionalFormatting sqref="N30">
    <cfRule type="cellIs" dxfId="24304" priority="15997" operator="equal">
      <formula>"OFF"</formula>
    </cfRule>
    <cfRule type="cellIs" dxfId="24303" priority="15998" operator="equal">
      <formula>"PTO"</formula>
    </cfRule>
  </conditionalFormatting>
  <conditionalFormatting sqref="N30">
    <cfRule type="cellIs" dxfId="24302" priority="15995" operator="equal">
      <formula>"OFF"</formula>
    </cfRule>
    <cfRule type="cellIs" dxfId="24301" priority="15996" operator="equal">
      <formula>"PTO"</formula>
    </cfRule>
  </conditionalFormatting>
  <conditionalFormatting sqref="N30">
    <cfRule type="cellIs" dxfId="24300" priority="15993" operator="equal">
      <formula>"OFF"</formula>
    </cfRule>
    <cfRule type="cellIs" dxfId="24299" priority="15994" operator="equal">
      <formula>"PTO"</formula>
    </cfRule>
  </conditionalFormatting>
  <conditionalFormatting sqref="N30">
    <cfRule type="cellIs" dxfId="24298" priority="15991" operator="equal">
      <formula>"OFF"</formula>
    </cfRule>
    <cfRule type="cellIs" dxfId="24297" priority="15992" operator="equal">
      <formula>"PTO"</formula>
    </cfRule>
  </conditionalFormatting>
  <conditionalFormatting sqref="N30">
    <cfRule type="cellIs" dxfId="24296" priority="15989" operator="equal">
      <formula>"OFF"</formula>
    </cfRule>
    <cfRule type="cellIs" dxfId="24295" priority="15990" operator="equal">
      <formula>"PTO"</formula>
    </cfRule>
  </conditionalFormatting>
  <conditionalFormatting sqref="N30">
    <cfRule type="cellIs" dxfId="24294" priority="15987" operator="equal">
      <formula>"OFF"</formula>
    </cfRule>
    <cfRule type="cellIs" dxfId="24293" priority="15988" operator="equal">
      <formula>"PTO"</formula>
    </cfRule>
  </conditionalFormatting>
  <conditionalFormatting sqref="N30">
    <cfRule type="cellIs" dxfId="24292" priority="15985" operator="equal">
      <formula>"OFF"</formula>
    </cfRule>
    <cfRule type="cellIs" dxfId="24291" priority="15986" operator="equal">
      <formula>"PTO"</formula>
    </cfRule>
  </conditionalFormatting>
  <conditionalFormatting sqref="N30">
    <cfRule type="cellIs" dxfId="24290" priority="15983" operator="equal">
      <formula>"OFF"</formula>
    </cfRule>
    <cfRule type="cellIs" dxfId="24289" priority="15984" operator="equal">
      <formula>"PTO"</formula>
    </cfRule>
  </conditionalFormatting>
  <conditionalFormatting sqref="N30">
    <cfRule type="cellIs" dxfId="24288" priority="15981" operator="equal">
      <formula>"OFF"</formula>
    </cfRule>
    <cfRule type="cellIs" dxfId="24287" priority="15982" operator="equal">
      <formula>"PTO"</formula>
    </cfRule>
  </conditionalFormatting>
  <conditionalFormatting sqref="N30">
    <cfRule type="cellIs" dxfId="24286" priority="15979" operator="equal">
      <formula>"OFF"</formula>
    </cfRule>
    <cfRule type="cellIs" dxfId="24285" priority="15980" operator="equal">
      <formula>"PTO"</formula>
    </cfRule>
  </conditionalFormatting>
  <conditionalFormatting sqref="N30">
    <cfRule type="cellIs" dxfId="24284" priority="15977" operator="equal">
      <formula>"OFF"</formula>
    </cfRule>
    <cfRule type="cellIs" dxfId="24283" priority="15978" operator="equal">
      <formula>"PTO"</formula>
    </cfRule>
  </conditionalFormatting>
  <conditionalFormatting sqref="N30">
    <cfRule type="cellIs" dxfId="24282" priority="15975" operator="equal">
      <formula>"OFF"</formula>
    </cfRule>
    <cfRule type="cellIs" dxfId="24281" priority="15976" operator="equal">
      <formula>"PTO"</formula>
    </cfRule>
  </conditionalFormatting>
  <conditionalFormatting sqref="N30">
    <cfRule type="cellIs" dxfId="24280" priority="15973" operator="equal">
      <formula>"OFF"</formula>
    </cfRule>
    <cfRule type="cellIs" dxfId="24279" priority="15974" operator="equal">
      <formula>"PTO"</formula>
    </cfRule>
  </conditionalFormatting>
  <conditionalFormatting sqref="N30">
    <cfRule type="cellIs" dxfId="24278" priority="15971" operator="equal">
      <formula>"OFF"</formula>
    </cfRule>
    <cfRule type="cellIs" dxfId="24277" priority="15972" operator="equal">
      <formula>"PTO"</formula>
    </cfRule>
  </conditionalFormatting>
  <conditionalFormatting sqref="N30">
    <cfRule type="cellIs" dxfId="24276" priority="15969" operator="equal">
      <formula>"OFF"</formula>
    </cfRule>
    <cfRule type="cellIs" dxfId="24275" priority="15970" operator="equal">
      <formula>"PTO"</formula>
    </cfRule>
  </conditionalFormatting>
  <conditionalFormatting sqref="N30">
    <cfRule type="cellIs" dxfId="24274" priority="15967" operator="equal">
      <formula>"OFF"</formula>
    </cfRule>
    <cfRule type="cellIs" dxfId="24273" priority="15968" operator="equal">
      <formula>"PTO"</formula>
    </cfRule>
  </conditionalFormatting>
  <conditionalFormatting sqref="N30">
    <cfRule type="cellIs" dxfId="24272" priority="15965" operator="equal">
      <formula>"OFF"</formula>
    </cfRule>
    <cfRule type="cellIs" dxfId="24271" priority="15966" operator="equal">
      <formula>"PTO"</formula>
    </cfRule>
  </conditionalFormatting>
  <conditionalFormatting sqref="N30">
    <cfRule type="cellIs" dxfId="24270" priority="15963" operator="equal">
      <formula>"OFF"</formula>
    </cfRule>
    <cfRule type="cellIs" dxfId="24269" priority="15964" operator="equal">
      <formula>"PTO"</formula>
    </cfRule>
  </conditionalFormatting>
  <conditionalFormatting sqref="N30">
    <cfRule type="cellIs" dxfId="24268" priority="15961" operator="equal">
      <formula>"OFF"</formula>
    </cfRule>
    <cfRule type="cellIs" dxfId="24267" priority="15962" operator="equal">
      <formula>"PTO"</formula>
    </cfRule>
  </conditionalFormatting>
  <conditionalFormatting sqref="N30">
    <cfRule type="cellIs" dxfId="24266" priority="15959" operator="equal">
      <formula>"OFF"</formula>
    </cfRule>
    <cfRule type="cellIs" dxfId="24265" priority="15960" operator="equal">
      <formula>"PTO"</formula>
    </cfRule>
  </conditionalFormatting>
  <conditionalFormatting sqref="N30">
    <cfRule type="cellIs" dxfId="24264" priority="15957" operator="equal">
      <formula>"OFF"</formula>
    </cfRule>
    <cfRule type="cellIs" dxfId="24263" priority="15958" operator="equal">
      <formula>"PTO"</formula>
    </cfRule>
  </conditionalFormatting>
  <conditionalFormatting sqref="N30">
    <cfRule type="cellIs" dxfId="24262" priority="15955" operator="equal">
      <formula>"OFF"</formula>
    </cfRule>
    <cfRule type="cellIs" dxfId="24261" priority="15956" operator="equal">
      <formula>"PTO"</formula>
    </cfRule>
  </conditionalFormatting>
  <conditionalFormatting sqref="N30">
    <cfRule type="cellIs" dxfId="24260" priority="15953" operator="equal">
      <formula>"OFF"</formula>
    </cfRule>
    <cfRule type="cellIs" dxfId="24259" priority="15954" operator="equal">
      <formula>"PTO"</formula>
    </cfRule>
  </conditionalFormatting>
  <conditionalFormatting sqref="N30">
    <cfRule type="cellIs" dxfId="24258" priority="15951" operator="equal">
      <formula>"OFF"</formula>
    </cfRule>
    <cfRule type="cellIs" dxfId="24257" priority="15952" operator="equal">
      <formula>"PTO"</formula>
    </cfRule>
  </conditionalFormatting>
  <conditionalFormatting sqref="N30">
    <cfRule type="cellIs" dxfId="24256" priority="15949" operator="equal">
      <formula>"OFF"</formula>
    </cfRule>
    <cfRule type="cellIs" dxfId="24255" priority="15950" operator="equal">
      <formula>"PTO"</formula>
    </cfRule>
  </conditionalFormatting>
  <conditionalFormatting sqref="N30">
    <cfRule type="cellIs" dxfId="24254" priority="15947" operator="equal">
      <formula>"OFF"</formula>
    </cfRule>
    <cfRule type="cellIs" dxfId="24253" priority="15948" operator="equal">
      <formula>"PTO"</formula>
    </cfRule>
  </conditionalFormatting>
  <conditionalFormatting sqref="N30">
    <cfRule type="cellIs" dxfId="24252" priority="15945" operator="equal">
      <formula>"OFF"</formula>
    </cfRule>
    <cfRule type="cellIs" dxfId="24251" priority="15946" operator="equal">
      <formula>"PTO"</formula>
    </cfRule>
  </conditionalFormatting>
  <conditionalFormatting sqref="N30">
    <cfRule type="cellIs" dxfId="24250" priority="15943" operator="equal">
      <formula>"OFF"</formula>
    </cfRule>
    <cfRule type="cellIs" dxfId="24249" priority="15944" operator="equal">
      <formula>"PTO"</formula>
    </cfRule>
  </conditionalFormatting>
  <conditionalFormatting sqref="N30">
    <cfRule type="cellIs" dxfId="24248" priority="15941" operator="equal">
      <formula>"OFF"</formula>
    </cfRule>
    <cfRule type="cellIs" dxfId="24247" priority="15942" operator="equal">
      <formula>"PTO"</formula>
    </cfRule>
  </conditionalFormatting>
  <conditionalFormatting sqref="N30">
    <cfRule type="cellIs" dxfId="24246" priority="15939" operator="equal">
      <formula>"OFF"</formula>
    </cfRule>
    <cfRule type="cellIs" dxfId="24245" priority="15940" operator="equal">
      <formula>"PTO"</formula>
    </cfRule>
  </conditionalFormatting>
  <conditionalFormatting sqref="N30">
    <cfRule type="cellIs" dxfId="24244" priority="15937" operator="equal">
      <formula>"OFF"</formula>
    </cfRule>
    <cfRule type="cellIs" dxfId="24243" priority="15938" operator="equal">
      <formula>"PTO"</formula>
    </cfRule>
  </conditionalFormatting>
  <conditionalFormatting sqref="N30">
    <cfRule type="cellIs" dxfId="24242" priority="15935" operator="equal">
      <formula>"OFF"</formula>
    </cfRule>
    <cfRule type="cellIs" dxfId="24241" priority="15936" operator="equal">
      <formula>"PTO"</formula>
    </cfRule>
  </conditionalFormatting>
  <conditionalFormatting sqref="N30">
    <cfRule type="cellIs" dxfId="24240" priority="15933" operator="equal">
      <formula>"OFF"</formula>
    </cfRule>
    <cfRule type="cellIs" dxfId="24239" priority="15934" operator="equal">
      <formula>"PTO"</formula>
    </cfRule>
  </conditionalFormatting>
  <conditionalFormatting sqref="N30">
    <cfRule type="cellIs" dxfId="24238" priority="15931" operator="equal">
      <formula>"OFF"</formula>
    </cfRule>
    <cfRule type="cellIs" dxfId="24237" priority="15932" operator="equal">
      <formula>"PTO"</formula>
    </cfRule>
  </conditionalFormatting>
  <conditionalFormatting sqref="N30">
    <cfRule type="cellIs" dxfId="24236" priority="15929" operator="equal">
      <formula>"OFF"</formula>
    </cfRule>
    <cfRule type="cellIs" dxfId="24235" priority="15930" operator="equal">
      <formula>"PTO"</formula>
    </cfRule>
  </conditionalFormatting>
  <conditionalFormatting sqref="N30">
    <cfRule type="cellIs" dxfId="24234" priority="15927" operator="equal">
      <formula>"OFF"</formula>
    </cfRule>
    <cfRule type="cellIs" dxfId="24233" priority="15928" operator="equal">
      <formula>"PTO"</formula>
    </cfRule>
  </conditionalFormatting>
  <conditionalFormatting sqref="N30">
    <cfRule type="cellIs" dxfId="24232" priority="15925" operator="equal">
      <formula>"OFF"</formula>
    </cfRule>
    <cfRule type="cellIs" dxfId="24231" priority="15926" operator="equal">
      <formula>"PTO"</formula>
    </cfRule>
  </conditionalFormatting>
  <conditionalFormatting sqref="N30">
    <cfRule type="cellIs" dxfId="24230" priority="15923" operator="equal">
      <formula>"OFF"</formula>
    </cfRule>
    <cfRule type="cellIs" dxfId="24229" priority="15924" operator="equal">
      <formula>"PTO"</formula>
    </cfRule>
  </conditionalFormatting>
  <conditionalFormatting sqref="N30">
    <cfRule type="cellIs" dxfId="24228" priority="15921" operator="equal">
      <formula>"OFF"</formula>
    </cfRule>
    <cfRule type="cellIs" dxfId="24227" priority="15922" operator="equal">
      <formula>"PTO"</formula>
    </cfRule>
  </conditionalFormatting>
  <conditionalFormatting sqref="N30">
    <cfRule type="cellIs" dxfId="24226" priority="15919" operator="equal">
      <formula>"OFF"</formula>
    </cfRule>
    <cfRule type="cellIs" dxfId="24225" priority="15920" operator="equal">
      <formula>"PTO"</formula>
    </cfRule>
  </conditionalFormatting>
  <conditionalFormatting sqref="N30">
    <cfRule type="cellIs" dxfId="24224" priority="15917" operator="equal">
      <formula>"OFF"</formula>
    </cfRule>
    <cfRule type="cellIs" dxfId="24223" priority="15918" operator="equal">
      <formula>"PTO"</formula>
    </cfRule>
  </conditionalFormatting>
  <conditionalFormatting sqref="N30">
    <cfRule type="cellIs" dxfId="24222" priority="15915" operator="equal">
      <formula>"OFF"</formula>
    </cfRule>
    <cfRule type="cellIs" dxfId="24221" priority="15916" operator="equal">
      <formula>"PTO"</formula>
    </cfRule>
  </conditionalFormatting>
  <conditionalFormatting sqref="N30">
    <cfRule type="cellIs" dxfId="24220" priority="15913" operator="equal">
      <formula>"OFF"</formula>
    </cfRule>
    <cfRule type="cellIs" dxfId="24219" priority="15914" operator="equal">
      <formula>"PTO"</formula>
    </cfRule>
  </conditionalFormatting>
  <conditionalFormatting sqref="N30">
    <cfRule type="cellIs" dxfId="24218" priority="15911" operator="equal">
      <formula>"OFF"</formula>
    </cfRule>
    <cfRule type="cellIs" dxfId="24217" priority="15912" operator="equal">
      <formula>"PTO"</formula>
    </cfRule>
  </conditionalFormatting>
  <conditionalFormatting sqref="N30">
    <cfRule type="cellIs" dxfId="24216" priority="15909" operator="equal">
      <formula>"OFF"</formula>
    </cfRule>
    <cfRule type="cellIs" dxfId="24215" priority="15910" operator="equal">
      <formula>"PTO"</formula>
    </cfRule>
  </conditionalFormatting>
  <conditionalFormatting sqref="N30">
    <cfRule type="cellIs" dxfId="24214" priority="15907" operator="equal">
      <formula>"OFF"</formula>
    </cfRule>
    <cfRule type="cellIs" dxfId="24213" priority="15908" operator="equal">
      <formula>"PTO"</formula>
    </cfRule>
  </conditionalFormatting>
  <conditionalFormatting sqref="N30">
    <cfRule type="cellIs" dxfId="24212" priority="15905" operator="equal">
      <formula>"OFF"</formula>
    </cfRule>
    <cfRule type="cellIs" dxfId="24211" priority="15906" operator="equal">
      <formula>"PTO"</formula>
    </cfRule>
  </conditionalFormatting>
  <conditionalFormatting sqref="N30">
    <cfRule type="cellIs" dxfId="24210" priority="15903" operator="equal">
      <formula>"OFF"</formula>
    </cfRule>
    <cfRule type="cellIs" dxfId="24209" priority="15904" operator="equal">
      <formula>"PTO"</formula>
    </cfRule>
  </conditionalFormatting>
  <conditionalFormatting sqref="N30">
    <cfRule type="cellIs" dxfId="24208" priority="15901" operator="equal">
      <formula>"OFF"</formula>
    </cfRule>
    <cfRule type="cellIs" dxfId="24207" priority="15902" operator="equal">
      <formula>"PTO"</formula>
    </cfRule>
  </conditionalFormatting>
  <conditionalFormatting sqref="N30">
    <cfRule type="cellIs" dxfId="24206" priority="15899" operator="equal">
      <formula>"OFF"</formula>
    </cfRule>
    <cfRule type="cellIs" dxfId="24205" priority="15900" operator="equal">
      <formula>"PTO"</formula>
    </cfRule>
  </conditionalFormatting>
  <conditionalFormatting sqref="N30">
    <cfRule type="cellIs" dxfId="24204" priority="15897" operator="equal">
      <formula>"OFF"</formula>
    </cfRule>
    <cfRule type="cellIs" dxfId="24203" priority="15898" operator="equal">
      <formula>"PTO"</formula>
    </cfRule>
  </conditionalFormatting>
  <conditionalFormatting sqref="N30">
    <cfRule type="cellIs" dxfId="24202" priority="15895" operator="equal">
      <formula>"OFF"</formula>
    </cfRule>
    <cfRule type="cellIs" dxfId="24201" priority="15896" operator="equal">
      <formula>"PTO"</formula>
    </cfRule>
  </conditionalFormatting>
  <conditionalFormatting sqref="N30">
    <cfRule type="cellIs" dxfId="24200" priority="15893" operator="equal">
      <formula>"OFF"</formula>
    </cfRule>
    <cfRule type="cellIs" dxfId="24199" priority="15894" operator="equal">
      <formula>"PTO"</formula>
    </cfRule>
  </conditionalFormatting>
  <conditionalFormatting sqref="N30">
    <cfRule type="cellIs" dxfId="24198" priority="15891" operator="equal">
      <formula>"OFF"</formula>
    </cfRule>
    <cfRule type="cellIs" dxfId="24197" priority="15892" operator="equal">
      <formula>"PTO"</formula>
    </cfRule>
  </conditionalFormatting>
  <conditionalFormatting sqref="N30">
    <cfRule type="cellIs" dxfId="24196" priority="15889" operator="equal">
      <formula>"OFF"</formula>
    </cfRule>
    <cfRule type="cellIs" dxfId="24195" priority="15890" operator="equal">
      <formula>"PTO"</formula>
    </cfRule>
  </conditionalFormatting>
  <conditionalFormatting sqref="N26">
    <cfRule type="cellIs" dxfId="24194" priority="15887" operator="equal">
      <formula>"OFF"</formula>
    </cfRule>
    <cfRule type="cellIs" dxfId="24193" priority="15888" operator="equal">
      <formula>"PTO"</formula>
    </cfRule>
  </conditionalFormatting>
  <conditionalFormatting sqref="N26">
    <cfRule type="cellIs" dxfId="24192" priority="15885" operator="equal">
      <formula>"OFF"</formula>
    </cfRule>
    <cfRule type="cellIs" dxfId="24191" priority="15886" operator="equal">
      <formula>"PTO"</formula>
    </cfRule>
  </conditionalFormatting>
  <conditionalFormatting sqref="N26">
    <cfRule type="cellIs" dxfId="24190" priority="15883" operator="equal">
      <formula>"OFF"</formula>
    </cfRule>
    <cfRule type="cellIs" dxfId="24189" priority="15884" operator="equal">
      <formula>"PTO"</formula>
    </cfRule>
  </conditionalFormatting>
  <conditionalFormatting sqref="N26">
    <cfRule type="cellIs" dxfId="24188" priority="15881" operator="equal">
      <formula>"OFF"</formula>
    </cfRule>
    <cfRule type="cellIs" dxfId="24187" priority="15882" operator="equal">
      <formula>"PTO"</formula>
    </cfRule>
  </conditionalFormatting>
  <conditionalFormatting sqref="N26">
    <cfRule type="cellIs" dxfId="24186" priority="15879" operator="equal">
      <formula>"OFF"</formula>
    </cfRule>
    <cfRule type="cellIs" dxfId="24185" priority="15880" operator="equal">
      <formula>"PTO"</formula>
    </cfRule>
  </conditionalFormatting>
  <conditionalFormatting sqref="N26">
    <cfRule type="cellIs" dxfId="24184" priority="15877" operator="equal">
      <formula>"OFF"</formula>
    </cfRule>
    <cfRule type="cellIs" dxfId="24183" priority="15878" operator="equal">
      <formula>"PTO"</formula>
    </cfRule>
  </conditionalFormatting>
  <conditionalFormatting sqref="N26">
    <cfRule type="cellIs" dxfId="24182" priority="15875" operator="equal">
      <formula>"OFF"</formula>
    </cfRule>
    <cfRule type="cellIs" dxfId="24181" priority="15876" operator="equal">
      <formula>"PTO"</formula>
    </cfRule>
  </conditionalFormatting>
  <conditionalFormatting sqref="N26">
    <cfRule type="cellIs" dxfId="24180" priority="15873" operator="equal">
      <formula>"OFF"</formula>
    </cfRule>
    <cfRule type="cellIs" dxfId="24179" priority="15874" operator="equal">
      <formula>"PTO"</formula>
    </cfRule>
  </conditionalFormatting>
  <conditionalFormatting sqref="N27">
    <cfRule type="cellIs" dxfId="24178" priority="15871" operator="equal">
      <formula>"OFF"</formula>
    </cfRule>
    <cfRule type="cellIs" dxfId="24177" priority="15872" operator="equal">
      <formula>"PTO"</formula>
    </cfRule>
  </conditionalFormatting>
  <conditionalFormatting sqref="N27">
    <cfRule type="cellIs" dxfId="24176" priority="15869" operator="equal">
      <formula>"OFF"</formula>
    </cfRule>
    <cfRule type="cellIs" dxfId="24175" priority="15870" operator="equal">
      <formula>"PTO"</formula>
    </cfRule>
  </conditionalFormatting>
  <conditionalFormatting sqref="N27">
    <cfRule type="cellIs" dxfId="24174" priority="15867" operator="equal">
      <formula>"OFF"</formula>
    </cfRule>
    <cfRule type="cellIs" dxfId="24173" priority="15868" operator="equal">
      <formula>"PTO"</formula>
    </cfRule>
  </conditionalFormatting>
  <conditionalFormatting sqref="N27">
    <cfRule type="cellIs" dxfId="24172" priority="15865" operator="equal">
      <formula>"OFF"</formula>
    </cfRule>
    <cfRule type="cellIs" dxfId="24171" priority="15866" operator="equal">
      <formula>"PTO"</formula>
    </cfRule>
  </conditionalFormatting>
  <conditionalFormatting sqref="N27">
    <cfRule type="cellIs" dxfId="24170" priority="15863" operator="equal">
      <formula>"OFF"</formula>
    </cfRule>
    <cfRule type="cellIs" dxfId="24169" priority="15864" operator="equal">
      <formula>"PTO"</formula>
    </cfRule>
  </conditionalFormatting>
  <conditionalFormatting sqref="N27">
    <cfRule type="cellIs" dxfId="24168" priority="15861" operator="equal">
      <formula>"OFF"</formula>
    </cfRule>
    <cfRule type="cellIs" dxfId="24167" priority="15862" operator="equal">
      <formula>"PTO"</formula>
    </cfRule>
  </conditionalFormatting>
  <conditionalFormatting sqref="N27">
    <cfRule type="cellIs" dxfId="24166" priority="15859" operator="equal">
      <formula>"OFF"</formula>
    </cfRule>
    <cfRule type="cellIs" dxfId="24165" priority="15860" operator="equal">
      <formula>"PTO"</formula>
    </cfRule>
  </conditionalFormatting>
  <conditionalFormatting sqref="N27">
    <cfRule type="cellIs" dxfId="24164" priority="15857" operator="equal">
      <formula>"OFF"</formula>
    </cfRule>
    <cfRule type="cellIs" dxfId="24163" priority="15858" operator="equal">
      <formula>"PTO"</formula>
    </cfRule>
  </conditionalFormatting>
  <conditionalFormatting sqref="N26">
    <cfRule type="cellIs" dxfId="24162" priority="15855" operator="equal">
      <formula>"OFF"</formula>
    </cfRule>
    <cfRule type="cellIs" dxfId="24161" priority="15856" operator="equal">
      <formula>"PTO"</formula>
    </cfRule>
  </conditionalFormatting>
  <conditionalFormatting sqref="N26">
    <cfRule type="cellIs" dxfId="24160" priority="15853" operator="equal">
      <formula>"OFF"</formula>
    </cfRule>
    <cfRule type="cellIs" dxfId="24159" priority="15854" operator="equal">
      <formula>"PTO"</formula>
    </cfRule>
  </conditionalFormatting>
  <conditionalFormatting sqref="N26">
    <cfRule type="cellIs" dxfId="24158" priority="15851" operator="equal">
      <formula>"OFF"</formula>
    </cfRule>
    <cfRule type="cellIs" dxfId="24157" priority="15852" operator="equal">
      <formula>"PTO"</formula>
    </cfRule>
  </conditionalFormatting>
  <conditionalFormatting sqref="N26">
    <cfRule type="cellIs" dxfId="24156" priority="15849" operator="equal">
      <formula>"OFF"</formula>
    </cfRule>
    <cfRule type="cellIs" dxfId="24155" priority="15850" operator="equal">
      <formula>"PTO"</formula>
    </cfRule>
  </conditionalFormatting>
  <conditionalFormatting sqref="N26">
    <cfRule type="cellIs" dxfId="24154" priority="15847" operator="equal">
      <formula>"OFF"</formula>
    </cfRule>
    <cfRule type="cellIs" dxfId="24153" priority="15848" operator="equal">
      <formula>"PTO"</formula>
    </cfRule>
  </conditionalFormatting>
  <conditionalFormatting sqref="N26">
    <cfRule type="cellIs" dxfId="24152" priority="15845" operator="equal">
      <formula>"OFF"</formula>
    </cfRule>
    <cfRule type="cellIs" dxfId="24151" priority="15846" operator="equal">
      <formula>"PTO"</formula>
    </cfRule>
  </conditionalFormatting>
  <conditionalFormatting sqref="N26">
    <cfRule type="cellIs" dxfId="24150" priority="15843" operator="equal">
      <formula>"OFF"</formula>
    </cfRule>
    <cfRule type="cellIs" dxfId="24149" priority="15844" operator="equal">
      <formula>"PTO"</formula>
    </cfRule>
  </conditionalFormatting>
  <conditionalFormatting sqref="N26">
    <cfRule type="cellIs" dxfId="24148" priority="15841" operator="equal">
      <formula>"OFF"</formula>
    </cfRule>
    <cfRule type="cellIs" dxfId="24147" priority="15842" operator="equal">
      <formula>"PTO"</formula>
    </cfRule>
  </conditionalFormatting>
  <conditionalFormatting sqref="N27">
    <cfRule type="cellIs" dxfId="24146" priority="15839" operator="equal">
      <formula>"OFF"</formula>
    </cfRule>
    <cfRule type="cellIs" dxfId="24145" priority="15840" operator="equal">
      <formula>"PTO"</formula>
    </cfRule>
  </conditionalFormatting>
  <conditionalFormatting sqref="N27">
    <cfRule type="cellIs" dxfId="24144" priority="15837" operator="equal">
      <formula>"OFF"</formula>
    </cfRule>
    <cfRule type="cellIs" dxfId="24143" priority="15838" operator="equal">
      <formula>"PTO"</formula>
    </cfRule>
  </conditionalFormatting>
  <conditionalFormatting sqref="N27">
    <cfRule type="cellIs" dxfId="24142" priority="15835" operator="equal">
      <formula>"OFF"</formula>
    </cfRule>
    <cfRule type="cellIs" dxfId="24141" priority="15836" operator="equal">
      <formula>"PTO"</formula>
    </cfRule>
  </conditionalFormatting>
  <conditionalFormatting sqref="N27">
    <cfRule type="cellIs" dxfId="24140" priority="15833" operator="equal">
      <formula>"OFF"</formula>
    </cfRule>
    <cfRule type="cellIs" dxfId="24139" priority="15834" operator="equal">
      <formula>"PTO"</formula>
    </cfRule>
  </conditionalFormatting>
  <conditionalFormatting sqref="N27">
    <cfRule type="cellIs" dxfId="24138" priority="15831" operator="equal">
      <formula>"OFF"</formula>
    </cfRule>
    <cfRule type="cellIs" dxfId="24137" priority="15832" operator="equal">
      <formula>"PTO"</formula>
    </cfRule>
  </conditionalFormatting>
  <conditionalFormatting sqref="N27">
    <cfRule type="cellIs" dxfId="24136" priority="15829" operator="equal">
      <formula>"OFF"</formula>
    </cfRule>
    <cfRule type="cellIs" dxfId="24135" priority="15830" operator="equal">
      <formula>"PTO"</formula>
    </cfRule>
  </conditionalFormatting>
  <conditionalFormatting sqref="N27">
    <cfRule type="cellIs" dxfId="24134" priority="15827" operator="equal">
      <formula>"OFF"</formula>
    </cfRule>
    <cfRule type="cellIs" dxfId="24133" priority="15828" operator="equal">
      <formula>"PTO"</formula>
    </cfRule>
  </conditionalFormatting>
  <conditionalFormatting sqref="N27">
    <cfRule type="cellIs" dxfId="24132" priority="15825" operator="equal">
      <formula>"OFF"</formula>
    </cfRule>
    <cfRule type="cellIs" dxfId="24131" priority="15826" operator="equal">
      <formula>"PTO"</formula>
    </cfRule>
  </conditionalFormatting>
  <conditionalFormatting sqref="N26">
    <cfRule type="cellIs" dxfId="24130" priority="15823" operator="equal">
      <formula>"OFF"</formula>
    </cfRule>
    <cfRule type="cellIs" dxfId="24129" priority="15824" operator="equal">
      <formula>"PTO"</formula>
    </cfRule>
  </conditionalFormatting>
  <conditionalFormatting sqref="N26">
    <cfRule type="cellIs" dxfId="24128" priority="15821" operator="equal">
      <formula>"OFF"</formula>
    </cfRule>
    <cfRule type="cellIs" dxfId="24127" priority="15822" operator="equal">
      <formula>"PTO"</formula>
    </cfRule>
  </conditionalFormatting>
  <conditionalFormatting sqref="N26">
    <cfRule type="cellIs" dxfId="24126" priority="15819" operator="equal">
      <formula>"OFF"</formula>
    </cfRule>
    <cfRule type="cellIs" dxfId="24125" priority="15820" operator="equal">
      <formula>"PTO"</formula>
    </cfRule>
  </conditionalFormatting>
  <conditionalFormatting sqref="N26">
    <cfRule type="cellIs" dxfId="24124" priority="15817" operator="equal">
      <formula>"OFF"</formula>
    </cfRule>
    <cfRule type="cellIs" dxfId="24123" priority="15818" operator="equal">
      <formula>"PTO"</formula>
    </cfRule>
  </conditionalFormatting>
  <conditionalFormatting sqref="N26">
    <cfRule type="cellIs" dxfId="24122" priority="15815" operator="equal">
      <formula>"OFF"</formula>
    </cfRule>
    <cfRule type="cellIs" dxfId="24121" priority="15816" operator="equal">
      <formula>"PTO"</formula>
    </cfRule>
  </conditionalFormatting>
  <conditionalFormatting sqref="N26">
    <cfRule type="cellIs" dxfId="24120" priority="15813" operator="equal">
      <formula>"OFF"</formula>
    </cfRule>
    <cfRule type="cellIs" dxfId="24119" priority="15814" operator="equal">
      <formula>"PTO"</formula>
    </cfRule>
  </conditionalFormatting>
  <conditionalFormatting sqref="N26">
    <cfRule type="cellIs" dxfId="24118" priority="15811" operator="equal">
      <formula>"OFF"</formula>
    </cfRule>
    <cfRule type="cellIs" dxfId="24117" priority="15812" operator="equal">
      <formula>"PTO"</formula>
    </cfRule>
  </conditionalFormatting>
  <conditionalFormatting sqref="N26">
    <cfRule type="cellIs" dxfId="24116" priority="15809" operator="equal">
      <formula>"OFF"</formula>
    </cfRule>
    <cfRule type="cellIs" dxfId="24115" priority="15810" operator="equal">
      <formula>"PTO"</formula>
    </cfRule>
  </conditionalFormatting>
  <conditionalFormatting sqref="N27">
    <cfRule type="cellIs" dxfId="24114" priority="15807" operator="equal">
      <formula>"OFF"</formula>
    </cfRule>
    <cfRule type="cellIs" dxfId="24113" priority="15808" operator="equal">
      <formula>"PTO"</formula>
    </cfRule>
  </conditionalFormatting>
  <conditionalFormatting sqref="N27">
    <cfRule type="cellIs" dxfId="24112" priority="15805" operator="equal">
      <formula>"OFF"</formula>
    </cfRule>
    <cfRule type="cellIs" dxfId="24111" priority="15806" operator="equal">
      <formula>"PTO"</formula>
    </cfRule>
  </conditionalFormatting>
  <conditionalFormatting sqref="N27">
    <cfRule type="cellIs" dxfId="24110" priority="15803" operator="equal">
      <formula>"OFF"</formula>
    </cfRule>
    <cfRule type="cellIs" dxfId="24109" priority="15804" operator="equal">
      <formula>"PTO"</formula>
    </cfRule>
  </conditionalFormatting>
  <conditionalFormatting sqref="N27">
    <cfRule type="cellIs" dxfId="24108" priority="15801" operator="equal">
      <formula>"OFF"</formula>
    </cfRule>
    <cfRule type="cellIs" dxfId="24107" priority="15802" operator="equal">
      <formula>"PTO"</formula>
    </cfRule>
  </conditionalFormatting>
  <conditionalFormatting sqref="N27">
    <cfRule type="cellIs" dxfId="24106" priority="15799" operator="equal">
      <formula>"OFF"</formula>
    </cfRule>
    <cfRule type="cellIs" dxfId="24105" priority="15800" operator="equal">
      <formula>"PTO"</formula>
    </cfRule>
  </conditionalFormatting>
  <conditionalFormatting sqref="N27">
    <cfRule type="cellIs" dxfId="24104" priority="15797" operator="equal">
      <formula>"OFF"</formula>
    </cfRule>
    <cfRule type="cellIs" dxfId="24103" priority="15798" operator="equal">
      <formula>"PTO"</formula>
    </cfRule>
  </conditionalFormatting>
  <conditionalFormatting sqref="N27">
    <cfRule type="cellIs" dxfId="24102" priority="15795" operator="equal">
      <formula>"OFF"</formula>
    </cfRule>
    <cfRule type="cellIs" dxfId="24101" priority="15796" operator="equal">
      <formula>"PTO"</formula>
    </cfRule>
  </conditionalFormatting>
  <conditionalFormatting sqref="N27">
    <cfRule type="cellIs" dxfId="24100" priority="15793" operator="equal">
      <formula>"OFF"</formula>
    </cfRule>
    <cfRule type="cellIs" dxfId="24099" priority="15794" operator="equal">
      <formula>"PTO"</formula>
    </cfRule>
  </conditionalFormatting>
  <conditionalFormatting sqref="N26">
    <cfRule type="cellIs" dxfId="24098" priority="15791" operator="equal">
      <formula>"OFF"</formula>
    </cfRule>
    <cfRule type="cellIs" dxfId="24097" priority="15792" operator="equal">
      <formula>"PTO"</formula>
    </cfRule>
  </conditionalFormatting>
  <conditionalFormatting sqref="N26">
    <cfRule type="cellIs" dxfId="24096" priority="15789" operator="equal">
      <formula>"OFF"</formula>
    </cfRule>
    <cfRule type="cellIs" dxfId="24095" priority="15790" operator="equal">
      <formula>"PTO"</formula>
    </cfRule>
  </conditionalFormatting>
  <conditionalFormatting sqref="N26">
    <cfRule type="cellIs" dxfId="24094" priority="15787" operator="equal">
      <formula>"OFF"</formula>
    </cfRule>
    <cfRule type="cellIs" dxfId="24093" priority="15788" operator="equal">
      <formula>"PTO"</formula>
    </cfRule>
  </conditionalFormatting>
  <conditionalFormatting sqref="N26">
    <cfRule type="cellIs" dxfId="24092" priority="15785" operator="equal">
      <formula>"OFF"</formula>
    </cfRule>
    <cfRule type="cellIs" dxfId="24091" priority="15786" operator="equal">
      <formula>"PTO"</formula>
    </cfRule>
  </conditionalFormatting>
  <conditionalFormatting sqref="N26">
    <cfRule type="cellIs" dxfId="24090" priority="15783" operator="equal">
      <formula>"OFF"</formula>
    </cfRule>
    <cfRule type="cellIs" dxfId="24089" priority="15784" operator="equal">
      <formula>"PTO"</formula>
    </cfRule>
  </conditionalFormatting>
  <conditionalFormatting sqref="N26">
    <cfRule type="cellIs" dxfId="24088" priority="15781" operator="equal">
      <formula>"OFF"</formula>
    </cfRule>
    <cfRule type="cellIs" dxfId="24087" priority="15782" operator="equal">
      <formula>"PTO"</formula>
    </cfRule>
  </conditionalFormatting>
  <conditionalFormatting sqref="N26">
    <cfRule type="cellIs" dxfId="24086" priority="15779" operator="equal">
      <formula>"OFF"</formula>
    </cfRule>
    <cfRule type="cellIs" dxfId="24085" priority="15780" operator="equal">
      <formula>"PTO"</formula>
    </cfRule>
  </conditionalFormatting>
  <conditionalFormatting sqref="N26">
    <cfRule type="cellIs" dxfId="24084" priority="15777" operator="equal">
      <formula>"OFF"</formula>
    </cfRule>
    <cfRule type="cellIs" dxfId="24083" priority="15778" operator="equal">
      <formula>"PTO"</formula>
    </cfRule>
  </conditionalFormatting>
  <conditionalFormatting sqref="N27">
    <cfRule type="cellIs" dxfId="24082" priority="15775" operator="equal">
      <formula>"OFF"</formula>
    </cfRule>
    <cfRule type="cellIs" dxfId="24081" priority="15776" operator="equal">
      <formula>"PTO"</formula>
    </cfRule>
  </conditionalFormatting>
  <conditionalFormatting sqref="N27">
    <cfRule type="cellIs" dxfId="24080" priority="15773" operator="equal">
      <formula>"OFF"</formula>
    </cfRule>
    <cfRule type="cellIs" dxfId="24079" priority="15774" operator="equal">
      <formula>"PTO"</formula>
    </cfRule>
  </conditionalFormatting>
  <conditionalFormatting sqref="N27">
    <cfRule type="cellIs" dxfId="24078" priority="15771" operator="equal">
      <formula>"OFF"</formula>
    </cfRule>
    <cfRule type="cellIs" dxfId="24077" priority="15772" operator="equal">
      <formula>"PTO"</formula>
    </cfRule>
  </conditionalFormatting>
  <conditionalFormatting sqref="N27">
    <cfRule type="cellIs" dxfId="24076" priority="15769" operator="equal">
      <formula>"OFF"</formula>
    </cfRule>
    <cfRule type="cellIs" dxfId="24075" priority="15770" operator="equal">
      <formula>"PTO"</formula>
    </cfRule>
  </conditionalFormatting>
  <conditionalFormatting sqref="N27">
    <cfRule type="cellIs" dxfId="24074" priority="15767" operator="equal">
      <formula>"OFF"</formula>
    </cfRule>
    <cfRule type="cellIs" dxfId="24073" priority="15768" operator="equal">
      <formula>"PTO"</formula>
    </cfRule>
  </conditionalFormatting>
  <conditionalFormatting sqref="N27">
    <cfRule type="cellIs" dxfId="24072" priority="15765" operator="equal">
      <formula>"OFF"</formula>
    </cfRule>
    <cfRule type="cellIs" dxfId="24071" priority="15766" operator="equal">
      <formula>"PTO"</formula>
    </cfRule>
  </conditionalFormatting>
  <conditionalFormatting sqref="N27">
    <cfRule type="cellIs" dxfId="24070" priority="15763" operator="equal">
      <formula>"OFF"</formula>
    </cfRule>
    <cfRule type="cellIs" dxfId="24069" priority="15764" operator="equal">
      <formula>"PTO"</formula>
    </cfRule>
  </conditionalFormatting>
  <conditionalFormatting sqref="N27">
    <cfRule type="cellIs" dxfId="24068" priority="15761" operator="equal">
      <formula>"OFF"</formula>
    </cfRule>
    <cfRule type="cellIs" dxfId="24067" priority="15762" operator="equal">
      <formula>"PTO"</formula>
    </cfRule>
  </conditionalFormatting>
  <conditionalFormatting sqref="N26">
    <cfRule type="cellIs" dxfId="24066" priority="15759" operator="equal">
      <formula>"OFF"</formula>
    </cfRule>
    <cfRule type="cellIs" dxfId="24065" priority="15760" operator="equal">
      <formula>"PTO"</formula>
    </cfRule>
  </conditionalFormatting>
  <conditionalFormatting sqref="N26">
    <cfRule type="cellIs" dxfId="24064" priority="15757" operator="equal">
      <formula>"OFF"</formula>
    </cfRule>
    <cfRule type="cellIs" dxfId="24063" priority="15758" operator="equal">
      <formula>"PTO"</formula>
    </cfRule>
  </conditionalFormatting>
  <conditionalFormatting sqref="N26">
    <cfRule type="cellIs" dxfId="24062" priority="15755" operator="equal">
      <formula>"OFF"</formula>
    </cfRule>
    <cfRule type="cellIs" dxfId="24061" priority="15756" operator="equal">
      <formula>"PTO"</formula>
    </cfRule>
  </conditionalFormatting>
  <conditionalFormatting sqref="N26">
    <cfRule type="cellIs" dxfId="24060" priority="15753" operator="equal">
      <formula>"OFF"</formula>
    </cfRule>
    <cfRule type="cellIs" dxfId="24059" priority="15754" operator="equal">
      <formula>"PTO"</formula>
    </cfRule>
  </conditionalFormatting>
  <conditionalFormatting sqref="N26">
    <cfRule type="cellIs" dxfId="24058" priority="15751" operator="equal">
      <formula>"OFF"</formula>
    </cfRule>
    <cfRule type="cellIs" dxfId="24057" priority="15752" operator="equal">
      <formula>"PTO"</formula>
    </cfRule>
  </conditionalFormatting>
  <conditionalFormatting sqref="N26">
    <cfRule type="cellIs" dxfId="24056" priority="15749" operator="equal">
      <formula>"OFF"</formula>
    </cfRule>
    <cfRule type="cellIs" dxfId="24055" priority="15750" operator="equal">
      <formula>"PTO"</formula>
    </cfRule>
  </conditionalFormatting>
  <conditionalFormatting sqref="N26">
    <cfRule type="cellIs" dxfId="24054" priority="15747" operator="equal">
      <formula>"OFF"</formula>
    </cfRule>
    <cfRule type="cellIs" dxfId="24053" priority="15748" operator="equal">
      <formula>"PTO"</formula>
    </cfRule>
  </conditionalFormatting>
  <conditionalFormatting sqref="N26">
    <cfRule type="cellIs" dxfId="24052" priority="15745" operator="equal">
      <formula>"OFF"</formula>
    </cfRule>
    <cfRule type="cellIs" dxfId="24051" priority="15746" operator="equal">
      <formula>"PTO"</formula>
    </cfRule>
  </conditionalFormatting>
  <conditionalFormatting sqref="N27">
    <cfRule type="cellIs" dxfId="24050" priority="15743" operator="equal">
      <formula>"OFF"</formula>
    </cfRule>
    <cfRule type="cellIs" dxfId="24049" priority="15744" operator="equal">
      <formula>"PTO"</formula>
    </cfRule>
  </conditionalFormatting>
  <conditionalFormatting sqref="N27">
    <cfRule type="cellIs" dxfId="24048" priority="15741" operator="equal">
      <formula>"OFF"</formula>
    </cfRule>
    <cfRule type="cellIs" dxfId="24047" priority="15742" operator="equal">
      <formula>"PTO"</formula>
    </cfRule>
  </conditionalFormatting>
  <conditionalFormatting sqref="N27">
    <cfRule type="cellIs" dxfId="24046" priority="15739" operator="equal">
      <formula>"OFF"</formula>
    </cfRule>
    <cfRule type="cellIs" dxfId="24045" priority="15740" operator="equal">
      <formula>"PTO"</formula>
    </cfRule>
  </conditionalFormatting>
  <conditionalFormatting sqref="N27">
    <cfRule type="cellIs" dxfId="24044" priority="15737" operator="equal">
      <formula>"OFF"</formula>
    </cfRule>
    <cfRule type="cellIs" dxfId="24043" priority="15738" operator="equal">
      <formula>"PTO"</formula>
    </cfRule>
  </conditionalFormatting>
  <conditionalFormatting sqref="N27">
    <cfRule type="cellIs" dxfId="24042" priority="15735" operator="equal">
      <formula>"OFF"</formula>
    </cfRule>
    <cfRule type="cellIs" dxfId="24041" priority="15736" operator="equal">
      <formula>"PTO"</formula>
    </cfRule>
  </conditionalFormatting>
  <conditionalFormatting sqref="N27">
    <cfRule type="cellIs" dxfId="24040" priority="15733" operator="equal">
      <formula>"OFF"</formula>
    </cfRule>
    <cfRule type="cellIs" dxfId="24039" priority="15734" operator="equal">
      <formula>"PTO"</formula>
    </cfRule>
  </conditionalFormatting>
  <conditionalFormatting sqref="N27">
    <cfRule type="cellIs" dxfId="24038" priority="15731" operator="equal">
      <formula>"OFF"</formula>
    </cfRule>
    <cfRule type="cellIs" dxfId="24037" priority="15732" operator="equal">
      <formula>"PTO"</formula>
    </cfRule>
  </conditionalFormatting>
  <conditionalFormatting sqref="N27">
    <cfRule type="cellIs" dxfId="24036" priority="15729" operator="equal">
      <formula>"OFF"</formula>
    </cfRule>
    <cfRule type="cellIs" dxfId="24035" priority="15730" operator="equal">
      <formula>"PTO"</formula>
    </cfRule>
  </conditionalFormatting>
  <conditionalFormatting sqref="N26">
    <cfRule type="cellIs" dxfId="24034" priority="15727" operator="equal">
      <formula>"OFF"</formula>
    </cfRule>
    <cfRule type="cellIs" dxfId="24033" priority="15728" operator="equal">
      <formula>"PTO"</formula>
    </cfRule>
  </conditionalFormatting>
  <conditionalFormatting sqref="N26">
    <cfRule type="cellIs" dxfId="24032" priority="15725" operator="equal">
      <formula>"OFF"</formula>
    </cfRule>
    <cfRule type="cellIs" dxfId="24031" priority="15726" operator="equal">
      <formula>"PTO"</formula>
    </cfRule>
  </conditionalFormatting>
  <conditionalFormatting sqref="N26">
    <cfRule type="cellIs" dxfId="24030" priority="15723" operator="equal">
      <formula>"OFF"</formula>
    </cfRule>
    <cfRule type="cellIs" dxfId="24029" priority="15724" operator="equal">
      <formula>"PTO"</formula>
    </cfRule>
  </conditionalFormatting>
  <conditionalFormatting sqref="N26">
    <cfRule type="cellIs" dxfId="24028" priority="15721" operator="equal">
      <formula>"OFF"</formula>
    </cfRule>
    <cfRule type="cellIs" dxfId="24027" priority="15722" operator="equal">
      <formula>"PTO"</formula>
    </cfRule>
  </conditionalFormatting>
  <conditionalFormatting sqref="N26">
    <cfRule type="cellIs" dxfId="24026" priority="15719" operator="equal">
      <formula>"OFF"</formula>
    </cfRule>
    <cfRule type="cellIs" dxfId="24025" priority="15720" operator="equal">
      <formula>"PTO"</formula>
    </cfRule>
  </conditionalFormatting>
  <conditionalFormatting sqref="N26">
    <cfRule type="cellIs" dxfId="24024" priority="15717" operator="equal">
      <formula>"OFF"</formula>
    </cfRule>
    <cfRule type="cellIs" dxfId="24023" priority="15718" operator="equal">
      <formula>"PTO"</formula>
    </cfRule>
  </conditionalFormatting>
  <conditionalFormatting sqref="N26">
    <cfRule type="cellIs" dxfId="24022" priority="15715" operator="equal">
      <formula>"OFF"</formula>
    </cfRule>
    <cfRule type="cellIs" dxfId="24021" priority="15716" operator="equal">
      <formula>"PTO"</formula>
    </cfRule>
  </conditionalFormatting>
  <conditionalFormatting sqref="N26">
    <cfRule type="cellIs" dxfId="24020" priority="15713" operator="equal">
      <formula>"OFF"</formula>
    </cfRule>
    <cfRule type="cellIs" dxfId="24019" priority="15714" operator="equal">
      <formula>"PTO"</formula>
    </cfRule>
  </conditionalFormatting>
  <conditionalFormatting sqref="N27">
    <cfRule type="cellIs" dxfId="24018" priority="15711" operator="equal">
      <formula>"OFF"</formula>
    </cfRule>
    <cfRule type="cellIs" dxfId="24017" priority="15712" operator="equal">
      <formula>"PTO"</formula>
    </cfRule>
  </conditionalFormatting>
  <conditionalFormatting sqref="N27">
    <cfRule type="cellIs" dxfId="24016" priority="15709" operator="equal">
      <formula>"OFF"</formula>
    </cfRule>
    <cfRule type="cellIs" dxfId="24015" priority="15710" operator="equal">
      <formula>"PTO"</formula>
    </cfRule>
  </conditionalFormatting>
  <conditionalFormatting sqref="N27">
    <cfRule type="cellIs" dxfId="24014" priority="15707" operator="equal">
      <formula>"OFF"</formula>
    </cfRule>
    <cfRule type="cellIs" dxfId="24013" priority="15708" operator="equal">
      <formula>"PTO"</formula>
    </cfRule>
  </conditionalFormatting>
  <conditionalFormatting sqref="N27">
    <cfRule type="cellIs" dxfId="24012" priority="15705" operator="equal">
      <formula>"OFF"</formula>
    </cfRule>
    <cfRule type="cellIs" dxfId="24011" priority="15706" operator="equal">
      <formula>"PTO"</formula>
    </cfRule>
  </conditionalFormatting>
  <conditionalFormatting sqref="N27">
    <cfRule type="cellIs" dxfId="24010" priority="15703" operator="equal">
      <formula>"OFF"</formula>
    </cfRule>
    <cfRule type="cellIs" dxfId="24009" priority="15704" operator="equal">
      <formula>"PTO"</formula>
    </cfRule>
  </conditionalFormatting>
  <conditionalFormatting sqref="N27">
    <cfRule type="cellIs" dxfId="24008" priority="15701" operator="equal">
      <formula>"OFF"</formula>
    </cfRule>
    <cfRule type="cellIs" dxfId="24007" priority="15702" operator="equal">
      <formula>"PTO"</formula>
    </cfRule>
  </conditionalFormatting>
  <conditionalFormatting sqref="N27">
    <cfRule type="cellIs" dxfId="24006" priority="15699" operator="equal">
      <formula>"OFF"</formula>
    </cfRule>
    <cfRule type="cellIs" dxfId="24005" priority="15700" operator="equal">
      <formula>"PTO"</formula>
    </cfRule>
  </conditionalFormatting>
  <conditionalFormatting sqref="N27">
    <cfRule type="cellIs" dxfId="24004" priority="15697" operator="equal">
      <formula>"OFF"</formula>
    </cfRule>
    <cfRule type="cellIs" dxfId="24003" priority="15698" operator="equal">
      <formula>"PTO"</formula>
    </cfRule>
  </conditionalFormatting>
  <conditionalFormatting sqref="N26">
    <cfRule type="cellIs" dxfId="24002" priority="15695" operator="equal">
      <formula>"OFF"</formula>
    </cfRule>
    <cfRule type="cellIs" dxfId="24001" priority="15696" operator="equal">
      <formula>"PTO"</formula>
    </cfRule>
  </conditionalFormatting>
  <conditionalFormatting sqref="N26">
    <cfRule type="cellIs" dxfId="24000" priority="15693" operator="equal">
      <formula>"OFF"</formula>
    </cfRule>
    <cfRule type="cellIs" dxfId="23999" priority="15694" operator="equal">
      <formula>"PTO"</formula>
    </cfRule>
  </conditionalFormatting>
  <conditionalFormatting sqref="N26">
    <cfRule type="cellIs" dxfId="23998" priority="15691" operator="equal">
      <formula>"OFF"</formula>
    </cfRule>
    <cfRule type="cellIs" dxfId="23997" priority="15692" operator="equal">
      <formula>"PTO"</formula>
    </cfRule>
  </conditionalFormatting>
  <conditionalFormatting sqref="N26">
    <cfRule type="cellIs" dxfId="23996" priority="15689" operator="equal">
      <formula>"OFF"</formula>
    </cfRule>
    <cfRule type="cellIs" dxfId="23995" priority="15690" operator="equal">
      <formula>"PTO"</formula>
    </cfRule>
  </conditionalFormatting>
  <conditionalFormatting sqref="N26">
    <cfRule type="cellIs" dxfId="23994" priority="15687" operator="equal">
      <formula>"OFF"</formula>
    </cfRule>
    <cfRule type="cellIs" dxfId="23993" priority="15688" operator="equal">
      <formula>"PTO"</formula>
    </cfRule>
  </conditionalFormatting>
  <conditionalFormatting sqref="N26">
    <cfRule type="cellIs" dxfId="23992" priority="15685" operator="equal">
      <formula>"OFF"</formula>
    </cfRule>
    <cfRule type="cellIs" dxfId="23991" priority="15686" operator="equal">
      <formula>"PTO"</formula>
    </cfRule>
  </conditionalFormatting>
  <conditionalFormatting sqref="N26">
    <cfRule type="cellIs" dxfId="23990" priority="15683" operator="equal">
      <formula>"OFF"</formula>
    </cfRule>
    <cfRule type="cellIs" dxfId="23989" priority="15684" operator="equal">
      <formula>"PTO"</formula>
    </cfRule>
  </conditionalFormatting>
  <conditionalFormatting sqref="N26">
    <cfRule type="cellIs" dxfId="23988" priority="15681" operator="equal">
      <formula>"OFF"</formula>
    </cfRule>
    <cfRule type="cellIs" dxfId="23987" priority="15682" operator="equal">
      <formula>"PTO"</formula>
    </cfRule>
  </conditionalFormatting>
  <conditionalFormatting sqref="N27">
    <cfRule type="cellIs" dxfId="23986" priority="15679" operator="equal">
      <formula>"OFF"</formula>
    </cfRule>
    <cfRule type="cellIs" dxfId="23985" priority="15680" operator="equal">
      <formula>"PTO"</formula>
    </cfRule>
  </conditionalFormatting>
  <conditionalFormatting sqref="N27">
    <cfRule type="cellIs" dxfId="23984" priority="15677" operator="equal">
      <formula>"OFF"</formula>
    </cfRule>
    <cfRule type="cellIs" dxfId="23983" priority="15678" operator="equal">
      <formula>"PTO"</formula>
    </cfRule>
  </conditionalFormatting>
  <conditionalFormatting sqref="N27">
    <cfRule type="cellIs" dxfId="23982" priority="15675" operator="equal">
      <formula>"OFF"</formula>
    </cfRule>
    <cfRule type="cellIs" dxfId="23981" priority="15676" operator="equal">
      <formula>"PTO"</formula>
    </cfRule>
  </conditionalFormatting>
  <conditionalFormatting sqref="N27">
    <cfRule type="cellIs" dxfId="23980" priority="15673" operator="equal">
      <formula>"OFF"</formula>
    </cfRule>
    <cfRule type="cellIs" dxfId="23979" priority="15674" operator="equal">
      <formula>"PTO"</formula>
    </cfRule>
  </conditionalFormatting>
  <conditionalFormatting sqref="N27">
    <cfRule type="cellIs" dxfId="23978" priority="15671" operator="equal">
      <formula>"OFF"</formula>
    </cfRule>
    <cfRule type="cellIs" dxfId="23977" priority="15672" operator="equal">
      <formula>"PTO"</formula>
    </cfRule>
  </conditionalFormatting>
  <conditionalFormatting sqref="N27">
    <cfRule type="cellIs" dxfId="23976" priority="15669" operator="equal">
      <formula>"OFF"</formula>
    </cfRule>
    <cfRule type="cellIs" dxfId="23975" priority="15670" operator="equal">
      <formula>"PTO"</formula>
    </cfRule>
  </conditionalFormatting>
  <conditionalFormatting sqref="N27">
    <cfRule type="cellIs" dxfId="23974" priority="15667" operator="equal">
      <formula>"OFF"</formula>
    </cfRule>
    <cfRule type="cellIs" dxfId="23973" priority="15668" operator="equal">
      <formula>"PTO"</formula>
    </cfRule>
  </conditionalFormatting>
  <conditionalFormatting sqref="N27">
    <cfRule type="cellIs" dxfId="23972" priority="15665" operator="equal">
      <formula>"OFF"</formula>
    </cfRule>
    <cfRule type="cellIs" dxfId="23971" priority="15666" operator="equal">
      <formula>"PTO"</formula>
    </cfRule>
  </conditionalFormatting>
  <conditionalFormatting sqref="N29">
    <cfRule type="cellIs" dxfId="23970" priority="15663" operator="equal">
      <formula>"OFF"</formula>
    </cfRule>
    <cfRule type="cellIs" dxfId="23969" priority="15664" operator="equal">
      <formula>"PTO"</formula>
    </cfRule>
  </conditionalFormatting>
  <conditionalFormatting sqref="N29">
    <cfRule type="cellIs" dxfId="23968" priority="15661" operator="equal">
      <formula>"OFF"</formula>
    </cfRule>
    <cfRule type="cellIs" dxfId="23967" priority="15662" operator="equal">
      <formula>"PTO"</formula>
    </cfRule>
  </conditionalFormatting>
  <conditionalFormatting sqref="N29">
    <cfRule type="cellIs" dxfId="23966" priority="15659" operator="equal">
      <formula>"OFF"</formula>
    </cfRule>
    <cfRule type="cellIs" dxfId="23965" priority="15660" operator="equal">
      <formula>"PTO"</formula>
    </cfRule>
  </conditionalFormatting>
  <conditionalFormatting sqref="N29">
    <cfRule type="cellIs" dxfId="23964" priority="15657" operator="equal">
      <formula>"OFF"</formula>
    </cfRule>
    <cfRule type="cellIs" dxfId="23963" priority="15658" operator="equal">
      <formula>"PTO"</formula>
    </cfRule>
  </conditionalFormatting>
  <conditionalFormatting sqref="N29">
    <cfRule type="cellIs" dxfId="23962" priority="15655" operator="equal">
      <formula>"OFF"</formula>
    </cfRule>
    <cfRule type="cellIs" dxfId="23961" priority="15656" operator="equal">
      <formula>"PTO"</formula>
    </cfRule>
  </conditionalFormatting>
  <conditionalFormatting sqref="N29">
    <cfRule type="cellIs" dxfId="23960" priority="15653" operator="equal">
      <formula>"OFF"</formula>
    </cfRule>
    <cfRule type="cellIs" dxfId="23959" priority="15654" operator="equal">
      <formula>"PTO"</formula>
    </cfRule>
  </conditionalFormatting>
  <conditionalFormatting sqref="N29">
    <cfRule type="cellIs" dxfId="23958" priority="15651" operator="equal">
      <formula>"OFF"</formula>
    </cfRule>
    <cfRule type="cellIs" dxfId="23957" priority="15652" operator="equal">
      <formula>"PTO"</formula>
    </cfRule>
  </conditionalFormatting>
  <conditionalFormatting sqref="N29">
    <cfRule type="cellIs" dxfId="23956" priority="15649" operator="equal">
      <formula>"OFF"</formula>
    </cfRule>
    <cfRule type="cellIs" dxfId="23955" priority="15650" operator="equal">
      <formula>"PTO"</formula>
    </cfRule>
  </conditionalFormatting>
  <conditionalFormatting sqref="N29">
    <cfRule type="cellIs" dxfId="23954" priority="15647" operator="equal">
      <formula>"OFF"</formula>
    </cfRule>
    <cfRule type="cellIs" dxfId="23953" priority="15648" operator="equal">
      <formula>"PTO"</formula>
    </cfRule>
  </conditionalFormatting>
  <conditionalFormatting sqref="N29">
    <cfRule type="cellIs" dxfId="23952" priority="15645" operator="equal">
      <formula>"OFF"</formula>
    </cfRule>
    <cfRule type="cellIs" dxfId="23951" priority="15646" operator="equal">
      <formula>"PTO"</formula>
    </cfRule>
  </conditionalFormatting>
  <conditionalFormatting sqref="N29">
    <cfRule type="cellIs" dxfId="23950" priority="15643" operator="equal">
      <formula>"OFF"</formula>
    </cfRule>
    <cfRule type="cellIs" dxfId="23949" priority="15644" operator="equal">
      <formula>"PTO"</formula>
    </cfRule>
  </conditionalFormatting>
  <conditionalFormatting sqref="N29">
    <cfRule type="cellIs" dxfId="23948" priority="15641" operator="equal">
      <formula>"OFF"</formula>
    </cfRule>
    <cfRule type="cellIs" dxfId="23947" priority="15642" operator="equal">
      <formula>"PTO"</formula>
    </cfRule>
  </conditionalFormatting>
  <conditionalFormatting sqref="N29">
    <cfRule type="cellIs" dxfId="23946" priority="15639" operator="equal">
      <formula>"OFF"</formula>
    </cfRule>
    <cfRule type="cellIs" dxfId="23945" priority="15640" operator="equal">
      <formula>"PTO"</formula>
    </cfRule>
  </conditionalFormatting>
  <conditionalFormatting sqref="N29">
    <cfRule type="cellIs" dxfId="23944" priority="15637" operator="equal">
      <formula>"OFF"</formula>
    </cfRule>
    <cfRule type="cellIs" dxfId="23943" priority="15638" operator="equal">
      <formula>"PTO"</formula>
    </cfRule>
  </conditionalFormatting>
  <conditionalFormatting sqref="N29">
    <cfRule type="cellIs" dxfId="23942" priority="15635" operator="equal">
      <formula>"OFF"</formula>
    </cfRule>
    <cfRule type="cellIs" dxfId="23941" priority="15636" operator="equal">
      <formula>"PTO"</formula>
    </cfRule>
  </conditionalFormatting>
  <conditionalFormatting sqref="N29">
    <cfRule type="cellIs" dxfId="23940" priority="15633" operator="equal">
      <formula>"OFF"</formula>
    </cfRule>
    <cfRule type="cellIs" dxfId="23939" priority="15634" operator="equal">
      <formula>"PTO"</formula>
    </cfRule>
  </conditionalFormatting>
  <conditionalFormatting sqref="N29">
    <cfRule type="cellIs" dxfId="23938" priority="15631" operator="equal">
      <formula>"OFF"</formula>
    </cfRule>
    <cfRule type="cellIs" dxfId="23937" priority="15632" operator="equal">
      <formula>"PTO"</formula>
    </cfRule>
  </conditionalFormatting>
  <conditionalFormatting sqref="N29">
    <cfRule type="cellIs" dxfId="23936" priority="15629" operator="equal">
      <formula>"OFF"</formula>
    </cfRule>
    <cfRule type="cellIs" dxfId="23935" priority="15630" operator="equal">
      <formula>"PTO"</formula>
    </cfRule>
  </conditionalFormatting>
  <conditionalFormatting sqref="N29">
    <cfRule type="cellIs" dxfId="23934" priority="15627" operator="equal">
      <formula>"OFF"</formula>
    </cfRule>
    <cfRule type="cellIs" dxfId="23933" priority="15628" operator="equal">
      <formula>"PTO"</formula>
    </cfRule>
  </conditionalFormatting>
  <conditionalFormatting sqref="N29">
    <cfRule type="cellIs" dxfId="23932" priority="15625" operator="equal">
      <formula>"OFF"</formula>
    </cfRule>
    <cfRule type="cellIs" dxfId="23931" priority="15626" operator="equal">
      <formula>"PTO"</formula>
    </cfRule>
  </conditionalFormatting>
  <conditionalFormatting sqref="N29">
    <cfRule type="cellIs" dxfId="23930" priority="15623" operator="equal">
      <formula>"OFF"</formula>
    </cfRule>
    <cfRule type="cellIs" dxfId="23929" priority="15624" operator="equal">
      <formula>"PTO"</formula>
    </cfRule>
  </conditionalFormatting>
  <conditionalFormatting sqref="N29">
    <cfRule type="cellIs" dxfId="23928" priority="15621" operator="equal">
      <formula>"OFF"</formula>
    </cfRule>
    <cfRule type="cellIs" dxfId="23927" priority="15622" operator="equal">
      <formula>"PTO"</formula>
    </cfRule>
  </conditionalFormatting>
  <conditionalFormatting sqref="N29">
    <cfRule type="cellIs" dxfId="23926" priority="15619" operator="equal">
      <formula>"OFF"</formula>
    </cfRule>
    <cfRule type="cellIs" dxfId="23925" priority="15620" operator="equal">
      <formula>"PTO"</formula>
    </cfRule>
  </conditionalFormatting>
  <conditionalFormatting sqref="N29">
    <cfRule type="cellIs" dxfId="23924" priority="15617" operator="equal">
      <formula>"OFF"</formula>
    </cfRule>
    <cfRule type="cellIs" dxfId="23923" priority="15618" operator="equal">
      <formula>"PTO"</formula>
    </cfRule>
  </conditionalFormatting>
  <conditionalFormatting sqref="N29">
    <cfRule type="cellIs" dxfId="23922" priority="15615" operator="equal">
      <formula>"OFF"</formula>
    </cfRule>
    <cfRule type="cellIs" dxfId="23921" priority="15616" operator="equal">
      <formula>"PTO"</formula>
    </cfRule>
  </conditionalFormatting>
  <conditionalFormatting sqref="N29">
    <cfRule type="cellIs" dxfId="23920" priority="15613" operator="equal">
      <formula>"OFF"</formula>
    </cfRule>
    <cfRule type="cellIs" dxfId="23919" priority="15614" operator="equal">
      <formula>"PTO"</formula>
    </cfRule>
  </conditionalFormatting>
  <conditionalFormatting sqref="N29">
    <cfRule type="cellIs" dxfId="23918" priority="15611" operator="equal">
      <formula>"OFF"</formula>
    </cfRule>
    <cfRule type="cellIs" dxfId="23917" priority="15612" operator="equal">
      <formula>"PTO"</formula>
    </cfRule>
  </conditionalFormatting>
  <conditionalFormatting sqref="N29">
    <cfRule type="cellIs" dxfId="23916" priority="15609" operator="equal">
      <formula>"OFF"</formula>
    </cfRule>
    <cfRule type="cellIs" dxfId="23915" priority="15610" operator="equal">
      <formula>"PTO"</formula>
    </cfRule>
  </conditionalFormatting>
  <conditionalFormatting sqref="N29">
    <cfRule type="cellIs" dxfId="23914" priority="15607" operator="equal">
      <formula>"OFF"</formula>
    </cfRule>
    <cfRule type="cellIs" dxfId="23913" priority="15608" operator="equal">
      <formula>"PTO"</formula>
    </cfRule>
  </conditionalFormatting>
  <conditionalFormatting sqref="N29">
    <cfRule type="cellIs" dxfId="23912" priority="15605" operator="equal">
      <formula>"OFF"</formula>
    </cfRule>
    <cfRule type="cellIs" dxfId="23911" priority="15606" operator="equal">
      <formula>"PTO"</formula>
    </cfRule>
  </conditionalFormatting>
  <conditionalFormatting sqref="N29">
    <cfRule type="cellIs" dxfId="23910" priority="15603" operator="equal">
      <formula>"OFF"</formula>
    </cfRule>
    <cfRule type="cellIs" dxfId="23909" priority="15604" operator="equal">
      <formula>"PTO"</formula>
    </cfRule>
  </conditionalFormatting>
  <conditionalFormatting sqref="N29">
    <cfRule type="cellIs" dxfId="23908" priority="15601" operator="equal">
      <formula>"OFF"</formula>
    </cfRule>
    <cfRule type="cellIs" dxfId="23907" priority="15602" operator="equal">
      <formula>"PTO"</formula>
    </cfRule>
  </conditionalFormatting>
  <conditionalFormatting sqref="N29">
    <cfRule type="cellIs" dxfId="23906" priority="15599" operator="equal">
      <formula>"OFF"</formula>
    </cfRule>
    <cfRule type="cellIs" dxfId="23905" priority="15600" operator="equal">
      <formula>"PTO"</formula>
    </cfRule>
  </conditionalFormatting>
  <conditionalFormatting sqref="N29">
    <cfRule type="cellIs" dxfId="23904" priority="15597" operator="equal">
      <formula>"OFF"</formula>
    </cfRule>
    <cfRule type="cellIs" dxfId="23903" priority="15598" operator="equal">
      <formula>"PTO"</formula>
    </cfRule>
  </conditionalFormatting>
  <conditionalFormatting sqref="N29">
    <cfRule type="cellIs" dxfId="23902" priority="15595" operator="equal">
      <formula>"OFF"</formula>
    </cfRule>
    <cfRule type="cellIs" dxfId="23901" priority="15596" operator="equal">
      <formula>"PTO"</formula>
    </cfRule>
  </conditionalFormatting>
  <conditionalFormatting sqref="N29">
    <cfRule type="cellIs" dxfId="23900" priority="15593" operator="equal">
      <formula>"OFF"</formula>
    </cfRule>
    <cfRule type="cellIs" dxfId="23899" priority="15594" operator="equal">
      <formula>"PTO"</formula>
    </cfRule>
  </conditionalFormatting>
  <conditionalFormatting sqref="N29">
    <cfRule type="cellIs" dxfId="23898" priority="15591" operator="equal">
      <formula>"OFF"</formula>
    </cfRule>
    <cfRule type="cellIs" dxfId="23897" priority="15592" operator="equal">
      <formula>"PTO"</formula>
    </cfRule>
  </conditionalFormatting>
  <conditionalFormatting sqref="N29">
    <cfRule type="cellIs" dxfId="23896" priority="15589" operator="equal">
      <formula>"OFF"</formula>
    </cfRule>
    <cfRule type="cellIs" dxfId="23895" priority="15590" operator="equal">
      <formula>"PTO"</formula>
    </cfRule>
  </conditionalFormatting>
  <conditionalFormatting sqref="N29">
    <cfRule type="cellIs" dxfId="23894" priority="15587" operator="equal">
      <formula>"OFF"</formula>
    </cfRule>
    <cfRule type="cellIs" dxfId="23893" priority="15588" operator="equal">
      <formula>"PTO"</formula>
    </cfRule>
  </conditionalFormatting>
  <conditionalFormatting sqref="N29">
    <cfRule type="cellIs" dxfId="23892" priority="15585" operator="equal">
      <formula>"OFF"</formula>
    </cfRule>
    <cfRule type="cellIs" dxfId="23891" priority="15586" operator="equal">
      <formula>"PTO"</formula>
    </cfRule>
  </conditionalFormatting>
  <conditionalFormatting sqref="N29">
    <cfRule type="cellIs" dxfId="23890" priority="15583" operator="equal">
      <formula>"OFF"</formula>
    </cfRule>
    <cfRule type="cellIs" dxfId="23889" priority="15584" operator="equal">
      <formula>"PTO"</formula>
    </cfRule>
  </conditionalFormatting>
  <conditionalFormatting sqref="N29">
    <cfRule type="cellIs" dxfId="23888" priority="15581" operator="equal">
      <formula>"OFF"</formula>
    </cfRule>
    <cfRule type="cellIs" dxfId="23887" priority="15582" operator="equal">
      <formula>"PTO"</formula>
    </cfRule>
  </conditionalFormatting>
  <conditionalFormatting sqref="N29">
    <cfRule type="cellIs" dxfId="23886" priority="15579" operator="equal">
      <formula>"OFF"</formula>
    </cfRule>
    <cfRule type="cellIs" dxfId="23885" priority="15580" operator="equal">
      <formula>"PTO"</formula>
    </cfRule>
  </conditionalFormatting>
  <conditionalFormatting sqref="N29">
    <cfRule type="cellIs" dxfId="23884" priority="15577" operator="equal">
      <formula>"OFF"</formula>
    </cfRule>
    <cfRule type="cellIs" dxfId="23883" priority="15578" operator="equal">
      <formula>"PTO"</formula>
    </cfRule>
  </conditionalFormatting>
  <conditionalFormatting sqref="N29">
    <cfRule type="cellIs" dxfId="23882" priority="15575" operator="equal">
      <formula>"OFF"</formula>
    </cfRule>
    <cfRule type="cellIs" dxfId="23881" priority="15576" operator="equal">
      <formula>"PTO"</formula>
    </cfRule>
  </conditionalFormatting>
  <conditionalFormatting sqref="N29">
    <cfRule type="cellIs" dxfId="23880" priority="15573" operator="equal">
      <formula>"OFF"</formula>
    </cfRule>
    <cfRule type="cellIs" dxfId="23879" priority="15574" operator="equal">
      <formula>"PTO"</formula>
    </cfRule>
  </conditionalFormatting>
  <conditionalFormatting sqref="N29">
    <cfRule type="cellIs" dxfId="23878" priority="15571" operator="equal">
      <formula>"OFF"</formula>
    </cfRule>
    <cfRule type="cellIs" dxfId="23877" priority="15572" operator="equal">
      <formula>"PTO"</formula>
    </cfRule>
  </conditionalFormatting>
  <conditionalFormatting sqref="N29">
    <cfRule type="cellIs" dxfId="23876" priority="15569" operator="equal">
      <formula>"OFF"</formula>
    </cfRule>
    <cfRule type="cellIs" dxfId="23875" priority="15570" operator="equal">
      <formula>"PTO"</formula>
    </cfRule>
  </conditionalFormatting>
  <conditionalFormatting sqref="N29">
    <cfRule type="cellIs" dxfId="23874" priority="15567" operator="equal">
      <formula>"OFF"</formula>
    </cfRule>
    <cfRule type="cellIs" dxfId="23873" priority="15568" operator="equal">
      <formula>"PTO"</formula>
    </cfRule>
  </conditionalFormatting>
  <conditionalFormatting sqref="N29">
    <cfRule type="cellIs" dxfId="23872" priority="15565" operator="equal">
      <formula>"OFF"</formula>
    </cfRule>
    <cfRule type="cellIs" dxfId="23871" priority="15566" operator="equal">
      <formula>"PTO"</formula>
    </cfRule>
  </conditionalFormatting>
  <conditionalFormatting sqref="N29">
    <cfRule type="cellIs" dxfId="23870" priority="15563" operator="equal">
      <formula>"OFF"</formula>
    </cfRule>
    <cfRule type="cellIs" dxfId="23869" priority="15564" operator="equal">
      <formula>"PTO"</formula>
    </cfRule>
  </conditionalFormatting>
  <conditionalFormatting sqref="N29">
    <cfRule type="cellIs" dxfId="23868" priority="15561" operator="equal">
      <formula>"OFF"</formula>
    </cfRule>
    <cfRule type="cellIs" dxfId="23867" priority="15562" operator="equal">
      <formula>"PTO"</formula>
    </cfRule>
  </conditionalFormatting>
  <conditionalFormatting sqref="N29">
    <cfRule type="cellIs" dxfId="23866" priority="15559" operator="equal">
      <formula>"OFF"</formula>
    </cfRule>
    <cfRule type="cellIs" dxfId="23865" priority="15560" operator="equal">
      <formula>"PTO"</formula>
    </cfRule>
  </conditionalFormatting>
  <conditionalFormatting sqref="N29">
    <cfRule type="cellIs" dxfId="23864" priority="15557" operator="equal">
      <formula>"OFF"</formula>
    </cfRule>
    <cfRule type="cellIs" dxfId="23863" priority="15558" operator="equal">
      <formula>"PTO"</formula>
    </cfRule>
  </conditionalFormatting>
  <conditionalFormatting sqref="N29">
    <cfRule type="cellIs" dxfId="23862" priority="15555" operator="equal">
      <formula>"OFF"</formula>
    </cfRule>
    <cfRule type="cellIs" dxfId="23861" priority="15556" operator="equal">
      <formula>"PTO"</formula>
    </cfRule>
  </conditionalFormatting>
  <conditionalFormatting sqref="N29">
    <cfRule type="cellIs" dxfId="23860" priority="15553" operator="equal">
      <formula>"OFF"</formula>
    </cfRule>
    <cfRule type="cellIs" dxfId="23859" priority="15554" operator="equal">
      <formula>"PTO"</formula>
    </cfRule>
  </conditionalFormatting>
  <conditionalFormatting sqref="J26:J28 J30 J32:J33 J35:J36 J38:J39">
    <cfRule type="cellIs" dxfId="23858" priority="15139" operator="equal">
      <formula>"OFF"</formula>
    </cfRule>
    <cfRule type="cellIs" dxfId="23857" priority="15140" operator="equal">
      <formula>"PTO"</formula>
    </cfRule>
  </conditionalFormatting>
  <conditionalFormatting sqref="K26:K28 K30 K32:K33 K35:K36 K38:K39">
    <cfRule type="cellIs" dxfId="23856" priority="15137" operator="equal">
      <formula>"OFF"</formula>
    </cfRule>
    <cfRule type="cellIs" dxfId="23855" priority="15138" operator="equal">
      <formula>"PTO"</formula>
    </cfRule>
  </conditionalFormatting>
  <conditionalFormatting sqref="J26:J28">
    <cfRule type="cellIs" dxfId="23854" priority="15135" operator="equal">
      <formula>"OFF"</formula>
    </cfRule>
    <cfRule type="cellIs" dxfId="23853" priority="15136" operator="equal">
      <formula>"PTO"</formula>
    </cfRule>
  </conditionalFormatting>
  <conditionalFormatting sqref="J26:J28">
    <cfRule type="cellIs" dxfId="23852" priority="15133" operator="equal">
      <formula>"OFF"</formula>
    </cfRule>
    <cfRule type="cellIs" dxfId="23851" priority="15134" operator="equal">
      <formula>"PTO"</formula>
    </cfRule>
  </conditionalFormatting>
  <conditionalFormatting sqref="J26:J28">
    <cfRule type="cellIs" dxfId="23850" priority="15131" operator="equal">
      <formula>"OFF"</formula>
    </cfRule>
    <cfRule type="cellIs" dxfId="23849" priority="15132" operator="equal">
      <formula>"PTO"</formula>
    </cfRule>
  </conditionalFormatting>
  <conditionalFormatting sqref="J26:J28">
    <cfRule type="cellIs" dxfId="23848" priority="15129" operator="equal">
      <formula>"OFF"</formula>
    </cfRule>
    <cfRule type="cellIs" dxfId="23847" priority="15130" operator="equal">
      <formula>"PTO"</formula>
    </cfRule>
  </conditionalFormatting>
  <conditionalFormatting sqref="J26:J28">
    <cfRule type="cellIs" dxfId="23846" priority="15127" operator="equal">
      <formula>"OFF"</formula>
    </cfRule>
    <cfRule type="cellIs" dxfId="23845" priority="15128" operator="equal">
      <formula>"PTO"</formula>
    </cfRule>
  </conditionalFormatting>
  <conditionalFormatting sqref="J26:J28">
    <cfRule type="cellIs" dxfId="23844" priority="15125" operator="equal">
      <formula>"OFF"</formula>
    </cfRule>
    <cfRule type="cellIs" dxfId="23843" priority="15126" operator="equal">
      <formula>"PTO"</formula>
    </cfRule>
  </conditionalFormatting>
  <conditionalFormatting sqref="J26:J28">
    <cfRule type="cellIs" dxfId="23842" priority="15123" operator="equal">
      <formula>"OFF"</formula>
    </cfRule>
    <cfRule type="cellIs" dxfId="23841" priority="15124" operator="equal">
      <formula>"PTO"</formula>
    </cfRule>
  </conditionalFormatting>
  <conditionalFormatting sqref="J26:J28">
    <cfRule type="cellIs" dxfId="23840" priority="15121" operator="equal">
      <formula>"OFF"</formula>
    </cfRule>
    <cfRule type="cellIs" dxfId="23839" priority="15122" operator="equal">
      <formula>"PTO"</formula>
    </cfRule>
  </conditionalFormatting>
  <conditionalFormatting sqref="J27">
    <cfRule type="cellIs" dxfId="23838" priority="15119" operator="equal">
      <formula>"OFF"</formula>
    </cfRule>
    <cfRule type="cellIs" dxfId="23837" priority="15120" operator="equal">
      <formula>"PTO"</formula>
    </cfRule>
  </conditionalFormatting>
  <conditionalFormatting sqref="J27">
    <cfRule type="cellIs" dxfId="23836" priority="15117" operator="equal">
      <formula>"OFF"</formula>
    </cfRule>
    <cfRule type="cellIs" dxfId="23835" priority="15118" operator="equal">
      <formula>"PTO"</formula>
    </cfRule>
  </conditionalFormatting>
  <conditionalFormatting sqref="J27">
    <cfRule type="cellIs" dxfId="23834" priority="15115" operator="equal">
      <formula>"OFF"</formula>
    </cfRule>
    <cfRule type="cellIs" dxfId="23833" priority="15116" operator="equal">
      <formula>"PTO"</formula>
    </cfRule>
  </conditionalFormatting>
  <conditionalFormatting sqref="J27">
    <cfRule type="cellIs" dxfId="23832" priority="15113" operator="equal">
      <formula>"OFF"</formula>
    </cfRule>
    <cfRule type="cellIs" dxfId="23831" priority="15114" operator="equal">
      <formula>"PTO"</formula>
    </cfRule>
  </conditionalFormatting>
  <conditionalFormatting sqref="J27">
    <cfRule type="cellIs" dxfId="23830" priority="15111" operator="equal">
      <formula>"OFF"</formula>
    </cfRule>
    <cfRule type="cellIs" dxfId="23829" priority="15112" operator="equal">
      <formula>"PTO"</formula>
    </cfRule>
  </conditionalFormatting>
  <conditionalFormatting sqref="J27">
    <cfRule type="cellIs" dxfId="23828" priority="15109" operator="equal">
      <formula>"OFF"</formula>
    </cfRule>
    <cfRule type="cellIs" dxfId="23827" priority="15110" operator="equal">
      <formula>"PTO"</formula>
    </cfRule>
  </conditionalFormatting>
  <conditionalFormatting sqref="J27">
    <cfRule type="cellIs" dxfId="23826" priority="15107" operator="equal">
      <formula>"OFF"</formula>
    </cfRule>
    <cfRule type="cellIs" dxfId="23825" priority="15108" operator="equal">
      <formula>"PTO"</formula>
    </cfRule>
  </conditionalFormatting>
  <conditionalFormatting sqref="J27">
    <cfRule type="cellIs" dxfId="23824" priority="15105" operator="equal">
      <formula>"OFF"</formula>
    </cfRule>
    <cfRule type="cellIs" dxfId="23823" priority="15106" operator="equal">
      <formula>"PTO"</formula>
    </cfRule>
  </conditionalFormatting>
  <conditionalFormatting sqref="K26:K28">
    <cfRule type="cellIs" dxfId="23822" priority="15103" operator="equal">
      <formula>"OFF"</formula>
    </cfRule>
    <cfRule type="cellIs" dxfId="23821" priority="15104" operator="equal">
      <formula>"PTO"</formula>
    </cfRule>
  </conditionalFormatting>
  <conditionalFormatting sqref="K26:K28">
    <cfRule type="cellIs" dxfId="23820" priority="15101" operator="equal">
      <formula>"OFF"</formula>
    </cfRule>
    <cfRule type="cellIs" dxfId="23819" priority="15102" operator="equal">
      <formula>"PTO"</formula>
    </cfRule>
  </conditionalFormatting>
  <conditionalFormatting sqref="K26:K28">
    <cfRule type="cellIs" dxfId="23818" priority="15099" operator="equal">
      <formula>"OFF"</formula>
    </cfRule>
    <cfRule type="cellIs" dxfId="23817" priority="15100" operator="equal">
      <formula>"PTO"</formula>
    </cfRule>
  </conditionalFormatting>
  <conditionalFormatting sqref="K26:K28">
    <cfRule type="cellIs" dxfId="23816" priority="15097" operator="equal">
      <formula>"OFF"</formula>
    </cfRule>
    <cfRule type="cellIs" dxfId="23815" priority="15098" operator="equal">
      <formula>"PTO"</formula>
    </cfRule>
  </conditionalFormatting>
  <conditionalFormatting sqref="K26:K28">
    <cfRule type="cellIs" dxfId="23814" priority="15095" operator="equal">
      <formula>"OFF"</formula>
    </cfRule>
    <cfRule type="cellIs" dxfId="23813" priority="15096" operator="equal">
      <formula>"PTO"</formula>
    </cfRule>
  </conditionalFormatting>
  <conditionalFormatting sqref="K26:K28">
    <cfRule type="cellIs" dxfId="23812" priority="15093" operator="equal">
      <formula>"OFF"</formula>
    </cfRule>
    <cfRule type="cellIs" dxfId="23811" priority="15094" operator="equal">
      <formula>"PTO"</formula>
    </cfRule>
  </conditionalFormatting>
  <conditionalFormatting sqref="K26:K28">
    <cfRule type="cellIs" dxfId="23810" priority="15091" operator="equal">
      <formula>"OFF"</formula>
    </cfRule>
    <cfRule type="cellIs" dxfId="23809" priority="15092" operator="equal">
      <formula>"PTO"</formula>
    </cfRule>
  </conditionalFormatting>
  <conditionalFormatting sqref="K26:K28">
    <cfRule type="cellIs" dxfId="23808" priority="15089" operator="equal">
      <formula>"OFF"</formula>
    </cfRule>
    <cfRule type="cellIs" dxfId="23807" priority="15090" operator="equal">
      <formula>"PTO"</formula>
    </cfRule>
  </conditionalFormatting>
  <conditionalFormatting sqref="K27">
    <cfRule type="cellIs" dxfId="23806" priority="15087" operator="equal">
      <formula>"OFF"</formula>
    </cfRule>
    <cfRule type="cellIs" dxfId="23805" priority="15088" operator="equal">
      <formula>"PTO"</formula>
    </cfRule>
  </conditionalFormatting>
  <conditionalFormatting sqref="K27">
    <cfRule type="cellIs" dxfId="23804" priority="15085" operator="equal">
      <formula>"OFF"</formula>
    </cfRule>
    <cfRule type="cellIs" dxfId="23803" priority="15086" operator="equal">
      <formula>"PTO"</formula>
    </cfRule>
  </conditionalFormatting>
  <conditionalFormatting sqref="K27">
    <cfRule type="cellIs" dxfId="23802" priority="15083" operator="equal">
      <formula>"OFF"</formula>
    </cfRule>
    <cfRule type="cellIs" dxfId="23801" priority="15084" operator="equal">
      <formula>"PTO"</formula>
    </cfRule>
  </conditionalFormatting>
  <conditionalFormatting sqref="K27">
    <cfRule type="cellIs" dxfId="23800" priority="15081" operator="equal">
      <formula>"OFF"</formula>
    </cfRule>
    <cfRule type="cellIs" dxfId="23799" priority="15082" operator="equal">
      <formula>"PTO"</formula>
    </cfRule>
  </conditionalFormatting>
  <conditionalFormatting sqref="K27">
    <cfRule type="cellIs" dxfId="23798" priority="15079" operator="equal">
      <formula>"OFF"</formula>
    </cfRule>
    <cfRule type="cellIs" dxfId="23797" priority="15080" operator="equal">
      <formula>"PTO"</formula>
    </cfRule>
  </conditionalFormatting>
  <conditionalFormatting sqref="K27">
    <cfRule type="cellIs" dxfId="23796" priority="15077" operator="equal">
      <formula>"OFF"</formula>
    </cfRule>
    <cfRule type="cellIs" dxfId="23795" priority="15078" operator="equal">
      <formula>"PTO"</formula>
    </cfRule>
  </conditionalFormatting>
  <conditionalFormatting sqref="K27">
    <cfRule type="cellIs" dxfId="23794" priority="15075" operator="equal">
      <formula>"OFF"</formula>
    </cfRule>
    <cfRule type="cellIs" dxfId="23793" priority="15076" operator="equal">
      <formula>"PTO"</formula>
    </cfRule>
  </conditionalFormatting>
  <conditionalFormatting sqref="K27">
    <cfRule type="cellIs" dxfId="23792" priority="15073" operator="equal">
      <formula>"OFF"</formula>
    </cfRule>
    <cfRule type="cellIs" dxfId="23791" priority="15074" operator="equal">
      <formula>"PTO"</formula>
    </cfRule>
  </conditionalFormatting>
  <conditionalFormatting sqref="J30">
    <cfRule type="cellIs" dxfId="23790" priority="15071" operator="equal">
      <formula>"OFF"</formula>
    </cfRule>
    <cfRule type="cellIs" dxfId="23789" priority="15072" operator="equal">
      <formula>"PTO"</formula>
    </cfRule>
  </conditionalFormatting>
  <conditionalFormatting sqref="J30:K30">
    <cfRule type="cellIs" dxfId="23788" priority="15069" operator="equal">
      <formula>"OFF"</formula>
    </cfRule>
    <cfRule type="cellIs" dxfId="23787" priority="15070" operator="equal">
      <formula>"PTO"</formula>
    </cfRule>
  </conditionalFormatting>
  <conditionalFormatting sqref="J30:K30">
    <cfRule type="cellIs" dxfId="23786" priority="15067" operator="equal">
      <formula>"OFF"</formula>
    </cfRule>
    <cfRule type="cellIs" dxfId="23785" priority="15068" operator="equal">
      <formula>"PTO"</formula>
    </cfRule>
  </conditionalFormatting>
  <conditionalFormatting sqref="J30">
    <cfRule type="cellIs" dxfId="23784" priority="15065" operator="equal">
      <formula>"OFF"</formula>
    </cfRule>
    <cfRule type="cellIs" dxfId="23783" priority="15066" operator="equal">
      <formula>"PTO"</formula>
    </cfRule>
  </conditionalFormatting>
  <conditionalFormatting sqref="J30">
    <cfRule type="cellIs" dxfId="23782" priority="15063" operator="equal">
      <formula>"OFF"</formula>
    </cfRule>
    <cfRule type="cellIs" dxfId="23781" priority="15064" operator="equal">
      <formula>"PTO"</formula>
    </cfRule>
  </conditionalFormatting>
  <conditionalFormatting sqref="J30">
    <cfRule type="cellIs" dxfId="23780" priority="15061" operator="equal">
      <formula>"OFF"</formula>
    </cfRule>
    <cfRule type="cellIs" dxfId="23779" priority="15062" operator="equal">
      <formula>"PTO"</formula>
    </cfRule>
  </conditionalFormatting>
  <conditionalFormatting sqref="J30">
    <cfRule type="cellIs" dxfId="23778" priority="15059" operator="equal">
      <formula>"OFF"</formula>
    </cfRule>
    <cfRule type="cellIs" dxfId="23777" priority="15060" operator="equal">
      <formula>"PTO"</formula>
    </cfRule>
  </conditionalFormatting>
  <conditionalFormatting sqref="K30">
    <cfRule type="cellIs" dxfId="23776" priority="15057" operator="equal">
      <formula>"OFF"</formula>
    </cfRule>
    <cfRule type="cellIs" dxfId="23775" priority="15058" operator="equal">
      <formula>"PTO"</formula>
    </cfRule>
  </conditionalFormatting>
  <conditionalFormatting sqref="K30">
    <cfRule type="cellIs" dxfId="23774" priority="15055" operator="equal">
      <formula>"OFF"</formula>
    </cfRule>
    <cfRule type="cellIs" dxfId="23773" priority="15056" operator="equal">
      <formula>"PTO"</formula>
    </cfRule>
  </conditionalFormatting>
  <conditionalFormatting sqref="K30">
    <cfRule type="cellIs" dxfId="23772" priority="15053" operator="equal">
      <formula>"OFF"</formula>
    </cfRule>
    <cfRule type="cellIs" dxfId="23771" priority="15054" operator="equal">
      <formula>"PTO"</formula>
    </cfRule>
  </conditionalFormatting>
  <conditionalFormatting sqref="K30">
    <cfRule type="cellIs" dxfId="23770" priority="15051" operator="equal">
      <formula>"OFF"</formula>
    </cfRule>
    <cfRule type="cellIs" dxfId="23769" priority="15052" operator="equal">
      <formula>"PTO"</formula>
    </cfRule>
  </conditionalFormatting>
  <conditionalFormatting sqref="J30">
    <cfRule type="cellIs" dxfId="23768" priority="15049" operator="equal">
      <formula>"OFF"</formula>
    </cfRule>
    <cfRule type="cellIs" dxfId="23767" priority="15050" operator="equal">
      <formula>"PTO"</formula>
    </cfRule>
  </conditionalFormatting>
  <conditionalFormatting sqref="J30">
    <cfRule type="cellIs" dxfId="23766" priority="15047" operator="equal">
      <formula>"OFF"</formula>
    </cfRule>
    <cfRule type="cellIs" dxfId="23765" priority="15048" operator="equal">
      <formula>"PTO"</formula>
    </cfRule>
  </conditionalFormatting>
  <conditionalFormatting sqref="J30">
    <cfRule type="cellIs" dxfId="23764" priority="15045" operator="equal">
      <formula>"OFF"</formula>
    </cfRule>
    <cfRule type="cellIs" dxfId="23763" priority="15046" operator="equal">
      <formula>"PTO"</formula>
    </cfRule>
  </conditionalFormatting>
  <conditionalFormatting sqref="J30">
    <cfRule type="cellIs" dxfId="23762" priority="15043" operator="equal">
      <formula>"OFF"</formula>
    </cfRule>
    <cfRule type="cellIs" dxfId="23761" priority="15044" operator="equal">
      <formula>"PTO"</formula>
    </cfRule>
  </conditionalFormatting>
  <conditionalFormatting sqref="K30">
    <cfRule type="cellIs" dxfId="23760" priority="15041" operator="equal">
      <formula>"OFF"</formula>
    </cfRule>
    <cfRule type="cellIs" dxfId="23759" priority="15042" operator="equal">
      <formula>"PTO"</formula>
    </cfRule>
  </conditionalFormatting>
  <conditionalFormatting sqref="K30">
    <cfRule type="cellIs" dxfId="23758" priority="15039" operator="equal">
      <formula>"OFF"</formula>
    </cfRule>
    <cfRule type="cellIs" dxfId="23757" priority="15040" operator="equal">
      <formula>"PTO"</formula>
    </cfRule>
  </conditionalFormatting>
  <conditionalFormatting sqref="K30">
    <cfRule type="cellIs" dxfId="23756" priority="15037" operator="equal">
      <formula>"OFF"</formula>
    </cfRule>
    <cfRule type="cellIs" dxfId="23755" priority="15038" operator="equal">
      <formula>"PTO"</formula>
    </cfRule>
  </conditionalFormatting>
  <conditionalFormatting sqref="K30">
    <cfRule type="cellIs" dxfId="23754" priority="15035" operator="equal">
      <formula>"OFF"</formula>
    </cfRule>
    <cfRule type="cellIs" dxfId="23753" priority="15036" operator="equal">
      <formula>"PTO"</formula>
    </cfRule>
  </conditionalFormatting>
  <conditionalFormatting sqref="J30">
    <cfRule type="cellIs" dxfId="23752" priority="15033" operator="equal">
      <formula>"OFF"</formula>
    </cfRule>
    <cfRule type="cellIs" dxfId="23751" priority="15034" operator="equal">
      <formula>"PTO"</formula>
    </cfRule>
  </conditionalFormatting>
  <conditionalFormatting sqref="J30">
    <cfRule type="cellIs" dxfId="23750" priority="15031" operator="equal">
      <formula>"OFF"</formula>
    </cfRule>
    <cfRule type="cellIs" dxfId="23749" priority="15032" operator="equal">
      <formula>"PTO"</formula>
    </cfRule>
  </conditionalFormatting>
  <conditionalFormatting sqref="J30">
    <cfRule type="cellIs" dxfId="23748" priority="15029" operator="equal">
      <formula>"OFF"</formula>
    </cfRule>
    <cfRule type="cellIs" dxfId="23747" priority="15030" operator="equal">
      <formula>"PTO"</formula>
    </cfRule>
  </conditionalFormatting>
  <conditionalFormatting sqref="J30">
    <cfRule type="cellIs" dxfId="23746" priority="15027" operator="equal">
      <formula>"OFF"</formula>
    </cfRule>
    <cfRule type="cellIs" dxfId="23745" priority="15028" operator="equal">
      <formula>"PTO"</formula>
    </cfRule>
  </conditionalFormatting>
  <conditionalFormatting sqref="K30">
    <cfRule type="cellIs" dxfId="23744" priority="15025" operator="equal">
      <formula>"OFF"</formula>
    </cfRule>
    <cfRule type="cellIs" dxfId="23743" priority="15026" operator="equal">
      <formula>"PTO"</formula>
    </cfRule>
  </conditionalFormatting>
  <conditionalFormatting sqref="K30">
    <cfRule type="cellIs" dxfId="23742" priority="15023" operator="equal">
      <formula>"OFF"</formula>
    </cfRule>
    <cfRule type="cellIs" dxfId="23741" priority="15024" operator="equal">
      <formula>"PTO"</formula>
    </cfRule>
  </conditionalFormatting>
  <conditionalFormatting sqref="K30">
    <cfRule type="cellIs" dxfId="23740" priority="15021" operator="equal">
      <formula>"OFF"</formula>
    </cfRule>
    <cfRule type="cellIs" dxfId="23739" priority="15022" operator="equal">
      <formula>"PTO"</formula>
    </cfRule>
  </conditionalFormatting>
  <conditionalFormatting sqref="K30">
    <cfRule type="cellIs" dxfId="23738" priority="15019" operator="equal">
      <formula>"OFF"</formula>
    </cfRule>
    <cfRule type="cellIs" dxfId="23737" priority="15020" operator="equal">
      <formula>"PTO"</formula>
    </cfRule>
  </conditionalFormatting>
  <conditionalFormatting sqref="J30">
    <cfRule type="cellIs" dxfId="23736" priority="15017" operator="equal">
      <formula>"OFF"</formula>
    </cfRule>
    <cfRule type="cellIs" dxfId="23735" priority="15018" operator="equal">
      <formula>"PTO"</formula>
    </cfRule>
  </conditionalFormatting>
  <conditionalFormatting sqref="J30">
    <cfRule type="cellIs" dxfId="23734" priority="15015" operator="equal">
      <formula>"OFF"</formula>
    </cfRule>
    <cfRule type="cellIs" dxfId="23733" priority="15016" operator="equal">
      <formula>"PTO"</formula>
    </cfRule>
  </conditionalFormatting>
  <conditionalFormatting sqref="J30">
    <cfRule type="cellIs" dxfId="23732" priority="15013" operator="equal">
      <formula>"OFF"</formula>
    </cfRule>
    <cfRule type="cellIs" dxfId="23731" priority="15014" operator="equal">
      <formula>"PTO"</formula>
    </cfRule>
  </conditionalFormatting>
  <conditionalFormatting sqref="J30">
    <cfRule type="cellIs" dxfId="23730" priority="15011" operator="equal">
      <formula>"OFF"</formula>
    </cfRule>
    <cfRule type="cellIs" dxfId="23729" priority="15012" operator="equal">
      <formula>"PTO"</formula>
    </cfRule>
  </conditionalFormatting>
  <conditionalFormatting sqref="K30">
    <cfRule type="cellIs" dxfId="23728" priority="15009" operator="equal">
      <formula>"OFF"</formula>
    </cfRule>
    <cfRule type="cellIs" dxfId="23727" priority="15010" operator="equal">
      <formula>"PTO"</formula>
    </cfRule>
  </conditionalFormatting>
  <conditionalFormatting sqref="K30">
    <cfRule type="cellIs" dxfId="23726" priority="15007" operator="equal">
      <formula>"OFF"</formula>
    </cfRule>
    <cfRule type="cellIs" dxfId="23725" priority="15008" operator="equal">
      <formula>"PTO"</formula>
    </cfRule>
  </conditionalFormatting>
  <conditionalFormatting sqref="K30">
    <cfRule type="cellIs" dxfId="23724" priority="15005" operator="equal">
      <formula>"OFF"</formula>
    </cfRule>
    <cfRule type="cellIs" dxfId="23723" priority="15006" operator="equal">
      <formula>"PTO"</formula>
    </cfRule>
  </conditionalFormatting>
  <conditionalFormatting sqref="K30">
    <cfRule type="cellIs" dxfId="23722" priority="15003" operator="equal">
      <formula>"OFF"</formula>
    </cfRule>
    <cfRule type="cellIs" dxfId="23721" priority="15004" operator="equal">
      <formula>"PTO"</formula>
    </cfRule>
  </conditionalFormatting>
  <conditionalFormatting sqref="J30">
    <cfRule type="cellIs" dxfId="23720" priority="15001" operator="equal">
      <formula>"OFF"</formula>
    </cfRule>
    <cfRule type="cellIs" dxfId="23719" priority="15002" operator="equal">
      <formula>"PTO"</formula>
    </cfRule>
  </conditionalFormatting>
  <conditionalFormatting sqref="J30">
    <cfRule type="cellIs" dxfId="23718" priority="14999" operator="equal">
      <formula>"OFF"</formula>
    </cfRule>
    <cfRule type="cellIs" dxfId="23717" priority="15000" operator="equal">
      <formula>"PTO"</formula>
    </cfRule>
  </conditionalFormatting>
  <conditionalFormatting sqref="J30">
    <cfRule type="cellIs" dxfId="23716" priority="14997" operator="equal">
      <formula>"OFF"</formula>
    </cfRule>
    <cfRule type="cellIs" dxfId="23715" priority="14998" operator="equal">
      <formula>"PTO"</formula>
    </cfRule>
  </conditionalFormatting>
  <conditionalFormatting sqref="J30">
    <cfRule type="cellIs" dxfId="23714" priority="14995" operator="equal">
      <formula>"OFF"</formula>
    </cfRule>
    <cfRule type="cellIs" dxfId="23713" priority="14996" operator="equal">
      <formula>"PTO"</formula>
    </cfRule>
  </conditionalFormatting>
  <conditionalFormatting sqref="J30">
    <cfRule type="cellIs" dxfId="23712" priority="14993" operator="equal">
      <formula>"OFF"</formula>
    </cfRule>
    <cfRule type="cellIs" dxfId="23711" priority="14994" operator="equal">
      <formula>"PTO"</formula>
    </cfRule>
  </conditionalFormatting>
  <conditionalFormatting sqref="J30">
    <cfRule type="cellIs" dxfId="23710" priority="14991" operator="equal">
      <formula>"OFF"</formula>
    </cfRule>
    <cfRule type="cellIs" dxfId="23709" priority="14992" operator="equal">
      <formula>"PTO"</formula>
    </cfRule>
  </conditionalFormatting>
  <conditionalFormatting sqref="J30">
    <cfRule type="cellIs" dxfId="23708" priority="14989" operator="equal">
      <formula>"OFF"</formula>
    </cfRule>
    <cfRule type="cellIs" dxfId="23707" priority="14990" operator="equal">
      <formula>"PTO"</formula>
    </cfRule>
  </conditionalFormatting>
  <conditionalFormatting sqref="J30">
    <cfRule type="cellIs" dxfId="23706" priority="14987" operator="equal">
      <formula>"OFF"</formula>
    </cfRule>
    <cfRule type="cellIs" dxfId="23705" priority="14988" operator="equal">
      <formula>"PTO"</formula>
    </cfRule>
  </conditionalFormatting>
  <conditionalFormatting sqref="J30">
    <cfRule type="cellIs" dxfId="23704" priority="14985" operator="equal">
      <formula>"OFF"</formula>
    </cfRule>
    <cfRule type="cellIs" dxfId="23703" priority="14986" operator="equal">
      <formula>"PTO"</formula>
    </cfRule>
  </conditionalFormatting>
  <conditionalFormatting sqref="J30">
    <cfRule type="cellIs" dxfId="23702" priority="14983" operator="equal">
      <formula>"OFF"</formula>
    </cfRule>
    <cfRule type="cellIs" dxfId="23701" priority="14984" operator="equal">
      <formula>"PTO"</formula>
    </cfRule>
  </conditionalFormatting>
  <conditionalFormatting sqref="J30">
    <cfRule type="cellIs" dxfId="23700" priority="14981" operator="equal">
      <formula>"OFF"</formula>
    </cfRule>
    <cfRule type="cellIs" dxfId="23699" priority="14982" operator="equal">
      <formula>"PTO"</formula>
    </cfRule>
  </conditionalFormatting>
  <conditionalFormatting sqref="J30">
    <cfRule type="cellIs" dxfId="23698" priority="14979" operator="equal">
      <formula>"OFF"</formula>
    </cfRule>
    <cfRule type="cellIs" dxfId="23697" priority="14980" operator="equal">
      <formula>"PTO"</formula>
    </cfRule>
  </conditionalFormatting>
  <conditionalFormatting sqref="J30">
    <cfRule type="cellIs" dxfId="23696" priority="14977" operator="equal">
      <formula>"OFF"</formula>
    </cfRule>
    <cfRule type="cellIs" dxfId="23695" priority="14978" operator="equal">
      <formula>"PTO"</formula>
    </cfRule>
  </conditionalFormatting>
  <conditionalFormatting sqref="J30">
    <cfRule type="cellIs" dxfId="23694" priority="14975" operator="equal">
      <formula>"OFF"</formula>
    </cfRule>
    <cfRule type="cellIs" dxfId="23693" priority="14976" operator="equal">
      <formula>"PTO"</formula>
    </cfRule>
  </conditionalFormatting>
  <conditionalFormatting sqref="J30">
    <cfRule type="cellIs" dxfId="23692" priority="14973" operator="equal">
      <formula>"OFF"</formula>
    </cfRule>
    <cfRule type="cellIs" dxfId="23691" priority="14974" operator="equal">
      <formula>"PTO"</formula>
    </cfRule>
  </conditionalFormatting>
  <conditionalFormatting sqref="J30">
    <cfRule type="cellIs" dxfId="23690" priority="14971" operator="equal">
      <formula>"OFF"</formula>
    </cfRule>
    <cfRule type="cellIs" dxfId="23689" priority="14972" operator="equal">
      <formula>"PTO"</formula>
    </cfRule>
  </conditionalFormatting>
  <conditionalFormatting sqref="J30">
    <cfRule type="cellIs" dxfId="23688" priority="14969" operator="equal">
      <formula>"OFF"</formula>
    </cfRule>
    <cfRule type="cellIs" dxfId="23687" priority="14970" operator="equal">
      <formula>"PTO"</formula>
    </cfRule>
  </conditionalFormatting>
  <conditionalFormatting sqref="J30">
    <cfRule type="cellIs" dxfId="23686" priority="14967" operator="equal">
      <formula>"OFF"</formula>
    </cfRule>
    <cfRule type="cellIs" dxfId="23685" priority="14968" operator="equal">
      <formula>"PTO"</formula>
    </cfRule>
  </conditionalFormatting>
  <conditionalFormatting sqref="J30">
    <cfRule type="cellIs" dxfId="23684" priority="14965" operator="equal">
      <formula>"OFF"</formula>
    </cfRule>
    <cfRule type="cellIs" dxfId="23683" priority="14966" operator="equal">
      <formula>"PTO"</formula>
    </cfRule>
  </conditionalFormatting>
  <conditionalFormatting sqref="J30">
    <cfRule type="cellIs" dxfId="23682" priority="14963" operator="equal">
      <formula>"OFF"</formula>
    </cfRule>
    <cfRule type="cellIs" dxfId="23681" priority="14964" operator="equal">
      <formula>"PTO"</formula>
    </cfRule>
  </conditionalFormatting>
  <conditionalFormatting sqref="J30">
    <cfRule type="cellIs" dxfId="23680" priority="14961" operator="equal">
      <formula>"OFF"</formula>
    </cfRule>
    <cfRule type="cellIs" dxfId="23679" priority="14962" operator="equal">
      <formula>"PTO"</formula>
    </cfRule>
  </conditionalFormatting>
  <conditionalFormatting sqref="J30">
    <cfRule type="cellIs" dxfId="23678" priority="14959" operator="equal">
      <formula>"OFF"</formula>
    </cfRule>
    <cfRule type="cellIs" dxfId="23677" priority="14960" operator="equal">
      <formula>"PTO"</formula>
    </cfRule>
  </conditionalFormatting>
  <conditionalFormatting sqref="J30">
    <cfRule type="cellIs" dxfId="23676" priority="14957" operator="equal">
      <formula>"OFF"</formula>
    </cfRule>
    <cfRule type="cellIs" dxfId="23675" priority="14958" operator="equal">
      <formula>"PTO"</formula>
    </cfRule>
  </conditionalFormatting>
  <conditionalFormatting sqref="J30">
    <cfRule type="cellIs" dxfId="23674" priority="14955" operator="equal">
      <formula>"OFF"</formula>
    </cfRule>
    <cfRule type="cellIs" dxfId="23673" priority="14956" operator="equal">
      <formula>"PTO"</formula>
    </cfRule>
  </conditionalFormatting>
  <conditionalFormatting sqref="J30">
    <cfRule type="cellIs" dxfId="23672" priority="14953" operator="equal">
      <formula>"OFF"</formula>
    </cfRule>
    <cfRule type="cellIs" dxfId="23671" priority="14954" operator="equal">
      <formula>"PTO"</formula>
    </cfRule>
  </conditionalFormatting>
  <conditionalFormatting sqref="K30">
    <cfRule type="cellIs" dxfId="23670" priority="14951" operator="equal">
      <formula>"OFF"</formula>
    </cfRule>
    <cfRule type="cellIs" dxfId="23669" priority="14952" operator="equal">
      <formula>"PTO"</formula>
    </cfRule>
  </conditionalFormatting>
  <conditionalFormatting sqref="K30">
    <cfRule type="cellIs" dxfId="23668" priority="14949" operator="equal">
      <formula>"OFF"</formula>
    </cfRule>
    <cfRule type="cellIs" dxfId="23667" priority="14950" operator="equal">
      <formula>"PTO"</formula>
    </cfRule>
  </conditionalFormatting>
  <conditionalFormatting sqref="K30">
    <cfRule type="cellIs" dxfId="23666" priority="14947" operator="equal">
      <formula>"OFF"</formula>
    </cfRule>
    <cfRule type="cellIs" dxfId="23665" priority="14948" operator="equal">
      <formula>"PTO"</formula>
    </cfRule>
  </conditionalFormatting>
  <conditionalFormatting sqref="K30">
    <cfRule type="cellIs" dxfId="23664" priority="14945" operator="equal">
      <formula>"OFF"</formula>
    </cfRule>
    <cfRule type="cellIs" dxfId="23663" priority="14946" operator="equal">
      <formula>"PTO"</formula>
    </cfRule>
  </conditionalFormatting>
  <conditionalFormatting sqref="K30">
    <cfRule type="cellIs" dxfId="23662" priority="14943" operator="equal">
      <formula>"OFF"</formula>
    </cfRule>
    <cfRule type="cellIs" dxfId="23661" priority="14944" operator="equal">
      <formula>"PTO"</formula>
    </cfRule>
  </conditionalFormatting>
  <conditionalFormatting sqref="K30">
    <cfRule type="cellIs" dxfId="23660" priority="14941" operator="equal">
      <formula>"OFF"</formula>
    </cfRule>
    <cfRule type="cellIs" dxfId="23659" priority="14942" operator="equal">
      <formula>"PTO"</formula>
    </cfRule>
  </conditionalFormatting>
  <conditionalFormatting sqref="K30">
    <cfRule type="cellIs" dxfId="23658" priority="14939" operator="equal">
      <formula>"OFF"</formula>
    </cfRule>
    <cfRule type="cellIs" dxfId="23657" priority="14940" operator="equal">
      <formula>"PTO"</formula>
    </cfRule>
  </conditionalFormatting>
  <conditionalFormatting sqref="K30">
    <cfRule type="cellIs" dxfId="23656" priority="14937" operator="equal">
      <formula>"OFF"</formula>
    </cfRule>
    <cfRule type="cellIs" dxfId="23655" priority="14938" operator="equal">
      <formula>"PTO"</formula>
    </cfRule>
  </conditionalFormatting>
  <conditionalFormatting sqref="K30">
    <cfRule type="cellIs" dxfId="23654" priority="14935" operator="equal">
      <formula>"OFF"</formula>
    </cfRule>
    <cfRule type="cellIs" dxfId="23653" priority="14936" operator="equal">
      <formula>"PTO"</formula>
    </cfRule>
  </conditionalFormatting>
  <conditionalFormatting sqref="K30">
    <cfRule type="cellIs" dxfId="23652" priority="14933" operator="equal">
      <formula>"OFF"</formula>
    </cfRule>
    <cfRule type="cellIs" dxfId="23651" priority="14934" operator="equal">
      <formula>"PTO"</formula>
    </cfRule>
  </conditionalFormatting>
  <conditionalFormatting sqref="K30">
    <cfRule type="cellIs" dxfId="23650" priority="14931" operator="equal">
      <formula>"OFF"</formula>
    </cfRule>
    <cfRule type="cellIs" dxfId="23649" priority="14932" operator="equal">
      <formula>"PTO"</formula>
    </cfRule>
  </conditionalFormatting>
  <conditionalFormatting sqref="K30">
    <cfRule type="cellIs" dxfId="23648" priority="14929" operator="equal">
      <formula>"OFF"</formula>
    </cfRule>
    <cfRule type="cellIs" dxfId="23647" priority="14930" operator="equal">
      <formula>"PTO"</formula>
    </cfRule>
  </conditionalFormatting>
  <conditionalFormatting sqref="K30">
    <cfRule type="cellIs" dxfId="23646" priority="14927" operator="equal">
      <formula>"OFF"</formula>
    </cfRule>
    <cfRule type="cellIs" dxfId="23645" priority="14928" operator="equal">
      <formula>"PTO"</formula>
    </cfRule>
  </conditionalFormatting>
  <conditionalFormatting sqref="K30">
    <cfRule type="cellIs" dxfId="23644" priority="14925" operator="equal">
      <formula>"OFF"</formula>
    </cfRule>
    <cfRule type="cellIs" dxfId="23643" priority="14926" operator="equal">
      <formula>"PTO"</formula>
    </cfRule>
  </conditionalFormatting>
  <conditionalFormatting sqref="K30">
    <cfRule type="cellIs" dxfId="23642" priority="14923" operator="equal">
      <formula>"OFF"</formula>
    </cfRule>
    <cfRule type="cellIs" dxfId="23641" priority="14924" operator="equal">
      <formula>"PTO"</formula>
    </cfRule>
  </conditionalFormatting>
  <conditionalFormatting sqref="K30">
    <cfRule type="cellIs" dxfId="23640" priority="14921" operator="equal">
      <formula>"OFF"</formula>
    </cfRule>
    <cfRule type="cellIs" dxfId="23639" priority="14922" operator="equal">
      <formula>"PTO"</formula>
    </cfRule>
  </conditionalFormatting>
  <conditionalFormatting sqref="K30">
    <cfRule type="cellIs" dxfId="23638" priority="14919" operator="equal">
      <formula>"OFF"</formula>
    </cfRule>
    <cfRule type="cellIs" dxfId="23637" priority="14920" operator="equal">
      <formula>"PTO"</formula>
    </cfRule>
  </conditionalFormatting>
  <conditionalFormatting sqref="K30">
    <cfRule type="cellIs" dxfId="23636" priority="14917" operator="equal">
      <formula>"OFF"</formula>
    </cfRule>
    <cfRule type="cellIs" dxfId="23635" priority="14918" operator="equal">
      <formula>"PTO"</formula>
    </cfRule>
  </conditionalFormatting>
  <conditionalFormatting sqref="K30">
    <cfRule type="cellIs" dxfId="23634" priority="14915" operator="equal">
      <formula>"OFF"</formula>
    </cfRule>
    <cfRule type="cellIs" dxfId="23633" priority="14916" operator="equal">
      <formula>"PTO"</formula>
    </cfRule>
  </conditionalFormatting>
  <conditionalFormatting sqref="K30">
    <cfRule type="cellIs" dxfId="23632" priority="14913" operator="equal">
      <formula>"OFF"</formula>
    </cfRule>
    <cfRule type="cellIs" dxfId="23631" priority="14914" operator="equal">
      <formula>"PTO"</formula>
    </cfRule>
  </conditionalFormatting>
  <conditionalFormatting sqref="K30">
    <cfRule type="cellIs" dxfId="23630" priority="14911" operator="equal">
      <formula>"OFF"</formula>
    </cfRule>
    <cfRule type="cellIs" dxfId="23629" priority="14912" operator="equal">
      <formula>"PTO"</formula>
    </cfRule>
  </conditionalFormatting>
  <conditionalFormatting sqref="K30">
    <cfRule type="cellIs" dxfId="23628" priority="14909" operator="equal">
      <formula>"OFF"</formula>
    </cfRule>
    <cfRule type="cellIs" dxfId="23627" priority="14910" operator="equal">
      <formula>"PTO"</formula>
    </cfRule>
  </conditionalFormatting>
  <conditionalFormatting sqref="K30">
    <cfRule type="cellIs" dxfId="23626" priority="14907" operator="equal">
      <formula>"OFF"</formula>
    </cfRule>
    <cfRule type="cellIs" dxfId="23625" priority="14908" operator="equal">
      <formula>"PTO"</formula>
    </cfRule>
  </conditionalFormatting>
  <conditionalFormatting sqref="K30">
    <cfRule type="cellIs" dxfId="23624" priority="14905" operator="equal">
      <formula>"OFF"</formula>
    </cfRule>
    <cfRule type="cellIs" dxfId="23623" priority="14906" operator="equal">
      <formula>"PTO"</formula>
    </cfRule>
  </conditionalFormatting>
  <conditionalFormatting sqref="K30">
    <cfRule type="cellIs" dxfId="23622" priority="14903" operator="equal">
      <formula>"OFF"</formula>
    </cfRule>
    <cfRule type="cellIs" dxfId="23621" priority="14904" operator="equal">
      <formula>"PTO"</formula>
    </cfRule>
  </conditionalFormatting>
  <conditionalFormatting sqref="J30">
    <cfRule type="cellIs" dxfId="23620" priority="14901" operator="equal">
      <formula>"OFF"</formula>
    </cfRule>
    <cfRule type="cellIs" dxfId="23619" priority="14902" operator="equal">
      <formula>"PTO"</formula>
    </cfRule>
  </conditionalFormatting>
  <conditionalFormatting sqref="J30:K30">
    <cfRule type="cellIs" dxfId="23618" priority="14899" operator="equal">
      <formula>"OFF"</formula>
    </cfRule>
    <cfRule type="cellIs" dxfId="23617" priority="14900" operator="equal">
      <formula>"PTO"</formula>
    </cfRule>
  </conditionalFormatting>
  <conditionalFormatting sqref="J30:K30">
    <cfRule type="cellIs" dxfId="23616" priority="14897" operator="equal">
      <formula>"OFF"</formula>
    </cfRule>
    <cfRule type="cellIs" dxfId="23615" priority="14898" operator="equal">
      <formula>"PTO"</formula>
    </cfRule>
  </conditionalFormatting>
  <conditionalFormatting sqref="J30">
    <cfRule type="cellIs" dxfId="23614" priority="14895" operator="equal">
      <formula>"OFF"</formula>
    </cfRule>
    <cfRule type="cellIs" dxfId="23613" priority="14896" operator="equal">
      <formula>"PTO"</formula>
    </cfRule>
  </conditionalFormatting>
  <conditionalFormatting sqref="J30">
    <cfRule type="cellIs" dxfId="23612" priority="14893" operator="equal">
      <formula>"OFF"</formula>
    </cfRule>
    <cfRule type="cellIs" dxfId="23611" priority="14894" operator="equal">
      <formula>"PTO"</formula>
    </cfRule>
  </conditionalFormatting>
  <conditionalFormatting sqref="J30">
    <cfRule type="cellIs" dxfId="23610" priority="14891" operator="equal">
      <formula>"OFF"</formula>
    </cfRule>
    <cfRule type="cellIs" dxfId="23609" priority="14892" operator="equal">
      <formula>"PTO"</formula>
    </cfRule>
  </conditionalFormatting>
  <conditionalFormatting sqref="J30">
    <cfRule type="cellIs" dxfId="23608" priority="14889" operator="equal">
      <formula>"OFF"</formula>
    </cfRule>
    <cfRule type="cellIs" dxfId="23607" priority="14890" operator="equal">
      <formula>"PTO"</formula>
    </cfRule>
  </conditionalFormatting>
  <conditionalFormatting sqref="K30">
    <cfRule type="cellIs" dxfId="23606" priority="14887" operator="equal">
      <formula>"OFF"</formula>
    </cfRule>
    <cfRule type="cellIs" dxfId="23605" priority="14888" operator="equal">
      <formula>"PTO"</formula>
    </cfRule>
  </conditionalFormatting>
  <conditionalFormatting sqref="K30">
    <cfRule type="cellIs" dxfId="23604" priority="14885" operator="equal">
      <formula>"OFF"</formula>
    </cfRule>
    <cfRule type="cellIs" dxfId="23603" priority="14886" operator="equal">
      <formula>"PTO"</formula>
    </cfRule>
  </conditionalFormatting>
  <conditionalFormatting sqref="K30">
    <cfRule type="cellIs" dxfId="23602" priority="14883" operator="equal">
      <formula>"OFF"</formula>
    </cfRule>
    <cfRule type="cellIs" dxfId="23601" priority="14884" operator="equal">
      <formula>"PTO"</formula>
    </cfRule>
  </conditionalFormatting>
  <conditionalFormatting sqref="K30">
    <cfRule type="cellIs" dxfId="23600" priority="14881" operator="equal">
      <formula>"OFF"</formula>
    </cfRule>
    <cfRule type="cellIs" dxfId="23599" priority="14882" operator="equal">
      <formula>"PTO"</formula>
    </cfRule>
  </conditionalFormatting>
  <conditionalFormatting sqref="J30">
    <cfRule type="cellIs" dxfId="23598" priority="14879" operator="equal">
      <formula>"OFF"</formula>
    </cfRule>
    <cfRule type="cellIs" dxfId="23597" priority="14880" operator="equal">
      <formula>"PTO"</formula>
    </cfRule>
  </conditionalFormatting>
  <conditionalFormatting sqref="J30">
    <cfRule type="cellIs" dxfId="23596" priority="14877" operator="equal">
      <formula>"OFF"</formula>
    </cfRule>
    <cfRule type="cellIs" dxfId="23595" priority="14878" operator="equal">
      <formula>"PTO"</formula>
    </cfRule>
  </conditionalFormatting>
  <conditionalFormatting sqref="J30">
    <cfRule type="cellIs" dxfId="23594" priority="14875" operator="equal">
      <formula>"OFF"</formula>
    </cfRule>
    <cfRule type="cellIs" dxfId="23593" priority="14876" operator="equal">
      <formula>"PTO"</formula>
    </cfRule>
  </conditionalFormatting>
  <conditionalFormatting sqref="J30">
    <cfRule type="cellIs" dxfId="23592" priority="14873" operator="equal">
      <formula>"OFF"</formula>
    </cfRule>
    <cfRule type="cellIs" dxfId="23591" priority="14874" operator="equal">
      <formula>"PTO"</formula>
    </cfRule>
  </conditionalFormatting>
  <conditionalFormatting sqref="K30">
    <cfRule type="cellIs" dxfId="23590" priority="14871" operator="equal">
      <formula>"OFF"</formula>
    </cfRule>
    <cfRule type="cellIs" dxfId="23589" priority="14872" operator="equal">
      <formula>"PTO"</formula>
    </cfRule>
  </conditionalFormatting>
  <conditionalFormatting sqref="K30">
    <cfRule type="cellIs" dxfId="23588" priority="14869" operator="equal">
      <formula>"OFF"</formula>
    </cfRule>
    <cfRule type="cellIs" dxfId="23587" priority="14870" operator="equal">
      <formula>"PTO"</formula>
    </cfRule>
  </conditionalFormatting>
  <conditionalFormatting sqref="K30">
    <cfRule type="cellIs" dxfId="23586" priority="14867" operator="equal">
      <formula>"OFF"</formula>
    </cfRule>
    <cfRule type="cellIs" dxfId="23585" priority="14868" operator="equal">
      <formula>"PTO"</formula>
    </cfRule>
  </conditionalFormatting>
  <conditionalFormatting sqref="K30">
    <cfRule type="cellIs" dxfId="23584" priority="14865" operator="equal">
      <formula>"OFF"</formula>
    </cfRule>
    <cfRule type="cellIs" dxfId="23583" priority="14866" operator="equal">
      <formula>"PTO"</formula>
    </cfRule>
  </conditionalFormatting>
  <conditionalFormatting sqref="J30">
    <cfRule type="cellIs" dxfId="23582" priority="14863" operator="equal">
      <formula>"OFF"</formula>
    </cfRule>
    <cfRule type="cellIs" dxfId="23581" priority="14864" operator="equal">
      <formula>"PTO"</formula>
    </cfRule>
  </conditionalFormatting>
  <conditionalFormatting sqref="J30">
    <cfRule type="cellIs" dxfId="23580" priority="14861" operator="equal">
      <formula>"OFF"</formula>
    </cfRule>
    <cfRule type="cellIs" dxfId="23579" priority="14862" operator="equal">
      <formula>"PTO"</formula>
    </cfRule>
  </conditionalFormatting>
  <conditionalFormatting sqref="J30">
    <cfRule type="cellIs" dxfId="23578" priority="14859" operator="equal">
      <formula>"OFF"</formula>
    </cfRule>
    <cfRule type="cellIs" dxfId="23577" priority="14860" operator="equal">
      <formula>"PTO"</formula>
    </cfRule>
  </conditionalFormatting>
  <conditionalFormatting sqref="J30">
    <cfRule type="cellIs" dxfId="23576" priority="14857" operator="equal">
      <formula>"OFF"</formula>
    </cfRule>
    <cfRule type="cellIs" dxfId="23575" priority="14858" operator="equal">
      <formula>"PTO"</formula>
    </cfRule>
  </conditionalFormatting>
  <conditionalFormatting sqref="K30">
    <cfRule type="cellIs" dxfId="23574" priority="14855" operator="equal">
      <formula>"OFF"</formula>
    </cfRule>
    <cfRule type="cellIs" dxfId="23573" priority="14856" operator="equal">
      <formula>"PTO"</formula>
    </cfRule>
  </conditionalFormatting>
  <conditionalFormatting sqref="K30">
    <cfRule type="cellIs" dxfId="23572" priority="14853" operator="equal">
      <formula>"OFF"</formula>
    </cfRule>
    <cfRule type="cellIs" dxfId="23571" priority="14854" operator="equal">
      <formula>"PTO"</formula>
    </cfRule>
  </conditionalFormatting>
  <conditionalFormatting sqref="K30">
    <cfRule type="cellIs" dxfId="23570" priority="14851" operator="equal">
      <formula>"OFF"</formula>
    </cfRule>
    <cfRule type="cellIs" dxfId="23569" priority="14852" operator="equal">
      <formula>"PTO"</formula>
    </cfRule>
  </conditionalFormatting>
  <conditionalFormatting sqref="K30">
    <cfRule type="cellIs" dxfId="23568" priority="14849" operator="equal">
      <formula>"OFF"</formula>
    </cfRule>
    <cfRule type="cellIs" dxfId="23567" priority="14850" operator="equal">
      <formula>"PTO"</formula>
    </cfRule>
  </conditionalFormatting>
  <conditionalFormatting sqref="J30">
    <cfRule type="cellIs" dxfId="23566" priority="14847" operator="equal">
      <formula>"OFF"</formula>
    </cfRule>
    <cfRule type="cellIs" dxfId="23565" priority="14848" operator="equal">
      <formula>"PTO"</formula>
    </cfRule>
  </conditionalFormatting>
  <conditionalFormatting sqref="J30">
    <cfRule type="cellIs" dxfId="23564" priority="14845" operator="equal">
      <formula>"OFF"</formula>
    </cfRule>
    <cfRule type="cellIs" dxfId="23563" priority="14846" operator="equal">
      <formula>"PTO"</formula>
    </cfRule>
  </conditionalFormatting>
  <conditionalFormatting sqref="J30">
    <cfRule type="cellIs" dxfId="23562" priority="14843" operator="equal">
      <formula>"OFF"</formula>
    </cfRule>
    <cfRule type="cellIs" dxfId="23561" priority="14844" operator="equal">
      <formula>"PTO"</formula>
    </cfRule>
  </conditionalFormatting>
  <conditionalFormatting sqref="J30">
    <cfRule type="cellIs" dxfId="23560" priority="14841" operator="equal">
      <formula>"OFF"</formula>
    </cfRule>
    <cfRule type="cellIs" dxfId="23559" priority="14842" operator="equal">
      <formula>"PTO"</formula>
    </cfRule>
  </conditionalFormatting>
  <conditionalFormatting sqref="K30">
    <cfRule type="cellIs" dxfId="23558" priority="14839" operator="equal">
      <formula>"OFF"</formula>
    </cfRule>
    <cfRule type="cellIs" dxfId="23557" priority="14840" operator="equal">
      <formula>"PTO"</formula>
    </cfRule>
  </conditionalFormatting>
  <conditionalFormatting sqref="K30">
    <cfRule type="cellIs" dxfId="23556" priority="14837" operator="equal">
      <formula>"OFF"</formula>
    </cfRule>
    <cfRule type="cellIs" dxfId="23555" priority="14838" operator="equal">
      <formula>"PTO"</formula>
    </cfRule>
  </conditionalFormatting>
  <conditionalFormatting sqref="K30">
    <cfRule type="cellIs" dxfId="23554" priority="14835" operator="equal">
      <formula>"OFF"</formula>
    </cfRule>
    <cfRule type="cellIs" dxfId="23553" priority="14836" operator="equal">
      <formula>"PTO"</formula>
    </cfRule>
  </conditionalFormatting>
  <conditionalFormatting sqref="K30">
    <cfRule type="cellIs" dxfId="23552" priority="14833" operator="equal">
      <formula>"OFF"</formula>
    </cfRule>
    <cfRule type="cellIs" dxfId="23551" priority="14834" operator="equal">
      <formula>"PTO"</formula>
    </cfRule>
  </conditionalFormatting>
  <conditionalFormatting sqref="J30">
    <cfRule type="cellIs" dxfId="23550" priority="14831" operator="equal">
      <formula>"OFF"</formula>
    </cfRule>
    <cfRule type="cellIs" dxfId="23549" priority="14832" operator="equal">
      <formula>"PTO"</formula>
    </cfRule>
  </conditionalFormatting>
  <conditionalFormatting sqref="J30">
    <cfRule type="cellIs" dxfId="23548" priority="14829" operator="equal">
      <formula>"OFF"</formula>
    </cfRule>
    <cfRule type="cellIs" dxfId="23547" priority="14830" operator="equal">
      <formula>"PTO"</formula>
    </cfRule>
  </conditionalFormatting>
  <conditionalFormatting sqref="J30">
    <cfRule type="cellIs" dxfId="23546" priority="14827" operator="equal">
      <formula>"OFF"</formula>
    </cfRule>
    <cfRule type="cellIs" dxfId="23545" priority="14828" operator="equal">
      <formula>"PTO"</formula>
    </cfRule>
  </conditionalFormatting>
  <conditionalFormatting sqref="J30">
    <cfRule type="cellIs" dxfId="23544" priority="14825" operator="equal">
      <formula>"OFF"</formula>
    </cfRule>
    <cfRule type="cellIs" dxfId="23543" priority="14826" operator="equal">
      <formula>"PTO"</formula>
    </cfRule>
  </conditionalFormatting>
  <conditionalFormatting sqref="J30">
    <cfRule type="cellIs" dxfId="23542" priority="14823" operator="equal">
      <formula>"OFF"</formula>
    </cfRule>
    <cfRule type="cellIs" dxfId="23541" priority="14824" operator="equal">
      <formula>"PTO"</formula>
    </cfRule>
  </conditionalFormatting>
  <conditionalFormatting sqref="J30">
    <cfRule type="cellIs" dxfId="23540" priority="14821" operator="equal">
      <formula>"OFF"</formula>
    </cfRule>
    <cfRule type="cellIs" dxfId="23539" priority="14822" operator="equal">
      <formula>"PTO"</formula>
    </cfRule>
  </conditionalFormatting>
  <conditionalFormatting sqref="J30">
    <cfRule type="cellIs" dxfId="23538" priority="14819" operator="equal">
      <formula>"OFF"</formula>
    </cfRule>
    <cfRule type="cellIs" dxfId="23537" priority="14820" operator="equal">
      <formula>"PTO"</formula>
    </cfRule>
  </conditionalFormatting>
  <conditionalFormatting sqref="J30">
    <cfRule type="cellIs" dxfId="23536" priority="14817" operator="equal">
      <formula>"OFF"</formula>
    </cfRule>
    <cfRule type="cellIs" dxfId="23535" priority="14818" operator="equal">
      <formula>"PTO"</formula>
    </cfRule>
  </conditionalFormatting>
  <conditionalFormatting sqref="J30">
    <cfRule type="cellIs" dxfId="23534" priority="14815" operator="equal">
      <formula>"OFF"</formula>
    </cfRule>
    <cfRule type="cellIs" dxfId="23533" priority="14816" operator="equal">
      <formula>"PTO"</formula>
    </cfRule>
  </conditionalFormatting>
  <conditionalFormatting sqref="J30">
    <cfRule type="cellIs" dxfId="23532" priority="14813" operator="equal">
      <formula>"OFF"</formula>
    </cfRule>
    <cfRule type="cellIs" dxfId="23531" priority="14814" operator="equal">
      <formula>"PTO"</formula>
    </cfRule>
  </conditionalFormatting>
  <conditionalFormatting sqref="J30">
    <cfRule type="cellIs" dxfId="23530" priority="14811" operator="equal">
      <formula>"OFF"</formula>
    </cfRule>
    <cfRule type="cellIs" dxfId="23529" priority="14812" operator="equal">
      <formula>"PTO"</formula>
    </cfRule>
  </conditionalFormatting>
  <conditionalFormatting sqref="J30">
    <cfRule type="cellIs" dxfId="23528" priority="14809" operator="equal">
      <formula>"OFF"</formula>
    </cfRule>
    <cfRule type="cellIs" dxfId="23527" priority="14810" operator="equal">
      <formula>"PTO"</formula>
    </cfRule>
  </conditionalFormatting>
  <conditionalFormatting sqref="J30">
    <cfRule type="cellIs" dxfId="23526" priority="14807" operator="equal">
      <formula>"OFF"</formula>
    </cfRule>
    <cfRule type="cellIs" dxfId="23525" priority="14808" operator="equal">
      <formula>"PTO"</formula>
    </cfRule>
  </conditionalFormatting>
  <conditionalFormatting sqref="J30">
    <cfRule type="cellIs" dxfId="23524" priority="14805" operator="equal">
      <formula>"OFF"</formula>
    </cfRule>
    <cfRule type="cellIs" dxfId="23523" priority="14806" operator="equal">
      <formula>"PTO"</formula>
    </cfRule>
  </conditionalFormatting>
  <conditionalFormatting sqref="J30">
    <cfRule type="cellIs" dxfId="23522" priority="14803" operator="equal">
      <formula>"OFF"</formula>
    </cfRule>
    <cfRule type="cellIs" dxfId="23521" priority="14804" operator="equal">
      <formula>"PTO"</formula>
    </cfRule>
  </conditionalFormatting>
  <conditionalFormatting sqref="J30">
    <cfRule type="cellIs" dxfId="23520" priority="14801" operator="equal">
      <formula>"OFF"</formula>
    </cfRule>
    <cfRule type="cellIs" dxfId="23519" priority="14802" operator="equal">
      <formula>"PTO"</formula>
    </cfRule>
  </conditionalFormatting>
  <conditionalFormatting sqref="J30">
    <cfRule type="cellIs" dxfId="23518" priority="14799" operator="equal">
      <formula>"OFF"</formula>
    </cfRule>
    <cfRule type="cellIs" dxfId="23517" priority="14800" operator="equal">
      <formula>"PTO"</formula>
    </cfRule>
  </conditionalFormatting>
  <conditionalFormatting sqref="J30">
    <cfRule type="cellIs" dxfId="23516" priority="14797" operator="equal">
      <formula>"OFF"</formula>
    </cfRule>
    <cfRule type="cellIs" dxfId="23515" priority="14798" operator="equal">
      <formula>"PTO"</formula>
    </cfRule>
  </conditionalFormatting>
  <conditionalFormatting sqref="J30">
    <cfRule type="cellIs" dxfId="23514" priority="14795" operator="equal">
      <formula>"OFF"</formula>
    </cfRule>
    <cfRule type="cellIs" dxfId="23513" priority="14796" operator="equal">
      <formula>"PTO"</formula>
    </cfRule>
  </conditionalFormatting>
  <conditionalFormatting sqref="J30">
    <cfRule type="cellIs" dxfId="23512" priority="14793" operator="equal">
      <formula>"OFF"</formula>
    </cfRule>
    <cfRule type="cellIs" dxfId="23511" priority="14794" operator="equal">
      <formula>"PTO"</formula>
    </cfRule>
  </conditionalFormatting>
  <conditionalFormatting sqref="J30">
    <cfRule type="cellIs" dxfId="23510" priority="14791" operator="equal">
      <formula>"OFF"</formula>
    </cfRule>
    <cfRule type="cellIs" dxfId="23509" priority="14792" operator="equal">
      <formula>"PTO"</formula>
    </cfRule>
  </conditionalFormatting>
  <conditionalFormatting sqref="J30">
    <cfRule type="cellIs" dxfId="23508" priority="14789" operator="equal">
      <formula>"OFF"</formula>
    </cfRule>
    <cfRule type="cellIs" dxfId="23507" priority="14790" operator="equal">
      <formula>"PTO"</formula>
    </cfRule>
  </conditionalFormatting>
  <conditionalFormatting sqref="J30">
    <cfRule type="cellIs" dxfId="23506" priority="14787" operator="equal">
      <formula>"OFF"</formula>
    </cfRule>
    <cfRule type="cellIs" dxfId="23505" priority="14788" operator="equal">
      <formula>"PTO"</formula>
    </cfRule>
  </conditionalFormatting>
  <conditionalFormatting sqref="J30">
    <cfRule type="cellIs" dxfId="23504" priority="14785" operator="equal">
      <formula>"OFF"</formula>
    </cfRule>
    <cfRule type="cellIs" dxfId="23503" priority="14786" operator="equal">
      <formula>"PTO"</formula>
    </cfRule>
  </conditionalFormatting>
  <conditionalFormatting sqref="J30">
    <cfRule type="cellIs" dxfId="23502" priority="14783" operator="equal">
      <formula>"OFF"</formula>
    </cfRule>
    <cfRule type="cellIs" dxfId="23501" priority="14784" operator="equal">
      <formula>"PTO"</formula>
    </cfRule>
  </conditionalFormatting>
  <conditionalFormatting sqref="K30">
    <cfRule type="cellIs" dxfId="23500" priority="14781" operator="equal">
      <formula>"OFF"</formula>
    </cfRule>
    <cfRule type="cellIs" dxfId="23499" priority="14782" operator="equal">
      <formula>"PTO"</formula>
    </cfRule>
  </conditionalFormatting>
  <conditionalFormatting sqref="K30">
    <cfRule type="cellIs" dxfId="23498" priority="14779" operator="equal">
      <formula>"OFF"</formula>
    </cfRule>
    <cfRule type="cellIs" dxfId="23497" priority="14780" operator="equal">
      <formula>"PTO"</formula>
    </cfRule>
  </conditionalFormatting>
  <conditionalFormatting sqref="K30">
    <cfRule type="cellIs" dxfId="23496" priority="14777" operator="equal">
      <formula>"OFF"</formula>
    </cfRule>
    <cfRule type="cellIs" dxfId="23495" priority="14778" operator="equal">
      <formula>"PTO"</formula>
    </cfRule>
  </conditionalFormatting>
  <conditionalFormatting sqref="K30">
    <cfRule type="cellIs" dxfId="23494" priority="14775" operator="equal">
      <formula>"OFF"</formula>
    </cfRule>
    <cfRule type="cellIs" dxfId="23493" priority="14776" operator="equal">
      <formula>"PTO"</formula>
    </cfRule>
  </conditionalFormatting>
  <conditionalFormatting sqref="K30">
    <cfRule type="cellIs" dxfId="23492" priority="14773" operator="equal">
      <formula>"OFF"</formula>
    </cfRule>
    <cfRule type="cellIs" dxfId="23491" priority="14774" operator="equal">
      <formula>"PTO"</formula>
    </cfRule>
  </conditionalFormatting>
  <conditionalFormatting sqref="K30">
    <cfRule type="cellIs" dxfId="23490" priority="14771" operator="equal">
      <formula>"OFF"</formula>
    </cfRule>
    <cfRule type="cellIs" dxfId="23489" priority="14772" operator="equal">
      <formula>"PTO"</formula>
    </cfRule>
  </conditionalFormatting>
  <conditionalFormatting sqref="K30">
    <cfRule type="cellIs" dxfId="23488" priority="14769" operator="equal">
      <formula>"OFF"</formula>
    </cfRule>
    <cfRule type="cellIs" dxfId="23487" priority="14770" operator="equal">
      <formula>"PTO"</formula>
    </cfRule>
  </conditionalFormatting>
  <conditionalFormatting sqref="K30">
    <cfRule type="cellIs" dxfId="23486" priority="14767" operator="equal">
      <formula>"OFF"</formula>
    </cfRule>
    <cfRule type="cellIs" dxfId="23485" priority="14768" operator="equal">
      <formula>"PTO"</formula>
    </cfRule>
  </conditionalFormatting>
  <conditionalFormatting sqref="K30">
    <cfRule type="cellIs" dxfId="23484" priority="14765" operator="equal">
      <formula>"OFF"</formula>
    </cfRule>
    <cfRule type="cellIs" dxfId="23483" priority="14766" operator="equal">
      <formula>"PTO"</formula>
    </cfRule>
  </conditionalFormatting>
  <conditionalFormatting sqref="K30">
    <cfRule type="cellIs" dxfId="23482" priority="14763" operator="equal">
      <formula>"OFF"</formula>
    </cfRule>
    <cfRule type="cellIs" dxfId="23481" priority="14764" operator="equal">
      <formula>"PTO"</formula>
    </cfRule>
  </conditionalFormatting>
  <conditionalFormatting sqref="K30">
    <cfRule type="cellIs" dxfId="23480" priority="14761" operator="equal">
      <formula>"OFF"</formula>
    </cfRule>
    <cfRule type="cellIs" dxfId="23479" priority="14762" operator="equal">
      <formula>"PTO"</formula>
    </cfRule>
  </conditionalFormatting>
  <conditionalFormatting sqref="K30">
    <cfRule type="cellIs" dxfId="23478" priority="14759" operator="equal">
      <formula>"OFF"</formula>
    </cfRule>
    <cfRule type="cellIs" dxfId="23477" priority="14760" operator="equal">
      <formula>"PTO"</formula>
    </cfRule>
  </conditionalFormatting>
  <conditionalFormatting sqref="K30">
    <cfRule type="cellIs" dxfId="23476" priority="14757" operator="equal">
      <formula>"OFF"</formula>
    </cfRule>
    <cfRule type="cellIs" dxfId="23475" priority="14758" operator="equal">
      <formula>"PTO"</formula>
    </cfRule>
  </conditionalFormatting>
  <conditionalFormatting sqref="K30">
    <cfRule type="cellIs" dxfId="23474" priority="14755" operator="equal">
      <formula>"OFF"</formula>
    </cfRule>
    <cfRule type="cellIs" dxfId="23473" priority="14756" operator="equal">
      <formula>"PTO"</formula>
    </cfRule>
  </conditionalFormatting>
  <conditionalFormatting sqref="K30">
    <cfRule type="cellIs" dxfId="23472" priority="14753" operator="equal">
      <formula>"OFF"</formula>
    </cfRule>
    <cfRule type="cellIs" dxfId="23471" priority="14754" operator="equal">
      <formula>"PTO"</formula>
    </cfRule>
  </conditionalFormatting>
  <conditionalFormatting sqref="K30">
    <cfRule type="cellIs" dxfId="23470" priority="14751" operator="equal">
      <formula>"OFF"</formula>
    </cfRule>
    <cfRule type="cellIs" dxfId="23469" priority="14752" operator="equal">
      <formula>"PTO"</formula>
    </cfRule>
  </conditionalFormatting>
  <conditionalFormatting sqref="K30">
    <cfRule type="cellIs" dxfId="23468" priority="14749" operator="equal">
      <formula>"OFF"</formula>
    </cfRule>
    <cfRule type="cellIs" dxfId="23467" priority="14750" operator="equal">
      <formula>"PTO"</formula>
    </cfRule>
  </conditionalFormatting>
  <conditionalFormatting sqref="K30">
    <cfRule type="cellIs" dxfId="23466" priority="14747" operator="equal">
      <formula>"OFF"</formula>
    </cfRule>
    <cfRule type="cellIs" dxfId="23465" priority="14748" operator="equal">
      <formula>"PTO"</formula>
    </cfRule>
  </conditionalFormatting>
  <conditionalFormatting sqref="K30">
    <cfRule type="cellIs" dxfId="23464" priority="14745" operator="equal">
      <formula>"OFF"</formula>
    </cfRule>
    <cfRule type="cellIs" dxfId="23463" priority="14746" operator="equal">
      <formula>"PTO"</formula>
    </cfRule>
  </conditionalFormatting>
  <conditionalFormatting sqref="K30">
    <cfRule type="cellIs" dxfId="23462" priority="14743" operator="equal">
      <formula>"OFF"</formula>
    </cfRule>
    <cfRule type="cellIs" dxfId="23461" priority="14744" operator="equal">
      <formula>"PTO"</formula>
    </cfRule>
  </conditionalFormatting>
  <conditionalFormatting sqref="K30">
    <cfRule type="cellIs" dxfId="23460" priority="14741" operator="equal">
      <formula>"OFF"</formula>
    </cfRule>
    <cfRule type="cellIs" dxfId="23459" priority="14742" operator="equal">
      <formula>"PTO"</formula>
    </cfRule>
  </conditionalFormatting>
  <conditionalFormatting sqref="K30">
    <cfRule type="cellIs" dxfId="23458" priority="14739" operator="equal">
      <formula>"OFF"</formula>
    </cfRule>
    <cfRule type="cellIs" dxfId="23457" priority="14740" operator="equal">
      <formula>"PTO"</formula>
    </cfRule>
  </conditionalFormatting>
  <conditionalFormatting sqref="K30">
    <cfRule type="cellIs" dxfId="23456" priority="14737" operator="equal">
      <formula>"OFF"</formula>
    </cfRule>
    <cfRule type="cellIs" dxfId="23455" priority="14738" operator="equal">
      <formula>"PTO"</formula>
    </cfRule>
  </conditionalFormatting>
  <conditionalFormatting sqref="K30">
    <cfRule type="cellIs" dxfId="23454" priority="14735" operator="equal">
      <formula>"OFF"</formula>
    </cfRule>
    <cfRule type="cellIs" dxfId="23453" priority="14736" operator="equal">
      <formula>"PTO"</formula>
    </cfRule>
  </conditionalFormatting>
  <conditionalFormatting sqref="K30">
    <cfRule type="cellIs" dxfId="23452" priority="14733" operator="equal">
      <formula>"OFF"</formula>
    </cfRule>
    <cfRule type="cellIs" dxfId="23451" priority="14734" operator="equal">
      <formula>"PTO"</formula>
    </cfRule>
  </conditionalFormatting>
  <conditionalFormatting sqref="J30">
    <cfRule type="cellIs" dxfId="23450" priority="14731" operator="equal">
      <formula>"OFF"</formula>
    </cfRule>
    <cfRule type="cellIs" dxfId="23449" priority="14732" operator="equal">
      <formula>"PTO"</formula>
    </cfRule>
  </conditionalFormatting>
  <conditionalFormatting sqref="J30">
    <cfRule type="cellIs" dxfId="23448" priority="14729" operator="equal">
      <formula>"OFF"</formula>
    </cfRule>
    <cfRule type="cellIs" dxfId="23447" priority="14730" operator="equal">
      <formula>"PTO"</formula>
    </cfRule>
  </conditionalFormatting>
  <conditionalFormatting sqref="J30">
    <cfRule type="cellIs" dxfId="23446" priority="14727" operator="equal">
      <formula>"OFF"</formula>
    </cfRule>
    <cfRule type="cellIs" dxfId="23445" priority="14728" operator="equal">
      <formula>"PTO"</formula>
    </cfRule>
  </conditionalFormatting>
  <conditionalFormatting sqref="J30">
    <cfRule type="cellIs" dxfId="23444" priority="14725" operator="equal">
      <formula>"OFF"</formula>
    </cfRule>
    <cfRule type="cellIs" dxfId="23443" priority="14726" operator="equal">
      <formula>"PTO"</formula>
    </cfRule>
  </conditionalFormatting>
  <conditionalFormatting sqref="J30">
    <cfRule type="cellIs" dxfId="23442" priority="14723" operator="equal">
      <formula>"OFF"</formula>
    </cfRule>
    <cfRule type="cellIs" dxfId="23441" priority="14724" operator="equal">
      <formula>"PTO"</formula>
    </cfRule>
  </conditionalFormatting>
  <conditionalFormatting sqref="J30">
    <cfRule type="cellIs" dxfId="23440" priority="14721" operator="equal">
      <formula>"OFF"</formula>
    </cfRule>
    <cfRule type="cellIs" dxfId="23439" priority="14722" operator="equal">
      <formula>"PTO"</formula>
    </cfRule>
  </conditionalFormatting>
  <conditionalFormatting sqref="J30">
    <cfRule type="cellIs" dxfId="23438" priority="14719" operator="equal">
      <formula>"OFF"</formula>
    </cfRule>
    <cfRule type="cellIs" dxfId="23437" priority="14720" operator="equal">
      <formula>"PTO"</formula>
    </cfRule>
  </conditionalFormatting>
  <conditionalFormatting sqref="J30">
    <cfRule type="cellIs" dxfId="23436" priority="14717" operator="equal">
      <formula>"OFF"</formula>
    </cfRule>
    <cfRule type="cellIs" dxfId="23435" priority="14718" operator="equal">
      <formula>"PTO"</formula>
    </cfRule>
  </conditionalFormatting>
  <conditionalFormatting sqref="J32:J33">
    <cfRule type="cellIs" dxfId="23434" priority="14715" operator="equal">
      <formula>"OFF"</formula>
    </cfRule>
    <cfRule type="cellIs" dxfId="23433" priority="14716" operator="equal">
      <formula>"PTO"</formula>
    </cfRule>
  </conditionalFormatting>
  <conditionalFormatting sqref="J32:J33">
    <cfRule type="cellIs" dxfId="23432" priority="14713" operator="equal">
      <formula>"OFF"</formula>
    </cfRule>
    <cfRule type="cellIs" dxfId="23431" priority="14714" operator="equal">
      <formula>"PTO"</formula>
    </cfRule>
  </conditionalFormatting>
  <conditionalFormatting sqref="J32:J33">
    <cfRule type="cellIs" dxfId="23430" priority="14711" operator="equal">
      <formula>"OFF"</formula>
    </cfRule>
    <cfRule type="cellIs" dxfId="23429" priority="14712" operator="equal">
      <formula>"PTO"</formula>
    </cfRule>
  </conditionalFormatting>
  <conditionalFormatting sqref="J32:J33">
    <cfRule type="cellIs" dxfId="23428" priority="14709" operator="equal">
      <formula>"OFF"</formula>
    </cfRule>
    <cfRule type="cellIs" dxfId="23427" priority="14710" operator="equal">
      <formula>"PTO"</formula>
    </cfRule>
  </conditionalFormatting>
  <conditionalFormatting sqref="J32:J33">
    <cfRule type="cellIs" dxfId="23426" priority="14707" operator="equal">
      <formula>"OFF"</formula>
    </cfRule>
    <cfRule type="cellIs" dxfId="23425" priority="14708" operator="equal">
      <formula>"PTO"</formula>
    </cfRule>
  </conditionalFormatting>
  <conditionalFormatting sqref="J32:J33">
    <cfRule type="cellIs" dxfId="23424" priority="14705" operator="equal">
      <formula>"OFF"</formula>
    </cfRule>
    <cfRule type="cellIs" dxfId="23423" priority="14706" operator="equal">
      <formula>"PTO"</formula>
    </cfRule>
  </conditionalFormatting>
  <conditionalFormatting sqref="J32:J33">
    <cfRule type="cellIs" dxfId="23422" priority="14703" operator="equal">
      <formula>"OFF"</formula>
    </cfRule>
    <cfRule type="cellIs" dxfId="23421" priority="14704" operator="equal">
      <formula>"PTO"</formula>
    </cfRule>
  </conditionalFormatting>
  <conditionalFormatting sqref="J32:J33">
    <cfRule type="cellIs" dxfId="23420" priority="14701" operator="equal">
      <formula>"OFF"</formula>
    </cfRule>
    <cfRule type="cellIs" dxfId="23419" priority="14702" operator="equal">
      <formula>"PTO"</formula>
    </cfRule>
  </conditionalFormatting>
  <conditionalFormatting sqref="J35:J36">
    <cfRule type="cellIs" dxfId="23418" priority="14699" operator="equal">
      <formula>"OFF"</formula>
    </cfRule>
    <cfRule type="cellIs" dxfId="23417" priority="14700" operator="equal">
      <formula>"PTO"</formula>
    </cfRule>
  </conditionalFormatting>
  <conditionalFormatting sqref="J35:J36">
    <cfRule type="cellIs" dxfId="23416" priority="14697" operator="equal">
      <formula>"OFF"</formula>
    </cfRule>
    <cfRule type="cellIs" dxfId="23415" priority="14698" operator="equal">
      <formula>"PTO"</formula>
    </cfRule>
  </conditionalFormatting>
  <conditionalFormatting sqref="J35:J36">
    <cfRule type="cellIs" dxfId="23414" priority="14695" operator="equal">
      <formula>"OFF"</formula>
    </cfRule>
    <cfRule type="cellIs" dxfId="23413" priority="14696" operator="equal">
      <formula>"PTO"</formula>
    </cfRule>
  </conditionalFormatting>
  <conditionalFormatting sqref="J35:J36">
    <cfRule type="cellIs" dxfId="23412" priority="14693" operator="equal">
      <formula>"OFF"</formula>
    </cfRule>
    <cfRule type="cellIs" dxfId="23411" priority="14694" operator="equal">
      <formula>"PTO"</formula>
    </cfRule>
  </conditionalFormatting>
  <conditionalFormatting sqref="J35:J36">
    <cfRule type="cellIs" dxfId="23410" priority="14691" operator="equal">
      <formula>"OFF"</formula>
    </cfRule>
    <cfRule type="cellIs" dxfId="23409" priority="14692" operator="equal">
      <formula>"PTO"</formula>
    </cfRule>
  </conditionalFormatting>
  <conditionalFormatting sqref="J35:J36">
    <cfRule type="cellIs" dxfId="23408" priority="14689" operator="equal">
      <formula>"OFF"</formula>
    </cfRule>
    <cfRule type="cellIs" dxfId="23407" priority="14690" operator="equal">
      <formula>"PTO"</formula>
    </cfRule>
  </conditionalFormatting>
  <conditionalFormatting sqref="J35:J36">
    <cfRule type="cellIs" dxfId="23406" priority="14687" operator="equal">
      <formula>"OFF"</formula>
    </cfRule>
    <cfRule type="cellIs" dxfId="23405" priority="14688" operator="equal">
      <formula>"PTO"</formula>
    </cfRule>
  </conditionalFormatting>
  <conditionalFormatting sqref="J35:J36">
    <cfRule type="cellIs" dxfId="23404" priority="14685" operator="equal">
      <formula>"OFF"</formula>
    </cfRule>
    <cfRule type="cellIs" dxfId="23403" priority="14686" operator="equal">
      <formula>"PTO"</formula>
    </cfRule>
  </conditionalFormatting>
  <conditionalFormatting sqref="J38:J39">
    <cfRule type="cellIs" dxfId="23402" priority="14683" operator="equal">
      <formula>"OFF"</formula>
    </cfRule>
    <cfRule type="cellIs" dxfId="23401" priority="14684" operator="equal">
      <formula>"PTO"</formula>
    </cfRule>
  </conditionalFormatting>
  <conditionalFormatting sqref="J38:J39">
    <cfRule type="cellIs" dxfId="23400" priority="14681" operator="equal">
      <formula>"OFF"</formula>
    </cfRule>
    <cfRule type="cellIs" dxfId="23399" priority="14682" operator="equal">
      <formula>"PTO"</formula>
    </cfRule>
  </conditionalFormatting>
  <conditionalFormatting sqref="J38:J39">
    <cfRule type="cellIs" dxfId="23398" priority="14679" operator="equal">
      <formula>"OFF"</formula>
    </cfRule>
    <cfRule type="cellIs" dxfId="23397" priority="14680" operator="equal">
      <formula>"PTO"</formula>
    </cfRule>
  </conditionalFormatting>
  <conditionalFormatting sqref="J38:J39">
    <cfRule type="cellIs" dxfId="23396" priority="14677" operator="equal">
      <formula>"OFF"</formula>
    </cfRule>
    <cfRule type="cellIs" dxfId="23395" priority="14678" operator="equal">
      <formula>"PTO"</formula>
    </cfRule>
  </conditionalFormatting>
  <conditionalFormatting sqref="J38:J39">
    <cfRule type="cellIs" dxfId="23394" priority="14675" operator="equal">
      <formula>"OFF"</formula>
    </cfRule>
    <cfRule type="cellIs" dxfId="23393" priority="14676" operator="equal">
      <formula>"PTO"</formula>
    </cfRule>
  </conditionalFormatting>
  <conditionalFormatting sqref="J38:J39">
    <cfRule type="cellIs" dxfId="23392" priority="14673" operator="equal">
      <formula>"OFF"</formula>
    </cfRule>
    <cfRule type="cellIs" dxfId="23391" priority="14674" operator="equal">
      <formula>"PTO"</formula>
    </cfRule>
  </conditionalFormatting>
  <conditionalFormatting sqref="J38:J39">
    <cfRule type="cellIs" dxfId="23390" priority="14671" operator="equal">
      <formula>"OFF"</formula>
    </cfRule>
    <cfRule type="cellIs" dxfId="23389" priority="14672" operator="equal">
      <formula>"PTO"</formula>
    </cfRule>
  </conditionalFormatting>
  <conditionalFormatting sqref="J38:J39">
    <cfRule type="cellIs" dxfId="23388" priority="14669" operator="equal">
      <formula>"OFF"</formula>
    </cfRule>
    <cfRule type="cellIs" dxfId="23387" priority="14670" operator="equal">
      <formula>"PTO"</formula>
    </cfRule>
  </conditionalFormatting>
  <conditionalFormatting sqref="K30">
    <cfRule type="cellIs" dxfId="23386" priority="14667" operator="equal">
      <formula>"OFF"</formula>
    </cfRule>
    <cfRule type="cellIs" dxfId="23385" priority="14668" operator="equal">
      <formula>"PTO"</formula>
    </cfRule>
  </conditionalFormatting>
  <conditionalFormatting sqref="K30">
    <cfRule type="cellIs" dxfId="23384" priority="14665" operator="equal">
      <formula>"OFF"</formula>
    </cfRule>
    <cfRule type="cellIs" dxfId="23383" priority="14666" operator="equal">
      <formula>"PTO"</formula>
    </cfRule>
  </conditionalFormatting>
  <conditionalFormatting sqref="K30">
    <cfRule type="cellIs" dxfId="23382" priority="14663" operator="equal">
      <formula>"OFF"</formula>
    </cfRule>
    <cfRule type="cellIs" dxfId="23381" priority="14664" operator="equal">
      <formula>"PTO"</formula>
    </cfRule>
  </conditionalFormatting>
  <conditionalFormatting sqref="K30">
    <cfRule type="cellIs" dxfId="23380" priority="14661" operator="equal">
      <formula>"OFF"</formula>
    </cfRule>
    <cfRule type="cellIs" dxfId="23379" priority="14662" operator="equal">
      <formula>"PTO"</formula>
    </cfRule>
  </conditionalFormatting>
  <conditionalFormatting sqref="K30">
    <cfRule type="cellIs" dxfId="23378" priority="14659" operator="equal">
      <formula>"OFF"</formula>
    </cfRule>
    <cfRule type="cellIs" dxfId="23377" priority="14660" operator="equal">
      <formula>"PTO"</formula>
    </cfRule>
  </conditionalFormatting>
  <conditionalFormatting sqref="K30">
    <cfRule type="cellIs" dxfId="23376" priority="14657" operator="equal">
      <formula>"OFF"</formula>
    </cfRule>
    <cfRule type="cellIs" dxfId="23375" priority="14658" operator="equal">
      <formula>"PTO"</formula>
    </cfRule>
  </conditionalFormatting>
  <conditionalFormatting sqref="K30">
    <cfRule type="cellIs" dxfId="23374" priority="14655" operator="equal">
      <formula>"OFF"</formula>
    </cfRule>
    <cfRule type="cellIs" dxfId="23373" priority="14656" operator="equal">
      <formula>"PTO"</formula>
    </cfRule>
  </conditionalFormatting>
  <conditionalFormatting sqref="K30">
    <cfRule type="cellIs" dxfId="23372" priority="14653" operator="equal">
      <formula>"OFF"</formula>
    </cfRule>
    <cfRule type="cellIs" dxfId="23371" priority="14654" operator="equal">
      <formula>"PTO"</formula>
    </cfRule>
  </conditionalFormatting>
  <conditionalFormatting sqref="K32:K33">
    <cfRule type="cellIs" dxfId="23370" priority="14651" operator="equal">
      <formula>"OFF"</formula>
    </cfRule>
    <cfRule type="cellIs" dxfId="23369" priority="14652" operator="equal">
      <formula>"PTO"</formula>
    </cfRule>
  </conditionalFormatting>
  <conditionalFormatting sqref="K32:K33">
    <cfRule type="cellIs" dxfId="23368" priority="14649" operator="equal">
      <formula>"OFF"</formula>
    </cfRule>
    <cfRule type="cellIs" dxfId="23367" priority="14650" operator="equal">
      <formula>"PTO"</formula>
    </cfRule>
  </conditionalFormatting>
  <conditionalFormatting sqref="K32:K33">
    <cfRule type="cellIs" dxfId="23366" priority="14647" operator="equal">
      <formula>"OFF"</formula>
    </cfRule>
    <cfRule type="cellIs" dxfId="23365" priority="14648" operator="equal">
      <formula>"PTO"</formula>
    </cfRule>
  </conditionalFormatting>
  <conditionalFormatting sqref="K32:K33">
    <cfRule type="cellIs" dxfId="23364" priority="14645" operator="equal">
      <formula>"OFF"</formula>
    </cfRule>
    <cfRule type="cellIs" dxfId="23363" priority="14646" operator="equal">
      <formula>"PTO"</formula>
    </cfRule>
  </conditionalFormatting>
  <conditionalFormatting sqref="K32:K33">
    <cfRule type="cellIs" dxfId="23362" priority="14643" operator="equal">
      <formula>"OFF"</formula>
    </cfRule>
    <cfRule type="cellIs" dxfId="23361" priority="14644" operator="equal">
      <formula>"PTO"</formula>
    </cfRule>
  </conditionalFormatting>
  <conditionalFormatting sqref="K32:K33">
    <cfRule type="cellIs" dxfId="23360" priority="14641" operator="equal">
      <formula>"OFF"</formula>
    </cfRule>
    <cfRule type="cellIs" dxfId="23359" priority="14642" operator="equal">
      <formula>"PTO"</formula>
    </cfRule>
  </conditionalFormatting>
  <conditionalFormatting sqref="K32:K33">
    <cfRule type="cellIs" dxfId="23358" priority="14639" operator="equal">
      <formula>"OFF"</formula>
    </cfRule>
    <cfRule type="cellIs" dxfId="23357" priority="14640" operator="equal">
      <formula>"PTO"</formula>
    </cfRule>
  </conditionalFormatting>
  <conditionalFormatting sqref="K32:K33">
    <cfRule type="cellIs" dxfId="23356" priority="14637" operator="equal">
      <formula>"OFF"</formula>
    </cfRule>
    <cfRule type="cellIs" dxfId="23355" priority="14638" operator="equal">
      <formula>"PTO"</formula>
    </cfRule>
  </conditionalFormatting>
  <conditionalFormatting sqref="K35:K36">
    <cfRule type="cellIs" dxfId="23354" priority="14635" operator="equal">
      <formula>"OFF"</formula>
    </cfRule>
    <cfRule type="cellIs" dxfId="23353" priority="14636" operator="equal">
      <formula>"PTO"</formula>
    </cfRule>
  </conditionalFormatting>
  <conditionalFormatting sqref="K35:K36">
    <cfRule type="cellIs" dxfId="23352" priority="14633" operator="equal">
      <formula>"OFF"</formula>
    </cfRule>
    <cfRule type="cellIs" dxfId="23351" priority="14634" operator="equal">
      <formula>"PTO"</formula>
    </cfRule>
  </conditionalFormatting>
  <conditionalFormatting sqref="K35:K36">
    <cfRule type="cellIs" dxfId="23350" priority="14631" operator="equal">
      <formula>"OFF"</formula>
    </cfRule>
    <cfRule type="cellIs" dxfId="23349" priority="14632" operator="equal">
      <formula>"PTO"</formula>
    </cfRule>
  </conditionalFormatting>
  <conditionalFormatting sqref="K35:K36">
    <cfRule type="cellIs" dxfId="23348" priority="14629" operator="equal">
      <formula>"OFF"</formula>
    </cfRule>
    <cfRule type="cellIs" dxfId="23347" priority="14630" operator="equal">
      <formula>"PTO"</formula>
    </cfRule>
  </conditionalFormatting>
  <conditionalFormatting sqref="K35:K36">
    <cfRule type="cellIs" dxfId="23346" priority="14627" operator="equal">
      <formula>"OFF"</formula>
    </cfRule>
    <cfRule type="cellIs" dxfId="23345" priority="14628" operator="equal">
      <formula>"PTO"</formula>
    </cfRule>
  </conditionalFormatting>
  <conditionalFormatting sqref="K35:K36">
    <cfRule type="cellIs" dxfId="23344" priority="14625" operator="equal">
      <formula>"OFF"</formula>
    </cfRule>
    <cfRule type="cellIs" dxfId="23343" priority="14626" operator="equal">
      <formula>"PTO"</formula>
    </cfRule>
  </conditionalFormatting>
  <conditionalFormatting sqref="K35:K36">
    <cfRule type="cellIs" dxfId="23342" priority="14623" operator="equal">
      <formula>"OFF"</formula>
    </cfRule>
    <cfRule type="cellIs" dxfId="23341" priority="14624" operator="equal">
      <formula>"PTO"</formula>
    </cfRule>
  </conditionalFormatting>
  <conditionalFormatting sqref="K35:K36">
    <cfRule type="cellIs" dxfId="23340" priority="14621" operator="equal">
      <formula>"OFF"</formula>
    </cfRule>
    <cfRule type="cellIs" dxfId="23339" priority="14622" operator="equal">
      <formula>"PTO"</formula>
    </cfRule>
  </conditionalFormatting>
  <conditionalFormatting sqref="K38:K39">
    <cfRule type="cellIs" dxfId="23338" priority="14619" operator="equal">
      <formula>"OFF"</formula>
    </cfRule>
    <cfRule type="cellIs" dxfId="23337" priority="14620" operator="equal">
      <formula>"PTO"</formula>
    </cfRule>
  </conditionalFormatting>
  <conditionalFormatting sqref="K38:K39">
    <cfRule type="cellIs" dxfId="23336" priority="14617" operator="equal">
      <formula>"OFF"</formula>
    </cfRule>
    <cfRule type="cellIs" dxfId="23335" priority="14618" operator="equal">
      <formula>"PTO"</formula>
    </cfRule>
  </conditionalFormatting>
  <conditionalFormatting sqref="K38:K39">
    <cfRule type="cellIs" dxfId="23334" priority="14615" operator="equal">
      <formula>"OFF"</formula>
    </cfRule>
    <cfRule type="cellIs" dxfId="23333" priority="14616" operator="equal">
      <formula>"PTO"</formula>
    </cfRule>
  </conditionalFormatting>
  <conditionalFormatting sqref="K38:K39">
    <cfRule type="cellIs" dxfId="23332" priority="14613" operator="equal">
      <formula>"OFF"</formula>
    </cfRule>
    <cfRule type="cellIs" dxfId="23331" priority="14614" operator="equal">
      <formula>"PTO"</formula>
    </cfRule>
  </conditionalFormatting>
  <conditionalFormatting sqref="K38:K39">
    <cfRule type="cellIs" dxfId="23330" priority="14611" operator="equal">
      <formula>"OFF"</formula>
    </cfRule>
    <cfRule type="cellIs" dxfId="23329" priority="14612" operator="equal">
      <formula>"PTO"</formula>
    </cfRule>
  </conditionalFormatting>
  <conditionalFormatting sqref="K38:K39">
    <cfRule type="cellIs" dxfId="23328" priority="14609" operator="equal">
      <formula>"OFF"</formula>
    </cfRule>
    <cfRule type="cellIs" dxfId="23327" priority="14610" operator="equal">
      <formula>"PTO"</formula>
    </cfRule>
  </conditionalFormatting>
  <conditionalFormatting sqref="K38:K39">
    <cfRule type="cellIs" dxfId="23326" priority="14607" operator="equal">
      <formula>"OFF"</formula>
    </cfRule>
    <cfRule type="cellIs" dxfId="23325" priority="14608" operator="equal">
      <formula>"PTO"</formula>
    </cfRule>
  </conditionalFormatting>
  <conditionalFormatting sqref="K38:K39">
    <cfRule type="cellIs" dxfId="23324" priority="14605" operator="equal">
      <formula>"OFF"</formula>
    </cfRule>
    <cfRule type="cellIs" dxfId="23323" priority="14606" operator="equal">
      <formula>"PTO"</formula>
    </cfRule>
  </conditionalFormatting>
  <conditionalFormatting sqref="L26:L28 L30 L32:L33 L35:L36 L38:L39">
    <cfRule type="cellIs" dxfId="23322" priority="14603" operator="equal">
      <formula>"OFF"</formula>
    </cfRule>
    <cfRule type="cellIs" dxfId="23321" priority="14604" operator="equal">
      <formula>"PTO"</formula>
    </cfRule>
  </conditionalFormatting>
  <conditionalFormatting sqref="L26:L28">
    <cfRule type="cellIs" dxfId="23320" priority="14601" operator="equal">
      <formula>"OFF"</formula>
    </cfRule>
    <cfRule type="cellIs" dxfId="23319" priority="14602" operator="equal">
      <formula>"PTO"</formula>
    </cfRule>
  </conditionalFormatting>
  <conditionalFormatting sqref="L26:L28">
    <cfRule type="cellIs" dxfId="23318" priority="14599" operator="equal">
      <formula>"OFF"</formula>
    </cfRule>
    <cfRule type="cellIs" dxfId="23317" priority="14600" operator="equal">
      <formula>"PTO"</formula>
    </cfRule>
  </conditionalFormatting>
  <conditionalFormatting sqref="L26:L28">
    <cfRule type="cellIs" dxfId="23316" priority="14597" operator="equal">
      <formula>"OFF"</formula>
    </cfRule>
    <cfRule type="cellIs" dxfId="23315" priority="14598" operator="equal">
      <formula>"PTO"</formula>
    </cfRule>
  </conditionalFormatting>
  <conditionalFormatting sqref="L26:L28">
    <cfRule type="cellIs" dxfId="23314" priority="14595" operator="equal">
      <formula>"OFF"</formula>
    </cfRule>
    <cfRule type="cellIs" dxfId="23313" priority="14596" operator="equal">
      <formula>"PTO"</formula>
    </cfRule>
  </conditionalFormatting>
  <conditionalFormatting sqref="L26:L28">
    <cfRule type="cellIs" dxfId="23312" priority="14593" operator="equal">
      <formula>"OFF"</formula>
    </cfRule>
    <cfRule type="cellIs" dxfId="23311" priority="14594" operator="equal">
      <formula>"PTO"</formula>
    </cfRule>
  </conditionalFormatting>
  <conditionalFormatting sqref="L26:L28">
    <cfRule type="cellIs" dxfId="23310" priority="14591" operator="equal">
      <formula>"OFF"</formula>
    </cfRule>
    <cfRule type="cellIs" dxfId="23309" priority="14592" operator="equal">
      <formula>"PTO"</formula>
    </cfRule>
  </conditionalFormatting>
  <conditionalFormatting sqref="L26:L28">
    <cfRule type="cellIs" dxfId="23308" priority="14589" operator="equal">
      <formula>"OFF"</formula>
    </cfRule>
    <cfRule type="cellIs" dxfId="23307" priority="14590" operator="equal">
      <formula>"PTO"</formula>
    </cfRule>
  </conditionalFormatting>
  <conditionalFormatting sqref="L26:L28">
    <cfRule type="cellIs" dxfId="23306" priority="14587" operator="equal">
      <formula>"OFF"</formula>
    </cfRule>
    <cfRule type="cellIs" dxfId="23305" priority="14588" operator="equal">
      <formula>"PTO"</formula>
    </cfRule>
  </conditionalFormatting>
  <conditionalFormatting sqref="L27">
    <cfRule type="cellIs" dxfId="23304" priority="14585" operator="equal">
      <formula>"OFF"</formula>
    </cfRule>
    <cfRule type="cellIs" dxfId="23303" priority="14586" operator="equal">
      <formula>"PTO"</formula>
    </cfRule>
  </conditionalFormatting>
  <conditionalFormatting sqref="L27">
    <cfRule type="cellIs" dxfId="23302" priority="14583" operator="equal">
      <formula>"OFF"</formula>
    </cfRule>
    <cfRule type="cellIs" dxfId="23301" priority="14584" operator="equal">
      <formula>"PTO"</formula>
    </cfRule>
  </conditionalFormatting>
  <conditionalFormatting sqref="L27">
    <cfRule type="cellIs" dxfId="23300" priority="14581" operator="equal">
      <formula>"OFF"</formula>
    </cfRule>
    <cfRule type="cellIs" dxfId="23299" priority="14582" operator="equal">
      <formula>"PTO"</formula>
    </cfRule>
  </conditionalFormatting>
  <conditionalFormatting sqref="L27">
    <cfRule type="cellIs" dxfId="23298" priority="14579" operator="equal">
      <formula>"OFF"</formula>
    </cfRule>
    <cfRule type="cellIs" dxfId="23297" priority="14580" operator="equal">
      <formula>"PTO"</formula>
    </cfRule>
  </conditionalFormatting>
  <conditionalFormatting sqref="L27">
    <cfRule type="cellIs" dxfId="23296" priority="14577" operator="equal">
      <formula>"OFF"</formula>
    </cfRule>
    <cfRule type="cellIs" dxfId="23295" priority="14578" operator="equal">
      <formula>"PTO"</formula>
    </cfRule>
  </conditionalFormatting>
  <conditionalFormatting sqref="L27">
    <cfRule type="cellIs" dxfId="23294" priority="14575" operator="equal">
      <formula>"OFF"</formula>
    </cfRule>
    <cfRule type="cellIs" dxfId="23293" priority="14576" operator="equal">
      <formula>"PTO"</formula>
    </cfRule>
  </conditionalFormatting>
  <conditionalFormatting sqref="L27">
    <cfRule type="cellIs" dxfId="23292" priority="14573" operator="equal">
      <formula>"OFF"</formula>
    </cfRule>
    <cfRule type="cellIs" dxfId="23291" priority="14574" operator="equal">
      <formula>"PTO"</formula>
    </cfRule>
  </conditionalFormatting>
  <conditionalFormatting sqref="L27">
    <cfRule type="cellIs" dxfId="23290" priority="14571" operator="equal">
      <formula>"OFF"</formula>
    </cfRule>
    <cfRule type="cellIs" dxfId="23289" priority="14572" operator="equal">
      <formula>"PTO"</formula>
    </cfRule>
  </conditionalFormatting>
  <conditionalFormatting sqref="L30">
    <cfRule type="cellIs" dxfId="23288" priority="14569" operator="equal">
      <formula>"OFF"</formula>
    </cfRule>
    <cfRule type="cellIs" dxfId="23287" priority="14570" operator="equal">
      <formula>"PTO"</formula>
    </cfRule>
  </conditionalFormatting>
  <conditionalFormatting sqref="L30">
    <cfRule type="cellIs" dxfId="23286" priority="14567" operator="equal">
      <formula>"OFF"</formula>
    </cfRule>
    <cfRule type="cellIs" dxfId="23285" priority="14568" operator="equal">
      <formula>"PTO"</formula>
    </cfRule>
  </conditionalFormatting>
  <conditionalFormatting sqref="L30">
    <cfRule type="cellIs" dxfId="23284" priority="14565" operator="equal">
      <formula>"OFF"</formula>
    </cfRule>
    <cfRule type="cellIs" dxfId="23283" priority="14566" operator="equal">
      <formula>"PTO"</formula>
    </cfRule>
  </conditionalFormatting>
  <conditionalFormatting sqref="L30">
    <cfRule type="cellIs" dxfId="23282" priority="14563" operator="equal">
      <formula>"OFF"</formula>
    </cfRule>
    <cfRule type="cellIs" dxfId="23281" priority="14564" operator="equal">
      <formula>"PTO"</formula>
    </cfRule>
  </conditionalFormatting>
  <conditionalFormatting sqref="L30">
    <cfRule type="cellIs" dxfId="23280" priority="14561" operator="equal">
      <formula>"OFF"</formula>
    </cfRule>
    <cfRule type="cellIs" dxfId="23279" priority="14562" operator="equal">
      <formula>"PTO"</formula>
    </cfRule>
  </conditionalFormatting>
  <conditionalFormatting sqref="L30">
    <cfRule type="cellIs" dxfId="23278" priority="14559" operator="equal">
      <formula>"OFF"</formula>
    </cfRule>
    <cfRule type="cellIs" dxfId="23277" priority="14560" operator="equal">
      <formula>"PTO"</formula>
    </cfRule>
  </conditionalFormatting>
  <conditionalFormatting sqref="L30">
    <cfRule type="cellIs" dxfId="23276" priority="14557" operator="equal">
      <formula>"OFF"</formula>
    </cfRule>
    <cfRule type="cellIs" dxfId="23275" priority="14558" operator="equal">
      <formula>"PTO"</formula>
    </cfRule>
  </conditionalFormatting>
  <conditionalFormatting sqref="L30">
    <cfRule type="cellIs" dxfId="23274" priority="14555" operator="equal">
      <formula>"OFF"</formula>
    </cfRule>
    <cfRule type="cellIs" dxfId="23273" priority="14556" operator="equal">
      <formula>"PTO"</formula>
    </cfRule>
  </conditionalFormatting>
  <conditionalFormatting sqref="L30">
    <cfRule type="cellIs" dxfId="23272" priority="14553" operator="equal">
      <formula>"OFF"</formula>
    </cfRule>
    <cfRule type="cellIs" dxfId="23271" priority="14554" operator="equal">
      <formula>"PTO"</formula>
    </cfRule>
  </conditionalFormatting>
  <conditionalFormatting sqref="L30">
    <cfRule type="cellIs" dxfId="23270" priority="14551" operator="equal">
      <formula>"OFF"</formula>
    </cfRule>
    <cfRule type="cellIs" dxfId="23269" priority="14552" operator="equal">
      <formula>"PTO"</formula>
    </cfRule>
  </conditionalFormatting>
  <conditionalFormatting sqref="L30">
    <cfRule type="cellIs" dxfId="23268" priority="14549" operator="equal">
      <formula>"OFF"</formula>
    </cfRule>
    <cfRule type="cellIs" dxfId="23267" priority="14550" operator="equal">
      <formula>"PTO"</formula>
    </cfRule>
  </conditionalFormatting>
  <conditionalFormatting sqref="L30">
    <cfRule type="cellIs" dxfId="23266" priority="14547" operator="equal">
      <formula>"OFF"</formula>
    </cfRule>
    <cfRule type="cellIs" dxfId="23265" priority="14548" operator="equal">
      <formula>"PTO"</formula>
    </cfRule>
  </conditionalFormatting>
  <conditionalFormatting sqref="L30">
    <cfRule type="cellIs" dxfId="23264" priority="14545" operator="equal">
      <formula>"OFF"</formula>
    </cfRule>
    <cfRule type="cellIs" dxfId="23263" priority="14546" operator="equal">
      <formula>"PTO"</formula>
    </cfRule>
  </conditionalFormatting>
  <conditionalFormatting sqref="L30">
    <cfRule type="cellIs" dxfId="23262" priority="14543" operator="equal">
      <formula>"OFF"</formula>
    </cfRule>
    <cfRule type="cellIs" dxfId="23261" priority="14544" operator="equal">
      <formula>"PTO"</formula>
    </cfRule>
  </conditionalFormatting>
  <conditionalFormatting sqref="L30">
    <cfRule type="cellIs" dxfId="23260" priority="14541" operator="equal">
      <formula>"OFF"</formula>
    </cfRule>
    <cfRule type="cellIs" dxfId="23259" priority="14542" operator="equal">
      <formula>"PTO"</formula>
    </cfRule>
  </conditionalFormatting>
  <conditionalFormatting sqref="L30">
    <cfRule type="cellIs" dxfId="23258" priority="14539" operator="equal">
      <formula>"OFF"</formula>
    </cfRule>
    <cfRule type="cellIs" dxfId="23257" priority="14540" operator="equal">
      <formula>"PTO"</formula>
    </cfRule>
  </conditionalFormatting>
  <conditionalFormatting sqref="L30">
    <cfRule type="cellIs" dxfId="23256" priority="14537" operator="equal">
      <formula>"OFF"</formula>
    </cfRule>
    <cfRule type="cellIs" dxfId="23255" priority="14538" operator="equal">
      <formula>"PTO"</formula>
    </cfRule>
  </conditionalFormatting>
  <conditionalFormatting sqref="L30">
    <cfRule type="cellIs" dxfId="23254" priority="14535" operator="equal">
      <formula>"OFF"</formula>
    </cfRule>
    <cfRule type="cellIs" dxfId="23253" priority="14536" operator="equal">
      <formula>"PTO"</formula>
    </cfRule>
  </conditionalFormatting>
  <conditionalFormatting sqref="L30">
    <cfRule type="cellIs" dxfId="23252" priority="14533" operator="equal">
      <formula>"OFF"</formula>
    </cfRule>
    <cfRule type="cellIs" dxfId="23251" priority="14534" operator="equal">
      <formula>"PTO"</formula>
    </cfRule>
  </conditionalFormatting>
  <conditionalFormatting sqref="L30">
    <cfRule type="cellIs" dxfId="23250" priority="14531" operator="equal">
      <formula>"OFF"</formula>
    </cfRule>
    <cfRule type="cellIs" dxfId="23249" priority="14532" operator="equal">
      <formula>"PTO"</formula>
    </cfRule>
  </conditionalFormatting>
  <conditionalFormatting sqref="L30">
    <cfRule type="cellIs" dxfId="23248" priority="14529" operator="equal">
      <formula>"OFF"</formula>
    </cfRule>
    <cfRule type="cellIs" dxfId="23247" priority="14530" operator="equal">
      <formula>"PTO"</formula>
    </cfRule>
  </conditionalFormatting>
  <conditionalFormatting sqref="L30">
    <cfRule type="cellIs" dxfId="23246" priority="14527" operator="equal">
      <formula>"OFF"</formula>
    </cfRule>
    <cfRule type="cellIs" dxfId="23245" priority="14528" operator="equal">
      <formula>"PTO"</formula>
    </cfRule>
  </conditionalFormatting>
  <conditionalFormatting sqref="L30">
    <cfRule type="cellIs" dxfId="23244" priority="14525" operator="equal">
      <formula>"OFF"</formula>
    </cfRule>
    <cfRule type="cellIs" dxfId="23243" priority="14526" operator="equal">
      <formula>"PTO"</formula>
    </cfRule>
  </conditionalFormatting>
  <conditionalFormatting sqref="L30">
    <cfRule type="cellIs" dxfId="23242" priority="14523" operator="equal">
      <formula>"OFF"</formula>
    </cfRule>
    <cfRule type="cellIs" dxfId="23241" priority="14524" operator="equal">
      <formula>"PTO"</formula>
    </cfRule>
  </conditionalFormatting>
  <conditionalFormatting sqref="L30">
    <cfRule type="cellIs" dxfId="23240" priority="14521" operator="equal">
      <formula>"OFF"</formula>
    </cfRule>
    <cfRule type="cellIs" dxfId="23239" priority="14522" operator="equal">
      <formula>"PTO"</formula>
    </cfRule>
  </conditionalFormatting>
  <conditionalFormatting sqref="L30">
    <cfRule type="cellIs" dxfId="23238" priority="14519" operator="equal">
      <formula>"OFF"</formula>
    </cfRule>
    <cfRule type="cellIs" dxfId="23237" priority="14520" operator="equal">
      <formula>"PTO"</formula>
    </cfRule>
  </conditionalFormatting>
  <conditionalFormatting sqref="L30">
    <cfRule type="cellIs" dxfId="23236" priority="14517" operator="equal">
      <formula>"OFF"</formula>
    </cfRule>
    <cfRule type="cellIs" dxfId="23235" priority="14518" operator="equal">
      <formula>"PTO"</formula>
    </cfRule>
  </conditionalFormatting>
  <conditionalFormatting sqref="L30">
    <cfRule type="cellIs" dxfId="23234" priority="14515" operator="equal">
      <formula>"OFF"</formula>
    </cfRule>
    <cfRule type="cellIs" dxfId="23233" priority="14516" operator="equal">
      <formula>"PTO"</formula>
    </cfRule>
  </conditionalFormatting>
  <conditionalFormatting sqref="L30">
    <cfRule type="cellIs" dxfId="23232" priority="14513" operator="equal">
      <formula>"OFF"</formula>
    </cfRule>
    <cfRule type="cellIs" dxfId="23231" priority="14514" operator="equal">
      <formula>"PTO"</formula>
    </cfRule>
  </conditionalFormatting>
  <conditionalFormatting sqref="L30">
    <cfRule type="cellIs" dxfId="23230" priority="14511" operator="equal">
      <formula>"OFF"</formula>
    </cfRule>
    <cfRule type="cellIs" dxfId="23229" priority="14512" operator="equal">
      <formula>"PTO"</formula>
    </cfRule>
  </conditionalFormatting>
  <conditionalFormatting sqref="L30">
    <cfRule type="cellIs" dxfId="23228" priority="14509" operator="equal">
      <formula>"OFF"</formula>
    </cfRule>
    <cfRule type="cellIs" dxfId="23227" priority="14510" operator="equal">
      <formula>"PTO"</formula>
    </cfRule>
  </conditionalFormatting>
  <conditionalFormatting sqref="L30">
    <cfRule type="cellIs" dxfId="23226" priority="14507" operator="equal">
      <formula>"OFF"</formula>
    </cfRule>
    <cfRule type="cellIs" dxfId="23225" priority="14508" operator="equal">
      <formula>"PTO"</formula>
    </cfRule>
  </conditionalFormatting>
  <conditionalFormatting sqref="L30">
    <cfRule type="cellIs" dxfId="23224" priority="14505" operator="equal">
      <formula>"OFF"</formula>
    </cfRule>
    <cfRule type="cellIs" dxfId="23223" priority="14506" operator="equal">
      <formula>"PTO"</formula>
    </cfRule>
  </conditionalFormatting>
  <conditionalFormatting sqref="L30">
    <cfRule type="cellIs" dxfId="23222" priority="14503" operator="equal">
      <formula>"OFF"</formula>
    </cfRule>
    <cfRule type="cellIs" dxfId="23221" priority="14504" operator="equal">
      <formula>"PTO"</formula>
    </cfRule>
  </conditionalFormatting>
  <conditionalFormatting sqref="L30">
    <cfRule type="cellIs" dxfId="23220" priority="14501" operator="equal">
      <formula>"OFF"</formula>
    </cfRule>
    <cfRule type="cellIs" dxfId="23219" priority="14502" operator="equal">
      <formula>"PTO"</formula>
    </cfRule>
  </conditionalFormatting>
  <conditionalFormatting sqref="L30">
    <cfRule type="cellIs" dxfId="23218" priority="14499" operator="equal">
      <formula>"OFF"</formula>
    </cfRule>
    <cfRule type="cellIs" dxfId="23217" priority="14500" operator="equal">
      <formula>"PTO"</formula>
    </cfRule>
  </conditionalFormatting>
  <conditionalFormatting sqref="L30">
    <cfRule type="cellIs" dxfId="23216" priority="14497" operator="equal">
      <formula>"OFF"</formula>
    </cfRule>
    <cfRule type="cellIs" dxfId="23215" priority="14498" operator="equal">
      <formula>"PTO"</formula>
    </cfRule>
  </conditionalFormatting>
  <conditionalFormatting sqref="L30">
    <cfRule type="cellIs" dxfId="23214" priority="14495" operator="equal">
      <formula>"OFF"</formula>
    </cfRule>
    <cfRule type="cellIs" dxfId="23213" priority="14496" operator="equal">
      <formula>"PTO"</formula>
    </cfRule>
  </conditionalFormatting>
  <conditionalFormatting sqref="L30">
    <cfRule type="cellIs" dxfId="23212" priority="14493" operator="equal">
      <formula>"OFF"</formula>
    </cfRule>
    <cfRule type="cellIs" dxfId="23211" priority="14494" operator="equal">
      <formula>"PTO"</formula>
    </cfRule>
  </conditionalFormatting>
  <conditionalFormatting sqref="L30">
    <cfRule type="cellIs" dxfId="23210" priority="14491" operator="equal">
      <formula>"OFF"</formula>
    </cfRule>
    <cfRule type="cellIs" dxfId="23209" priority="14492" operator="equal">
      <formula>"PTO"</formula>
    </cfRule>
  </conditionalFormatting>
  <conditionalFormatting sqref="L30">
    <cfRule type="cellIs" dxfId="23208" priority="14489" operator="equal">
      <formula>"OFF"</formula>
    </cfRule>
    <cfRule type="cellIs" dxfId="23207" priority="14490" operator="equal">
      <formula>"PTO"</formula>
    </cfRule>
  </conditionalFormatting>
  <conditionalFormatting sqref="L30">
    <cfRule type="cellIs" dxfId="23206" priority="14487" operator="equal">
      <formula>"OFF"</formula>
    </cfRule>
    <cfRule type="cellIs" dxfId="23205" priority="14488" operator="equal">
      <formula>"PTO"</formula>
    </cfRule>
  </conditionalFormatting>
  <conditionalFormatting sqref="L30">
    <cfRule type="cellIs" dxfId="23204" priority="14485" operator="equal">
      <formula>"OFF"</formula>
    </cfRule>
    <cfRule type="cellIs" dxfId="23203" priority="14486" operator="equal">
      <formula>"PTO"</formula>
    </cfRule>
  </conditionalFormatting>
  <conditionalFormatting sqref="L30">
    <cfRule type="cellIs" dxfId="23202" priority="14483" operator="equal">
      <formula>"OFF"</formula>
    </cfRule>
    <cfRule type="cellIs" dxfId="23201" priority="14484" operator="equal">
      <formula>"PTO"</formula>
    </cfRule>
  </conditionalFormatting>
  <conditionalFormatting sqref="L30">
    <cfRule type="cellIs" dxfId="23200" priority="14481" operator="equal">
      <formula>"OFF"</formula>
    </cfRule>
    <cfRule type="cellIs" dxfId="23199" priority="14482" operator="equal">
      <formula>"PTO"</formula>
    </cfRule>
  </conditionalFormatting>
  <conditionalFormatting sqref="L30">
    <cfRule type="cellIs" dxfId="23198" priority="14479" operator="equal">
      <formula>"OFF"</formula>
    </cfRule>
    <cfRule type="cellIs" dxfId="23197" priority="14480" operator="equal">
      <formula>"PTO"</formula>
    </cfRule>
  </conditionalFormatting>
  <conditionalFormatting sqref="L30">
    <cfRule type="cellIs" dxfId="23196" priority="14477" operator="equal">
      <formula>"OFF"</formula>
    </cfRule>
    <cfRule type="cellIs" dxfId="23195" priority="14478" operator="equal">
      <formula>"PTO"</formula>
    </cfRule>
  </conditionalFormatting>
  <conditionalFormatting sqref="L30">
    <cfRule type="cellIs" dxfId="23194" priority="14475" operator="equal">
      <formula>"OFF"</formula>
    </cfRule>
    <cfRule type="cellIs" dxfId="23193" priority="14476" operator="equal">
      <formula>"PTO"</formula>
    </cfRule>
  </conditionalFormatting>
  <conditionalFormatting sqref="L30">
    <cfRule type="cellIs" dxfId="23192" priority="14473" operator="equal">
      <formula>"OFF"</formula>
    </cfRule>
    <cfRule type="cellIs" dxfId="23191" priority="14474" operator="equal">
      <formula>"PTO"</formula>
    </cfRule>
  </conditionalFormatting>
  <conditionalFormatting sqref="L30">
    <cfRule type="cellIs" dxfId="23190" priority="14471" operator="equal">
      <formula>"OFF"</formula>
    </cfRule>
    <cfRule type="cellIs" dxfId="23189" priority="14472" operator="equal">
      <formula>"PTO"</formula>
    </cfRule>
  </conditionalFormatting>
  <conditionalFormatting sqref="L30">
    <cfRule type="cellIs" dxfId="23188" priority="14469" operator="equal">
      <formula>"OFF"</formula>
    </cfRule>
    <cfRule type="cellIs" dxfId="23187" priority="14470" operator="equal">
      <formula>"PTO"</formula>
    </cfRule>
  </conditionalFormatting>
  <conditionalFormatting sqref="L30">
    <cfRule type="cellIs" dxfId="23186" priority="14467" operator="equal">
      <formula>"OFF"</formula>
    </cfRule>
    <cfRule type="cellIs" dxfId="23185" priority="14468" operator="equal">
      <formula>"PTO"</formula>
    </cfRule>
  </conditionalFormatting>
  <conditionalFormatting sqref="L30">
    <cfRule type="cellIs" dxfId="23184" priority="14465" operator="equal">
      <formula>"OFF"</formula>
    </cfRule>
    <cfRule type="cellIs" dxfId="23183" priority="14466" operator="equal">
      <formula>"PTO"</formula>
    </cfRule>
  </conditionalFormatting>
  <conditionalFormatting sqref="L30">
    <cfRule type="cellIs" dxfId="23182" priority="14463" operator="equal">
      <formula>"OFF"</formula>
    </cfRule>
    <cfRule type="cellIs" dxfId="23181" priority="14464" operator="equal">
      <formula>"PTO"</formula>
    </cfRule>
  </conditionalFormatting>
  <conditionalFormatting sqref="L30">
    <cfRule type="cellIs" dxfId="23180" priority="14461" operator="equal">
      <formula>"OFF"</formula>
    </cfRule>
    <cfRule type="cellIs" dxfId="23179" priority="14462" operator="equal">
      <formula>"PTO"</formula>
    </cfRule>
  </conditionalFormatting>
  <conditionalFormatting sqref="L30">
    <cfRule type="cellIs" dxfId="23178" priority="14459" operator="equal">
      <formula>"OFF"</formula>
    </cfRule>
    <cfRule type="cellIs" dxfId="23177" priority="14460" operator="equal">
      <formula>"PTO"</formula>
    </cfRule>
  </conditionalFormatting>
  <conditionalFormatting sqref="L30">
    <cfRule type="cellIs" dxfId="23176" priority="14457" operator="equal">
      <formula>"OFF"</formula>
    </cfRule>
    <cfRule type="cellIs" dxfId="23175" priority="14458" operator="equal">
      <formula>"PTO"</formula>
    </cfRule>
  </conditionalFormatting>
  <conditionalFormatting sqref="L30">
    <cfRule type="cellIs" dxfId="23174" priority="14455" operator="equal">
      <formula>"OFF"</formula>
    </cfRule>
    <cfRule type="cellIs" dxfId="23173" priority="14456" operator="equal">
      <formula>"PTO"</formula>
    </cfRule>
  </conditionalFormatting>
  <conditionalFormatting sqref="L30">
    <cfRule type="cellIs" dxfId="23172" priority="14453" operator="equal">
      <formula>"OFF"</formula>
    </cfRule>
    <cfRule type="cellIs" dxfId="23171" priority="14454" operator="equal">
      <formula>"PTO"</formula>
    </cfRule>
  </conditionalFormatting>
  <conditionalFormatting sqref="L30">
    <cfRule type="cellIs" dxfId="23170" priority="14451" operator="equal">
      <formula>"OFF"</formula>
    </cfRule>
    <cfRule type="cellIs" dxfId="23169" priority="14452" operator="equal">
      <formula>"PTO"</formula>
    </cfRule>
  </conditionalFormatting>
  <conditionalFormatting sqref="L30">
    <cfRule type="cellIs" dxfId="23168" priority="14449" operator="equal">
      <formula>"OFF"</formula>
    </cfRule>
    <cfRule type="cellIs" dxfId="23167" priority="14450" operator="equal">
      <formula>"PTO"</formula>
    </cfRule>
  </conditionalFormatting>
  <conditionalFormatting sqref="L30">
    <cfRule type="cellIs" dxfId="23166" priority="14447" operator="equal">
      <formula>"OFF"</formula>
    </cfRule>
    <cfRule type="cellIs" dxfId="23165" priority="14448" operator="equal">
      <formula>"PTO"</formula>
    </cfRule>
  </conditionalFormatting>
  <conditionalFormatting sqref="L30">
    <cfRule type="cellIs" dxfId="23164" priority="14445" operator="equal">
      <formula>"OFF"</formula>
    </cfRule>
    <cfRule type="cellIs" dxfId="23163" priority="14446" operator="equal">
      <formula>"PTO"</formula>
    </cfRule>
  </conditionalFormatting>
  <conditionalFormatting sqref="L30">
    <cfRule type="cellIs" dxfId="23162" priority="14443" operator="equal">
      <formula>"OFF"</formula>
    </cfRule>
    <cfRule type="cellIs" dxfId="23161" priority="14444" operator="equal">
      <formula>"PTO"</formula>
    </cfRule>
  </conditionalFormatting>
  <conditionalFormatting sqref="L30">
    <cfRule type="cellIs" dxfId="23160" priority="14441" operator="equal">
      <formula>"OFF"</formula>
    </cfRule>
    <cfRule type="cellIs" dxfId="23159" priority="14442" operator="equal">
      <formula>"PTO"</formula>
    </cfRule>
  </conditionalFormatting>
  <conditionalFormatting sqref="L30">
    <cfRule type="cellIs" dxfId="23158" priority="14439" operator="equal">
      <formula>"OFF"</formula>
    </cfRule>
    <cfRule type="cellIs" dxfId="23157" priority="14440" operator="equal">
      <formula>"PTO"</formula>
    </cfRule>
  </conditionalFormatting>
  <conditionalFormatting sqref="L30">
    <cfRule type="cellIs" dxfId="23156" priority="14437" operator="equal">
      <formula>"OFF"</formula>
    </cfRule>
    <cfRule type="cellIs" dxfId="23155" priority="14438" operator="equal">
      <formula>"PTO"</formula>
    </cfRule>
  </conditionalFormatting>
  <conditionalFormatting sqref="L30">
    <cfRule type="cellIs" dxfId="23154" priority="14435" operator="equal">
      <formula>"OFF"</formula>
    </cfRule>
    <cfRule type="cellIs" dxfId="23153" priority="14436" operator="equal">
      <formula>"PTO"</formula>
    </cfRule>
  </conditionalFormatting>
  <conditionalFormatting sqref="L30">
    <cfRule type="cellIs" dxfId="23152" priority="14433" operator="equal">
      <formula>"OFF"</formula>
    </cfRule>
    <cfRule type="cellIs" dxfId="23151" priority="14434" operator="equal">
      <formula>"PTO"</formula>
    </cfRule>
  </conditionalFormatting>
  <conditionalFormatting sqref="L30">
    <cfRule type="cellIs" dxfId="23150" priority="14431" operator="equal">
      <formula>"OFF"</formula>
    </cfRule>
    <cfRule type="cellIs" dxfId="23149" priority="14432" operator="equal">
      <formula>"PTO"</formula>
    </cfRule>
  </conditionalFormatting>
  <conditionalFormatting sqref="L30">
    <cfRule type="cellIs" dxfId="23148" priority="14429" operator="equal">
      <formula>"OFF"</formula>
    </cfRule>
    <cfRule type="cellIs" dxfId="23147" priority="14430" operator="equal">
      <formula>"PTO"</formula>
    </cfRule>
  </conditionalFormatting>
  <conditionalFormatting sqref="L30">
    <cfRule type="cellIs" dxfId="23146" priority="14427" operator="equal">
      <formula>"OFF"</formula>
    </cfRule>
    <cfRule type="cellIs" dxfId="23145" priority="14428" operator="equal">
      <formula>"PTO"</formula>
    </cfRule>
  </conditionalFormatting>
  <conditionalFormatting sqref="L30">
    <cfRule type="cellIs" dxfId="23144" priority="14425" operator="equal">
      <formula>"OFF"</formula>
    </cfRule>
    <cfRule type="cellIs" dxfId="23143" priority="14426" operator="equal">
      <formula>"PTO"</formula>
    </cfRule>
  </conditionalFormatting>
  <conditionalFormatting sqref="L30">
    <cfRule type="cellIs" dxfId="23142" priority="14423" operator="equal">
      <formula>"OFF"</formula>
    </cfRule>
    <cfRule type="cellIs" dxfId="23141" priority="14424" operator="equal">
      <formula>"PTO"</formula>
    </cfRule>
  </conditionalFormatting>
  <conditionalFormatting sqref="L30">
    <cfRule type="cellIs" dxfId="23140" priority="14421" operator="equal">
      <formula>"OFF"</formula>
    </cfRule>
    <cfRule type="cellIs" dxfId="23139" priority="14422" operator="equal">
      <formula>"PTO"</formula>
    </cfRule>
  </conditionalFormatting>
  <conditionalFormatting sqref="L30">
    <cfRule type="cellIs" dxfId="23138" priority="14419" operator="equal">
      <formula>"OFF"</formula>
    </cfRule>
    <cfRule type="cellIs" dxfId="23137" priority="14420" operator="equal">
      <formula>"PTO"</formula>
    </cfRule>
  </conditionalFormatting>
  <conditionalFormatting sqref="L30">
    <cfRule type="cellIs" dxfId="23136" priority="14417" operator="equal">
      <formula>"OFF"</formula>
    </cfRule>
    <cfRule type="cellIs" dxfId="23135" priority="14418" operator="equal">
      <formula>"PTO"</formula>
    </cfRule>
  </conditionalFormatting>
  <conditionalFormatting sqref="L30">
    <cfRule type="cellIs" dxfId="23134" priority="14415" operator="equal">
      <formula>"OFF"</formula>
    </cfRule>
    <cfRule type="cellIs" dxfId="23133" priority="14416" operator="equal">
      <formula>"PTO"</formula>
    </cfRule>
  </conditionalFormatting>
  <conditionalFormatting sqref="L30">
    <cfRule type="cellIs" dxfId="23132" priority="14413" operator="equal">
      <formula>"OFF"</formula>
    </cfRule>
    <cfRule type="cellIs" dxfId="23131" priority="14414" operator="equal">
      <formula>"PTO"</formula>
    </cfRule>
  </conditionalFormatting>
  <conditionalFormatting sqref="L30">
    <cfRule type="cellIs" dxfId="23130" priority="14411" operator="equal">
      <formula>"OFF"</formula>
    </cfRule>
    <cfRule type="cellIs" dxfId="23129" priority="14412" operator="equal">
      <formula>"PTO"</formula>
    </cfRule>
  </conditionalFormatting>
  <conditionalFormatting sqref="L30">
    <cfRule type="cellIs" dxfId="23128" priority="14409" operator="equal">
      <formula>"OFF"</formula>
    </cfRule>
    <cfRule type="cellIs" dxfId="23127" priority="14410" operator="equal">
      <formula>"PTO"</formula>
    </cfRule>
  </conditionalFormatting>
  <conditionalFormatting sqref="L30">
    <cfRule type="cellIs" dxfId="23126" priority="14407" operator="equal">
      <formula>"OFF"</formula>
    </cfRule>
    <cfRule type="cellIs" dxfId="23125" priority="14408" operator="equal">
      <formula>"PTO"</formula>
    </cfRule>
  </conditionalFormatting>
  <conditionalFormatting sqref="L30">
    <cfRule type="cellIs" dxfId="23124" priority="14405" operator="equal">
      <formula>"OFF"</formula>
    </cfRule>
    <cfRule type="cellIs" dxfId="23123" priority="14406" operator="equal">
      <formula>"PTO"</formula>
    </cfRule>
  </conditionalFormatting>
  <conditionalFormatting sqref="L30">
    <cfRule type="cellIs" dxfId="23122" priority="14403" operator="equal">
      <formula>"OFF"</formula>
    </cfRule>
    <cfRule type="cellIs" dxfId="23121" priority="14404" operator="equal">
      <formula>"PTO"</formula>
    </cfRule>
  </conditionalFormatting>
  <conditionalFormatting sqref="L30">
    <cfRule type="cellIs" dxfId="23120" priority="14401" operator="equal">
      <formula>"OFF"</formula>
    </cfRule>
    <cfRule type="cellIs" dxfId="23119" priority="14402" operator="equal">
      <formula>"PTO"</formula>
    </cfRule>
  </conditionalFormatting>
  <conditionalFormatting sqref="L30">
    <cfRule type="cellIs" dxfId="23118" priority="14399" operator="equal">
      <formula>"OFF"</formula>
    </cfRule>
    <cfRule type="cellIs" dxfId="23117" priority="14400" operator="equal">
      <formula>"PTO"</formula>
    </cfRule>
  </conditionalFormatting>
  <conditionalFormatting sqref="L30">
    <cfRule type="cellIs" dxfId="23116" priority="14397" operator="equal">
      <formula>"OFF"</formula>
    </cfRule>
    <cfRule type="cellIs" dxfId="23115" priority="14398" operator="equal">
      <formula>"PTO"</formula>
    </cfRule>
  </conditionalFormatting>
  <conditionalFormatting sqref="L30">
    <cfRule type="cellIs" dxfId="23114" priority="14395" operator="equal">
      <formula>"OFF"</formula>
    </cfRule>
    <cfRule type="cellIs" dxfId="23113" priority="14396" operator="equal">
      <formula>"PTO"</formula>
    </cfRule>
  </conditionalFormatting>
  <conditionalFormatting sqref="L30">
    <cfRule type="cellIs" dxfId="23112" priority="14393" operator="equal">
      <formula>"OFF"</formula>
    </cfRule>
    <cfRule type="cellIs" dxfId="23111" priority="14394" operator="equal">
      <formula>"PTO"</formula>
    </cfRule>
  </conditionalFormatting>
  <conditionalFormatting sqref="L30">
    <cfRule type="cellIs" dxfId="23110" priority="14391" operator="equal">
      <formula>"OFF"</formula>
    </cfRule>
    <cfRule type="cellIs" dxfId="23109" priority="14392" operator="equal">
      <formula>"PTO"</formula>
    </cfRule>
  </conditionalFormatting>
  <conditionalFormatting sqref="L30">
    <cfRule type="cellIs" dxfId="23108" priority="14389" operator="equal">
      <formula>"OFF"</formula>
    </cfRule>
    <cfRule type="cellIs" dxfId="23107" priority="14390" operator="equal">
      <formula>"PTO"</formula>
    </cfRule>
  </conditionalFormatting>
  <conditionalFormatting sqref="L30">
    <cfRule type="cellIs" dxfId="23106" priority="14387" operator="equal">
      <formula>"OFF"</formula>
    </cfRule>
    <cfRule type="cellIs" dxfId="23105" priority="14388" operator="equal">
      <formula>"PTO"</formula>
    </cfRule>
  </conditionalFormatting>
  <conditionalFormatting sqref="L30">
    <cfRule type="cellIs" dxfId="23104" priority="14385" operator="equal">
      <formula>"OFF"</formula>
    </cfRule>
    <cfRule type="cellIs" dxfId="23103" priority="14386" operator="equal">
      <formula>"PTO"</formula>
    </cfRule>
  </conditionalFormatting>
  <conditionalFormatting sqref="L30">
    <cfRule type="cellIs" dxfId="23102" priority="14383" operator="equal">
      <formula>"OFF"</formula>
    </cfRule>
    <cfRule type="cellIs" dxfId="23101" priority="14384" operator="equal">
      <formula>"PTO"</formula>
    </cfRule>
  </conditionalFormatting>
  <conditionalFormatting sqref="L32:L33">
    <cfRule type="cellIs" dxfId="23100" priority="14381" operator="equal">
      <formula>"OFF"</formula>
    </cfRule>
    <cfRule type="cellIs" dxfId="23099" priority="14382" operator="equal">
      <formula>"PTO"</formula>
    </cfRule>
  </conditionalFormatting>
  <conditionalFormatting sqref="L32:L33">
    <cfRule type="cellIs" dxfId="23098" priority="14379" operator="equal">
      <formula>"OFF"</formula>
    </cfRule>
    <cfRule type="cellIs" dxfId="23097" priority="14380" operator="equal">
      <formula>"PTO"</formula>
    </cfRule>
  </conditionalFormatting>
  <conditionalFormatting sqref="L32:L33">
    <cfRule type="cellIs" dxfId="23096" priority="14377" operator="equal">
      <formula>"OFF"</formula>
    </cfRule>
    <cfRule type="cellIs" dxfId="23095" priority="14378" operator="equal">
      <formula>"PTO"</formula>
    </cfRule>
  </conditionalFormatting>
  <conditionalFormatting sqref="L32:L33">
    <cfRule type="cellIs" dxfId="23094" priority="14375" operator="equal">
      <formula>"OFF"</formula>
    </cfRule>
    <cfRule type="cellIs" dxfId="23093" priority="14376" operator="equal">
      <formula>"PTO"</formula>
    </cfRule>
  </conditionalFormatting>
  <conditionalFormatting sqref="L32:L33">
    <cfRule type="cellIs" dxfId="23092" priority="14373" operator="equal">
      <formula>"OFF"</formula>
    </cfRule>
    <cfRule type="cellIs" dxfId="23091" priority="14374" operator="equal">
      <formula>"PTO"</formula>
    </cfRule>
  </conditionalFormatting>
  <conditionalFormatting sqref="L32:L33">
    <cfRule type="cellIs" dxfId="23090" priority="14371" operator="equal">
      <formula>"OFF"</formula>
    </cfRule>
    <cfRule type="cellIs" dxfId="23089" priority="14372" operator="equal">
      <formula>"PTO"</formula>
    </cfRule>
  </conditionalFormatting>
  <conditionalFormatting sqref="L32:L33">
    <cfRule type="cellIs" dxfId="23088" priority="14369" operator="equal">
      <formula>"OFF"</formula>
    </cfRule>
    <cfRule type="cellIs" dxfId="23087" priority="14370" operator="equal">
      <formula>"PTO"</formula>
    </cfRule>
  </conditionalFormatting>
  <conditionalFormatting sqref="L32:L33">
    <cfRule type="cellIs" dxfId="23086" priority="14367" operator="equal">
      <formula>"OFF"</formula>
    </cfRule>
    <cfRule type="cellIs" dxfId="23085" priority="14368" operator="equal">
      <formula>"PTO"</formula>
    </cfRule>
  </conditionalFormatting>
  <conditionalFormatting sqref="L35:L36">
    <cfRule type="cellIs" dxfId="23084" priority="14365" operator="equal">
      <formula>"OFF"</formula>
    </cfRule>
    <cfRule type="cellIs" dxfId="23083" priority="14366" operator="equal">
      <formula>"PTO"</formula>
    </cfRule>
  </conditionalFormatting>
  <conditionalFormatting sqref="L35:L36">
    <cfRule type="cellIs" dxfId="23082" priority="14363" operator="equal">
      <formula>"OFF"</formula>
    </cfRule>
    <cfRule type="cellIs" dxfId="23081" priority="14364" operator="equal">
      <formula>"PTO"</formula>
    </cfRule>
  </conditionalFormatting>
  <conditionalFormatting sqref="L35:L36">
    <cfRule type="cellIs" dxfId="23080" priority="14361" operator="equal">
      <formula>"OFF"</formula>
    </cfRule>
    <cfRule type="cellIs" dxfId="23079" priority="14362" operator="equal">
      <formula>"PTO"</formula>
    </cfRule>
  </conditionalFormatting>
  <conditionalFormatting sqref="L35:L36">
    <cfRule type="cellIs" dxfId="23078" priority="14359" operator="equal">
      <formula>"OFF"</formula>
    </cfRule>
    <cfRule type="cellIs" dxfId="23077" priority="14360" operator="equal">
      <formula>"PTO"</formula>
    </cfRule>
  </conditionalFormatting>
  <conditionalFormatting sqref="L35:L36">
    <cfRule type="cellIs" dxfId="23076" priority="14357" operator="equal">
      <formula>"OFF"</formula>
    </cfRule>
    <cfRule type="cellIs" dxfId="23075" priority="14358" operator="equal">
      <formula>"PTO"</formula>
    </cfRule>
  </conditionalFormatting>
  <conditionalFormatting sqref="L35:L36">
    <cfRule type="cellIs" dxfId="23074" priority="14355" operator="equal">
      <formula>"OFF"</formula>
    </cfRule>
    <cfRule type="cellIs" dxfId="23073" priority="14356" operator="equal">
      <formula>"PTO"</formula>
    </cfRule>
  </conditionalFormatting>
  <conditionalFormatting sqref="L35:L36">
    <cfRule type="cellIs" dxfId="23072" priority="14353" operator="equal">
      <formula>"OFF"</formula>
    </cfRule>
    <cfRule type="cellIs" dxfId="23071" priority="14354" operator="equal">
      <formula>"PTO"</formula>
    </cfRule>
  </conditionalFormatting>
  <conditionalFormatting sqref="L35:L36">
    <cfRule type="cellIs" dxfId="23070" priority="14351" operator="equal">
      <formula>"OFF"</formula>
    </cfRule>
    <cfRule type="cellIs" dxfId="23069" priority="14352" operator="equal">
      <formula>"PTO"</formula>
    </cfRule>
  </conditionalFormatting>
  <conditionalFormatting sqref="L38:L39">
    <cfRule type="cellIs" dxfId="23068" priority="14349" operator="equal">
      <formula>"OFF"</formula>
    </cfRule>
    <cfRule type="cellIs" dxfId="23067" priority="14350" operator="equal">
      <formula>"PTO"</formula>
    </cfRule>
  </conditionalFormatting>
  <conditionalFormatting sqref="L38:L39">
    <cfRule type="cellIs" dxfId="23066" priority="14347" operator="equal">
      <formula>"OFF"</formula>
    </cfRule>
    <cfRule type="cellIs" dxfId="23065" priority="14348" operator="equal">
      <formula>"PTO"</formula>
    </cfRule>
  </conditionalFormatting>
  <conditionalFormatting sqref="L38:L39">
    <cfRule type="cellIs" dxfId="23064" priority="14345" operator="equal">
      <formula>"OFF"</formula>
    </cfRule>
    <cfRule type="cellIs" dxfId="23063" priority="14346" operator="equal">
      <formula>"PTO"</formula>
    </cfRule>
  </conditionalFormatting>
  <conditionalFormatting sqref="L38:L39">
    <cfRule type="cellIs" dxfId="23062" priority="14343" operator="equal">
      <formula>"OFF"</formula>
    </cfRule>
    <cfRule type="cellIs" dxfId="23061" priority="14344" operator="equal">
      <formula>"PTO"</formula>
    </cfRule>
  </conditionalFormatting>
  <conditionalFormatting sqref="L38:L39">
    <cfRule type="cellIs" dxfId="23060" priority="14341" operator="equal">
      <formula>"OFF"</formula>
    </cfRule>
    <cfRule type="cellIs" dxfId="23059" priority="14342" operator="equal">
      <formula>"PTO"</formula>
    </cfRule>
  </conditionalFormatting>
  <conditionalFormatting sqref="L38:L39">
    <cfRule type="cellIs" dxfId="23058" priority="14339" operator="equal">
      <formula>"OFF"</formula>
    </cfRule>
    <cfRule type="cellIs" dxfId="23057" priority="14340" operator="equal">
      <formula>"PTO"</formula>
    </cfRule>
  </conditionalFormatting>
  <conditionalFormatting sqref="L38:L39">
    <cfRule type="cellIs" dxfId="23056" priority="14337" operator="equal">
      <formula>"OFF"</formula>
    </cfRule>
    <cfRule type="cellIs" dxfId="23055" priority="14338" operator="equal">
      <formula>"PTO"</formula>
    </cfRule>
  </conditionalFormatting>
  <conditionalFormatting sqref="L38:L39">
    <cfRule type="cellIs" dxfId="23054" priority="14335" operator="equal">
      <formula>"OFF"</formula>
    </cfRule>
    <cfRule type="cellIs" dxfId="23053" priority="14336" operator="equal">
      <formula>"PTO"</formula>
    </cfRule>
  </conditionalFormatting>
  <conditionalFormatting sqref="P26 P30 P32:P33 P35:P36 P38:P39">
    <cfRule type="cellIs" dxfId="23052" priority="14063" operator="equal">
      <formula>"OFF"</formula>
    </cfRule>
    <cfRule type="cellIs" dxfId="23051" priority="14064" operator="equal">
      <formula>"PTO"</formula>
    </cfRule>
  </conditionalFormatting>
  <conditionalFormatting sqref="P26">
    <cfRule type="cellIs" dxfId="23050" priority="14061" operator="equal">
      <formula>"OFF"</formula>
    </cfRule>
    <cfRule type="cellIs" dxfId="23049" priority="14062" operator="equal">
      <formula>"PTO"</formula>
    </cfRule>
  </conditionalFormatting>
  <conditionalFormatting sqref="P26">
    <cfRule type="cellIs" dxfId="23048" priority="14059" operator="equal">
      <formula>"OFF"</formula>
    </cfRule>
    <cfRule type="cellIs" dxfId="23047" priority="14060" operator="equal">
      <formula>"PTO"</formula>
    </cfRule>
  </conditionalFormatting>
  <conditionalFormatting sqref="P26">
    <cfRule type="cellIs" dxfId="23046" priority="14057" operator="equal">
      <formula>"OFF"</formula>
    </cfRule>
    <cfRule type="cellIs" dxfId="23045" priority="14058" operator="equal">
      <formula>"PTO"</formula>
    </cfRule>
  </conditionalFormatting>
  <conditionalFormatting sqref="P26">
    <cfRule type="cellIs" dxfId="23044" priority="14055" operator="equal">
      <formula>"OFF"</formula>
    </cfRule>
    <cfRule type="cellIs" dxfId="23043" priority="14056" operator="equal">
      <formula>"PTO"</formula>
    </cfRule>
  </conditionalFormatting>
  <conditionalFormatting sqref="P26">
    <cfRule type="cellIs" dxfId="23042" priority="14053" operator="equal">
      <formula>"OFF"</formula>
    </cfRule>
    <cfRule type="cellIs" dxfId="23041" priority="14054" operator="equal">
      <formula>"PTO"</formula>
    </cfRule>
  </conditionalFormatting>
  <conditionalFormatting sqref="P26">
    <cfRule type="cellIs" dxfId="23040" priority="14051" operator="equal">
      <formula>"OFF"</formula>
    </cfRule>
    <cfRule type="cellIs" dxfId="23039" priority="14052" operator="equal">
      <formula>"PTO"</formula>
    </cfRule>
  </conditionalFormatting>
  <conditionalFormatting sqref="P26">
    <cfRule type="cellIs" dxfId="23038" priority="14049" operator="equal">
      <formula>"OFF"</formula>
    </cfRule>
    <cfRule type="cellIs" dxfId="23037" priority="14050" operator="equal">
      <formula>"PTO"</formula>
    </cfRule>
  </conditionalFormatting>
  <conditionalFormatting sqref="P26">
    <cfRule type="cellIs" dxfId="23036" priority="14047" operator="equal">
      <formula>"OFF"</formula>
    </cfRule>
    <cfRule type="cellIs" dxfId="23035" priority="14048" operator="equal">
      <formula>"PTO"</formula>
    </cfRule>
  </conditionalFormatting>
  <conditionalFormatting sqref="P26">
    <cfRule type="cellIs" dxfId="23034" priority="14045" operator="equal">
      <formula>"OFF"</formula>
    </cfRule>
    <cfRule type="cellIs" dxfId="23033" priority="14046" operator="equal">
      <formula>"PTO"</formula>
    </cfRule>
  </conditionalFormatting>
  <conditionalFormatting sqref="P26 P30 P32:P33 P35:P36 P38:P39">
    <cfRule type="cellIs" dxfId="23032" priority="14043" operator="equal">
      <formula>"OFF"</formula>
    </cfRule>
    <cfRule type="cellIs" dxfId="23031" priority="14044" operator="equal">
      <formula>"PTO"</formula>
    </cfRule>
  </conditionalFormatting>
  <conditionalFormatting sqref="P26 P30 P32:P33 P35:P36 P38:P39">
    <cfRule type="cellIs" dxfId="23030" priority="14041" operator="equal">
      <formula>"OFF"</formula>
    </cfRule>
    <cfRule type="cellIs" dxfId="23029" priority="14042" operator="equal">
      <formula>"PTO"</formula>
    </cfRule>
  </conditionalFormatting>
  <conditionalFormatting sqref="P26 P30 P32:P33 P35:P36 P38:P39">
    <cfRule type="cellIs" dxfId="23028" priority="14039" operator="equal">
      <formula>"OFF"</formula>
    </cfRule>
    <cfRule type="cellIs" dxfId="23027" priority="14040" operator="equal">
      <formula>"PTO"</formula>
    </cfRule>
  </conditionalFormatting>
  <conditionalFormatting sqref="P26 P30 P32:P33 P35:P36 P38:P39">
    <cfRule type="cellIs" dxfId="23026" priority="14037" operator="equal">
      <formula>"OFF"</formula>
    </cfRule>
    <cfRule type="cellIs" dxfId="23025" priority="14038" operator="equal">
      <formula>"PTO"</formula>
    </cfRule>
  </conditionalFormatting>
  <conditionalFormatting sqref="P26 P30 P32:P33 P35:P36 P38:P39">
    <cfRule type="cellIs" dxfId="23024" priority="14035" operator="equal">
      <formula>"OFF"</formula>
    </cfRule>
    <cfRule type="cellIs" dxfId="23023" priority="14036" operator="equal">
      <formula>"PTO"</formula>
    </cfRule>
  </conditionalFormatting>
  <conditionalFormatting sqref="P26 P30 P32:P33 P35:P36 P38:P39">
    <cfRule type="cellIs" dxfId="23022" priority="14033" operator="equal">
      <formula>"OFF"</formula>
    </cfRule>
    <cfRule type="cellIs" dxfId="23021" priority="14034" operator="equal">
      <formula>"PTO"</formula>
    </cfRule>
  </conditionalFormatting>
  <conditionalFormatting sqref="P26 P30 P32:P33 P35:P36 P38:P39">
    <cfRule type="cellIs" dxfId="23020" priority="14031" operator="equal">
      <formula>"OFF"</formula>
    </cfRule>
    <cfRule type="cellIs" dxfId="23019" priority="14032" operator="equal">
      <formula>"PTO"</formula>
    </cfRule>
  </conditionalFormatting>
  <conditionalFormatting sqref="P26 P30 P32:P33 P35:P36 P38:P39">
    <cfRule type="cellIs" dxfId="23018" priority="14029" operator="equal">
      <formula>"OFF"</formula>
    </cfRule>
    <cfRule type="cellIs" dxfId="23017" priority="14030" operator="equal">
      <formula>"PTO"</formula>
    </cfRule>
  </conditionalFormatting>
  <conditionalFormatting sqref="P26 P30 P32:P33 P35:P36 P38:P39">
    <cfRule type="cellIs" dxfId="23016" priority="14027" operator="equal">
      <formula>"OFF"</formula>
    </cfRule>
    <cfRule type="cellIs" dxfId="23015" priority="14028" operator="equal">
      <formula>"PTO"</formula>
    </cfRule>
  </conditionalFormatting>
  <conditionalFormatting sqref="P26 P30 P32:P33 P35:P36 P38:P39">
    <cfRule type="cellIs" dxfId="23014" priority="14025" operator="equal">
      <formula>"OFF"</formula>
    </cfRule>
    <cfRule type="cellIs" dxfId="23013" priority="14026" operator="equal">
      <formula>"PTO"</formula>
    </cfRule>
  </conditionalFormatting>
  <conditionalFormatting sqref="P26 P30 P32:P33 P35:P36 P38:P39">
    <cfRule type="cellIs" dxfId="23012" priority="14023" operator="equal">
      <formula>"OFF"</formula>
    </cfRule>
    <cfRule type="cellIs" dxfId="23011" priority="14024" operator="equal">
      <formula>"PTO"</formula>
    </cfRule>
  </conditionalFormatting>
  <conditionalFormatting sqref="P26 P30 P32:P33 P35:P36 P38:P39">
    <cfRule type="cellIs" dxfId="23010" priority="14021" operator="equal">
      <formula>"OFF"</formula>
    </cfRule>
    <cfRule type="cellIs" dxfId="23009" priority="14022" operator="equal">
      <formula>"PTO"</formula>
    </cfRule>
  </conditionalFormatting>
  <conditionalFormatting sqref="P26 P30 P32:P33 P35:P36 P38:P39">
    <cfRule type="cellIs" dxfId="23008" priority="14019" operator="equal">
      <formula>"OFF"</formula>
    </cfRule>
    <cfRule type="cellIs" dxfId="23007" priority="14020" operator="equal">
      <formula>"PTO"</formula>
    </cfRule>
  </conditionalFormatting>
  <conditionalFormatting sqref="P26 P30 P32:P33 P35:P36 P38:P39">
    <cfRule type="cellIs" dxfId="23006" priority="14017" operator="equal">
      <formula>"OFF"</formula>
    </cfRule>
    <cfRule type="cellIs" dxfId="23005" priority="14018" operator="equal">
      <formula>"PTO"</formula>
    </cfRule>
  </conditionalFormatting>
  <conditionalFormatting sqref="P26 P30 P32:P33 P35:P36 P38:P39">
    <cfRule type="cellIs" dxfId="23004" priority="14015" operator="equal">
      <formula>"OFF"</formula>
    </cfRule>
    <cfRule type="cellIs" dxfId="23003" priority="14016" operator="equal">
      <formula>"PTO"</formula>
    </cfRule>
  </conditionalFormatting>
  <conditionalFormatting sqref="P26 P30 P32:P33 P35:P36 P38:P39">
    <cfRule type="cellIs" dxfId="23002" priority="14013" operator="equal">
      <formula>"OFF"</formula>
    </cfRule>
    <cfRule type="cellIs" dxfId="23001" priority="14014" operator="equal">
      <formula>"PTO"</formula>
    </cfRule>
  </conditionalFormatting>
  <conditionalFormatting sqref="P27:P28">
    <cfRule type="cellIs" dxfId="23000" priority="14011" operator="equal">
      <formula>"OFF"</formula>
    </cfRule>
    <cfRule type="cellIs" dxfId="22999" priority="14012" operator="equal">
      <formula>"PTO"</formula>
    </cfRule>
  </conditionalFormatting>
  <conditionalFormatting sqref="P27:P28">
    <cfRule type="cellIs" dxfId="22998" priority="14009" operator="equal">
      <formula>"OFF"</formula>
    </cfRule>
    <cfRule type="cellIs" dxfId="22997" priority="14010" operator="equal">
      <formula>"PTO"</formula>
    </cfRule>
  </conditionalFormatting>
  <conditionalFormatting sqref="P27:P28">
    <cfRule type="cellIs" dxfId="22996" priority="14007" operator="equal">
      <formula>"OFF"</formula>
    </cfRule>
    <cfRule type="cellIs" dxfId="22995" priority="14008" operator="equal">
      <formula>"PTO"</formula>
    </cfRule>
  </conditionalFormatting>
  <conditionalFormatting sqref="P27:P28">
    <cfRule type="cellIs" dxfId="22994" priority="14005" operator="equal">
      <formula>"OFF"</formula>
    </cfRule>
    <cfRule type="cellIs" dxfId="22993" priority="14006" operator="equal">
      <formula>"PTO"</formula>
    </cfRule>
  </conditionalFormatting>
  <conditionalFormatting sqref="P27:P28">
    <cfRule type="cellIs" dxfId="22992" priority="14003" operator="equal">
      <formula>"OFF"</formula>
    </cfRule>
    <cfRule type="cellIs" dxfId="22991" priority="14004" operator="equal">
      <formula>"PTO"</formula>
    </cfRule>
  </conditionalFormatting>
  <conditionalFormatting sqref="P27:P28">
    <cfRule type="cellIs" dxfId="22990" priority="14001" operator="equal">
      <formula>"OFF"</formula>
    </cfRule>
    <cfRule type="cellIs" dxfId="22989" priority="14002" operator="equal">
      <formula>"PTO"</formula>
    </cfRule>
  </conditionalFormatting>
  <conditionalFormatting sqref="P27:P28">
    <cfRule type="cellIs" dxfId="22988" priority="13999" operator="equal">
      <formula>"OFF"</formula>
    </cfRule>
    <cfRule type="cellIs" dxfId="22987" priority="14000" operator="equal">
      <formula>"PTO"</formula>
    </cfRule>
  </conditionalFormatting>
  <conditionalFormatting sqref="P27:P28">
    <cfRule type="cellIs" dxfId="22986" priority="13997" operator="equal">
      <formula>"OFF"</formula>
    </cfRule>
    <cfRule type="cellIs" dxfId="22985" priority="13998" operator="equal">
      <formula>"PTO"</formula>
    </cfRule>
  </conditionalFormatting>
  <conditionalFormatting sqref="P27:P28">
    <cfRule type="cellIs" dxfId="22984" priority="13995" operator="equal">
      <formula>"OFF"</formula>
    </cfRule>
    <cfRule type="cellIs" dxfId="22983" priority="13996" operator="equal">
      <formula>"PTO"</formula>
    </cfRule>
  </conditionalFormatting>
  <conditionalFormatting sqref="P27:P28">
    <cfRule type="cellIs" dxfId="22982" priority="13993" operator="equal">
      <formula>"OFF"</formula>
    </cfRule>
    <cfRule type="cellIs" dxfId="22981" priority="13994" operator="equal">
      <formula>"PTO"</formula>
    </cfRule>
  </conditionalFormatting>
  <conditionalFormatting sqref="P27:P28">
    <cfRule type="cellIs" dxfId="22980" priority="13991" operator="equal">
      <formula>"OFF"</formula>
    </cfRule>
    <cfRule type="cellIs" dxfId="22979" priority="13992" operator="equal">
      <formula>"PTO"</formula>
    </cfRule>
  </conditionalFormatting>
  <conditionalFormatting sqref="P27:P28">
    <cfRule type="cellIs" dxfId="22978" priority="13989" operator="equal">
      <formula>"OFF"</formula>
    </cfRule>
    <cfRule type="cellIs" dxfId="22977" priority="13990" operator="equal">
      <formula>"PTO"</formula>
    </cfRule>
  </conditionalFormatting>
  <conditionalFormatting sqref="P27:P28">
    <cfRule type="cellIs" dxfId="22976" priority="13987" operator="equal">
      <formula>"OFF"</formula>
    </cfRule>
    <cfRule type="cellIs" dxfId="22975" priority="13988" operator="equal">
      <formula>"PTO"</formula>
    </cfRule>
  </conditionalFormatting>
  <conditionalFormatting sqref="P27:P28">
    <cfRule type="cellIs" dxfId="22974" priority="13985" operator="equal">
      <formula>"OFF"</formula>
    </cfRule>
    <cfRule type="cellIs" dxfId="22973" priority="13986" operator="equal">
      <formula>"PTO"</formula>
    </cfRule>
  </conditionalFormatting>
  <conditionalFormatting sqref="P27:P28">
    <cfRule type="cellIs" dxfId="22972" priority="13983" operator="equal">
      <formula>"OFF"</formula>
    </cfRule>
    <cfRule type="cellIs" dxfId="22971" priority="13984" operator="equal">
      <formula>"PTO"</formula>
    </cfRule>
  </conditionalFormatting>
  <conditionalFormatting sqref="P27:P28">
    <cfRule type="cellIs" dxfId="22970" priority="13981" operator="equal">
      <formula>"OFF"</formula>
    </cfRule>
    <cfRule type="cellIs" dxfId="22969" priority="13982" operator="equal">
      <formula>"PTO"</formula>
    </cfRule>
  </conditionalFormatting>
  <conditionalFormatting sqref="P27:P28">
    <cfRule type="cellIs" dxfId="22968" priority="13979" operator="equal">
      <formula>"OFF"</formula>
    </cfRule>
    <cfRule type="cellIs" dxfId="22967" priority="13980" operator="equal">
      <formula>"PTO"</formula>
    </cfRule>
  </conditionalFormatting>
  <conditionalFormatting sqref="P27:P28">
    <cfRule type="cellIs" dxfId="22966" priority="13977" operator="equal">
      <formula>"OFF"</formula>
    </cfRule>
    <cfRule type="cellIs" dxfId="22965" priority="13978" operator="equal">
      <formula>"PTO"</formula>
    </cfRule>
  </conditionalFormatting>
  <conditionalFormatting sqref="P27:P28">
    <cfRule type="cellIs" dxfId="22964" priority="13975" operator="equal">
      <formula>"OFF"</formula>
    </cfRule>
    <cfRule type="cellIs" dxfId="22963" priority="13976" operator="equal">
      <formula>"PTO"</formula>
    </cfRule>
  </conditionalFormatting>
  <conditionalFormatting sqref="P27:P28">
    <cfRule type="cellIs" dxfId="22962" priority="13973" operator="equal">
      <formula>"OFF"</formula>
    </cfRule>
    <cfRule type="cellIs" dxfId="22961" priority="13974" operator="equal">
      <formula>"PTO"</formula>
    </cfRule>
  </conditionalFormatting>
  <conditionalFormatting sqref="P27:P28">
    <cfRule type="cellIs" dxfId="22960" priority="13971" operator="equal">
      <formula>"OFF"</formula>
    </cfRule>
    <cfRule type="cellIs" dxfId="22959" priority="13972" operator="equal">
      <formula>"PTO"</formula>
    </cfRule>
  </conditionalFormatting>
  <conditionalFormatting sqref="P27:P28">
    <cfRule type="cellIs" dxfId="22958" priority="13969" operator="equal">
      <formula>"OFF"</formula>
    </cfRule>
    <cfRule type="cellIs" dxfId="22957" priority="13970" operator="equal">
      <formula>"PTO"</formula>
    </cfRule>
  </conditionalFormatting>
  <conditionalFormatting sqref="P27:P28">
    <cfRule type="cellIs" dxfId="22956" priority="13967" operator="equal">
      <formula>"OFF"</formula>
    </cfRule>
    <cfRule type="cellIs" dxfId="22955" priority="13968" operator="equal">
      <formula>"PTO"</formula>
    </cfRule>
  </conditionalFormatting>
  <conditionalFormatting sqref="P27:P28">
    <cfRule type="cellIs" dxfId="22954" priority="13965" operator="equal">
      <formula>"OFF"</formula>
    </cfRule>
    <cfRule type="cellIs" dxfId="22953" priority="13966" operator="equal">
      <formula>"PTO"</formula>
    </cfRule>
  </conditionalFormatting>
  <conditionalFormatting sqref="P27:P28">
    <cfRule type="cellIs" dxfId="22952" priority="13963" operator="equal">
      <formula>"OFF"</formula>
    </cfRule>
    <cfRule type="cellIs" dxfId="22951" priority="13964" operator="equal">
      <formula>"PTO"</formula>
    </cfRule>
  </conditionalFormatting>
  <conditionalFormatting sqref="P27:P28">
    <cfRule type="cellIs" dxfId="22950" priority="13961" operator="equal">
      <formula>"OFF"</formula>
    </cfRule>
    <cfRule type="cellIs" dxfId="22949" priority="13962" operator="equal">
      <formula>"PTO"</formula>
    </cfRule>
  </conditionalFormatting>
  <conditionalFormatting sqref="P30">
    <cfRule type="cellIs" dxfId="22948" priority="13959" operator="equal">
      <formula>"OFF"</formula>
    </cfRule>
    <cfRule type="cellIs" dxfId="22947" priority="13960" operator="equal">
      <formula>"PTO"</formula>
    </cfRule>
  </conditionalFormatting>
  <conditionalFormatting sqref="P30">
    <cfRule type="cellIs" dxfId="22946" priority="13957" operator="equal">
      <formula>"OFF"</formula>
    </cfRule>
    <cfRule type="cellIs" dxfId="22945" priority="13958" operator="equal">
      <formula>"PTO"</formula>
    </cfRule>
  </conditionalFormatting>
  <conditionalFormatting sqref="P30">
    <cfRule type="cellIs" dxfId="22944" priority="13955" operator="equal">
      <formula>"OFF"</formula>
    </cfRule>
    <cfRule type="cellIs" dxfId="22943" priority="13956" operator="equal">
      <formula>"PTO"</formula>
    </cfRule>
  </conditionalFormatting>
  <conditionalFormatting sqref="P30">
    <cfRule type="cellIs" dxfId="22942" priority="13953" operator="equal">
      <formula>"OFF"</formula>
    </cfRule>
    <cfRule type="cellIs" dxfId="22941" priority="13954" operator="equal">
      <formula>"PTO"</formula>
    </cfRule>
  </conditionalFormatting>
  <conditionalFormatting sqref="P30">
    <cfRule type="cellIs" dxfId="22940" priority="13951" operator="equal">
      <formula>"OFF"</formula>
    </cfRule>
    <cfRule type="cellIs" dxfId="22939" priority="13952" operator="equal">
      <formula>"PTO"</formula>
    </cfRule>
  </conditionalFormatting>
  <conditionalFormatting sqref="P30">
    <cfRule type="cellIs" dxfId="22938" priority="13949" operator="equal">
      <formula>"OFF"</formula>
    </cfRule>
    <cfRule type="cellIs" dxfId="22937" priority="13950" operator="equal">
      <formula>"PTO"</formula>
    </cfRule>
  </conditionalFormatting>
  <conditionalFormatting sqref="P30">
    <cfRule type="cellIs" dxfId="22936" priority="13947" operator="equal">
      <formula>"OFF"</formula>
    </cfRule>
    <cfRule type="cellIs" dxfId="22935" priority="13948" operator="equal">
      <formula>"PTO"</formula>
    </cfRule>
  </conditionalFormatting>
  <conditionalFormatting sqref="P30">
    <cfRule type="cellIs" dxfId="22934" priority="13945" operator="equal">
      <formula>"OFF"</formula>
    </cfRule>
    <cfRule type="cellIs" dxfId="22933" priority="13946" operator="equal">
      <formula>"PTO"</formula>
    </cfRule>
  </conditionalFormatting>
  <conditionalFormatting sqref="P30">
    <cfRule type="cellIs" dxfId="22932" priority="13943" operator="equal">
      <formula>"OFF"</formula>
    </cfRule>
    <cfRule type="cellIs" dxfId="22931" priority="13944" operator="equal">
      <formula>"PTO"</formula>
    </cfRule>
  </conditionalFormatting>
  <conditionalFormatting sqref="P32:P33">
    <cfRule type="cellIs" dxfId="22930" priority="13941" operator="equal">
      <formula>"OFF"</formula>
    </cfRule>
    <cfRule type="cellIs" dxfId="22929" priority="13942" operator="equal">
      <formula>"PTO"</formula>
    </cfRule>
  </conditionalFormatting>
  <conditionalFormatting sqref="P32:P33">
    <cfRule type="cellIs" dxfId="22928" priority="13939" operator="equal">
      <formula>"OFF"</formula>
    </cfRule>
    <cfRule type="cellIs" dxfId="22927" priority="13940" operator="equal">
      <formula>"PTO"</formula>
    </cfRule>
  </conditionalFormatting>
  <conditionalFormatting sqref="P32:P33">
    <cfRule type="cellIs" dxfId="22926" priority="13937" operator="equal">
      <formula>"OFF"</formula>
    </cfRule>
    <cfRule type="cellIs" dxfId="22925" priority="13938" operator="equal">
      <formula>"PTO"</formula>
    </cfRule>
  </conditionalFormatting>
  <conditionalFormatting sqref="P32:P33">
    <cfRule type="cellIs" dxfId="22924" priority="13935" operator="equal">
      <formula>"OFF"</formula>
    </cfRule>
    <cfRule type="cellIs" dxfId="22923" priority="13936" operator="equal">
      <formula>"PTO"</formula>
    </cfRule>
  </conditionalFormatting>
  <conditionalFormatting sqref="P32:P33">
    <cfRule type="cellIs" dxfId="22922" priority="13933" operator="equal">
      <formula>"OFF"</formula>
    </cfRule>
    <cfRule type="cellIs" dxfId="22921" priority="13934" operator="equal">
      <formula>"PTO"</formula>
    </cfRule>
  </conditionalFormatting>
  <conditionalFormatting sqref="P32:P33">
    <cfRule type="cellIs" dxfId="22920" priority="13931" operator="equal">
      <formula>"OFF"</formula>
    </cfRule>
    <cfRule type="cellIs" dxfId="22919" priority="13932" operator="equal">
      <formula>"PTO"</formula>
    </cfRule>
  </conditionalFormatting>
  <conditionalFormatting sqref="P32:P33">
    <cfRule type="cellIs" dxfId="22918" priority="13929" operator="equal">
      <formula>"OFF"</formula>
    </cfRule>
    <cfRule type="cellIs" dxfId="22917" priority="13930" operator="equal">
      <formula>"PTO"</formula>
    </cfRule>
  </conditionalFormatting>
  <conditionalFormatting sqref="P32:P33">
    <cfRule type="cellIs" dxfId="22916" priority="13927" operator="equal">
      <formula>"OFF"</formula>
    </cfRule>
    <cfRule type="cellIs" dxfId="22915" priority="13928" operator="equal">
      <formula>"PTO"</formula>
    </cfRule>
  </conditionalFormatting>
  <conditionalFormatting sqref="P32:P33">
    <cfRule type="cellIs" dxfId="22914" priority="13925" operator="equal">
      <formula>"OFF"</formula>
    </cfRule>
    <cfRule type="cellIs" dxfId="22913" priority="13926" operator="equal">
      <formula>"PTO"</formula>
    </cfRule>
  </conditionalFormatting>
  <conditionalFormatting sqref="P35:P36">
    <cfRule type="cellIs" dxfId="22912" priority="13923" operator="equal">
      <formula>"OFF"</formula>
    </cfRule>
    <cfRule type="cellIs" dxfId="22911" priority="13924" operator="equal">
      <formula>"PTO"</formula>
    </cfRule>
  </conditionalFormatting>
  <conditionalFormatting sqref="P35:P36">
    <cfRule type="cellIs" dxfId="22910" priority="13921" operator="equal">
      <formula>"OFF"</formula>
    </cfRule>
    <cfRule type="cellIs" dxfId="22909" priority="13922" operator="equal">
      <formula>"PTO"</formula>
    </cfRule>
  </conditionalFormatting>
  <conditionalFormatting sqref="P35:P36">
    <cfRule type="cellIs" dxfId="22908" priority="13919" operator="equal">
      <formula>"OFF"</formula>
    </cfRule>
    <cfRule type="cellIs" dxfId="22907" priority="13920" operator="equal">
      <formula>"PTO"</formula>
    </cfRule>
  </conditionalFormatting>
  <conditionalFormatting sqref="P35:P36">
    <cfRule type="cellIs" dxfId="22906" priority="13917" operator="equal">
      <formula>"OFF"</formula>
    </cfRule>
    <cfRule type="cellIs" dxfId="22905" priority="13918" operator="equal">
      <formula>"PTO"</formula>
    </cfRule>
  </conditionalFormatting>
  <conditionalFormatting sqref="P35:P36">
    <cfRule type="cellIs" dxfId="22904" priority="13915" operator="equal">
      <formula>"OFF"</formula>
    </cfRule>
    <cfRule type="cellIs" dxfId="22903" priority="13916" operator="equal">
      <formula>"PTO"</formula>
    </cfRule>
  </conditionalFormatting>
  <conditionalFormatting sqref="P35:P36">
    <cfRule type="cellIs" dxfId="22902" priority="13913" operator="equal">
      <formula>"OFF"</formula>
    </cfRule>
    <cfRule type="cellIs" dxfId="22901" priority="13914" operator="equal">
      <formula>"PTO"</formula>
    </cfRule>
  </conditionalFormatting>
  <conditionalFormatting sqref="P35:P36">
    <cfRule type="cellIs" dxfId="22900" priority="13911" operator="equal">
      <formula>"OFF"</formula>
    </cfRule>
    <cfRule type="cellIs" dxfId="22899" priority="13912" operator="equal">
      <formula>"PTO"</formula>
    </cfRule>
  </conditionalFormatting>
  <conditionalFormatting sqref="P35:P36">
    <cfRule type="cellIs" dxfId="22898" priority="13909" operator="equal">
      <formula>"OFF"</formula>
    </cfRule>
    <cfRule type="cellIs" dxfId="22897" priority="13910" operator="equal">
      <formula>"PTO"</formula>
    </cfRule>
  </conditionalFormatting>
  <conditionalFormatting sqref="P35:P36">
    <cfRule type="cellIs" dxfId="22896" priority="13907" operator="equal">
      <formula>"OFF"</formula>
    </cfRule>
    <cfRule type="cellIs" dxfId="22895" priority="13908" operator="equal">
      <formula>"PTO"</formula>
    </cfRule>
  </conditionalFormatting>
  <conditionalFormatting sqref="P38:P39">
    <cfRule type="cellIs" dxfId="22894" priority="13905" operator="equal">
      <formula>"OFF"</formula>
    </cfRule>
    <cfRule type="cellIs" dxfId="22893" priority="13906" operator="equal">
      <formula>"PTO"</formula>
    </cfRule>
  </conditionalFormatting>
  <conditionalFormatting sqref="P38:P39">
    <cfRule type="cellIs" dxfId="22892" priority="13903" operator="equal">
      <formula>"OFF"</formula>
    </cfRule>
    <cfRule type="cellIs" dxfId="22891" priority="13904" operator="equal">
      <formula>"PTO"</formula>
    </cfRule>
  </conditionalFormatting>
  <conditionalFormatting sqref="P38:P39">
    <cfRule type="cellIs" dxfId="22890" priority="13901" operator="equal">
      <formula>"OFF"</formula>
    </cfRule>
    <cfRule type="cellIs" dxfId="22889" priority="13902" operator="equal">
      <formula>"PTO"</formula>
    </cfRule>
  </conditionalFormatting>
  <conditionalFormatting sqref="P38:P39">
    <cfRule type="cellIs" dxfId="22888" priority="13899" operator="equal">
      <formula>"OFF"</formula>
    </cfRule>
    <cfRule type="cellIs" dxfId="22887" priority="13900" operator="equal">
      <formula>"PTO"</formula>
    </cfRule>
  </conditionalFormatting>
  <conditionalFormatting sqref="P38:P39">
    <cfRule type="cellIs" dxfId="22886" priority="13897" operator="equal">
      <formula>"OFF"</formula>
    </cfRule>
    <cfRule type="cellIs" dxfId="22885" priority="13898" operator="equal">
      <formula>"PTO"</formula>
    </cfRule>
  </conditionalFormatting>
  <conditionalFormatting sqref="P38:P39">
    <cfRule type="cellIs" dxfId="22884" priority="13895" operator="equal">
      <formula>"OFF"</formula>
    </cfRule>
    <cfRule type="cellIs" dxfId="22883" priority="13896" operator="equal">
      <formula>"PTO"</formula>
    </cfRule>
  </conditionalFormatting>
  <conditionalFormatting sqref="P38:P39">
    <cfRule type="cellIs" dxfId="22882" priority="13893" operator="equal">
      <formula>"OFF"</formula>
    </cfRule>
    <cfRule type="cellIs" dxfId="22881" priority="13894" operator="equal">
      <formula>"PTO"</formula>
    </cfRule>
  </conditionalFormatting>
  <conditionalFormatting sqref="P38:P39">
    <cfRule type="cellIs" dxfId="22880" priority="13891" operator="equal">
      <formula>"OFF"</formula>
    </cfRule>
    <cfRule type="cellIs" dxfId="22879" priority="13892" operator="equal">
      <formula>"PTO"</formula>
    </cfRule>
  </conditionalFormatting>
  <conditionalFormatting sqref="P38:P39">
    <cfRule type="cellIs" dxfId="22878" priority="13889" operator="equal">
      <formula>"OFF"</formula>
    </cfRule>
    <cfRule type="cellIs" dxfId="22877" priority="13890" operator="equal">
      <formula>"PTO"</formula>
    </cfRule>
  </conditionalFormatting>
  <conditionalFormatting sqref="F30">
    <cfRule type="cellIs" dxfId="22876" priority="9045" operator="equal">
      <formula>"OFF"</formula>
    </cfRule>
    <cfRule type="cellIs" dxfId="22875" priority="9046" operator="equal">
      <formula>"PTO"</formula>
    </cfRule>
  </conditionalFormatting>
  <conditionalFormatting sqref="F30">
    <cfRule type="cellIs" dxfId="22874" priority="9043" operator="equal">
      <formula>"OFF"</formula>
    </cfRule>
    <cfRule type="cellIs" dxfId="22873" priority="9044" operator="equal">
      <formula>"PTO"</formula>
    </cfRule>
  </conditionalFormatting>
  <conditionalFormatting sqref="F30">
    <cfRule type="cellIs" dxfId="22872" priority="9041" operator="equal">
      <formula>"OFF"</formula>
    </cfRule>
    <cfRule type="cellIs" dxfId="22871" priority="9042" operator="equal">
      <formula>"PTO"</formula>
    </cfRule>
  </conditionalFormatting>
  <conditionalFormatting sqref="F30">
    <cfRule type="cellIs" dxfId="22870" priority="9039" operator="equal">
      <formula>"OFF"</formula>
    </cfRule>
    <cfRule type="cellIs" dxfId="22869" priority="9040" operator="equal">
      <formula>"PTO"</formula>
    </cfRule>
  </conditionalFormatting>
  <conditionalFormatting sqref="F30">
    <cfRule type="cellIs" dxfId="22868" priority="9037" operator="equal">
      <formula>"OFF"</formula>
    </cfRule>
    <cfRule type="cellIs" dxfId="22867" priority="9038" operator="equal">
      <formula>"PTO"</formula>
    </cfRule>
  </conditionalFormatting>
  <conditionalFormatting sqref="F30">
    <cfRule type="cellIs" dxfId="22866" priority="9035" operator="equal">
      <formula>"OFF"</formula>
    </cfRule>
    <cfRule type="cellIs" dxfId="22865" priority="9036" operator="equal">
      <formula>"PTO"</formula>
    </cfRule>
  </conditionalFormatting>
  <conditionalFormatting sqref="F30">
    <cfRule type="cellIs" dxfId="22864" priority="9033" operator="equal">
      <formula>"OFF"</formula>
    </cfRule>
    <cfRule type="cellIs" dxfId="22863" priority="9034" operator="equal">
      <formula>"PTO"</formula>
    </cfRule>
  </conditionalFormatting>
  <conditionalFormatting sqref="F30">
    <cfRule type="cellIs" dxfId="22862" priority="9031" operator="equal">
      <formula>"OFF"</formula>
    </cfRule>
    <cfRule type="cellIs" dxfId="22861" priority="9032" operator="equal">
      <formula>"PTO"</formula>
    </cfRule>
  </conditionalFormatting>
  <conditionalFormatting sqref="F30">
    <cfRule type="cellIs" dxfId="22860" priority="9029" operator="equal">
      <formula>"OFF"</formula>
    </cfRule>
    <cfRule type="cellIs" dxfId="22859" priority="9030" operator="equal">
      <formula>"PTO"</formula>
    </cfRule>
  </conditionalFormatting>
  <conditionalFormatting sqref="F30">
    <cfRule type="cellIs" dxfId="22858" priority="9027" operator="equal">
      <formula>"OFF"</formula>
    </cfRule>
    <cfRule type="cellIs" dxfId="22857" priority="9028" operator="equal">
      <formula>"PTO"</formula>
    </cfRule>
  </conditionalFormatting>
  <conditionalFormatting sqref="F30">
    <cfRule type="cellIs" dxfId="22856" priority="9025" operator="equal">
      <formula>"OFF"</formula>
    </cfRule>
    <cfRule type="cellIs" dxfId="22855" priority="9026" operator="equal">
      <formula>"PTO"</formula>
    </cfRule>
  </conditionalFormatting>
  <conditionalFormatting sqref="F30">
    <cfRule type="cellIs" dxfId="22854" priority="9023" operator="equal">
      <formula>"OFF"</formula>
    </cfRule>
    <cfRule type="cellIs" dxfId="22853" priority="9024" operator="equal">
      <formula>"PTO"</formula>
    </cfRule>
  </conditionalFormatting>
  <conditionalFormatting sqref="F30">
    <cfRule type="cellIs" dxfId="22852" priority="9021" operator="equal">
      <formula>"OFF"</formula>
    </cfRule>
    <cfRule type="cellIs" dxfId="22851" priority="9022" operator="equal">
      <formula>"PTO"</formula>
    </cfRule>
  </conditionalFormatting>
  <conditionalFormatting sqref="F30">
    <cfRule type="cellIs" dxfId="22850" priority="9019" operator="equal">
      <formula>"OFF"</formula>
    </cfRule>
    <cfRule type="cellIs" dxfId="22849" priority="9020" operator="equal">
      <formula>"PTO"</formula>
    </cfRule>
  </conditionalFormatting>
  <conditionalFormatting sqref="F30">
    <cfRule type="cellIs" dxfId="22848" priority="9017" operator="equal">
      <formula>"OFF"</formula>
    </cfRule>
    <cfRule type="cellIs" dxfId="22847" priority="9018" operator="equal">
      <formula>"PTO"</formula>
    </cfRule>
  </conditionalFormatting>
  <conditionalFormatting sqref="F30">
    <cfRule type="cellIs" dxfId="22846" priority="9015" operator="equal">
      <formula>"OFF"</formula>
    </cfRule>
    <cfRule type="cellIs" dxfId="22845" priority="9016" operator="equal">
      <formula>"PTO"</formula>
    </cfRule>
  </conditionalFormatting>
  <conditionalFormatting sqref="F30">
    <cfRule type="cellIs" dxfId="22844" priority="9013" operator="equal">
      <formula>"OFF"</formula>
    </cfRule>
    <cfRule type="cellIs" dxfId="22843" priority="9014" operator="equal">
      <formula>"PTO"</formula>
    </cfRule>
  </conditionalFormatting>
  <conditionalFormatting sqref="F30">
    <cfRule type="cellIs" dxfId="22842" priority="9011" operator="equal">
      <formula>"OFF"</formula>
    </cfRule>
    <cfRule type="cellIs" dxfId="22841" priority="9012" operator="equal">
      <formula>"PTO"</formula>
    </cfRule>
  </conditionalFormatting>
  <conditionalFormatting sqref="F30">
    <cfRule type="cellIs" dxfId="22840" priority="9009" operator="equal">
      <formula>"OFF"</formula>
    </cfRule>
    <cfRule type="cellIs" dxfId="22839" priority="9010" operator="equal">
      <formula>"PTO"</formula>
    </cfRule>
  </conditionalFormatting>
  <conditionalFormatting sqref="F30">
    <cfRule type="cellIs" dxfId="22838" priority="9007" operator="equal">
      <formula>"OFF"</formula>
    </cfRule>
    <cfRule type="cellIs" dxfId="22837" priority="9008" operator="equal">
      <formula>"PTO"</formula>
    </cfRule>
  </conditionalFormatting>
  <conditionalFormatting sqref="F30">
    <cfRule type="cellIs" dxfId="22836" priority="9005" operator="equal">
      <formula>"OFF"</formula>
    </cfRule>
    <cfRule type="cellIs" dxfId="22835" priority="9006" operator="equal">
      <formula>"PTO"</formula>
    </cfRule>
  </conditionalFormatting>
  <conditionalFormatting sqref="F30">
    <cfRule type="cellIs" dxfId="22834" priority="9003" operator="equal">
      <formula>"OFF"</formula>
    </cfRule>
    <cfRule type="cellIs" dxfId="22833" priority="9004" operator="equal">
      <formula>"PTO"</formula>
    </cfRule>
  </conditionalFormatting>
  <conditionalFormatting sqref="F30">
    <cfRule type="cellIs" dxfId="22832" priority="9001" operator="equal">
      <formula>"OFF"</formula>
    </cfRule>
    <cfRule type="cellIs" dxfId="22831" priority="9002" operator="equal">
      <formula>"PTO"</formula>
    </cfRule>
  </conditionalFormatting>
  <conditionalFormatting sqref="F30">
    <cfRule type="cellIs" dxfId="22830" priority="8999" operator="equal">
      <formula>"OFF"</formula>
    </cfRule>
    <cfRule type="cellIs" dxfId="22829" priority="9000" operator="equal">
      <formula>"PTO"</formula>
    </cfRule>
  </conditionalFormatting>
  <conditionalFormatting sqref="F30">
    <cfRule type="cellIs" dxfId="22828" priority="8997" operator="equal">
      <formula>"OFF"</formula>
    </cfRule>
    <cfRule type="cellIs" dxfId="22827" priority="8998" operator="equal">
      <formula>"PTO"</formula>
    </cfRule>
  </conditionalFormatting>
  <conditionalFormatting sqref="F30">
    <cfRule type="cellIs" dxfId="22826" priority="8995" operator="equal">
      <formula>"OFF"</formula>
    </cfRule>
    <cfRule type="cellIs" dxfId="22825" priority="8996" operator="equal">
      <formula>"PTO"</formula>
    </cfRule>
  </conditionalFormatting>
  <conditionalFormatting sqref="F30">
    <cfRule type="cellIs" dxfId="22824" priority="8993" operator="equal">
      <formula>"OFF"</formula>
    </cfRule>
    <cfRule type="cellIs" dxfId="22823" priority="8994" operator="equal">
      <formula>"PTO"</formula>
    </cfRule>
  </conditionalFormatting>
  <conditionalFormatting sqref="F30">
    <cfRule type="cellIs" dxfId="22822" priority="8991" operator="equal">
      <formula>"OFF"</formula>
    </cfRule>
    <cfRule type="cellIs" dxfId="22821" priority="8992" operator="equal">
      <formula>"PTO"</formula>
    </cfRule>
  </conditionalFormatting>
  <conditionalFormatting sqref="F30">
    <cfRule type="cellIs" dxfId="22820" priority="8989" operator="equal">
      <formula>"OFF"</formula>
    </cfRule>
    <cfRule type="cellIs" dxfId="22819" priority="8990" operator="equal">
      <formula>"PTO"</formula>
    </cfRule>
  </conditionalFormatting>
  <conditionalFormatting sqref="F30">
    <cfRule type="cellIs" dxfId="22818" priority="8987" operator="equal">
      <formula>"OFF"</formula>
    </cfRule>
    <cfRule type="cellIs" dxfId="22817" priority="8988" operator="equal">
      <formula>"PTO"</formula>
    </cfRule>
  </conditionalFormatting>
  <conditionalFormatting sqref="F30">
    <cfRule type="cellIs" dxfId="22816" priority="8985" operator="equal">
      <formula>"OFF"</formula>
    </cfRule>
    <cfRule type="cellIs" dxfId="22815" priority="8986" operator="equal">
      <formula>"PTO"</formula>
    </cfRule>
  </conditionalFormatting>
  <conditionalFormatting sqref="F30">
    <cfRule type="cellIs" dxfId="22814" priority="8983" operator="equal">
      <formula>"OFF"</formula>
    </cfRule>
    <cfRule type="cellIs" dxfId="22813" priority="8984" operator="equal">
      <formula>"PTO"</formula>
    </cfRule>
  </conditionalFormatting>
  <conditionalFormatting sqref="F30">
    <cfRule type="cellIs" dxfId="22812" priority="8981" operator="equal">
      <formula>"OFF"</formula>
    </cfRule>
    <cfRule type="cellIs" dxfId="22811" priority="8982" operator="equal">
      <formula>"PTO"</formula>
    </cfRule>
  </conditionalFormatting>
  <conditionalFormatting sqref="F30">
    <cfRule type="cellIs" dxfId="22810" priority="8979" operator="equal">
      <formula>"OFF"</formula>
    </cfRule>
    <cfRule type="cellIs" dxfId="22809" priority="8980" operator="equal">
      <formula>"PTO"</formula>
    </cfRule>
  </conditionalFormatting>
  <conditionalFormatting sqref="F30">
    <cfRule type="cellIs" dxfId="22808" priority="8977" operator="equal">
      <formula>"OFF"</formula>
    </cfRule>
    <cfRule type="cellIs" dxfId="22807" priority="8978" operator="equal">
      <formula>"PTO"</formula>
    </cfRule>
  </conditionalFormatting>
  <conditionalFormatting sqref="F30">
    <cfRule type="cellIs" dxfId="22806" priority="8975" operator="equal">
      <formula>"OFF"</formula>
    </cfRule>
    <cfRule type="cellIs" dxfId="22805" priority="8976" operator="equal">
      <formula>"PTO"</formula>
    </cfRule>
  </conditionalFormatting>
  <conditionalFormatting sqref="F30">
    <cfRule type="cellIs" dxfId="22804" priority="8973" operator="equal">
      <formula>"OFF"</formula>
    </cfRule>
    <cfRule type="cellIs" dxfId="22803" priority="8974" operator="equal">
      <formula>"PTO"</formula>
    </cfRule>
  </conditionalFormatting>
  <conditionalFormatting sqref="F30">
    <cfRule type="cellIs" dxfId="22802" priority="8971" operator="equal">
      <formula>"OFF"</formula>
    </cfRule>
    <cfRule type="cellIs" dxfId="22801" priority="8972" operator="equal">
      <formula>"PTO"</formula>
    </cfRule>
  </conditionalFormatting>
  <conditionalFormatting sqref="F30">
    <cfRule type="cellIs" dxfId="22800" priority="8969" operator="equal">
      <formula>"OFF"</formula>
    </cfRule>
    <cfRule type="cellIs" dxfId="22799" priority="8970" operator="equal">
      <formula>"PTO"</formula>
    </cfRule>
  </conditionalFormatting>
  <conditionalFormatting sqref="F30">
    <cfRule type="cellIs" dxfId="22798" priority="8967" operator="equal">
      <formula>"OFF"</formula>
    </cfRule>
    <cfRule type="cellIs" dxfId="22797" priority="8968" operator="equal">
      <formula>"PTO"</formula>
    </cfRule>
  </conditionalFormatting>
  <conditionalFormatting sqref="F30">
    <cfRule type="cellIs" dxfId="22796" priority="8965" operator="equal">
      <formula>"OFF"</formula>
    </cfRule>
    <cfRule type="cellIs" dxfId="22795" priority="8966" operator="equal">
      <formula>"PTO"</formula>
    </cfRule>
  </conditionalFormatting>
  <conditionalFormatting sqref="F30">
    <cfRule type="cellIs" dxfId="22794" priority="8963" operator="equal">
      <formula>"OFF"</formula>
    </cfRule>
    <cfRule type="cellIs" dxfId="22793" priority="8964" operator="equal">
      <formula>"PTO"</formula>
    </cfRule>
  </conditionalFormatting>
  <conditionalFormatting sqref="F30">
    <cfRule type="cellIs" dxfId="22792" priority="8961" operator="equal">
      <formula>"OFF"</formula>
    </cfRule>
    <cfRule type="cellIs" dxfId="22791" priority="8962" operator="equal">
      <formula>"PTO"</formula>
    </cfRule>
  </conditionalFormatting>
  <conditionalFormatting sqref="F30">
    <cfRule type="cellIs" dxfId="22790" priority="8959" operator="equal">
      <formula>"OFF"</formula>
    </cfRule>
    <cfRule type="cellIs" dxfId="22789" priority="8960" operator="equal">
      <formula>"PTO"</formula>
    </cfRule>
  </conditionalFormatting>
  <conditionalFormatting sqref="F30">
    <cfRule type="cellIs" dxfId="22788" priority="8957" operator="equal">
      <formula>"OFF"</formula>
    </cfRule>
    <cfRule type="cellIs" dxfId="22787" priority="8958" operator="equal">
      <formula>"PTO"</formula>
    </cfRule>
  </conditionalFormatting>
  <conditionalFormatting sqref="F30">
    <cfRule type="cellIs" dxfId="22786" priority="8955" operator="equal">
      <formula>"OFF"</formula>
    </cfRule>
    <cfRule type="cellIs" dxfId="22785" priority="8956" operator="equal">
      <formula>"PTO"</formula>
    </cfRule>
  </conditionalFormatting>
  <conditionalFormatting sqref="F30">
    <cfRule type="cellIs" dxfId="22784" priority="8953" operator="equal">
      <formula>"OFF"</formula>
    </cfRule>
    <cfRule type="cellIs" dxfId="22783" priority="8954" operator="equal">
      <formula>"PTO"</formula>
    </cfRule>
  </conditionalFormatting>
  <conditionalFormatting sqref="F30">
    <cfRule type="cellIs" dxfId="22782" priority="8951" operator="equal">
      <formula>"OFF"</formula>
    </cfRule>
    <cfRule type="cellIs" dxfId="22781" priority="8952" operator="equal">
      <formula>"PTO"</formula>
    </cfRule>
  </conditionalFormatting>
  <conditionalFormatting sqref="F30">
    <cfRule type="cellIs" dxfId="22780" priority="8949" operator="equal">
      <formula>"OFF"</formula>
    </cfRule>
    <cfRule type="cellIs" dxfId="22779" priority="8950" operator="equal">
      <formula>"PTO"</formula>
    </cfRule>
  </conditionalFormatting>
  <conditionalFormatting sqref="F30">
    <cfRule type="cellIs" dxfId="22778" priority="8947" operator="equal">
      <formula>"OFF"</formula>
    </cfRule>
    <cfRule type="cellIs" dxfId="22777" priority="8948" operator="equal">
      <formula>"PTO"</formula>
    </cfRule>
  </conditionalFormatting>
  <conditionalFormatting sqref="F30">
    <cfRule type="cellIs" dxfId="22776" priority="8945" operator="equal">
      <formula>"OFF"</formula>
    </cfRule>
    <cfRule type="cellIs" dxfId="22775" priority="8946" operator="equal">
      <formula>"PTO"</formula>
    </cfRule>
  </conditionalFormatting>
  <conditionalFormatting sqref="F30">
    <cfRule type="cellIs" dxfId="22774" priority="8943" operator="equal">
      <formula>"OFF"</formula>
    </cfRule>
    <cfRule type="cellIs" dxfId="22773" priority="8944" operator="equal">
      <formula>"PTO"</formula>
    </cfRule>
  </conditionalFormatting>
  <conditionalFormatting sqref="F30">
    <cfRule type="cellIs" dxfId="22772" priority="8941" operator="equal">
      <formula>"OFF"</formula>
    </cfRule>
    <cfRule type="cellIs" dxfId="22771" priority="8942" operator="equal">
      <formula>"PTO"</formula>
    </cfRule>
  </conditionalFormatting>
  <conditionalFormatting sqref="F30">
    <cfRule type="cellIs" dxfId="22770" priority="8939" operator="equal">
      <formula>"OFF"</formula>
    </cfRule>
    <cfRule type="cellIs" dxfId="22769" priority="8940" operator="equal">
      <formula>"PTO"</formula>
    </cfRule>
  </conditionalFormatting>
  <conditionalFormatting sqref="F30">
    <cfRule type="cellIs" dxfId="22768" priority="8937" operator="equal">
      <formula>"OFF"</formula>
    </cfRule>
    <cfRule type="cellIs" dxfId="22767" priority="8938" operator="equal">
      <formula>"PTO"</formula>
    </cfRule>
  </conditionalFormatting>
  <conditionalFormatting sqref="F30">
    <cfRule type="cellIs" dxfId="22766" priority="8935" operator="equal">
      <formula>"OFF"</formula>
    </cfRule>
    <cfRule type="cellIs" dxfId="22765" priority="8936" operator="equal">
      <formula>"PTO"</formula>
    </cfRule>
  </conditionalFormatting>
  <conditionalFormatting sqref="F30">
    <cfRule type="cellIs" dxfId="22764" priority="8933" operator="equal">
      <formula>"OFF"</formula>
    </cfRule>
    <cfRule type="cellIs" dxfId="22763" priority="8934" operator="equal">
      <formula>"PTO"</formula>
    </cfRule>
  </conditionalFormatting>
  <conditionalFormatting sqref="F30">
    <cfRule type="cellIs" dxfId="22762" priority="8931" operator="equal">
      <formula>"OFF"</formula>
    </cfRule>
    <cfRule type="cellIs" dxfId="22761" priority="8932" operator="equal">
      <formula>"PTO"</formula>
    </cfRule>
  </conditionalFormatting>
  <conditionalFormatting sqref="F30">
    <cfRule type="cellIs" dxfId="22760" priority="8929" operator="equal">
      <formula>"OFF"</formula>
    </cfRule>
    <cfRule type="cellIs" dxfId="22759" priority="8930" operator="equal">
      <formula>"PTO"</formula>
    </cfRule>
  </conditionalFormatting>
  <conditionalFormatting sqref="F30">
    <cfRule type="cellIs" dxfId="22758" priority="8927" operator="equal">
      <formula>"OFF"</formula>
    </cfRule>
    <cfRule type="cellIs" dxfId="22757" priority="8928" operator="equal">
      <formula>"PTO"</formula>
    </cfRule>
  </conditionalFormatting>
  <conditionalFormatting sqref="F30">
    <cfRule type="cellIs" dxfId="22756" priority="8925" operator="equal">
      <formula>"OFF"</formula>
    </cfRule>
    <cfRule type="cellIs" dxfId="22755" priority="8926" operator="equal">
      <formula>"PTO"</formula>
    </cfRule>
  </conditionalFormatting>
  <conditionalFormatting sqref="F30">
    <cfRule type="cellIs" dxfId="22754" priority="8923" operator="equal">
      <formula>"OFF"</formula>
    </cfRule>
    <cfRule type="cellIs" dxfId="22753" priority="8924" operator="equal">
      <formula>"PTO"</formula>
    </cfRule>
  </conditionalFormatting>
  <conditionalFormatting sqref="F30">
    <cfRule type="cellIs" dxfId="22752" priority="8921" operator="equal">
      <formula>"OFF"</formula>
    </cfRule>
    <cfRule type="cellIs" dxfId="22751" priority="8922" operator="equal">
      <formula>"PTO"</formula>
    </cfRule>
  </conditionalFormatting>
  <conditionalFormatting sqref="F30">
    <cfRule type="cellIs" dxfId="22750" priority="8919" operator="equal">
      <formula>"OFF"</formula>
    </cfRule>
    <cfRule type="cellIs" dxfId="22749" priority="8920" operator="equal">
      <formula>"PTO"</formula>
    </cfRule>
  </conditionalFormatting>
  <conditionalFormatting sqref="F30">
    <cfRule type="cellIs" dxfId="22748" priority="8917" operator="equal">
      <formula>"OFF"</formula>
    </cfRule>
    <cfRule type="cellIs" dxfId="22747" priority="8918" operator="equal">
      <formula>"PTO"</formula>
    </cfRule>
  </conditionalFormatting>
  <conditionalFormatting sqref="F30">
    <cfRule type="cellIs" dxfId="22746" priority="8915" operator="equal">
      <formula>"OFF"</formula>
    </cfRule>
    <cfRule type="cellIs" dxfId="22745" priority="8916" operator="equal">
      <formula>"PTO"</formula>
    </cfRule>
  </conditionalFormatting>
  <conditionalFormatting sqref="F30">
    <cfRule type="cellIs" dxfId="22744" priority="8913" operator="equal">
      <formula>"OFF"</formula>
    </cfRule>
    <cfRule type="cellIs" dxfId="22743" priority="8914" operator="equal">
      <formula>"PTO"</formula>
    </cfRule>
  </conditionalFormatting>
  <conditionalFormatting sqref="F30">
    <cfRule type="cellIs" dxfId="22742" priority="8911" operator="equal">
      <formula>"OFF"</formula>
    </cfRule>
    <cfRule type="cellIs" dxfId="22741" priority="8912" operator="equal">
      <formula>"PTO"</formula>
    </cfRule>
  </conditionalFormatting>
  <conditionalFormatting sqref="F30">
    <cfRule type="cellIs" dxfId="22740" priority="8909" operator="equal">
      <formula>"OFF"</formula>
    </cfRule>
    <cfRule type="cellIs" dxfId="22739" priority="8910" operator="equal">
      <formula>"PTO"</formula>
    </cfRule>
  </conditionalFormatting>
  <conditionalFormatting sqref="F30">
    <cfRule type="cellIs" dxfId="22738" priority="8907" operator="equal">
      <formula>"OFF"</formula>
    </cfRule>
    <cfRule type="cellIs" dxfId="22737" priority="8908" operator="equal">
      <formula>"PTO"</formula>
    </cfRule>
  </conditionalFormatting>
  <conditionalFormatting sqref="F30">
    <cfRule type="cellIs" dxfId="22736" priority="8905" operator="equal">
      <formula>"OFF"</formula>
    </cfRule>
    <cfRule type="cellIs" dxfId="22735" priority="8906" operator="equal">
      <formula>"PTO"</formula>
    </cfRule>
  </conditionalFormatting>
  <conditionalFormatting sqref="F30">
    <cfRule type="cellIs" dxfId="22734" priority="8903" operator="equal">
      <formula>"OFF"</formula>
    </cfRule>
    <cfRule type="cellIs" dxfId="22733" priority="8904" operator="equal">
      <formula>"PTO"</formula>
    </cfRule>
  </conditionalFormatting>
  <conditionalFormatting sqref="F30">
    <cfRule type="cellIs" dxfId="22732" priority="8901" operator="equal">
      <formula>"OFF"</formula>
    </cfRule>
    <cfRule type="cellIs" dxfId="22731" priority="8902" operator="equal">
      <formula>"PTO"</formula>
    </cfRule>
  </conditionalFormatting>
  <conditionalFormatting sqref="F30">
    <cfRule type="cellIs" dxfId="22730" priority="8899" operator="equal">
      <formula>"OFF"</formula>
    </cfRule>
    <cfRule type="cellIs" dxfId="22729" priority="8900" operator="equal">
      <formula>"PTO"</formula>
    </cfRule>
  </conditionalFormatting>
  <conditionalFormatting sqref="F30">
    <cfRule type="cellIs" dxfId="22728" priority="8897" operator="equal">
      <formula>"OFF"</formula>
    </cfRule>
    <cfRule type="cellIs" dxfId="22727" priority="8898" operator="equal">
      <formula>"PTO"</formula>
    </cfRule>
  </conditionalFormatting>
  <conditionalFormatting sqref="F30">
    <cfRule type="cellIs" dxfId="22726" priority="8895" operator="equal">
      <formula>"OFF"</formula>
    </cfRule>
    <cfRule type="cellIs" dxfId="22725" priority="8896" operator="equal">
      <formula>"PTO"</formula>
    </cfRule>
  </conditionalFormatting>
  <conditionalFormatting sqref="F30">
    <cfRule type="cellIs" dxfId="22724" priority="8893" operator="equal">
      <formula>"OFF"</formula>
    </cfRule>
    <cfRule type="cellIs" dxfId="22723" priority="8894" operator="equal">
      <formula>"PTO"</formula>
    </cfRule>
  </conditionalFormatting>
  <conditionalFormatting sqref="F30">
    <cfRule type="cellIs" dxfId="22722" priority="8891" operator="equal">
      <formula>"OFF"</formula>
    </cfRule>
    <cfRule type="cellIs" dxfId="22721" priority="8892" operator="equal">
      <formula>"PTO"</formula>
    </cfRule>
  </conditionalFormatting>
  <conditionalFormatting sqref="F30">
    <cfRule type="cellIs" dxfId="22720" priority="8889" operator="equal">
      <formula>"OFF"</formula>
    </cfRule>
    <cfRule type="cellIs" dxfId="22719" priority="8890" operator="equal">
      <formula>"PTO"</formula>
    </cfRule>
  </conditionalFormatting>
  <conditionalFormatting sqref="F30">
    <cfRule type="cellIs" dxfId="22718" priority="8887" operator="equal">
      <formula>"OFF"</formula>
    </cfRule>
    <cfRule type="cellIs" dxfId="22717" priority="8888" operator="equal">
      <formula>"PTO"</formula>
    </cfRule>
  </conditionalFormatting>
  <conditionalFormatting sqref="F30">
    <cfRule type="cellIs" dxfId="22716" priority="8885" operator="equal">
      <formula>"OFF"</formula>
    </cfRule>
    <cfRule type="cellIs" dxfId="22715" priority="8886" operator="equal">
      <formula>"PTO"</formula>
    </cfRule>
  </conditionalFormatting>
  <conditionalFormatting sqref="F30">
    <cfRule type="cellIs" dxfId="22714" priority="8883" operator="equal">
      <formula>"OFF"</formula>
    </cfRule>
    <cfRule type="cellIs" dxfId="22713" priority="8884" operator="equal">
      <formula>"PTO"</formula>
    </cfRule>
  </conditionalFormatting>
  <conditionalFormatting sqref="F30">
    <cfRule type="cellIs" dxfId="22712" priority="8881" operator="equal">
      <formula>"OFF"</formula>
    </cfRule>
    <cfRule type="cellIs" dxfId="22711" priority="8882" operator="equal">
      <formula>"PTO"</formula>
    </cfRule>
  </conditionalFormatting>
  <conditionalFormatting sqref="F30">
    <cfRule type="cellIs" dxfId="22710" priority="8879" operator="equal">
      <formula>"OFF"</formula>
    </cfRule>
    <cfRule type="cellIs" dxfId="22709" priority="8880" operator="equal">
      <formula>"PTO"</formula>
    </cfRule>
  </conditionalFormatting>
  <conditionalFormatting sqref="F30">
    <cfRule type="cellIs" dxfId="22708" priority="8877" operator="equal">
      <formula>"OFF"</formula>
    </cfRule>
    <cfRule type="cellIs" dxfId="22707" priority="8878" operator="equal">
      <formula>"PTO"</formula>
    </cfRule>
  </conditionalFormatting>
  <conditionalFormatting sqref="F30">
    <cfRule type="cellIs" dxfId="22706" priority="8875" operator="equal">
      <formula>"OFF"</formula>
    </cfRule>
    <cfRule type="cellIs" dxfId="22705" priority="8876" operator="equal">
      <formula>"PTO"</formula>
    </cfRule>
  </conditionalFormatting>
  <conditionalFormatting sqref="F30">
    <cfRule type="cellIs" dxfId="22704" priority="8873" operator="equal">
      <formula>"OFF"</formula>
    </cfRule>
    <cfRule type="cellIs" dxfId="22703" priority="8874" operator="equal">
      <formula>"PTO"</formula>
    </cfRule>
  </conditionalFormatting>
  <conditionalFormatting sqref="F30">
    <cfRule type="cellIs" dxfId="22702" priority="8871" operator="equal">
      <formula>"OFF"</formula>
    </cfRule>
    <cfRule type="cellIs" dxfId="22701" priority="8872" operator="equal">
      <formula>"PTO"</formula>
    </cfRule>
  </conditionalFormatting>
  <conditionalFormatting sqref="F30">
    <cfRule type="cellIs" dxfId="22700" priority="8869" operator="equal">
      <formula>"OFF"</formula>
    </cfRule>
    <cfRule type="cellIs" dxfId="22699" priority="8870" operator="equal">
      <formula>"PTO"</formula>
    </cfRule>
  </conditionalFormatting>
  <conditionalFormatting sqref="F30">
    <cfRule type="cellIs" dxfId="22698" priority="8867" operator="equal">
      <formula>"OFF"</formula>
    </cfRule>
    <cfRule type="cellIs" dxfId="22697" priority="8868" operator="equal">
      <formula>"PTO"</formula>
    </cfRule>
  </conditionalFormatting>
  <conditionalFormatting sqref="F30">
    <cfRule type="cellIs" dxfId="22696" priority="8865" operator="equal">
      <formula>"OFF"</formula>
    </cfRule>
    <cfRule type="cellIs" dxfId="22695" priority="8866" operator="equal">
      <formula>"PTO"</formula>
    </cfRule>
  </conditionalFormatting>
  <conditionalFormatting sqref="F30">
    <cfRule type="cellIs" dxfId="22694" priority="8863" operator="equal">
      <formula>"OFF"</formula>
    </cfRule>
    <cfRule type="cellIs" dxfId="22693" priority="8864" operator="equal">
      <formula>"PTO"</formula>
    </cfRule>
  </conditionalFormatting>
  <conditionalFormatting sqref="F30">
    <cfRule type="cellIs" dxfId="22692" priority="8861" operator="equal">
      <formula>"OFF"</formula>
    </cfRule>
    <cfRule type="cellIs" dxfId="22691" priority="8862" operator="equal">
      <formula>"PTO"</formula>
    </cfRule>
  </conditionalFormatting>
  <conditionalFormatting sqref="F30">
    <cfRule type="cellIs" dxfId="22690" priority="8859" operator="equal">
      <formula>"OFF"</formula>
    </cfRule>
    <cfRule type="cellIs" dxfId="22689" priority="8860" operator="equal">
      <formula>"PTO"</formula>
    </cfRule>
  </conditionalFormatting>
  <conditionalFormatting sqref="F30">
    <cfRule type="cellIs" dxfId="22688" priority="8857" operator="equal">
      <formula>"OFF"</formula>
    </cfRule>
    <cfRule type="cellIs" dxfId="22687" priority="8858" operator="equal">
      <formula>"PTO"</formula>
    </cfRule>
  </conditionalFormatting>
  <conditionalFormatting sqref="E30">
    <cfRule type="cellIs" dxfId="22686" priority="8855" operator="equal">
      <formula>"OFF"</formula>
    </cfRule>
    <cfRule type="cellIs" dxfId="22685" priority="8856" operator="equal">
      <formula>"PTO"</formula>
    </cfRule>
  </conditionalFormatting>
  <conditionalFormatting sqref="V40:W40 Q40">
    <cfRule type="cellIs" dxfId="22684" priority="8853" operator="equal">
      <formula>"OFF"</formula>
    </cfRule>
    <cfRule type="cellIs" dxfId="22683" priority="8854" operator="equal">
      <formula>"PTO"</formula>
    </cfRule>
  </conditionalFormatting>
  <conditionalFormatting sqref="R40:S40">
    <cfRule type="cellIs" dxfId="22682" priority="8851" operator="equal">
      <formula>"OFF"</formula>
    </cfRule>
    <cfRule type="cellIs" dxfId="22681" priority="8852" operator="equal">
      <formula>"PTO"</formula>
    </cfRule>
  </conditionalFormatting>
  <conditionalFormatting sqref="T40:U40">
    <cfRule type="cellIs" dxfId="22680" priority="8849" operator="equal">
      <formula>"OFF"</formula>
    </cfRule>
    <cfRule type="cellIs" dxfId="22679" priority="8850" operator="equal">
      <formula>"PTO"</formula>
    </cfRule>
  </conditionalFormatting>
  <conditionalFormatting sqref="N53">
    <cfRule type="cellIs" dxfId="22678" priority="8847" operator="equal">
      <formula>"OFF"</formula>
    </cfRule>
    <cfRule type="cellIs" dxfId="22677" priority="8848" operator="equal">
      <formula>"PTO"</formula>
    </cfRule>
  </conditionalFormatting>
  <conditionalFormatting sqref="O53">
    <cfRule type="cellIs" dxfId="22676" priority="8845" operator="equal">
      <formula>"OFF"</formula>
    </cfRule>
    <cfRule type="cellIs" dxfId="22675" priority="8846" operator="equal">
      <formula>"PTO"</formula>
    </cfRule>
  </conditionalFormatting>
  <conditionalFormatting sqref="L53:M53">
    <cfRule type="cellIs" dxfId="22674" priority="8843" operator="equal">
      <formula>"OFF"</formula>
    </cfRule>
    <cfRule type="cellIs" dxfId="22673" priority="8844" operator="equal">
      <formula>"PTO"</formula>
    </cfRule>
  </conditionalFormatting>
  <conditionalFormatting sqref="M54:N54">
    <cfRule type="cellIs" dxfId="22672" priority="8841" operator="equal">
      <formula>"OFF"</formula>
    </cfRule>
    <cfRule type="cellIs" dxfId="22671" priority="8842" operator="equal">
      <formula>"PTO"</formula>
    </cfRule>
  </conditionalFormatting>
  <conditionalFormatting sqref="K54:L54">
    <cfRule type="cellIs" dxfId="22670" priority="8839" operator="equal">
      <formula>"OFF"</formula>
    </cfRule>
    <cfRule type="cellIs" dxfId="22669" priority="8840" operator="equal">
      <formula>"PTO"</formula>
    </cfRule>
  </conditionalFormatting>
  <conditionalFormatting sqref="W53:W54">
    <cfRule type="cellIs" dxfId="22668" priority="8837" operator="equal">
      <formula>"OFF"</formula>
    </cfRule>
    <cfRule type="cellIs" dxfId="22667" priority="8838" operator="equal">
      <formula>"PTO"</formula>
    </cfRule>
  </conditionalFormatting>
  <conditionalFormatting sqref="Q53:Q54 V54:W54 W53">
    <cfRule type="cellIs" dxfId="22666" priority="8835" operator="equal">
      <formula>"OFF"</formula>
    </cfRule>
    <cfRule type="cellIs" dxfId="22665" priority="8836" operator="equal">
      <formula>"PTO"</formula>
    </cfRule>
  </conditionalFormatting>
  <conditionalFormatting sqref="R53">
    <cfRule type="cellIs" dxfId="22664" priority="8833" operator="equal">
      <formula>"OFF"</formula>
    </cfRule>
    <cfRule type="cellIs" dxfId="22663" priority="8834" operator="equal">
      <formula>"PTO"</formula>
    </cfRule>
  </conditionalFormatting>
  <conditionalFormatting sqref="U53">
    <cfRule type="cellIs" dxfId="22662" priority="8831" operator="equal">
      <formula>"OFF"</formula>
    </cfRule>
    <cfRule type="cellIs" dxfId="22661" priority="8832" operator="equal">
      <formula>"PTO"</formula>
    </cfRule>
  </conditionalFormatting>
  <conditionalFormatting sqref="V53">
    <cfRule type="cellIs" dxfId="22660" priority="8829" operator="equal">
      <formula>"OFF"</formula>
    </cfRule>
    <cfRule type="cellIs" dxfId="22659" priority="8830" operator="equal">
      <formula>"PTO"</formula>
    </cfRule>
  </conditionalFormatting>
  <conditionalFormatting sqref="S53:T53">
    <cfRule type="cellIs" dxfId="22658" priority="8827" operator="equal">
      <formula>"OFF"</formula>
    </cfRule>
    <cfRule type="cellIs" dxfId="22657" priority="8828" operator="equal">
      <formula>"PTO"</formula>
    </cfRule>
  </conditionalFormatting>
  <conditionalFormatting sqref="T54:U54">
    <cfRule type="cellIs" dxfId="22656" priority="8825" operator="equal">
      <formula>"OFF"</formula>
    </cfRule>
    <cfRule type="cellIs" dxfId="22655" priority="8826" operator="equal">
      <formula>"PTO"</formula>
    </cfRule>
  </conditionalFormatting>
  <conditionalFormatting sqref="R54:S54">
    <cfRule type="cellIs" dxfId="22654" priority="8823" operator="equal">
      <formula>"OFF"</formula>
    </cfRule>
    <cfRule type="cellIs" dxfId="22653" priority="8824" operator="equal">
      <formula>"PTO"</formula>
    </cfRule>
  </conditionalFormatting>
  <conditionalFormatting sqref="L65:M67">
    <cfRule type="cellIs" dxfId="22652" priority="8807" operator="equal">
      <formula>"OFF"</formula>
    </cfRule>
    <cfRule type="cellIs" dxfId="22651" priority="8808" operator="equal">
      <formula>"PTO"</formula>
    </cfRule>
  </conditionalFormatting>
  <conditionalFormatting sqref="N65:O67">
    <cfRule type="cellIs" dxfId="22650" priority="8805" operator="equal">
      <formula>"OFF"</formula>
    </cfRule>
    <cfRule type="cellIs" dxfId="22649" priority="8806" operator="equal">
      <formula>"PTO"</formula>
    </cfRule>
  </conditionalFormatting>
  <conditionalFormatting sqref="W65:W67">
    <cfRule type="cellIs" dxfId="22648" priority="8803" operator="equal">
      <formula>"OFF"</formula>
    </cfRule>
    <cfRule type="cellIs" dxfId="22647" priority="8804" operator="equal">
      <formula>"PTO"</formula>
    </cfRule>
  </conditionalFormatting>
  <conditionalFormatting sqref="Q65:Q67 W65:W67">
    <cfRule type="cellIs" dxfId="22646" priority="8801" operator="equal">
      <formula>"OFF"</formula>
    </cfRule>
    <cfRule type="cellIs" dxfId="22645" priority="8802" operator="equal">
      <formula>"PTO"</formula>
    </cfRule>
  </conditionalFormatting>
  <conditionalFormatting sqref="R65:R67">
    <cfRule type="cellIs" dxfId="22644" priority="8799" operator="equal">
      <formula>"OFF"</formula>
    </cfRule>
    <cfRule type="cellIs" dxfId="22643" priority="8800" operator="equal">
      <formula>"PTO"</formula>
    </cfRule>
  </conditionalFormatting>
  <conditionalFormatting sqref="S65:T67">
    <cfRule type="cellIs" dxfId="22642" priority="8797" operator="equal">
      <formula>"OFF"</formula>
    </cfRule>
    <cfRule type="cellIs" dxfId="22641" priority="8798" operator="equal">
      <formula>"PTO"</formula>
    </cfRule>
  </conditionalFormatting>
  <conditionalFormatting sqref="U65:V67">
    <cfRule type="cellIs" dxfId="22640" priority="8795" operator="equal">
      <formula>"OFF"</formula>
    </cfRule>
    <cfRule type="cellIs" dxfId="22639" priority="8796" operator="equal">
      <formula>"PTO"</formula>
    </cfRule>
  </conditionalFormatting>
  <conditionalFormatting sqref="H26:H27">
    <cfRule type="cellIs" dxfId="22638" priority="8793" operator="equal">
      <formula>"OFF"</formula>
    </cfRule>
    <cfRule type="cellIs" dxfId="22637" priority="8794" operator="equal">
      <formula>"PTO"</formula>
    </cfRule>
  </conditionalFormatting>
  <conditionalFormatting sqref="H26">
    <cfRule type="cellIs" dxfId="22636" priority="8791" operator="equal">
      <formula>"OFF"</formula>
    </cfRule>
    <cfRule type="cellIs" dxfId="22635" priority="8792" operator="equal">
      <formula>"PTO"</formula>
    </cfRule>
  </conditionalFormatting>
  <conditionalFormatting sqref="H26">
    <cfRule type="cellIs" dxfId="22634" priority="8789" operator="equal">
      <formula>"OFF"</formula>
    </cfRule>
    <cfRule type="cellIs" dxfId="22633" priority="8790" operator="equal">
      <formula>"PTO"</formula>
    </cfRule>
  </conditionalFormatting>
  <conditionalFormatting sqref="H26">
    <cfRule type="cellIs" dxfId="22632" priority="8787" operator="equal">
      <formula>"OFF"</formula>
    </cfRule>
    <cfRule type="cellIs" dxfId="22631" priority="8788" operator="equal">
      <formula>"PTO"</formula>
    </cfRule>
  </conditionalFormatting>
  <conditionalFormatting sqref="H26">
    <cfRule type="cellIs" dxfId="22630" priority="8785" operator="equal">
      <formula>"OFF"</formula>
    </cfRule>
    <cfRule type="cellIs" dxfId="22629" priority="8786" operator="equal">
      <formula>"PTO"</formula>
    </cfRule>
  </conditionalFormatting>
  <conditionalFormatting sqref="H26">
    <cfRule type="cellIs" dxfId="22628" priority="8783" operator="equal">
      <formula>"OFF"</formula>
    </cfRule>
    <cfRule type="cellIs" dxfId="22627" priority="8784" operator="equal">
      <formula>"PTO"</formula>
    </cfRule>
  </conditionalFormatting>
  <conditionalFormatting sqref="H26">
    <cfRule type="cellIs" dxfId="22626" priority="8781" operator="equal">
      <formula>"OFF"</formula>
    </cfRule>
    <cfRule type="cellIs" dxfId="22625" priority="8782" operator="equal">
      <formula>"PTO"</formula>
    </cfRule>
  </conditionalFormatting>
  <conditionalFormatting sqref="H26">
    <cfRule type="cellIs" dxfId="22624" priority="8779" operator="equal">
      <formula>"OFF"</formula>
    </cfRule>
    <cfRule type="cellIs" dxfId="22623" priority="8780" operator="equal">
      <formula>"PTO"</formula>
    </cfRule>
  </conditionalFormatting>
  <conditionalFormatting sqref="H26">
    <cfRule type="cellIs" dxfId="22622" priority="8777" operator="equal">
      <formula>"OFF"</formula>
    </cfRule>
    <cfRule type="cellIs" dxfId="22621" priority="8778" operator="equal">
      <formula>"PTO"</formula>
    </cfRule>
  </conditionalFormatting>
  <conditionalFormatting sqref="H27">
    <cfRule type="cellIs" dxfId="22620" priority="8775" operator="equal">
      <formula>"OFF"</formula>
    </cfRule>
    <cfRule type="cellIs" dxfId="22619" priority="8776" operator="equal">
      <formula>"PTO"</formula>
    </cfRule>
  </conditionalFormatting>
  <conditionalFormatting sqref="H27">
    <cfRule type="cellIs" dxfId="22618" priority="8773" operator="equal">
      <formula>"OFF"</formula>
    </cfRule>
    <cfRule type="cellIs" dxfId="22617" priority="8774" operator="equal">
      <formula>"PTO"</formula>
    </cfRule>
  </conditionalFormatting>
  <conditionalFormatting sqref="H27">
    <cfRule type="cellIs" dxfId="22616" priority="8771" operator="equal">
      <formula>"OFF"</formula>
    </cfRule>
    <cfRule type="cellIs" dxfId="22615" priority="8772" operator="equal">
      <formula>"PTO"</formula>
    </cfRule>
  </conditionalFormatting>
  <conditionalFormatting sqref="H27">
    <cfRule type="cellIs" dxfId="22614" priority="8769" operator="equal">
      <formula>"OFF"</formula>
    </cfRule>
    <cfRule type="cellIs" dxfId="22613" priority="8770" operator="equal">
      <formula>"PTO"</formula>
    </cfRule>
  </conditionalFormatting>
  <conditionalFormatting sqref="H27">
    <cfRule type="cellIs" dxfId="22612" priority="8767" operator="equal">
      <formula>"OFF"</formula>
    </cfRule>
    <cfRule type="cellIs" dxfId="22611" priority="8768" operator="equal">
      <formula>"PTO"</formula>
    </cfRule>
  </conditionalFormatting>
  <conditionalFormatting sqref="H27">
    <cfRule type="cellIs" dxfId="22610" priority="8765" operator="equal">
      <formula>"OFF"</formula>
    </cfRule>
    <cfRule type="cellIs" dxfId="22609" priority="8766" operator="equal">
      <formula>"PTO"</formula>
    </cfRule>
  </conditionalFormatting>
  <conditionalFormatting sqref="H27">
    <cfRule type="cellIs" dxfId="22608" priority="8763" operator="equal">
      <formula>"OFF"</formula>
    </cfRule>
    <cfRule type="cellIs" dxfId="22607" priority="8764" operator="equal">
      <formula>"PTO"</formula>
    </cfRule>
  </conditionalFormatting>
  <conditionalFormatting sqref="H27">
    <cfRule type="cellIs" dxfId="22606" priority="8761" operator="equal">
      <formula>"OFF"</formula>
    </cfRule>
    <cfRule type="cellIs" dxfId="22605" priority="8762" operator="equal">
      <formula>"PTO"</formula>
    </cfRule>
  </conditionalFormatting>
  <conditionalFormatting sqref="H26">
    <cfRule type="cellIs" dxfId="22604" priority="8759" operator="equal">
      <formula>"OFF"</formula>
    </cfRule>
    <cfRule type="cellIs" dxfId="22603" priority="8760" operator="equal">
      <formula>"PTO"</formula>
    </cfRule>
  </conditionalFormatting>
  <conditionalFormatting sqref="H26">
    <cfRule type="cellIs" dxfId="22602" priority="8757" operator="equal">
      <formula>"OFF"</formula>
    </cfRule>
    <cfRule type="cellIs" dxfId="22601" priority="8758" operator="equal">
      <formula>"PTO"</formula>
    </cfRule>
  </conditionalFormatting>
  <conditionalFormatting sqref="H26">
    <cfRule type="cellIs" dxfId="22600" priority="8755" operator="equal">
      <formula>"OFF"</formula>
    </cfRule>
    <cfRule type="cellIs" dxfId="22599" priority="8756" operator="equal">
      <formula>"PTO"</formula>
    </cfRule>
  </conditionalFormatting>
  <conditionalFormatting sqref="H26">
    <cfRule type="cellIs" dxfId="22598" priority="8753" operator="equal">
      <formula>"OFF"</formula>
    </cfRule>
    <cfRule type="cellIs" dxfId="22597" priority="8754" operator="equal">
      <formula>"PTO"</formula>
    </cfRule>
  </conditionalFormatting>
  <conditionalFormatting sqref="H26">
    <cfRule type="cellIs" dxfId="22596" priority="8751" operator="equal">
      <formula>"OFF"</formula>
    </cfRule>
    <cfRule type="cellIs" dxfId="22595" priority="8752" operator="equal">
      <formula>"PTO"</formula>
    </cfRule>
  </conditionalFormatting>
  <conditionalFormatting sqref="H26">
    <cfRule type="cellIs" dxfId="22594" priority="8749" operator="equal">
      <formula>"OFF"</formula>
    </cfRule>
    <cfRule type="cellIs" dxfId="22593" priority="8750" operator="equal">
      <formula>"PTO"</formula>
    </cfRule>
  </conditionalFormatting>
  <conditionalFormatting sqref="H26">
    <cfRule type="cellIs" dxfId="22592" priority="8747" operator="equal">
      <formula>"OFF"</formula>
    </cfRule>
    <cfRule type="cellIs" dxfId="22591" priority="8748" operator="equal">
      <formula>"PTO"</formula>
    </cfRule>
  </conditionalFormatting>
  <conditionalFormatting sqref="H26">
    <cfRule type="cellIs" dxfId="22590" priority="8745" operator="equal">
      <formula>"OFF"</formula>
    </cfRule>
    <cfRule type="cellIs" dxfId="22589" priority="8746" operator="equal">
      <formula>"PTO"</formula>
    </cfRule>
  </conditionalFormatting>
  <conditionalFormatting sqref="H27">
    <cfRule type="cellIs" dxfId="22588" priority="8743" operator="equal">
      <formula>"OFF"</formula>
    </cfRule>
    <cfRule type="cellIs" dxfId="22587" priority="8744" operator="equal">
      <formula>"PTO"</formula>
    </cfRule>
  </conditionalFormatting>
  <conditionalFormatting sqref="H27">
    <cfRule type="cellIs" dxfId="22586" priority="8741" operator="equal">
      <formula>"OFF"</formula>
    </cfRule>
    <cfRule type="cellIs" dxfId="22585" priority="8742" operator="equal">
      <formula>"PTO"</formula>
    </cfRule>
  </conditionalFormatting>
  <conditionalFormatting sqref="H27">
    <cfRule type="cellIs" dxfId="22584" priority="8739" operator="equal">
      <formula>"OFF"</formula>
    </cfRule>
    <cfRule type="cellIs" dxfId="22583" priority="8740" operator="equal">
      <formula>"PTO"</formula>
    </cfRule>
  </conditionalFormatting>
  <conditionalFormatting sqref="H27">
    <cfRule type="cellIs" dxfId="22582" priority="8737" operator="equal">
      <formula>"OFF"</formula>
    </cfRule>
    <cfRule type="cellIs" dxfId="22581" priority="8738" operator="equal">
      <formula>"PTO"</formula>
    </cfRule>
  </conditionalFormatting>
  <conditionalFormatting sqref="H27">
    <cfRule type="cellIs" dxfId="22580" priority="8735" operator="equal">
      <formula>"OFF"</formula>
    </cfRule>
    <cfRule type="cellIs" dxfId="22579" priority="8736" operator="equal">
      <formula>"PTO"</formula>
    </cfRule>
  </conditionalFormatting>
  <conditionalFormatting sqref="H27">
    <cfRule type="cellIs" dxfId="22578" priority="8733" operator="equal">
      <formula>"OFF"</formula>
    </cfRule>
    <cfRule type="cellIs" dxfId="22577" priority="8734" operator="equal">
      <formula>"PTO"</formula>
    </cfRule>
  </conditionalFormatting>
  <conditionalFormatting sqref="H27">
    <cfRule type="cellIs" dxfId="22576" priority="8731" operator="equal">
      <formula>"OFF"</formula>
    </cfRule>
    <cfRule type="cellIs" dxfId="22575" priority="8732" operator="equal">
      <formula>"PTO"</formula>
    </cfRule>
  </conditionalFormatting>
  <conditionalFormatting sqref="H27">
    <cfRule type="cellIs" dxfId="22574" priority="8729" operator="equal">
      <formula>"OFF"</formula>
    </cfRule>
    <cfRule type="cellIs" dxfId="22573" priority="8730" operator="equal">
      <formula>"PTO"</formula>
    </cfRule>
  </conditionalFormatting>
  <conditionalFormatting sqref="H26">
    <cfRule type="cellIs" dxfId="22572" priority="8727" operator="equal">
      <formula>"OFF"</formula>
    </cfRule>
    <cfRule type="cellIs" dxfId="22571" priority="8728" operator="equal">
      <formula>"PTO"</formula>
    </cfRule>
  </conditionalFormatting>
  <conditionalFormatting sqref="H26">
    <cfRule type="cellIs" dxfId="22570" priority="8725" operator="equal">
      <formula>"OFF"</formula>
    </cfRule>
    <cfRule type="cellIs" dxfId="22569" priority="8726" operator="equal">
      <formula>"PTO"</formula>
    </cfRule>
  </conditionalFormatting>
  <conditionalFormatting sqref="H26">
    <cfRule type="cellIs" dxfId="22568" priority="8723" operator="equal">
      <formula>"OFF"</formula>
    </cfRule>
    <cfRule type="cellIs" dxfId="22567" priority="8724" operator="equal">
      <formula>"PTO"</formula>
    </cfRule>
  </conditionalFormatting>
  <conditionalFormatting sqref="H26">
    <cfRule type="cellIs" dxfId="22566" priority="8721" operator="equal">
      <formula>"OFF"</formula>
    </cfRule>
    <cfRule type="cellIs" dxfId="22565" priority="8722" operator="equal">
      <formula>"PTO"</formula>
    </cfRule>
  </conditionalFormatting>
  <conditionalFormatting sqref="H26">
    <cfRule type="cellIs" dxfId="22564" priority="8719" operator="equal">
      <formula>"OFF"</formula>
    </cfRule>
    <cfRule type="cellIs" dxfId="22563" priority="8720" operator="equal">
      <formula>"PTO"</formula>
    </cfRule>
  </conditionalFormatting>
  <conditionalFormatting sqref="H26">
    <cfRule type="cellIs" dxfId="22562" priority="8717" operator="equal">
      <formula>"OFF"</formula>
    </cfRule>
    <cfRule type="cellIs" dxfId="22561" priority="8718" operator="equal">
      <formula>"PTO"</formula>
    </cfRule>
  </conditionalFormatting>
  <conditionalFormatting sqref="H26">
    <cfRule type="cellIs" dxfId="22560" priority="8715" operator="equal">
      <formula>"OFF"</formula>
    </cfRule>
    <cfRule type="cellIs" dxfId="22559" priority="8716" operator="equal">
      <formula>"PTO"</formula>
    </cfRule>
  </conditionalFormatting>
  <conditionalFormatting sqref="H26">
    <cfRule type="cellIs" dxfId="22558" priority="8713" operator="equal">
      <formula>"OFF"</formula>
    </cfRule>
    <cfRule type="cellIs" dxfId="22557" priority="8714" operator="equal">
      <formula>"PTO"</formula>
    </cfRule>
  </conditionalFormatting>
  <conditionalFormatting sqref="H27">
    <cfRule type="cellIs" dxfId="22556" priority="8711" operator="equal">
      <formula>"OFF"</formula>
    </cfRule>
    <cfRule type="cellIs" dxfId="22555" priority="8712" operator="equal">
      <formula>"PTO"</formula>
    </cfRule>
  </conditionalFormatting>
  <conditionalFormatting sqref="H27">
    <cfRule type="cellIs" dxfId="22554" priority="8709" operator="equal">
      <formula>"OFF"</formula>
    </cfRule>
    <cfRule type="cellIs" dxfId="22553" priority="8710" operator="equal">
      <formula>"PTO"</formula>
    </cfRule>
  </conditionalFormatting>
  <conditionalFormatting sqref="H27">
    <cfRule type="cellIs" dxfId="22552" priority="8707" operator="equal">
      <formula>"OFF"</formula>
    </cfRule>
    <cfRule type="cellIs" dxfId="22551" priority="8708" operator="equal">
      <formula>"PTO"</formula>
    </cfRule>
  </conditionalFormatting>
  <conditionalFormatting sqref="H27">
    <cfRule type="cellIs" dxfId="22550" priority="8705" operator="equal">
      <formula>"OFF"</formula>
    </cfRule>
    <cfRule type="cellIs" dxfId="22549" priority="8706" operator="equal">
      <formula>"PTO"</formula>
    </cfRule>
  </conditionalFormatting>
  <conditionalFormatting sqref="H27">
    <cfRule type="cellIs" dxfId="22548" priority="8703" operator="equal">
      <formula>"OFF"</formula>
    </cfRule>
    <cfRule type="cellIs" dxfId="22547" priority="8704" operator="equal">
      <formula>"PTO"</formula>
    </cfRule>
  </conditionalFormatting>
  <conditionalFormatting sqref="H27">
    <cfRule type="cellIs" dxfId="22546" priority="8701" operator="equal">
      <formula>"OFF"</formula>
    </cfRule>
    <cfRule type="cellIs" dxfId="22545" priority="8702" operator="equal">
      <formula>"PTO"</formula>
    </cfRule>
  </conditionalFormatting>
  <conditionalFormatting sqref="H27">
    <cfRule type="cellIs" dxfId="22544" priority="8699" operator="equal">
      <formula>"OFF"</formula>
    </cfRule>
    <cfRule type="cellIs" dxfId="22543" priority="8700" operator="equal">
      <formula>"PTO"</formula>
    </cfRule>
  </conditionalFormatting>
  <conditionalFormatting sqref="H27">
    <cfRule type="cellIs" dxfId="22542" priority="8697" operator="equal">
      <formula>"OFF"</formula>
    </cfRule>
    <cfRule type="cellIs" dxfId="22541" priority="8698" operator="equal">
      <formula>"PTO"</formula>
    </cfRule>
  </conditionalFormatting>
  <conditionalFormatting sqref="H26">
    <cfRule type="cellIs" dxfId="22540" priority="8695" operator="equal">
      <formula>"OFF"</formula>
    </cfRule>
    <cfRule type="cellIs" dxfId="22539" priority="8696" operator="equal">
      <formula>"PTO"</formula>
    </cfRule>
  </conditionalFormatting>
  <conditionalFormatting sqref="H26">
    <cfRule type="cellIs" dxfId="22538" priority="8693" operator="equal">
      <formula>"OFF"</formula>
    </cfRule>
    <cfRule type="cellIs" dxfId="22537" priority="8694" operator="equal">
      <formula>"PTO"</formula>
    </cfRule>
  </conditionalFormatting>
  <conditionalFormatting sqref="H26">
    <cfRule type="cellIs" dxfId="22536" priority="8691" operator="equal">
      <formula>"OFF"</formula>
    </cfRule>
    <cfRule type="cellIs" dxfId="22535" priority="8692" operator="equal">
      <formula>"PTO"</formula>
    </cfRule>
  </conditionalFormatting>
  <conditionalFormatting sqref="H26">
    <cfRule type="cellIs" dxfId="22534" priority="8689" operator="equal">
      <formula>"OFF"</formula>
    </cfRule>
    <cfRule type="cellIs" dxfId="22533" priority="8690" operator="equal">
      <formula>"PTO"</formula>
    </cfRule>
  </conditionalFormatting>
  <conditionalFormatting sqref="H26">
    <cfRule type="cellIs" dxfId="22532" priority="8687" operator="equal">
      <formula>"OFF"</formula>
    </cfRule>
    <cfRule type="cellIs" dxfId="22531" priority="8688" operator="equal">
      <formula>"PTO"</formula>
    </cfRule>
  </conditionalFormatting>
  <conditionalFormatting sqref="H26">
    <cfRule type="cellIs" dxfId="22530" priority="8685" operator="equal">
      <formula>"OFF"</formula>
    </cfRule>
    <cfRule type="cellIs" dxfId="22529" priority="8686" operator="equal">
      <formula>"PTO"</formula>
    </cfRule>
  </conditionalFormatting>
  <conditionalFormatting sqref="H26">
    <cfRule type="cellIs" dxfId="22528" priority="8683" operator="equal">
      <formula>"OFF"</formula>
    </cfRule>
    <cfRule type="cellIs" dxfId="22527" priority="8684" operator="equal">
      <formula>"PTO"</formula>
    </cfRule>
  </conditionalFormatting>
  <conditionalFormatting sqref="H26">
    <cfRule type="cellIs" dxfId="22526" priority="8681" operator="equal">
      <formula>"OFF"</formula>
    </cfRule>
    <cfRule type="cellIs" dxfId="22525" priority="8682" operator="equal">
      <formula>"PTO"</formula>
    </cfRule>
  </conditionalFormatting>
  <conditionalFormatting sqref="H27">
    <cfRule type="cellIs" dxfId="22524" priority="8679" operator="equal">
      <formula>"OFF"</formula>
    </cfRule>
    <cfRule type="cellIs" dxfId="22523" priority="8680" operator="equal">
      <formula>"PTO"</formula>
    </cfRule>
  </conditionalFormatting>
  <conditionalFormatting sqref="H27">
    <cfRule type="cellIs" dxfId="22522" priority="8677" operator="equal">
      <formula>"OFF"</formula>
    </cfRule>
    <cfRule type="cellIs" dxfId="22521" priority="8678" operator="equal">
      <formula>"PTO"</formula>
    </cfRule>
  </conditionalFormatting>
  <conditionalFormatting sqref="H27">
    <cfRule type="cellIs" dxfId="22520" priority="8675" operator="equal">
      <formula>"OFF"</formula>
    </cfRule>
    <cfRule type="cellIs" dxfId="22519" priority="8676" operator="equal">
      <formula>"PTO"</formula>
    </cfRule>
  </conditionalFormatting>
  <conditionalFormatting sqref="H27">
    <cfRule type="cellIs" dxfId="22518" priority="8673" operator="equal">
      <formula>"OFF"</formula>
    </cfRule>
    <cfRule type="cellIs" dxfId="22517" priority="8674" operator="equal">
      <formula>"PTO"</formula>
    </cfRule>
  </conditionalFormatting>
  <conditionalFormatting sqref="H27">
    <cfRule type="cellIs" dxfId="22516" priority="8671" operator="equal">
      <formula>"OFF"</formula>
    </cfRule>
    <cfRule type="cellIs" dxfId="22515" priority="8672" operator="equal">
      <formula>"PTO"</formula>
    </cfRule>
  </conditionalFormatting>
  <conditionalFormatting sqref="H27">
    <cfRule type="cellIs" dxfId="22514" priority="8669" operator="equal">
      <formula>"OFF"</formula>
    </cfRule>
    <cfRule type="cellIs" dxfId="22513" priority="8670" operator="equal">
      <formula>"PTO"</formula>
    </cfRule>
  </conditionalFormatting>
  <conditionalFormatting sqref="H27">
    <cfRule type="cellIs" dxfId="22512" priority="8667" operator="equal">
      <formula>"OFF"</formula>
    </cfRule>
    <cfRule type="cellIs" dxfId="22511" priority="8668" operator="equal">
      <formula>"PTO"</formula>
    </cfRule>
  </conditionalFormatting>
  <conditionalFormatting sqref="H27">
    <cfRule type="cellIs" dxfId="22510" priority="8665" operator="equal">
      <formula>"OFF"</formula>
    </cfRule>
    <cfRule type="cellIs" dxfId="22509" priority="8666" operator="equal">
      <formula>"PTO"</formula>
    </cfRule>
  </conditionalFormatting>
  <conditionalFormatting sqref="H26">
    <cfRule type="cellIs" dxfId="22508" priority="8663" operator="equal">
      <formula>"OFF"</formula>
    </cfRule>
    <cfRule type="cellIs" dxfId="22507" priority="8664" operator="equal">
      <formula>"PTO"</formula>
    </cfRule>
  </conditionalFormatting>
  <conditionalFormatting sqref="H26">
    <cfRule type="cellIs" dxfId="22506" priority="8661" operator="equal">
      <formula>"OFF"</formula>
    </cfRule>
    <cfRule type="cellIs" dxfId="22505" priority="8662" operator="equal">
      <formula>"PTO"</formula>
    </cfRule>
  </conditionalFormatting>
  <conditionalFormatting sqref="H26">
    <cfRule type="cellIs" dxfId="22504" priority="8659" operator="equal">
      <formula>"OFF"</formula>
    </cfRule>
    <cfRule type="cellIs" dxfId="22503" priority="8660" operator="equal">
      <formula>"PTO"</formula>
    </cfRule>
  </conditionalFormatting>
  <conditionalFormatting sqref="H26">
    <cfRule type="cellIs" dxfId="22502" priority="8657" operator="equal">
      <formula>"OFF"</formula>
    </cfRule>
    <cfRule type="cellIs" dxfId="22501" priority="8658" operator="equal">
      <formula>"PTO"</formula>
    </cfRule>
  </conditionalFormatting>
  <conditionalFormatting sqref="H26">
    <cfRule type="cellIs" dxfId="22500" priority="8655" operator="equal">
      <formula>"OFF"</formula>
    </cfRule>
    <cfRule type="cellIs" dxfId="22499" priority="8656" operator="equal">
      <formula>"PTO"</formula>
    </cfRule>
  </conditionalFormatting>
  <conditionalFormatting sqref="H26">
    <cfRule type="cellIs" dxfId="22498" priority="8653" operator="equal">
      <formula>"OFF"</formula>
    </cfRule>
    <cfRule type="cellIs" dxfId="22497" priority="8654" operator="equal">
      <formula>"PTO"</formula>
    </cfRule>
  </conditionalFormatting>
  <conditionalFormatting sqref="H26">
    <cfRule type="cellIs" dxfId="22496" priority="8651" operator="equal">
      <formula>"OFF"</formula>
    </cfRule>
    <cfRule type="cellIs" dxfId="22495" priority="8652" operator="equal">
      <formula>"PTO"</formula>
    </cfRule>
  </conditionalFormatting>
  <conditionalFormatting sqref="H26">
    <cfRule type="cellIs" dxfId="22494" priority="8649" operator="equal">
      <formula>"OFF"</formula>
    </cfRule>
    <cfRule type="cellIs" dxfId="22493" priority="8650" operator="equal">
      <formula>"PTO"</formula>
    </cfRule>
  </conditionalFormatting>
  <conditionalFormatting sqref="H27">
    <cfRule type="cellIs" dxfId="22492" priority="8647" operator="equal">
      <formula>"OFF"</formula>
    </cfRule>
    <cfRule type="cellIs" dxfId="22491" priority="8648" operator="equal">
      <formula>"PTO"</formula>
    </cfRule>
  </conditionalFormatting>
  <conditionalFormatting sqref="H27">
    <cfRule type="cellIs" dxfId="22490" priority="8645" operator="equal">
      <formula>"OFF"</formula>
    </cfRule>
    <cfRule type="cellIs" dxfId="22489" priority="8646" operator="equal">
      <formula>"PTO"</formula>
    </cfRule>
  </conditionalFormatting>
  <conditionalFormatting sqref="H27">
    <cfRule type="cellIs" dxfId="22488" priority="8643" operator="equal">
      <formula>"OFF"</formula>
    </cfRule>
    <cfRule type="cellIs" dxfId="22487" priority="8644" operator="equal">
      <formula>"PTO"</formula>
    </cfRule>
  </conditionalFormatting>
  <conditionalFormatting sqref="H27">
    <cfRule type="cellIs" dxfId="22486" priority="8641" operator="equal">
      <formula>"OFF"</formula>
    </cfRule>
    <cfRule type="cellIs" dxfId="22485" priority="8642" operator="equal">
      <formula>"PTO"</formula>
    </cfRule>
  </conditionalFormatting>
  <conditionalFormatting sqref="H27">
    <cfRule type="cellIs" dxfId="22484" priority="8639" operator="equal">
      <formula>"OFF"</formula>
    </cfRule>
    <cfRule type="cellIs" dxfId="22483" priority="8640" operator="equal">
      <formula>"PTO"</formula>
    </cfRule>
  </conditionalFormatting>
  <conditionalFormatting sqref="H27">
    <cfRule type="cellIs" dxfId="22482" priority="8637" operator="equal">
      <formula>"OFF"</formula>
    </cfRule>
    <cfRule type="cellIs" dxfId="22481" priority="8638" operator="equal">
      <formula>"PTO"</formula>
    </cfRule>
  </conditionalFormatting>
  <conditionalFormatting sqref="H27">
    <cfRule type="cellIs" dxfId="22480" priority="8635" operator="equal">
      <formula>"OFF"</formula>
    </cfRule>
    <cfRule type="cellIs" dxfId="22479" priority="8636" operator="equal">
      <formula>"PTO"</formula>
    </cfRule>
  </conditionalFormatting>
  <conditionalFormatting sqref="H27">
    <cfRule type="cellIs" dxfId="22478" priority="8633" operator="equal">
      <formula>"OFF"</formula>
    </cfRule>
    <cfRule type="cellIs" dxfId="22477" priority="8634" operator="equal">
      <formula>"PTO"</formula>
    </cfRule>
  </conditionalFormatting>
  <conditionalFormatting sqref="H26">
    <cfRule type="cellIs" dxfId="22476" priority="8631" operator="equal">
      <formula>"OFF"</formula>
    </cfRule>
    <cfRule type="cellIs" dxfId="22475" priority="8632" operator="equal">
      <formula>"PTO"</formula>
    </cfRule>
  </conditionalFormatting>
  <conditionalFormatting sqref="H26">
    <cfRule type="cellIs" dxfId="22474" priority="8629" operator="equal">
      <formula>"OFF"</formula>
    </cfRule>
    <cfRule type="cellIs" dxfId="22473" priority="8630" operator="equal">
      <formula>"PTO"</formula>
    </cfRule>
  </conditionalFormatting>
  <conditionalFormatting sqref="H26">
    <cfRule type="cellIs" dxfId="22472" priority="8627" operator="equal">
      <formula>"OFF"</formula>
    </cfRule>
    <cfRule type="cellIs" dxfId="22471" priority="8628" operator="equal">
      <formula>"PTO"</formula>
    </cfRule>
  </conditionalFormatting>
  <conditionalFormatting sqref="H26">
    <cfRule type="cellIs" dxfId="22470" priority="8625" operator="equal">
      <formula>"OFF"</formula>
    </cfRule>
    <cfRule type="cellIs" dxfId="22469" priority="8626" operator="equal">
      <formula>"PTO"</formula>
    </cfRule>
  </conditionalFormatting>
  <conditionalFormatting sqref="H26">
    <cfRule type="cellIs" dxfId="22468" priority="8623" operator="equal">
      <formula>"OFF"</formula>
    </cfRule>
    <cfRule type="cellIs" dxfId="22467" priority="8624" operator="equal">
      <formula>"PTO"</formula>
    </cfRule>
  </conditionalFormatting>
  <conditionalFormatting sqref="H26">
    <cfRule type="cellIs" dxfId="22466" priority="8621" operator="equal">
      <formula>"OFF"</formula>
    </cfRule>
    <cfRule type="cellIs" dxfId="22465" priority="8622" operator="equal">
      <formula>"PTO"</formula>
    </cfRule>
  </conditionalFormatting>
  <conditionalFormatting sqref="H26">
    <cfRule type="cellIs" dxfId="22464" priority="8619" operator="equal">
      <formula>"OFF"</formula>
    </cfRule>
    <cfRule type="cellIs" dxfId="22463" priority="8620" operator="equal">
      <formula>"PTO"</formula>
    </cfRule>
  </conditionalFormatting>
  <conditionalFormatting sqref="H26">
    <cfRule type="cellIs" dxfId="22462" priority="8617" operator="equal">
      <formula>"OFF"</formula>
    </cfRule>
    <cfRule type="cellIs" dxfId="22461" priority="8618" operator="equal">
      <formula>"PTO"</formula>
    </cfRule>
  </conditionalFormatting>
  <conditionalFormatting sqref="H27">
    <cfRule type="cellIs" dxfId="22460" priority="8615" operator="equal">
      <formula>"OFF"</formula>
    </cfRule>
    <cfRule type="cellIs" dxfId="22459" priority="8616" operator="equal">
      <formula>"PTO"</formula>
    </cfRule>
  </conditionalFormatting>
  <conditionalFormatting sqref="H27">
    <cfRule type="cellIs" dxfId="22458" priority="8613" operator="equal">
      <formula>"OFF"</formula>
    </cfRule>
    <cfRule type="cellIs" dxfId="22457" priority="8614" operator="equal">
      <formula>"PTO"</formula>
    </cfRule>
  </conditionalFormatting>
  <conditionalFormatting sqref="H27">
    <cfRule type="cellIs" dxfId="22456" priority="8611" operator="equal">
      <formula>"OFF"</formula>
    </cfRule>
    <cfRule type="cellIs" dxfId="22455" priority="8612" operator="equal">
      <formula>"PTO"</formula>
    </cfRule>
  </conditionalFormatting>
  <conditionalFormatting sqref="H27">
    <cfRule type="cellIs" dxfId="22454" priority="8609" operator="equal">
      <formula>"OFF"</formula>
    </cfRule>
    <cfRule type="cellIs" dxfId="22453" priority="8610" operator="equal">
      <formula>"PTO"</formula>
    </cfRule>
  </conditionalFormatting>
  <conditionalFormatting sqref="H27">
    <cfRule type="cellIs" dxfId="22452" priority="8607" operator="equal">
      <formula>"OFF"</formula>
    </cfRule>
    <cfRule type="cellIs" dxfId="22451" priority="8608" operator="equal">
      <formula>"PTO"</formula>
    </cfRule>
  </conditionalFormatting>
  <conditionalFormatting sqref="H27">
    <cfRule type="cellIs" dxfId="22450" priority="8605" operator="equal">
      <formula>"OFF"</formula>
    </cfRule>
    <cfRule type="cellIs" dxfId="22449" priority="8606" operator="equal">
      <formula>"PTO"</formula>
    </cfRule>
  </conditionalFormatting>
  <conditionalFormatting sqref="H27">
    <cfRule type="cellIs" dxfId="22448" priority="8603" operator="equal">
      <formula>"OFF"</formula>
    </cfRule>
    <cfRule type="cellIs" dxfId="22447" priority="8604" operator="equal">
      <formula>"PTO"</formula>
    </cfRule>
  </conditionalFormatting>
  <conditionalFormatting sqref="H27">
    <cfRule type="cellIs" dxfId="22446" priority="8601" operator="equal">
      <formula>"OFF"</formula>
    </cfRule>
    <cfRule type="cellIs" dxfId="22445" priority="8602" operator="equal">
      <formula>"PTO"</formula>
    </cfRule>
  </conditionalFormatting>
  <conditionalFormatting sqref="H26">
    <cfRule type="cellIs" dxfId="22444" priority="8599" operator="equal">
      <formula>"OFF"</formula>
    </cfRule>
    <cfRule type="cellIs" dxfId="22443" priority="8600" operator="equal">
      <formula>"PTO"</formula>
    </cfRule>
  </conditionalFormatting>
  <conditionalFormatting sqref="H26">
    <cfRule type="cellIs" dxfId="22442" priority="8597" operator="equal">
      <formula>"OFF"</formula>
    </cfRule>
    <cfRule type="cellIs" dxfId="22441" priority="8598" operator="equal">
      <formula>"PTO"</formula>
    </cfRule>
  </conditionalFormatting>
  <conditionalFormatting sqref="H26">
    <cfRule type="cellIs" dxfId="22440" priority="8595" operator="equal">
      <formula>"OFF"</formula>
    </cfRule>
    <cfRule type="cellIs" dxfId="22439" priority="8596" operator="equal">
      <formula>"PTO"</formula>
    </cfRule>
  </conditionalFormatting>
  <conditionalFormatting sqref="H26">
    <cfRule type="cellIs" dxfId="22438" priority="8593" operator="equal">
      <formula>"OFF"</formula>
    </cfRule>
    <cfRule type="cellIs" dxfId="22437" priority="8594" operator="equal">
      <formula>"PTO"</formula>
    </cfRule>
  </conditionalFormatting>
  <conditionalFormatting sqref="H26">
    <cfRule type="cellIs" dxfId="22436" priority="8591" operator="equal">
      <formula>"OFF"</formula>
    </cfRule>
    <cfRule type="cellIs" dxfId="22435" priority="8592" operator="equal">
      <formula>"PTO"</formula>
    </cfRule>
  </conditionalFormatting>
  <conditionalFormatting sqref="H26">
    <cfRule type="cellIs" dxfId="22434" priority="8589" operator="equal">
      <formula>"OFF"</formula>
    </cfRule>
    <cfRule type="cellIs" dxfId="22433" priority="8590" operator="equal">
      <formula>"PTO"</formula>
    </cfRule>
  </conditionalFormatting>
  <conditionalFormatting sqref="H26">
    <cfRule type="cellIs" dxfId="22432" priority="8587" operator="equal">
      <formula>"OFF"</formula>
    </cfRule>
    <cfRule type="cellIs" dxfId="22431" priority="8588" operator="equal">
      <formula>"PTO"</formula>
    </cfRule>
  </conditionalFormatting>
  <conditionalFormatting sqref="H26">
    <cfRule type="cellIs" dxfId="22430" priority="8585" operator="equal">
      <formula>"OFF"</formula>
    </cfRule>
    <cfRule type="cellIs" dxfId="22429" priority="8586" operator="equal">
      <formula>"PTO"</formula>
    </cfRule>
  </conditionalFormatting>
  <conditionalFormatting sqref="H27">
    <cfRule type="cellIs" dxfId="22428" priority="8583" operator="equal">
      <formula>"OFF"</formula>
    </cfRule>
    <cfRule type="cellIs" dxfId="22427" priority="8584" operator="equal">
      <formula>"PTO"</formula>
    </cfRule>
  </conditionalFormatting>
  <conditionalFormatting sqref="H27">
    <cfRule type="cellIs" dxfId="22426" priority="8581" operator="equal">
      <formula>"OFF"</formula>
    </cfRule>
    <cfRule type="cellIs" dxfId="22425" priority="8582" operator="equal">
      <formula>"PTO"</formula>
    </cfRule>
  </conditionalFormatting>
  <conditionalFormatting sqref="H27">
    <cfRule type="cellIs" dxfId="22424" priority="8579" operator="equal">
      <formula>"OFF"</formula>
    </cfRule>
    <cfRule type="cellIs" dxfId="22423" priority="8580" operator="equal">
      <formula>"PTO"</formula>
    </cfRule>
  </conditionalFormatting>
  <conditionalFormatting sqref="H27">
    <cfRule type="cellIs" dxfId="22422" priority="8577" operator="equal">
      <formula>"OFF"</formula>
    </cfRule>
    <cfRule type="cellIs" dxfId="22421" priority="8578" operator="equal">
      <formula>"PTO"</formula>
    </cfRule>
  </conditionalFormatting>
  <conditionalFormatting sqref="H27">
    <cfRule type="cellIs" dxfId="22420" priority="8575" operator="equal">
      <formula>"OFF"</formula>
    </cfRule>
    <cfRule type="cellIs" dxfId="22419" priority="8576" operator="equal">
      <formula>"PTO"</formula>
    </cfRule>
  </conditionalFormatting>
  <conditionalFormatting sqref="H27">
    <cfRule type="cellIs" dxfId="22418" priority="8573" operator="equal">
      <formula>"OFF"</formula>
    </cfRule>
    <cfRule type="cellIs" dxfId="22417" priority="8574" operator="equal">
      <formula>"PTO"</formula>
    </cfRule>
  </conditionalFormatting>
  <conditionalFormatting sqref="H27">
    <cfRule type="cellIs" dxfId="22416" priority="8571" operator="equal">
      <formula>"OFF"</formula>
    </cfRule>
    <cfRule type="cellIs" dxfId="22415" priority="8572" operator="equal">
      <formula>"PTO"</formula>
    </cfRule>
  </conditionalFormatting>
  <conditionalFormatting sqref="H27">
    <cfRule type="cellIs" dxfId="22414" priority="8569" operator="equal">
      <formula>"OFF"</formula>
    </cfRule>
    <cfRule type="cellIs" dxfId="22413" priority="8570" operator="equal">
      <formula>"PTO"</formula>
    </cfRule>
  </conditionalFormatting>
  <conditionalFormatting sqref="H26">
    <cfRule type="cellIs" dxfId="22412" priority="8567" operator="equal">
      <formula>"OFF"</formula>
    </cfRule>
    <cfRule type="cellIs" dxfId="22411" priority="8568" operator="equal">
      <formula>"PTO"</formula>
    </cfRule>
  </conditionalFormatting>
  <conditionalFormatting sqref="H26">
    <cfRule type="cellIs" dxfId="22410" priority="8565" operator="equal">
      <formula>"OFF"</formula>
    </cfRule>
    <cfRule type="cellIs" dxfId="22409" priority="8566" operator="equal">
      <formula>"PTO"</formula>
    </cfRule>
  </conditionalFormatting>
  <conditionalFormatting sqref="H26">
    <cfRule type="cellIs" dxfId="22408" priority="8563" operator="equal">
      <formula>"OFF"</formula>
    </cfRule>
    <cfRule type="cellIs" dxfId="22407" priority="8564" operator="equal">
      <formula>"PTO"</formula>
    </cfRule>
  </conditionalFormatting>
  <conditionalFormatting sqref="H26">
    <cfRule type="cellIs" dxfId="22406" priority="8561" operator="equal">
      <formula>"OFF"</formula>
    </cfRule>
    <cfRule type="cellIs" dxfId="22405" priority="8562" operator="equal">
      <formula>"PTO"</formula>
    </cfRule>
  </conditionalFormatting>
  <conditionalFormatting sqref="H26">
    <cfRule type="cellIs" dxfId="22404" priority="8559" operator="equal">
      <formula>"OFF"</formula>
    </cfRule>
    <cfRule type="cellIs" dxfId="22403" priority="8560" operator="equal">
      <formula>"PTO"</formula>
    </cfRule>
  </conditionalFormatting>
  <conditionalFormatting sqref="H26">
    <cfRule type="cellIs" dxfId="22402" priority="8557" operator="equal">
      <formula>"OFF"</formula>
    </cfRule>
    <cfRule type="cellIs" dxfId="22401" priority="8558" operator="equal">
      <formula>"PTO"</formula>
    </cfRule>
  </conditionalFormatting>
  <conditionalFormatting sqref="H26">
    <cfRule type="cellIs" dxfId="22400" priority="8555" operator="equal">
      <formula>"OFF"</formula>
    </cfRule>
    <cfRule type="cellIs" dxfId="22399" priority="8556" operator="equal">
      <formula>"PTO"</formula>
    </cfRule>
  </conditionalFormatting>
  <conditionalFormatting sqref="H26">
    <cfRule type="cellIs" dxfId="22398" priority="8553" operator="equal">
      <formula>"OFF"</formula>
    </cfRule>
    <cfRule type="cellIs" dxfId="22397" priority="8554" operator="equal">
      <formula>"PTO"</formula>
    </cfRule>
  </conditionalFormatting>
  <conditionalFormatting sqref="H27">
    <cfRule type="cellIs" dxfId="22396" priority="8551" operator="equal">
      <formula>"OFF"</formula>
    </cfRule>
    <cfRule type="cellIs" dxfId="22395" priority="8552" operator="equal">
      <formula>"PTO"</formula>
    </cfRule>
  </conditionalFormatting>
  <conditionalFormatting sqref="H27">
    <cfRule type="cellIs" dxfId="22394" priority="8549" operator="equal">
      <formula>"OFF"</formula>
    </cfRule>
    <cfRule type="cellIs" dxfId="22393" priority="8550" operator="equal">
      <formula>"PTO"</formula>
    </cfRule>
  </conditionalFormatting>
  <conditionalFormatting sqref="H27">
    <cfRule type="cellIs" dxfId="22392" priority="8547" operator="equal">
      <formula>"OFF"</formula>
    </cfRule>
    <cfRule type="cellIs" dxfId="22391" priority="8548" operator="equal">
      <formula>"PTO"</formula>
    </cfRule>
  </conditionalFormatting>
  <conditionalFormatting sqref="H27">
    <cfRule type="cellIs" dxfId="22390" priority="8545" operator="equal">
      <formula>"OFF"</formula>
    </cfRule>
    <cfRule type="cellIs" dxfId="22389" priority="8546" operator="equal">
      <formula>"PTO"</formula>
    </cfRule>
  </conditionalFormatting>
  <conditionalFormatting sqref="H27">
    <cfRule type="cellIs" dxfId="22388" priority="8543" operator="equal">
      <formula>"OFF"</formula>
    </cfRule>
    <cfRule type="cellIs" dxfId="22387" priority="8544" operator="equal">
      <formula>"PTO"</formula>
    </cfRule>
  </conditionalFormatting>
  <conditionalFormatting sqref="H27">
    <cfRule type="cellIs" dxfId="22386" priority="8541" operator="equal">
      <formula>"OFF"</formula>
    </cfRule>
    <cfRule type="cellIs" dxfId="22385" priority="8542" operator="equal">
      <formula>"PTO"</formula>
    </cfRule>
  </conditionalFormatting>
  <conditionalFormatting sqref="H27">
    <cfRule type="cellIs" dxfId="22384" priority="8539" operator="equal">
      <formula>"OFF"</formula>
    </cfRule>
    <cfRule type="cellIs" dxfId="22383" priority="8540" operator="equal">
      <formula>"PTO"</formula>
    </cfRule>
  </conditionalFormatting>
  <conditionalFormatting sqref="H27">
    <cfRule type="cellIs" dxfId="22382" priority="8537" operator="equal">
      <formula>"OFF"</formula>
    </cfRule>
    <cfRule type="cellIs" dxfId="22381" priority="8538" operator="equal">
      <formula>"PTO"</formula>
    </cfRule>
  </conditionalFormatting>
  <conditionalFormatting sqref="H26">
    <cfRule type="cellIs" dxfId="22380" priority="8535" operator="equal">
      <formula>"OFF"</formula>
    </cfRule>
    <cfRule type="cellIs" dxfId="22379" priority="8536" operator="equal">
      <formula>"PTO"</formula>
    </cfRule>
  </conditionalFormatting>
  <conditionalFormatting sqref="H26">
    <cfRule type="cellIs" dxfId="22378" priority="8533" operator="equal">
      <formula>"OFF"</formula>
    </cfRule>
    <cfRule type="cellIs" dxfId="22377" priority="8534" operator="equal">
      <formula>"PTO"</formula>
    </cfRule>
  </conditionalFormatting>
  <conditionalFormatting sqref="H26">
    <cfRule type="cellIs" dxfId="22376" priority="8531" operator="equal">
      <formula>"OFF"</formula>
    </cfRule>
    <cfRule type="cellIs" dxfId="22375" priority="8532" operator="equal">
      <formula>"PTO"</formula>
    </cfRule>
  </conditionalFormatting>
  <conditionalFormatting sqref="H26">
    <cfRule type="cellIs" dxfId="22374" priority="8529" operator="equal">
      <formula>"OFF"</formula>
    </cfRule>
    <cfRule type="cellIs" dxfId="22373" priority="8530" operator="equal">
      <formula>"PTO"</formula>
    </cfRule>
  </conditionalFormatting>
  <conditionalFormatting sqref="H26">
    <cfRule type="cellIs" dxfId="22372" priority="8527" operator="equal">
      <formula>"OFF"</formula>
    </cfRule>
    <cfRule type="cellIs" dxfId="22371" priority="8528" operator="equal">
      <formula>"PTO"</formula>
    </cfRule>
  </conditionalFormatting>
  <conditionalFormatting sqref="H26">
    <cfRule type="cellIs" dxfId="22370" priority="8525" operator="equal">
      <formula>"OFF"</formula>
    </cfRule>
    <cfRule type="cellIs" dxfId="22369" priority="8526" operator="equal">
      <formula>"PTO"</formula>
    </cfRule>
  </conditionalFormatting>
  <conditionalFormatting sqref="H26">
    <cfRule type="cellIs" dxfId="22368" priority="8523" operator="equal">
      <formula>"OFF"</formula>
    </cfRule>
    <cfRule type="cellIs" dxfId="22367" priority="8524" operator="equal">
      <formula>"PTO"</formula>
    </cfRule>
  </conditionalFormatting>
  <conditionalFormatting sqref="H26">
    <cfRule type="cellIs" dxfId="22366" priority="8521" operator="equal">
      <formula>"OFF"</formula>
    </cfRule>
    <cfRule type="cellIs" dxfId="22365" priority="8522" operator="equal">
      <formula>"PTO"</formula>
    </cfRule>
  </conditionalFormatting>
  <conditionalFormatting sqref="H27">
    <cfRule type="cellIs" dxfId="22364" priority="8519" operator="equal">
      <formula>"OFF"</formula>
    </cfRule>
    <cfRule type="cellIs" dxfId="22363" priority="8520" operator="equal">
      <formula>"PTO"</formula>
    </cfRule>
  </conditionalFormatting>
  <conditionalFormatting sqref="H27">
    <cfRule type="cellIs" dxfId="22362" priority="8517" operator="equal">
      <formula>"OFF"</formula>
    </cfRule>
    <cfRule type="cellIs" dxfId="22361" priority="8518" operator="equal">
      <formula>"PTO"</formula>
    </cfRule>
  </conditionalFormatting>
  <conditionalFormatting sqref="H27">
    <cfRule type="cellIs" dxfId="22360" priority="8515" operator="equal">
      <formula>"OFF"</formula>
    </cfRule>
    <cfRule type="cellIs" dxfId="22359" priority="8516" operator="equal">
      <formula>"PTO"</formula>
    </cfRule>
  </conditionalFormatting>
  <conditionalFormatting sqref="H27">
    <cfRule type="cellIs" dxfId="22358" priority="8513" operator="equal">
      <formula>"OFF"</formula>
    </cfRule>
    <cfRule type="cellIs" dxfId="22357" priority="8514" operator="equal">
      <formula>"PTO"</formula>
    </cfRule>
  </conditionalFormatting>
  <conditionalFormatting sqref="H27">
    <cfRule type="cellIs" dxfId="22356" priority="8511" operator="equal">
      <formula>"OFF"</formula>
    </cfRule>
    <cfRule type="cellIs" dxfId="22355" priority="8512" operator="equal">
      <formula>"PTO"</formula>
    </cfRule>
  </conditionalFormatting>
  <conditionalFormatting sqref="H27">
    <cfRule type="cellIs" dxfId="22354" priority="8509" operator="equal">
      <formula>"OFF"</formula>
    </cfRule>
    <cfRule type="cellIs" dxfId="22353" priority="8510" operator="equal">
      <formula>"PTO"</formula>
    </cfRule>
  </conditionalFormatting>
  <conditionalFormatting sqref="H27">
    <cfRule type="cellIs" dxfId="22352" priority="8507" operator="equal">
      <formula>"OFF"</formula>
    </cfRule>
    <cfRule type="cellIs" dxfId="22351" priority="8508" operator="equal">
      <formula>"PTO"</formula>
    </cfRule>
  </conditionalFormatting>
  <conditionalFormatting sqref="H27">
    <cfRule type="cellIs" dxfId="22350" priority="8505" operator="equal">
      <formula>"OFF"</formula>
    </cfRule>
    <cfRule type="cellIs" dxfId="22349" priority="8506" operator="equal">
      <formula>"PTO"</formula>
    </cfRule>
  </conditionalFormatting>
  <conditionalFormatting sqref="H26">
    <cfRule type="cellIs" dxfId="22348" priority="8503" operator="equal">
      <formula>"OFF"</formula>
    </cfRule>
    <cfRule type="cellIs" dxfId="22347" priority="8504" operator="equal">
      <formula>"PTO"</formula>
    </cfRule>
  </conditionalFormatting>
  <conditionalFormatting sqref="H26">
    <cfRule type="cellIs" dxfId="22346" priority="8501" operator="equal">
      <formula>"OFF"</formula>
    </cfRule>
    <cfRule type="cellIs" dxfId="22345" priority="8502" operator="equal">
      <formula>"PTO"</formula>
    </cfRule>
  </conditionalFormatting>
  <conditionalFormatting sqref="H26">
    <cfRule type="cellIs" dxfId="22344" priority="8499" operator="equal">
      <formula>"OFF"</formula>
    </cfRule>
    <cfRule type="cellIs" dxfId="22343" priority="8500" operator="equal">
      <formula>"PTO"</formula>
    </cfRule>
  </conditionalFormatting>
  <conditionalFormatting sqref="H26">
    <cfRule type="cellIs" dxfId="22342" priority="8497" operator="equal">
      <formula>"OFF"</formula>
    </cfRule>
    <cfRule type="cellIs" dxfId="22341" priority="8498" operator="equal">
      <formula>"PTO"</formula>
    </cfRule>
  </conditionalFormatting>
  <conditionalFormatting sqref="H26">
    <cfRule type="cellIs" dxfId="22340" priority="8495" operator="equal">
      <formula>"OFF"</formula>
    </cfRule>
    <cfRule type="cellIs" dxfId="22339" priority="8496" operator="equal">
      <formula>"PTO"</formula>
    </cfRule>
  </conditionalFormatting>
  <conditionalFormatting sqref="H26">
    <cfRule type="cellIs" dxfId="22338" priority="8493" operator="equal">
      <formula>"OFF"</formula>
    </cfRule>
    <cfRule type="cellIs" dxfId="22337" priority="8494" operator="equal">
      <formula>"PTO"</formula>
    </cfRule>
  </conditionalFormatting>
  <conditionalFormatting sqref="H26">
    <cfRule type="cellIs" dxfId="22336" priority="8491" operator="equal">
      <formula>"OFF"</formula>
    </cfRule>
    <cfRule type="cellIs" dxfId="22335" priority="8492" operator="equal">
      <formula>"PTO"</formula>
    </cfRule>
  </conditionalFormatting>
  <conditionalFormatting sqref="H26">
    <cfRule type="cellIs" dxfId="22334" priority="8489" operator="equal">
      <formula>"OFF"</formula>
    </cfRule>
    <cfRule type="cellIs" dxfId="22333" priority="8490" operator="equal">
      <formula>"PTO"</formula>
    </cfRule>
  </conditionalFormatting>
  <conditionalFormatting sqref="H27">
    <cfRule type="cellIs" dxfId="22332" priority="8487" operator="equal">
      <formula>"OFF"</formula>
    </cfRule>
    <cfRule type="cellIs" dxfId="22331" priority="8488" operator="equal">
      <formula>"PTO"</formula>
    </cfRule>
  </conditionalFormatting>
  <conditionalFormatting sqref="H27">
    <cfRule type="cellIs" dxfId="22330" priority="8485" operator="equal">
      <formula>"OFF"</formula>
    </cfRule>
    <cfRule type="cellIs" dxfId="22329" priority="8486" operator="equal">
      <formula>"PTO"</formula>
    </cfRule>
  </conditionalFormatting>
  <conditionalFormatting sqref="H27">
    <cfRule type="cellIs" dxfId="22328" priority="8483" operator="equal">
      <formula>"OFF"</formula>
    </cfRule>
    <cfRule type="cellIs" dxfId="22327" priority="8484" operator="equal">
      <formula>"PTO"</formula>
    </cfRule>
  </conditionalFormatting>
  <conditionalFormatting sqref="H27">
    <cfRule type="cellIs" dxfId="22326" priority="8481" operator="equal">
      <formula>"OFF"</formula>
    </cfRule>
    <cfRule type="cellIs" dxfId="22325" priority="8482" operator="equal">
      <formula>"PTO"</formula>
    </cfRule>
  </conditionalFormatting>
  <conditionalFormatting sqref="H27">
    <cfRule type="cellIs" dxfId="22324" priority="8479" operator="equal">
      <formula>"OFF"</formula>
    </cfRule>
    <cfRule type="cellIs" dxfId="22323" priority="8480" operator="equal">
      <formula>"PTO"</formula>
    </cfRule>
  </conditionalFormatting>
  <conditionalFormatting sqref="H27">
    <cfRule type="cellIs" dxfId="22322" priority="8477" operator="equal">
      <formula>"OFF"</formula>
    </cfRule>
    <cfRule type="cellIs" dxfId="22321" priority="8478" operator="equal">
      <formula>"PTO"</formula>
    </cfRule>
  </conditionalFormatting>
  <conditionalFormatting sqref="H27">
    <cfRule type="cellIs" dxfId="22320" priority="8475" operator="equal">
      <formula>"OFF"</formula>
    </cfRule>
    <cfRule type="cellIs" dxfId="22319" priority="8476" operator="equal">
      <formula>"PTO"</formula>
    </cfRule>
  </conditionalFormatting>
  <conditionalFormatting sqref="H27">
    <cfRule type="cellIs" dxfId="22318" priority="8473" operator="equal">
      <formula>"OFF"</formula>
    </cfRule>
    <cfRule type="cellIs" dxfId="22317" priority="8474" operator="equal">
      <formula>"PTO"</formula>
    </cfRule>
  </conditionalFormatting>
  <conditionalFormatting sqref="H26">
    <cfRule type="cellIs" dxfId="22316" priority="8471" operator="equal">
      <formula>"OFF"</formula>
    </cfRule>
    <cfRule type="cellIs" dxfId="22315" priority="8472" operator="equal">
      <formula>"PTO"</formula>
    </cfRule>
  </conditionalFormatting>
  <conditionalFormatting sqref="H26">
    <cfRule type="cellIs" dxfId="22314" priority="8469" operator="equal">
      <formula>"OFF"</formula>
    </cfRule>
    <cfRule type="cellIs" dxfId="22313" priority="8470" operator="equal">
      <formula>"PTO"</formula>
    </cfRule>
  </conditionalFormatting>
  <conditionalFormatting sqref="H26">
    <cfRule type="cellIs" dxfId="22312" priority="8467" operator="equal">
      <formula>"OFF"</formula>
    </cfRule>
    <cfRule type="cellIs" dxfId="22311" priority="8468" operator="equal">
      <formula>"PTO"</formula>
    </cfRule>
  </conditionalFormatting>
  <conditionalFormatting sqref="H26">
    <cfRule type="cellIs" dxfId="22310" priority="8465" operator="equal">
      <formula>"OFF"</formula>
    </cfRule>
    <cfRule type="cellIs" dxfId="22309" priority="8466" operator="equal">
      <formula>"PTO"</formula>
    </cfRule>
  </conditionalFormatting>
  <conditionalFormatting sqref="H26">
    <cfRule type="cellIs" dxfId="22308" priority="8463" operator="equal">
      <formula>"OFF"</formula>
    </cfRule>
    <cfRule type="cellIs" dxfId="22307" priority="8464" operator="equal">
      <formula>"PTO"</formula>
    </cfRule>
  </conditionalFormatting>
  <conditionalFormatting sqref="H26">
    <cfRule type="cellIs" dxfId="22306" priority="8461" operator="equal">
      <formula>"OFF"</formula>
    </cfRule>
    <cfRule type="cellIs" dxfId="22305" priority="8462" operator="equal">
      <formula>"PTO"</formula>
    </cfRule>
  </conditionalFormatting>
  <conditionalFormatting sqref="H26">
    <cfRule type="cellIs" dxfId="22304" priority="8459" operator="equal">
      <formula>"OFF"</formula>
    </cfRule>
    <cfRule type="cellIs" dxfId="22303" priority="8460" operator="equal">
      <formula>"PTO"</formula>
    </cfRule>
  </conditionalFormatting>
  <conditionalFormatting sqref="H26">
    <cfRule type="cellIs" dxfId="22302" priority="8457" operator="equal">
      <formula>"OFF"</formula>
    </cfRule>
    <cfRule type="cellIs" dxfId="22301" priority="8458" operator="equal">
      <formula>"PTO"</formula>
    </cfRule>
  </conditionalFormatting>
  <conditionalFormatting sqref="H27">
    <cfRule type="cellIs" dxfId="22300" priority="8455" operator="equal">
      <formula>"OFF"</formula>
    </cfRule>
    <cfRule type="cellIs" dxfId="22299" priority="8456" operator="equal">
      <formula>"PTO"</formula>
    </cfRule>
  </conditionalFormatting>
  <conditionalFormatting sqref="H27">
    <cfRule type="cellIs" dxfId="22298" priority="8453" operator="equal">
      <formula>"OFF"</formula>
    </cfRule>
    <cfRule type="cellIs" dxfId="22297" priority="8454" operator="equal">
      <formula>"PTO"</formula>
    </cfRule>
  </conditionalFormatting>
  <conditionalFormatting sqref="H27">
    <cfRule type="cellIs" dxfId="22296" priority="8451" operator="equal">
      <formula>"OFF"</formula>
    </cfRule>
    <cfRule type="cellIs" dxfId="22295" priority="8452" operator="equal">
      <formula>"PTO"</formula>
    </cfRule>
  </conditionalFormatting>
  <conditionalFormatting sqref="H27">
    <cfRule type="cellIs" dxfId="22294" priority="8449" operator="equal">
      <formula>"OFF"</formula>
    </cfRule>
    <cfRule type="cellIs" dxfId="22293" priority="8450" operator="equal">
      <formula>"PTO"</formula>
    </cfRule>
  </conditionalFormatting>
  <conditionalFormatting sqref="H27">
    <cfRule type="cellIs" dxfId="22292" priority="8447" operator="equal">
      <formula>"OFF"</formula>
    </cfRule>
    <cfRule type="cellIs" dxfId="22291" priority="8448" operator="equal">
      <formula>"PTO"</formula>
    </cfRule>
  </conditionalFormatting>
  <conditionalFormatting sqref="H27">
    <cfRule type="cellIs" dxfId="22290" priority="8445" operator="equal">
      <formula>"OFF"</formula>
    </cfRule>
    <cfRule type="cellIs" dxfId="22289" priority="8446" operator="equal">
      <formula>"PTO"</formula>
    </cfRule>
  </conditionalFormatting>
  <conditionalFormatting sqref="H27">
    <cfRule type="cellIs" dxfId="22288" priority="8443" operator="equal">
      <formula>"OFF"</formula>
    </cfRule>
    <cfRule type="cellIs" dxfId="22287" priority="8444" operator="equal">
      <formula>"PTO"</formula>
    </cfRule>
  </conditionalFormatting>
  <conditionalFormatting sqref="H27">
    <cfRule type="cellIs" dxfId="22286" priority="8441" operator="equal">
      <formula>"OFF"</formula>
    </cfRule>
    <cfRule type="cellIs" dxfId="22285" priority="8442" operator="equal">
      <formula>"PTO"</formula>
    </cfRule>
  </conditionalFormatting>
  <conditionalFormatting sqref="H26">
    <cfRule type="cellIs" dxfId="22284" priority="8439" operator="equal">
      <formula>"OFF"</formula>
    </cfRule>
    <cfRule type="cellIs" dxfId="22283" priority="8440" operator="equal">
      <formula>"PTO"</formula>
    </cfRule>
  </conditionalFormatting>
  <conditionalFormatting sqref="H26">
    <cfRule type="cellIs" dxfId="22282" priority="8437" operator="equal">
      <formula>"OFF"</formula>
    </cfRule>
    <cfRule type="cellIs" dxfId="22281" priority="8438" operator="equal">
      <formula>"PTO"</formula>
    </cfRule>
  </conditionalFormatting>
  <conditionalFormatting sqref="H26">
    <cfRule type="cellIs" dxfId="22280" priority="8435" operator="equal">
      <formula>"OFF"</formula>
    </cfRule>
    <cfRule type="cellIs" dxfId="22279" priority="8436" operator="equal">
      <formula>"PTO"</formula>
    </cfRule>
  </conditionalFormatting>
  <conditionalFormatting sqref="H26">
    <cfRule type="cellIs" dxfId="22278" priority="8433" operator="equal">
      <formula>"OFF"</formula>
    </cfRule>
    <cfRule type="cellIs" dxfId="22277" priority="8434" operator="equal">
      <formula>"PTO"</formula>
    </cfRule>
  </conditionalFormatting>
  <conditionalFormatting sqref="H26">
    <cfRule type="cellIs" dxfId="22276" priority="8431" operator="equal">
      <formula>"OFF"</formula>
    </cfRule>
    <cfRule type="cellIs" dxfId="22275" priority="8432" operator="equal">
      <formula>"PTO"</formula>
    </cfRule>
  </conditionalFormatting>
  <conditionalFormatting sqref="H26">
    <cfRule type="cellIs" dxfId="22274" priority="8429" operator="equal">
      <formula>"OFF"</formula>
    </cfRule>
    <cfRule type="cellIs" dxfId="22273" priority="8430" operator="equal">
      <formula>"PTO"</formula>
    </cfRule>
  </conditionalFormatting>
  <conditionalFormatting sqref="H26">
    <cfRule type="cellIs" dxfId="22272" priority="8427" operator="equal">
      <formula>"OFF"</formula>
    </cfRule>
    <cfRule type="cellIs" dxfId="22271" priority="8428" operator="equal">
      <formula>"PTO"</formula>
    </cfRule>
  </conditionalFormatting>
  <conditionalFormatting sqref="H26">
    <cfRule type="cellIs" dxfId="22270" priority="8425" operator="equal">
      <formula>"OFF"</formula>
    </cfRule>
    <cfRule type="cellIs" dxfId="22269" priority="8426" operator="equal">
      <formula>"PTO"</formula>
    </cfRule>
  </conditionalFormatting>
  <conditionalFormatting sqref="H27">
    <cfRule type="cellIs" dxfId="22268" priority="8423" operator="equal">
      <formula>"OFF"</formula>
    </cfRule>
    <cfRule type="cellIs" dxfId="22267" priority="8424" operator="equal">
      <formula>"PTO"</formula>
    </cfRule>
  </conditionalFormatting>
  <conditionalFormatting sqref="H27">
    <cfRule type="cellIs" dxfId="22266" priority="8421" operator="equal">
      <formula>"OFF"</formula>
    </cfRule>
    <cfRule type="cellIs" dxfId="22265" priority="8422" operator="equal">
      <formula>"PTO"</formula>
    </cfRule>
  </conditionalFormatting>
  <conditionalFormatting sqref="H27">
    <cfRule type="cellIs" dxfId="22264" priority="8419" operator="equal">
      <formula>"OFF"</formula>
    </cfRule>
    <cfRule type="cellIs" dxfId="22263" priority="8420" operator="equal">
      <formula>"PTO"</formula>
    </cfRule>
  </conditionalFormatting>
  <conditionalFormatting sqref="H27">
    <cfRule type="cellIs" dxfId="22262" priority="8417" operator="equal">
      <formula>"OFF"</formula>
    </cfRule>
    <cfRule type="cellIs" dxfId="22261" priority="8418" operator="equal">
      <formula>"PTO"</formula>
    </cfRule>
  </conditionalFormatting>
  <conditionalFormatting sqref="H27">
    <cfRule type="cellIs" dxfId="22260" priority="8415" operator="equal">
      <formula>"OFF"</formula>
    </cfRule>
    <cfRule type="cellIs" dxfId="22259" priority="8416" operator="equal">
      <formula>"PTO"</formula>
    </cfRule>
  </conditionalFormatting>
  <conditionalFormatting sqref="H27">
    <cfRule type="cellIs" dxfId="22258" priority="8413" operator="equal">
      <formula>"OFF"</formula>
    </cfRule>
    <cfRule type="cellIs" dxfId="22257" priority="8414" operator="equal">
      <formula>"PTO"</formula>
    </cfRule>
  </conditionalFormatting>
  <conditionalFormatting sqref="H27">
    <cfRule type="cellIs" dxfId="22256" priority="8411" operator="equal">
      <formula>"OFF"</formula>
    </cfRule>
    <cfRule type="cellIs" dxfId="22255" priority="8412" operator="equal">
      <formula>"PTO"</formula>
    </cfRule>
  </conditionalFormatting>
  <conditionalFormatting sqref="H27">
    <cfRule type="cellIs" dxfId="22254" priority="8409" operator="equal">
      <formula>"OFF"</formula>
    </cfRule>
    <cfRule type="cellIs" dxfId="22253" priority="8410" operator="equal">
      <formula>"PTO"</formula>
    </cfRule>
  </conditionalFormatting>
  <conditionalFormatting sqref="H26">
    <cfRule type="cellIs" dxfId="22252" priority="8407" operator="equal">
      <formula>"OFF"</formula>
    </cfRule>
    <cfRule type="cellIs" dxfId="22251" priority="8408" operator="equal">
      <formula>"PTO"</formula>
    </cfRule>
  </conditionalFormatting>
  <conditionalFormatting sqref="H26">
    <cfRule type="cellIs" dxfId="22250" priority="8405" operator="equal">
      <formula>"OFF"</formula>
    </cfRule>
    <cfRule type="cellIs" dxfId="22249" priority="8406" operator="equal">
      <formula>"PTO"</formula>
    </cfRule>
  </conditionalFormatting>
  <conditionalFormatting sqref="H26">
    <cfRule type="cellIs" dxfId="22248" priority="8403" operator="equal">
      <formula>"OFF"</formula>
    </cfRule>
    <cfRule type="cellIs" dxfId="22247" priority="8404" operator="equal">
      <formula>"PTO"</formula>
    </cfRule>
  </conditionalFormatting>
  <conditionalFormatting sqref="H26">
    <cfRule type="cellIs" dxfId="22246" priority="8401" operator="equal">
      <formula>"OFF"</formula>
    </cfRule>
    <cfRule type="cellIs" dxfId="22245" priority="8402" operator="equal">
      <formula>"PTO"</formula>
    </cfRule>
  </conditionalFormatting>
  <conditionalFormatting sqref="H26">
    <cfRule type="cellIs" dxfId="22244" priority="8399" operator="equal">
      <formula>"OFF"</formula>
    </cfRule>
    <cfRule type="cellIs" dxfId="22243" priority="8400" operator="equal">
      <formula>"PTO"</formula>
    </cfRule>
  </conditionalFormatting>
  <conditionalFormatting sqref="H26">
    <cfRule type="cellIs" dxfId="22242" priority="8397" operator="equal">
      <formula>"OFF"</formula>
    </cfRule>
    <cfRule type="cellIs" dxfId="22241" priority="8398" operator="equal">
      <formula>"PTO"</formula>
    </cfRule>
  </conditionalFormatting>
  <conditionalFormatting sqref="H26">
    <cfRule type="cellIs" dxfId="22240" priority="8395" operator="equal">
      <formula>"OFF"</formula>
    </cfRule>
    <cfRule type="cellIs" dxfId="22239" priority="8396" operator="equal">
      <formula>"PTO"</formula>
    </cfRule>
  </conditionalFormatting>
  <conditionalFormatting sqref="H26">
    <cfRule type="cellIs" dxfId="22238" priority="8393" operator="equal">
      <formula>"OFF"</formula>
    </cfRule>
    <cfRule type="cellIs" dxfId="22237" priority="8394" operator="equal">
      <formula>"PTO"</formula>
    </cfRule>
  </conditionalFormatting>
  <conditionalFormatting sqref="H27">
    <cfRule type="cellIs" dxfId="22236" priority="8391" operator="equal">
      <formula>"OFF"</formula>
    </cfRule>
    <cfRule type="cellIs" dxfId="22235" priority="8392" operator="equal">
      <formula>"PTO"</formula>
    </cfRule>
  </conditionalFormatting>
  <conditionalFormatting sqref="H27">
    <cfRule type="cellIs" dxfId="22234" priority="8389" operator="equal">
      <formula>"OFF"</formula>
    </cfRule>
    <cfRule type="cellIs" dxfId="22233" priority="8390" operator="equal">
      <formula>"PTO"</formula>
    </cfRule>
  </conditionalFormatting>
  <conditionalFormatting sqref="H27">
    <cfRule type="cellIs" dxfId="22232" priority="8387" operator="equal">
      <formula>"OFF"</formula>
    </cfRule>
    <cfRule type="cellIs" dxfId="22231" priority="8388" operator="equal">
      <formula>"PTO"</formula>
    </cfRule>
  </conditionalFormatting>
  <conditionalFormatting sqref="H27">
    <cfRule type="cellIs" dxfId="22230" priority="8385" operator="equal">
      <formula>"OFF"</formula>
    </cfRule>
    <cfRule type="cellIs" dxfId="22229" priority="8386" operator="equal">
      <formula>"PTO"</formula>
    </cfRule>
  </conditionalFormatting>
  <conditionalFormatting sqref="H27">
    <cfRule type="cellIs" dxfId="22228" priority="8383" operator="equal">
      <formula>"OFF"</formula>
    </cfRule>
    <cfRule type="cellIs" dxfId="22227" priority="8384" operator="equal">
      <formula>"PTO"</formula>
    </cfRule>
  </conditionalFormatting>
  <conditionalFormatting sqref="H27">
    <cfRule type="cellIs" dxfId="22226" priority="8381" operator="equal">
      <formula>"OFF"</formula>
    </cfRule>
    <cfRule type="cellIs" dxfId="22225" priority="8382" operator="equal">
      <formula>"PTO"</formula>
    </cfRule>
  </conditionalFormatting>
  <conditionalFormatting sqref="H27">
    <cfRule type="cellIs" dxfId="22224" priority="8379" operator="equal">
      <formula>"OFF"</formula>
    </cfRule>
    <cfRule type="cellIs" dxfId="22223" priority="8380" operator="equal">
      <formula>"PTO"</formula>
    </cfRule>
  </conditionalFormatting>
  <conditionalFormatting sqref="H27">
    <cfRule type="cellIs" dxfId="22222" priority="8377" operator="equal">
      <formula>"OFF"</formula>
    </cfRule>
    <cfRule type="cellIs" dxfId="22221" priority="8378" operator="equal">
      <formula>"PTO"</formula>
    </cfRule>
  </conditionalFormatting>
  <conditionalFormatting sqref="H26">
    <cfRule type="cellIs" dxfId="22220" priority="8375" operator="equal">
      <formula>"OFF"</formula>
    </cfRule>
    <cfRule type="cellIs" dxfId="22219" priority="8376" operator="equal">
      <formula>"PTO"</formula>
    </cfRule>
  </conditionalFormatting>
  <conditionalFormatting sqref="H26">
    <cfRule type="cellIs" dxfId="22218" priority="8373" operator="equal">
      <formula>"OFF"</formula>
    </cfRule>
    <cfRule type="cellIs" dxfId="22217" priority="8374" operator="equal">
      <formula>"PTO"</formula>
    </cfRule>
  </conditionalFormatting>
  <conditionalFormatting sqref="H26">
    <cfRule type="cellIs" dxfId="22216" priority="8371" operator="equal">
      <formula>"OFF"</formula>
    </cfRule>
    <cfRule type="cellIs" dxfId="22215" priority="8372" operator="equal">
      <formula>"PTO"</formula>
    </cfRule>
  </conditionalFormatting>
  <conditionalFormatting sqref="H26">
    <cfRule type="cellIs" dxfId="22214" priority="8369" operator="equal">
      <formula>"OFF"</formula>
    </cfRule>
    <cfRule type="cellIs" dxfId="22213" priority="8370" operator="equal">
      <formula>"PTO"</formula>
    </cfRule>
  </conditionalFormatting>
  <conditionalFormatting sqref="H26">
    <cfRule type="cellIs" dxfId="22212" priority="8367" operator="equal">
      <formula>"OFF"</formula>
    </cfRule>
    <cfRule type="cellIs" dxfId="22211" priority="8368" operator="equal">
      <formula>"PTO"</formula>
    </cfRule>
  </conditionalFormatting>
  <conditionalFormatting sqref="H26">
    <cfRule type="cellIs" dxfId="22210" priority="8365" operator="equal">
      <formula>"OFF"</formula>
    </cfRule>
    <cfRule type="cellIs" dxfId="22209" priority="8366" operator="equal">
      <formula>"PTO"</formula>
    </cfRule>
  </conditionalFormatting>
  <conditionalFormatting sqref="H26">
    <cfRule type="cellIs" dxfId="22208" priority="8363" operator="equal">
      <formula>"OFF"</formula>
    </cfRule>
    <cfRule type="cellIs" dxfId="22207" priority="8364" operator="equal">
      <formula>"PTO"</formula>
    </cfRule>
  </conditionalFormatting>
  <conditionalFormatting sqref="H26">
    <cfRule type="cellIs" dxfId="22206" priority="8361" operator="equal">
      <formula>"OFF"</formula>
    </cfRule>
    <cfRule type="cellIs" dxfId="22205" priority="8362" operator="equal">
      <formula>"PTO"</formula>
    </cfRule>
  </conditionalFormatting>
  <conditionalFormatting sqref="H27">
    <cfRule type="cellIs" dxfId="22204" priority="8359" operator="equal">
      <formula>"OFF"</formula>
    </cfRule>
    <cfRule type="cellIs" dxfId="22203" priority="8360" operator="equal">
      <formula>"PTO"</formula>
    </cfRule>
  </conditionalFormatting>
  <conditionalFormatting sqref="H27">
    <cfRule type="cellIs" dxfId="22202" priority="8357" operator="equal">
      <formula>"OFF"</formula>
    </cfRule>
    <cfRule type="cellIs" dxfId="22201" priority="8358" operator="equal">
      <formula>"PTO"</formula>
    </cfRule>
  </conditionalFormatting>
  <conditionalFormatting sqref="H27">
    <cfRule type="cellIs" dxfId="22200" priority="8355" operator="equal">
      <formula>"OFF"</formula>
    </cfRule>
    <cfRule type="cellIs" dxfId="22199" priority="8356" operator="equal">
      <formula>"PTO"</formula>
    </cfRule>
  </conditionalFormatting>
  <conditionalFormatting sqref="H27">
    <cfRule type="cellIs" dxfId="22198" priority="8353" operator="equal">
      <formula>"OFF"</formula>
    </cfRule>
    <cfRule type="cellIs" dxfId="22197" priority="8354" operator="equal">
      <formula>"PTO"</formula>
    </cfRule>
  </conditionalFormatting>
  <conditionalFormatting sqref="H27">
    <cfRule type="cellIs" dxfId="22196" priority="8351" operator="equal">
      <formula>"OFF"</formula>
    </cfRule>
    <cfRule type="cellIs" dxfId="22195" priority="8352" operator="equal">
      <formula>"PTO"</formula>
    </cfRule>
  </conditionalFormatting>
  <conditionalFormatting sqref="H27">
    <cfRule type="cellIs" dxfId="22194" priority="8349" operator="equal">
      <formula>"OFF"</formula>
    </cfRule>
    <cfRule type="cellIs" dxfId="22193" priority="8350" operator="equal">
      <formula>"PTO"</formula>
    </cfRule>
  </conditionalFormatting>
  <conditionalFormatting sqref="H27">
    <cfRule type="cellIs" dxfId="22192" priority="8347" operator="equal">
      <formula>"OFF"</formula>
    </cfRule>
    <cfRule type="cellIs" dxfId="22191" priority="8348" operator="equal">
      <formula>"PTO"</formula>
    </cfRule>
  </conditionalFormatting>
  <conditionalFormatting sqref="H27">
    <cfRule type="cellIs" dxfId="22190" priority="8345" operator="equal">
      <formula>"OFF"</formula>
    </cfRule>
    <cfRule type="cellIs" dxfId="22189" priority="8346" operator="equal">
      <formula>"PTO"</formula>
    </cfRule>
  </conditionalFormatting>
  <conditionalFormatting sqref="H29:H39">
    <cfRule type="cellIs" dxfId="22188" priority="8343" operator="equal">
      <formula>"OFF"</formula>
    </cfRule>
    <cfRule type="cellIs" dxfId="22187" priority="8344" operator="equal">
      <formula>"PTO"</formula>
    </cfRule>
  </conditionalFormatting>
  <conditionalFormatting sqref="H29">
    <cfRule type="cellIs" dxfId="22186" priority="8341" operator="equal">
      <formula>"OFF"</formula>
    </cfRule>
    <cfRule type="cellIs" dxfId="22185" priority="8342" operator="equal">
      <formula>"PTO"</formula>
    </cfRule>
  </conditionalFormatting>
  <conditionalFormatting sqref="H29">
    <cfRule type="cellIs" dxfId="22184" priority="8339" operator="equal">
      <formula>"OFF"</formula>
    </cfRule>
    <cfRule type="cellIs" dxfId="22183" priority="8340" operator="equal">
      <formula>"PTO"</formula>
    </cfRule>
  </conditionalFormatting>
  <conditionalFormatting sqref="H29">
    <cfRule type="cellIs" dxfId="22182" priority="8337" operator="equal">
      <formula>"OFF"</formula>
    </cfRule>
    <cfRule type="cellIs" dxfId="22181" priority="8338" operator="equal">
      <formula>"PTO"</formula>
    </cfRule>
  </conditionalFormatting>
  <conditionalFormatting sqref="H29">
    <cfRule type="cellIs" dxfId="22180" priority="8335" operator="equal">
      <formula>"OFF"</formula>
    </cfRule>
    <cfRule type="cellIs" dxfId="22179" priority="8336" operator="equal">
      <formula>"PTO"</formula>
    </cfRule>
  </conditionalFormatting>
  <conditionalFormatting sqref="H29">
    <cfRule type="cellIs" dxfId="22178" priority="8333" operator="equal">
      <formula>"OFF"</formula>
    </cfRule>
    <cfRule type="cellIs" dxfId="22177" priority="8334" operator="equal">
      <formula>"PTO"</formula>
    </cfRule>
  </conditionalFormatting>
  <conditionalFormatting sqref="H29">
    <cfRule type="cellIs" dxfId="22176" priority="8331" operator="equal">
      <formula>"OFF"</formula>
    </cfRule>
    <cfRule type="cellIs" dxfId="22175" priority="8332" operator="equal">
      <formula>"PTO"</formula>
    </cfRule>
  </conditionalFormatting>
  <conditionalFormatting sqref="H29">
    <cfRule type="cellIs" dxfId="22174" priority="8329" operator="equal">
      <formula>"OFF"</formula>
    </cfRule>
    <cfRule type="cellIs" dxfId="22173" priority="8330" operator="equal">
      <formula>"PTO"</formula>
    </cfRule>
  </conditionalFormatting>
  <conditionalFormatting sqref="H29">
    <cfRule type="cellIs" dxfId="22172" priority="8327" operator="equal">
      <formula>"OFF"</formula>
    </cfRule>
    <cfRule type="cellIs" dxfId="22171" priority="8328" operator="equal">
      <formula>"PTO"</formula>
    </cfRule>
  </conditionalFormatting>
  <conditionalFormatting sqref="H29">
    <cfRule type="cellIs" dxfId="22170" priority="8325" operator="equal">
      <formula>"OFF"</formula>
    </cfRule>
    <cfRule type="cellIs" dxfId="22169" priority="8326" operator="equal">
      <formula>"PTO"</formula>
    </cfRule>
  </conditionalFormatting>
  <conditionalFormatting sqref="H29">
    <cfRule type="cellIs" dxfId="22168" priority="8323" operator="equal">
      <formula>"OFF"</formula>
    </cfRule>
    <cfRule type="cellIs" dxfId="22167" priority="8324" operator="equal">
      <formula>"PTO"</formula>
    </cfRule>
  </conditionalFormatting>
  <conditionalFormatting sqref="H29">
    <cfRule type="cellIs" dxfId="22166" priority="8321" operator="equal">
      <formula>"OFF"</formula>
    </cfRule>
    <cfRule type="cellIs" dxfId="22165" priority="8322" operator="equal">
      <formula>"PTO"</formula>
    </cfRule>
  </conditionalFormatting>
  <conditionalFormatting sqref="H29">
    <cfRule type="cellIs" dxfId="22164" priority="8319" operator="equal">
      <formula>"OFF"</formula>
    </cfRule>
    <cfRule type="cellIs" dxfId="22163" priority="8320" operator="equal">
      <formula>"PTO"</formula>
    </cfRule>
  </conditionalFormatting>
  <conditionalFormatting sqref="H29">
    <cfRule type="cellIs" dxfId="22162" priority="8317" operator="equal">
      <formula>"OFF"</formula>
    </cfRule>
    <cfRule type="cellIs" dxfId="22161" priority="8318" operator="equal">
      <formula>"PTO"</formula>
    </cfRule>
  </conditionalFormatting>
  <conditionalFormatting sqref="H29">
    <cfRule type="cellIs" dxfId="22160" priority="8315" operator="equal">
      <formula>"OFF"</formula>
    </cfRule>
    <cfRule type="cellIs" dxfId="22159" priority="8316" operator="equal">
      <formula>"PTO"</formula>
    </cfRule>
  </conditionalFormatting>
  <conditionalFormatting sqref="H29">
    <cfRule type="cellIs" dxfId="22158" priority="8313" operator="equal">
      <formula>"OFF"</formula>
    </cfRule>
    <cfRule type="cellIs" dxfId="22157" priority="8314" operator="equal">
      <formula>"PTO"</formula>
    </cfRule>
  </conditionalFormatting>
  <conditionalFormatting sqref="H29">
    <cfRule type="cellIs" dxfId="22156" priority="8311" operator="equal">
      <formula>"OFF"</formula>
    </cfRule>
    <cfRule type="cellIs" dxfId="22155" priority="8312" operator="equal">
      <formula>"PTO"</formula>
    </cfRule>
  </conditionalFormatting>
  <conditionalFormatting sqref="H29">
    <cfRule type="cellIs" dxfId="22154" priority="8309" operator="equal">
      <formula>"OFF"</formula>
    </cfRule>
    <cfRule type="cellIs" dxfId="22153" priority="8310" operator="equal">
      <formula>"PTO"</formula>
    </cfRule>
  </conditionalFormatting>
  <conditionalFormatting sqref="H29">
    <cfRule type="cellIs" dxfId="22152" priority="8307" operator="equal">
      <formula>"OFF"</formula>
    </cfRule>
    <cfRule type="cellIs" dxfId="22151" priority="8308" operator="equal">
      <formula>"PTO"</formula>
    </cfRule>
  </conditionalFormatting>
  <conditionalFormatting sqref="H29">
    <cfRule type="cellIs" dxfId="22150" priority="8305" operator="equal">
      <formula>"OFF"</formula>
    </cfRule>
    <cfRule type="cellIs" dxfId="22149" priority="8306" operator="equal">
      <formula>"PTO"</formula>
    </cfRule>
  </conditionalFormatting>
  <conditionalFormatting sqref="H29">
    <cfRule type="cellIs" dxfId="22148" priority="8303" operator="equal">
      <formula>"OFF"</formula>
    </cfRule>
    <cfRule type="cellIs" dxfId="22147" priority="8304" operator="equal">
      <formula>"PTO"</formula>
    </cfRule>
  </conditionalFormatting>
  <conditionalFormatting sqref="H29">
    <cfRule type="cellIs" dxfId="22146" priority="8301" operator="equal">
      <formula>"OFF"</formula>
    </cfRule>
    <cfRule type="cellIs" dxfId="22145" priority="8302" operator="equal">
      <formula>"PTO"</formula>
    </cfRule>
  </conditionalFormatting>
  <conditionalFormatting sqref="H29">
    <cfRule type="cellIs" dxfId="22144" priority="8299" operator="equal">
      <formula>"OFF"</formula>
    </cfRule>
    <cfRule type="cellIs" dxfId="22143" priority="8300" operator="equal">
      <formula>"PTO"</formula>
    </cfRule>
  </conditionalFormatting>
  <conditionalFormatting sqref="H29">
    <cfRule type="cellIs" dxfId="22142" priority="8297" operator="equal">
      <formula>"OFF"</formula>
    </cfRule>
    <cfRule type="cellIs" dxfId="22141" priority="8298" operator="equal">
      <formula>"PTO"</formula>
    </cfRule>
  </conditionalFormatting>
  <conditionalFormatting sqref="H29">
    <cfRule type="cellIs" dxfId="22140" priority="8295" operator="equal">
      <formula>"OFF"</formula>
    </cfRule>
    <cfRule type="cellIs" dxfId="22139" priority="8296" operator="equal">
      <formula>"PTO"</formula>
    </cfRule>
  </conditionalFormatting>
  <conditionalFormatting sqref="H29">
    <cfRule type="cellIs" dxfId="22138" priority="8293" operator="equal">
      <formula>"OFF"</formula>
    </cfRule>
    <cfRule type="cellIs" dxfId="22137" priority="8294" operator="equal">
      <formula>"PTO"</formula>
    </cfRule>
  </conditionalFormatting>
  <conditionalFormatting sqref="H29">
    <cfRule type="cellIs" dxfId="22136" priority="8291" operator="equal">
      <formula>"OFF"</formula>
    </cfRule>
    <cfRule type="cellIs" dxfId="22135" priority="8292" operator="equal">
      <formula>"PTO"</formula>
    </cfRule>
  </conditionalFormatting>
  <conditionalFormatting sqref="H29">
    <cfRule type="cellIs" dxfId="22134" priority="8289" operator="equal">
      <formula>"OFF"</formula>
    </cfRule>
    <cfRule type="cellIs" dxfId="22133" priority="8290" operator="equal">
      <formula>"PTO"</formula>
    </cfRule>
  </conditionalFormatting>
  <conditionalFormatting sqref="H29">
    <cfRule type="cellIs" dxfId="22132" priority="8287" operator="equal">
      <formula>"OFF"</formula>
    </cfRule>
    <cfRule type="cellIs" dxfId="22131" priority="8288" operator="equal">
      <formula>"PTO"</formula>
    </cfRule>
  </conditionalFormatting>
  <conditionalFormatting sqref="H29">
    <cfRule type="cellIs" dxfId="22130" priority="8285" operator="equal">
      <formula>"OFF"</formula>
    </cfRule>
    <cfRule type="cellIs" dxfId="22129" priority="8286" operator="equal">
      <formula>"PTO"</formula>
    </cfRule>
  </conditionalFormatting>
  <conditionalFormatting sqref="H29">
    <cfRule type="cellIs" dxfId="22128" priority="8283" operator="equal">
      <formula>"OFF"</formula>
    </cfRule>
    <cfRule type="cellIs" dxfId="22127" priority="8284" operator="equal">
      <formula>"PTO"</formula>
    </cfRule>
  </conditionalFormatting>
  <conditionalFormatting sqref="H29">
    <cfRule type="cellIs" dxfId="22126" priority="8281" operator="equal">
      <formula>"OFF"</formula>
    </cfRule>
    <cfRule type="cellIs" dxfId="22125" priority="8282" operator="equal">
      <formula>"PTO"</formula>
    </cfRule>
  </conditionalFormatting>
  <conditionalFormatting sqref="H29">
    <cfRule type="cellIs" dxfId="22124" priority="8279" operator="equal">
      <formula>"OFF"</formula>
    </cfRule>
    <cfRule type="cellIs" dxfId="22123" priority="8280" operator="equal">
      <formula>"PTO"</formula>
    </cfRule>
  </conditionalFormatting>
  <conditionalFormatting sqref="H29">
    <cfRule type="cellIs" dxfId="22122" priority="8277" operator="equal">
      <formula>"OFF"</formula>
    </cfRule>
    <cfRule type="cellIs" dxfId="22121" priority="8278" operator="equal">
      <formula>"PTO"</formula>
    </cfRule>
  </conditionalFormatting>
  <conditionalFormatting sqref="H29">
    <cfRule type="cellIs" dxfId="22120" priority="8275" operator="equal">
      <formula>"OFF"</formula>
    </cfRule>
    <cfRule type="cellIs" dxfId="22119" priority="8276" operator="equal">
      <formula>"PTO"</formula>
    </cfRule>
  </conditionalFormatting>
  <conditionalFormatting sqref="H29">
    <cfRule type="cellIs" dxfId="22118" priority="8273" operator="equal">
      <formula>"OFF"</formula>
    </cfRule>
    <cfRule type="cellIs" dxfId="22117" priority="8274" operator="equal">
      <formula>"PTO"</formula>
    </cfRule>
  </conditionalFormatting>
  <conditionalFormatting sqref="H29">
    <cfRule type="cellIs" dxfId="22116" priority="8271" operator="equal">
      <formula>"OFF"</formula>
    </cfRule>
    <cfRule type="cellIs" dxfId="22115" priority="8272" operator="equal">
      <formula>"PTO"</formula>
    </cfRule>
  </conditionalFormatting>
  <conditionalFormatting sqref="H29">
    <cfRule type="cellIs" dxfId="22114" priority="8269" operator="equal">
      <formula>"OFF"</formula>
    </cfRule>
    <cfRule type="cellIs" dxfId="22113" priority="8270" operator="equal">
      <formula>"PTO"</formula>
    </cfRule>
  </conditionalFormatting>
  <conditionalFormatting sqref="H29">
    <cfRule type="cellIs" dxfId="22112" priority="8267" operator="equal">
      <formula>"OFF"</formula>
    </cfRule>
    <cfRule type="cellIs" dxfId="22111" priority="8268" operator="equal">
      <formula>"PTO"</formula>
    </cfRule>
  </conditionalFormatting>
  <conditionalFormatting sqref="H29">
    <cfRule type="cellIs" dxfId="22110" priority="8265" operator="equal">
      <formula>"OFF"</formula>
    </cfRule>
    <cfRule type="cellIs" dxfId="22109" priority="8266" operator="equal">
      <formula>"PTO"</formula>
    </cfRule>
  </conditionalFormatting>
  <conditionalFormatting sqref="H29">
    <cfRule type="cellIs" dxfId="22108" priority="8263" operator="equal">
      <formula>"OFF"</formula>
    </cfRule>
    <cfRule type="cellIs" dxfId="22107" priority="8264" operator="equal">
      <formula>"PTO"</formula>
    </cfRule>
  </conditionalFormatting>
  <conditionalFormatting sqref="H29">
    <cfRule type="cellIs" dxfId="22106" priority="8261" operator="equal">
      <formula>"OFF"</formula>
    </cfRule>
    <cfRule type="cellIs" dxfId="22105" priority="8262" operator="equal">
      <formula>"PTO"</formula>
    </cfRule>
  </conditionalFormatting>
  <conditionalFormatting sqref="H29">
    <cfRule type="cellIs" dxfId="22104" priority="8259" operator="equal">
      <formula>"OFF"</formula>
    </cfRule>
    <cfRule type="cellIs" dxfId="22103" priority="8260" operator="equal">
      <formula>"PTO"</formula>
    </cfRule>
  </conditionalFormatting>
  <conditionalFormatting sqref="H29">
    <cfRule type="cellIs" dxfId="22102" priority="8257" operator="equal">
      <formula>"OFF"</formula>
    </cfRule>
    <cfRule type="cellIs" dxfId="22101" priority="8258" operator="equal">
      <formula>"PTO"</formula>
    </cfRule>
  </conditionalFormatting>
  <conditionalFormatting sqref="H29">
    <cfRule type="cellIs" dxfId="22100" priority="8255" operator="equal">
      <formula>"OFF"</formula>
    </cfRule>
    <cfRule type="cellIs" dxfId="22099" priority="8256" operator="equal">
      <formula>"PTO"</formula>
    </cfRule>
  </conditionalFormatting>
  <conditionalFormatting sqref="H29">
    <cfRule type="cellIs" dxfId="22098" priority="8253" operator="equal">
      <formula>"OFF"</formula>
    </cfRule>
    <cfRule type="cellIs" dxfId="22097" priority="8254" operator="equal">
      <formula>"PTO"</formula>
    </cfRule>
  </conditionalFormatting>
  <conditionalFormatting sqref="H29">
    <cfRule type="cellIs" dxfId="22096" priority="8251" operator="equal">
      <formula>"OFF"</formula>
    </cfRule>
    <cfRule type="cellIs" dxfId="22095" priority="8252" operator="equal">
      <formula>"PTO"</formula>
    </cfRule>
  </conditionalFormatting>
  <conditionalFormatting sqref="H29">
    <cfRule type="cellIs" dxfId="22094" priority="8249" operator="equal">
      <formula>"OFF"</formula>
    </cfRule>
    <cfRule type="cellIs" dxfId="22093" priority="8250" operator="equal">
      <formula>"PTO"</formula>
    </cfRule>
  </conditionalFormatting>
  <conditionalFormatting sqref="H29">
    <cfRule type="cellIs" dxfId="22092" priority="8247" operator="equal">
      <formula>"OFF"</formula>
    </cfRule>
    <cfRule type="cellIs" dxfId="22091" priority="8248" operator="equal">
      <formula>"PTO"</formula>
    </cfRule>
  </conditionalFormatting>
  <conditionalFormatting sqref="H29">
    <cfRule type="cellIs" dxfId="22090" priority="8245" operator="equal">
      <formula>"OFF"</formula>
    </cfRule>
    <cfRule type="cellIs" dxfId="22089" priority="8246" operator="equal">
      <formula>"PTO"</formula>
    </cfRule>
  </conditionalFormatting>
  <conditionalFormatting sqref="H29">
    <cfRule type="cellIs" dxfId="22088" priority="8243" operator="equal">
      <formula>"OFF"</formula>
    </cfRule>
    <cfRule type="cellIs" dxfId="22087" priority="8244" operator="equal">
      <formula>"PTO"</formula>
    </cfRule>
  </conditionalFormatting>
  <conditionalFormatting sqref="H29">
    <cfRule type="cellIs" dxfId="22086" priority="8241" operator="equal">
      <formula>"OFF"</formula>
    </cfRule>
    <cfRule type="cellIs" dxfId="22085" priority="8242" operator="equal">
      <formula>"PTO"</formula>
    </cfRule>
  </conditionalFormatting>
  <conditionalFormatting sqref="H29">
    <cfRule type="cellIs" dxfId="22084" priority="8239" operator="equal">
      <formula>"OFF"</formula>
    </cfRule>
    <cfRule type="cellIs" dxfId="22083" priority="8240" operator="equal">
      <formula>"PTO"</formula>
    </cfRule>
  </conditionalFormatting>
  <conditionalFormatting sqref="H29">
    <cfRule type="cellIs" dxfId="22082" priority="8237" operator="equal">
      <formula>"OFF"</formula>
    </cfRule>
    <cfRule type="cellIs" dxfId="22081" priority="8238" operator="equal">
      <formula>"PTO"</formula>
    </cfRule>
  </conditionalFormatting>
  <conditionalFormatting sqref="H29">
    <cfRule type="cellIs" dxfId="22080" priority="8235" operator="equal">
      <formula>"OFF"</formula>
    </cfRule>
    <cfRule type="cellIs" dxfId="22079" priority="8236" operator="equal">
      <formula>"PTO"</formula>
    </cfRule>
  </conditionalFormatting>
  <conditionalFormatting sqref="H29">
    <cfRule type="cellIs" dxfId="22078" priority="8233" operator="equal">
      <formula>"OFF"</formula>
    </cfRule>
    <cfRule type="cellIs" dxfId="22077" priority="8234" operator="equal">
      <formula>"PTO"</formula>
    </cfRule>
  </conditionalFormatting>
  <conditionalFormatting sqref="H29">
    <cfRule type="cellIs" dxfId="22076" priority="8231" operator="equal">
      <formula>"OFF"</formula>
    </cfRule>
    <cfRule type="cellIs" dxfId="22075" priority="8232" operator="equal">
      <formula>"PTO"</formula>
    </cfRule>
  </conditionalFormatting>
  <conditionalFormatting sqref="H30">
    <cfRule type="cellIs" dxfId="22074" priority="8229" operator="equal">
      <formula>"OFF"</formula>
    </cfRule>
    <cfRule type="cellIs" dxfId="22073" priority="8230" operator="equal">
      <formula>"PTO"</formula>
    </cfRule>
  </conditionalFormatting>
  <conditionalFormatting sqref="H30">
    <cfRule type="cellIs" dxfId="22072" priority="8227" operator="equal">
      <formula>"OFF"</formula>
    </cfRule>
    <cfRule type="cellIs" dxfId="22071" priority="8228" operator="equal">
      <formula>"PTO"</formula>
    </cfRule>
  </conditionalFormatting>
  <conditionalFormatting sqref="H30">
    <cfRule type="cellIs" dxfId="22070" priority="8225" operator="equal">
      <formula>"OFF"</formula>
    </cfRule>
    <cfRule type="cellIs" dxfId="22069" priority="8226" operator="equal">
      <formula>"PTO"</formula>
    </cfRule>
  </conditionalFormatting>
  <conditionalFormatting sqref="H30">
    <cfRule type="cellIs" dxfId="22068" priority="8223" operator="equal">
      <formula>"OFF"</formula>
    </cfRule>
    <cfRule type="cellIs" dxfId="22067" priority="8224" operator="equal">
      <formula>"PTO"</formula>
    </cfRule>
  </conditionalFormatting>
  <conditionalFormatting sqref="H30">
    <cfRule type="cellIs" dxfId="22066" priority="8221" operator="equal">
      <formula>"OFF"</formula>
    </cfRule>
    <cfRule type="cellIs" dxfId="22065" priority="8222" operator="equal">
      <formula>"PTO"</formula>
    </cfRule>
  </conditionalFormatting>
  <conditionalFormatting sqref="H30">
    <cfRule type="cellIs" dxfId="22064" priority="8219" operator="equal">
      <formula>"OFF"</formula>
    </cfRule>
    <cfRule type="cellIs" dxfId="22063" priority="8220" operator="equal">
      <formula>"PTO"</formula>
    </cfRule>
  </conditionalFormatting>
  <conditionalFormatting sqref="H30">
    <cfRule type="cellIs" dxfId="22062" priority="8217" operator="equal">
      <formula>"OFF"</formula>
    </cfRule>
    <cfRule type="cellIs" dxfId="22061" priority="8218" operator="equal">
      <formula>"PTO"</formula>
    </cfRule>
  </conditionalFormatting>
  <conditionalFormatting sqref="H30">
    <cfRule type="cellIs" dxfId="22060" priority="8215" operator="equal">
      <formula>"OFF"</formula>
    </cfRule>
    <cfRule type="cellIs" dxfId="22059" priority="8216" operator="equal">
      <formula>"PTO"</formula>
    </cfRule>
  </conditionalFormatting>
  <conditionalFormatting sqref="H30">
    <cfRule type="cellIs" dxfId="22058" priority="8213" operator="equal">
      <formula>"OFF"</formula>
    </cfRule>
    <cfRule type="cellIs" dxfId="22057" priority="8214" operator="equal">
      <formula>"PTO"</formula>
    </cfRule>
  </conditionalFormatting>
  <conditionalFormatting sqref="H30">
    <cfRule type="cellIs" dxfId="22056" priority="8211" operator="equal">
      <formula>"OFF"</formula>
    </cfRule>
    <cfRule type="cellIs" dxfId="22055" priority="8212" operator="equal">
      <formula>"PTO"</formula>
    </cfRule>
  </conditionalFormatting>
  <conditionalFormatting sqref="H30">
    <cfRule type="cellIs" dxfId="22054" priority="8209" operator="equal">
      <formula>"OFF"</formula>
    </cfRule>
    <cfRule type="cellIs" dxfId="22053" priority="8210" operator="equal">
      <formula>"PTO"</formula>
    </cfRule>
  </conditionalFormatting>
  <conditionalFormatting sqref="H30">
    <cfRule type="cellIs" dxfId="22052" priority="8207" operator="equal">
      <formula>"OFF"</formula>
    </cfRule>
    <cfRule type="cellIs" dxfId="22051" priority="8208" operator="equal">
      <formula>"PTO"</formula>
    </cfRule>
  </conditionalFormatting>
  <conditionalFormatting sqref="H30">
    <cfRule type="cellIs" dxfId="22050" priority="8205" operator="equal">
      <formula>"OFF"</formula>
    </cfRule>
    <cfRule type="cellIs" dxfId="22049" priority="8206" operator="equal">
      <formula>"PTO"</formula>
    </cfRule>
  </conditionalFormatting>
  <conditionalFormatting sqref="H30">
    <cfRule type="cellIs" dxfId="22048" priority="8203" operator="equal">
      <formula>"OFF"</formula>
    </cfRule>
    <cfRule type="cellIs" dxfId="22047" priority="8204" operator="equal">
      <formula>"PTO"</formula>
    </cfRule>
  </conditionalFormatting>
  <conditionalFormatting sqref="H30">
    <cfRule type="cellIs" dxfId="22046" priority="8201" operator="equal">
      <formula>"OFF"</formula>
    </cfRule>
    <cfRule type="cellIs" dxfId="22045" priority="8202" operator="equal">
      <formula>"PTO"</formula>
    </cfRule>
  </conditionalFormatting>
  <conditionalFormatting sqref="H30">
    <cfRule type="cellIs" dxfId="22044" priority="8199" operator="equal">
      <formula>"OFF"</formula>
    </cfRule>
    <cfRule type="cellIs" dxfId="22043" priority="8200" operator="equal">
      <formula>"PTO"</formula>
    </cfRule>
  </conditionalFormatting>
  <conditionalFormatting sqref="H30">
    <cfRule type="cellIs" dxfId="22042" priority="8197" operator="equal">
      <formula>"OFF"</formula>
    </cfRule>
    <cfRule type="cellIs" dxfId="22041" priority="8198" operator="equal">
      <formula>"PTO"</formula>
    </cfRule>
  </conditionalFormatting>
  <conditionalFormatting sqref="H30">
    <cfRule type="cellIs" dxfId="22040" priority="8195" operator="equal">
      <formula>"OFF"</formula>
    </cfRule>
    <cfRule type="cellIs" dxfId="22039" priority="8196" operator="equal">
      <formula>"PTO"</formula>
    </cfRule>
  </conditionalFormatting>
  <conditionalFormatting sqref="H30">
    <cfRule type="cellIs" dxfId="22038" priority="8193" operator="equal">
      <formula>"OFF"</formula>
    </cfRule>
    <cfRule type="cellIs" dxfId="22037" priority="8194" operator="equal">
      <formula>"PTO"</formula>
    </cfRule>
  </conditionalFormatting>
  <conditionalFormatting sqref="H30">
    <cfRule type="cellIs" dxfId="22036" priority="8191" operator="equal">
      <formula>"OFF"</formula>
    </cfRule>
    <cfRule type="cellIs" dxfId="22035" priority="8192" operator="equal">
      <formula>"PTO"</formula>
    </cfRule>
  </conditionalFormatting>
  <conditionalFormatting sqref="H30">
    <cfRule type="cellIs" dxfId="22034" priority="8189" operator="equal">
      <formula>"OFF"</formula>
    </cfRule>
    <cfRule type="cellIs" dxfId="22033" priority="8190" operator="equal">
      <formula>"PTO"</formula>
    </cfRule>
  </conditionalFormatting>
  <conditionalFormatting sqref="H30">
    <cfRule type="cellIs" dxfId="22032" priority="8187" operator="equal">
      <formula>"OFF"</formula>
    </cfRule>
    <cfRule type="cellIs" dxfId="22031" priority="8188" operator="equal">
      <formula>"PTO"</formula>
    </cfRule>
  </conditionalFormatting>
  <conditionalFormatting sqref="H30">
    <cfRule type="cellIs" dxfId="22030" priority="8185" operator="equal">
      <formula>"OFF"</formula>
    </cfRule>
    <cfRule type="cellIs" dxfId="22029" priority="8186" operator="equal">
      <formula>"PTO"</formula>
    </cfRule>
  </conditionalFormatting>
  <conditionalFormatting sqref="H30">
    <cfRule type="cellIs" dxfId="22028" priority="8183" operator="equal">
      <formula>"OFF"</formula>
    </cfRule>
    <cfRule type="cellIs" dxfId="22027" priority="8184" operator="equal">
      <formula>"PTO"</formula>
    </cfRule>
  </conditionalFormatting>
  <conditionalFormatting sqref="H30">
    <cfRule type="cellIs" dxfId="22026" priority="8181" operator="equal">
      <formula>"OFF"</formula>
    </cfRule>
    <cfRule type="cellIs" dxfId="22025" priority="8182" operator="equal">
      <formula>"PTO"</formula>
    </cfRule>
  </conditionalFormatting>
  <conditionalFormatting sqref="H30">
    <cfRule type="cellIs" dxfId="22024" priority="8179" operator="equal">
      <formula>"OFF"</formula>
    </cfRule>
    <cfRule type="cellIs" dxfId="22023" priority="8180" operator="equal">
      <formula>"PTO"</formula>
    </cfRule>
  </conditionalFormatting>
  <conditionalFormatting sqref="H30">
    <cfRule type="cellIs" dxfId="22022" priority="8177" operator="equal">
      <formula>"OFF"</formula>
    </cfRule>
    <cfRule type="cellIs" dxfId="22021" priority="8178" operator="equal">
      <formula>"PTO"</formula>
    </cfRule>
  </conditionalFormatting>
  <conditionalFormatting sqref="H30">
    <cfRule type="cellIs" dxfId="22020" priority="8175" operator="equal">
      <formula>"OFF"</formula>
    </cfRule>
    <cfRule type="cellIs" dxfId="22019" priority="8176" operator="equal">
      <formula>"PTO"</formula>
    </cfRule>
  </conditionalFormatting>
  <conditionalFormatting sqref="H30">
    <cfRule type="cellIs" dxfId="22018" priority="8173" operator="equal">
      <formula>"OFF"</formula>
    </cfRule>
    <cfRule type="cellIs" dxfId="22017" priority="8174" operator="equal">
      <formula>"PTO"</formula>
    </cfRule>
  </conditionalFormatting>
  <conditionalFormatting sqref="H30">
    <cfRule type="cellIs" dxfId="22016" priority="8171" operator="equal">
      <formula>"OFF"</formula>
    </cfRule>
    <cfRule type="cellIs" dxfId="22015" priority="8172" operator="equal">
      <formula>"PTO"</formula>
    </cfRule>
  </conditionalFormatting>
  <conditionalFormatting sqref="H30">
    <cfRule type="cellIs" dxfId="22014" priority="8169" operator="equal">
      <formula>"OFF"</formula>
    </cfRule>
    <cfRule type="cellIs" dxfId="22013" priority="8170" operator="equal">
      <formula>"PTO"</formula>
    </cfRule>
  </conditionalFormatting>
  <conditionalFormatting sqref="H30">
    <cfRule type="cellIs" dxfId="22012" priority="8167" operator="equal">
      <formula>"OFF"</formula>
    </cfRule>
    <cfRule type="cellIs" dxfId="22011" priority="8168" operator="equal">
      <formula>"PTO"</formula>
    </cfRule>
  </conditionalFormatting>
  <conditionalFormatting sqref="H30">
    <cfRule type="cellIs" dxfId="22010" priority="8165" operator="equal">
      <formula>"OFF"</formula>
    </cfRule>
    <cfRule type="cellIs" dxfId="22009" priority="8166" operator="equal">
      <formula>"PTO"</formula>
    </cfRule>
  </conditionalFormatting>
  <conditionalFormatting sqref="H30">
    <cfRule type="cellIs" dxfId="22008" priority="8163" operator="equal">
      <formula>"OFF"</formula>
    </cfRule>
    <cfRule type="cellIs" dxfId="22007" priority="8164" operator="equal">
      <formula>"PTO"</formula>
    </cfRule>
  </conditionalFormatting>
  <conditionalFormatting sqref="H30">
    <cfRule type="cellIs" dxfId="22006" priority="8161" operator="equal">
      <formula>"OFF"</formula>
    </cfRule>
    <cfRule type="cellIs" dxfId="22005" priority="8162" operator="equal">
      <formula>"PTO"</formula>
    </cfRule>
  </conditionalFormatting>
  <conditionalFormatting sqref="H30">
    <cfRule type="cellIs" dxfId="22004" priority="8159" operator="equal">
      <formula>"OFF"</formula>
    </cfRule>
    <cfRule type="cellIs" dxfId="22003" priority="8160" operator="equal">
      <formula>"PTO"</formula>
    </cfRule>
  </conditionalFormatting>
  <conditionalFormatting sqref="H30">
    <cfRule type="cellIs" dxfId="22002" priority="8157" operator="equal">
      <formula>"OFF"</formula>
    </cfRule>
    <cfRule type="cellIs" dxfId="22001" priority="8158" operator="equal">
      <formula>"PTO"</formula>
    </cfRule>
  </conditionalFormatting>
  <conditionalFormatting sqref="H30">
    <cfRule type="cellIs" dxfId="22000" priority="8155" operator="equal">
      <formula>"OFF"</formula>
    </cfRule>
    <cfRule type="cellIs" dxfId="21999" priority="8156" operator="equal">
      <formula>"PTO"</formula>
    </cfRule>
  </conditionalFormatting>
  <conditionalFormatting sqref="H30">
    <cfRule type="cellIs" dxfId="21998" priority="8153" operator="equal">
      <formula>"OFF"</formula>
    </cfRule>
    <cfRule type="cellIs" dxfId="21997" priority="8154" operator="equal">
      <formula>"PTO"</formula>
    </cfRule>
  </conditionalFormatting>
  <conditionalFormatting sqref="H30">
    <cfRule type="cellIs" dxfId="21996" priority="8151" operator="equal">
      <formula>"OFF"</formula>
    </cfRule>
    <cfRule type="cellIs" dxfId="21995" priority="8152" operator="equal">
      <formula>"PTO"</formula>
    </cfRule>
  </conditionalFormatting>
  <conditionalFormatting sqref="H30">
    <cfRule type="cellIs" dxfId="21994" priority="8149" operator="equal">
      <formula>"OFF"</formula>
    </cfRule>
    <cfRule type="cellIs" dxfId="21993" priority="8150" operator="equal">
      <formula>"PTO"</formula>
    </cfRule>
  </conditionalFormatting>
  <conditionalFormatting sqref="H30">
    <cfRule type="cellIs" dxfId="21992" priority="8147" operator="equal">
      <formula>"OFF"</formula>
    </cfRule>
    <cfRule type="cellIs" dxfId="21991" priority="8148" operator="equal">
      <formula>"PTO"</formula>
    </cfRule>
  </conditionalFormatting>
  <conditionalFormatting sqref="H30">
    <cfRule type="cellIs" dxfId="21990" priority="8145" operator="equal">
      <formula>"OFF"</formula>
    </cfRule>
    <cfRule type="cellIs" dxfId="21989" priority="8146" operator="equal">
      <formula>"PTO"</formula>
    </cfRule>
  </conditionalFormatting>
  <conditionalFormatting sqref="H30">
    <cfRule type="cellIs" dxfId="21988" priority="8143" operator="equal">
      <formula>"OFF"</formula>
    </cfRule>
    <cfRule type="cellIs" dxfId="21987" priority="8144" operator="equal">
      <formula>"PTO"</formula>
    </cfRule>
  </conditionalFormatting>
  <conditionalFormatting sqref="H30">
    <cfRule type="cellIs" dxfId="21986" priority="8141" operator="equal">
      <formula>"OFF"</formula>
    </cfRule>
    <cfRule type="cellIs" dxfId="21985" priority="8142" operator="equal">
      <formula>"PTO"</formula>
    </cfRule>
  </conditionalFormatting>
  <conditionalFormatting sqref="H30">
    <cfRule type="cellIs" dxfId="21984" priority="8139" operator="equal">
      <formula>"OFF"</formula>
    </cfRule>
    <cfRule type="cellIs" dxfId="21983" priority="8140" operator="equal">
      <formula>"PTO"</formula>
    </cfRule>
  </conditionalFormatting>
  <conditionalFormatting sqref="H30">
    <cfRule type="cellIs" dxfId="21982" priority="8137" operator="equal">
      <formula>"OFF"</formula>
    </cfRule>
    <cfRule type="cellIs" dxfId="21981" priority="8138" operator="equal">
      <formula>"PTO"</formula>
    </cfRule>
  </conditionalFormatting>
  <conditionalFormatting sqref="H30">
    <cfRule type="cellIs" dxfId="21980" priority="8135" operator="equal">
      <formula>"OFF"</formula>
    </cfRule>
    <cfRule type="cellIs" dxfId="21979" priority="8136" operator="equal">
      <formula>"PTO"</formula>
    </cfRule>
  </conditionalFormatting>
  <conditionalFormatting sqref="H30">
    <cfRule type="cellIs" dxfId="21978" priority="8133" operator="equal">
      <formula>"OFF"</formula>
    </cfRule>
    <cfRule type="cellIs" dxfId="21977" priority="8134" operator="equal">
      <formula>"PTO"</formula>
    </cfRule>
  </conditionalFormatting>
  <conditionalFormatting sqref="H30">
    <cfRule type="cellIs" dxfId="21976" priority="8131" operator="equal">
      <formula>"OFF"</formula>
    </cfRule>
    <cfRule type="cellIs" dxfId="21975" priority="8132" operator="equal">
      <formula>"PTO"</formula>
    </cfRule>
  </conditionalFormatting>
  <conditionalFormatting sqref="H30">
    <cfRule type="cellIs" dxfId="21974" priority="8129" operator="equal">
      <formula>"OFF"</formula>
    </cfRule>
    <cfRule type="cellIs" dxfId="21973" priority="8130" operator="equal">
      <formula>"PTO"</formula>
    </cfRule>
  </conditionalFormatting>
  <conditionalFormatting sqref="H30">
    <cfRule type="cellIs" dxfId="21972" priority="8127" operator="equal">
      <formula>"OFF"</formula>
    </cfRule>
    <cfRule type="cellIs" dxfId="21971" priority="8128" operator="equal">
      <formula>"PTO"</formula>
    </cfRule>
  </conditionalFormatting>
  <conditionalFormatting sqref="H30">
    <cfRule type="cellIs" dxfId="21970" priority="8125" operator="equal">
      <formula>"OFF"</formula>
    </cfRule>
    <cfRule type="cellIs" dxfId="21969" priority="8126" operator="equal">
      <formula>"PTO"</formula>
    </cfRule>
  </conditionalFormatting>
  <conditionalFormatting sqref="H30">
    <cfRule type="cellIs" dxfId="21968" priority="8123" operator="equal">
      <formula>"OFF"</formula>
    </cfRule>
    <cfRule type="cellIs" dxfId="21967" priority="8124" operator="equal">
      <formula>"PTO"</formula>
    </cfRule>
  </conditionalFormatting>
  <conditionalFormatting sqref="H30">
    <cfRule type="cellIs" dxfId="21966" priority="8121" operator="equal">
      <formula>"OFF"</formula>
    </cfRule>
    <cfRule type="cellIs" dxfId="21965" priority="8122" operator="equal">
      <formula>"PTO"</formula>
    </cfRule>
  </conditionalFormatting>
  <conditionalFormatting sqref="H30">
    <cfRule type="cellIs" dxfId="21964" priority="8119" operator="equal">
      <formula>"OFF"</formula>
    </cfRule>
    <cfRule type="cellIs" dxfId="21963" priority="8120" operator="equal">
      <formula>"PTO"</formula>
    </cfRule>
  </conditionalFormatting>
  <conditionalFormatting sqref="H30">
    <cfRule type="cellIs" dxfId="21962" priority="8117" operator="equal">
      <formula>"OFF"</formula>
    </cfRule>
    <cfRule type="cellIs" dxfId="21961" priority="8118" operator="equal">
      <formula>"PTO"</formula>
    </cfRule>
  </conditionalFormatting>
  <conditionalFormatting sqref="H30">
    <cfRule type="cellIs" dxfId="21960" priority="8115" operator="equal">
      <formula>"OFF"</formula>
    </cfRule>
    <cfRule type="cellIs" dxfId="21959" priority="8116" operator="equal">
      <formula>"PTO"</formula>
    </cfRule>
  </conditionalFormatting>
  <conditionalFormatting sqref="H30">
    <cfRule type="cellIs" dxfId="21958" priority="8113" operator="equal">
      <formula>"OFF"</formula>
    </cfRule>
    <cfRule type="cellIs" dxfId="21957" priority="8114" operator="equal">
      <formula>"PTO"</formula>
    </cfRule>
  </conditionalFormatting>
  <conditionalFormatting sqref="H30">
    <cfRule type="cellIs" dxfId="21956" priority="8111" operator="equal">
      <formula>"OFF"</formula>
    </cfRule>
    <cfRule type="cellIs" dxfId="21955" priority="8112" operator="equal">
      <formula>"PTO"</formula>
    </cfRule>
  </conditionalFormatting>
  <conditionalFormatting sqref="H30">
    <cfRule type="cellIs" dxfId="21954" priority="8109" operator="equal">
      <formula>"OFF"</formula>
    </cfRule>
    <cfRule type="cellIs" dxfId="21953" priority="8110" operator="equal">
      <formula>"PTO"</formula>
    </cfRule>
  </conditionalFormatting>
  <conditionalFormatting sqref="H30">
    <cfRule type="cellIs" dxfId="21952" priority="8107" operator="equal">
      <formula>"OFF"</formula>
    </cfRule>
    <cfRule type="cellIs" dxfId="21951" priority="8108" operator="equal">
      <formula>"PTO"</formula>
    </cfRule>
  </conditionalFormatting>
  <conditionalFormatting sqref="H30">
    <cfRule type="cellIs" dxfId="21950" priority="8105" operator="equal">
      <formula>"OFF"</formula>
    </cfRule>
    <cfRule type="cellIs" dxfId="21949" priority="8106" operator="equal">
      <formula>"PTO"</formula>
    </cfRule>
  </conditionalFormatting>
  <conditionalFormatting sqref="H30">
    <cfRule type="cellIs" dxfId="21948" priority="8103" operator="equal">
      <formula>"OFF"</formula>
    </cfRule>
    <cfRule type="cellIs" dxfId="21947" priority="8104" operator="equal">
      <formula>"PTO"</formula>
    </cfRule>
  </conditionalFormatting>
  <conditionalFormatting sqref="H30">
    <cfRule type="cellIs" dxfId="21946" priority="8101" operator="equal">
      <formula>"OFF"</formula>
    </cfRule>
    <cfRule type="cellIs" dxfId="21945" priority="8102" operator="equal">
      <formula>"PTO"</formula>
    </cfRule>
  </conditionalFormatting>
  <conditionalFormatting sqref="H30">
    <cfRule type="cellIs" dxfId="21944" priority="8099" operator="equal">
      <formula>"OFF"</formula>
    </cfRule>
    <cfRule type="cellIs" dxfId="21943" priority="8100" operator="equal">
      <formula>"PTO"</formula>
    </cfRule>
  </conditionalFormatting>
  <conditionalFormatting sqref="H30">
    <cfRule type="cellIs" dxfId="21942" priority="8097" operator="equal">
      <formula>"OFF"</formula>
    </cfRule>
    <cfRule type="cellIs" dxfId="21941" priority="8098" operator="equal">
      <formula>"PTO"</formula>
    </cfRule>
  </conditionalFormatting>
  <conditionalFormatting sqref="H30">
    <cfRule type="cellIs" dxfId="21940" priority="8095" operator="equal">
      <formula>"OFF"</formula>
    </cfRule>
    <cfRule type="cellIs" dxfId="21939" priority="8096" operator="equal">
      <formula>"PTO"</formula>
    </cfRule>
  </conditionalFormatting>
  <conditionalFormatting sqref="H30">
    <cfRule type="cellIs" dxfId="21938" priority="8093" operator="equal">
      <formula>"OFF"</formula>
    </cfRule>
    <cfRule type="cellIs" dxfId="21937" priority="8094" operator="equal">
      <formula>"PTO"</formula>
    </cfRule>
  </conditionalFormatting>
  <conditionalFormatting sqref="H30">
    <cfRule type="cellIs" dxfId="21936" priority="8091" operator="equal">
      <formula>"OFF"</formula>
    </cfRule>
    <cfRule type="cellIs" dxfId="21935" priority="8092" operator="equal">
      <formula>"PTO"</formula>
    </cfRule>
  </conditionalFormatting>
  <conditionalFormatting sqref="H30">
    <cfRule type="cellIs" dxfId="21934" priority="8089" operator="equal">
      <formula>"OFF"</formula>
    </cfRule>
    <cfRule type="cellIs" dxfId="21933" priority="8090" operator="equal">
      <formula>"PTO"</formula>
    </cfRule>
  </conditionalFormatting>
  <conditionalFormatting sqref="H30">
    <cfRule type="cellIs" dxfId="21932" priority="8087" operator="equal">
      <formula>"OFF"</formula>
    </cfRule>
    <cfRule type="cellIs" dxfId="21931" priority="8088" operator="equal">
      <formula>"PTO"</formula>
    </cfRule>
  </conditionalFormatting>
  <conditionalFormatting sqref="H30">
    <cfRule type="cellIs" dxfId="21930" priority="8085" operator="equal">
      <formula>"OFF"</formula>
    </cfRule>
    <cfRule type="cellIs" dxfId="21929" priority="8086" operator="equal">
      <formula>"PTO"</formula>
    </cfRule>
  </conditionalFormatting>
  <conditionalFormatting sqref="H30">
    <cfRule type="cellIs" dxfId="21928" priority="8083" operator="equal">
      <formula>"OFF"</formula>
    </cfRule>
    <cfRule type="cellIs" dxfId="21927" priority="8084" operator="equal">
      <formula>"PTO"</formula>
    </cfRule>
  </conditionalFormatting>
  <conditionalFormatting sqref="H30">
    <cfRule type="cellIs" dxfId="21926" priority="8081" operator="equal">
      <formula>"OFF"</formula>
    </cfRule>
    <cfRule type="cellIs" dxfId="21925" priority="8082" operator="equal">
      <formula>"PTO"</formula>
    </cfRule>
  </conditionalFormatting>
  <conditionalFormatting sqref="H30">
    <cfRule type="cellIs" dxfId="21924" priority="8079" operator="equal">
      <formula>"OFF"</formula>
    </cfRule>
    <cfRule type="cellIs" dxfId="21923" priority="8080" operator="equal">
      <formula>"PTO"</formula>
    </cfRule>
  </conditionalFormatting>
  <conditionalFormatting sqref="H30">
    <cfRule type="cellIs" dxfId="21922" priority="8077" operator="equal">
      <formula>"OFF"</formula>
    </cfRule>
    <cfRule type="cellIs" dxfId="21921" priority="8078" operator="equal">
      <formula>"PTO"</formula>
    </cfRule>
  </conditionalFormatting>
  <conditionalFormatting sqref="H30">
    <cfRule type="cellIs" dxfId="21920" priority="8075" operator="equal">
      <formula>"OFF"</formula>
    </cfRule>
    <cfRule type="cellIs" dxfId="21919" priority="8076" operator="equal">
      <formula>"PTO"</formula>
    </cfRule>
  </conditionalFormatting>
  <conditionalFormatting sqref="H30">
    <cfRule type="cellIs" dxfId="21918" priority="8073" operator="equal">
      <formula>"OFF"</formula>
    </cfRule>
    <cfRule type="cellIs" dxfId="21917" priority="8074" operator="equal">
      <formula>"PTO"</formula>
    </cfRule>
  </conditionalFormatting>
  <conditionalFormatting sqref="H30">
    <cfRule type="cellIs" dxfId="21916" priority="8071" operator="equal">
      <formula>"OFF"</formula>
    </cfRule>
    <cfRule type="cellIs" dxfId="21915" priority="8072" operator="equal">
      <formula>"PTO"</formula>
    </cfRule>
  </conditionalFormatting>
  <conditionalFormatting sqref="H30">
    <cfRule type="cellIs" dxfId="21914" priority="8069" operator="equal">
      <formula>"OFF"</formula>
    </cfRule>
    <cfRule type="cellIs" dxfId="21913" priority="8070" operator="equal">
      <formula>"PTO"</formula>
    </cfRule>
  </conditionalFormatting>
  <conditionalFormatting sqref="H30">
    <cfRule type="cellIs" dxfId="21912" priority="8067" operator="equal">
      <formula>"OFF"</formula>
    </cfRule>
    <cfRule type="cellIs" dxfId="21911" priority="8068" operator="equal">
      <formula>"PTO"</formula>
    </cfRule>
  </conditionalFormatting>
  <conditionalFormatting sqref="H30">
    <cfRule type="cellIs" dxfId="21910" priority="8065" operator="equal">
      <formula>"OFF"</formula>
    </cfRule>
    <cfRule type="cellIs" dxfId="21909" priority="8066" operator="equal">
      <formula>"PTO"</formula>
    </cfRule>
  </conditionalFormatting>
  <conditionalFormatting sqref="H30">
    <cfRule type="cellIs" dxfId="21908" priority="8063" operator="equal">
      <formula>"OFF"</formula>
    </cfRule>
    <cfRule type="cellIs" dxfId="21907" priority="8064" operator="equal">
      <formula>"PTO"</formula>
    </cfRule>
  </conditionalFormatting>
  <conditionalFormatting sqref="H30">
    <cfRule type="cellIs" dxfId="21906" priority="8061" operator="equal">
      <formula>"OFF"</formula>
    </cfRule>
    <cfRule type="cellIs" dxfId="21905" priority="8062" operator="equal">
      <formula>"PTO"</formula>
    </cfRule>
  </conditionalFormatting>
  <conditionalFormatting sqref="H30">
    <cfRule type="cellIs" dxfId="21904" priority="8059" operator="equal">
      <formula>"OFF"</formula>
    </cfRule>
    <cfRule type="cellIs" dxfId="21903" priority="8060" operator="equal">
      <formula>"PTO"</formula>
    </cfRule>
  </conditionalFormatting>
  <conditionalFormatting sqref="H30">
    <cfRule type="cellIs" dxfId="21902" priority="8057" operator="equal">
      <formula>"OFF"</formula>
    </cfRule>
    <cfRule type="cellIs" dxfId="21901" priority="8058" operator="equal">
      <formula>"PTO"</formula>
    </cfRule>
  </conditionalFormatting>
  <conditionalFormatting sqref="H30">
    <cfRule type="cellIs" dxfId="21900" priority="8055" operator="equal">
      <formula>"OFF"</formula>
    </cfRule>
    <cfRule type="cellIs" dxfId="21899" priority="8056" operator="equal">
      <formula>"PTO"</formula>
    </cfRule>
  </conditionalFormatting>
  <conditionalFormatting sqref="H29">
    <cfRule type="cellIs" dxfId="21898" priority="8053" operator="equal">
      <formula>"OFF"</formula>
    </cfRule>
    <cfRule type="cellIs" dxfId="21897" priority="8054" operator="equal">
      <formula>"PTO"</formula>
    </cfRule>
  </conditionalFormatting>
  <conditionalFormatting sqref="H29">
    <cfRule type="cellIs" dxfId="21896" priority="8051" operator="equal">
      <formula>"OFF"</formula>
    </cfRule>
    <cfRule type="cellIs" dxfId="21895" priority="8052" operator="equal">
      <formula>"PTO"</formula>
    </cfRule>
  </conditionalFormatting>
  <conditionalFormatting sqref="H29">
    <cfRule type="cellIs" dxfId="21894" priority="8049" operator="equal">
      <formula>"OFF"</formula>
    </cfRule>
    <cfRule type="cellIs" dxfId="21893" priority="8050" operator="equal">
      <formula>"PTO"</formula>
    </cfRule>
  </conditionalFormatting>
  <conditionalFormatting sqref="H29">
    <cfRule type="cellIs" dxfId="21892" priority="8047" operator="equal">
      <formula>"OFF"</formula>
    </cfRule>
    <cfRule type="cellIs" dxfId="21891" priority="8048" operator="equal">
      <formula>"PTO"</formula>
    </cfRule>
  </conditionalFormatting>
  <conditionalFormatting sqref="H29">
    <cfRule type="cellIs" dxfId="21890" priority="8045" operator="equal">
      <formula>"OFF"</formula>
    </cfRule>
    <cfRule type="cellIs" dxfId="21889" priority="8046" operator="equal">
      <formula>"PTO"</formula>
    </cfRule>
  </conditionalFormatting>
  <conditionalFormatting sqref="H29">
    <cfRule type="cellIs" dxfId="21888" priority="8043" operator="equal">
      <formula>"OFF"</formula>
    </cfRule>
    <cfRule type="cellIs" dxfId="21887" priority="8044" operator="equal">
      <formula>"PTO"</formula>
    </cfRule>
  </conditionalFormatting>
  <conditionalFormatting sqref="H29">
    <cfRule type="cellIs" dxfId="21886" priority="8041" operator="equal">
      <formula>"OFF"</formula>
    </cfRule>
    <cfRule type="cellIs" dxfId="21885" priority="8042" operator="equal">
      <formula>"PTO"</formula>
    </cfRule>
  </conditionalFormatting>
  <conditionalFormatting sqref="H29">
    <cfRule type="cellIs" dxfId="21884" priority="8039" operator="equal">
      <formula>"OFF"</formula>
    </cfRule>
    <cfRule type="cellIs" dxfId="21883" priority="8040" operator="equal">
      <formula>"PTO"</formula>
    </cfRule>
  </conditionalFormatting>
  <conditionalFormatting sqref="H29">
    <cfRule type="cellIs" dxfId="21882" priority="8037" operator="equal">
      <formula>"OFF"</formula>
    </cfRule>
    <cfRule type="cellIs" dxfId="21881" priority="8038" operator="equal">
      <formula>"PTO"</formula>
    </cfRule>
  </conditionalFormatting>
  <conditionalFormatting sqref="H29">
    <cfRule type="cellIs" dxfId="21880" priority="8035" operator="equal">
      <formula>"OFF"</formula>
    </cfRule>
    <cfRule type="cellIs" dxfId="21879" priority="8036" operator="equal">
      <formula>"PTO"</formula>
    </cfRule>
  </conditionalFormatting>
  <conditionalFormatting sqref="H29">
    <cfRule type="cellIs" dxfId="21878" priority="8033" operator="equal">
      <formula>"OFF"</formula>
    </cfRule>
    <cfRule type="cellIs" dxfId="21877" priority="8034" operator="equal">
      <formula>"PTO"</formula>
    </cfRule>
  </conditionalFormatting>
  <conditionalFormatting sqref="H29">
    <cfRule type="cellIs" dxfId="21876" priority="8031" operator="equal">
      <formula>"OFF"</formula>
    </cfRule>
    <cfRule type="cellIs" dxfId="21875" priority="8032" operator="equal">
      <formula>"PTO"</formula>
    </cfRule>
  </conditionalFormatting>
  <conditionalFormatting sqref="H29">
    <cfRule type="cellIs" dxfId="21874" priority="8029" operator="equal">
      <formula>"OFF"</formula>
    </cfRule>
    <cfRule type="cellIs" dxfId="21873" priority="8030" operator="equal">
      <formula>"PTO"</formula>
    </cfRule>
  </conditionalFormatting>
  <conditionalFormatting sqref="H29">
    <cfRule type="cellIs" dxfId="21872" priority="8027" operator="equal">
      <formula>"OFF"</formula>
    </cfRule>
    <cfRule type="cellIs" dxfId="21871" priority="8028" operator="equal">
      <formula>"PTO"</formula>
    </cfRule>
  </conditionalFormatting>
  <conditionalFormatting sqref="H29">
    <cfRule type="cellIs" dxfId="21870" priority="8025" operator="equal">
      <formula>"OFF"</formula>
    </cfRule>
    <cfRule type="cellIs" dxfId="21869" priority="8026" operator="equal">
      <formula>"PTO"</formula>
    </cfRule>
  </conditionalFormatting>
  <conditionalFormatting sqref="H29">
    <cfRule type="cellIs" dxfId="21868" priority="8023" operator="equal">
      <formula>"OFF"</formula>
    </cfRule>
    <cfRule type="cellIs" dxfId="21867" priority="8024" operator="equal">
      <formula>"PTO"</formula>
    </cfRule>
  </conditionalFormatting>
  <conditionalFormatting sqref="H29">
    <cfRule type="cellIs" dxfId="21866" priority="8021" operator="equal">
      <formula>"OFF"</formula>
    </cfRule>
    <cfRule type="cellIs" dxfId="21865" priority="8022" operator="equal">
      <formula>"PTO"</formula>
    </cfRule>
  </conditionalFormatting>
  <conditionalFormatting sqref="H29">
    <cfRule type="cellIs" dxfId="21864" priority="8019" operator="equal">
      <formula>"OFF"</formula>
    </cfRule>
    <cfRule type="cellIs" dxfId="21863" priority="8020" operator="equal">
      <formula>"PTO"</formula>
    </cfRule>
  </conditionalFormatting>
  <conditionalFormatting sqref="H29">
    <cfRule type="cellIs" dxfId="21862" priority="8017" operator="equal">
      <formula>"OFF"</formula>
    </cfRule>
    <cfRule type="cellIs" dxfId="21861" priority="8018" operator="equal">
      <formula>"PTO"</formula>
    </cfRule>
  </conditionalFormatting>
  <conditionalFormatting sqref="H29">
    <cfRule type="cellIs" dxfId="21860" priority="8015" operator="equal">
      <formula>"OFF"</formula>
    </cfRule>
    <cfRule type="cellIs" dxfId="21859" priority="8016" operator="equal">
      <formula>"PTO"</formula>
    </cfRule>
  </conditionalFormatting>
  <conditionalFormatting sqref="H29">
    <cfRule type="cellIs" dxfId="21858" priority="8013" operator="equal">
      <formula>"OFF"</formula>
    </cfRule>
    <cfRule type="cellIs" dxfId="21857" priority="8014" operator="equal">
      <formula>"PTO"</formula>
    </cfRule>
  </conditionalFormatting>
  <conditionalFormatting sqref="H29">
    <cfRule type="cellIs" dxfId="21856" priority="8011" operator="equal">
      <formula>"OFF"</formula>
    </cfRule>
    <cfRule type="cellIs" dxfId="21855" priority="8012" operator="equal">
      <formula>"PTO"</formula>
    </cfRule>
  </conditionalFormatting>
  <conditionalFormatting sqref="H29">
    <cfRule type="cellIs" dxfId="21854" priority="8009" operator="equal">
      <formula>"OFF"</formula>
    </cfRule>
    <cfRule type="cellIs" dxfId="21853" priority="8010" operator="equal">
      <formula>"PTO"</formula>
    </cfRule>
  </conditionalFormatting>
  <conditionalFormatting sqref="H29">
    <cfRule type="cellIs" dxfId="21852" priority="8007" operator="equal">
      <formula>"OFF"</formula>
    </cfRule>
    <cfRule type="cellIs" dxfId="21851" priority="8008" operator="equal">
      <formula>"PTO"</formula>
    </cfRule>
  </conditionalFormatting>
  <conditionalFormatting sqref="H29">
    <cfRule type="cellIs" dxfId="21850" priority="8005" operator="equal">
      <formula>"OFF"</formula>
    </cfRule>
    <cfRule type="cellIs" dxfId="21849" priority="8006" operator="equal">
      <formula>"PTO"</formula>
    </cfRule>
  </conditionalFormatting>
  <conditionalFormatting sqref="H29">
    <cfRule type="cellIs" dxfId="21848" priority="8003" operator="equal">
      <formula>"OFF"</formula>
    </cfRule>
    <cfRule type="cellIs" dxfId="21847" priority="8004" operator="equal">
      <formula>"PTO"</formula>
    </cfRule>
  </conditionalFormatting>
  <conditionalFormatting sqref="H29">
    <cfRule type="cellIs" dxfId="21846" priority="8001" operator="equal">
      <formula>"OFF"</formula>
    </cfRule>
    <cfRule type="cellIs" dxfId="21845" priority="8002" operator="equal">
      <formula>"PTO"</formula>
    </cfRule>
  </conditionalFormatting>
  <conditionalFormatting sqref="H29">
    <cfRule type="cellIs" dxfId="21844" priority="7999" operator="equal">
      <formula>"OFF"</formula>
    </cfRule>
    <cfRule type="cellIs" dxfId="21843" priority="8000" operator="equal">
      <formula>"PTO"</formula>
    </cfRule>
  </conditionalFormatting>
  <conditionalFormatting sqref="H29">
    <cfRule type="cellIs" dxfId="21842" priority="7997" operator="equal">
      <formula>"OFF"</formula>
    </cfRule>
    <cfRule type="cellIs" dxfId="21841" priority="7998" operator="equal">
      <formula>"PTO"</formula>
    </cfRule>
  </conditionalFormatting>
  <conditionalFormatting sqref="H29">
    <cfRule type="cellIs" dxfId="21840" priority="7995" operator="equal">
      <formula>"OFF"</formula>
    </cfRule>
    <cfRule type="cellIs" dxfId="21839" priority="7996" operator="equal">
      <formula>"PTO"</formula>
    </cfRule>
  </conditionalFormatting>
  <conditionalFormatting sqref="H29">
    <cfRule type="cellIs" dxfId="21838" priority="7993" operator="equal">
      <formula>"OFF"</formula>
    </cfRule>
    <cfRule type="cellIs" dxfId="21837" priority="7994" operator="equal">
      <formula>"PTO"</formula>
    </cfRule>
  </conditionalFormatting>
  <conditionalFormatting sqref="H29">
    <cfRule type="cellIs" dxfId="21836" priority="7991" operator="equal">
      <formula>"OFF"</formula>
    </cfRule>
    <cfRule type="cellIs" dxfId="21835" priority="7992" operator="equal">
      <formula>"PTO"</formula>
    </cfRule>
  </conditionalFormatting>
  <conditionalFormatting sqref="H29">
    <cfRule type="cellIs" dxfId="21834" priority="7989" operator="equal">
      <formula>"OFF"</formula>
    </cfRule>
    <cfRule type="cellIs" dxfId="21833" priority="7990" operator="equal">
      <formula>"PTO"</formula>
    </cfRule>
  </conditionalFormatting>
  <conditionalFormatting sqref="H29">
    <cfRule type="cellIs" dxfId="21832" priority="7987" operator="equal">
      <formula>"OFF"</formula>
    </cfRule>
    <cfRule type="cellIs" dxfId="21831" priority="7988" operator="equal">
      <formula>"PTO"</formula>
    </cfRule>
  </conditionalFormatting>
  <conditionalFormatting sqref="H29">
    <cfRule type="cellIs" dxfId="21830" priority="7985" operator="equal">
      <formula>"OFF"</formula>
    </cfRule>
    <cfRule type="cellIs" dxfId="21829" priority="7986" operator="equal">
      <formula>"PTO"</formula>
    </cfRule>
  </conditionalFormatting>
  <conditionalFormatting sqref="H29">
    <cfRule type="cellIs" dxfId="21828" priority="7983" operator="equal">
      <formula>"OFF"</formula>
    </cfRule>
    <cfRule type="cellIs" dxfId="21827" priority="7984" operator="equal">
      <formula>"PTO"</formula>
    </cfRule>
  </conditionalFormatting>
  <conditionalFormatting sqref="H29">
    <cfRule type="cellIs" dxfId="21826" priority="7981" operator="equal">
      <formula>"OFF"</formula>
    </cfRule>
    <cfRule type="cellIs" dxfId="21825" priority="7982" operator="equal">
      <formula>"PTO"</formula>
    </cfRule>
  </conditionalFormatting>
  <conditionalFormatting sqref="H29">
    <cfRule type="cellIs" dxfId="21824" priority="7979" operator="equal">
      <formula>"OFF"</formula>
    </cfRule>
    <cfRule type="cellIs" dxfId="21823" priority="7980" operator="equal">
      <formula>"PTO"</formula>
    </cfRule>
  </conditionalFormatting>
  <conditionalFormatting sqref="H29">
    <cfRule type="cellIs" dxfId="21822" priority="7977" operator="equal">
      <formula>"OFF"</formula>
    </cfRule>
    <cfRule type="cellIs" dxfId="21821" priority="7978" operator="equal">
      <formula>"PTO"</formula>
    </cfRule>
  </conditionalFormatting>
  <conditionalFormatting sqref="H29">
    <cfRule type="cellIs" dxfId="21820" priority="7975" operator="equal">
      <formula>"OFF"</formula>
    </cfRule>
    <cfRule type="cellIs" dxfId="21819" priority="7976" operator="equal">
      <formula>"PTO"</formula>
    </cfRule>
  </conditionalFormatting>
  <conditionalFormatting sqref="H29">
    <cfRule type="cellIs" dxfId="21818" priority="7973" operator="equal">
      <formula>"OFF"</formula>
    </cfRule>
    <cfRule type="cellIs" dxfId="21817" priority="7974" operator="equal">
      <formula>"PTO"</formula>
    </cfRule>
  </conditionalFormatting>
  <conditionalFormatting sqref="H29">
    <cfRule type="cellIs" dxfId="21816" priority="7971" operator="equal">
      <formula>"OFF"</formula>
    </cfRule>
    <cfRule type="cellIs" dxfId="21815" priority="7972" operator="equal">
      <formula>"PTO"</formula>
    </cfRule>
  </conditionalFormatting>
  <conditionalFormatting sqref="H29">
    <cfRule type="cellIs" dxfId="21814" priority="7969" operator="equal">
      <formula>"OFF"</formula>
    </cfRule>
    <cfRule type="cellIs" dxfId="21813" priority="7970" operator="equal">
      <formula>"PTO"</formula>
    </cfRule>
  </conditionalFormatting>
  <conditionalFormatting sqref="H29">
    <cfRule type="cellIs" dxfId="21812" priority="7967" operator="equal">
      <formula>"OFF"</formula>
    </cfRule>
    <cfRule type="cellIs" dxfId="21811" priority="7968" operator="equal">
      <formula>"PTO"</formula>
    </cfRule>
  </conditionalFormatting>
  <conditionalFormatting sqref="H29">
    <cfRule type="cellIs" dxfId="21810" priority="7965" operator="equal">
      <formula>"OFF"</formula>
    </cfRule>
    <cfRule type="cellIs" dxfId="21809" priority="7966" operator="equal">
      <formula>"PTO"</formula>
    </cfRule>
  </conditionalFormatting>
  <conditionalFormatting sqref="H29">
    <cfRule type="cellIs" dxfId="21808" priority="7963" operator="equal">
      <formula>"OFF"</formula>
    </cfRule>
    <cfRule type="cellIs" dxfId="21807" priority="7964" operator="equal">
      <formula>"PTO"</formula>
    </cfRule>
  </conditionalFormatting>
  <conditionalFormatting sqref="H29">
    <cfRule type="cellIs" dxfId="21806" priority="7961" operator="equal">
      <formula>"OFF"</formula>
    </cfRule>
    <cfRule type="cellIs" dxfId="21805" priority="7962" operator="equal">
      <formula>"PTO"</formula>
    </cfRule>
  </conditionalFormatting>
  <conditionalFormatting sqref="H29">
    <cfRule type="cellIs" dxfId="21804" priority="7959" operator="equal">
      <formula>"OFF"</formula>
    </cfRule>
    <cfRule type="cellIs" dxfId="21803" priority="7960" operator="equal">
      <formula>"PTO"</formula>
    </cfRule>
  </conditionalFormatting>
  <conditionalFormatting sqref="H29">
    <cfRule type="cellIs" dxfId="21802" priority="7957" operator="equal">
      <formula>"OFF"</formula>
    </cfRule>
    <cfRule type="cellIs" dxfId="21801" priority="7958" operator="equal">
      <formula>"PTO"</formula>
    </cfRule>
  </conditionalFormatting>
  <conditionalFormatting sqref="H29">
    <cfRule type="cellIs" dxfId="21800" priority="7955" operator="equal">
      <formula>"OFF"</formula>
    </cfRule>
    <cfRule type="cellIs" dxfId="21799" priority="7956" operator="equal">
      <formula>"PTO"</formula>
    </cfRule>
  </conditionalFormatting>
  <conditionalFormatting sqref="H29">
    <cfRule type="cellIs" dxfId="21798" priority="7953" operator="equal">
      <formula>"OFF"</formula>
    </cfRule>
    <cfRule type="cellIs" dxfId="21797" priority="7954" operator="equal">
      <formula>"PTO"</formula>
    </cfRule>
  </conditionalFormatting>
  <conditionalFormatting sqref="H29">
    <cfRule type="cellIs" dxfId="21796" priority="7951" operator="equal">
      <formula>"OFF"</formula>
    </cfRule>
    <cfRule type="cellIs" dxfId="21795" priority="7952" operator="equal">
      <formula>"PTO"</formula>
    </cfRule>
  </conditionalFormatting>
  <conditionalFormatting sqref="H29">
    <cfRule type="cellIs" dxfId="21794" priority="7949" operator="equal">
      <formula>"OFF"</formula>
    </cfRule>
    <cfRule type="cellIs" dxfId="21793" priority="7950" operator="equal">
      <formula>"PTO"</formula>
    </cfRule>
  </conditionalFormatting>
  <conditionalFormatting sqref="H29">
    <cfRule type="cellIs" dxfId="21792" priority="7947" operator="equal">
      <formula>"OFF"</formula>
    </cfRule>
    <cfRule type="cellIs" dxfId="21791" priority="7948" operator="equal">
      <formula>"PTO"</formula>
    </cfRule>
  </conditionalFormatting>
  <conditionalFormatting sqref="H29">
    <cfRule type="cellIs" dxfId="21790" priority="7945" operator="equal">
      <formula>"OFF"</formula>
    </cfRule>
    <cfRule type="cellIs" dxfId="21789" priority="7946" operator="equal">
      <formula>"PTO"</formula>
    </cfRule>
  </conditionalFormatting>
  <conditionalFormatting sqref="H29">
    <cfRule type="cellIs" dxfId="21788" priority="7943" operator="equal">
      <formula>"OFF"</formula>
    </cfRule>
    <cfRule type="cellIs" dxfId="21787" priority="7944" operator="equal">
      <formula>"PTO"</formula>
    </cfRule>
  </conditionalFormatting>
  <conditionalFormatting sqref="G32:G33 G35:G36 G38:G39">
    <cfRule type="cellIs" dxfId="21786" priority="7941" operator="equal">
      <formula>"OFF"</formula>
    </cfRule>
    <cfRule type="cellIs" dxfId="21785" priority="7942" operator="equal">
      <formula>"PTO"</formula>
    </cfRule>
  </conditionalFormatting>
  <conditionalFormatting sqref="G32:G33">
    <cfRule type="cellIs" dxfId="21784" priority="7939" operator="equal">
      <formula>"OFF"</formula>
    </cfRule>
    <cfRule type="cellIs" dxfId="21783" priority="7940" operator="equal">
      <formula>"PTO"</formula>
    </cfRule>
  </conditionalFormatting>
  <conditionalFormatting sqref="G32:G33">
    <cfRule type="cellIs" dxfId="21782" priority="7937" operator="equal">
      <formula>"OFF"</formula>
    </cfRule>
    <cfRule type="cellIs" dxfId="21781" priority="7938" operator="equal">
      <formula>"PTO"</formula>
    </cfRule>
  </conditionalFormatting>
  <conditionalFormatting sqref="G32:G33">
    <cfRule type="cellIs" dxfId="21780" priority="7935" operator="equal">
      <formula>"OFF"</formula>
    </cfRule>
    <cfRule type="cellIs" dxfId="21779" priority="7936" operator="equal">
      <formula>"PTO"</formula>
    </cfRule>
  </conditionalFormatting>
  <conditionalFormatting sqref="G32:G33">
    <cfRule type="cellIs" dxfId="21778" priority="7933" operator="equal">
      <formula>"OFF"</formula>
    </cfRule>
    <cfRule type="cellIs" dxfId="21777" priority="7934" operator="equal">
      <formula>"PTO"</formula>
    </cfRule>
  </conditionalFormatting>
  <conditionalFormatting sqref="G32:G33">
    <cfRule type="cellIs" dxfId="21776" priority="7931" operator="equal">
      <formula>"OFF"</formula>
    </cfRule>
    <cfRule type="cellIs" dxfId="21775" priority="7932" operator="equal">
      <formula>"PTO"</formula>
    </cfRule>
  </conditionalFormatting>
  <conditionalFormatting sqref="G32:G33">
    <cfRule type="cellIs" dxfId="21774" priority="7929" operator="equal">
      <formula>"OFF"</formula>
    </cfRule>
    <cfRule type="cellIs" dxfId="21773" priority="7930" operator="equal">
      <formula>"PTO"</formula>
    </cfRule>
  </conditionalFormatting>
  <conditionalFormatting sqref="G32:G33">
    <cfRule type="cellIs" dxfId="21772" priority="7927" operator="equal">
      <formula>"OFF"</formula>
    </cfRule>
    <cfRule type="cellIs" dxfId="21771" priority="7928" operator="equal">
      <formula>"PTO"</formula>
    </cfRule>
  </conditionalFormatting>
  <conditionalFormatting sqref="G32:G33">
    <cfRule type="cellIs" dxfId="21770" priority="7925" operator="equal">
      <formula>"OFF"</formula>
    </cfRule>
    <cfRule type="cellIs" dxfId="21769" priority="7926" operator="equal">
      <formula>"PTO"</formula>
    </cfRule>
  </conditionalFormatting>
  <conditionalFormatting sqref="G35:G36">
    <cfRule type="cellIs" dxfId="21768" priority="7923" operator="equal">
      <formula>"OFF"</formula>
    </cfRule>
    <cfRule type="cellIs" dxfId="21767" priority="7924" operator="equal">
      <formula>"PTO"</formula>
    </cfRule>
  </conditionalFormatting>
  <conditionalFormatting sqref="G35:G36">
    <cfRule type="cellIs" dxfId="21766" priority="7921" operator="equal">
      <formula>"OFF"</formula>
    </cfRule>
    <cfRule type="cellIs" dxfId="21765" priority="7922" operator="equal">
      <formula>"PTO"</formula>
    </cfRule>
  </conditionalFormatting>
  <conditionalFormatting sqref="G35:G36">
    <cfRule type="cellIs" dxfId="21764" priority="7919" operator="equal">
      <formula>"OFF"</formula>
    </cfRule>
    <cfRule type="cellIs" dxfId="21763" priority="7920" operator="equal">
      <formula>"PTO"</formula>
    </cfRule>
  </conditionalFormatting>
  <conditionalFormatting sqref="G35:G36">
    <cfRule type="cellIs" dxfId="21762" priority="7917" operator="equal">
      <formula>"OFF"</formula>
    </cfRule>
    <cfRule type="cellIs" dxfId="21761" priority="7918" operator="equal">
      <formula>"PTO"</formula>
    </cfRule>
  </conditionalFormatting>
  <conditionalFormatting sqref="G35:G36">
    <cfRule type="cellIs" dxfId="21760" priority="7915" operator="equal">
      <formula>"OFF"</formula>
    </cfRule>
    <cfRule type="cellIs" dxfId="21759" priority="7916" operator="equal">
      <formula>"PTO"</formula>
    </cfRule>
  </conditionalFormatting>
  <conditionalFormatting sqref="G35:G36">
    <cfRule type="cellIs" dxfId="21758" priority="7913" operator="equal">
      <formula>"OFF"</formula>
    </cfRule>
    <cfRule type="cellIs" dxfId="21757" priority="7914" operator="equal">
      <formula>"PTO"</formula>
    </cfRule>
  </conditionalFormatting>
  <conditionalFormatting sqref="G35:G36">
    <cfRule type="cellIs" dxfId="21756" priority="7911" operator="equal">
      <formula>"OFF"</formula>
    </cfRule>
    <cfRule type="cellIs" dxfId="21755" priority="7912" operator="equal">
      <formula>"PTO"</formula>
    </cfRule>
  </conditionalFormatting>
  <conditionalFormatting sqref="G35:G36">
    <cfRule type="cellIs" dxfId="21754" priority="7909" operator="equal">
      <formula>"OFF"</formula>
    </cfRule>
    <cfRule type="cellIs" dxfId="21753" priority="7910" operator="equal">
      <formula>"PTO"</formula>
    </cfRule>
  </conditionalFormatting>
  <conditionalFormatting sqref="G38:G39">
    <cfRule type="cellIs" dxfId="21752" priority="7907" operator="equal">
      <formula>"OFF"</formula>
    </cfRule>
    <cfRule type="cellIs" dxfId="21751" priority="7908" operator="equal">
      <formula>"PTO"</formula>
    </cfRule>
  </conditionalFormatting>
  <conditionalFormatting sqref="G38:G39">
    <cfRule type="cellIs" dxfId="21750" priority="7905" operator="equal">
      <formula>"OFF"</formula>
    </cfRule>
    <cfRule type="cellIs" dxfId="21749" priority="7906" operator="equal">
      <formula>"PTO"</formula>
    </cfRule>
  </conditionalFormatting>
  <conditionalFormatting sqref="G38:G39">
    <cfRule type="cellIs" dxfId="21748" priority="7903" operator="equal">
      <formula>"OFF"</formula>
    </cfRule>
    <cfRule type="cellIs" dxfId="21747" priority="7904" operator="equal">
      <formula>"PTO"</formula>
    </cfRule>
  </conditionalFormatting>
  <conditionalFormatting sqref="G38:G39">
    <cfRule type="cellIs" dxfId="21746" priority="7901" operator="equal">
      <formula>"OFF"</formula>
    </cfRule>
    <cfRule type="cellIs" dxfId="21745" priority="7902" operator="equal">
      <formula>"PTO"</formula>
    </cfRule>
  </conditionalFormatting>
  <conditionalFormatting sqref="G38:G39">
    <cfRule type="cellIs" dxfId="21744" priority="7899" operator="equal">
      <formula>"OFF"</formula>
    </cfRule>
    <cfRule type="cellIs" dxfId="21743" priority="7900" operator="equal">
      <formula>"PTO"</formula>
    </cfRule>
  </conditionalFormatting>
  <conditionalFormatting sqref="G38:G39">
    <cfRule type="cellIs" dxfId="21742" priority="7897" operator="equal">
      <formula>"OFF"</formula>
    </cfRule>
    <cfRule type="cellIs" dxfId="21741" priority="7898" operator="equal">
      <formula>"PTO"</formula>
    </cfRule>
  </conditionalFormatting>
  <conditionalFormatting sqref="G38:G39">
    <cfRule type="cellIs" dxfId="21740" priority="7895" operator="equal">
      <formula>"OFF"</formula>
    </cfRule>
    <cfRule type="cellIs" dxfId="21739" priority="7896" operator="equal">
      <formula>"PTO"</formula>
    </cfRule>
  </conditionalFormatting>
  <conditionalFormatting sqref="G38:G39">
    <cfRule type="cellIs" dxfId="21738" priority="7893" operator="equal">
      <formula>"OFF"</formula>
    </cfRule>
    <cfRule type="cellIs" dxfId="21737" priority="7894" operator="equal">
      <formula>"PTO"</formula>
    </cfRule>
  </conditionalFormatting>
  <conditionalFormatting sqref="G30">
    <cfRule type="cellIs" dxfId="21736" priority="7891" operator="equal">
      <formula>"OFF"</formula>
    </cfRule>
    <cfRule type="cellIs" dxfId="21735" priority="7892" operator="equal">
      <formula>"PTO"</formula>
    </cfRule>
  </conditionalFormatting>
  <conditionalFormatting sqref="G30">
    <cfRule type="cellIs" dxfId="21734" priority="7889" operator="equal">
      <formula>"OFF"</formula>
    </cfRule>
    <cfRule type="cellIs" dxfId="21733" priority="7890" operator="equal">
      <formula>"PTO"</formula>
    </cfRule>
  </conditionalFormatting>
  <conditionalFormatting sqref="G30">
    <cfRule type="cellIs" dxfId="21732" priority="7887" operator="equal">
      <formula>"OFF"</formula>
    </cfRule>
    <cfRule type="cellIs" dxfId="21731" priority="7888" operator="equal">
      <formula>"PTO"</formula>
    </cfRule>
  </conditionalFormatting>
  <conditionalFormatting sqref="G30">
    <cfRule type="cellIs" dxfId="21730" priority="7885" operator="equal">
      <formula>"OFF"</formula>
    </cfRule>
    <cfRule type="cellIs" dxfId="21729" priority="7886" operator="equal">
      <formula>"PTO"</formula>
    </cfRule>
  </conditionalFormatting>
  <conditionalFormatting sqref="G30">
    <cfRule type="cellIs" dxfId="21728" priority="7883" operator="equal">
      <formula>"OFF"</formula>
    </cfRule>
    <cfRule type="cellIs" dxfId="21727" priority="7884" operator="equal">
      <formula>"PTO"</formula>
    </cfRule>
  </conditionalFormatting>
  <conditionalFormatting sqref="G30">
    <cfRule type="cellIs" dxfId="21726" priority="7881" operator="equal">
      <formula>"OFF"</formula>
    </cfRule>
    <cfRule type="cellIs" dxfId="21725" priority="7882" operator="equal">
      <formula>"PTO"</formula>
    </cfRule>
  </conditionalFormatting>
  <conditionalFormatting sqref="G30">
    <cfRule type="cellIs" dxfId="21724" priority="7879" operator="equal">
      <formula>"OFF"</formula>
    </cfRule>
    <cfRule type="cellIs" dxfId="21723" priority="7880" operator="equal">
      <formula>"PTO"</formula>
    </cfRule>
  </conditionalFormatting>
  <conditionalFormatting sqref="G30">
    <cfRule type="cellIs" dxfId="21722" priority="7877" operator="equal">
      <formula>"OFF"</formula>
    </cfRule>
    <cfRule type="cellIs" dxfId="21721" priority="7878" operator="equal">
      <formula>"PTO"</formula>
    </cfRule>
  </conditionalFormatting>
  <conditionalFormatting sqref="G30">
    <cfRule type="cellIs" dxfId="21720" priority="7875" operator="equal">
      <formula>"OFF"</formula>
    </cfRule>
    <cfRule type="cellIs" dxfId="21719" priority="7876" operator="equal">
      <formula>"PTO"</formula>
    </cfRule>
  </conditionalFormatting>
  <conditionalFormatting sqref="G30">
    <cfRule type="cellIs" dxfId="21718" priority="7873" operator="equal">
      <formula>"OFF"</formula>
    </cfRule>
    <cfRule type="cellIs" dxfId="21717" priority="7874" operator="equal">
      <formula>"PTO"</formula>
    </cfRule>
  </conditionalFormatting>
  <conditionalFormatting sqref="G30">
    <cfRule type="cellIs" dxfId="21716" priority="7871" operator="equal">
      <formula>"OFF"</formula>
    </cfRule>
    <cfRule type="cellIs" dxfId="21715" priority="7872" operator="equal">
      <formula>"PTO"</formula>
    </cfRule>
  </conditionalFormatting>
  <conditionalFormatting sqref="G30">
    <cfRule type="cellIs" dxfId="21714" priority="7869" operator="equal">
      <formula>"OFF"</formula>
    </cfRule>
    <cfRule type="cellIs" dxfId="21713" priority="7870" operator="equal">
      <formula>"PTO"</formula>
    </cfRule>
  </conditionalFormatting>
  <conditionalFormatting sqref="G30">
    <cfRule type="cellIs" dxfId="21712" priority="7867" operator="equal">
      <formula>"OFF"</formula>
    </cfRule>
    <cfRule type="cellIs" dxfId="21711" priority="7868" operator="equal">
      <formula>"PTO"</formula>
    </cfRule>
  </conditionalFormatting>
  <conditionalFormatting sqref="G30">
    <cfRule type="cellIs" dxfId="21710" priority="7865" operator="equal">
      <formula>"OFF"</formula>
    </cfRule>
    <cfRule type="cellIs" dxfId="21709" priority="7866" operator="equal">
      <formula>"PTO"</formula>
    </cfRule>
  </conditionalFormatting>
  <conditionalFormatting sqref="G30">
    <cfRule type="cellIs" dxfId="21708" priority="7863" operator="equal">
      <formula>"OFF"</formula>
    </cfRule>
    <cfRule type="cellIs" dxfId="21707" priority="7864" operator="equal">
      <formula>"PTO"</formula>
    </cfRule>
  </conditionalFormatting>
  <conditionalFormatting sqref="G30">
    <cfRule type="cellIs" dxfId="21706" priority="7861" operator="equal">
      <formula>"OFF"</formula>
    </cfRule>
    <cfRule type="cellIs" dxfId="21705" priority="7862" operator="equal">
      <formula>"PTO"</formula>
    </cfRule>
  </conditionalFormatting>
  <conditionalFormatting sqref="G30">
    <cfRule type="cellIs" dxfId="21704" priority="7859" operator="equal">
      <formula>"OFF"</formula>
    </cfRule>
    <cfRule type="cellIs" dxfId="21703" priority="7860" operator="equal">
      <formula>"PTO"</formula>
    </cfRule>
  </conditionalFormatting>
  <conditionalFormatting sqref="G30">
    <cfRule type="cellIs" dxfId="21702" priority="7857" operator="equal">
      <formula>"OFF"</formula>
    </cfRule>
    <cfRule type="cellIs" dxfId="21701" priority="7858" operator="equal">
      <formula>"PTO"</formula>
    </cfRule>
  </conditionalFormatting>
  <conditionalFormatting sqref="G30">
    <cfRule type="cellIs" dxfId="21700" priority="7855" operator="equal">
      <formula>"OFF"</formula>
    </cfRule>
    <cfRule type="cellIs" dxfId="21699" priority="7856" operator="equal">
      <formula>"PTO"</formula>
    </cfRule>
  </conditionalFormatting>
  <conditionalFormatting sqref="G30">
    <cfRule type="cellIs" dxfId="21698" priority="7853" operator="equal">
      <formula>"OFF"</formula>
    </cfRule>
    <cfRule type="cellIs" dxfId="21697" priority="7854" operator="equal">
      <formula>"PTO"</formula>
    </cfRule>
  </conditionalFormatting>
  <conditionalFormatting sqref="G30">
    <cfRule type="cellIs" dxfId="21696" priority="7851" operator="equal">
      <formula>"OFF"</formula>
    </cfRule>
    <cfRule type="cellIs" dxfId="21695" priority="7852" operator="equal">
      <formula>"PTO"</formula>
    </cfRule>
  </conditionalFormatting>
  <conditionalFormatting sqref="G30">
    <cfRule type="cellIs" dxfId="21694" priority="7849" operator="equal">
      <formula>"OFF"</formula>
    </cfRule>
    <cfRule type="cellIs" dxfId="21693" priority="7850" operator="equal">
      <formula>"PTO"</formula>
    </cfRule>
  </conditionalFormatting>
  <conditionalFormatting sqref="G30">
    <cfRule type="cellIs" dxfId="21692" priority="7847" operator="equal">
      <formula>"OFF"</formula>
    </cfRule>
    <cfRule type="cellIs" dxfId="21691" priority="7848" operator="equal">
      <formula>"PTO"</formula>
    </cfRule>
  </conditionalFormatting>
  <conditionalFormatting sqref="G30">
    <cfRule type="cellIs" dxfId="21690" priority="7845" operator="equal">
      <formula>"OFF"</formula>
    </cfRule>
    <cfRule type="cellIs" dxfId="21689" priority="7846" operator="equal">
      <formula>"PTO"</formula>
    </cfRule>
  </conditionalFormatting>
  <conditionalFormatting sqref="G30">
    <cfRule type="cellIs" dxfId="21688" priority="7843" operator="equal">
      <formula>"OFF"</formula>
    </cfRule>
    <cfRule type="cellIs" dxfId="21687" priority="7844" operator="equal">
      <formula>"PTO"</formula>
    </cfRule>
  </conditionalFormatting>
  <conditionalFormatting sqref="G30">
    <cfRule type="cellIs" dxfId="21686" priority="7841" operator="equal">
      <formula>"OFF"</formula>
    </cfRule>
    <cfRule type="cellIs" dxfId="21685" priority="7842" operator="equal">
      <formula>"PTO"</formula>
    </cfRule>
  </conditionalFormatting>
  <conditionalFormatting sqref="G30">
    <cfRule type="cellIs" dxfId="21684" priority="7839" operator="equal">
      <formula>"OFF"</formula>
    </cfRule>
    <cfRule type="cellIs" dxfId="21683" priority="7840" operator="equal">
      <formula>"PTO"</formula>
    </cfRule>
  </conditionalFormatting>
  <conditionalFormatting sqref="G30">
    <cfRule type="cellIs" dxfId="21682" priority="7837" operator="equal">
      <formula>"OFF"</formula>
    </cfRule>
    <cfRule type="cellIs" dxfId="21681" priority="7838" operator="equal">
      <formula>"PTO"</formula>
    </cfRule>
  </conditionalFormatting>
  <conditionalFormatting sqref="G30">
    <cfRule type="cellIs" dxfId="21680" priority="7835" operator="equal">
      <formula>"OFF"</formula>
    </cfRule>
    <cfRule type="cellIs" dxfId="21679" priority="7836" operator="equal">
      <formula>"PTO"</formula>
    </cfRule>
  </conditionalFormatting>
  <conditionalFormatting sqref="G30">
    <cfRule type="cellIs" dxfId="21678" priority="7833" operator="equal">
      <formula>"OFF"</formula>
    </cfRule>
    <cfRule type="cellIs" dxfId="21677" priority="7834" operator="equal">
      <formula>"PTO"</formula>
    </cfRule>
  </conditionalFormatting>
  <conditionalFormatting sqref="G30">
    <cfRule type="cellIs" dxfId="21676" priority="7831" operator="equal">
      <formula>"OFF"</formula>
    </cfRule>
    <cfRule type="cellIs" dxfId="21675" priority="7832" operator="equal">
      <formula>"PTO"</formula>
    </cfRule>
  </conditionalFormatting>
  <conditionalFormatting sqref="G30">
    <cfRule type="cellIs" dxfId="21674" priority="7829" operator="equal">
      <formula>"OFF"</formula>
    </cfRule>
    <cfRule type="cellIs" dxfId="21673" priority="7830" operator="equal">
      <formula>"PTO"</formula>
    </cfRule>
  </conditionalFormatting>
  <conditionalFormatting sqref="G30">
    <cfRule type="cellIs" dxfId="21672" priority="7827" operator="equal">
      <formula>"OFF"</formula>
    </cfRule>
    <cfRule type="cellIs" dxfId="21671" priority="7828" operator="equal">
      <formula>"PTO"</formula>
    </cfRule>
  </conditionalFormatting>
  <conditionalFormatting sqref="G30">
    <cfRule type="cellIs" dxfId="21670" priority="7825" operator="equal">
      <formula>"OFF"</formula>
    </cfRule>
    <cfRule type="cellIs" dxfId="21669" priority="7826" operator="equal">
      <formula>"PTO"</formula>
    </cfRule>
  </conditionalFormatting>
  <conditionalFormatting sqref="G30">
    <cfRule type="cellIs" dxfId="21668" priority="7823" operator="equal">
      <formula>"OFF"</formula>
    </cfRule>
    <cfRule type="cellIs" dxfId="21667" priority="7824" operator="equal">
      <formula>"PTO"</formula>
    </cfRule>
  </conditionalFormatting>
  <conditionalFormatting sqref="G30">
    <cfRule type="cellIs" dxfId="21666" priority="7821" operator="equal">
      <formula>"OFF"</formula>
    </cfRule>
    <cfRule type="cellIs" dxfId="21665" priority="7822" operator="equal">
      <formula>"PTO"</formula>
    </cfRule>
  </conditionalFormatting>
  <conditionalFormatting sqref="G30">
    <cfRule type="cellIs" dxfId="21664" priority="7819" operator="equal">
      <formula>"OFF"</formula>
    </cfRule>
    <cfRule type="cellIs" dxfId="21663" priority="7820" operator="equal">
      <formula>"PTO"</formula>
    </cfRule>
  </conditionalFormatting>
  <conditionalFormatting sqref="G30">
    <cfRule type="cellIs" dxfId="21662" priority="7817" operator="equal">
      <formula>"OFF"</formula>
    </cfRule>
    <cfRule type="cellIs" dxfId="21661" priority="7818" operator="equal">
      <formula>"PTO"</formula>
    </cfRule>
  </conditionalFormatting>
  <conditionalFormatting sqref="G30">
    <cfRule type="cellIs" dxfId="21660" priority="7815" operator="equal">
      <formula>"OFF"</formula>
    </cfRule>
    <cfRule type="cellIs" dxfId="21659" priority="7816" operator="equal">
      <formula>"PTO"</formula>
    </cfRule>
  </conditionalFormatting>
  <conditionalFormatting sqref="G30">
    <cfRule type="cellIs" dxfId="21658" priority="7813" operator="equal">
      <formula>"OFF"</formula>
    </cfRule>
    <cfRule type="cellIs" dxfId="21657" priority="7814" operator="equal">
      <formula>"PTO"</formula>
    </cfRule>
  </conditionalFormatting>
  <conditionalFormatting sqref="G30">
    <cfRule type="cellIs" dxfId="21656" priority="7811" operator="equal">
      <formula>"OFF"</formula>
    </cfRule>
    <cfRule type="cellIs" dxfId="21655" priority="7812" operator="equal">
      <formula>"PTO"</formula>
    </cfRule>
  </conditionalFormatting>
  <conditionalFormatting sqref="G30">
    <cfRule type="cellIs" dxfId="21654" priority="7809" operator="equal">
      <formula>"OFF"</formula>
    </cfRule>
    <cfRule type="cellIs" dxfId="21653" priority="7810" operator="equal">
      <formula>"PTO"</formula>
    </cfRule>
  </conditionalFormatting>
  <conditionalFormatting sqref="G30">
    <cfRule type="cellIs" dxfId="21652" priority="7807" operator="equal">
      <formula>"OFF"</formula>
    </cfRule>
    <cfRule type="cellIs" dxfId="21651" priority="7808" operator="equal">
      <formula>"PTO"</formula>
    </cfRule>
  </conditionalFormatting>
  <conditionalFormatting sqref="G30">
    <cfRule type="cellIs" dxfId="21650" priority="7805" operator="equal">
      <formula>"OFF"</formula>
    </cfRule>
    <cfRule type="cellIs" dxfId="21649" priority="7806" operator="equal">
      <formula>"PTO"</formula>
    </cfRule>
  </conditionalFormatting>
  <conditionalFormatting sqref="G30">
    <cfRule type="cellIs" dxfId="21648" priority="7803" operator="equal">
      <formula>"OFF"</formula>
    </cfRule>
    <cfRule type="cellIs" dxfId="21647" priority="7804" operator="equal">
      <formula>"PTO"</formula>
    </cfRule>
  </conditionalFormatting>
  <conditionalFormatting sqref="G30">
    <cfRule type="cellIs" dxfId="21646" priority="7801" operator="equal">
      <formula>"OFF"</formula>
    </cfRule>
    <cfRule type="cellIs" dxfId="21645" priority="7802" operator="equal">
      <formula>"PTO"</formula>
    </cfRule>
  </conditionalFormatting>
  <conditionalFormatting sqref="G30">
    <cfRule type="cellIs" dxfId="21644" priority="7799" operator="equal">
      <formula>"OFF"</formula>
    </cfRule>
    <cfRule type="cellIs" dxfId="21643" priority="7800" operator="equal">
      <formula>"PTO"</formula>
    </cfRule>
  </conditionalFormatting>
  <conditionalFormatting sqref="G30">
    <cfRule type="cellIs" dxfId="21642" priority="7797" operator="equal">
      <formula>"OFF"</formula>
    </cfRule>
    <cfRule type="cellIs" dxfId="21641" priority="7798" operator="equal">
      <formula>"PTO"</formula>
    </cfRule>
  </conditionalFormatting>
  <conditionalFormatting sqref="G30">
    <cfRule type="cellIs" dxfId="21640" priority="7795" operator="equal">
      <formula>"OFF"</formula>
    </cfRule>
    <cfRule type="cellIs" dxfId="21639" priority="7796" operator="equal">
      <formula>"PTO"</formula>
    </cfRule>
  </conditionalFormatting>
  <conditionalFormatting sqref="G30">
    <cfRule type="cellIs" dxfId="21638" priority="7793" operator="equal">
      <formula>"OFF"</formula>
    </cfRule>
    <cfRule type="cellIs" dxfId="21637" priority="7794" operator="equal">
      <formula>"PTO"</formula>
    </cfRule>
  </conditionalFormatting>
  <conditionalFormatting sqref="G30">
    <cfRule type="cellIs" dxfId="21636" priority="7791" operator="equal">
      <formula>"OFF"</formula>
    </cfRule>
    <cfRule type="cellIs" dxfId="21635" priority="7792" operator="equal">
      <formula>"PTO"</formula>
    </cfRule>
  </conditionalFormatting>
  <conditionalFormatting sqref="G30">
    <cfRule type="cellIs" dxfId="21634" priority="7789" operator="equal">
      <formula>"OFF"</formula>
    </cfRule>
    <cfRule type="cellIs" dxfId="21633" priority="7790" operator="equal">
      <formula>"PTO"</formula>
    </cfRule>
  </conditionalFormatting>
  <conditionalFormatting sqref="G30">
    <cfRule type="cellIs" dxfId="21632" priority="7787" operator="equal">
      <formula>"OFF"</formula>
    </cfRule>
    <cfRule type="cellIs" dxfId="21631" priority="7788" operator="equal">
      <formula>"PTO"</formula>
    </cfRule>
  </conditionalFormatting>
  <conditionalFormatting sqref="G30">
    <cfRule type="cellIs" dxfId="21630" priority="7785" operator="equal">
      <formula>"OFF"</formula>
    </cfRule>
    <cfRule type="cellIs" dxfId="21629" priority="7786" operator="equal">
      <formula>"PTO"</formula>
    </cfRule>
  </conditionalFormatting>
  <conditionalFormatting sqref="G30">
    <cfRule type="cellIs" dxfId="21628" priority="7783" operator="equal">
      <formula>"OFF"</formula>
    </cfRule>
    <cfRule type="cellIs" dxfId="21627" priority="7784" operator="equal">
      <formula>"PTO"</formula>
    </cfRule>
  </conditionalFormatting>
  <conditionalFormatting sqref="G30">
    <cfRule type="cellIs" dxfId="21626" priority="7781" operator="equal">
      <formula>"OFF"</formula>
    </cfRule>
    <cfRule type="cellIs" dxfId="21625" priority="7782" operator="equal">
      <formula>"PTO"</formula>
    </cfRule>
  </conditionalFormatting>
  <conditionalFormatting sqref="G30">
    <cfRule type="cellIs" dxfId="21624" priority="7779" operator="equal">
      <formula>"OFF"</formula>
    </cfRule>
    <cfRule type="cellIs" dxfId="21623" priority="7780" operator="equal">
      <formula>"PTO"</formula>
    </cfRule>
  </conditionalFormatting>
  <conditionalFormatting sqref="G30">
    <cfRule type="cellIs" dxfId="21622" priority="7777" operator="equal">
      <formula>"OFF"</formula>
    </cfRule>
    <cfRule type="cellIs" dxfId="21621" priority="7778" operator="equal">
      <formula>"PTO"</formula>
    </cfRule>
  </conditionalFormatting>
  <conditionalFormatting sqref="G30">
    <cfRule type="cellIs" dxfId="21620" priority="7775" operator="equal">
      <formula>"OFF"</formula>
    </cfRule>
    <cfRule type="cellIs" dxfId="21619" priority="7776" operator="equal">
      <formula>"PTO"</formula>
    </cfRule>
  </conditionalFormatting>
  <conditionalFormatting sqref="G30">
    <cfRule type="cellIs" dxfId="21618" priority="7773" operator="equal">
      <formula>"OFF"</formula>
    </cfRule>
    <cfRule type="cellIs" dxfId="21617" priority="7774" operator="equal">
      <formula>"PTO"</formula>
    </cfRule>
  </conditionalFormatting>
  <conditionalFormatting sqref="G30">
    <cfRule type="cellIs" dxfId="21616" priority="7771" operator="equal">
      <formula>"OFF"</formula>
    </cfRule>
    <cfRule type="cellIs" dxfId="21615" priority="7772" operator="equal">
      <formula>"PTO"</formula>
    </cfRule>
  </conditionalFormatting>
  <conditionalFormatting sqref="G30">
    <cfRule type="cellIs" dxfId="21614" priority="7769" operator="equal">
      <formula>"OFF"</formula>
    </cfRule>
    <cfRule type="cellIs" dxfId="21613" priority="7770" operator="equal">
      <formula>"PTO"</formula>
    </cfRule>
  </conditionalFormatting>
  <conditionalFormatting sqref="G30">
    <cfRule type="cellIs" dxfId="21612" priority="7767" operator="equal">
      <formula>"OFF"</formula>
    </cfRule>
    <cfRule type="cellIs" dxfId="21611" priority="7768" operator="equal">
      <formula>"PTO"</formula>
    </cfRule>
  </conditionalFormatting>
  <conditionalFormatting sqref="G30">
    <cfRule type="cellIs" dxfId="21610" priority="7765" operator="equal">
      <formula>"OFF"</formula>
    </cfRule>
    <cfRule type="cellIs" dxfId="21609" priority="7766" operator="equal">
      <formula>"PTO"</formula>
    </cfRule>
  </conditionalFormatting>
  <conditionalFormatting sqref="G30">
    <cfRule type="cellIs" dxfId="21608" priority="7763" operator="equal">
      <formula>"OFF"</formula>
    </cfRule>
    <cfRule type="cellIs" dxfId="21607" priority="7764" operator="equal">
      <formula>"PTO"</formula>
    </cfRule>
  </conditionalFormatting>
  <conditionalFormatting sqref="G30">
    <cfRule type="cellIs" dxfId="21606" priority="7761" operator="equal">
      <formula>"OFF"</formula>
    </cfRule>
    <cfRule type="cellIs" dxfId="21605" priority="7762" operator="equal">
      <formula>"PTO"</formula>
    </cfRule>
  </conditionalFormatting>
  <conditionalFormatting sqref="G30">
    <cfRule type="cellIs" dxfId="21604" priority="7759" operator="equal">
      <formula>"OFF"</formula>
    </cfRule>
    <cfRule type="cellIs" dxfId="21603" priority="7760" operator="equal">
      <formula>"PTO"</formula>
    </cfRule>
  </conditionalFormatting>
  <conditionalFormatting sqref="G30">
    <cfRule type="cellIs" dxfId="21602" priority="7757" operator="equal">
      <formula>"OFF"</formula>
    </cfRule>
    <cfRule type="cellIs" dxfId="21601" priority="7758" operator="equal">
      <formula>"PTO"</formula>
    </cfRule>
  </conditionalFormatting>
  <conditionalFormatting sqref="G30">
    <cfRule type="cellIs" dxfId="21600" priority="7755" operator="equal">
      <formula>"OFF"</formula>
    </cfRule>
    <cfRule type="cellIs" dxfId="21599" priority="7756" operator="equal">
      <formula>"PTO"</formula>
    </cfRule>
  </conditionalFormatting>
  <conditionalFormatting sqref="G30">
    <cfRule type="cellIs" dxfId="21598" priority="7753" operator="equal">
      <formula>"OFF"</formula>
    </cfRule>
    <cfRule type="cellIs" dxfId="21597" priority="7754" operator="equal">
      <formula>"PTO"</formula>
    </cfRule>
  </conditionalFormatting>
  <conditionalFormatting sqref="G30">
    <cfRule type="cellIs" dxfId="21596" priority="7751" operator="equal">
      <formula>"OFF"</formula>
    </cfRule>
    <cfRule type="cellIs" dxfId="21595" priority="7752" operator="equal">
      <formula>"PTO"</formula>
    </cfRule>
  </conditionalFormatting>
  <conditionalFormatting sqref="G30">
    <cfRule type="cellIs" dxfId="21594" priority="7749" operator="equal">
      <formula>"OFF"</formula>
    </cfRule>
    <cfRule type="cellIs" dxfId="21593" priority="7750" operator="equal">
      <formula>"PTO"</formula>
    </cfRule>
  </conditionalFormatting>
  <conditionalFormatting sqref="G30">
    <cfRule type="cellIs" dxfId="21592" priority="7747" operator="equal">
      <formula>"OFF"</formula>
    </cfRule>
    <cfRule type="cellIs" dxfId="21591" priority="7748" operator="equal">
      <formula>"PTO"</formula>
    </cfRule>
  </conditionalFormatting>
  <conditionalFormatting sqref="G30">
    <cfRule type="cellIs" dxfId="21590" priority="7745" operator="equal">
      <formula>"OFF"</formula>
    </cfRule>
    <cfRule type="cellIs" dxfId="21589" priority="7746" operator="equal">
      <formula>"PTO"</formula>
    </cfRule>
  </conditionalFormatting>
  <conditionalFormatting sqref="G30">
    <cfRule type="cellIs" dxfId="21588" priority="7743" operator="equal">
      <formula>"OFF"</formula>
    </cfRule>
    <cfRule type="cellIs" dxfId="21587" priority="7744" operator="equal">
      <formula>"PTO"</formula>
    </cfRule>
  </conditionalFormatting>
  <conditionalFormatting sqref="G30">
    <cfRule type="cellIs" dxfId="21586" priority="7741" operator="equal">
      <formula>"OFF"</formula>
    </cfRule>
    <cfRule type="cellIs" dxfId="21585" priority="7742" operator="equal">
      <formula>"PTO"</formula>
    </cfRule>
  </conditionalFormatting>
  <conditionalFormatting sqref="G30">
    <cfRule type="cellIs" dxfId="21584" priority="7739" operator="equal">
      <formula>"OFF"</formula>
    </cfRule>
    <cfRule type="cellIs" dxfId="21583" priority="7740" operator="equal">
      <formula>"PTO"</formula>
    </cfRule>
  </conditionalFormatting>
  <conditionalFormatting sqref="G30">
    <cfRule type="cellIs" dxfId="21582" priority="7737" operator="equal">
      <formula>"OFF"</formula>
    </cfRule>
    <cfRule type="cellIs" dxfId="21581" priority="7738" operator="equal">
      <formula>"PTO"</formula>
    </cfRule>
  </conditionalFormatting>
  <conditionalFormatting sqref="G30">
    <cfRule type="cellIs" dxfId="21580" priority="7735" operator="equal">
      <formula>"OFF"</formula>
    </cfRule>
    <cfRule type="cellIs" dxfId="21579" priority="7736" operator="equal">
      <formula>"PTO"</formula>
    </cfRule>
  </conditionalFormatting>
  <conditionalFormatting sqref="G30">
    <cfRule type="cellIs" dxfId="21578" priority="7733" operator="equal">
      <formula>"OFF"</formula>
    </cfRule>
    <cfRule type="cellIs" dxfId="21577" priority="7734" operator="equal">
      <formula>"PTO"</formula>
    </cfRule>
  </conditionalFormatting>
  <conditionalFormatting sqref="G30">
    <cfRule type="cellIs" dxfId="21576" priority="7731" operator="equal">
      <formula>"OFF"</formula>
    </cfRule>
    <cfRule type="cellIs" dxfId="21575" priority="7732" operator="equal">
      <formula>"PTO"</formula>
    </cfRule>
  </conditionalFormatting>
  <conditionalFormatting sqref="G30">
    <cfRule type="cellIs" dxfId="21574" priority="7729" operator="equal">
      <formula>"OFF"</formula>
    </cfRule>
    <cfRule type="cellIs" dxfId="21573" priority="7730" operator="equal">
      <formula>"PTO"</formula>
    </cfRule>
  </conditionalFormatting>
  <conditionalFormatting sqref="G30">
    <cfRule type="cellIs" dxfId="21572" priority="7727" operator="equal">
      <formula>"OFF"</formula>
    </cfRule>
    <cfRule type="cellIs" dxfId="21571" priority="7728" operator="equal">
      <formula>"PTO"</formula>
    </cfRule>
  </conditionalFormatting>
  <conditionalFormatting sqref="G30">
    <cfRule type="cellIs" dxfId="21570" priority="7725" operator="equal">
      <formula>"OFF"</formula>
    </cfRule>
    <cfRule type="cellIs" dxfId="21569" priority="7726" operator="equal">
      <formula>"PTO"</formula>
    </cfRule>
  </conditionalFormatting>
  <conditionalFormatting sqref="G30">
    <cfRule type="cellIs" dxfId="21568" priority="7723" operator="equal">
      <formula>"OFF"</formula>
    </cfRule>
    <cfRule type="cellIs" dxfId="21567" priority="7724" operator="equal">
      <formula>"PTO"</formula>
    </cfRule>
  </conditionalFormatting>
  <conditionalFormatting sqref="G30">
    <cfRule type="cellIs" dxfId="21566" priority="7721" operator="equal">
      <formula>"OFF"</formula>
    </cfRule>
    <cfRule type="cellIs" dxfId="21565" priority="7722" operator="equal">
      <formula>"PTO"</formula>
    </cfRule>
  </conditionalFormatting>
  <conditionalFormatting sqref="G30">
    <cfRule type="cellIs" dxfId="21564" priority="7719" operator="equal">
      <formula>"OFF"</formula>
    </cfRule>
    <cfRule type="cellIs" dxfId="21563" priority="7720" operator="equal">
      <formula>"PTO"</formula>
    </cfRule>
  </conditionalFormatting>
  <conditionalFormatting sqref="G30">
    <cfRule type="cellIs" dxfId="21562" priority="7717" operator="equal">
      <formula>"OFF"</formula>
    </cfRule>
    <cfRule type="cellIs" dxfId="21561" priority="7718" operator="equal">
      <formula>"PTO"</formula>
    </cfRule>
  </conditionalFormatting>
  <conditionalFormatting sqref="G30">
    <cfRule type="cellIs" dxfId="21560" priority="7715" operator="equal">
      <formula>"OFF"</formula>
    </cfRule>
    <cfRule type="cellIs" dxfId="21559" priority="7716" operator="equal">
      <formula>"PTO"</formula>
    </cfRule>
  </conditionalFormatting>
  <conditionalFormatting sqref="G30">
    <cfRule type="cellIs" dxfId="21558" priority="7713" operator="equal">
      <formula>"OFF"</formula>
    </cfRule>
    <cfRule type="cellIs" dxfId="21557" priority="7714" operator="equal">
      <formula>"PTO"</formula>
    </cfRule>
  </conditionalFormatting>
  <conditionalFormatting sqref="G30">
    <cfRule type="cellIs" dxfId="21556" priority="7711" operator="equal">
      <formula>"OFF"</formula>
    </cfRule>
    <cfRule type="cellIs" dxfId="21555" priority="7712" operator="equal">
      <formula>"PTO"</formula>
    </cfRule>
  </conditionalFormatting>
  <conditionalFormatting sqref="G30">
    <cfRule type="cellIs" dxfId="21554" priority="7709" operator="equal">
      <formula>"OFF"</formula>
    </cfRule>
    <cfRule type="cellIs" dxfId="21553" priority="7710" operator="equal">
      <formula>"PTO"</formula>
    </cfRule>
  </conditionalFormatting>
  <conditionalFormatting sqref="G30">
    <cfRule type="cellIs" dxfId="21552" priority="7707" operator="equal">
      <formula>"OFF"</formula>
    </cfRule>
    <cfRule type="cellIs" dxfId="21551" priority="7708" operator="equal">
      <formula>"PTO"</formula>
    </cfRule>
  </conditionalFormatting>
  <conditionalFormatting sqref="G30">
    <cfRule type="cellIs" dxfId="21550" priority="7705" operator="equal">
      <formula>"OFF"</formula>
    </cfRule>
    <cfRule type="cellIs" dxfId="21549" priority="7706" operator="equal">
      <formula>"PTO"</formula>
    </cfRule>
  </conditionalFormatting>
  <conditionalFormatting sqref="G30">
    <cfRule type="cellIs" dxfId="21548" priority="7703" operator="equal">
      <formula>"OFF"</formula>
    </cfRule>
    <cfRule type="cellIs" dxfId="21547" priority="7704" operator="equal">
      <formula>"PTO"</formula>
    </cfRule>
  </conditionalFormatting>
  <conditionalFormatting sqref="G26:G27">
    <cfRule type="cellIs" dxfId="21546" priority="7701" operator="equal">
      <formula>"OFF"</formula>
    </cfRule>
    <cfRule type="cellIs" dxfId="21545" priority="7702" operator="equal">
      <formula>"PTO"</formula>
    </cfRule>
  </conditionalFormatting>
  <conditionalFormatting sqref="G26:G27">
    <cfRule type="cellIs" dxfId="21544" priority="7699" operator="equal">
      <formula>"OFF"</formula>
    </cfRule>
    <cfRule type="cellIs" dxfId="21543" priority="7700" operator="equal">
      <formula>"PTO"</formula>
    </cfRule>
  </conditionalFormatting>
  <conditionalFormatting sqref="G26:G27">
    <cfRule type="cellIs" dxfId="21542" priority="7697" operator="equal">
      <formula>"OFF"</formula>
    </cfRule>
    <cfRule type="cellIs" dxfId="21541" priority="7698" operator="equal">
      <formula>"PTO"</formula>
    </cfRule>
  </conditionalFormatting>
  <conditionalFormatting sqref="G26:G27">
    <cfRule type="cellIs" dxfId="21540" priority="7695" operator="equal">
      <formula>"OFF"</formula>
    </cfRule>
    <cfRule type="cellIs" dxfId="21539" priority="7696" operator="equal">
      <formula>"PTO"</formula>
    </cfRule>
  </conditionalFormatting>
  <conditionalFormatting sqref="G26:G27">
    <cfRule type="cellIs" dxfId="21538" priority="7693" operator="equal">
      <formula>"OFF"</formula>
    </cfRule>
    <cfRule type="cellIs" dxfId="21537" priority="7694" operator="equal">
      <formula>"PTO"</formula>
    </cfRule>
  </conditionalFormatting>
  <conditionalFormatting sqref="G26:G27">
    <cfRule type="cellIs" dxfId="21536" priority="7691" operator="equal">
      <formula>"OFF"</formula>
    </cfRule>
    <cfRule type="cellIs" dxfId="21535" priority="7692" operator="equal">
      <formula>"PTO"</formula>
    </cfRule>
  </conditionalFormatting>
  <conditionalFormatting sqref="G26:G27">
    <cfRule type="cellIs" dxfId="21534" priority="7689" operator="equal">
      <formula>"OFF"</formula>
    </cfRule>
    <cfRule type="cellIs" dxfId="21533" priority="7690" operator="equal">
      <formula>"PTO"</formula>
    </cfRule>
  </conditionalFormatting>
  <conditionalFormatting sqref="G26:G27">
    <cfRule type="cellIs" dxfId="21532" priority="7687" operator="equal">
      <formula>"OFF"</formula>
    </cfRule>
    <cfRule type="cellIs" dxfId="21531" priority="7688" operator="equal">
      <formula>"PTO"</formula>
    </cfRule>
  </conditionalFormatting>
  <conditionalFormatting sqref="G26:G27">
    <cfRule type="cellIs" dxfId="21530" priority="7685" operator="equal">
      <formula>"OFF"</formula>
    </cfRule>
    <cfRule type="cellIs" dxfId="21529" priority="7686" operator="equal">
      <formula>"PTO"</formula>
    </cfRule>
  </conditionalFormatting>
  <conditionalFormatting sqref="G27">
    <cfRule type="cellIs" dxfId="21528" priority="7683" operator="equal">
      <formula>"OFF"</formula>
    </cfRule>
    <cfRule type="cellIs" dxfId="21527" priority="7684" operator="equal">
      <formula>"PTO"</formula>
    </cfRule>
  </conditionalFormatting>
  <conditionalFormatting sqref="G27">
    <cfRule type="cellIs" dxfId="21526" priority="7681" operator="equal">
      <formula>"OFF"</formula>
    </cfRule>
    <cfRule type="cellIs" dxfId="21525" priority="7682" operator="equal">
      <formula>"PTO"</formula>
    </cfRule>
  </conditionalFormatting>
  <conditionalFormatting sqref="G27">
    <cfRule type="cellIs" dxfId="21524" priority="7679" operator="equal">
      <formula>"OFF"</formula>
    </cfRule>
    <cfRule type="cellIs" dxfId="21523" priority="7680" operator="equal">
      <formula>"PTO"</formula>
    </cfRule>
  </conditionalFormatting>
  <conditionalFormatting sqref="G27">
    <cfRule type="cellIs" dxfId="21522" priority="7677" operator="equal">
      <formula>"OFF"</formula>
    </cfRule>
    <cfRule type="cellIs" dxfId="21521" priority="7678" operator="equal">
      <formula>"PTO"</formula>
    </cfRule>
  </conditionalFormatting>
  <conditionalFormatting sqref="G27">
    <cfRule type="cellIs" dxfId="21520" priority="7675" operator="equal">
      <formula>"OFF"</formula>
    </cfRule>
    <cfRule type="cellIs" dxfId="21519" priority="7676" operator="equal">
      <formula>"PTO"</formula>
    </cfRule>
  </conditionalFormatting>
  <conditionalFormatting sqref="G27">
    <cfRule type="cellIs" dxfId="21518" priority="7673" operator="equal">
      <formula>"OFF"</formula>
    </cfRule>
    <cfRule type="cellIs" dxfId="21517" priority="7674" operator="equal">
      <formula>"PTO"</formula>
    </cfRule>
  </conditionalFormatting>
  <conditionalFormatting sqref="G27">
    <cfRule type="cellIs" dxfId="21516" priority="7671" operator="equal">
      <formula>"OFF"</formula>
    </cfRule>
    <cfRule type="cellIs" dxfId="21515" priority="7672" operator="equal">
      <formula>"PTO"</formula>
    </cfRule>
  </conditionalFormatting>
  <conditionalFormatting sqref="G27">
    <cfRule type="cellIs" dxfId="21514" priority="7669" operator="equal">
      <formula>"OFF"</formula>
    </cfRule>
    <cfRule type="cellIs" dxfId="21513" priority="7670" operator="equal">
      <formula>"PTO"</formula>
    </cfRule>
  </conditionalFormatting>
  <conditionalFormatting sqref="O26:O27 O29:O39">
    <cfRule type="cellIs" dxfId="21512" priority="7667" operator="equal">
      <formula>"OFF"</formula>
    </cfRule>
    <cfRule type="cellIs" dxfId="21511" priority="7668" operator="equal">
      <formula>"PTO"</formula>
    </cfRule>
  </conditionalFormatting>
  <conditionalFormatting sqref="O26">
    <cfRule type="cellIs" dxfId="21510" priority="7665" operator="equal">
      <formula>"OFF"</formula>
    </cfRule>
    <cfRule type="cellIs" dxfId="21509" priority="7666" operator="equal">
      <formula>"PTO"</formula>
    </cfRule>
  </conditionalFormatting>
  <conditionalFormatting sqref="O26">
    <cfRule type="cellIs" dxfId="21508" priority="7663" operator="equal">
      <formula>"OFF"</formula>
    </cfRule>
    <cfRule type="cellIs" dxfId="21507" priority="7664" operator="equal">
      <formula>"PTO"</formula>
    </cfRule>
  </conditionalFormatting>
  <conditionalFormatting sqref="O26">
    <cfRule type="cellIs" dxfId="21506" priority="7661" operator="equal">
      <formula>"OFF"</formula>
    </cfRule>
    <cfRule type="cellIs" dxfId="21505" priority="7662" operator="equal">
      <formula>"PTO"</formula>
    </cfRule>
  </conditionalFormatting>
  <conditionalFormatting sqref="O26">
    <cfRule type="cellIs" dxfId="21504" priority="7659" operator="equal">
      <formula>"OFF"</formula>
    </cfRule>
    <cfRule type="cellIs" dxfId="21503" priority="7660" operator="equal">
      <formula>"PTO"</formula>
    </cfRule>
  </conditionalFormatting>
  <conditionalFormatting sqref="O26">
    <cfRule type="cellIs" dxfId="21502" priority="7657" operator="equal">
      <formula>"OFF"</formula>
    </cfRule>
    <cfRule type="cellIs" dxfId="21501" priority="7658" operator="equal">
      <formula>"PTO"</formula>
    </cfRule>
  </conditionalFormatting>
  <conditionalFormatting sqref="O26">
    <cfRule type="cellIs" dxfId="21500" priority="7655" operator="equal">
      <formula>"OFF"</formula>
    </cfRule>
    <cfRule type="cellIs" dxfId="21499" priority="7656" operator="equal">
      <formula>"PTO"</formula>
    </cfRule>
  </conditionalFormatting>
  <conditionalFormatting sqref="O26">
    <cfRule type="cellIs" dxfId="21498" priority="7653" operator="equal">
      <formula>"OFF"</formula>
    </cfRule>
    <cfRule type="cellIs" dxfId="21497" priority="7654" operator="equal">
      <formula>"PTO"</formula>
    </cfRule>
  </conditionalFormatting>
  <conditionalFormatting sqref="O26">
    <cfRule type="cellIs" dxfId="21496" priority="7651" operator="equal">
      <formula>"OFF"</formula>
    </cfRule>
    <cfRule type="cellIs" dxfId="21495" priority="7652" operator="equal">
      <formula>"PTO"</formula>
    </cfRule>
  </conditionalFormatting>
  <conditionalFormatting sqref="O27">
    <cfRule type="cellIs" dxfId="21494" priority="7649" operator="equal">
      <formula>"OFF"</formula>
    </cfRule>
    <cfRule type="cellIs" dxfId="21493" priority="7650" operator="equal">
      <formula>"PTO"</formula>
    </cfRule>
  </conditionalFormatting>
  <conditionalFormatting sqref="O27">
    <cfRule type="cellIs" dxfId="21492" priority="7647" operator="equal">
      <formula>"OFF"</formula>
    </cfRule>
    <cfRule type="cellIs" dxfId="21491" priority="7648" operator="equal">
      <formula>"PTO"</formula>
    </cfRule>
  </conditionalFormatting>
  <conditionalFormatting sqref="O27">
    <cfRule type="cellIs" dxfId="21490" priority="7645" operator="equal">
      <formula>"OFF"</formula>
    </cfRule>
    <cfRule type="cellIs" dxfId="21489" priority="7646" operator="equal">
      <formula>"PTO"</formula>
    </cfRule>
  </conditionalFormatting>
  <conditionalFormatting sqref="O27">
    <cfRule type="cellIs" dxfId="21488" priority="7643" operator="equal">
      <formula>"OFF"</formula>
    </cfRule>
    <cfRule type="cellIs" dxfId="21487" priority="7644" operator="equal">
      <formula>"PTO"</formula>
    </cfRule>
  </conditionalFormatting>
  <conditionalFormatting sqref="O27">
    <cfRule type="cellIs" dxfId="21486" priority="7641" operator="equal">
      <formula>"OFF"</formula>
    </cfRule>
    <cfRule type="cellIs" dxfId="21485" priority="7642" operator="equal">
      <formula>"PTO"</formula>
    </cfRule>
  </conditionalFormatting>
  <conditionalFormatting sqref="O27">
    <cfRule type="cellIs" dxfId="21484" priority="7639" operator="equal">
      <formula>"OFF"</formula>
    </cfRule>
    <cfRule type="cellIs" dxfId="21483" priority="7640" operator="equal">
      <formula>"PTO"</formula>
    </cfRule>
  </conditionalFormatting>
  <conditionalFormatting sqref="O27">
    <cfRule type="cellIs" dxfId="21482" priority="7637" operator="equal">
      <formula>"OFF"</formula>
    </cfRule>
    <cfRule type="cellIs" dxfId="21481" priority="7638" operator="equal">
      <formula>"PTO"</formula>
    </cfRule>
  </conditionalFormatting>
  <conditionalFormatting sqref="O27">
    <cfRule type="cellIs" dxfId="21480" priority="7635" operator="equal">
      <formula>"OFF"</formula>
    </cfRule>
    <cfRule type="cellIs" dxfId="21479" priority="7636" operator="equal">
      <formula>"PTO"</formula>
    </cfRule>
  </conditionalFormatting>
  <conditionalFormatting sqref="O26">
    <cfRule type="cellIs" dxfId="21478" priority="7633" operator="equal">
      <formula>"OFF"</formula>
    </cfRule>
    <cfRule type="cellIs" dxfId="21477" priority="7634" operator="equal">
      <formula>"PTO"</formula>
    </cfRule>
  </conditionalFormatting>
  <conditionalFormatting sqref="O26">
    <cfRule type="cellIs" dxfId="21476" priority="7631" operator="equal">
      <formula>"OFF"</formula>
    </cfRule>
    <cfRule type="cellIs" dxfId="21475" priority="7632" operator="equal">
      <formula>"PTO"</formula>
    </cfRule>
  </conditionalFormatting>
  <conditionalFormatting sqref="O26">
    <cfRule type="cellIs" dxfId="21474" priority="7629" operator="equal">
      <formula>"OFF"</formula>
    </cfRule>
    <cfRule type="cellIs" dxfId="21473" priority="7630" operator="equal">
      <formula>"PTO"</formula>
    </cfRule>
  </conditionalFormatting>
  <conditionalFormatting sqref="O26">
    <cfRule type="cellIs" dxfId="21472" priority="7627" operator="equal">
      <formula>"OFF"</formula>
    </cfRule>
    <cfRule type="cellIs" dxfId="21471" priority="7628" operator="equal">
      <formula>"PTO"</formula>
    </cfRule>
  </conditionalFormatting>
  <conditionalFormatting sqref="O26">
    <cfRule type="cellIs" dxfId="21470" priority="7625" operator="equal">
      <formula>"OFF"</formula>
    </cfRule>
    <cfRule type="cellIs" dxfId="21469" priority="7626" operator="equal">
      <formula>"PTO"</formula>
    </cfRule>
  </conditionalFormatting>
  <conditionalFormatting sqref="O26">
    <cfRule type="cellIs" dxfId="21468" priority="7623" operator="equal">
      <formula>"OFF"</formula>
    </cfRule>
    <cfRule type="cellIs" dxfId="21467" priority="7624" operator="equal">
      <formula>"PTO"</formula>
    </cfRule>
  </conditionalFormatting>
  <conditionalFormatting sqref="O26">
    <cfRule type="cellIs" dxfId="21466" priority="7621" operator="equal">
      <formula>"OFF"</formula>
    </cfRule>
    <cfRule type="cellIs" dxfId="21465" priority="7622" operator="equal">
      <formula>"PTO"</formula>
    </cfRule>
  </conditionalFormatting>
  <conditionalFormatting sqref="O26">
    <cfRule type="cellIs" dxfId="21464" priority="7619" operator="equal">
      <formula>"OFF"</formula>
    </cfRule>
    <cfRule type="cellIs" dxfId="21463" priority="7620" operator="equal">
      <formula>"PTO"</formula>
    </cfRule>
  </conditionalFormatting>
  <conditionalFormatting sqref="O27">
    <cfRule type="cellIs" dxfId="21462" priority="7617" operator="equal">
      <formula>"OFF"</formula>
    </cfRule>
    <cfRule type="cellIs" dxfId="21461" priority="7618" operator="equal">
      <formula>"PTO"</formula>
    </cfRule>
  </conditionalFormatting>
  <conditionalFormatting sqref="O27">
    <cfRule type="cellIs" dxfId="21460" priority="7615" operator="equal">
      <formula>"OFF"</formula>
    </cfRule>
    <cfRule type="cellIs" dxfId="21459" priority="7616" operator="equal">
      <formula>"PTO"</formula>
    </cfRule>
  </conditionalFormatting>
  <conditionalFormatting sqref="O27">
    <cfRule type="cellIs" dxfId="21458" priority="7613" operator="equal">
      <formula>"OFF"</formula>
    </cfRule>
    <cfRule type="cellIs" dxfId="21457" priority="7614" operator="equal">
      <formula>"PTO"</formula>
    </cfRule>
  </conditionalFormatting>
  <conditionalFormatting sqref="O27">
    <cfRule type="cellIs" dxfId="21456" priority="7611" operator="equal">
      <formula>"OFF"</formula>
    </cfRule>
    <cfRule type="cellIs" dxfId="21455" priority="7612" operator="equal">
      <formula>"PTO"</formula>
    </cfRule>
  </conditionalFormatting>
  <conditionalFormatting sqref="O27">
    <cfRule type="cellIs" dxfId="21454" priority="7609" operator="equal">
      <formula>"OFF"</formula>
    </cfRule>
    <cfRule type="cellIs" dxfId="21453" priority="7610" operator="equal">
      <formula>"PTO"</formula>
    </cfRule>
  </conditionalFormatting>
  <conditionalFormatting sqref="O27">
    <cfRule type="cellIs" dxfId="21452" priority="7607" operator="equal">
      <formula>"OFF"</formula>
    </cfRule>
    <cfRule type="cellIs" dxfId="21451" priority="7608" operator="equal">
      <formula>"PTO"</formula>
    </cfRule>
  </conditionalFormatting>
  <conditionalFormatting sqref="O27">
    <cfRule type="cellIs" dxfId="21450" priority="7605" operator="equal">
      <formula>"OFF"</formula>
    </cfRule>
    <cfRule type="cellIs" dxfId="21449" priority="7606" operator="equal">
      <formula>"PTO"</formula>
    </cfRule>
  </conditionalFormatting>
  <conditionalFormatting sqref="O27">
    <cfRule type="cellIs" dxfId="21448" priority="7603" operator="equal">
      <formula>"OFF"</formula>
    </cfRule>
    <cfRule type="cellIs" dxfId="21447" priority="7604" operator="equal">
      <formula>"PTO"</formula>
    </cfRule>
  </conditionalFormatting>
  <conditionalFormatting sqref="O26">
    <cfRule type="cellIs" dxfId="21446" priority="7601" operator="equal">
      <formula>"OFF"</formula>
    </cfRule>
    <cfRule type="cellIs" dxfId="21445" priority="7602" operator="equal">
      <formula>"PTO"</formula>
    </cfRule>
  </conditionalFormatting>
  <conditionalFormatting sqref="O26">
    <cfRule type="cellIs" dxfId="21444" priority="7599" operator="equal">
      <formula>"OFF"</formula>
    </cfRule>
    <cfRule type="cellIs" dxfId="21443" priority="7600" operator="equal">
      <formula>"PTO"</formula>
    </cfRule>
  </conditionalFormatting>
  <conditionalFormatting sqref="O26">
    <cfRule type="cellIs" dxfId="21442" priority="7597" operator="equal">
      <formula>"OFF"</formula>
    </cfRule>
    <cfRule type="cellIs" dxfId="21441" priority="7598" operator="equal">
      <formula>"PTO"</formula>
    </cfRule>
  </conditionalFormatting>
  <conditionalFormatting sqref="O26">
    <cfRule type="cellIs" dxfId="21440" priority="7595" operator="equal">
      <formula>"OFF"</formula>
    </cfRule>
    <cfRule type="cellIs" dxfId="21439" priority="7596" operator="equal">
      <formula>"PTO"</formula>
    </cfRule>
  </conditionalFormatting>
  <conditionalFormatting sqref="O26">
    <cfRule type="cellIs" dxfId="21438" priority="7593" operator="equal">
      <formula>"OFF"</formula>
    </cfRule>
    <cfRule type="cellIs" dxfId="21437" priority="7594" operator="equal">
      <formula>"PTO"</formula>
    </cfRule>
  </conditionalFormatting>
  <conditionalFormatting sqref="O26">
    <cfRule type="cellIs" dxfId="21436" priority="7591" operator="equal">
      <formula>"OFF"</formula>
    </cfRule>
    <cfRule type="cellIs" dxfId="21435" priority="7592" operator="equal">
      <formula>"PTO"</formula>
    </cfRule>
  </conditionalFormatting>
  <conditionalFormatting sqref="O26">
    <cfRule type="cellIs" dxfId="21434" priority="7589" operator="equal">
      <formula>"OFF"</formula>
    </cfRule>
    <cfRule type="cellIs" dxfId="21433" priority="7590" operator="equal">
      <formula>"PTO"</formula>
    </cfRule>
  </conditionalFormatting>
  <conditionalFormatting sqref="O26">
    <cfRule type="cellIs" dxfId="21432" priority="7587" operator="equal">
      <formula>"OFF"</formula>
    </cfRule>
    <cfRule type="cellIs" dxfId="21431" priority="7588" operator="equal">
      <formula>"PTO"</formula>
    </cfRule>
  </conditionalFormatting>
  <conditionalFormatting sqref="O27">
    <cfRule type="cellIs" dxfId="21430" priority="7585" operator="equal">
      <formula>"OFF"</formula>
    </cfRule>
    <cfRule type="cellIs" dxfId="21429" priority="7586" operator="equal">
      <formula>"PTO"</formula>
    </cfRule>
  </conditionalFormatting>
  <conditionalFormatting sqref="O27">
    <cfRule type="cellIs" dxfId="21428" priority="7583" operator="equal">
      <formula>"OFF"</formula>
    </cfRule>
    <cfRule type="cellIs" dxfId="21427" priority="7584" operator="equal">
      <formula>"PTO"</formula>
    </cfRule>
  </conditionalFormatting>
  <conditionalFormatting sqref="O27">
    <cfRule type="cellIs" dxfId="21426" priority="7581" operator="equal">
      <formula>"OFF"</formula>
    </cfRule>
    <cfRule type="cellIs" dxfId="21425" priority="7582" operator="equal">
      <formula>"PTO"</formula>
    </cfRule>
  </conditionalFormatting>
  <conditionalFormatting sqref="O27">
    <cfRule type="cellIs" dxfId="21424" priority="7579" operator="equal">
      <formula>"OFF"</formula>
    </cfRule>
    <cfRule type="cellIs" dxfId="21423" priority="7580" operator="equal">
      <formula>"PTO"</formula>
    </cfRule>
  </conditionalFormatting>
  <conditionalFormatting sqref="O27">
    <cfRule type="cellIs" dxfId="21422" priority="7577" operator="equal">
      <formula>"OFF"</formula>
    </cfRule>
    <cfRule type="cellIs" dxfId="21421" priority="7578" operator="equal">
      <formula>"PTO"</formula>
    </cfRule>
  </conditionalFormatting>
  <conditionalFormatting sqref="O27">
    <cfRule type="cellIs" dxfId="21420" priority="7575" operator="equal">
      <formula>"OFF"</formula>
    </cfRule>
    <cfRule type="cellIs" dxfId="21419" priority="7576" operator="equal">
      <formula>"PTO"</formula>
    </cfRule>
  </conditionalFormatting>
  <conditionalFormatting sqref="O27">
    <cfRule type="cellIs" dxfId="21418" priority="7573" operator="equal">
      <formula>"OFF"</formula>
    </cfRule>
    <cfRule type="cellIs" dxfId="21417" priority="7574" operator="equal">
      <formula>"PTO"</formula>
    </cfRule>
  </conditionalFormatting>
  <conditionalFormatting sqref="O27">
    <cfRule type="cellIs" dxfId="21416" priority="7571" operator="equal">
      <formula>"OFF"</formula>
    </cfRule>
    <cfRule type="cellIs" dxfId="21415" priority="7572" operator="equal">
      <formula>"PTO"</formula>
    </cfRule>
  </conditionalFormatting>
  <conditionalFormatting sqref="O26">
    <cfRule type="cellIs" dxfId="21414" priority="7569" operator="equal">
      <formula>"OFF"</formula>
    </cfRule>
    <cfRule type="cellIs" dxfId="21413" priority="7570" operator="equal">
      <formula>"PTO"</formula>
    </cfRule>
  </conditionalFormatting>
  <conditionalFormatting sqref="O26">
    <cfRule type="cellIs" dxfId="21412" priority="7567" operator="equal">
      <formula>"OFF"</formula>
    </cfRule>
    <cfRule type="cellIs" dxfId="21411" priority="7568" operator="equal">
      <formula>"PTO"</formula>
    </cfRule>
  </conditionalFormatting>
  <conditionalFormatting sqref="O26">
    <cfRule type="cellIs" dxfId="21410" priority="7565" operator="equal">
      <formula>"OFF"</formula>
    </cfRule>
    <cfRule type="cellIs" dxfId="21409" priority="7566" operator="equal">
      <formula>"PTO"</formula>
    </cfRule>
  </conditionalFormatting>
  <conditionalFormatting sqref="O26">
    <cfRule type="cellIs" dxfId="21408" priority="7563" operator="equal">
      <formula>"OFF"</formula>
    </cfRule>
    <cfRule type="cellIs" dxfId="21407" priority="7564" operator="equal">
      <formula>"PTO"</formula>
    </cfRule>
  </conditionalFormatting>
  <conditionalFormatting sqref="O26">
    <cfRule type="cellIs" dxfId="21406" priority="7561" operator="equal">
      <formula>"OFF"</formula>
    </cfRule>
    <cfRule type="cellIs" dxfId="21405" priority="7562" operator="equal">
      <formula>"PTO"</formula>
    </cfRule>
  </conditionalFormatting>
  <conditionalFormatting sqref="O26">
    <cfRule type="cellIs" dxfId="21404" priority="7559" operator="equal">
      <formula>"OFF"</formula>
    </cfRule>
    <cfRule type="cellIs" dxfId="21403" priority="7560" operator="equal">
      <formula>"PTO"</formula>
    </cfRule>
  </conditionalFormatting>
  <conditionalFormatting sqref="O26">
    <cfRule type="cellIs" dxfId="21402" priority="7557" operator="equal">
      <formula>"OFF"</formula>
    </cfRule>
    <cfRule type="cellIs" dxfId="21401" priority="7558" operator="equal">
      <formula>"PTO"</formula>
    </cfRule>
  </conditionalFormatting>
  <conditionalFormatting sqref="O26">
    <cfRule type="cellIs" dxfId="21400" priority="7555" operator="equal">
      <formula>"OFF"</formula>
    </cfRule>
    <cfRule type="cellIs" dxfId="21399" priority="7556" operator="equal">
      <formula>"PTO"</formula>
    </cfRule>
  </conditionalFormatting>
  <conditionalFormatting sqref="O27">
    <cfRule type="cellIs" dxfId="21398" priority="7553" operator="equal">
      <formula>"OFF"</formula>
    </cfRule>
    <cfRule type="cellIs" dxfId="21397" priority="7554" operator="equal">
      <formula>"PTO"</formula>
    </cfRule>
  </conditionalFormatting>
  <conditionalFormatting sqref="O27">
    <cfRule type="cellIs" dxfId="21396" priority="7551" operator="equal">
      <formula>"OFF"</formula>
    </cfRule>
    <cfRule type="cellIs" dxfId="21395" priority="7552" operator="equal">
      <formula>"PTO"</formula>
    </cfRule>
  </conditionalFormatting>
  <conditionalFormatting sqref="O27">
    <cfRule type="cellIs" dxfId="21394" priority="7549" operator="equal">
      <formula>"OFF"</formula>
    </cfRule>
    <cfRule type="cellIs" dxfId="21393" priority="7550" operator="equal">
      <formula>"PTO"</formula>
    </cfRule>
  </conditionalFormatting>
  <conditionalFormatting sqref="O27">
    <cfRule type="cellIs" dxfId="21392" priority="7547" operator="equal">
      <formula>"OFF"</formula>
    </cfRule>
    <cfRule type="cellIs" dxfId="21391" priority="7548" operator="equal">
      <formula>"PTO"</formula>
    </cfRule>
  </conditionalFormatting>
  <conditionalFormatting sqref="O27">
    <cfRule type="cellIs" dxfId="21390" priority="7545" operator="equal">
      <formula>"OFF"</formula>
    </cfRule>
    <cfRule type="cellIs" dxfId="21389" priority="7546" operator="equal">
      <formula>"PTO"</formula>
    </cfRule>
  </conditionalFormatting>
  <conditionalFormatting sqref="O27">
    <cfRule type="cellIs" dxfId="21388" priority="7543" operator="equal">
      <formula>"OFF"</formula>
    </cfRule>
    <cfRule type="cellIs" dxfId="21387" priority="7544" operator="equal">
      <formula>"PTO"</formula>
    </cfRule>
  </conditionalFormatting>
  <conditionalFormatting sqref="O27">
    <cfRule type="cellIs" dxfId="21386" priority="7541" operator="equal">
      <formula>"OFF"</formula>
    </cfRule>
    <cfRule type="cellIs" dxfId="21385" priority="7542" operator="equal">
      <formula>"PTO"</formula>
    </cfRule>
  </conditionalFormatting>
  <conditionalFormatting sqref="O27">
    <cfRule type="cellIs" dxfId="21384" priority="7539" operator="equal">
      <formula>"OFF"</formula>
    </cfRule>
    <cfRule type="cellIs" dxfId="21383" priority="7540" operator="equal">
      <formula>"PTO"</formula>
    </cfRule>
  </conditionalFormatting>
  <conditionalFormatting sqref="O26">
    <cfRule type="cellIs" dxfId="21382" priority="7537" operator="equal">
      <formula>"OFF"</formula>
    </cfRule>
    <cfRule type="cellIs" dxfId="21381" priority="7538" operator="equal">
      <formula>"PTO"</formula>
    </cfRule>
  </conditionalFormatting>
  <conditionalFormatting sqref="O26">
    <cfRule type="cellIs" dxfId="21380" priority="7535" operator="equal">
      <formula>"OFF"</formula>
    </cfRule>
    <cfRule type="cellIs" dxfId="21379" priority="7536" operator="equal">
      <formula>"PTO"</formula>
    </cfRule>
  </conditionalFormatting>
  <conditionalFormatting sqref="O26">
    <cfRule type="cellIs" dxfId="21378" priority="7533" operator="equal">
      <formula>"OFF"</formula>
    </cfRule>
    <cfRule type="cellIs" dxfId="21377" priority="7534" operator="equal">
      <formula>"PTO"</formula>
    </cfRule>
  </conditionalFormatting>
  <conditionalFormatting sqref="O26">
    <cfRule type="cellIs" dxfId="21376" priority="7531" operator="equal">
      <formula>"OFF"</formula>
    </cfRule>
    <cfRule type="cellIs" dxfId="21375" priority="7532" operator="equal">
      <formula>"PTO"</formula>
    </cfRule>
  </conditionalFormatting>
  <conditionalFormatting sqref="O26">
    <cfRule type="cellIs" dxfId="21374" priority="7529" operator="equal">
      <formula>"OFF"</formula>
    </cfRule>
    <cfRule type="cellIs" dxfId="21373" priority="7530" operator="equal">
      <formula>"PTO"</formula>
    </cfRule>
  </conditionalFormatting>
  <conditionalFormatting sqref="O26">
    <cfRule type="cellIs" dxfId="21372" priority="7527" operator="equal">
      <formula>"OFF"</formula>
    </cfRule>
    <cfRule type="cellIs" dxfId="21371" priority="7528" operator="equal">
      <formula>"PTO"</formula>
    </cfRule>
  </conditionalFormatting>
  <conditionalFormatting sqref="O26">
    <cfRule type="cellIs" dxfId="21370" priority="7525" operator="equal">
      <formula>"OFF"</formula>
    </cfRule>
    <cfRule type="cellIs" dxfId="21369" priority="7526" operator="equal">
      <formula>"PTO"</formula>
    </cfRule>
  </conditionalFormatting>
  <conditionalFormatting sqref="O26">
    <cfRule type="cellIs" dxfId="21368" priority="7523" operator="equal">
      <formula>"OFF"</formula>
    </cfRule>
    <cfRule type="cellIs" dxfId="21367" priority="7524" operator="equal">
      <formula>"PTO"</formula>
    </cfRule>
  </conditionalFormatting>
  <conditionalFormatting sqref="O27">
    <cfRule type="cellIs" dxfId="21366" priority="7521" operator="equal">
      <formula>"OFF"</formula>
    </cfRule>
    <cfRule type="cellIs" dxfId="21365" priority="7522" operator="equal">
      <formula>"PTO"</formula>
    </cfRule>
  </conditionalFormatting>
  <conditionalFormatting sqref="O27">
    <cfRule type="cellIs" dxfId="21364" priority="7519" operator="equal">
      <formula>"OFF"</formula>
    </cfRule>
    <cfRule type="cellIs" dxfId="21363" priority="7520" operator="equal">
      <formula>"PTO"</formula>
    </cfRule>
  </conditionalFormatting>
  <conditionalFormatting sqref="O27">
    <cfRule type="cellIs" dxfId="21362" priority="7517" operator="equal">
      <formula>"OFF"</formula>
    </cfRule>
    <cfRule type="cellIs" dxfId="21361" priority="7518" operator="equal">
      <formula>"PTO"</formula>
    </cfRule>
  </conditionalFormatting>
  <conditionalFormatting sqref="O27">
    <cfRule type="cellIs" dxfId="21360" priority="7515" operator="equal">
      <formula>"OFF"</formula>
    </cfRule>
    <cfRule type="cellIs" dxfId="21359" priority="7516" operator="equal">
      <formula>"PTO"</formula>
    </cfRule>
  </conditionalFormatting>
  <conditionalFormatting sqref="O27">
    <cfRule type="cellIs" dxfId="21358" priority="7513" operator="equal">
      <formula>"OFF"</formula>
    </cfRule>
    <cfRule type="cellIs" dxfId="21357" priority="7514" operator="equal">
      <formula>"PTO"</formula>
    </cfRule>
  </conditionalFormatting>
  <conditionalFormatting sqref="O27">
    <cfRule type="cellIs" dxfId="21356" priority="7511" operator="equal">
      <formula>"OFF"</formula>
    </cfRule>
    <cfRule type="cellIs" dxfId="21355" priority="7512" operator="equal">
      <formula>"PTO"</formula>
    </cfRule>
  </conditionalFormatting>
  <conditionalFormatting sqref="O27">
    <cfRule type="cellIs" dxfId="21354" priority="7509" operator="equal">
      <formula>"OFF"</formula>
    </cfRule>
    <cfRule type="cellIs" dxfId="21353" priority="7510" operator="equal">
      <formula>"PTO"</formula>
    </cfRule>
  </conditionalFormatting>
  <conditionalFormatting sqref="O27">
    <cfRule type="cellIs" dxfId="21352" priority="7507" operator="equal">
      <formula>"OFF"</formula>
    </cfRule>
    <cfRule type="cellIs" dxfId="21351" priority="7508" operator="equal">
      <formula>"PTO"</formula>
    </cfRule>
  </conditionalFormatting>
  <conditionalFormatting sqref="O26">
    <cfRule type="cellIs" dxfId="21350" priority="7505" operator="equal">
      <formula>"OFF"</formula>
    </cfRule>
    <cfRule type="cellIs" dxfId="21349" priority="7506" operator="equal">
      <formula>"PTO"</formula>
    </cfRule>
  </conditionalFormatting>
  <conditionalFormatting sqref="O26">
    <cfRule type="cellIs" dxfId="21348" priority="7503" operator="equal">
      <formula>"OFF"</formula>
    </cfRule>
    <cfRule type="cellIs" dxfId="21347" priority="7504" operator="equal">
      <formula>"PTO"</formula>
    </cfRule>
  </conditionalFormatting>
  <conditionalFormatting sqref="O26">
    <cfRule type="cellIs" dxfId="21346" priority="7501" operator="equal">
      <formula>"OFF"</formula>
    </cfRule>
    <cfRule type="cellIs" dxfId="21345" priority="7502" operator="equal">
      <formula>"PTO"</formula>
    </cfRule>
  </conditionalFormatting>
  <conditionalFormatting sqref="O26">
    <cfRule type="cellIs" dxfId="21344" priority="7499" operator="equal">
      <formula>"OFF"</formula>
    </cfRule>
    <cfRule type="cellIs" dxfId="21343" priority="7500" operator="equal">
      <formula>"PTO"</formula>
    </cfRule>
  </conditionalFormatting>
  <conditionalFormatting sqref="O26">
    <cfRule type="cellIs" dxfId="21342" priority="7497" operator="equal">
      <formula>"OFF"</formula>
    </cfRule>
    <cfRule type="cellIs" dxfId="21341" priority="7498" operator="equal">
      <formula>"PTO"</formula>
    </cfRule>
  </conditionalFormatting>
  <conditionalFormatting sqref="O26">
    <cfRule type="cellIs" dxfId="21340" priority="7495" operator="equal">
      <formula>"OFF"</formula>
    </cfRule>
    <cfRule type="cellIs" dxfId="21339" priority="7496" operator="equal">
      <formula>"PTO"</formula>
    </cfRule>
  </conditionalFormatting>
  <conditionalFormatting sqref="O26">
    <cfRule type="cellIs" dxfId="21338" priority="7493" operator="equal">
      <formula>"OFF"</formula>
    </cfRule>
    <cfRule type="cellIs" dxfId="21337" priority="7494" operator="equal">
      <formula>"PTO"</formula>
    </cfRule>
  </conditionalFormatting>
  <conditionalFormatting sqref="O26">
    <cfRule type="cellIs" dxfId="21336" priority="7491" operator="equal">
      <formula>"OFF"</formula>
    </cfRule>
    <cfRule type="cellIs" dxfId="21335" priority="7492" operator="equal">
      <formula>"PTO"</formula>
    </cfRule>
  </conditionalFormatting>
  <conditionalFormatting sqref="O27">
    <cfRule type="cellIs" dxfId="21334" priority="7489" operator="equal">
      <formula>"OFF"</formula>
    </cfRule>
    <cfRule type="cellIs" dxfId="21333" priority="7490" operator="equal">
      <formula>"PTO"</formula>
    </cfRule>
  </conditionalFormatting>
  <conditionalFormatting sqref="O27">
    <cfRule type="cellIs" dxfId="21332" priority="7487" operator="equal">
      <formula>"OFF"</formula>
    </cfRule>
    <cfRule type="cellIs" dxfId="21331" priority="7488" operator="equal">
      <formula>"PTO"</formula>
    </cfRule>
  </conditionalFormatting>
  <conditionalFormatting sqref="O27">
    <cfRule type="cellIs" dxfId="21330" priority="7485" operator="equal">
      <formula>"OFF"</formula>
    </cfRule>
    <cfRule type="cellIs" dxfId="21329" priority="7486" operator="equal">
      <formula>"PTO"</formula>
    </cfRule>
  </conditionalFormatting>
  <conditionalFormatting sqref="O27">
    <cfRule type="cellIs" dxfId="21328" priority="7483" operator="equal">
      <formula>"OFF"</formula>
    </cfRule>
    <cfRule type="cellIs" dxfId="21327" priority="7484" operator="equal">
      <formula>"PTO"</formula>
    </cfRule>
  </conditionalFormatting>
  <conditionalFormatting sqref="O27">
    <cfRule type="cellIs" dxfId="21326" priority="7481" operator="equal">
      <formula>"OFF"</formula>
    </cfRule>
    <cfRule type="cellIs" dxfId="21325" priority="7482" operator="equal">
      <formula>"PTO"</formula>
    </cfRule>
  </conditionalFormatting>
  <conditionalFormatting sqref="O27">
    <cfRule type="cellIs" dxfId="21324" priority="7479" operator="equal">
      <formula>"OFF"</formula>
    </cfRule>
    <cfRule type="cellIs" dxfId="21323" priority="7480" operator="equal">
      <formula>"PTO"</formula>
    </cfRule>
  </conditionalFormatting>
  <conditionalFormatting sqref="O27">
    <cfRule type="cellIs" dxfId="21322" priority="7477" operator="equal">
      <formula>"OFF"</formula>
    </cfRule>
    <cfRule type="cellIs" dxfId="21321" priority="7478" operator="equal">
      <formula>"PTO"</formula>
    </cfRule>
  </conditionalFormatting>
  <conditionalFormatting sqref="O27">
    <cfRule type="cellIs" dxfId="21320" priority="7475" operator="equal">
      <formula>"OFF"</formula>
    </cfRule>
    <cfRule type="cellIs" dxfId="21319" priority="7476" operator="equal">
      <formula>"PTO"</formula>
    </cfRule>
  </conditionalFormatting>
  <conditionalFormatting sqref="O26">
    <cfRule type="cellIs" dxfId="21318" priority="7473" operator="equal">
      <formula>"OFF"</formula>
    </cfRule>
    <cfRule type="cellIs" dxfId="21317" priority="7474" operator="equal">
      <formula>"PTO"</formula>
    </cfRule>
  </conditionalFormatting>
  <conditionalFormatting sqref="O26">
    <cfRule type="cellIs" dxfId="21316" priority="7471" operator="equal">
      <formula>"OFF"</formula>
    </cfRule>
    <cfRule type="cellIs" dxfId="21315" priority="7472" operator="equal">
      <formula>"PTO"</formula>
    </cfRule>
  </conditionalFormatting>
  <conditionalFormatting sqref="O26">
    <cfRule type="cellIs" dxfId="21314" priority="7469" operator="equal">
      <formula>"OFF"</formula>
    </cfRule>
    <cfRule type="cellIs" dxfId="21313" priority="7470" operator="equal">
      <formula>"PTO"</formula>
    </cfRule>
  </conditionalFormatting>
  <conditionalFormatting sqref="O26">
    <cfRule type="cellIs" dxfId="21312" priority="7467" operator="equal">
      <formula>"OFF"</formula>
    </cfRule>
    <cfRule type="cellIs" dxfId="21311" priority="7468" operator="equal">
      <formula>"PTO"</formula>
    </cfRule>
  </conditionalFormatting>
  <conditionalFormatting sqref="O26">
    <cfRule type="cellIs" dxfId="21310" priority="7465" operator="equal">
      <formula>"OFF"</formula>
    </cfRule>
    <cfRule type="cellIs" dxfId="21309" priority="7466" operator="equal">
      <formula>"PTO"</formula>
    </cfRule>
  </conditionalFormatting>
  <conditionalFormatting sqref="O26">
    <cfRule type="cellIs" dxfId="21308" priority="7463" operator="equal">
      <formula>"OFF"</formula>
    </cfRule>
    <cfRule type="cellIs" dxfId="21307" priority="7464" operator="equal">
      <formula>"PTO"</formula>
    </cfRule>
  </conditionalFormatting>
  <conditionalFormatting sqref="O26">
    <cfRule type="cellIs" dxfId="21306" priority="7461" operator="equal">
      <formula>"OFF"</formula>
    </cfRule>
    <cfRule type="cellIs" dxfId="21305" priority="7462" operator="equal">
      <formula>"PTO"</formula>
    </cfRule>
  </conditionalFormatting>
  <conditionalFormatting sqref="O26">
    <cfRule type="cellIs" dxfId="21304" priority="7459" operator="equal">
      <formula>"OFF"</formula>
    </cfRule>
    <cfRule type="cellIs" dxfId="21303" priority="7460" operator="equal">
      <formula>"PTO"</formula>
    </cfRule>
  </conditionalFormatting>
  <conditionalFormatting sqref="O27">
    <cfRule type="cellIs" dxfId="21302" priority="7457" operator="equal">
      <formula>"OFF"</formula>
    </cfRule>
    <cfRule type="cellIs" dxfId="21301" priority="7458" operator="equal">
      <formula>"PTO"</formula>
    </cfRule>
  </conditionalFormatting>
  <conditionalFormatting sqref="O27">
    <cfRule type="cellIs" dxfId="21300" priority="7455" operator="equal">
      <formula>"OFF"</formula>
    </cfRule>
    <cfRule type="cellIs" dxfId="21299" priority="7456" operator="equal">
      <formula>"PTO"</formula>
    </cfRule>
  </conditionalFormatting>
  <conditionalFormatting sqref="O27">
    <cfRule type="cellIs" dxfId="21298" priority="7453" operator="equal">
      <formula>"OFF"</formula>
    </cfRule>
    <cfRule type="cellIs" dxfId="21297" priority="7454" operator="equal">
      <formula>"PTO"</formula>
    </cfRule>
  </conditionalFormatting>
  <conditionalFormatting sqref="O27">
    <cfRule type="cellIs" dxfId="21296" priority="7451" operator="equal">
      <formula>"OFF"</formula>
    </cfRule>
    <cfRule type="cellIs" dxfId="21295" priority="7452" operator="equal">
      <formula>"PTO"</formula>
    </cfRule>
  </conditionalFormatting>
  <conditionalFormatting sqref="O27">
    <cfRule type="cellIs" dxfId="21294" priority="7449" operator="equal">
      <formula>"OFF"</formula>
    </cfRule>
    <cfRule type="cellIs" dxfId="21293" priority="7450" operator="equal">
      <formula>"PTO"</formula>
    </cfRule>
  </conditionalFormatting>
  <conditionalFormatting sqref="O27">
    <cfRule type="cellIs" dxfId="21292" priority="7447" operator="equal">
      <formula>"OFF"</formula>
    </cfRule>
    <cfRule type="cellIs" dxfId="21291" priority="7448" operator="equal">
      <formula>"PTO"</formula>
    </cfRule>
  </conditionalFormatting>
  <conditionalFormatting sqref="O27">
    <cfRule type="cellIs" dxfId="21290" priority="7445" operator="equal">
      <formula>"OFF"</formula>
    </cfRule>
    <cfRule type="cellIs" dxfId="21289" priority="7446" operator="equal">
      <formula>"PTO"</formula>
    </cfRule>
  </conditionalFormatting>
  <conditionalFormatting sqref="O27">
    <cfRule type="cellIs" dxfId="21288" priority="7443" operator="equal">
      <formula>"OFF"</formula>
    </cfRule>
    <cfRule type="cellIs" dxfId="21287" priority="7444" operator="equal">
      <formula>"PTO"</formula>
    </cfRule>
  </conditionalFormatting>
  <conditionalFormatting sqref="O29">
    <cfRule type="cellIs" dxfId="21286" priority="7441" operator="equal">
      <formula>"OFF"</formula>
    </cfRule>
    <cfRule type="cellIs" dxfId="21285" priority="7442" operator="equal">
      <formula>"PTO"</formula>
    </cfRule>
  </conditionalFormatting>
  <conditionalFormatting sqref="O29">
    <cfRule type="cellIs" dxfId="21284" priority="7439" operator="equal">
      <formula>"OFF"</formula>
    </cfRule>
    <cfRule type="cellIs" dxfId="21283" priority="7440" operator="equal">
      <formula>"PTO"</formula>
    </cfRule>
  </conditionalFormatting>
  <conditionalFormatting sqref="O29">
    <cfRule type="cellIs" dxfId="21282" priority="7437" operator="equal">
      <formula>"OFF"</formula>
    </cfRule>
    <cfRule type="cellIs" dxfId="21281" priority="7438" operator="equal">
      <formula>"PTO"</formula>
    </cfRule>
  </conditionalFormatting>
  <conditionalFormatting sqref="O29">
    <cfRule type="cellIs" dxfId="21280" priority="7435" operator="equal">
      <formula>"OFF"</formula>
    </cfRule>
    <cfRule type="cellIs" dxfId="21279" priority="7436" operator="equal">
      <formula>"PTO"</formula>
    </cfRule>
  </conditionalFormatting>
  <conditionalFormatting sqref="O29">
    <cfRule type="cellIs" dxfId="21278" priority="7433" operator="equal">
      <formula>"OFF"</formula>
    </cfRule>
    <cfRule type="cellIs" dxfId="21277" priority="7434" operator="equal">
      <formula>"PTO"</formula>
    </cfRule>
  </conditionalFormatting>
  <conditionalFormatting sqref="O29">
    <cfRule type="cellIs" dxfId="21276" priority="7431" operator="equal">
      <formula>"OFF"</formula>
    </cfRule>
    <cfRule type="cellIs" dxfId="21275" priority="7432" operator="equal">
      <formula>"PTO"</formula>
    </cfRule>
  </conditionalFormatting>
  <conditionalFormatting sqref="O29">
    <cfRule type="cellIs" dxfId="21274" priority="7429" operator="equal">
      <formula>"OFF"</formula>
    </cfRule>
    <cfRule type="cellIs" dxfId="21273" priority="7430" operator="equal">
      <formula>"PTO"</formula>
    </cfRule>
  </conditionalFormatting>
  <conditionalFormatting sqref="O29">
    <cfRule type="cellIs" dxfId="21272" priority="7427" operator="equal">
      <formula>"OFF"</formula>
    </cfRule>
    <cfRule type="cellIs" dxfId="21271" priority="7428" operator="equal">
      <formula>"PTO"</formula>
    </cfRule>
  </conditionalFormatting>
  <conditionalFormatting sqref="O29">
    <cfRule type="cellIs" dxfId="21270" priority="7425" operator="equal">
      <formula>"OFF"</formula>
    </cfRule>
    <cfRule type="cellIs" dxfId="21269" priority="7426" operator="equal">
      <formula>"PTO"</formula>
    </cfRule>
  </conditionalFormatting>
  <conditionalFormatting sqref="O29">
    <cfRule type="cellIs" dxfId="21268" priority="7423" operator="equal">
      <formula>"OFF"</formula>
    </cfRule>
    <cfRule type="cellIs" dxfId="21267" priority="7424" operator="equal">
      <formula>"PTO"</formula>
    </cfRule>
  </conditionalFormatting>
  <conditionalFormatting sqref="O29">
    <cfRule type="cellIs" dxfId="21266" priority="7421" operator="equal">
      <formula>"OFF"</formula>
    </cfRule>
    <cfRule type="cellIs" dxfId="21265" priority="7422" operator="equal">
      <formula>"PTO"</formula>
    </cfRule>
  </conditionalFormatting>
  <conditionalFormatting sqref="O29">
    <cfRule type="cellIs" dxfId="21264" priority="7419" operator="equal">
      <formula>"OFF"</formula>
    </cfRule>
    <cfRule type="cellIs" dxfId="21263" priority="7420" operator="equal">
      <formula>"PTO"</formula>
    </cfRule>
  </conditionalFormatting>
  <conditionalFormatting sqref="O29">
    <cfRule type="cellIs" dxfId="21262" priority="7417" operator="equal">
      <formula>"OFF"</formula>
    </cfRule>
    <cfRule type="cellIs" dxfId="21261" priority="7418" operator="equal">
      <formula>"PTO"</formula>
    </cfRule>
  </conditionalFormatting>
  <conditionalFormatting sqref="O29">
    <cfRule type="cellIs" dxfId="21260" priority="7415" operator="equal">
      <formula>"OFF"</formula>
    </cfRule>
    <cfRule type="cellIs" dxfId="21259" priority="7416" operator="equal">
      <formula>"PTO"</formula>
    </cfRule>
  </conditionalFormatting>
  <conditionalFormatting sqref="O29">
    <cfRule type="cellIs" dxfId="21258" priority="7413" operator="equal">
      <formula>"OFF"</formula>
    </cfRule>
    <cfRule type="cellIs" dxfId="21257" priority="7414" operator="equal">
      <formula>"PTO"</formula>
    </cfRule>
  </conditionalFormatting>
  <conditionalFormatting sqref="O29">
    <cfRule type="cellIs" dxfId="21256" priority="7411" operator="equal">
      <formula>"OFF"</formula>
    </cfRule>
    <cfRule type="cellIs" dxfId="21255" priority="7412" operator="equal">
      <formula>"PTO"</formula>
    </cfRule>
  </conditionalFormatting>
  <conditionalFormatting sqref="O29">
    <cfRule type="cellIs" dxfId="21254" priority="7409" operator="equal">
      <formula>"OFF"</formula>
    </cfRule>
    <cfRule type="cellIs" dxfId="21253" priority="7410" operator="equal">
      <formula>"PTO"</formula>
    </cfRule>
  </conditionalFormatting>
  <conditionalFormatting sqref="O29">
    <cfRule type="cellIs" dxfId="21252" priority="7407" operator="equal">
      <formula>"OFF"</formula>
    </cfRule>
    <cfRule type="cellIs" dxfId="21251" priority="7408" operator="equal">
      <formula>"PTO"</formula>
    </cfRule>
  </conditionalFormatting>
  <conditionalFormatting sqref="O29">
    <cfRule type="cellIs" dxfId="21250" priority="7405" operator="equal">
      <formula>"OFF"</formula>
    </cfRule>
    <cfRule type="cellIs" dxfId="21249" priority="7406" operator="equal">
      <formula>"PTO"</formula>
    </cfRule>
  </conditionalFormatting>
  <conditionalFormatting sqref="O29">
    <cfRule type="cellIs" dxfId="21248" priority="7403" operator="equal">
      <formula>"OFF"</formula>
    </cfRule>
    <cfRule type="cellIs" dxfId="21247" priority="7404" operator="equal">
      <formula>"PTO"</formula>
    </cfRule>
  </conditionalFormatting>
  <conditionalFormatting sqref="O29">
    <cfRule type="cellIs" dxfId="21246" priority="7401" operator="equal">
      <formula>"OFF"</formula>
    </cfRule>
    <cfRule type="cellIs" dxfId="21245" priority="7402" operator="equal">
      <formula>"PTO"</formula>
    </cfRule>
  </conditionalFormatting>
  <conditionalFormatting sqref="O29">
    <cfRule type="cellIs" dxfId="21244" priority="7399" operator="equal">
      <formula>"OFF"</formula>
    </cfRule>
    <cfRule type="cellIs" dxfId="21243" priority="7400" operator="equal">
      <formula>"PTO"</formula>
    </cfRule>
  </conditionalFormatting>
  <conditionalFormatting sqref="O29">
    <cfRule type="cellIs" dxfId="21242" priority="7397" operator="equal">
      <formula>"OFF"</formula>
    </cfRule>
    <cfRule type="cellIs" dxfId="21241" priority="7398" operator="equal">
      <formula>"PTO"</formula>
    </cfRule>
  </conditionalFormatting>
  <conditionalFormatting sqref="O29">
    <cfRule type="cellIs" dxfId="21240" priority="7395" operator="equal">
      <formula>"OFF"</formula>
    </cfRule>
    <cfRule type="cellIs" dxfId="21239" priority="7396" operator="equal">
      <formula>"PTO"</formula>
    </cfRule>
  </conditionalFormatting>
  <conditionalFormatting sqref="O29">
    <cfRule type="cellIs" dxfId="21238" priority="7393" operator="equal">
      <formula>"OFF"</formula>
    </cfRule>
    <cfRule type="cellIs" dxfId="21237" priority="7394" operator="equal">
      <formula>"PTO"</formula>
    </cfRule>
  </conditionalFormatting>
  <conditionalFormatting sqref="O29">
    <cfRule type="cellIs" dxfId="21236" priority="7391" operator="equal">
      <formula>"OFF"</formula>
    </cfRule>
    <cfRule type="cellIs" dxfId="21235" priority="7392" operator="equal">
      <formula>"PTO"</formula>
    </cfRule>
  </conditionalFormatting>
  <conditionalFormatting sqref="O29">
    <cfRule type="cellIs" dxfId="21234" priority="7389" operator="equal">
      <formula>"OFF"</formula>
    </cfRule>
    <cfRule type="cellIs" dxfId="21233" priority="7390" operator="equal">
      <formula>"PTO"</formula>
    </cfRule>
  </conditionalFormatting>
  <conditionalFormatting sqref="O29">
    <cfRule type="cellIs" dxfId="21232" priority="7387" operator="equal">
      <formula>"OFF"</formula>
    </cfRule>
    <cfRule type="cellIs" dxfId="21231" priority="7388" operator="equal">
      <formula>"PTO"</formula>
    </cfRule>
  </conditionalFormatting>
  <conditionalFormatting sqref="O29">
    <cfRule type="cellIs" dxfId="21230" priority="7385" operator="equal">
      <formula>"OFF"</formula>
    </cfRule>
    <cfRule type="cellIs" dxfId="21229" priority="7386" operator="equal">
      <formula>"PTO"</formula>
    </cfRule>
  </conditionalFormatting>
  <conditionalFormatting sqref="O29">
    <cfRule type="cellIs" dxfId="21228" priority="7383" operator="equal">
      <formula>"OFF"</formula>
    </cfRule>
    <cfRule type="cellIs" dxfId="21227" priority="7384" operator="equal">
      <formula>"PTO"</formula>
    </cfRule>
  </conditionalFormatting>
  <conditionalFormatting sqref="O29">
    <cfRule type="cellIs" dxfId="21226" priority="7381" operator="equal">
      <formula>"OFF"</formula>
    </cfRule>
    <cfRule type="cellIs" dxfId="21225" priority="7382" operator="equal">
      <formula>"PTO"</formula>
    </cfRule>
  </conditionalFormatting>
  <conditionalFormatting sqref="O29">
    <cfRule type="cellIs" dxfId="21224" priority="7379" operator="equal">
      <formula>"OFF"</formula>
    </cfRule>
    <cfRule type="cellIs" dxfId="21223" priority="7380" operator="equal">
      <formula>"PTO"</formula>
    </cfRule>
  </conditionalFormatting>
  <conditionalFormatting sqref="O29">
    <cfRule type="cellIs" dxfId="21222" priority="7377" operator="equal">
      <formula>"OFF"</formula>
    </cfRule>
    <cfRule type="cellIs" dxfId="21221" priority="7378" operator="equal">
      <formula>"PTO"</formula>
    </cfRule>
  </conditionalFormatting>
  <conditionalFormatting sqref="O29">
    <cfRule type="cellIs" dxfId="21220" priority="7375" operator="equal">
      <formula>"OFF"</formula>
    </cfRule>
    <cfRule type="cellIs" dxfId="21219" priority="7376" operator="equal">
      <formula>"PTO"</formula>
    </cfRule>
  </conditionalFormatting>
  <conditionalFormatting sqref="O29">
    <cfRule type="cellIs" dxfId="21218" priority="7373" operator="equal">
      <formula>"OFF"</formula>
    </cfRule>
    <cfRule type="cellIs" dxfId="21217" priority="7374" operator="equal">
      <formula>"PTO"</formula>
    </cfRule>
  </conditionalFormatting>
  <conditionalFormatting sqref="O29">
    <cfRule type="cellIs" dxfId="21216" priority="7371" operator="equal">
      <formula>"OFF"</formula>
    </cfRule>
    <cfRule type="cellIs" dxfId="21215" priority="7372" operator="equal">
      <formula>"PTO"</formula>
    </cfRule>
  </conditionalFormatting>
  <conditionalFormatting sqref="O29">
    <cfRule type="cellIs" dxfId="21214" priority="7369" operator="equal">
      <formula>"OFF"</formula>
    </cfRule>
    <cfRule type="cellIs" dxfId="21213" priority="7370" operator="equal">
      <formula>"PTO"</formula>
    </cfRule>
  </conditionalFormatting>
  <conditionalFormatting sqref="O29">
    <cfRule type="cellIs" dxfId="21212" priority="7367" operator="equal">
      <formula>"OFF"</formula>
    </cfRule>
    <cfRule type="cellIs" dxfId="21211" priority="7368" operator="equal">
      <formula>"PTO"</formula>
    </cfRule>
  </conditionalFormatting>
  <conditionalFormatting sqref="O29">
    <cfRule type="cellIs" dxfId="21210" priority="7365" operator="equal">
      <formula>"OFF"</formula>
    </cfRule>
    <cfRule type="cellIs" dxfId="21209" priority="7366" operator="equal">
      <formula>"PTO"</formula>
    </cfRule>
  </conditionalFormatting>
  <conditionalFormatting sqref="O29">
    <cfRule type="cellIs" dxfId="21208" priority="7363" operator="equal">
      <formula>"OFF"</formula>
    </cfRule>
    <cfRule type="cellIs" dxfId="21207" priority="7364" operator="equal">
      <formula>"PTO"</formula>
    </cfRule>
  </conditionalFormatting>
  <conditionalFormatting sqref="O29">
    <cfRule type="cellIs" dxfId="21206" priority="7361" operator="equal">
      <formula>"OFF"</formula>
    </cfRule>
    <cfRule type="cellIs" dxfId="21205" priority="7362" operator="equal">
      <formula>"PTO"</formula>
    </cfRule>
  </conditionalFormatting>
  <conditionalFormatting sqref="O29">
    <cfRule type="cellIs" dxfId="21204" priority="7359" operator="equal">
      <formula>"OFF"</formula>
    </cfRule>
    <cfRule type="cellIs" dxfId="21203" priority="7360" operator="equal">
      <formula>"PTO"</formula>
    </cfRule>
  </conditionalFormatting>
  <conditionalFormatting sqref="O29">
    <cfRule type="cellIs" dxfId="21202" priority="7357" operator="equal">
      <formula>"OFF"</formula>
    </cfRule>
    <cfRule type="cellIs" dxfId="21201" priority="7358" operator="equal">
      <formula>"PTO"</formula>
    </cfRule>
  </conditionalFormatting>
  <conditionalFormatting sqref="O29">
    <cfRule type="cellIs" dxfId="21200" priority="7355" operator="equal">
      <formula>"OFF"</formula>
    </cfRule>
    <cfRule type="cellIs" dxfId="21199" priority="7356" operator="equal">
      <formula>"PTO"</formula>
    </cfRule>
  </conditionalFormatting>
  <conditionalFormatting sqref="O29">
    <cfRule type="cellIs" dxfId="21198" priority="7353" operator="equal">
      <formula>"OFF"</formula>
    </cfRule>
    <cfRule type="cellIs" dxfId="21197" priority="7354" operator="equal">
      <formula>"PTO"</formula>
    </cfRule>
  </conditionalFormatting>
  <conditionalFormatting sqref="O29">
    <cfRule type="cellIs" dxfId="21196" priority="7351" operator="equal">
      <formula>"OFF"</formula>
    </cfRule>
    <cfRule type="cellIs" dxfId="21195" priority="7352" operator="equal">
      <formula>"PTO"</formula>
    </cfRule>
  </conditionalFormatting>
  <conditionalFormatting sqref="O29">
    <cfRule type="cellIs" dxfId="21194" priority="7349" operator="equal">
      <formula>"OFF"</formula>
    </cfRule>
    <cfRule type="cellIs" dxfId="21193" priority="7350" operator="equal">
      <formula>"PTO"</formula>
    </cfRule>
  </conditionalFormatting>
  <conditionalFormatting sqref="O29">
    <cfRule type="cellIs" dxfId="21192" priority="7347" operator="equal">
      <formula>"OFF"</formula>
    </cfRule>
    <cfRule type="cellIs" dxfId="21191" priority="7348" operator="equal">
      <formula>"PTO"</formula>
    </cfRule>
  </conditionalFormatting>
  <conditionalFormatting sqref="O29">
    <cfRule type="cellIs" dxfId="21190" priority="7345" operator="equal">
      <formula>"OFF"</formula>
    </cfRule>
    <cfRule type="cellIs" dxfId="21189" priority="7346" operator="equal">
      <formula>"PTO"</formula>
    </cfRule>
  </conditionalFormatting>
  <conditionalFormatting sqref="O29">
    <cfRule type="cellIs" dxfId="21188" priority="7343" operator="equal">
      <formula>"OFF"</formula>
    </cfRule>
    <cfRule type="cellIs" dxfId="21187" priority="7344" operator="equal">
      <formula>"PTO"</formula>
    </cfRule>
  </conditionalFormatting>
  <conditionalFormatting sqref="O29">
    <cfRule type="cellIs" dxfId="21186" priority="7341" operator="equal">
      <formula>"OFF"</formula>
    </cfRule>
    <cfRule type="cellIs" dxfId="21185" priority="7342" operator="equal">
      <formula>"PTO"</formula>
    </cfRule>
  </conditionalFormatting>
  <conditionalFormatting sqref="O29">
    <cfRule type="cellIs" dxfId="21184" priority="7339" operator="equal">
      <formula>"OFF"</formula>
    </cfRule>
    <cfRule type="cellIs" dxfId="21183" priority="7340" operator="equal">
      <formula>"PTO"</formula>
    </cfRule>
  </conditionalFormatting>
  <conditionalFormatting sqref="O29">
    <cfRule type="cellIs" dxfId="21182" priority="7337" operator="equal">
      <formula>"OFF"</formula>
    </cfRule>
    <cfRule type="cellIs" dxfId="21181" priority="7338" operator="equal">
      <formula>"PTO"</formula>
    </cfRule>
  </conditionalFormatting>
  <conditionalFormatting sqref="O29">
    <cfRule type="cellIs" dxfId="21180" priority="7335" operator="equal">
      <formula>"OFF"</formula>
    </cfRule>
    <cfRule type="cellIs" dxfId="21179" priority="7336" operator="equal">
      <formula>"PTO"</formula>
    </cfRule>
  </conditionalFormatting>
  <conditionalFormatting sqref="O29">
    <cfRule type="cellIs" dxfId="21178" priority="7333" operator="equal">
      <formula>"OFF"</formula>
    </cfRule>
    <cfRule type="cellIs" dxfId="21177" priority="7334" operator="equal">
      <formula>"PTO"</formula>
    </cfRule>
  </conditionalFormatting>
  <conditionalFormatting sqref="O29">
    <cfRule type="cellIs" dxfId="21176" priority="7331" operator="equal">
      <formula>"OFF"</formula>
    </cfRule>
    <cfRule type="cellIs" dxfId="21175" priority="7332" operator="equal">
      <formula>"PTO"</formula>
    </cfRule>
  </conditionalFormatting>
  <conditionalFormatting sqref="O30">
    <cfRule type="cellIs" dxfId="21174" priority="7329" operator="equal">
      <formula>"OFF"</formula>
    </cfRule>
    <cfRule type="cellIs" dxfId="21173" priority="7330" operator="equal">
      <formula>"PTO"</formula>
    </cfRule>
  </conditionalFormatting>
  <conditionalFormatting sqref="O30">
    <cfRule type="cellIs" dxfId="21172" priority="7327" operator="equal">
      <formula>"OFF"</formula>
    </cfRule>
    <cfRule type="cellIs" dxfId="21171" priority="7328" operator="equal">
      <formula>"PTO"</formula>
    </cfRule>
  </conditionalFormatting>
  <conditionalFormatting sqref="O30">
    <cfRule type="cellIs" dxfId="21170" priority="7325" operator="equal">
      <formula>"OFF"</formula>
    </cfRule>
    <cfRule type="cellIs" dxfId="21169" priority="7326" operator="equal">
      <formula>"PTO"</formula>
    </cfRule>
  </conditionalFormatting>
  <conditionalFormatting sqref="O30">
    <cfRule type="cellIs" dxfId="21168" priority="7323" operator="equal">
      <formula>"OFF"</formula>
    </cfRule>
    <cfRule type="cellIs" dxfId="21167" priority="7324" operator="equal">
      <formula>"PTO"</formula>
    </cfRule>
  </conditionalFormatting>
  <conditionalFormatting sqref="O30">
    <cfRule type="cellIs" dxfId="21166" priority="7321" operator="equal">
      <formula>"OFF"</formula>
    </cfRule>
    <cfRule type="cellIs" dxfId="21165" priority="7322" operator="equal">
      <formula>"PTO"</formula>
    </cfRule>
  </conditionalFormatting>
  <conditionalFormatting sqref="O30">
    <cfRule type="cellIs" dxfId="21164" priority="7319" operator="equal">
      <formula>"OFF"</formula>
    </cfRule>
    <cfRule type="cellIs" dxfId="21163" priority="7320" operator="equal">
      <formula>"PTO"</formula>
    </cfRule>
  </conditionalFormatting>
  <conditionalFormatting sqref="O30">
    <cfRule type="cellIs" dxfId="21162" priority="7317" operator="equal">
      <formula>"OFF"</formula>
    </cfRule>
    <cfRule type="cellIs" dxfId="21161" priority="7318" operator="equal">
      <formula>"PTO"</formula>
    </cfRule>
  </conditionalFormatting>
  <conditionalFormatting sqref="O30">
    <cfRule type="cellIs" dxfId="21160" priority="7315" operator="equal">
      <formula>"OFF"</formula>
    </cfRule>
    <cfRule type="cellIs" dxfId="21159" priority="7316" operator="equal">
      <formula>"PTO"</formula>
    </cfRule>
  </conditionalFormatting>
  <conditionalFormatting sqref="O30">
    <cfRule type="cellIs" dxfId="21158" priority="7313" operator="equal">
      <formula>"OFF"</formula>
    </cfRule>
    <cfRule type="cellIs" dxfId="21157" priority="7314" operator="equal">
      <formula>"PTO"</formula>
    </cfRule>
  </conditionalFormatting>
  <conditionalFormatting sqref="O30">
    <cfRule type="cellIs" dxfId="21156" priority="7311" operator="equal">
      <formula>"OFF"</formula>
    </cfRule>
    <cfRule type="cellIs" dxfId="21155" priority="7312" operator="equal">
      <formula>"PTO"</formula>
    </cfRule>
  </conditionalFormatting>
  <conditionalFormatting sqref="O30">
    <cfRule type="cellIs" dxfId="21154" priority="7309" operator="equal">
      <formula>"OFF"</formula>
    </cfRule>
    <cfRule type="cellIs" dxfId="21153" priority="7310" operator="equal">
      <formula>"PTO"</formula>
    </cfRule>
  </conditionalFormatting>
  <conditionalFormatting sqref="O30">
    <cfRule type="cellIs" dxfId="21152" priority="7307" operator="equal">
      <formula>"OFF"</formula>
    </cfRule>
    <cfRule type="cellIs" dxfId="21151" priority="7308" operator="equal">
      <formula>"PTO"</formula>
    </cfRule>
  </conditionalFormatting>
  <conditionalFormatting sqref="O30">
    <cfRule type="cellIs" dxfId="21150" priority="7305" operator="equal">
      <formula>"OFF"</formula>
    </cfRule>
    <cfRule type="cellIs" dxfId="21149" priority="7306" operator="equal">
      <formula>"PTO"</formula>
    </cfRule>
  </conditionalFormatting>
  <conditionalFormatting sqref="O30">
    <cfRule type="cellIs" dxfId="21148" priority="7303" operator="equal">
      <formula>"OFF"</formula>
    </cfRule>
    <cfRule type="cellIs" dxfId="21147" priority="7304" operator="equal">
      <formula>"PTO"</formula>
    </cfRule>
  </conditionalFormatting>
  <conditionalFormatting sqref="O30">
    <cfRule type="cellIs" dxfId="21146" priority="7301" operator="equal">
      <formula>"OFF"</formula>
    </cfRule>
    <cfRule type="cellIs" dxfId="21145" priority="7302" operator="equal">
      <formula>"PTO"</formula>
    </cfRule>
  </conditionalFormatting>
  <conditionalFormatting sqref="O30">
    <cfRule type="cellIs" dxfId="21144" priority="7299" operator="equal">
      <formula>"OFF"</formula>
    </cfRule>
    <cfRule type="cellIs" dxfId="21143" priority="7300" operator="equal">
      <formula>"PTO"</formula>
    </cfRule>
  </conditionalFormatting>
  <conditionalFormatting sqref="O30">
    <cfRule type="cellIs" dxfId="21142" priority="7297" operator="equal">
      <formula>"OFF"</formula>
    </cfRule>
    <cfRule type="cellIs" dxfId="21141" priority="7298" operator="equal">
      <formula>"PTO"</formula>
    </cfRule>
  </conditionalFormatting>
  <conditionalFormatting sqref="O30">
    <cfRule type="cellIs" dxfId="21140" priority="7295" operator="equal">
      <formula>"OFF"</formula>
    </cfRule>
    <cfRule type="cellIs" dxfId="21139" priority="7296" operator="equal">
      <formula>"PTO"</formula>
    </cfRule>
  </conditionalFormatting>
  <conditionalFormatting sqref="O30">
    <cfRule type="cellIs" dxfId="21138" priority="7293" operator="equal">
      <formula>"OFF"</formula>
    </cfRule>
    <cfRule type="cellIs" dxfId="21137" priority="7294" operator="equal">
      <formula>"PTO"</formula>
    </cfRule>
  </conditionalFormatting>
  <conditionalFormatting sqref="O30">
    <cfRule type="cellIs" dxfId="21136" priority="7291" operator="equal">
      <formula>"OFF"</formula>
    </cfRule>
    <cfRule type="cellIs" dxfId="21135" priority="7292" operator="equal">
      <formula>"PTO"</formula>
    </cfRule>
  </conditionalFormatting>
  <conditionalFormatting sqref="O30">
    <cfRule type="cellIs" dxfId="21134" priority="7289" operator="equal">
      <formula>"OFF"</formula>
    </cfRule>
    <cfRule type="cellIs" dxfId="21133" priority="7290" operator="equal">
      <formula>"PTO"</formula>
    </cfRule>
  </conditionalFormatting>
  <conditionalFormatting sqref="O30">
    <cfRule type="cellIs" dxfId="21132" priority="7287" operator="equal">
      <formula>"OFF"</formula>
    </cfRule>
    <cfRule type="cellIs" dxfId="21131" priority="7288" operator="equal">
      <formula>"PTO"</formula>
    </cfRule>
  </conditionalFormatting>
  <conditionalFormatting sqref="O30">
    <cfRule type="cellIs" dxfId="21130" priority="7285" operator="equal">
      <formula>"OFF"</formula>
    </cfRule>
    <cfRule type="cellIs" dxfId="21129" priority="7286" operator="equal">
      <formula>"PTO"</formula>
    </cfRule>
  </conditionalFormatting>
  <conditionalFormatting sqref="O30">
    <cfRule type="cellIs" dxfId="21128" priority="7283" operator="equal">
      <formula>"OFF"</formula>
    </cfRule>
    <cfRule type="cellIs" dxfId="21127" priority="7284" operator="equal">
      <formula>"PTO"</formula>
    </cfRule>
  </conditionalFormatting>
  <conditionalFormatting sqref="O30">
    <cfRule type="cellIs" dxfId="21126" priority="7281" operator="equal">
      <formula>"OFF"</formula>
    </cfRule>
    <cfRule type="cellIs" dxfId="21125" priority="7282" operator="equal">
      <formula>"PTO"</formula>
    </cfRule>
  </conditionalFormatting>
  <conditionalFormatting sqref="O30">
    <cfRule type="cellIs" dxfId="21124" priority="7279" operator="equal">
      <formula>"OFF"</formula>
    </cfRule>
    <cfRule type="cellIs" dxfId="21123" priority="7280" operator="equal">
      <formula>"PTO"</formula>
    </cfRule>
  </conditionalFormatting>
  <conditionalFormatting sqref="O30">
    <cfRule type="cellIs" dxfId="21122" priority="7277" operator="equal">
      <formula>"OFF"</formula>
    </cfRule>
    <cfRule type="cellIs" dxfId="21121" priority="7278" operator="equal">
      <formula>"PTO"</formula>
    </cfRule>
  </conditionalFormatting>
  <conditionalFormatting sqref="O30">
    <cfRule type="cellIs" dxfId="21120" priority="7275" operator="equal">
      <formula>"OFF"</formula>
    </cfRule>
    <cfRule type="cellIs" dxfId="21119" priority="7276" operator="equal">
      <formula>"PTO"</formula>
    </cfRule>
  </conditionalFormatting>
  <conditionalFormatting sqref="O30">
    <cfRule type="cellIs" dxfId="21118" priority="7273" operator="equal">
      <formula>"OFF"</formula>
    </cfRule>
    <cfRule type="cellIs" dxfId="21117" priority="7274" operator="equal">
      <formula>"PTO"</formula>
    </cfRule>
  </conditionalFormatting>
  <conditionalFormatting sqref="O30">
    <cfRule type="cellIs" dxfId="21116" priority="7271" operator="equal">
      <formula>"OFF"</formula>
    </cfRule>
    <cfRule type="cellIs" dxfId="21115" priority="7272" operator="equal">
      <formula>"PTO"</formula>
    </cfRule>
  </conditionalFormatting>
  <conditionalFormatting sqref="O30">
    <cfRule type="cellIs" dxfId="21114" priority="7269" operator="equal">
      <formula>"OFF"</formula>
    </cfRule>
    <cfRule type="cellIs" dxfId="21113" priority="7270" operator="equal">
      <formula>"PTO"</formula>
    </cfRule>
  </conditionalFormatting>
  <conditionalFormatting sqref="O30">
    <cfRule type="cellIs" dxfId="21112" priority="7267" operator="equal">
      <formula>"OFF"</formula>
    </cfRule>
    <cfRule type="cellIs" dxfId="21111" priority="7268" operator="equal">
      <formula>"PTO"</formula>
    </cfRule>
  </conditionalFormatting>
  <conditionalFormatting sqref="O30">
    <cfRule type="cellIs" dxfId="21110" priority="7265" operator="equal">
      <formula>"OFF"</formula>
    </cfRule>
    <cfRule type="cellIs" dxfId="21109" priority="7266" operator="equal">
      <formula>"PTO"</formula>
    </cfRule>
  </conditionalFormatting>
  <conditionalFormatting sqref="O30">
    <cfRule type="cellIs" dxfId="21108" priority="7263" operator="equal">
      <formula>"OFF"</formula>
    </cfRule>
    <cfRule type="cellIs" dxfId="21107" priority="7264" operator="equal">
      <formula>"PTO"</formula>
    </cfRule>
  </conditionalFormatting>
  <conditionalFormatting sqref="O30">
    <cfRule type="cellIs" dxfId="21106" priority="7261" operator="equal">
      <formula>"OFF"</formula>
    </cfRule>
    <cfRule type="cellIs" dxfId="21105" priority="7262" operator="equal">
      <formula>"PTO"</formula>
    </cfRule>
  </conditionalFormatting>
  <conditionalFormatting sqref="O30">
    <cfRule type="cellIs" dxfId="21104" priority="7259" operator="equal">
      <formula>"OFF"</formula>
    </cfRule>
    <cfRule type="cellIs" dxfId="21103" priority="7260" operator="equal">
      <formula>"PTO"</formula>
    </cfRule>
  </conditionalFormatting>
  <conditionalFormatting sqref="O30">
    <cfRule type="cellIs" dxfId="21102" priority="7257" operator="equal">
      <formula>"OFF"</formula>
    </cfRule>
    <cfRule type="cellIs" dxfId="21101" priority="7258" operator="equal">
      <formula>"PTO"</formula>
    </cfRule>
  </conditionalFormatting>
  <conditionalFormatting sqref="O30">
    <cfRule type="cellIs" dxfId="21100" priority="7255" operator="equal">
      <formula>"OFF"</formula>
    </cfRule>
    <cfRule type="cellIs" dxfId="21099" priority="7256" operator="equal">
      <formula>"PTO"</formula>
    </cfRule>
  </conditionalFormatting>
  <conditionalFormatting sqref="O30">
    <cfRule type="cellIs" dxfId="21098" priority="7253" operator="equal">
      <formula>"OFF"</formula>
    </cfRule>
    <cfRule type="cellIs" dxfId="21097" priority="7254" operator="equal">
      <formula>"PTO"</formula>
    </cfRule>
  </conditionalFormatting>
  <conditionalFormatting sqref="O30">
    <cfRule type="cellIs" dxfId="21096" priority="7251" operator="equal">
      <formula>"OFF"</formula>
    </cfRule>
    <cfRule type="cellIs" dxfId="21095" priority="7252" operator="equal">
      <formula>"PTO"</formula>
    </cfRule>
  </conditionalFormatting>
  <conditionalFormatting sqref="O30">
    <cfRule type="cellIs" dxfId="21094" priority="7249" operator="equal">
      <formula>"OFF"</formula>
    </cfRule>
    <cfRule type="cellIs" dxfId="21093" priority="7250" operator="equal">
      <formula>"PTO"</formula>
    </cfRule>
  </conditionalFormatting>
  <conditionalFormatting sqref="O30">
    <cfRule type="cellIs" dxfId="21092" priority="7247" operator="equal">
      <formula>"OFF"</formula>
    </cfRule>
    <cfRule type="cellIs" dxfId="21091" priority="7248" operator="equal">
      <formula>"PTO"</formula>
    </cfRule>
  </conditionalFormatting>
  <conditionalFormatting sqref="O30">
    <cfRule type="cellIs" dxfId="21090" priority="7245" operator="equal">
      <formula>"OFF"</formula>
    </cfRule>
    <cfRule type="cellIs" dxfId="21089" priority="7246" operator="equal">
      <formula>"PTO"</formula>
    </cfRule>
  </conditionalFormatting>
  <conditionalFormatting sqref="O30">
    <cfRule type="cellIs" dxfId="21088" priority="7243" operator="equal">
      <formula>"OFF"</formula>
    </cfRule>
    <cfRule type="cellIs" dxfId="21087" priority="7244" operator="equal">
      <formula>"PTO"</formula>
    </cfRule>
  </conditionalFormatting>
  <conditionalFormatting sqref="O30">
    <cfRule type="cellIs" dxfId="21086" priority="7241" operator="equal">
      <formula>"OFF"</formula>
    </cfRule>
    <cfRule type="cellIs" dxfId="21085" priority="7242" operator="equal">
      <formula>"PTO"</formula>
    </cfRule>
  </conditionalFormatting>
  <conditionalFormatting sqref="O30">
    <cfRule type="cellIs" dxfId="21084" priority="7239" operator="equal">
      <formula>"OFF"</formula>
    </cfRule>
    <cfRule type="cellIs" dxfId="21083" priority="7240" operator="equal">
      <formula>"PTO"</formula>
    </cfRule>
  </conditionalFormatting>
  <conditionalFormatting sqref="O30">
    <cfRule type="cellIs" dxfId="21082" priority="7237" operator="equal">
      <formula>"OFF"</formula>
    </cfRule>
    <cfRule type="cellIs" dxfId="21081" priority="7238" operator="equal">
      <formula>"PTO"</formula>
    </cfRule>
  </conditionalFormatting>
  <conditionalFormatting sqref="O30">
    <cfRule type="cellIs" dxfId="21080" priority="7235" operator="equal">
      <formula>"OFF"</formula>
    </cfRule>
    <cfRule type="cellIs" dxfId="21079" priority="7236" operator="equal">
      <formula>"PTO"</formula>
    </cfRule>
  </conditionalFormatting>
  <conditionalFormatting sqref="O30">
    <cfRule type="cellIs" dxfId="21078" priority="7233" operator="equal">
      <formula>"OFF"</formula>
    </cfRule>
    <cfRule type="cellIs" dxfId="21077" priority="7234" operator="equal">
      <formula>"PTO"</formula>
    </cfRule>
  </conditionalFormatting>
  <conditionalFormatting sqref="O30">
    <cfRule type="cellIs" dxfId="21076" priority="7231" operator="equal">
      <formula>"OFF"</formula>
    </cfRule>
    <cfRule type="cellIs" dxfId="21075" priority="7232" operator="equal">
      <formula>"PTO"</formula>
    </cfRule>
  </conditionalFormatting>
  <conditionalFormatting sqref="O30">
    <cfRule type="cellIs" dxfId="21074" priority="7229" operator="equal">
      <formula>"OFF"</formula>
    </cfRule>
    <cfRule type="cellIs" dxfId="21073" priority="7230" operator="equal">
      <formula>"PTO"</formula>
    </cfRule>
  </conditionalFormatting>
  <conditionalFormatting sqref="O30">
    <cfRule type="cellIs" dxfId="21072" priority="7227" operator="equal">
      <formula>"OFF"</formula>
    </cfRule>
    <cfRule type="cellIs" dxfId="21071" priority="7228" operator="equal">
      <formula>"PTO"</formula>
    </cfRule>
  </conditionalFormatting>
  <conditionalFormatting sqref="O30">
    <cfRule type="cellIs" dxfId="21070" priority="7225" operator="equal">
      <formula>"OFF"</formula>
    </cfRule>
    <cfRule type="cellIs" dxfId="21069" priority="7226" operator="equal">
      <formula>"PTO"</formula>
    </cfRule>
  </conditionalFormatting>
  <conditionalFormatting sqref="O30">
    <cfRule type="cellIs" dxfId="21068" priority="7223" operator="equal">
      <formula>"OFF"</formula>
    </cfRule>
    <cfRule type="cellIs" dxfId="21067" priority="7224" operator="equal">
      <formula>"PTO"</formula>
    </cfRule>
  </conditionalFormatting>
  <conditionalFormatting sqref="O30">
    <cfRule type="cellIs" dxfId="21066" priority="7221" operator="equal">
      <formula>"OFF"</formula>
    </cfRule>
    <cfRule type="cellIs" dxfId="21065" priority="7222" operator="equal">
      <formula>"PTO"</formula>
    </cfRule>
  </conditionalFormatting>
  <conditionalFormatting sqref="O30">
    <cfRule type="cellIs" dxfId="21064" priority="7219" operator="equal">
      <formula>"OFF"</formula>
    </cfRule>
    <cfRule type="cellIs" dxfId="21063" priority="7220" operator="equal">
      <formula>"PTO"</formula>
    </cfRule>
  </conditionalFormatting>
  <conditionalFormatting sqref="O30">
    <cfRule type="cellIs" dxfId="21062" priority="7217" operator="equal">
      <formula>"OFF"</formula>
    </cfRule>
    <cfRule type="cellIs" dxfId="21061" priority="7218" operator="equal">
      <formula>"PTO"</formula>
    </cfRule>
  </conditionalFormatting>
  <conditionalFormatting sqref="O30">
    <cfRule type="cellIs" dxfId="21060" priority="7215" operator="equal">
      <formula>"OFF"</formula>
    </cfRule>
    <cfRule type="cellIs" dxfId="21059" priority="7216" operator="equal">
      <formula>"PTO"</formula>
    </cfRule>
  </conditionalFormatting>
  <conditionalFormatting sqref="O30">
    <cfRule type="cellIs" dxfId="21058" priority="7213" operator="equal">
      <formula>"OFF"</formula>
    </cfRule>
    <cfRule type="cellIs" dxfId="21057" priority="7214" operator="equal">
      <formula>"PTO"</formula>
    </cfRule>
  </conditionalFormatting>
  <conditionalFormatting sqref="O30">
    <cfRule type="cellIs" dxfId="21056" priority="7211" operator="equal">
      <formula>"OFF"</formula>
    </cfRule>
    <cfRule type="cellIs" dxfId="21055" priority="7212" operator="equal">
      <formula>"PTO"</formula>
    </cfRule>
  </conditionalFormatting>
  <conditionalFormatting sqref="O30">
    <cfRule type="cellIs" dxfId="21054" priority="7209" operator="equal">
      <formula>"OFF"</formula>
    </cfRule>
    <cfRule type="cellIs" dxfId="21053" priority="7210" operator="equal">
      <formula>"PTO"</formula>
    </cfRule>
  </conditionalFormatting>
  <conditionalFormatting sqref="O30">
    <cfRule type="cellIs" dxfId="21052" priority="7207" operator="equal">
      <formula>"OFF"</formula>
    </cfRule>
    <cfRule type="cellIs" dxfId="21051" priority="7208" operator="equal">
      <formula>"PTO"</formula>
    </cfRule>
  </conditionalFormatting>
  <conditionalFormatting sqref="O30">
    <cfRule type="cellIs" dxfId="21050" priority="7205" operator="equal">
      <formula>"OFF"</formula>
    </cfRule>
    <cfRule type="cellIs" dxfId="21049" priority="7206" operator="equal">
      <formula>"PTO"</formula>
    </cfRule>
  </conditionalFormatting>
  <conditionalFormatting sqref="O30">
    <cfRule type="cellIs" dxfId="21048" priority="7203" operator="equal">
      <formula>"OFF"</formula>
    </cfRule>
    <cfRule type="cellIs" dxfId="21047" priority="7204" operator="equal">
      <formula>"PTO"</formula>
    </cfRule>
  </conditionalFormatting>
  <conditionalFormatting sqref="O30">
    <cfRule type="cellIs" dxfId="21046" priority="7201" operator="equal">
      <formula>"OFF"</formula>
    </cfRule>
    <cfRule type="cellIs" dxfId="21045" priority="7202" operator="equal">
      <formula>"PTO"</formula>
    </cfRule>
  </conditionalFormatting>
  <conditionalFormatting sqref="O30">
    <cfRule type="cellIs" dxfId="21044" priority="7199" operator="equal">
      <formula>"OFF"</formula>
    </cfRule>
    <cfRule type="cellIs" dxfId="21043" priority="7200" operator="equal">
      <formula>"PTO"</formula>
    </cfRule>
  </conditionalFormatting>
  <conditionalFormatting sqref="O30">
    <cfRule type="cellIs" dxfId="21042" priority="7197" operator="equal">
      <formula>"OFF"</formula>
    </cfRule>
    <cfRule type="cellIs" dxfId="21041" priority="7198" operator="equal">
      <formula>"PTO"</formula>
    </cfRule>
  </conditionalFormatting>
  <conditionalFormatting sqref="O30">
    <cfRule type="cellIs" dxfId="21040" priority="7195" operator="equal">
      <formula>"OFF"</formula>
    </cfRule>
    <cfRule type="cellIs" dxfId="21039" priority="7196" operator="equal">
      <formula>"PTO"</formula>
    </cfRule>
  </conditionalFormatting>
  <conditionalFormatting sqref="O30">
    <cfRule type="cellIs" dxfId="21038" priority="7193" operator="equal">
      <formula>"OFF"</formula>
    </cfRule>
    <cfRule type="cellIs" dxfId="21037" priority="7194" operator="equal">
      <formula>"PTO"</formula>
    </cfRule>
  </conditionalFormatting>
  <conditionalFormatting sqref="O30">
    <cfRule type="cellIs" dxfId="21036" priority="7191" operator="equal">
      <formula>"OFF"</formula>
    </cfRule>
    <cfRule type="cellIs" dxfId="21035" priority="7192" operator="equal">
      <formula>"PTO"</formula>
    </cfRule>
  </conditionalFormatting>
  <conditionalFormatting sqref="O30">
    <cfRule type="cellIs" dxfId="21034" priority="7189" operator="equal">
      <formula>"OFF"</formula>
    </cfRule>
    <cfRule type="cellIs" dxfId="21033" priority="7190" operator="equal">
      <formula>"PTO"</formula>
    </cfRule>
  </conditionalFormatting>
  <conditionalFormatting sqref="O30">
    <cfRule type="cellIs" dxfId="21032" priority="7187" operator="equal">
      <formula>"OFF"</formula>
    </cfRule>
    <cfRule type="cellIs" dxfId="21031" priority="7188" operator="equal">
      <formula>"PTO"</formula>
    </cfRule>
  </conditionalFormatting>
  <conditionalFormatting sqref="O30">
    <cfRule type="cellIs" dxfId="21030" priority="7185" operator="equal">
      <formula>"OFF"</formula>
    </cfRule>
    <cfRule type="cellIs" dxfId="21029" priority="7186" operator="equal">
      <formula>"PTO"</formula>
    </cfRule>
  </conditionalFormatting>
  <conditionalFormatting sqref="O30">
    <cfRule type="cellIs" dxfId="21028" priority="7183" operator="equal">
      <formula>"OFF"</formula>
    </cfRule>
    <cfRule type="cellIs" dxfId="21027" priority="7184" operator="equal">
      <formula>"PTO"</formula>
    </cfRule>
  </conditionalFormatting>
  <conditionalFormatting sqref="O30">
    <cfRule type="cellIs" dxfId="21026" priority="7181" operator="equal">
      <formula>"OFF"</formula>
    </cfRule>
    <cfRule type="cellIs" dxfId="21025" priority="7182" operator="equal">
      <formula>"PTO"</formula>
    </cfRule>
  </conditionalFormatting>
  <conditionalFormatting sqref="O30">
    <cfRule type="cellIs" dxfId="21024" priority="7179" operator="equal">
      <formula>"OFF"</formula>
    </cfRule>
    <cfRule type="cellIs" dxfId="21023" priority="7180" operator="equal">
      <formula>"PTO"</formula>
    </cfRule>
  </conditionalFormatting>
  <conditionalFormatting sqref="O30">
    <cfRule type="cellIs" dxfId="21022" priority="7177" operator="equal">
      <formula>"OFF"</formula>
    </cfRule>
    <cfRule type="cellIs" dxfId="21021" priority="7178" operator="equal">
      <formula>"PTO"</formula>
    </cfRule>
  </conditionalFormatting>
  <conditionalFormatting sqref="O30">
    <cfRule type="cellIs" dxfId="21020" priority="7175" operator="equal">
      <formula>"OFF"</formula>
    </cfRule>
    <cfRule type="cellIs" dxfId="21019" priority="7176" operator="equal">
      <formula>"PTO"</formula>
    </cfRule>
  </conditionalFormatting>
  <conditionalFormatting sqref="O30">
    <cfRule type="cellIs" dxfId="21018" priority="7173" operator="equal">
      <formula>"OFF"</formula>
    </cfRule>
    <cfRule type="cellIs" dxfId="21017" priority="7174" operator="equal">
      <formula>"PTO"</formula>
    </cfRule>
  </conditionalFormatting>
  <conditionalFormatting sqref="O30">
    <cfRule type="cellIs" dxfId="21016" priority="7171" operator="equal">
      <formula>"OFF"</formula>
    </cfRule>
    <cfRule type="cellIs" dxfId="21015" priority="7172" operator="equal">
      <formula>"PTO"</formula>
    </cfRule>
  </conditionalFormatting>
  <conditionalFormatting sqref="O30">
    <cfRule type="cellIs" dxfId="21014" priority="7169" operator="equal">
      <formula>"OFF"</formula>
    </cfRule>
    <cfRule type="cellIs" dxfId="21013" priority="7170" operator="equal">
      <formula>"PTO"</formula>
    </cfRule>
  </conditionalFormatting>
  <conditionalFormatting sqref="O30">
    <cfRule type="cellIs" dxfId="21012" priority="7167" operator="equal">
      <formula>"OFF"</formula>
    </cfRule>
    <cfRule type="cellIs" dxfId="21011" priority="7168" operator="equal">
      <formula>"PTO"</formula>
    </cfRule>
  </conditionalFormatting>
  <conditionalFormatting sqref="O30">
    <cfRule type="cellIs" dxfId="21010" priority="7165" operator="equal">
      <formula>"OFF"</formula>
    </cfRule>
    <cfRule type="cellIs" dxfId="21009" priority="7166" operator="equal">
      <formula>"PTO"</formula>
    </cfRule>
  </conditionalFormatting>
  <conditionalFormatting sqref="O30">
    <cfRule type="cellIs" dxfId="21008" priority="7163" operator="equal">
      <formula>"OFF"</formula>
    </cfRule>
    <cfRule type="cellIs" dxfId="21007" priority="7164" operator="equal">
      <formula>"PTO"</formula>
    </cfRule>
  </conditionalFormatting>
  <conditionalFormatting sqref="O30">
    <cfRule type="cellIs" dxfId="21006" priority="7161" operator="equal">
      <formula>"OFF"</formula>
    </cfRule>
    <cfRule type="cellIs" dxfId="21005" priority="7162" operator="equal">
      <formula>"PTO"</formula>
    </cfRule>
  </conditionalFormatting>
  <conditionalFormatting sqref="O30">
    <cfRule type="cellIs" dxfId="21004" priority="7159" operator="equal">
      <formula>"OFF"</formula>
    </cfRule>
    <cfRule type="cellIs" dxfId="21003" priority="7160" operator="equal">
      <formula>"PTO"</formula>
    </cfRule>
  </conditionalFormatting>
  <conditionalFormatting sqref="O30">
    <cfRule type="cellIs" dxfId="21002" priority="7157" operator="equal">
      <formula>"OFF"</formula>
    </cfRule>
    <cfRule type="cellIs" dxfId="21001" priority="7158" operator="equal">
      <formula>"PTO"</formula>
    </cfRule>
  </conditionalFormatting>
  <conditionalFormatting sqref="O30">
    <cfRule type="cellIs" dxfId="21000" priority="7155" operator="equal">
      <formula>"OFF"</formula>
    </cfRule>
    <cfRule type="cellIs" dxfId="20999" priority="7156" operator="equal">
      <formula>"PTO"</formula>
    </cfRule>
  </conditionalFormatting>
  <conditionalFormatting sqref="O26">
    <cfRule type="cellIs" dxfId="20998" priority="7153" operator="equal">
      <formula>"OFF"</formula>
    </cfRule>
    <cfRule type="cellIs" dxfId="20997" priority="7154" operator="equal">
      <formula>"PTO"</formula>
    </cfRule>
  </conditionalFormatting>
  <conditionalFormatting sqref="O26">
    <cfRule type="cellIs" dxfId="20996" priority="7151" operator="equal">
      <formula>"OFF"</formula>
    </cfRule>
    <cfRule type="cellIs" dxfId="20995" priority="7152" operator="equal">
      <formula>"PTO"</formula>
    </cfRule>
  </conditionalFormatting>
  <conditionalFormatting sqref="O26">
    <cfRule type="cellIs" dxfId="20994" priority="7149" operator="equal">
      <formula>"OFF"</formula>
    </cfRule>
    <cfRule type="cellIs" dxfId="20993" priority="7150" operator="equal">
      <formula>"PTO"</formula>
    </cfRule>
  </conditionalFormatting>
  <conditionalFormatting sqref="O26">
    <cfRule type="cellIs" dxfId="20992" priority="7147" operator="equal">
      <formula>"OFF"</formula>
    </cfRule>
    <cfRule type="cellIs" dxfId="20991" priority="7148" operator="equal">
      <formula>"PTO"</formula>
    </cfRule>
  </conditionalFormatting>
  <conditionalFormatting sqref="O26">
    <cfRule type="cellIs" dxfId="20990" priority="7145" operator="equal">
      <formula>"OFF"</formula>
    </cfRule>
    <cfRule type="cellIs" dxfId="20989" priority="7146" operator="equal">
      <formula>"PTO"</formula>
    </cfRule>
  </conditionalFormatting>
  <conditionalFormatting sqref="O26">
    <cfRule type="cellIs" dxfId="20988" priority="7143" operator="equal">
      <formula>"OFF"</formula>
    </cfRule>
    <cfRule type="cellIs" dxfId="20987" priority="7144" operator="equal">
      <formula>"PTO"</formula>
    </cfRule>
  </conditionalFormatting>
  <conditionalFormatting sqref="O26">
    <cfRule type="cellIs" dxfId="20986" priority="7141" operator="equal">
      <formula>"OFF"</formula>
    </cfRule>
    <cfRule type="cellIs" dxfId="20985" priority="7142" operator="equal">
      <formula>"PTO"</formula>
    </cfRule>
  </conditionalFormatting>
  <conditionalFormatting sqref="O26">
    <cfRule type="cellIs" dxfId="20984" priority="7139" operator="equal">
      <formula>"OFF"</formula>
    </cfRule>
    <cfRule type="cellIs" dxfId="20983" priority="7140" operator="equal">
      <formula>"PTO"</formula>
    </cfRule>
  </conditionalFormatting>
  <conditionalFormatting sqref="O27">
    <cfRule type="cellIs" dxfId="20982" priority="7137" operator="equal">
      <formula>"OFF"</formula>
    </cfRule>
    <cfRule type="cellIs" dxfId="20981" priority="7138" operator="equal">
      <formula>"PTO"</formula>
    </cfRule>
  </conditionalFormatting>
  <conditionalFormatting sqref="O27">
    <cfRule type="cellIs" dxfId="20980" priority="7135" operator="equal">
      <formula>"OFF"</formula>
    </cfRule>
    <cfRule type="cellIs" dxfId="20979" priority="7136" operator="equal">
      <formula>"PTO"</formula>
    </cfRule>
  </conditionalFormatting>
  <conditionalFormatting sqref="O27">
    <cfRule type="cellIs" dxfId="20978" priority="7133" operator="equal">
      <formula>"OFF"</formula>
    </cfRule>
    <cfRule type="cellIs" dxfId="20977" priority="7134" operator="equal">
      <formula>"PTO"</formula>
    </cfRule>
  </conditionalFormatting>
  <conditionalFormatting sqref="O27">
    <cfRule type="cellIs" dxfId="20976" priority="7131" operator="equal">
      <formula>"OFF"</formula>
    </cfRule>
    <cfRule type="cellIs" dxfId="20975" priority="7132" operator="equal">
      <formula>"PTO"</formula>
    </cfRule>
  </conditionalFormatting>
  <conditionalFormatting sqref="O27">
    <cfRule type="cellIs" dxfId="20974" priority="7129" operator="equal">
      <formula>"OFF"</formula>
    </cfRule>
    <cfRule type="cellIs" dxfId="20973" priority="7130" operator="equal">
      <formula>"PTO"</formula>
    </cfRule>
  </conditionalFormatting>
  <conditionalFormatting sqref="O27">
    <cfRule type="cellIs" dxfId="20972" priority="7127" operator="equal">
      <formula>"OFF"</formula>
    </cfRule>
    <cfRule type="cellIs" dxfId="20971" priority="7128" operator="equal">
      <formula>"PTO"</formula>
    </cfRule>
  </conditionalFormatting>
  <conditionalFormatting sqref="O27">
    <cfRule type="cellIs" dxfId="20970" priority="7125" operator="equal">
      <formula>"OFF"</formula>
    </cfRule>
    <cfRule type="cellIs" dxfId="20969" priority="7126" operator="equal">
      <formula>"PTO"</formula>
    </cfRule>
  </conditionalFormatting>
  <conditionalFormatting sqref="O27">
    <cfRule type="cellIs" dxfId="20968" priority="7123" operator="equal">
      <formula>"OFF"</formula>
    </cfRule>
    <cfRule type="cellIs" dxfId="20967" priority="7124" operator="equal">
      <formula>"PTO"</formula>
    </cfRule>
  </conditionalFormatting>
  <conditionalFormatting sqref="O26">
    <cfRule type="cellIs" dxfId="20966" priority="7121" operator="equal">
      <formula>"OFF"</formula>
    </cfRule>
    <cfRule type="cellIs" dxfId="20965" priority="7122" operator="equal">
      <formula>"PTO"</formula>
    </cfRule>
  </conditionalFormatting>
  <conditionalFormatting sqref="O26">
    <cfRule type="cellIs" dxfId="20964" priority="7119" operator="equal">
      <formula>"OFF"</formula>
    </cfRule>
    <cfRule type="cellIs" dxfId="20963" priority="7120" operator="equal">
      <formula>"PTO"</formula>
    </cfRule>
  </conditionalFormatting>
  <conditionalFormatting sqref="O26">
    <cfRule type="cellIs" dxfId="20962" priority="7117" operator="equal">
      <formula>"OFF"</formula>
    </cfRule>
    <cfRule type="cellIs" dxfId="20961" priority="7118" operator="equal">
      <formula>"PTO"</formula>
    </cfRule>
  </conditionalFormatting>
  <conditionalFormatting sqref="O26">
    <cfRule type="cellIs" dxfId="20960" priority="7115" operator="equal">
      <formula>"OFF"</formula>
    </cfRule>
    <cfRule type="cellIs" dxfId="20959" priority="7116" operator="equal">
      <formula>"PTO"</formula>
    </cfRule>
  </conditionalFormatting>
  <conditionalFormatting sqref="O26">
    <cfRule type="cellIs" dxfId="20958" priority="7113" operator="equal">
      <formula>"OFF"</formula>
    </cfRule>
    <cfRule type="cellIs" dxfId="20957" priority="7114" operator="equal">
      <formula>"PTO"</formula>
    </cfRule>
  </conditionalFormatting>
  <conditionalFormatting sqref="O26">
    <cfRule type="cellIs" dxfId="20956" priority="7111" operator="equal">
      <formula>"OFF"</formula>
    </cfRule>
    <cfRule type="cellIs" dxfId="20955" priority="7112" operator="equal">
      <formula>"PTO"</formula>
    </cfRule>
  </conditionalFormatting>
  <conditionalFormatting sqref="O26">
    <cfRule type="cellIs" dxfId="20954" priority="7109" operator="equal">
      <formula>"OFF"</formula>
    </cfRule>
    <cfRule type="cellIs" dxfId="20953" priority="7110" operator="equal">
      <formula>"PTO"</formula>
    </cfRule>
  </conditionalFormatting>
  <conditionalFormatting sqref="O26">
    <cfRule type="cellIs" dxfId="20952" priority="7107" operator="equal">
      <formula>"OFF"</formula>
    </cfRule>
    <cfRule type="cellIs" dxfId="20951" priority="7108" operator="equal">
      <formula>"PTO"</formula>
    </cfRule>
  </conditionalFormatting>
  <conditionalFormatting sqref="O27">
    <cfRule type="cellIs" dxfId="20950" priority="7105" operator="equal">
      <formula>"OFF"</formula>
    </cfRule>
    <cfRule type="cellIs" dxfId="20949" priority="7106" operator="equal">
      <formula>"PTO"</formula>
    </cfRule>
  </conditionalFormatting>
  <conditionalFormatting sqref="O27">
    <cfRule type="cellIs" dxfId="20948" priority="7103" operator="equal">
      <formula>"OFF"</formula>
    </cfRule>
    <cfRule type="cellIs" dxfId="20947" priority="7104" operator="equal">
      <formula>"PTO"</formula>
    </cfRule>
  </conditionalFormatting>
  <conditionalFormatting sqref="O27">
    <cfRule type="cellIs" dxfId="20946" priority="7101" operator="equal">
      <formula>"OFF"</formula>
    </cfRule>
    <cfRule type="cellIs" dxfId="20945" priority="7102" operator="equal">
      <formula>"PTO"</formula>
    </cfRule>
  </conditionalFormatting>
  <conditionalFormatting sqref="O27">
    <cfRule type="cellIs" dxfId="20944" priority="7099" operator="equal">
      <formula>"OFF"</formula>
    </cfRule>
    <cfRule type="cellIs" dxfId="20943" priority="7100" operator="equal">
      <formula>"PTO"</formula>
    </cfRule>
  </conditionalFormatting>
  <conditionalFormatting sqref="O27">
    <cfRule type="cellIs" dxfId="20942" priority="7097" operator="equal">
      <formula>"OFF"</formula>
    </cfRule>
    <cfRule type="cellIs" dxfId="20941" priority="7098" operator="equal">
      <formula>"PTO"</formula>
    </cfRule>
  </conditionalFormatting>
  <conditionalFormatting sqref="O27">
    <cfRule type="cellIs" dxfId="20940" priority="7095" operator="equal">
      <formula>"OFF"</formula>
    </cfRule>
    <cfRule type="cellIs" dxfId="20939" priority="7096" operator="equal">
      <formula>"PTO"</formula>
    </cfRule>
  </conditionalFormatting>
  <conditionalFormatting sqref="O27">
    <cfRule type="cellIs" dxfId="20938" priority="7093" operator="equal">
      <formula>"OFF"</formula>
    </cfRule>
    <cfRule type="cellIs" dxfId="20937" priority="7094" operator="equal">
      <formula>"PTO"</formula>
    </cfRule>
  </conditionalFormatting>
  <conditionalFormatting sqref="O27">
    <cfRule type="cellIs" dxfId="20936" priority="7091" operator="equal">
      <formula>"OFF"</formula>
    </cfRule>
    <cfRule type="cellIs" dxfId="20935" priority="7092" operator="equal">
      <formula>"PTO"</formula>
    </cfRule>
  </conditionalFormatting>
  <conditionalFormatting sqref="O26">
    <cfRule type="cellIs" dxfId="20934" priority="7089" operator="equal">
      <formula>"OFF"</formula>
    </cfRule>
    <cfRule type="cellIs" dxfId="20933" priority="7090" operator="equal">
      <formula>"PTO"</formula>
    </cfRule>
  </conditionalFormatting>
  <conditionalFormatting sqref="O26">
    <cfRule type="cellIs" dxfId="20932" priority="7087" operator="equal">
      <formula>"OFF"</formula>
    </cfRule>
    <cfRule type="cellIs" dxfId="20931" priority="7088" operator="equal">
      <formula>"PTO"</formula>
    </cfRule>
  </conditionalFormatting>
  <conditionalFormatting sqref="O26">
    <cfRule type="cellIs" dxfId="20930" priority="7085" operator="equal">
      <formula>"OFF"</formula>
    </cfRule>
    <cfRule type="cellIs" dxfId="20929" priority="7086" operator="equal">
      <formula>"PTO"</formula>
    </cfRule>
  </conditionalFormatting>
  <conditionalFormatting sqref="O26">
    <cfRule type="cellIs" dxfId="20928" priority="7083" operator="equal">
      <formula>"OFF"</formula>
    </cfRule>
    <cfRule type="cellIs" dxfId="20927" priority="7084" operator="equal">
      <formula>"PTO"</formula>
    </cfRule>
  </conditionalFormatting>
  <conditionalFormatting sqref="O26">
    <cfRule type="cellIs" dxfId="20926" priority="7081" operator="equal">
      <formula>"OFF"</formula>
    </cfRule>
    <cfRule type="cellIs" dxfId="20925" priority="7082" operator="equal">
      <formula>"PTO"</formula>
    </cfRule>
  </conditionalFormatting>
  <conditionalFormatting sqref="O26">
    <cfRule type="cellIs" dxfId="20924" priority="7079" operator="equal">
      <formula>"OFF"</formula>
    </cfRule>
    <cfRule type="cellIs" dxfId="20923" priority="7080" operator="equal">
      <formula>"PTO"</formula>
    </cfRule>
  </conditionalFormatting>
  <conditionalFormatting sqref="O26">
    <cfRule type="cellIs" dxfId="20922" priority="7077" operator="equal">
      <formula>"OFF"</formula>
    </cfRule>
    <cfRule type="cellIs" dxfId="20921" priority="7078" operator="equal">
      <formula>"PTO"</formula>
    </cfRule>
  </conditionalFormatting>
  <conditionalFormatting sqref="O26">
    <cfRule type="cellIs" dxfId="20920" priority="7075" operator="equal">
      <formula>"OFF"</formula>
    </cfRule>
    <cfRule type="cellIs" dxfId="20919" priority="7076" operator="equal">
      <formula>"PTO"</formula>
    </cfRule>
  </conditionalFormatting>
  <conditionalFormatting sqref="O27">
    <cfRule type="cellIs" dxfId="20918" priority="7073" operator="equal">
      <formula>"OFF"</formula>
    </cfRule>
    <cfRule type="cellIs" dxfId="20917" priority="7074" operator="equal">
      <formula>"PTO"</formula>
    </cfRule>
  </conditionalFormatting>
  <conditionalFormatting sqref="O27">
    <cfRule type="cellIs" dxfId="20916" priority="7071" operator="equal">
      <formula>"OFF"</formula>
    </cfRule>
    <cfRule type="cellIs" dxfId="20915" priority="7072" operator="equal">
      <formula>"PTO"</formula>
    </cfRule>
  </conditionalFormatting>
  <conditionalFormatting sqref="O27">
    <cfRule type="cellIs" dxfId="20914" priority="7069" operator="equal">
      <formula>"OFF"</formula>
    </cfRule>
    <cfRule type="cellIs" dxfId="20913" priority="7070" operator="equal">
      <formula>"PTO"</formula>
    </cfRule>
  </conditionalFormatting>
  <conditionalFormatting sqref="O27">
    <cfRule type="cellIs" dxfId="20912" priority="7067" operator="equal">
      <formula>"OFF"</formula>
    </cfRule>
    <cfRule type="cellIs" dxfId="20911" priority="7068" operator="equal">
      <formula>"PTO"</formula>
    </cfRule>
  </conditionalFormatting>
  <conditionalFormatting sqref="O27">
    <cfRule type="cellIs" dxfId="20910" priority="7065" operator="equal">
      <formula>"OFF"</formula>
    </cfRule>
    <cfRule type="cellIs" dxfId="20909" priority="7066" operator="equal">
      <formula>"PTO"</formula>
    </cfRule>
  </conditionalFormatting>
  <conditionalFormatting sqref="O27">
    <cfRule type="cellIs" dxfId="20908" priority="7063" operator="equal">
      <formula>"OFF"</formula>
    </cfRule>
    <cfRule type="cellIs" dxfId="20907" priority="7064" operator="equal">
      <formula>"PTO"</formula>
    </cfRule>
  </conditionalFormatting>
  <conditionalFormatting sqref="O27">
    <cfRule type="cellIs" dxfId="20906" priority="7061" operator="equal">
      <formula>"OFF"</formula>
    </cfRule>
    <cfRule type="cellIs" dxfId="20905" priority="7062" operator="equal">
      <formula>"PTO"</formula>
    </cfRule>
  </conditionalFormatting>
  <conditionalFormatting sqref="O27">
    <cfRule type="cellIs" dxfId="20904" priority="7059" operator="equal">
      <formula>"OFF"</formula>
    </cfRule>
    <cfRule type="cellIs" dxfId="20903" priority="7060" operator="equal">
      <formula>"PTO"</formula>
    </cfRule>
  </conditionalFormatting>
  <conditionalFormatting sqref="O26">
    <cfRule type="cellIs" dxfId="20902" priority="7057" operator="equal">
      <formula>"OFF"</formula>
    </cfRule>
    <cfRule type="cellIs" dxfId="20901" priority="7058" operator="equal">
      <formula>"PTO"</formula>
    </cfRule>
  </conditionalFormatting>
  <conditionalFormatting sqref="O26">
    <cfRule type="cellIs" dxfId="20900" priority="7055" operator="equal">
      <formula>"OFF"</formula>
    </cfRule>
    <cfRule type="cellIs" dxfId="20899" priority="7056" operator="equal">
      <formula>"PTO"</formula>
    </cfRule>
  </conditionalFormatting>
  <conditionalFormatting sqref="O26">
    <cfRule type="cellIs" dxfId="20898" priority="7053" operator="equal">
      <formula>"OFF"</formula>
    </cfRule>
    <cfRule type="cellIs" dxfId="20897" priority="7054" operator="equal">
      <formula>"PTO"</formula>
    </cfRule>
  </conditionalFormatting>
  <conditionalFormatting sqref="O26">
    <cfRule type="cellIs" dxfId="20896" priority="7051" operator="equal">
      <formula>"OFF"</formula>
    </cfRule>
    <cfRule type="cellIs" dxfId="20895" priority="7052" operator="equal">
      <formula>"PTO"</formula>
    </cfRule>
  </conditionalFormatting>
  <conditionalFormatting sqref="O26">
    <cfRule type="cellIs" dxfId="20894" priority="7049" operator="equal">
      <formula>"OFF"</formula>
    </cfRule>
    <cfRule type="cellIs" dxfId="20893" priority="7050" operator="equal">
      <formula>"PTO"</formula>
    </cfRule>
  </conditionalFormatting>
  <conditionalFormatting sqref="O26">
    <cfRule type="cellIs" dxfId="20892" priority="7047" operator="equal">
      <formula>"OFF"</formula>
    </cfRule>
    <cfRule type="cellIs" dxfId="20891" priority="7048" operator="equal">
      <formula>"PTO"</formula>
    </cfRule>
  </conditionalFormatting>
  <conditionalFormatting sqref="O26">
    <cfRule type="cellIs" dxfId="20890" priority="7045" operator="equal">
      <formula>"OFF"</formula>
    </cfRule>
    <cfRule type="cellIs" dxfId="20889" priority="7046" operator="equal">
      <formula>"PTO"</formula>
    </cfRule>
  </conditionalFormatting>
  <conditionalFormatting sqref="O26">
    <cfRule type="cellIs" dxfId="20888" priority="7043" operator="equal">
      <formula>"OFF"</formula>
    </cfRule>
    <cfRule type="cellIs" dxfId="20887" priority="7044" operator="equal">
      <formula>"PTO"</formula>
    </cfRule>
  </conditionalFormatting>
  <conditionalFormatting sqref="O27">
    <cfRule type="cellIs" dxfId="20886" priority="7041" operator="equal">
      <formula>"OFF"</formula>
    </cfRule>
    <cfRule type="cellIs" dxfId="20885" priority="7042" operator="equal">
      <formula>"PTO"</formula>
    </cfRule>
  </conditionalFormatting>
  <conditionalFormatting sqref="O27">
    <cfRule type="cellIs" dxfId="20884" priority="7039" operator="equal">
      <formula>"OFF"</formula>
    </cfRule>
    <cfRule type="cellIs" dxfId="20883" priority="7040" operator="equal">
      <formula>"PTO"</formula>
    </cfRule>
  </conditionalFormatting>
  <conditionalFormatting sqref="O27">
    <cfRule type="cellIs" dxfId="20882" priority="7037" operator="equal">
      <formula>"OFF"</formula>
    </cfRule>
    <cfRule type="cellIs" dxfId="20881" priority="7038" operator="equal">
      <formula>"PTO"</formula>
    </cfRule>
  </conditionalFormatting>
  <conditionalFormatting sqref="O27">
    <cfRule type="cellIs" dxfId="20880" priority="7035" operator="equal">
      <formula>"OFF"</formula>
    </cfRule>
    <cfRule type="cellIs" dxfId="20879" priority="7036" operator="equal">
      <formula>"PTO"</formula>
    </cfRule>
  </conditionalFormatting>
  <conditionalFormatting sqref="O27">
    <cfRule type="cellIs" dxfId="20878" priority="7033" operator="equal">
      <formula>"OFF"</formula>
    </cfRule>
    <cfRule type="cellIs" dxfId="20877" priority="7034" operator="equal">
      <formula>"PTO"</formula>
    </cfRule>
  </conditionalFormatting>
  <conditionalFormatting sqref="O27">
    <cfRule type="cellIs" dxfId="20876" priority="7031" operator="equal">
      <formula>"OFF"</formula>
    </cfRule>
    <cfRule type="cellIs" dxfId="20875" priority="7032" operator="equal">
      <formula>"PTO"</formula>
    </cfRule>
  </conditionalFormatting>
  <conditionalFormatting sqref="O27">
    <cfRule type="cellIs" dxfId="20874" priority="7029" operator="equal">
      <formula>"OFF"</formula>
    </cfRule>
    <cfRule type="cellIs" dxfId="20873" priority="7030" operator="equal">
      <formula>"PTO"</formula>
    </cfRule>
  </conditionalFormatting>
  <conditionalFormatting sqref="O27">
    <cfRule type="cellIs" dxfId="20872" priority="7027" operator="equal">
      <formula>"OFF"</formula>
    </cfRule>
    <cfRule type="cellIs" dxfId="20871" priority="7028" operator="equal">
      <formula>"PTO"</formula>
    </cfRule>
  </conditionalFormatting>
  <conditionalFormatting sqref="O26">
    <cfRule type="cellIs" dxfId="20870" priority="7025" operator="equal">
      <formula>"OFF"</formula>
    </cfRule>
    <cfRule type="cellIs" dxfId="20869" priority="7026" operator="equal">
      <formula>"PTO"</formula>
    </cfRule>
  </conditionalFormatting>
  <conditionalFormatting sqref="O26">
    <cfRule type="cellIs" dxfId="20868" priority="7023" operator="equal">
      <formula>"OFF"</formula>
    </cfRule>
    <cfRule type="cellIs" dxfId="20867" priority="7024" operator="equal">
      <formula>"PTO"</formula>
    </cfRule>
  </conditionalFormatting>
  <conditionalFormatting sqref="O26">
    <cfRule type="cellIs" dxfId="20866" priority="7021" operator="equal">
      <formula>"OFF"</formula>
    </cfRule>
    <cfRule type="cellIs" dxfId="20865" priority="7022" operator="equal">
      <formula>"PTO"</formula>
    </cfRule>
  </conditionalFormatting>
  <conditionalFormatting sqref="O26">
    <cfRule type="cellIs" dxfId="20864" priority="7019" operator="equal">
      <formula>"OFF"</formula>
    </cfRule>
    <cfRule type="cellIs" dxfId="20863" priority="7020" operator="equal">
      <formula>"PTO"</formula>
    </cfRule>
  </conditionalFormatting>
  <conditionalFormatting sqref="O26">
    <cfRule type="cellIs" dxfId="20862" priority="7017" operator="equal">
      <formula>"OFF"</formula>
    </cfRule>
    <cfRule type="cellIs" dxfId="20861" priority="7018" operator="equal">
      <formula>"PTO"</formula>
    </cfRule>
  </conditionalFormatting>
  <conditionalFormatting sqref="O26">
    <cfRule type="cellIs" dxfId="20860" priority="7015" operator="equal">
      <formula>"OFF"</formula>
    </cfRule>
    <cfRule type="cellIs" dxfId="20859" priority="7016" operator="equal">
      <formula>"PTO"</formula>
    </cfRule>
  </conditionalFormatting>
  <conditionalFormatting sqref="O26">
    <cfRule type="cellIs" dxfId="20858" priority="7013" operator="equal">
      <formula>"OFF"</formula>
    </cfRule>
    <cfRule type="cellIs" dxfId="20857" priority="7014" operator="equal">
      <formula>"PTO"</formula>
    </cfRule>
  </conditionalFormatting>
  <conditionalFormatting sqref="O26">
    <cfRule type="cellIs" dxfId="20856" priority="7011" operator="equal">
      <formula>"OFF"</formula>
    </cfRule>
    <cfRule type="cellIs" dxfId="20855" priority="7012" operator="equal">
      <formula>"PTO"</formula>
    </cfRule>
  </conditionalFormatting>
  <conditionalFormatting sqref="O27">
    <cfRule type="cellIs" dxfId="20854" priority="7009" operator="equal">
      <formula>"OFF"</formula>
    </cfRule>
    <cfRule type="cellIs" dxfId="20853" priority="7010" operator="equal">
      <formula>"PTO"</formula>
    </cfRule>
  </conditionalFormatting>
  <conditionalFormatting sqref="O27">
    <cfRule type="cellIs" dxfId="20852" priority="7007" operator="equal">
      <formula>"OFF"</formula>
    </cfRule>
    <cfRule type="cellIs" dxfId="20851" priority="7008" operator="equal">
      <formula>"PTO"</formula>
    </cfRule>
  </conditionalFormatting>
  <conditionalFormatting sqref="O27">
    <cfRule type="cellIs" dxfId="20850" priority="7005" operator="equal">
      <formula>"OFF"</formula>
    </cfRule>
    <cfRule type="cellIs" dxfId="20849" priority="7006" operator="equal">
      <formula>"PTO"</formula>
    </cfRule>
  </conditionalFormatting>
  <conditionalFormatting sqref="O27">
    <cfRule type="cellIs" dxfId="20848" priority="7003" operator="equal">
      <formula>"OFF"</formula>
    </cfRule>
    <cfRule type="cellIs" dxfId="20847" priority="7004" operator="equal">
      <formula>"PTO"</formula>
    </cfRule>
  </conditionalFormatting>
  <conditionalFormatting sqref="O27">
    <cfRule type="cellIs" dxfId="20846" priority="7001" operator="equal">
      <formula>"OFF"</formula>
    </cfRule>
    <cfRule type="cellIs" dxfId="20845" priority="7002" operator="equal">
      <formula>"PTO"</formula>
    </cfRule>
  </conditionalFormatting>
  <conditionalFormatting sqref="O27">
    <cfRule type="cellIs" dxfId="20844" priority="6999" operator="equal">
      <formula>"OFF"</formula>
    </cfRule>
    <cfRule type="cellIs" dxfId="20843" priority="7000" operator="equal">
      <formula>"PTO"</formula>
    </cfRule>
  </conditionalFormatting>
  <conditionalFormatting sqref="O27">
    <cfRule type="cellIs" dxfId="20842" priority="6997" operator="equal">
      <formula>"OFF"</formula>
    </cfRule>
    <cfRule type="cellIs" dxfId="20841" priority="6998" operator="equal">
      <formula>"PTO"</formula>
    </cfRule>
  </conditionalFormatting>
  <conditionalFormatting sqref="O27">
    <cfRule type="cellIs" dxfId="20840" priority="6995" operator="equal">
      <formula>"OFF"</formula>
    </cfRule>
    <cfRule type="cellIs" dxfId="20839" priority="6996" operator="equal">
      <formula>"PTO"</formula>
    </cfRule>
  </conditionalFormatting>
  <conditionalFormatting sqref="O26">
    <cfRule type="cellIs" dxfId="20838" priority="6993" operator="equal">
      <formula>"OFF"</formula>
    </cfRule>
    <cfRule type="cellIs" dxfId="20837" priority="6994" operator="equal">
      <formula>"PTO"</formula>
    </cfRule>
  </conditionalFormatting>
  <conditionalFormatting sqref="O26">
    <cfRule type="cellIs" dxfId="20836" priority="6991" operator="equal">
      <formula>"OFF"</formula>
    </cfRule>
    <cfRule type="cellIs" dxfId="20835" priority="6992" operator="equal">
      <formula>"PTO"</formula>
    </cfRule>
  </conditionalFormatting>
  <conditionalFormatting sqref="O26">
    <cfRule type="cellIs" dxfId="20834" priority="6989" operator="equal">
      <formula>"OFF"</formula>
    </cfRule>
    <cfRule type="cellIs" dxfId="20833" priority="6990" operator="equal">
      <formula>"PTO"</formula>
    </cfRule>
  </conditionalFormatting>
  <conditionalFormatting sqref="O26">
    <cfRule type="cellIs" dxfId="20832" priority="6987" operator="equal">
      <formula>"OFF"</formula>
    </cfRule>
    <cfRule type="cellIs" dxfId="20831" priority="6988" operator="equal">
      <formula>"PTO"</formula>
    </cfRule>
  </conditionalFormatting>
  <conditionalFormatting sqref="O26">
    <cfRule type="cellIs" dxfId="20830" priority="6985" operator="equal">
      <formula>"OFF"</formula>
    </cfRule>
    <cfRule type="cellIs" dxfId="20829" priority="6986" operator="equal">
      <formula>"PTO"</formula>
    </cfRule>
  </conditionalFormatting>
  <conditionalFormatting sqref="O26">
    <cfRule type="cellIs" dxfId="20828" priority="6983" operator="equal">
      <formula>"OFF"</formula>
    </cfRule>
    <cfRule type="cellIs" dxfId="20827" priority="6984" operator="equal">
      <formula>"PTO"</formula>
    </cfRule>
  </conditionalFormatting>
  <conditionalFormatting sqref="O26">
    <cfRule type="cellIs" dxfId="20826" priority="6981" operator="equal">
      <formula>"OFF"</formula>
    </cfRule>
    <cfRule type="cellIs" dxfId="20825" priority="6982" operator="equal">
      <formula>"PTO"</formula>
    </cfRule>
  </conditionalFormatting>
  <conditionalFormatting sqref="O26">
    <cfRule type="cellIs" dxfId="20824" priority="6979" operator="equal">
      <formula>"OFF"</formula>
    </cfRule>
    <cfRule type="cellIs" dxfId="20823" priority="6980" operator="equal">
      <formula>"PTO"</formula>
    </cfRule>
  </conditionalFormatting>
  <conditionalFormatting sqref="O27">
    <cfRule type="cellIs" dxfId="20822" priority="6977" operator="equal">
      <formula>"OFF"</formula>
    </cfRule>
    <cfRule type="cellIs" dxfId="20821" priority="6978" operator="equal">
      <formula>"PTO"</formula>
    </cfRule>
  </conditionalFormatting>
  <conditionalFormatting sqref="O27">
    <cfRule type="cellIs" dxfId="20820" priority="6975" operator="equal">
      <formula>"OFF"</formula>
    </cfRule>
    <cfRule type="cellIs" dxfId="20819" priority="6976" operator="equal">
      <formula>"PTO"</formula>
    </cfRule>
  </conditionalFormatting>
  <conditionalFormatting sqref="O27">
    <cfRule type="cellIs" dxfId="20818" priority="6973" operator="equal">
      <formula>"OFF"</formula>
    </cfRule>
    <cfRule type="cellIs" dxfId="20817" priority="6974" operator="equal">
      <formula>"PTO"</formula>
    </cfRule>
  </conditionalFormatting>
  <conditionalFormatting sqref="O27">
    <cfRule type="cellIs" dxfId="20816" priority="6971" operator="equal">
      <formula>"OFF"</formula>
    </cfRule>
    <cfRule type="cellIs" dxfId="20815" priority="6972" operator="equal">
      <formula>"PTO"</formula>
    </cfRule>
  </conditionalFormatting>
  <conditionalFormatting sqref="O27">
    <cfRule type="cellIs" dxfId="20814" priority="6969" operator="equal">
      <formula>"OFF"</formula>
    </cfRule>
    <cfRule type="cellIs" dxfId="20813" priority="6970" operator="equal">
      <formula>"PTO"</formula>
    </cfRule>
  </conditionalFormatting>
  <conditionalFormatting sqref="O27">
    <cfRule type="cellIs" dxfId="20812" priority="6967" operator="equal">
      <formula>"OFF"</formula>
    </cfRule>
    <cfRule type="cellIs" dxfId="20811" priority="6968" operator="equal">
      <formula>"PTO"</formula>
    </cfRule>
  </conditionalFormatting>
  <conditionalFormatting sqref="O27">
    <cfRule type="cellIs" dxfId="20810" priority="6965" operator="equal">
      <formula>"OFF"</formula>
    </cfRule>
    <cfRule type="cellIs" dxfId="20809" priority="6966" operator="equal">
      <formula>"PTO"</formula>
    </cfRule>
  </conditionalFormatting>
  <conditionalFormatting sqref="O27">
    <cfRule type="cellIs" dxfId="20808" priority="6963" operator="equal">
      <formula>"OFF"</formula>
    </cfRule>
    <cfRule type="cellIs" dxfId="20807" priority="6964" operator="equal">
      <formula>"PTO"</formula>
    </cfRule>
  </conditionalFormatting>
  <conditionalFormatting sqref="O26">
    <cfRule type="cellIs" dxfId="20806" priority="6961" operator="equal">
      <formula>"OFF"</formula>
    </cfRule>
    <cfRule type="cellIs" dxfId="20805" priority="6962" operator="equal">
      <formula>"PTO"</formula>
    </cfRule>
  </conditionalFormatting>
  <conditionalFormatting sqref="O26">
    <cfRule type="cellIs" dxfId="20804" priority="6959" operator="equal">
      <formula>"OFF"</formula>
    </cfRule>
    <cfRule type="cellIs" dxfId="20803" priority="6960" operator="equal">
      <formula>"PTO"</formula>
    </cfRule>
  </conditionalFormatting>
  <conditionalFormatting sqref="O26">
    <cfRule type="cellIs" dxfId="20802" priority="6957" operator="equal">
      <formula>"OFF"</formula>
    </cfRule>
    <cfRule type="cellIs" dxfId="20801" priority="6958" operator="equal">
      <formula>"PTO"</formula>
    </cfRule>
  </conditionalFormatting>
  <conditionalFormatting sqref="O26">
    <cfRule type="cellIs" dxfId="20800" priority="6955" operator="equal">
      <formula>"OFF"</formula>
    </cfRule>
    <cfRule type="cellIs" dxfId="20799" priority="6956" operator="equal">
      <formula>"PTO"</formula>
    </cfRule>
  </conditionalFormatting>
  <conditionalFormatting sqref="O26">
    <cfRule type="cellIs" dxfId="20798" priority="6953" operator="equal">
      <formula>"OFF"</formula>
    </cfRule>
    <cfRule type="cellIs" dxfId="20797" priority="6954" operator="equal">
      <formula>"PTO"</formula>
    </cfRule>
  </conditionalFormatting>
  <conditionalFormatting sqref="O26">
    <cfRule type="cellIs" dxfId="20796" priority="6951" operator="equal">
      <formula>"OFF"</formula>
    </cfRule>
    <cfRule type="cellIs" dxfId="20795" priority="6952" operator="equal">
      <formula>"PTO"</formula>
    </cfRule>
  </conditionalFormatting>
  <conditionalFormatting sqref="O26">
    <cfRule type="cellIs" dxfId="20794" priority="6949" operator="equal">
      <formula>"OFF"</formula>
    </cfRule>
    <cfRule type="cellIs" dxfId="20793" priority="6950" operator="equal">
      <formula>"PTO"</formula>
    </cfRule>
  </conditionalFormatting>
  <conditionalFormatting sqref="O26">
    <cfRule type="cellIs" dxfId="20792" priority="6947" operator="equal">
      <formula>"OFF"</formula>
    </cfRule>
    <cfRule type="cellIs" dxfId="20791" priority="6948" operator="equal">
      <formula>"PTO"</formula>
    </cfRule>
  </conditionalFormatting>
  <conditionalFormatting sqref="O27">
    <cfRule type="cellIs" dxfId="20790" priority="6945" operator="equal">
      <formula>"OFF"</formula>
    </cfRule>
    <cfRule type="cellIs" dxfId="20789" priority="6946" operator="equal">
      <formula>"PTO"</formula>
    </cfRule>
  </conditionalFormatting>
  <conditionalFormatting sqref="O27">
    <cfRule type="cellIs" dxfId="20788" priority="6943" operator="equal">
      <formula>"OFF"</formula>
    </cfRule>
    <cfRule type="cellIs" dxfId="20787" priority="6944" operator="equal">
      <formula>"PTO"</formula>
    </cfRule>
  </conditionalFormatting>
  <conditionalFormatting sqref="O27">
    <cfRule type="cellIs" dxfId="20786" priority="6941" operator="equal">
      <formula>"OFF"</formula>
    </cfRule>
    <cfRule type="cellIs" dxfId="20785" priority="6942" operator="equal">
      <formula>"PTO"</formula>
    </cfRule>
  </conditionalFormatting>
  <conditionalFormatting sqref="O27">
    <cfRule type="cellIs" dxfId="20784" priority="6939" operator="equal">
      <formula>"OFF"</formula>
    </cfRule>
    <cfRule type="cellIs" dxfId="20783" priority="6940" operator="equal">
      <formula>"PTO"</formula>
    </cfRule>
  </conditionalFormatting>
  <conditionalFormatting sqref="O27">
    <cfRule type="cellIs" dxfId="20782" priority="6937" operator="equal">
      <formula>"OFF"</formula>
    </cfRule>
    <cfRule type="cellIs" dxfId="20781" priority="6938" operator="equal">
      <formula>"PTO"</formula>
    </cfRule>
  </conditionalFormatting>
  <conditionalFormatting sqref="O27">
    <cfRule type="cellIs" dxfId="20780" priority="6935" operator="equal">
      <formula>"OFF"</formula>
    </cfRule>
    <cfRule type="cellIs" dxfId="20779" priority="6936" operator="equal">
      <formula>"PTO"</formula>
    </cfRule>
  </conditionalFormatting>
  <conditionalFormatting sqref="O27">
    <cfRule type="cellIs" dxfId="20778" priority="6933" operator="equal">
      <formula>"OFF"</formula>
    </cfRule>
    <cfRule type="cellIs" dxfId="20777" priority="6934" operator="equal">
      <formula>"PTO"</formula>
    </cfRule>
  </conditionalFormatting>
  <conditionalFormatting sqref="O27">
    <cfRule type="cellIs" dxfId="20776" priority="6931" operator="equal">
      <formula>"OFF"</formula>
    </cfRule>
    <cfRule type="cellIs" dxfId="20775" priority="6932" operator="equal">
      <formula>"PTO"</formula>
    </cfRule>
  </conditionalFormatting>
  <conditionalFormatting sqref="O29">
    <cfRule type="cellIs" dxfId="20774" priority="6929" operator="equal">
      <formula>"OFF"</formula>
    </cfRule>
    <cfRule type="cellIs" dxfId="20773" priority="6930" operator="equal">
      <formula>"PTO"</formula>
    </cfRule>
  </conditionalFormatting>
  <conditionalFormatting sqref="O29">
    <cfRule type="cellIs" dxfId="20772" priority="6927" operator="equal">
      <formula>"OFF"</formula>
    </cfRule>
    <cfRule type="cellIs" dxfId="20771" priority="6928" operator="equal">
      <formula>"PTO"</formula>
    </cfRule>
  </conditionalFormatting>
  <conditionalFormatting sqref="O29">
    <cfRule type="cellIs" dxfId="20770" priority="6925" operator="equal">
      <formula>"OFF"</formula>
    </cfRule>
    <cfRule type="cellIs" dxfId="20769" priority="6926" operator="equal">
      <formula>"PTO"</formula>
    </cfRule>
  </conditionalFormatting>
  <conditionalFormatting sqref="O29">
    <cfRule type="cellIs" dxfId="20768" priority="6923" operator="equal">
      <formula>"OFF"</formula>
    </cfRule>
    <cfRule type="cellIs" dxfId="20767" priority="6924" operator="equal">
      <formula>"PTO"</formula>
    </cfRule>
  </conditionalFormatting>
  <conditionalFormatting sqref="O29">
    <cfRule type="cellIs" dxfId="20766" priority="6921" operator="equal">
      <formula>"OFF"</formula>
    </cfRule>
    <cfRule type="cellIs" dxfId="20765" priority="6922" operator="equal">
      <formula>"PTO"</formula>
    </cfRule>
  </conditionalFormatting>
  <conditionalFormatting sqref="O29">
    <cfRule type="cellIs" dxfId="20764" priority="6919" operator="equal">
      <formula>"OFF"</formula>
    </cfRule>
    <cfRule type="cellIs" dxfId="20763" priority="6920" operator="equal">
      <formula>"PTO"</formula>
    </cfRule>
  </conditionalFormatting>
  <conditionalFormatting sqref="O29">
    <cfRule type="cellIs" dxfId="20762" priority="6917" operator="equal">
      <formula>"OFF"</formula>
    </cfRule>
    <cfRule type="cellIs" dxfId="20761" priority="6918" operator="equal">
      <formula>"PTO"</formula>
    </cfRule>
  </conditionalFormatting>
  <conditionalFormatting sqref="O29">
    <cfRule type="cellIs" dxfId="20760" priority="6915" operator="equal">
      <formula>"OFF"</formula>
    </cfRule>
    <cfRule type="cellIs" dxfId="20759" priority="6916" operator="equal">
      <formula>"PTO"</formula>
    </cfRule>
  </conditionalFormatting>
  <conditionalFormatting sqref="O29">
    <cfRule type="cellIs" dxfId="20758" priority="6913" operator="equal">
      <formula>"OFF"</formula>
    </cfRule>
    <cfRule type="cellIs" dxfId="20757" priority="6914" operator="equal">
      <formula>"PTO"</formula>
    </cfRule>
  </conditionalFormatting>
  <conditionalFormatting sqref="O29">
    <cfRule type="cellIs" dxfId="20756" priority="6911" operator="equal">
      <formula>"OFF"</formula>
    </cfRule>
    <cfRule type="cellIs" dxfId="20755" priority="6912" operator="equal">
      <formula>"PTO"</formula>
    </cfRule>
  </conditionalFormatting>
  <conditionalFormatting sqref="O29">
    <cfRule type="cellIs" dxfId="20754" priority="6909" operator="equal">
      <formula>"OFF"</formula>
    </cfRule>
    <cfRule type="cellIs" dxfId="20753" priority="6910" operator="equal">
      <formula>"PTO"</formula>
    </cfRule>
  </conditionalFormatting>
  <conditionalFormatting sqref="O29">
    <cfRule type="cellIs" dxfId="20752" priority="6907" operator="equal">
      <formula>"OFF"</formula>
    </cfRule>
    <cfRule type="cellIs" dxfId="20751" priority="6908" operator="equal">
      <formula>"PTO"</formula>
    </cfRule>
  </conditionalFormatting>
  <conditionalFormatting sqref="O29">
    <cfRule type="cellIs" dxfId="20750" priority="6905" operator="equal">
      <formula>"OFF"</formula>
    </cfRule>
    <cfRule type="cellIs" dxfId="20749" priority="6906" operator="equal">
      <formula>"PTO"</formula>
    </cfRule>
  </conditionalFormatting>
  <conditionalFormatting sqref="O29">
    <cfRule type="cellIs" dxfId="20748" priority="6903" operator="equal">
      <formula>"OFF"</formula>
    </cfRule>
    <cfRule type="cellIs" dxfId="20747" priority="6904" operator="equal">
      <formula>"PTO"</formula>
    </cfRule>
  </conditionalFormatting>
  <conditionalFormatting sqref="O29">
    <cfRule type="cellIs" dxfId="20746" priority="6901" operator="equal">
      <formula>"OFF"</formula>
    </cfRule>
    <cfRule type="cellIs" dxfId="20745" priority="6902" operator="equal">
      <formula>"PTO"</formula>
    </cfRule>
  </conditionalFormatting>
  <conditionalFormatting sqref="O29">
    <cfRule type="cellIs" dxfId="20744" priority="6899" operator="equal">
      <formula>"OFF"</formula>
    </cfRule>
    <cfRule type="cellIs" dxfId="20743" priority="6900" operator="equal">
      <formula>"PTO"</formula>
    </cfRule>
  </conditionalFormatting>
  <conditionalFormatting sqref="O29">
    <cfRule type="cellIs" dxfId="20742" priority="6897" operator="equal">
      <formula>"OFF"</formula>
    </cfRule>
    <cfRule type="cellIs" dxfId="20741" priority="6898" operator="equal">
      <formula>"PTO"</formula>
    </cfRule>
  </conditionalFormatting>
  <conditionalFormatting sqref="O29">
    <cfRule type="cellIs" dxfId="20740" priority="6895" operator="equal">
      <formula>"OFF"</formula>
    </cfRule>
    <cfRule type="cellIs" dxfId="20739" priority="6896" operator="equal">
      <formula>"PTO"</formula>
    </cfRule>
  </conditionalFormatting>
  <conditionalFormatting sqref="O29">
    <cfRule type="cellIs" dxfId="20738" priority="6893" operator="equal">
      <formula>"OFF"</formula>
    </cfRule>
    <cfRule type="cellIs" dxfId="20737" priority="6894" operator="equal">
      <formula>"PTO"</formula>
    </cfRule>
  </conditionalFormatting>
  <conditionalFormatting sqref="O29">
    <cfRule type="cellIs" dxfId="20736" priority="6891" operator="equal">
      <formula>"OFF"</formula>
    </cfRule>
    <cfRule type="cellIs" dxfId="20735" priority="6892" operator="equal">
      <formula>"PTO"</formula>
    </cfRule>
  </conditionalFormatting>
  <conditionalFormatting sqref="O29">
    <cfRule type="cellIs" dxfId="20734" priority="6889" operator="equal">
      <formula>"OFF"</formula>
    </cfRule>
    <cfRule type="cellIs" dxfId="20733" priority="6890" operator="equal">
      <formula>"PTO"</formula>
    </cfRule>
  </conditionalFormatting>
  <conditionalFormatting sqref="O29">
    <cfRule type="cellIs" dxfId="20732" priority="6887" operator="equal">
      <formula>"OFF"</formula>
    </cfRule>
    <cfRule type="cellIs" dxfId="20731" priority="6888" operator="equal">
      <formula>"PTO"</formula>
    </cfRule>
  </conditionalFormatting>
  <conditionalFormatting sqref="O29">
    <cfRule type="cellIs" dxfId="20730" priority="6885" operator="equal">
      <formula>"OFF"</formula>
    </cfRule>
    <cfRule type="cellIs" dxfId="20729" priority="6886" operator="equal">
      <formula>"PTO"</formula>
    </cfRule>
  </conditionalFormatting>
  <conditionalFormatting sqref="O29">
    <cfRule type="cellIs" dxfId="20728" priority="6883" operator="equal">
      <formula>"OFF"</formula>
    </cfRule>
    <cfRule type="cellIs" dxfId="20727" priority="6884" operator="equal">
      <formula>"PTO"</formula>
    </cfRule>
  </conditionalFormatting>
  <conditionalFormatting sqref="O29">
    <cfRule type="cellIs" dxfId="20726" priority="6881" operator="equal">
      <formula>"OFF"</formula>
    </cfRule>
    <cfRule type="cellIs" dxfId="20725" priority="6882" operator="equal">
      <formula>"PTO"</formula>
    </cfRule>
  </conditionalFormatting>
  <conditionalFormatting sqref="O29">
    <cfRule type="cellIs" dxfId="20724" priority="6879" operator="equal">
      <formula>"OFF"</formula>
    </cfRule>
    <cfRule type="cellIs" dxfId="20723" priority="6880" operator="equal">
      <formula>"PTO"</formula>
    </cfRule>
  </conditionalFormatting>
  <conditionalFormatting sqref="O29">
    <cfRule type="cellIs" dxfId="20722" priority="6877" operator="equal">
      <formula>"OFF"</formula>
    </cfRule>
    <cfRule type="cellIs" dxfId="20721" priority="6878" operator="equal">
      <formula>"PTO"</formula>
    </cfRule>
  </conditionalFormatting>
  <conditionalFormatting sqref="O29">
    <cfRule type="cellIs" dxfId="20720" priority="6875" operator="equal">
      <formula>"OFF"</formula>
    </cfRule>
    <cfRule type="cellIs" dxfId="20719" priority="6876" operator="equal">
      <formula>"PTO"</formula>
    </cfRule>
  </conditionalFormatting>
  <conditionalFormatting sqref="O29">
    <cfRule type="cellIs" dxfId="20718" priority="6873" operator="equal">
      <formula>"OFF"</formula>
    </cfRule>
    <cfRule type="cellIs" dxfId="20717" priority="6874" operator="equal">
      <formula>"PTO"</formula>
    </cfRule>
  </conditionalFormatting>
  <conditionalFormatting sqref="O29">
    <cfRule type="cellIs" dxfId="20716" priority="6871" operator="equal">
      <formula>"OFF"</formula>
    </cfRule>
    <cfRule type="cellIs" dxfId="20715" priority="6872" operator="equal">
      <formula>"PTO"</formula>
    </cfRule>
  </conditionalFormatting>
  <conditionalFormatting sqref="O29">
    <cfRule type="cellIs" dxfId="20714" priority="6869" operator="equal">
      <formula>"OFF"</formula>
    </cfRule>
    <cfRule type="cellIs" dxfId="20713" priority="6870" operator="equal">
      <formula>"PTO"</formula>
    </cfRule>
  </conditionalFormatting>
  <conditionalFormatting sqref="O29">
    <cfRule type="cellIs" dxfId="20712" priority="6867" operator="equal">
      <formula>"OFF"</formula>
    </cfRule>
    <cfRule type="cellIs" dxfId="20711" priority="6868" operator="equal">
      <formula>"PTO"</formula>
    </cfRule>
  </conditionalFormatting>
  <conditionalFormatting sqref="O29">
    <cfRule type="cellIs" dxfId="20710" priority="6865" operator="equal">
      <formula>"OFF"</formula>
    </cfRule>
    <cfRule type="cellIs" dxfId="20709" priority="6866" operator="equal">
      <formula>"PTO"</formula>
    </cfRule>
  </conditionalFormatting>
  <conditionalFormatting sqref="O29">
    <cfRule type="cellIs" dxfId="20708" priority="6863" operator="equal">
      <formula>"OFF"</formula>
    </cfRule>
    <cfRule type="cellIs" dxfId="20707" priority="6864" operator="equal">
      <formula>"PTO"</formula>
    </cfRule>
  </conditionalFormatting>
  <conditionalFormatting sqref="O29">
    <cfRule type="cellIs" dxfId="20706" priority="6861" operator="equal">
      <formula>"OFF"</formula>
    </cfRule>
    <cfRule type="cellIs" dxfId="20705" priority="6862" operator="equal">
      <formula>"PTO"</formula>
    </cfRule>
  </conditionalFormatting>
  <conditionalFormatting sqref="O29">
    <cfRule type="cellIs" dxfId="20704" priority="6859" operator="equal">
      <formula>"OFF"</formula>
    </cfRule>
    <cfRule type="cellIs" dxfId="20703" priority="6860" operator="equal">
      <formula>"PTO"</formula>
    </cfRule>
  </conditionalFormatting>
  <conditionalFormatting sqref="O29">
    <cfRule type="cellIs" dxfId="20702" priority="6857" operator="equal">
      <formula>"OFF"</formula>
    </cfRule>
    <cfRule type="cellIs" dxfId="20701" priority="6858" operator="equal">
      <formula>"PTO"</formula>
    </cfRule>
  </conditionalFormatting>
  <conditionalFormatting sqref="O29">
    <cfRule type="cellIs" dxfId="20700" priority="6855" operator="equal">
      <formula>"OFF"</formula>
    </cfRule>
    <cfRule type="cellIs" dxfId="20699" priority="6856" operator="equal">
      <formula>"PTO"</formula>
    </cfRule>
  </conditionalFormatting>
  <conditionalFormatting sqref="O29">
    <cfRule type="cellIs" dxfId="20698" priority="6853" operator="equal">
      <formula>"OFF"</formula>
    </cfRule>
    <cfRule type="cellIs" dxfId="20697" priority="6854" operator="equal">
      <formula>"PTO"</formula>
    </cfRule>
  </conditionalFormatting>
  <conditionalFormatting sqref="O29">
    <cfRule type="cellIs" dxfId="20696" priority="6851" operator="equal">
      <formula>"OFF"</formula>
    </cfRule>
    <cfRule type="cellIs" dxfId="20695" priority="6852" operator="equal">
      <formula>"PTO"</formula>
    </cfRule>
  </conditionalFormatting>
  <conditionalFormatting sqref="O29">
    <cfRule type="cellIs" dxfId="20694" priority="6849" operator="equal">
      <formula>"OFF"</formula>
    </cfRule>
    <cfRule type="cellIs" dxfId="20693" priority="6850" operator="equal">
      <formula>"PTO"</formula>
    </cfRule>
  </conditionalFormatting>
  <conditionalFormatting sqref="O29">
    <cfRule type="cellIs" dxfId="20692" priority="6847" operator="equal">
      <formula>"OFF"</formula>
    </cfRule>
    <cfRule type="cellIs" dxfId="20691" priority="6848" operator="equal">
      <formula>"PTO"</formula>
    </cfRule>
  </conditionalFormatting>
  <conditionalFormatting sqref="O29">
    <cfRule type="cellIs" dxfId="20690" priority="6845" operator="equal">
      <formula>"OFF"</formula>
    </cfRule>
    <cfRule type="cellIs" dxfId="20689" priority="6846" operator="equal">
      <formula>"PTO"</formula>
    </cfRule>
  </conditionalFormatting>
  <conditionalFormatting sqref="O29">
    <cfRule type="cellIs" dxfId="20688" priority="6843" operator="equal">
      <formula>"OFF"</formula>
    </cfRule>
    <cfRule type="cellIs" dxfId="20687" priority="6844" operator="equal">
      <formula>"PTO"</formula>
    </cfRule>
  </conditionalFormatting>
  <conditionalFormatting sqref="O29">
    <cfRule type="cellIs" dxfId="20686" priority="6841" operator="equal">
      <formula>"OFF"</formula>
    </cfRule>
    <cfRule type="cellIs" dxfId="20685" priority="6842" operator="equal">
      <formula>"PTO"</formula>
    </cfRule>
  </conditionalFormatting>
  <conditionalFormatting sqref="O29">
    <cfRule type="cellIs" dxfId="20684" priority="6839" operator="equal">
      <formula>"OFF"</formula>
    </cfRule>
    <cfRule type="cellIs" dxfId="20683" priority="6840" operator="equal">
      <formula>"PTO"</formula>
    </cfRule>
  </conditionalFormatting>
  <conditionalFormatting sqref="O29">
    <cfRule type="cellIs" dxfId="20682" priority="6837" operator="equal">
      <formula>"OFF"</formula>
    </cfRule>
    <cfRule type="cellIs" dxfId="20681" priority="6838" operator="equal">
      <formula>"PTO"</formula>
    </cfRule>
  </conditionalFormatting>
  <conditionalFormatting sqref="O29">
    <cfRule type="cellIs" dxfId="20680" priority="6835" operator="equal">
      <formula>"OFF"</formula>
    </cfRule>
    <cfRule type="cellIs" dxfId="20679" priority="6836" operator="equal">
      <formula>"PTO"</formula>
    </cfRule>
  </conditionalFormatting>
  <conditionalFormatting sqref="O29">
    <cfRule type="cellIs" dxfId="20678" priority="6833" operator="equal">
      <formula>"OFF"</formula>
    </cfRule>
    <cfRule type="cellIs" dxfId="20677" priority="6834" operator="equal">
      <formula>"PTO"</formula>
    </cfRule>
  </conditionalFormatting>
  <conditionalFormatting sqref="O29">
    <cfRule type="cellIs" dxfId="20676" priority="6831" operator="equal">
      <formula>"OFF"</formula>
    </cfRule>
    <cfRule type="cellIs" dxfId="20675" priority="6832" operator="equal">
      <formula>"PTO"</formula>
    </cfRule>
  </conditionalFormatting>
  <conditionalFormatting sqref="O29">
    <cfRule type="cellIs" dxfId="20674" priority="6829" operator="equal">
      <formula>"OFF"</formula>
    </cfRule>
    <cfRule type="cellIs" dxfId="20673" priority="6830" operator="equal">
      <formula>"PTO"</formula>
    </cfRule>
  </conditionalFormatting>
  <conditionalFormatting sqref="O29">
    <cfRule type="cellIs" dxfId="20672" priority="6827" operator="equal">
      <formula>"OFF"</formula>
    </cfRule>
    <cfRule type="cellIs" dxfId="20671" priority="6828" operator="equal">
      <formula>"PTO"</formula>
    </cfRule>
  </conditionalFormatting>
  <conditionalFormatting sqref="O29">
    <cfRule type="cellIs" dxfId="20670" priority="6825" operator="equal">
      <formula>"OFF"</formula>
    </cfRule>
    <cfRule type="cellIs" dxfId="20669" priority="6826" operator="equal">
      <formula>"PTO"</formula>
    </cfRule>
  </conditionalFormatting>
  <conditionalFormatting sqref="O29">
    <cfRule type="cellIs" dxfId="20668" priority="6823" operator="equal">
      <formula>"OFF"</formula>
    </cfRule>
    <cfRule type="cellIs" dxfId="20667" priority="6824" operator="equal">
      <formula>"PTO"</formula>
    </cfRule>
  </conditionalFormatting>
  <conditionalFormatting sqref="O29">
    <cfRule type="cellIs" dxfId="20666" priority="6821" operator="equal">
      <formula>"OFF"</formula>
    </cfRule>
    <cfRule type="cellIs" dxfId="20665" priority="6822" operator="equal">
      <formula>"PTO"</formula>
    </cfRule>
  </conditionalFormatting>
  <conditionalFormatting sqref="O29">
    <cfRule type="cellIs" dxfId="20664" priority="6819" operator="equal">
      <formula>"OFF"</formula>
    </cfRule>
    <cfRule type="cellIs" dxfId="20663" priority="6820" operator="equal">
      <formula>"PTO"</formula>
    </cfRule>
  </conditionalFormatting>
  <conditionalFormatting sqref="O26:O27 O29:O39">
    <cfRule type="cellIs" dxfId="20662" priority="6817" operator="equal">
      <formula>"OFF"</formula>
    </cfRule>
    <cfRule type="cellIs" dxfId="20661" priority="6818" operator="equal">
      <formula>"PTO"</formula>
    </cfRule>
  </conditionalFormatting>
  <conditionalFormatting sqref="O26">
    <cfRule type="cellIs" dxfId="20660" priority="6815" operator="equal">
      <formula>"OFF"</formula>
    </cfRule>
    <cfRule type="cellIs" dxfId="20659" priority="6816" operator="equal">
      <formula>"PTO"</formula>
    </cfRule>
  </conditionalFormatting>
  <conditionalFormatting sqref="O26">
    <cfRule type="cellIs" dxfId="20658" priority="6813" operator="equal">
      <formula>"OFF"</formula>
    </cfRule>
    <cfRule type="cellIs" dxfId="20657" priority="6814" operator="equal">
      <formula>"PTO"</formula>
    </cfRule>
  </conditionalFormatting>
  <conditionalFormatting sqref="O26">
    <cfRule type="cellIs" dxfId="20656" priority="6811" operator="equal">
      <formula>"OFF"</formula>
    </cfRule>
    <cfRule type="cellIs" dxfId="20655" priority="6812" operator="equal">
      <formula>"PTO"</formula>
    </cfRule>
  </conditionalFormatting>
  <conditionalFormatting sqref="O26">
    <cfRule type="cellIs" dxfId="20654" priority="6809" operator="equal">
      <formula>"OFF"</formula>
    </cfRule>
    <cfRule type="cellIs" dxfId="20653" priority="6810" operator="equal">
      <formula>"PTO"</formula>
    </cfRule>
  </conditionalFormatting>
  <conditionalFormatting sqref="O26">
    <cfRule type="cellIs" dxfId="20652" priority="6807" operator="equal">
      <formula>"OFF"</formula>
    </cfRule>
    <cfRule type="cellIs" dxfId="20651" priority="6808" operator="equal">
      <formula>"PTO"</formula>
    </cfRule>
  </conditionalFormatting>
  <conditionalFormatting sqref="O26">
    <cfRule type="cellIs" dxfId="20650" priority="6805" operator="equal">
      <formula>"OFF"</formula>
    </cfRule>
    <cfRule type="cellIs" dxfId="20649" priority="6806" operator="equal">
      <formula>"PTO"</formula>
    </cfRule>
  </conditionalFormatting>
  <conditionalFormatting sqref="O26">
    <cfRule type="cellIs" dxfId="20648" priority="6803" operator="equal">
      <formula>"OFF"</formula>
    </cfRule>
    <cfRule type="cellIs" dxfId="20647" priority="6804" operator="equal">
      <formula>"PTO"</formula>
    </cfRule>
  </conditionalFormatting>
  <conditionalFormatting sqref="O26">
    <cfRule type="cellIs" dxfId="20646" priority="6801" operator="equal">
      <formula>"OFF"</formula>
    </cfRule>
    <cfRule type="cellIs" dxfId="20645" priority="6802" operator="equal">
      <formula>"PTO"</formula>
    </cfRule>
  </conditionalFormatting>
  <conditionalFormatting sqref="O27">
    <cfRule type="cellIs" dxfId="20644" priority="6799" operator="equal">
      <formula>"OFF"</formula>
    </cfRule>
    <cfRule type="cellIs" dxfId="20643" priority="6800" operator="equal">
      <formula>"PTO"</formula>
    </cfRule>
  </conditionalFormatting>
  <conditionalFormatting sqref="O27">
    <cfRule type="cellIs" dxfId="20642" priority="6797" operator="equal">
      <formula>"OFF"</formula>
    </cfRule>
    <cfRule type="cellIs" dxfId="20641" priority="6798" operator="equal">
      <formula>"PTO"</formula>
    </cfRule>
  </conditionalFormatting>
  <conditionalFormatting sqref="O27">
    <cfRule type="cellIs" dxfId="20640" priority="6795" operator="equal">
      <formula>"OFF"</formula>
    </cfRule>
    <cfRule type="cellIs" dxfId="20639" priority="6796" operator="equal">
      <formula>"PTO"</formula>
    </cfRule>
  </conditionalFormatting>
  <conditionalFormatting sqref="O27">
    <cfRule type="cellIs" dxfId="20638" priority="6793" operator="equal">
      <formula>"OFF"</formula>
    </cfRule>
    <cfRule type="cellIs" dxfId="20637" priority="6794" operator="equal">
      <formula>"PTO"</formula>
    </cfRule>
  </conditionalFormatting>
  <conditionalFormatting sqref="O27">
    <cfRule type="cellIs" dxfId="20636" priority="6791" operator="equal">
      <formula>"OFF"</formula>
    </cfRule>
    <cfRule type="cellIs" dxfId="20635" priority="6792" operator="equal">
      <formula>"PTO"</formula>
    </cfRule>
  </conditionalFormatting>
  <conditionalFormatting sqref="O27">
    <cfRule type="cellIs" dxfId="20634" priority="6789" operator="equal">
      <formula>"OFF"</formula>
    </cfRule>
    <cfRule type="cellIs" dxfId="20633" priority="6790" operator="equal">
      <formula>"PTO"</formula>
    </cfRule>
  </conditionalFormatting>
  <conditionalFormatting sqref="O27">
    <cfRule type="cellIs" dxfId="20632" priority="6787" operator="equal">
      <formula>"OFF"</formula>
    </cfRule>
    <cfRule type="cellIs" dxfId="20631" priority="6788" operator="equal">
      <formula>"PTO"</formula>
    </cfRule>
  </conditionalFormatting>
  <conditionalFormatting sqref="O27">
    <cfRule type="cellIs" dxfId="20630" priority="6785" operator="equal">
      <formula>"OFF"</formula>
    </cfRule>
    <cfRule type="cellIs" dxfId="20629" priority="6786" operator="equal">
      <formula>"PTO"</formula>
    </cfRule>
  </conditionalFormatting>
  <conditionalFormatting sqref="O26">
    <cfRule type="cellIs" dxfId="20628" priority="6783" operator="equal">
      <formula>"OFF"</formula>
    </cfRule>
    <cfRule type="cellIs" dxfId="20627" priority="6784" operator="equal">
      <formula>"PTO"</formula>
    </cfRule>
  </conditionalFormatting>
  <conditionalFormatting sqref="O26">
    <cfRule type="cellIs" dxfId="20626" priority="6781" operator="equal">
      <formula>"OFF"</formula>
    </cfRule>
    <cfRule type="cellIs" dxfId="20625" priority="6782" operator="equal">
      <formula>"PTO"</formula>
    </cfRule>
  </conditionalFormatting>
  <conditionalFormatting sqref="O26">
    <cfRule type="cellIs" dxfId="20624" priority="6779" operator="equal">
      <formula>"OFF"</formula>
    </cfRule>
    <cfRule type="cellIs" dxfId="20623" priority="6780" operator="equal">
      <formula>"PTO"</formula>
    </cfRule>
  </conditionalFormatting>
  <conditionalFormatting sqref="O26">
    <cfRule type="cellIs" dxfId="20622" priority="6777" operator="equal">
      <formula>"OFF"</formula>
    </cfRule>
    <cfRule type="cellIs" dxfId="20621" priority="6778" operator="equal">
      <formula>"PTO"</formula>
    </cfRule>
  </conditionalFormatting>
  <conditionalFormatting sqref="O26">
    <cfRule type="cellIs" dxfId="20620" priority="6775" operator="equal">
      <formula>"OFF"</formula>
    </cfRule>
    <cfRule type="cellIs" dxfId="20619" priority="6776" operator="equal">
      <formula>"PTO"</formula>
    </cfRule>
  </conditionalFormatting>
  <conditionalFormatting sqref="O26">
    <cfRule type="cellIs" dxfId="20618" priority="6773" operator="equal">
      <formula>"OFF"</formula>
    </cfRule>
    <cfRule type="cellIs" dxfId="20617" priority="6774" operator="equal">
      <formula>"PTO"</formula>
    </cfRule>
  </conditionalFormatting>
  <conditionalFormatting sqref="O26">
    <cfRule type="cellIs" dxfId="20616" priority="6771" operator="equal">
      <formula>"OFF"</formula>
    </cfRule>
    <cfRule type="cellIs" dxfId="20615" priority="6772" operator="equal">
      <formula>"PTO"</formula>
    </cfRule>
  </conditionalFormatting>
  <conditionalFormatting sqref="O26">
    <cfRule type="cellIs" dxfId="20614" priority="6769" operator="equal">
      <formula>"OFF"</formula>
    </cfRule>
    <cfRule type="cellIs" dxfId="20613" priority="6770" operator="equal">
      <formula>"PTO"</formula>
    </cfRule>
  </conditionalFormatting>
  <conditionalFormatting sqref="O27">
    <cfRule type="cellIs" dxfId="20612" priority="6767" operator="equal">
      <formula>"OFF"</formula>
    </cfRule>
    <cfRule type="cellIs" dxfId="20611" priority="6768" operator="equal">
      <formula>"PTO"</formula>
    </cfRule>
  </conditionalFormatting>
  <conditionalFormatting sqref="O27">
    <cfRule type="cellIs" dxfId="20610" priority="6765" operator="equal">
      <formula>"OFF"</formula>
    </cfRule>
    <cfRule type="cellIs" dxfId="20609" priority="6766" operator="equal">
      <formula>"PTO"</formula>
    </cfRule>
  </conditionalFormatting>
  <conditionalFormatting sqref="O27">
    <cfRule type="cellIs" dxfId="20608" priority="6763" operator="equal">
      <formula>"OFF"</formula>
    </cfRule>
    <cfRule type="cellIs" dxfId="20607" priority="6764" operator="equal">
      <formula>"PTO"</formula>
    </cfRule>
  </conditionalFormatting>
  <conditionalFormatting sqref="O27">
    <cfRule type="cellIs" dxfId="20606" priority="6761" operator="equal">
      <formula>"OFF"</formula>
    </cfRule>
    <cfRule type="cellIs" dxfId="20605" priority="6762" operator="equal">
      <formula>"PTO"</formula>
    </cfRule>
  </conditionalFormatting>
  <conditionalFormatting sqref="O27">
    <cfRule type="cellIs" dxfId="20604" priority="6759" operator="equal">
      <formula>"OFF"</formula>
    </cfRule>
    <cfRule type="cellIs" dxfId="20603" priority="6760" operator="equal">
      <formula>"PTO"</formula>
    </cfRule>
  </conditionalFormatting>
  <conditionalFormatting sqref="O27">
    <cfRule type="cellIs" dxfId="20602" priority="6757" operator="equal">
      <formula>"OFF"</formula>
    </cfRule>
    <cfRule type="cellIs" dxfId="20601" priority="6758" operator="equal">
      <formula>"PTO"</formula>
    </cfRule>
  </conditionalFormatting>
  <conditionalFormatting sqref="O27">
    <cfRule type="cellIs" dxfId="20600" priority="6755" operator="equal">
      <formula>"OFF"</formula>
    </cfRule>
    <cfRule type="cellIs" dxfId="20599" priority="6756" operator="equal">
      <formula>"PTO"</formula>
    </cfRule>
  </conditionalFormatting>
  <conditionalFormatting sqref="O27">
    <cfRule type="cellIs" dxfId="20598" priority="6753" operator="equal">
      <formula>"OFF"</formula>
    </cfRule>
    <cfRule type="cellIs" dxfId="20597" priority="6754" operator="equal">
      <formula>"PTO"</formula>
    </cfRule>
  </conditionalFormatting>
  <conditionalFormatting sqref="O26">
    <cfRule type="cellIs" dxfId="20596" priority="6751" operator="equal">
      <formula>"OFF"</formula>
    </cfRule>
    <cfRule type="cellIs" dxfId="20595" priority="6752" operator="equal">
      <formula>"PTO"</formula>
    </cfRule>
  </conditionalFormatting>
  <conditionalFormatting sqref="O26">
    <cfRule type="cellIs" dxfId="20594" priority="6749" operator="equal">
      <formula>"OFF"</formula>
    </cfRule>
    <cfRule type="cellIs" dxfId="20593" priority="6750" operator="equal">
      <formula>"PTO"</formula>
    </cfRule>
  </conditionalFormatting>
  <conditionalFormatting sqref="O26">
    <cfRule type="cellIs" dxfId="20592" priority="6747" operator="equal">
      <formula>"OFF"</formula>
    </cfRule>
    <cfRule type="cellIs" dxfId="20591" priority="6748" operator="equal">
      <formula>"PTO"</formula>
    </cfRule>
  </conditionalFormatting>
  <conditionalFormatting sqref="O26">
    <cfRule type="cellIs" dxfId="20590" priority="6745" operator="equal">
      <formula>"OFF"</formula>
    </cfRule>
    <cfRule type="cellIs" dxfId="20589" priority="6746" operator="equal">
      <formula>"PTO"</formula>
    </cfRule>
  </conditionalFormatting>
  <conditionalFormatting sqref="O26">
    <cfRule type="cellIs" dxfId="20588" priority="6743" operator="equal">
      <formula>"OFF"</formula>
    </cfRule>
    <cfRule type="cellIs" dxfId="20587" priority="6744" operator="equal">
      <formula>"PTO"</formula>
    </cfRule>
  </conditionalFormatting>
  <conditionalFormatting sqref="O26">
    <cfRule type="cellIs" dxfId="20586" priority="6741" operator="equal">
      <formula>"OFF"</formula>
    </cfRule>
    <cfRule type="cellIs" dxfId="20585" priority="6742" operator="equal">
      <formula>"PTO"</formula>
    </cfRule>
  </conditionalFormatting>
  <conditionalFormatting sqref="O26">
    <cfRule type="cellIs" dxfId="20584" priority="6739" operator="equal">
      <formula>"OFF"</formula>
    </cfRule>
    <cfRule type="cellIs" dxfId="20583" priority="6740" operator="equal">
      <formula>"PTO"</formula>
    </cfRule>
  </conditionalFormatting>
  <conditionalFormatting sqref="O26">
    <cfRule type="cellIs" dxfId="20582" priority="6737" operator="equal">
      <formula>"OFF"</formula>
    </cfRule>
    <cfRule type="cellIs" dxfId="20581" priority="6738" operator="equal">
      <formula>"PTO"</formula>
    </cfRule>
  </conditionalFormatting>
  <conditionalFormatting sqref="O27">
    <cfRule type="cellIs" dxfId="20580" priority="6735" operator="equal">
      <formula>"OFF"</formula>
    </cfRule>
    <cfRule type="cellIs" dxfId="20579" priority="6736" operator="equal">
      <formula>"PTO"</formula>
    </cfRule>
  </conditionalFormatting>
  <conditionalFormatting sqref="O27">
    <cfRule type="cellIs" dxfId="20578" priority="6733" operator="equal">
      <formula>"OFF"</formula>
    </cfRule>
    <cfRule type="cellIs" dxfId="20577" priority="6734" operator="equal">
      <formula>"PTO"</formula>
    </cfRule>
  </conditionalFormatting>
  <conditionalFormatting sqref="O27">
    <cfRule type="cellIs" dxfId="20576" priority="6731" operator="equal">
      <formula>"OFF"</formula>
    </cfRule>
    <cfRule type="cellIs" dxfId="20575" priority="6732" operator="equal">
      <formula>"PTO"</formula>
    </cfRule>
  </conditionalFormatting>
  <conditionalFormatting sqref="O27">
    <cfRule type="cellIs" dxfId="20574" priority="6729" operator="equal">
      <formula>"OFF"</formula>
    </cfRule>
    <cfRule type="cellIs" dxfId="20573" priority="6730" operator="equal">
      <formula>"PTO"</formula>
    </cfRule>
  </conditionalFormatting>
  <conditionalFormatting sqref="O27">
    <cfRule type="cellIs" dxfId="20572" priority="6727" operator="equal">
      <formula>"OFF"</formula>
    </cfRule>
    <cfRule type="cellIs" dxfId="20571" priority="6728" operator="equal">
      <formula>"PTO"</formula>
    </cfRule>
  </conditionalFormatting>
  <conditionalFormatting sqref="O27">
    <cfRule type="cellIs" dxfId="20570" priority="6725" operator="equal">
      <formula>"OFF"</formula>
    </cfRule>
    <cfRule type="cellIs" dxfId="20569" priority="6726" operator="equal">
      <formula>"PTO"</formula>
    </cfRule>
  </conditionalFormatting>
  <conditionalFormatting sqref="O27">
    <cfRule type="cellIs" dxfId="20568" priority="6723" operator="equal">
      <formula>"OFF"</formula>
    </cfRule>
    <cfRule type="cellIs" dxfId="20567" priority="6724" operator="equal">
      <formula>"PTO"</formula>
    </cfRule>
  </conditionalFormatting>
  <conditionalFormatting sqref="O27">
    <cfRule type="cellIs" dxfId="20566" priority="6721" operator="equal">
      <formula>"OFF"</formula>
    </cfRule>
    <cfRule type="cellIs" dxfId="20565" priority="6722" operator="equal">
      <formula>"PTO"</formula>
    </cfRule>
  </conditionalFormatting>
  <conditionalFormatting sqref="O26">
    <cfRule type="cellIs" dxfId="20564" priority="6719" operator="equal">
      <formula>"OFF"</formula>
    </cfRule>
    <cfRule type="cellIs" dxfId="20563" priority="6720" operator="equal">
      <formula>"PTO"</formula>
    </cfRule>
  </conditionalFormatting>
  <conditionalFormatting sqref="O26">
    <cfRule type="cellIs" dxfId="20562" priority="6717" operator="equal">
      <formula>"OFF"</formula>
    </cfRule>
    <cfRule type="cellIs" dxfId="20561" priority="6718" operator="equal">
      <formula>"PTO"</formula>
    </cfRule>
  </conditionalFormatting>
  <conditionalFormatting sqref="O26">
    <cfRule type="cellIs" dxfId="20560" priority="6715" operator="equal">
      <formula>"OFF"</formula>
    </cfRule>
    <cfRule type="cellIs" dxfId="20559" priority="6716" operator="equal">
      <formula>"PTO"</formula>
    </cfRule>
  </conditionalFormatting>
  <conditionalFormatting sqref="O26">
    <cfRule type="cellIs" dxfId="20558" priority="6713" operator="equal">
      <formula>"OFF"</formula>
    </cfRule>
    <cfRule type="cellIs" dxfId="20557" priority="6714" operator="equal">
      <formula>"PTO"</formula>
    </cfRule>
  </conditionalFormatting>
  <conditionalFormatting sqref="O26">
    <cfRule type="cellIs" dxfId="20556" priority="6711" operator="equal">
      <formula>"OFF"</formula>
    </cfRule>
    <cfRule type="cellIs" dxfId="20555" priority="6712" operator="equal">
      <formula>"PTO"</formula>
    </cfRule>
  </conditionalFormatting>
  <conditionalFormatting sqref="O26">
    <cfRule type="cellIs" dxfId="20554" priority="6709" operator="equal">
      <formula>"OFF"</formula>
    </cfRule>
    <cfRule type="cellIs" dxfId="20553" priority="6710" operator="equal">
      <formula>"PTO"</formula>
    </cfRule>
  </conditionalFormatting>
  <conditionalFormatting sqref="O26">
    <cfRule type="cellIs" dxfId="20552" priority="6707" operator="equal">
      <formula>"OFF"</formula>
    </cfRule>
    <cfRule type="cellIs" dxfId="20551" priority="6708" operator="equal">
      <formula>"PTO"</formula>
    </cfRule>
  </conditionalFormatting>
  <conditionalFormatting sqref="O26">
    <cfRule type="cellIs" dxfId="20550" priority="6705" operator="equal">
      <formula>"OFF"</formula>
    </cfRule>
    <cfRule type="cellIs" dxfId="20549" priority="6706" operator="equal">
      <formula>"PTO"</formula>
    </cfRule>
  </conditionalFormatting>
  <conditionalFormatting sqref="O27">
    <cfRule type="cellIs" dxfId="20548" priority="6703" operator="equal">
      <formula>"OFF"</formula>
    </cfRule>
    <cfRule type="cellIs" dxfId="20547" priority="6704" operator="equal">
      <formula>"PTO"</formula>
    </cfRule>
  </conditionalFormatting>
  <conditionalFormatting sqref="O27">
    <cfRule type="cellIs" dxfId="20546" priority="6701" operator="equal">
      <formula>"OFF"</formula>
    </cfRule>
    <cfRule type="cellIs" dxfId="20545" priority="6702" operator="equal">
      <formula>"PTO"</formula>
    </cfRule>
  </conditionalFormatting>
  <conditionalFormatting sqref="O27">
    <cfRule type="cellIs" dxfId="20544" priority="6699" operator="equal">
      <formula>"OFF"</formula>
    </cfRule>
    <cfRule type="cellIs" dxfId="20543" priority="6700" operator="equal">
      <formula>"PTO"</formula>
    </cfRule>
  </conditionalFormatting>
  <conditionalFormatting sqref="O27">
    <cfRule type="cellIs" dxfId="20542" priority="6697" operator="equal">
      <formula>"OFF"</formula>
    </cfRule>
    <cfRule type="cellIs" dxfId="20541" priority="6698" operator="equal">
      <formula>"PTO"</formula>
    </cfRule>
  </conditionalFormatting>
  <conditionalFormatting sqref="O27">
    <cfRule type="cellIs" dxfId="20540" priority="6695" operator="equal">
      <formula>"OFF"</formula>
    </cfRule>
    <cfRule type="cellIs" dxfId="20539" priority="6696" operator="equal">
      <formula>"PTO"</formula>
    </cfRule>
  </conditionalFormatting>
  <conditionalFormatting sqref="O27">
    <cfRule type="cellIs" dxfId="20538" priority="6693" operator="equal">
      <formula>"OFF"</formula>
    </cfRule>
    <cfRule type="cellIs" dxfId="20537" priority="6694" operator="equal">
      <formula>"PTO"</formula>
    </cfRule>
  </conditionalFormatting>
  <conditionalFormatting sqref="O27">
    <cfRule type="cellIs" dxfId="20536" priority="6691" operator="equal">
      <formula>"OFF"</formula>
    </cfRule>
    <cfRule type="cellIs" dxfId="20535" priority="6692" operator="equal">
      <formula>"PTO"</formula>
    </cfRule>
  </conditionalFormatting>
  <conditionalFormatting sqref="O27">
    <cfRule type="cellIs" dxfId="20534" priority="6689" operator="equal">
      <formula>"OFF"</formula>
    </cfRule>
    <cfRule type="cellIs" dxfId="20533" priority="6690" operator="equal">
      <formula>"PTO"</formula>
    </cfRule>
  </conditionalFormatting>
  <conditionalFormatting sqref="O26">
    <cfRule type="cellIs" dxfId="20532" priority="6687" operator="equal">
      <formula>"OFF"</formula>
    </cfRule>
    <cfRule type="cellIs" dxfId="20531" priority="6688" operator="equal">
      <formula>"PTO"</formula>
    </cfRule>
  </conditionalFormatting>
  <conditionalFormatting sqref="O26">
    <cfRule type="cellIs" dxfId="20530" priority="6685" operator="equal">
      <formula>"OFF"</formula>
    </cfRule>
    <cfRule type="cellIs" dxfId="20529" priority="6686" operator="equal">
      <formula>"PTO"</formula>
    </cfRule>
  </conditionalFormatting>
  <conditionalFormatting sqref="O26">
    <cfRule type="cellIs" dxfId="20528" priority="6683" operator="equal">
      <formula>"OFF"</formula>
    </cfRule>
    <cfRule type="cellIs" dxfId="20527" priority="6684" operator="equal">
      <formula>"PTO"</formula>
    </cfRule>
  </conditionalFormatting>
  <conditionalFormatting sqref="O26">
    <cfRule type="cellIs" dxfId="20526" priority="6681" operator="equal">
      <formula>"OFF"</formula>
    </cfRule>
    <cfRule type="cellIs" dxfId="20525" priority="6682" operator="equal">
      <formula>"PTO"</formula>
    </cfRule>
  </conditionalFormatting>
  <conditionalFormatting sqref="O26">
    <cfRule type="cellIs" dxfId="20524" priority="6679" operator="equal">
      <formula>"OFF"</formula>
    </cfRule>
    <cfRule type="cellIs" dxfId="20523" priority="6680" operator="equal">
      <formula>"PTO"</formula>
    </cfRule>
  </conditionalFormatting>
  <conditionalFormatting sqref="O26">
    <cfRule type="cellIs" dxfId="20522" priority="6677" operator="equal">
      <formula>"OFF"</formula>
    </cfRule>
    <cfRule type="cellIs" dxfId="20521" priority="6678" operator="equal">
      <formula>"PTO"</formula>
    </cfRule>
  </conditionalFormatting>
  <conditionalFormatting sqref="O26">
    <cfRule type="cellIs" dxfId="20520" priority="6675" operator="equal">
      <formula>"OFF"</formula>
    </cfRule>
    <cfRule type="cellIs" dxfId="20519" priority="6676" operator="equal">
      <formula>"PTO"</formula>
    </cfRule>
  </conditionalFormatting>
  <conditionalFormatting sqref="O26">
    <cfRule type="cellIs" dxfId="20518" priority="6673" operator="equal">
      <formula>"OFF"</formula>
    </cfRule>
    <cfRule type="cellIs" dxfId="20517" priority="6674" operator="equal">
      <formula>"PTO"</formula>
    </cfRule>
  </conditionalFormatting>
  <conditionalFormatting sqref="O27">
    <cfRule type="cellIs" dxfId="20516" priority="6671" operator="equal">
      <formula>"OFF"</formula>
    </cfRule>
    <cfRule type="cellIs" dxfId="20515" priority="6672" operator="equal">
      <formula>"PTO"</formula>
    </cfRule>
  </conditionalFormatting>
  <conditionalFormatting sqref="O27">
    <cfRule type="cellIs" dxfId="20514" priority="6669" operator="equal">
      <formula>"OFF"</formula>
    </cfRule>
    <cfRule type="cellIs" dxfId="20513" priority="6670" operator="equal">
      <formula>"PTO"</formula>
    </cfRule>
  </conditionalFormatting>
  <conditionalFormatting sqref="O27">
    <cfRule type="cellIs" dxfId="20512" priority="6667" operator="equal">
      <formula>"OFF"</formula>
    </cfRule>
    <cfRule type="cellIs" dxfId="20511" priority="6668" operator="equal">
      <formula>"PTO"</formula>
    </cfRule>
  </conditionalFormatting>
  <conditionalFormatting sqref="O27">
    <cfRule type="cellIs" dxfId="20510" priority="6665" operator="equal">
      <formula>"OFF"</formula>
    </cfRule>
    <cfRule type="cellIs" dxfId="20509" priority="6666" operator="equal">
      <formula>"PTO"</formula>
    </cfRule>
  </conditionalFormatting>
  <conditionalFormatting sqref="O27">
    <cfRule type="cellIs" dxfId="20508" priority="6663" operator="equal">
      <formula>"OFF"</formula>
    </cfRule>
    <cfRule type="cellIs" dxfId="20507" priority="6664" operator="equal">
      <formula>"PTO"</formula>
    </cfRule>
  </conditionalFormatting>
  <conditionalFormatting sqref="O27">
    <cfRule type="cellIs" dxfId="20506" priority="6661" operator="equal">
      <formula>"OFF"</formula>
    </cfRule>
    <cfRule type="cellIs" dxfId="20505" priority="6662" operator="equal">
      <formula>"PTO"</formula>
    </cfRule>
  </conditionalFormatting>
  <conditionalFormatting sqref="O27">
    <cfRule type="cellIs" dxfId="20504" priority="6659" operator="equal">
      <formula>"OFF"</formula>
    </cfRule>
    <cfRule type="cellIs" dxfId="20503" priority="6660" operator="equal">
      <formula>"PTO"</formula>
    </cfRule>
  </conditionalFormatting>
  <conditionalFormatting sqref="O27">
    <cfRule type="cellIs" dxfId="20502" priority="6657" operator="equal">
      <formula>"OFF"</formula>
    </cfRule>
    <cfRule type="cellIs" dxfId="20501" priority="6658" operator="equal">
      <formula>"PTO"</formula>
    </cfRule>
  </conditionalFormatting>
  <conditionalFormatting sqref="O26">
    <cfRule type="cellIs" dxfId="20500" priority="6655" operator="equal">
      <formula>"OFF"</formula>
    </cfRule>
    <cfRule type="cellIs" dxfId="20499" priority="6656" operator="equal">
      <formula>"PTO"</formula>
    </cfRule>
  </conditionalFormatting>
  <conditionalFormatting sqref="O26">
    <cfRule type="cellIs" dxfId="20498" priority="6653" operator="equal">
      <formula>"OFF"</formula>
    </cfRule>
    <cfRule type="cellIs" dxfId="20497" priority="6654" operator="equal">
      <formula>"PTO"</formula>
    </cfRule>
  </conditionalFormatting>
  <conditionalFormatting sqref="O26">
    <cfRule type="cellIs" dxfId="20496" priority="6651" operator="equal">
      <formula>"OFF"</formula>
    </cfRule>
    <cfRule type="cellIs" dxfId="20495" priority="6652" operator="equal">
      <formula>"PTO"</formula>
    </cfRule>
  </conditionalFormatting>
  <conditionalFormatting sqref="O26">
    <cfRule type="cellIs" dxfId="20494" priority="6649" operator="equal">
      <formula>"OFF"</formula>
    </cfRule>
    <cfRule type="cellIs" dxfId="20493" priority="6650" operator="equal">
      <formula>"PTO"</formula>
    </cfRule>
  </conditionalFormatting>
  <conditionalFormatting sqref="O26">
    <cfRule type="cellIs" dxfId="20492" priority="6647" operator="equal">
      <formula>"OFF"</formula>
    </cfRule>
    <cfRule type="cellIs" dxfId="20491" priority="6648" operator="equal">
      <formula>"PTO"</formula>
    </cfRule>
  </conditionalFormatting>
  <conditionalFormatting sqref="O26">
    <cfRule type="cellIs" dxfId="20490" priority="6645" operator="equal">
      <formula>"OFF"</formula>
    </cfRule>
    <cfRule type="cellIs" dxfId="20489" priority="6646" operator="equal">
      <formula>"PTO"</formula>
    </cfRule>
  </conditionalFormatting>
  <conditionalFormatting sqref="O26">
    <cfRule type="cellIs" dxfId="20488" priority="6643" operator="equal">
      <formula>"OFF"</formula>
    </cfRule>
    <cfRule type="cellIs" dxfId="20487" priority="6644" operator="equal">
      <formula>"PTO"</formula>
    </cfRule>
  </conditionalFormatting>
  <conditionalFormatting sqref="O26">
    <cfRule type="cellIs" dxfId="20486" priority="6641" operator="equal">
      <formula>"OFF"</formula>
    </cfRule>
    <cfRule type="cellIs" dxfId="20485" priority="6642" operator="equal">
      <formula>"PTO"</formula>
    </cfRule>
  </conditionalFormatting>
  <conditionalFormatting sqref="O27">
    <cfRule type="cellIs" dxfId="20484" priority="6639" operator="equal">
      <formula>"OFF"</formula>
    </cfRule>
    <cfRule type="cellIs" dxfId="20483" priority="6640" operator="equal">
      <formula>"PTO"</formula>
    </cfRule>
  </conditionalFormatting>
  <conditionalFormatting sqref="O27">
    <cfRule type="cellIs" dxfId="20482" priority="6637" operator="equal">
      <formula>"OFF"</formula>
    </cfRule>
    <cfRule type="cellIs" dxfId="20481" priority="6638" operator="equal">
      <formula>"PTO"</formula>
    </cfRule>
  </conditionalFormatting>
  <conditionalFormatting sqref="O27">
    <cfRule type="cellIs" dxfId="20480" priority="6635" operator="equal">
      <formula>"OFF"</formula>
    </cfRule>
    <cfRule type="cellIs" dxfId="20479" priority="6636" operator="equal">
      <formula>"PTO"</formula>
    </cfRule>
  </conditionalFormatting>
  <conditionalFormatting sqref="O27">
    <cfRule type="cellIs" dxfId="20478" priority="6633" operator="equal">
      <formula>"OFF"</formula>
    </cfRule>
    <cfRule type="cellIs" dxfId="20477" priority="6634" operator="equal">
      <formula>"PTO"</formula>
    </cfRule>
  </conditionalFormatting>
  <conditionalFormatting sqref="O27">
    <cfRule type="cellIs" dxfId="20476" priority="6631" operator="equal">
      <formula>"OFF"</formula>
    </cfRule>
    <cfRule type="cellIs" dxfId="20475" priority="6632" operator="equal">
      <formula>"PTO"</formula>
    </cfRule>
  </conditionalFormatting>
  <conditionalFormatting sqref="O27">
    <cfRule type="cellIs" dxfId="20474" priority="6629" operator="equal">
      <formula>"OFF"</formula>
    </cfRule>
    <cfRule type="cellIs" dxfId="20473" priority="6630" operator="equal">
      <formula>"PTO"</formula>
    </cfRule>
  </conditionalFormatting>
  <conditionalFormatting sqref="O27">
    <cfRule type="cellIs" dxfId="20472" priority="6627" operator="equal">
      <formula>"OFF"</formula>
    </cfRule>
    <cfRule type="cellIs" dxfId="20471" priority="6628" operator="equal">
      <formula>"PTO"</formula>
    </cfRule>
  </conditionalFormatting>
  <conditionalFormatting sqref="O27">
    <cfRule type="cellIs" dxfId="20470" priority="6625" operator="equal">
      <formula>"OFF"</formula>
    </cfRule>
    <cfRule type="cellIs" dxfId="20469" priority="6626" operator="equal">
      <formula>"PTO"</formula>
    </cfRule>
  </conditionalFormatting>
  <conditionalFormatting sqref="O26">
    <cfRule type="cellIs" dxfId="20468" priority="6623" operator="equal">
      <formula>"OFF"</formula>
    </cfRule>
    <cfRule type="cellIs" dxfId="20467" priority="6624" operator="equal">
      <formula>"PTO"</formula>
    </cfRule>
  </conditionalFormatting>
  <conditionalFormatting sqref="O26">
    <cfRule type="cellIs" dxfId="20466" priority="6621" operator="equal">
      <formula>"OFF"</formula>
    </cfRule>
    <cfRule type="cellIs" dxfId="20465" priority="6622" operator="equal">
      <formula>"PTO"</formula>
    </cfRule>
  </conditionalFormatting>
  <conditionalFormatting sqref="O26">
    <cfRule type="cellIs" dxfId="20464" priority="6619" operator="equal">
      <formula>"OFF"</formula>
    </cfRule>
    <cfRule type="cellIs" dxfId="20463" priority="6620" operator="equal">
      <formula>"PTO"</formula>
    </cfRule>
  </conditionalFormatting>
  <conditionalFormatting sqref="O26">
    <cfRule type="cellIs" dxfId="20462" priority="6617" operator="equal">
      <formula>"OFF"</formula>
    </cfRule>
    <cfRule type="cellIs" dxfId="20461" priority="6618" operator="equal">
      <formula>"PTO"</formula>
    </cfRule>
  </conditionalFormatting>
  <conditionalFormatting sqref="O26">
    <cfRule type="cellIs" dxfId="20460" priority="6615" operator="equal">
      <formula>"OFF"</formula>
    </cfRule>
    <cfRule type="cellIs" dxfId="20459" priority="6616" operator="equal">
      <formula>"PTO"</formula>
    </cfRule>
  </conditionalFormatting>
  <conditionalFormatting sqref="O26">
    <cfRule type="cellIs" dxfId="20458" priority="6613" operator="equal">
      <formula>"OFF"</formula>
    </cfRule>
    <cfRule type="cellIs" dxfId="20457" priority="6614" operator="equal">
      <formula>"PTO"</formula>
    </cfRule>
  </conditionalFormatting>
  <conditionalFormatting sqref="O26">
    <cfRule type="cellIs" dxfId="20456" priority="6611" operator="equal">
      <formula>"OFF"</formula>
    </cfRule>
    <cfRule type="cellIs" dxfId="20455" priority="6612" operator="equal">
      <formula>"PTO"</formula>
    </cfRule>
  </conditionalFormatting>
  <conditionalFormatting sqref="O26">
    <cfRule type="cellIs" dxfId="20454" priority="6609" operator="equal">
      <formula>"OFF"</formula>
    </cfRule>
    <cfRule type="cellIs" dxfId="20453" priority="6610" operator="equal">
      <formula>"PTO"</formula>
    </cfRule>
  </conditionalFormatting>
  <conditionalFormatting sqref="O27">
    <cfRule type="cellIs" dxfId="20452" priority="6607" operator="equal">
      <formula>"OFF"</formula>
    </cfRule>
    <cfRule type="cellIs" dxfId="20451" priority="6608" operator="equal">
      <formula>"PTO"</formula>
    </cfRule>
  </conditionalFormatting>
  <conditionalFormatting sqref="O27">
    <cfRule type="cellIs" dxfId="20450" priority="6605" operator="equal">
      <formula>"OFF"</formula>
    </cfRule>
    <cfRule type="cellIs" dxfId="20449" priority="6606" operator="equal">
      <formula>"PTO"</formula>
    </cfRule>
  </conditionalFormatting>
  <conditionalFormatting sqref="O27">
    <cfRule type="cellIs" dxfId="20448" priority="6603" operator="equal">
      <formula>"OFF"</formula>
    </cfRule>
    <cfRule type="cellIs" dxfId="20447" priority="6604" operator="equal">
      <formula>"PTO"</formula>
    </cfRule>
  </conditionalFormatting>
  <conditionalFormatting sqref="O27">
    <cfRule type="cellIs" dxfId="20446" priority="6601" operator="equal">
      <formula>"OFF"</formula>
    </cfRule>
    <cfRule type="cellIs" dxfId="20445" priority="6602" operator="equal">
      <formula>"PTO"</formula>
    </cfRule>
  </conditionalFormatting>
  <conditionalFormatting sqref="O27">
    <cfRule type="cellIs" dxfId="20444" priority="6599" operator="equal">
      <formula>"OFF"</formula>
    </cfRule>
    <cfRule type="cellIs" dxfId="20443" priority="6600" operator="equal">
      <formula>"PTO"</formula>
    </cfRule>
  </conditionalFormatting>
  <conditionalFormatting sqref="O27">
    <cfRule type="cellIs" dxfId="20442" priority="6597" operator="equal">
      <formula>"OFF"</formula>
    </cfRule>
    <cfRule type="cellIs" dxfId="20441" priority="6598" operator="equal">
      <formula>"PTO"</formula>
    </cfRule>
  </conditionalFormatting>
  <conditionalFormatting sqref="O27">
    <cfRule type="cellIs" dxfId="20440" priority="6595" operator="equal">
      <formula>"OFF"</formula>
    </cfRule>
    <cfRule type="cellIs" dxfId="20439" priority="6596" operator="equal">
      <formula>"PTO"</formula>
    </cfRule>
  </conditionalFormatting>
  <conditionalFormatting sqref="O27">
    <cfRule type="cellIs" dxfId="20438" priority="6593" operator="equal">
      <formula>"OFF"</formula>
    </cfRule>
    <cfRule type="cellIs" dxfId="20437" priority="6594" operator="equal">
      <formula>"PTO"</formula>
    </cfRule>
  </conditionalFormatting>
  <conditionalFormatting sqref="O29">
    <cfRule type="cellIs" dxfId="20436" priority="6591" operator="equal">
      <formula>"OFF"</formula>
    </cfRule>
    <cfRule type="cellIs" dxfId="20435" priority="6592" operator="equal">
      <formula>"PTO"</formula>
    </cfRule>
  </conditionalFormatting>
  <conditionalFormatting sqref="O29">
    <cfRule type="cellIs" dxfId="20434" priority="6589" operator="equal">
      <formula>"OFF"</formula>
    </cfRule>
    <cfRule type="cellIs" dxfId="20433" priority="6590" operator="equal">
      <formula>"PTO"</formula>
    </cfRule>
  </conditionalFormatting>
  <conditionalFormatting sqref="O29">
    <cfRule type="cellIs" dxfId="20432" priority="6587" operator="equal">
      <formula>"OFF"</formula>
    </cfRule>
    <cfRule type="cellIs" dxfId="20431" priority="6588" operator="equal">
      <formula>"PTO"</formula>
    </cfRule>
  </conditionalFormatting>
  <conditionalFormatting sqref="O29">
    <cfRule type="cellIs" dxfId="20430" priority="6585" operator="equal">
      <formula>"OFF"</formula>
    </cfRule>
    <cfRule type="cellIs" dxfId="20429" priority="6586" operator="equal">
      <formula>"PTO"</formula>
    </cfRule>
  </conditionalFormatting>
  <conditionalFormatting sqref="O29">
    <cfRule type="cellIs" dxfId="20428" priority="6583" operator="equal">
      <formula>"OFF"</formula>
    </cfRule>
    <cfRule type="cellIs" dxfId="20427" priority="6584" operator="equal">
      <formula>"PTO"</formula>
    </cfRule>
  </conditionalFormatting>
  <conditionalFormatting sqref="O29">
    <cfRule type="cellIs" dxfId="20426" priority="6581" operator="equal">
      <formula>"OFF"</formula>
    </cfRule>
    <cfRule type="cellIs" dxfId="20425" priority="6582" operator="equal">
      <formula>"PTO"</formula>
    </cfRule>
  </conditionalFormatting>
  <conditionalFormatting sqref="O29">
    <cfRule type="cellIs" dxfId="20424" priority="6579" operator="equal">
      <formula>"OFF"</formula>
    </cfRule>
    <cfRule type="cellIs" dxfId="20423" priority="6580" operator="equal">
      <formula>"PTO"</formula>
    </cfRule>
  </conditionalFormatting>
  <conditionalFormatting sqref="O29">
    <cfRule type="cellIs" dxfId="20422" priority="6577" operator="equal">
      <formula>"OFF"</formula>
    </cfRule>
    <cfRule type="cellIs" dxfId="20421" priority="6578" operator="equal">
      <formula>"PTO"</formula>
    </cfRule>
  </conditionalFormatting>
  <conditionalFormatting sqref="O29">
    <cfRule type="cellIs" dxfId="20420" priority="6575" operator="equal">
      <formula>"OFF"</formula>
    </cfRule>
    <cfRule type="cellIs" dxfId="20419" priority="6576" operator="equal">
      <formula>"PTO"</formula>
    </cfRule>
  </conditionalFormatting>
  <conditionalFormatting sqref="O29">
    <cfRule type="cellIs" dxfId="20418" priority="6573" operator="equal">
      <formula>"OFF"</formula>
    </cfRule>
    <cfRule type="cellIs" dxfId="20417" priority="6574" operator="equal">
      <formula>"PTO"</formula>
    </cfRule>
  </conditionalFormatting>
  <conditionalFormatting sqref="O29">
    <cfRule type="cellIs" dxfId="20416" priority="6571" operator="equal">
      <formula>"OFF"</formula>
    </cfRule>
    <cfRule type="cellIs" dxfId="20415" priority="6572" operator="equal">
      <formula>"PTO"</formula>
    </cfRule>
  </conditionalFormatting>
  <conditionalFormatting sqref="O29">
    <cfRule type="cellIs" dxfId="20414" priority="6569" operator="equal">
      <formula>"OFF"</formula>
    </cfRule>
    <cfRule type="cellIs" dxfId="20413" priority="6570" operator="equal">
      <formula>"PTO"</formula>
    </cfRule>
  </conditionalFormatting>
  <conditionalFormatting sqref="O29">
    <cfRule type="cellIs" dxfId="20412" priority="6567" operator="equal">
      <formula>"OFF"</formula>
    </cfRule>
    <cfRule type="cellIs" dxfId="20411" priority="6568" operator="equal">
      <formula>"PTO"</formula>
    </cfRule>
  </conditionalFormatting>
  <conditionalFormatting sqref="O29">
    <cfRule type="cellIs" dxfId="20410" priority="6565" operator="equal">
      <formula>"OFF"</formula>
    </cfRule>
    <cfRule type="cellIs" dxfId="20409" priority="6566" operator="equal">
      <formula>"PTO"</formula>
    </cfRule>
  </conditionalFormatting>
  <conditionalFormatting sqref="O29">
    <cfRule type="cellIs" dxfId="20408" priority="6563" operator="equal">
      <formula>"OFF"</formula>
    </cfRule>
    <cfRule type="cellIs" dxfId="20407" priority="6564" operator="equal">
      <formula>"PTO"</formula>
    </cfRule>
  </conditionalFormatting>
  <conditionalFormatting sqref="O29">
    <cfRule type="cellIs" dxfId="20406" priority="6561" operator="equal">
      <formula>"OFF"</formula>
    </cfRule>
    <cfRule type="cellIs" dxfId="20405" priority="6562" operator="equal">
      <formula>"PTO"</formula>
    </cfRule>
  </conditionalFormatting>
  <conditionalFormatting sqref="O29">
    <cfRule type="cellIs" dxfId="20404" priority="6559" operator="equal">
      <formula>"OFF"</formula>
    </cfRule>
    <cfRule type="cellIs" dxfId="20403" priority="6560" operator="equal">
      <formula>"PTO"</formula>
    </cfRule>
  </conditionalFormatting>
  <conditionalFormatting sqref="O29">
    <cfRule type="cellIs" dxfId="20402" priority="6557" operator="equal">
      <formula>"OFF"</formula>
    </cfRule>
    <cfRule type="cellIs" dxfId="20401" priority="6558" operator="equal">
      <formula>"PTO"</formula>
    </cfRule>
  </conditionalFormatting>
  <conditionalFormatting sqref="O29">
    <cfRule type="cellIs" dxfId="20400" priority="6555" operator="equal">
      <formula>"OFF"</formula>
    </cfRule>
    <cfRule type="cellIs" dxfId="20399" priority="6556" operator="equal">
      <formula>"PTO"</formula>
    </cfRule>
  </conditionalFormatting>
  <conditionalFormatting sqref="O29">
    <cfRule type="cellIs" dxfId="20398" priority="6553" operator="equal">
      <formula>"OFF"</formula>
    </cfRule>
    <cfRule type="cellIs" dxfId="20397" priority="6554" operator="equal">
      <formula>"PTO"</formula>
    </cfRule>
  </conditionalFormatting>
  <conditionalFormatting sqref="O29">
    <cfRule type="cellIs" dxfId="20396" priority="6551" operator="equal">
      <formula>"OFF"</formula>
    </cfRule>
    <cfRule type="cellIs" dxfId="20395" priority="6552" operator="equal">
      <formula>"PTO"</formula>
    </cfRule>
  </conditionalFormatting>
  <conditionalFormatting sqref="O29">
    <cfRule type="cellIs" dxfId="20394" priority="6549" operator="equal">
      <formula>"OFF"</formula>
    </cfRule>
    <cfRule type="cellIs" dxfId="20393" priority="6550" operator="equal">
      <formula>"PTO"</formula>
    </cfRule>
  </conditionalFormatting>
  <conditionalFormatting sqref="O29">
    <cfRule type="cellIs" dxfId="20392" priority="6547" operator="equal">
      <formula>"OFF"</formula>
    </cfRule>
    <cfRule type="cellIs" dxfId="20391" priority="6548" operator="equal">
      <formula>"PTO"</formula>
    </cfRule>
  </conditionalFormatting>
  <conditionalFormatting sqref="O29">
    <cfRule type="cellIs" dxfId="20390" priority="6545" operator="equal">
      <formula>"OFF"</formula>
    </cfRule>
    <cfRule type="cellIs" dxfId="20389" priority="6546" operator="equal">
      <formula>"PTO"</formula>
    </cfRule>
  </conditionalFormatting>
  <conditionalFormatting sqref="O29">
    <cfRule type="cellIs" dxfId="20388" priority="6543" operator="equal">
      <formula>"OFF"</formula>
    </cfRule>
    <cfRule type="cellIs" dxfId="20387" priority="6544" operator="equal">
      <formula>"PTO"</formula>
    </cfRule>
  </conditionalFormatting>
  <conditionalFormatting sqref="O29">
    <cfRule type="cellIs" dxfId="20386" priority="6541" operator="equal">
      <formula>"OFF"</formula>
    </cfRule>
    <cfRule type="cellIs" dxfId="20385" priority="6542" operator="equal">
      <formula>"PTO"</formula>
    </cfRule>
  </conditionalFormatting>
  <conditionalFormatting sqref="O29">
    <cfRule type="cellIs" dxfId="20384" priority="6539" operator="equal">
      <formula>"OFF"</formula>
    </cfRule>
    <cfRule type="cellIs" dxfId="20383" priority="6540" operator="equal">
      <formula>"PTO"</formula>
    </cfRule>
  </conditionalFormatting>
  <conditionalFormatting sqref="O29">
    <cfRule type="cellIs" dxfId="20382" priority="6537" operator="equal">
      <formula>"OFF"</formula>
    </cfRule>
    <cfRule type="cellIs" dxfId="20381" priority="6538" operator="equal">
      <formula>"PTO"</formula>
    </cfRule>
  </conditionalFormatting>
  <conditionalFormatting sqref="O29">
    <cfRule type="cellIs" dxfId="20380" priority="6535" operator="equal">
      <formula>"OFF"</formula>
    </cfRule>
    <cfRule type="cellIs" dxfId="20379" priority="6536" operator="equal">
      <formula>"PTO"</formula>
    </cfRule>
  </conditionalFormatting>
  <conditionalFormatting sqref="O29">
    <cfRule type="cellIs" dxfId="20378" priority="6533" operator="equal">
      <formula>"OFF"</formula>
    </cfRule>
    <cfRule type="cellIs" dxfId="20377" priority="6534" operator="equal">
      <formula>"PTO"</formula>
    </cfRule>
  </conditionalFormatting>
  <conditionalFormatting sqref="O29">
    <cfRule type="cellIs" dxfId="20376" priority="6531" operator="equal">
      <formula>"OFF"</formula>
    </cfRule>
    <cfRule type="cellIs" dxfId="20375" priority="6532" operator="equal">
      <formula>"PTO"</formula>
    </cfRule>
  </conditionalFormatting>
  <conditionalFormatting sqref="O29">
    <cfRule type="cellIs" dxfId="20374" priority="6529" operator="equal">
      <formula>"OFF"</formula>
    </cfRule>
    <cfRule type="cellIs" dxfId="20373" priority="6530" operator="equal">
      <formula>"PTO"</formula>
    </cfRule>
  </conditionalFormatting>
  <conditionalFormatting sqref="O29">
    <cfRule type="cellIs" dxfId="20372" priority="6527" operator="equal">
      <formula>"OFF"</formula>
    </cfRule>
    <cfRule type="cellIs" dxfId="20371" priority="6528" operator="equal">
      <formula>"PTO"</formula>
    </cfRule>
  </conditionalFormatting>
  <conditionalFormatting sqref="O29">
    <cfRule type="cellIs" dxfId="20370" priority="6525" operator="equal">
      <formula>"OFF"</formula>
    </cfRule>
    <cfRule type="cellIs" dxfId="20369" priority="6526" operator="equal">
      <formula>"PTO"</formula>
    </cfRule>
  </conditionalFormatting>
  <conditionalFormatting sqref="O29">
    <cfRule type="cellIs" dxfId="20368" priority="6523" operator="equal">
      <formula>"OFF"</formula>
    </cfRule>
    <cfRule type="cellIs" dxfId="20367" priority="6524" operator="equal">
      <formula>"PTO"</formula>
    </cfRule>
  </conditionalFormatting>
  <conditionalFormatting sqref="O29">
    <cfRule type="cellIs" dxfId="20366" priority="6521" operator="equal">
      <formula>"OFF"</formula>
    </cfRule>
    <cfRule type="cellIs" dxfId="20365" priority="6522" operator="equal">
      <formula>"PTO"</formula>
    </cfRule>
  </conditionalFormatting>
  <conditionalFormatting sqref="O29">
    <cfRule type="cellIs" dxfId="20364" priority="6519" operator="equal">
      <formula>"OFF"</formula>
    </cfRule>
    <cfRule type="cellIs" dxfId="20363" priority="6520" operator="equal">
      <formula>"PTO"</formula>
    </cfRule>
  </conditionalFormatting>
  <conditionalFormatting sqref="O29">
    <cfRule type="cellIs" dxfId="20362" priority="6517" operator="equal">
      <formula>"OFF"</formula>
    </cfRule>
    <cfRule type="cellIs" dxfId="20361" priority="6518" operator="equal">
      <formula>"PTO"</formula>
    </cfRule>
  </conditionalFormatting>
  <conditionalFormatting sqref="O29">
    <cfRule type="cellIs" dxfId="20360" priority="6515" operator="equal">
      <formula>"OFF"</formula>
    </cfRule>
    <cfRule type="cellIs" dxfId="20359" priority="6516" operator="equal">
      <formula>"PTO"</formula>
    </cfRule>
  </conditionalFormatting>
  <conditionalFormatting sqref="O29">
    <cfRule type="cellIs" dxfId="20358" priority="6513" operator="equal">
      <formula>"OFF"</formula>
    </cfRule>
    <cfRule type="cellIs" dxfId="20357" priority="6514" operator="equal">
      <formula>"PTO"</formula>
    </cfRule>
  </conditionalFormatting>
  <conditionalFormatting sqref="O29">
    <cfRule type="cellIs" dxfId="20356" priority="6511" operator="equal">
      <formula>"OFF"</formula>
    </cfRule>
    <cfRule type="cellIs" dxfId="20355" priority="6512" operator="equal">
      <formula>"PTO"</formula>
    </cfRule>
  </conditionalFormatting>
  <conditionalFormatting sqref="O29">
    <cfRule type="cellIs" dxfId="20354" priority="6509" operator="equal">
      <formula>"OFF"</formula>
    </cfRule>
    <cfRule type="cellIs" dxfId="20353" priority="6510" operator="equal">
      <formula>"PTO"</formula>
    </cfRule>
  </conditionalFormatting>
  <conditionalFormatting sqref="O29">
    <cfRule type="cellIs" dxfId="20352" priority="6507" operator="equal">
      <formula>"OFF"</formula>
    </cfRule>
    <cfRule type="cellIs" dxfId="20351" priority="6508" operator="equal">
      <formula>"PTO"</formula>
    </cfRule>
  </conditionalFormatting>
  <conditionalFormatting sqref="O29">
    <cfRule type="cellIs" dxfId="20350" priority="6505" operator="equal">
      <formula>"OFF"</formula>
    </cfRule>
    <cfRule type="cellIs" dxfId="20349" priority="6506" operator="equal">
      <formula>"PTO"</formula>
    </cfRule>
  </conditionalFormatting>
  <conditionalFormatting sqref="O29">
    <cfRule type="cellIs" dxfId="20348" priority="6503" operator="equal">
      <formula>"OFF"</formula>
    </cfRule>
    <cfRule type="cellIs" dxfId="20347" priority="6504" operator="equal">
      <formula>"PTO"</formula>
    </cfRule>
  </conditionalFormatting>
  <conditionalFormatting sqref="O29">
    <cfRule type="cellIs" dxfId="20346" priority="6501" operator="equal">
      <formula>"OFF"</formula>
    </cfRule>
    <cfRule type="cellIs" dxfId="20345" priority="6502" operator="equal">
      <formula>"PTO"</formula>
    </cfRule>
  </conditionalFormatting>
  <conditionalFormatting sqref="O29">
    <cfRule type="cellIs" dxfId="20344" priority="6499" operator="equal">
      <formula>"OFF"</formula>
    </cfRule>
    <cfRule type="cellIs" dxfId="20343" priority="6500" operator="equal">
      <formula>"PTO"</formula>
    </cfRule>
  </conditionalFormatting>
  <conditionalFormatting sqref="O29">
    <cfRule type="cellIs" dxfId="20342" priority="6497" operator="equal">
      <formula>"OFF"</formula>
    </cfRule>
    <cfRule type="cellIs" dxfId="20341" priority="6498" operator="equal">
      <formula>"PTO"</formula>
    </cfRule>
  </conditionalFormatting>
  <conditionalFormatting sqref="O29">
    <cfRule type="cellIs" dxfId="20340" priority="6495" operator="equal">
      <formula>"OFF"</formula>
    </cfRule>
    <cfRule type="cellIs" dxfId="20339" priority="6496" operator="equal">
      <formula>"PTO"</formula>
    </cfRule>
  </conditionalFormatting>
  <conditionalFormatting sqref="O29">
    <cfRule type="cellIs" dxfId="20338" priority="6493" operator="equal">
      <formula>"OFF"</formula>
    </cfRule>
    <cfRule type="cellIs" dxfId="20337" priority="6494" operator="equal">
      <formula>"PTO"</formula>
    </cfRule>
  </conditionalFormatting>
  <conditionalFormatting sqref="O29">
    <cfRule type="cellIs" dxfId="20336" priority="6491" operator="equal">
      <formula>"OFF"</formula>
    </cfRule>
    <cfRule type="cellIs" dxfId="20335" priority="6492" operator="equal">
      <formula>"PTO"</formula>
    </cfRule>
  </conditionalFormatting>
  <conditionalFormatting sqref="O29">
    <cfRule type="cellIs" dxfId="20334" priority="6489" operator="equal">
      <formula>"OFF"</formula>
    </cfRule>
    <cfRule type="cellIs" dxfId="20333" priority="6490" operator="equal">
      <formula>"PTO"</formula>
    </cfRule>
  </conditionalFormatting>
  <conditionalFormatting sqref="O29">
    <cfRule type="cellIs" dxfId="20332" priority="6487" operator="equal">
      <formula>"OFF"</formula>
    </cfRule>
    <cfRule type="cellIs" dxfId="20331" priority="6488" operator="equal">
      <formula>"PTO"</formula>
    </cfRule>
  </conditionalFormatting>
  <conditionalFormatting sqref="O29">
    <cfRule type="cellIs" dxfId="20330" priority="6485" operator="equal">
      <formula>"OFF"</formula>
    </cfRule>
    <cfRule type="cellIs" dxfId="20329" priority="6486" operator="equal">
      <formula>"PTO"</formula>
    </cfRule>
  </conditionalFormatting>
  <conditionalFormatting sqref="O29">
    <cfRule type="cellIs" dxfId="20328" priority="6483" operator="equal">
      <formula>"OFF"</formula>
    </cfRule>
    <cfRule type="cellIs" dxfId="20327" priority="6484" operator="equal">
      <formula>"PTO"</formula>
    </cfRule>
  </conditionalFormatting>
  <conditionalFormatting sqref="O29">
    <cfRule type="cellIs" dxfId="20326" priority="6481" operator="equal">
      <formula>"OFF"</formula>
    </cfRule>
    <cfRule type="cellIs" dxfId="20325" priority="6482" operator="equal">
      <formula>"PTO"</formula>
    </cfRule>
  </conditionalFormatting>
  <conditionalFormatting sqref="O30">
    <cfRule type="cellIs" dxfId="20324" priority="6479" operator="equal">
      <formula>"OFF"</formula>
    </cfRule>
    <cfRule type="cellIs" dxfId="20323" priority="6480" operator="equal">
      <formula>"PTO"</formula>
    </cfRule>
  </conditionalFormatting>
  <conditionalFormatting sqref="O30">
    <cfRule type="cellIs" dxfId="20322" priority="6477" operator="equal">
      <formula>"OFF"</formula>
    </cfRule>
    <cfRule type="cellIs" dxfId="20321" priority="6478" operator="equal">
      <formula>"PTO"</formula>
    </cfRule>
  </conditionalFormatting>
  <conditionalFormatting sqref="O30">
    <cfRule type="cellIs" dxfId="20320" priority="6475" operator="equal">
      <formula>"OFF"</formula>
    </cfRule>
    <cfRule type="cellIs" dxfId="20319" priority="6476" operator="equal">
      <formula>"PTO"</formula>
    </cfRule>
  </conditionalFormatting>
  <conditionalFormatting sqref="O30">
    <cfRule type="cellIs" dxfId="20318" priority="6473" operator="equal">
      <formula>"OFF"</formula>
    </cfRule>
    <cfRule type="cellIs" dxfId="20317" priority="6474" operator="equal">
      <formula>"PTO"</formula>
    </cfRule>
  </conditionalFormatting>
  <conditionalFormatting sqref="O30">
    <cfRule type="cellIs" dxfId="20316" priority="6471" operator="equal">
      <formula>"OFF"</formula>
    </cfRule>
    <cfRule type="cellIs" dxfId="20315" priority="6472" operator="equal">
      <formula>"PTO"</formula>
    </cfRule>
  </conditionalFormatting>
  <conditionalFormatting sqref="O30">
    <cfRule type="cellIs" dxfId="20314" priority="6469" operator="equal">
      <formula>"OFF"</formula>
    </cfRule>
    <cfRule type="cellIs" dxfId="20313" priority="6470" operator="equal">
      <formula>"PTO"</formula>
    </cfRule>
  </conditionalFormatting>
  <conditionalFormatting sqref="O30">
    <cfRule type="cellIs" dxfId="20312" priority="6467" operator="equal">
      <formula>"OFF"</formula>
    </cfRule>
    <cfRule type="cellIs" dxfId="20311" priority="6468" operator="equal">
      <formula>"PTO"</formula>
    </cfRule>
  </conditionalFormatting>
  <conditionalFormatting sqref="O30">
    <cfRule type="cellIs" dxfId="20310" priority="6465" operator="equal">
      <formula>"OFF"</formula>
    </cfRule>
    <cfRule type="cellIs" dxfId="20309" priority="6466" operator="equal">
      <formula>"PTO"</formula>
    </cfRule>
  </conditionalFormatting>
  <conditionalFormatting sqref="O30">
    <cfRule type="cellIs" dxfId="20308" priority="6463" operator="equal">
      <formula>"OFF"</formula>
    </cfRule>
    <cfRule type="cellIs" dxfId="20307" priority="6464" operator="equal">
      <formula>"PTO"</formula>
    </cfRule>
  </conditionalFormatting>
  <conditionalFormatting sqref="O30">
    <cfRule type="cellIs" dxfId="20306" priority="6461" operator="equal">
      <formula>"OFF"</formula>
    </cfRule>
    <cfRule type="cellIs" dxfId="20305" priority="6462" operator="equal">
      <formula>"PTO"</formula>
    </cfRule>
  </conditionalFormatting>
  <conditionalFormatting sqref="O30">
    <cfRule type="cellIs" dxfId="20304" priority="6459" operator="equal">
      <formula>"OFF"</formula>
    </cfRule>
    <cfRule type="cellIs" dxfId="20303" priority="6460" operator="equal">
      <formula>"PTO"</formula>
    </cfRule>
  </conditionalFormatting>
  <conditionalFormatting sqref="O30">
    <cfRule type="cellIs" dxfId="20302" priority="6457" operator="equal">
      <formula>"OFF"</formula>
    </cfRule>
    <cfRule type="cellIs" dxfId="20301" priority="6458" operator="equal">
      <formula>"PTO"</formula>
    </cfRule>
  </conditionalFormatting>
  <conditionalFormatting sqref="O30">
    <cfRule type="cellIs" dxfId="20300" priority="6455" operator="equal">
      <formula>"OFF"</formula>
    </cfRule>
    <cfRule type="cellIs" dxfId="20299" priority="6456" operator="equal">
      <formula>"PTO"</formula>
    </cfRule>
  </conditionalFormatting>
  <conditionalFormatting sqref="O30">
    <cfRule type="cellIs" dxfId="20298" priority="6453" operator="equal">
      <formula>"OFF"</formula>
    </cfRule>
    <cfRule type="cellIs" dxfId="20297" priority="6454" operator="equal">
      <formula>"PTO"</formula>
    </cfRule>
  </conditionalFormatting>
  <conditionalFormatting sqref="O30">
    <cfRule type="cellIs" dxfId="20296" priority="6451" operator="equal">
      <formula>"OFF"</formula>
    </cfRule>
    <cfRule type="cellIs" dxfId="20295" priority="6452" operator="equal">
      <formula>"PTO"</formula>
    </cfRule>
  </conditionalFormatting>
  <conditionalFormatting sqref="O30">
    <cfRule type="cellIs" dxfId="20294" priority="6449" operator="equal">
      <formula>"OFF"</formula>
    </cfRule>
    <cfRule type="cellIs" dxfId="20293" priority="6450" operator="equal">
      <formula>"PTO"</formula>
    </cfRule>
  </conditionalFormatting>
  <conditionalFormatting sqref="O30">
    <cfRule type="cellIs" dxfId="20292" priority="6447" operator="equal">
      <formula>"OFF"</formula>
    </cfRule>
    <cfRule type="cellIs" dxfId="20291" priority="6448" operator="equal">
      <formula>"PTO"</formula>
    </cfRule>
  </conditionalFormatting>
  <conditionalFormatting sqref="O30">
    <cfRule type="cellIs" dxfId="20290" priority="6445" operator="equal">
      <formula>"OFF"</formula>
    </cfRule>
    <cfRule type="cellIs" dxfId="20289" priority="6446" operator="equal">
      <formula>"PTO"</formula>
    </cfRule>
  </conditionalFormatting>
  <conditionalFormatting sqref="O30">
    <cfRule type="cellIs" dxfId="20288" priority="6443" operator="equal">
      <formula>"OFF"</formula>
    </cfRule>
    <cfRule type="cellIs" dxfId="20287" priority="6444" operator="equal">
      <formula>"PTO"</formula>
    </cfRule>
  </conditionalFormatting>
  <conditionalFormatting sqref="O30">
    <cfRule type="cellIs" dxfId="20286" priority="6441" operator="equal">
      <formula>"OFF"</formula>
    </cfRule>
    <cfRule type="cellIs" dxfId="20285" priority="6442" operator="equal">
      <formula>"PTO"</formula>
    </cfRule>
  </conditionalFormatting>
  <conditionalFormatting sqref="O30">
    <cfRule type="cellIs" dxfId="20284" priority="6439" operator="equal">
      <formula>"OFF"</formula>
    </cfRule>
    <cfRule type="cellIs" dxfId="20283" priority="6440" operator="equal">
      <formula>"PTO"</formula>
    </cfRule>
  </conditionalFormatting>
  <conditionalFormatting sqref="O30">
    <cfRule type="cellIs" dxfId="20282" priority="6437" operator="equal">
      <formula>"OFF"</formula>
    </cfRule>
    <cfRule type="cellIs" dxfId="20281" priority="6438" operator="equal">
      <formula>"PTO"</formula>
    </cfRule>
  </conditionalFormatting>
  <conditionalFormatting sqref="O30">
    <cfRule type="cellIs" dxfId="20280" priority="6435" operator="equal">
      <formula>"OFF"</formula>
    </cfRule>
    <cfRule type="cellIs" dxfId="20279" priority="6436" operator="equal">
      <formula>"PTO"</formula>
    </cfRule>
  </conditionalFormatting>
  <conditionalFormatting sqref="O30">
    <cfRule type="cellIs" dxfId="20278" priority="6433" operator="equal">
      <formula>"OFF"</formula>
    </cfRule>
    <cfRule type="cellIs" dxfId="20277" priority="6434" operator="equal">
      <formula>"PTO"</formula>
    </cfRule>
  </conditionalFormatting>
  <conditionalFormatting sqref="O30">
    <cfRule type="cellIs" dxfId="20276" priority="6431" operator="equal">
      <formula>"OFF"</formula>
    </cfRule>
    <cfRule type="cellIs" dxfId="20275" priority="6432" operator="equal">
      <formula>"PTO"</formula>
    </cfRule>
  </conditionalFormatting>
  <conditionalFormatting sqref="O30">
    <cfRule type="cellIs" dxfId="20274" priority="6429" operator="equal">
      <formula>"OFF"</formula>
    </cfRule>
    <cfRule type="cellIs" dxfId="20273" priority="6430" operator="equal">
      <formula>"PTO"</formula>
    </cfRule>
  </conditionalFormatting>
  <conditionalFormatting sqref="O30">
    <cfRule type="cellIs" dxfId="20272" priority="6427" operator="equal">
      <formula>"OFF"</formula>
    </cfRule>
    <cfRule type="cellIs" dxfId="20271" priority="6428" operator="equal">
      <formula>"PTO"</formula>
    </cfRule>
  </conditionalFormatting>
  <conditionalFormatting sqref="O30">
    <cfRule type="cellIs" dxfId="20270" priority="6425" operator="equal">
      <formula>"OFF"</formula>
    </cfRule>
    <cfRule type="cellIs" dxfId="20269" priority="6426" operator="equal">
      <formula>"PTO"</formula>
    </cfRule>
  </conditionalFormatting>
  <conditionalFormatting sqref="O30">
    <cfRule type="cellIs" dxfId="20268" priority="6423" operator="equal">
      <formula>"OFF"</formula>
    </cfRule>
    <cfRule type="cellIs" dxfId="20267" priority="6424" operator="equal">
      <formula>"PTO"</formula>
    </cfRule>
  </conditionalFormatting>
  <conditionalFormatting sqref="O30">
    <cfRule type="cellIs" dxfId="20266" priority="6421" operator="equal">
      <formula>"OFF"</formula>
    </cfRule>
    <cfRule type="cellIs" dxfId="20265" priority="6422" operator="equal">
      <formula>"PTO"</formula>
    </cfRule>
  </conditionalFormatting>
  <conditionalFormatting sqref="O30">
    <cfRule type="cellIs" dxfId="20264" priority="6419" operator="equal">
      <formula>"OFF"</formula>
    </cfRule>
    <cfRule type="cellIs" dxfId="20263" priority="6420" operator="equal">
      <formula>"PTO"</formula>
    </cfRule>
  </conditionalFormatting>
  <conditionalFormatting sqref="O30">
    <cfRule type="cellIs" dxfId="20262" priority="6417" operator="equal">
      <formula>"OFF"</formula>
    </cfRule>
    <cfRule type="cellIs" dxfId="20261" priority="6418" operator="equal">
      <formula>"PTO"</formula>
    </cfRule>
  </conditionalFormatting>
  <conditionalFormatting sqref="O30">
    <cfRule type="cellIs" dxfId="20260" priority="6415" operator="equal">
      <formula>"OFF"</formula>
    </cfRule>
    <cfRule type="cellIs" dxfId="20259" priority="6416" operator="equal">
      <formula>"PTO"</formula>
    </cfRule>
  </conditionalFormatting>
  <conditionalFormatting sqref="O30">
    <cfRule type="cellIs" dxfId="20258" priority="6413" operator="equal">
      <formula>"OFF"</formula>
    </cfRule>
    <cfRule type="cellIs" dxfId="20257" priority="6414" operator="equal">
      <formula>"PTO"</formula>
    </cfRule>
  </conditionalFormatting>
  <conditionalFormatting sqref="O30">
    <cfRule type="cellIs" dxfId="20256" priority="6411" operator="equal">
      <formula>"OFF"</formula>
    </cfRule>
    <cfRule type="cellIs" dxfId="20255" priority="6412" operator="equal">
      <formula>"PTO"</formula>
    </cfRule>
  </conditionalFormatting>
  <conditionalFormatting sqref="O30">
    <cfRule type="cellIs" dxfId="20254" priority="6409" operator="equal">
      <formula>"OFF"</formula>
    </cfRule>
    <cfRule type="cellIs" dxfId="20253" priority="6410" operator="equal">
      <formula>"PTO"</formula>
    </cfRule>
  </conditionalFormatting>
  <conditionalFormatting sqref="O30">
    <cfRule type="cellIs" dxfId="20252" priority="6407" operator="equal">
      <formula>"OFF"</formula>
    </cfRule>
    <cfRule type="cellIs" dxfId="20251" priority="6408" operator="equal">
      <formula>"PTO"</formula>
    </cfRule>
  </conditionalFormatting>
  <conditionalFormatting sqref="O30">
    <cfRule type="cellIs" dxfId="20250" priority="6405" operator="equal">
      <formula>"OFF"</formula>
    </cfRule>
    <cfRule type="cellIs" dxfId="20249" priority="6406" operator="equal">
      <formula>"PTO"</formula>
    </cfRule>
  </conditionalFormatting>
  <conditionalFormatting sqref="O30">
    <cfRule type="cellIs" dxfId="20248" priority="6403" operator="equal">
      <formula>"OFF"</formula>
    </cfRule>
    <cfRule type="cellIs" dxfId="20247" priority="6404" operator="equal">
      <formula>"PTO"</formula>
    </cfRule>
  </conditionalFormatting>
  <conditionalFormatting sqref="O30">
    <cfRule type="cellIs" dxfId="20246" priority="6401" operator="equal">
      <formula>"OFF"</formula>
    </cfRule>
    <cfRule type="cellIs" dxfId="20245" priority="6402" operator="equal">
      <formula>"PTO"</formula>
    </cfRule>
  </conditionalFormatting>
  <conditionalFormatting sqref="O30">
    <cfRule type="cellIs" dxfId="20244" priority="6399" operator="equal">
      <formula>"OFF"</formula>
    </cfRule>
    <cfRule type="cellIs" dxfId="20243" priority="6400" operator="equal">
      <formula>"PTO"</formula>
    </cfRule>
  </conditionalFormatting>
  <conditionalFormatting sqref="O30">
    <cfRule type="cellIs" dxfId="20242" priority="6397" operator="equal">
      <formula>"OFF"</formula>
    </cfRule>
    <cfRule type="cellIs" dxfId="20241" priority="6398" operator="equal">
      <formula>"PTO"</formula>
    </cfRule>
  </conditionalFormatting>
  <conditionalFormatting sqref="O30">
    <cfRule type="cellIs" dxfId="20240" priority="6395" operator="equal">
      <formula>"OFF"</formula>
    </cfRule>
    <cfRule type="cellIs" dxfId="20239" priority="6396" operator="equal">
      <formula>"PTO"</formula>
    </cfRule>
  </conditionalFormatting>
  <conditionalFormatting sqref="O30">
    <cfRule type="cellIs" dxfId="20238" priority="6393" operator="equal">
      <formula>"OFF"</formula>
    </cfRule>
    <cfRule type="cellIs" dxfId="20237" priority="6394" operator="equal">
      <formula>"PTO"</formula>
    </cfRule>
  </conditionalFormatting>
  <conditionalFormatting sqref="O30">
    <cfRule type="cellIs" dxfId="20236" priority="6391" operator="equal">
      <formula>"OFF"</formula>
    </cfRule>
    <cfRule type="cellIs" dxfId="20235" priority="6392" operator="equal">
      <formula>"PTO"</formula>
    </cfRule>
  </conditionalFormatting>
  <conditionalFormatting sqref="O30">
    <cfRule type="cellIs" dxfId="20234" priority="6389" operator="equal">
      <formula>"OFF"</formula>
    </cfRule>
    <cfRule type="cellIs" dxfId="20233" priority="6390" operator="equal">
      <formula>"PTO"</formula>
    </cfRule>
  </conditionalFormatting>
  <conditionalFormatting sqref="O30">
    <cfRule type="cellIs" dxfId="20232" priority="6387" operator="equal">
      <formula>"OFF"</formula>
    </cfRule>
    <cfRule type="cellIs" dxfId="20231" priority="6388" operator="equal">
      <formula>"PTO"</formula>
    </cfRule>
  </conditionalFormatting>
  <conditionalFormatting sqref="O30">
    <cfRule type="cellIs" dxfId="20230" priority="6385" operator="equal">
      <formula>"OFF"</formula>
    </cfRule>
    <cfRule type="cellIs" dxfId="20229" priority="6386" operator="equal">
      <formula>"PTO"</formula>
    </cfRule>
  </conditionalFormatting>
  <conditionalFormatting sqref="O30">
    <cfRule type="cellIs" dxfId="20228" priority="6383" operator="equal">
      <formula>"OFF"</formula>
    </cfRule>
    <cfRule type="cellIs" dxfId="20227" priority="6384" operator="equal">
      <formula>"PTO"</formula>
    </cfRule>
  </conditionalFormatting>
  <conditionalFormatting sqref="O30">
    <cfRule type="cellIs" dxfId="20226" priority="6381" operator="equal">
      <formula>"OFF"</formula>
    </cfRule>
    <cfRule type="cellIs" dxfId="20225" priority="6382" operator="equal">
      <formula>"PTO"</formula>
    </cfRule>
  </conditionalFormatting>
  <conditionalFormatting sqref="O30">
    <cfRule type="cellIs" dxfId="20224" priority="6379" operator="equal">
      <formula>"OFF"</formula>
    </cfRule>
    <cfRule type="cellIs" dxfId="20223" priority="6380" operator="equal">
      <formula>"PTO"</formula>
    </cfRule>
  </conditionalFormatting>
  <conditionalFormatting sqref="O30">
    <cfRule type="cellIs" dxfId="20222" priority="6377" operator="equal">
      <formula>"OFF"</formula>
    </cfRule>
    <cfRule type="cellIs" dxfId="20221" priority="6378" operator="equal">
      <formula>"PTO"</formula>
    </cfRule>
  </conditionalFormatting>
  <conditionalFormatting sqref="O30">
    <cfRule type="cellIs" dxfId="20220" priority="6375" operator="equal">
      <formula>"OFF"</formula>
    </cfRule>
    <cfRule type="cellIs" dxfId="20219" priority="6376" operator="equal">
      <formula>"PTO"</formula>
    </cfRule>
  </conditionalFormatting>
  <conditionalFormatting sqref="O30">
    <cfRule type="cellIs" dxfId="20218" priority="6373" operator="equal">
      <formula>"OFF"</formula>
    </cfRule>
    <cfRule type="cellIs" dxfId="20217" priority="6374" operator="equal">
      <formula>"PTO"</formula>
    </cfRule>
  </conditionalFormatting>
  <conditionalFormatting sqref="O30">
    <cfRule type="cellIs" dxfId="20216" priority="6371" operator="equal">
      <formula>"OFF"</formula>
    </cfRule>
    <cfRule type="cellIs" dxfId="20215" priority="6372" operator="equal">
      <formula>"PTO"</formula>
    </cfRule>
  </conditionalFormatting>
  <conditionalFormatting sqref="O30">
    <cfRule type="cellIs" dxfId="20214" priority="6369" operator="equal">
      <formula>"OFF"</formula>
    </cfRule>
    <cfRule type="cellIs" dxfId="20213" priority="6370" operator="equal">
      <formula>"PTO"</formula>
    </cfRule>
  </conditionalFormatting>
  <conditionalFormatting sqref="O30">
    <cfRule type="cellIs" dxfId="20212" priority="6367" operator="equal">
      <formula>"OFF"</formula>
    </cfRule>
    <cfRule type="cellIs" dxfId="20211" priority="6368" operator="equal">
      <formula>"PTO"</formula>
    </cfRule>
  </conditionalFormatting>
  <conditionalFormatting sqref="O30">
    <cfRule type="cellIs" dxfId="20210" priority="6365" operator="equal">
      <formula>"OFF"</formula>
    </cfRule>
    <cfRule type="cellIs" dxfId="20209" priority="6366" operator="equal">
      <formula>"PTO"</formula>
    </cfRule>
  </conditionalFormatting>
  <conditionalFormatting sqref="O30">
    <cfRule type="cellIs" dxfId="20208" priority="6363" operator="equal">
      <formula>"OFF"</formula>
    </cfRule>
    <cfRule type="cellIs" dxfId="20207" priority="6364" operator="equal">
      <formula>"PTO"</formula>
    </cfRule>
  </conditionalFormatting>
  <conditionalFormatting sqref="O30">
    <cfRule type="cellIs" dxfId="20206" priority="6361" operator="equal">
      <formula>"OFF"</formula>
    </cfRule>
    <cfRule type="cellIs" dxfId="20205" priority="6362" operator="equal">
      <formula>"PTO"</formula>
    </cfRule>
  </conditionalFormatting>
  <conditionalFormatting sqref="O30">
    <cfRule type="cellIs" dxfId="20204" priority="6359" operator="equal">
      <formula>"OFF"</formula>
    </cfRule>
    <cfRule type="cellIs" dxfId="20203" priority="6360" operator="equal">
      <formula>"PTO"</formula>
    </cfRule>
  </conditionalFormatting>
  <conditionalFormatting sqref="O30">
    <cfRule type="cellIs" dxfId="20202" priority="6357" operator="equal">
      <formula>"OFF"</formula>
    </cfRule>
    <cfRule type="cellIs" dxfId="20201" priority="6358" operator="equal">
      <formula>"PTO"</formula>
    </cfRule>
  </conditionalFormatting>
  <conditionalFormatting sqref="O30">
    <cfRule type="cellIs" dxfId="20200" priority="6355" operator="equal">
      <formula>"OFF"</formula>
    </cfRule>
    <cfRule type="cellIs" dxfId="20199" priority="6356" operator="equal">
      <formula>"PTO"</formula>
    </cfRule>
  </conditionalFormatting>
  <conditionalFormatting sqref="O30">
    <cfRule type="cellIs" dxfId="20198" priority="6353" operator="equal">
      <formula>"OFF"</formula>
    </cfRule>
    <cfRule type="cellIs" dxfId="20197" priority="6354" operator="equal">
      <formula>"PTO"</formula>
    </cfRule>
  </conditionalFormatting>
  <conditionalFormatting sqref="O30">
    <cfRule type="cellIs" dxfId="20196" priority="6351" operator="equal">
      <formula>"OFF"</formula>
    </cfRule>
    <cfRule type="cellIs" dxfId="20195" priority="6352" operator="equal">
      <formula>"PTO"</formula>
    </cfRule>
  </conditionalFormatting>
  <conditionalFormatting sqref="O30">
    <cfRule type="cellIs" dxfId="20194" priority="6349" operator="equal">
      <formula>"OFF"</formula>
    </cfRule>
    <cfRule type="cellIs" dxfId="20193" priority="6350" operator="equal">
      <formula>"PTO"</formula>
    </cfRule>
  </conditionalFormatting>
  <conditionalFormatting sqref="O30">
    <cfRule type="cellIs" dxfId="20192" priority="6347" operator="equal">
      <formula>"OFF"</formula>
    </cfRule>
    <cfRule type="cellIs" dxfId="20191" priority="6348" operator="equal">
      <formula>"PTO"</formula>
    </cfRule>
  </conditionalFormatting>
  <conditionalFormatting sqref="O30">
    <cfRule type="cellIs" dxfId="20190" priority="6345" operator="equal">
      <formula>"OFF"</formula>
    </cfRule>
    <cfRule type="cellIs" dxfId="20189" priority="6346" operator="equal">
      <formula>"PTO"</formula>
    </cfRule>
  </conditionalFormatting>
  <conditionalFormatting sqref="O30">
    <cfRule type="cellIs" dxfId="20188" priority="6343" operator="equal">
      <formula>"OFF"</formula>
    </cfRule>
    <cfRule type="cellIs" dxfId="20187" priority="6344" operator="equal">
      <formula>"PTO"</formula>
    </cfRule>
  </conditionalFormatting>
  <conditionalFormatting sqref="O30">
    <cfRule type="cellIs" dxfId="20186" priority="6341" operator="equal">
      <formula>"OFF"</formula>
    </cfRule>
    <cfRule type="cellIs" dxfId="20185" priority="6342" operator="equal">
      <formula>"PTO"</formula>
    </cfRule>
  </conditionalFormatting>
  <conditionalFormatting sqref="O30">
    <cfRule type="cellIs" dxfId="20184" priority="6339" operator="equal">
      <formula>"OFF"</formula>
    </cfRule>
    <cfRule type="cellIs" dxfId="20183" priority="6340" operator="equal">
      <formula>"PTO"</formula>
    </cfRule>
  </conditionalFormatting>
  <conditionalFormatting sqref="O30">
    <cfRule type="cellIs" dxfId="20182" priority="6337" operator="equal">
      <formula>"OFF"</formula>
    </cfRule>
    <cfRule type="cellIs" dxfId="20181" priority="6338" operator="equal">
      <formula>"PTO"</formula>
    </cfRule>
  </conditionalFormatting>
  <conditionalFormatting sqref="O30">
    <cfRule type="cellIs" dxfId="20180" priority="6335" operator="equal">
      <formula>"OFF"</formula>
    </cfRule>
    <cfRule type="cellIs" dxfId="20179" priority="6336" operator="equal">
      <formula>"PTO"</formula>
    </cfRule>
  </conditionalFormatting>
  <conditionalFormatting sqref="O30">
    <cfRule type="cellIs" dxfId="20178" priority="6333" operator="equal">
      <formula>"OFF"</formula>
    </cfRule>
    <cfRule type="cellIs" dxfId="20177" priority="6334" operator="equal">
      <formula>"PTO"</formula>
    </cfRule>
  </conditionalFormatting>
  <conditionalFormatting sqref="O30">
    <cfRule type="cellIs" dxfId="20176" priority="6331" operator="equal">
      <formula>"OFF"</formula>
    </cfRule>
    <cfRule type="cellIs" dxfId="20175" priority="6332" operator="equal">
      <formula>"PTO"</formula>
    </cfRule>
  </conditionalFormatting>
  <conditionalFormatting sqref="O30">
    <cfRule type="cellIs" dxfId="20174" priority="6329" operator="equal">
      <formula>"OFF"</formula>
    </cfRule>
    <cfRule type="cellIs" dxfId="20173" priority="6330" operator="equal">
      <formula>"PTO"</formula>
    </cfRule>
  </conditionalFormatting>
  <conditionalFormatting sqref="O30">
    <cfRule type="cellIs" dxfId="20172" priority="6327" operator="equal">
      <formula>"OFF"</formula>
    </cfRule>
    <cfRule type="cellIs" dxfId="20171" priority="6328" operator="equal">
      <formula>"PTO"</formula>
    </cfRule>
  </conditionalFormatting>
  <conditionalFormatting sqref="O30">
    <cfRule type="cellIs" dxfId="20170" priority="6325" operator="equal">
      <formula>"OFF"</formula>
    </cfRule>
    <cfRule type="cellIs" dxfId="20169" priority="6326" operator="equal">
      <formula>"PTO"</formula>
    </cfRule>
  </conditionalFormatting>
  <conditionalFormatting sqref="O30">
    <cfRule type="cellIs" dxfId="20168" priority="6323" operator="equal">
      <formula>"OFF"</formula>
    </cfRule>
    <cfRule type="cellIs" dxfId="20167" priority="6324" operator="equal">
      <formula>"PTO"</formula>
    </cfRule>
  </conditionalFormatting>
  <conditionalFormatting sqref="O30">
    <cfRule type="cellIs" dxfId="20166" priority="6321" operator="equal">
      <formula>"OFF"</formula>
    </cfRule>
    <cfRule type="cellIs" dxfId="20165" priority="6322" operator="equal">
      <formula>"PTO"</formula>
    </cfRule>
  </conditionalFormatting>
  <conditionalFormatting sqref="O30">
    <cfRule type="cellIs" dxfId="20164" priority="6319" operator="equal">
      <formula>"OFF"</formula>
    </cfRule>
    <cfRule type="cellIs" dxfId="20163" priority="6320" operator="equal">
      <formula>"PTO"</formula>
    </cfRule>
  </conditionalFormatting>
  <conditionalFormatting sqref="O30">
    <cfRule type="cellIs" dxfId="20162" priority="6317" operator="equal">
      <formula>"OFF"</formula>
    </cfRule>
    <cfRule type="cellIs" dxfId="20161" priority="6318" operator="equal">
      <formula>"PTO"</formula>
    </cfRule>
  </conditionalFormatting>
  <conditionalFormatting sqref="O30">
    <cfRule type="cellIs" dxfId="20160" priority="6315" operator="equal">
      <formula>"OFF"</formula>
    </cfRule>
    <cfRule type="cellIs" dxfId="20159" priority="6316" operator="equal">
      <formula>"PTO"</formula>
    </cfRule>
  </conditionalFormatting>
  <conditionalFormatting sqref="O30">
    <cfRule type="cellIs" dxfId="20158" priority="6313" operator="equal">
      <formula>"OFF"</formula>
    </cfRule>
    <cfRule type="cellIs" dxfId="20157" priority="6314" operator="equal">
      <formula>"PTO"</formula>
    </cfRule>
  </conditionalFormatting>
  <conditionalFormatting sqref="O30">
    <cfRule type="cellIs" dxfId="20156" priority="6311" operator="equal">
      <formula>"OFF"</formula>
    </cfRule>
    <cfRule type="cellIs" dxfId="20155" priority="6312" operator="equal">
      <formula>"PTO"</formula>
    </cfRule>
  </conditionalFormatting>
  <conditionalFormatting sqref="O30">
    <cfRule type="cellIs" dxfId="20154" priority="6309" operator="equal">
      <formula>"OFF"</formula>
    </cfRule>
    <cfRule type="cellIs" dxfId="20153" priority="6310" operator="equal">
      <formula>"PTO"</formula>
    </cfRule>
  </conditionalFormatting>
  <conditionalFormatting sqref="O30">
    <cfRule type="cellIs" dxfId="20152" priority="6307" operator="equal">
      <formula>"OFF"</formula>
    </cfRule>
    <cfRule type="cellIs" dxfId="20151" priority="6308" operator="equal">
      <formula>"PTO"</formula>
    </cfRule>
  </conditionalFormatting>
  <conditionalFormatting sqref="O30">
    <cfRule type="cellIs" dxfId="20150" priority="6305" operator="equal">
      <formula>"OFF"</formula>
    </cfRule>
    <cfRule type="cellIs" dxfId="20149" priority="6306" operator="equal">
      <formula>"PTO"</formula>
    </cfRule>
  </conditionalFormatting>
  <conditionalFormatting sqref="O26">
    <cfRule type="cellIs" dxfId="20148" priority="6303" operator="equal">
      <formula>"OFF"</formula>
    </cfRule>
    <cfRule type="cellIs" dxfId="20147" priority="6304" operator="equal">
      <formula>"PTO"</formula>
    </cfRule>
  </conditionalFormatting>
  <conditionalFormatting sqref="O26">
    <cfRule type="cellIs" dxfId="20146" priority="6301" operator="equal">
      <formula>"OFF"</formula>
    </cfRule>
    <cfRule type="cellIs" dxfId="20145" priority="6302" operator="equal">
      <formula>"PTO"</formula>
    </cfRule>
  </conditionalFormatting>
  <conditionalFormatting sqref="O26">
    <cfRule type="cellIs" dxfId="20144" priority="6299" operator="equal">
      <formula>"OFF"</formula>
    </cfRule>
    <cfRule type="cellIs" dxfId="20143" priority="6300" operator="equal">
      <formula>"PTO"</formula>
    </cfRule>
  </conditionalFormatting>
  <conditionalFormatting sqref="O26">
    <cfRule type="cellIs" dxfId="20142" priority="6297" operator="equal">
      <formula>"OFF"</formula>
    </cfRule>
    <cfRule type="cellIs" dxfId="20141" priority="6298" operator="equal">
      <formula>"PTO"</formula>
    </cfRule>
  </conditionalFormatting>
  <conditionalFormatting sqref="O26">
    <cfRule type="cellIs" dxfId="20140" priority="6295" operator="equal">
      <formula>"OFF"</formula>
    </cfRule>
    <cfRule type="cellIs" dxfId="20139" priority="6296" operator="equal">
      <formula>"PTO"</formula>
    </cfRule>
  </conditionalFormatting>
  <conditionalFormatting sqref="O26">
    <cfRule type="cellIs" dxfId="20138" priority="6293" operator="equal">
      <formula>"OFF"</formula>
    </cfRule>
    <cfRule type="cellIs" dxfId="20137" priority="6294" operator="equal">
      <formula>"PTO"</formula>
    </cfRule>
  </conditionalFormatting>
  <conditionalFormatting sqref="O26">
    <cfRule type="cellIs" dxfId="20136" priority="6291" operator="equal">
      <formula>"OFF"</formula>
    </cfRule>
    <cfRule type="cellIs" dxfId="20135" priority="6292" operator="equal">
      <formula>"PTO"</formula>
    </cfRule>
  </conditionalFormatting>
  <conditionalFormatting sqref="O26">
    <cfRule type="cellIs" dxfId="20134" priority="6289" operator="equal">
      <formula>"OFF"</formula>
    </cfRule>
    <cfRule type="cellIs" dxfId="20133" priority="6290" operator="equal">
      <formula>"PTO"</formula>
    </cfRule>
  </conditionalFormatting>
  <conditionalFormatting sqref="O27">
    <cfRule type="cellIs" dxfId="20132" priority="6287" operator="equal">
      <formula>"OFF"</formula>
    </cfRule>
    <cfRule type="cellIs" dxfId="20131" priority="6288" operator="equal">
      <formula>"PTO"</formula>
    </cfRule>
  </conditionalFormatting>
  <conditionalFormatting sqref="O27">
    <cfRule type="cellIs" dxfId="20130" priority="6285" operator="equal">
      <formula>"OFF"</formula>
    </cfRule>
    <cfRule type="cellIs" dxfId="20129" priority="6286" operator="equal">
      <formula>"PTO"</formula>
    </cfRule>
  </conditionalFormatting>
  <conditionalFormatting sqref="O27">
    <cfRule type="cellIs" dxfId="20128" priority="6283" operator="equal">
      <formula>"OFF"</formula>
    </cfRule>
    <cfRule type="cellIs" dxfId="20127" priority="6284" operator="equal">
      <formula>"PTO"</formula>
    </cfRule>
  </conditionalFormatting>
  <conditionalFormatting sqref="O27">
    <cfRule type="cellIs" dxfId="20126" priority="6281" operator="equal">
      <formula>"OFF"</formula>
    </cfRule>
    <cfRule type="cellIs" dxfId="20125" priority="6282" operator="equal">
      <formula>"PTO"</formula>
    </cfRule>
  </conditionalFormatting>
  <conditionalFormatting sqref="O27">
    <cfRule type="cellIs" dxfId="20124" priority="6279" operator="equal">
      <formula>"OFF"</formula>
    </cfRule>
    <cfRule type="cellIs" dxfId="20123" priority="6280" operator="equal">
      <formula>"PTO"</formula>
    </cfRule>
  </conditionalFormatting>
  <conditionalFormatting sqref="O27">
    <cfRule type="cellIs" dxfId="20122" priority="6277" operator="equal">
      <formula>"OFF"</formula>
    </cfRule>
    <cfRule type="cellIs" dxfId="20121" priority="6278" operator="equal">
      <formula>"PTO"</formula>
    </cfRule>
  </conditionalFormatting>
  <conditionalFormatting sqref="O27">
    <cfRule type="cellIs" dxfId="20120" priority="6275" operator="equal">
      <formula>"OFF"</formula>
    </cfRule>
    <cfRule type="cellIs" dxfId="20119" priority="6276" operator="equal">
      <formula>"PTO"</formula>
    </cfRule>
  </conditionalFormatting>
  <conditionalFormatting sqref="O27">
    <cfRule type="cellIs" dxfId="20118" priority="6273" operator="equal">
      <formula>"OFF"</formula>
    </cfRule>
    <cfRule type="cellIs" dxfId="20117" priority="6274" operator="equal">
      <formula>"PTO"</formula>
    </cfRule>
  </conditionalFormatting>
  <conditionalFormatting sqref="O26">
    <cfRule type="cellIs" dxfId="20116" priority="6271" operator="equal">
      <formula>"OFF"</formula>
    </cfRule>
    <cfRule type="cellIs" dxfId="20115" priority="6272" operator="equal">
      <formula>"PTO"</formula>
    </cfRule>
  </conditionalFormatting>
  <conditionalFormatting sqref="O26">
    <cfRule type="cellIs" dxfId="20114" priority="6269" operator="equal">
      <formula>"OFF"</formula>
    </cfRule>
    <cfRule type="cellIs" dxfId="20113" priority="6270" operator="equal">
      <formula>"PTO"</formula>
    </cfRule>
  </conditionalFormatting>
  <conditionalFormatting sqref="O26">
    <cfRule type="cellIs" dxfId="20112" priority="6267" operator="equal">
      <formula>"OFF"</formula>
    </cfRule>
    <cfRule type="cellIs" dxfId="20111" priority="6268" operator="equal">
      <formula>"PTO"</formula>
    </cfRule>
  </conditionalFormatting>
  <conditionalFormatting sqref="O26">
    <cfRule type="cellIs" dxfId="20110" priority="6265" operator="equal">
      <formula>"OFF"</formula>
    </cfRule>
    <cfRule type="cellIs" dxfId="20109" priority="6266" operator="equal">
      <formula>"PTO"</formula>
    </cfRule>
  </conditionalFormatting>
  <conditionalFormatting sqref="O26">
    <cfRule type="cellIs" dxfId="20108" priority="6263" operator="equal">
      <formula>"OFF"</formula>
    </cfRule>
    <cfRule type="cellIs" dxfId="20107" priority="6264" operator="equal">
      <formula>"PTO"</formula>
    </cfRule>
  </conditionalFormatting>
  <conditionalFormatting sqref="O26">
    <cfRule type="cellIs" dxfId="20106" priority="6261" operator="equal">
      <formula>"OFF"</formula>
    </cfRule>
    <cfRule type="cellIs" dxfId="20105" priority="6262" operator="equal">
      <formula>"PTO"</formula>
    </cfRule>
  </conditionalFormatting>
  <conditionalFormatting sqref="O26">
    <cfRule type="cellIs" dxfId="20104" priority="6259" operator="equal">
      <formula>"OFF"</formula>
    </cfRule>
    <cfRule type="cellIs" dxfId="20103" priority="6260" operator="equal">
      <formula>"PTO"</formula>
    </cfRule>
  </conditionalFormatting>
  <conditionalFormatting sqref="O26">
    <cfRule type="cellIs" dxfId="20102" priority="6257" operator="equal">
      <formula>"OFF"</formula>
    </cfRule>
    <cfRule type="cellIs" dxfId="20101" priority="6258" operator="equal">
      <formula>"PTO"</formula>
    </cfRule>
  </conditionalFormatting>
  <conditionalFormatting sqref="O27">
    <cfRule type="cellIs" dxfId="20100" priority="6255" operator="equal">
      <formula>"OFF"</formula>
    </cfRule>
    <cfRule type="cellIs" dxfId="20099" priority="6256" operator="equal">
      <formula>"PTO"</formula>
    </cfRule>
  </conditionalFormatting>
  <conditionalFormatting sqref="O27">
    <cfRule type="cellIs" dxfId="20098" priority="6253" operator="equal">
      <formula>"OFF"</formula>
    </cfRule>
    <cfRule type="cellIs" dxfId="20097" priority="6254" operator="equal">
      <formula>"PTO"</formula>
    </cfRule>
  </conditionalFormatting>
  <conditionalFormatting sqref="O27">
    <cfRule type="cellIs" dxfId="20096" priority="6251" operator="equal">
      <formula>"OFF"</formula>
    </cfRule>
    <cfRule type="cellIs" dxfId="20095" priority="6252" operator="equal">
      <formula>"PTO"</formula>
    </cfRule>
  </conditionalFormatting>
  <conditionalFormatting sqref="O27">
    <cfRule type="cellIs" dxfId="20094" priority="6249" operator="equal">
      <formula>"OFF"</formula>
    </cfRule>
    <cfRule type="cellIs" dxfId="20093" priority="6250" operator="equal">
      <formula>"PTO"</formula>
    </cfRule>
  </conditionalFormatting>
  <conditionalFormatting sqref="O27">
    <cfRule type="cellIs" dxfId="20092" priority="6247" operator="equal">
      <formula>"OFF"</formula>
    </cfRule>
    <cfRule type="cellIs" dxfId="20091" priority="6248" operator="equal">
      <formula>"PTO"</formula>
    </cfRule>
  </conditionalFormatting>
  <conditionalFormatting sqref="O27">
    <cfRule type="cellIs" dxfId="20090" priority="6245" operator="equal">
      <formula>"OFF"</formula>
    </cfRule>
    <cfRule type="cellIs" dxfId="20089" priority="6246" operator="equal">
      <formula>"PTO"</formula>
    </cfRule>
  </conditionalFormatting>
  <conditionalFormatting sqref="O27">
    <cfRule type="cellIs" dxfId="20088" priority="6243" operator="equal">
      <formula>"OFF"</formula>
    </cfRule>
    <cfRule type="cellIs" dxfId="20087" priority="6244" operator="equal">
      <formula>"PTO"</formula>
    </cfRule>
  </conditionalFormatting>
  <conditionalFormatting sqref="O27">
    <cfRule type="cellIs" dxfId="20086" priority="6241" operator="equal">
      <formula>"OFF"</formula>
    </cfRule>
    <cfRule type="cellIs" dxfId="20085" priority="6242" operator="equal">
      <formula>"PTO"</formula>
    </cfRule>
  </conditionalFormatting>
  <conditionalFormatting sqref="O26">
    <cfRule type="cellIs" dxfId="20084" priority="6239" operator="equal">
      <formula>"OFF"</formula>
    </cfRule>
    <cfRule type="cellIs" dxfId="20083" priority="6240" operator="equal">
      <formula>"PTO"</formula>
    </cfRule>
  </conditionalFormatting>
  <conditionalFormatting sqref="O26">
    <cfRule type="cellIs" dxfId="20082" priority="6237" operator="equal">
      <formula>"OFF"</formula>
    </cfRule>
    <cfRule type="cellIs" dxfId="20081" priority="6238" operator="equal">
      <formula>"PTO"</formula>
    </cfRule>
  </conditionalFormatting>
  <conditionalFormatting sqref="O26">
    <cfRule type="cellIs" dxfId="20080" priority="6235" operator="equal">
      <formula>"OFF"</formula>
    </cfRule>
    <cfRule type="cellIs" dxfId="20079" priority="6236" operator="equal">
      <formula>"PTO"</formula>
    </cfRule>
  </conditionalFormatting>
  <conditionalFormatting sqref="O26">
    <cfRule type="cellIs" dxfId="20078" priority="6233" operator="equal">
      <formula>"OFF"</formula>
    </cfRule>
    <cfRule type="cellIs" dxfId="20077" priority="6234" operator="equal">
      <formula>"PTO"</formula>
    </cfRule>
  </conditionalFormatting>
  <conditionalFormatting sqref="O26">
    <cfRule type="cellIs" dxfId="20076" priority="6231" operator="equal">
      <formula>"OFF"</formula>
    </cfRule>
    <cfRule type="cellIs" dxfId="20075" priority="6232" operator="equal">
      <formula>"PTO"</formula>
    </cfRule>
  </conditionalFormatting>
  <conditionalFormatting sqref="O26">
    <cfRule type="cellIs" dxfId="20074" priority="6229" operator="equal">
      <formula>"OFF"</formula>
    </cfRule>
    <cfRule type="cellIs" dxfId="20073" priority="6230" operator="equal">
      <formula>"PTO"</formula>
    </cfRule>
  </conditionalFormatting>
  <conditionalFormatting sqref="O26">
    <cfRule type="cellIs" dxfId="20072" priority="6227" operator="equal">
      <formula>"OFF"</formula>
    </cfRule>
    <cfRule type="cellIs" dxfId="20071" priority="6228" operator="equal">
      <formula>"PTO"</formula>
    </cfRule>
  </conditionalFormatting>
  <conditionalFormatting sqref="O26">
    <cfRule type="cellIs" dxfId="20070" priority="6225" operator="equal">
      <formula>"OFF"</formula>
    </cfRule>
    <cfRule type="cellIs" dxfId="20069" priority="6226" operator="equal">
      <formula>"PTO"</formula>
    </cfRule>
  </conditionalFormatting>
  <conditionalFormatting sqref="O27">
    <cfRule type="cellIs" dxfId="20068" priority="6223" operator="equal">
      <formula>"OFF"</formula>
    </cfRule>
    <cfRule type="cellIs" dxfId="20067" priority="6224" operator="equal">
      <formula>"PTO"</formula>
    </cfRule>
  </conditionalFormatting>
  <conditionalFormatting sqref="O27">
    <cfRule type="cellIs" dxfId="20066" priority="6221" operator="equal">
      <formula>"OFF"</formula>
    </cfRule>
    <cfRule type="cellIs" dxfId="20065" priority="6222" operator="equal">
      <formula>"PTO"</formula>
    </cfRule>
  </conditionalFormatting>
  <conditionalFormatting sqref="O27">
    <cfRule type="cellIs" dxfId="20064" priority="6219" operator="equal">
      <formula>"OFF"</formula>
    </cfRule>
    <cfRule type="cellIs" dxfId="20063" priority="6220" operator="equal">
      <formula>"PTO"</formula>
    </cfRule>
  </conditionalFormatting>
  <conditionalFormatting sqref="O27">
    <cfRule type="cellIs" dxfId="20062" priority="6217" operator="equal">
      <formula>"OFF"</formula>
    </cfRule>
    <cfRule type="cellIs" dxfId="20061" priority="6218" operator="equal">
      <formula>"PTO"</formula>
    </cfRule>
  </conditionalFormatting>
  <conditionalFormatting sqref="O27">
    <cfRule type="cellIs" dxfId="20060" priority="6215" operator="equal">
      <formula>"OFF"</formula>
    </cfRule>
    <cfRule type="cellIs" dxfId="20059" priority="6216" operator="equal">
      <formula>"PTO"</formula>
    </cfRule>
  </conditionalFormatting>
  <conditionalFormatting sqref="O27">
    <cfRule type="cellIs" dxfId="20058" priority="6213" operator="equal">
      <formula>"OFF"</formula>
    </cfRule>
    <cfRule type="cellIs" dxfId="20057" priority="6214" operator="equal">
      <formula>"PTO"</formula>
    </cfRule>
  </conditionalFormatting>
  <conditionalFormatting sqref="O27">
    <cfRule type="cellIs" dxfId="20056" priority="6211" operator="equal">
      <formula>"OFF"</formula>
    </cfRule>
    <cfRule type="cellIs" dxfId="20055" priority="6212" operator="equal">
      <formula>"PTO"</formula>
    </cfRule>
  </conditionalFormatting>
  <conditionalFormatting sqref="O27">
    <cfRule type="cellIs" dxfId="20054" priority="6209" operator="equal">
      <formula>"OFF"</formula>
    </cfRule>
    <cfRule type="cellIs" dxfId="20053" priority="6210" operator="equal">
      <formula>"PTO"</formula>
    </cfRule>
  </conditionalFormatting>
  <conditionalFormatting sqref="O26">
    <cfRule type="cellIs" dxfId="20052" priority="6207" operator="equal">
      <formula>"OFF"</formula>
    </cfRule>
    <cfRule type="cellIs" dxfId="20051" priority="6208" operator="equal">
      <formula>"PTO"</formula>
    </cfRule>
  </conditionalFormatting>
  <conditionalFormatting sqref="O26">
    <cfRule type="cellIs" dxfId="20050" priority="6205" operator="equal">
      <formula>"OFF"</formula>
    </cfRule>
    <cfRule type="cellIs" dxfId="20049" priority="6206" operator="equal">
      <formula>"PTO"</formula>
    </cfRule>
  </conditionalFormatting>
  <conditionalFormatting sqref="O26">
    <cfRule type="cellIs" dxfId="20048" priority="6203" operator="equal">
      <formula>"OFF"</formula>
    </cfRule>
    <cfRule type="cellIs" dxfId="20047" priority="6204" operator="equal">
      <formula>"PTO"</formula>
    </cfRule>
  </conditionalFormatting>
  <conditionalFormatting sqref="O26">
    <cfRule type="cellIs" dxfId="20046" priority="6201" operator="equal">
      <formula>"OFF"</formula>
    </cfRule>
    <cfRule type="cellIs" dxfId="20045" priority="6202" operator="equal">
      <formula>"PTO"</formula>
    </cfRule>
  </conditionalFormatting>
  <conditionalFormatting sqref="O26">
    <cfRule type="cellIs" dxfId="20044" priority="6199" operator="equal">
      <formula>"OFF"</formula>
    </cfRule>
    <cfRule type="cellIs" dxfId="20043" priority="6200" operator="equal">
      <formula>"PTO"</formula>
    </cfRule>
  </conditionalFormatting>
  <conditionalFormatting sqref="O26">
    <cfRule type="cellIs" dxfId="20042" priority="6197" operator="equal">
      <formula>"OFF"</formula>
    </cfRule>
    <cfRule type="cellIs" dxfId="20041" priority="6198" operator="equal">
      <formula>"PTO"</formula>
    </cfRule>
  </conditionalFormatting>
  <conditionalFormatting sqref="O26">
    <cfRule type="cellIs" dxfId="20040" priority="6195" operator="equal">
      <formula>"OFF"</formula>
    </cfRule>
    <cfRule type="cellIs" dxfId="20039" priority="6196" operator="equal">
      <formula>"PTO"</formula>
    </cfRule>
  </conditionalFormatting>
  <conditionalFormatting sqref="O26">
    <cfRule type="cellIs" dxfId="20038" priority="6193" operator="equal">
      <formula>"OFF"</formula>
    </cfRule>
    <cfRule type="cellIs" dxfId="20037" priority="6194" operator="equal">
      <formula>"PTO"</formula>
    </cfRule>
  </conditionalFormatting>
  <conditionalFormatting sqref="O27">
    <cfRule type="cellIs" dxfId="20036" priority="6191" operator="equal">
      <formula>"OFF"</formula>
    </cfRule>
    <cfRule type="cellIs" dxfId="20035" priority="6192" operator="equal">
      <formula>"PTO"</formula>
    </cfRule>
  </conditionalFormatting>
  <conditionalFormatting sqref="O27">
    <cfRule type="cellIs" dxfId="20034" priority="6189" operator="equal">
      <formula>"OFF"</formula>
    </cfRule>
    <cfRule type="cellIs" dxfId="20033" priority="6190" operator="equal">
      <formula>"PTO"</formula>
    </cfRule>
  </conditionalFormatting>
  <conditionalFormatting sqref="O27">
    <cfRule type="cellIs" dxfId="20032" priority="6187" operator="equal">
      <formula>"OFF"</formula>
    </cfRule>
    <cfRule type="cellIs" dxfId="20031" priority="6188" operator="equal">
      <formula>"PTO"</formula>
    </cfRule>
  </conditionalFormatting>
  <conditionalFormatting sqref="O27">
    <cfRule type="cellIs" dxfId="20030" priority="6185" operator="equal">
      <formula>"OFF"</formula>
    </cfRule>
    <cfRule type="cellIs" dxfId="20029" priority="6186" operator="equal">
      <formula>"PTO"</formula>
    </cfRule>
  </conditionalFormatting>
  <conditionalFormatting sqref="O27">
    <cfRule type="cellIs" dxfId="20028" priority="6183" operator="equal">
      <formula>"OFF"</formula>
    </cfRule>
    <cfRule type="cellIs" dxfId="20027" priority="6184" operator="equal">
      <formula>"PTO"</formula>
    </cfRule>
  </conditionalFormatting>
  <conditionalFormatting sqref="O27">
    <cfRule type="cellIs" dxfId="20026" priority="6181" operator="equal">
      <formula>"OFF"</formula>
    </cfRule>
    <cfRule type="cellIs" dxfId="20025" priority="6182" operator="equal">
      <formula>"PTO"</formula>
    </cfRule>
  </conditionalFormatting>
  <conditionalFormatting sqref="O27">
    <cfRule type="cellIs" dxfId="20024" priority="6179" operator="equal">
      <formula>"OFF"</formula>
    </cfRule>
    <cfRule type="cellIs" dxfId="20023" priority="6180" operator="equal">
      <formula>"PTO"</formula>
    </cfRule>
  </conditionalFormatting>
  <conditionalFormatting sqref="O27">
    <cfRule type="cellIs" dxfId="20022" priority="6177" operator="equal">
      <formula>"OFF"</formula>
    </cfRule>
    <cfRule type="cellIs" dxfId="20021" priority="6178" operator="equal">
      <formula>"PTO"</formula>
    </cfRule>
  </conditionalFormatting>
  <conditionalFormatting sqref="O26">
    <cfRule type="cellIs" dxfId="20020" priority="6175" operator="equal">
      <formula>"OFF"</formula>
    </cfRule>
    <cfRule type="cellIs" dxfId="20019" priority="6176" operator="equal">
      <formula>"PTO"</formula>
    </cfRule>
  </conditionalFormatting>
  <conditionalFormatting sqref="O26">
    <cfRule type="cellIs" dxfId="20018" priority="6173" operator="equal">
      <formula>"OFF"</formula>
    </cfRule>
    <cfRule type="cellIs" dxfId="20017" priority="6174" operator="equal">
      <formula>"PTO"</formula>
    </cfRule>
  </conditionalFormatting>
  <conditionalFormatting sqref="O26">
    <cfRule type="cellIs" dxfId="20016" priority="6171" operator="equal">
      <formula>"OFF"</formula>
    </cfRule>
    <cfRule type="cellIs" dxfId="20015" priority="6172" operator="equal">
      <formula>"PTO"</formula>
    </cfRule>
  </conditionalFormatting>
  <conditionalFormatting sqref="O26">
    <cfRule type="cellIs" dxfId="20014" priority="6169" operator="equal">
      <formula>"OFF"</formula>
    </cfRule>
    <cfRule type="cellIs" dxfId="20013" priority="6170" operator="equal">
      <formula>"PTO"</formula>
    </cfRule>
  </conditionalFormatting>
  <conditionalFormatting sqref="O26">
    <cfRule type="cellIs" dxfId="20012" priority="6167" operator="equal">
      <formula>"OFF"</formula>
    </cfRule>
    <cfRule type="cellIs" dxfId="20011" priority="6168" operator="equal">
      <formula>"PTO"</formula>
    </cfRule>
  </conditionalFormatting>
  <conditionalFormatting sqref="O26">
    <cfRule type="cellIs" dxfId="20010" priority="6165" operator="equal">
      <formula>"OFF"</formula>
    </cfRule>
    <cfRule type="cellIs" dxfId="20009" priority="6166" operator="equal">
      <formula>"PTO"</formula>
    </cfRule>
  </conditionalFormatting>
  <conditionalFormatting sqref="O26">
    <cfRule type="cellIs" dxfId="20008" priority="6163" operator="equal">
      <formula>"OFF"</formula>
    </cfRule>
    <cfRule type="cellIs" dxfId="20007" priority="6164" operator="equal">
      <formula>"PTO"</formula>
    </cfRule>
  </conditionalFormatting>
  <conditionalFormatting sqref="O26">
    <cfRule type="cellIs" dxfId="20006" priority="6161" operator="equal">
      <formula>"OFF"</formula>
    </cfRule>
    <cfRule type="cellIs" dxfId="20005" priority="6162" operator="equal">
      <formula>"PTO"</formula>
    </cfRule>
  </conditionalFormatting>
  <conditionalFormatting sqref="O27">
    <cfRule type="cellIs" dxfId="20004" priority="6159" operator="equal">
      <formula>"OFF"</formula>
    </cfRule>
    <cfRule type="cellIs" dxfId="20003" priority="6160" operator="equal">
      <formula>"PTO"</formula>
    </cfRule>
  </conditionalFormatting>
  <conditionalFormatting sqref="O27">
    <cfRule type="cellIs" dxfId="20002" priority="6157" operator="equal">
      <formula>"OFF"</formula>
    </cfRule>
    <cfRule type="cellIs" dxfId="20001" priority="6158" operator="equal">
      <formula>"PTO"</formula>
    </cfRule>
  </conditionalFormatting>
  <conditionalFormatting sqref="O27">
    <cfRule type="cellIs" dxfId="20000" priority="6155" operator="equal">
      <formula>"OFF"</formula>
    </cfRule>
    <cfRule type="cellIs" dxfId="19999" priority="6156" operator="equal">
      <formula>"PTO"</formula>
    </cfRule>
  </conditionalFormatting>
  <conditionalFormatting sqref="O27">
    <cfRule type="cellIs" dxfId="19998" priority="6153" operator="equal">
      <formula>"OFF"</formula>
    </cfRule>
    <cfRule type="cellIs" dxfId="19997" priority="6154" operator="equal">
      <formula>"PTO"</formula>
    </cfRule>
  </conditionalFormatting>
  <conditionalFormatting sqref="O27">
    <cfRule type="cellIs" dxfId="19996" priority="6151" operator="equal">
      <formula>"OFF"</formula>
    </cfRule>
    <cfRule type="cellIs" dxfId="19995" priority="6152" operator="equal">
      <formula>"PTO"</formula>
    </cfRule>
  </conditionalFormatting>
  <conditionalFormatting sqref="O27">
    <cfRule type="cellIs" dxfId="19994" priority="6149" operator="equal">
      <formula>"OFF"</formula>
    </cfRule>
    <cfRule type="cellIs" dxfId="19993" priority="6150" operator="equal">
      <formula>"PTO"</formula>
    </cfRule>
  </conditionalFormatting>
  <conditionalFormatting sqref="O27">
    <cfRule type="cellIs" dxfId="19992" priority="6147" operator="equal">
      <formula>"OFF"</formula>
    </cfRule>
    <cfRule type="cellIs" dxfId="19991" priority="6148" operator="equal">
      <formula>"PTO"</formula>
    </cfRule>
  </conditionalFormatting>
  <conditionalFormatting sqref="O27">
    <cfRule type="cellIs" dxfId="19990" priority="6145" operator="equal">
      <formula>"OFF"</formula>
    </cfRule>
    <cfRule type="cellIs" dxfId="19989" priority="6146" operator="equal">
      <formula>"PTO"</formula>
    </cfRule>
  </conditionalFormatting>
  <conditionalFormatting sqref="O26">
    <cfRule type="cellIs" dxfId="19988" priority="6143" operator="equal">
      <formula>"OFF"</formula>
    </cfRule>
    <cfRule type="cellIs" dxfId="19987" priority="6144" operator="equal">
      <formula>"PTO"</formula>
    </cfRule>
  </conditionalFormatting>
  <conditionalFormatting sqref="O26">
    <cfRule type="cellIs" dxfId="19986" priority="6141" operator="equal">
      <formula>"OFF"</formula>
    </cfRule>
    <cfRule type="cellIs" dxfId="19985" priority="6142" operator="equal">
      <formula>"PTO"</formula>
    </cfRule>
  </conditionalFormatting>
  <conditionalFormatting sqref="O26">
    <cfRule type="cellIs" dxfId="19984" priority="6139" operator="equal">
      <formula>"OFF"</formula>
    </cfRule>
    <cfRule type="cellIs" dxfId="19983" priority="6140" operator="equal">
      <formula>"PTO"</formula>
    </cfRule>
  </conditionalFormatting>
  <conditionalFormatting sqref="O26">
    <cfRule type="cellIs" dxfId="19982" priority="6137" operator="equal">
      <formula>"OFF"</formula>
    </cfRule>
    <cfRule type="cellIs" dxfId="19981" priority="6138" operator="equal">
      <formula>"PTO"</formula>
    </cfRule>
  </conditionalFormatting>
  <conditionalFormatting sqref="O26">
    <cfRule type="cellIs" dxfId="19980" priority="6135" operator="equal">
      <formula>"OFF"</formula>
    </cfRule>
    <cfRule type="cellIs" dxfId="19979" priority="6136" operator="equal">
      <formula>"PTO"</formula>
    </cfRule>
  </conditionalFormatting>
  <conditionalFormatting sqref="O26">
    <cfRule type="cellIs" dxfId="19978" priority="6133" operator="equal">
      <formula>"OFF"</formula>
    </cfRule>
    <cfRule type="cellIs" dxfId="19977" priority="6134" operator="equal">
      <formula>"PTO"</formula>
    </cfRule>
  </conditionalFormatting>
  <conditionalFormatting sqref="O26">
    <cfRule type="cellIs" dxfId="19976" priority="6131" operator="equal">
      <formula>"OFF"</formula>
    </cfRule>
    <cfRule type="cellIs" dxfId="19975" priority="6132" operator="equal">
      <formula>"PTO"</formula>
    </cfRule>
  </conditionalFormatting>
  <conditionalFormatting sqref="O26">
    <cfRule type="cellIs" dxfId="19974" priority="6129" operator="equal">
      <formula>"OFF"</formula>
    </cfRule>
    <cfRule type="cellIs" dxfId="19973" priority="6130" operator="equal">
      <formula>"PTO"</formula>
    </cfRule>
  </conditionalFormatting>
  <conditionalFormatting sqref="O27">
    <cfRule type="cellIs" dxfId="19972" priority="6127" operator="equal">
      <formula>"OFF"</formula>
    </cfRule>
    <cfRule type="cellIs" dxfId="19971" priority="6128" operator="equal">
      <formula>"PTO"</formula>
    </cfRule>
  </conditionalFormatting>
  <conditionalFormatting sqref="O27">
    <cfRule type="cellIs" dxfId="19970" priority="6125" operator="equal">
      <formula>"OFF"</formula>
    </cfRule>
    <cfRule type="cellIs" dxfId="19969" priority="6126" operator="equal">
      <formula>"PTO"</formula>
    </cfRule>
  </conditionalFormatting>
  <conditionalFormatting sqref="O27">
    <cfRule type="cellIs" dxfId="19968" priority="6123" operator="equal">
      <formula>"OFF"</formula>
    </cfRule>
    <cfRule type="cellIs" dxfId="19967" priority="6124" operator="equal">
      <formula>"PTO"</formula>
    </cfRule>
  </conditionalFormatting>
  <conditionalFormatting sqref="O27">
    <cfRule type="cellIs" dxfId="19966" priority="6121" operator="equal">
      <formula>"OFF"</formula>
    </cfRule>
    <cfRule type="cellIs" dxfId="19965" priority="6122" operator="equal">
      <formula>"PTO"</formula>
    </cfRule>
  </conditionalFormatting>
  <conditionalFormatting sqref="O27">
    <cfRule type="cellIs" dxfId="19964" priority="6119" operator="equal">
      <formula>"OFF"</formula>
    </cfRule>
    <cfRule type="cellIs" dxfId="19963" priority="6120" operator="equal">
      <formula>"PTO"</formula>
    </cfRule>
  </conditionalFormatting>
  <conditionalFormatting sqref="O27">
    <cfRule type="cellIs" dxfId="19962" priority="6117" operator="equal">
      <formula>"OFF"</formula>
    </cfRule>
    <cfRule type="cellIs" dxfId="19961" priority="6118" operator="equal">
      <formula>"PTO"</formula>
    </cfRule>
  </conditionalFormatting>
  <conditionalFormatting sqref="O27">
    <cfRule type="cellIs" dxfId="19960" priority="6115" operator="equal">
      <formula>"OFF"</formula>
    </cfRule>
    <cfRule type="cellIs" dxfId="19959" priority="6116" operator="equal">
      <formula>"PTO"</formula>
    </cfRule>
  </conditionalFormatting>
  <conditionalFormatting sqref="O27">
    <cfRule type="cellIs" dxfId="19958" priority="6113" operator="equal">
      <formula>"OFF"</formula>
    </cfRule>
    <cfRule type="cellIs" dxfId="19957" priority="6114" operator="equal">
      <formula>"PTO"</formula>
    </cfRule>
  </conditionalFormatting>
  <conditionalFormatting sqref="O26">
    <cfRule type="cellIs" dxfId="19956" priority="6111" operator="equal">
      <formula>"OFF"</formula>
    </cfRule>
    <cfRule type="cellIs" dxfId="19955" priority="6112" operator="equal">
      <formula>"PTO"</formula>
    </cfRule>
  </conditionalFormatting>
  <conditionalFormatting sqref="O26">
    <cfRule type="cellIs" dxfId="19954" priority="6109" operator="equal">
      <formula>"OFF"</formula>
    </cfRule>
    <cfRule type="cellIs" dxfId="19953" priority="6110" operator="equal">
      <formula>"PTO"</formula>
    </cfRule>
  </conditionalFormatting>
  <conditionalFormatting sqref="O26">
    <cfRule type="cellIs" dxfId="19952" priority="6107" operator="equal">
      <formula>"OFF"</formula>
    </cfRule>
    <cfRule type="cellIs" dxfId="19951" priority="6108" operator="equal">
      <formula>"PTO"</formula>
    </cfRule>
  </conditionalFormatting>
  <conditionalFormatting sqref="O26">
    <cfRule type="cellIs" dxfId="19950" priority="6105" operator="equal">
      <formula>"OFF"</formula>
    </cfRule>
    <cfRule type="cellIs" dxfId="19949" priority="6106" operator="equal">
      <formula>"PTO"</formula>
    </cfRule>
  </conditionalFormatting>
  <conditionalFormatting sqref="O26">
    <cfRule type="cellIs" dxfId="19948" priority="6103" operator="equal">
      <formula>"OFF"</formula>
    </cfRule>
    <cfRule type="cellIs" dxfId="19947" priority="6104" operator="equal">
      <formula>"PTO"</formula>
    </cfRule>
  </conditionalFormatting>
  <conditionalFormatting sqref="O26">
    <cfRule type="cellIs" dxfId="19946" priority="6101" operator="equal">
      <formula>"OFF"</formula>
    </cfRule>
    <cfRule type="cellIs" dxfId="19945" priority="6102" operator="equal">
      <formula>"PTO"</formula>
    </cfRule>
  </conditionalFormatting>
  <conditionalFormatting sqref="O26">
    <cfRule type="cellIs" dxfId="19944" priority="6099" operator="equal">
      <formula>"OFF"</formula>
    </cfRule>
    <cfRule type="cellIs" dxfId="19943" priority="6100" operator="equal">
      <formula>"PTO"</formula>
    </cfRule>
  </conditionalFormatting>
  <conditionalFormatting sqref="O26">
    <cfRule type="cellIs" dxfId="19942" priority="6097" operator="equal">
      <formula>"OFF"</formula>
    </cfRule>
    <cfRule type="cellIs" dxfId="19941" priority="6098" operator="equal">
      <formula>"PTO"</formula>
    </cfRule>
  </conditionalFormatting>
  <conditionalFormatting sqref="O27">
    <cfRule type="cellIs" dxfId="19940" priority="6095" operator="equal">
      <formula>"OFF"</formula>
    </cfRule>
    <cfRule type="cellIs" dxfId="19939" priority="6096" operator="equal">
      <formula>"PTO"</formula>
    </cfRule>
  </conditionalFormatting>
  <conditionalFormatting sqref="O27">
    <cfRule type="cellIs" dxfId="19938" priority="6093" operator="equal">
      <formula>"OFF"</formula>
    </cfRule>
    <cfRule type="cellIs" dxfId="19937" priority="6094" operator="equal">
      <formula>"PTO"</formula>
    </cfRule>
  </conditionalFormatting>
  <conditionalFormatting sqref="O27">
    <cfRule type="cellIs" dxfId="19936" priority="6091" operator="equal">
      <formula>"OFF"</formula>
    </cfRule>
    <cfRule type="cellIs" dxfId="19935" priority="6092" operator="equal">
      <formula>"PTO"</formula>
    </cfRule>
  </conditionalFormatting>
  <conditionalFormatting sqref="O27">
    <cfRule type="cellIs" dxfId="19934" priority="6089" operator="equal">
      <formula>"OFF"</formula>
    </cfRule>
    <cfRule type="cellIs" dxfId="19933" priority="6090" operator="equal">
      <formula>"PTO"</formula>
    </cfRule>
  </conditionalFormatting>
  <conditionalFormatting sqref="O27">
    <cfRule type="cellIs" dxfId="19932" priority="6087" operator="equal">
      <formula>"OFF"</formula>
    </cfRule>
    <cfRule type="cellIs" dxfId="19931" priority="6088" operator="equal">
      <formula>"PTO"</formula>
    </cfRule>
  </conditionalFormatting>
  <conditionalFormatting sqref="O27">
    <cfRule type="cellIs" dxfId="19930" priority="6085" operator="equal">
      <formula>"OFF"</formula>
    </cfRule>
    <cfRule type="cellIs" dxfId="19929" priority="6086" operator="equal">
      <formula>"PTO"</formula>
    </cfRule>
  </conditionalFormatting>
  <conditionalFormatting sqref="O27">
    <cfRule type="cellIs" dxfId="19928" priority="6083" operator="equal">
      <formula>"OFF"</formula>
    </cfRule>
    <cfRule type="cellIs" dxfId="19927" priority="6084" operator="equal">
      <formula>"PTO"</formula>
    </cfRule>
  </conditionalFormatting>
  <conditionalFormatting sqref="O27">
    <cfRule type="cellIs" dxfId="19926" priority="6081" operator="equal">
      <formula>"OFF"</formula>
    </cfRule>
    <cfRule type="cellIs" dxfId="19925" priority="6082" operator="equal">
      <formula>"PTO"</formula>
    </cfRule>
  </conditionalFormatting>
  <conditionalFormatting sqref="O29">
    <cfRule type="cellIs" dxfId="19924" priority="6079" operator="equal">
      <formula>"OFF"</formula>
    </cfRule>
    <cfRule type="cellIs" dxfId="19923" priority="6080" operator="equal">
      <formula>"PTO"</formula>
    </cfRule>
  </conditionalFormatting>
  <conditionalFormatting sqref="O29">
    <cfRule type="cellIs" dxfId="19922" priority="6077" operator="equal">
      <formula>"OFF"</formula>
    </cfRule>
    <cfRule type="cellIs" dxfId="19921" priority="6078" operator="equal">
      <formula>"PTO"</formula>
    </cfRule>
  </conditionalFormatting>
  <conditionalFormatting sqref="O29">
    <cfRule type="cellIs" dxfId="19920" priority="6075" operator="equal">
      <formula>"OFF"</formula>
    </cfRule>
    <cfRule type="cellIs" dxfId="19919" priority="6076" operator="equal">
      <formula>"PTO"</formula>
    </cfRule>
  </conditionalFormatting>
  <conditionalFormatting sqref="O29">
    <cfRule type="cellIs" dxfId="19918" priority="6073" operator="equal">
      <formula>"OFF"</formula>
    </cfRule>
    <cfRule type="cellIs" dxfId="19917" priority="6074" operator="equal">
      <formula>"PTO"</formula>
    </cfRule>
  </conditionalFormatting>
  <conditionalFormatting sqref="O29">
    <cfRule type="cellIs" dxfId="19916" priority="6071" operator="equal">
      <formula>"OFF"</formula>
    </cfRule>
    <cfRule type="cellIs" dxfId="19915" priority="6072" operator="equal">
      <formula>"PTO"</formula>
    </cfRule>
  </conditionalFormatting>
  <conditionalFormatting sqref="O29">
    <cfRule type="cellIs" dxfId="19914" priority="6069" operator="equal">
      <formula>"OFF"</formula>
    </cfRule>
    <cfRule type="cellIs" dxfId="19913" priority="6070" operator="equal">
      <formula>"PTO"</formula>
    </cfRule>
  </conditionalFormatting>
  <conditionalFormatting sqref="O29">
    <cfRule type="cellIs" dxfId="19912" priority="6067" operator="equal">
      <formula>"OFF"</formula>
    </cfRule>
    <cfRule type="cellIs" dxfId="19911" priority="6068" operator="equal">
      <formula>"PTO"</formula>
    </cfRule>
  </conditionalFormatting>
  <conditionalFormatting sqref="O29">
    <cfRule type="cellIs" dxfId="19910" priority="6065" operator="equal">
      <formula>"OFF"</formula>
    </cfRule>
    <cfRule type="cellIs" dxfId="19909" priority="6066" operator="equal">
      <formula>"PTO"</formula>
    </cfRule>
  </conditionalFormatting>
  <conditionalFormatting sqref="O29">
    <cfRule type="cellIs" dxfId="19908" priority="6063" operator="equal">
      <formula>"OFF"</formula>
    </cfRule>
    <cfRule type="cellIs" dxfId="19907" priority="6064" operator="equal">
      <formula>"PTO"</formula>
    </cfRule>
  </conditionalFormatting>
  <conditionalFormatting sqref="O29">
    <cfRule type="cellIs" dxfId="19906" priority="6061" operator="equal">
      <formula>"OFF"</formula>
    </cfRule>
    <cfRule type="cellIs" dxfId="19905" priority="6062" operator="equal">
      <formula>"PTO"</formula>
    </cfRule>
  </conditionalFormatting>
  <conditionalFormatting sqref="O29">
    <cfRule type="cellIs" dxfId="19904" priority="6059" operator="equal">
      <formula>"OFF"</formula>
    </cfRule>
    <cfRule type="cellIs" dxfId="19903" priority="6060" operator="equal">
      <formula>"PTO"</formula>
    </cfRule>
  </conditionalFormatting>
  <conditionalFormatting sqref="O29">
    <cfRule type="cellIs" dxfId="19902" priority="6057" operator="equal">
      <formula>"OFF"</formula>
    </cfRule>
    <cfRule type="cellIs" dxfId="19901" priority="6058" operator="equal">
      <formula>"PTO"</formula>
    </cfRule>
  </conditionalFormatting>
  <conditionalFormatting sqref="O29">
    <cfRule type="cellIs" dxfId="19900" priority="6055" operator="equal">
      <formula>"OFF"</formula>
    </cfRule>
    <cfRule type="cellIs" dxfId="19899" priority="6056" operator="equal">
      <formula>"PTO"</formula>
    </cfRule>
  </conditionalFormatting>
  <conditionalFormatting sqref="O29">
    <cfRule type="cellIs" dxfId="19898" priority="6053" operator="equal">
      <formula>"OFF"</formula>
    </cfRule>
    <cfRule type="cellIs" dxfId="19897" priority="6054" operator="equal">
      <formula>"PTO"</formula>
    </cfRule>
  </conditionalFormatting>
  <conditionalFormatting sqref="O29">
    <cfRule type="cellIs" dxfId="19896" priority="6051" operator="equal">
      <formula>"OFF"</formula>
    </cfRule>
    <cfRule type="cellIs" dxfId="19895" priority="6052" operator="equal">
      <formula>"PTO"</formula>
    </cfRule>
  </conditionalFormatting>
  <conditionalFormatting sqref="O29">
    <cfRule type="cellIs" dxfId="19894" priority="6049" operator="equal">
      <formula>"OFF"</formula>
    </cfRule>
    <cfRule type="cellIs" dxfId="19893" priority="6050" operator="equal">
      <formula>"PTO"</formula>
    </cfRule>
  </conditionalFormatting>
  <conditionalFormatting sqref="O29">
    <cfRule type="cellIs" dxfId="19892" priority="6047" operator="equal">
      <formula>"OFF"</formula>
    </cfRule>
    <cfRule type="cellIs" dxfId="19891" priority="6048" operator="equal">
      <formula>"PTO"</formula>
    </cfRule>
  </conditionalFormatting>
  <conditionalFormatting sqref="O29">
    <cfRule type="cellIs" dxfId="19890" priority="6045" operator="equal">
      <formula>"OFF"</formula>
    </cfRule>
    <cfRule type="cellIs" dxfId="19889" priority="6046" operator="equal">
      <formula>"PTO"</formula>
    </cfRule>
  </conditionalFormatting>
  <conditionalFormatting sqref="O29">
    <cfRule type="cellIs" dxfId="19888" priority="6043" operator="equal">
      <formula>"OFF"</formula>
    </cfRule>
    <cfRule type="cellIs" dxfId="19887" priority="6044" operator="equal">
      <formula>"PTO"</formula>
    </cfRule>
  </conditionalFormatting>
  <conditionalFormatting sqref="O29">
    <cfRule type="cellIs" dxfId="19886" priority="6041" operator="equal">
      <formula>"OFF"</formula>
    </cfRule>
    <cfRule type="cellIs" dxfId="19885" priority="6042" operator="equal">
      <formula>"PTO"</formula>
    </cfRule>
  </conditionalFormatting>
  <conditionalFormatting sqref="O29">
    <cfRule type="cellIs" dxfId="19884" priority="6039" operator="equal">
      <formula>"OFF"</formula>
    </cfRule>
    <cfRule type="cellIs" dxfId="19883" priority="6040" operator="equal">
      <formula>"PTO"</formula>
    </cfRule>
  </conditionalFormatting>
  <conditionalFormatting sqref="O29">
    <cfRule type="cellIs" dxfId="19882" priority="6037" operator="equal">
      <formula>"OFF"</formula>
    </cfRule>
    <cfRule type="cellIs" dxfId="19881" priority="6038" operator="equal">
      <formula>"PTO"</formula>
    </cfRule>
  </conditionalFormatting>
  <conditionalFormatting sqref="O29">
    <cfRule type="cellIs" dxfId="19880" priority="6035" operator="equal">
      <formula>"OFF"</formula>
    </cfRule>
    <cfRule type="cellIs" dxfId="19879" priority="6036" operator="equal">
      <formula>"PTO"</formula>
    </cfRule>
  </conditionalFormatting>
  <conditionalFormatting sqref="O29">
    <cfRule type="cellIs" dxfId="19878" priority="6033" operator="equal">
      <formula>"OFF"</formula>
    </cfRule>
    <cfRule type="cellIs" dxfId="19877" priority="6034" operator="equal">
      <formula>"PTO"</formula>
    </cfRule>
  </conditionalFormatting>
  <conditionalFormatting sqref="O29">
    <cfRule type="cellIs" dxfId="19876" priority="6031" operator="equal">
      <formula>"OFF"</formula>
    </cfRule>
    <cfRule type="cellIs" dxfId="19875" priority="6032" operator="equal">
      <formula>"PTO"</formula>
    </cfRule>
  </conditionalFormatting>
  <conditionalFormatting sqref="O29">
    <cfRule type="cellIs" dxfId="19874" priority="6029" operator="equal">
      <formula>"OFF"</formula>
    </cfRule>
    <cfRule type="cellIs" dxfId="19873" priority="6030" operator="equal">
      <formula>"PTO"</formula>
    </cfRule>
  </conditionalFormatting>
  <conditionalFormatting sqref="O29">
    <cfRule type="cellIs" dxfId="19872" priority="6027" operator="equal">
      <formula>"OFF"</formula>
    </cfRule>
    <cfRule type="cellIs" dxfId="19871" priority="6028" operator="equal">
      <formula>"PTO"</formula>
    </cfRule>
  </conditionalFormatting>
  <conditionalFormatting sqref="O29">
    <cfRule type="cellIs" dxfId="19870" priority="6025" operator="equal">
      <formula>"OFF"</formula>
    </cfRule>
    <cfRule type="cellIs" dxfId="19869" priority="6026" operator="equal">
      <formula>"PTO"</formula>
    </cfRule>
  </conditionalFormatting>
  <conditionalFormatting sqref="O29">
    <cfRule type="cellIs" dxfId="19868" priority="6023" operator="equal">
      <formula>"OFF"</formula>
    </cfRule>
    <cfRule type="cellIs" dxfId="19867" priority="6024" operator="equal">
      <formula>"PTO"</formula>
    </cfRule>
  </conditionalFormatting>
  <conditionalFormatting sqref="O29">
    <cfRule type="cellIs" dxfId="19866" priority="6021" operator="equal">
      <formula>"OFF"</formula>
    </cfRule>
    <cfRule type="cellIs" dxfId="19865" priority="6022" operator="equal">
      <formula>"PTO"</formula>
    </cfRule>
  </conditionalFormatting>
  <conditionalFormatting sqref="O29">
    <cfRule type="cellIs" dxfId="19864" priority="6019" operator="equal">
      <formula>"OFF"</formula>
    </cfRule>
    <cfRule type="cellIs" dxfId="19863" priority="6020" operator="equal">
      <formula>"PTO"</formula>
    </cfRule>
  </conditionalFormatting>
  <conditionalFormatting sqref="O29">
    <cfRule type="cellIs" dxfId="19862" priority="6017" operator="equal">
      <formula>"OFF"</formula>
    </cfRule>
    <cfRule type="cellIs" dxfId="19861" priority="6018" operator="equal">
      <formula>"PTO"</formula>
    </cfRule>
  </conditionalFormatting>
  <conditionalFormatting sqref="O29">
    <cfRule type="cellIs" dxfId="19860" priority="6015" operator="equal">
      <formula>"OFF"</formula>
    </cfRule>
    <cfRule type="cellIs" dxfId="19859" priority="6016" operator="equal">
      <formula>"PTO"</formula>
    </cfRule>
  </conditionalFormatting>
  <conditionalFormatting sqref="O29">
    <cfRule type="cellIs" dxfId="19858" priority="6013" operator="equal">
      <formula>"OFF"</formula>
    </cfRule>
    <cfRule type="cellIs" dxfId="19857" priority="6014" operator="equal">
      <formula>"PTO"</formula>
    </cfRule>
  </conditionalFormatting>
  <conditionalFormatting sqref="O29">
    <cfRule type="cellIs" dxfId="19856" priority="6011" operator="equal">
      <formula>"OFF"</formula>
    </cfRule>
    <cfRule type="cellIs" dxfId="19855" priority="6012" operator="equal">
      <formula>"PTO"</formula>
    </cfRule>
  </conditionalFormatting>
  <conditionalFormatting sqref="O29">
    <cfRule type="cellIs" dxfId="19854" priority="6009" operator="equal">
      <formula>"OFF"</formula>
    </cfRule>
    <cfRule type="cellIs" dxfId="19853" priority="6010" operator="equal">
      <formula>"PTO"</formula>
    </cfRule>
  </conditionalFormatting>
  <conditionalFormatting sqref="O29">
    <cfRule type="cellIs" dxfId="19852" priority="6007" operator="equal">
      <formula>"OFF"</formula>
    </cfRule>
    <cfRule type="cellIs" dxfId="19851" priority="6008" operator="equal">
      <formula>"PTO"</formula>
    </cfRule>
  </conditionalFormatting>
  <conditionalFormatting sqref="O29">
    <cfRule type="cellIs" dxfId="19850" priority="6005" operator="equal">
      <formula>"OFF"</formula>
    </cfRule>
    <cfRule type="cellIs" dxfId="19849" priority="6006" operator="equal">
      <formula>"PTO"</formula>
    </cfRule>
  </conditionalFormatting>
  <conditionalFormatting sqref="O29">
    <cfRule type="cellIs" dxfId="19848" priority="6003" operator="equal">
      <formula>"OFF"</formula>
    </cfRule>
    <cfRule type="cellIs" dxfId="19847" priority="6004" operator="equal">
      <formula>"PTO"</formula>
    </cfRule>
  </conditionalFormatting>
  <conditionalFormatting sqref="O29">
    <cfRule type="cellIs" dxfId="19846" priority="6001" operator="equal">
      <formula>"OFF"</formula>
    </cfRule>
    <cfRule type="cellIs" dxfId="19845" priority="6002" operator="equal">
      <formula>"PTO"</formula>
    </cfRule>
  </conditionalFormatting>
  <conditionalFormatting sqref="O29">
    <cfRule type="cellIs" dxfId="19844" priority="5999" operator="equal">
      <formula>"OFF"</formula>
    </cfRule>
    <cfRule type="cellIs" dxfId="19843" priority="6000" operator="equal">
      <formula>"PTO"</formula>
    </cfRule>
  </conditionalFormatting>
  <conditionalFormatting sqref="O29">
    <cfRule type="cellIs" dxfId="19842" priority="5997" operator="equal">
      <formula>"OFF"</formula>
    </cfRule>
    <cfRule type="cellIs" dxfId="19841" priority="5998" operator="equal">
      <formula>"PTO"</formula>
    </cfRule>
  </conditionalFormatting>
  <conditionalFormatting sqref="O29">
    <cfRule type="cellIs" dxfId="19840" priority="5995" operator="equal">
      <formula>"OFF"</formula>
    </cfRule>
    <cfRule type="cellIs" dxfId="19839" priority="5996" operator="equal">
      <formula>"PTO"</formula>
    </cfRule>
  </conditionalFormatting>
  <conditionalFormatting sqref="O29">
    <cfRule type="cellIs" dxfId="19838" priority="5993" operator="equal">
      <formula>"OFF"</formula>
    </cfRule>
    <cfRule type="cellIs" dxfId="19837" priority="5994" operator="equal">
      <formula>"PTO"</formula>
    </cfRule>
  </conditionalFormatting>
  <conditionalFormatting sqref="O29">
    <cfRule type="cellIs" dxfId="19836" priority="5991" operator="equal">
      <formula>"OFF"</formula>
    </cfRule>
    <cfRule type="cellIs" dxfId="19835" priority="5992" operator="equal">
      <formula>"PTO"</formula>
    </cfRule>
  </conditionalFormatting>
  <conditionalFormatting sqref="O29">
    <cfRule type="cellIs" dxfId="19834" priority="5989" operator="equal">
      <formula>"OFF"</formula>
    </cfRule>
    <cfRule type="cellIs" dxfId="19833" priority="5990" operator="equal">
      <formula>"PTO"</formula>
    </cfRule>
  </conditionalFormatting>
  <conditionalFormatting sqref="O29">
    <cfRule type="cellIs" dxfId="19832" priority="5987" operator="equal">
      <formula>"OFF"</formula>
    </cfRule>
    <cfRule type="cellIs" dxfId="19831" priority="5988" operator="equal">
      <formula>"PTO"</formula>
    </cfRule>
  </conditionalFormatting>
  <conditionalFormatting sqref="O29">
    <cfRule type="cellIs" dxfId="19830" priority="5985" operator="equal">
      <formula>"OFF"</formula>
    </cfRule>
    <cfRule type="cellIs" dxfId="19829" priority="5986" operator="equal">
      <formula>"PTO"</formula>
    </cfRule>
  </conditionalFormatting>
  <conditionalFormatting sqref="O29">
    <cfRule type="cellIs" dxfId="19828" priority="5983" operator="equal">
      <formula>"OFF"</formula>
    </cfRule>
    <cfRule type="cellIs" dxfId="19827" priority="5984" operator="equal">
      <formula>"PTO"</formula>
    </cfRule>
  </conditionalFormatting>
  <conditionalFormatting sqref="O29">
    <cfRule type="cellIs" dxfId="19826" priority="5981" operator="equal">
      <formula>"OFF"</formula>
    </cfRule>
    <cfRule type="cellIs" dxfId="19825" priority="5982" operator="equal">
      <formula>"PTO"</formula>
    </cfRule>
  </conditionalFormatting>
  <conditionalFormatting sqref="O29">
    <cfRule type="cellIs" dxfId="19824" priority="5979" operator="equal">
      <formula>"OFF"</formula>
    </cfRule>
    <cfRule type="cellIs" dxfId="19823" priority="5980" operator="equal">
      <formula>"PTO"</formula>
    </cfRule>
  </conditionalFormatting>
  <conditionalFormatting sqref="O29">
    <cfRule type="cellIs" dxfId="19822" priority="5977" operator="equal">
      <formula>"OFF"</formula>
    </cfRule>
    <cfRule type="cellIs" dxfId="19821" priority="5978" operator="equal">
      <formula>"PTO"</formula>
    </cfRule>
  </conditionalFormatting>
  <conditionalFormatting sqref="O29">
    <cfRule type="cellIs" dxfId="19820" priority="5975" operator="equal">
      <formula>"OFF"</formula>
    </cfRule>
    <cfRule type="cellIs" dxfId="19819" priority="5976" operator="equal">
      <formula>"PTO"</formula>
    </cfRule>
  </conditionalFormatting>
  <conditionalFormatting sqref="O29">
    <cfRule type="cellIs" dxfId="19818" priority="5973" operator="equal">
      <formula>"OFF"</formula>
    </cfRule>
    <cfRule type="cellIs" dxfId="19817" priority="5974" operator="equal">
      <formula>"PTO"</formula>
    </cfRule>
  </conditionalFormatting>
  <conditionalFormatting sqref="O29">
    <cfRule type="cellIs" dxfId="19816" priority="5971" operator="equal">
      <formula>"OFF"</formula>
    </cfRule>
    <cfRule type="cellIs" dxfId="19815" priority="5972" operator="equal">
      <formula>"PTO"</formula>
    </cfRule>
  </conditionalFormatting>
  <conditionalFormatting sqref="O29">
    <cfRule type="cellIs" dxfId="19814" priority="5969" operator="equal">
      <formula>"OFF"</formula>
    </cfRule>
    <cfRule type="cellIs" dxfId="19813" priority="5970" operator="equal">
      <formula>"PTO"</formula>
    </cfRule>
  </conditionalFormatting>
  <conditionalFormatting sqref="M26:M27 M30 M32:M33 M35:M36 M38:M39">
    <cfRule type="cellIs" dxfId="19812" priority="5967" operator="equal">
      <formula>"OFF"</formula>
    </cfRule>
    <cfRule type="cellIs" dxfId="19811" priority="5968" operator="equal">
      <formula>"PTO"</formula>
    </cfRule>
  </conditionalFormatting>
  <conditionalFormatting sqref="M26:M27">
    <cfRule type="cellIs" dxfId="19810" priority="5965" operator="equal">
      <formula>"OFF"</formula>
    </cfRule>
    <cfRule type="cellIs" dxfId="19809" priority="5966" operator="equal">
      <formula>"PTO"</formula>
    </cfRule>
  </conditionalFormatting>
  <conditionalFormatting sqref="M26:M27">
    <cfRule type="cellIs" dxfId="19808" priority="5963" operator="equal">
      <formula>"OFF"</formula>
    </cfRule>
    <cfRule type="cellIs" dxfId="19807" priority="5964" operator="equal">
      <formula>"PTO"</formula>
    </cfRule>
  </conditionalFormatting>
  <conditionalFormatting sqref="M26:M27">
    <cfRule type="cellIs" dxfId="19806" priority="5961" operator="equal">
      <formula>"OFF"</formula>
    </cfRule>
    <cfRule type="cellIs" dxfId="19805" priority="5962" operator="equal">
      <formula>"PTO"</formula>
    </cfRule>
  </conditionalFormatting>
  <conditionalFormatting sqref="M26:M27">
    <cfRule type="cellIs" dxfId="19804" priority="5959" operator="equal">
      <formula>"OFF"</formula>
    </cfRule>
    <cfRule type="cellIs" dxfId="19803" priority="5960" operator="equal">
      <formula>"PTO"</formula>
    </cfRule>
  </conditionalFormatting>
  <conditionalFormatting sqref="M26:M27">
    <cfRule type="cellIs" dxfId="19802" priority="5957" operator="equal">
      <formula>"OFF"</formula>
    </cfRule>
    <cfRule type="cellIs" dxfId="19801" priority="5958" operator="equal">
      <formula>"PTO"</formula>
    </cfRule>
  </conditionalFormatting>
  <conditionalFormatting sqref="M26:M27">
    <cfRule type="cellIs" dxfId="19800" priority="5955" operator="equal">
      <formula>"OFF"</formula>
    </cfRule>
    <cfRule type="cellIs" dxfId="19799" priority="5956" operator="equal">
      <formula>"PTO"</formula>
    </cfRule>
  </conditionalFormatting>
  <conditionalFormatting sqref="M26:M27">
    <cfRule type="cellIs" dxfId="19798" priority="5953" operator="equal">
      <formula>"OFF"</formula>
    </cfRule>
    <cfRule type="cellIs" dxfId="19797" priority="5954" operator="equal">
      <formula>"PTO"</formula>
    </cfRule>
  </conditionalFormatting>
  <conditionalFormatting sqref="M26:M27">
    <cfRule type="cellIs" dxfId="19796" priority="5951" operator="equal">
      <formula>"OFF"</formula>
    </cfRule>
    <cfRule type="cellIs" dxfId="19795" priority="5952" operator="equal">
      <formula>"PTO"</formula>
    </cfRule>
  </conditionalFormatting>
  <conditionalFormatting sqref="M27">
    <cfRule type="cellIs" dxfId="19794" priority="5949" operator="equal">
      <formula>"OFF"</formula>
    </cfRule>
    <cfRule type="cellIs" dxfId="19793" priority="5950" operator="equal">
      <formula>"PTO"</formula>
    </cfRule>
  </conditionalFormatting>
  <conditionalFormatting sqref="M27">
    <cfRule type="cellIs" dxfId="19792" priority="5947" operator="equal">
      <formula>"OFF"</formula>
    </cfRule>
    <cfRule type="cellIs" dxfId="19791" priority="5948" operator="equal">
      <formula>"PTO"</formula>
    </cfRule>
  </conditionalFormatting>
  <conditionalFormatting sqref="M27">
    <cfRule type="cellIs" dxfId="19790" priority="5945" operator="equal">
      <formula>"OFF"</formula>
    </cfRule>
    <cfRule type="cellIs" dxfId="19789" priority="5946" operator="equal">
      <formula>"PTO"</formula>
    </cfRule>
  </conditionalFormatting>
  <conditionalFormatting sqref="M27">
    <cfRule type="cellIs" dxfId="19788" priority="5943" operator="equal">
      <formula>"OFF"</formula>
    </cfRule>
    <cfRule type="cellIs" dxfId="19787" priority="5944" operator="equal">
      <formula>"PTO"</formula>
    </cfRule>
  </conditionalFormatting>
  <conditionalFormatting sqref="M27">
    <cfRule type="cellIs" dxfId="19786" priority="5941" operator="equal">
      <formula>"OFF"</formula>
    </cfRule>
    <cfRule type="cellIs" dxfId="19785" priority="5942" operator="equal">
      <formula>"PTO"</formula>
    </cfRule>
  </conditionalFormatting>
  <conditionalFormatting sqref="M27">
    <cfRule type="cellIs" dxfId="19784" priority="5939" operator="equal">
      <formula>"OFF"</formula>
    </cfRule>
    <cfRule type="cellIs" dxfId="19783" priority="5940" operator="equal">
      <formula>"PTO"</formula>
    </cfRule>
  </conditionalFormatting>
  <conditionalFormatting sqref="M27">
    <cfRule type="cellIs" dxfId="19782" priority="5937" operator="equal">
      <formula>"OFF"</formula>
    </cfRule>
    <cfRule type="cellIs" dxfId="19781" priority="5938" operator="equal">
      <formula>"PTO"</formula>
    </cfRule>
  </conditionalFormatting>
  <conditionalFormatting sqref="M27">
    <cfRule type="cellIs" dxfId="19780" priority="5935" operator="equal">
      <formula>"OFF"</formula>
    </cfRule>
    <cfRule type="cellIs" dxfId="19779" priority="5936" operator="equal">
      <formula>"PTO"</formula>
    </cfRule>
  </conditionalFormatting>
  <conditionalFormatting sqref="M30">
    <cfRule type="cellIs" dxfId="19778" priority="5933" operator="equal">
      <formula>"OFF"</formula>
    </cfRule>
    <cfRule type="cellIs" dxfId="19777" priority="5934" operator="equal">
      <formula>"PTO"</formula>
    </cfRule>
  </conditionalFormatting>
  <conditionalFormatting sqref="M30">
    <cfRule type="cellIs" dxfId="19776" priority="5931" operator="equal">
      <formula>"OFF"</formula>
    </cfRule>
    <cfRule type="cellIs" dxfId="19775" priority="5932" operator="equal">
      <formula>"PTO"</formula>
    </cfRule>
  </conditionalFormatting>
  <conditionalFormatting sqref="M30">
    <cfRule type="cellIs" dxfId="19774" priority="5929" operator="equal">
      <formula>"OFF"</formula>
    </cfRule>
    <cfRule type="cellIs" dxfId="19773" priority="5930" operator="equal">
      <formula>"PTO"</formula>
    </cfRule>
  </conditionalFormatting>
  <conditionalFormatting sqref="M30">
    <cfRule type="cellIs" dxfId="19772" priority="5927" operator="equal">
      <formula>"OFF"</formula>
    </cfRule>
    <cfRule type="cellIs" dxfId="19771" priority="5928" operator="equal">
      <formula>"PTO"</formula>
    </cfRule>
  </conditionalFormatting>
  <conditionalFormatting sqref="M30">
    <cfRule type="cellIs" dxfId="19770" priority="5925" operator="equal">
      <formula>"OFF"</formula>
    </cfRule>
    <cfRule type="cellIs" dxfId="19769" priority="5926" operator="equal">
      <formula>"PTO"</formula>
    </cfRule>
  </conditionalFormatting>
  <conditionalFormatting sqref="M30">
    <cfRule type="cellIs" dxfId="19768" priority="5923" operator="equal">
      <formula>"OFF"</formula>
    </cfRule>
    <cfRule type="cellIs" dxfId="19767" priority="5924" operator="equal">
      <formula>"PTO"</formula>
    </cfRule>
  </conditionalFormatting>
  <conditionalFormatting sqref="M30">
    <cfRule type="cellIs" dxfId="19766" priority="5921" operator="equal">
      <formula>"OFF"</formula>
    </cfRule>
    <cfRule type="cellIs" dxfId="19765" priority="5922" operator="equal">
      <formula>"PTO"</formula>
    </cfRule>
  </conditionalFormatting>
  <conditionalFormatting sqref="M30">
    <cfRule type="cellIs" dxfId="19764" priority="5919" operator="equal">
      <formula>"OFF"</formula>
    </cfRule>
    <cfRule type="cellIs" dxfId="19763" priority="5920" operator="equal">
      <formula>"PTO"</formula>
    </cfRule>
  </conditionalFormatting>
  <conditionalFormatting sqref="M30">
    <cfRule type="cellIs" dxfId="19762" priority="5917" operator="equal">
      <formula>"OFF"</formula>
    </cfRule>
    <cfRule type="cellIs" dxfId="19761" priority="5918" operator="equal">
      <formula>"PTO"</formula>
    </cfRule>
  </conditionalFormatting>
  <conditionalFormatting sqref="M30">
    <cfRule type="cellIs" dxfId="19760" priority="5915" operator="equal">
      <formula>"OFF"</formula>
    </cfRule>
    <cfRule type="cellIs" dxfId="19759" priority="5916" operator="equal">
      <formula>"PTO"</formula>
    </cfRule>
  </conditionalFormatting>
  <conditionalFormatting sqref="M30">
    <cfRule type="cellIs" dxfId="19758" priority="5913" operator="equal">
      <formula>"OFF"</formula>
    </cfRule>
    <cfRule type="cellIs" dxfId="19757" priority="5914" operator="equal">
      <formula>"PTO"</formula>
    </cfRule>
  </conditionalFormatting>
  <conditionalFormatting sqref="M30">
    <cfRule type="cellIs" dxfId="19756" priority="5911" operator="equal">
      <formula>"OFF"</formula>
    </cfRule>
    <cfRule type="cellIs" dxfId="19755" priority="5912" operator="equal">
      <formula>"PTO"</formula>
    </cfRule>
  </conditionalFormatting>
  <conditionalFormatting sqref="M30">
    <cfRule type="cellIs" dxfId="19754" priority="5909" operator="equal">
      <formula>"OFF"</formula>
    </cfRule>
    <cfRule type="cellIs" dxfId="19753" priority="5910" operator="equal">
      <formula>"PTO"</formula>
    </cfRule>
  </conditionalFormatting>
  <conditionalFormatting sqref="M30">
    <cfRule type="cellIs" dxfId="19752" priority="5907" operator="equal">
      <formula>"OFF"</formula>
    </cfRule>
    <cfRule type="cellIs" dxfId="19751" priority="5908" operator="equal">
      <formula>"PTO"</formula>
    </cfRule>
  </conditionalFormatting>
  <conditionalFormatting sqref="M30">
    <cfRule type="cellIs" dxfId="19750" priority="5905" operator="equal">
      <formula>"OFF"</formula>
    </cfRule>
    <cfRule type="cellIs" dxfId="19749" priority="5906" operator="equal">
      <formula>"PTO"</formula>
    </cfRule>
  </conditionalFormatting>
  <conditionalFormatting sqref="M30">
    <cfRule type="cellIs" dxfId="19748" priority="5903" operator="equal">
      <formula>"OFF"</formula>
    </cfRule>
    <cfRule type="cellIs" dxfId="19747" priority="5904" operator="equal">
      <formula>"PTO"</formula>
    </cfRule>
  </conditionalFormatting>
  <conditionalFormatting sqref="M30">
    <cfRule type="cellIs" dxfId="19746" priority="5901" operator="equal">
      <formula>"OFF"</formula>
    </cfRule>
    <cfRule type="cellIs" dxfId="19745" priority="5902" operator="equal">
      <formula>"PTO"</formula>
    </cfRule>
  </conditionalFormatting>
  <conditionalFormatting sqref="M30">
    <cfRule type="cellIs" dxfId="19744" priority="5899" operator="equal">
      <formula>"OFF"</formula>
    </cfRule>
    <cfRule type="cellIs" dxfId="19743" priority="5900" operator="equal">
      <formula>"PTO"</formula>
    </cfRule>
  </conditionalFormatting>
  <conditionalFormatting sqref="M30">
    <cfRule type="cellIs" dxfId="19742" priority="5897" operator="equal">
      <formula>"OFF"</formula>
    </cfRule>
    <cfRule type="cellIs" dxfId="19741" priority="5898" operator="equal">
      <formula>"PTO"</formula>
    </cfRule>
  </conditionalFormatting>
  <conditionalFormatting sqref="M30">
    <cfRule type="cellIs" dxfId="19740" priority="5895" operator="equal">
      <formula>"OFF"</formula>
    </cfRule>
    <cfRule type="cellIs" dxfId="19739" priority="5896" operator="equal">
      <formula>"PTO"</formula>
    </cfRule>
  </conditionalFormatting>
  <conditionalFormatting sqref="M30">
    <cfRule type="cellIs" dxfId="19738" priority="5893" operator="equal">
      <formula>"OFF"</formula>
    </cfRule>
    <cfRule type="cellIs" dxfId="19737" priority="5894" operator="equal">
      <formula>"PTO"</formula>
    </cfRule>
  </conditionalFormatting>
  <conditionalFormatting sqref="M30">
    <cfRule type="cellIs" dxfId="19736" priority="5891" operator="equal">
      <formula>"OFF"</formula>
    </cfRule>
    <cfRule type="cellIs" dxfId="19735" priority="5892" operator="equal">
      <formula>"PTO"</formula>
    </cfRule>
  </conditionalFormatting>
  <conditionalFormatting sqref="M30">
    <cfRule type="cellIs" dxfId="19734" priority="5889" operator="equal">
      <formula>"OFF"</formula>
    </cfRule>
    <cfRule type="cellIs" dxfId="19733" priority="5890" operator="equal">
      <formula>"PTO"</formula>
    </cfRule>
  </conditionalFormatting>
  <conditionalFormatting sqref="M30">
    <cfRule type="cellIs" dxfId="19732" priority="5887" operator="equal">
      <formula>"OFF"</formula>
    </cfRule>
    <cfRule type="cellIs" dxfId="19731" priority="5888" operator="equal">
      <formula>"PTO"</formula>
    </cfRule>
  </conditionalFormatting>
  <conditionalFormatting sqref="M30">
    <cfRule type="cellIs" dxfId="19730" priority="5885" operator="equal">
      <formula>"OFF"</formula>
    </cfRule>
    <cfRule type="cellIs" dxfId="19729" priority="5886" operator="equal">
      <formula>"PTO"</formula>
    </cfRule>
  </conditionalFormatting>
  <conditionalFormatting sqref="M30">
    <cfRule type="cellIs" dxfId="19728" priority="5883" operator="equal">
      <formula>"OFF"</formula>
    </cfRule>
    <cfRule type="cellIs" dxfId="19727" priority="5884" operator="equal">
      <formula>"PTO"</formula>
    </cfRule>
  </conditionalFormatting>
  <conditionalFormatting sqref="M30">
    <cfRule type="cellIs" dxfId="19726" priority="5881" operator="equal">
      <formula>"OFF"</formula>
    </cfRule>
    <cfRule type="cellIs" dxfId="19725" priority="5882" operator="equal">
      <formula>"PTO"</formula>
    </cfRule>
  </conditionalFormatting>
  <conditionalFormatting sqref="M30">
    <cfRule type="cellIs" dxfId="19724" priority="5879" operator="equal">
      <formula>"OFF"</formula>
    </cfRule>
    <cfRule type="cellIs" dxfId="19723" priority="5880" operator="equal">
      <formula>"PTO"</formula>
    </cfRule>
  </conditionalFormatting>
  <conditionalFormatting sqref="M30">
    <cfRule type="cellIs" dxfId="19722" priority="5877" operator="equal">
      <formula>"OFF"</formula>
    </cfRule>
    <cfRule type="cellIs" dxfId="19721" priority="5878" operator="equal">
      <formula>"PTO"</formula>
    </cfRule>
  </conditionalFormatting>
  <conditionalFormatting sqref="M30">
    <cfRule type="cellIs" dxfId="19720" priority="5875" operator="equal">
      <formula>"OFF"</formula>
    </cfRule>
    <cfRule type="cellIs" dxfId="19719" priority="5876" operator="equal">
      <formula>"PTO"</formula>
    </cfRule>
  </conditionalFormatting>
  <conditionalFormatting sqref="M30">
    <cfRule type="cellIs" dxfId="19718" priority="5873" operator="equal">
      <formula>"OFF"</formula>
    </cfRule>
    <cfRule type="cellIs" dxfId="19717" priority="5874" operator="equal">
      <formula>"PTO"</formula>
    </cfRule>
  </conditionalFormatting>
  <conditionalFormatting sqref="M30">
    <cfRule type="cellIs" dxfId="19716" priority="5871" operator="equal">
      <formula>"OFF"</formula>
    </cfRule>
    <cfRule type="cellIs" dxfId="19715" priority="5872" operator="equal">
      <formula>"PTO"</formula>
    </cfRule>
  </conditionalFormatting>
  <conditionalFormatting sqref="M30">
    <cfRule type="cellIs" dxfId="19714" priority="5869" operator="equal">
      <formula>"OFF"</formula>
    </cfRule>
    <cfRule type="cellIs" dxfId="19713" priority="5870" operator="equal">
      <formula>"PTO"</formula>
    </cfRule>
  </conditionalFormatting>
  <conditionalFormatting sqref="M30">
    <cfRule type="cellIs" dxfId="19712" priority="5867" operator="equal">
      <formula>"OFF"</formula>
    </cfRule>
    <cfRule type="cellIs" dxfId="19711" priority="5868" operator="equal">
      <formula>"PTO"</formula>
    </cfRule>
  </conditionalFormatting>
  <conditionalFormatting sqref="M30">
    <cfRule type="cellIs" dxfId="19710" priority="5865" operator="equal">
      <formula>"OFF"</formula>
    </cfRule>
    <cfRule type="cellIs" dxfId="19709" priority="5866" operator="equal">
      <formula>"PTO"</formula>
    </cfRule>
  </conditionalFormatting>
  <conditionalFormatting sqref="M30">
    <cfRule type="cellIs" dxfId="19708" priority="5863" operator="equal">
      <formula>"OFF"</formula>
    </cfRule>
    <cfRule type="cellIs" dxfId="19707" priority="5864" operator="equal">
      <formula>"PTO"</formula>
    </cfRule>
  </conditionalFormatting>
  <conditionalFormatting sqref="M30">
    <cfRule type="cellIs" dxfId="19706" priority="5861" operator="equal">
      <formula>"OFF"</formula>
    </cfRule>
    <cfRule type="cellIs" dxfId="19705" priority="5862" operator="equal">
      <formula>"PTO"</formula>
    </cfRule>
  </conditionalFormatting>
  <conditionalFormatting sqref="M30">
    <cfRule type="cellIs" dxfId="19704" priority="5859" operator="equal">
      <formula>"OFF"</formula>
    </cfRule>
    <cfRule type="cellIs" dxfId="19703" priority="5860" operator="equal">
      <formula>"PTO"</formula>
    </cfRule>
  </conditionalFormatting>
  <conditionalFormatting sqref="M30">
    <cfRule type="cellIs" dxfId="19702" priority="5857" operator="equal">
      <formula>"OFF"</formula>
    </cfRule>
    <cfRule type="cellIs" dxfId="19701" priority="5858" operator="equal">
      <formula>"PTO"</formula>
    </cfRule>
  </conditionalFormatting>
  <conditionalFormatting sqref="M30">
    <cfRule type="cellIs" dxfId="19700" priority="5855" operator="equal">
      <formula>"OFF"</formula>
    </cfRule>
    <cfRule type="cellIs" dxfId="19699" priority="5856" operator="equal">
      <formula>"PTO"</formula>
    </cfRule>
  </conditionalFormatting>
  <conditionalFormatting sqref="M30">
    <cfRule type="cellIs" dxfId="19698" priority="5853" operator="equal">
      <formula>"OFF"</formula>
    </cfRule>
    <cfRule type="cellIs" dxfId="19697" priority="5854" operator="equal">
      <formula>"PTO"</formula>
    </cfRule>
  </conditionalFormatting>
  <conditionalFormatting sqref="M30">
    <cfRule type="cellIs" dxfId="19696" priority="5851" operator="equal">
      <formula>"OFF"</formula>
    </cfRule>
    <cfRule type="cellIs" dxfId="19695" priority="5852" operator="equal">
      <formula>"PTO"</formula>
    </cfRule>
  </conditionalFormatting>
  <conditionalFormatting sqref="M30">
    <cfRule type="cellIs" dxfId="19694" priority="5849" operator="equal">
      <formula>"OFF"</formula>
    </cfRule>
    <cfRule type="cellIs" dxfId="19693" priority="5850" operator="equal">
      <formula>"PTO"</formula>
    </cfRule>
  </conditionalFormatting>
  <conditionalFormatting sqref="M30">
    <cfRule type="cellIs" dxfId="19692" priority="5847" operator="equal">
      <formula>"OFF"</formula>
    </cfRule>
    <cfRule type="cellIs" dxfId="19691" priority="5848" operator="equal">
      <formula>"PTO"</formula>
    </cfRule>
  </conditionalFormatting>
  <conditionalFormatting sqref="M30">
    <cfRule type="cellIs" dxfId="19690" priority="5845" operator="equal">
      <formula>"OFF"</formula>
    </cfRule>
    <cfRule type="cellIs" dxfId="19689" priority="5846" operator="equal">
      <formula>"PTO"</formula>
    </cfRule>
  </conditionalFormatting>
  <conditionalFormatting sqref="M30">
    <cfRule type="cellIs" dxfId="19688" priority="5843" operator="equal">
      <formula>"OFF"</formula>
    </cfRule>
    <cfRule type="cellIs" dxfId="19687" priority="5844" operator="equal">
      <formula>"PTO"</formula>
    </cfRule>
  </conditionalFormatting>
  <conditionalFormatting sqref="M30">
    <cfRule type="cellIs" dxfId="19686" priority="5841" operator="equal">
      <formula>"OFF"</formula>
    </cfRule>
    <cfRule type="cellIs" dxfId="19685" priority="5842" operator="equal">
      <formula>"PTO"</formula>
    </cfRule>
  </conditionalFormatting>
  <conditionalFormatting sqref="M30">
    <cfRule type="cellIs" dxfId="19684" priority="5839" operator="equal">
      <formula>"OFF"</formula>
    </cfRule>
    <cfRule type="cellIs" dxfId="19683" priority="5840" operator="equal">
      <formula>"PTO"</formula>
    </cfRule>
  </conditionalFormatting>
  <conditionalFormatting sqref="M30">
    <cfRule type="cellIs" dxfId="19682" priority="5837" operator="equal">
      <formula>"OFF"</formula>
    </cfRule>
    <cfRule type="cellIs" dxfId="19681" priority="5838" operator="equal">
      <formula>"PTO"</formula>
    </cfRule>
  </conditionalFormatting>
  <conditionalFormatting sqref="M30">
    <cfRule type="cellIs" dxfId="19680" priority="5835" operator="equal">
      <formula>"OFF"</formula>
    </cfRule>
    <cfRule type="cellIs" dxfId="19679" priority="5836" operator="equal">
      <formula>"PTO"</formula>
    </cfRule>
  </conditionalFormatting>
  <conditionalFormatting sqref="M30">
    <cfRule type="cellIs" dxfId="19678" priority="5833" operator="equal">
      <formula>"OFF"</formula>
    </cfRule>
    <cfRule type="cellIs" dxfId="19677" priority="5834" operator="equal">
      <formula>"PTO"</formula>
    </cfRule>
  </conditionalFormatting>
  <conditionalFormatting sqref="M30">
    <cfRule type="cellIs" dxfId="19676" priority="5831" operator="equal">
      <formula>"OFF"</formula>
    </cfRule>
    <cfRule type="cellIs" dxfId="19675" priority="5832" operator="equal">
      <formula>"PTO"</formula>
    </cfRule>
  </conditionalFormatting>
  <conditionalFormatting sqref="M30">
    <cfRule type="cellIs" dxfId="19674" priority="5829" operator="equal">
      <formula>"OFF"</formula>
    </cfRule>
    <cfRule type="cellIs" dxfId="19673" priority="5830" operator="equal">
      <formula>"PTO"</formula>
    </cfRule>
  </conditionalFormatting>
  <conditionalFormatting sqref="M30">
    <cfRule type="cellIs" dxfId="19672" priority="5827" operator="equal">
      <formula>"OFF"</formula>
    </cfRule>
    <cfRule type="cellIs" dxfId="19671" priority="5828" operator="equal">
      <formula>"PTO"</formula>
    </cfRule>
  </conditionalFormatting>
  <conditionalFormatting sqref="M30">
    <cfRule type="cellIs" dxfId="19670" priority="5825" operator="equal">
      <formula>"OFF"</formula>
    </cfRule>
    <cfRule type="cellIs" dxfId="19669" priority="5826" operator="equal">
      <formula>"PTO"</formula>
    </cfRule>
  </conditionalFormatting>
  <conditionalFormatting sqref="M30">
    <cfRule type="cellIs" dxfId="19668" priority="5823" operator="equal">
      <formula>"OFF"</formula>
    </cfRule>
    <cfRule type="cellIs" dxfId="19667" priority="5824" operator="equal">
      <formula>"PTO"</formula>
    </cfRule>
  </conditionalFormatting>
  <conditionalFormatting sqref="M30">
    <cfRule type="cellIs" dxfId="19666" priority="5821" operator="equal">
      <formula>"OFF"</formula>
    </cfRule>
    <cfRule type="cellIs" dxfId="19665" priority="5822" operator="equal">
      <formula>"PTO"</formula>
    </cfRule>
  </conditionalFormatting>
  <conditionalFormatting sqref="M30">
    <cfRule type="cellIs" dxfId="19664" priority="5819" operator="equal">
      <formula>"OFF"</formula>
    </cfRule>
    <cfRule type="cellIs" dxfId="19663" priority="5820" operator="equal">
      <formula>"PTO"</formula>
    </cfRule>
  </conditionalFormatting>
  <conditionalFormatting sqref="M30">
    <cfRule type="cellIs" dxfId="19662" priority="5817" operator="equal">
      <formula>"OFF"</formula>
    </cfRule>
    <cfRule type="cellIs" dxfId="19661" priority="5818" operator="equal">
      <formula>"PTO"</formula>
    </cfRule>
  </conditionalFormatting>
  <conditionalFormatting sqref="M30">
    <cfRule type="cellIs" dxfId="19660" priority="5815" operator="equal">
      <formula>"OFF"</formula>
    </cfRule>
    <cfRule type="cellIs" dxfId="19659" priority="5816" operator="equal">
      <formula>"PTO"</formula>
    </cfRule>
  </conditionalFormatting>
  <conditionalFormatting sqref="M30">
    <cfRule type="cellIs" dxfId="19658" priority="5813" operator="equal">
      <formula>"OFF"</formula>
    </cfRule>
    <cfRule type="cellIs" dxfId="19657" priority="5814" operator="equal">
      <formula>"PTO"</formula>
    </cfRule>
  </conditionalFormatting>
  <conditionalFormatting sqref="M30">
    <cfRule type="cellIs" dxfId="19656" priority="5811" operator="equal">
      <formula>"OFF"</formula>
    </cfRule>
    <cfRule type="cellIs" dxfId="19655" priority="5812" operator="equal">
      <formula>"PTO"</formula>
    </cfRule>
  </conditionalFormatting>
  <conditionalFormatting sqref="M30">
    <cfRule type="cellIs" dxfId="19654" priority="5809" operator="equal">
      <formula>"OFF"</formula>
    </cfRule>
    <cfRule type="cellIs" dxfId="19653" priority="5810" operator="equal">
      <formula>"PTO"</formula>
    </cfRule>
  </conditionalFormatting>
  <conditionalFormatting sqref="M30">
    <cfRule type="cellIs" dxfId="19652" priority="5807" operator="equal">
      <formula>"OFF"</formula>
    </cfRule>
    <cfRule type="cellIs" dxfId="19651" priority="5808" operator="equal">
      <formula>"PTO"</formula>
    </cfRule>
  </conditionalFormatting>
  <conditionalFormatting sqref="M30">
    <cfRule type="cellIs" dxfId="19650" priority="5805" operator="equal">
      <formula>"OFF"</formula>
    </cfRule>
    <cfRule type="cellIs" dxfId="19649" priority="5806" operator="equal">
      <formula>"PTO"</formula>
    </cfRule>
  </conditionalFormatting>
  <conditionalFormatting sqref="M30">
    <cfRule type="cellIs" dxfId="19648" priority="5803" operator="equal">
      <formula>"OFF"</formula>
    </cfRule>
    <cfRule type="cellIs" dxfId="19647" priority="5804" operator="equal">
      <formula>"PTO"</formula>
    </cfRule>
  </conditionalFormatting>
  <conditionalFormatting sqref="M30">
    <cfRule type="cellIs" dxfId="19646" priority="5801" operator="equal">
      <formula>"OFF"</formula>
    </cfRule>
    <cfRule type="cellIs" dxfId="19645" priority="5802" operator="equal">
      <formula>"PTO"</formula>
    </cfRule>
  </conditionalFormatting>
  <conditionalFormatting sqref="M30">
    <cfRule type="cellIs" dxfId="19644" priority="5799" operator="equal">
      <formula>"OFF"</formula>
    </cfRule>
    <cfRule type="cellIs" dxfId="19643" priority="5800" operator="equal">
      <formula>"PTO"</formula>
    </cfRule>
  </conditionalFormatting>
  <conditionalFormatting sqref="M30">
    <cfRule type="cellIs" dxfId="19642" priority="5797" operator="equal">
      <formula>"OFF"</formula>
    </cfRule>
    <cfRule type="cellIs" dxfId="19641" priority="5798" operator="equal">
      <formula>"PTO"</formula>
    </cfRule>
  </conditionalFormatting>
  <conditionalFormatting sqref="M30">
    <cfRule type="cellIs" dxfId="19640" priority="5795" operator="equal">
      <formula>"OFF"</formula>
    </cfRule>
    <cfRule type="cellIs" dxfId="19639" priority="5796" operator="equal">
      <formula>"PTO"</formula>
    </cfRule>
  </conditionalFormatting>
  <conditionalFormatting sqref="M30">
    <cfRule type="cellIs" dxfId="19638" priority="5793" operator="equal">
      <formula>"OFF"</formula>
    </cfRule>
    <cfRule type="cellIs" dxfId="19637" priority="5794" operator="equal">
      <formula>"PTO"</formula>
    </cfRule>
  </conditionalFormatting>
  <conditionalFormatting sqref="M30">
    <cfRule type="cellIs" dxfId="19636" priority="5791" operator="equal">
      <formula>"OFF"</formula>
    </cfRule>
    <cfRule type="cellIs" dxfId="19635" priority="5792" operator="equal">
      <formula>"PTO"</formula>
    </cfRule>
  </conditionalFormatting>
  <conditionalFormatting sqref="M30">
    <cfRule type="cellIs" dxfId="19634" priority="5789" operator="equal">
      <formula>"OFF"</formula>
    </cfRule>
    <cfRule type="cellIs" dxfId="19633" priority="5790" operator="equal">
      <formula>"PTO"</formula>
    </cfRule>
  </conditionalFormatting>
  <conditionalFormatting sqref="M30">
    <cfRule type="cellIs" dxfId="19632" priority="5787" operator="equal">
      <formula>"OFF"</formula>
    </cfRule>
    <cfRule type="cellIs" dxfId="19631" priority="5788" operator="equal">
      <formula>"PTO"</formula>
    </cfRule>
  </conditionalFormatting>
  <conditionalFormatting sqref="M30">
    <cfRule type="cellIs" dxfId="19630" priority="5785" operator="equal">
      <formula>"OFF"</formula>
    </cfRule>
    <cfRule type="cellIs" dxfId="19629" priority="5786" operator="equal">
      <formula>"PTO"</formula>
    </cfRule>
  </conditionalFormatting>
  <conditionalFormatting sqref="M30">
    <cfRule type="cellIs" dxfId="19628" priority="5783" operator="equal">
      <formula>"OFF"</formula>
    </cfRule>
    <cfRule type="cellIs" dxfId="19627" priority="5784" operator="equal">
      <formula>"PTO"</formula>
    </cfRule>
  </conditionalFormatting>
  <conditionalFormatting sqref="M30">
    <cfRule type="cellIs" dxfId="19626" priority="5781" operator="equal">
      <formula>"OFF"</formula>
    </cfRule>
    <cfRule type="cellIs" dxfId="19625" priority="5782" operator="equal">
      <formula>"PTO"</formula>
    </cfRule>
  </conditionalFormatting>
  <conditionalFormatting sqref="M30">
    <cfRule type="cellIs" dxfId="19624" priority="5779" operator="equal">
      <formula>"OFF"</formula>
    </cfRule>
    <cfRule type="cellIs" dxfId="19623" priority="5780" operator="equal">
      <formula>"PTO"</formula>
    </cfRule>
  </conditionalFormatting>
  <conditionalFormatting sqref="M30">
    <cfRule type="cellIs" dxfId="19622" priority="5777" operator="equal">
      <formula>"OFF"</formula>
    </cfRule>
    <cfRule type="cellIs" dxfId="19621" priority="5778" operator="equal">
      <formula>"PTO"</formula>
    </cfRule>
  </conditionalFormatting>
  <conditionalFormatting sqref="M30">
    <cfRule type="cellIs" dxfId="19620" priority="5775" operator="equal">
      <formula>"OFF"</formula>
    </cfRule>
    <cfRule type="cellIs" dxfId="19619" priority="5776" operator="equal">
      <formula>"PTO"</formula>
    </cfRule>
  </conditionalFormatting>
  <conditionalFormatting sqref="M30">
    <cfRule type="cellIs" dxfId="19618" priority="5773" operator="equal">
      <formula>"OFF"</formula>
    </cfRule>
    <cfRule type="cellIs" dxfId="19617" priority="5774" operator="equal">
      <formula>"PTO"</formula>
    </cfRule>
  </conditionalFormatting>
  <conditionalFormatting sqref="M30">
    <cfRule type="cellIs" dxfId="19616" priority="5771" operator="equal">
      <formula>"OFF"</formula>
    </cfRule>
    <cfRule type="cellIs" dxfId="19615" priority="5772" operator="equal">
      <formula>"PTO"</formula>
    </cfRule>
  </conditionalFormatting>
  <conditionalFormatting sqref="M30">
    <cfRule type="cellIs" dxfId="19614" priority="5769" operator="equal">
      <formula>"OFF"</formula>
    </cfRule>
    <cfRule type="cellIs" dxfId="19613" priority="5770" operator="equal">
      <formula>"PTO"</formula>
    </cfRule>
  </conditionalFormatting>
  <conditionalFormatting sqref="M30">
    <cfRule type="cellIs" dxfId="19612" priority="5767" operator="equal">
      <formula>"OFF"</formula>
    </cfRule>
    <cfRule type="cellIs" dxfId="19611" priority="5768" operator="equal">
      <formula>"PTO"</formula>
    </cfRule>
  </conditionalFormatting>
  <conditionalFormatting sqref="M30">
    <cfRule type="cellIs" dxfId="19610" priority="5765" operator="equal">
      <formula>"OFF"</formula>
    </cfRule>
    <cfRule type="cellIs" dxfId="19609" priority="5766" operator="equal">
      <formula>"PTO"</formula>
    </cfRule>
  </conditionalFormatting>
  <conditionalFormatting sqref="M30">
    <cfRule type="cellIs" dxfId="19608" priority="5763" operator="equal">
      <formula>"OFF"</formula>
    </cfRule>
    <cfRule type="cellIs" dxfId="19607" priority="5764" operator="equal">
      <formula>"PTO"</formula>
    </cfRule>
  </conditionalFormatting>
  <conditionalFormatting sqref="M30">
    <cfRule type="cellIs" dxfId="19606" priority="5761" operator="equal">
      <formula>"OFF"</formula>
    </cfRule>
    <cfRule type="cellIs" dxfId="19605" priority="5762" operator="equal">
      <formula>"PTO"</formula>
    </cfRule>
  </conditionalFormatting>
  <conditionalFormatting sqref="M30">
    <cfRule type="cellIs" dxfId="19604" priority="5759" operator="equal">
      <formula>"OFF"</formula>
    </cfRule>
    <cfRule type="cellIs" dxfId="19603" priority="5760" operator="equal">
      <formula>"PTO"</formula>
    </cfRule>
  </conditionalFormatting>
  <conditionalFormatting sqref="M30">
    <cfRule type="cellIs" dxfId="19602" priority="5757" operator="equal">
      <formula>"OFF"</formula>
    </cfRule>
    <cfRule type="cellIs" dxfId="19601" priority="5758" operator="equal">
      <formula>"PTO"</formula>
    </cfRule>
  </conditionalFormatting>
  <conditionalFormatting sqref="M30">
    <cfRule type="cellIs" dxfId="19600" priority="5755" operator="equal">
      <formula>"OFF"</formula>
    </cfRule>
    <cfRule type="cellIs" dxfId="19599" priority="5756" operator="equal">
      <formula>"PTO"</formula>
    </cfRule>
  </conditionalFormatting>
  <conditionalFormatting sqref="M30">
    <cfRule type="cellIs" dxfId="19598" priority="5753" operator="equal">
      <formula>"OFF"</formula>
    </cfRule>
    <cfRule type="cellIs" dxfId="19597" priority="5754" operator="equal">
      <formula>"PTO"</formula>
    </cfRule>
  </conditionalFormatting>
  <conditionalFormatting sqref="M30">
    <cfRule type="cellIs" dxfId="19596" priority="5751" operator="equal">
      <formula>"OFF"</formula>
    </cfRule>
    <cfRule type="cellIs" dxfId="19595" priority="5752" operator="equal">
      <formula>"PTO"</formula>
    </cfRule>
  </conditionalFormatting>
  <conditionalFormatting sqref="M30">
    <cfRule type="cellIs" dxfId="19594" priority="5749" operator="equal">
      <formula>"OFF"</formula>
    </cfRule>
    <cfRule type="cellIs" dxfId="19593" priority="5750" operator="equal">
      <formula>"PTO"</formula>
    </cfRule>
  </conditionalFormatting>
  <conditionalFormatting sqref="M30">
    <cfRule type="cellIs" dxfId="19592" priority="5747" operator="equal">
      <formula>"OFF"</formula>
    </cfRule>
    <cfRule type="cellIs" dxfId="19591" priority="5748" operator="equal">
      <formula>"PTO"</formula>
    </cfRule>
  </conditionalFormatting>
  <conditionalFormatting sqref="M32:M33">
    <cfRule type="cellIs" dxfId="19590" priority="5745" operator="equal">
      <formula>"OFF"</formula>
    </cfRule>
    <cfRule type="cellIs" dxfId="19589" priority="5746" operator="equal">
      <formula>"PTO"</formula>
    </cfRule>
  </conditionalFormatting>
  <conditionalFormatting sqref="M32:M33">
    <cfRule type="cellIs" dxfId="19588" priority="5743" operator="equal">
      <formula>"OFF"</formula>
    </cfRule>
    <cfRule type="cellIs" dxfId="19587" priority="5744" operator="equal">
      <formula>"PTO"</formula>
    </cfRule>
  </conditionalFormatting>
  <conditionalFormatting sqref="M32:M33">
    <cfRule type="cellIs" dxfId="19586" priority="5741" operator="equal">
      <formula>"OFF"</formula>
    </cfRule>
    <cfRule type="cellIs" dxfId="19585" priority="5742" operator="equal">
      <formula>"PTO"</formula>
    </cfRule>
  </conditionalFormatting>
  <conditionalFormatting sqref="M32:M33">
    <cfRule type="cellIs" dxfId="19584" priority="5739" operator="equal">
      <formula>"OFF"</formula>
    </cfRule>
    <cfRule type="cellIs" dxfId="19583" priority="5740" operator="equal">
      <formula>"PTO"</formula>
    </cfRule>
  </conditionalFormatting>
  <conditionalFormatting sqref="M32:M33">
    <cfRule type="cellIs" dxfId="19582" priority="5737" operator="equal">
      <formula>"OFF"</formula>
    </cfRule>
    <cfRule type="cellIs" dxfId="19581" priority="5738" operator="equal">
      <formula>"PTO"</formula>
    </cfRule>
  </conditionalFormatting>
  <conditionalFormatting sqref="M32:M33">
    <cfRule type="cellIs" dxfId="19580" priority="5735" operator="equal">
      <formula>"OFF"</formula>
    </cfRule>
    <cfRule type="cellIs" dxfId="19579" priority="5736" operator="equal">
      <formula>"PTO"</formula>
    </cfRule>
  </conditionalFormatting>
  <conditionalFormatting sqref="M32:M33">
    <cfRule type="cellIs" dxfId="19578" priority="5733" operator="equal">
      <formula>"OFF"</formula>
    </cfRule>
    <cfRule type="cellIs" dxfId="19577" priority="5734" operator="equal">
      <formula>"PTO"</formula>
    </cfRule>
  </conditionalFormatting>
  <conditionalFormatting sqref="M32:M33">
    <cfRule type="cellIs" dxfId="19576" priority="5731" operator="equal">
      <formula>"OFF"</formula>
    </cfRule>
    <cfRule type="cellIs" dxfId="19575" priority="5732" operator="equal">
      <formula>"PTO"</formula>
    </cfRule>
  </conditionalFormatting>
  <conditionalFormatting sqref="M35:M36">
    <cfRule type="cellIs" dxfId="19574" priority="5729" operator="equal">
      <formula>"OFF"</formula>
    </cfRule>
    <cfRule type="cellIs" dxfId="19573" priority="5730" operator="equal">
      <formula>"PTO"</formula>
    </cfRule>
  </conditionalFormatting>
  <conditionalFormatting sqref="M35:M36">
    <cfRule type="cellIs" dxfId="19572" priority="5727" operator="equal">
      <formula>"OFF"</formula>
    </cfRule>
    <cfRule type="cellIs" dxfId="19571" priority="5728" operator="equal">
      <formula>"PTO"</formula>
    </cfRule>
  </conditionalFormatting>
  <conditionalFormatting sqref="M35:M36">
    <cfRule type="cellIs" dxfId="19570" priority="5725" operator="equal">
      <formula>"OFF"</formula>
    </cfRule>
    <cfRule type="cellIs" dxfId="19569" priority="5726" operator="equal">
      <formula>"PTO"</formula>
    </cfRule>
  </conditionalFormatting>
  <conditionalFormatting sqref="M35:M36">
    <cfRule type="cellIs" dxfId="19568" priority="5723" operator="equal">
      <formula>"OFF"</formula>
    </cfRule>
    <cfRule type="cellIs" dxfId="19567" priority="5724" operator="equal">
      <formula>"PTO"</formula>
    </cfRule>
  </conditionalFormatting>
  <conditionalFormatting sqref="M35:M36">
    <cfRule type="cellIs" dxfId="19566" priority="5721" operator="equal">
      <formula>"OFF"</formula>
    </cfRule>
    <cfRule type="cellIs" dxfId="19565" priority="5722" operator="equal">
      <formula>"PTO"</formula>
    </cfRule>
  </conditionalFormatting>
  <conditionalFormatting sqref="M35:M36">
    <cfRule type="cellIs" dxfId="19564" priority="5719" operator="equal">
      <formula>"OFF"</formula>
    </cfRule>
    <cfRule type="cellIs" dxfId="19563" priority="5720" operator="equal">
      <formula>"PTO"</formula>
    </cfRule>
  </conditionalFormatting>
  <conditionalFormatting sqref="M35:M36">
    <cfRule type="cellIs" dxfId="19562" priority="5717" operator="equal">
      <formula>"OFF"</formula>
    </cfRule>
    <cfRule type="cellIs" dxfId="19561" priority="5718" operator="equal">
      <formula>"PTO"</formula>
    </cfRule>
  </conditionalFormatting>
  <conditionalFormatting sqref="M35:M36">
    <cfRule type="cellIs" dxfId="19560" priority="5715" operator="equal">
      <formula>"OFF"</formula>
    </cfRule>
    <cfRule type="cellIs" dxfId="19559" priority="5716" operator="equal">
      <formula>"PTO"</formula>
    </cfRule>
  </conditionalFormatting>
  <conditionalFormatting sqref="M38:M39">
    <cfRule type="cellIs" dxfId="19558" priority="5713" operator="equal">
      <formula>"OFF"</formula>
    </cfRule>
    <cfRule type="cellIs" dxfId="19557" priority="5714" operator="equal">
      <formula>"PTO"</formula>
    </cfRule>
  </conditionalFormatting>
  <conditionalFormatting sqref="M38:M39">
    <cfRule type="cellIs" dxfId="19556" priority="5711" operator="equal">
      <formula>"OFF"</formula>
    </cfRule>
    <cfRule type="cellIs" dxfId="19555" priority="5712" operator="equal">
      <formula>"PTO"</formula>
    </cfRule>
  </conditionalFormatting>
  <conditionalFormatting sqref="M38:M39">
    <cfRule type="cellIs" dxfId="19554" priority="5709" operator="equal">
      <formula>"OFF"</formula>
    </cfRule>
    <cfRule type="cellIs" dxfId="19553" priority="5710" operator="equal">
      <formula>"PTO"</formula>
    </cfRule>
  </conditionalFormatting>
  <conditionalFormatting sqref="M38:M39">
    <cfRule type="cellIs" dxfId="19552" priority="5707" operator="equal">
      <formula>"OFF"</formula>
    </cfRule>
    <cfRule type="cellIs" dxfId="19551" priority="5708" operator="equal">
      <formula>"PTO"</formula>
    </cfRule>
  </conditionalFormatting>
  <conditionalFormatting sqref="M38:M39">
    <cfRule type="cellIs" dxfId="19550" priority="5705" operator="equal">
      <formula>"OFF"</formula>
    </cfRule>
    <cfRule type="cellIs" dxfId="19549" priority="5706" operator="equal">
      <formula>"PTO"</formula>
    </cfRule>
  </conditionalFormatting>
  <conditionalFormatting sqref="M38:M39">
    <cfRule type="cellIs" dxfId="19548" priority="5703" operator="equal">
      <formula>"OFF"</formula>
    </cfRule>
    <cfRule type="cellIs" dxfId="19547" priority="5704" operator="equal">
      <formula>"PTO"</formula>
    </cfRule>
  </conditionalFormatting>
  <conditionalFormatting sqref="M38:M39">
    <cfRule type="cellIs" dxfId="19546" priority="5701" operator="equal">
      <formula>"OFF"</formula>
    </cfRule>
    <cfRule type="cellIs" dxfId="19545" priority="5702" operator="equal">
      <formula>"PTO"</formula>
    </cfRule>
  </conditionalFormatting>
  <conditionalFormatting sqref="M38:M39">
    <cfRule type="cellIs" dxfId="19544" priority="5699" operator="equal">
      <formula>"OFF"</formula>
    </cfRule>
    <cfRule type="cellIs" dxfId="19543" priority="5700" operator="equal">
      <formula>"PTO"</formula>
    </cfRule>
  </conditionalFormatting>
  <conditionalFormatting sqref="U26:U27 U29:U39">
    <cfRule type="cellIs" dxfId="19542" priority="5697" operator="equal">
      <formula>"OFF"</formula>
    </cfRule>
    <cfRule type="cellIs" dxfId="19541" priority="5698" operator="equal">
      <formula>"PTO"</formula>
    </cfRule>
  </conditionalFormatting>
  <conditionalFormatting sqref="U26">
    <cfRule type="cellIs" dxfId="19540" priority="5695" operator="equal">
      <formula>"OFF"</formula>
    </cfRule>
    <cfRule type="cellIs" dxfId="19539" priority="5696" operator="equal">
      <formula>"PTO"</formula>
    </cfRule>
  </conditionalFormatting>
  <conditionalFormatting sqref="U26">
    <cfRule type="cellIs" dxfId="19538" priority="5693" operator="equal">
      <formula>"OFF"</formula>
    </cfRule>
    <cfRule type="cellIs" dxfId="19537" priority="5694" operator="equal">
      <formula>"PTO"</formula>
    </cfRule>
  </conditionalFormatting>
  <conditionalFormatting sqref="U26">
    <cfRule type="cellIs" dxfId="19536" priority="5691" operator="equal">
      <formula>"OFF"</formula>
    </cfRule>
    <cfRule type="cellIs" dxfId="19535" priority="5692" operator="equal">
      <formula>"PTO"</formula>
    </cfRule>
  </conditionalFormatting>
  <conditionalFormatting sqref="U26">
    <cfRule type="cellIs" dxfId="19534" priority="5689" operator="equal">
      <formula>"OFF"</formula>
    </cfRule>
    <cfRule type="cellIs" dxfId="19533" priority="5690" operator="equal">
      <formula>"PTO"</formula>
    </cfRule>
  </conditionalFormatting>
  <conditionalFormatting sqref="U26">
    <cfRule type="cellIs" dxfId="19532" priority="5687" operator="equal">
      <formula>"OFF"</formula>
    </cfRule>
    <cfRule type="cellIs" dxfId="19531" priority="5688" operator="equal">
      <formula>"PTO"</formula>
    </cfRule>
  </conditionalFormatting>
  <conditionalFormatting sqref="U26">
    <cfRule type="cellIs" dxfId="19530" priority="5685" operator="equal">
      <formula>"OFF"</formula>
    </cfRule>
    <cfRule type="cellIs" dxfId="19529" priority="5686" operator="equal">
      <formula>"PTO"</formula>
    </cfRule>
  </conditionalFormatting>
  <conditionalFormatting sqref="U26">
    <cfRule type="cellIs" dxfId="19528" priority="5683" operator="equal">
      <formula>"OFF"</formula>
    </cfRule>
    <cfRule type="cellIs" dxfId="19527" priority="5684" operator="equal">
      <formula>"PTO"</formula>
    </cfRule>
  </conditionalFormatting>
  <conditionalFormatting sqref="U26">
    <cfRule type="cellIs" dxfId="19526" priority="5681" operator="equal">
      <formula>"OFF"</formula>
    </cfRule>
    <cfRule type="cellIs" dxfId="19525" priority="5682" operator="equal">
      <formula>"PTO"</formula>
    </cfRule>
  </conditionalFormatting>
  <conditionalFormatting sqref="U27">
    <cfRule type="cellIs" dxfId="19524" priority="5679" operator="equal">
      <formula>"OFF"</formula>
    </cfRule>
    <cfRule type="cellIs" dxfId="19523" priority="5680" operator="equal">
      <formula>"PTO"</formula>
    </cfRule>
  </conditionalFormatting>
  <conditionalFormatting sqref="U27">
    <cfRule type="cellIs" dxfId="19522" priority="5677" operator="equal">
      <formula>"OFF"</formula>
    </cfRule>
    <cfRule type="cellIs" dxfId="19521" priority="5678" operator="equal">
      <formula>"PTO"</formula>
    </cfRule>
  </conditionalFormatting>
  <conditionalFormatting sqref="U27">
    <cfRule type="cellIs" dxfId="19520" priority="5675" operator="equal">
      <formula>"OFF"</formula>
    </cfRule>
    <cfRule type="cellIs" dxfId="19519" priority="5676" operator="equal">
      <formula>"PTO"</formula>
    </cfRule>
  </conditionalFormatting>
  <conditionalFormatting sqref="U27">
    <cfRule type="cellIs" dxfId="19518" priority="5673" operator="equal">
      <formula>"OFF"</formula>
    </cfRule>
    <cfRule type="cellIs" dxfId="19517" priority="5674" operator="equal">
      <formula>"PTO"</formula>
    </cfRule>
  </conditionalFormatting>
  <conditionalFormatting sqref="U27">
    <cfRule type="cellIs" dxfId="19516" priority="5671" operator="equal">
      <formula>"OFF"</formula>
    </cfRule>
    <cfRule type="cellIs" dxfId="19515" priority="5672" operator="equal">
      <formula>"PTO"</formula>
    </cfRule>
  </conditionalFormatting>
  <conditionalFormatting sqref="U27">
    <cfRule type="cellIs" dxfId="19514" priority="5669" operator="equal">
      <formula>"OFF"</formula>
    </cfRule>
    <cfRule type="cellIs" dxfId="19513" priority="5670" operator="equal">
      <formula>"PTO"</formula>
    </cfRule>
  </conditionalFormatting>
  <conditionalFormatting sqref="U27">
    <cfRule type="cellIs" dxfId="19512" priority="5667" operator="equal">
      <formula>"OFF"</formula>
    </cfRule>
    <cfRule type="cellIs" dxfId="19511" priority="5668" operator="equal">
      <formula>"PTO"</formula>
    </cfRule>
  </conditionalFormatting>
  <conditionalFormatting sqref="U27">
    <cfRule type="cellIs" dxfId="19510" priority="5665" operator="equal">
      <formula>"OFF"</formula>
    </cfRule>
    <cfRule type="cellIs" dxfId="19509" priority="5666" operator="equal">
      <formula>"PTO"</formula>
    </cfRule>
  </conditionalFormatting>
  <conditionalFormatting sqref="U26">
    <cfRule type="cellIs" dxfId="19508" priority="5663" operator="equal">
      <formula>"OFF"</formula>
    </cfRule>
    <cfRule type="cellIs" dxfId="19507" priority="5664" operator="equal">
      <formula>"PTO"</formula>
    </cfRule>
  </conditionalFormatting>
  <conditionalFormatting sqref="U26">
    <cfRule type="cellIs" dxfId="19506" priority="5661" operator="equal">
      <formula>"OFF"</formula>
    </cfRule>
    <cfRule type="cellIs" dxfId="19505" priority="5662" operator="equal">
      <formula>"PTO"</formula>
    </cfRule>
  </conditionalFormatting>
  <conditionalFormatting sqref="U26">
    <cfRule type="cellIs" dxfId="19504" priority="5659" operator="equal">
      <formula>"OFF"</formula>
    </cfRule>
    <cfRule type="cellIs" dxfId="19503" priority="5660" operator="equal">
      <formula>"PTO"</formula>
    </cfRule>
  </conditionalFormatting>
  <conditionalFormatting sqref="U26">
    <cfRule type="cellIs" dxfId="19502" priority="5657" operator="equal">
      <formula>"OFF"</formula>
    </cfRule>
    <cfRule type="cellIs" dxfId="19501" priority="5658" operator="equal">
      <formula>"PTO"</formula>
    </cfRule>
  </conditionalFormatting>
  <conditionalFormatting sqref="U26">
    <cfRule type="cellIs" dxfId="19500" priority="5655" operator="equal">
      <formula>"OFF"</formula>
    </cfRule>
    <cfRule type="cellIs" dxfId="19499" priority="5656" operator="equal">
      <formula>"PTO"</formula>
    </cfRule>
  </conditionalFormatting>
  <conditionalFormatting sqref="U26">
    <cfRule type="cellIs" dxfId="19498" priority="5653" operator="equal">
      <formula>"OFF"</formula>
    </cfRule>
    <cfRule type="cellIs" dxfId="19497" priority="5654" operator="equal">
      <formula>"PTO"</formula>
    </cfRule>
  </conditionalFormatting>
  <conditionalFormatting sqref="U26">
    <cfRule type="cellIs" dxfId="19496" priority="5651" operator="equal">
      <formula>"OFF"</formula>
    </cfRule>
    <cfRule type="cellIs" dxfId="19495" priority="5652" operator="equal">
      <formula>"PTO"</formula>
    </cfRule>
  </conditionalFormatting>
  <conditionalFormatting sqref="U26">
    <cfRule type="cellIs" dxfId="19494" priority="5649" operator="equal">
      <formula>"OFF"</formula>
    </cfRule>
    <cfRule type="cellIs" dxfId="19493" priority="5650" operator="equal">
      <formula>"PTO"</formula>
    </cfRule>
  </conditionalFormatting>
  <conditionalFormatting sqref="U27">
    <cfRule type="cellIs" dxfId="19492" priority="5647" operator="equal">
      <formula>"OFF"</formula>
    </cfRule>
    <cfRule type="cellIs" dxfId="19491" priority="5648" operator="equal">
      <formula>"PTO"</formula>
    </cfRule>
  </conditionalFormatting>
  <conditionalFormatting sqref="U27">
    <cfRule type="cellIs" dxfId="19490" priority="5645" operator="equal">
      <formula>"OFF"</formula>
    </cfRule>
    <cfRule type="cellIs" dxfId="19489" priority="5646" operator="equal">
      <formula>"PTO"</formula>
    </cfRule>
  </conditionalFormatting>
  <conditionalFormatting sqref="U27">
    <cfRule type="cellIs" dxfId="19488" priority="5643" operator="equal">
      <formula>"OFF"</formula>
    </cfRule>
    <cfRule type="cellIs" dxfId="19487" priority="5644" operator="equal">
      <formula>"PTO"</formula>
    </cfRule>
  </conditionalFormatting>
  <conditionalFormatting sqref="U27">
    <cfRule type="cellIs" dxfId="19486" priority="5641" operator="equal">
      <formula>"OFF"</formula>
    </cfRule>
    <cfRule type="cellIs" dxfId="19485" priority="5642" operator="equal">
      <formula>"PTO"</formula>
    </cfRule>
  </conditionalFormatting>
  <conditionalFormatting sqref="U27">
    <cfRule type="cellIs" dxfId="19484" priority="5639" operator="equal">
      <formula>"OFF"</formula>
    </cfRule>
    <cfRule type="cellIs" dxfId="19483" priority="5640" operator="equal">
      <formula>"PTO"</formula>
    </cfRule>
  </conditionalFormatting>
  <conditionalFormatting sqref="U27">
    <cfRule type="cellIs" dxfId="19482" priority="5637" operator="equal">
      <formula>"OFF"</formula>
    </cfRule>
    <cfRule type="cellIs" dxfId="19481" priority="5638" operator="equal">
      <formula>"PTO"</formula>
    </cfRule>
  </conditionalFormatting>
  <conditionalFormatting sqref="U27">
    <cfRule type="cellIs" dxfId="19480" priority="5635" operator="equal">
      <formula>"OFF"</formula>
    </cfRule>
    <cfRule type="cellIs" dxfId="19479" priority="5636" operator="equal">
      <formula>"PTO"</formula>
    </cfRule>
  </conditionalFormatting>
  <conditionalFormatting sqref="U27">
    <cfRule type="cellIs" dxfId="19478" priority="5633" operator="equal">
      <formula>"OFF"</formula>
    </cfRule>
    <cfRule type="cellIs" dxfId="19477" priority="5634" operator="equal">
      <formula>"PTO"</formula>
    </cfRule>
  </conditionalFormatting>
  <conditionalFormatting sqref="U26">
    <cfRule type="cellIs" dxfId="19476" priority="5631" operator="equal">
      <formula>"OFF"</formula>
    </cfRule>
    <cfRule type="cellIs" dxfId="19475" priority="5632" operator="equal">
      <formula>"PTO"</formula>
    </cfRule>
  </conditionalFormatting>
  <conditionalFormatting sqref="U26">
    <cfRule type="cellIs" dxfId="19474" priority="5629" operator="equal">
      <formula>"OFF"</formula>
    </cfRule>
    <cfRule type="cellIs" dxfId="19473" priority="5630" operator="equal">
      <formula>"PTO"</formula>
    </cfRule>
  </conditionalFormatting>
  <conditionalFormatting sqref="U26">
    <cfRule type="cellIs" dxfId="19472" priority="5627" operator="equal">
      <formula>"OFF"</formula>
    </cfRule>
    <cfRule type="cellIs" dxfId="19471" priority="5628" operator="equal">
      <formula>"PTO"</formula>
    </cfRule>
  </conditionalFormatting>
  <conditionalFormatting sqref="U26">
    <cfRule type="cellIs" dxfId="19470" priority="5625" operator="equal">
      <formula>"OFF"</formula>
    </cfRule>
    <cfRule type="cellIs" dxfId="19469" priority="5626" operator="equal">
      <formula>"PTO"</formula>
    </cfRule>
  </conditionalFormatting>
  <conditionalFormatting sqref="U26">
    <cfRule type="cellIs" dxfId="19468" priority="5623" operator="equal">
      <formula>"OFF"</formula>
    </cfRule>
    <cfRule type="cellIs" dxfId="19467" priority="5624" operator="equal">
      <formula>"PTO"</formula>
    </cfRule>
  </conditionalFormatting>
  <conditionalFormatting sqref="U26">
    <cfRule type="cellIs" dxfId="19466" priority="5621" operator="equal">
      <formula>"OFF"</formula>
    </cfRule>
    <cfRule type="cellIs" dxfId="19465" priority="5622" operator="equal">
      <formula>"PTO"</formula>
    </cfRule>
  </conditionalFormatting>
  <conditionalFormatting sqref="U26">
    <cfRule type="cellIs" dxfId="19464" priority="5619" operator="equal">
      <formula>"OFF"</formula>
    </cfRule>
    <cfRule type="cellIs" dxfId="19463" priority="5620" operator="equal">
      <formula>"PTO"</formula>
    </cfRule>
  </conditionalFormatting>
  <conditionalFormatting sqref="U26">
    <cfRule type="cellIs" dxfId="19462" priority="5617" operator="equal">
      <formula>"OFF"</formula>
    </cfRule>
    <cfRule type="cellIs" dxfId="19461" priority="5618" operator="equal">
      <formula>"PTO"</formula>
    </cfRule>
  </conditionalFormatting>
  <conditionalFormatting sqref="U27">
    <cfRule type="cellIs" dxfId="19460" priority="5615" operator="equal">
      <formula>"OFF"</formula>
    </cfRule>
    <cfRule type="cellIs" dxfId="19459" priority="5616" operator="equal">
      <formula>"PTO"</formula>
    </cfRule>
  </conditionalFormatting>
  <conditionalFormatting sqref="U27">
    <cfRule type="cellIs" dxfId="19458" priority="5613" operator="equal">
      <formula>"OFF"</formula>
    </cfRule>
    <cfRule type="cellIs" dxfId="19457" priority="5614" operator="equal">
      <formula>"PTO"</formula>
    </cfRule>
  </conditionalFormatting>
  <conditionalFormatting sqref="U27">
    <cfRule type="cellIs" dxfId="19456" priority="5611" operator="equal">
      <formula>"OFF"</formula>
    </cfRule>
    <cfRule type="cellIs" dxfId="19455" priority="5612" operator="equal">
      <formula>"PTO"</formula>
    </cfRule>
  </conditionalFormatting>
  <conditionalFormatting sqref="U27">
    <cfRule type="cellIs" dxfId="19454" priority="5609" operator="equal">
      <formula>"OFF"</formula>
    </cfRule>
    <cfRule type="cellIs" dxfId="19453" priority="5610" operator="equal">
      <formula>"PTO"</formula>
    </cfRule>
  </conditionalFormatting>
  <conditionalFormatting sqref="U27">
    <cfRule type="cellIs" dxfId="19452" priority="5607" operator="equal">
      <formula>"OFF"</formula>
    </cfRule>
    <cfRule type="cellIs" dxfId="19451" priority="5608" operator="equal">
      <formula>"PTO"</formula>
    </cfRule>
  </conditionalFormatting>
  <conditionalFormatting sqref="U27">
    <cfRule type="cellIs" dxfId="19450" priority="5605" operator="equal">
      <formula>"OFF"</formula>
    </cfRule>
    <cfRule type="cellIs" dxfId="19449" priority="5606" operator="equal">
      <formula>"PTO"</formula>
    </cfRule>
  </conditionalFormatting>
  <conditionalFormatting sqref="U27">
    <cfRule type="cellIs" dxfId="19448" priority="5603" operator="equal">
      <formula>"OFF"</formula>
    </cfRule>
    <cfRule type="cellIs" dxfId="19447" priority="5604" operator="equal">
      <formula>"PTO"</formula>
    </cfRule>
  </conditionalFormatting>
  <conditionalFormatting sqref="U27">
    <cfRule type="cellIs" dxfId="19446" priority="5601" operator="equal">
      <formula>"OFF"</formula>
    </cfRule>
    <cfRule type="cellIs" dxfId="19445" priority="5602" operator="equal">
      <formula>"PTO"</formula>
    </cfRule>
  </conditionalFormatting>
  <conditionalFormatting sqref="U26">
    <cfRule type="cellIs" dxfId="19444" priority="5599" operator="equal">
      <formula>"OFF"</formula>
    </cfRule>
    <cfRule type="cellIs" dxfId="19443" priority="5600" operator="equal">
      <formula>"PTO"</formula>
    </cfRule>
  </conditionalFormatting>
  <conditionalFormatting sqref="U26">
    <cfRule type="cellIs" dxfId="19442" priority="5597" operator="equal">
      <formula>"OFF"</formula>
    </cfRule>
    <cfRule type="cellIs" dxfId="19441" priority="5598" operator="equal">
      <formula>"PTO"</formula>
    </cfRule>
  </conditionalFormatting>
  <conditionalFormatting sqref="U26">
    <cfRule type="cellIs" dxfId="19440" priority="5595" operator="equal">
      <formula>"OFF"</formula>
    </cfRule>
    <cfRule type="cellIs" dxfId="19439" priority="5596" operator="equal">
      <formula>"PTO"</formula>
    </cfRule>
  </conditionalFormatting>
  <conditionalFormatting sqref="U26">
    <cfRule type="cellIs" dxfId="19438" priority="5593" operator="equal">
      <formula>"OFF"</formula>
    </cfRule>
    <cfRule type="cellIs" dxfId="19437" priority="5594" operator="equal">
      <formula>"PTO"</formula>
    </cfRule>
  </conditionalFormatting>
  <conditionalFormatting sqref="U26">
    <cfRule type="cellIs" dxfId="19436" priority="5591" operator="equal">
      <formula>"OFF"</formula>
    </cfRule>
    <cfRule type="cellIs" dxfId="19435" priority="5592" operator="equal">
      <formula>"PTO"</formula>
    </cfRule>
  </conditionalFormatting>
  <conditionalFormatting sqref="U26">
    <cfRule type="cellIs" dxfId="19434" priority="5589" operator="equal">
      <formula>"OFF"</formula>
    </cfRule>
    <cfRule type="cellIs" dxfId="19433" priority="5590" operator="equal">
      <formula>"PTO"</formula>
    </cfRule>
  </conditionalFormatting>
  <conditionalFormatting sqref="U26">
    <cfRule type="cellIs" dxfId="19432" priority="5587" operator="equal">
      <formula>"OFF"</formula>
    </cfRule>
    <cfRule type="cellIs" dxfId="19431" priority="5588" operator="equal">
      <formula>"PTO"</formula>
    </cfRule>
  </conditionalFormatting>
  <conditionalFormatting sqref="U26">
    <cfRule type="cellIs" dxfId="19430" priority="5585" operator="equal">
      <formula>"OFF"</formula>
    </cfRule>
    <cfRule type="cellIs" dxfId="19429" priority="5586" operator="equal">
      <formula>"PTO"</formula>
    </cfRule>
  </conditionalFormatting>
  <conditionalFormatting sqref="U27">
    <cfRule type="cellIs" dxfId="19428" priority="5583" operator="equal">
      <formula>"OFF"</formula>
    </cfRule>
    <cfRule type="cellIs" dxfId="19427" priority="5584" operator="equal">
      <formula>"PTO"</formula>
    </cfRule>
  </conditionalFormatting>
  <conditionalFormatting sqref="U27">
    <cfRule type="cellIs" dxfId="19426" priority="5581" operator="equal">
      <formula>"OFF"</formula>
    </cfRule>
    <cfRule type="cellIs" dxfId="19425" priority="5582" operator="equal">
      <formula>"PTO"</formula>
    </cfRule>
  </conditionalFormatting>
  <conditionalFormatting sqref="U27">
    <cfRule type="cellIs" dxfId="19424" priority="5579" operator="equal">
      <formula>"OFF"</formula>
    </cfRule>
    <cfRule type="cellIs" dxfId="19423" priority="5580" operator="equal">
      <formula>"PTO"</formula>
    </cfRule>
  </conditionalFormatting>
  <conditionalFormatting sqref="U27">
    <cfRule type="cellIs" dxfId="19422" priority="5577" operator="equal">
      <formula>"OFF"</formula>
    </cfRule>
    <cfRule type="cellIs" dxfId="19421" priority="5578" operator="equal">
      <formula>"PTO"</formula>
    </cfRule>
  </conditionalFormatting>
  <conditionalFormatting sqref="U27">
    <cfRule type="cellIs" dxfId="19420" priority="5575" operator="equal">
      <formula>"OFF"</formula>
    </cfRule>
    <cfRule type="cellIs" dxfId="19419" priority="5576" operator="equal">
      <formula>"PTO"</formula>
    </cfRule>
  </conditionalFormatting>
  <conditionalFormatting sqref="U27">
    <cfRule type="cellIs" dxfId="19418" priority="5573" operator="equal">
      <formula>"OFF"</formula>
    </cfRule>
    <cfRule type="cellIs" dxfId="19417" priority="5574" operator="equal">
      <formula>"PTO"</formula>
    </cfRule>
  </conditionalFormatting>
  <conditionalFormatting sqref="U27">
    <cfRule type="cellIs" dxfId="19416" priority="5571" operator="equal">
      <formula>"OFF"</formula>
    </cfRule>
    <cfRule type="cellIs" dxfId="19415" priority="5572" operator="equal">
      <formula>"PTO"</formula>
    </cfRule>
  </conditionalFormatting>
  <conditionalFormatting sqref="U27">
    <cfRule type="cellIs" dxfId="19414" priority="5569" operator="equal">
      <formula>"OFF"</formula>
    </cfRule>
    <cfRule type="cellIs" dxfId="19413" priority="5570" operator="equal">
      <formula>"PTO"</formula>
    </cfRule>
  </conditionalFormatting>
  <conditionalFormatting sqref="U26">
    <cfRule type="cellIs" dxfId="19412" priority="5567" operator="equal">
      <formula>"OFF"</formula>
    </cfRule>
    <cfRule type="cellIs" dxfId="19411" priority="5568" operator="equal">
      <formula>"PTO"</formula>
    </cfRule>
  </conditionalFormatting>
  <conditionalFormatting sqref="U26">
    <cfRule type="cellIs" dxfId="19410" priority="5565" operator="equal">
      <formula>"OFF"</formula>
    </cfRule>
    <cfRule type="cellIs" dxfId="19409" priority="5566" operator="equal">
      <formula>"PTO"</formula>
    </cfRule>
  </conditionalFormatting>
  <conditionalFormatting sqref="U26">
    <cfRule type="cellIs" dxfId="19408" priority="5563" operator="equal">
      <formula>"OFF"</formula>
    </cfRule>
    <cfRule type="cellIs" dxfId="19407" priority="5564" operator="equal">
      <formula>"PTO"</formula>
    </cfRule>
  </conditionalFormatting>
  <conditionalFormatting sqref="U26">
    <cfRule type="cellIs" dxfId="19406" priority="5561" operator="equal">
      <formula>"OFF"</formula>
    </cfRule>
    <cfRule type="cellIs" dxfId="19405" priority="5562" operator="equal">
      <formula>"PTO"</formula>
    </cfRule>
  </conditionalFormatting>
  <conditionalFormatting sqref="U26">
    <cfRule type="cellIs" dxfId="19404" priority="5559" operator="equal">
      <formula>"OFF"</formula>
    </cfRule>
    <cfRule type="cellIs" dxfId="19403" priority="5560" operator="equal">
      <formula>"PTO"</formula>
    </cfRule>
  </conditionalFormatting>
  <conditionalFormatting sqref="U26">
    <cfRule type="cellIs" dxfId="19402" priority="5557" operator="equal">
      <formula>"OFF"</formula>
    </cfRule>
    <cfRule type="cellIs" dxfId="19401" priority="5558" operator="equal">
      <formula>"PTO"</formula>
    </cfRule>
  </conditionalFormatting>
  <conditionalFormatting sqref="U26">
    <cfRule type="cellIs" dxfId="19400" priority="5555" operator="equal">
      <formula>"OFF"</formula>
    </cfRule>
    <cfRule type="cellIs" dxfId="19399" priority="5556" operator="equal">
      <formula>"PTO"</formula>
    </cfRule>
  </conditionalFormatting>
  <conditionalFormatting sqref="U26">
    <cfRule type="cellIs" dxfId="19398" priority="5553" operator="equal">
      <formula>"OFF"</formula>
    </cfRule>
    <cfRule type="cellIs" dxfId="19397" priority="5554" operator="equal">
      <formula>"PTO"</formula>
    </cfRule>
  </conditionalFormatting>
  <conditionalFormatting sqref="U27">
    <cfRule type="cellIs" dxfId="19396" priority="5551" operator="equal">
      <formula>"OFF"</formula>
    </cfRule>
    <cfRule type="cellIs" dxfId="19395" priority="5552" operator="equal">
      <formula>"PTO"</formula>
    </cfRule>
  </conditionalFormatting>
  <conditionalFormatting sqref="U27">
    <cfRule type="cellIs" dxfId="19394" priority="5549" operator="equal">
      <formula>"OFF"</formula>
    </cfRule>
    <cfRule type="cellIs" dxfId="19393" priority="5550" operator="equal">
      <formula>"PTO"</formula>
    </cfRule>
  </conditionalFormatting>
  <conditionalFormatting sqref="U27">
    <cfRule type="cellIs" dxfId="19392" priority="5547" operator="equal">
      <formula>"OFF"</formula>
    </cfRule>
    <cfRule type="cellIs" dxfId="19391" priority="5548" operator="equal">
      <formula>"PTO"</formula>
    </cfRule>
  </conditionalFormatting>
  <conditionalFormatting sqref="U27">
    <cfRule type="cellIs" dxfId="19390" priority="5545" operator="equal">
      <formula>"OFF"</formula>
    </cfRule>
    <cfRule type="cellIs" dxfId="19389" priority="5546" operator="equal">
      <formula>"PTO"</formula>
    </cfRule>
  </conditionalFormatting>
  <conditionalFormatting sqref="U27">
    <cfRule type="cellIs" dxfId="19388" priority="5543" operator="equal">
      <formula>"OFF"</formula>
    </cfRule>
    <cfRule type="cellIs" dxfId="19387" priority="5544" operator="equal">
      <formula>"PTO"</formula>
    </cfRule>
  </conditionalFormatting>
  <conditionalFormatting sqref="U27">
    <cfRule type="cellIs" dxfId="19386" priority="5541" operator="equal">
      <formula>"OFF"</formula>
    </cfRule>
    <cfRule type="cellIs" dxfId="19385" priority="5542" operator="equal">
      <formula>"PTO"</formula>
    </cfRule>
  </conditionalFormatting>
  <conditionalFormatting sqref="U27">
    <cfRule type="cellIs" dxfId="19384" priority="5539" operator="equal">
      <formula>"OFF"</formula>
    </cfRule>
    <cfRule type="cellIs" dxfId="19383" priority="5540" operator="equal">
      <formula>"PTO"</formula>
    </cfRule>
  </conditionalFormatting>
  <conditionalFormatting sqref="U27">
    <cfRule type="cellIs" dxfId="19382" priority="5537" operator="equal">
      <formula>"OFF"</formula>
    </cfRule>
    <cfRule type="cellIs" dxfId="19381" priority="5538" operator="equal">
      <formula>"PTO"</formula>
    </cfRule>
  </conditionalFormatting>
  <conditionalFormatting sqref="U26">
    <cfRule type="cellIs" dxfId="19380" priority="5535" operator="equal">
      <formula>"OFF"</formula>
    </cfRule>
    <cfRule type="cellIs" dxfId="19379" priority="5536" operator="equal">
      <formula>"PTO"</formula>
    </cfRule>
  </conditionalFormatting>
  <conditionalFormatting sqref="U26">
    <cfRule type="cellIs" dxfId="19378" priority="5533" operator="equal">
      <formula>"OFF"</formula>
    </cfRule>
    <cfRule type="cellIs" dxfId="19377" priority="5534" operator="equal">
      <formula>"PTO"</formula>
    </cfRule>
  </conditionalFormatting>
  <conditionalFormatting sqref="U26">
    <cfRule type="cellIs" dxfId="19376" priority="5531" operator="equal">
      <formula>"OFF"</formula>
    </cfRule>
    <cfRule type="cellIs" dxfId="19375" priority="5532" operator="equal">
      <formula>"PTO"</formula>
    </cfRule>
  </conditionalFormatting>
  <conditionalFormatting sqref="U26">
    <cfRule type="cellIs" dxfId="19374" priority="5529" operator="equal">
      <formula>"OFF"</formula>
    </cfRule>
    <cfRule type="cellIs" dxfId="19373" priority="5530" operator="equal">
      <formula>"PTO"</formula>
    </cfRule>
  </conditionalFormatting>
  <conditionalFormatting sqref="U26">
    <cfRule type="cellIs" dxfId="19372" priority="5527" operator="equal">
      <formula>"OFF"</formula>
    </cfRule>
    <cfRule type="cellIs" dxfId="19371" priority="5528" operator="equal">
      <formula>"PTO"</formula>
    </cfRule>
  </conditionalFormatting>
  <conditionalFormatting sqref="U26">
    <cfRule type="cellIs" dxfId="19370" priority="5525" operator="equal">
      <formula>"OFF"</formula>
    </cfRule>
    <cfRule type="cellIs" dxfId="19369" priority="5526" operator="equal">
      <formula>"PTO"</formula>
    </cfRule>
  </conditionalFormatting>
  <conditionalFormatting sqref="U26">
    <cfRule type="cellIs" dxfId="19368" priority="5523" operator="equal">
      <formula>"OFF"</formula>
    </cfRule>
    <cfRule type="cellIs" dxfId="19367" priority="5524" operator="equal">
      <formula>"PTO"</formula>
    </cfRule>
  </conditionalFormatting>
  <conditionalFormatting sqref="U26">
    <cfRule type="cellIs" dxfId="19366" priority="5521" operator="equal">
      <formula>"OFF"</formula>
    </cfRule>
    <cfRule type="cellIs" dxfId="19365" priority="5522" operator="equal">
      <formula>"PTO"</formula>
    </cfRule>
  </conditionalFormatting>
  <conditionalFormatting sqref="U27">
    <cfRule type="cellIs" dxfId="19364" priority="5519" operator="equal">
      <formula>"OFF"</formula>
    </cfRule>
    <cfRule type="cellIs" dxfId="19363" priority="5520" operator="equal">
      <formula>"PTO"</formula>
    </cfRule>
  </conditionalFormatting>
  <conditionalFormatting sqref="U27">
    <cfRule type="cellIs" dxfId="19362" priority="5517" operator="equal">
      <formula>"OFF"</formula>
    </cfRule>
    <cfRule type="cellIs" dxfId="19361" priority="5518" operator="equal">
      <formula>"PTO"</formula>
    </cfRule>
  </conditionalFormatting>
  <conditionalFormatting sqref="U27">
    <cfRule type="cellIs" dxfId="19360" priority="5515" operator="equal">
      <formula>"OFF"</formula>
    </cfRule>
    <cfRule type="cellIs" dxfId="19359" priority="5516" operator="equal">
      <formula>"PTO"</formula>
    </cfRule>
  </conditionalFormatting>
  <conditionalFormatting sqref="U27">
    <cfRule type="cellIs" dxfId="19358" priority="5513" operator="equal">
      <formula>"OFF"</formula>
    </cfRule>
    <cfRule type="cellIs" dxfId="19357" priority="5514" operator="equal">
      <formula>"PTO"</formula>
    </cfRule>
  </conditionalFormatting>
  <conditionalFormatting sqref="U27">
    <cfRule type="cellIs" dxfId="19356" priority="5511" operator="equal">
      <formula>"OFF"</formula>
    </cfRule>
    <cfRule type="cellIs" dxfId="19355" priority="5512" operator="equal">
      <formula>"PTO"</formula>
    </cfRule>
  </conditionalFormatting>
  <conditionalFormatting sqref="U27">
    <cfRule type="cellIs" dxfId="19354" priority="5509" operator="equal">
      <formula>"OFF"</formula>
    </cfRule>
    <cfRule type="cellIs" dxfId="19353" priority="5510" operator="equal">
      <formula>"PTO"</formula>
    </cfRule>
  </conditionalFormatting>
  <conditionalFormatting sqref="U27">
    <cfRule type="cellIs" dxfId="19352" priority="5507" operator="equal">
      <formula>"OFF"</formula>
    </cfRule>
    <cfRule type="cellIs" dxfId="19351" priority="5508" operator="equal">
      <formula>"PTO"</formula>
    </cfRule>
  </conditionalFormatting>
  <conditionalFormatting sqref="U27">
    <cfRule type="cellIs" dxfId="19350" priority="5505" operator="equal">
      <formula>"OFF"</formula>
    </cfRule>
    <cfRule type="cellIs" dxfId="19349" priority="5506" operator="equal">
      <formula>"PTO"</formula>
    </cfRule>
  </conditionalFormatting>
  <conditionalFormatting sqref="U26">
    <cfRule type="cellIs" dxfId="19348" priority="5503" operator="equal">
      <formula>"OFF"</formula>
    </cfRule>
    <cfRule type="cellIs" dxfId="19347" priority="5504" operator="equal">
      <formula>"PTO"</formula>
    </cfRule>
  </conditionalFormatting>
  <conditionalFormatting sqref="U26">
    <cfRule type="cellIs" dxfId="19346" priority="5501" operator="equal">
      <formula>"OFF"</formula>
    </cfRule>
    <cfRule type="cellIs" dxfId="19345" priority="5502" operator="equal">
      <formula>"PTO"</formula>
    </cfRule>
  </conditionalFormatting>
  <conditionalFormatting sqref="U26">
    <cfRule type="cellIs" dxfId="19344" priority="5499" operator="equal">
      <formula>"OFF"</formula>
    </cfRule>
    <cfRule type="cellIs" dxfId="19343" priority="5500" operator="equal">
      <formula>"PTO"</formula>
    </cfRule>
  </conditionalFormatting>
  <conditionalFormatting sqref="U26">
    <cfRule type="cellIs" dxfId="19342" priority="5497" operator="equal">
      <formula>"OFF"</formula>
    </cfRule>
    <cfRule type="cellIs" dxfId="19341" priority="5498" operator="equal">
      <formula>"PTO"</formula>
    </cfRule>
  </conditionalFormatting>
  <conditionalFormatting sqref="U26">
    <cfRule type="cellIs" dxfId="19340" priority="5495" operator="equal">
      <formula>"OFF"</formula>
    </cfRule>
    <cfRule type="cellIs" dxfId="19339" priority="5496" operator="equal">
      <formula>"PTO"</formula>
    </cfRule>
  </conditionalFormatting>
  <conditionalFormatting sqref="U26">
    <cfRule type="cellIs" dxfId="19338" priority="5493" operator="equal">
      <formula>"OFF"</formula>
    </cfRule>
    <cfRule type="cellIs" dxfId="19337" priority="5494" operator="equal">
      <formula>"PTO"</formula>
    </cfRule>
  </conditionalFormatting>
  <conditionalFormatting sqref="U26">
    <cfRule type="cellIs" dxfId="19336" priority="5491" operator="equal">
      <formula>"OFF"</formula>
    </cfRule>
    <cfRule type="cellIs" dxfId="19335" priority="5492" operator="equal">
      <formula>"PTO"</formula>
    </cfRule>
  </conditionalFormatting>
  <conditionalFormatting sqref="U26">
    <cfRule type="cellIs" dxfId="19334" priority="5489" operator="equal">
      <formula>"OFF"</formula>
    </cfRule>
    <cfRule type="cellIs" dxfId="19333" priority="5490" operator="equal">
      <formula>"PTO"</formula>
    </cfRule>
  </conditionalFormatting>
  <conditionalFormatting sqref="U27">
    <cfRule type="cellIs" dxfId="19332" priority="5487" operator="equal">
      <formula>"OFF"</formula>
    </cfRule>
    <cfRule type="cellIs" dxfId="19331" priority="5488" operator="equal">
      <formula>"PTO"</formula>
    </cfRule>
  </conditionalFormatting>
  <conditionalFormatting sqref="U27">
    <cfRule type="cellIs" dxfId="19330" priority="5485" operator="equal">
      <formula>"OFF"</formula>
    </cfRule>
    <cfRule type="cellIs" dxfId="19329" priority="5486" operator="equal">
      <formula>"PTO"</formula>
    </cfRule>
  </conditionalFormatting>
  <conditionalFormatting sqref="U27">
    <cfRule type="cellIs" dxfId="19328" priority="5483" operator="equal">
      <formula>"OFF"</formula>
    </cfRule>
    <cfRule type="cellIs" dxfId="19327" priority="5484" operator="equal">
      <formula>"PTO"</formula>
    </cfRule>
  </conditionalFormatting>
  <conditionalFormatting sqref="U27">
    <cfRule type="cellIs" dxfId="19326" priority="5481" operator="equal">
      <formula>"OFF"</formula>
    </cfRule>
    <cfRule type="cellIs" dxfId="19325" priority="5482" operator="equal">
      <formula>"PTO"</formula>
    </cfRule>
  </conditionalFormatting>
  <conditionalFormatting sqref="U27">
    <cfRule type="cellIs" dxfId="19324" priority="5479" operator="equal">
      <formula>"OFF"</formula>
    </cfRule>
    <cfRule type="cellIs" dxfId="19323" priority="5480" operator="equal">
      <formula>"PTO"</formula>
    </cfRule>
  </conditionalFormatting>
  <conditionalFormatting sqref="U27">
    <cfRule type="cellIs" dxfId="19322" priority="5477" operator="equal">
      <formula>"OFF"</formula>
    </cfRule>
    <cfRule type="cellIs" dxfId="19321" priority="5478" operator="equal">
      <formula>"PTO"</formula>
    </cfRule>
  </conditionalFormatting>
  <conditionalFormatting sqref="U27">
    <cfRule type="cellIs" dxfId="19320" priority="5475" operator="equal">
      <formula>"OFF"</formula>
    </cfRule>
    <cfRule type="cellIs" dxfId="19319" priority="5476" operator="equal">
      <formula>"PTO"</formula>
    </cfRule>
  </conditionalFormatting>
  <conditionalFormatting sqref="U27">
    <cfRule type="cellIs" dxfId="19318" priority="5473" operator="equal">
      <formula>"OFF"</formula>
    </cfRule>
    <cfRule type="cellIs" dxfId="19317" priority="5474" operator="equal">
      <formula>"PTO"</formula>
    </cfRule>
  </conditionalFormatting>
  <conditionalFormatting sqref="U29">
    <cfRule type="cellIs" dxfId="19316" priority="5471" operator="equal">
      <formula>"OFF"</formula>
    </cfRule>
    <cfRule type="cellIs" dxfId="19315" priority="5472" operator="equal">
      <formula>"PTO"</formula>
    </cfRule>
  </conditionalFormatting>
  <conditionalFormatting sqref="U29">
    <cfRule type="cellIs" dxfId="19314" priority="5469" operator="equal">
      <formula>"OFF"</formula>
    </cfRule>
    <cfRule type="cellIs" dxfId="19313" priority="5470" operator="equal">
      <formula>"PTO"</formula>
    </cfRule>
  </conditionalFormatting>
  <conditionalFormatting sqref="U29">
    <cfRule type="cellIs" dxfId="19312" priority="5467" operator="equal">
      <formula>"OFF"</formula>
    </cfRule>
    <cfRule type="cellIs" dxfId="19311" priority="5468" operator="equal">
      <formula>"PTO"</formula>
    </cfRule>
  </conditionalFormatting>
  <conditionalFormatting sqref="U29">
    <cfRule type="cellIs" dxfId="19310" priority="5465" operator="equal">
      <formula>"OFF"</formula>
    </cfRule>
    <cfRule type="cellIs" dxfId="19309" priority="5466" operator="equal">
      <formula>"PTO"</formula>
    </cfRule>
  </conditionalFormatting>
  <conditionalFormatting sqref="U29">
    <cfRule type="cellIs" dxfId="19308" priority="5463" operator="equal">
      <formula>"OFF"</formula>
    </cfRule>
    <cfRule type="cellIs" dxfId="19307" priority="5464" operator="equal">
      <formula>"PTO"</formula>
    </cfRule>
  </conditionalFormatting>
  <conditionalFormatting sqref="U29">
    <cfRule type="cellIs" dxfId="19306" priority="5461" operator="equal">
      <formula>"OFF"</formula>
    </cfRule>
    <cfRule type="cellIs" dxfId="19305" priority="5462" operator="equal">
      <formula>"PTO"</formula>
    </cfRule>
  </conditionalFormatting>
  <conditionalFormatting sqref="U29">
    <cfRule type="cellIs" dxfId="19304" priority="5459" operator="equal">
      <formula>"OFF"</formula>
    </cfRule>
    <cfRule type="cellIs" dxfId="19303" priority="5460" operator="equal">
      <formula>"PTO"</formula>
    </cfRule>
  </conditionalFormatting>
  <conditionalFormatting sqref="U29">
    <cfRule type="cellIs" dxfId="19302" priority="5457" operator="equal">
      <formula>"OFF"</formula>
    </cfRule>
    <cfRule type="cellIs" dxfId="19301" priority="5458" operator="equal">
      <formula>"PTO"</formula>
    </cfRule>
  </conditionalFormatting>
  <conditionalFormatting sqref="U29">
    <cfRule type="cellIs" dxfId="19300" priority="5455" operator="equal">
      <formula>"OFF"</formula>
    </cfRule>
    <cfRule type="cellIs" dxfId="19299" priority="5456" operator="equal">
      <formula>"PTO"</formula>
    </cfRule>
  </conditionalFormatting>
  <conditionalFormatting sqref="U29">
    <cfRule type="cellIs" dxfId="19298" priority="5453" operator="equal">
      <formula>"OFF"</formula>
    </cfRule>
    <cfRule type="cellIs" dxfId="19297" priority="5454" operator="equal">
      <formula>"PTO"</formula>
    </cfRule>
  </conditionalFormatting>
  <conditionalFormatting sqref="U29">
    <cfRule type="cellIs" dxfId="19296" priority="5451" operator="equal">
      <formula>"OFF"</formula>
    </cfRule>
    <cfRule type="cellIs" dxfId="19295" priority="5452" operator="equal">
      <formula>"PTO"</formula>
    </cfRule>
  </conditionalFormatting>
  <conditionalFormatting sqref="U29">
    <cfRule type="cellIs" dxfId="19294" priority="5449" operator="equal">
      <formula>"OFF"</formula>
    </cfRule>
    <cfRule type="cellIs" dxfId="19293" priority="5450" operator="equal">
      <formula>"PTO"</formula>
    </cfRule>
  </conditionalFormatting>
  <conditionalFormatting sqref="U29">
    <cfRule type="cellIs" dxfId="19292" priority="5447" operator="equal">
      <formula>"OFF"</formula>
    </cfRule>
    <cfRule type="cellIs" dxfId="19291" priority="5448" operator="equal">
      <formula>"PTO"</formula>
    </cfRule>
  </conditionalFormatting>
  <conditionalFormatting sqref="U29">
    <cfRule type="cellIs" dxfId="19290" priority="5445" operator="equal">
      <formula>"OFF"</formula>
    </cfRule>
    <cfRule type="cellIs" dxfId="19289" priority="5446" operator="equal">
      <formula>"PTO"</formula>
    </cfRule>
  </conditionalFormatting>
  <conditionalFormatting sqref="U29">
    <cfRule type="cellIs" dxfId="19288" priority="5443" operator="equal">
      <formula>"OFF"</formula>
    </cfRule>
    <cfRule type="cellIs" dxfId="19287" priority="5444" operator="equal">
      <formula>"PTO"</formula>
    </cfRule>
  </conditionalFormatting>
  <conditionalFormatting sqref="U29">
    <cfRule type="cellIs" dxfId="19286" priority="5441" operator="equal">
      <formula>"OFF"</formula>
    </cfRule>
    <cfRule type="cellIs" dxfId="19285" priority="5442" operator="equal">
      <formula>"PTO"</formula>
    </cfRule>
  </conditionalFormatting>
  <conditionalFormatting sqref="U29">
    <cfRule type="cellIs" dxfId="19284" priority="5439" operator="equal">
      <formula>"OFF"</formula>
    </cfRule>
    <cfRule type="cellIs" dxfId="19283" priority="5440" operator="equal">
      <formula>"PTO"</formula>
    </cfRule>
  </conditionalFormatting>
  <conditionalFormatting sqref="U29">
    <cfRule type="cellIs" dxfId="19282" priority="5437" operator="equal">
      <formula>"OFF"</formula>
    </cfRule>
    <cfRule type="cellIs" dxfId="19281" priority="5438" operator="equal">
      <formula>"PTO"</formula>
    </cfRule>
  </conditionalFormatting>
  <conditionalFormatting sqref="U29">
    <cfRule type="cellIs" dxfId="19280" priority="5435" operator="equal">
      <formula>"OFF"</formula>
    </cfRule>
    <cfRule type="cellIs" dxfId="19279" priority="5436" operator="equal">
      <formula>"PTO"</formula>
    </cfRule>
  </conditionalFormatting>
  <conditionalFormatting sqref="U29">
    <cfRule type="cellIs" dxfId="19278" priority="5433" operator="equal">
      <formula>"OFF"</formula>
    </cfRule>
    <cfRule type="cellIs" dxfId="19277" priority="5434" operator="equal">
      <formula>"PTO"</formula>
    </cfRule>
  </conditionalFormatting>
  <conditionalFormatting sqref="U29">
    <cfRule type="cellIs" dxfId="19276" priority="5431" operator="equal">
      <formula>"OFF"</formula>
    </cfRule>
    <cfRule type="cellIs" dxfId="19275" priority="5432" operator="equal">
      <formula>"PTO"</formula>
    </cfRule>
  </conditionalFormatting>
  <conditionalFormatting sqref="U29">
    <cfRule type="cellIs" dxfId="19274" priority="5429" operator="equal">
      <formula>"OFF"</formula>
    </cfRule>
    <cfRule type="cellIs" dxfId="19273" priority="5430" operator="equal">
      <formula>"PTO"</formula>
    </cfRule>
  </conditionalFormatting>
  <conditionalFormatting sqref="U29">
    <cfRule type="cellIs" dxfId="19272" priority="5427" operator="equal">
      <formula>"OFF"</formula>
    </cfRule>
    <cfRule type="cellIs" dxfId="19271" priority="5428" operator="equal">
      <formula>"PTO"</formula>
    </cfRule>
  </conditionalFormatting>
  <conditionalFormatting sqref="U29">
    <cfRule type="cellIs" dxfId="19270" priority="5425" operator="equal">
      <formula>"OFF"</formula>
    </cfRule>
    <cfRule type="cellIs" dxfId="19269" priority="5426" operator="equal">
      <formula>"PTO"</formula>
    </cfRule>
  </conditionalFormatting>
  <conditionalFormatting sqref="U29">
    <cfRule type="cellIs" dxfId="19268" priority="5423" operator="equal">
      <formula>"OFF"</formula>
    </cfRule>
    <cfRule type="cellIs" dxfId="19267" priority="5424" operator="equal">
      <formula>"PTO"</formula>
    </cfRule>
  </conditionalFormatting>
  <conditionalFormatting sqref="U29">
    <cfRule type="cellIs" dxfId="19266" priority="5421" operator="equal">
      <formula>"OFF"</formula>
    </cfRule>
    <cfRule type="cellIs" dxfId="19265" priority="5422" operator="equal">
      <formula>"PTO"</formula>
    </cfRule>
  </conditionalFormatting>
  <conditionalFormatting sqref="U29">
    <cfRule type="cellIs" dxfId="19264" priority="5419" operator="equal">
      <formula>"OFF"</formula>
    </cfRule>
    <cfRule type="cellIs" dxfId="19263" priority="5420" operator="equal">
      <formula>"PTO"</formula>
    </cfRule>
  </conditionalFormatting>
  <conditionalFormatting sqref="U29">
    <cfRule type="cellIs" dxfId="19262" priority="5417" operator="equal">
      <formula>"OFF"</formula>
    </cfRule>
    <cfRule type="cellIs" dxfId="19261" priority="5418" operator="equal">
      <formula>"PTO"</formula>
    </cfRule>
  </conditionalFormatting>
  <conditionalFormatting sqref="U29">
    <cfRule type="cellIs" dxfId="19260" priority="5415" operator="equal">
      <formula>"OFF"</formula>
    </cfRule>
    <cfRule type="cellIs" dxfId="19259" priority="5416" operator="equal">
      <formula>"PTO"</formula>
    </cfRule>
  </conditionalFormatting>
  <conditionalFormatting sqref="U29">
    <cfRule type="cellIs" dxfId="19258" priority="5413" operator="equal">
      <formula>"OFF"</formula>
    </cfRule>
    <cfRule type="cellIs" dxfId="19257" priority="5414" operator="equal">
      <formula>"PTO"</formula>
    </cfRule>
  </conditionalFormatting>
  <conditionalFormatting sqref="U29">
    <cfRule type="cellIs" dxfId="19256" priority="5411" operator="equal">
      <formula>"OFF"</formula>
    </cfRule>
    <cfRule type="cellIs" dxfId="19255" priority="5412" operator="equal">
      <formula>"PTO"</formula>
    </cfRule>
  </conditionalFormatting>
  <conditionalFormatting sqref="U29">
    <cfRule type="cellIs" dxfId="19254" priority="5409" operator="equal">
      <formula>"OFF"</formula>
    </cfRule>
    <cfRule type="cellIs" dxfId="19253" priority="5410" operator="equal">
      <formula>"PTO"</formula>
    </cfRule>
  </conditionalFormatting>
  <conditionalFormatting sqref="U29">
    <cfRule type="cellIs" dxfId="19252" priority="5407" operator="equal">
      <formula>"OFF"</formula>
    </cfRule>
    <cfRule type="cellIs" dxfId="19251" priority="5408" operator="equal">
      <formula>"PTO"</formula>
    </cfRule>
  </conditionalFormatting>
  <conditionalFormatting sqref="U29">
    <cfRule type="cellIs" dxfId="19250" priority="5405" operator="equal">
      <formula>"OFF"</formula>
    </cfRule>
    <cfRule type="cellIs" dxfId="19249" priority="5406" operator="equal">
      <formula>"PTO"</formula>
    </cfRule>
  </conditionalFormatting>
  <conditionalFormatting sqref="U29">
    <cfRule type="cellIs" dxfId="19248" priority="5403" operator="equal">
      <formula>"OFF"</formula>
    </cfRule>
    <cfRule type="cellIs" dxfId="19247" priority="5404" operator="equal">
      <formula>"PTO"</formula>
    </cfRule>
  </conditionalFormatting>
  <conditionalFormatting sqref="U29">
    <cfRule type="cellIs" dxfId="19246" priority="5401" operator="equal">
      <formula>"OFF"</formula>
    </cfRule>
    <cfRule type="cellIs" dxfId="19245" priority="5402" operator="equal">
      <formula>"PTO"</formula>
    </cfRule>
  </conditionalFormatting>
  <conditionalFormatting sqref="U29">
    <cfRule type="cellIs" dxfId="19244" priority="5399" operator="equal">
      <formula>"OFF"</formula>
    </cfRule>
    <cfRule type="cellIs" dxfId="19243" priority="5400" operator="equal">
      <formula>"PTO"</formula>
    </cfRule>
  </conditionalFormatting>
  <conditionalFormatting sqref="U29">
    <cfRule type="cellIs" dxfId="19242" priority="5397" operator="equal">
      <formula>"OFF"</formula>
    </cfRule>
    <cfRule type="cellIs" dxfId="19241" priority="5398" operator="equal">
      <formula>"PTO"</formula>
    </cfRule>
  </conditionalFormatting>
  <conditionalFormatting sqref="U29">
    <cfRule type="cellIs" dxfId="19240" priority="5395" operator="equal">
      <formula>"OFF"</formula>
    </cfRule>
    <cfRule type="cellIs" dxfId="19239" priority="5396" operator="equal">
      <formula>"PTO"</formula>
    </cfRule>
  </conditionalFormatting>
  <conditionalFormatting sqref="U29">
    <cfRule type="cellIs" dxfId="19238" priority="5393" operator="equal">
      <formula>"OFF"</formula>
    </cfRule>
    <cfRule type="cellIs" dxfId="19237" priority="5394" operator="equal">
      <formula>"PTO"</formula>
    </cfRule>
  </conditionalFormatting>
  <conditionalFormatting sqref="U29">
    <cfRule type="cellIs" dxfId="19236" priority="5391" operator="equal">
      <formula>"OFF"</formula>
    </cfRule>
    <cfRule type="cellIs" dxfId="19235" priority="5392" operator="equal">
      <formula>"PTO"</formula>
    </cfRule>
  </conditionalFormatting>
  <conditionalFormatting sqref="U29">
    <cfRule type="cellIs" dxfId="19234" priority="5389" operator="equal">
      <formula>"OFF"</formula>
    </cfRule>
    <cfRule type="cellIs" dxfId="19233" priority="5390" operator="equal">
      <formula>"PTO"</formula>
    </cfRule>
  </conditionalFormatting>
  <conditionalFormatting sqref="U29">
    <cfRule type="cellIs" dxfId="19232" priority="5387" operator="equal">
      <formula>"OFF"</formula>
    </cfRule>
    <cfRule type="cellIs" dxfId="19231" priority="5388" operator="equal">
      <formula>"PTO"</formula>
    </cfRule>
  </conditionalFormatting>
  <conditionalFormatting sqref="U29">
    <cfRule type="cellIs" dxfId="19230" priority="5385" operator="equal">
      <formula>"OFF"</formula>
    </cfRule>
    <cfRule type="cellIs" dxfId="19229" priority="5386" operator="equal">
      <formula>"PTO"</formula>
    </cfRule>
  </conditionalFormatting>
  <conditionalFormatting sqref="U29">
    <cfRule type="cellIs" dxfId="19228" priority="5383" operator="equal">
      <formula>"OFF"</formula>
    </cfRule>
    <cfRule type="cellIs" dxfId="19227" priority="5384" operator="equal">
      <formula>"PTO"</formula>
    </cfRule>
  </conditionalFormatting>
  <conditionalFormatting sqref="U29">
    <cfRule type="cellIs" dxfId="19226" priority="5381" operator="equal">
      <formula>"OFF"</formula>
    </cfRule>
    <cfRule type="cellIs" dxfId="19225" priority="5382" operator="equal">
      <formula>"PTO"</formula>
    </cfRule>
  </conditionalFormatting>
  <conditionalFormatting sqref="U29">
    <cfRule type="cellIs" dxfId="19224" priority="5379" operator="equal">
      <formula>"OFF"</formula>
    </cfRule>
    <cfRule type="cellIs" dxfId="19223" priority="5380" operator="equal">
      <formula>"PTO"</formula>
    </cfRule>
  </conditionalFormatting>
  <conditionalFormatting sqref="U29">
    <cfRule type="cellIs" dxfId="19222" priority="5377" operator="equal">
      <formula>"OFF"</formula>
    </cfRule>
    <cfRule type="cellIs" dxfId="19221" priority="5378" operator="equal">
      <formula>"PTO"</formula>
    </cfRule>
  </conditionalFormatting>
  <conditionalFormatting sqref="U29">
    <cfRule type="cellIs" dxfId="19220" priority="5375" operator="equal">
      <formula>"OFF"</formula>
    </cfRule>
    <cfRule type="cellIs" dxfId="19219" priority="5376" operator="equal">
      <formula>"PTO"</formula>
    </cfRule>
  </conditionalFormatting>
  <conditionalFormatting sqref="U29">
    <cfRule type="cellIs" dxfId="19218" priority="5373" operator="equal">
      <formula>"OFF"</formula>
    </cfRule>
    <cfRule type="cellIs" dxfId="19217" priority="5374" operator="equal">
      <formula>"PTO"</formula>
    </cfRule>
  </conditionalFormatting>
  <conditionalFormatting sqref="U29">
    <cfRule type="cellIs" dxfId="19216" priority="5371" operator="equal">
      <formula>"OFF"</formula>
    </cfRule>
    <cfRule type="cellIs" dxfId="19215" priority="5372" operator="equal">
      <formula>"PTO"</formula>
    </cfRule>
  </conditionalFormatting>
  <conditionalFormatting sqref="U29">
    <cfRule type="cellIs" dxfId="19214" priority="5369" operator="equal">
      <formula>"OFF"</formula>
    </cfRule>
    <cfRule type="cellIs" dxfId="19213" priority="5370" operator="equal">
      <formula>"PTO"</formula>
    </cfRule>
  </conditionalFormatting>
  <conditionalFormatting sqref="U29">
    <cfRule type="cellIs" dxfId="19212" priority="5367" operator="equal">
      <formula>"OFF"</formula>
    </cfRule>
    <cfRule type="cellIs" dxfId="19211" priority="5368" operator="equal">
      <formula>"PTO"</formula>
    </cfRule>
  </conditionalFormatting>
  <conditionalFormatting sqref="U29">
    <cfRule type="cellIs" dxfId="19210" priority="5365" operator="equal">
      <formula>"OFF"</formula>
    </cfRule>
    <cfRule type="cellIs" dxfId="19209" priority="5366" operator="equal">
      <formula>"PTO"</formula>
    </cfRule>
  </conditionalFormatting>
  <conditionalFormatting sqref="U29">
    <cfRule type="cellIs" dxfId="19208" priority="5363" operator="equal">
      <formula>"OFF"</formula>
    </cfRule>
    <cfRule type="cellIs" dxfId="19207" priority="5364" operator="equal">
      <formula>"PTO"</formula>
    </cfRule>
  </conditionalFormatting>
  <conditionalFormatting sqref="U29">
    <cfRule type="cellIs" dxfId="19206" priority="5361" operator="equal">
      <formula>"OFF"</formula>
    </cfRule>
    <cfRule type="cellIs" dxfId="19205" priority="5362" operator="equal">
      <formula>"PTO"</formula>
    </cfRule>
  </conditionalFormatting>
  <conditionalFormatting sqref="U30">
    <cfRule type="cellIs" dxfId="19204" priority="5359" operator="equal">
      <formula>"OFF"</formula>
    </cfRule>
    <cfRule type="cellIs" dxfId="19203" priority="5360" operator="equal">
      <formula>"PTO"</formula>
    </cfRule>
  </conditionalFormatting>
  <conditionalFormatting sqref="U30">
    <cfRule type="cellIs" dxfId="19202" priority="5357" operator="equal">
      <formula>"OFF"</formula>
    </cfRule>
    <cfRule type="cellIs" dxfId="19201" priority="5358" operator="equal">
      <formula>"PTO"</formula>
    </cfRule>
  </conditionalFormatting>
  <conditionalFormatting sqref="U30">
    <cfRule type="cellIs" dxfId="19200" priority="5355" operator="equal">
      <formula>"OFF"</formula>
    </cfRule>
    <cfRule type="cellIs" dxfId="19199" priority="5356" operator="equal">
      <formula>"PTO"</formula>
    </cfRule>
  </conditionalFormatting>
  <conditionalFormatting sqref="U30">
    <cfRule type="cellIs" dxfId="19198" priority="5353" operator="equal">
      <formula>"OFF"</formula>
    </cfRule>
    <cfRule type="cellIs" dxfId="19197" priority="5354" operator="equal">
      <formula>"PTO"</formula>
    </cfRule>
  </conditionalFormatting>
  <conditionalFormatting sqref="U30">
    <cfRule type="cellIs" dxfId="19196" priority="5351" operator="equal">
      <formula>"OFF"</formula>
    </cfRule>
    <cfRule type="cellIs" dxfId="19195" priority="5352" operator="equal">
      <formula>"PTO"</formula>
    </cfRule>
  </conditionalFormatting>
  <conditionalFormatting sqref="U30">
    <cfRule type="cellIs" dxfId="19194" priority="5349" operator="equal">
      <formula>"OFF"</formula>
    </cfRule>
    <cfRule type="cellIs" dxfId="19193" priority="5350" operator="equal">
      <formula>"PTO"</formula>
    </cfRule>
  </conditionalFormatting>
  <conditionalFormatting sqref="U30">
    <cfRule type="cellIs" dxfId="19192" priority="5347" operator="equal">
      <formula>"OFF"</formula>
    </cfRule>
    <cfRule type="cellIs" dxfId="19191" priority="5348" operator="equal">
      <formula>"PTO"</formula>
    </cfRule>
  </conditionalFormatting>
  <conditionalFormatting sqref="U30">
    <cfRule type="cellIs" dxfId="19190" priority="5345" operator="equal">
      <formula>"OFF"</formula>
    </cfRule>
    <cfRule type="cellIs" dxfId="19189" priority="5346" operator="equal">
      <formula>"PTO"</formula>
    </cfRule>
  </conditionalFormatting>
  <conditionalFormatting sqref="U30">
    <cfRule type="cellIs" dxfId="19188" priority="5343" operator="equal">
      <formula>"OFF"</formula>
    </cfRule>
    <cfRule type="cellIs" dxfId="19187" priority="5344" operator="equal">
      <formula>"PTO"</formula>
    </cfRule>
  </conditionalFormatting>
  <conditionalFormatting sqref="U30">
    <cfRule type="cellIs" dxfId="19186" priority="5341" operator="equal">
      <formula>"OFF"</formula>
    </cfRule>
    <cfRule type="cellIs" dxfId="19185" priority="5342" operator="equal">
      <formula>"PTO"</formula>
    </cfRule>
  </conditionalFormatting>
  <conditionalFormatting sqref="U30">
    <cfRule type="cellIs" dxfId="19184" priority="5339" operator="equal">
      <formula>"OFF"</formula>
    </cfRule>
    <cfRule type="cellIs" dxfId="19183" priority="5340" operator="equal">
      <formula>"PTO"</formula>
    </cfRule>
  </conditionalFormatting>
  <conditionalFormatting sqref="U30">
    <cfRule type="cellIs" dxfId="19182" priority="5337" operator="equal">
      <formula>"OFF"</formula>
    </cfRule>
    <cfRule type="cellIs" dxfId="19181" priority="5338" operator="equal">
      <formula>"PTO"</formula>
    </cfRule>
  </conditionalFormatting>
  <conditionalFormatting sqref="U30">
    <cfRule type="cellIs" dxfId="19180" priority="5335" operator="equal">
      <formula>"OFF"</formula>
    </cfRule>
    <cfRule type="cellIs" dxfId="19179" priority="5336" operator="equal">
      <formula>"PTO"</formula>
    </cfRule>
  </conditionalFormatting>
  <conditionalFormatting sqref="U30">
    <cfRule type="cellIs" dxfId="19178" priority="5333" operator="equal">
      <formula>"OFF"</formula>
    </cfRule>
    <cfRule type="cellIs" dxfId="19177" priority="5334" operator="equal">
      <formula>"PTO"</formula>
    </cfRule>
  </conditionalFormatting>
  <conditionalFormatting sqref="U30">
    <cfRule type="cellIs" dxfId="19176" priority="5331" operator="equal">
      <formula>"OFF"</formula>
    </cfRule>
    <cfRule type="cellIs" dxfId="19175" priority="5332" operator="equal">
      <formula>"PTO"</formula>
    </cfRule>
  </conditionalFormatting>
  <conditionalFormatting sqref="U30">
    <cfRule type="cellIs" dxfId="19174" priority="5329" operator="equal">
      <formula>"OFF"</formula>
    </cfRule>
    <cfRule type="cellIs" dxfId="19173" priority="5330" operator="equal">
      <formula>"PTO"</formula>
    </cfRule>
  </conditionalFormatting>
  <conditionalFormatting sqref="U30">
    <cfRule type="cellIs" dxfId="19172" priority="5327" operator="equal">
      <formula>"OFF"</formula>
    </cfRule>
    <cfRule type="cellIs" dxfId="19171" priority="5328" operator="equal">
      <formula>"PTO"</formula>
    </cfRule>
  </conditionalFormatting>
  <conditionalFormatting sqref="U30">
    <cfRule type="cellIs" dxfId="19170" priority="5325" operator="equal">
      <formula>"OFF"</formula>
    </cfRule>
    <cfRule type="cellIs" dxfId="19169" priority="5326" operator="equal">
      <formula>"PTO"</formula>
    </cfRule>
  </conditionalFormatting>
  <conditionalFormatting sqref="U30">
    <cfRule type="cellIs" dxfId="19168" priority="5323" operator="equal">
      <formula>"OFF"</formula>
    </cfRule>
    <cfRule type="cellIs" dxfId="19167" priority="5324" operator="equal">
      <formula>"PTO"</formula>
    </cfRule>
  </conditionalFormatting>
  <conditionalFormatting sqref="U30">
    <cfRule type="cellIs" dxfId="19166" priority="5321" operator="equal">
      <formula>"OFF"</formula>
    </cfRule>
    <cfRule type="cellIs" dxfId="19165" priority="5322" operator="equal">
      <formula>"PTO"</formula>
    </cfRule>
  </conditionalFormatting>
  <conditionalFormatting sqref="U30">
    <cfRule type="cellIs" dxfId="19164" priority="5319" operator="equal">
      <formula>"OFF"</formula>
    </cfRule>
    <cfRule type="cellIs" dxfId="19163" priority="5320" operator="equal">
      <formula>"PTO"</formula>
    </cfRule>
  </conditionalFormatting>
  <conditionalFormatting sqref="U30">
    <cfRule type="cellIs" dxfId="19162" priority="5317" operator="equal">
      <formula>"OFF"</formula>
    </cfRule>
    <cfRule type="cellIs" dxfId="19161" priority="5318" operator="equal">
      <formula>"PTO"</formula>
    </cfRule>
  </conditionalFormatting>
  <conditionalFormatting sqref="U30">
    <cfRule type="cellIs" dxfId="19160" priority="5315" operator="equal">
      <formula>"OFF"</formula>
    </cfRule>
    <cfRule type="cellIs" dxfId="19159" priority="5316" operator="equal">
      <formula>"PTO"</formula>
    </cfRule>
  </conditionalFormatting>
  <conditionalFormatting sqref="U30">
    <cfRule type="cellIs" dxfId="19158" priority="5313" operator="equal">
      <formula>"OFF"</formula>
    </cfRule>
    <cfRule type="cellIs" dxfId="19157" priority="5314" operator="equal">
      <formula>"PTO"</formula>
    </cfRule>
  </conditionalFormatting>
  <conditionalFormatting sqref="U30">
    <cfRule type="cellIs" dxfId="19156" priority="5311" operator="equal">
      <formula>"OFF"</formula>
    </cfRule>
    <cfRule type="cellIs" dxfId="19155" priority="5312" operator="equal">
      <formula>"PTO"</formula>
    </cfRule>
  </conditionalFormatting>
  <conditionalFormatting sqref="U30">
    <cfRule type="cellIs" dxfId="19154" priority="5309" operator="equal">
      <formula>"OFF"</formula>
    </cfRule>
    <cfRule type="cellIs" dxfId="19153" priority="5310" operator="equal">
      <formula>"PTO"</formula>
    </cfRule>
  </conditionalFormatting>
  <conditionalFormatting sqref="U30">
    <cfRule type="cellIs" dxfId="19152" priority="5307" operator="equal">
      <formula>"OFF"</formula>
    </cfRule>
    <cfRule type="cellIs" dxfId="19151" priority="5308" operator="equal">
      <formula>"PTO"</formula>
    </cfRule>
  </conditionalFormatting>
  <conditionalFormatting sqref="U30">
    <cfRule type="cellIs" dxfId="19150" priority="5305" operator="equal">
      <formula>"OFF"</formula>
    </cfRule>
    <cfRule type="cellIs" dxfId="19149" priority="5306" operator="equal">
      <formula>"PTO"</formula>
    </cfRule>
  </conditionalFormatting>
  <conditionalFormatting sqref="U30">
    <cfRule type="cellIs" dxfId="19148" priority="5303" operator="equal">
      <formula>"OFF"</formula>
    </cfRule>
    <cfRule type="cellIs" dxfId="19147" priority="5304" operator="equal">
      <formula>"PTO"</formula>
    </cfRule>
  </conditionalFormatting>
  <conditionalFormatting sqref="U30">
    <cfRule type="cellIs" dxfId="19146" priority="5301" operator="equal">
      <formula>"OFF"</formula>
    </cfRule>
    <cfRule type="cellIs" dxfId="19145" priority="5302" operator="equal">
      <formula>"PTO"</formula>
    </cfRule>
  </conditionalFormatting>
  <conditionalFormatting sqref="U30">
    <cfRule type="cellIs" dxfId="19144" priority="5299" operator="equal">
      <formula>"OFF"</formula>
    </cfRule>
    <cfRule type="cellIs" dxfId="19143" priority="5300" operator="equal">
      <formula>"PTO"</formula>
    </cfRule>
  </conditionalFormatting>
  <conditionalFormatting sqref="U30">
    <cfRule type="cellIs" dxfId="19142" priority="5297" operator="equal">
      <formula>"OFF"</formula>
    </cfRule>
    <cfRule type="cellIs" dxfId="19141" priority="5298" operator="equal">
      <formula>"PTO"</formula>
    </cfRule>
  </conditionalFormatting>
  <conditionalFormatting sqref="U30">
    <cfRule type="cellIs" dxfId="19140" priority="5295" operator="equal">
      <formula>"OFF"</formula>
    </cfRule>
    <cfRule type="cellIs" dxfId="19139" priority="5296" operator="equal">
      <formula>"PTO"</formula>
    </cfRule>
  </conditionalFormatting>
  <conditionalFormatting sqref="U30">
    <cfRule type="cellIs" dxfId="19138" priority="5293" operator="equal">
      <formula>"OFF"</formula>
    </cfRule>
    <cfRule type="cellIs" dxfId="19137" priority="5294" operator="equal">
      <formula>"PTO"</formula>
    </cfRule>
  </conditionalFormatting>
  <conditionalFormatting sqref="U30">
    <cfRule type="cellIs" dxfId="19136" priority="5291" operator="equal">
      <formula>"OFF"</formula>
    </cfRule>
    <cfRule type="cellIs" dxfId="19135" priority="5292" operator="equal">
      <formula>"PTO"</formula>
    </cfRule>
  </conditionalFormatting>
  <conditionalFormatting sqref="U30">
    <cfRule type="cellIs" dxfId="19134" priority="5289" operator="equal">
      <formula>"OFF"</formula>
    </cfRule>
    <cfRule type="cellIs" dxfId="19133" priority="5290" operator="equal">
      <formula>"PTO"</formula>
    </cfRule>
  </conditionalFormatting>
  <conditionalFormatting sqref="U30">
    <cfRule type="cellIs" dxfId="19132" priority="5287" operator="equal">
      <formula>"OFF"</formula>
    </cfRule>
    <cfRule type="cellIs" dxfId="19131" priority="5288" operator="equal">
      <formula>"PTO"</formula>
    </cfRule>
  </conditionalFormatting>
  <conditionalFormatting sqref="U30">
    <cfRule type="cellIs" dxfId="19130" priority="5285" operator="equal">
      <formula>"OFF"</formula>
    </cfRule>
    <cfRule type="cellIs" dxfId="19129" priority="5286" operator="equal">
      <formula>"PTO"</formula>
    </cfRule>
  </conditionalFormatting>
  <conditionalFormatting sqref="U30">
    <cfRule type="cellIs" dxfId="19128" priority="5283" operator="equal">
      <formula>"OFF"</formula>
    </cfRule>
    <cfRule type="cellIs" dxfId="19127" priority="5284" operator="equal">
      <formula>"PTO"</formula>
    </cfRule>
  </conditionalFormatting>
  <conditionalFormatting sqref="U30">
    <cfRule type="cellIs" dxfId="19126" priority="5281" operator="equal">
      <formula>"OFF"</formula>
    </cfRule>
    <cfRule type="cellIs" dxfId="19125" priority="5282" operator="equal">
      <formula>"PTO"</formula>
    </cfRule>
  </conditionalFormatting>
  <conditionalFormatting sqref="U30">
    <cfRule type="cellIs" dxfId="19124" priority="5279" operator="equal">
      <formula>"OFF"</formula>
    </cfRule>
    <cfRule type="cellIs" dxfId="19123" priority="5280" operator="equal">
      <formula>"PTO"</formula>
    </cfRule>
  </conditionalFormatting>
  <conditionalFormatting sqref="U30">
    <cfRule type="cellIs" dxfId="19122" priority="5277" operator="equal">
      <formula>"OFF"</formula>
    </cfRule>
    <cfRule type="cellIs" dxfId="19121" priority="5278" operator="equal">
      <formula>"PTO"</formula>
    </cfRule>
  </conditionalFormatting>
  <conditionalFormatting sqref="U30">
    <cfRule type="cellIs" dxfId="19120" priority="5275" operator="equal">
      <formula>"OFF"</formula>
    </cfRule>
    <cfRule type="cellIs" dxfId="19119" priority="5276" operator="equal">
      <formula>"PTO"</formula>
    </cfRule>
  </conditionalFormatting>
  <conditionalFormatting sqref="U30">
    <cfRule type="cellIs" dxfId="19118" priority="5273" operator="equal">
      <formula>"OFF"</formula>
    </cfRule>
    <cfRule type="cellIs" dxfId="19117" priority="5274" operator="equal">
      <formula>"PTO"</formula>
    </cfRule>
  </conditionalFormatting>
  <conditionalFormatting sqref="U30">
    <cfRule type="cellIs" dxfId="19116" priority="5271" operator="equal">
      <formula>"OFF"</formula>
    </cfRule>
    <cfRule type="cellIs" dxfId="19115" priority="5272" operator="equal">
      <formula>"PTO"</formula>
    </cfRule>
  </conditionalFormatting>
  <conditionalFormatting sqref="U30">
    <cfRule type="cellIs" dxfId="19114" priority="5269" operator="equal">
      <formula>"OFF"</formula>
    </cfRule>
    <cfRule type="cellIs" dxfId="19113" priority="5270" operator="equal">
      <formula>"PTO"</formula>
    </cfRule>
  </conditionalFormatting>
  <conditionalFormatting sqref="U30">
    <cfRule type="cellIs" dxfId="19112" priority="5267" operator="equal">
      <formula>"OFF"</formula>
    </cfRule>
    <cfRule type="cellIs" dxfId="19111" priority="5268" operator="equal">
      <formula>"PTO"</formula>
    </cfRule>
  </conditionalFormatting>
  <conditionalFormatting sqref="U30">
    <cfRule type="cellIs" dxfId="19110" priority="5265" operator="equal">
      <formula>"OFF"</formula>
    </cfRule>
    <cfRule type="cellIs" dxfId="19109" priority="5266" operator="equal">
      <formula>"PTO"</formula>
    </cfRule>
  </conditionalFormatting>
  <conditionalFormatting sqref="U30">
    <cfRule type="cellIs" dxfId="19108" priority="5263" operator="equal">
      <formula>"OFF"</formula>
    </cfRule>
    <cfRule type="cellIs" dxfId="19107" priority="5264" operator="equal">
      <formula>"PTO"</formula>
    </cfRule>
  </conditionalFormatting>
  <conditionalFormatting sqref="U30">
    <cfRule type="cellIs" dxfId="19106" priority="5261" operator="equal">
      <formula>"OFF"</formula>
    </cfRule>
    <cfRule type="cellIs" dxfId="19105" priority="5262" operator="equal">
      <formula>"PTO"</formula>
    </cfRule>
  </conditionalFormatting>
  <conditionalFormatting sqref="U30">
    <cfRule type="cellIs" dxfId="19104" priority="5259" operator="equal">
      <formula>"OFF"</formula>
    </cfRule>
    <cfRule type="cellIs" dxfId="19103" priority="5260" operator="equal">
      <formula>"PTO"</formula>
    </cfRule>
  </conditionalFormatting>
  <conditionalFormatting sqref="U30">
    <cfRule type="cellIs" dxfId="19102" priority="5257" operator="equal">
      <formula>"OFF"</formula>
    </cfRule>
    <cfRule type="cellIs" dxfId="19101" priority="5258" operator="equal">
      <formula>"PTO"</formula>
    </cfRule>
  </conditionalFormatting>
  <conditionalFormatting sqref="U30">
    <cfRule type="cellIs" dxfId="19100" priority="5255" operator="equal">
      <formula>"OFF"</formula>
    </cfRule>
    <cfRule type="cellIs" dxfId="19099" priority="5256" operator="equal">
      <formula>"PTO"</formula>
    </cfRule>
  </conditionalFormatting>
  <conditionalFormatting sqref="U30">
    <cfRule type="cellIs" dxfId="19098" priority="5253" operator="equal">
      <formula>"OFF"</formula>
    </cfRule>
    <cfRule type="cellIs" dxfId="19097" priority="5254" operator="equal">
      <formula>"PTO"</formula>
    </cfRule>
  </conditionalFormatting>
  <conditionalFormatting sqref="U30">
    <cfRule type="cellIs" dxfId="19096" priority="5251" operator="equal">
      <formula>"OFF"</formula>
    </cfRule>
    <cfRule type="cellIs" dxfId="19095" priority="5252" operator="equal">
      <formula>"PTO"</formula>
    </cfRule>
  </conditionalFormatting>
  <conditionalFormatting sqref="U30">
    <cfRule type="cellIs" dxfId="19094" priority="5249" operator="equal">
      <formula>"OFF"</formula>
    </cfRule>
    <cfRule type="cellIs" dxfId="19093" priority="5250" operator="equal">
      <formula>"PTO"</formula>
    </cfRule>
  </conditionalFormatting>
  <conditionalFormatting sqref="U30">
    <cfRule type="cellIs" dxfId="19092" priority="5247" operator="equal">
      <formula>"OFF"</formula>
    </cfRule>
    <cfRule type="cellIs" dxfId="19091" priority="5248" operator="equal">
      <formula>"PTO"</formula>
    </cfRule>
  </conditionalFormatting>
  <conditionalFormatting sqref="U30">
    <cfRule type="cellIs" dxfId="19090" priority="5245" operator="equal">
      <formula>"OFF"</formula>
    </cfRule>
    <cfRule type="cellIs" dxfId="19089" priority="5246" operator="equal">
      <formula>"PTO"</formula>
    </cfRule>
  </conditionalFormatting>
  <conditionalFormatting sqref="U30">
    <cfRule type="cellIs" dxfId="19088" priority="5243" operator="equal">
      <formula>"OFF"</formula>
    </cfRule>
    <cfRule type="cellIs" dxfId="19087" priority="5244" operator="equal">
      <formula>"PTO"</formula>
    </cfRule>
  </conditionalFormatting>
  <conditionalFormatting sqref="U30">
    <cfRule type="cellIs" dxfId="19086" priority="5241" operator="equal">
      <formula>"OFF"</formula>
    </cfRule>
    <cfRule type="cellIs" dxfId="19085" priority="5242" operator="equal">
      <formula>"PTO"</formula>
    </cfRule>
  </conditionalFormatting>
  <conditionalFormatting sqref="U30">
    <cfRule type="cellIs" dxfId="19084" priority="5239" operator="equal">
      <formula>"OFF"</formula>
    </cfRule>
    <cfRule type="cellIs" dxfId="19083" priority="5240" operator="equal">
      <formula>"PTO"</formula>
    </cfRule>
  </conditionalFormatting>
  <conditionalFormatting sqref="U30">
    <cfRule type="cellIs" dxfId="19082" priority="5237" operator="equal">
      <formula>"OFF"</formula>
    </cfRule>
    <cfRule type="cellIs" dxfId="19081" priority="5238" operator="equal">
      <formula>"PTO"</formula>
    </cfRule>
  </conditionalFormatting>
  <conditionalFormatting sqref="U30">
    <cfRule type="cellIs" dxfId="19080" priority="5235" operator="equal">
      <formula>"OFF"</formula>
    </cfRule>
    <cfRule type="cellIs" dxfId="19079" priority="5236" operator="equal">
      <formula>"PTO"</formula>
    </cfRule>
  </conditionalFormatting>
  <conditionalFormatting sqref="U30">
    <cfRule type="cellIs" dxfId="19078" priority="5233" operator="equal">
      <formula>"OFF"</formula>
    </cfRule>
    <cfRule type="cellIs" dxfId="19077" priority="5234" operator="equal">
      <formula>"PTO"</formula>
    </cfRule>
  </conditionalFormatting>
  <conditionalFormatting sqref="U30">
    <cfRule type="cellIs" dxfId="19076" priority="5231" operator="equal">
      <formula>"OFF"</formula>
    </cfRule>
    <cfRule type="cellIs" dxfId="19075" priority="5232" operator="equal">
      <formula>"PTO"</formula>
    </cfRule>
  </conditionalFormatting>
  <conditionalFormatting sqref="U30">
    <cfRule type="cellIs" dxfId="19074" priority="5229" operator="equal">
      <formula>"OFF"</formula>
    </cfRule>
    <cfRule type="cellIs" dxfId="19073" priority="5230" operator="equal">
      <formula>"PTO"</formula>
    </cfRule>
  </conditionalFormatting>
  <conditionalFormatting sqref="U30">
    <cfRule type="cellIs" dxfId="19072" priority="5227" operator="equal">
      <formula>"OFF"</formula>
    </cfRule>
    <cfRule type="cellIs" dxfId="19071" priority="5228" operator="equal">
      <formula>"PTO"</formula>
    </cfRule>
  </conditionalFormatting>
  <conditionalFormatting sqref="U30">
    <cfRule type="cellIs" dxfId="19070" priority="5225" operator="equal">
      <formula>"OFF"</formula>
    </cfRule>
    <cfRule type="cellIs" dxfId="19069" priority="5226" operator="equal">
      <formula>"PTO"</formula>
    </cfRule>
  </conditionalFormatting>
  <conditionalFormatting sqref="U30">
    <cfRule type="cellIs" dxfId="19068" priority="5223" operator="equal">
      <formula>"OFF"</formula>
    </cfRule>
    <cfRule type="cellIs" dxfId="19067" priority="5224" operator="equal">
      <formula>"PTO"</formula>
    </cfRule>
  </conditionalFormatting>
  <conditionalFormatting sqref="U30">
    <cfRule type="cellIs" dxfId="19066" priority="5221" operator="equal">
      <formula>"OFF"</formula>
    </cfRule>
    <cfRule type="cellIs" dxfId="19065" priority="5222" operator="equal">
      <formula>"PTO"</formula>
    </cfRule>
  </conditionalFormatting>
  <conditionalFormatting sqref="U30">
    <cfRule type="cellIs" dxfId="19064" priority="5219" operator="equal">
      <formula>"OFF"</formula>
    </cfRule>
    <cfRule type="cellIs" dxfId="19063" priority="5220" operator="equal">
      <formula>"PTO"</formula>
    </cfRule>
  </conditionalFormatting>
  <conditionalFormatting sqref="U30">
    <cfRule type="cellIs" dxfId="19062" priority="5217" operator="equal">
      <formula>"OFF"</formula>
    </cfRule>
    <cfRule type="cellIs" dxfId="19061" priority="5218" operator="equal">
      <formula>"PTO"</formula>
    </cfRule>
  </conditionalFormatting>
  <conditionalFormatting sqref="U30">
    <cfRule type="cellIs" dxfId="19060" priority="5215" operator="equal">
      <formula>"OFF"</formula>
    </cfRule>
    <cfRule type="cellIs" dxfId="19059" priority="5216" operator="equal">
      <formula>"PTO"</formula>
    </cfRule>
  </conditionalFormatting>
  <conditionalFormatting sqref="U30">
    <cfRule type="cellIs" dxfId="19058" priority="5213" operator="equal">
      <formula>"OFF"</formula>
    </cfRule>
    <cfRule type="cellIs" dxfId="19057" priority="5214" operator="equal">
      <formula>"PTO"</formula>
    </cfRule>
  </conditionalFormatting>
  <conditionalFormatting sqref="U30">
    <cfRule type="cellIs" dxfId="19056" priority="5211" operator="equal">
      <formula>"OFF"</formula>
    </cfRule>
    <cfRule type="cellIs" dxfId="19055" priority="5212" operator="equal">
      <formula>"PTO"</formula>
    </cfRule>
  </conditionalFormatting>
  <conditionalFormatting sqref="U30">
    <cfRule type="cellIs" dxfId="19054" priority="5209" operator="equal">
      <formula>"OFF"</formula>
    </cfRule>
    <cfRule type="cellIs" dxfId="19053" priority="5210" operator="equal">
      <formula>"PTO"</formula>
    </cfRule>
  </conditionalFormatting>
  <conditionalFormatting sqref="U30">
    <cfRule type="cellIs" dxfId="19052" priority="5207" operator="equal">
      <formula>"OFF"</formula>
    </cfRule>
    <cfRule type="cellIs" dxfId="19051" priority="5208" operator="equal">
      <formula>"PTO"</formula>
    </cfRule>
  </conditionalFormatting>
  <conditionalFormatting sqref="U30">
    <cfRule type="cellIs" dxfId="19050" priority="5205" operator="equal">
      <formula>"OFF"</formula>
    </cfRule>
    <cfRule type="cellIs" dxfId="19049" priority="5206" operator="equal">
      <formula>"PTO"</formula>
    </cfRule>
  </conditionalFormatting>
  <conditionalFormatting sqref="U30">
    <cfRule type="cellIs" dxfId="19048" priority="5203" operator="equal">
      <formula>"OFF"</formula>
    </cfRule>
    <cfRule type="cellIs" dxfId="19047" priority="5204" operator="equal">
      <formula>"PTO"</formula>
    </cfRule>
  </conditionalFormatting>
  <conditionalFormatting sqref="U30">
    <cfRule type="cellIs" dxfId="19046" priority="5201" operator="equal">
      <formula>"OFF"</formula>
    </cfRule>
    <cfRule type="cellIs" dxfId="19045" priority="5202" operator="equal">
      <formula>"PTO"</formula>
    </cfRule>
  </conditionalFormatting>
  <conditionalFormatting sqref="U30">
    <cfRule type="cellIs" dxfId="19044" priority="5199" operator="equal">
      <formula>"OFF"</formula>
    </cfRule>
    <cfRule type="cellIs" dxfId="19043" priority="5200" operator="equal">
      <formula>"PTO"</formula>
    </cfRule>
  </conditionalFormatting>
  <conditionalFormatting sqref="U30">
    <cfRule type="cellIs" dxfId="19042" priority="5197" operator="equal">
      <formula>"OFF"</formula>
    </cfRule>
    <cfRule type="cellIs" dxfId="19041" priority="5198" operator="equal">
      <formula>"PTO"</formula>
    </cfRule>
  </conditionalFormatting>
  <conditionalFormatting sqref="U30">
    <cfRule type="cellIs" dxfId="19040" priority="5195" operator="equal">
      <formula>"OFF"</formula>
    </cfRule>
    <cfRule type="cellIs" dxfId="19039" priority="5196" operator="equal">
      <formula>"PTO"</formula>
    </cfRule>
  </conditionalFormatting>
  <conditionalFormatting sqref="U30">
    <cfRule type="cellIs" dxfId="19038" priority="5193" operator="equal">
      <formula>"OFF"</formula>
    </cfRule>
    <cfRule type="cellIs" dxfId="19037" priority="5194" operator="equal">
      <formula>"PTO"</formula>
    </cfRule>
  </conditionalFormatting>
  <conditionalFormatting sqref="U30">
    <cfRule type="cellIs" dxfId="19036" priority="5191" operator="equal">
      <formula>"OFF"</formula>
    </cfRule>
    <cfRule type="cellIs" dxfId="19035" priority="5192" operator="equal">
      <formula>"PTO"</formula>
    </cfRule>
  </conditionalFormatting>
  <conditionalFormatting sqref="U30">
    <cfRule type="cellIs" dxfId="19034" priority="5189" operator="equal">
      <formula>"OFF"</formula>
    </cfRule>
    <cfRule type="cellIs" dxfId="19033" priority="5190" operator="equal">
      <formula>"PTO"</formula>
    </cfRule>
  </conditionalFormatting>
  <conditionalFormatting sqref="U30">
    <cfRule type="cellIs" dxfId="19032" priority="5187" operator="equal">
      <formula>"OFF"</formula>
    </cfRule>
    <cfRule type="cellIs" dxfId="19031" priority="5188" operator="equal">
      <formula>"PTO"</formula>
    </cfRule>
  </conditionalFormatting>
  <conditionalFormatting sqref="U30">
    <cfRule type="cellIs" dxfId="19030" priority="5185" operator="equal">
      <formula>"OFF"</formula>
    </cfRule>
    <cfRule type="cellIs" dxfId="19029" priority="5186" operator="equal">
      <formula>"PTO"</formula>
    </cfRule>
  </conditionalFormatting>
  <conditionalFormatting sqref="U26">
    <cfRule type="cellIs" dxfId="19028" priority="5183" operator="equal">
      <formula>"OFF"</formula>
    </cfRule>
    <cfRule type="cellIs" dxfId="19027" priority="5184" operator="equal">
      <formula>"PTO"</formula>
    </cfRule>
  </conditionalFormatting>
  <conditionalFormatting sqref="U26">
    <cfRule type="cellIs" dxfId="19026" priority="5181" operator="equal">
      <formula>"OFF"</formula>
    </cfRule>
    <cfRule type="cellIs" dxfId="19025" priority="5182" operator="equal">
      <formula>"PTO"</formula>
    </cfRule>
  </conditionalFormatting>
  <conditionalFormatting sqref="U26">
    <cfRule type="cellIs" dxfId="19024" priority="5179" operator="equal">
      <formula>"OFF"</formula>
    </cfRule>
    <cfRule type="cellIs" dxfId="19023" priority="5180" operator="equal">
      <formula>"PTO"</formula>
    </cfRule>
  </conditionalFormatting>
  <conditionalFormatting sqref="U26">
    <cfRule type="cellIs" dxfId="19022" priority="5177" operator="equal">
      <formula>"OFF"</formula>
    </cfRule>
    <cfRule type="cellIs" dxfId="19021" priority="5178" operator="equal">
      <formula>"PTO"</formula>
    </cfRule>
  </conditionalFormatting>
  <conditionalFormatting sqref="U26">
    <cfRule type="cellIs" dxfId="19020" priority="5175" operator="equal">
      <formula>"OFF"</formula>
    </cfRule>
    <cfRule type="cellIs" dxfId="19019" priority="5176" operator="equal">
      <formula>"PTO"</formula>
    </cfRule>
  </conditionalFormatting>
  <conditionalFormatting sqref="U26">
    <cfRule type="cellIs" dxfId="19018" priority="5173" operator="equal">
      <formula>"OFF"</formula>
    </cfRule>
    <cfRule type="cellIs" dxfId="19017" priority="5174" operator="equal">
      <formula>"PTO"</formula>
    </cfRule>
  </conditionalFormatting>
  <conditionalFormatting sqref="U26">
    <cfRule type="cellIs" dxfId="19016" priority="5171" operator="equal">
      <formula>"OFF"</formula>
    </cfRule>
    <cfRule type="cellIs" dxfId="19015" priority="5172" operator="equal">
      <formula>"PTO"</formula>
    </cfRule>
  </conditionalFormatting>
  <conditionalFormatting sqref="U26">
    <cfRule type="cellIs" dxfId="19014" priority="5169" operator="equal">
      <formula>"OFF"</formula>
    </cfRule>
    <cfRule type="cellIs" dxfId="19013" priority="5170" operator="equal">
      <formula>"PTO"</formula>
    </cfRule>
  </conditionalFormatting>
  <conditionalFormatting sqref="U27">
    <cfRule type="cellIs" dxfId="19012" priority="5167" operator="equal">
      <formula>"OFF"</formula>
    </cfRule>
    <cfRule type="cellIs" dxfId="19011" priority="5168" operator="equal">
      <formula>"PTO"</formula>
    </cfRule>
  </conditionalFormatting>
  <conditionalFormatting sqref="U27">
    <cfRule type="cellIs" dxfId="19010" priority="5165" operator="equal">
      <formula>"OFF"</formula>
    </cfRule>
    <cfRule type="cellIs" dxfId="19009" priority="5166" operator="equal">
      <formula>"PTO"</formula>
    </cfRule>
  </conditionalFormatting>
  <conditionalFormatting sqref="U27">
    <cfRule type="cellIs" dxfId="19008" priority="5163" operator="equal">
      <formula>"OFF"</formula>
    </cfRule>
    <cfRule type="cellIs" dxfId="19007" priority="5164" operator="equal">
      <formula>"PTO"</formula>
    </cfRule>
  </conditionalFormatting>
  <conditionalFormatting sqref="U27">
    <cfRule type="cellIs" dxfId="19006" priority="5161" operator="equal">
      <formula>"OFF"</formula>
    </cfRule>
    <cfRule type="cellIs" dxfId="19005" priority="5162" operator="equal">
      <formula>"PTO"</formula>
    </cfRule>
  </conditionalFormatting>
  <conditionalFormatting sqref="U27">
    <cfRule type="cellIs" dxfId="19004" priority="5159" operator="equal">
      <formula>"OFF"</formula>
    </cfRule>
    <cfRule type="cellIs" dxfId="19003" priority="5160" operator="equal">
      <formula>"PTO"</formula>
    </cfRule>
  </conditionalFormatting>
  <conditionalFormatting sqref="U27">
    <cfRule type="cellIs" dxfId="19002" priority="5157" operator="equal">
      <formula>"OFF"</formula>
    </cfRule>
    <cfRule type="cellIs" dxfId="19001" priority="5158" operator="equal">
      <formula>"PTO"</formula>
    </cfRule>
  </conditionalFormatting>
  <conditionalFormatting sqref="U27">
    <cfRule type="cellIs" dxfId="19000" priority="5155" operator="equal">
      <formula>"OFF"</formula>
    </cfRule>
    <cfRule type="cellIs" dxfId="18999" priority="5156" operator="equal">
      <formula>"PTO"</formula>
    </cfRule>
  </conditionalFormatting>
  <conditionalFormatting sqref="U27">
    <cfRule type="cellIs" dxfId="18998" priority="5153" operator="equal">
      <formula>"OFF"</formula>
    </cfRule>
    <cfRule type="cellIs" dxfId="18997" priority="5154" operator="equal">
      <formula>"PTO"</formula>
    </cfRule>
  </conditionalFormatting>
  <conditionalFormatting sqref="U26">
    <cfRule type="cellIs" dxfId="18996" priority="5151" operator="equal">
      <formula>"OFF"</formula>
    </cfRule>
    <cfRule type="cellIs" dxfId="18995" priority="5152" operator="equal">
      <formula>"PTO"</formula>
    </cfRule>
  </conditionalFormatting>
  <conditionalFormatting sqref="U26">
    <cfRule type="cellIs" dxfId="18994" priority="5149" operator="equal">
      <formula>"OFF"</formula>
    </cfRule>
    <cfRule type="cellIs" dxfId="18993" priority="5150" operator="equal">
      <formula>"PTO"</formula>
    </cfRule>
  </conditionalFormatting>
  <conditionalFormatting sqref="U26">
    <cfRule type="cellIs" dxfId="18992" priority="5147" operator="equal">
      <formula>"OFF"</formula>
    </cfRule>
    <cfRule type="cellIs" dxfId="18991" priority="5148" operator="equal">
      <formula>"PTO"</formula>
    </cfRule>
  </conditionalFormatting>
  <conditionalFormatting sqref="U26">
    <cfRule type="cellIs" dxfId="18990" priority="5145" operator="equal">
      <formula>"OFF"</formula>
    </cfRule>
    <cfRule type="cellIs" dxfId="18989" priority="5146" operator="equal">
      <formula>"PTO"</formula>
    </cfRule>
  </conditionalFormatting>
  <conditionalFormatting sqref="U26">
    <cfRule type="cellIs" dxfId="18988" priority="5143" operator="equal">
      <formula>"OFF"</formula>
    </cfRule>
    <cfRule type="cellIs" dxfId="18987" priority="5144" operator="equal">
      <formula>"PTO"</formula>
    </cfRule>
  </conditionalFormatting>
  <conditionalFormatting sqref="U26">
    <cfRule type="cellIs" dxfId="18986" priority="5141" operator="equal">
      <formula>"OFF"</formula>
    </cfRule>
    <cfRule type="cellIs" dxfId="18985" priority="5142" operator="equal">
      <formula>"PTO"</formula>
    </cfRule>
  </conditionalFormatting>
  <conditionalFormatting sqref="U26">
    <cfRule type="cellIs" dxfId="18984" priority="5139" operator="equal">
      <formula>"OFF"</formula>
    </cfRule>
    <cfRule type="cellIs" dxfId="18983" priority="5140" operator="equal">
      <formula>"PTO"</formula>
    </cfRule>
  </conditionalFormatting>
  <conditionalFormatting sqref="U26">
    <cfRule type="cellIs" dxfId="18982" priority="5137" operator="equal">
      <formula>"OFF"</formula>
    </cfRule>
    <cfRule type="cellIs" dxfId="18981" priority="5138" operator="equal">
      <formula>"PTO"</formula>
    </cfRule>
  </conditionalFormatting>
  <conditionalFormatting sqref="U27">
    <cfRule type="cellIs" dxfId="18980" priority="5135" operator="equal">
      <formula>"OFF"</formula>
    </cfRule>
    <cfRule type="cellIs" dxfId="18979" priority="5136" operator="equal">
      <formula>"PTO"</formula>
    </cfRule>
  </conditionalFormatting>
  <conditionalFormatting sqref="U27">
    <cfRule type="cellIs" dxfId="18978" priority="5133" operator="equal">
      <formula>"OFF"</formula>
    </cfRule>
    <cfRule type="cellIs" dxfId="18977" priority="5134" operator="equal">
      <formula>"PTO"</formula>
    </cfRule>
  </conditionalFormatting>
  <conditionalFormatting sqref="U27">
    <cfRule type="cellIs" dxfId="18976" priority="5131" operator="equal">
      <formula>"OFF"</formula>
    </cfRule>
    <cfRule type="cellIs" dxfId="18975" priority="5132" operator="equal">
      <formula>"PTO"</formula>
    </cfRule>
  </conditionalFormatting>
  <conditionalFormatting sqref="U27">
    <cfRule type="cellIs" dxfId="18974" priority="5129" operator="equal">
      <formula>"OFF"</formula>
    </cfRule>
    <cfRule type="cellIs" dxfId="18973" priority="5130" operator="equal">
      <formula>"PTO"</formula>
    </cfRule>
  </conditionalFormatting>
  <conditionalFormatting sqref="U27">
    <cfRule type="cellIs" dxfId="18972" priority="5127" operator="equal">
      <formula>"OFF"</formula>
    </cfRule>
    <cfRule type="cellIs" dxfId="18971" priority="5128" operator="equal">
      <formula>"PTO"</formula>
    </cfRule>
  </conditionalFormatting>
  <conditionalFormatting sqref="U27">
    <cfRule type="cellIs" dxfId="18970" priority="5125" operator="equal">
      <formula>"OFF"</formula>
    </cfRule>
    <cfRule type="cellIs" dxfId="18969" priority="5126" operator="equal">
      <formula>"PTO"</formula>
    </cfRule>
  </conditionalFormatting>
  <conditionalFormatting sqref="U27">
    <cfRule type="cellIs" dxfId="18968" priority="5123" operator="equal">
      <formula>"OFF"</formula>
    </cfRule>
    <cfRule type="cellIs" dxfId="18967" priority="5124" operator="equal">
      <formula>"PTO"</formula>
    </cfRule>
  </conditionalFormatting>
  <conditionalFormatting sqref="U27">
    <cfRule type="cellIs" dxfId="18966" priority="5121" operator="equal">
      <formula>"OFF"</formula>
    </cfRule>
    <cfRule type="cellIs" dxfId="18965" priority="5122" operator="equal">
      <formula>"PTO"</formula>
    </cfRule>
  </conditionalFormatting>
  <conditionalFormatting sqref="U26">
    <cfRule type="cellIs" dxfId="18964" priority="5119" operator="equal">
      <formula>"OFF"</formula>
    </cfRule>
    <cfRule type="cellIs" dxfId="18963" priority="5120" operator="equal">
      <formula>"PTO"</formula>
    </cfRule>
  </conditionalFormatting>
  <conditionalFormatting sqref="U26">
    <cfRule type="cellIs" dxfId="18962" priority="5117" operator="equal">
      <formula>"OFF"</formula>
    </cfRule>
    <cfRule type="cellIs" dxfId="18961" priority="5118" operator="equal">
      <formula>"PTO"</formula>
    </cfRule>
  </conditionalFormatting>
  <conditionalFormatting sqref="U26">
    <cfRule type="cellIs" dxfId="18960" priority="5115" operator="equal">
      <formula>"OFF"</formula>
    </cfRule>
    <cfRule type="cellIs" dxfId="18959" priority="5116" operator="equal">
      <formula>"PTO"</formula>
    </cfRule>
  </conditionalFormatting>
  <conditionalFormatting sqref="U26">
    <cfRule type="cellIs" dxfId="18958" priority="5113" operator="equal">
      <formula>"OFF"</formula>
    </cfRule>
    <cfRule type="cellIs" dxfId="18957" priority="5114" operator="equal">
      <formula>"PTO"</formula>
    </cfRule>
  </conditionalFormatting>
  <conditionalFormatting sqref="U26">
    <cfRule type="cellIs" dxfId="18956" priority="5111" operator="equal">
      <formula>"OFF"</formula>
    </cfRule>
    <cfRule type="cellIs" dxfId="18955" priority="5112" operator="equal">
      <formula>"PTO"</formula>
    </cfRule>
  </conditionalFormatting>
  <conditionalFormatting sqref="U26">
    <cfRule type="cellIs" dxfId="18954" priority="5109" operator="equal">
      <formula>"OFF"</formula>
    </cfRule>
    <cfRule type="cellIs" dxfId="18953" priority="5110" operator="equal">
      <formula>"PTO"</formula>
    </cfRule>
  </conditionalFormatting>
  <conditionalFormatting sqref="U26">
    <cfRule type="cellIs" dxfId="18952" priority="5107" operator="equal">
      <formula>"OFF"</formula>
    </cfRule>
    <cfRule type="cellIs" dxfId="18951" priority="5108" operator="equal">
      <formula>"PTO"</formula>
    </cfRule>
  </conditionalFormatting>
  <conditionalFormatting sqref="U26">
    <cfRule type="cellIs" dxfId="18950" priority="5105" operator="equal">
      <formula>"OFF"</formula>
    </cfRule>
    <cfRule type="cellIs" dxfId="18949" priority="5106" operator="equal">
      <formula>"PTO"</formula>
    </cfRule>
  </conditionalFormatting>
  <conditionalFormatting sqref="U27">
    <cfRule type="cellIs" dxfId="18948" priority="5103" operator="equal">
      <formula>"OFF"</formula>
    </cfRule>
    <cfRule type="cellIs" dxfId="18947" priority="5104" operator="equal">
      <formula>"PTO"</formula>
    </cfRule>
  </conditionalFormatting>
  <conditionalFormatting sqref="U27">
    <cfRule type="cellIs" dxfId="18946" priority="5101" operator="equal">
      <formula>"OFF"</formula>
    </cfRule>
    <cfRule type="cellIs" dxfId="18945" priority="5102" operator="equal">
      <formula>"PTO"</formula>
    </cfRule>
  </conditionalFormatting>
  <conditionalFormatting sqref="U27">
    <cfRule type="cellIs" dxfId="18944" priority="5099" operator="equal">
      <formula>"OFF"</formula>
    </cfRule>
    <cfRule type="cellIs" dxfId="18943" priority="5100" operator="equal">
      <formula>"PTO"</formula>
    </cfRule>
  </conditionalFormatting>
  <conditionalFormatting sqref="U27">
    <cfRule type="cellIs" dxfId="18942" priority="5097" operator="equal">
      <formula>"OFF"</formula>
    </cfRule>
    <cfRule type="cellIs" dxfId="18941" priority="5098" operator="equal">
      <formula>"PTO"</formula>
    </cfRule>
  </conditionalFormatting>
  <conditionalFormatting sqref="U27">
    <cfRule type="cellIs" dxfId="18940" priority="5095" operator="equal">
      <formula>"OFF"</formula>
    </cfRule>
    <cfRule type="cellIs" dxfId="18939" priority="5096" operator="equal">
      <formula>"PTO"</formula>
    </cfRule>
  </conditionalFormatting>
  <conditionalFormatting sqref="U27">
    <cfRule type="cellIs" dxfId="18938" priority="5093" operator="equal">
      <formula>"OFF"</formula>
    </cfRule>
    <cfRule type="cellIs" dxfId="18937" priority="5094" operator="equal">
      <formula>"PTO"</formula>
    </cfRule>
  </conditionalFormatting>
  <conditionalFormatting sqref="U27">
    <cfRule type="cellIs" dxfId="18936" priority="5091" operator="equal">
      <formula>"OFF"</formula>
    </cfRule>
    <cfRule type="cellIs" dxfId="18935" priority="5092" operator="equal">
      <formula>"PTO"</formula>
    </cfRule>
  </conditionalFormatting>
  <conditionalFormatting sqref="U27">
    <cfRule type="cellIs" dxfId="18934" priority="5089" operator="equal">
      <formula>"OFF"</formula>
    </cfRule>
    <cfRule type="cellIs" dxfId="18933" priority="5090" operator="equal">
      <formula>"PTO"</formula>
    </cfRule>
  </conditionalFormatting>
  <conditionalFormatting sqref="U26">
    <cfRule type="cellIs" dxfId="18932" priority="5087" operator="equal">
      <formula>"OFF"</formula>
    </cfRule>
    <cfRule type="cellIs" dxfId="18931" priority="5088" operator="equal">
      <formula>"PTO"</formula>
    </cfRule>
  </conditionalFormatting>
  <conditionalFormatting sqref="U26">
    <cfRule type="cellIs" dxfId="18930" priority="5085" operator="equal">
      <formula>"OFF"</formula>
    </cfRule>
    <cfRule type="cellIs" dxfId="18929" priority="5086" operator="equal">
      <formula>"PTO"</formula>
    </cfRule>
  </conditionalFormatting>
  <conditionalFormatting sqref="U26">
    <cfRule type="cellIs" dxfId="18928" priority="5083" operator="equal">
      <formula>"OFF"</formula>
    </cfRule>
    <cfRule type="cellIs" dxfId="18927" priority="5084" operator="equal">
      <formula>"PTO"</formula>
    </cfRule>
  </conditionalFormatting>
  <conditionalFormatting sqref="U26">
    <cfRule type="cellIs" dxfId="18926" priority="5081" operator="equal">
      <formula>"OFF"</formula>
    </cfRule>
    <cfRule type="cellIs" dxfId="18925" priority="5082" operator="equal">
      <formula>"PTO"</formula>
    </cfRule>
  </conditionalFormatting>
  <conditionalFormatting sqref="U26">
    <cfRule type="cellIs" dxfId="18924" priority="5079" operator="equal">
      <formula>"OFF"</formula>
    </cfRule>
    <cfRule type="cellIs" dxfId="18923" priority="5080" operator="equal">
      <formula>"PTO"</formula>
    </cfRule>
  </conditionalFormatting>
  <conditionalFormatting sqref="U26">
    <cfRule type="cellIs" dxfId="18922" priority="5077" operator="equal">
      <formula>"OFF"</formula>
    </cfRule>
    <cfRule type="cellIs" dxfId="18921" priority="5078" operator="equal">
      <formula>"PTO"</formula>
    </cfRule>
  </conditionalFormatting>
  <conditionalFormatting sqref="U26">
    <cfRule type="cellIs" dxfId="18920" priority="5075" operator="equal">
      <formula>"OFF"</formula>
    </cfRule>
    <cfRule type="cellIs" dxfId="18919" priority="5076" operator="equal">
      <formula>"PTO"</formula>
    </cfRule>
  </conditionalFormatting>
  <conditionalFormatting sqref="U26">
    <cfRule type="cellIs" dxfId="18918" priority="5073" operator="equal">
      <formula>"OFF"</formula>
    </cfRule>
    <cfRule type="cellIs" dxfId="18917" priority="5074" operator="equal">
      <formula>"PTO"</formula>
    </cfRule>
  </conditionalFormatting>
  <conditionalFormatting sqref="U27">
    <cfRule type="cellIs" dxfId="18916" priority="5071" operator="equal">
      <formula>"OFF"</formula>
    </cfRule>
    <cfRule type="cellIs" dxfId="18915" priority="5072" operator="equal">
      <formula>"PTO"</formula>
    </cfRule>
  </conditionalFormatting>
  <conditionalFormatting sqref="U27">
    <cfRule type="cellIs" dxfId="18914" priority="5069" operator="equal">
      <formula>"OFF"</formula>
    </cfRule>
    <cfRule type="cellIs" dxfId="18913" priority="5070" operator="equal">
      <formula>"PTO"</formula>
    </cfRule>
  </conditionalFormatting>
  <conditionalFormatting sqref="U27">
    <cfRule type="cellIs" dxfId="18912" priority="5067" operator="equal">
      <formula>"OFF"</formula>
    </cfRule>
    <cfRule type="cellIs" dxfId="18911" priority="5068" operator="equal">
      <formula>"PTO"</formula>
    </cfRule>
  </conditionalFormatting>
  <conditionalFormatting sqref="U27">
    <cfRule type="cellIs" dxfId="18910" priority="5065" operator="equal">
      <formula>"OFF"</formula>
    </cfRule>
    <cfRule type="cellIs" dxfId="18909" priority="5066" operator="equal">
      <formula>"PTO"</formula>
    </cfRule>
  </conditionalFormatting>
  <conditionalFormatting sqref="U27">
    <cfRule type="cellIs" dxfId="18908" priority="5063" operator="equal">
      <formula>"OFF"</formula>
    </cfRule>
    <cfRule type="cellIs" dxfId="18907" priority="5064" operator="equal">
      <formula>"PTO"</formula>
    </cfRule>
  </conditionalFormatting>
  <conditionalFormatting sqref="U27">
    <cfRule type="cellIs" dxfId="18906" priority="5061" operator="equal">
      <formula>"OFF"</formula>
    </cfRule>
    <cfRule type="cellIs" dxfId="18905" priority="5062" operator="equal">
      <formula>"PTO"</formula>
    </cfRule>
  </conditionalFormatting>
  <conditionalFormatting sqref="U27">
    <cfRule type="cellIs" dxfId="18904" priority="5059" operator="equal">
      <formula>"OFF"</formula>
    </cfRule>
    <cfRule type="cellIs" dxfId="18903" priority="5060" operator="equal">
      <formula>"PTO"</formula>
    </cfRule>
  </conditionalFormatting>
  <conditionalFormatting sqref="U27">
    <cfRule type="cellIs" dxfId="18902" priority="5057" operator="equal">
      <formula>"OFF"</formula>
    </cfRule>
    <cfRule type="cellIs" dxfId="18901" priority="5058" operator="equal">
      <formula>"PTO"</formula>
    </cfRule>
  </conditionalFormatting>
  <conditionalFormatting sqref="U26">
    <cfRule type="cellIs" dxfId="18900" priority="5055" operator="equal">
      <formula>"OFF"</formula>
    </cfRule>
    <cfRule type="cellIs" dxfId="18899" priority="5056" operator="equal">
      <formula>"PTO"</formula>
    </cfRule>
  </conditionalFormatting>
  <conditionalFormatting sqref="U26">
    <cfRule type="cellIs" dxfId="18898" priority="5053" operator="equal">
      <formula>"OFF"</formula>
    </cfRule>
    <cfRule type="cellIs" dxfId="18897" priority="5054" operator="equal">
      <formula>"PTO"</formula>
    </cfRule>
  </conditionalFormatting>
  <conditionalFormatting sqref="U26">
    <cfRule type="cellIs" dxfId="18896" priority="5051" operator="equal">
      <formula>"OFF"</formula>
    </cfRule>
    <cfRule type="cellIs" dxfId="18895" priority="5052" operator="equal">
      <formula>"PTO"</formula>
    </cfRule>
  </conditionalFormatting>
  <conditionalFormatting sqref="U26">
    <cfRule type="cellIs" dxfId="18894" priority="5049" operator="equal">
      <formula>"OFF"</formula>
    </cfRule>
    <cfRule type="cellIs" dxfId="18893" priority="5050" operator="equal">
      <formula>"PTO"</formula>
    </cfRule>
  </conditionalFormatting>
  <conditionalFormatting sqref="U26">
    <cfRule type="cellIs" dxfId="18892" priority="5047" operator="equal">
      <formula>"OFF"</formula>
    </cfRule>
    <cfRule type="cellIs" dxfId="18891" priority="5048" operator="equal">
      <formula>"PTO"</formula>
    </cfRule>
  </conditionalFormatting>
  <conditionalFormatting sqref="U26">
    <cfRule type="cellIs" dxfId="18890" priority="5045" operator="equal">
      <formula>"OFF"</formula>
    </cfRule>
    <cfRule type="cellIs" dxfId="18889" priority="5046" operator="equal">
      <formula>"PTO"</formula>
    </cfRule>
  </conditionalFormatting>
  <conditionalFormatting sqref="U26">
    <cfRule type="cellIs" dxfId="18888" priority="5043" operator="equal">
      <formula>"OFF"</formula>
    </cfRule>
    <cfRule type="cellIs" dxfId="18887" priority="5044" operator="equal">
      <formula>"PTO"</formula>
    </cfRule>
  </conditionalFormatting>
  <conditionalFormatting sqref="U26">
    <cfRule type="cellIs" dxfId="18886" priority="5041" operator="equal">
      <formula>"OFF"</formula>
    </cfRule>
    <cfRule type="cellIs" dxfId="18885" priority="5042" operator="equal">
      <formula>"PTO"</formula>
    </cfRule>
  </conditionalFormatting>
  <conditionalFormatting sqref="U27">
    <cfRule type="cellIs" dxfId="18884" priority="5039" operator="equal">
      <formula>"OFF"</formula>
    </cfRule>
    <cfRule type="cellIs" dxfId="18883" priority="5040" operator="equal">
      <formula>"PTO"</formula>
    </cfRule>
  </conditionalFormatting>
  <conditionalFormatting sqref="U27">
    <cfRule type="cellIs" dxfId="18882" priority="5037" operator="equal">
      <formula>"OFF"</formula>
    </cfRule>
    <cfRule type="cellIs" dxfId="18881" priority="5038" operator="equal">
      <formula>"PTO"</formula>
    </cfRule>
  </conditionalFormatting>
  <conditionalFormatting sqref="U27">
    <cfRule type="cellIs" dxfId="18880" priority="5035" operator="equal">
      <formula>"OFF"</formula>
    </cfRule>
    <cfRule type="cellIs" dxfId="18879" priority="5036" operator="equal">
      <formula>"PTO"</formula>
    </cfRule>
  </conditionalFormatting>
  <conditionalFormatting sqref="U27">
    <cfRule type="cellIs" dxfId="18878" priority="5033" operator="equal">
      <formula>"OFF"</formula>
    </cfRule>
    <cfRule type="cellIs" dxfId="18877" priority="5034" operator="equal">
      <formula>"PTO"</formula>
    </cfRule>
  </conditionalFormatting>
  <conditionalFormatting sqref="U27">
    <cfRule type="cellIs" dxfId="18876" priority="5031" operator="equal">
      <formula>"OFF"</formula>
    </cfRule>
    <cfRule type="cellIs" dxfId="18875" priority="5032" operator="equal">
      <formula>"PTO"</formula>
    </cfRule>
  </conditionalFormatting>
  <conditionalFormatting sqref="U27">
    <cfRule type="cellIs" dxfId="18874" priority="5029" operator="equal">
      <formula>"OFF"</formula>
    </cfRule>
    <cfRule type="cellIs" dxfId="18873" priority="5030" operator="equal">
      <formula>"PTO"</formula>
    </cfRule>
  </conditionalFormatting>
  <conditionalFormatting sqref="U27">
    <cfRule type="cellIs" dxfId="18872" priority="5027" operator="equal">
      <formula>"OFF"</formula>
    </cfRule>
    <cfRule type="cellIs" dxfId="18871" priority="5028" operator="equal">
      <formula>"PTO"</formula>
    </cfRule>
  </conditionalFormatting>
  <conditionalFormatting sqref="U27">
    <cfRule type="cellIs" dxfId="18870" priority="5025" operator="equal">
      <formula>"OFF"</formula>
    </cfRule>
    <cfRule type="cellIs" dxfId="18869" priority="5026" operator="equal">
      <formula>"PTO"</formula>
    </cfRule>
  </conditionalFormatting>
  <conditionalFormatting sqref="U26">
    <cfRule type="cellIs" dxfId="18868" priority="5023" operator="equal">
      <formula>"OFF"</formula>
    </cfRule>
    <cfRule type="cellIs" dxfId="18867" priority="5024" operator="equal">
      <formula>"PTO"</formula>
    </cfRule>
  </conditionalFormatting>
  <conditionalFormatting sqref="U26">
    <cfRule type="cellIs" dxfId="18866" priority="5021" operator="equal">
      <formula>"OFF"</formula>
    </cfRule>
    <cfRule type="cellIs" dxfId="18865" priority="5022" operator="equal">
      <formula>"PTO"</formula>
    </cfRule>
  </conditionalFormatting>
  <conditionalFormatting sqref="U26">
    <cfRule type="cellIs" dxfId="18864" priority="5019" operator="equal">
      <formula>"OFF"</formula>
    </cfRule>
    <cfRule type="cellIs" dxfId="18863" priority="5020" operator="equal">
      <formula>"PTO"</formula>
    </cfRule>
  </conditionalFormatting>
  <conditionalFormatting sqref="U26">
    <cfRule type="cellIs" dxfId="18862" priority="5017" operator="equal">
      <formula>"OFF"</formula>
    </cfRule>
    <cfRule type="cellIs" dxfId="18861" priority="5018" operator="equal">
      <formula>"PTO"</formula>
    </cfRule>
  </conditionalFormatting>
  <conditionalFormatting sqref="U26">
    <cfRule type="cellIs" dxfId="18860" priority="5015" operator="equal">
      <formula>"OFF"</formula>
    </cfRule>
    <cfRule type="cellIs" dxfId="18859" priority="5016" operator="equal">
      <formula>"PTO"</formula>
    </cfRule>
  </conditionalFormatting>
  <conditionalFormatting sqref="U26">
    <cfRule type="cellIs" dxfId="18858" priority="5013" operator="equal">
      <formula>"OFF"</formula>
    </cfRule>
    <cfRule type="cellIs" dxfId="18857" priority="5014" operator="equal">
      <formula>"PTO"</formula>
    </cfRule>
  </conditionalFormatting>
  <conditionalFormatting sqref="U26">
    <cfRule type="cellIs" dxfId="18856" priority="5011" operator="equal">
      <formula>"OFF"</formula>
    </cfRule>
    <cfRule type="cellIs" dxfId="18855" priority="5012" operator="equal">
      <formula>"PTO"</formula>
    </cfRule>
  </conditionalFormatting>
  <conditionalFormatting sqref="U26">
    <cfRule type="cellIs" dxfId="18854" priority="5009" operator="equal">
      <formula>"OFF"</formula>
    </cfRule>
    <cfRule type="cellIs" dxfId="18853" priority="5010" operator="equal">
      <formula>"PTO"</formula>
    </cfRule>
  </conditionalFormatting>
  <conditionalFormatting sqref="U27">
    <cfRule type="cellIs" dxfId="18852" priority="5007" operator="equal">
      <formula>"OFF"</formula>
    </cfRule>
    <cfRule type="cellIs" dxfId="18851" priority="5008" operator="equal">
      <formula>"PTO"</formula>
    </cfRule>
  </conditionalFormatting>
  <conditionalFormatting sqref="U27">
    <cfRule type="cellIs" dxfId="18850" priority="5005" operator="equal">
      <formula>"OFF"</formula>
    </cfRule>
    <cfRule type="cellIs" dxfId="18849" priority="5006" operator="equal">
      <formula>"PTO"</formula>
    </cfRule>
  </conditionalFormatting>
  <conditionalFormatting sqref="U27">
    <cfRule type="cellIs" dxfId="18848" priority="5003" operator="equal">
      <formula>"OFF"</formula>
    </cfRule>
    <cfRule type="cellIs" dxfId="18847" priority="5004" operator="equal">
      <formula>"PTO"</formula>
    </cfRule>
  </conditionalFormatting>
  <conditionalFormatting sqref="U27">
    <cfRule type="cellIs" dxfId="18846" priority="5001" operator="equal">
      <formula>"OFF"</formula>
    </cfRule>
    <cfRule type="cellIs" dxfId="18845" priority="5002" operator="equal">
      <formula>"PTO"</formula>
    </cfRule>
  </conditionalFormatting>
  <conditionalFormatting sqref="U27">
    <cfRule type="cellIs" dxfId="18844" priority="4999" operator="equal">
      <formula>"OFF"</formula>
    </cfRule>
    <cfRule type="cellIs" dxfId="18843" priority="5000" operator="equal">
      <formula>"PTO"</formula>
    </cfRule>
  </conditionalFormatting>
  <conditionalFormatting sqref="U27">
    <cfRule type="cellIs" dxfId="18842" priority="4997" operator="equal">
      <formula>"OFF"</formula>
    </cfRule>
    <cfRule type="cellIs" dxfId="18841" priority="4998" operator="equal">
      <formula>"PTO"</formula>
    </cfRule>
  </conditionalFormatting>
  <conditionalFormatting sqref="U27">
    <cfRule type="cellIs" dxfId="18840" priority="4995" operator="equal">
      <formula>"OFF"</formula>
    </cfRule>
    <cfRule type="cellIs" dxfId="18839" priority="4996" operator="equal">
      <formula>"PTO"</formula>
    </cfRule>
  </conditionalFormatting>
  <conditionalFormatting sqref="U27">
    <cfRule type="cellIs" dxfId="18838" priority="4993" operator="equal">
      <formula>"OFF"</formula>
    </cfRule>
    <cfRule type="cellIs" dxfId="18837" priority="4994" operator="equal">
      <formula>"PTO"</formula>
    </cfRule>
  </conditionalFormatting>
  <conditionalFormatting sqref="U26">
    <cfRule type="cellIs" dxfId="18836" priority="4991" operator="equal">
      <formula>"OFF"</formula>
    </cfRule>
    <cfRule type="cellIs" dxfId="18835" priority="4992" operator="equal">
      <formula>"PTO"</formula>
    </cfRule>
  </conditionalFormatting>
  <conditionalFormatting sqref="U26">
    <cfRule type="cellIs" dxfId="18834" priority="4989" operator="equal">
      <formula>"OFF"</formula>
    </cfRule>
    <cfRule type="cellIs" dxfId="18833" priority="4990" operator="equal">
      <formula>"PTO"</formula>
    </cfRule>
  </conditionalFormatting>
  <conditionalFormatting sqref="U26">
    <cfRule type="cellIs" dxfId="18832" priority="4987" operator="equal">
      <formula>"OFF"</formula>
    </cfRule>
    <cfRule type="cellIs" dxfId="18831" priority="4988" operator="equal">
      <formula>"PTO"</formula>
    </cfRule>
  </conditionalFormatting>
  <conditionalFormatting sqref="U26">
    <cfRule type="cellIs" dxfId="18830" priority="4985" operator="equal">
      <formula>"OFF"</formula>
    </cfRule>
    <cfRule type="cellIs" dxfId="18829" priority="4986" operator="equal">
      <formula>"PTO"</formula>
    </cfRule>
  </conditionalFormatting>
  <conditionalFormatting sqref="U26">
    <cfRule type="cellIs" dxfId="18828" priority="4983" operator="equal">
      <formula>"OFF"</formula>
    </cfRule>
    <cfRule type="cellIs" dxfId="18827" priority="4984" operator="equal">
      <formula>"PTO"</formula>
    </cfRule>
  </conditionalFormatting>
  <conditionalFormatting sqref="U26">
    <cfRule type="cellIs" dxfId="18826" priority="4981" operator="equal">
      <formula>"OFF"</formula>
    </cfRule>
    <cfRule type="cellIs" dxfId="18825" priority="4982" operator="equal">
      <formula>"PTO"</formula>
    </cfRule>
  </conditionalFormatting>
  <conditionalFormatting sqref="U26">
    <cfRule type="cellIs" dxfId="18824" priority="4979" operator="equal">
      <formula>"OFF"</formula>
    </cfRule>
    <cfRule type="cellIs" dxfId="18823" priority="4980" operator="equal">
      <formula>"PTO"</formula>
    </cfRule>
  </conditionalFormatting>
  <conditionalFormatting sqref="U26">
    <cfRule type="cellIs" dxfId="18822" priority="4977" operator="equal">
      <formula>"OFF"</formula>
    </cfRule>
    <cfRule type="cellIs" dxfId="18821" priority="4978" operator="equal">
      <formula>"PTO"</formula>
    </cfRule>
  </conditionalFormatting>
  <conditionalFormatting sqref="U27">
    <cfRule type="cellIs" dxfId="18820" priority="4975" operator="equal">
      <formula>"OFF"</formula>
    </cfRule>
    <cfRule type="cellIs" dxfId="18819" priority="4976" operator="equal">
      <formula>"PTO"</formula>
    </cfRule>
  </conditionalFormatting>
  <conditionalFormatting sqref="U27">
    <cfRule type="cellIs" dxfId="18818" priority="4973" operator="equal">
      <formula>"OFF"</formula>
    </cfRule>
    <cfRule type="cellIs" dxfId="18817" priority="4974" operator="equal">
      <formula>"PTO"</formula>
    </cfRule>
  </conditionalFormatting>
  <conditionalFormatting sqref="U27">
    <cfRule type="cellIs" dxfId="18816" priority="4971" operator="equal">
      <formula>"OFF"</formula>
    </cfRule>
    <cfRule type="cellIs" dxfId="18815" priority="4972" operator="equal">
      <formula>"PTO"</formula>
    </cfRule>
  </conditionalFormatting>
  <conditionalFormatting sqref="U27">
    <cfRule type="cellIs" dxfId="18814" priority="4969" operator="equal">
      <formula>"OFF"</formula>
    </cfRule>
    <cfRule type="cellIs" dxfId="18813" priority="4970" operator="equal">
      <formula>"PTO"</formula>
    </cfRule>
  </conditionalFormatting>
  <conditionalFormatting sqref="U27">
    <cfRule type="cellIs" dxfId="18812" priority="4967" operator="equal">
      <formula>"OFF"</formula>
    </cfRule>
    <cfRule type="cellIs" dxfId="18811" priority="4968" operator="equal">
      <formula>"PTO"</formula>
    </cfRule>
  </conditionalFormatting>
  <conditionalFormatting sqref="U27">
    <cfRule type="cellIs" dxfId="18810" priority="4965" operator="equal">
      <formula>"OFF"</formula>
    </cfRule>
    <cfRule type="cellIs" dxfId="18809" priority="4966" operator="equal">
      <formula>"PTO"</formula>
    </cfRule>
  </conditionalFormatting>
  <conditionalFormatting sqref="U27">
    <cfRule type="cellIs" dxfId="18808" priority="4963" operator="equal">
      <formula>"OFF"</formula>
    </cfRule>
    <cfRule type="cellIs" dxfId="18807" priority="4964" operator="equal">
      <formula>"PTO"</formula>
    </cfRule>
  </conditionalFormatting>
  <conditionalFormatting sqref="U27">
    <cfRule type="cellIs" dxfId="18806" priority="4961" operator="equal">
      <formula>"OFF"</formula>
    </cfRule>
    <cfRule type="cellIs" dxfId="18805" priority="4962" operator="equal">
      <formula>"PTO"</formula>
    </cfRule>
  </conditionalFormatting>
  <conditionalFormatting sqref="U29">
    <cfRule type="cellIs" dxfId="18804" priority="4959" operator="equal">
      <formula>"OFF"</formula>
    </cfRule>
    <cfRule type="cellIs" dxfId="18803" priority="4960" operator="equal">
      <formula>"PTO"</formula>
    </cfRule>
  </conditionalFormatting>
  <conditionalFormatting sqref="U29">
    <cfRule type="cellIs" dxfId="18802" priority="4957" operator="equal">
      <formula>"OFF"</formula>
    </cfRule>
    <cfRule type="cellIs" dxfId="18801" priority="4958" operator="equal">
      <formula>"PTO"</formula>
    </cfRule>
  </conditionalFormatting>
  <conditionalFormatting sqref="U29">
    <cfRule type="cellIs" dxfId="18800" priority="4955" operator="equal">
      <formula>"OFF"</formula>
    </cfRule>
    <cfRule type="cellIs" dxfId="18799" priority="4956" operator="equal">
      <formula>"PTO"</formula>
    </cfRule>
  </conditionalFormatting>
  <conditionalFormatting sqref="U29">
    <cfRule type="cellIs" dxfId="18798" priority="4953" operator="equal">
      <formula>"OFF"</formula>
    </cfRule>
    <cfRule type="cellIs" dxfId="18797" priority="4954" operator="equal">
      <formula>"PTO"</formula>
    </cfRule>
  </conditionalFormatting>
  <conditionalFormatting sqref="U29">
    <cfRule type="cellIs" dxfId="18796" priority="4951" operator="equal">
      <formula>"OFF"</formula>
    </cfRule>
    <cfRule type="cellIs" dxfId="18795" priority="4952" operator="equal">
      <formula>"PTO"</formula>
    </cfRule>
  </conditionalFormatting>
  <conditionalFormatting sqref="U29">
    <cfRule type="cellIs" dxfId="18794" priority="4949" operator="equal">
      <formula>"OFF"</formula>
    </cfRule>
    <cfRule type="cellIs" dxfId="18793" priority="4950" operator="equal">
      <formula>"PTO"</formula>
    </cfRule>
  </conditionalFormatting>
  <conditionalFormatting sqref="U29">
    <cfRule type="cellIs" dxfId="18792" priority="4947" operator="equal">
      <formula>"OFF"</formula>
    </cfRule>
    <cfRule type="cellIs" dxfId="18791" priority="4948" operator="equal">
      <formula>"PTO"</formula>
    </cfRule>
  </conditionalFormatting>
  <conditionalFormatting sqref="U29">
    <cfRule type="cellIs" dxfId="18790" priority="4945" operator="equal">
      <formula>"OFF"</formula>
    </cfRule>
    <cfRule type="cellIs" dxfId="18789" priority="4946" operator="equal">
      <formula>"PTO"</formula>
    </cfRule>
  </conditionalFormatting>
  <conditionalFormatting sqref="U29">
    <cfRule type="cellIs" dxfId="18788" priority="4943" operator="equal">
      <formula>"OFF"</formula>
    </cfRule>
    <cfRule type="cellIs" dxfId="18787" priority="4944" operator="equal">
      <formula>"PTO"</formula>
    </cfRule>
  </conditionalFormatting>
  <conditionalFormatting sqref="U29">
    <cfRule type="cellIs" dxfId="18786" priority="4941" operator="equal">
      <formula>"OFF"</formula>
    </cfRule>
    <cfRule type="cellIs" dxfId="18785" priority="4942" operator="equal">
      <formula>"PTO"</formula>
    </cfRule>
  </conditionalFormatting>
  <conditionalFormatting sqref="U29">
    <cfRule type="cellIs" dxfId="18784" priority="4939" operator="equal">
      <formula>"OFF"</formula>
    </cfRule>
    <cfRule type="cellIs" dxfId="18783" priority="4940" operator="equal">
      <formula>"PTO"</formula>
    </cfRule>
  </conditionalFormatting>
  <conditionalFormatting sqref="U29">
    <cfRule type="cellIs" dxfId="18782" priority="4937" operator="equal">
      <formula>"OFF"</formula>
    </cfRule>
    <cfRule type="cellIs" dxfId="18781" priority="4938" operator="equal">
      <formula>"PTO"</formula>
    </cfRule>
  </conditionalFormatting>
  <conditionalFormatting sqref="U29">
    <cfRule type="cellIs" dxfId="18780" priority="4935" operator="equal">
      <formula>"OFF"</formula>
    </cfRule>
    <cfRule type="cellIs" dxfId="18779" priority="4936" operator="equal">
      <formula>"PTO"</formula>
    </cfRule>
  </conditionalFormatting>
  <conditionalFormatting sqref="U29">
    <cfRule type="cellIs" dxfId="18778" priority="4933" operator="equal">
      <formula>"OFF"</formula>
    </cfRule>
    <cfRule type="cellIs" dxfId="18777" priority="4934" operator="equal">
      <formula>"PTO"</formula>
    </cfRule>
  </conditionalFormatting>
  <conditionalFormatting sqref="U29">
    <cfRule type="cellIs" dxfId="18776" priority="4931" operator="equal">
      <formula>"OFF"</formula>
    </cfRule>
    <cfRule type="cellIs" dxfId="18775" priority="4932" operator="equal">
      <formula>"PTO"</formula>
    </cfRule>
  </conditionalFormatting>
  <conditionalFormatting sqref="U29">
    <cfRule type="cellIs" dxfId="18774" priority="4929" operator="equal">
      <formula>"OFF"</formula>
    </cfRule>
    <cfRule type="cellIs" dxfId="18773" priority="4930" operator="equal">
      <formula>"PTO"</formula>
    </cfRule>
  </conditionalFormatting>
  <conditionalFormatting sqref="U29">
    <cfRule type="cellIs" dxfId="18772" priority="4927" operator="equal">
      <formula>"OFF"</formula>
    </cfRule>
    <cfRule type="cellIs" dxfId="18771" priority="4928" operator="equal">
      <formula>"PTO"</formula>
    </cfRule>
  </conditionalFormatting>
  <conditionalFormatting sqref="U29">
    <cfRule type="cellIs" dxfId="18770" priority="4925" operator="equal">
      <formula>"OFF"</formula>
    </cfRule>
    <cfRule type="cellIs" dxfId="18769" priority="4926" operator="equal">
      <formula>"PTO"</formula>
    </cfRule>
  </conditionalFormatting>
  <conditionalFormatting sqref="U29">
    <cfRule type="cellIs" dxfId="18768" priority="4923" operator="equal">
      <formula>"OFF"</formula>
    </cfRule>
    <cfRule type="cellIs" dxfId="18767" priority="4924" operator="equal">
      <formula>"PTO"</formula>
    </cfRule>
  </conditionalFormatting>
  <conditionalFormatting sqref="U29">
    <cfRule type="cellIs" dxfId="18766" priority="4921" operator="equal">
      <formula>"OFF"</formula>
    </cfRule>
    <cfRule type="cellIs" dxfId="18765" priority="4922" operator="equal">
      <formula>"PTO"</formula>
    </cfRule>
  </conditionalFormatting>
  <conditionalFormatting sqref="U29">
    <cfRule type="cellIs" dxfId="18764" priority="4919" operator="equal">
      <formula>"OFF"</formula>
    </cfRule>
    <cfRule type="cellIs" dxfId="18763" priority="4920" operator="equal">
      <formula>"PTO"</formula>
    </cfRule>
  </conditionalFormatting>
  <conditionalFormatting sqref="U29">
    <cfRule type="cellIs" dxfId="18762" priority="4917" operator="equal">
      <formula>"OFF"</formula>
    </cfRule>
    <cfRule type="cellIs" dxfId="18761" priority="4918" operator="equal">
      <formula>"PTO"</formula>
    </cfRule>
  </conditionalFormatting>
  <conditionalFormatting sqref="U29">
    <cfRule type="cellIs" dxfId="18760" priority="4915" operator="equal">
      <formula>"OFF"</formula>
    </cfRule>
    <cfRule type="cellIs" dxfId="18759" priority="4916" operator="equal">
      <formula>"PTO"</formula>
    </cfRule>
  </conditionalFormatting>
  <conditionalFormatting sqref="U29">
    <cfRule type="cellIs" dxfId="18758" priority="4913" operator="equal">
      <formula>"OFF"</formula>
    </cfRule>
    <cfRule type="cellIs" dxfId="18757" priority="4914" operator="equal">
      <formula>"PTO"</formula>
    </cfRule>
  </conditionalFormatting>
  <conditionalFormatting sqref="U29">
    <cfRule type="cellIs" dxfId="18756" priority="4911" operator="equal">
      <formula>"OFF"</formula>
    </cfRule>
    <cfRule type="cellIs" dxfId="18755" priority="4912" operator="equal">
      <formula>"PTO"</formula>
    </cfRule>
  </conditionalFormatting>
  <conditionalFormatting sqref="U29">
    <cfRule type="cellIs" dxfId="18754" priority="4909" operator="equal">
      <formula>"OFF"</formula>
    </cfRule>
    <cfRule type="cellIs" dxfId="18753" priority="4910" operator="equal">
      <formula>"PTO"</formula>
    </cfRule>
  </conditionalFormatting>
  <conditionalFormatting sqref="U29">
    <cfRule type="cellIs" dxfId="18752" priority="4907" operator="equal">
      <formula>"OFF"</formula>
    </cfRule>
    <cfRule type="cellIs" dxfId="18751" priority="4908" operator="equal">
      <formula>"PTO"</formula>
    </cfRule>
  </conditionalFormatting>
  <conditionalFormatting sqref="U29">
    <cfRule type="cellIs" dxfId="18750" priority="4905" operator="equal">
      <formula>"OFF"</formula>
    </cfRule>
    <cfRule type="cellIs" dxfId="18749" priority="4906" operator="equal">
      <formula>"PTO"</formula>
    </cfRule>
  </conditionalFormatting>
  <conditionalFormatting sqref="U29">
    <cfRule type="cellIs" dxfId="18748" priority="4903" operator="equal">
      <formula>"OFF"</formula>
    </cfRule>
    <cfRule type="cellIs" dxfId="18747" priority="4904" operator="equal">
      <formula>"PTO"</formula>
    </cfRule>
  </conditionalFormatting>
  <conditionalFormatting sqref="U29">
    <cfRule type="cellIs" dxfId="18746" priority="4901" operator="equal">
      <formula>"OFF"</formula>
    </cfRule>
    <cfRule type="cellIs" dxfId="18745" priority="4902" operator="equal">
      <formula>"PTO"</formula>
    </cfRule>
  </conditionalFormatting>
  <conditionalFormatting sqref="U29">
    <cfRule type="cellIs" dxfId="18744" priority="4899" operator="equal">
      <formula>"OFF"</formula>
    </cfRule>
    <cfRule type="cellIs" dxfId="18743" priority="4900" operator="equal">
      <formula>"PTO"</formula>
    </cfRule>
  </conditionalFormatting>
  <conditionalFormatting sqref="U29">
    <cfRule type="cellIs" dxfId="18742" priority="4897" operator="equal">
      <formula>"OFF"</formula>
    </cfRule>
    <cfRule type="cellIs" dxfId="18741" priority="4898" operator="equal">
      <formula>"PTO"</formula>
    </cfRule>
  </conditionalFormatting>
  <conditionalFormatting sqref="U29">
    <cfRule type="cellIs" dxfId="18740" priority="4895" operator="equal">
      <formula>"OFF"</formula>
    </cfRule>
    <cfRule type="cellIs" dxfId="18739" priority="4896" operator="equal">
      <formula>"PTO"</formula>
    </cfRule>
  </conditionalFormatting>
  <conditionalFormatting sqref="U29">
    <cfRule type="cellIs" dxfId="18738" priority="4893" operator="equal">
      <formula>"OFF"</formula>
    </cfRule>
    <cfRule type="cellIs" dxfId="18737" priority="4894" operator="equal">
      <formula>"PTO"</formula>
    </cfRule>
  </conditionalFormatting>
  <conditionalFormatting sqref="U29">
    <cfRule type="cellIs" dxfId="18736" priority="4891" operator="equal">
      <formula>"OFF"</formula>
    </cfRule>
    <cfRule type="cellIs" dxfId="18735" priority="4892" operator="equal">
      <formula>"PTO"</formula>
    </cfRule>
  </conditionalFormatting>
  <conditionalFormatting sqref="U29">
    <cfRule type="cellIs" dxfId="18734" priority="4889" operator="equal">
      <formula>"OFF"</formula>
    </cfRule>
    <cfRule type="cellIs" dxfId="18733" priority="4890" operator="equal">
      <formula>"PTO"</formula>
    </cfRule>
  </conditionalFormatting>
  <conditionalFormatting sqref="U29">
    <cfRule type="cellIs" dxfId="18732" priority="4887" operator="equal">
      <formula>"OFF"</formula>
    </cfRule>
    <cfRule type="cellIs" dxfId="18731" priority="4888" operator="equal">
      <formula>"PTO"</formula>
    </cfRule>
  </conditionalFormatting>
  <conditionalFormatting sqref="U29">
    <cfRule type="cellIs" dxfId="18730" priority="4885" operator="equal">
      <formula>"OFF"</formula>
    </cfRule>
    <cfRule type="cellIs" dxfId="18729" priority="4886" operator="equal">
      <formula>"PTO"</formula>
    </cfRule>
  </conditionalFormatting>
  <conditionalFormatting sqref="U29">
    <cfRule type="cellIs" dxfId="18728" priority="4883" operator="equal">
      <formula>"OFF"</formula>
    </cfRule>
    <cfRule type="cellIs" dxfId="18727" priority="4884" operator="equal">
      <formula>"PTO"</formula>
    </cfRule>
  </conditionalFormatting>
  <conditionalFormatting sqref="U29">
    <cfRule type="cellIs" dxfId="18726" priority="4881" operator="equal">
      <formula>"OFF"</formula>
    </cfRule>
    <cfRule type="cellIs" dxfId="18725" priority="4882" operator="equal">
      <formula>"PTO"</formula>
    </cfRule>
  </conditionalFormatting>
  <conditionalFormatting sqref="U29">
    <cfRule type="cellIs" dxfId="18724" priority="4879" operator="equal">
      <formula>"OFF"</formula>
    </cfRule>
    <cfRule type="cellIs" dxfId="18723" priority="4880" operator="equal">
      <formula>"PTO"</formula>
    </cfRule>
  </conditionalFormatting>
  <conditionalFormatting sqref="U29">
    <cfRule type="cellIs" dxfId="18722" priority="4877" operator="equal">
      <formula>"OFF"</formula>
    </cfRule>
    <cfRule type="cellIs" dxfId="18721" priority="4878" operator="equal">
      <formula>"PTO"</formula>
    </cfRule>
  </conditionalFormatting>
  <conditionalFormatting sqref="U29">
    <cfRule type="cellIs" dxfId="18720" priority="4875" operator="equal">
      <formula>"OFF"</formula>
    </cfRule>
    <cfRule type="cellIs" dxfId="18719" priority="4876" operator="equal">
      <formula>"PTO"</formula>
    </cfRule>
  </conditionalFormatting>
  <conditionalFormatting sqref="U29">
    <cfRule type="cellIs" dxfId="18718" priority="4873" operator="equal">
      <formula>"OFF"</formula>
    </cfRule>
    <cfRule type="cellIs" dxfId="18717" priority="4874" operator="equal">
      <formula>"PTO"</formula>
    </cfRule>
  </conditionalFormatting>
  <conditionalFormatting sqref="U29">
    <cfRule type="cellIs" dxfId="18716" priority="4871" operator="equal">
      <formula>"OFF"</formula>
    </cfRule>
    <cfRule type="cellIs" dxfId="18715" priority="4872" operator="equal">
      <formula>"PTO"</formula>
    </cfRule>
  </conditionalFormatting>
  <conditionalFormatting sqref="U29">
    <cfRule type="cellIs" dxfId="18714" priority="4869" operator="equal">
      <formula>"OFF"</formula>
    </cfRule>
    <cfRule type="cellIs" dxfId="18713" priority="4870" operator="equal">
      <formula>"PTO"</formula>
    </cfRule>
  </conditionalFormatting>
  <conditionalFormatting sqref="U29">
    <cfRule type="cellIs" dxfId="18712" priority="4867" operator="equal">
      <formula>"OFF"</formula>
    </cfRule>
    <cfRule type="cellIs" dxfId="18711" priority="4868" operator="equal">
      <formula>"PTO"</formula>
    </cfRule>
  </conditionalFormatting>
  <conditionalFormatting sqref="U29">
    <cfRule type="cellIs" dxfId="18710" priority="4865" operator="equal">
      <formula>"OFF"</formula>
    </cfRule>
    <cfRule type="cellIs" dxfId="18709" priority="4866" operator="equal">
      <formula>"PTO"</formula>
    </cfRule>
  </conditionalFormatting>
  <conditionalFormatting sqref="U29">
    <cfRule type="cellIs" dxfId="18708" priority="4863" operator="equal">
      <formula>"OFF"</formula>
    </cfRule>
    <cfRule type="cellIs" dxfId="18707" priority="4864" operator="equal">
      <formula>"PTO"</formula>
    </cfRule>
  </conditionalFormatting>
  <conditionalFormatting sqref="U29">
    <cfRule type="cellIs" dxfId="18706" priority="4861" operator="equal">
      <formula>"OFF"</formula>
    </cfRule>
    <cfRule type="cellIs" dxfId="18705" priority="4862" operator="equal">
      <formula>"PTO"</formula>
    </cfRule>
  </conditionalFormatting>
  <conditionalFormatting sqref="U29">
    <cfRule type="cellIs" dxfId="18704" priority="4859" operator="equal">
      <formula>"OFF"</formula>
    </cfRule>
    <cfRule type="cellIs" dxfId="18703" priority="4860" operator="equal">
      <formula>"PTO"</formula>
    </cfRule>
  </conditionalFormatting>
  <conditionalFormatting sqref="U29">
    <cfRule type="cellIs" dxfId="18702" priority="4857" operator="equal">
      <formula>"OFF"</formula>
    </cfRule>
    <cfRule type="cellIs" dxfId="18701" priority="4858" operator="equal">
      <formula>"PTO"</formula>
    </cfRule>
  </conditionalFormatting>
  <conditionalFormatting sqref="U29">
    <cfRule type="cellIs" dxfId="18700" priority="4855" operator="equal">
      <formula>"OFF"</formula>
    </cfRule>
    <cfRule type="cellIs" dxfId="18699" priority="4856" operator="equal">
      <formula>"PTO"</formula>
    </cfRule>
  </conditionalFormatting>
  <conditionalFormatting sqref="U29">
    <cfRule type="cellIs" dxfId="18698" priority="4853" operator="equal">
      <formula>"OFF"</formula>
    </cfRule>
    <cfRule type="cellIs" dxfId="18697" priority="4854" operator="equal">
      <formula>"PTO"</formula>
    </cfRule>
  </conditionalFormatting>
  <conditionalFormatting sqref="U29">
    <cfRule type="cellIs" dxfId="18696" priority="4851" operator="equal">
      <formula>"OFF"</formula>
    </cfRule>
    <cfRule type="cellIs" dxfId="18695" priority="4852" operator="equal">
      <formula>"PTO"</formula>
    </cfRule>
  </conditionalFormatting>
  <conditionalFormatting sqref="U29">
    <cfRule type="cellIs" dxfId="18694" priority="4849" operator="equal">
      <formula>"OFF"</formula>
    </cfRule>
    <cfRule type="cellIs" dxfId="18693" priority="4850" operator="equal">
      <formula>"PTO"</formula>
    </cfRule>
  </conditionalFormatting>
  <conditionalFormatting sqref="U26:U27 U29:U39">
    <cfRule type="cellIs" dxfId="18692" priority="4847" operator="equal">
      <formula>"OFF"</formula>
    </cfRule>
    <cfRule type="cellIs" dxfId="18691" priority="4848" operator="equal">
      <formula>"PTO"</formula>
    </cfRule>
  </conditionalFormatting>
  <conditionalFormatting sqref="U26">
    <cfRule type="cellIs" dxfId="18690" priority="4845" operator="equal">
      <formula>"OFF"</formula>
    </cfRule>
    <cfRule type="cellIs" dxfId="18689" priority="4846" operator="equal">
      <formula>"PTO"</formula>
    </cfRule>
  </conditionalFormatting>
  <conditionalFormatting sqref="U26">
    <cfRule type="cellIs" dxfId="18688" priority="4843" operator="equal">
      <formula>"OFF"</formula>
    </cfRule>
    <cfRule type="cellIs" dxfId="18687" priority="4844" operator="equal">
      <formula>"PTO"</formula>
    </cfRule>
  </conditionalFormatting>
  <conditionalFormatting sqref="U26">
    <cfRule type="cellIs" dxfId="18686" priority="4841" operator="equal">
      <formula>"OFF"</formula>
    </cfRule>
    <cfRule type="cellIs" dxfId="18685" priority="4842" operator="equal">
      <formula>"PTO"</formula>
    </cfRule>
  </conditionalFormatting>
  <conditionalFormatting sqref="U26">
    <cfRule type="cellIs" dxfId="18684" priority="4839" operator="equal">
      <formula>"OFF"</formula>
    </cfRule>
    <cfRule type="cellIs" dxfId="18683" priority="4840" operator="equal">
      <formula>"PTO"</formula>
    </cfRule>
  </conditionalFormatting>
  <conditionalFormatting sqref="U26">
    <cfRule type="cellIs" dxfId="18682" priority="4837" operator="equal">
      <formula>"OFF"</formula>
    </cfRule>
    <cfRule type="cellIs" dxfId="18681" priority="4838" operator="equal">
      <formula>"PTO"</formula>
    </cfRule>
  </conditionalFormatting>
  <conditionalFormatting sqref="U26">
    <cfRule type="cellIs" dxfId="18680" priority="4835" operator="equal">
      <formula>"OFF"</formula>
    </cfRule>
    <cfRule type="cellIs" dxfId="18679" priority="4836" operator="equal">
      <formula>"PTO"</formula>
    </cfRule>
  </conditionalFormatting>
  <conditionalFormatting sqref="U26">
    <cfRule type="cellIs" dxfId="18678" priority="4833" operator="equal">
      <formula>"OFF"</formula>
    </cfRule>
    <cfRule type="cellIs" dxfId="18677" priority="4834" operator="equal">
      <formula>"PTO"</formula>
    </cfRule>
  </conditionalFormatting>
  <conditionalFormatting sqref="U26">
    <cfRule type="cellIs" dxfId="18676" priority="4831" operator="equal">
      <formula>"OFF"</formula>
    </cfRule>
    <cfRule type="cellIs" dxfId="18675" priority="4832" operator="equal">
      <formula>"PTO"</formula>
    </cfRule>
  </conditionalFormatting>
  <conditionalFormatting sqref="U27">
    <cfRule type="cellIs" dxfId="18674" priority="4829" operator="equal">
      <formula>"OFF"</formula>
    </cfRule>
    <cfRule type="cellIs" dxfId="18673" priority="4830" operator="equal">
      <formula>"PTO"</formula>
    </cfRule>
  </conditionalFormatting>
  <conditionalFormatting sqref="U27">
    <cfRule type="cellIs" dxfId="18672" priority="4827" operator="equal">
      <formula>"OFF"</formula>
    </cfRule>
    <cfRule type="cellIs" dxfId="18671" priority="4828" operator="equal">
      <formula>"PTO"</formula>
    </cfRule>
  </conditionalFormatting>
  <conditionalFormatting sqref="U27">
    <cfRule type="cellIs" dxfId="18670" priority="4825" operator="equal">
      <formula>"OFF"</formula>
    </cfRule>
    <cfRule type="cellIs" dxfId="18669" priority="4826" operator="equal">
      <formula>"PTO"</formula>
    </cfRule>
  </conditionalFormatting>
  <conditionalFormatting sqref="U27">
    <cfRule type="cellIs" dxfId="18668" priority="4823" operator="equal">
      <formula>"OFF"</formula>
    </cfRule>
    <cfRule type="cellIs" dxfId="18667" priority="4824" operator="equal">
      <formula>"PTO"</formula>
    </cfRule>
  </conditionalFormatting>
  <conditionalFormatting sqref="U27">
    <cfRule type="cellIs" dxfId="18666" priority="4821" operator="equal">
      <formula>"OFF"</formula>
    </cfRule>
    <cfRule type="cellIs" dxfId="18665" priority="4822" operator="equal">
      <formula>"PTO"</formula>
    </cfRule>
  </conditionalFormatting>
  <conditionalFormatting sqref="U27">
    <cfRule type="cellIs" dxfId="18664" priority="4819" operator="equal">
      <formula>"OFF"</formula>
    </cfRule>
    <cfRule type="cellIs" dxfId="18663" priority="4820" operator="equal">
      <formula>"PTO"</formula>
    </cfRule>
  </conditionalFormatting>
  <conditionalFormatting sqref="U27">
    <cfRule type="cellIs" dxfId="18662" priority="4817" operator="equal">
      <formula>"OFF"</formula>
    </cfRule>
    <cfRule type="cellIs" dxfId="18661" priority="4818" operator="equal">
      <formula>"PTO"</formula>
    </cfRule>
  </conditionalFormatting>
  <conditionalFormatting sqref="U27">
    <cfRule type="cellIs" dxfId="18660" priority="4815" operator="equal">
      <formula>"OFF"</formula>
    </cfRule>
    <cfRule type="cellIs" dxfId="18659" priority="4816" operator="equal">
      <formula>"PTO"</formula>
    </cfRule>
  </conditionalFormatting>
  <conditionalFormatting sqref="U26">
    <cfRule type="cellIs" dxfId="18658" priority="4813" operator="equal">
      <formula>"OFF"</formula>
    </cfRule>
    <cfRule type="cellIs" dxfId="18657" priority="4814" operator="equal">
      <formula>"PTO"</formula>
    </cfRule>
  </conditionalFormatting>
  <conditionalFormatting sqref="U26">
    <cfRule type="cellIs" dxfId="18656" priority="4811" operator="equal">
      <formula>"OFF"</formula>
    </cfRule>
    <cfRule type="cellIs" dxfId="18655" priority="4812" operator="equal">
      <formula>"PTO"</formula>
    </cfRule>
  </conditionalFormatting>
  <conditionalFormatting sqref="U26">
    <cfRule type="cellIs" dxfId="18654" priority="4809" operator="equal">
      <formula>"OFF"</formula>
    </cfRule>
    <cfRule type="cellIs" dxfId="18653" priority="4810" operator="equal">
      <formula>"PTO"</formula>
    </cfRule>
  </conditionalFormatting>
  <conditionalFormatting sqref="U26">
    <cfRule type="cellIs" dxfId="18652" priority="4807" operator="equal">
      <formula>"OFF"</formula>
    </cfRule>
    <cfRule type="cellIs" dxfId="18651" priority="4808" operator="equal">
      <formula>"PTO"</formula>
    </cfRule>
  </conditionalFormatting>
  <conditionalFormatting sqref="U26">
    <cfRule type="cellIs" dxfId="18650" priority="4805" operator="equal">
      <formula>"OFF"</formula>
    </cfRule>
    <cfRule type="cellIs" dxfId="18649" priority="4806" operator="equal">
      <formula>"PTO"</formula>
    </cfRule>
  </conditionalFormatting>
  <conditionalFormatting sqref="U26">
    <cfRule type="cellIs" dxfId="18648" priority="4803" operator="equal">
      <formula>"OFF"</formula>
    </cfRule>
    <cfRule type="cellIs" dxfId="18647" priority="4804" operator="equal">
      <formula>"PTO"</formula>
    </cfRule>
  </conditionalFormatting>
  <conditionalFormatting sqref="U26">
    <cfRule type="cellIs" dxfId="18646" priority="4801" operator="equal">
      <formula>"OFF"</formula>
    </cfRule>
    <cfRule type="cellIs" dxfId="18645" priority="4802" operator="equal">
      <formula>"PTO"</formula>
    </cfRule>
  </conditionalFormatting>
  <conditionalFormatting sqref="U26">
    <cfRule type="cellIs" dxfId="18644" priority="4799" operator="equal">
      <formula>"OFF"</formula>
    </cfRule>
    <cfRule type="cellIs" dxfId="18643" priority="4800" operator="equal">
      <formula>"PTO"</formula>
    </cfRule>
  </conditionalFormatting>
  <conditionalFormatting sqref="U27">
    <cfRule type="cellIs" dxfId="18642" priority="4797" operator="equal">
      <formula>"OFF"</formula>
    </cfRule>
    <cfRule type="cellIs" dxfId="18641" priority="4798" operator="equal">
      <formula>"PTO"</formula>
    </cfRule>
  </conditionalFormatting>
  <conditionalFormatting sqref="U27">
    <cfRule type="cellIs" dxfId="18640" priority="4795" operator="equal">
      <formula>"OFF"</formula>
    </cfRule>
    <cfRule type="cellIs" dxfId="18639" priority="4796" operator="equal">
      <formula>"PTO"</formula>
    </cfRule>
  </conditionalFormatting>
  <conditionalFormatting sqref="U27">
    <cfRule type="cellIs" dxfId="18638" priority="4793" operator="equal">
      <formula>"OFF"</formula>
    </cfRule>
    <cfRule type="cellIs" dxfId="18637" priority="4794" operator="equal">
      <formula>"PTO"</formula>
    </cfRule>
  </conditionalFormatting>
  <conditionalFormatting sqref="U27">
    <cfRule type="cellIs" dxfId="18636" priority="4791" operator="equal">
      <formula>"OFF"</formula>
    </cfRule>
    <cfRule type="cellIs" dxfId="18635" priority="4792" operator="equal">
      <formula>"PTO"</formula>
    </cfRule>
  </conditionalFormatting>
  <conditionalFormatting sqref="U27">
    <cfRule type="cellIs" dxfId="18634" priority="4789" operator="equal">
      <formula>"OFF"</formula>
    </cfRule>
    <cfRule type="cellIs" dxfId="18633" priority="4790" operator="equal">
      <formula>"PTO"</formula>
    </cfRule>
  </conditionalFormatting>
  <conditionalFormatting sqref="U27">
    <cfRule type="cellIs" dxfId="18632" priority="4787" operator="equal">
      <formula>"OFF"</formula>
    </cfRule>
    <cfRule type="cellIs" dxfId="18631" priority="4788" operator="equal">
      <formula>"PTO"</formula>
    </cfRule>
  </conditionalFormatting>
  <conditionalFormatting sqref="U27">
    <cfRule type="cellIs" dxfId="18630" priority="4785" operator="equal">
      <formula>"OFF"</formula>
    </cfRule>
    <cfRule type="cellIs" dxfId="18629" priority="4786" operator="equal">
      <formula>"PTO"</formula>
    </cfRule>
  </conditionalFormatting>
  <conditionalFormatting sqref="U27">
    <cfRule type="cellIs" dxfId="18628" priority="4783" operator="equal">
      <formula>"OFF"</formula>
    </cfRule>
    <cfRule type="cellIs" dxfId="18627" priority="4784" operator="equal">
      <formula>"PTO"</formula>
    </cfRule>
  </conditionalFormatting>
  <conditionalFormatting sqref="U26">
    <cfRule type="cellIs" dxfId="18626" priority="4781" operator="equal">
      <formula>"OFF"</formula>
    </cfRule>
    <cfRule type="cellIs" dxfId="18625" priority="4782" operator="equal">
      <formula>"PTO"</formula>
    </cfRule>
  </conditionalFormatting>
  <conditionalFormatting sqref="U26">
    <cfRule type="cellIs" dxfId="18624" priority="4779" operator="equal">
      <formula>"OFF"</formula>
    </cfRule>
    <cfRule type="cellIs" dxfId="18623" priority="4780" operator="equal">
      <formula>"PTO"</formula>
    </cfRule>
  </conditionalFormatting>
  <conditionalFormatting sqref="U26">
    <cfRule type="cellIs" dxfId="18622" priority="4777" operator="equal">
      <formula>"OFF"</formula>
    </cfRule>
    <cfRule type="cellIs" dxfId="18621" priority="4778" operator="equal">
      <formula>"PTO"</formula>
    </cfRule>
  </conditionalFormatting>
  <conditionalFormatting sqref="U26">
    <cfRule type="cellIs" dxfId="18620" priority="4775" operator="equal">
      <formula>"OFF"</formula>
    </cfRule>
    <cfRule type="cellIs" dxfId="18619" priority="4776" operator="equal">
      <formula>"PTO"</formula>
    </cfRule>
  </conditionalFormatting>
  <conditionalFormatting sqref="U26">
    <cfRule type="cellIs" dxfId="18618" priority="4773" operator="equal">
      <formula>"OFF"</formula>
    </cfRule>
    <cfRule type="cellIs" dxfId="18617" priority="4774" operator="equal">
      <formula>"PTO"</formula>
    </cfRule>
  </conditionalFormatting>
  <conditionalFormatting sqref="U26">
    <cfRule type="cellIs" dxfId="18616" priority="4771" operator="equal">
      <formula>"OFF"</formula>
    </cfRule>
    <cfRule type="cellIs" dxfId="18615" priority="4772" operator="equal">
      <formula>"PTO"</formula>
    </cfRule>
  </conditionalFormatting>
  <conditionalFormatting sqref="U26">
    <cfRule type="cellIs" dxfId="18614" priority="4769" operator="equal">
      <formula>"OFF"</formula>
    </cfRule>
    <cfRule type="cellIs" dxfId="18613" priority="4770" operator="equal">
      <formula>"PTO"</formula>
    </cfRule>
  </conditionalFormatting>
  <conditionalFormatting sqref="U26">
    <cfRule type="cellIs" dxfId="18612" priority="4767" operator="equal">
      <formula>"OFF"</formula>
    </cfRule>
    <cfRule type="cellIs" dxfId="18611" priority="4768" operator="equal">
      <formula>"PTO"</formula>
    </cfRule>
  </conditionalFormatting>
  <conditionalFormatting sqref="U27">
    <cfRule type="cellIs" dxfId="18610" priority="4765" operator="equal">
      <formula>"OFF"</formula>
    </cfRule>
    <cfRule type="cellIs" dxfId="18609" priority="4766" operator="equal">
      <formula>"PTO"</formula>
    </cfRule>
  </conditionalFormatting>
  <conditionalFormatting sqref="U27">
    <cfRule type="cellIs" dxfId="18608" priority="4763" operator="equal">
      <formula>"OFF"</formula>
    </cfRule>
    <cfRule type="cellIs" dxfId="18607" priority="4764" operator="equal">
      <formula>"PTO"</formula>
    </cfRule>
  </conditionalFormatting>
  <conditionalFormatting sqref="U27">
    <cfRule type="cellIs" dxfId="18606" priority="4761" operator="equal">
      <formula>"OFF"</formula>
    </cfRule>
    <cfRule type="cellIs" dxfId="18605" priority="4762" operator="equal">
      <formula>"PTO"</formula>
    </cfRule>
  </conditionalFormatting>
  <conditionalFormatting sqref="U27">
    <cfRule type="cellIs" dxfId="18604" priority="4759" operator="equal">
      <formula>"OFF"</formula>
    </cfRule>
    <cfRule type="cellIs" dxfId="18603" priority="4760" operator="equal">
      <formula>"PTO"</formula>
    </cfRule>
  </conditionalFormatting>
  <conditionalFormatting sqref="U27">
    <cfRule type="cellIs" dxfId="18602" priority="4757" operator="equal">
      <formula>"OFF"</formula>
    </cfRule>
    <cfRule type="cellIs" dxfId="18601" priority="4758" operator="equal">
      <formula>"PTO"</formula>
    </cfRule>
  </conditionalFormatting>
  <conditionalFormatting sqref="U27">
    <cfRule type="cellIs" dxfId="18600" priority="4755" operator="equal">
      <formula>"OFF"</formula>
    </cfRule>
    <cfRule type="cellIs" dxfId="18599" priority="4756" operator="equal">
      <formula>"PTO"</formula>
    </cfRule>
  </conditionalFormatting>
  <conditionalFormatting sqref="U27">
    <cfRule type="cellIs" dxfId="18598" priority="4753" operator="equal">
      <formula>"OFF"</formula>
    </cfRule>
    <cfRule type="cellIs" dxfId="18597" priority="4754" operator="equal">
      <formula>"PTO"</formula>
    </cfRule>
  </conditionalFormatting>
  <conditionalFormatting sqref="U27">
    <cfRule type="cellIs" dxfId="18596" priority="4751" operator="equal">
      <formula>"OFF"</formula>
    </cfRule>
    <cfRule type="cellIs" dxfId="18595" priority="4752" operator="equal">
      <formula>"PTO"</formula>
    </cfRule>
  </conditionalFormatting>
  <conditionalFormatting sqref="U26">
    <cfRule type="cellIs" dxfId="18594" priority="4749" operator="equal">
      <formula>"OFF"</formula>
    </cfRule>
    <cfRule type="cellIs" dxfId="18593" priority="4750" operator="equal">
      <formula>"PTO"</formula>
    </cfRule>
  </conditionalFormatting>
  <conditionalFormatting sqref="U26">
    <cfRule type="cellIs" dxfId="18592" priority="4747" operator="equal">
      <formula>"OFF"</formula>
    </cfRule>
    <cfRule type="cellIs" dxfId="18591" priority="4748" operator="equal">
      <formula>"PTO"</formula>
    </cfRule>
  </conditionalFormatting>
  <conditionalFormatting sqref="U26">
    <cfRule type="cellIs" dxfId="18590" priority="4745" operator="equal">
      <formula>"OFF"</formula>
    </cfRule>
    <cfRule type="cellIs" dxfId="18589" priority="4746" operator="equal">
      <formula>"PTO"</formula>
    </cfRule>
  </conditionalFormatting>
  <conditionalFormatting sqref="U26">
    <cfRule type="cellIs" dxfId="18588" priority="4743" operator="equal">
      <formula>"OFF"</formula>
    </cfRule>
    <cfRule type="cellIs" dxfId="18587" priority="4744" operator="equal">
      <formula>"PTO"</formula>
    </cfRule>
  </conditionalFormatting>
  <conditionalFormatting sqref="U26">
    <cfRule type="cellIs" dxfId="18586" priority="4741" operator="equal">
      <formula>"OFF"</formula>
    </cfRule>
    <cfRule type="cellIs" dxfId="18585" priority="4742" operator="equal">
      <formula>"PTO"</formula>
    </cfRule>
  </conditionalFormatting>
  <conditionalFormatting sqref="U26">
    <cfRule type="cellIs" dxfId="18584" priority="4739" operator="equal">
      <formula>"OFF"</formula>
    </cfRule>
    <cfRule type="cellIs" dxfId="18583" priority="4740" operator="equal">
      <formula>"PTO"</formula>
    </cfRule>
  </conditionalFormatting>
  <conditionalFormatting sqref="U26">
    <cfRule type="cellIs" dxfId="18582" priority="4737" operator="equal">
      <formula>"OFF"</formula>
    </cfRule>
    <cfRule type="cellIs" dxfId="18581" priority="4738" operator="equal">
      <formula>"PTO"</formula>
    </cfRule>
  </conditionalFormatting>
  <conditionalFormatting sqref="U26">
    <cfRule type="cellIs" dxfId="18580" priority="4735" operator="equal">
      <formula>"OFF"</formula>
    </cfRule>
    <cfRule type="cellIs" dxfId="18579" priority="4736" operator="equal">
      <formula>"PTO"</formula>
    </cfRule>
  </conditionalFormatting>
  <conditionalFormatting sqref="U27">
    <cfRule type="cellIs" dxfId="18578" priority="4733" operator="equal">
      <formula>"OFF"</formula>
    </cfRule>
    <cfRule type="cellIs" dxfId="18577" priority="4734" operator="equal">
      <formula>"PTO"</formula>
    </cfRule>
  </conditionalFormatting>
  <conditionalFormatting sqref="U27">
    <cfRule type="cellIs" dxfId="18576" priority="4731" operator="equal">
      <formula>"OFF"</formula>
    </cfRule>
    <cfRule type="cellIs" dxfId="18575" priority="4732" operator="equal">
      <formula>"PTO"</formula>
    </cfRule>
  </conditionalFormatting>
  <conditionalFormatting sqref="U27">
    <cfRule type="cellIs" dxfId="18574" priority="4729" operator="equal">
      <formula>"OFF"</formula>
    </cfRule>
    <cfRule type="cellIs" dxfId="18573" priority="4730" operator="equal">
      <formula>"PTO"</formula>
    </cfRule>
  </conditionalFormatting>
  <conditionalFormatting sqref="U27">
    <cfRule type="cellIs" dxfId="18572" priority="4727" operator="equal">
      <formula>"OFF"</formula>
    </cfRule>
    <cfRule type="cellIs" dxfId="18571" priority="4728" operator="equal">
      <formula>"PTO"</formula>
    </cfRule>
  </conditionalFormatting>
  <conditionalFormatting sqref="U27">
    <cfRule type="cellIs" dxfId="18570" priority="4725" operator="equal">
      <formula>"OFF"</formula>
    </cfRule>
    <cfRule type="cellIs" dxfId="18569" priority="4726" operator="equal">
      <formula>"PTO"</formula>
    </cfRule>
  </conditionalFormatting>
  <conditionalFormatting sqref="U27">
    <cfRule type="cellIs" dxfId="18568" priority="4723" operator="equal">
      <formula>"OFF"</formula>
    </cfRule>
    <cfRule type="cellIs" dxfId="18567" priority="4724" operator="equal">
      <formula>"PTO"</formula>
    </cfRule>
  </conditionalFormatting>
  <conditionalFormatting sqref="U27">
    <cfRule type="cellIs" dxfId="18566" priority="4721" operator="equal">
      <formula>"OFF"</formula>
    </cfRule>
    <cfRule type="cellIs" dxfId="18565" priority="4722" operator="equal">
      <formula>"PTO"</formula>
    </cfRule>
  </conditionalFormatting>
  <conditionalFormatting sqref="U27">
    <cfRule type="cellIs" dxfId="18564" priority="4719" operator="equal">
      <formula>"OFF"</formula>
    </cfRule>
    <cfRule type="cellIs" dxfId="18563" priority="4720" operator="equal">
      <formula>"PTO"</formula>
    </cfRule>
  </conditionalFormatting>
  <conditionalFormatting sqref="U26">
    <cfRule type="cellIs" dxfId="18562" priority="4717" operator="equal">
      <formula>"OFF"</formula>
    </cfRule>
    <cfRule type="cellIs" dxfId="18561" priority="4718" operator="equal">
      <formula>"PTO"</formula>
    </cfRule>
  </conditionalFormatting>
  <conditionalFormatting sqref="U26">
    <cfRule type="cellIs" dxfId="18560" priority="4715" operator="equal">
      <formula>"OFF"</formula>
    </cfRule>
    <cfRule type="cellIs" dxfId="18559" priority="4716" operator="equal">
      <formula>"PTO"</formula>
    </cfRule>
  </conditionalFormatting>
  <conditionalFormatting sqref="U26">
    <cfRule type="cellIs" dxfId="18558" priority="4713" operator="equal">
      <formula>"OFF"</formula>
    </cfRule>
    <cfRule type="cellIs" dxfId="18557" priority="4714" operator="equal">
      <formula>"PTO"</formula>
    </cfRule>
  </conditionalFormatting>
  <conditionalFormatting sqref="U26">
    <cfRule type="cellIs" dxfId="18556" priority="4711" operator="equal">
      <formula>"OFF"</formula>
    </cfRule>
    <cfRule type="cellIs" dxfId="18555" priority="4712" operator="equal">
      <formula>"PTO"</formula>
    </cfRule>
  </conditionalFormatting>
  <conditionalFormatting sqref="U26">
    <cfRule type="cellIs" dxfId="18554" priority="4709" operator="equal">
      <formula>"OFF"</formula>
    </cfRule>
    <cfRule type="cellIs" dxfId="18553" priority="4710" operator="equal">
      <formula>"PTO"</formula>
    </cfRule>
  </conditionalFormatting>
  <conditionalFormatting sqref="U26">
    <cfRule type="cellIs" dxfId="18552" priority="4707" operator="equal">
      <formula>"OFF"</formula>
    </cfRule>
    <cfRule type="cellIs" dxfId="18551" priority="4708" operator="equal">
      <formula>"PTO"</formula>
    </cfRule>
  </conditionalFormatting>
  <conditionalFormatting sqref="U26">
    <cfRule type="cellIs" dxfId="18550" priority="4705" operator="equal">
      <formula>"OFF"</formula>
    </cfRule>
    <cfRule type="cellIs" dxfId="18549" priority="4706" operator="equal">
      <formula>"PTO"</formula>
    </cfRule>
  </conditionalFormatting>
  <conditionalFormatting sqref="U26">
    <cfRule type="cellIs" dxfId="18548" priority="4703" operator="equal">
      <formula>"OFF"</formula>
    </cfRule>
    <cfRule type="cellIs" dxfId="18547" priority="4704" operator="equal">
      <formula>"PTO"</formula>
    </cfRule>
  </conditionalFormatting>
  <conditionalFormatting sqref="U27">
    <cfRule type="cellIs" dxfId="18546" priority="4701" operator="equal">
      <formula>"OFF"</formula>
    </cfRule>
    <cfRule type="cellIs" dxfId="18545" priority="4702" operator="equal">
      <formula>"PTO"</formula>
    </cfRule>
  </conditionalFormatting>
  <conditionalFormatting sqref="U27">
    <cfRule type="cellIs" dxfId="18544" priority="4699" operator="equal">
      <formula>"OFF"</formula>
    </cfRule>
    <cfRule type="cellIs" dxfId="18543" priority="4700" operator="equal">
      <formula>"PTO"</formula>
    </cfRule>
  </conditionalFormatting>
  <conditionalFormatting sqref="U27">
    <cfRule type="cellIs" dxfId="18542" priority="4697" operator="equal">
      <formula>"OFF"</formula>
    </cfRule>
    <cfRule type="cellIs" dxfId="18541" priority="4698" operator="equal">
      <formula>"PTO"</formula>
    </cfRule>
  </conditionalFormatting>
  <conditionalFormatting sqref="U27">
    <cfRule type="cellIs" dxfId="18540" priority="4695" operator="equal">
      <formula>"OFF"</formula>
    </cfRule>
    <cfRule type="cellIs" dxfId="18539" priority="4696" operator="equal">
      <formula>"PTO"</formula>
    </cfRule>
  </conditionalFormatting>
  <conditionalFormatting sqref="U27">
    <cfRule type="cellIs" dxfId="18538" priority="4693" operator="equal">
      <formula>"OFF"</formula>
    </cfRule>
    <cfRule type="cellIs" dxfId="18537" priority="4694" operator="equal">
      <formula>"PTO"</formula>
    </cfRule>
  </conditionalFormatting>
  <conditionalFormatting sqref="U27">
    <cfRule type="cellIs" dxfId="18536" priority="4691" operator="equal">
      <formula>"OFF"</formula>
    </cfRule>
    <cfRule type="cellIs" dxfId="18535" priority="4692" operator="equal">
      <formula>"PTO"</formula>
    </cfRule>
  </conditionalFormatting>
  <conditionalFormatting sqref="U27">
    <cfRule type="cellIs" dxfId="18534" priority="4689" operator="equal">
      <formula>"OFF"</formula>
    </cfRule>
    <cfRule type="cellIs" dxfId="18533" priority="4690" operator="equal">
      <formula>"PTO"</formula>
    </cfRule>
  </conditionalFormatting>
  <conditionalFormatting sqref="U27">
    <cfRule type="cellIs" dxfId="18532" priority="4687" operator="equal">
      <formula>"OFF"</formula>
    </cfRule>
    <cfRule type="cellIs" dxfId="18531" priority="4688" operator="equal">
      <formula>"PTO"</formula>
    </cfRule>
  </conditionalFormatting>
  <conditionalFormatting sqref="U26">
    <cfRule type="cellIs" dxfId="18530" priority="4685" operator="equal">
      <formula>"OFF"</formula>
    </cfRule>
    <cfRule type="cellIs" dxfId="18529" priority="4686" operator="equal">
      <formula>"PTO"</formula>
    </cfRule>
  </conditionalFormatting>
  <conditionalFormatting sqref="U26">
    <cfRule type="cellIs" dxfId="18528" priority="4683" operator="equal">
      <formula>"OFF"</formula>
    </cfRule>
    <cfRule type="cellIs" dxfId="18527" priority="4684" operator="equal">
      <formula>"PTO"</formula>
    </cfRule>
  </conditionalFormatting>
  <conditionalFormatting sqref="U26">
    <cfRule type="cellIs" dxfId="18526" priority="4681" operator="equal">
      <formula>"OFF"</formula>
    </cfRule>
    <cfRule type="cellIs" dxfId="18525" priority="4682" operator="equal">
      <formula>"PTO"</formula>
    </cfRule>
  </conditionalFormatting>
  <conditionalFormatting sqref="U26">
    <cfRule type="cellIs" dxfId="18524" priority="4679" operator="equal">
      <formula>"OFF"</formula>
    </cfRule>
    <cfRule type="cellIs" dxfId="18523" priority="4680" operator="equal">
      <formula>"PTO"</formula>
    </cfRule>
  </conditionalFormatting>
  <conditionalFormatting sqref="U26">
    <cfRule type="cellIs" dxfId="18522" priority="4677" operator="equal">
      <formula>"OFF"</formula>
    </cfRule>
    <cfRule type="cellIs" dxfId="18521" priority="4678" operator="equal">
      <formula>"PTO"</formula>
    </cfRule>
  </conditionalFormatting>
  <conditionalFormatting sqref="U26">
    <cfRule type="cellIs" dxfId="18520" priority="4675" operator="equal">
      <formula>"OFF"</formula>
    </cfRule>
    <cfRule type="cellIs" dxfId="18519" priority="4676" operator="equal">
      <formula>"PTO"</formula>
    </cfRule>
  </conditionalFormatting>
  <conditionalFormatting sqref="U26">
    <cfRule type="cellIs" dxfId="18518" priority="4673" operator="equal">
      <formula>"OFF"</formula>
    </cfRule>
    <cfRule type="cellIs" dxfId="18517" priority="4674" operator="equal">
      <formula>"PTO"</formula>
    </cfRule>
  </conditionalFormatting>
  <conditionalFormatting sqref="U26">
    <cfRule type="cellIs" dxfId="18516" priority="4671" operator="equal">
      <formula>"OFF"</formula>
    </cfRule>
    <cfRule type="cellIs" dxfId="18515" priority="4672" operator="equal">
      <formula>"PTO"</formula>
    </cfRule>
  </conditionalFormatting>
  <conditionalFormatting sqref="U27">
    <cfRule type="cellIs" dxfId="18514" priority="4669" operator="equal">
      <formula>"OFF"</formula>
    </cfRule>
    <cfRule type="cellIs" dxfId="18513" priority="4670" operator="equal">
      <formula>"PTO"</formula>
    </cfRule>
  </conditionalFormatting>
  <conditionalFormatting sqref="U27">
    <cfRule type="cellIs" dxfId="18512" priority="4667" operator="equal">
      <formula>"OFF"</formula>
    </cfRule>
    <cfRule type="cellIs" dxfId="18511" priority="4668" operator="equal">
      <formula>"PTO"</formula>
    </cfRule>
  </conditionalFormatting>
  <conditionalFormatting sqref="U27">
    <cfRule type="cellIs" dxfId="18510" priority="4665" operator="equal">
      <formula>"OFF"</formula>
    </cfRule>
    <cfRule type="cellIs" dxfId="18509" priority="4666" operator="equal">
      <formula>"PTO"</formula>
    </cfRule>
  </conditionalFormatting>
  <conditionalFormatting sqref="U27">
    <cfRule type="cellIs" dxfId="18508" priority="4663" operator="equal">
      <formula>"OFF"</formula>
    </cfRule>
    <cfRule type="cellIs" dxfId="18507" priority="4664" operator="equal">
      <formula>"PTO"</formula>
    </cfRule>
  </conditionalFormatting>
  <conditionalFormatting sqref="U27">
    <cfRule type="cellIs" dxfId="18506" priority="4661" operator="equal">
      <formula>"OFF"</formula>
    </cfRule>
    <cfRule type="cellIs" dxfId="18505" priority="4662" operator="equal">
      <formula>"PTO"</formula>
    </cfRule>
  </conditionalFormatting>
  <conditionalFormatting sqref="U27">
    <cfRule type="cellIs" dxfId="18504" priority="4659" operator="equal">
      <formula>"OFF"</formula>
    </cfRule>
    <cfRule type="cellIs" dxfId="18503" priority="4660" operator="equal">
      <formula>"PTO"</formula>
    </cfRule>
  </conditionalFormatting>
  <conditionalFormatting sqref="U27">
    <cfRule type="cellIs" dxfId="18502" priority="4657" operator="equal">
      <formula>"OFF"</formula>
    </cfRule>
    <cfRule type="cellIs" dxfId="18501" priority="4658" operator="equal">
      <formula>"PTO"</formula>
    </cfRule>
  </conditionalFormatting>
  <conditionalFormatting sqref="U27">
    <cfRule type="cellIs" dxfId="18500" priority="4655" operator="equal">
      <formula>"OFF"</formula>
    </cfRule>
    <cfRule type="cellIs" dxfId="18499" priority="4656" operator="equal">
      <formula>"PTO"</formula>
    </cfRule>
  </conditionalFormatting>
  <conditionalFormatting sqref="U26">
    <cfRule type="cellIs" dxfId="18498" priority="4653" operator="equal">
      <formula>"OFF"</formula>
    </cfRule>
    <cfRule type="cellIs" dxfId="18497" priority="4654" operator="equal">
      <formula>"PTO"</formula>
    </cfRule>
  </conditionalFormatting>
  <conditionalFormatting sqref="U26">
    <cfRule type="cellIs" dxfId="18496" priority="4651" operator="equal">
      <formula>"OFF"</formula>
    </cfRule>
    <cfRule type="cellIs" dxfId="18495" priority="4652" operator="equal">
      <formula>"PTO"</formula>
    </cfRule>
  </conditionalFormatting>
  <conditionalFormatting sqref="U26">
    <cfRule type="cellIs" dxfId="18494" priority="4649" operator="equal">
      <formula>"OFF"</formula>
    </cfRule>
    <cfRule type="cellIs" dxfId="18493" priority="4650" operator="equal">
      <formula>"PTO"</formula>
    </cfRule>
  </conditionalFormatting>
  <conditionalFormatting sqref="U26">
    <cfRule type="cellIs" dxfId="18492" priority="4647" operator="equal">
      <formula>"OFF"</formula>
    </cfRule>
    <cfRule type="cellIs" dxfId="18491" priority="4648" operator="equal">
      <formula>"PTO"</formula>
    </cfRule>
  </conditionalFormatting>
  <conditionalFormatting sqref="U26">
    <cfRule type="cellIs" dxfId="18490" priority="4645" operator="equal">
      <formula>"OFF"</formula>
    </cfRule>
    <cfRule type="cellIs" dxfId="18489" priority="4646" operator="equal">
      <formula>"PTO"</formula>
    </cfRule>
  </conditionalFormatting>
  <conditionalFormatting sqref="U26">
    <cfRule type="cellIs" dxfId="18488" priority="4643" operator="equal">
      <formula>"OFF"</formula>
    </cfRule>
    <cfRule type="cellIs" dxfId="18487" priority="4644" operator="equal">
      <formula>"PTO"</formula>
    </cfRule>
  </conditionalFormatting>
  <conditionalFormatting sqref="U26">
    <cfRule type="cellIs" dxfId="18486" priority="4641" operator="equal">
      <formula>"OFF"</formula>
    </cfRule>
    <cfRule type="cellIs" dxfId="18485" priority="4642" operator="equal">
      <formula>"PTO"</formula>
    </cfRule>
  </conditionalFormatting>
  <conditionalFormatting sqref="U26">
    <cfRule type="cellIs" dxfId="18484" priority="4639" operator="equal">
      <formula>"OFF"</formula>
    </cfRule>
    <cfRule type="cellIs" dxfId="18483" priority="4640" operator="equal">
      <formula>"PTO"</formula>
    </cfRule>
  </conditionalFormatting>
  <conditionalFormatting sqref="U27">
    <cfRule type="cellIs" dxfId="18482" priority="4637" operator="equal">
      <formula>"OFF"</formula>
    </cfRule>
    <cfRule type="cellIs" dxfId="18481" priority="4638" operator="equal">
      <formula>"PTO"</formula>
    </cfRule>
  </conditionalFormatting>
  <conditionalFormatting sqref="U27">
    <cfRule type="cellIs" dxfId="18480" priority="4635" operator="equal">
      <formula>"OFF"</formula>
    </cfRule>
    <cfRule type="cellIs" dxfId="18479" priority="4636" operator="equal">
      <formula>"PTO"</formula>
    </cfRule>
  </conditionalFormatting>
  <conditionalFormatting sqref="U27">
    <cfRule type="cellIs" dxfId="18478" priority="4633" operator="equal">
      <formula>"OFF"</formula>
    </cfRule>
    <cfRule type="cellIs" dxfId="18477" priority="4634" operator="equal">
      <formula>"PTO"</formula>
    </cfRule>
  </conditionalFormatting>
  <conditionalFormatting sqref="U27">
    <cfRule type="cellIs" dxfId="18476" priority="4631" operator="equal">
      <formula>"OFF"</formula>
    </cfRule>
    <cfRule type="cellIs" dxfId="18475" priority="4632" operator="equal">
      <formula>"PTO"</formula>
    </cfRule>
  </conditionalFormatting>
  <conditionalFormatting sqref="U27">
    <cfRule type="cellIs" dxfId="18474" priority="4629" operator="equal">
      <formula>"OFF"</formula>
    </cfRule>
    <cfRule type="cellIs" dxfId="18473" priority="4630" operator="equal">
      <formula>"PTO"</formula>
    </cfRule>
  </conditionalFormatting>
  <conditionalFormatting sqref="U27">
    <cfRule type="cellIs" dxfId="18472" priority="4627" operator="equal">
      <formula>"OFF"</formula>
    </cfRule>
    <cfRule type="cellIs" dxfId="18471" priority="4628" operator="equal">
      <formula>"PTO"</formula>
    </cfRule>
  </conditionalFormatting>
  <conditionalFormatting sqref="U27">
    <cfRule type="cellIs" dxfId="18470" priority="4625" operator="equal">
      <formula>"OFF"</formula>
    </cfRule>
    <cfRule type="cellIs" dxfId="18469" priority="4626" operator="equal">
      <formula>"PTO"</formula>
    </cfRule>
  </conditionalFormatting>
  <conditionalFormatting sqref="U27">
    <cfRule type="cellIs" dxfId="18468" priority="4623" operator="equal">
      <formula>"OFF"</formula>
    </cfRule>
    <cfRule type="cellIs" dxfId="18467" priority="4624" operator="equal">
      <formula>"PTO"</formula>
    </cfRule>
  </conditionalFormatting>
  <conditionalFormatting sqref="U29">
    <cfRule type="cellIs" dxfId="18466" priority="4621" operator="equal">
      <formula>"OFF"</formula>
    </cfRule>
    <cfRule type="cellIs" dxfId="18465" priority="4622" operator="equal">
      <formula>"PTO"</formula>
    </cfRule>
  </conditionalFormatting>
  <conditionalFormatting sqref="U29">
    <cfRule type="cellIs" dxfId="18464" priority="4619" operator="equal">
      <formula>"OFF"</formula>
    </cfRule>
    <cfRule type="cellIs" dxfId="18463" priority="4620" operator="equal">
      <formula>"PTO"</formula>
    </cfRule>
  </conditionalFormatting>
  <conditionalFormatting sqref="U29">
    <cfRule type="cellIs" dxfId="18462" priority="4617" operator="equal">
      <formula>"OFF"</formula>
    </cfRule>
    <cfRule type="cellIs" dxfId="18461" priority="4618" operator="equal">
      <formula>"PTO"</formula>
    </cfRule>
  </conditionalFormatting>
  <conditionalFormatting sqref="U29">
    <cfRule type="cellIs" dxfId="18460" priority="4615" operator="equal">
      <formula>"OFF"</formula>
    </cfRule>
    <cfRule type="cellIs" dxfId="18459" priority="4616" operator="equal">
      <formula>"PTO"</formula>
    </cfRule>
  </conditionalFormatting>
  <conditionalFormatting sqref="U29">
    <cfRule type="cellIs" dxfId="18458" priority="4613" operator="equal">
      <formula>"OFF"</formula>
    </cfRule>
    <cfRule type="cellIs" dxfId="18457" priority="4614" operator="equal">
      <formula>"PTO"</formula>
    </cfRule>
  </conditionalFormatting>
  <conditionalFormatting sqref="U29">
    <cfRule type="cellIs" dxfId="18456" priority="4611" operator="equal">
      <formula>"OFF"</formula>
    </cfRule>
    <cfRule type="cellIs" dxfId="18455" priority="4612" operator="equal">
      <formula>"PTO"</formula>
    </cfRule>
  </conditionalFormatting>
  <conditionalFormatting sqref="U29">
    <cfRule type="cellIs" dxfId="18454" priority="4609" operator="equal">
      <formula>"OFF"</formula>
    </cfRule>
    <cfRule type="cellIs" dxfId="18453" priority="4610" operator="equal">
      <formula>"PTO"</formula>
    </cfRule>
  </conditionalFormatting>
  <conditionalFormatting sqref="U29">
    <cfRule type="cellIs" dxfId="18452" priority="4607" operator="equal">
      <formula>"OFF"</formula>
    </cfRule>
    <cfRule type="cellIs" dxfId="18451" priority="4608" operator="equal">
      <formula>"PTO"</formula>
    </cfRule>
  </conditionalFormatting>
  <conditionalFormatting sqref="U29">
    <cfRule type="cellIs" dxfId="18450" priority="4605" operator="equal">
      <formula>"OFF"</formula>
    </cfRule>
    <cfRule type="cellIs" dxfId="18449" priority="4606" operator="equal">
      <formula>"PTO"</formula>
    </cfRule>
  </conditionalFormatting>
  <conditionalFormatting sqref="U29">
    <cfRule type="cellIs" dxfId="18448" priority="4603" operator="equal">
      <formula>"OFF"</formula>
    </cfRule>
    <cfRule type="cellIs" dxfId="18447" priority="4604" operator="equal">
      <formula>"PTO"</formula>
    </cfRule>
  </conditionalFormatting>
  <conditionalFormatting sqref="U29">
    <cfRule type="cellIs" dxfId="18446" priority="4601" operator="equal">
      <formula>"OFF"</formula>
    </cfRule>
    <cfRule type="cellIs" dxfId="18445" priority="4602" operator="equal">
      <formula>"PTO"</formula>
    </cfRule>
  </conditionalFormatting>
  <conditionalFormatting sqref="U29">
    <cfRule type="cellIs" dxfId="18444" priority="4599" operator="equal">
      <formula>"OFF"</formula>
    </cfRule>
    <cfRule type="cellIs" dxfId="18443" priority="4600" operator="equal">
      <formula>"PTO"</formula>
    </cfRule>
  </conditionalFormatting>
  <conditionalFormatting sqref="U29">
    <cfRule type="cellIs" dxfId="18442" priority="4597" operator="equal">
      <formula>"OFF"</formula>
    </cfRule>
    <cfRule type="cellIs" dxfId="18441" priority="4598" operator="equal">
      <formula>"PTO"</formula>
    </cfRule>
  </conditionalFormatting>
  <conditionalFormatting sqref="U29">
    <cfRule type="cellIs" dxfId="18440" priority="4595" operator="equal">
      <formula>"OFF"</formula>
    </cfRule>
    <cfRule type="cellIs" dxfId="18439" priority="4596" operator="equal">
      <formula>"PTO"</formula>
    </cfRule>
  </conditionalFormatting>
  <conditionalFormatting sqref="U29">
    <cfRule type="cellIs" dxfId="18438" priority="4593" operator="equal">
      <formula>"OFF"</formula>
    </cfRule>
    <cfRule type="cellIs" dxfId="18437" priority="4594" operator="equal">
      <formula>"PTO"</formula>
    </cfRule>
  </conditionalFormatting>
  <conditionalFormatting sqref="U29">
    <cfRule type="cellIs" dxfId="18436" priority="4591" operator="equal">
      <formula>"OFF"</formula>
    </cfRule>
    <cfRule type="cellIs" dxfId="18435" priority="4592" operator="equal">
      <formula>"PTO"</formula>
    </cfRule>
  </conditionalFormatting>
  <conditionalFormatting sqref="U29">
    <cfRule type="cellIs" dxfId="18434" priority="4589" operator="equal">
      <formula>"OFF"</formula>
    </cfRule>
    <cfRule type="cellIs" dxfId="18433" priority="4590" operator="equal">
      <formula>"PTO"</formula>
    </cfRule>
  </conditionalFormatting>
  <conditionalFormatting sqref="U29">
    <cfRule type="cellIs" dxfId="18432" priority="4587" operator="equal">
      <formula>"OFF"</formula>
    </cfRule>
    <cfRule type="cellIs" dxfId="18431" priority="4588" operator="equal">
      <formula>"PTO"</formula>
    </cfRule>
  </conditionalFormatting>
  <conditionalFormatting sqref="U29">
    <cfRule type="cellIs" dxfId="18430" priority="4585" operator="equal">
      <formula>"OFF"</formula>
    </cfRule>
    <cfRule type="cellIs" dxfId="18429" priority="4586" operator="equal">
      <formula>"PTO"</formula>
    </cfRule>
  </conditionalFormatting>
  <conditionalFormatting sqref="U29">
    <cfRule type="cellIs" dxfId="18428" priority="4583" operator="equal">
      <formula>"OFF"</formula>
    </cfRule>
    <cfRule type="cellIs" dxfId="18427" priority="4584" operator="equal">
      <formula>"PTO"</formula>
    </cfRule>
  </conditionalFormatting>
  <conditionalFormatting sqref="U29">
    <cfRule type="cellIs" dxfId="18426" priority="4581" operator="equal">
      <formula>"OFF"</formula>
    </cfRule>
    <cfRule type="cellIs" dxfId="18425" priority="4582" operator="equal">
      <formula>"PTO"</formula>
    </cfRule>
  </conditionalFormatting>
  <conditionalFormatting sqref="U29">
    <cfRule type="cellIs" dxfId="18424" priority="4579" operator="equal">
      <formula>"OFF"</formula>
    </cfRule>
    <cfRule type="cellIs" dxfId="18423" priority="4580" operator="equal">
      <formula>"PTO"</formula>
    </cfRule>
  </conditionalFormatting>
  <conditionalFormatting sqref="U29">
    <cfRule type="cellIs" dxfId="18422" priority="4577" operator="equal">
      <formula>"OFF"</formula>
    </cfRule>
    <cfRule type="cellIs" dxfId="18421" priority="4578" operator="equal">
      <formula>"PTO"</formula>
    </cfRule>
  </conditionalFormatting>
  <conditionalFormatting sqref="U29">
    <cfRule type="cellIs" dxfId="18420" priority="4575" operator="equal">
      <formula>"OFF"</formula>
    </cfRule>
    <cfRule type="cellIs" dxfId="18419" priority="4576" operator="equal">
      <formula>"PTO"</formula>
    </cfRule>
  </conditionalFormatting>
  <conditionalFormatting sqref="U29">
    <cfRule type="cellIs" dxfId="18418" priority="4573" operator="equal">
      <formula>"OFF"</formula>
    </cfRule>
    <cfRule type="cellIs" dxfId="18417" priority="4574" operator="equal">
      <formula>"PTO"</formula>
    </cfRule>
  </conditionalFormatting>
  <conditionalFormatting sqref="U29">
    <cfRule type="cellIs" dxfId="18416" priority="4571" operator="equal">
      <formula>"OFF"</formula>
    </cfRule>
    <cfRule type="cellIs" dxfId="18415" priority="4572" operator="equal">
      <formula>"PTO"</formula>
    </cfRule>
  </conditionalFormatting>
  <conditionalFormatting sqref="U29">
    <cfRule type="cellIs" dxfId="18414" priority="4569" operator="equal">
      <formula>"OFF"</formula>
    </cfRule>
    <cfRule type="cellIs" dxfId="18413" priority="4570" operator="equal">
      <formula>"PTO"</formula>
    </cfRule>
  </conditionalFormatting>
  <conditionalFormatting sqref="U29">
    <cfRule type="cellIs" dxfId="18412" priority="4567" operator="equal">
      <formula>"OFF"</formula>
    </cfRule>
    <cfRule type="cellIs" dxfId="18411" priority="4568" operator="equal">
      <formula>"PTO"</formula>
    </cfRule>
  </conditionalFormatting>
  <conditionalFormatting sqref="U29">
    <cfRule type="cellIs" dxfId="18410" priority="4565" operator="equal">
      <formula>"OFF"</formula>
    </cfRule>
    <cfRule type="cellIs" dxfId="18409" priority="4566" operator="equal">
      <formula>"PTO"</formula>
    </cfRule>
  </conditionalFormatting>
  <conditionalFormatting sqref="U29">
    <cfRule type="cellIs" dxfId="18408" priority="4563" operator="equal">
      <formula>"OFF"</formula>
    </cfRule>
    <cfRule type="cellIs" dxfId="18407" priority="4564" operator="equal">
      <formula>"PTO"</formula>
    </cfRule>
  </conditionalFormatting>
  <conditionalFormatting sqref="U29">
    <cfRule type="cellIs" dxfId="18406" priority="4561" operator="equal">
      <formula>"OFF"</formula>
    </cfRule>
    <cfRule type="cellIs" dxfId="18405" priority="4562" operator="equal">
      <formula>"PTO"</formula>
    </cfRule>
  </conditionalFormatting>
  <conditionalFormatting sqref="U29">
    <cfRule type="cellIs" dxfId="18404" priority="4559" operator="equal">
      <formula>"OFF"</formula>
    </cfRule>
    <cfRule type="cellIs" dxfId="18403" priority="4560" operator="equal">
      <formula>"PTO"</formula>
    </cfRule>
  </conditionalFormatting>
  <conditionalFormatting sqref="U29">
    <cfRule type="cellIs" dxfId="18402" priority="4557" operator="equal">
      <formula>"OFF"</formula>
    </cfRule>
    <cfRule type="cellIs" dxfId="18401" priority="4558" operator="equal">
      <formula>"PTO"</formula>
    </cfRule>
  </conditionalFormatting>
  <conditionalFormatting sqref="U29">
    <cfRule type="cellIs" dxfId="18400" priority="4555" operator="equal">
      <formula>"OFF"</formula>
    </cfRule>
    <cfRule type="cellIs" dxfId="18399" priority="4556" operator="equal">
      <formula>"PTO"</formula>
    </cfRule>
  </conditionalFormatting>
  <conditionalFormatting sqref="U29">
    <cfRule type="cellIs" dxfId="18398" priority="4553" operator="equal">
      <formula>"OFF"</formula>
    </cfRule>
    <cfRule type="cellIs" dxfId="18397" priority="4554" operator="equal">
      <formula>"PTO"</formula>
    </cfRule>
  </conditionalFormatting>
  <conditionalFormatting sqref="U29">
    <cfRule type="cellIs" dxfId="18396" priority="4551" operator="equal">
      <formula>"OFF"</formula>
    </cfRule>
    <cfRule type="cellIs" dxfId="18395" priority="4552" operator="equal">
      <formula>"PTO"</formula>
    </cfRule>
  </conditionalFormatting>
  <conditionalFormatting sqref="U29">
    <cfRule type="cellIs" dxfId="18394" priority="4549" operator="equal">
      <formula>"OFF"</formula>
    </cfRule>
    <cfRule type="cellIs" dxfId="18393" priority="4550" operator="equal">
      <formula>"PTO"</formula>
    </cfRule>
  </conditionalFormatting>
  <conditionalFormatting sqref="U29">
    <cfRule type="cellIs" dxfId="18392" priority="4547" operator="equal">
      <formula>"OFF"</formula>
    </cfRule>
    <cfRule type="cellIs" dxfId="18391" priority="4548" operator="equal">
      <formula>"PTO"</formula>
    </cfRule>
  </conditionalFormatting>
  <conditionalFormatting sqref="U29">
    <cfRule type="cellIs" dxfId="18390" priority="4545" operator="equal">
      <formula>"OFF"</formula>
    </cfRule>
    <cfRule type="cellIs" dxfId="18389" priority="4546" operator="equal">
      <formula>"PTO"</formula>
    </cfRule>
  </conditionalFormatting>
  <conditionalFormatting sqref="U29">
    <cfRule type="cellIs" dxfId="18388" priority="4543" operator="equal">
      <formula>"OFF"</formula>
    </cfRule>
    <cfRule type="cellIs" dxfId="18387" priority="4544" operator="equal">
      <formula>"PTO"</formula>
    </cfRule>
  </conditionalFormatting>
  <conditionalFormatting sqref="U29">
    <cfRule type="cellIs" dxfId="18386" priority="4541" operator="equal">
      <formula>"OFF"</formula>
    </cfRule>
    <cfRule type="cellIs" dxfId="18385" priority="4542" operator="equal">
      <formula>"PTO"</formula>
    </cfRule>
  </conditionalFormatting>
  <conditionalFormatting sqref="U29">
    <cfRule type="cellIs" dxfId="18384" priority="4539" operator="equal">
      <formula>"OFF"</formula>
    </cfRule>
    <cfRule type="cellIs" dxfId="18383" priority="4540" operator="equal">
      <formula>"PTO"</formula>
    </cfRule>
  </conditionalFormatting>
  <conditionalFormatting sqref="U29">
    <cfRule type="cellIs" dxfId="18382" priority="4537" operator="equal">
      <formula>"OFF"</formula>
    </cfRule>
    <cfRule type="cellIs" dxfId="18381" priority="4538" operator="equal">
      <formula>"PTO"</formula>
    </cfRule>
  </conditionalFormatting>
  <conditionalFormatting sqref="U29">
    <cfRule type="cellIs" dxfId="18380" priority="4535" operator="equal">
      <formula>"OFF"</formula>
    </cfRule>
    <cfRule type="cellIs" dxfId="18379" priority="4536" operator="equal">
      <formula>"PTO"</formula>
    </cfRule>
  </conditionalFormatting>
  <conditionalFormatting sqref="U29">
    <cfRule type="cellIs" dxfId="18378" priority="4533" operator="equal">
      <formula>"OFF"</formula>
    </cfRule>
    <cfRule type="cellIs" dxfId="18377" priority="4534" operator="equal">
      <formula>"PTO"</formula>
    </cfRule>
  </conditionalFormatting>
  <conditionalFormatting sqref="U29">
    <cfRule type="cellIs" dxfId="18376" priority="4531" operator="equal">
      <formula>"OFF"</formula>
    </cfRule>
    <cfRule type="cellIs" dxfId="18375" priority="4532" operator="equal">
      <formula>"PTO"</formula>
    </cfRule>
  </conditionalFormatting>
  <conditionalFormatting sqref="U29">
    <cfRule type="cellIs" dxfId="18374" priority="4529" operator="equal">
      <formula>"OFF"</formula>
    </cfRule>
    <cfRule type="cellIs" dxfId="18373" priority="4530" operator="equal">
      <formula>"PTO"</formula>
    </cfRule>
  </conditionalFormatting>
  <conditionalFormatting sqref="U29">
    <cfRule type="cellIs" dxfId="18372" priority="4527" operator="equal">
      <formula>"OFF"</formula>
    </cfRule>
    <cfRule type="cellIs" dxfId="18371" priority="4528" operator="equal">
      <formula>"PTO"</formula>
    </cfRule>
  </conditionalFormatting>
  <conditionalFormatting sqref="U29">
    <cfRule type="cellIs" dxfId="18370" priority="4525" operator="equal">
      <formula>"OFF"</formula>
    </cfRule>
    <cfRule type="cellIs" dxfId="18369" priority="4526" operator="equal">
      <formula>"PTO"</formula>
    </cfRule>
  </conditionalFormatting>
  <conditionalFormatting sqref="U29">
    <cfRule type="cellIs" dxfId="18368" priority="4523" operator="equal">
      <formula>"OFF"</formula>
    </cfRule>
    <cfRule type="cellIs" dxfId="18367" priority="4524" operator="equal">
      <formula>"PTO"</formula>
    </cfRule>
  </conditionalFormatting>
  <conditionalFormatting sqref="U29">
    <cfRule type="cellIs" dxfId="18366" priority="4521" operator="equal">
      <formula>"OFF"</formula>
    </cfRule>
    <cfRule type="cellIs" dxfId="18365" priority="4522" operator="equal">
      <formula>"PTO"</formula>
    </cfRule>
  </conditionalFormatting>
  <conditionalFormatting sqref="U29">
    <cfRule type="cellIs" dxfId="18364" priority="4519" operator="equal">
      <formula>"OFF"</formula>
    </cfRule>
    <cfRule type="cellIs" dxfId="18363" priority="4520" operator="equal">
      <formula>"PTO"</formula>
    </cfRule>
  </conditionalFormatting>
  <conditionalFormatting sqref="U29">
    <cfRule type="cellIs" dxfId="18362" priority="4517" operator="equal">
      <formula>"OFF"</formula>
    </cfRule>
    <cfRule type="cellIs" dxfId="18361" priority="4518" operator="equal">
      <formula>"PTO"</formula>
    </cfRule>
  </conditionalFormatting>
  <conditionalFormatting sqref="U29">
    <cfRule type="cellIs" dxfId="18360" priority="4515" operator="equal">
      <formula>"OFF"</formula>
    </cfRule>
    <cfRule type="cellIs" dxfId="18359" priority="4516" operator="equal">
      <formula>"PTO"</formula>
    </cfRule>
  </conditionalFormatting>
  <conditionalFormatting sqref="U29">
    <cfRule type="cellIs" dxfId="18358" priority="4513" operator="equal">
      <formula>"OFF"</formula>
    </cfRule>
    <cfRule type="cellIs" dxfId="18357" priority="4514" operator="equal">
      <formula>"PTO"</formula>
    </cfRule>
  </conditionalFormatting>
  <conditionalFormatting sqref="U29">
    <cfRule type="cellIs" dxfId="18356" priority="4511" operator="equal">
      <formula>"OFF"</formula>
    </cfRule>
    <cfRule type="cellIs" dxfId="18355" priority="4512" operator="equal">
      <formula>"PTO"</formula>
    </cfRule>
  </conditionalFormatting>
  <conditionalFormatting sqref="U30">
    <cfRule type="cellIs" dxfId="18354" priority="4509" operator="equal">
      <formula>"OFF"</formula>
    </cfRule>
    <cfRule type="cellIs" dxfId="18353" priority="4510" operator="equal">
      <formula>"PTO"</formula>
    </cfRule>
  </conditionalFormatting>
  <conditionalFormatting sqref="U30">
    <cfRule type="cellIs" dxfId="18352" priority="4507" operator="equal">
      <formula>"OFF"</formula>
    </cfRule>
    <cfRule type="cellIs" dxfId="18351" priority="4508" operator="equal">
      <formula>"PTO"</formula>
    </cfRule>
  </conditionalFormatting>
  <conditionalFormatting sqref="U30">
    <cfRule type="cellIs" dxfId="18350" priority="4505" operator="equal">
      <formula>"OFF"</formula>
    </cfRule>
    <cfRule type="cellIs" dxfId="18349" priority="4506" operator="equal">
      <formula>"PTO"</formula>
    </cfRule>
  </conditionalFormatting>
  <conditionalFormatting sqref="U30">
    <cfRule type="cellIs" dxfId="18348" priority="4503" operator="equal">
      <formula>"OFF"</formula>
    </cfRule>
    <cfRule type="cellIs" dxfId="18347" priority="4504" operator="equal">
      <formula>"PTO"</formula>
    </cfRule>
  </conditionalFormatting>
  <conditionalFormatting sqref="U30">
    <cfRule type="cellIs" dxfId="18346" priority="4501" operator="equal">
      <formula>"OFF"</formula>
    </cfRule>
    <cfRule type="cellIs" dxfId="18345" priority="4502" operator="equal">
      <formula>"PTO"</formula>
    </cfRule>
  </conditionalFormatting>
  <conditionalFormatting sqref="U30">
    <cfRule type="cellIs" dxfId="18344" priority="4499" operator="equal">
      <formula>"OFF"</formula>
    </cfRule>
    <cfRule type="cellIs" dxfId="18343" priority="4500" operator="equal">
      <formula>"PTO"</formula>
    </cfRule>
  </conditionalFormatting>
  <conditionalFormatting sqref="U30">
    <cfRule type="cellIs" dxfId="18342" priority="4497" operator="equal">
      <formula>"OFF"</formula>
    </cfRule>
    <cfRule type="cellIs" dxfId="18341" priority="4498" operator="equal">
      <formula>"PTO"</formula>
    </cfRule>
  </conditionalFormatting>
  <conditionalFormatting sqref="U30">
    <cfRule type="cellIs" dxfId="18340" priority="4495" operator="equal">
      <formula>"OFF"</formula>
    </cfRule>
    <cfRule type="cellIs" dxfId="18339" priority="4496" operator="equal">
      <formula>"PTO"</formula>
    </cfRule>
  </conditionalFormatting>
  <conditionalFormatting sqref="U30">
    <cfRule type="cellIs" dxfId="18338" priority="4493" operator="equal">
      <formula>"OFF"</formula>
    </cfRule>
    <cfRule type="cellIs" dxfId="18337" priority="4494" operator="equal">
      <formula>"PTO"</formula>
    </cfRule>
  </conditionalFormatting>
  <conditionalFormatting sqref="U30">
    <cfRule type="cellIs" dxfId="18336" priority="4491" operator="equal">
      <formula>"OFF"</formula>
    </cfRule>
    <cfRule type="cellIs" dxfId="18335" priority="4492" operator="equal">
      <formula>"PTO"</formula>
    </cfRule>
  </conditionalFormatting>
  <conditionalFormatting sqref="U30">
    <cfRule type="cellIs" dxfId="18334" priority="4489" operator="equal">
      <formula>"OFF"</formula>
    </cfRule>
    <cfRule type="cellIs" dxfId="18333" priority="4490" operator="equal">
      <formula>"PTO"</formula>
    </cfRule>
  </conditionalFormatting>
  <conditionalFormatting sqref="U30">
    <cfRule type="cellIs" dxfId="18332" priority="4487" operator="equal">
      <formula>"OFF"</formula>
    </cfRule>
    <cfRule type="cellIs" dxfId="18331" priority="4488" operator="equal">
      <formula>"PTO"</formula>
    </cfRule>
  </conditionalFormatting>
  <conditionalFormatting sqref="U30">
    <cfRule type="cellIs" dxfId="18330" priority="4485" operator="equal">
      <formula>"OFF"</formula>
    </cfRule>
    <cfRule type="cellIs" dxfId="18329" priority="4486" operator="equal">
      <formula>"PTO"</formula>
    </cfRule>
  </conditionalFormatting>
  <conditionalFormatting sqref="U30">
    <cfRule type="cellIs" dxfId="18328" priority="4483" operator="equal">
      <formula>"OFF"</formula>
    </cfRule>
    <cfRule type="cellIs" dxfId="18327" priority="4484" operator="equal">
      <formula>"PTO"</formula>
    </cfRule>
  </conditionalFormatting>
  <conditionalFormatting sqref="U30">
    <cfRule type="cellIs" dxfId="18326" priority="4481" operator="equal">
      <formula>"OFF"</formula>
    </cfRule>
    <cfRule type="cellIs" dxfId="18325" priority="4482" operator="equal">
      <formula>"PTO"</formula>
    </cfRule>
  </conditionalFormatting>
  <conditionalFormatting sqref="U30">
    <cfRule type="cellIs" dxfId="18324" priority="4479" operator="equal">
      <formula>"OFF"</formula>
    </cfRule>
    <cfRule type="cellIs" dxfId="18323" priority="4480" operator="equal">
      <formula>"PTO"</formula>
    </cfRule>
  </conditionalFormatting>
  <conditionalFormatting sqref="U30">
    <cfRule type="cellIs" dxfId="18322" priority="4477" operator="equal">
      <formula>"OFF"</formula>
    </cfRule>
    <cfRule type="cellIs" dxfId="18321" priority="4478" operator="equal">
      <formula>"PTO"</formula>
    </cfRule>
  </conditionalFormatting>
  <conditionalFormatting sqref="U30">
    <cfRule type="cellIs" dxfId="18320" priority="4475" operator="equal">
      <formula>"OFF"</formula>
    </cfRule>
    <cfRule type="cellIs" dxfId="18319" priority="4476" operator="equal">
      <formula>"PTO"</formula>
    </cfRule>
  </conditionalFormatting>
  <conditionalFormatting sqref="U30">
    <cfRule type="cellIs" dxfId="18318" priority="4473" operator="equal">
      <formula>"OFF"</formula>
    </cfRule>
    <cfRule type="cellIs" dxfId="18317" priority="4474" operator="equal">
      <formula>"PTO"</formula>
    </cfRule>
  </conditionalFormatting>
  <conditionalFormatting sqref="U30">
    <cfRule type="cellIs" dxfId="18316" priority="4471" operator="equal">
      <formula>"OFF"</formula>
    </cfRule>
    <cfRule type="cellIs" dxfId="18315" priority="4472" operator="equal">
      <formula>"PTO"</formula>
    </cfRule>
  </conditionalFormatting>
  <conditionalFormatting sqref="U30">
    <cfRule type="cellIs" dxfId="18314" priority="4469" operator="equal">
      <formula>"OFF"</formula>
    </cfRule>
    <cfRule type="cellIs" dxfId="18313" priority="4470" operator="equal">
      <formula>"PTO"</formula>
    </cfRule>
  </conditionalFormatting>
  <conditionalFormatting sqref="U30">
    <cfRule type="cellIs" dxfId="18312" priority="4467" operator="equal">
      <formula>"OFF"</formula>
    </cfRule>
    <cfRule type="cellIs" dxfId="18311" priority="4468" operator="equal">
      <formula>"PTO"</formula>
    </cfRule>
  </conditionalFormatting>
  <conditionalFormatting sqref="U30">
    <cfRule type="cellIs" dxfId="18310" priority="4465" operator="equal">
      <formula>"OFF"</formula>
    </cfRule>
    <cfRule type="cellIs" dxfId="18309" priority="4466" operator="equal">
      <formula>"PTO"</formula>
    </cfRule>
  </conditionalFormatting>
  <conditionalFormatting sqref="U30">
    <cfRule type="cellIs" dxfId="18308" priority="4463" operator="equal">
      <formula>"OFF"</formula>
    </cfRule>
    <cfRule type="cellIs" dxfId="18307" priority="4464" operator="equal">
      <formula>"PTO"</formula>
    </cfRule>
  </conditionalFormatting>
  <conditionalFormatting sqref="U30">
    <cfRule type="cellIs" dxfId="18306" priority="4461" operator="equal">
      <formula>"OFF"</formula>
    </cfRule>
    <cfRule type="cellIs" dxfId="18305" priority="4462" operator="equal">
      <formula>"PTO"</formula>
    </cfRule>
  </conditionalFormatting>
  <conditionalFormatting sqref="U30">
    <cfRule type="cellIs" dxfId="18304" priority="4459" operator="equal">
      <formula>"OFF"</formula>
    </cfRule>
    <cfRule type="cellIs" dxfId="18303" priority="4460" operator="equal">
      <formula>"PTO"</formula>
    </cfRule>
  </conditionalFormatting>
  <conditionalFormatting sqref="U30">
    <cfRule type="cellIs" dxfId="18302" priority="4457" operator="equal">
      <formula>"OFF"</formula>
    </cfRule>
    <cfRule type="cellIs" dxfId="18301" priority="4458" operator="equal">
      <formula>"PTO"</formula>
    </cfRule>
  </conditionalFormatting>
  <conditionalFormatting sqref="U30">
    <cfRule type="cellIs" dxfId="18300" priority="4455" operator="equal">
      <formula>"OFF"</formula>
    </cfRule>
    <cfRule type="cellIs" dxfId="18299" priority="4456" operator="equal">
      <formula>"PTO"</formula>
    </cfRule>
  </conditionalFormatting>
  <conditionalFormatting sqref="U30">
    <cfRule type="cellIs" dxfId="18298" priority="4453" operator="equal">
      <formula>"OFF"</formula>
    </cfRule>
    <cfRule type="cellIs" dxfId="18297" priority="4454" operator="equal">
      <formula>"PTO"</formula>
    </cfRule>
  </conditionalFormatting>
  <conditionalFormatting sqref="U30">
    <cfRule type="cellIs" dxfId="18296" priority="4451" operator="equal">
      <formula>"OFF"</formula>
    </cfRule>
    <cfRule type="cellIs" dxfId="18295" priority="4452" operator="equal">
      <formula>"PTO"</formula>
    </cfRule>
  </conditionalFormatting>
  <conditionalFormatting sqref="U30">
    <cfRule type="cellIs" dxfId="18294" priority="4449" operator="equal">
      <formula>"OFF"</formula>
    </cfRule>
    <cfRule type="cellIs" dxfId="18293" priority="4450" operator="equal">
      <formula>"PTO"</formula>
    </cfRule>
  </conditionalFormatting>
  <conditionalFormatting sqref="U30">
    <cfRule type="cellIs" dxfId="18292" priority="4447" operator="equal">
      <formula>"OFF"</formula>
    </cfRule>
    <cfRule type="cellIs" dxfId="18291" priority="4448" operator="equal">
      <formula>"PTO"</formula>
    </cfRule>
  </conditionalFormatting>
  <conditionalFormatting sqref="U30">
    <cfRule type="cellIs" dxfId="18290" priority="4445" operator="equal">
      <formula>"OFF"</formula>
    </cfRule>
    <cfRule type="cellIs" dxfId="18289" priority="4446" operator="equal">
      <formula>"PTO"</formula>
    </cfRule>
  </conditionalFormatting>
  <conditionalFormatting sqref="U30">
    <cfRule type="cellIs" dxfId="18288" priority="4443" operator="equal">
      <formula>"OFF"</formula>
    </cfRule>
    <cfRule type="cellIs" dxfId="18287" priority="4444" operator="equal">
      <formula>"PTO"</formula>
    </cfRule>
  </conditionalFormatting>
  <conditionalFormatting sqref="U30">
    <cfRule type="cellIs" dxfId="18286" priority="4441" operator="equal">
      <formula>"OFF"</formula>
    </cfRule>
    <cfRule type="cellIs" dxfId="18285" priority="4442" operator="equal">
      <formula>"PTO"</formula>
    </cfRule>
  </conditionalFormatting>
  <conditionalFormatting sqref="U30">
    <cfRule type="cellIs" dxfId="18284" priority="4439" operator="equal">
      <formula>"OFF"</formula>
    </cfRule>
    <cfRule type="cellIs" dxfId="18283" priority="4440" operator="equal">
      <formula>"PTO"</formula>
    </cfRule>
  </conditionalFormatting>
  <conditionalFormatting sqref="U30">
    <cfRule type="cellIs" dxfId="18282" priority="4437" operator="equal">
      <formula>"OFF"</formula>
    </cfRule>
    <cfRule type="cellIs" dxfId="18281" priority="4438" operator="equal">
      <formula>"PTO"</formula>
    </cfRule>
  </conditionalFormatting>
  <conditionalFormatting sqref="U30">
    <cfRule type="cellIs" dxfId="18280" priority="4435" operator="equal">
      <formula>"OFF"</formula>
    </cfRule>
    <cfRule type="cellIs" dxfId="18279" priority="4436" operator="equal">
      <formula>"PTO"</formula>
    </cfRule>
  </conditionalFormatting>
  <conditionalFormatting sqref="U30">
    <cfRule type="cellIs" dxfId="18278" priority="4433" operator="equal">
      <formula>"OFF"</formula>
    </cfRule>
    <cfRule type="cellIs" dxfId="18277" priority="4434" operator="equal">
      <formula>"PTO"</formula>
    </cfRule>
  </conditionalFormatting>
  <conditionalFormatting sqref="U30">
    <cfRule type="cellIs" dxfId="18276" priority="4431" operator="equal">
      <formula>"OFF"</formula>
    </cfRule>
    <cfRule type="cellIs" dxfId="18275" priority="4432" operator="equal">
      <formula>"PTO"</formula>
    </cfRule>
  </conditionalFormatting>
  <conditionalFormatting sqref="U30">
    <cfRule type="cellIs" dxfId="18274" priority="4429" operator="equal">
      <formula>"OFF"</formula>
    </cfRule>
    <cfRule type="cellIs" dxfId="18273" priority="4430" operator="equal">
      <formula>"PTO"</formula>
    </cfRule>
  </conditionalFormatting>
  <conditionalFormatting sqref="U30">
    <cfRule type="cellIs" dxfId="18272" priority="4427" operator="equal">
      <formula>"OFF"</formula>
    </cfRule>
    <cfRule type="cellIs" dxfId="18271" priority="4428" operator="equal">
      <formula>"PTO"</formula>
    </cfRule>
  </conditionalFormatting>
  <conditionalFormatting sqref="U30">
    <cfRule type="cellIs" dxfId="18270" priority="4425" operator="equal">
      <formula>"OFF"</formula>
    </cfRule>
    <cfRule type="cellIs" dxfId="18269" priority="4426" operator="equal">
      <formula>"PTO"</formula>
    </cfRule>
  </conditionalFormatting>
  <conditionalFormatting sqref="U30">
    <cfRule type="cellIs" dxfId="18268" priority="4423" operator="equal">
      <formula>"OFF"</formula>
    </cfRule>
    <cfRule type="cellIs" dxfId="18267" priority="4424" operator="equal">
      <formula>"PTO"</formula>
    </cfRule>
  </conditionalFormatting>
  <conditionalFormatting sqref="U30">
    <cfRule type="cellIs" dxfId="18266" priority="4421" operator="equal">
      <formula>"OFF"</formula>
    </cfRule>
    <cfRule type="cellIs" dxfId="18265" priority="4422" operator="equal">
      <formula>"PTO"</formula>
    </cfRule>
  </conditionalFormatting>
  <conditionalFormatting sqref="U30">
    <cfRule type="cellIs" dxfId="18264" priority="4419" operator="equal">
      <formula>"OFF"</formula>
    </cfRule>
    <cfRule type="cellIs" dxfId="18263" priority="4420" operator="equal">
      <formula>"PTO"</formula>
    </cfRule>
  </conditionalFormatting>
  <conditionalFormatting sqref="U30">
    <cfRule type="cellIs" dxfId="18262" priority="4417" operator="equal">
      <formula>"OFF"</formula>
    </cfRule>
    <cfRule type="cellIs" dxfId="18261" priority="4418" operator="equal">
      <formula>"PTO"</formula>
    </cfRule>
  </conditionalFormatting>
  <conditionalFormatting sqref="U30">
    <cfRule type="cellIs" dxfId="18260" priority="4415" operator="equal">
      <formula>"OFF"</formula>
    </cfRule>
    <cfRule type="cellIs" dxfId="18259" priority="4416" operator="equal">
      <formula>"PTO"</formula>
    </cfRule>
  </conditionalFormatting>
  <conditionalFormatting sqref="U30">
    <cfRule type="cellIs" dxfId="18258" priority="4413" operator="equal">
      <formula>"OFF"</formula>
    </cfRule>
    <cfRule type="cellIs" dxfId="18257" priority="4414" operator="equal">
      <formula>"PTO"</formula>
    </cfRule>
  </conditionalFormatting>
  <conditionalFormatting sqref="U30">
    <cfRule type="cellIs" dxfId="18256" priority="4411" operator="equal">
      <formula>"OFF"</formula>
    </cfRule>
    <cfRule type="cellIs" dxfId="18255" priority="4412" operator="equal">
      <formula>"PTO"</formula>
    </cfRule>
  </conditionalFormatting>
  <conditionalFormatting sqref="U30">
    <cfRule type="cellIs" dxfId="18254" priority="4409" operator="equal">
      <formula>"OFF"</formula>
    </cfRule>
    <cfRule type="cellIs" dxfId="18253" priority="4410" operator="equal">
      <formula>"PTO"</formula>
    </cfRule>
  </conditionalFormatting>
  <conditionalFormatting sqref="U30">
    <cfRule type="cellIs" dxfId="18252" priority="4407" operator="equal">
      <formula>"OFF"</formula>
    </cfRule>
    <cfRule type="cellIs" dxfId="18251" priority="4408" operator="equal">
      <formula>"PTO"</formula>
    </cfRule>
  </conditionalFormatting>
  <conditionalFormatting sqref="U30">
    <cfRule type="cellIs" dxfId="18250" priority="4405" operator="equal">
      <formula>"OFF"</formula>
    </cfRule>
    <cfRule type="cellIs" dxfId="18249" priority="4406" operator="equal">
      <formula>"PTO"</formula>
    </cfRule>
  </conditionalFormatting>
  <conditionalFormatting sqref="U30">
    <cfRule type="cellIs" dxfId="18248" priority="4403" operator="equal">
      <formula>"OFF"</formula>
    </cfRule>
    <cfRule type="cellIs" dxfId="18247" priority="4404" operator="equal">
      <formula>"PTO"</formula>
    </cfRule>
  </conditionalFormatting>
  <conditionalFormatting sqref="U30">
    <cfRule type="cellIs" dxfId="18246" priority="4401" operator="equal">
      <formula>"OFF"</formula>
    </cfRule>
    <cfRule type="cellIs" dxfId="18245" priority="4402" operator="equal">
      <formula>"PTO"</formula>
    </cfRule>
  </conditionalFormatting>
  <conditionalFormatting sqref="U30">
    <cfRule type="cellIs" dxfId="18244" priority="4399" operator="equal">
      <formula>"OFF"</formula>
    </cfRule>
    <cfRule type="cellIs" dxfId="18243" priority="4400" operator="equal">
      <formula>"PTO"</formula>
    </cfRule>
  </conditionalFormatting>
  <conditionalFormatting sqref="U30">
    <cfRule type="cellIs" dxfId="18242" priority="4397" operator="equal">
      <formula>"OFF"</formula>
    </cfRule>
    <cfRule type="cellIs" dxfId="18241" priority="4398" operator="equal">
      <formula>"PTO"</formula>
    </cfRule>
  </conditionalFormatting>
  <conditionalFormatting sqref="U30">
    <cfRule type="cellIs" dxfId="18240" priority="4395" operator="equal">
      <formula>"OFF"</formula>
    </cfRule>
    <cfRule type="cellIs" dxfId="18239" priority="4396" operator="equal">
      <formula>"PTO"</formula>
    </cfRule>
  </conditionalFormatting>
  <conditionalFormatting sqref="U30">
    <cfRule type="cellIs" dxfId="18238" priority="4393" operator="equal">
      <formula>"OFF"</formula>
    </cfRule>
    <cfRule type="cellIs" dxfId="18237" priority="4394" operator="equal">
      <formula>"PTO"</formula>
    </cfRule>
  </conditionalFormatting>
  <conditionalFormatting sqref="U30">
    <cfRule type="cellIs" dxfId="18236" priority="4391" operator="equal">
      <formula>"OFF"</formula>
    </cfRule>
    <cfRule type="cellIs" dxfId="18235" priority="4392" operator="equal">
      <formula>"PTO"</formula>
    </cfRule>
  </conditionalFormatting>
  <conditionalFormatting sqref="U30">
    <cfRule type="cellIs" dxfId="18234" priority="4389" operator="equal">
      <formula>"OFF"</formula>
    </cfRule>
    <cfRule type="cellIs" dxfId="18233" priority="4390" operator="equal">
      <formula>"PTO"</formula>
    </cfRule>
  </conditionalFormatting>
  <conditionalFormatting sqref="U30">
    <cfRule type="cellIs" dxfId="18232" priority="4387" operator="equal">
      <formula>"OFF"</formula>
    </cfRule>
    <cfRule type="cellIs" dxfId="18231" priority="4388" operator="equal">
      <formula>"PTO"</formula>
    </cfRule>
  </conditionalFormatting>
  <conditionalFormatting sqref="U30">
    <cfRule type="cellIs" dxfId="18230" priority="4385" operator="equal">
      <formula>"OFF"</formula>
    </cfRule>
    <cfRule type="cellIs" dxfId="18229" priority="4386" operator="equal">
      <formula>"PTO"</formula>
    </cfRule>
  </conditionalFormatting>
  <conditionalFormatting sqref="U30">
    <cfRule type="cellIs" dxfId="18228" priority="4383" operator="equal">
      <formula>"OFF"</formula>
    </cfRule>
    <cfRule type="cellIs" dxfId="18227" priority="4384" operator="equal">
      <formula>"PTO"</formula>
    </cfRule>
  </conditionalFormatting>
  <conditionalFormatting sqref="U30">
    <cfRule type="cellIs" dxfId="18226" priority="4381" operator="equal">
      <formula>"OFF"</formula>
    </cfRule>
    <cfRule type="cellIs" dxfId="18225" priority="4382" operator="equal">
      <formula>"PTO"</formula>
    </cfRule>
  </conditionalFormatting>
  <conditionalFormatting sqref="U30">
    <cfRule type="cellIs" dxfId="18224" priority="4379" operator="equal">
      <formula>"OFF"</formula>
    </cfRule>
    <cfRule type="cellIs" dxfId="18223" priority="4380" operator="equal">
      <formula>"PTO"</formula>
    </cfRule>
  </conditionalFormatting>
  <conditionalFormatting sqref="U30">
    <cfRule type="cellIs" dxfId="18222" priority="4377" operator="equal">
      <formula>"OFF"</formula>
    </cfRule>
    <cfRule type="cellIs" dxfId="18221" priority="4378" operator="equal">
      <formula>"PTO"</formula>
    </cfRule>
  </conditionalFormatting>
  <conditionalFormatting sqref="U30">
    <cfRule type="cellIs" dxfId="18220" priority="4375" operator="equal">
      <formula>"OFF"</formula>
    </cfRule>
    <cfRule type="cellIs" dxfId="18219" priority="4376" operator="equal">
      <formula>"PTO"</formula>
    </cfRule>
  </conditionalFormatting>
  <conditionalFormatting sqref="U30">
    <cfRule type="cellIs" dxfId="18218" priority="4373" operator="equal">
      <formula>"OFF"</formula>
    </cfRule>
    <cfRule type="cellIs" dxfId="18217" priority="4374" operator="equal">
      <formula>"PTO"</formula>
    </cfRule>
  </conditionalFormatting>
  <conditionalFormatting sqref="U30">
    <cfRule type="cellIs" dxfId="18216" priority="4371" operator="equal">
      <formula>"OFF"</formula>
    </cfRule>
    <cfRule type="cellIs" dxfId="18215" priority="4372" operator="equal">
      <formula>"PTO"</formula>
    </cfRule>
  </conditionalFormatting>
  <conditionalFormatting sqref="U30">
    <cfRule type="cellIs" dxfId="18214" priority="4369" operator="equal">
      <formula>"OFF"</formula>
    </cfRule>
    <cfRule type="cellIs" dxfId="18213" priority="4370" operator="equal">
      <formula>"PTO"</formula>
    </cfRule>
  </conditionalFormatting>
  <conditionalFormatting sqref="U30">
    <cfRule type="cellIs" dxfId="18212" priority="4367" operator="equal">
      <formula>"OFF"</formula>
    </cfRule>
    <cfRule type="cellIs" dxfId="18211" priority="4368" operator="equal">
      <formula>"PTO"</formula>
    </cfRule>
  </conditionalFormatting>
  <conditionalFormatting sqref="U30">
    <cfRule type="cellIs" dxfId="18210" priority="4365" operator="equal">
      <formula>"OFF"</formula>
    </cfRule>
    <cfRule type="cellIs" dxfId="18209" priority="4366" operator="equal">
      <formula>"PTO"</formula>
    </cfRule>
  </conditionalFormatting>
  <conditionalFormatting sqref="U30">
    <cfRule type="cellIs" dxfId="18208" priority="4363" operator="equal">
      <formula>"OFF"</formula>
    </cfRule>
    <cfRule type="cellIs" dxfId="18207" priority="4364" operator="equal">
      <formula>"PTO"</formula>
    </cfRule>
  </conditionalFormatting>
  <conditionalFormatting sqref="U30">
    <cfRule type="cellIs" dxfId="18206" priority="4361" operator="equal">
      <formula>"OFF"</formula>
    </cfRule>
    <cfRule type="cellIs" dxfId="18205" priority="4362" operator="equal">
      <formula>"PTO"</formula>
    </cfRule>
  </conditionalFormatting>
  <conditionalFormatting sqref="U30">
    <cfRule type="cellIs" dxfId="18204" priority="4359" operator="equal">
      <formula>"OFF"</formula>
    </cfRule>
    <cfRule type="cellIs" dxfId="18203" priority="4360" operator="equal">
      <formula>"PTO"</formula>
    </cfRule>
  </conditionalFormatting>
  <conditionalFormatting sqref="U30">
    <cfRule type="cellIs" dxfId="18202" priority="4357" operator="equal">
      <formula>"OFF"</formula>
    </cfRule>
    <cfRule type="cellIs" dxfId="18201" priority="4358" operator="equal">
      <formula>"PTO"</formula>
    </cfRule>
  </conditionalFormatting>
  <conditionalFormatting sqref="U30">
    <cfRule type="cellIs" dxfId="18200" priority="4355" operator="equal">
      <formula>"OFF"</formula>
    </cfRule>
    <cfRule type="cellIs" dxfId="18199" priority="4356" operator="equal">
      <formula>"PTO"</formula>
    </cfRule>
  </conditionalFormatting>
  <conditionalFormatting sqref="U30">
    <cfRule type="cellIs" dxfId="18198" priority="4353" operator="equal">
      <formula>"OFF"</formula>
    </cfRule>
    <cfRule type="cellIs" dxfId="18197" priority="4354" operator="equal">
      <formula>"PTO"</formula>
    </cfRule>
  </conditionalFormatting>
  <conditionalFormatting sqref="U30">
    <cfRule type="cellIs" dxfId="18196" priority="4351" operator="equal">
      <formula>"OFF"</formula>
    </cfRule>
    <cfRule type="cellIs" dxfId="18195" priority="4352" operator="equal">
      <formula>"PTO"</formula>
    </cfRule>
  </conditionalFormatting>
  <conditionalFormatting sqref="U30">
    <cfRule type="cellIs" dxfId="18194" priority="4349" operator="equal">
      <formula>"OFF"</formula>
    </cfRule>
    <cfRule type="cellIs" dxfId="18193" priority="4350" operator="equal">
      <formula>"PTO"</formula>
    </cfRule>
  </conditionalFormatting>
  <conditionalFormatting sqref="U30">
    <cfRule type="cellIs" dxfId="18192" priority="4347" operator="equal">
      <formula>"OFF"</formula>
    </cfRule>
    <cfRule type="cellIs" dxfId="18191" priority="4348" operator="equal">
      <formula>"PTO"</formula>
    </cfRule>
  </conditionalFormatting>
  <conditionalFormatting sqref="U30">
    <cfRule type="cellIs" dxfId="18190" priority="4345" operator="equal">
      <formula>"OFF"</formula>
    </cfRule>
    <cfRule type="cellIs" dxfId="18189" priority="4346" operator="equal">
      <formula>"PTO"</formula>
    </cfRule>
  </conditionalFormatting>
  <conditionalFormatting sqref="U30">
    <cfRule type="cellIs" dxfId="18188" priority="4343" operator="equal">
      <formula>"OFF"</formula>
    </cfRule>
    <cfRule type="cellIs" dxfId="18187" priority="4344" operator="equal">
      <formula>"PTO"</formula>
    </cfRule>
  </conditionalFormatting>
  <conditionalFormatting sqref="U30">
    <cfRule type="cellIs" dxfId="18186" priority="4341" operator="equal">
      <formula>"OFF"</formula>
    </cfRule>
    <cfRule type="cellIs" dxfId="18185" priority="4342" operator="equal">
      <formula>"PTO"</formula>
    </cfRule>
  </conditionalFormatting>
  <conditionalFormatting sqref="U30">
    <cfRule type="cellIs" dxfId="18184" priority="4339" operator="equal">
      <formula>"OFF"</formula>
    </cfRule>
    <cfRule type="cellIs" dxfId="18183" priority="4340" operator="equal">
      <formula>"PTO"</formula>
    </cfRule>
  </conditionalFormatting>
  <conditionalFormatting sqref="U30">
    <cfRule type="cellIs" dxfId="18182" priority="4337" operator="equal">
      <formula>"OFF"</formula>
    </cfRule>
    <cfRule type="cellIs" dxfId="18181" priority="4338" operator="equal">
      <formula>"PTO"</formula>
    </cfRule>
  </conditionalFormatting>
  <conditionalFormatting sqref="U30">
    <cfRule type="cellIs" dxfId="18180" priority="4335" operator="equal">
      <formula>"OFF"</formula>
    </cfRule>
    <cfRule type="cellIs" dxfId="18179" priority="4336" operator="equal">
      <formula>"PTO"</formula>
    </cfRule>
  </conditionalFormatting>
  <conditionalFormatting sqref="U26">
    <cfRule type="cellIs" dxfId="18178" priority="4333" operator="equal">
      <formula>"OFF"</formula>
    </cfRule>
    <cfRule type="cellIs" dxfId="18177" priority="4334" operator="equal">
      <formula>"PTO"</formula>
    </cfRule>
  </conditionalFormatting>
  <conditionalFormatting sqref="U26">
    <cfRule type="cellIs" dxfId="18176" priority="4331" operator="equal">
      <formula>"OFF"</formula>
    </cfRule>
    <cfRule type="cellIs" dxfId="18175" priority="4332" operator="equal">
      <formula>"PTO"</formula>
    </cfRule>
  </conditionalFormatting>
  <conditionalFormatting sqref="U26">
    <cfRule type="cellIs" dxfId="18174" priority="4329" operator="equal">
      <formula>"OFF"</formula>
    </cfRule>
    <cfRule type="cellIs" dxfId="18173" priority="4330" operator="equal">
      <formula>"PTO"</formula>
    </cfRule>
  </conditionalFormatting>
  <conditionalFormatting sqref="U26">
    <cfRule type="cellIs" dxfId="18172" priority="4327" operator="equal">
      <formula>"OFF"</formula>
    </cfRule>
    <cfRule type="cellIs" dxfId="18171" priority="4328" operator="equal">
      <formula>"PTO"</formula>
    </cfRule>
  </conditionalFormatting>
  <conditionalFormatting sqref="U26">
    <cfRule type="cellIs" dxfId="18170" priority="4325" operator="equal">
      <formula>"OFF"</formula>
    </cfRule>
    <cfRule type="cellIs" dxfId="18169" priority="4326" operator="equal">
      <formula>"PTO"</formula>
    </cfRule>
  </conditionalFormatting>
  <conditionalFormatting sqref="U26">
    <cfRule type="cellIs" dxfId="18168" priority="4323" operator="equal">
      <formula>"OFF"</formula>
    </cfRule>
    <cfRule type="cellIs" dxfId="18167" priority="4324" operator="equal">
      <formula>"PTO"</formula>
    </cfRule>
  </conditionalFormatting>
  <conditionalFormatting sqref="U26">
    <cfRule type="cellIs" dxfId="18166" priority="4321" operator="equal">
      <formula>"OFF"</formula>
    </cfRule>
    <cfRule type="cellIs" dxfId="18165" priority="4322" operator="equal">
      <formula>"PTO"</formula>
    </cfRule>
  </conditionalFormatting>
  <conditionalFormatting sqref="U26">
    <cfRule type="cellIs" dxfId="18164" priority="4319" operator="equal">
      <formula>"OFF"</formula>
    </cfRule>
    <cfRule type="cellIs" dxfId="18163" priority="4320" operator="equal">
      <formula>"PTO"</formula>
    </cfRule>
  </conditionalFormatting>
  <conditionalFormatting sqref="U27">
    <cfRule type="cellIs" dxfId="18162" priority="4317" operator="equal">
      <formula>"OFF"</formula>
    </cfRule>
    <cfRule type="cellIs" dxfId="18161" priority="4318" operator="equal">
      <formula>"PTO"</formula>
    </cfRule>
  </conditionalFormatting>
  <conditionalFormatting sqref="U27">
    <cfRule type="cellIs" dxfId="18160" priority="4315" operator="equal">
      <formula>"OFF"</formula>
    </cfRule>
    <cfRule type="cellIs" dxfId="18159" priority="4316" operator="equal">
      <formula>"PTO"</formula>
    </cfRule>
  </conditionalFormatting>
  <conditionalFormatting sqref="U27">
    <cfRule type="cellIs" dxfId="18158" priority="4313" operator="equal">
      <formula>"OFF"</formula>
    </cfRule>
    <cfRule type="cellIs" dxfId="18157" priority="4314" operator="equal">
      <formula>"PTO"</formula>
    </cfRule>
  </conditionalFormatting>
  <conditionalFormatting sqref="U27">
    <cfRule type="cellIs" dxfId="18156" priority="4311" operator="equal">
      <formula>"OFF"</formula>
    </cfRule>
    <cfRule type="cellIs" dxfId="18155" priority="4312" operator="equal">
      <formula>"PTO"</formula>
    </cfRule>
  </conditionalFormatting>
  <conditionalFormatting sqref="U27">
    <cfRule type="cellIs" dxfId="18154" priority="4309" operator="equal">
      <formula>"OFF"</formula>
    </cfRule>
    <cfRule type="cellIs" dxfId="18153" priority="4310" operator="equal">
      <formula>"PTO"</formula>
    </cfRule>
  </conditionalFormatting>
  <conditionalFormatting sqref="U27">
    <cfRule type="cellIs" dxfId="18152" priority="4307" operator="equal">
      <formula>"OFF"</formula>
    </cfRule>
    <cfRule type="cellIs" dxfId="18151" priority="4308" operator="equal">
      <formula>"PTO"</formula>
    </cfRule>
  </conditionalFormatting>
  <conditionalFormatting sqref="U27">
    <cfRule type="cellIs" dxfId="18150" priority="4305" operator="equal">
      <formula>"OFF"</formula>
    </cfRule>
    <cfRule type="cellIs" dxfId="18149" priority="4306" operator="equal">
      <formula>"PTO"</formula>
    </cfRule>
  </conditionalFormatting>
  <conditionalFormatting sqref="U27">
    <cfRule type="cellIs" dxfId="18148" priority="4303" operator="equal">
      <formula>"OFF"</formula>
    </cfRule>
    <cfRule type="cellIs" dxfId="18147" priority="4304" operator="equal">
      <formula>"PTO"</formula>
    </cfRule>
  </conditionalFormatting>
  <conditionalFormatting sqref="U26">
    <cfRule type="cellIs" dxfId="18146" priority="4301" operator="equal">
      <formula>"OFF"</formula>
    </cfRule>
    <cfRule type="cellIs" dxfId="18145" priority="4302" operator="equal">
      <formula>"PTO"</formula>
    </cfRule>
  </conditionalFormatting>
  <conditionalFormatting sqref="U26">
    <cfRule type="cellIs" dxfId="18144" priority="4299" operator="equal">
      <formula>"OFF"</formula>
    </cfRule>
    <cfRule type="cellIs" dxfId="18143" priority="4300" operator="equal">
      <formula>"PTO"</formula>
    </cfRule>
  </conditionalFormatting>
  <conditionalFormatting sqref="U26">
    <cfRule type="cellIs" dxfId="18142" priority="4297" operator="equal">
      <formula>"OFF"</formula>
    </cfRule>
    <cfRule type="cellIs" dxfId="18141" priority="4298" operator="equal">
      <formula>"PTO"</formula>
    </cfRule>
  </conditionalFormatting>
  <conditionalFormatting sqref="U26">
    <cfRule type="cellIs" dxfId="18140" priority="4295" operator="equal">
      <formula>"OFF"</formula>
    </cfRule>
    <cfRule type="cellIs" dxfId="18139" priority="4296" operator="equal">
      <formula>"PTO"</formula>
    </cfRule>
  </conditionalFormatting>
  <conditionalFormatting sqref="U26">
    <cfRule type="cellIs" dxfId="18138" priority="4293" operator="equal">
      <formula>"OFF"</formula>
    </cfRule>
    <cfRule type="cellIs" dxfId="18137" priority="4294" operator="equal">
      <formula>"PTO"</formula>
    </cfRule>
  </conditionalFormatting>
  <conditionalFormatting sqref="U26">
    <cfRule type="cellIs" dxfId="18136" priority="4291" operator="equal">
      <formula>"OFF"</formula>
    </cfRule>
    <cfRule type="cellIs" dxfId="18135" priority="4292" operator="equal">
      <formula>"PTO"</formula>
    </cfRule>
  </conditionalFormatting>
  <conditionalFormatting sqref="U26">
    <cfRule type="cellIs" dxfId="18134" priority="4289" operator="equal">
      <formula>"OFF"</formula>
    </cfRule>
    <cfRule type="cellIs" dxfId="18133" priority="4290" operator="equal">
      <formula>"PTO"</formula>
    </cfRule>
  </conditionalFormatting>
  <conditionalFormatting sqref="U26">
    <cfRule type="cellIs" dxfId="18132" priority="4287" operator="equal">
      <formula>"OFF"</formula>
    </cfRule>
    <cfRule type="cellIs" dxfId="18131" priority="4288" operator="equal">
      <formula>"PTO"</formula>
    </cfRule>
  </conditionalFormatting>
  <conditionalFormatting sqref="U27">
    <cfRule type="cellIs" dxfId="18130" priority="4285" operator="equal">
      <formula>"OFF"</formula>
    </cfRule>
    <cfRule type="cellIs" dxfId="18129" priority="4286" operator="equal">
      <formula>"PTO"</formula>
    </cfRule>
  </conditionalFormatting>
  <conditionalFormatting sqref="U27">
    <cfRule type="cellIs" dxfId="18128" priority="4283" operator="equal">
      <formula>"OFF"</formula>
    </cfRule>
    <cfRule type="cellIs" dxfId="18127" priority="4284" operator="equal">
      <formula>"PTO"</formula>
    </cfRule>
  </conditionalFormatting>
  <conditionalFormatting sqref="U27">
    <cfRule type="cellIs" dxfId="18126" priority="4281" operator="equal">
      <formula>"OFF"</formula>
    </cfRule>
    <cfRule type="cellIs" dxfId="18125" priority="4282" operator="equal">
      <formula>"PTO"</formula>
    </cfRule>
  </conditionalFormatting>
  <conditionalFormatting sqref="U27">
    <cfRule type="cellIs" dxfId="18124" priority="4279" operator="equal">
      <formula>"OFF"</formula>
    </cfRule>
    <cfRule type="cellIs" dxfId="18123" priority="4280" operator="equal">
      <formula>"PTO"</formula>
    </cfRule>
  </conditionalFormatting>
  <conditionalFormatting sqref="U27">
    <cfRule type="cellIs" dxfId="18122" priority="4277" operator="equal">
      <formula>"OFF"</formula>
    </cfRule>
    <cfRule type="cellIs" dxfId="18121" priority="4278" operator="equal">
      <formula>"PTO"</formula>
    </cfRule>
  </conditionalFormatting>
  <conditionalFormatting sqref="U27">
    <cfRule type="cellIs" dxfId="18120" priority="4275" operator="equal">
      <formula>"OFF"</formula>
    </cfRule>
    <cfRule type="cellIs" dxfId="18119" priority="4276" operator="equal">
      <formula>"PTO"</formula>
    </cfRule>
  </conditionalFormatting>
  <conditionalFormatting sqref="U27">
    <cfRule type="cellIs" dxfId="18118" priority="4273" operator="equal">
      <formula>"OFF"</formula>
    </cfRule>
    <cfRule type="cellIs" dxfId="18117" priority="4274" operator="equal">
      <formula>"PTO"</formula>
    </cfRule>
  </conditionalFormatting>
  <conditionalFormatting sqref="U27">
    <cfRule type="cellIs" dxfId="18116" priority="4271" operator="equal">
      <formula>"OFF"</formula>
    </cfRule>
    <cfRule type="cellIs" dxfId="18115" priority="4272" operator="equal">
      <formula>"PTO"</formula>
    </cfRule>
  </conditionalFormatting>
  <conditionalFormatting sqref="U26">
    <cfRule type="cellIs" dxfId="18114" priority="4269" operator="equal">
      <formula>"OFF"</formula>
    </cfRule>
    <cfRule type="cellIs" dxfId="18113" priority="4270" operator="equal">
      <formula>"PTO"</formula>
    </cfRule>
  </conditionalFormatting>
  <conditionalFormatting sqref="U26">
    <cfRule type="cellIs" dxfId="18112" priority="4267" operator="equal">
      <formula>"OFF"</formula>
    </cfRule>
    <cfRule type="cellIs" dxfId="18111" priority="4268" operator="equal">
      <formula>"PTO"</formula>
    </cfRule>
  </conditionalFormatting>
  <conditionalFormatting sqref="U26">
    <cfRule type="cellIs" dxfId="18110" priority="4265" operator="equal">
      <formula>"OFF"</formula>
    </cfRule>
    <cfRule type="cellIs" dxfId="18109" priority="4266" operator="equal">
      <formula>"PTO"</formula>
    </cfRule>
  </conditionalFormatting>
  <conditionalFormatting sqref="U26">
    <cfRule type="cellIs" dxfId="18108" priority="4263" operator="equal">
      <formula>"OFF"</formula>
    </cfRule>
    <cfRule type="cellIs" dxfId="18107" priority="4264" operator="equal">
      <formula>"PTO"</formula>
    </cfRule>
  </conditionalFormatting>
  <conditionalFormatting sqref="U26">
    <cfRule type="cellIs" dxfId="18106" priority="4261" operator="equal">
      <formula>"OFF"</formula>
    </cfRule>
    <cfRule type="cellIs" dxfId="18105" priority="4262" operator="equal">
      <formula>"PTO"</formula>
    </cfRule>
  </conditionalFormatting>
  <conditionalFormatting sqref="U26">
    <cfRule type="cellIs" dxfId="18104" priority="4259" operator="equal">
      <formula>"OFF"</formula>
    </cfRule>
    <cfRule type="cellIs" dxfId="18103" priority="4260" operator="equal">
      <formula>"PTO"</formula>
    </cfRule>
  </conditionalFormatting>
  <conditionalFormatting sqref="U26">
    <cfRule type="cellIs" dxfId="18102" priority="4257" operator="equal">
      <formula>"OFF"</formula>
    </cfRule>
    <cfRule type="cellIs" dxfId="18101" priority="4258" operator="equal">
      <formula>"PTO"</formula>
    </cfRule>
  </conditionalFormatting>
  <conditionalFormatting sqref="U26">
    <cfRule type="cellIs" dxfId="18100" priority="4255" operator="equal">
      <formula>"OFF"</formula>
    </cfRule>
    <cfRule type="cellIs" dxfId="18099" priority="4256" operator="equal">
      <formula>"PTO"</formula>
    </cfRule>
  </conditionalFormatting>
  <conditionalFormatting sqref="U27">
    <cfRule type="cellIs" dxfId="18098" priority="4253" operator="equal">
      <formula>"OFF"</formula>
    </cfRule>
    <cfRule type="cellIs" dxfId="18097" priority="4254" operator="equal">
      <formula>"PTO"</formula>
    </cfRule>
  </conditionalFormatting>
  <conditionalFormatting sqref="U27">
    <cfRule type="cellIs" dxfId="18096" priority="4251" operator="equal">
      <formula>"OFF"</formula>
    </cfRule>
    <cfRule type="cellIs" dxfId="18095" priority="4252" operator="equal">
      <formula>"PTO"</formula>
    </cfRule>
  </conditionalFormatting>
  <conditionalFormatting sqref="U27">
    <cfRule type="cellIs" dxfId="18094" priority="4249" operator="equal">
      <formula>"OFF"</formula>
    </cfRule>
    <cfRule type="cellIs" dxfId="18093" priority="4250" operator="equal">
      <formula>"PTO"</formula>
    </cfRule>
  </conditionalFormatting>
  <conditionalFormatting sqref="U27">
    <cfRule type="cellIs" dxfId="18092" priority="4247" operator="equal">
      <formula>"OFF"</formula>
    </cfRule>
    <cfRule type="cellIs" dxfId="18091" priority="4248" operator="equal">
      <formula>"PTO"</formula>
    </cfRule>
  </conditionalFormatting>
  <conditionalFormatting sqref="U27">
    <cfRule type="cellIs" dxfId="18090" priority="4245" operator="equal">
      <formula>"OFF"</formula>
    </cfRule>
    <cfRule type="cellIs" dxfId="18089" priority="4246" operator="equal">
      <formula>"PTO"</formula>
    </cfRule>
  </conditionalFormatting>
  <conditionalFormatting sqref="U27">
    <cfRule type="cellIs" dxfId="18088" priority="4243" operator="equal">
      <formula>"OFF"</formula>
    </cfRule>
    <cfRule type="cellIs" dxfId="18087" priority="4244" operator="equal">
      <formula>"PTO"</formula>
    </cfRule>
  </conditionalFormatting>
  <conditionalFormatting sqref="U27">
    <cfRule type="cellIs" dxfId="18086" priority="4241" operator="equal">
      <formula>"OFF"</formula>
    </cfRule>
    <cfRule type="cellIs" dxfId="18085" priority="4242" operator="equal">
      <formula>"PTO"</formula>
    </cfRule>
  </conditionalFormatting>
  <conditionalFormatting sqref="U27">
    <cfRule type="cellIs" dxfId="18084" priority="4239" operator="equal">
      <formula>"OFF"</formula>
    </cfRule>
    <cfRule type="cellIs" dxfId="18083" priority="4240" operator="equal">
      <formula>"PTO"</formula>
    </cfRule>
  </conditionalFormatting>
  <conditionalFormatting sqref="U26">
    <cfRule type="cellIs" dxfId="18082" priority="4237" operator="equal">
      <formula>"OFF"</formula>
    </cfRule>
    <cfRule type="cellIs" dxfId="18081" priority="4238" operator="equal">
      <formula>"PTO"</formula>
    </cfRule>
  </conditionalFormatting>
  <conditionalFormatting sqref="U26">
    <cfRule type="cellIs" dxfId="18080" priority="4235" operator="equal">
      <formula>"OFF"</formula>
    </cfRule>
    <cfRule type="cellIs" dxfId="18079" priority="4236" operator="equal">
      <formula>"PTO"</formula>
    </cfRule>
  </conditionalFormatting>
  <conditionalFormatting sqref="U26">
    <cfRule type="cellIs" dxfId="18078" priority="4233" operator="equal">
      <formula>"OFF"</formula>
    </cfRule>
    <cfRule type="cellIs" dxfId="18077" priority="4234" operator="equal">
      <formula>"PTO"</formula>
    </cfRule>
  </conditionalFormatting>
  <conditionalFormatting sqref="U26">
    <cfRule type="cellIs" dxfId="18076" priority="4231" operator="equal">
      <formula>"OFF"</formula>
    </cfRule>
    <cfRule type="cellIs" dxfId="18075" priority="4232" operator="equal">
      <formula>"PTO"</formula>
    </cfRule>
  </conditionalFormatting>
  <conditionalFormatting sqref="U26">
    <cfRule type="cellIs" dxfId="18074" priority="4229" operator="equal">
      <formula>"OFF"</formula>
    </cfRule>
    <cfRule type="cellIs" dxfId="18073" priority="4230" operator="equal">
      <formula>"PTO"</formula>
    </cfRule>
  </conditionalFormatting>
  <conditionalFormatting sqref="U26">
    <cfRule type="cellIs" dxfId="18072" priority="4227" operator="equal">
      <formula>"OFF"</formula>
    </cfRule>
    <cfRule type="cellIs" dxfId="18071" priority="4228" operator="equal">
      <formula>"PTO"</formula>
    </cfRule>
  </conditionalFormatting>
  <conditionalFormatting sqref="U26">
    <cfRule type="cellIs" dxfId="18070" priority="4225" operator="equal">
      <formula>"OFF"</formula>
    </cfRule>
    <cfRule type="cellIs" dxfId="18069" priority="4226" operator="equal">
      <formula>"PTO"</formula>
    </cfRule>
  </conditionalFormatting>
  <conditionalFormatting sqref="U26">
    <cfRule type="cellIs" dxfId="18068" priority="4223" operator="equal">
      <formula>"OFF"</formula>
    </cfRule>
    <cfRule type="cellIs" dxfId="18067" priority="4224" operator="equal">
      <formula>"PTO"</formula>
    </cfRule>
  </conditionalFormatting>
  <conditionalFormatting sqref="U27">
    <cfRule type="cellIs" dxfId="18066" priority="4221" operator="equal">
      <formula>"OFF"</formula>
    </cfRule>
    <cfRule type="cellIs" dxfId="18065" priority="4222" operator="equal">
      <formula>"PTO"</formula>
    </cfRule>
  </conditionalFormatting>
  <conditionalFormatting sqref="U27">
    <cfRule type="cellIs" dxfId="18064" priority="4219" operator="equal">
      <formula>"OFF"</formula>
    </cfRule>
    <cfRule type="cellIs" dxfId="18063" priority="4220" operator="equal">
      <formula>"PTO"</formula>
    </cfRule>
  </conditionalFormatting>
  <conditionalFormatting sqref="U27">
    <cfRule type="cellIs" dxfId="18062" priority="4217" operator="equal">
      <formula>"OFF"</formula>
    </cfRule>
    <cfRule type="cellIs" dxfId="18061" priority="4218" operator="equal">
      <formula>"PTO"</formula>
    </cfRule>
  </conditionalFormatting>
  <conditionalFormatting sqref="U27">
    <cfRule type="cellIs" dxfId="18060" priority="4215" operator="equal">
      <formula>"OFF"</formula>
    </cfRule>
    <cfRule type="cellIs" dxfId="18059" priority="4216" operator="equal">
      <formula>"PTO"</formula>
    </cfRule>
  </conditionalFormatting>
  <conditionalFormatting sqref="U27">
    <cfRule type="cellIs" dxfId="18058" priority="4213" operator="equal">
      <formula>"OFF"</formula>
    </cfRule>
    <cfRule type="cellIs" dxfId="18057" priority="4214" operator="equal">
      <formula>"PTO"</formula>
    </cfRule>
  </conditionalFormatting>
  <conditionalFormatting sqref="U27">
    <cfRule type="cellIs" dxfId="18056" priority="4211" operator="equal">
      <formula>"OFF"</formula>
    </cfRule>
    <cfRule type="cellIs" dxfId="18055" priority="4212" operator="equal">
      <formula>"PTO"</formula>
    </cfRule>
  </conditionalFormatting>
  <conditionalFormatting sqref="U27">
    <cfRule type="cellIs" dxfId="18054" priority="4209" operator="equal">
      <formula>"OFF"</formula>
    </cfRule>
    <cfRule type="cellIs" dxfId="18053" priority="4210" operator="equal">
      <formula>"PTO"</formula>
    </cfRule>
  </conditionalFormatting>
  <conditionalFormatting sqref="U27">
    <cfRule type="cellIs" dxfId="18052" priority="4207" operator="equal">
      <formula>"OFF"</formula>
    </cfRule>
    <cfRule type="cellIs" dxfId="18051" priority="4208" operator="equal">
      <formula>"PTO"</formula>
    </cfRule>
  </conditionalFormatting>
  <conditionalFormatting sqref="U26">
    <cfRule type="cellIs" dxfId="18050" priority="4205" operator="equal">
      <formula>"OFF"</formula>
    </cfRule>
    <cfRule type="cellIs" dxfId="18049" priority="4206" operator="equal">
      <formula>"PTO"</formula>
    </cfRule>
  </conditionalFormatting>
  <conditionalFormatting sqref="U26">
    <cfRule type="cellIs" dxfId="18048" priority="4203" operator="equal">
      <formula>"OFF"</formula>
    </cfRule>
    <cfRule type="cellIs" dxfId="18047" priority="4204" operator="equal">
      <formula>"PTO"</formula>
    </cfRule>
  </conditionalFormatting>
  <conditionalFormatting sqref="U26">
    <cfRule type="cellIs" dxfId="18046" priority="4201" operator="equal">
      <formula>"OFF"</formula>
    </cfRule>
    <cfRule type="cellIs" dxfId="18045" priority="4202" operator="equal">
      <formula>"PTO"</formula>
    </cfRule>
  </conditionalFormatting>
  <conditionalFormatting sqref="U26">
    <cfRule type="cellIs" dxfId="18044" priority="4199" operator="equal">
      <formula>"OFF"</formula>
    </cfRule>
    <cfRule type="cellIs" dxfId="18043" priority="4200" operator="equal">
      <formula>"PTO"</formula>
    </cfRule>
  </conditionalFormatting>
  <conditionalFormatting sqref="U26">
    <cfRule type="cellIs" dxfId="18042" priority="4197" operator="equal">
      <formula>"OFF"</formula>
    </cfRule>
    <cfRule type="cellIs" dxfId="18041" priority="4198" operator="equal">
      <formula>"PTO"</formula>
    </cfRule>
  </conditionalFormatting>
  <conditionalFormatting sqref="U26">
    <cfRule type="cellIs" dxfId="18040" priority="4195" operator="equal">
      <formula>"OFF"</formula>
    </cfRule>
    <cfRule type="cellIs" dxfId="18039" priority="4196" operator="equal">
      <formula>"PTO"</formula>
    </cfRule>
  </conditionalFormatting>
  <conditionalFormatting sqref="U26">
    <cfRule type="cellIs" dxfId="18038" priority="4193" operator="equal">
      <formula>"OFF"</formula>
    </cfRule>
    <cfRule type="cellIs" dxfId="18037" priority="4194" operator="equal">
      <formula>"PTO"</formula>
    </cfRule>
  </conditionalFormatting>
  <conditionalFormatting sqref="U26">
    <cfRule type="cellIs" dxfId="18036" priority="4191" operator="equal">
      <formula>"OFF"</formula>
    </cfRule>
    <cfRule type="cellIs" dxfId="18035" priority="4192" operator="equal">
      <formula>"PTO"</formula>
    </cfRule>
  </conditionalFormatting>
  <conditionalFormatting sqref="U27">
    <cfRule type="cellIs" dxfId="18034" priority="4189" operator="equal">
      <formula>"OFF"</formula>
    </cfRule>
    <cfRule type="cellIs" dxfId="18033" priority="4190" operator="equal">
      <formula>"PTO"</formula>
    </cfRule>
  </conditionalFormatting>
  <conditionalFormatting sqref="U27">
    <cfRule type="cellIs" dxfId="18032" priority="4187" operator="equal">
      <formula>"OFF"</formula>
    </cfRule>
    <cfRule type="cellIs" dxfId="18031" priority="4188" operator="equal">
      <formula>"PTO"</formula>
    </cfRule>
  </conditionalFormatting>
  <conditionalFormatting sqref="U27">
    <cfRule type="cellIs" dxfId="18030" priority="4185" operator="equal">
      <formula>"OFF"</formula>
    </cfRule>
    <cfRule type="cellIs" dxfId="18029" priority="4186" operator="equal">
      <formula>"PTO"</formula>
    </cfRule>
  </conditionalFormatting>
  <conditionalFormatting sqref="U27">
    <cfRule type="cellIs" dxfId="18028" priority="4183" operator="equal">
      <formula>"OFF"</formula>
    </cfRule>
    <cfRule type="cellIs" dxfId="18027" priority="4184" operator="equal">
      <formula>"PTO"</formula>
    </cfRule>
  </conditionalFormatting>
  <conditionalFormatting sqref="U27">
    <cfRule type="cellIs" dxfId="18026" priority="4181" operator="equal">
      <formula>"OFF"</formula>
    </cfRule>
    <cfRule type="cellIs" dxfId="18025" priority="4182" operator="equal">
      <formula>"PTO"</formula>
    </cfRule>
  </conditionalFormatting>
  <conditionalFormatting sqref="U27">
    <cfRule type="cellIs" dxfId="18024" priority="4179" operator="equal">
      <formula>"OFF"</formula>
    </cfRule>
    <cfRule type="cellIs" dxfId="18023" priority="4180" operator="equal">
      <formula>"PTO"</formula>
    </cfRule>
  </conditionalFormatting>
  <conditionalFormatting sqref="U27">
    <cfRule type="cellIs" dxfId="18022" priority="4177" operator="equal">
      <formula>"OFF"</formula>
    </cfRule>
    <cfRule type="cellIs" dxfId="18021" priority="4178" operator="equal">
      <formula>"PTO"</formula>
    </cfRule>
  </conditionalFormatting>
  <conditionalFormatting sqref="U27">
    <cfRule type="cellIs" dxfId="18020" priority="4175" operator="equal">
      <formula>"OFF"</formula>
    </cfRule>
    <cfRule type="cellIs" dxfId="18019" priority="4176" operator="equal">
      <formula>"PTO"</formula>
    </cfRule>
  </conditionalFormatting>
  <conditionalFormatting sqref="U26">
    <cfRule type="cellIs" dxfId="18018" priority="4173" operator="equal">
      <formula>"OFF"</formula>
    </cfRule>
    <cfRule type="cellIs" dxfId="18017" priority="4174" operator="equal">
      <formula>"PTO"</formula>
    </cfRule>
  </conditionalFormatting>
  <conditionalFormatting sqref="U26">
    <cfRule type="cellIs" dxfId="18016" priority="4171" operator="equal">
      <formula>"OFF"</formula>
    </cfRule>
    <cfRule type="cellIs" dxfId="18015" priority="4172" operator="equal">
      <formula>"PTO"</formula>
    </cfRule>
  </conditionalFormatting>
  <conditionalFormatting sqref="U26">
    <cfRule type="cellIs" dxfId="18014" priority="4169" operator="equal">
      <formula>"OFF"</formula>
    </cfRule>
    <cfRule type="cellIs" dxfId="18013" priority="4170" operator="equal">
      <formula>"PTO"</formula>
    </cfRule>
  </conditionalFormatting>
  <conditionalFormatting sqref="U26">
    <cfRule type="cellIs" dxfId="18012" priority="4167" operator="equal">
      <formula>"OFF"</formula>
    </cfRule>
    <cfRule type="cellIs" dxfId="18011" priority="4168" operator="equal">
      <formula>"PTO"</formula>
    </cfRule>
  </conditionalFormatting>
  <conditionalFormatting sqref="U26">
    <cfRule type="cellIs" dxfId="18010" priority="4165" operator="equal">
      <formula>"OFF"</formula>
    </cfRule>
    <cfRule type="cellIs" dxfId="18009" priority="4166" operator="equal">
      <formula>"PTO"</formula>
    </cfRule>
  </conditionalFormatting>
  <conditionalFormatting sqref="U26">
    <cfRule type="cellIs" dxfId="18008" priority="4163" operator="equal">
      <formula>"OFF"</formula>
    </cfRule>
    <cfRule type="cellIs" dxfId="18007" priority="4164" operator="equal">
      <formula>"PTO"</formula>
    </cfRule>
  </conditionalFormatting>
  <conditionalFormatting sqref="U26">
    <cfRule type="cellIs" dxfId="18006" priority="4161" operator="equal">
      <formula>"OFF"</formula>
    </cfRule>
    <cfRule type="cellIs" dxfId="18005" priority="4162" operator="equal">
      <formula>"PTO"</formula>
    </cfRule>
  </conditionalFormatting>
  <conditionalFormatting sqref="U26">
    <cfRule type="cellIs" dxfId="18004" priority="4159" operator="equal">
      <formula>"OFF"</formula>
    </cfRule>
    <cfRule type="cellIs" dxfId="18003" priority="4160" operator="equal">
      <formula>"PTO"</formula>
    </cfRule>
  </conditionalFormatting>
  <conditionalFormatting sqref="U27">
    <cfRule type="cellIs" dxfId="18002" priority="4157" operator="equal">
      <formula>"OFF"</formula>
    </cfRule>
    <cfRule type="cellIs" dxfId="18001" priority="4158" operator="equal">
      <formula>"PTO"</formula>
    </cfRule>
  </conditionalFormatting>
  <conditionalFormatting sqref="U27">
    <cfRule type="cellIs" dxfId="18000" priority="4155" operator="equal">
      <formula>"OFF"</formula>
    </cfRule>
    <cfRule type="cellIs" dxfId="17999" priority="4156" operator="equal">
      <formula>"PTO"</formula>
    </cfRule>
  </conditionalFormatting>
  <conditionalFormatting sqref="U27">
    <cfRule type="cellIs" dxfId="17998" priority="4153" operator="equal">
      <formula>"OFF"</formula>
    </cfRule>
    <cfRule type="cellIs" dxfId="17997" priority="4154" operator="equal">
      <formula>"PTO"</formula>
    </cfRule>
  </conditionalFormatting>
  <conditionalFormatting sqref="U27">
    <cfRule type="cellIs" dxfId="17996" priority="4151" operator="equal">
      <formula>"OFF"</formula>
    </cfRule>
    <cfRule type="cellIs" dxfId="17995" priority="4152" operator="equal">
      <formula>"PTO"</formula>
    </cfRule>
  </conditionalFormatting>
  <conditionalFormatting sqref="U27">
    <cfRule type="cellIs" dxfId="17994" priority="4149" operator="equal">
      <formula>"OFF"</formula>
    </cfRule>
    <cfRule type="cellIs" dxfId="17993" priority="4150" operator="equal">
      <formula>"PTO"</formula>
    </cfRule>
  </conditionalFormatting>
  <conditionalFormatting sqref="U27">
    <cfRule type="cellIs" dxfId="17992" priority="4147" operator="equal">
      <formula>"OFF"</formula>
    </cfRule>
    <cfRule type="cellIs" dxfId="17991" priority="4148" operator="equal">
      <formula>"PTO"</formula>
    </cfRule>
  </conditionalFormatting>
  <conditionalFormatting sqref="U27">
    <cfRule type="cellIs" dxfId="17990" priority="4145" operator="equal">
      <formula>"OFF"</formula>
    </cfRule>
    <cfRule type="cellIs" dxfId="17989" priority="4146" operator="equal">
      <formula>"PTO"</formula>
    </cfRule>
  </conditionalFormatting>
  <conditionalFormatting sqref="U27">
    <cfRule type="cellIs" dxfId="17988" priority="4143" operator="equal">
      <formula>"OFF"</formula>
    </cfRule>
    <cfRule type="cellIs" dxfId="17987" priority="4144" operator="equal">
      <formula>"PTO"</formula>
    </cfRule>
  </conditionalFormatting>
  <conditionalFormatting sqref="U26">
    <cfRule type="cellIs" dxfId="17986" priority="4141" operator="equal">
      <formula>"OFF"</formula>
    </cfRule>
    <cfRule type="cellIs" dxfId="17985" priority="4142" operator="equal">
      <formula>"PTO"</formula>
    </cfRule>
  </conditionalFormatting>
  <conditionalFormatting sqref="U26">
    <cfRule type="cellIs" dxfId="17984" priority="4139" operator="equal">
      <formula>"OFF"</formula>
    </cfRule>
    <cfRule type="cellIs" dxfId="17983" priority="4140" operator="equal">
      <formula>"PTO"</formula>
    </cfRule>
  </conditionalFormatting>
  <conditionalFormatting sqref="U26">
    <cfRule type="cellIs" dxfId="17982" priority="4137" operator="equal">
      <formula>"OFF"</formula>
    </cfRule>
    <cfRule type="cellIs" dxfId="17981" priority="4138" operator="equal">
      <formula>"PTO"</formula>
    </cfRule>
  </conditionalFormatting>
  <conditionalFormatting sqref="U26">
    <cfRule type="cellIs" dxfId="17980" priority="4135" operator="equal">
      <formula>"OFF"</formula>
    </cfRule>
    <cfRule type="cellIs" dxfId="17979" priority="4136" operator="equal">
      <formula>"PTO"</formula>
    </cfRule>
  </conditionalFormatting>
  <conditionalFormatting sqref="U26">
    <cfRule type="cellIs" dxfId="17978" priority="4133" operator="equal">
      <formula>"OFF"</formula>
    </cfRule>
    <cfRule type="cellIs" dxfId="17977" priority="4134" operator="equal">
      <formula>"PTO"</formula>
    </cfRule>
  </conditionalFormatting>
  <conditionalFormatting sqref="U26">
    <cfRule type="cellIs" dxfId="17976" priority="4131" operator="equal">
      <formula>"OFF"</formula>
    </cfRule>
    <cfRule type="cellIs" dxfId="17975" priority="4132" operator="equal">
      <formula>"PTO"</formula>
    </cfRule>
  </conditionalFormatting>
  <conditionalFormatting sqref="U26">
    <cfRule type="cellIs" dxfId="17974" priority="4129" operator="equal">
      <formula>"OFF"</formula>
    </cfRule>
    <cfRule type="cellIs" dxfId="17973" priority="4130" operator="equal">
      <formula>"PTO"</formula>
    </cfRule>
  </conditionalFormatting>
  <conditionalFormatting sqref="U26">
    <cfRule type="cellIs" dxfId="17972" priority="4127" operator="equal">
      <formula>"OFF"</formula>
    </cfRule>
    <cfRule type="cellIs" dxfId="17971" priority="4128" operator="equal">
      <formula>"PTO"</formula>
    </cfRule>
  </conditionalFormatting>
  <conditionalFormatting sqref="U27">
    <cfRule type="cellIs" dxfId="17970" priority="4125" operator="equal">
      <formula>"OFF"</formula>
    </cfRule>
    <cfRule type="cellIs" dxfId="17969" priority="4126" operator="equal">
      <formula>"PTO"</formula>
    </cfRule>
  </conditionalFormatting>
  <conditionalFormatting sqref="U27">
    <cfRule type="cellIs" dxfId="17968" priority="4123" operator="equal">
      <formula>"OFF"</formula>
    </cfRule>
    <cfRule type="cellIs" dxfId="17967" priority="4124" operator="equal">
      <formula>"PTO"</formula>
    </cfRule>
  </conditionalFormatting>
  <conditionalFormatting sqref="U27">
    <cfRule type="cellIs" dxfId="17966" priority="4121" operator="equal">
      <formula>"OFF"</formula>
    </cfRule>
    <cfRule type="cellIs" dxfId="17965" priority="4122" operator="equal">
      <formula>"PTO"</formula>
    </cfRule>
  </conditionalFormatting>
  <conditionalFormatting sqref="U27">
    <cfRule type="cellIs" dxfId="17964" priority="4119" operator="equal">
      <formula>"OFF"</formula>
    </cfRule>
    <cfRule type="cellIs" dxfId="17963" priority="4120" operator="equal">
      <formula>"PTO"</formula>
    </cfRule>
  </conditionalFormatting>
  <conditionalFormatting sqref="U27">
    <cfRule type="cellIs" dxfId="17962" priority="4117" operator="equal">
      <formula>"OFF"</formula>
    </cfRule>
    <cfRule type="cellIs" dxfId="17961" priority="4118" operator="equal">
      <formula>"PTO"</formula>
    </cfRule>
  </conditionalFormatting>
  <conditionalFormatting sqref="U27">
    <cfRule type="cellIs" dxfId="17960" priority="4115" operator="equal">
      <formula>"OFF"</formula>
    </cfRule>
    <cfRule type="cellIs" dxfId="17959" priority="4116" operator="equal">
      <formula>"PTO"</formula>
    </cfRule>
  </conditionalFormatting>
  <conditionalFormatting sqref="U27">
    <cfRule type="cellIs" dxfId="17958" priority="4113" operator="equal">
      <formula>"OFF"</formula>
    </cfRule>
    <cfRule type="cellIs" dxfId="17957" priority="4114" operator="equal">
      <formula>"PTO"</formula>
    </cfRule>
  </conditionalFormatting>
  <conditionalFormatting sqref="U27">
    <cfRule type="cellIs" dxfId="17956" priority="4111" operator="equal">
      <formula>"OFF"</formula>
    </cfRule>
    <cfRule type="cellIs" dxfId="17955" priority="4112" operator="equal">
      <formula>"PTO"</formula>
    </cfRule>
  </conditionalFormatting>
  <conditionalFormatting sqref="U29">
    <cfRule type="cellIs" dxfId="17954" priority="4109" operator="equal">
      <formula>"OFF"</formula>
    </cfRule>
    <cfRule type="cellIs" dxfId="17953" priority="4110" operator="equal">
      <formula>"PTO"</formula>
    </cfRule>
  </conditionalFormatting>
  <conditionalFormatting sqref="U29">
    <cfRule type="cellIs" dxfId="17952" priority="4107" operator="equal">
      <formula>"OFF"</formula>
    </cfRule>
    <cfRule type="cellIs" dxfId="17951" priority="4108" operator="equal">
      <formula>"PTO"</formula>
    </cfRule>
  </conditionalFormatting>
  <conditionalFormatting sqref="U29">
    <cfRule type="cellIs" dxfId="17950" priority="4105" operator="equal">
      <formula>"OFF"</formula>
    </cfRule>
    <cfRule type="cellIs" dxfId="17949" priority="4106" operator="equal">
      <formula>"PTO"</formula>
    </cfRule>
  </conditionalFormatting>
  <conditionalFormatting sqref="U29">
    <cfRule type="cellIs" dxfId="17948" priority="4103" operator="equal">
      <formula>"OFF"</formula>
    </cfRule>
    <cfRule type="cellIs" dxfId="17947" priority="4104" operator="equal">
      <formula>"PTO"</formula>
    </cfRule>
  </conditionalFormatting>
  <conditionalFormatting sqref="U29">
    <cfRule type="cellIs" dxfId="17946" priority="4101" operator="equal">
      <formula>"OFF"</formula>
    </cfRule>
    <cfRule type="cellIs" dxfId="17945" priority="4102" operator="equal">
      <formula>"PTO"</formula>
    </cfRule>
  </conditionalFormatting>
  <conditionalFormatting sqref="U29">
    <cfRule type="cellIs" dxfId="17944" priority="4099" operator="equal">
      <formula>"OFF"</formula>
    </cfRule>
    <cfRule type="cellIs" dxfId="17943" priority="4100" operator="equal">
      <formula>"PTO"</formula>
    </cfRule>
  </conditionalFormatting>
  <conditionalFormatting sqref="U29">
    <cfRule type="cellIs" dxfId="17942" priority="4097" operator="equal">
      <formula>"OFF"</formula>
    </cfRule>
    <cfRule type="cellIs" dxfId="17941" priority="4098" operator="equal">
      <formula>"PTO"</formula>
    </cfRule>
  </conditionalFormatting>
  <conditionalFormatting sqref="U29">
    <cfRule type="cellIs" dxfId="17940" priority="4095" operator="equal">
      <formula>"OFF"</formula>
    </cfRule>
    <cfRule type="cellIs" dxfId="17939" priority="4096" operator="equal">
      <formula>"PTO"</formula>
    </cfRule>
  </conditionalFormatting>
  <conditionalFormatting sqref="U29">
    <cfRule type="cellIs" dxfId="17938" priority="4093" operator="equal">
      <formula>"OFF"</formula>
    </cfRule>
    <cfRule type="cellIs" dxfId="17937" priority="4094" operator="equal">
      <formula>"PTO"</formula>
    </cfRule>
  </conditionalFormatting>
  <conditionalFormatting sqref="U29">
    <cfRule type="cellIs" dxfId="17936" priority="4091" operator="equal">
      <formula>"OFF"</formula>
    </cfRule>
    <cfRule type="cellIs" dxfId="17935" priority="4092" operator="equal">
      <formula>"PTO"</formula>
    </cfRule>
  </conditionalFormatting>
  <conditionalFormatting sqref="U29">
    <cfRule type="cellIs" dxfId="17934" priority="4089" operator="equal">
      <formula>"OFF"</formula>
    </cfRule>
    <cfRule type="cellIs" dxfId="17933" priority="4090" operator="equal">
      <formula>"PTO"</formula>
    </cfRule>
  </conditionalFormatting>
  <conditionalFormatting sqref="U29">
    <cfRule type="cellIs" dxfId="17932" priority="4087" operator="equal">
      <formula>"OFF"</formula>
    </cfRule>
    <cfRule type="cellIs" dxfId="17931" priority="4088" operator="equal">
      <formula>"PTO"</formula>
    </cfRule>
  </conditionalFormatting>
  <conditionalFormatting sqref="U29">
    <cfRule type="cellIs" dxfId="17930" priority="4085" operator="equal">
      <formula>"OFF"</formula>
    </cfRule>
    <cfRule type="cellIs" dxfId="17929" priority="4086" operator="equal">
      <formula>"PTO"</formula>
    </cfRule>
  </conditionalFormatting>
  <conditionalFormatting sqref="U29">
    <cfRule type="cellIs" dxfId="17928" priority="4083" operator="equal">
      <formula>"OFF"</formula>
    </cfRule>
    <cfRule type="cellIs" dxfId="17927" priority="4084" operator="equal">
      <formula>"PTO"</formula>
    </cfRule>
  </conditionalFormatting>
  <conditionalFormatting sqref="U29">
    <cfRule type="cellIs" dxfId="17926" priority="4081" operator="equal">
      <formula>"OFF"</formula>
    </cfRule>
    <cfRule type="cellIs" dxfId="17925" priority="4082" operator="equal">
      <formula>"PTO"</formula>
    </cfRule>
  </conditionalFormatting>
  <conditionalFormatting sqref="U29">
    <cfRule type="cellIs" dxfId="17924" priority="4079" operator="equal">
      <formula>"OFF"</formula>
    </cfRule>
    <cfRule type="cellIs" dxfId="17923" priority="4080" operator="equal">
      <formula>"PTO"</formula>
    </cfRule>
  </conditionalFormatting>
  <conditionalFormatting sqref="U29">
    <cfRule type="cellIs" dxfId="17922" priority="4077" operator="equal">
      <formula>"OFF"</formula>
    </cfRule>
    <cfRule type="cellIs" dxfId="17921" priority="4078" operator="equal">
      <formula>"PTO"</formula>
    </cfRule>
  </conditionalFormatting>
  <conditionalFormatting sqref="U29">
    <cfRule type="cellIs" dxfId="17920" priority="4075" operator="equal">
      <formula>"OFF"</formula>
    </cfRule>
    <cfRule type="cellIs" dxfId="17919" priority="4076" operator="equal">
      <formula>"PTO"</formula>
    </cfRule>
  </conditionalFormatting>
  <conditionalFormatting sqref="U29">
    <cfRule type="cellIs" dxfId="17918" priority="4073" operator="equal">
      <formula>"OFF"</formula>
    </cfRule>
    <cfRule type="cellIs" dxfId="17917" priority="4074" operator="equal">
      <formula>"PTO"</formula>
    </cfRule>
  </conditionalFormatting>
  <conditionalFormatting sqref="U29">
    <cfRule type="cellIs" dxfId="17916" priority="4071" operator="equal">
      <formula>"OFF"</formula>
    </cfRule>
    <cfRule type="cellIs" dxfId="17915" priority="4072" operator="equal">
      <formula>"PTO"</formula>
    </cfRule>
  </conditionalFormatting>
  <conditionalFormatting sqref="U29">
    <cfRule type="cellIs" dxfId="17914" priority="4069" operator="equal">
      <formula>"OFF"</formula>
    </cfRule>
    <cfRule type="cellIs" dxfId="17913" priority="4070" operator="equal">
      <formula>"PTO"</formula>
    </cfRule>
  </conditionalFormatting>
  <conditionalFormatting sqref="U29">
    <cfRule type="cellIs" dxfId="17912" priority="4067" operator="equal">
      <formula>"OFF"</formula>
    </cfRule>
    <cfRule type="cellIs" dxfId="17911" priority="4068" operator="equal">
      <formula>"PTO"</formula>
    </cfRule>
  </conditionalFormatting>
  <conditionalFormatting sqref="U29">
    <cfRule type="cellIs" dxfId="17910" priority="4065" operator="equal">
      <formula>"OFF"</formula>
    </cfRule>
    <cfRule type="cellIs" dxfId="17909" priority="4066" operator="equal">
      <formula>"PTO"</formula>
    </cfRule>
  </conditionalFormatting>
  <conditionalFormatting sqref="U29">
    <cfRule type="cellIs" dxfId="17908" priority="4063" operator="equal">
      <formula>"OFF"</formula>
    </cfRule>
    <cfRule type="cellIs" dxfId="17907" priority="4064" operator="equal">
      <formula>"PTO"</formula>
    </cfRule>
  </conditionalFormatting>
  <conditionalFormatting sqref="U29">
    <cfRule type="cellIs" dxfId="17906" priority="4061" operator="equal">
      <formula>"OFF"</formula>
    </cfRule>
    <cfRule type="cellIs" dxfId="17905" priority="4062" operator="equal">
      <formula>"PTO"</formula>
    </cfRule>
  </conditionalFormatting>
  <conditionalFormatting sqref="U29">
    <cfRule type="cellIs" dxfId="17904" priority="4059" operator="equal">
      <formula>"OFF"</formula>
    </cfRule>
    <cfRule type="cellIs" dxfId="17903" priority="4060" operator="equal">
      <formula>"PTO"</formula>
    </cfRule>
  </conditionalFormatting>
  <conditionalFormatting sqref="U29">
    <cfRule type="cellIs" dxfId="17902" priority="4057" operator="equal">
      <formula>"OFF"</formula>
    </cfRule>
    <cfRule type="cellIs" dxfId="17901" priority="4058" operator="equal">
      <formula>"PTO"</formula>
    </cfRule>
  </conditionalFormatting>
  <conditionalFormatting sqref="U29">
    <cfRule type="cellIs" dxfId="17900" priority="4055" operator="equal">
      <formula>"OFF"</formula>
    </cfRule>
    <cfRule type="cellIs" dxfId="17899" priority="4056" operator="equal">
      <formula>"PTO"</formula>
    </cfRule>
  </conditionalFormatting>
  <conditionalFormatting sqref="U29">
    <cfRule type="cellIs" dxfId="17898" priority="4053" operator="equal">
      <formula>"OFF"</formula>
    </cfRule>
    <cfRule type="cellIs" dxfId="17897" priority="4054" operator="equal">
      <formula>"PTO"</formula>
    </cfRule>
  </conditionalFormatting>
  <conditionalFormatting sqref="U29">
    <cfRule type="cellIs" dxfId="17896" priority="4051" operator="equal">
      <formula>"OFF"</formula>
    </cfRule>
    <cfRule type="cellIs" dxfId="17895" priority="4052" operator="equal">
      <formula>"PTO"</formula>
    </cfRule>
  </conditionalFormatting>
  <conditionalFormatting sqref="U29">
    <cfRule type="cellIs" dxfId="17894" priority="4049" operator="equal">
      <formula>"OFF"</formula>
    </cfRule>
    <cfRule type="cellIs" dxfId="17893" priority="4050" operator="equal">
      <formula>"PTO"</formula>
    </cfRule>
  </conditionalFormatting>
  <conditionalFormatting sqref="U29">
    <cfRule type="cellIs" dxfId="17892" priority="4047" operator="equal">
      <formula>"OFF"</formula>
    </cfRule>
    <cfRule type="cellIs" dxfId="17891" priority="4048" operator="equal">
      <formula>"PTO"</formula>
    </cfRule>
  </conditionalFormatting>
  <conditionalFormatting sqref="U29">
    <cfRule type="cellIs" dxfId="17890" priority="4045" operator="equal">
      <formula>"OFF"</formula>
    </cfRule>
    <cfRule type="cellIs" dxfId="17889" priority="4046" operator="equal">
      <formula>"PTO"</formula>
    </cfRule>
  </conditionalFormatting>
  <conditionalFormatting sqref="U29">
    <cfRule type="cellIs" dxfId="17888" priority="4043" operator="equal">
      <formula>"OFF"</formula>
    </cfRule>
    <cfRule type="cellIs" dxfId="17887" priority="4044" operator="equal">
      <formula>"PTO"</formula>
    </cfRule>
  </conditionalFormatting>
  <conditionalFormatting sqref="U29">
    <cfRule type="cellIs" dxfId="17886" priority="4041" operator="equal">
      <formula>"OFF"</formula>
    </cfRule>
    <cfRule type="cellIs" dxfId="17885" priority="4042" operator="equal">
      <formula>"PTO"</formula>
    </cfRule>
  </conditionalFormatting>
  <conditionalFormatting sqref="U29">
    <cfRule type="cellIs" dxfId="17884" priority="4039" operator="equal">
      <formula>"OFF"</formula>
    </cfRule>
    <cfRule type="cellIs" dxfId="17883" priority="4040" operator="equal">
      <formula>"PTO"</formula>
    </cfRule>
  </conditionalFormatting>
  <conditionalFormatting sqref="U29">
    <cfRule type="cellIs" dxfId="17882" priority="4037" operator="equal">
      <formula>"OFF"</formula>
    </cfRule>
    <cfRule type="cellIs" dxfId="17881" priority="4038" operator="equal">
      <formula>"PTO"</formula>
    </cfRule>
  </conditionalFormatting>
  <conditionalFormatting sqref="U29">
    <cfRule type="cellIs" dxfId="17880" priority="4035" operator="equal">
      <formula>"OFF"</formula>
    </cfRule>
    <cfRule type="cellIs" dxfId="17879" priority="4036" operator="equal">
      <formula>"PTO"</formula>
    </cfRule>
  </conditionalFormatting>
  <conditionalFormatting sqref="U29">
    <cfRule type="cellIs" dxfId="17878" priority="4033" operator="equal">
      <formula>"OFF"</formula>
    </cfRule>
    <cfRule type="cellIs" dxfId="17877" priority="4034" operator="equal">
      <formula>"PTO"</formula>
    </cfRule>
  </conditionalFormatting>
  <conditionalFormatting sqref="U29">
    <cfRule type="cellIs" dxfId="17876" priority="4031" operator="equal">
      <formula>"OFF"</formula>
    </cfRule>
    <cfRule type="cellIs" dxfId="17875" priority="4032" operator="equal">
      <formula>"PTO"</formula>
    </cfRule>
  </conditionalFormatting>
  <conditionalFormatting sqref="U29">
    <cfRule type="cellIs" dxfId="17874" priority="4029" operator="equal">
      <formula>"OFF"</formula>
    </cfRule>
    <cfRule type="cellIs" dxfId="17873" priority="4030" operator="equal">
      <formula>"PTO"</formula>
    </cfRule>
  </conditionalFormatting>
  <conditionalFormatting sqref="U29">
    <cfRule type="cellIs" dxfId="17872" priority="4027" operator="equal">
      <formula>"OFF"</formula>
    </cfRule>
    <cfRule type="cellIs" dxfId="17871" priority="4028" operator="equal">
      <formula>"PTO"</formula>
    </cfRule>
  </conditionalFormatting>
  <conditionalFormatting sqref="U29">
    <cfRule type="cellIs" dxfId="17870" priority="4025" operator="equal">
      <formula>"OFF"</formula>
    </cfRule>
    <cfRule type="cellIs" dxfId="17869" priority="4026" operator="equal">
      <formula>"PTO"</formula>
    </cfRule>
  </conditionalFormatting>
  <conditionalFormatting sqref="U29">
    <cfRule type="cellIs" dxfId="17868" priority="4023" operator="equal">
      <formula>"OFF"</formula>
    </cfRule>
    <cfRule type="cellIs" dxfId="17867" priority="4024" operator="equal">
      <formula>"PTO"</formula>
    </cfRule>
  </conditionalFormatting>
  <conditionalFormatting sqref="U29">
    <cfRule type="cellIs" dxfId="17866" priority="4021" operator="equal">
      <formula>"OFF"</formula>
    </cfRule>
    <cfRule type="cellIs" dxfId="17865" priority="4022" operator="equal">
      <formula>"PTO"</formula>
    </cfRule>
  </conditionalFormatting>
  <conditionalFormatting sqref="U29">
    <cfRule type="cellIs" dxfId="17864" priority="4019" operator="equal">
      <formula>"OFF"</formula>
    </cfRule>
    <cfRule type="cellIs" dxfId="17863" priority="4020" operator="equal">
      <formula>"PTO"</formula>
    </cfRule>
  </conditionalFormatting>
  <conditionalFormatting sqref="U29">
    <cfRule type="cellIs" dxfId="17862" priority="4017" operator="equal">
      <formula>"OFF"</formula>
    </cfRule>
    <cfRule type="cellIs" dxfId="17861" priority="4018" operator="equal">
      <formula>"PTO"</formula>
    </cfRule>
  </conditionalFormatting>
  <conditionalFormatting sqref="U29">
    <cfRule type="cellIs" dxfId="17860" priority="4015" operator="equal">
      <formula>"OFF"</formula>
    </cfRule>
    <cfRule type="cellIs" dxfId="17859" priority="4016" operator="equal">
      <formula>"PTO"</formula>
    </cfRule>
  </conditionalFormatting>
  <conditionalFormatting sqref="U29">
    <cfRule type="cellIs" dxfId="17858" priority="4013" operator="equal">
      <formula>"OFF"</formula>
    </cfRule>
    <cfRule type="cellIs" dxfId="17857" priority="4014" operator="equal">
      <formula>"PTO"</formula>
    </cfRule>
  </conditionalFormatting>
  <conditionalFormatting sqref="U29">
    <cfRule type="cellIs" dxfId="17856" priority="4011" operator="equal">
      <formula>"OFF"</formula>
    </cfRule>
    <cfRule type="cellIs" dxfId="17855" priority="4012" operator="equal">
      <formula>"PTO"</formula>
    </cfRule>
  </conditionalFormatting>
  <conditionalFormatting sqref="U29">
    <cfRule type="cellIs" dxfId="17854" priority="4009" operator="equal">
      <formula>"OFF"</formula>
    </cfRule>
    <cfRule type="cellIs" dxfId="17853" priority="4010" operator="equal">
      <formula>"PTO"</formula>
    </cfRule>
  </conditionalFormatting>
  <conditionalFormatting sqref="U29">
    <cfRule type="cellIs" dxfId="17852" priority="4007" operator="equal">
      <formula>"OFF"</formula>
    </cfRule>
    <cfRule type="cellIs" dxfId="17851" priority="4008" operator="equal">
      <formula>"PTO"</formula>
    </cfRule>
  </conditionalFormatting>
  <conditionalFormatting sqref="U29">
    <cfRule type="cellIs" dxfId="17850" priority="4005" operator="equal">
      <formula>"OFF"</formula>
    </cfRule>
    <cfRule type="cellIs" dxfId="17849" priority="4006" operator="equal">
      <formula>"PTO"</formula>
    </cfRule>
  </conditionalFormatting>
  <conditionalFormatting sqref="U29">
    <cfRule type="cellIs" dxfId="17848" priority="4003" operator="equal">
      <formula>"OFF"</formula>
    </cfRule>
    <cfRule type="cellIs" dxfId="17847" priority="4004" operator="equal">
      <formula>"PTO"</formula>
    </cfRule>
  </conditionalFormatting>
  <conditionalFormatting sqref="U29">
    <cfRule type="cellIs" dxfId="17846" priority="4001" operator="equal">
      <formula>"OFF"</formula>
    </cfRule>
    <cfRule type="cellIs" dxfId="17845" priority="4002" operator="equal">
      <formula>"PTO"</formula>
    </cfRule>
  </conditionalFormatting>
  <conditionalFormatting sqref="U29">
    <cfRule type="cellIs" dxfId="17844" priority="3999" operator="equal">
      <formula>"OFF"</formula>
    </cfRule>
    <cfRule type="cellIs" dxfId="17843" priority="4000" operator="equal">
      <formula>"PTO"</formula>
    </cfRule>
  </conditionalFormatting>
  <conditionalFormatting sqref="Q26:Q27 Q30 Q32:Q33 Q35:Q36 Q38:Q39">
    <cfRule type="cellIs" dxfId="17842" priority="3997" operator="equal">
      <formula>"OFF"</formula>
    </cfRule>
    <cfRule type="cellIs" dxfId="17841" priority="3998" operator="equal">
      <formula>"PTO"</formula>
    </cfRule>
  </conditionalFormatting>
  <conditionalFormatting sqref="R26:R27 R30 R32:R33 R35:R36 R38:R39">
    <cfRule type="cellIs" dxfId="17840" priority="3995" operator="equal">
      <formula>"OFF"</formula>
    </cfRule>
    <cfRule type="cellIs" dxfId="17839" priority="3996" operator="equal">
      <formula>"PTO"</formula>
    </cfRule>
  </conditionalFormatting>
  <conditionalFormatting sqref="Q26:Q27">
    <cfRule type="cellIs" dxfId="17838" priority="3993" operator="equal">
      <formula>"OFF"</formula>
    </cfRule>
    <cfRule type="cellIs" dxfId="17837" priority="3994" operator="equal">
      <formula>"PTO"</formula>
    </cfRule>
  </conditionalFormatting>
  <conditionalFormatting sqref="Q26:Q27">
    <cfRule type="cellIs" dxfId="17836" priority="3991" operator="equal">
      <formula>"OFF"</formula>
    </cfRule>
    <cfRule type="cellIs" dxfId="17835" priority="3992" operator="equal">
      <formula>"PTO"</formula>
    </cfRule>
  </conditionalFormatting>
  <conditionalFormatting sqref="Q26:Q27">
    <cfRule type="cellIs" dxfId="17834" priority="3989" operator="equal">
      <formula>"OFF"</formula>
    </cfRule>
    <cfRule type="cellIs" dxfId="17833" priority="3990" operator="equal">
      <formula>"PTO"</formula>
    </cfRule>
  </conditionalFormatting>
  <conditionalFormatting sqref="Q26:Q27">
    <cfRule type="cellIs" dxfId="17832" priority="3987" operator="equal">
      <formula>"OFF"</formula>
    </cfRule>
    <cfRule type="cellIs" dxfId="17831" priority="3988" operator="equal">
      <formula>"PTO"</formula>
    </cfRule>
  </conditionalFormatting>
  <conditionalFormatting sqref="Q26:Q27">
    <cfRule type="cellIs" dxfId="17830" priority="3985" operator="equal">
      <formula>"OFF"</formula>
    </cfRule>
    <cfRule type="cellIs" dxfId="17829" priority="3986" operator="equal">
      <formula>"PTO"</formula>
    </cfRule>
  </conditionalFormatting>
  <conditionalFormatting sqref="Q26:Q27">
    <cfRule type="cellIs" dxfId="17828" priority="3983" operator="equal">
      <formula>"OFF"</formula>
    </cfRule>
    <cfRule type="cellIs" dxfId="17827" priority="3984" operator="equal">
      <formula>"PTO"</formula>
    </cfRule>
  </conditionalFormatting>
  <conditionalFormatting sqref="Q26:Q27">
    <cfRule type="cellIs" dxfId="17826" priority="3981" operator="equal">
      <formula>"OFF"</formula>
    </cfRule>
    <cfRule type="cellIs" dxfId="17825" priority="3982" operator="equal">
      <formula>"PTO"</formula>
    </cfRule>
  </conditionalFormatting>
  <conditionalFormatting sqref="Q26:Q27">
    <cfRule type="cellIs" dxfId="17824" priority="3979" operator="equal">
      <formula>"OFF"</formula>
    </cfRule>
    <cfRule type="cellIs" dxfId="17823" priority="3980" operator="equal">
      <formula>"PTO"</formula>
    </cfRule>
  </conditionalFormatting>
  <conditionalFormatting sqref="Q27">
    <cfRule type="cellIs" dxfId="17822" priority="3977" operator="equal">
      <formula>"OFF"</formula>
    </cfRule>
    <cfRule type="cellIs" dxfId="17821" priority="3978" operator="equal">
      <formula>"PTO"</formula>
    </cfRule>
  </conditionalFormatting>
  <conditionalFormatting sqref="Q27">
    <cfRule type="cellIs" dxfId="17820" priority="3975" operator="equal">
      <formula>"OFF"</formula>
    </cfRule>
    <cfRule type="cellIs" dxfId="17819" priority="3976" operator="equal">
      <formula>"PTO"</formula>
    </cfRule>
  </conditionalFormatting>
  <conditionalFormatting sqref="Q27">
    <cfRule type="cellIs" dxfId="17818" priority="3973" operator="equal">
      <formula>"OFF"</formula>
    </cfRule>
    <cfRule type="cellIs" dxfId="17817" priority="3974" operator="equal">
      <formula>"PTO"</formula>
    </cfRule>
  </conditionalFormatting>
  <conditionalFormatting sqref="Q27">
    <cfRule type="cellIs" dxfId="17816" priority="3971" operator="equal">
      <formula>"OFF"</formula>
    </cfRule>
    <cfRule type="cellIs" dxfId="17815" priority="3972" operator="equal">
      <formula>"PTO"</formula>
    </cfRule>
  </conditionalFormatting>
  <conditionalFormatting sqref="Q27">
    <cfRule type="cellIs" dxfId="17814" priority="3969" operator="equal">
      <formula>"OFF"</formula>
    </cfRule>
    <cfRule type="cellIs" dxfId="17813" priority="3970" operator="equal">
      <formula>"PTO"</formula>
    </cfRule>
  </conditionalFormatting>
  <conditionalFormatting sqref="Q27">
    <cfRule type="cellIs" dxfId="17812" priority="3967" operator="equal">
      <formula>"OFF"</formula>
    </cfRule>
    <cfRule type="cellIs" dxfId="17811" priority="3968" operator="equal">
      <formula>"PTO"</formula>
    </cfRule>
  </conditionalFormatting>
  <conditionalFormatting sqref="Q27">
    <cfRule type="cellIs" dxfId="17810" priority="3965" operator="equal">
      <formula>"OFF"</formula>
    </cfRule>
    <cfRule type="cellIs" dxfId="17809" priority="3966" operator="equal">
      <formula>"PTO"</formula>
    </cfRule>
  </conditionalFormatting>
  <conditionalFormatting sqref="Q27">
    <cfRule type="cellIs" dxfId="17808" priority="3963" operator="equal">
      <formula>"OFF"</formula>
    </cfRule>
    <cfRule type="cellIs" dxfId="17807" priority="3964" operator="equal">
      <formula>"PTO"</formula>
    </cfRule>
  </conditionalFormatting>
  <conditionalFormatting sqref="R26:R27">
    <cfRule type="cellIs" dxfId="17806" priority="3961" operator="equal">
      <formula>"OFF"</formula>
    </cfRule>
    <cfRule type="cellIs" dxfId="17805" priority="3962" operator="equal">
      <formula>"PTO"</formula>
    </cfRule>
  </conditionalFormatting>
  <conditionalFormatting sqref="R26:R27">
    <cfRule type="cellIs" dxfId="17804" priority="3959" operator="equal">
      <formula>"OFF"</formula>
    </cfRule>
    <cfRule type="cellIs" dxfId="17803" priority="3960" operator="equal">
      <formula>"PTO"</formula>
    </cfRule>
  </conditionalFormatting>
  <conditionalFormatting sqref="R26:R27">
    <cfRule type="cellIs" dxfId="17802" priority="3957" operator="equal">
      <formula>"OFF"</formula>
    </cfRule>
    <cfRule type="cellIs" dxfId="17801" priority="3958" operator="equal">
      <formula>"PTO"</formula>
    </cfRule>
  </conditionalFormatting>
  <conditionalFormatting sqref="R26:R27">
    <cfRule type="cellIs" dxfId="17800" priority="3955" operator="equal">
      <formula>"OFF"</formula>
    </cfRule>
    <cfRule type="cellIs" dxfId="17799" priority="3956" operator="equal">
      <formula>"PTO"</formula>
    </cfRule>
  </conditionalFormatting>
  <conditionalFormatting sqref="R26:R27">
    <cfRule type="cellIs" dxfId="17798" priority="3953" operator="equal">
      <formula>"OFF"</formula>
    </cfRule>
    <cfRule type="cellIs" dxfId="17797" priority="3954" operator="equal">
      <formula>"PTO"</formula>
    </cfRule>
  </conditionalFormatting>
  <conditionalFormatting sqref="R26:R27">
    <cfRule type="cellIs" dxfId="17796" priority="3951" operator="equal">
      <formula>"OFF"</formula>
    </cfRule>
    <cfRule type="cellIs" dxfId="17795" priority="3952" operator="equal">
      <formula>"PTO"</formula>
    </cfRule>
  </conditionalFormatting>
  <conditionalFormatting sqref="R26:R27">
    <cfRule type="cellIs" dxfId="17794" priority="3949" operator="equal">
      <formula>"OFF"</formula>
    </cfRule>
    <cfRule type="cellIs" dxfId="17793" priority="3950" operator="equal">
      <formula>"PTO"</formula>
    </cfRule>
  </conditionalFormatting>
  <conditionalFormatting sqref="R26:R27">
    <cfRule type="cellIs" dxfId="17792" priority="3947" operator="equal">
      <formula>"OFF"</formula>
    </cfRule>
    <cfRule type="cellIs" dxfId="17791" priority="3948" operator="equal">
      <formula>"PTO"</formula>
    </cfRule>
  </conditionalFormatting>
  <conditionalFormatting sqref="R27">
    <cfRule type="cellIs" dxfId="17790" priority="3945" operator="equal">
      <formula>"OFF"</formula>
    </cfRule>
    <cfRule type="cellIs" dxfId="17789" priority="3946" operator="equal">
      <formula>"PTO"</formula>
    </cfRule>
  </conditionalFormatting>
  <conditionalFormatting sqref="R27">
    <cfRule type="cellIs" dxfId="17788" priority="3943" operator="equal">
      <formula>"OFF"</formula>
    </cfRule>
    <cfRule type="cellIs" dxfId="17787" priority="3944" operator="equal">
      <formula>"PTO"</formula>
    </cfRule>
  </conditionalFormatting>
  <conditionalFormatting sqref="R27">
    <cfRule type="cellIs" dxfId="17786" priority="3941" operator="equal">
      <formula>"OFF"</formula>
    </cfRule>
    <cfRule type="cellIs" dxfId="17785" priority="3942" operator="equal">
      <formula>"PTO"</formula>
    </cfRule>
  </conditionalFormatting>
  <conditionalFormatting sqref="R27">
    <cfRule type="cellIs" dxfId="17784" priority="3939" operator="equal">
      <formula>"OFF"</formula>
    </cfRule>
    <cfRule type="cellIs" dxfId="17783" priority="3940" operator="equal">
      <formula>"PTO"</formula>
    </cfRule>
  </conditionalFormatting>
  <conditionalFormatting sqref="R27">
    <cfRule type="cellIs" dxfId="17782" priority="3937" operator="equal">
      <formula>"OFF"</formula>
    </cfRule>
    <cfRule type="cellIs" dxfId="17781" priority="3938" operator="equal">
      <formula>"PTO"</formula>
    </cfRule>
  </conditionalFormatting>
  <conditionalFormatting sqref="R27">
    <cfRule type="cellIs" dxfId="17780" priority="3935" operator="equal">
      <formula>"OFF"</formula>
    </cfRule>
    <cfRule type="cellIs" dxfId="17779" priority="3936" operator="equal">
      <formula>"PTO"</formula>
    </cfRule>
  </conditionalFormatting>
  <conditionalFormatting sqref="R27">
    <cfRule type="cellIs" dxfId="17778" priority="3933" operator="equal">
      <formula>"OFF"</formula>
    </cfRule>
    <cfRule type="cellIs" dxfId="17777" priority="3934" operator="equal">
      <formula>"PTO"</formula>
    </cfRule>
  </conditionalFormatting>
  <conditionalFormatting sqref="R27">
    <cfRule type="cellIs" dxfId="17776" priority="3931" operator="equal">
      <formula>"OFF"</formula>
    </cfRule>
    <cfRule type="cellIs" dxfId="17775" priority="3932" operator="equal">
      <formula>"PTO"</formula>
    </cfRule>
  </conditionalFormatting>
  <conditionalFormatting sqref="Q30">
    <cfRule type="cellIs" dxfId="17774" priority="3929" operator="equal">
      <formula>"OFF"</formula>
    </cfRule>
    <cfRule type="cellIs" dxfId="17773" priority="3930" operator="equal">
      <formula>"PTO"</formula>
    </cfRule>
  </conditionalFormatting>
  <conditionalFormatting sqref="Q30:R30">
    <cfRule type="cellIs" dxfId="17772" priority="3927" operator="equal">
      <formula>"OFF"</formula>
    </cfRule>
    <cfRule type="cellIs" dxfId="17771" priority="3928" operator="equal">
      <formula>"PTO"</formula>
    </cfRule>
  </conditionalFormatting>
  <conditionalFormatting sqref="Q30:R30">
    <cfRule type="cellIs" dxfId="17770" priority="3925" operator="equal">
      <formula>"OFF"</formula>
    </cfRule>
    <cfRule type="cellIs" dxfId="17769" priority="3926" operator="equal">
      <formula>"PTO"</formula>
    </cfRule>
  </conditionalFormatting>
  <conditionalFormatting sqref="Q30">
    <cfRule type="cellIs" dxfId="17768" priority="3923" operator="equal">
      <formula>"OFF"</formula>
    </cfRule>
    <cfRule type="cellIs" dxfId="17767" priority="3924" operator="equal">
      <formula>"PTO"</formula>
    </cfRule>
  </conditionalFormatting>
  <conditionalFormatting sqref="Q30">
    <cfRule type="cellIs" dxfId="17766" priority="3921" operator="equal">
      <formula>"OFF"</formula>
    </cfRule>
    <cfRule type="cellIs" dxfId="17765" priority="3922" operator="equal">
      <formula>"PTO"</formula>
    </cfRule>
  </conditionalFormatting>
  <conditionalFormatting sqref="Q30">
    <cfRule type="cellIs" dxfId="17764" priority="3919" operator="equal">
      <formula>"OFF"</formula>
    </cfRule>
    <cfRule type="cellIs" dxfId="17763" priority="3920" operator="equal">
      <formula>"PTO"</formula>
    </cfRule>
  </conditionalFormatting>
  <conditionalFormatting sqref="Q30">
    <cfRule type="cellIs" dxfId="17762" priority="3917" operator="equal">
      <formula>"OFF"</formula>
    </cfRule>
    <cfRule type="cellIs" dxfId="17761" priority="3918" operator="equal">
      <formula>"PTO"</formula>
    </cfRule>
  </conditionalFormatting>
  <conditionalFormatting sqref="R30">
    <cfRule type="cellIs" dxfId="17760" priority="3915" operator="equal">
      <formula>"OFF"</formula>
    </cfRule>
    <cfRule type="cellIs" dxfId="17759" priority="3916" operator="equal">
      <formula>"PTO"</formula>
    </cfRule>
  </conditionalFormatting>
  <conditionalFormatting sqref="R30">
    <cfRule type="cellIs" dxfId="17758" priority="3913" operator="equal">
      <formula>"OFF"</formula>
    </cfRule>
    <cfRule type="cellIs" dxfId="17757" priority="3914" operator="equal">
      <formula>"PTO"</formula>
    </cfRule>
  </conditionalFormatting>
  <conditionalFormatting sqref="R30">
    <cfRule type="cellIs" dxfId="17756" priority="3911" operator="equal">
      <formula>"OFF"</formula>
    </cfRule>
    <cfRule type="cellIs" dxfId="17755" priority="3912" operator="equal">
      <formula>"PTO"</formula>
    </cfRule>
  </conditionalFormatting>
  <conditionalFormatting sqref="R30">
    <cfRule type="cellIs" dxfId="17754" priority="3909" operator="equal">
      <formula>"OFF"</formula>
    </cfRule>
    <cfRule type="cellIs" dxfId="17753" priority="3910" operator="equal">
      <formula>"PTO"</formula>
    </cfRule>
  </conditionalFormatting>
  <conditionalFormatting sqref="Q30">
    <cfRule type="cellIs" dxfId="17752" priority="3907" operator="equal">
      <formula>"OFF"</formula>
    </cfRule>
    <cfRule type="cellIs" dxfId="17751" priority="3908" operator="equal">
      <formula>"PTO"</formula>
    </cfRule>
  </conditionalFormatting>
  <conditionalFormatting sqref="Q30">
    <cfRule type="cellIs" dxfId="17750" priority="3905" operator="equal">
      <formula>"OFF"</formula>
    </cfRule>
    <cfRule type="cellIs" dxfId="17749" priority="3906" operator="equal">
      <formula>"PTO"</formula>
    </cfRule>
  </conditionalFormatting>
  <conditionalFormatting sqref="Q30">
    <cfRule type="cellIs" dxfId="17748" priority="3903" operator="equal">
      <formula>"OFF"</formula>
    </cfRule>
    <cfRule type="cellIs" dxfId="17747" priority="3904" operator="equal">
      <formula>"PTO"</formula>
    </cfRule>
  </conditionalFormatting>
  <conditionalFormatting sqref="Q30">
    <cfRule type="cellIs" dxfId="17746" priority="3901" operator="equal">
      <formula>"OFF"</formula>
    </cfRule>
    <cfRule type="cellIs" dxfId="17745" priority="3902" operator="equal">
      <formula>"PTO"</formula>
    </cfRule>
  </conditionalFormatting>
  <conditionalFormatting sqref="R30">
    <cfRule type="cellIs" dxfId="17744" priority="3899" operator="equal">
      <formula>"OFF"</formula>
    </cfRule>
    <cfRule type="cellIs" dxfId="17743" priority="3900" operator="equal">
      <formula>"PTO"</formula>
    </cfRule>
  </conditionalFormatting>
  <conditionalFormatting sqref="R30">
    <cfRule type="cellIs" dxfId="17742" priority="3897" operator="equal">
      <formula>"OFF"</formula>
    </cfRule>
    <cfRule type="cellIs" dxfId="17741" priority="3898" operator="equal">
      <formula>"PTO"</formula>
    </cfRule>
  </conditionalFormatting>
  <conditionalFormatting sqref="R30">
    <cfRule type="cellIs" dxfId="17740" priority="3895" operator="equal">
      <formula>"OFF"</formula>
    </cfRule>
    <cfRule type="cellIs" dxfId="17739" priority="3896" operator="equal">
      <formula>"PTO"</formula>
    </cfRule>
  </conditionalFormatting>
  <conditionalFormatting sqref="R30">
    <cfRule type="cellIs" dxfId="17738" priority="3893" operator="equal">
      <formula>"OFF"</formula>
    </cfRule>
    <cfRule type="cellIs" dxfId="17737" priority="3894" operator="equal">
      <formula>"PTO"</formula>
    </cfRule>
  </conditionalFormatting>
  <conditionalFormatting sqref="Q30">
    <cfRule type="cellIs" dxfId="17736" priority="3891" operator="equal">
      <formula>"OFF"</formula>
    </cfRule>
    <cfRule type="cellIs" dxfId="17735" priority="3892" operator="equal">
      <formula>"PTO"</formula>
    </cfRule>
  </conditionalFormatting>
  <conditionalFormatting sqref="Q30">
    <cfRule type="cellIs" dxfId="17734" priority="3889" operator="equal">
      <formula>"OFF"</formula>
    </cfRule>
    <cfRule type="cellIs" dxfId="17733" priority="3890" operator="equal">
      <formula>"PTO"</formula>
    </cfRule>
  </conditionalFormatting>
  <conditionalFormatting sqref="Q30">
    <cfRule type="cellIs" dxfId="17732" priority="3887" operator="equal">
      <formula>"OFF"</formula>
    </cfRule>
    <cfRule type="cellIs" dxfId="17731" priority="3888" operator="equal">
      <formula>"PTO"</formula>
    </cfRule>
  </conditionalFormatting>
  <conditionalFormatting sqref="Q30">
    <cfRule type="cellIs" dxfId="17730" priority="3885" operator="equal">
      <formula>"OFF"</formula>
    </cfRule>
    <cfRule type="cellIs" dxfId="17729" priority="3886" operator="equal">
      <formula>"PTO"</formula>
    </cfRule>
  </conditionalFormatting>
  <conditionalFormatting sqref="R30">
    <cfRule type="cellIs" dxfId="17728" priority="3883" operator="equal">
      <formula>"OFF"</formula>
    </cfRule>
    <cfRule type="cellIs" dxfId="17727" priority="3884" operator="equal">
      <formula>"PTO"</formula>
    </cfRule>
  </conditionalFormatting>
  <conditionalFormatting sqref="R30">
    <cfRule type="cellIs" dxfId="17726" priority="3881" operator="equal">
      <formula>"OFF"</formula>
    </cfRule>
    <cfRule type="cellIs" dxfId="17725" priority="3882" operator="equal">
      <formula>"PTO"</formula>
    </cfRule>
  </conditionalFormatting>
  <conditionalFormatting sqref="R30">
    <cfRule type="cellIs" dxfId="17724" priority="3879" operator="equal">
      <formula>"OFF"</formula>
    </cfRule>
    <cfRule type="cellIs" dxfId="17723" priority="3880" operator="equal">
      <formula>"PTO"</formula>
    </cfRule>
  </conditionalFormatting>
  <conditionalFormatting sqref="R30">
    <cfRule type="cellIs" dxfId="17722" priority="3877" operator="equal">
      <formula>"OFF"</formula>
    </cfRule>
    <cfRule type="cellIs" dxfId="17721" priority="3878" operator="equal">
      <formula>"PTO"</formula>
    </cfRule>
  </conditionalFormatting>
  <conditionalFormatting sqref="Q30">
    <cfRule type="cellIs" dxfId="17720" priority="3875" operator="equal">
      <formula>"OFF"</formula>
    </cfRule>
    <cfRule type="cellIs" dxfId="17719" priority="3876" operator="equal">
      <formula>"PTO"</formula>
    </cfRule>
  </conditionalFormatting>
  <conditionalFormatting sqref="Q30">
    <cfRule type="cellIs" dxfId="17718" priority="3873" operator="equal">
      <formula>"OFF"</formula>
    </cfRule>
    <cfRule type="cellIs" dxfId="17717" priority="3874" operator="equal">
      <formula>"PTO"</formula>
    </cfRule>
  </conditionalFormatting>
  <conditionalFormatting sqref="Q30">
    <cfRule type="cellIs" dxfId="17716" priority="3871" operator="equal">
      <formula>"OFF"</formula>
    </cfRule>
    <cfRule type="cellIs" dxfId="17715" priority="3872" operator="equal">
      <formula>"PTO"</formula>
    </cfRule>
  </conditionalFormatting>
  <conditionalFormatting sqref="Q30">
    <cfRule type="cellIs" dxfId="17714" priority="3869" operator="equal">
      <formula>"OFF"</formula>
    </cfRule>
    <cfRule type="cellIs" dxfId="17713" priority="3870" operator="equal">
      <formula>"PTO"</formula>
    </cfRule>
  </conditionalFormatting>
  <conditionalFormatting sqref="R30">
    <cfRule type="cellIs" dxfId="17712" priority="3867" operator="equal">
      <formula>"OFF"</formula>
    </cfRule>
    <cfRule type="cellIs" dxfId="17711" priority="3868" operator="equal">
      <formula>"PTO"</formula>
    </cfRule>
  </conditionalFormatting>
  <conditionalFormatting sqref="R30">
    <cfRule type="cellIs" dxfId="17710" priority="3865" operator="equal">
      <formula>"OFF"</formula>
    </cfRule>
    <cfRule type="cellIs" dxfId="17709" priority="3866" operator="equal">
      <formula>"PTO"</formula>
    </cfRule>
  </conditionalFormatting>
  <conditionalFormatting sqref="R30">
    <cfRule type="cellIs" dxfId="17708" priority="3863" operator="equal">
      <formula>"OFF"</formula>
    </cfRule>
    <cfRule type="cellIs" dxfId="17707" priority="3864" operator="equal">
      <formula>"PTO"</formula>
    </cfRule>
  </conditionalFormatting>
  <conditionalFormatting sqref="R30">
    <cfRule type="cellIs" dxfId="17706" priority="3861" operator="equal">
      <formula>"OFF"</formula>
    </cfRule>
    <cfRule type="cellIs" dxfId="17705" priority="3862" operator="equal">
      <formula>"PTO"</formula>
    </cfRule>
  </conditionalFormatting>
  <conditionalFormatting sqref="Q30">
    <cfRule type="cellIs" dxfId="17704" priority="3859" operator="equal">
      <formula>"OFF"</formula>
    </cfRule>
    <cfRule type="cellIs" dxfId="17703" priority="3860" operator="equal">
      <formula>"PTO"</formula>
    </cfRule>
  </conditionalFormatting>
  <conditionalFormatting sqref="Q30">
    <cfRule type="cellIs" dxfId="17702" priority="3857" operator="equal">
      <formula>"OFF"</formula>
    </cfRule>
    <cfRule type="cellIs" dxfId="17701" priority="3858" operator="equal">
      <formula>"PTO"</formula>
    </cfRule>
  </conditionalFormatting>
  <conditionalFormatting sqref="Q30">
    <cfRule type="cellIs" dxfId="17700" priority="3855" operator="equal">
      <formula>"OFF"</formula>
    </cfRule>
    <cfRule type="cellIs" dxfId="17699" priority="3856" operator="equal">
      <formula>"PTO"</formula>
    </cfRule>
  </conditionalFormatting>
  <conditionalFormatting sqref="Q30">
    <cfRule type="cellIs" dxfId="17698" priority="3853" operator="equal">
      <formula>"OFF"</formula>
    </cfRule>
    <cfRule type="cellIs" dxfId="17697" priority="3854" operator="equal">
      <formula>"PTO"</formula>
    </cfRule>
  </conditionalFormatting>
  <conditionalFormatting sqref="Q30">
    <cfRule type="cellIs" dxfId="17696" priority="3851" operator="equal">
      <formula>"OFF"</formula>
    </cfRule>
    <cfRule type="cellIs" dxfId="17695" priority="3852" operator="equal">
      <formula>"PTO"</formula>
    </cfRule>
  </conditionalFormatting>
  <conditionalFormatting sqref="Q30">
    <cfRule type="cellIs" dxfId="17694" priority="3849" operator="equal">
      <formula>"OFF"</formula>
    </cfRule>
    <cfRule type="cellIs" dxfId="17693" priority="3850" operator="equal">
      <formula>"PTO"</formula>
    </cfRule>
  </conditionalFormatting>
  <conditionalFormatting sqref="Q30">
    <cfRule type="cellIs" dxfId="17692" priority="3847" operator="equal">
      <formula>"OFF"</formula>
    </cfRule>
    <cfRule type="cellIs" dxfId="17691" priority="3848" operator="equal">
      <formula>"PTO"</formula>
    </cfRule>
  </conditionalFormatting>
  <conditionalFormatting sqref="Q30">
    <cfRule type="cellIs" dxfId="17690" priority="3845" operator="equal">
      <formula>"OFF"</formula>
    </cfRule>
    <cfRule type="cellIs" dxfId="17689" priority="3846" operator="equal">
      <formula>"PTO"</formula>
    </cfRule>
  </conditionalFormatting>
  <conditionalFormatting sqref="Q30">
    <cfRule type="cellIs" dxfId="17688" priority="3843" operator="equal">
      <formula>"OFF"</formula>
    </cfRule>
    <cfRule type="cellIs" dxfId="17687" priority="3844" operator="equal">
      <formula>"PTO"</formula>
    </cfRule>
  </conditionalFormatting>
  <conditionalFormatting sqref="Q30">
    <cfRule type="cellIs" dxfId="17686" priority="3841" operator="equal">
      <formula>"OFF"</formula>
    </cfRule>
    <cfRule type="cellIs" dxfId="17685" priority="3842" operator="equal">
      <formula>"PTO"</formula>
    </cfRule>
  </conditionalFormatting>
  <conditionalFormatting sqref="Q30">
    <cfRule type="cellIs" dxfId="17684" priority="3839" operator="equal">
      <formula>"OFF"</formula>
    </cfRule>
    <cfRule type="cellIs" dxfId="17683" priority="3840" operator="equal">
      <formula>"PTO"</formula>
    </cfRule>
  </conditionalFormatting>
  <conditionalFormatting sqref="Q30">
    <cfRule type="cellIs" dxfId="17682" priority="3837" operator="equal">
      <formula>"OFF"</formula>
    </cfRule>
    <cfRule type="cellIs" dxfId="17681" priority="3838" operator="equal">
      <formula>"PTO"</formula>
    </cfRule>
  </conditionalFormatting>
  <conditionalFormatting sqref="Q30">
    <cfRule type="cellIs" dxfId="17680" priority="3835" operator="equal">
      <formula>"OFF"</formula>
    </cfRule>
    <cfRule type="cellIs" dxfId="17679" priority="3836" operator="equal">
      <formula>"PTO"</formula>
    </cfRule>
  </conditionalFormatting>
  <conditionalFormatting sqref="Q30">
    <cfRule type="cellIs" dxfId="17678" priority="3833" operator="equal">
      <formula>"OFF"</formula>
    </cfRule>
    <cfRule type="cellIs" dxfId="17677" priority="3834" operator="equal">
      <formula>"PTO"</formula>
    </cfRule>
  </conditionalFormatting>
  <conditionalFormatting sqref="Q30">
    <cfRule type="cellIs" dxfId="17676" priority="3831" operator="equal">
      <formula>"OFF"</formula>
    </cfRule>
    <cfRule type="cellIs" dxfId="17675" priority="3832" operator="equal">
      <formula>"PTO"</formula>
    </cfRule>
  </conditionalFormatting>
  <conditionalFormatting sqref="Q30">
    <cfRule type="cellIs" dxfId="17674" priority="3829" operator="equal">
      <formula>"OFF"</formula>
    </cfRule>
    <cfRule type="cellIs" dxfId="17673" priority="3830" operator="equal">
      <formula>"PTO"</formula>
    </cfRule>
  </conditionalFormatting>
  <conditionalFormatting sqref="Q30">
    <cfRule type="cellIs" dxfId="17672" priority="3827" operator="equal">
      <formula>"OFF"</formula>
    </cfRule>
    <cfRule type="cellIs" dxfId="17671" priority="3828" operator="equal">
      <formula>"PTO"</formula>
    </cfRule>
  </conditionalFormatting>
  <conditionalFormatting sqref="Q30">
    <cfRule type="cellIs" dxfId="17670" priority="3825" operator="equal">
      <formula>"OFF"</formula>
    </cfRule>
    <cfRule type="cellIs" dxfId="17669" priority="3826" operator="equal">
      <formula>"PTO"</formula>
    </cfRule>
  </conditionalFormatting>
  <conditionalFormatting sqref="Q30">
    <cfRule type="cellIs" dxfId="17668" priority="3823" operator="equal">
      <formula>"OFF"</formula>
    </cfRule>
    <cfRule type="cellIs" dxfId="17667" priority="3824" operator="equal">
      <formula>"PTO"</formula>
    </cfRule>
  </conditionalFormatting>
  <conditionalFormatting sqref="Q30">
    <cfRule type="cellIs" dxfId="17666" priority="3821" operator="equal">
      <formula>"OFF"</formula>
    </cfRule>
    <cfRule type="cellIs" dxfId="17665" priority="3822" operator="equal">
      <formula>"PTO"</formula>
    </cfRule>
  </conditionalFormatting>
  <conditionalFormatting sqref="Q30">
    <cfRule type="cellIs" dxfId="17664" priority="3819" operator="equal">
      <formula>"OFF"</formula>
    </cfRule>
    <cfRule type="cellIs" dxfId="17663" priority="3820" operator="equal">
      <formula>"PTO"</formula>
    </cfRule>
  </conditionalFormatting>
  <conditionalFormatting sqref="Q30">
    <cfRule type="cellIs" dxfId="17662" priority="3817" operator="equal">
      <formula>"OFF"</formula>
    </cfRule>
    <cfRule type="cellIs" dxfId="17661" priority="3818" operator="equal">
      <formula>"PTO"</formula>
    </cfRule>
  </conditionalFormatting>
  <conditionalFormatting sqref="Q30">
    <cfRule type="cellIs" dxfId="17660" priority="3815" operator="equal">
      <formula>"OFF"</formula>
    </cfRule>
    <cfRule type="cellIs" dxfId="17659" priority="3816" operator="equal">
      <formula>"PTO"</formula>
    </cfRule>
  </conditionalFormatting>
  <conditionalFormatting sqref="Q30">
    <cfRule type="cellIs" dxfId="17658" priority="3813" operator="equal">
      <formula>"OFF"</formula>
    </cfRule>
    <cfRule type="cellIs" dxfId="17657" priority="3814" operator="equal">
      <formula>"PTO"</formula>
    </cfRule>
  </conditionalFormatting>
  <conditionalFormatting sqref="Q30">
    <cfRule type="cellIs" dxfId="17656" priority="3811" operator="equal">
      <formula>"OFF"</formula>
    </cfRule>
    <cfRule type="cellIs" dxfId="17655" priority="3812" operator="equal">
      <formula>"PTO"</formula>
    </cfRule>
  </conditionalFormatting>
  <conditionalFormatting sqref="R30">
    <cfRule type="cellIs" dxfId="17654" priority="3809" operator="equal">
      <formula>"OFF"</formula>
    </cfRule>
    <cfRule type="cellIs" dxfId="17653" priority="3810" operator="equal">
      <formula>"PTO"</formula>
    </cfRule>
  </conditionalFormatting>
  <conditionalFormatting sqref="R30">
    <cfRule type="cellIs" dxfId="17652" priority="3807" operator="equal">
      <formula>"OFF"</formula>
    </cfRule>
    <cfRule type="cellIs" dxfId="17651" priority="3808" operator="equal">
      <formula>"PTO"</formula>
    </cfRule>
  </conditionalFormatting>
  <conditionalFormatting sqref="R30">
    <cfRule type="cellIs" dxfId="17650" priority="3805" operator="equal">
      <formula>"OFF"</formula>
    </cfRule>
    <cfRule type="cellIs" dxfId="17649" priority="3806" operator="equal">
      <formula>"PTO"</formula>
    </cfRule>
  </conditionalFormatting>
  <conditionalFormatting sqref="R30">
    <cfRule type="cellIs" dxfId="17648" priority="3803" operator="equal">
      <formula>"OFF"</formula>
    </cfRule>
    <cfRule type="cellIs" dxfId="17647" priority="3804" operator="equal">
      <formula>"PTO"</formula>
    </cfRule>
  </conditionalFormatting>
  <conditionalFormatting sqref="R30">
    <cfRule type="cellIs" dxfId="17646" priority="3801" operator="equal">
      <formula>"OFF"</formula>
    </cfRule>
    <cfRule type="cellIs" dxfId="17645" priority="3802" operator="equal">
      <formula>"PTO"</formula>
    </cfRule>
  </conditionalFormatting>
  <conditionalFormatting sqref="R30">
    <cfRule type="cellIs" dxfId="17644" priority="3799" operator="equal">
      <formula>"OFF"</formula>
    </cfRule>
    <cfRule type="cellIs" dxfId="17643" priority="3800" operator="equal">
      <formula>"PTO"</formula>
    </cfRule>
  </conditionalFormatting>
  <conditionalFormatting sqref="R30">
    <cfRule type="cellIs" dxfId="17642" priority="3797" operator="equal">
      <formula>"OFF"</formula>
    </cfRule>
    <cfRule type="cellIs" dxfId="17641" priority="3798" operator="equal">
      <formula>"PTO"</formula>
    </cfRule>
  </conditionalFormatting>
  <conditionalFormatting sqref="R30">
    <cfRule type="cellIs" dxfId="17640" priority="3795" operator="equal">
      <formula>"OFF"</formula>
    </cfRule>
    <cfRule type="cellIs" dxfId="17639" priority="3796" operator="equal">
      <formula>"PTO"</formula>
    </cfRule>
  </conditionalFormatting>
  <conditionalFormatting sqref="R30">
    <cfRule type="cellIs" dxfId="17638" priority="3793" operator="equal">
      <formula>"OFF"</formula>
    </cfRule>
    <cfRule type="cellIs" dxfId="17637" priority="3794" operator="equal">
      <formula>"PTO"</formula>
    </cfRule>
  </conditionalFormatting>
  <conditionalFormatting sqref="R30">
    <cfRule type="cellIs" dxfId="17636" priority="3791" operator="equal">
      <formula>"OFF"</formula>
    </cfRule>
    <cfRule type="cellIs" dxfId="17635" priority="3792" operator="equal">
      <formula>"PTO"</formula>
    </cfRule>
  </conditionalFormatting>
  <conditionalFormatting sqref="R30">
    <cfRule type="cellIs" dxfId="17634" priority="3789" operator="equal">
      <formula>"OFF"</formula>
    </cfRule>
    <cfRule type="cellIs" dxfId="17633" priority="3790" operator="equal">
      <formula>"PTO"</formula>
    </cfRule>
  </conditionalFormatting>
  <conditionalFormatting sqref="R30">
    <cfRule type="cellIs" dxfId="17632" priority="3787" operator="equal">
      <formula>"OFF"</formula>
    </cfRule>
    <cfRule type="cellIs" dxfId="17631" priority="3788" operator="equal">
      <formula>"PTO"</formula>
    </cfRule>
  </conditionalFormatting>
  <conditionalFormatting sqref="R30">
    <cfRule type="cellIs" dxfId="17630" priority="3785" operator="equal">
      <formula>"OFF"</formula>
    </cfRule>
    <cfRule type="cellIs" dxfId="17629" priority="3786" operator="equal">
      <formula>"PTO"</formula>
    </cfRule>
  </conditionalFormatting>
  <conditionalFormatting sqref="R30">
    <cfRule type="cellIs" dxfId="17628" priority="3783" operator="equal">
      <formula>"OFF"</formula>
    </cfRule>
    <cfRule type="cellIs" dxfId="17627" priority="3784" operator="equal">
      <formula>"PTO"</formula>
    </cfRule>
  </conditionalFormatting>
  <conditionalFormatting sqref="R30">
    <cfRule type="cellIs" dxfId="17626" priority="3781" operator="equal">
      <formula>"OFF"</formula>
    </cfRule>
    <cfRule type="cellIs" dxfId="17625" priority="3782" operator="equal">
      <formula>"PTO"</formula>
    </cfRule>
  </conditionalFormatting>
  <conditionalFormatting sqref="R30">
    <cfRule type="cellIs" dxfId="17624" priority="3779" operator="equal">
      <formula>"OFF"</formula>
    </cfRule>
    <cfRule type="cellIs" dxfId="17623" priority="3780" operator="equal">
      <formula>"PTO"</formula>
    </cfRule>
  </conditionalFormatting>
  <conditionalFormatting sqref="R30">
    <cfRule type="cellIs" dxfId="17622" priority="3777" operator="equal">
      <formula>"OFF"</formula>
    </cfRule>
    <cfRule type="cellIs" dxfId="17621" priority="3778" operator="equal">
      <formula>"PTO"</formula>
    </cfRule>
  </conditionalFormatting>
  <conditionalFormatting sqref="R30">
    <cfRule type="cellIs" dxfId="17620" priority="3775" operator="equal">
      <formula>"OFF"</formula>
    </cfRule>
    <cfRule type="cellIs" dxfId="17619" priority="3776" operator="equal">
      <formula>"PTO"</formula>
    </cfRule>
  </conditionalFormatting>
  <conditionalFormatting sqref="R30">
    <cfRule type="cellIs" dxfId="17618" priority="3773" operator="equal">
      <formula>"OFF"</formula>
    </cfRule>
    <cfRule type="cellIs" dxfId="17617" priority="3774" operator="equal">
      <formula>"PTO"</formula>
    </cfRule>
  </conditionalFormatting>
  <conditionalFormatting sqref="R30">
    <cfRule type="cellIs" dxfId="17616" priority="3771" operator="equal">
      <formula>"OFF"</formula>
    </cfRule>
    <cfRule type="cellIs" dxfId="17615" priority="3772" operator="equal">
      <formula>"PTO"</formula>
    </cfRule>
  </conditionalFormatting>
  <conditionalFormatting sqref="R30">
    <cfRule type="cellIs" dxfId="17614" priority="3769" operator="equal">
      <formula>"OFF"</formula>
    </cfRule>
    <cfRule type="cellIs" dxfId="17613" priority="3770" operator="equal">
      <formula>"PTO"</formula>
    </cfRule>
  </conditionalFormatting>
  <conditionalFormatting sqref="R30">
    <cfRule type="cellIs" dxfId="17612" priority="3767" operator="equal">
      <formula>"OFF"</formula>
    </cfRule>
    <cfRule type="cellIs" dxfId="17611" priority="3768" operator="equal">
      <formula>"PTO"</formula>
    </cfRule>
  </conditionalFormatting>
  <conditionalFormatting sqref="R30">
    <cfRule type="cellIs" dxfId="17610" priority="3765" operator="equal">
      <formula>"OFF"</formula>
    </cfRule>
    <cfRule type="cellIs" dxfId="17609" priority="3766" operator="equal">
      <formula>"PTO"</formula>
    </cfRule>
  </conditionalFormatting>
  <conditionalFormatting sqref="R30">
    <cfRule type="cellIs" dxfId="17608" priority="3763" operator="equal">
      <formula>"OFF"</formula>
    </cfRule>
    <cfRule type="cellIs" dxfId="17607" priority="3764" operator="equal">
      <formula>"PTO"</formula>
    </cfRule>
  </conditionalFormatting>
  <conditionalFormatting sqref="R30">
    <cfRule type="cellIs" dxfId="17606" priority="3761" operator="equal">
      <formula>"OFF"</formula>
    </cfRule>
    <cfRule type="cellIs" dxfId="17605" priority="3762" operator="equal">
      <formula>"PTO"</formula>
    </cfRule>
  </conditionalFormatting>
  <conditionalFormatting sqref="Q30">
    <cfRule type="cellIs" dxfId="17604" priority="3759" operator="equal">
      <formula>"OFF"</formula>
    </cfRule>
    <cfRule type="cellIs" dxfId="17603" priority="3760" operator="equal">
      <formula>"PTO"</formula>
    </cfRule>
  </conditionalFormatting>
  <conditionalFormatting sqref="Q30:R30">
    <cfRule type="cellIs" dxfId="17602" priority="3757" operator="equal">
      <formula>"OFF"</formula>
    </cfRule>
    <cfRule type="cellIs" dxfId="17601" priority="3758" operator="equal">
      <formula>"PTO"</formula>
    </cfRule>
  </conditionalFormatting>
  <conditionalFormatting sqref="Q30:R30">
    <cfRule type="cellIs" dxfId="17600" priority="3755" operator="equal">
      <formula>"OFF"</formula>
    </cfRule>
    <cfRule type="cellIs" dxfId="17599" priority="3756" operator="equal">
      <formula>"PTO"</formula>
    </cfRule>
  </conditionalFormatting>
  <conditionalFormatting sqref="Q30">
    <cfRule type="cellIs" dxfId="17598" priority="3753" operator="equal">
      <formula>"OFF"</formula>
    </cfRule>
    <cfRule type="cellIs" dxfId="17597" priority="3754" operator="equal">
      <formula>"PTO"</formula>
    </cfRule>
  </conditionalFormatting>
  <conditionalFormatting sqref="Q30">
    <cfRule type="cellIs" dxfId="17596" priority="3751" operator="equal">
      <formula>"OFF"</formula>
    </cfRule>
    <cfRule type="cellIs" dxfId="17595" priority="3752" operator="equal">
      <formula>"PTO"</formula>
    </cfRule>
  </conditionalFormatting>
  <conditionalFormatting sqref="Q30">
    <cfRule type="cellIs" dxfId="17594" priority="3749" operator="equal">
      <formula>"OFF"</formula>
    </cfRule>
    <cfRule type="cellIs" dxfId="17593" priority="3750" operator="equal">
      <formula>"PTO"</formula>
    </cfRule>
  </conditionalFormatting>
  <conditionalFormatting sqref="Q30">
    <cfRule type="cellIs" dxfId="17592" priority="3747" operator="equal">
      <formula>"OFF"</formula>
    </cfRule>
    <cfRule type="cellIs" dxfId="17591" priority="3748" operator="equal">
      <formula>"PTO"</formula>
    </cfRule>
  </conditionalFormatting>
  <conditionalFormatting sqref="R30">
    <cfRule type="cellIs" dxfId="17590" priority="3745" operator="equal">
      <formula>"OFF"</formula>
    </cfRule>
    <cfRule type="cellIs" dxfId="17589" priority="3746" operator="equal">
      <formula>"PTO"</formula>
    </cfRule>
  </conditionalFormatting>
  <conditionalFormatting sqref="R30">
    <cfRule type="cellIs" dxfId="17588" priority="3743" operator="equal">
      <formula>"OFF"</formula>
    </cfRule>
    <cfRule type="cellIs" dxfId="17587" priority="3744" operator="equal">
      <formula>"PTO"</formula>
    </cfRule>
  </conditionalFormatting>
  <conditionalFormatting sqref="R30">
    <cfRule type="cellIs" dxfId="17586" priority="3741" operator="equal">
      <formula>"OFF"</formula>
    </cfRule>
    <cfRule type="cellIs" dxfId="17585" priority="3742" operator="equal">
      <formula>"PTO"</formula>
    </cfRule>
  </conditionalFormatting>
  <conditionalFormatting sqref="R30">
    <cfRule type="cellIs" dxfId="17584" priority="3739" operator="equal">
      <formula>"OFF"</formula>
    </cfRule>
    <cfRule type="cellIs" dxfId="17583" priority="3740" operator="equal">
      <formula>"PTO"</formula>
    </cfRule>
  </conditionalFormatting>
  <conditionalFormatting sqref="Q30">
    <cfRule type="cellIs" dxfId="17582" priority="3737" operator="equal">
      <formula>"OFF"</formula>
    </cfRule>
    <cfRule type="cellIs" dxfId="17581" priority="3738" operator="equal">
      <formula>"PTO"</formula>
    </cfRule>
  </conditionalFormatting>
  <conditionalFormatting sqref="Q30">
    <cfRule type="cellIs" dxfId="17580" priority="3735" operator="equal">
      <formula>"OFF"</formula>
    </cfRule>
    <cfRule type="cellIs" dxfId="17579" priority="3736" operator="equal">
      <formula>"PTO"</formula>
    </cfRule>
  </conditionalFormatting>
  <conditionalFormatting sqref="Q30">
    <cfRule type="cellIs" dxfId="17578" priority="3733" operator="equal">
      <formula>"OFF"</formula>
    </cfRule>
    <cfRule type="cellIs" dxfId="17577" priority="3734" operator="equal">
      <formula>"PTO"</formula>
    </cfRule>
  </conditionalFormatting>
  <conditionalFormatting sqref="Q30">
    <cfRule type="cellIs" dxfId="17576" priority="3731" operator="equal">
      <formula>"OFF"</formula>
    </cfRule>
    <cfRule type="cellIs" dxfId="17575" priority="3732" operator="equal">
      <formula>"PTO"</formula>
    </cfRule>
  </conditionalFormatting>
  <conditionalFormatting sqref="R30">
    <cfRule type="cellIs" dxfId="17574" priority="3729" operator="equal">
      <formula>"OFF"</formula>
    </cfRule>
    <cfRule type="cellIs" dxfId="17573" priority="3730" operator="equal">
      <formula>"PTO"</formula>
    </cfRule>
  </conditionalFormatting>
  <conditionalFormatting sqref="R30">
    <cfRule type="cellIs" dxfId="17572" priority="3727" operator="equal">
      <formula>"OFF"</formula>
    </cfRule>
    <cfRule type="cellIs" dxfId="17571" priority="3728" operator="equal">
      <formula>"PTO"</formula>
    </cfRule>
  </conditionalFormatting>
  <conditionalFormatting sqref="R30">
    <cfRule type="cellIs" dxfId="17570" priority="3725" operator="equal">
      <formula>"OFF"</formula>
    </cfRule>
    <cfRule type="cellIs" dxfId="17569" priority="3726" operator="equal">
      <formula>"PTO"</formula>
    </cfRule>
  </conditionalFormatting>
  <conditionalFormatting sqref="R30">
    <cfRule type="cellIs" dxfId="17568" priority="3723" operator="equal">
      <formula>"OFF"</formula>
    </cfRule>
    <cfRule type="cellIs" dxfId="17567" priority="3724" operator="equal">
      <formula>"PTO"</formula>
    </cfRule>
  </conditionalFormatting>
  <conditionalFormatting sqref="Q30">
    <cfRule type="cellIs" dxfId="17566" priority="3721" operator="equal">
      <formula>"OFF"</formula>
    </cfRule>
    <cfRule type="cellIs" dxfId="17565" priority="3722" operator="equal">
      <formula>"PTO"</formula>
    </cfRule>
  </conditionalFormatting>
  <conditionalFormatting sqref="Q30">
    <cfRule type="cellIs" dxfId="17564" priority="3719" operator="equal">
      <formula>"OFF"</formula>
    </cfRule>
    <cfRule type="cellIs" dxfId="17563" priority="3720" operator="equal">
      <formula>"PTO"</formula>
    </cfRule>
  </conditionalFormatting>
  <conditionalFormatting sqref="Q30">
    <cfRule type="cellIs" dxfId="17562" priority="3717" operator="equal">
      <formula>"OFF"</formula>
    </cfRule>
    <cfRule type="cellIs" dxfId="17561" priority="3718" operator="equal">
      <formula>"PTO"</formula>
    </cfRule>
  </conditionalFormatting>
  <conditionalFormatting sqref="Q30">
    <cfRule type="cellIs" dxfId="17560" priority="3715" operator="equal">
      <formula>"OFF"</formula>
    </cfRule>
    <cfRule type="cellIs" dxfId="17559" priority="3716" operator="equal">
      <formula>"PTO"</formula>
    </cfRule>
  </conditionalFormatting>
  <conditionalFormatting sqref="R30">
    <cfRule type="cellIs" dxfId="17558" priority="3713" operator="equal">
      <formula>"OFF"</formula>
    </cfRule>
    <cfRule type="cellIs" dxfId="17557" priority="3714" operator="equal">
      <formula>"PTO"</formula>
    </cfRule>
  </conditionalFormatting>
  <conditionalFormatting sqref="R30">
    <cfRule type="cellIs" dxfId="17556" priority="3711" operator="equal">
      <formula>"OFF"</formula>
    </cfRule>
    <cfRule type="cellIs" dxfId="17555" priority="3712" operator="equal">
      <formula>"PTO"</formula>
    </cfRule>
  </conditionalFormatting>
  <conditionalFormatting sqref="R30">
    <cfRule type="cellIs" dxfId="17554" priority="3709" operator="equal">
      <formula>"OFF"</formula>
    </cfRule>
    <cfRule type="cellIs" dxfId="17553" priority="3710" operator="equal">
      <formula>"PTO"</formula>
    </cfRule>
  </conditionalFormatting>
  <conditionalFormatting sqref="R30">
    <cfRule type="cellIs" dxfId="17552" priority="3707" operator="equal">
      <formula>"OFF"</formula>
    </cfRule>
    <cfRule type="cellIs" dxfId="17551" priority="3708" operator="equal">
      <formula>"PTO"</formula>
    </cfRule>
  </conditionalFormatting>
  <conditionalFormatting sqref="Q30">
    <cfRule type="cellIs" dxfId="17550" priority="3705" operator="equal">
      <formula>"OFF"</formula>
    </cfRule>
    <cfRule type="cellIs" dxfId="17549" priority="3706" operator="equal">
      <formula>"PTO"</formula>
    </cfRule>
  </conditionalFormatting>
  <conditionalFormatting sqref="Q30">
    <cfRule type="cellIs" dxfId="17548" priority="3703" operator="equal">
      <formula>"OFF"</formula>
    </cfRule>
    <cfRule type="cellIs" dxfId="17547" priority="3704" operator="equal">
      <formula>"PTO"</formula>
    </cfRule>
  </conditionalFormatting>
  <conditionalFormatting sqref="Q30">
    <cfRule type="cellIs" dxfId="17546" priority="3701" operator="equal">
      <formula>"OFF"</formula>
    </cfRule>
    <cfRule type="cellIs" dxfId="17545" priority="3702" operator="equal">
      <formula>"PTO"</formula>
    </cfRule>
  </conditionalFormatting>
  <conditionalFormatting sqref="Q30">
    <cfRule type="cellIs" dxfId="17544" priority="3699" operator="equal">
      <formula>"OFF"</formula>
    </cfRule>
    <cfRule type="cellIs" dxfId="17543" priority="3700" operator="equal">
      <formula>"PTO"</formula>
    </cfRule>
  </conditionalFormatting>
  <conditionalFormatting sqref="R30">
    <cfRule type="cellIs" dxfId="17542" priority="3697" operator="equal">
      <formula>"OFF"</formula>
    </cfRule>
    <cfRule type="cellIs" dxfId="17541" priority="3698" operator="equal">
      <formula>"PTO"</formula>
    </cfRule>
  </conditionalFormatting>
  <conditionalFormatting sqref="R30">
    <cfRule type="cellIs" dxfId="17540" priority="3695" operator="equal">
      <formula>"OFF"</formula>
    </cfRule>
    <cfRule type="cellIs" dxfId="17539" priority="3696" operator="equal">
      <formula>"PTO"</formula>
    </cfRule>
  </conditionalFormatting>
  <conditionalFormatting sqref="R30">
    <cfRule type="cellIs" dxfId="17538" priority="3693" operator="equal">
      <formula>"OFF"</formula>
    </cfRule>
    <cfRule type="cellIs" dxfId="17537" priority="3694" operator="equal">
      <formula>"PTO"</formula>
    </cfRule>
  </conditionalFormatting>
  <conditionalFormatting sqref="R30">
    <cfRule type="cellIs" dxfId="17536" priority="3691" operator="equal">
      <formula>"OFF"</formula>
    </cfRule>
    <cfRule type="cellIs" dxfId="17535" priority="3692" operator="equal">
      <formula>"PTO"</formula>
    </cfRule>
  </conditionalFormatting>
  <conditionalFormatting sqref="Q30">
    <cfRule type="cellIs" dxfId="17534" priority="3689" operator="equal">
      <formula>"OFF"</formula>
    </cfRule>
    <cfRule type="cellIs" dxfId="17533" priority="3690" operator="equal">
      <formula>"PTO"</formula>
    </cfRule>
  </conditionalFormatting>
  <conditionalFormatting sqref="Q30">
    <cfRule type="cellIs" dxfId="17532" priority="3687" operator="equal">
      <formula>"OFF"</formula>
    </cfRule>
    <cfRule type="cellIs" dxfId="17531" priority="3688" operator="equal">
      <formula>"PTO"</formula>
    </cfRule>
  </conditionalFormatting>
  <conditionalFormatting sqref="Q30">
    <cfRule type="cellIs" dxfId="17530" priority="3685" operator="equal">
      <formula>"OFF"</formula>
    </cfRule>
    <cfRule type="cellIs" dxfId="17529" priority="3686" operator="equal">
      <formula>"PTO"</formula>
    </cfRule>
  </conditionalFormatting>
  <conditionalFormatting sqref="Q30">
    <cfRule type="cellIs" dxfId="17528" priority="3683" operator="equal">
      <formula>"OFF"</formula>
    </cfRule>
    <cfRule type="cellIs" dxfId="17527" priority="3684" operator="equal">
      <formula>"PTO"</formula>
    </cfRule>
  </conditionalFormatting>
  <conditionalFormatting sqref="Q30">
    <cfRule type="cellIs" dxfId="17526" priority="3681" operator="equal">
      <formula>"OFF"</formula>
    </cfRule>
    <cfRule type="cellIs" dxfId="17525" priority="3682" operator="equal">
      <formula>"PTO"</formula>
    </cfRule>
  </conditionalFormatting>
  <conditionalFormatting sqref="Q30">
    <cfRule type="cellIs" dxfId="17524" priority="3679" operator="equal">
      <formula>"OFF"</formula>
    </cfRule>
    <cfRule type="cellIs" dxfId="17523" priority="3680" operator="equal">
      <formula>"PTO"</formula>
    </cfRule>
  </conditionalFormatting>
  <conditionalFormatting sqref="Q30">
    <cfRule type="cellIs" dxfId="17522" priority="3677" operator="equal">
      <formula>"OFF"</formula>
    </cfRule>
    <cfRule type="cellIs" dxfId="17521" priority="3678" operator="equal">
      <formula>"PTO"</formula>
    </cfRule>
  </conditionalFormatting>
  <conditionalFormatting sqref="Q30">
    <cfRule type="cellIs" dxfId="17520" priority="3675" operator="equal">
      <formula>"OFF"</formula>
    </cfRule>
    <cfRule type="cellIs" dxfId="17519" priority="3676" operator="equal">
      <formula>"PTO"</formula>
    </cfRule>
  </conditionalFormatting>
  <conditionalFormatting sqref="Q30">
    <cfRule type="cellIs" dxfId="17518" priority="3673" operator="equal">
      <formula>"OFF"</formula>
    </cfRule>
    <cfRule type="cellIs" dxfId="17517" priority="3674" operator="equal">
      <formula>"PTO"</formula>
    </cfRule>
  </conditionalFormatting>
  <conditionalFormatting sqref="Q30">
    <cfRule type="cellIs" dxfId="17516" priority="3671" operator="equal">
      <formula>"OFF"</formula>
    </cfRule>
    <cfRule type="cellIs" dxfId="17515" priority="3672" operator="equal">
      <formula>"PTO"</formula>
    </cfRule>
  </conditionalFormatting>
  <conditionalFormatting sqref="Q30">
    <cfRule type="cellIs" dxfId="17514" priority="3669" operator="equal">
      <formula>"OFF"</formula>
    </cfRule>
    <cfRule type="cellIs" dxfId="17513" priority="3670" operator="equal">
      <formula>"PTO"</formula>
    </cfRule>
  </conditionalFormatting>
  <conditionalFormatting sqref="Q30">
    <cfRule type="cellIs" dxfId="17512" priority="3667" operator="equal">
      <formula>"OFF"</formula>
    </cfRule>
    <cfRule type="cellIs" dxfId="17511" priority="3668" operator="equal">
      <formula>"PTO"</formula>
    </cfRule>
  </conditionalFormatting>
  <conditionalFormatting sqref="Q30">
    <cfRule type="cellIs" dxfId="17510" priority="3665" operator="equal">
      <formula>"OFF"</formula>
    </cfRule>
    <cfRule type="cellIs" dxfId="17509" priority="3666" operator="equal">
      <formula>"PTO"</formula>
    </cfRule>
  </conditionalFormatting>
  <conditionalFormatting sqref="Q30">
    <cfRule type="cellIs" dxfId="17508" priority="3663" operator="equal">
      <formula>"OFF"</formula>
    </cfRule>
    <cfRule type="cellIs" dxfId="17507" priority="3664" operator="equal">
      <formula>"PTO"</formula>
    </cfRule>
  </conditionalFormatting>
  <conditionalFormatting sqref="Q30">
    <cfRule type="cellIs" dxfId="17506" priority="3661" operator="equal">
      <formula>"OFF"</formula>
    </cfRule>
    <cfRule type="cellIs" dxfId="17505" priority="3662" operator="equal">
      <formula>"PTO"</formula>
    </cfRule>
  </conditionalFormatting>
  <conditionalFormatting sqref="Q30">
    <cfRule type="cellIs" dxfId="17504" priority="3659" operator="equal">
      <formula>"OFF"</formula>
    </cfRule>
    <cfRule type="cellIs" dxfId="17503" priority="3660" operator="equal">
      <formula>"PTO"</formula>
    </cfRule>
  </conditionalFormatting>
  <conditionalFormatting sqref="Q30">
    <cfRule type="cellIs" dxfId="17502" priority="3657" operator="equal">
      <formula>"OFF"</formula>
    </cfRule>
    <cfRule type="cellIs" dxfId="17501" priority="3658" operator="equal">
      <formula>"PTO"</formula>
    </cfRule>
  </conditionalFormatting>
  <conditionalFormatting sqref="Q30">
    <cfRule type="cellIs" dxfId="17500" priority="3655" operator="equal">
      <formula>"OFF"</formula>
    </cfRule>
    <cfRule type="cellIs" dxfId="17499" priority="3656" operator="equal">
      <formula>"PTO"</formula>
    </cfRule>
  </conditionalFormatting>
  <conditionalFormatting sqref="Q30">
    <cfRule type="cellIs" dxfId="17498" priority="3653" operator="equal">
      <formula>"OFF"</formula>
    </cfRule>
    <cfRule type="cellIs" dxfId="17497" priority="3654" operator="equal">
      <formula>"PTO"</formula>
    </cfRule>
  </conditionalFormatting>
  <conditionalFormatting sqref="Q30">
    <cfRule type="cellIs" dxfId="17496" priority="3651" operator="equal">
      <formula>"OFF"</formula>
    </cfRule>
    <cfRule type="cellIs" dxfId="17495" priority="3652" operator="equal">
      <formula>"PTO"</formula>
    </cfRule>
  </conditionalFormatting>
  <conditionalFormatting sqref="Q30">
    <cfRule type="cellIs" dxfId="17494" priority="3649" operator="equal">
      <formula>"OFF"</formula>
    </cfRule>
    <cfRule type="cellIs" dxfId="17493" priority="3650" operator="equal">
      <formula>"PTO"</formula>
    </cfRule>
  </conditionalFormatting>
  <conditionalFormatting sqref="Q30">
    <cfRule type="cellIs" dxfId="17492" priority="3647" operator="equal">
      <formula>"OFF"</formula>
    </cfRule>
    <cfRule type="cellIs" dxfId="17491" priority="3648" operator="equal">
      <formula>"PTO"</formula>
    </cfRule>
  </conditionalFormatting>
  <conditionalFormatting sqref="Q30">
    <cfRule type="cellIs" dxfId="17490" priority="3645" operator="equal">
      <formula>"OFF"</formula>
    </cfRule>
    <cfRule type="cellIs" dxfId="17489" priority="3646" operator="equal">
      <formula>"PTO"</formula>
    </cfRule>
  </conditionalFormatting>
  <conditionalFormatting sqref="Q30">
    <cfRule type="cellIs" dxfId="17488" priority="3643" operator="equal">
      <formula>"OFF"</formula>
    </cfRule>
    <cfRule type="cellIs" dxfId="17487" priority="3644" operator="equal">
      <formula>"PTO"</formula>
    </cfRule>
  </conditionalFormatting>
  <conditionalFormatting sqref="Q30">
    <cfRule type="cellIs" dxfId="17486" priority="3641" operator="equal">
      <formula>"OFF"</formula>
    </cfRule>
    <cfRule type="cellIs" dxfId="17485" priority="3642" operator="equal">
      <formula>"PTO"</formula>
    </cfRule>
  </conditionalFormatting>
  <conditionalFormatting sqref="R30">
    <cfRule type="cellIs" dxfId="17484" priority="3639" operator="equal">
      <formula>"OFF"</formula>
    </cfRule>
    <cfRule type="cellIs" dxfId="17483" priority="3640" operator="equal">
      <formula>"PTO"</formula>
    </cfRule>
  </conditionalFormatting>
  <conditionalFormatting sqref="R30">
    <cfRule type="cellIs" dxfId="17482" priority="3637" operator="equal">
      <formula>"OFF"</formula>
    </cfRule>
    <cfRule type="cellIs" dxfId="17481" priority="3638" operator="equal">
      <formula>"PTO"</formula>
    </cfRule>
  </conditionalFormatting>
  <conditionalFormatting sqref="R30">
    <cfRule type="cellIs" dxfId="17480" priority="3635" operator="equal">
      <formula>"OFF"</formula>
    </cfRule>
    <cfRule type="cellIs" dxfId="17479" priority="3636" operator="equal">
      <formula>"PTO"</formula>
    </cfRule>
  </conditionalFormatting>
  <conditionalFormatting sqref="R30">
    <cfRule type="cellIs" dxfId="17478" priority="3633" operator="equal">
      <formula>"OFF"</formula>
    </cfRule>
    <cfRule type="cellIs" dxfId="17477" priority="3634" operator="equal">
      <formula>"PTO"</formula>
    </cfRule>
  </conditionalFormatting>
  <conditionalFormatting sqref="R30">
    <cfRule type="cellIs" dxfId="17476" priority="3631" operator="equal">
      <formula>"OFF"</formula>
    </cfRule>
    <cfRule type="cellIs" dxfId="17475" priority="3632" operator="equal">
      <formula>"PTO"</formula>
    </cfRule>
  </conditionalFormatting>
  <conditionalFormatting sqref="R30">
    <cfRule type="cellIs" dxfId="17474" priority="3629" operator="equal">
      <formula>"OFF"</formula>
    </cfRule>
    <cfRule type="cellIs" dxfId="17473" priority="3630" operator="equal">
      <formula>"PTO"</formula>
    </cfRule>
  </conditionalFormatting>
  <conditionalFormatting sqref="R30">
    <cfRule type="cellIs" dxfId="17472" priority="3627" operator="equal">
      <formula>"OFF"</formula>
    </cfRule>
    <cfRule type="cellIs" dxfId="17471" priority="3628" operator="equal">
      <formula>"PTO"</formula>
    </cfRule>
  </conditionalFormatting>
  <conditionalFormatting sqref="R30">
    <cfRule type="cellIs" dxfId="17470" priority="3625" operator="equal">
      <formula>"OFF"</formula>
    </cfRule>
    <cfRule type="cellIs" dxfId="17469" priority="3626" operator="equal">
      <formula>"PTO"</formula>
    </cfRule>
  </conditionalFormatting>
  <conditionalFormatting sqref="R30">
    <cfRule type="cellIs" dxfId="17468" priority="3623" operator="equal">
      <formula>"OFF"</formula>
    </cfRule>
    <cfRule type="cellIs" dxfId="17467" priority="3624" operator="equal">
      <formula>"PTO"</formula>
    </cfRule>
  </conditionalFormatting>
  <conditionalFormatting sqref="R30">
    <cfRule type="cellIs" dxfId="17466" priority="3621" operator="equal">
      <formula>"OFF"</formula>
    </cfRule>
    <cfRule type="cellIs" dxfId="17465" priority="3622" operator="equal">
      <formula>"PTO"</formula>
    </cfRule>
  </conditionalFormatting>
  <conditionalFormatting sqref="R30">
    <cfRule type="cellIs" dxfId="17464" priority="3619" operator="equal">
      <formula>"OFF"</formula>
    </cfRule>
    <cfRule type="cellIs" dxfId="17463" priority="3620" operator="equal">
      <formula>"PTO"</formula>
    </cfRule>
  </conditionalFormatting>
  <conditionalFormatting sqref="R30">
    <cfRule type="cellIs" dxfId="17462" priority="3617" operator="equal">
      <formula>"OFF"</formula>
    </cfRule>
    <cfRule type="cellIs" dxfId="17461" priority="3618" operator="equal">
      <formula>"PTO"</formula>
    </cfRule>
  </conditionalFormatting>
  <conditionalFormatting sqref="R30">
    <cfRule type="cellIs" dxfId="17460" priority="3615" operator="equal">
      <formula>"OFF"</formula>
    </cfRule>
    <cfRule type="cellIs" dxfId="17459" priority="3616" operator="equal">
      <formula>"PTO"</formula>
    </cfRule>
  </conditionalFormatting>
  <conditionalFormatting sqref="R30">
    <cfRule type="cellIs" dxfId="17458" priority="3613" operator="equal">
      <formula>"OFF"</formula>
    </cfRule>
    <cfRule type="cellIs" dxfId="17457" priority="3614" operator="equal">
      <formula>"PTO"</formula>
    </cfRule>
  </conditionalFormatting>
  <conditionalFormatting sqref="R30">
    <cfRule type="cellIs" dxfId="17456" priority="3611" operator="equal">
      <formula>"OFF"</formula>
    </cfRule>
    <cfRule type="cellIs" dxfId="17455" priority="3612" operator="equal">
      <formula>"PTO"</formula>
    </cfRule>
  </conditionalFormatting>
  <conditionalFormatting sqref="R30">
    <cfRule type="cellIs" dxfId="17454" priority="3609" operator="equal">
      <formula>"OFF"</formula>
    </cfRule>
    <cfRule type="cellIs" dxfId="17453" priority="3610" operator="equal">
      <formula>"PTO"</formula>
    </cfRule>
  </conditionalFormatting>
  <conditionalFormatting sqref="R30">
    <cfRule type="cellIs" dxfId="17452" priority="3607" operator="equal">
      <formula>"OFF"</formula>
    </cfRule>
    <cfRule type="cellIs" dxfId="17451" priority="3608" operator="equal">
      <formula>"PTO"</formula>
    </cfRule>
  </conditionalFormatting>
  <conditionalFormatting sqref="R30">
    <cfRule type="cellIs" dxfId="17450" priority="3605" operator="equal">
      <formula>"OFF"</formula>
    </cfRule>
    <cfRule type="cellIs" dxfId="17449" priority="3606" operator="equal">
      <formula>"PTO"</formula>
    </cfRule>
  </conditionalFormatting>
  <conditionalFormatting sqref="R30">
    <cfRule type="cellIs" dxfId="17448" priority="3603" operator="equal">
      <formula>"OFF"</formula>
    </cfRule>
    <cfRule type="cellIs" dxfId="17447" priority="3604" operator="equal">
      <formula>"PTO"</formula>
    </cfRule>
  </conditionalFormatting>
  <conditionalFormatting sqref="R30">
    <cfRule type="cellIs" dxfId="17446" priority="3601" operator="equal">
      <formula>"OFF"</formula>
    </cfRule>
    <cfRule type="cellIs" dxfId="17445" priority="3602" operator="equal">
      <formula>"PTO"</formula>
    </cfRule>
  </conditionalFormatting>
  <conditionalFormatting sqref="R30">
    <cfRule type="cellIs" dxfId="17444" priority="3599" operator="equal">
      <formula>"OFF"</formula>
    </cfRule>
    <cfRule type="cellIs" dxfId="17443" priority="3600" operator="equal">
      <formula>"PTO"</formula>
    </cfRule>
  </conditionalFormatting>
  <conditionalFormatting sqref="R30">
    <cfRule type="cellIs" dxfId="17442" priority="3597" operator="equal">
      <formula>"OFF"</formula>
    </cfRule>
    <cfRule type="cellIs" dxfId="17441" priority="3598" operator="equal">
      <formula>"PTO"</formula>
    </cfRule>
  </conditionalFormatting>
  <conditionalFormatting sqref="R30">
    <cfRule type="cellIs" dxfId="17440" priority="3595" operator="equal">
      <formula>"OFF"</formula>
    </cfRule>
    <cfRule type="cellIs" dxfId="17439" priority="3596" operator="equal">
      <formula>"PTO"</formula>
    </cfRule>
  </conditionalFormatting>
  <conditionalFormatting sqref="R30">
    <cfRule type="cellIs" dxfId="17438" priority="3593" operator="equal">
      <formula>"OFF"</formula>
    </cfRule>
    <cfRule type="cellIs" dxfId="17437" priority="3594" operator="equal">
      <formula>"PTO"</formula>
    </cfRule>
  </conditionalFormatting>
  <conditionalFormatting sqref="R30">
    <cfRule type="cellIs" dxfId="17436" priority="3591" operator="equal">
      <formula>"OFF"</formula>
    </cfRule>
    <cfRule type="cellIs" dxfId="17435" priority="3592" operator="equal">
      <formula>"PTO"</formula>
    </cfRule>
  </conditionalFormatting>
  <conditionalFormatting sqref="Q30">
    <cfRule type="cellIs" dxfId="17434" priority="3589" operator="equal">
      <formula>"OFF"</formula>
    </cfRule>
    <cfRule type="cellIs" dxfId="17433" priority="3590" operator="equal">
      <formula>"PTO"</formula>
    </cfRule>
  </conditionalFormatting>
  <conditionalFormatting sqref="Q30">
    <cfRule type="cellIs" dxfId="17432" priority="3587" operator="equal">
      <formula>"OFF"</formula>
    </cfRule>
    <cfRule type="cellIs" dxfId="17431" priority="3588" operator="equal">
      <formula>"PTO"</formula>
    </cfRule>
  </conditionalFormatting>
  <conditionalFormatting sqref="Q30">
    <cfRule type="cellIs" dxfId="17430" priority="3585" operator="equal">
      <formula>"OFF"</formula>
    </cfRule>
    <cfRule type="cellIs" dxfId="17429" priority="3586" operator="equal">
      <formula>"PTO"</formula>
    </cfRule>
  </conditionalFormatting>
  <conditionalFormatting sqref="Q30">
    <cfRule type="cellIs" dxfId="17428" priority="3583" operator="equal">
      <formula>"OFF"</formula>
    </cfRule>
    <cfRule type="cellIs" dxfId="17427" priority="3584" operator="equal">
      <formula>"PTO"</formula>
    </cfRule>
  </conditionalFormatting>
  <conditionalFormatting sqref="Q30">
    <cfRule type="cellIs" dxfId="17426" priority="3581" operator="equal">
      <formula>"OFF"</formula>
    </cfRule>
    <cfRule type="cellIs" dxfId="17425" priority="3582" operator="equal">
      <formula>"PTO"</formula>
    </cfRule>
  </conditionalFormatting>
  <conditionalFormatting sqref="Q30">
    <cfRule type="cellIs" dxfId="17424" priority="3579" operator="equal">
      <formula>"OFF"</formula>
    </cfRule>
    <cfRule type="cellIs" dxfId="17423" priority="3580" operator="equal">
      <formula>"PTO"</formula>
    </cfRule>
  </conditionalFormatting>
  <conditionalFormatting sqref="Q30">
    <cfRule type="cellIs" dxfId="17422" priority="3577" operator="equal">
      <formula>"OFF"</formula>
    </cfRule>
    <cfRule type="cellIs" dxfId="17421" priority="3578" operator="equal">
      <formula>"PTO"</formula>
    </cfRule>
  </conditionalFormatting>
  <conditionalFormatting sqref="Q30">
    <cfRule type="cellIs" dxfId="17420" priority="3575" operator="equal">
      <formula>"OFF"</formula>
    </cfRule>
    <cfRule type="cellIs" dxfId="17419" priority="3576" operator="equal">
      <formula>"PTO"</formula>
    </cfRule>
  </conditionalFormatting>
  <conditionalFormatting sqref="Q32:Q33">
    <cfRule type="cellIs" dxfId="17418" priority="3573" operator="equal">
      <formula>"OFF"</formula>
    </cfRule>
    <cfRule type="cellIs" dxfId="17417" priority="3574" operator="equal">
      <formula>"PTO"</formula>
    </cfRule>
  </conditionalFormatting>
  <conditionalFormatting sqref="Q32:Q33">
    <cfRule type="cellIs" dxfId="17416" priority="3571" operator="equal">
      <formula>"OFF"</formula>
    </cfRule>
    <cfRule type="cellIs" dxfId="17415" priority="3572" operator="equal">
      <formula>"PTO"</formula>
    </cfRule>
  </conditionalFormatting>
  <conditionalFormatting sqref="Q32:Q33">
    <cfRule type="cellIs" dxfId="17414" priority="3569" operator="equal">
      <formula>"OFF"</formula>
    </cfRule>
    <cfRule type="cellIs" dxfId="17413" priority="3570" operator="equal">
      <formula>"PTO"</formula>
    </cfRule>
  </conditionalFormatting>
  <conditionalFormatting sqref="Q32:Q33">
    <cfRule type="cellIs" dxfId="17412" priority="3567" operator="equal">
      <formula>"OFF"</formula>
    </cfRule>
    <cfRule type="cellIs" dxfId="17411" priority="3568" operator="equal">
      <formula>"PTO"</formula>
    </cfRule>
  </conditionalFormatting>
  <conditionalFormatting sqref="Q32:Q33">
    <cfRule type="cellIs" dxfId="17410" priority="3565" operator="equal">
      <formula>"OFF"</formula>
    </cfRule>
    <cfRule type="cellIs" dxfId="17409" priority="3566" operator="equal">
      <formula>"PTO"</formula>
    </cfRule>
  </conditionalFormatting>
  <conditionalFormatting sqref="Q32:Q33">
    <cfRule type="cellIs" dxfId="17408" priority="3563" operator="equal">
      <formula>"OFF"</formula>
    </cfRule>
    <cfRule type="cellIs" dxfId="17407" priority="3564" operator="equal">
      <formula>"PTO"</formula>
    </cfRule>
  </conditionalFormatting>
  <conditionalFormatting sqref="Q32:Q33">
    <cfRule type="cellIs" dxfId="17406" priority="3561" operator="equal">
      <formula>"OFF"</formula>
    </cfRule>
    <cfRule type="cellIs" dxfId="17405" priority="3562" operator="equal">
      <formula>"PTO"</formula>
    </cfRule>
  </conditionalFormatting>
  <conditionalFormatting sqref="Q32:Q33">
    <cfRule type="cellIs" dxfId="17404" priority="3559" operator="equal">
      <formula>"OFF"</formula>
    </cfRule>
    <cfRule type="cellIs" dxfId="17403" priority="3560" operator="equal">
      <formula>"PTO"</formula>
    </cfRule>
  </conditionalFormatting>
  <conditionalFormatting sqref="Q35:Q36">
    <cfRule type="cellIs" dxfId="17402" priority="3557" operator="equal">
      <formula>"OFF"</formula>
    </cfRule>
    <cfRule type="cellIs" dxfId="17401" priority="3558" operator="equal">
      <formula>"PTO"</formula>
    </cfRule>
  </conditionalFormatting>
  <conditionalFormatting sqref="Q35:Q36">
    <cfRule type="cellIs" dxfId="17400" priority="3555" operator="equal">
      <formula>"OFF"</formula>
    </cfRule>
    <cfRule type="cellIs" dxfId="17399" priority="3556" operator="equal">
      <formula>"PTO"</formula>
    </cfRule>
  </conditionalFormatting>
  <conditionalFormatting sqref="Q35:Q36">
    <cfRule type="cellIs" dxfId="17398" priority="3553" operator="equal">
      <formula>"OFF"</formula>
    </cfRule>
    <cfRule type="cellIs" dxfId="17397" priority="3554" operator="equal">
      <formula>"PTO"</formula>
    </cfRule>
  </conditionalFormatting>
  <conditionalFormatting sqref="Q35:Q36">
    <cfRule type="cellIs" dxfId="17396" priority="3551" operator="equal">
      <formula>"OFF"</formula>
    </cfRule>
    <cfRule type="cellIs" dxfId="17395" priority="3552" operator="equal">
      <formula>"PTO"</formula>
    </cfRule>
  </conditionalFormatting>
  <conditionalFormatting sqref="Q35:Q36">
    <cfRule type="cellIs" dxfId="17394" priority="3549" operator="equal">
      <formula>"OFF"</formula>
    </cfRule>
    <cfRule type="cellIs" dxfId="17393" priority="3550" operator="equal">
      <formula>"PTO"</formula>
    </cfRule>
  </conditionalFormatting>
  <conditionalFormatting sqref="Q35:Q36">
    <cfRule type="cellIs" dxfId="17392" priority="3547" operator="equal">
      <formula>"OFF"</formula>
    </cfRule>
    <cfRule type="cellIs" dxfId="17391" priority="3548" operator="equal">
      <formula>"PTO"</formula>
    </cfRule>
  </conditionalFormatting>
  <conditionalFormatting sqref="Q35:Q36">
    <cfRule type="cellIs" dxfId="17390" priority="3545" operator="equal">
      <formula>"OFF"</formula>
    </cfRule>
    <cfRule type="cellIs" dxfId="17389" priority="3546" operator="equal">
      <formula>"PTO"</formula>
    </cfRule>
  </conditionalFormatting>
  <conditionalFormatting sqref="Q35:Q36">
    <cfRule type="cellIs" dxfId="17388" priority="3543" operator="equal">
      <formula>"OFF"</formula>
    </cfRule>
    <cfRule type="cellIs" dxfId="17387" priority="3544" operator="equal">
      <formula>"PTO"</formula>
    </cfRule>
  </conditionalFormatting>
  <conditionalFormatting sqref="Q38:Q39">
    <cfRule type="cellIs" dxfId="17386" priority="3541" operator="equal">
      <formula>"OFF"</formula>
    </cfRule>
    <cfRule type="cellIs" dxfId="17385" priority="3542" operator="equal">
      <formula>"PTO"</formula>
    </cfRule>
  </conditionalFormatting>
  <conditionalFormatting sqref="Q38:Q39">
    <cfRule type="cellIs" dxfId="17384" priority="3539" operator="equal">
      <formula>"OFF"</formula>
    </cfRule>
    <cfRule type="cellIs" dxfId="17383" priority="3540" operator="equal">
      <formula>"PTO"</formula>
    </cfRule>
  </conditionalFormatting>
  <conditionalFormatting sqref="Q38:Q39">
    <cfRule type="cellIs" dxfId="17382" priority="3537" operator="equal">
      <formula>"OFF"</formula>
    </cfRule>
    <cfRule type="cellIs" dxfId="17381" priority="3538" operator="equal">
      <formula>"PTO"</formula>
    </cfRule>
  </conditionalFormatting>
  <conditionalFormatting sqref="Q38:Q39">
    <cfRule type="cellIs" dxfId="17380" priority="3535" operator="equal">
      <formula>"OFF"</formula>
    </cfRule>
    <cfRule type="cellIs" dxfId="17379" priority="3536" operator="equal">
      <formula>"PTO"</formula>
    </cfRule>
  </conditionalFormatting>
  <conditionalFormatting sqref="Q38:Q39">
    <cfRule type="cellIs" dxfId="17378" priority="3533" operator="equal">
      <formula>"OFF"</formula>
    </cfRule>
    <cfRule type="cellIs" dxfId="17377" priority="3534" operator="equal">
      <formula>"PTO"</formula>
    </cfRule>
  </conditionalFormatting>
  <conditionalFormatting sqref="Q38:Q39">
    <cfRule type="cellIs" dxfId="17376" priority="3531" operator="equal">
      <formula>"OFF"</formula>
    </cfRule>
    <cfRule type="cellIs" dxfId="17375" priority="3532" operator="equal">
      <formula>"PTO"</formula>
    </cfRule>
  </conditionalFormatting>
  <conditionalFormatting sqref="Q38:Q39">
    <cfRule type="cellIs" dxfId="17374" priority="3529" operator="equal">
      <formula>"OFF"</formula>
    </cfRule>
    <cfRule type="cellIs" dxfId="17373" priority="3530" operator="equal">
      <formula>"PTO"</formula>
    </cfRule>
  </conditionalFormatting>
  <conditionalFormatting sqref="Q38:Q39">
    <cfRule type="cellIs" dxfId="17372" priority="3527" operator="equal">
      <formula>"OFF"</formula>
    </cfRule>
    <cfRule type="cellIs" dxfId="17371" priority="3528" operator="equal">
      <formula>"PTO"</formula>
    </cfRule>
  </conditionalFormatting>
  <conditionalFormatting sqref="R30">
    <cfRule type="cellIs" dxfId="17370" priority="3525" operator="equal">
      <formula>"OFF"</formula>
    </cfRule>
    <cfRule type="cellIs" dxfId="17369" priority="3526" operator="equal">
      <formula>"PTO"</formula>
    </cfRule>
  </conditionalFormatting>
  <conditionalFormatting sqref="R30">
    <cfRule type="cellIs" dxfId="17368" priority="3523" operator="equal">
      <formula>"OFF"</formula>
    </cfRule>
    <cfRule type="cellIs" dxfId="17367" priority="3524" operator="equal">
      <formula>"PTO"</formula>
    </cfRule>
  </conditionalFormatting>
  <conditionalFormatting sqref="R30">
    <cfRule type="cellIs" dxfId="17366" priority="3521" operator="equal">
      <formula>"OFF"</formula>
    </cfRule>
    <cfRule type="cellIs" dxfId="17365" priority="3522" operator="equal">
      <formula>"PTO"</formula>
    </cfRule>
  </conditionalFormatting>
  <conditionalFormatting sqref="R30">
    <cfRule type="cellIs" dxfId="17364" priority="3519" operator="equal">
      <formula>"OFF"</formula>
    </cfRule>
    <cfRule type="cellIs" dxfId="17363" priority="3520" operator="equal">
      <formula>"PTO"</formula>
    </cfRule>
  </conditionalFormatting>
  <conditionalFormatting sqref="R30">
    <cfRule type="cellIs" dxfId="17362" priority="3517" operator="equal">
      <formula>"OFF"</formula>
    </cfRule>
    <cfRule type="cellIs" dxfId="17361" priority="3518" operator="equal">
      <formula>"PTO"</formula>
    </cfRule>
  </conditionalFormatting>
  <conditionalFormatting sqref="R30">
    <cfRule type="cellIs" dxfId="17360" priority="3515" operator="equal">
      <formula>"OFF"</formula>
    </cfRule>
    <cfRule type="cellIs" dxfId="17359" priority="3516" operator="equal">
      <formula>"PTO"</formula>
    </cfRule>
  </conditionalFormatting>
  <conditionalFormatting sqref="R30">
    <cfRule type="cellIs" dxfId="17358" priority="3513" operator="equal">
      <formula>"OFF"</formula>
    </cfRule>
    <cfRule type="cellIs" dxfId="17357" priority="3514" operator="equal">
      <formula>"PTO"</formula>
    </cfRule>
  </conditionalFormatting>
  <conditionalFormatting sqref="R30">
    <cfRule type="cellIs" dxfId="17356" priority="3511" operator="equal">
      <formula>"OFF"</formula>
    </cfRule>
    <cfRule type="cellIs" dxfId="17355" priority="3512" operator="equal">
      <formula>"PTO"</formula>
    </cfRule>
  </conditionalFormatting>
  <conditionalFormatting sqref="R32:R33">
    <cfRule type="cellIs" dxfId="17354" priority="3509" operator="equal">
      <formula>"OFF"</formula>
    </cfRule>
    <cfRule type="cellIs" dxfId="17353" priority="3510" operator="equal">
      <formula>"PTO"</formula>
    </cfRule>
  </conditionalFormatting>
  <conditionalFormatting sqref="R32:R33">
    <cfRule type="cellIs" dxfId="17352" priority="3507" operator="equal">
      <formula>"OFF"</formula>
    </cfRule>
    <cfRule type="cellIs" dxfId="17351" priority="3508" operator="equal">
      <formula>"PTO"</formula>
    </cfRule>
  </conditionalFormatting>
  <conditionalFormatting sqref="R32:R33">
    <cfRule type="cellIs" dxfId="17350" priority="3505" operator="equal">
      <formula>"OFF"</formula>
    </cfRule>
    <cfRule type="cellIs" dxfId="17349" priority="3506" operator="equal">
      <formula>"PTO"</formula>
    </cfRule>
  </conditionalFormatting>
  <conditionalFormatting sqref="R32:R33">
    <cfRule type="cellIs" dxfId="17348" priority="3503" operator="equal">
      <formula>"OFF"</formula>
    </cfRule>
    <cfRule type="cellIs" dxfId="17347" priority="3504" operator="equal">
      <formula>"PTO"</formula>
    </cfRule>
  </conditionalFormatting>
  <conditionalFormatting sqref="R32:R33">
    <cfRule type="cellIs" dxfId="17346" priority="3501" operator="equal">
      <formula>"OFF"</formula>
    </cfRule>
    <cfRule type="cellIs" dxfId="17345" priority="3502" operator="equal">
      <formula>"PTO"</formula>
    </cfRule>
  </conditionalFormatting>
  <conditionalFormatting sqref="R32:R33">
    <cfRule type="cellIs" dxfId="17344" priority="3499" operator="equal">
      <formula>"OFF"</formula>
    </cfRule>
    <cfRule type="cellIs" dxfId="17343" priority="3500" operator="equal">
      <formula>"PTO"</formula>
    </cfRule>
  </conditionalFormatting>
  <conditionalFormatting sqref="R32:R33">
    <cfRule type="cellIs" dxfId="17342" priority="3497" operator="equal">
      <formula>"OFF"</formula>
    </cfRule>
    <cfRule type="cellIs" dxfId="17341" priority="3498" operator="equal">
      <formula>"PTO"</formula>
    </cfRule>
  </conditionalFormatting>
  <conditionalFormatting sqref="R32:R33">
    <cfRule type="cellIs" dxfId="17340" priority="3495" operator="equal">
      <formula>"OFF"</formula>
    </cfRule>
    <cfRule type="cellIs" dxfId="17339" priority="3496" operator="equal">
      <formula>"PTO"</formula>
    </cfRule>
  </conditionalFormatting>
  <conditionalFormatting sqref="R35:R36">
    <cfRule type="cellIs" dxfId="17338" priority="3493" operator="equal">
      <formula>"OFF"</formula>
    </cfRule>
    <cfRule type="cellIs" dxfId="17337" priority="3494" operator="equal">
      <formula>"PTO"</formula>
    </cfRule>
  </conditionalFormatting>
  <conditionalFormatting sqref="R35:R36">
    <cfRule type="cellIs" dxfId="17336" priority="3491" operator="equal">
      <formula>"OFF"</formula>
    </cfRule>
    <cfRule type="cellIs" dxfId="17335" priority="3492" operator="equal">
      <formula>"PTO"</formula>
    </cfRule>
  </conditionalFormatting>
  <conditionalFormatting sqref="R35:R36">
    <cfRule type="cellIs" dxfId="17334" priority="3489" operator="equal">
      <formula>"OFF"</formula>
    </cfRule>
    <cfRule type="cellIs" dxfId="17333" priority="3490" operator="equal">
      <formula>"PTO"</formula>
    </cfRule>
  </conditionalFormatting>
  <conditionalFormatting sqref="R35:R36">
    <cfRule type="cellIs" dxfId="17332" priority="3487" operator="equal">
      <formula>"OFF"</formula>
    </cfRule>
    <cfRule type="cellIs" dxfId="17331" priority="3488" operator="equal">
      <formula>"PTO"</formula>
    </cfRule>
  </conditionalFormatting>
  <conditionalFormatting sqref="R35:R36">
    <cfRule type="cellIs" dxfId="17330" priority="3485" operator="equal">
      <formula>"OFF"</formula>
    </cfRule>
    <cfRule type="cellIs" dxfId="17329" priority="3486" operator="equal">
      <formula>"PTO"</formula>
    </cfRule>
  </conditionalFormatting>
  <conditionalFormatting sqref="R35:R36">
    <cfRule type="cellIs" dxfId="17328" priority="3483" operator="equal">
      <formula>"OFF"</formula>
    </cfRule>
    <cfRule type="cellIs" dxfId="17327" priority="3484" operator="equal">
      <formula>"PTO"</formula>
    </cfRule>
  </conditionalFormatting>
  <conditionalFormatting sqref="R35:R36">
    <cfRule type="cellIs" dxfId="17326" priority="3481" operator="equal">
      <formula>"OFF"</formula>
    </cfRule>
    <cfRule type="cellIs" dxfId="17325" priority="3482" operator="equal">
      <formula>"PTO"</formula>
    </cfRule>
  </conditionalFormatting>
  <conditionalFormatting sqref="R35:R36">
    <cfRule type="cellIs" dxfId="17324" priority="3479" operator="equal">
      <formula>"OFF"</formula>
    </cfRule>
    <cfRule type="cellIs" dxfId="17323" priority="3480" operator="equal">
      <formula>"PTO"</formula>
    </cfRule>
  </conditionalFormatting>
  <conditionalFormatting sqref="R38:R39">
    <cfRule type="cellIs" dxfId="17322" priority="3477" operator="equal">
      <formula>"OFF"</formula>
    </cfRule>
    <cfRule type="cellIs" dxfId="17321" priority="3478" operator="equal">
      <formula>"PTO"</formula>
    </cfRule>
  </conditionalFormatting>
  <conditionalFormatting sqref="R38:R39">
    <cfRule type="cellIs" dxfId="17320" priority="3475" operator="equal">
      <formula>"OFF"</formula>
    </cfRule>
    <cfRule type="cellIs" dxfId="17319" priority="3476" operator="equal">
      <formula>"PTO"</formula>
    </cfRule>
  </conditionalFormatting>
  <conditionalFormatting sqref="R38:R39">
    <cfRule type="cellIs" dxfId="17318" priority="3473" operator="equal">
      <formula>"OFF"</formula>
    </cfRule>
    <cfRule type="cellIs" dxfId="17317" priority="3474" operator="equal">
      <formula>"PTO"</formula>
    </cfRule>
  </conditionalFormatting>
  <conditionalFormatting sqref="R38:R39">
    <cfRule type="cellIs" dxfId="17316" priority="3471" operator="equal">
      <formula>"OFF"</formula>
    </cfRule>
    <cfRule type="cellIs" dxfId="17315" priority="3472" operator="equal">
      <formula>"PTO"</formula>
    </cfRule>
  </conditionalFormatting>
  <conditionalFormatting sqref="R38:R39">
    <cfRule type="cellIs" dxfId="17314" priority="3469" operator="equal">
      <formula>"OFF"</formula>
    </cfRule>
    <cfRule type="cellIs" dxfId="17313" priority="3470" operator="equal">
      <formula>"PTO"</formula>
    </cfRule>
  </conditionalFormatting>
  <conditionalFormatting sqref="R38:R39">
    <cfRule type="cellIs" dxfId="17312" priority="3467" operator="equal">
      <formula>"OFF"</formula>
    </cfRule>
    <cfRule type="cellIs" dxfId="17311" priority="3468" operator="equal">
      <formula>"PTO"</formula>
    </cfRule>
  </conditionalFormatting>
  <conditionalFormatting sqref="R38:R39">
    <cfRule type="cellIs" dxfId="17310" priority="3465" operator="equal">
      <formula>"OFF"</formula>
    </cfRule>
    <cfRule type="cellIs" dxfId="17309" priority="3466" operator="equal">
      <formula>"PTO"</formula>
    </cfRule>
  </conditionalFormatting>
  <conditionalFormatting sqref="R38:R39">
    <cfRule type="cellIs" dxfId="17308" priority="3463" operator="equal">
      <formula>"OFF"</formula>
    </cfRule>
    <cfRule type="cellIs" dxfId="17307" priority="3464" operator="equal">
      <formula>"PTO"</formula>
    </cfRule>
  </conditionalFormatting>
  <conditionalFormatting sqref="S26:S27 S30 S32:S33 S35:S36 S38:S39">
    <cfRule type="cellIs" dxfId="17306" priority="3461" operator="equal">
      <formula>"OFF"</formula>
    </cfRule>
    <cfRule type="cellIs" dxfId="17305" priority="3462" operator="equal">
      <formula>"PTO"</formula>
    </cfRule>
  </conditionalFormatting>
  <conditionalFormatting sqref="S26:S27">
    <cfRule type="cellIs" dxfId="17304" priority="3459" operator="equal">
      <formula>"OFF"</formula>
    </cfRule>
    <cfRule type="cellIs" dxfId="17303" priority="3460" operator="equal">
      <formula>"PTO"</formula>
    </cfRule>
  </conditionalFormatting>
  <conditionalFormatting sqref="S26:S27">
    <cfRule type="cellIs" dxfId="17302" priority="3457" operator="equal">
      <formula>"OFF"</formula>
    </cfRule>
    <cfRule type="cellIs" dxfId="17301" priority="3458" operator="equal">
      <formula>"PTO"</formula>
    </cfRule>
  </conditionalFormatting>
  <conditionalFormatting sqref="S26:S27">
    <cfRule type="cellIs" dxfId="17300" priority="3455" operator="equal">
      <formula>"OFF"</formula>
    </cfRule>
    <cfRule type="cellIs" dxfId="17299" priority="3456" operator="equal">
      <formula>"PTO"</formula>
    </cfRule>
  </conditionalFormatting>
  <conditionalFormatting sqref="S26:S27">
    <cfRule type="cellIs" dxfId="17298" priority="3453" operator="equal">
      <formula>"OFF"</formula>
    </cfRule>
    <cfRule type="cellIs" dxfId="17297" priority="3454" operator="equal">
      <formula>"PTO"</formula>
    </cfRule>
  </conditionalFormatting>
  <conditionalFormatting sqref="S26:S27">
    <cfRule type="cellIs" dxfId="17296" priority="3451" operator="equal">
      <formula>"OFF"</formula>
    </cfRule>
    <cfRule type="cellIs" dxfId="17295" priority="3452" operator="equal">
      <formula>"PTO"</formula>
    </cfRule>
  </conditionalFormatting>
  <conditionalFormatting sqref="S26:S27">
    <cfRule type="cellIs" dxfId="17294" priority="3449" operator="equal">
      <formula>"OFF"</formula>
    </cfRule>
    <cfRule type="cellIs" dxfId="17293" priority="3450" operator="equal">
      <formula>"PTO"</formula>
    </cfRule>
  </conditionalFormatting>
  <conditionalFormatting sqref="S26:S27">
    <cfRule type="cellIs" dxfId="17292" priority="3447" operator="equal">
      <formula>"OFF"</formula>
    </cfRule>
    <cfRule type="cellIs" dxfId="17291" priority="3448" operator="equal">
      <formula>"PTO"</formula>
    </cfRule>
  </conditionalFormatting>
  <conditionalFormatting sqref="S26:S27">
    <cfRule type="cellIs" dxfId="17290" priority="3445" operator="equal">
      <formula>"OFF"</formula>
    </cfRule>
    <cfRule type="cellIs" dxfId="17289" priority="3446" operator="equal">
      <formula>"PTO"</formula>
    </cfRule>
  </conditionalFormatting>
  <conditionalFormatting sqref="S27">
    <cfRule type="cellIs" dxfId="17288" priority="3443" operator="equal">
      <formula>"OFF"</formula>
    </cfRule>
    <cfRule type="cellIs" dxfId="17287" priority="3444" operator="equal">
      <formula>"PTO"</formula>
    </cfRule>
  </conditionalFormatting>
  <conditionalFormatting sqref="S27">
    <cfRule type="cellIs" dxfId="17286" priority="3441" operator="equal">
      <formula>"OFF"</formula>
    </cfRule>
    <cfRule type="cellIs" dxfId="17285" priority="3442" operator="equal">
      <formula>"PTO"</formula>
    </cfRule>
  </conditionalFormatting>
  <conditionalFormatting sqref="S27">
    <cfRule type="cellIs" dxfId="17284" priority="3439" operator="equal">
      <formula>"OFF"</formula>
    </cfRule>
    <cfRule type="cellIs" dxfId="17283" priority="3440" operator="equal">
      <formula>"PTO"</formula>
    </cfRule>
  </conditionalFormatting>
  <conditionalFormatting sqref="S27">
    <cfRule type="cellIs" dxfId="17282" priority="3437" operator="equal">
      <formula>"OFF"</formula>
    </cfRule>
    <cfRule type="cellIs" dxfId="17281" priority="3438" operator="equal">
      <formula>"PTO"</formula>
    </cfRule>
  </conditionalFormatting>
  <conditionalFormatting sqref="S27">
    <cfRule type="cellIs" dxfId="17280" priority="3435" operator="equal">
      <formula>"OFF"</formula>
    </cfRule>
    <cfRule type="cellIs" dxfId="17279" priority="3436" operator="equal">
      <formula>"PTO"</formula>
    </cfRule>
  </conditionalFormatting>
  <conditionalFormatting sqref="S27">
    <cfRule type="cellIs" dxfId="17278" priority="3433" operator="equal">
      <formula>"OFF"</formula>
    </cfRule>
    <cfRule type="cellIs" dxfId="17277" priority="3434" operator="equal">
      <formula>"PTO"</formula>
    </cfRule>
  </conditionalFormatting>
  <conditionalFormatting sqref="S27">
    <cfRule type="cellIs" dxfId="17276" priority="3431" operator="equal">
      <formula>"OFF"</formula>
    </cfRule>
    <cfRule type="cellIs" dxfId="17275" priority="3432" operator="equal">
      <formula>"PTO"</formula>
    </cfRule>
  </conditionalFormatting>
  <conditionalFormatting sqref="S27">
    <cfRule type="cellIs" dxfId="17274" priority="3429" operator="equal">
      <formula>"OFF"</formula>
    </cfRule>
    <cfRule type="cellIs" dxfId="17273" priority="3430" operator="equal">
      <formula>"PTO"</formula>
    </cfRule>
  </conditionalFormatting>
  <conditionalFormatting sqref="S30">
    <cfRule type="cellIs" dxfId="17272" priority="3427" operator="equal">
      <formula>"OFF"</formula>
    </cfRule>
    <cfRule type="cellIs" dxfId="17271" priority="3428" operator="equal">
      <formula>"PTO"</formula>
    </cfRule>
  </conditionalFormatting>
  <conditionalFormatting sqref="S30">
    <cfRule type="cellIs" dxfId="17270" priority="3425" operator="equal">
      <formula>"OFF"</formula>
    </cfRule>
    <cfRule type="cellIs" dxfId="17269" priority="3426" operator="equal">
      <formula>"PTO"</formula>
    </cfRule>
  </conditionalFormatting>
  <conditionalFormatting sqref="S30">
    <cfRule type="cellIs" dxfId="17268" priority="3423" operator="equal">
      <formula>"OFF"</formula>
    </cfRule>
    <cfRule type="cellIs" dxfId="17267" priority="3424" operator="equal">
      <formula>"PTO"</formula>
    </cfRule>
  </conditionalFormatting>
  <conditionalFormatting sqref="S30">
    <cfRule type="cellIs" dxfId="17266" priority="3421" operator="equal">
      <formula>"OFF"</formula>
    </cfRule>
    <cfRule type="cellIs" dxfId="17265" priority="3422" operator="equal">
      <formula>"PTO"</formula>
    </cfRule>
  </conditionalFormatting>
  <conditionalFormatting sqref="S30">
    <cfRule type="cellIs" dxfId="17264" priority="3419" operator="equal">
      <formula>"OFF"</formula>
    </cfRule>
    <cfRule type="cellIs" dxfId="17263" priority="3420" operator="equal">
      <formula>"PTO"</formula>
    </cfRule>
  </conditionalFormatting>
  <conditionalFormatting sqref="S30">
    <cfRule type="cellIs" dxfId="17262" priority="3417" operator="equal">
      <formula>"OFF"</formula>
    </cfRule>
    <cfRule type="cellIs" dxfId="17261" priority="3418" operator="equal">
      <formula>"PTO"</formula>
    </cfRule>
  </conditionalFormatting>
  <conditionalFormatting sqref="S30">
    <cfRule type="cellIs" dxfId="17260" priority="3415" operator="equal">
      <formula>"OFF"</formula>
    </cfRule>
    <cfRule type="cellIs" dxfId="17259" priority="3416" operator="equal">
      <formula>"PTO"</formula>
    </cfRule>
  </conditionalFormatting>
  <conditionalFormatting sqref="S30">
    <cfRule type="cellIs" dxfId="17258" priority="3413" operator="equal">
      <formula>"OFF"</formula>
    </cfRule>
    <cfRule type="cellIs" dxfId="17257" priority="3414" operator="equal">
      <formula>"PTO"</formula>
    </cfRule>
  </conditionalFormatting>
  <conditionalFormatting sqref="S30">
    <cfRule type="cellIs" dxfId="17256" priority="3411" operator="equal">
      <formula>"OFF"</formula>
    </cfRule>
    <cfRule type="cellIs" dxfId="17255" priority="3412" operator="equal">
      <formula>"PTO"</formula>
    </cfRule>
  </conditionalFormatting>
  <conditionalFormatting sqref="S30">
    <cfRule type="cellIs" dxfId="17254" priority="3409" operator="equal">
      <formula>"OFF"</formula>
    </cfRule>
    <cfRule type="cellIs" dxfId="17253" priority="3410" operator="equal">
      <formula>"PTO"</formula>
    </cfRule>
  </conditionalFormatting>
  <conditionalFormatting sqref="S30">
    <cfRule type="cellIs" dxfId="17252" priority="3407" operator="equal">
      <formula>"OFF"</formula>
    </cfRule>
    <cfRule type="cellIs" dxfId="17251" priority="3408" operator="equal">
      <formula>"PTO"</formula>
    </cfRule>
  </conditionalFormatting>
  <conditionalFormatting sqref="S30">
    <cfRule type="cellIs" dxfId="17250" priority="3405" operator="equal">
      <formula>"OFF"</formula>
    </cfRule>
    <cfRule type="cellIs" dxfId="17249" priority="3406" operator="equal">
      <formula>"PTO"</formula>
    </cfRule>
  </conditionalFormatting>
  <conditionalFormatting sqref="S30">
    <cfRule type="cellIs" dxfId="17248" priority="3403" operator="equal">
      <formula>"OFF"</formula>
    </cfRule>
    <cfRule type="cellIs" dxfId="17247" priority="3404" operator="equal">
      <formula>"PTO"</formula>
    </cfRule>
  </conditionalFormatting>
  <conditionalFormatting sqref="S30">
    <cfRule type="cellIs" dxfId="17246" priority="3401" operator="equal">
      <formula>"OFF"</formula>
    </cfRule>
    <cfRule type="cellIs" dxfId="17245" priority="3402" operator="equal">
      <formula>"PTO"</formula>
    </cfRule>
  </conditionalFormatting>
  <conditionalFormatting sqref="S30">
    <cfRule type="cellIs" dxfId="17244" priority="3399" operator="equal">
      <formula>"OFF"</formula>
    </cfRule>
    <cfRule type="cellIs" dxfId="17243" priority="3400" operator="equal">
      <formula>"PTO"</formula>
    </cfRule>
  </conditionalFormatting>
  <conditionalFormatting sqref="S30">
    <cfRule type="cellIs" dxfId="17242" priority="3397" operator="equal">
      <formula>"OFF"</formula>
    </cfRule>
    <cfRule type="cellIs" dxfId="17241" priority="3398" operator="equal">
      <formula>"PTO"</formula>
    </cfRule>
  </conditionalFormatting>
  <conditionalFormatting sqref="S30">
    <cfRule type="cellIs" dxfId="17240" priority="3395" operator="equal">
      <formula>"OFF"</formula>
    </cfRule>
    <cfRule type="cellIs" dxfId="17239" priority="3396" operator="equal">
      <formula>"PTO"</formula>
    </cfRule>
  </conditionalFormatting>
  <conditionalFormatting sqref="S30">
    <cfRule type="cellIs" dxfId="17238" priority="3393" operator="equal">
      <formula>"OFF"</formula>
    </cfRule>
    <cfRule type="cellIs" dxfId="17237" priority="3394" operator="equal">
      <formula>"PTO"</formula>
    </cfRule>
  </conditionalFormatting>
  <conditionalFormatting sqref="S30">
    <cfRule type="cellIs" dxfId="17236" priority="3391" operator="equal">
      <formula>"OFF"</formula>
    </cfRule>
    <cfRule type="cellIs" dxfId="17235" priority="3392" operator="equal">
      <formula>"PTO"</formula>
    </cfRule>
  </conditionalFormatting>
  <conditionalFormatting sqref="S30">
    <cfRule type="cellIs" dxfId="17234" priority="3389" operator="equal">
      <formula>"OFF"</formula>
    </cfRule>
    <cfRule type="cellIs" dxfId="17233" priority="3390" operator="equal">
      <formula>"PTO"</formula>
    </cfRule>
  </conditionalFormatting>
  <conditionalFormatting sqref="S30">
    <cfRule type="cellIs" dxfId="17232" priority="3387" operator="equal">
      <formula>"OFF"</formula>
    </cfRule>
    <cfRule type="cellIs" dxfId="17231" priority="3388" operator="equal">
      <formula>"PTO"</formula>
    </cfRule>
  </conditionalFormatting>
  <conditionalFormatting sqref="S30">
    <cfRule type="cellIs" dxfId="17230" priority="3385" operator="equal">
      <formula>"OFF"</formula>
    </cfRule>
    <cfRule type="cellIs" dxfId="17229" priority="3386" operator="equal">
      <formula>"PTO"</formula>
    </cfRule>
  </conditionalFormatting>
  <conditionalFormatting sqref="S30">
    <cfRule type="cellIs" dxfId="17228" priority="3383" operator="equal">
      <formula>"OFF"</formula>
    </cfRule>
    <cfRule type="cellIs" dxfId="17227" priority="3384" operator="equal">
      <formula>"PTO"</formula>
    </cfRule>
  </conditionalFormatting>
  <conditionalFormatting sqref="S30">
    <cfRule type="cellIs" dxfId="17226" priority="3381" operator="equal">
      <formula>"OFF"</formula>
    </cfRule>
    <cfRule type="cellIs" dxfId="17225" priority="3382" operator="equal">
      <formula>"PTO"</formula>
    </cfRule>
  </conditionalFormatting>
  <conditionalFormatting sqref="S30">
    <cfRule type="cellIs" dxfId="17224" priority="3379" operator="equal">
      <formula>"OFF"</formula>
    </cfRule>
    <cfRule type="cellIs" dxfId="17223" priority="3380" operator="equal">
      <formula>"PTO"</formula>
    </cfRule>
  </conditionalFormatting>
  <conditionalFormatting sqref="S30">
    <cfRule type="cellIs" dxfId="17222" priority="3377" operator="equal">
      <formula>"OFF"</formula>
    </cfRule>
    <cfRule type="cellIs" dxfId="17221" priority="3378" operator="equal">
      <formula>"PTO"</formula>
    </cfRule>
  </conditionalFormatting>
  <conditionalFormatting sqref="S30">
    <cfRule type="cellIs" dxfId="17220" priority="3375" operator="equal">
      <formula>"OFF"</formula>
    </cfRule>
    <cfRule type="cellIs" dxfId="17219" priority="3376" operator="equal">
      <formula>"PTO"</formula>
    </cfRule>
  </conditionalFormatting>
  <conditionalFormatting sqref="S30">
    <cfRule type="cellIs" dxfId="17218" priority="3373" operator="equal">
      <formula>"OFF"</formula>
    </cfRule>
    <cfRule type="cellIs" dxfId="17217" priority="3374" operator="equal">
      <formula>"PTO"</formula>
    </cfRule>
  </conditionalFormatting>
  <conditionalFormatting sqref="S30">
    <cfRule type="cellIs" dxfId="17216" priority="3371" operator="equal">
      <formula>"OFF"</formula>
    </cfRule>
    <cfRule type="cellIs" dxfId="17215" priority="3372" operator="equal">
      <formula>"PTO"</formula>
    </cfRule>
  </conditionalFormatting>
  <conditionalFormatting sqref="S30">
    <cfRule type="cellIs" dxfId="17214" priority="3369" operator="equal">
      <formula>"OFF"</formula>
    </cfRule>
    <cfRule type="cellIs" dxfId="17213" priority="3370" operator="equal">
      <formula>"PTO"</formula>
    </cfRule>
  </conditionalFormatting>
  <conditionalFormatting sqref="S30">
    <cfRule type="cellIs" dxfId="17212" priority="3367" operator="equal">
      <formula>"OFF"</formula>
    </cfRule>
    <cfRule type="cellIs" dxfId="17211" priority="3368" operator="equal">
      <formula>"PTO"</formula>
    </cfRule>
  </conditionalFormatting>
  <conditionalFormatting sqref="S30">
    <cfRule type="cellIs" dxfId="17210" priority="3365" operator="equal">
      <formula>"OFF"</formula>
    </cfRule>
    <cfRule type="cellIs" dxfId="17209" priority="3366" operator="equal">
      <formula>"PTO"</formula>
    </cfRule>
  </conditionalFormatting>
  <conditionalFormatting sqref="S30">
    <cfRule type="cellIs" dxfId="17208" priority="3363" operator="equal">
      <formula>"OFF"</formula>
    </cfRule>
    <cfRule type="cellIs" dxfId="17207" priority="3364" operator="equal">
      <formula>"PTO"</formula>
    </cfRule>
  </conditionalFormatting>
  <conditionalFormatting sqref="S30">
    <cfRule type="cellIs" dxfId="17206" priority="3361" operator="equal">
      <formula>"OFF"</formula>
    </cfRule>
    <cfRule type="cellIs" dxfId="17205" priority="3362" operator="equal">
      <formula>"PTO"</formula>
    </cfRule>
  </conditionalFormatting>
  <conditionalFormatting sqref="S30">
    <cfRule type="cellIs" dxfId="17204" priority="3359" operator="equal">
      <formula>"OFF"</formula>
    </cfRule>
    <cfRule type="cellIs" dxfId="17203" priority="3360" operator="equal">
      <formula>"PTO"</formula>
    </cfRule>
  </conditionalFormatting>
  <conditionalFormatting sqref="S30">
    <cfRule type="cellIs" dxfId="17202" priority="3357" operator="equal">
      <formula>"OFF"</formula>
    </cfRule>
    <cfRule type="cellIs" dxfId="17201" priority="3358" operator="equal">
      <formula>"PTO"</formula>
    </cfRule>
  </conditionalFormatting>
  <conditionalFormatting sqref="S30">
    <cfRule type="cellIs" dxfId="17200" priority="3355" operator="equal">
      <formula>"OFF"</formula>
    </cfRule>
    <cfRule type="cellIs" dxfId="17199" priority="3356" operator="equal">
      <formula>"PTO"</formula>
    </cfRule>
  </conditionalFormatting>
  <conditionalFormatting sqref="S30">
    <cfRule type="cellIs" dxfId="17198" priority="3353" operator="equal">
      <formula>"OFF"</formula>
    </cfRule>
    <cfRule type="cellIs" dxfId="17197" priority="3354" operator="equal">
      <formula>"PTO"</formula>
    </cfRule>
  </conditionalFormatting>
  <conditionalFormatting sqref="S30">
    <cfRule type="cellIs" dxfId="17196" priority="3351" operator="equal">
      <formula>"OFF"</formula>
    </cfRule>
    <cfRule type="cellIs" dxfId="17195" priority="3352" operator="equal">
      <formula>"PTO"</formula>
    </cfRule>
  </conditionalFormatting>
  <conditionalFormatting sqref="S30">
    <cfRule type="cellIs" dxfId="17194" priority="3349" operator="equal">
      <formula>"OFF"</formula>
    </cfRule>
    <cfRule type="cellIs" dxfId="17193" priority="3350" operator="equal">
      <formula>"PTO"</formula>
    </cfRule>
  </conditionalFormatting>
  <conditionalFormatting sqref="S30">
    <cfRule type="cellIs" dxfId="17192" priority="3347" operator="equal">
      <formula>"OFF"</formula>
    </cfRule>
    <cfRule type="cellIs" dxfId="17191" priority="3348" operator="equal">
      <formula>"PTO"</formula>
    </cfRule>
  </conditionalFormatting>
  <conditionalFormatting sqref="S30">
    <cfRule type="cellIs" dxfId="17190" priority="3345" operator="equal">
      <formula>"OFF"</formula>
    </cfRule>
    <cfRule type="cellIs" dxfId="17189" priority="3346" operator="equal">
      <formula>"PTO"</formula>
    </cfRule>
  </conditionalFormatting>
  <conditionalFormatting sqref="S30">
    <cfRule type="cellIs" dxfId="17188" priority="3343" operator="equal">
      <formula>"OFF"</formula>
    </cfRule>
    <cfRule type="cellIs" dxfId="17187" priority="3344" operator="equal">
      <formula>"PTO"</formula>
    </cfRule>
  </conditionalFormatting>
  <conditionalFormatting sqref="S30">
    <cfRule type="cellIs" dxfId="17186" priority="3341" operator="equal">
      <formula>"OFF"</formula>
    </cfRule>
    <cfRule type="cellIs" dxfId="17185" priority="3342" operator="equal">
      <formula>"PTO"</formula>
    </cfRule>
  </conditionalFormatting>
  <conditionalFormatting sqref="S30">
    <cfRule type="cellIs" dxfId="17184" priority="3339" operator="equal">
      <formula>"OFF"</formula>
    </cfRule>
    <cfRule type="cellIs" dxfId="17183" priority="3340" operator="equal">
      <formula>"PTO"</formula>
    </cfRule>
  </conditionalFormatting>
  <conditionalFormatting sqref="S30">
    <cfRule type="cellIs" dxfId="17182" priority="3337" operator="equal">
      <formula>"OFF"</formula>
    </cfRule>
    <cfRule type="cellIs" dxfId="17181" priority="3338" operator="equal">
      <formula>"PTO"</formula>
    </cfRule>
  </conditionalFormatting>
  <conditionalFormatting sqref="S30">
    <cfRule type="cellIs" dxfId="17180" priority="3335" operator="equal">
      <formula>"OFF"</formula>
    </cfRule>
    <cfRule type="cellIs" dxfId="17179" priority="3336" operator="equal">
      <formula>"PTO"</formula>
    </cfRule>
  </conditionalFormatting>
  <conditionalFormatting sqref="S30">
    <cfRule type="cellIs" dxfId="17178" priority="3333" operator="equal">
      <formula>"OFF"</formula>
    </cfRule>
    <cfRule type="cellIs" dxfId="17177" priority="3334" operator="equal">
      <formula>"PTO"</formula>
    </cfRule>
  </conditionalFormatting>
  <conditionalFormatting sqref="S30">
    <cfRule type="cellIs" dxfId="17176" priority="3331" operator="equal">
      <formula>"OFF"</formula>
    </cfRule>
    <cfRule type="cellIs" dxfId="17175" priority="3332" operator="equal">
      <formula>"PTO"</formula>
    </cfRule>
  </conditionalFormatting>
  <conditionalFormatting sqref="S30">
    <cfRule type="cellIs" dxfId="17174" priority="3329" operator="equal">
      <formula>"OFF"</formula>
    </cfRule>
    <cfRule type="cellIs" dxfId="17173" priority="3330" operator="equal">
      <formula>"PTO"</formula>
    </cfRule>
  </conditionalFormatting>
  <conditionalFormatting sqref="S30">
    <cfRule type="cellIs" dxfId="17172" priority="3327" operator="equal">
      <formula>"OFF"</formula>
    </cfRule>
    <cfRule type="cellIs" dxfId="17171" priority="3328" operator="equal">
      <formula>"PTO"</formula>
    </cfRule>
  </conditionalFormatting>
  <conditionalFormatting sqref="S30">
    <cfRule type="cellIs" dxfId="17170" priority="3325" operator="equal">
      <formula>"OFF"</formula>
    </cfRule>
    <cfRule type="cellIs" dxfId="17169" priority="3326" operator="equal">
      <formula>"PTO"</formula>
    </cfRule>
  </conditionalFormatting>
  <conditionalFormatting sqref="S30">
    <cfRule type="cellIs" dxfId="17168" priority="3323" operator="equal">
      <formula>"OFF"</formula>
    </cfRule>
    <cfRule type="cellIs" dxfId="17167" priority="3324" operator="equal">
      <formula>"PTO"</formula>
    </cfRule>
  </conditionalFormatting>
  <conditionalFormatting sqref="S30">
    <cfRule type="cellIs" dxfId="17166" priority="3321" operator="equal">
      <formula>"OFF"</formula>
    </cfRule>
    <cfRule type="cellIs" dxfId="17165" priority="3322" operator="equal">
      <formula>"PTO"</formula>
    </cfRule>
  </conditionalFormatting>
  <conditionalFormatting sqref="S30">
    <cfRule type="cellIs" dxfId="17164" priority="3319" operator="equal">
      <formula>"OFF"</formula>
    </cfRule>
    <cfRule type="cellIs" dxfId="17163" priority="3320" operator="equal">
      <formula>"PTO"</formula>
    </cfRule>
  </conditionalFormatting>
  <conditionalFormatting sqref="S30">
    <cfRule type="cellIs" dxfId="17162" priority="3317" operator="equal">
      <formula>"OFF"</formula>
    </cfRule>
    <cfRule type="cellIs" dxfId="17161" priority="3318" operator="equal">
      <formula>"PTO"</formula>
    </cfRule>
  </conditionalFormatting>
  <conditionalFormatting sqref="S30">
    <cfRule type="cellIs" dxfId="17160" priority="3315" operator="equal">
      <formula>"OFF"</formula>
    </cfRule>
    <cfRule type="cellIs" dxfId="17159" priority="3316" operator="equal">
      <formula>"PTO"</formula>
    </cfRule>
  </conditionalFormatting>
  <conditionalFormatting sqref="S30">
    <cfRule type="cellIs" dxfId="17158" priority="3313" operator="equal">
      <formula>"OFF"</formula>
    </cfRule>
    <cfRule type="cellIs" dxfId="17157" priority="3314" operator="equal">
      <formula>"PTO"</formula>
    </cfRule>
  </conditionalFormatting>
  <conditionalFormatting sqref="S30">
    <cfRule type="cellIs" dxfId="17156" priority="3311" operator="equal">
      <formula>"OFF"</formula>
    </cfRule>
    <cfRule type="cellIs" dxfId="17155" priority="3312" operator="equal">
      <formula>"PTO"</formula>
    </cfRule>
  </conditionalFormatting>
  <conditionalFormatting sqref="S30">
    <cfRule type="cellIs" dxfId="17154" priority="3309" operator="equal">
      <formula>"OFF"</formula>
    </cfRule>
    <cfRule type="cellIs" dxfId="17153" priority="3310" operator="equal">
      <formula>"PTO"</formula>
    </cfRule>
  </conditionalFormatting>
  <conditionalFormatting sqref="S30">
    <cfRule type="cellIs" dxfId="17152" priority="3307" operator="equal">
      <formula>"OFF"</formula>
    </cfRule>
    <cfRule type="cellIs" dxfId="17151" priority="3308" operator="equal">
      <formula>"PTO"</formula>
    </cfRule>
  </conditionalFormatting>
  <conditionalFormatting sqref="S30">
    <cfRule type="cellIs" dxfId="17150" priority="3305" operator="equal">
      <formula>"OFF"</formula>
    </cfRule>
    <cfRule type="cellIs" dxfId="17149" priority="3306" operator="equal">
      <formula>"PTO"</formula>
    </cfRule>
  </conditionalFormatting>
  <conditionalFormatting sqref="S30">
    <cfRule type="cellIs" dxfId="17148" priority="3303" operator="equal">
      <formula>"OFF"</formula>
    </cfRule>
    <cfRule type="cellIs" dxfId="17147" priority="3304" operator="equal">
      <formula>"PTO"</formula>
    </cfRule>
  </conditionalFormatting>
  <conditionalFormatting sqref="S30">
    <cfRule type="cellIs" dxfId="17146" priority="3301" operator="equal">
      <formula>"OFF"</formula>
    </cfRule>
    <cfRule type="cellIs" dxfId="17145" priority="3302" operator="equal">
      <formula>"PTO"</formula>
    </cfRule>
  </conditionalFormatting>
  <conditionalFormatting sqref="S30">
    <cfRule type="cellIs" dxfId="17144" priority="3299" operator="equal">
      <formula>"OFF"</formula>
    </cfRule>
    <cfRule type="cellIs" dxfId="17143" priority="3300" operator="equal">
      <formula>"PTO"</formula>
    </cfRule>
  </conditionalFormatting>
  <conditionalFormatting sqref="S30">
    <cfRule type="cellIs" dxfId="17142" priority="3297" operator="equal">
      <formula>"OFF"</formula>
    </cfRule>
    <cfRule type="cellIs" dxfId="17141" priority="3298" operator="equal">
      <formula>"PTO"</formula>
    </cfRule>
  </conditionalFormatting>
  <conditionalFormatting sqref="S30">
    <cfRule type="cellIs" dxfId="17140" priority="3295" operator="equal">
      <formula>"OFF"</formula>
    </cfRule>
    <cfRule type="cellIs" dxfId="17139" priority="3296" operator="equal">
      <formula>"PTO"</formula>
    </cfRule>
  </conditionalFormatting>
  <conditionalFormatting sqref="S30">
    <cfRule type="cellIs" dxfId="17138" priority="3293" operator="equal">
      <formula>"OFF"</formula>
    </cfRule>
    <cfRule type="cellIs" dxfId="17137" priority="3294" operator="equal">
      <formula>"PTO"</formula>
    </cfRule>
  </conditionalFormatting>
  <conditionalFormatting sqref="S30">
    <cfRule type="cellIs" dxfId="17136" priority="3291" operator="equal">
      <formula>"OFF"</formula>
    </cfRule>
    <cfRule type="cellIs" dxfId="17135" priority="3292" operator="equal">
      <formula>"PTO"</formula>
    </cfRule>
  </conditionalFormatting>
  <conditionalFormatting sqref="S30">
    <cfRule type="cellIs" dxfId="17134" priority="3289" operator="equal">
      <formula>"OFF"</formula>
    </cfRule>
    <cfRule type="cellIs" dxfId="17133" priority="3290" operator="equal">
      <formula>"PTO"</formula>
    </cfRule>
  </conditionalFormatting>
  <conditionalFormatting sqref="S30">
    <cfRule type="cellIs" dxfId="17132" priority="3287" operator="equal">
      <formula>"OFF"</formula>
    </cfRule>
    <cfRule type="cellIs" dxfId="17131" priority="3288" operator="equal">
      <formula>"PTO"</formula>
    </cfRule>
  </conditionalFormatting>
  <conditionalFormatting sqref="S30">
    <cfRule type="cellIs" dxfId="17130" priority="3285" operator="equal">
      <formula>"OFF"</formula>
    </cfRule>
    <cfRule type="cellIs" dxfId="17129" priority="3286" operator="equal">
      <formula>"PTO"</formula>
    </cfRule>
  </conditionalFormatting>
  <conditionalFormatting sqref="S30">
    <cfRule type="cellIs" dxfId="17128" priority="3283" operator="equal">
      <formula>"OFF"</formula>
    </cfRule>
    <cfRule type="cellIs" dxfId="17127" priority="3284" operator="equal">
      <formula>"PTO"</formula>
    </cfRule>
  </conditionalFormatting>
  <conditionalFormatting sqref="S30">
    <cfRule type="cellIs" dxfId="17126" priority="3281" operator="equal">
      <formula>"OFF"</formula>
    </cfRule>
    <cfRule type="cellIs" dxfId="17125" priority="3282" operator="equal">
      <formula>"PTO"</formula>
    </cfRule>
  </conditionalFormatting>
  <conditionalFormatting sqref="S30">
    <cfRule type="cellIs" dxfId="17124" priority="3279" operator="equal">
      <formula>"OFF"</formula>
    </cfRule>
    <cfRule type="cellIs" dxfId="17123" priority="3280" operator="equal">
      <formula>"PTO"</formula>
    </cfRule>
  </conditionalFormatting>
  <conditionalFormatting sqref="S30">
    <cfRule type="cellIs" dxfId="17122" priority="3277" operator="equal">
      <formula>"OFF"</formula>
    </cfRule>
    <cfRule type="cellIs" dxfId="17121" priority="3278" operator="equal">
      <formula>"PTO"</formula>
    </cfRule>
  </conditionalFormatting>
  <conditionalFormatting sqref="S30">
    <cfRule type="cellIs" dxfId="17120" priority="3275" operator="equal">
      <formula>"OFF"</formula>
    </cfRule>
    <cfRule type="cellIs" dxfId="17119" priority="3276" operator="equal">
      <formula>"PTO"</formula>
    </cfRule>
  </conditionalFormatting>
  <conditionalFormatting sqref="S30">
    <cfRule type="cellIs" dxfId="17118" priority="3273" operator="equal">
      <formula>"OFF"</formula>
    </cfRule>
    <cfRule type="cellIs" dxfId="17117" priority="3274" operator="equal">
      <formula>"PTO"</formula>
    </cfRule>
  </conditionalFormatting>
  <conditionalFormatting sqref="S30">
    <cfRule type="cellIs" dxfId="17116" priority="3271" operator="equal">
      <formula>"OFF"</formula>
    </cfRule>
    <cfRule type="cellIs" dxfId="17115" priority="3272" operator="equal">
      <formula>"PTO"</formula>
    </cfRule>
  </conditionalFormatting>
  <conditionalFormatting sqref="S30">
    <cfRule type="cellIs" dxfId="17114" priority="3269" operator="equal">
      <formula>"OFF"</formula>
    </cfRule>
    <cfRule type="cellIs" dxfId="17113" priority="3270" operator="equal">
      <formula>"PTO"</formula>
    </cfRule>
  </conditionalFormatting>
  <conditionalFormatting sqref="S30">
    <cfRule type="cellIs" dxfId="17112" priority="3267" operator="equal">
      <formula>"OFF"</formula>
    </cfRule>
    <cfRule type="cellIs" dxfId="17111" priority="3268" operator="equal">
      <formula>"PTO"</formula>
    </cfRule>
  </conditionalFormatting>
  <conditionalFormatting sqref="S30">
    <cfRule type="cellIs" dxfId="17110" priority="3265" operator="equal">
      <formula>"OFF"</formula>
    </cfRule>
    <cfRule type="cellIs" dxfId="17109" priority="3266" operator="equal">
      <formula>"PTO"</formula>
    </cfRule>
  </conditionalFormatting>
  <conditionalFormatting sqref="S30">
    <cfRule type="cellIs" dxfId="17108" priority="3263" operator="equal">
      <formula>"OFF"</formula>
    </cfRule>
    <cfRule type="cellIs" dxfId="17107" priority="3264" operator="equal">
      <formula>"PTO"</formula>
    </cfRule>
  </conditionalFormatting>
  <conditionalFormatting sqref="S30">
    <cfRule type="cellIs" dxfId="17106" priority="3261" operator="equal">
      <formula>"OFF"</formula>
    </cfRule>
    <cfRule type="cellIs" dxfId="17105" priority="3262" operator="equal">
      <formula>"PTO"</formula>
    </cfRule>
  </conditionalFormatting>
  <conditionalFormatting sqref="S30">
    <cfRule type="cellIs" dxfId="17104" priority="3259" operator="equal">
      <formula>"OFF"</formula>
    </cfRule>
    <cfRule type="cellIs" dxfId="17103" priority="3260" operator="equal">
      <formula>"PTO"</formula>
    </cfRule>
  </conditionalFormatting>
  <conditionalFormatting sqref="S30">
    <cfRule type="cellIs" dxfId="17102" priority="3257" operator="equal">
      <formula>"OFF"</formula>
    </cfRule>
    <cfRule type="cellIs" dxfId="17101" priority="3258" operator="equal">
      <formula>"PTO"</formula>
    </cfRule>
  </conditionalFormatting>
  <conditionalFormatting sqref="S30">
    <cfRule type="cellIs" dxfId="17100" priority="3255" operator="equal">
      <formula>"OFF"</formula>
    </cfRule>
    <cfRule type="cellIs" dxfId="17099" priority="3256" operator="equal">
      <formula>"PTO"</formula>
    </cfRule>
  </conditionalFormatting>
  <conditionalFormatting sqref="S30">
    <cfRule type="cellIs" dxfId="17098" priority="3253" operator="equal">
      <formula>"OFF"</formula>
    </cfRule>
    <cfRule type="cellIs" dxfId="17097" priority="3254" operator="equal">
      <formula>"PTO"</formula>
    </cfRule>
  </conditionalFormatting>
  <conditionalFormatting sqref="S30">
    <cfRule type="cellIs" dxfId="17096" priority="3251" operator="equal">
      <formula>"OFF"</formula>
    </cfRule>
    <cfRule type="cellIs" dxfId="17095" priority="3252" operator="equal">
      <formula>"PTO"</formula>
    </cfRule>
  </conditionalFormatting>
  <conditionalFormatting sqref="S30">
    <cfRule type="cellIs" dxfId="17094" priority="3249" operator="equal">
      <formula>"OFF"</formula>
    </cfRule>
    <cfRule type="cellIs" dxfId="17093" priority="3250" operator="equal">
      <formula>"PTO"</formula>
    </cfRule>
  </conditionalFormatting>
  <conditionalFormatting sqref="S30">
    <cfRule type="cellIs" dxfId="17092" priority="3247" operator="equal">
      <formula>"OFF"</formula>
    </cfRule>
    <cfRule type="cellIs" dxfId="17091" priority="3248" operator="equal">
      <formula>"PTO"</formula>
    </cfRule>
  </conditionalFormatting>
  <conditionalFormatting sqref="S30">
    <cfRule type="cellIs" dxfId="17090" priority="3245" operator="equal">
      <formula>"OFF"</formula>
    </cfRule>
    <cfRule type="cellIs" dxfId="17089" priority="3246" operator="equal">
      <formula>"PTO"</formula>
    </cfRule>
  </conditionalFormatting>
  <conditionalFormatting sqref="S30">
    <cfRule type="cellIs" dxfId="17088" priority="3243" operator="equal">
      <formula>"OFF"</formula>
    </cfRule>
    <cfRule type="cellIs" dxfId="17087" priority="3244" operator="equal">
      <formula>"PTO"</formula>
    </cfRule>
  </conditionalFormatting>
  <conditionalFormatting sqref="S30">
    <cfRule type="cellIs" dxfId="17086" priority="3241" operator="equal">
      <formula>"OFF"</formula>
    </cfRule>
    <cfRule type="cellIs" dxfId="17085" priority="3242" operator="equal">
      <formula>"PTO"</formula>
    </cfRule>
  </conditionalFormatting>
  <conditionalFormatting sqref="S32:S33">
    <cfRule type="cellIs" dxfId="17084" priority="3239" operator="equal">
      <formula>"OFF"</formula>
    </cfRule>
    <cfRule type="cellIs" dxfId="17083" priority="3240" operator="equal">
      <formula>"PTO"</formula>
    </cfRule>
  </conditionalFormatting>
  <conditionalFormatting sqref="S32:S33">
    <cfRule type="cellIs" dxfId="17082" priority="3237" operator="equal">
      <formula>"OFF"</formula>
    </cfRule>
    <cfRule type="cellIs" dxfId="17081" priority="3238" operator="equal">
      <formula>"PTO"</formula>
    </cfRule>
  </conditionalFormatting>
  <conditionalFormatting sqref="S32:S33">
    <cfRule type="cellIs" dxfId="17080" priority="3235" operator="equal">
      <formula>"OFF"</formula>
    </cfRule>
    <cfRule type="cellIs" dxfId="17079" priority="3236" operator="equal">
      <formula>"PTO"</formula>
    </cfRule>
  </conditionalFormatting>
  <conditionalFormatting sqref="S32:S33">
    <cfRule type="cellIs" dxfId="17078" priority="3233" operator="equal">
      <formula>"OFF"</formula>
    </cfRule>
    <cfRule type="cellIs" dxfId="17077" priority="3234" operator="equal">
      <formula>"PTO"</formula>
    </cfRule>
  </conditionalFormatting>
  <conditionalFormatting sqref="S32:S33">
    <cfRule type="cellIs" dxfId="17076" priority="3231" operator="equal">
      <formula>"OFF"</formula>
    </cfRule>
    <cfRule type="cellIs" dxfId="17075" priority="3232" operator="equal">
      <formula>"PTO"</formula>
    </cfRule>
  </conditionalFormatting>
  <conditionalFormatting sqref="S32:S33">
    <cfRule type="cellIs" dxfId="17074" priority="3229" operator="equal">
      <formula>"OFF"</formula>
    </cfRule>
    <cfRule type="cellIs" dxfId="17073" priority="3230" operator="equal">
      <formula>"PTO"</formula>
    </cfRule>
  </conditionalFormatting>
  <conditionalFormatting sqref="S32:S33">
    <cfRule type="cellIs" dxfId="17072" priority="3227" operator="equal">
      <formula>"OFF"</formula>
    </cfRule>
    <cfRule type="cellIs" dxfId="17071" priority="3228" operator="equal">
      <formula>"PTO"</formula>
    </cfRule>
  </conditionalFormatting>
  <conditionalFormatting sqref="S32:S33">
    <cfRule type="cellIs" dxfId="17070" priority="3225" operator="equal">
      <formula>"OFF"</formula>
    </cfRule>
    <cfRule type="cellIs" dxfId="17069" priority="3226" operator="equal">
      <formula>"PTO"</formula>
    </cfRule>
  </conditionalFormatting>
  <conditionalFormatting sqref="S35:S36">
    <cfRule type="cellIs" dxfId="17068" priority="3223" operator="equal">
      <formula>"OFF"</formula>
    </cfRule>
    <cfRule type="cellIs" dxfId="17067" priority="3224" operator="equal">
      <formula>"PTO"</formula>
    </cfRule>
  </conditionalFormatting>
  <conditionalFormatting sqref="S35:S36">
    <cfRule type="cellIs" dxfId="17066" priority="3221" operator="equal">
      <formula>"OFF"</formula>
    </cfRule>
    <cfRule type="cellIs" dxfId="17065" priority="3222" operator="equal">
      <formula>"PTO"</formula>
    </cfRule>
  </conditionalFormatting>
  <conditionalFormatting sqref="S35:S36">
    <cfRule type="cellIs" dxfId="17064" priority="3219" operator="equal">
      <formula>"OFF"</formula>
    </cfRule>
    <cfRule type="cellIs" dxfId="17063" priority="3220" operator="equal">
      <formula>"PTO"</formula>
    </cfRule>
  </conditionalFormatting>
  <conditionalFormatting sqref="S35:S36">
    <cfRule type="cellIs" dxfId="17062" priority="3217" operator="equal">
      <formula>"OFF"</formula>
    </cfRule>
    <cfRule type="cellIs" dxfId="17061" priority="3218" operator="equal">
      <formula>"PTO"</formula>
    </cfRule>
  </conditionalFormatting>
  <conditionalFormatting sqref="S35:S36">
    <cfRule type="cellIs" dxfId="17060" priority="3215" operator="equal">
      <formula>"OFF"</formula>
    </cfRule>
    <cfRule type="cellIs" dxfId="17059" priority="3216" operator="equal">
      <formula>"PTO"</formula>
    </cfRule>
  </conditionalFormatting>
  <conditionalFormatting sqref="S35:S36">
    <cfRule type="cellIs" dxfId="17058" priority="3213" operator="equal">
      <formula>"OFF"</formula>
    </cfRule>
    <cfRule type="cellIs" dxfId="17057" priority="3214" operator="equal">
      <formula>"PTO"</formula>
    </cfRule>
  </conditionalFormatting>
  <conditionalFormatting sqref="S35:S36">
    <cfRule type="cellIs" dxfId="17056" priority="3211" operator="equal">
      <formula>"OFF"</formula>
    </cfRule>
    <cfRule type="cellIs" dxfId="17055" priority="3212" operator="equal">
      <formula>"PTO"</formula>
    </cfRule>
  </conditionalFormatting>
  <conditionalFormatting sqref="S35:S36">
    <cfRule type="cellIs" dxfId="17054" priority="3209" operator="equal">
      <formula>"OFF"</formula>
    </cfRule>
    <cfRule type="cellIs" dxfId="17053" priority="3210" operator="equal">
      <formula>"PTO"</formula>
    </cfRule>
  </conditionalFormatting>
  <conditionalFormatting sqref="S38:S39">
    <cfRule type="cellIs" dxfId="17052" priority="3207" operator="equal">
      <formula>"OFF"</formula>
    </cfRule>
    <cfRule type="cellIs" dxfId="17051" priority="3208" operator="equal">
      <formula>"PTO"</formula>
    </cfRule>
  </conditionalFormatting>
  <conditionalFormatting sqref="S38:S39">
    <cfRule type="cellIs" dxfId="17050" priority="3205" operator="equal">
      <formula>"OFF"</formula>
    </cfRule>
    <cfRule type="cellIs" dxfId="17049" priority="3206" operator="equal">
      <formula>"PTO"</formula>
    </cfRule>
  </conditionalFormatting>
  <conditionalFormatting sqref="S38:S39">
    <cfRule type="cellIs" dxfId="17048" priority="3203" operator="equal">
      <formula>"OFF"</formula>
    </cfRule>
    <cfRule type="cellIs" dxfId="17047" priority="3204" operator="equal">
      <formula>"PTO"</formula>
    </cfRule>
  </conditionalFormatting>
  <conditionalFormatting sqref="S38:S39">
    <cfRule type="cellIs" dxfId="17046" priority="3201" operator="equal">
      <formula>"OFF"</formula>
    </cfRule>
    <cfRule type="cellIs" dxfId="17045" priority="3202" operator="equal">
      <formula>"PTO"</formula>
    </cfRule>
  </conditionalFormatting>
  <conditionalFormatting sqref="S38:S39">
    <cfRule type="cellIs" dxfId="17044" priority="3199" operator="equal">
      <formula>"OFF"</formula>
    </cfRule>
    <cfRule type="cellIs" dxfId="17043" priority="3200" operator="equal">
      <formula>"PTO"</formula>
    </cfRule>
  </conditionalFormatting>
  <conditionalFormatting sqref="S38:S39">
    <cfRule type="cellIs" dxfId="17042" priority="3197" operator="equal">
      <formula>"OFF"</formula>
    </cfRule>
    <cfRule type="cellIs" dxfId="17041" priority="3198" operator="equal">
      <formula>"PTO"</formula>
    </cfRule>
  </conditionalFormatting>
  <conditionalFormatting sqref="S38:S39">
    <cfRule type="cellIs" dxfId="17040" priority="3195" operator="equal">
      <formula>"OFF"</formula>
    </cfRule>
    <cfRule type="cellIs" dxfId="17039" priority="3196" operator="equal">
      <formula>"PTO"</formula>
    </cfRule>
  </conditionalFormatting>
  <conditionalFormatting sqref="S38:S39">
    <cfRule type="cellIs" dxfId="17038" priority="3193" operator="equal">
      <formula>"OFF"</formula>
    </cfRule>
    <cfRule type="cellIs" dxfId="17037" priority="3194" operator="equal">
      <formula>"PTO"</formula>
    </cfRule>
  </conditionalFormatting>
  <conditionalFormatting sqref="W26 W30 W32:W33 W35:W36 W38:W39">
    <cfRule type="cellIs" dxfId="17036" priority="3191" operator="equal">
      <formula>"OFF"</formula>
    </cfRule>
    <cfRule type="cellIs" dxfId="17035" priority="3192" operator="equal">
      <formula>"PTO"</formula>
    </cfRule>
  </conditionalFormatting>
  <conditionalFormatting sqref="W26">
    <cfRule type="cellIs" dxfId="17034" priority="3189" operator="equal">
      <formula>"OFF"</formula>
    </cfRule>
    <cfRule type="cellIs" dxfId="17033" priority="3190" operator="equal">
      <formula>"PTO"</formula>
    </cfRule>
  </conditionalFormatting>
  <conditionalFormatting sqref="W26">
    <cfRule type="cellIs" dxfId="17032" priority="3187" operator="equal">
      <formula>"OFF"</formula>
    </cfRule>
    <cfRule type="cellIs" dxfId="17031" priority="3188" operator="equal">
      <formula>"PTO"</formula>
    </cfRule>
  </conditionalFormatting>
  <conditionalFormatting sqref="W26">
    <cfRule type="cellIs" dxfId="17030" priority="3185" operator="equal">
      <formula>"OFF"</formula>
    </cfRule>
    <cfRule type="cellIs" dxfId="17029" priority="3186" operator="equal">
      <formula>"PTO"</formula>
    </cfRule>
  </conditionalFormatting>
  <conditionalFormatting sqref="W26">
    <cfRule type="cellIs" dxfId="17028" priority="3183" operator="equal">
      <formula>"OFF"</formula>
    </cfRule>
    <cfRule type="cellIs" dxfId="17027" priority="3184" operator="equal">
      <formula>"PTO"</formula>
    </cfRule>
  </conditionalFormatting>
  <conditionalFormatting sqref="W26">
    <cfRule type="cellIs" dxfId="17026" priority="3181" operator="equal">
      <formula>"OFF"</formula>
    </cfRule>
    <cfRule type="cellIs" dxfId="17025" priority="3182" operator="equal">
      <formula>"PTO"</formula>
    </cfRule>
  </conditionalFormatting>
  <conditionalFormatting sqref="W26">
    <cfRule type="cellIs" dxfId="17024" priority="3179" operator="equal">
      <formula>"OFF"</formula>
    </cfRule>
    <cfRule type="cellIs" dxfId="17023" priority="3180" operator="equal">
      <formula>"PTO"</formula>
    </cfRule>
  </conditionalFormatting>
  <conditionalFormatting sqref="W26">
    <cfRule type="cellIs" dxfId="17022" priority="3177" operator="equal">
      <formula>"OFF"</formula>
    </cfRule>
    <cfRule type="cellIs" dxfId="17021" priority="3178" operator="equal">
      <formula>"PTO"</formula>
    </cfRule>
  </conditionalFormatting>
  <conditionalFormatting sqref="W26">
    <cfRule type="cellIs" dxfId="17020" priority="3175" operator="equal">
      <formula>"OFF"</formula>
    </cfRule>
    <cfRule type="cellIs" dxfId="17019" priority="3176" operator="equal">
      <formula>"PTO"</formula>
    </cfRule>
  </conditionalFormatting>
  <conditionalFormatting sqref="W26">
    <cfRule type="cellIs" dxfId="17018" priority="3173" operator="equal">
      <formula>"OFF"</formula>
    </cfRule>
    <cfRule type="cellIs" dxfId="17017" priority="3174" operator="equal">
      <formula>"PTO"</formula>
    </cfRule>
  </conditionalFormatting>
  <conditionalFormatting sqref="W26 W30 W32:W33 W35:W36 W38:W39">
    <cfRule type="cellIs" dxfId="17016" priority="3171" operator="equal">
      <formula>"OFF"</formula>
    </cfRule>
    <cfRule type="cellIs" dxfId="17015" priority="3172" operator="equal">
      <formula>"PTO"</formula>
    </cfRule>
  </conditionalFormatting>
  <conditionalFormatting sqref="W26 W30 W32:W33 W35:W36 W38:W39">
    <cfRule type="cellIs" dxfId="17014" priority="3169" operator="equal">
      <formula>"OFF"</formula>
    </cfRule>
    <cfRule type="cellIs" dxfId="17013" priority="3170" operator="equal">
      <formula>"PTO"</formula>
    </cfRule>
  </conditionalFormatting>
  <conditionalFormatting sqref="W26 W30 W32:W33 W35:W36 W38:W39">
    <cfRule type="cellIs" dxfId="17012" priority="3167" operator="equal">
      <formula>"OFF"</formula>
    </cfRule>
    <cfRule type="cellIs" dxfId="17011" priority="3168" operator="equal">
      <formula>"PTO"</formula>
    </cfRule>
  </conditionalFormatting>
  <conditionalFormatting sqref="W26 W30 W32:W33 W35:W36 W38:W39">
    <cfRule type="cellIs" dxfId="17010" priority="3165" operator="equal">
      <formula>"OFF"</formula>
    </cfRule>
    <cfRule type="cellIs" dxfId="17009" priority="3166" operator="equal">
      <formula>"PTO"</formula>
    </cfRule>
  </conditionalFormatting>
  <conditionalFormatting sqref="W26 W30 W32:W33 W35:W36 W38:W39">
    <cfRule type="cellIs" dxfId="17008" priority="3163" operator="equal">
      <formula>"OFF"</formula>
    </cfRule>
    <cfRule type="cellIs" dxfId="17007" priority="3164" operator="equal">
      <formula>"PTO"</formula>
    </cfRule>
  </conditionalFormatting>
  <conditionalFormatting sqref="W26 W30 W32:W33 W35:W36 W38:W39">
    <cfRule type="cellIs" dxfId="17006" priority="3161" operator="equal">
      <formula>"OFF"</formula>
    </cfRule>
    <cfRule type="cellIs" dxfId="17005" priority="3162" operator="equal">
      <formula>"PTO"</formula>
    </cfRule>
  </conditionalFormatting>
  <conditionalFormatting sqref="W26 W30 W32:W33 W35:W36 W38:W39">
    <cfRule type="cellIs" dxfId="17004" priority="3159" operator="equal">
      <formula>"OFF"</formula>
    </cfRule>
    <cfRule type="cellIs" dxfId="17003" priority="3160" operator="equal">
      <formula>"PTO"</formula>
    </cfRule>
  </conditionalFormatting>
  <conditionalFormatting sqref="W26 W30 W32:W33 W35:W36 W38:W39">
    <cfRule type="cellIs" dxfId="17002" priority="3157" operator="equal">
      <formula>"OFF"</formula>
    </cfRule>
    <cfRule type="cellIs" dxfId="17001" priority="3158" operator="equal">
      <formula>"PTO"</formula>
    </cfRule>
  </conditionalFormatting>
  <conditionalFormatting sqref="W26 W30 W32:W33 W35:W36 W38:W39">
    <cfRule type="cellIs" dxfId="17000" priority="3155" operator="equal">
      <formula>"OFF"</formula>
    </cfRule>
    <cfRule type="cellIs" dxfId="16999" priority="3156" operator="equal">
      <formula>"PTO"</formula>
    </cfRule>
  </conditionalFormatting>
  <conditionalFormatting sqref="W26 W30 W32:W33 W35:W36 W38:W39">
    <cfRule type="cellIs" dxfId="16998" priority="3153" operator="equal">
      <formula>"OFF"</formula>
    </cfRule>
    <cfRule type="cellIs" dxfId="16997" priority="3154" operator="equal">
      <formula>"PTO"</formula>
    </cfRule>
  </conditionalFormatting>
  <conditionalFormatting sqref="W26 W30 W32:W33 W35:W36 W38:W39">
    <cfRule type="cellIs" dxfId="16996" priority="3151" operator="equal">
      <formula>"OFF"</formula>
    </cfRule>
    <cfRule type="cellIs" dxfId="16995" priority="3152" operator="equal">
      <formula>"PTO"</formula>
    </cfRule>
  </conditionalFormatting>
  <conditionalFormatting sqref="W26 W30 W32:W33 W35:W36 W38:W39">
    <cfRule type="cellIs" dxfId="16994" priority="3149" operator="equal">
      <formula>"OFF"</formula>
    </cfRule>
    <cfRule type="cellIs" dxfId="16993" priority="3150" operator="equal">
      <formula>"PTO"</formula>
    </cfRule>
  </conditionalFormatting>
  <conditionalFormatting sqref="W26 W30 W32:W33 W35:W36 W38:W39">
    <cfRule type="cellIs" dxfId="16992" priority="3147" operator="equal">
      <formula>"OFF"</formula>
    </cfRule>
    <cfRule type="cellIs" dxfId="16991" priority="3148" operator="equal">
      <formula>"PTO"</formula>
    </cfRule>
  </conditionalFormatting>
  <conditionalFormatting sqref="W26 W30 W32:W33 W35:W36 W38:W39">
    <cfRule type="cellIs" dxfId="16990" priority="3145" operator="equal">
      <formula>"OFF"</formula>
    </cfRule>
    <cfRule type="cellIs" dxfId="16989" priority="3146" operator="equal">
      <formula>"PTO"</formula>
    </cfRule>
  </conditionalFormatting>
  <conditionalFormatting sqref="W26 W30 W32:W33 W35:W36 W38:W39">
    <cfRule type="cellIs" dxfId="16988" priority="3143" operator="equal">
      <formula>"OFF"</formula>
    </cfRule>
    <cfRule type="cellIs" dxfId="16987" priority="3144" operator="equal">
      <formula>"PTO"</formula>
    </cfRule>
  </conditionalFormatting>
  <conditionalFormatting sqref="W26 W30 W32:W33 W35:W36 W38:W39">
    <cfRule type="cellIs" dxfId="16986" priority="3141" operator="equal">
      <formula>"OFF"</formula>
    </cfRule>
    <cfRule type="cellIs" dxfId="16985" priority="3142" operator="equal">
      <formula>"PTO"</formula>
    </cfRule>
  </conditionalFormatting>
  <conditionalFormatting sqref="W27">
    <cfRule type="cellIs" dxfId="16984" priority="3139" operator="equal">
      <formula>"OFF"</formula>
    </cfRule>
    <cfRule type="cellIs" dxfId="16983" priority="3140" operator="equal">
      <formula>"PTO"</formula>
    </cfRule>
  </conditionalFormatting>
  <conditionalFormatting sqref="W27">
    <cfRule type="cellIs" dxfId="16982" priority="3137" operator="equal">
      <formula>"OFF"</formula>
    </cfRule>
    <cfRule type="cellIs" dxfId="16981" priority="3138" operator="equal">
      <formula>"PTO"</formula>
    </cfRule>
  </conditionalFormatting>
  <conditionalFormatting sqref="W27">
    <cfRule type="cellIs" dxfId="16980" priority="3135" operator="equal">
      <formula>"OFF"</formula>
    </cfRule>
    <cfRule type="cellIs" dxfId="16979" priority="3136" operator="equal">
      <formula>"PTO"</formula>
    </cfRule>
  </conditionalFormatting>
  <conditionalFormatting sqref="W27">
    <cfRule type="cellIs" dxfId="16978" priority="3133" operator="equal">
      <formula>"OFF"</formula>
    </cfRule>
    <cfRule type="cellIs" dxfId="16977" priority="3134" operator="equal">
      <formula>"PTO"</formula>
    </cfRule>
  </conditionalFormatting>
  <conditionalFormatting sqref="W27">
    <cfRule type="cellIs" dxfId="16976" priority="3131" operator="equal">
      <formula>"OFF"</formula>
    </cfRule>
    <cfRule type="cellIs" dxfId="16975" priority="3132" operator="equal">
      <formula>"PTO"</formula>
    </cfRule>
  </conditionalFormatting>
  <conditionalFormatting sqref="W27">
    <cfRule type="cellIs" dxfId="16974" priority="3129" operator="equal">
      <formula>"OFF"</formula>
    </cfRule>
    <cfRule type="cellIs" dxfId="16973" priority="3130" operator="equal">
      <formula>"PTO"</formula>
    </cfRule>
  </conditionalFormatting>
  <conditionalFormatting sqref="W27">
    <cfRule type="cellIs" dxfId="16972" priority="3127" operator="equal">
      <formula>"OFF"</formula>
    </cfRule>
    <cfRule type="cellIs" dxfId="16971" priority="3128" operator="equal">
      <formula>"PTO"</formula>
    </cfRule>
  </conditionalFormatting>
  <conditionalFormatting sqref="W27">
    <cfRule type="cellIs" dxfId="16970" priority="3125" operator="equal">
      <formula>"OFF"</formula>
    </cfRule>
    <cfRule type="cellIs" dxfId="16969" priority="3126" operator="equal">
      <formula>"PTO"</formula>
    </cfRule>
  </conditionalFormatting>
  <conditionalFormatting sqref="W27">
    <cfRule type="cellIs" dxfId="16968" priority="3123" operator="equal">
      <formula>"OFF"</formula>
    </cfRule>
    <cfRule type="cellIs" dxfId="16967" priority="3124" operator="equal">
      <formula>"PTO"</formula>
    </cfRule>
  </conditionalFormatting>
  <conditionalFormatting sqref="W27">
    <cfRule type="cellIs" dxfId="16966" priority="3121" operator="equal">
      <formula>"OFF"</formula>
    </cfRule>
    <cfRule type="cellIs" dxfId="16965" priority="3122" operator="equal">
      <formula>"PTO"</formula>
    </cfRule>
  </conditionalFormatting>
  <conditionalFormatting sqref="W27">
    <cfRule type="cellIs" dxfId="16964" priority="3119" operator="equal">
      <formula>"OFF"</formula>
    </cfRule>
    <cfRule type="cellIs" dxfId="16963" priority="3120" operator="equal">
      <formula>"PTO"</formula>
    </cfRule>
  </conditionalFormatting>
  <conditionalFormatting sqref="W27">
    <cfRule type="cellIs" dxfId="16962" priority="3117" operator="equal">
      <formula>"OFF"</formula>
    </cfRule>
    <cfRule type="cellIs" dxfId="16961" priority="3118" operator="equal">
      <formula>"PTO"</formula>
    </cfRule>
  </conditionalFormatting>
  <conditionalFormatting sqref="W27">
    <cfRule type="cellIs" dxfId="16960" priority="3115" operator="equal">
      <formula>"OFF"</formula>
    </cfRule>
    <cfRule type="cellIs" dxfId="16959" priority="3116" operator="equal">
      <formula>"PTO"</formula>
    </cfRule>
  </conditionalFormatting>
  <conditionalFormatting sqref="W27">
    <cfRule type="cellIs" dxfId="16958" priority="3113" operator="equal">
      <formula>"OFF"</formula>
    </cfRule>
    <cfRule type="cellIs" dxfId="16957" priority="3114" operator="equal">
      <formula>"PTO"</formula>
    </cfRule>
  </conditionalFormatting>
  <conditionalFormatting sqref="W27">
    <cfRule type="cellIs" dxfId="16956" priority="3111" operator="equal">
      <formula>"OFF"</formula>
    </cfRule>
    <cfRule type="cellIs" dxfId="16955" priority="3112" operator="equal">
      <formula>"PTO"</formula>
    </cfRule>
  </conditionalFormatting>
  <conditionalFormatting sqref="W27">
    <cfRule type="cellIs" dxfId="16954" priority="3109" operator="equal">
      <formula>"OFF"</formula>
    </cfRule>
    <cfRule type="cellIs" dxfId="16953" priority="3110" operator="equal">
      <formula>"PTO"</formula>
    </cfRule>
  </conditionalFormatting>
  <conditionalFormatting sqref="W27">
    <cfRule type="cellIs" dxfId="16952" priority="3107" operator="equal">
      <formula>"OFF"</formula>
    </cfRule>
    <cfRule type="cellIs" dxfId="16951" priority="3108" operator="equal">
      <formula>"PTO"</formula>
    </cfRule>
  </conditionalFormatting>
  <conditionalFormatting sqref="W27">
    <cfRule type="cellIs" dxfId="16950" priority="3105" operator="equal">
      <formula>"OFF"</formula>
    </cfRule>
    <cfRule type="cellIs" dxfId="16949" priority="3106" operator="equal">
      <formula>"PTO"</formula>
    </cfRule>
  </conditionalFormatting>
  <conditionalFormatting sqref="W27">
    <cfRule type="cellIs" dxfId="16948" priority="3103" operator="equal">
      <formula>"OFF"</formula>
    </cfRule>
    <cfRule type="cellIs" dxfId="16947" priority="3104" operator="equal">
      <formula>"PTO"</formula>
    </cfRule>
  </conditionalFormatting>
  <conditionalFormatting sqref="W27">
    <cfRule type="cellIs" dxfId="16946" priority="3101" operator="equal">
      <formula>"OFF"</formula>
    </cfRule>
    <cfRule type="cellIs" dxfId="16945" priority="3102" operator="equal">
      <formula>"PTO"</formula>
    </cfRule>
  </conditionalFormatting>
  <conditionalFormatting sqref="W27">
    <cfRule type="cellIs" dxfId="16944" priority="3099" operator="equal">
      <formula>"OFF"</formula>
    </cfRule>
    <cfRule type="cellIs" dxfId="16943" priority="3100" operator="equal">
      <formula>"PTO"</formula>
    </cfRule>
  </conditionalFormatting>
  <conditionalFormatting sqref="W27">
    <cfRule type="cellIs" dxfId="16942" priority="3097" operator="equal">
      <formula>"OFF"</formula>
    </cfRule>
    <cfRule type="cellIs" dxfId="16941" priority="3098" operator="equal">
      <formula>"PTO"</formula>
    </cfRule>
  </conditionalFormatting>
  <conditionalFormatting sqref="W27">
    <cfRule type="cellIs" dxfId="16940" priority="3095" operator="equal">
      <formula>"OFF"</formula>
    </cfRule>
    <cfRule type="cellIs" dxfId="16939" priority="3096" operator="equal">
      <formula>"PTO"</formula>
    </cfRule>
  </conditionalFormatting>
  <conditionalFormatting sqref="W27">
    <cfRule type="cellIs" dxfId="16938" priority="3093" operator="equal">
      <formula>"OFF"</formula>
    </cfRule>
    <cfRule type="cellIs" dxfId="16937" priority="3094" operator="equal">
      <formula>"PTO"</formula>
    </cfRule>
  </conditionalFormatting>
  <conditionalFormatting sqref="W27">
    <cfRule type="cellIs" dxfId="16936" priority="3091" operator="equal">
      <formula>"OFF"</formula>
    </cfRule>
    <cfRule type="cellIs" dxfId="16935" priority="3092" operator="equal">
      <formula>"PTO"</formula>
    </cfRule>
  </conditionalFormatting>
  <conditionalFormatting sqref="W27">
    <cfRule type="cellIs" dxfId="16934" priority="3089" operator="equal">
      <formula>"OFF"</formula>
    </cfRule>
    <cfRule type="cellIs" dxfId="16933" priority="3090" operator="equal">
      <formula>"PTO"</formula>
    </cfRule>
  </conditionalFormatting>
  <conditionalFormatting sqref="W30">
    <cfRule type="cellIs" dxfId="16932" priority="3087" operator="equal">
      <formula>"OFF"</formula>
    </cfRule>
    <cfRule type="cellIs" dxfId="16931" priority="3088" operator="equal">
      <formula>"PTO"</formula>
    </cfRule>
  </conditionalFormatting>
  <conditionalFormatting sqref="W30">
    <cfRule type="cellIs" dxfId="16930" priority="3085" operator="equal">
      <formula>"OFF"</formula>
    </cfRule>
    <cfRule type="cellIs" dxfId="16929" priority="3086" operator="equal">
      <formula>"PTO"</formula>
    </cfRule>
  </conditionalFormatting>
  <conditionalFormatting sqref="W30">
    <cfRule type="cellIs" dxfId="16928" priority="3083" operator="equal">
      <formula>"OFF"</formula>
    </cfRule>
    <cfRule type="cellIs" dxfId="16927" priority="3084" operator="equal">
      <formula>"PTO"</formula>
    </cfRule>
  </conditionalFormatting>
  <conditionalFormatting sqref="W30">
    <cfRule type="cellIs" dxfId="16926" priority="3081" operator="equal">
      <formula>"OFF"</formula>
    </cfRule>
    <cfRule type="cellIs" dxfId="16925" priority="3082" operator="equal">
      <formula>"PTO"</formula>
    </cfRule>
  </conditionalFormatting>
  <conditionalFormatting sqref="W30">
    <cfRule type="cellIs" dxfId="16924" priority="3079" operator="equal">
      <formula>"OFF"</formula>
    </cfRule>
    <cfRule type="cellIs" dxfId="16923" priority="3080" operator="equal">
      <formula>"PTO"</formula>
    </cfRule>
  </conditionalFormatting>
  <conditionalFormatting sqref="W30">
    <cfRule type="cellIs" dxfId="16922" priority="3077" operator="equal">
      <formula>"OFF"</formula>
    </cfRule>
    <cfRule type="cellIs" dxfId="16921" priority="3078" operator="equal">
      <formula>"PTO"</formula>
    </cfRule>
  </conditionalFormatting>
  <conditionalFormatting sqref="W30">
    <cfRule type="cellIs" dxfId="16920" priority="3075" operator="equal">
      <formula>"OFF"</formula>
    </cfRule>
    <cfRule type="cellIs" dxfId="16919" priority="3076" operator="equal">
      <formula>"PTO"</formula>
    </cfRule>
  </conditionalFormatting>
  <conditionalFormatting sqref="W30">
    <cfRule type="cellIs" dxfId="16918" priority="3073" operator="equal">
      <formula>"OFF"</formula>
    </cfRule>
    <cfRule type="cellIs" dxfId="16917" priority="3074" operator="equal">
      <formula>"PTO"</formula>
    </cfRule>
  </conditionalFormatting>
  <conditionalFormatting sqref="W30">
    <cfRule type="cellIs" dxfId="16916" priority="3071" operator="equal">
      <formula>"OFF"</formula>
    </cfRule>
    <cfRule type="cellIs" dxfId="16915" priority="3072" operator="equal">
      <formula>"PTO"</formula>
    </cfRule>
  </conditionalFormatting>
  <conditionalFormatting sqref="W32:W33">
    <cfRule type="cellIs" dxfId="16914" priority="3069" operator="equal">
      <formula>"OFF"</formula>
    </cfRule>
    <cfRule type="cellIs" dxfId="16913" priority="3070" operator="equal">
      <formula>"PTO"</formula>
    </cfRule>
  </conditionalFormatting>
  <conditionalFormatting sqref="W32:W33">
    <cfRule type="cellIs" dxfId="16912" priority="3067" operator="equal">
      <formula>"OFF"</formula>
    </cfRule>
    <cfRule type="cellIs" dxfId="16911" priority="3068" operator="equal">
      <formula>"PTO"</formula>
    </cfRule>
  </conditionalFormatting>
  <conditionalFormatting sqref="W32:W33">
    <cfRule type="cellIs" dxfId="16910" priority="3065" operator="equal">
      <formula>"OFF"</formula>
    </cfRule>
    <cfRule type="cellIs" dxfId="16909" priority="3066" operator="equal">
      <formula>"PTO"</formula>
    </cfRule>
  </conditionalFormatting>
  <conditionalFormatting sqref="W32:W33">
    <cfRule type="cellIs" dxfId="16908" priority="3063" operator="equal">
      <formula>"OFF"</formula>
    </cfRule>
    <cfRule type="cellIs" dxfId="16907" priority="3064" operator="equal">
      <formula>"PTO"</formula>
    </cfRule>
  </conditionalFormatting>
  <conditionalFormatting sqref="W32:W33">
    <cfRule type="cellIs" dxfId="16906" priority="3061" operator="equal">
      <formula>"OFF"</formula>
    </cfRule>
    <cfRule type="cellIs" dxfId="16905" priority="3062" operator="equal">
      <formula>"PTO"</formula>
    </cfRule>
  </conditionalFormatting>
  <conditionalFormatting sqref="W32:W33">
    <cfRule type="cellIs" dxfId="16904" priority="3059" operator="equal">
      <formula>"OFF"</formula>
    </cfRule>
    <cfRule type="cellIs" dxfId="16903" priority="3060" operator="equal">
      <formula>"PTO"</formula>
    </cfRule>
  </conditionalFormatting>
  <conditionalFormatting sqref="W32:W33">
    <cfRule type="cellIs" dxfId="16902" priority="3057" operator="equal">
      <formula>"OFF"</formula>
    </cfRule>
    <cfRule type="cellIs" dxfId="16901" priority="3058" operator="equal">
      <formula>"PTO"</formula>
    </cfRule>
  </conditionalFormatting>
  <conditionalFormatting sqref="W32:W33">
    <cfRule type="cellIs" dxfId="16900" priority="3055" operator="equal">
      <formula>"OFF"</formula>
    </cfRule>
    <cfRule type="cellIs" dxfId="16899" priority="3056" operator="equal">
      <formula>"PTO"</formula>
    </cfRule>
  </conditionalFormatting>
  <conditionalFormatting sqref="W32:W33">
    <cfRule type="cellIs" dxfId="16898" priority="3053" operator="equal">
      <formula>"OFF"</formula>
    </cfRule>
    <cfRule type="cellIs" dxfId="16897" priority="3054" operator="equal">
      <formula>"PTO"</formula>
    </cfRule>
  </conditionalFormatting>
  <conditionalFormatting sqref="W35:W36">
    <cfRule type="cellIs" dxfId="16896" priority="3051" operator="equal">
      <formula>"OFF"</formula>
    </cfRule>
    <cfRule type="cellIs" dxfId="16895" priority="3052" operator="equal">
      <formula>"PTO"</formula>
    </cfRule>
  </conditionalFormatting>
  <conditionalFormatting sqref="W35:W36">
    <cfRule type="cellIs" dxfId="16894" priority="3049" operator="equal">
      <formula>"OFF"</formula>
    </cfRule>
    <cfRule type="cellIs" dxfId="16893" priority="3050" operator="equal">
      <formula>"PTO"</formula>
    </cfRule>
  </conditionalFormatting>
  <conditionalFormatting sqref="W35:W36">
    <cfRule type="cellIs" dxfId="16892" priority="3047" operator="equal">
      <formula>"OFF"</formula>
    </cfRule>
    <cfRule type="cellIs" dxfId="16891" priority="3048" operator="equal">
      <formula>"PTO"</formula>
    </cfRule>
  </conditionalFormatting>
  <conditionalFormatting sqref="W35:W36">
    <cfRule type="cellIs" dxfId="16890" priority="3045" operator="equal">
      <formula>"OFF"</formula>
    </cfRule>
    <cfRule type="cellIs" dxfId="16889" priority="3046" operator="equal">
      <formula>"PTO"</formula>
    </cfRule>
  </conditionalFormatting>
  <conditionalFormatting sqref="W35:W36">
    <cfRule type="cellIs" dxfId="16888" priority="3043" operator="equal">
      <formula>"OFF"</formula>
    </cfRule>
    <cfRule type="cellIs" dxfId="16887" priority="3044" operator="equal">
      <formula>"PTO"</formula>
    </cfRule>
  </conditionalFormatting>
  <conditionalFormatting sqref="W35:W36">
    <cfRule type="cellIs" dxfId="16886" priority="3041" operator="equal">
      <formula>"OFF"</formula>
    </cfRule>
    <cfRule type="cellIs" dxfId="16885" priority="3042" operator="equal">
      <formula>"PTO"</formula>
    </cfRule>
  </conditionalFormatting>
  <conditionalFormatting sqref="W35:W36">
    <cfRule type="cellIs" dxfId="16884" priority="3039" operator="equal">
      <formula>"OFF"</formula>
    </cfRule>
    <cfRule type="cellIs" dxfId="16883" priority="3040" operator="equal">
      <formula>"PTO"</formula>
    </cfRule>
  </conditionalFormatting>
  <conditionalFormatting sqref="W35:W36">
    <cfRule type="cellIs" dxfId="16882" priority="3037" operator="equal">
      <formula>"OFF"</formula>
    </cfRule>
    <cfRule type="cellIs" dxfId="16881" priority="3038" operator="equal">
      <formula>"PTO"</formula>
    </cfRule>
  </conditionalFormatting>
  <conditionalFormatting sqref="W35:W36">
    <cfRule type="cellIs" dxfId="16880" priority="3035" operator="equal">
      <formula>"OFF"</formula>
    </cfRule>
    <cfRule type="cellIs" dxfId="16879" priority="3036" operator="equal">
      <formula>"PTO"</formula>
    </cfRule>
  </conditionalFormatting>
  <conditionalFormatting sqref="W38:W39">
    <cfRule type="cellIs" dxfId="16878" priority="3033" operator="equal">
      <formula>"OFF"</formula>
    </cfRule>
    <cfRule type="cellIs" dxfId="16877" priority="3034" operator="equal">
      <formula>"PTO"</formula>
    </cfRule>
  </conditionalFormatting>
  <conditionalFormatting sqref="W38:W39">
    <cfRule type="cellIs" dxfId="16876" priority="3031" operator="equal">
      <formula>"OFF"</formula>
    </cfRule>
    <cfRule type="cellIs" dxfId="16875" priority="3032" operator="equal">
      <formula>"PTO"</formula>
    </cfRule>
  </conditionalFormatting>
  <conditionalFormatting sqref="W38:W39">
    <cfRule type="cellIs" dxfId="16874" priority="3029" operator="equal">
      <formula>"OFF"</formula>
    </cfRule>
    <cfRule type="cellIs" dxfId="16873" priority="3030" operator="equal">
      <formula>"PTO"</formula>
    </cfRule>
  </conditionalFormatting>
  <conditionalFormatting sqref="W38:W39">
    <cfRule type="cellIs" dxfId="16872" priority="3027" operator="equal">
      <formula>"OFF"</formula>
    </cfRule>
    <cfRule type="cellIs" dxfId="16871" priority="3028" operator="equal">
      <formula>"PTO"</formula>
    </cfRule>
  </conditionalFormatting>
  <conditionalFormatting sqref="W38:W39">
    <cfRule type="cellIs" dxfId="16870" priority="3025" operator="equal">
      <formula>"OFF"</formula>
    </cfRule>
    <cfRule type="cellIs" dxfId="16869" priority="3026" operator="equal">
      <formula>"PTO"</formula>
    </cfRule>
  </conditionalFormatting>
  <conditionalFormatting sqref="W38:W39">
    <cfRule type="cellIs" dxfId="16868" priority="3023" operator="equal">
      <formula>"OFF"</formula>
    </cfRule>
    <cfRule type="cellIs" dxfId="16867" priority="3024" operator="equal">
      <formula>"PTO"</formula>
    </cfRule>
  </conditionalFormatting>
  <conditionalFormatting sqref="W38:W39">
    <cfRule type="cellIs" dxfId="16866" priority="3021" operator="equal">
      <formula>"OFF"</formula>
    </cfRule>
    <cfRule type="cellIs" dxfId="16865" priority="3022" operator="equal">
      <formula>"PTO"</formula>
    </cfRule>
  </conditionalFormatting>
  <conditionalFormatting sqref="W38:W39">
    <cfRule type="cellIs" dxfId="16864" priority="3019" operator="equal">
      <formula>"OFF"</formula>
    </cfRule>
    <cfRule type="cellIs" dxfId="16863" priority="3020" operator="equal">
      <formula>"PTO"</formula>
    </cfRule>
  </conditionalFormatting>
  <conditionalFormatting sqref="W38:W39">
    <cfRule type="cellIs" dxfId="16862" priority="3017" operator="equal">
      <formula>"OFF"</formula>
    </cfRule>
    <cfRule type="cellIs" dxfId="16861" priority="3018" operator="equal">
      <formula>"PTO"</formula>
    </cfRule>
  </conditionalFormatting>
  <conditionalFormatting sqref="V26:V27 V29:V39">
    <cfRule type="cellIs" dxfId="16860" priority="3015" operator="equal">
      <formula>"OFF"</formula>
    </cfRule>
    <cfRule type="cellIs" dxfId="16859" priority="3016" operator="equal">
      <formula>"PTO"</formula>
    </cfRule>
  </conditionalFormatting>
  <conditionalFormatting sqref="V26">
    <cfRule type="cellIs" dxfId="16858" priority="3013" operator="equal">
      <formula>"OFF"</formula>
    </cfRule>
    <cfRule type="cellIs" dxfId="16857" priority="3014" operator="equal">
      <formula>"PTO"</formula>
    </cfRule>
  </conditionalFormatting>
  <conditionalFormatting sqref="V26">
    <cfRule type="cellIs" dxfId="16856" priority="3011" operator="equal">
      <formula>"OFF"</formula>
    </cfRule>
    <cfRule type="cellIs" dxfId="16855" priority="3012" operator="equal">
      <formula>"PTO"</formula>
    </cfRule>
  </conditionalFormatting>
  <conditionalFormatting sqref="V26">
    <cfRule type="cellIs" dxfId="16854" priority="3009" operator="equal">
      <formula>"OFF"</formula>
    </cfRule>
    <cfRule type="cellIs" dxfId="16853" priority="3010" operator="equal">
      <formula>"PTO"</formula>
    </cfRule>
  </conditionalFormatting>
  <conditionalFormatting sqref="V26">
    <cfRule type="cellIs" dxfId="16852" priority="3007" operator="equal">
      <formula>"OFF"</formula>
    </cfRule>
    <cfRule type="cellIs" dxfId="16851" priority="3008" operator="equal">
      <formula>"PTO"</formula>
    </cfRule>
  </conditionalFormatting>
  <conditionalFormatting sqref="V26">
    <cfRule type="cellIs" dxfId="16850" priority="3005" operator="equal">
      <formula>"OFF"</formula>
    </cfRule>
    <cfRule type="cellIs" dxfId="16849" priority="3006" operator="equal">
      <formula>"PTO"</formula>
    </cfRule>
  </conditionalFormatting>
  <conditionalFormatting sqref="V26">
    <cfRule type="cellIs" dxfId="16848" priority="3003" operator="equal">
      <formula>"OFF"</formula>
    </cfRule>
    <cfRule type="cellIs" dxfId="16847" priority="3004" operator="equal">
      <formula>"PTO"</formula>
    </cfRule>
  </conditionalFormatting>
  <conditionalFormatting sqref="V26">
    <cfRule type="cellIs" dxfId="16846" priority="3001" operator="equal">
      <formula>"OFF"</formula>
    </cfRule>
    <cfRule type="cellIs" dxfId="16845" priority="3002" operator="equal">
      <formula>"PTO"</formula>
    </cfRule>
  </conditionalFormatting>
  <conditionalFormatting sqref="V26">
    <cfRule type="cellIs" dxfId="16844" priority="2999" operator="equal">
      <formula>"OFF"</formula>
    </cfRule>
    <cfRule type="cellIs" dxfId="16843" priority="3000" operator="equal">
      <formula>"PTO"</formula>
    </cfRule>
  </conditionalFormatting>
  <conditionalFormatting sqref="V27">
    <cfRule type="cellIs" dxfId="16842" priority="2997" operator="equal">
      <formula>"OFF"</formula>
    </cfRule>
    <cfRule type="cellIs" dxfId="16841" priority="2998" operator="equal">
      <formula>"PTO"</formula>
    </cfRule>
  </conditionalFormatting>
  <conditionalFormatting sqref="V27">
    <cfRule type="cellIs" dxfId="16840" priority="2995" operator="equal">
      <formula>"OFF"</formula>
    </cfRule>
    <cfRule type="cellIs" dxfId="16839" priority="2996" operator="equal">
      <formula>"PTO"</formula>
    </cfRule>
  </conditionalFormatting>
  <conditionalFormatting sqref="V27">
    <cfRule type="cellIs" dxfId="16838" priority="2993" operator="equal">
      <formula>"OFF"</formula>
    </cfRule>
    <cfRule type="cellIs" dxfId="16837" priority="2994" operator="equal">
      <formula>"PTO"</formula>
    </cfRule>
  </conditionalFormatting>
  <conditionalFormatting sqref="V27">
    <cfRule type="cellIs" dxfId="16836" priority="2991" operator="equal">
      <formula>"OFF"</formula>
    </cfRule>
    <cfRule type="cellIs" dxfId="16835" priority="2992" operator="equal">
      <formula>"PTO"</formula>
    </cfRule>
  </conditionalFormatting>
  <conditionalFormatting sqref="V27">
    <cfRule type="cellIs" dxfId="16834" priority="2989" operator="equal">
      <formula>"OFF"</formula>
    </cfRule>
    <cfRule type="cellIs" dxfId="16833" priority="2990" operator="equal">
      <formula>"PTO"</formula>
    </cfRule>
  </conditionalFormatting>
  <conditionalFormatting sqref="V27">
    <cfRule type="cellIs" dxfId="16832" priority="2987" operator="equal">
      <formula>"OFF"</formula>
    </cfRule>
    <cfRule type="cellIs" dxfId="16831" priority="2988" operator="equal">
      <formula>"PTO"</formula>
    </cfRule>
  </conditionalFormatting>
  <conditionalFormatting sqref="V27">
    <cfRule type="cellIs" dxfId="16830" priority="2985" operator="equal">
      <formula>"OFF"</formula>
    </cfRule>
    <cfRule type="cellIs" dxfId="16829" priority="2986" operator="equal">
      <formula>"PTO"</formula>
    </cfRule>
  </conditionalFormatting>
  <conditionalFormatting sqref="V27">
    <cfRule type="cellIs" dxfId="16828" priority="2983" operator="equal">
      <formula>"OFF"</formula>
    </cfRule>
    <cfRule type="cellIs" dxfId="16827" priority="2984" operator="equal">
      <formula>"PTO"</formula>
    </cfRule>
  </conditionalFormatting>
  <conditionalFormatting sqref="V26">
    <cfRule type="cellIs" dxfId="16826" priority="2981" operator="equal">
      <formula>"OFF"</formula>
    </cfRule>
    <cfRule type="cellIs" dxfId="16825" priority="2982" operator="equal">
      <formula>"PTO"</formula>
    </cfRule>
  </conditionalFormatting>
  <conditionalFormatting sqref="V26">
    <cfRule type="cellIs" dxfId="16824" priority="2979" operator="equal">
      <formula>"OFF"</formula>
    </cfRule>
    <cfRule type="cellIs" dxfId="16823" priority="2980" operator="equal">
      <formula>"PTO"</formula>
    </cfRule>
  </conditionalFormatting>
  <conditionalFormatting sqref="V26">
    <cfRule type="cellIs" dxfId="16822" priority="2977" operator="equal">
      <formula>"OFF"</formula>
    </cfRule>
    <cfRule type="cellIs" dxfId="16821" priority="2978" operator="equal">
      <formula>"PTO"</formula>
    </cfRule>
  </conditionalFormatting>
  <conditionalFormatting sqref="V26">
    <cfRule type="cellIs" dxfId="16820" priority="2975" operator="equal">
      <formula>"OFF"</formula>
    </cfRule>
    <cfRule type="cellIs" dxfId="16819" priority="2976" operator="equal">
      <formula>"PTO"</formula>
    </cfRule>
  </conditionalFormatting>
  <conditionalFormatting sqref="V26">
    <cfRule type="cellIs" dxfId="16818" priority="2973" operator="equal">
      <formula>"OFF"</formula>
    </cfRule>
    <cfRule type="cellIs" dxfId="16817" priority="2974" operator="equal">
      <formula>"PTO"</formula>
    </cfRule>
  </conditionalFormatting>
  <conditionalFormatting sqref="V26">
    <cfRule type="cellIs" dxfId="16816" priority="2971" operator="equal">
      <formula>"OFF"</formula>
    </cfRule>
    <cfRule type="cellIs" dxfId="16815" priority="2972" operator="equal">
      <formula>"PTO"</formula>
    </cfRule>
  </conditionalFormatting>
  <conditionalFormatting sqref="V26">
    <cfRule type="cellIs" dxfId="16814" priority="2969" operator="equal">
      <formula>"OFF"</formula>
    </cfRule>
    <cfRule type="cellIs" dxfId="16813" priority="2970" operator="equal">
      <formula>"PTO"</formula>
    </cfRule>
  </conditionalFormatting>
  <conditionalFormatting sqref="V26">
    <cfRule type="cellIs" dxfId="16812" priority="2967" operator="equal">
      <formula>"OFF"</formula>
    </cfRule>
    <cfRule type="cellIs" dxfId="16811" priority="2968" operator="equal">
      <formula>"PTO"</formula>
    </cfRule>
  </conditionalFormatting>
  <conditionalFormatting sqref="V27">
    <cfRule type="cellIs" dxfId="16810" priority="2965" operator="equal">
      <formula>"OFF"</formula>
    </cfRule>
    <cfRule type="cellIs" dxfId="16809" priority="2966" operator="equal">
      <formula>"PTO"</formula>
    </cfRule>
  </conditionalFormatting>
  <conditionalFormatting sqref="V27">
    <cfRule type="cellIs" dxfId="16808" priority="2963" operator="equal">
      <formula>"OFF"</formula>
    </cfRule>
    <cfRule type="cellIs" dxfId="16807" priority="2964" operator="equal">
      <formula>"PTO"</formula>
    </cfRule>
  </conditionalFormatting>
  <conditionalFormatting sqref="V27">
    <cfRule type="cellIs" dxfId="16806" priority="2961" operator="equal">
      <formula>"OFF"</formula>
    </cfRule>
    <cfRule type="cellIs" dxfId="16805" priority="2962" operator="equal">
      <formula>"PTO"</formula>
    </cfRule>
  </conditionalFormatting>
  <conditionalFormatting sqref="V27">
    <cfRule type="cellIs" dxfId="16804" priority="2959" operator="equal">
      <formula>"OFF"</formula>
    </cfRule>
    <cfRule type="cellIs" dxfId="16803" priority="2960" operator="equal">
      <formula>"PTO"</formula>
    </cfRule>
  </conditionalFormatting>
  <conditionalFormatting sqref="V27">
    <cfRule type="cellIs" dxfId="16802" priority="2957" operator="equal">
      <formula>"OFF"</formula>
    </cfRule>
    <cfRule type="cellIs" dxfId="16801" priority="2958" operator="equal">
      <formula>"PTO"</formula>
    </cfRule>
  </conditionalFormatting>
  <conditionalFormatting sqref="V27">
    <cfRule type="cellIs" dxfId="16800" priority="2955" operator="equal">
      <formula>"OFF"</formula>
    </cfRule>
    <cfRule type="cellIs" dxfId="16799" priority="2956" operator="equal">
      <formula>"PTO"</formula>
    </cfRule>
  </conditionalFormatting>
  <conditionalFormatting sqref="V27">
    <cfRule type="cellIs" dxfId="16798" priority="2953" operator="equal">
      <formula>"OFF"</formula>
    </cfRule>
    <cfRule type="cellIs" dxfId="16797" priority="2954" operator="equal">
      <formula>"PTO"</formula>
    </cfRule>
  </conditionalFormatting>
  <conditionalFormatting sqref="V27">
    <cfRule type="cellIs" dxfId="16796" priority="2951" operator="equal">
      <formula>"OFF"</formula>
    </cfRule>
    <cfRule type="cellIs" dxfId="16795" priority="2952" operator="equal">
      <formula>"PTO"</formula>
    </cfRule>
  </conditionalFormatting>
  <conditionalFormatting sqref="V26">
    <cfRule type="cellIs" dxfId="16794" priority="2949" operator="equal">
      <formula>"OFF"</formula>
    </cfRule>
    <cfRule type="cellIs" dxfId="16793" priority="2950" operator="equal">
      <formula>"PTO"</formula>
    </cfRule>
  </conditionalFormatting>
  <conditionalFormatting sqref="V26">
    <cfRule type="cellIs" dxfId="16792" priority="2947" operator="equal">
      <formula>"OFF"</formula>
    </cfRule>
    <cfRule type="cellIs" dxfId="16791" priority="2948" operator="equal">
      <formula>"PTO"</formula>
    </cfRule>
  </conditionalFormatting>
  <conditionalFormatting sqref="V26">
    <cfRule type="cellIs" dxfId="16790" priority="2945" operator="equal">
      <formula>"OFF"</formula>
    </cfRule>
    <cfRule type="cellIs" dxfId="16789" priority="2946" operator="equal">
      <formula>"PTO"</formula>
    </cfRule>
  </conditionalFormatting>
  <conditionalFormatting sqref="V26">
    <cfRule type="cellIs" dxfId="16788" priority="2943" operator="equal">
      <formula>"OFF"</formula>
    </cfRule>
    <cfRule type="cellIs" dxfId="16787" priority="2944" operator="equal">
      <formula>"PTO"</formula>
    </cfRule>
  </conditionalFormatting>
  <conditionalFormatting sqref="V26">
    <cfRule type="cellIs" dxfId="16786" priority="2941" operator="equal">
      <formula>"OFF"</formula>
    </cfRule>
    <cfRule type="cellIs" dxfId="16785" priority="2942" operator="equal">
      <formula>"PTO"</formula>
    </cfRule>
  </conditionalFormatting>
  <conditionalFormatting sqref="V26">
    <cfRule type="cellIs" dxfId="16784" priority="2939" operator="equal">
      <formula>"OFF"</formula>
    </cfRule>
    <cfRule type="cellIs" dxfId="16783" priority="2940" operator="equal">
      <formula>"PTO"</formula>
    </cfRule>
  </conditionalFormatting>
  <conditionalFormatting sqref="V26">
    <cfRule type="cellIs" dxfId="16782" priority="2937" operator="equal">
      <formula>"OFF"</formula>
    </cfRule>
    <cfRule type="cellIs" dxfId="16781" priority="2938" operator="equal">
      <formula>"PTO"</formula>
    </cfRule>
  </conditionalFormatting>
  <conditionalFormatting sqref="V26">
    <cfRule type="cellIs" dxfId="16780" priority="2935" operator="equal">
      <formula>"OFF"</formula>
    </cfRule>
    <cfRule type="cellIs" dxfId="16779" priority="2936" operator="equal">
      <formula>"PTO"</formula>
    </cfRule>
  </conditionalFormatting>
  <conditionalFormatting sqref="V27">
    <cfRule type="cellIs" dxfId="16778" priority="2933" operator="equal">
      <formula>"OFF"</formula>
    </cfRule>
    <cfRule type="cellIs" dxfId="16777" priority="2934" operator="equal">
      <formula>"PTO"</formula>
    </cfRule>
  </conditionalFormatting>
  <conditionalFormatting sqref="V27">
    <cfRule type="cellIs" dxfId="16776" priority="2931" operator="equal">
      <formula>"OFF"</formula>
    </cfRule>
    <cfRule type="cellIs" dxfId="16775" priority="2932" operator="equal">
      <formula>"PTO"</formula>
    </cfRule>
  </conditionalFormatting>
  <conditionalFormatting sqref="V27">
    <cfRule type="cellIs" dxfId="16774" priority="2929" operator="equal">
      <formula>"OFF"</formula>
    </cfRule>
    <cfRule type="cellIs" dxfId="16773" priority="2930" operator="equal">
      <formula>"PTO"</formula>
    </cfRule>
  </conditionalFormatting>
  <conditionalFormatting sqref="V27">
    <cfRule type="cellIs" dxfId="16772" priority="2927" operator="equal">
      <formula>"OFF"</formula>
    </cfRule>
    <cfRule type="cellIs" dxfId="16771" priority="2928" operator="equal">
      <formula>"PTO"</formula>
    </cfRule>
  </conditionalFormatting>
  <conditionalFormatting sqref="V27">
    <cfRule type="cellIs" dxfId="16770" priority="2925" operator="equal">
      <formula>"OFF"</formula>
    </cfRule>
    <cfRule type="cellIs" dxfId="16769" priority="2926" operator="equal">
      <formula>"PTO"</formula>
    </cfRule>
  </conditionalFormatting>
  <conditionalFormatting sqref="V27">
    <cfRule type="cellIs" dxfId="16768" priority="2923" operator="equal">
      <formula>"OFF"</formula>
    </cfRule>
    <cfRule type="cellIs" dxfId="16767" priority="2924" operator="equal">
      <formula>"PTO"</formula>
    </cfRule>
  </conditionalFormatting>
  <conditionalFormatting sqref="V27">
    <cfRule type="cellIs" dxfId="16766" priority="2921" operator="equal">
      <formula>"OFF"</formula>
    </cfRule>
    <cfRule type="cellIs" dxfId="16765" priority="2922" operator="equal">
      <formula>"PTO"</formula>
    </cfRule>
  </conditionalFormatting>
  <conditionalFormatting sqref="V27">
    <cfRule type="cellIs" dxfId="16764" priority="2919" operator="equal">
      <formula>"OFF"</formula>
    </cfRule>
    <cfRule type="cellIs" dxfId="16763" priority="2920" operator="equal">
      <formula>"PTO"</formula>
    </cfRule>
  </conditionalFormatting>
  <conditionalFormatting sqref="V26">
    <cfRule type="cellIs" dxfId="16762" priority="2917" operator="equal">
      <formula>"OFF"</formula>
    </cfRule>
    <cfRule type="cellIs" dxfId="16761" priority="2918" operator="equal">
      <formula>"PTO"</formula>
    </cfRule>
  </conditionalFormatting>
  <conditionalFormatting sqref="V26">
    <cfRule type="cellIs" dxfId="16760" priority="2915" operator="equal">
      <formula>"OFF"</formula>
    </cfRule>
    <cfRule type="cellIs" dxfId="16759" priority="2916" operator="equal">
      <formula>"PTO"</formula>
    </cfRule>
  </conditionalFormatting>
  <conditionalFormatting sqref="V26">
    <cfRule type="cellIs" dxfId="16758" priority="2913" operator="equal">
      <formula>"OFF"</formula>
    </cfRule>
    <cfRule type="cellIs" dxfId="16757" priority="2914" operator="equal">
      <formula>"PTO"</formula>
    </cfRule>
  </conditionalFormatting>
  <conditionalFormatting sqref="V26">
    <cfRule type="cellIs" dxfId="16756" priority="2911" operator="equal">
      <formula>"OFF"</formula>
    </cfRule>
    <cfRule type="cellIs" dxfId="16755" priority="2912" operator="equal">
      <formula>"PTO"</formula>
    </cfRule>
  </conditionalFormatting>
  <conditionalFormatting sqref="V26">
    <cfRule type="cellIs" dxfId="16754" priority="2909" operator="equal">
      <formula>"OFF"</formula>
    </cfRule>
    <cfRule type="cellIs" dxfId="16753" priority="2910" operator="equal">
      <formula>"PTO"</formula>
    </cfRule>
  </conditionalFormatting>
  <conditionalFormatting sqref="V26">
    <cfRule type="cellIs" dxfId="16752" priority="2907" operator="equal">
      <formula>"OFF"</formula>
    </cfRule>
    <cfRule type="cellIs" dxfId="16751" priority="2908" operator="equal">
      <formula>"PTO"</formula>
    </cfRule>
  </conditionalFormatting>
  <conditionalFormatting sqref="V26">
    <cfRule type="cellIs" dxfId="16750" priority="2905" operator="equal">
      <formula>"OFF"</formula>
    </cfRule>
    <cfRule type="cellIs" dxfId="16749" priority="2906" operator="equal">
      <formula>"PTO"</formula>
    </cfRule>
  </conditionalFormatting>
  <conditionalFormatting sqref="V26">
    <cfRule type="cellIs" dxfId="16748" priority="2903" operator="equal">
      <formula>"OFF"</formula>
    </cfRule>
    <cfRule type="cellIs" dxfId="16747" priority="2904" operator="equal">
      <formula>"PTO"</formula>
    </cfRule>
  </conditionalFormatting>
  <conditionalFormatting sqref="V27">
    <cfRule type="cellIs" dxfId="16746" priority="2901" operator="equal">
      <formula>"OFF"</formula>
    </cfRule>
    <cfRule type="cellIs" dxfId="16745" priority="2902" operator="equal">
      <formula>"PTO"</formula>
    </cfRule>
  </conditionalFormatting>
  <conditionalFormatting sqref="V27">
    <cfRule type="cellIs" dxfId="16744" priority="2899" operator="equal">
      <formula>"OFF"</formula>
    </cfRule>
    <cfRule type="cellIs" dxfId="16743" priority="2900" operator="equal">
      <formula>"PTO"</formula>
    </cfRule>
  </conditionalFormatting>
  <conditionalFormatting sqref="V27">
    <cfRule type="cellIs" dxfId="16742" priority="2897" operator="equal">
      <formula>"OFF"</formula>
    </cfRule>
    <cfRule type="cellIs" dxfId="16741" priority="2898" operator="equal">
      <formula>"PTO"</formula>
    </cfRule>
  </conditionalFormatting>
  <conditionalFormatting sqref="V27">
    <cfRule type="cellIs" dxfId="16740" priority="2895" operator="equal">
      <formula>"OFF"</formula>
    </cfRule>
    <cfRule type="cellIs" dxfId="16739" priority="2896" operator="equal">
      <formula>"PTO"</formula>
    </cfRule>
  </conditionalFormatting>
  <conditionalFormatting sqref="V27">
    <cfRule type="cellIs" dxfId="16738" priority="2893" operator="equal">
      <formula>"OFF"</formula>
    </cfRule>
    <cfRule type="cellIs" dxfId="16737" priority="2894" operator="equal">
      <formula>"PTO"</formula>
    </cfRule>
  </conditionalFormatting>
  <conditionalFormatting sqref="V27">
    <cfRule type="cellIs" dxfId="16736" priority="2891" operator="equal">
      <formula>"OFF"</formula>
    </cfRule>
    <cfRule type="cellIs" dxfId="16735" priority="2892" operator="equal">
      <formula>"PTO"</formula>
    </cfRule>
  </conditionalFormatting>
  <conditionalFormatting sqref="V27">
    <cfRule type="cellIs" dxfId="16734" priority="2889" operator="equal">
      <formula>"OFF"</formula>
    </cfRule>
    <cfRule type="cellIs" dxfId="16733" priority="2890" operator="equal">
      <formula>"PTO"</formula>
    </cfRule>
  </conditionalFormatting>
  <conditionalFormatting sqref="V27">
    <cfRule type="cellIs" dxfId="16732" priority="2887" operator="equal">
      <formula>"OFF"</formula>
    </cfRule>
    <cfRule type="cellIs" dxfId="16731" priority="2888" operator="equal">
      <formula>"PTO"</formula>
    </cfRule>
  </conditionalFormatting>
  <conditionalFormatting sqref="V26">
    <cfRule type="cellIs" dxfId="16730" priority="2885" operator="equal">
      <formula>"OFF"</formula>
    </cfRule>
    <cfRule type="cellIs" dxfId="16729" priority="2886" operator="equal">
      <formula>"PTO"</formula>
    </cfRule>
  </conditionalFormatting>
  <conditionalFormatting sqref="V26">
    <cfRule type="cellIs" dxfId="16728" priority="2883" operator="equal">
      <formula>"OFF"</formula>
    </cfRule>
    <cfRule type="cellIs" dxfId="16727" priority="2884" operator="equal">
      <formula>"PTO"</formula>
    </cfRule>
  </conditionalFormatting>
  <conditionalFormatting sqref="V26">
    <cfRule type="cellIs" dxfId="16726" priority="2881" operator="equal">
      <formula>"OFF"</formula>
    </cfRule>
    <cfRule type="cellIs" dxfId="16725" priority="2882" operator="equal">
      <formula>"PTO"</formula>
    </cfRule>
  </conditionalFormatting>
  <conditionalFormatting sqref="V26">
    <cfRule type="cellIs" dxfId="16724" priority="2879" operator="equal">
      <formula>"OFF"</formula>
    </cfRule>
    <cfRule type="cellIs" dxfId="16723" priority="2880" operator="equal">
      <formula>"PTO"</formula>
    </cfRule>
  </conditionalFormatting>
  <conditionalFormatting sqref="V26">
    <cfRule type="cellIs" dxfId="16722" priority="2877" operator="equal">
      <formula>"OFF"</formula>
    </cfRule>
    <cfRule type="cellIs" dxfId="16721" priority="2878" operator="equal">
      <formula>"PTO"</formula>
    </cfRule>
  </conditionalFormatting>
  <conditionalFormatting sqref="V26">
    <cfRule type="cellIs" dxfId="16720" priority="2875" operator="equal">
      <formula>"OFF"</formula>
    </cfRule>
    <cfRule type="cellIs" dxfId="16719" priority="2876" operator="equal">
      <formula>"PTO"</formula>
    </cfRule>
  </conditionalFormatting>
  <conditionalFormatting sqref="V26">
    <cfRule type="cellIs" dxfId="16718" priority="2873" operator="equal">
      <formula>"OFF"</formula>
    </cfRule>
    <cfRule type="cellIs" dxfId="16717" priority="2874" operator="equal">
      <formula>"PTO"</formula>
    </cfRule>
  </conditionalFormatting>
  <conditionalFormatting sqref="V26">
    <cfRule type="cellIs" dxfId="16716" priority="2871" operator="equal">
      <formula>"OFF"</formula>
    </cfRule>
    <cfRule type="cellIs" dxfId="16715" priority="2872" operator="equal">
      <formula>"PTO"</formula>
    </cfRule>
  </conditionalFormatting>
  <conditionalFormatting sqref="V27">
    <cfRule type="cellIs" dxfId="16714" priority="2869" operator="equal">
      <formula>"OFF"</formula>
    </cfRule>
    <cfRule type="cellIs" dxfId="16713" priority="2870" operator="equal">
      <formula>"PTO"</formula>
    </cfRule>
  </conditionalFormatting>
  <conditionalFormatting sqref="V27">
    <cfRule type="cellIs" dxfId="16712" priority="2867" operator="equal">
      <formula>"OFF"</formula>
    </cfRule>
    <cfRule type="cellIs" dxfId="16711" priority="2868" operator="equal">
      <formula>"PTO"</formula>
    </cfRule>
  </conditionalFormatting>
  <conditionalFormatting sqref="V27">
    <cfRule type="cellIs" dxfId="16710" priority="2865" operator="equal">
      <formula>"OFF"</formula>
    </cfRule>
    <cfRule type="cellIs" dxfId="16709" priority="2866" operator="equal">
      <formula>"PTO"</formula>
    </cfRule>
  </conditionalFormatting>
  <conditionalFormatting sqref="V27">
    <cfRule type="cellIs" dxfId="16708" priority="2863" operator="equal">
      <formula>"OFF"</formula>
    </cfRule>
    <cfRule type="cellIs" dxfId="16707" priority="2864" operator="equal">
      <formula>"PTO"</formula>
    </cfRule>
  </conditionalFormatting>
  <conditionalFormatting sqref="V27">
    <cfRule type="cellIs" dxfId="16706" priority="2861" operator="equal">
      <formula>"OFF"</formula>
    </cfRule>
    <cfRule type="cellIs" dxfId="16705" priority="2862" operator="equal">
      <formula>"PTO"</formula>
    </cfRule>
  </conditionalFormatting>
  <conditionalFormatting sqref="V27">
    <cfRule type="cellIs" dxfId="16704" priority="2859" operator="equal">
      <formula>"OFF"</formula>
    </cfRule>
    <cfRule type="cellIs" dxfId="16703" priority="2860" operator="equal">
      <formula>"PTO"</formula>
    </cfRule>
  </conditionalFormatting>
  <conditionalFormatting sqref="V27">
    <cfRule type="cellIs" dxfId="16702" priority="2857" operator="equal">
      <formula>"OFF"</formula>
    </cfRule>
    <cfRule type="cellIs" dxfId="16701" priority="2858" operator="equal">
      <formula>"PTO"</formula>
    </cfRule>
  </conditionalFormatting>
  <conditionalFormatting sqref="V27">
    <cfRule type="cellIs" dxfId="16700" priority="2855" operator="equal">
      <formula>"OFF"</formula>
    </cfRule>
    <cfRule type="cellIs" dxfId="16699" priority="2856" operator="equal">
      <formula>"PTO"</formula>
    </cfRule>
  </conditionalFormatting>
  <conditionalFormatting sqref="V26">
    <cfRule type="cellIs" dxfId="16698" priority="2853" operator="equal">
      <formula>"OFF"</formula>
    </cfRule>
    <cfRule type="cellIs" dxfId="16697" priority="2854" operator="equal">
      <formula>"PTO"</formula>
    </cfRule>
  </conditionalFormatting>
  <conditionalFormatting sqref="V26">
    <cfRule type="cellIs" dxfId="16696" priority="2851" operator="equal">
      <formula>"OFF"</formula>
    </cfRule>
    <cfRule type="cellIs" dxfId="16695" priority="2852" operator="equal">
      <formula>"PTO"</formula>
    </cfRule>
  </conditionalFormatting>
  <conditionalFormatting sqref="V26">
    <cfRule type="cellIs" dxfId="16694" priority="2849" operator="equal">
      <formula>"OFF"</formula>
    </cfRule>
    <cfRule type="cellIs" dxfId="16693" priority="2850" operator="equal">
      <formula>"PTO"</formula>
    </cfRule>
  </conditionalFormatting>
  <conditionalFormatting sqref="V26">
    <cfRule type="cellIs" dxfId="16692" priority="2847" operator="equal">
      <formula>"OFF"</formula>
    </cfRule>
    <cfRule type="cellIs" dxfId="16691" priority="2848" operator="equal">
      <formula>"PTO"</formula>
    </cfRule>
  </conditionalFormatting>
  <conditionalFormatting sqref="V26">
    <cfRule type="cellIs" dxfId="16690" priority="2845" operator="equal">
      <formula>"OFF"</formula>
    </cfRule>
    <cfRule type="cellIs" dxfId="16689" priority="2846" operator="equal">
      <formula>"PTO"</formula>
    </cfRule>
  </conditionalFormatting>
  <conditionalFormatting sqref="V26">
    <cfRule type="cellIs" dxfId="16688" priority="2843" operator="equal">
      <formula>"OFF"</formula>
    </cfRule>
    <cfRule type="cellIs" dxfId="16687" priority="2844" operator="equal">
      <formula>"PTO"</formula>
    </cfRule>
  </conditionalFormatting>
  <conditionalFormatting sqref="V26">
    <cfRule type="cellIs" dxfId="16686" priority="2841" operator="equal">
      <formula>"OFF"</formula>
    </cfRule>
    <cfRule type="cellIs" dxfId="16685" priority="2842" operator="equal">
      <formula>"PTO"</formula>
    </cfRule>
  </conditionalFormatting>
  <conditionalFormatting sqref="V26">
    <cfRule type="cellIs" dxfId="16684" priority="2839" operator="equal">
      <formula>"OFF"</formula>
    </cfRule>
    <cfRule type="cellIs" dxfId="16683" priority="2840" operator="equal">
      <formula>"PTO"</formula>
    </cfRule>
  </conditionalFormatting>
  <conditionalFormatting sqref="V27">
    <cfRule type="cellIs" dxfId="16682" priority="2837" operator="equal">
      <formula>"OFF"</formula>
    </cfRule>
    <cfRule type="cellIs" dxfId="16681" priority="2838" operator="equal">
      <formula>"PTO"</formula>
    </cfRule>
  </conditionalFormatting>
  <conditionalFormatting sqref="V27">
    <cfRule type="cellIs" dxfId="16680" priority="2835" operator="equal">
      <formula>"OFF"</formula>
    </cfRule>
    <cfRule type="cellIs" dxfId="16679" priority="2836" operator="equal">
      <formula>"PTO"</formula>
    </cfRule>
  </conditionalFormatting>
  <conditionalFormatting sqref="V27">
    <cfRule type="cellIs" dxfId="16678" priority="2833" operator="equal">
      <formula>"OFF"</formula>
    </cfRule>
    <cfRule type="cellIs" dxfId="16677" priority="2834" operator="equal">
      <formula>"PTO"</formula>
    </cfRule>
  </conditionalFormatting>
  <conditionalFormatting sqref="V27">
    <cfRule type="cellIs" dxfId="16676" priority="2831" operator="equal">
      <formula>"OFF"</formula>
    </cfRule>
    <cfRule type="cellIs" dxfId="16675" priority="2832" operator="equal">
      <formula>"PTO"</formula>
    </cfRule>
  </conditionalFormatting>
  <conditionalFormatting sqref="V27">
    <cfRule type="cellIs" dxfId="16674" priority="2829" operator="equal">
      <formula>"OFF"</formula>
    </cfRule>
    <cfRule type="cellIs" dxfId="16673" priority="2830" operator="equal">
      <formula>"PTO"</formula>
    </cfRule>
  </conditionalFormatting>
  <conditionalFormatting sqref="V27">
    <cfRule type="cellIs" dxfId="16672" priority="2827" operator="equal">
      <formula>"OFF"</formula>
    </cfRule>
    <cfRule type="cellIs" dxfId="16671" priority="2828" operator="equal">
      <formula>"PTO"</formula>
    </cfRule>
  </conditionalFormatting>
  <conditionalFormatting sqref="V27">
    <cfRule type="cellIs" dxfId="16670" priority="2825" operator="equal">
      <formula>"OFF"</formula>
    </cfRule>
    <cfRule type="cellIs" dxfId="16669" priority="2826" operator="equal">
      <formula>"PTO"</formula>
    </cfRule>
  </conditionalFormatting>
  <conditionalFormatting sqref="V27">
    <cfRule type="cellIs" dxfId="16668" priority="2823" operator="equal">
      <formula>"OFF"</formula>
    </cfRule>
    <cfRule type="cellIs" dxfId="16667" priority="2824" operator="equal">
      <formula>"PTO"</formula>
    </cfRule>
  </conditionalFormatting>
  <conditionalFormatting sqref="V26">
    <cfRule type="cellIs" dxfId="16666" priority="2821" operator="equal">
      <formula>"OFF"</formula>
    </cfRule>
    <cfRule type="cellIs" dxfId="16665" priority="2822" operator="equal">
      <formula>"PTO"</formula>
    </cfRule>
  </conditionalFormatting>
  <conditionalFormatting sqref="V26">
    <cfRule type="cellIs" dxfId="16664" priority="2819" operator="equal">
      <formula>"OFF"</formula>
    </cfRule>
    <cfRule type="cellIs" dxfId="16663" priority="2820" operator="equal">
      <formula>"PTO"</formula>
    </cfRule>
  </conditionalFormatting>
  <conditionalFormatting sqref="V26">
    <cfRule type="cellIs" dxfId="16662" priority="2817" operator="equal">
      <formula>"OFF"</formula>
    </cfRule>
    <cfRule type="cellIs" dxfId="16661" priority="2818" operator="equal">
      <formula>"PTO"</formula>
    </cfRule>
  </conditionalFormatting>
  <conditionalFormatting sqref="V26">
    <cfRule type="cellIs" dxfId="16660" priority="2815" operator="equal">
      <formula>"OFF"</formula>
    </cfRule>
    <cfRule type="cellIs" dxfId="16659" priority="2816" operator="equal">
      <formula>"PTO"</formula>
    </cfRule>
  </conditionalFormatting>
  <conditionalFormatting sqref="V26">
    <cfRule type="cellIs" dxfId="16658" priority="2813" operator="equal">
      <formula>"OFF"</formula>
    </cfRule>
    <cfRule type="cellIs" dxfId="16657" priority="2814" operator="equal">
      <formula>"PTO"</formula>
    </cfRule>
  </conditionalFormatting>
  <conditionalFormatting sqref="V26">
    <cfRule type="cellIs" dxfId="16656" priority="2811" operator="equal">
      <formula>"OFF"</formula>
    </cfRule>
    <cfRule type="cellIs" dxfId="16655" priority="2812" operator="equal">
      <formula>"PTO"</formula>
    </cfRule>
  </conditionalFormatting>
  <conditionalFormatting sqref="V26">
    <cfRule type="cellIs" dxfId="16654" priority="2809" operator="equal">
      <formula>"OFF"</formula>
    </cfRule>
    <cfRule type="cellIs" dxfId="16653" priority="2810" operator="equal">
      <formula>"PTO"</formula>
    </cfRule>
  </conditionalFormatting>
  <conditionalFormatting sqref="V26">
    <cfRule type="cellIs" dxfId="16652" priority="2807" operator="equal">
      <formula>"OFF"</formula>
    </cfRule>
    <cfRule type="cellIs" dxfId="16651" priority="2808" operator="equal">
      <formula>"PTO"</formula>
    </cfRule>
  </conditionalFormatting>
  <conditionalFormatting sqref="V27">
    <cfRule type="cellIs" dxfId="16650" priority="2805" operator="equal">
      <formula>"OFF"</formula>
    </cfRule>
    <cfRule type="cellIs" dxfId="16649" priority="2806" operator="equal">
      <formula>"PTO"</formula>
    </cfRule>
  </conditionalFormatting>
  <conditionalFormatting sqref="V27">
    <cfRule type="cellIs" dxfId="16648" priority="2803" operator="equal">
      <formula>"OFF"</formula>
    </cfRule>
    <cfRule type="cellIs" dxfId="16647" priority="2804" operator="equal">
      <formula>"PTO"</formula>
    </cfRule>
  </conditionalFormatting>
  <conditionalFormatting sqref="V27">
    <cfRule type="cellIs" dxfId="16646" priority="2801" operator="equal">
      <formula>"OFF"</formula>
    </cfRule>
    <cfRule type="cellIs" dxfId="16645" priority="2802" operator="equal">
      <formula>"PTO"</formula>
    </cfRule>
  </conditionalFormatting>
  <conditionalFormatting sqref="V27">
    <cfRule type="cellIs" dxfId="16644" priority="2799" operator="equal">
      <formula>"OFF"</formula>
    </cfRule>
    <cfRule type="cellIs" dxfId="16643" priority="2800" operator="equal">
      <formula>"PTO"</formula>
    </cfRule>
  </conditionalFormatting>
  <conditionalFormatting sqref="V27">
    <cfRule type="cellIs" dxfId="16642" priority="2797" operator="equal">
      <formula>"OFF"</formula>
    </cfRule>
    <cfRule type="cellIs" dxfId="16641" priority="2798" operator="equal">
      <formula>"PTO"</formula>
    </cfRule>
  </conditionalFormatting>
  <conditionalFormatting sqref="V27">
    <cfRule type="cellIs" dxfId="16640" priority="2795" operator="equal">
      <formula>"OFF"</formula>
    </cfRule>
    <cfRule type="cellIs" dxfId="16639" priority="2796" operator="equal">
      <formula>"PTO"</formula>
    </cfRule>
  </conditionalFormatting>
  <conditionalFormatting sqref="V27">
    <cfRule type="cellIs" dxfId="16638" priority="2793" operator="equal">
      <formula>"OFF"</formula>
    </cfRule>
    <cfRule type="cellIs" dxfId="16637" priority="2794" operator="equal">
      <formula>"PTO"</formula>
    </cfRule>
  </conditionalFormatting>
  <conditionalFormatting sqref="V27">
    <cfRule type="cellIs" dxfId="16636" priority="2791" operator="equal">
      <formula>"OFF"</formula>
    </cfRule>
    <cfRule type="cellIs" dxfId="16635" priority="2792" operator="equal">
      <formula>"PTO"</formula>
    </cfRule>
  </conditionalFormatting>
  <conditionalFormatting sqref="V29">
    <cfRule type="cellIs" dxfId="16634" priority="2789" operator="equal">
      <formula>"OFF"</formula>
    </cfRule>
    <cfRule type="cellIs" dxfId="16633" priority="2790" operator="equal">
      <formula>"PTO"</formula>
    </cfRule>
  </conditionalFormatting>
  <conditionalFormatting sqref="V29">
    <cfRule type="cellIs" dxfId="16632" priority="2787" operator="equal">
      <formula>"OFF"</formula>
    </cfRule>
    <cfRule type="cellIs" dxfId="16631" priority="2788" operator="equal">
      <formula>"PTO"</formula>
    </cfRule>
  </conditionalFormatting>
  <conditionalFormatting sqref="V29">
    <cfRule type="cellIs" dxfId="16630" priority="2785" operator="equal">
      <formula>"OFF"</formula>
    </cfRule>
    <cfRule type="cellIs" dxfId="16629" priority="2786" operator="equal">
      <formula>"PTO"</formula>
    </cfRule>
  </conditionalFormatting>
  <conditionalFormatting sqref="V29">
    <cfRule type="cellIs" dxfId="16628" priority="2783" operator="equal">
      <formula>"OFF"</formula>
    </cfRule>
    <cfRule type="cellIs" dxfId="16627" priority="2784" operator="equal">
      <formula>"PTO"</formula>
    </cfRule>
  </conditionalFormatting>
  <conditionalFormatting sqref="V29">
    <cfRule type="cellIs" dxfId="16626" priority="2781" operator="equal">
      <formula>"OFF"</formula>
    </cfRule>
    <cfRule type="cellIs" dxfId="16625" priority="2782" operator="equal">
      <formula>"PTO"</formula>
    </cfRule>
  </conditionalFormatting>
  <conditionalFormatting sqref="V29">
    <cfRule type="cellIs" dxfId="16624" priority="2779" operator="equal">
      <formula>"OFF"</formula>
    </cfRule>
    <cfRule type="cellIs" dxfId="16623" priority="2780" operator="equal">
      <formula>"PTO"</formula>
    </cfRule>
  </conditionalFormatting>
  <conditionalFormatting sqref="V29">
    <cfRule type="cellIs" dxfId="16622" priority="2777" operator="equal">
      <formula>"OFF"</formula>
    </cfRule>
    <cfRule type="cellIs" dxfId="16621" priority="2778" operator="equal">
      <formula>"PTO"</formula>
    </cfRule>
  </conditionalFormatting>
  <conditionalFormatting sqref="V29">
    <cfRule type="cellIs" dxfId="16620" priority="2775" operator="equal">
      <formula>"OFF"</formula>
    </cfRule>
    <cfRule type="cellIs" dxfId="16619" priority="2776" operator="equal">
      <formula>"PTO"</formula>
    </cfRule>
  </conditionalFormatting>
  <conditionalFormatting sqref="V29">
    <cfRule type="cellIs" dxfId="16618" priority="2773" operator="equal">
      <formula>"OFF"</formula>
    </cfRule>
    <cfRule type="cellIs" dxfId="16617" priority="2774" operator="equal">
      <formula>"PTO"</formula>
    </cfRule>
  </conditionalFormatting>
  <conditionalFormatting sqref="V29">
    <cfRule type="cellIs" dxfId="16616" priority="2771" operator="equal">
      <formula>"OFF"</formula>
    </cfRule>
    <cfRule type="cellIs" dxfId="16615" priority="2772" operator="equal">
      <formula>"PTO"</formula>
    </cfRule>
  </conditionalFormatting>
  <conditionalFormatting sqref="V29">
    <cfRule type="cellIs" dxfId="16614" priority="2769" operator="equal">
      <formula>"OFF"</formula>
    </cfRule>
    <cfRule type="cellIs" dxfId="16613" priority="2770" operator="equal">
      <formula>"PTO"</formula>
    </cfRule>
  </conditionalFormatting>
  <conditionalFormatting sqref="V29">
    <cfRule type="cellIs" dxfId="16612" priority="2767" operator="equal">
      <formula>"OFF"</formula>
    </cfRule>
    <cfRule type="cellIs" dxfId="16611" priority="2768" operator="equal">
      <formula>"PTO"</formula>
    </cfRule>
  </conditionalFormatting>
  <conditionalFormatting sqref="V29">
    <cfRule type="cellIs" dxfId="16610" priority="2765" operator="equal">
      <formula>"OFF"</formula>
    </cfRule>
    <cfRule type="cellIs" dxfId="16609" priority="2766" operator="equal">
      <formula>"PTO"</formula>
    </cfRule>
  </conditionalFormatting>
  <conditionalFormatting sqref="V29">
    <cfRule type="cellIs" dxfId="16608" priority="2763" operator="equal">
      <formula>"OFF"</formula>
    </cfRule>
    <cfRule type="cellIs" dxfId="16607" priority="2764" operator="equal">
      <formula>"PTO"</formula>
    </cfRule>
  </conditionalFormatting>
  <conditionalFormatting sqref="V29">
    <cfRule type="cellIs" dxfId="16606" priority="2761" operator="equal">
      <formula>"OFF"</formula>
    </cfRule>
    <cfRule type="cellIs" dxfId="16605" priority="2762" operator="equal">
      <formula>"PTO"</formula>
    </cfRule>
  </conditionalFormatting>
  <conditionalFormatting sqref="V29">
    <cfRule type="cellIs" dxfId="16604" priority="2759" operator="equal">
      <formula>"OFF"</formula>
    </cfRule>
    <cfRule type="cellIs" dxfId="16603" priority="2760" operator="equal">
      <formula>"PTO"</formula>
    </cfRule>
  </conditionalFormatting>
  <conditionalFormatting sqref="V29">
    <cfRule type="cellIs" dxfId="16602" priority="2757" operator="equal">
      <formula>"OFF"</formula>
    </cfRule>
    <cfRule type="cellIs" dxfId="16601" priority="2758" operator="equal">
      <formula>"PTO"</formula>
    </cfRule>
  </conditionalFormatting>
  <conditionalFormatting sqref="V29">
    <cfRule type="cellIs" dxfId="16600" priority="2755" operator="equal">
      <formula>"OFF"</formula>
    </cfRule>
    <cfRule type="cellIs" dxfId="16599" priority="2756" operator="equal">
      <formula>"PTO"</formula>
    </cfRule>
  </conditionalFormatting>
  <conditionalFormatting sqref="V29">
    <cfRule type="cellIs" dxfId="16598" priority="2753" operator="equal">
      <formula>"OFF"</formula>
    </cfRule>
    <cfRule type="cellIs" dxfId="16597" priority="2754" operator="equal">
      <formula>"PTO"</formula>
    </cfRule>
  </conditionalFormatting>
  <conditionalFormatting sqref="V29">
    <cfRule type="cellIs" dxfId="16596" priority="2751" operator="equal">
      <formula>"OFF"</formula>
    </cfRule>
    <cfRule type="cellIs" dxfId="16595" priority="2752" operator="equal">
      <formula>"PTO"</formula>
    </cfRule>
  </conditionalFormatting>
  <conditionalFormatting sqref="V29">
    <cfRule type="cellIs" dxfId="16594" priority="2749" operator="equal">
      <formula>"OFF"</formula>
    </cfRule>
    <cfRule type="cellIs" dxfId="16593" priority="2750" operator="equal">
      <formula>"PTO"</formula>
    </cfRule>
  </conditionalFormatting>
  <conditionalFormatting sqref="V29">
    <cfRule type="cellIs" dxfId="16592" priority="2747" operator="equal">
      <formula>"OFF"</formula>
    </cfRule>
    <cfRule type="cellIs" dxfId="16591" priority="2748" operator="equal">
      <formula>"PTO"</formula>
    </cfRule>
  </conditionalFormatting>
  <conditionalFormatting sqref="V29">
    <cfRule type="cellIs" dxfId="16590" priority="2745" operator="equal">
      <formula>"OFF"</formula>
    </cfRule>
    <cfRule type="cellIs" dxfId="16589" priority="2746" operator="equal">
      <formula>"PTO"</formula>
    </cfRule>
  </conditionalFormatting>
  <conditionalFormatting sqref="V29">
    <cfRule type="cellIs" dxfId="16588" priority="2743" operator="equal">
      <formula>"OFF"</formula>
    </cfRule>
    <cfRule type="cellIs" dxfId="16587" priority="2744" operator="equal">
      <formula>"PTO"</formula>
    </cfRule>
  </conditionalFormatting>
  <conditionalFormatting sqref="V29">
    <cfRule type="cellIs" dxfId="16586" priority="2741" operator="equal">
      <formula>"OFF"</formula>
    </cfRule>
    <cfRule type="cellIs" dxfId="16585" priority="2742" operator="equal">
      <formula>"PTO"</formula>
    </cfRule>
  </conditionalFormatting>
  <conditionalFormatting sqref="V29">
    <cfRule type="cellIs" dxfId="16584" priority="2739" operator="equal">
      <formula>"OFF"</formula>
    </cfRule>
    <cfRule type="cellIs" dxfId="16583" priority="2740" operator="equal">
      <formula>"PTO"</formula>
    </cfRule>
  </conditionalFormatting>
  <conditionalFormatting sqref="V29">
    <cfRule type="cellIs" dxfId="16582" priority="2737" operator="equal">
      <formula>"OFF"</formula>
    </cfRule>
    <cfRule type="cellIs" dxfId="16581" priority="2738" operator="equal">
      <formula>"PTO"</formula>
    </cfRule>
  </conditionalFormatting>
  <conditionalFormatting sqref="V29">
    <cfRule type="cellIs" dxfId="16580" priority="2735" operator="equal">
      <formula>"OFF"</formula>
    </cfRule>
    <cfRule type="cellIs" dxfId="16579" priority="2736" operator="equal">
      <formula>"PTO"</formula>
    </cfRule>
  </conditionalFormatting>
  <conditionalFormatting sqref="V29">
    <cfRule type="cellIs" dxfId="16578" priority="2733" operator="equal">
      <formula>"OFF"</formula>
    </cfRule>
    <cfRule type="cellIs" dxfId="16577" priority="2734" operator="equal">
      <formula>"PTO"</formula>
    </cfRule>
  </conditionalFormatting>
  <conditionalFormatting sqref="V29">
    <cfRule type="cellIs" dxfId="16576" priority="2731" operator="equal">
      <formula>"OFF"</formula>
    </cfRule>
    <cfRule type="cellIs" dxfId="16575" priority="2732" operator="equal">
      <formula>"PTO"</formula>
    </cfRule>
  </conditionalFormatting>
  <conditionalFormatting sqref="V29">
    <cfRule type="cellIs" dxfId="16574" priority="2729" operator="equal">
      <formula>"OFF"</formula>
    </cfRule>
    <cfRule type="cellIs" dxfId="16573" priority="2730" operator="equal">
      <formula>"PTO"</formula>
    </cfRule>
  </conditionalFormatting>
  <conditionalFormatting sqref="V29">
    <cfRule type="cellIs" dxfId="16572" priority="2727" operator="equal">
      <formula>"OFF"</formula>
    </cfRule>
    <cfRule type="cellIs" dxfId="16571" priority="2728" operator="equal">
      <formula>"PTO"</formula>
    </cfRule>
  </conditionalFormatting>
  <conditionalFormatting sqref="V29">
    <cfRule type="cellIs" dxfId="16570" priority="2725" operator="equal">
      <formula>"OFF"</formula>
    </cfRule>
    <cfRule type="cellIs" dxfId="16569" priority="2726" operator="equal">
      <formula>"PTO"</formula>
    </cfRule>
  </conditionalFormatting>
  <conditionalFormatting sqref="V29">
    <cfRule type="cellIs" dxfId="16568" priority="2723" operator="equal">
      <formula>"OFF"</formula>
    </cfRule>
    <cfRule type="cellIs" dxfId="16567" priority="2724" operator="equal">
      <formula>"PTO"</formula>
    </cfRule>
  </conditionalFormatting>
  <conditionalFormatting sqref="V29">
    <cfRule type="cellIs" dxfId="16566" priority="2721" operator="equal">
      <formula>"OFF"</formula>
    </cfRule>
    <cfRule type="cellIs" dxfId="16565" priority="2722" operator="equal">
      <formula>"PTO"</formula>
    </cfRule>
  </conditionalFormatting>
  <conditionalFormatting sqref="V29">
    <cfRule type="cellIs" dxfId="16564" priority="2719" operator="equal">
      <formula>"OFF"</formula>
    </cfRule>
    <cfRule type="cellIs" dxfId="16563" priority="2720" operator="equal">
      <formula>"PTO"</formula>
    </cfRule>
  </conditionalFormatting>
  <conditionalFormatting sqref="V29">
    <cfRule type="cellIs" dxfId="16562" priority="2717" operator="equal">
      <formula>"OFF"</formula>
    </cfRule>
    <cfRule type="cellIs" dxfId="16561" priority="2718" operator="equal">
      <formula>"PTO"</formula>
    </cfRule>
  </conditionalFormatting>
  <conditionalFormatting sqref="V29">
    <cfRule type="cellIs" dxfId="16560" priority="2715" operator="equal">
      <formula>"OFF"</formula>
    </cfRule>
    <cfRule type="cellIs" dxfId="16559" priority="2716" operator="equal">
      <formula>"PTO"</formula>
    </cfRule>
  </conditionalFormatting>
  <conditionalFormatting sqref="V29">
    <cfRule type="cellIs" dxfId="16558" priority="2713" operator="equal">
      <formula>"OFF"</formula>
    </cfRule>
    <cfRule type="cellIs" dxfId="16557" priority="2714" operator="equal">
      <formula>"PTO"</formula>
    </cfRule>
  </conditionalFormatting>
  <conditionalFormatting sqref="V29">
    <cfRule type="cellIs" dxfId="16556" priority="2711" operator="equal">
      <formula>"OFF"</formula>
    </cfRule>
    <cfRule type="cellIs" dxfId="16555" priority="2712" operator="equal">
      <formula>"PTO"</formula>
    </cfRule>
  </conditionalFormatting>
  <conditionalFormatting sqref="V29">
    <cfRule type="cellIs" dxfId="16554" priority="2709" operator="equal">
      <formula>"OFF"</formula>
    </cfRule>
    <cfRule type="cellIs" dxfId="16553" priority="2710" operator="equal">
      <formula>"PTO"</formula>
    </cfRule>
  </conditionalFormatting>
  <conditionalFormatting sqref="V29">
    <cfRule type="cellIs" dxfId="16552" priority="2707" operator="equal">
      <formula>"OFF"</formula>
    </cfRule>
    <cfRule type="cellIs" dxfId="16551" priority="2708" operator="equal">
      <formula>"PTO"</formula>
    </cfRule>
  </conditionalFormatting>
  <conditionalFormatting sqref="V29">
    <cfRule type="cellIs" dxfId="16550" priority="2705" operator="equal">
      <formula>"OFF"</formula>
    </cfRule>
    <cfRule type="cellIs" dxfId="16549" priority="2706" operator="equal">
      <formula>"PTO"</formula>
    </cfRule>
  </conditionalFormatting>
  <conditionalFormatting sqref="V29">
    <cfRule type="cellIs" dxfId="16548" priority="2703" operator="equal">
      <formula>"OFF"</formula>
    </cfRule>
    <cfRule type="cellIs" dxfId="16547" priority="2704" operator="equal">
      <formula>"PTO"</formula>
    </cfRule>
  </conditionalFormatting>
  <conditionalFormatting sqref="V29">
    <cfRule type="cellIs" dxfId="16546" priority="2701" operator="equal">
      <formula>"OFF"</formula>
    </cfRule>
    <cfRule type="cellIs" dxfId="16545" priority="2702" operator="equal">
      <formula>"PTO"</formula>
    </cfRule>
  </conditionalFormatting>
  <conditionalFormatting sqref="V29">
    <cfRule type="cellIs" dxfId="16544" priority="2699" operator="equal">
      <formula>"OFF"</formula>
    </cfRule>
    <cfRule type="cellIs" dxfId="16543" priority="2700" operator="equal">
      <formula>"PTO"</formula>
    </cfRule>
  </conditionalFormatting>
  <conditionalFormatting sqref="V29">
    <cfRule type="cellIs" dxfId="16542" priority="2697" operator="equal">
      <formula>"OFF"</formula>
    </cfRule>
    <cfRule type="cellIs" dxfId="16541" priority="2698" operator="equal">
      <formula>"PTO"</formula>
    </cfRule>
  </conditionalFormatting>
  <conditionalFormatting sqref="V29">
    <cfRule type="cellIs" dxfId="16540" priority="2695" operator="equal">
      <formula>"OFF"</formula>
    </cfRule>
    <cfRule type="cellIs" dxfId="16539" priority="2696" operator="equal">
      <formula>"PTO"</formula>
    </cfRule>
  </conditionalFormatting>
  <conditionalFormatting sqref="V29">
    <cfRule type="cellIs" dxfId="16538" priority="2693" operator="equal">
      <formula>"OFF"</formula>
    </cfRule>
    <cfRule type="cellIs" dxfId="16537" priority="2694" operator="equal">
      <formula>"PTO"</formula>
    </cfRule>
  </conditionalFormatting>
  <conditionalFormatting sqref="V29">
    <cfRule type="cellIs" dxfId="16536" priority="2691" operator="equal">
      <formula>"OFF"</formula>
    </cfRule>
    <cfRule type="cellIs" dxfId="16535" priority="2692" operator="equal">
      <formula>"PTO"</formula>
    </cfRule>
  </conditionalFormatting>
  <conditionalFormatting sqref="V29">
    <cfRule type="cellIs" dxfId="16534" priority="2689" operator="equal">
      <formula>"OFF"</formula>
    </cfRule>
    <cfRule type="cellIs" dxfId="16533" priority="2690" operator="equal">
      <formula>"PTO"</formula>
    </cfRule>
  </conditionalFormatting>
  <conditionalFormatting sqref="V29">
    <cfRule type="cellIs" dxfId="16532" priority="2687" operator="equal">
      <formula>"OFF"</formula>
    </cfRule>
    <cfRule type="cellIs" dxfId="16531" priority="2688" operator="equal">
      <formula>"PTO"</formula>
    </cfRule>
  </conditionalFormatting>
  <conditionalFormatting sqref="V29">
    <cfRule type="cellIs" dxfId="16530" priority="2685" operator="equal">
      <formula>"OFF"</formula>
    </cfRule>
    <cfRule type="cellIs" dxfId="16529" priority="2686" operator="equal">
      <formula>"PTO"</formula>
    </cfRule>
  </conditionalFormatting>
  <conditionalFormatting sqref="V29">
    <cfRule type="cellIs" dxfId="16528" priority="2683" operator="equal">
      <formula>"OFF"</formula>
    </cfRule>
    <cfRule type="cellIs" dxfId="16527" priority="2684" operator="equal">
      <formula>"PTO"</formula>
    </cfRule>
  </conditionalFormatting>
  <conditionalFormatting sqref="V29">
    <cfRule type="cellIs" dxfId="16526" priority="2681" operator="equal">
      <formula>"OFF"</formula>
    </cfRule>
    <cfRule type="cellIs" dxfId="16525" priority="2682" operator="equal">
      <formula>"PTO"</formula>
    </cfRule>
  </conditionalFormatting>
  <conditionalFormatting sqref="V29">
    <cfRule type="cellIs" dxfId="16524" priority="2679" operator="equal">
      <formula>"OFF"</formula>
    </cfRule>
    <cfRule type="cellIs" dxfId="16523" priority="2680" operator="equal">
      <formula>"PTO"</formula>
    </cfRule>
  </conditionalFormatting>
  <conditionalFormatting sqref="V30">
    <cfRule type="cellIs" dxfId="16522" priority="2677" operator="equal">
      <formula>"OFF"</formula>
    </cfRule>
    <cfRule type="cellIs" dxfId="16521" priority="2678" operator="equal">
      <formula>"PTO"</formula>
    </cfRule>
  </conditionalFormatting>
  <conditionalFormatting sqref="V30">
    <cfRule type="cellIs" dxfId="16520" priority="2675" operator="equal">
      <formula>"OFF"</formula>
    </cfRule>
    <cfRule type="cellIs" dxfId="16519" priority="2676" operator="equal">
      <formula>"PTO"</formula>
    </cfRule>
  </conditionalFormatting>
  <conditionalFormatting sqref="V30">
    <cfRule type="cellIs" dxfId="16518" priority="2673" operator="equal">
      <formula>"OFF"</formula>
    </cfRule>
    <cfRule type="cellIs" dxfId="16517" priority="2674" operator="equal">
      <formula>"PTO"</formula>
    </cfRule>
  </conditionalFormatting>
  <conditionalFormatting sqref="V30">
    <cfRule type="cellIs" dxfId="16516" priority="2671" operator="equal">
      <formula>"OFF"</formula>
    </cfRule>
    <cfRule type="cellIs" dxfId="16515" priority="2672" operator="equal">
      <formula>"PTO"</formula>
    </cfRule>
  </conditionalFormatting>
  <conditionalFormatting sqref="V30">
    <cfRule type="cellIs" dxfId="16514" priority="2669" operator="equal">
      <formula>"OFF"</formula>
    </cfRule>
    <cfRule type="cellIs" dxfId="16513" priority="2670" operator="equal">
      <formula>"PTO"</formula>
    </cfRule>
  </conditionalFormatting>
  <conditionalFormatting sqref="V30">
    <cfRule type="cellIs" dxfId="16512" priority="2667" operator="equal">
      <formula>"OFF"</formula>
    </cfRule>
    <cfRule type="cellIs" dxfId="16511" priority="2668" operator="equal">
      <formula>"PTO"</formula>
    </cfRule>
  </conditionalFormatting>
  <conditionalFormatting sqref="V30">
    <cfRule type="cellIs" dxfId="16510" priority="2665" operator="equal">
      <formula>"OFF"</formula>
    </cfRule>
    <cfRule type="cellIs" dxfId="16509" priority="2666" operator="equal">
      <formula>"PTO"</formula>
    </cfRule>
  </conditionalFormatting>
  <conditionalFormatting sqref="V30">
    <cfRule type="cellIs" dxfId="16508" priority="2663" operator="equal">
      <formula>"OFF"</formula>
    </cfRule>
    <cfRule type="cellIs" dxfId="16507" priority="2664" operator="equal">
      <formula>"PTO"</formula>
    </cfRule>
  </conditionalFormatting>
  <conditionalFormatting sqref="V30">
    <cfRule type="cellIs" dxfId="16506" priority="2661" operator="equal">
      <formula>"OFF"</formula>
    </cfRule>
    <cfRule type="cellIs" dxfId="16505" priority="2662" operator="equal">
      <formula>"PTO"</formula>
    </cfRule>
  </conditionalFormatting>
  <conditionalFormatting sqref="V30">
    <cfRule type="cellIs" dxfId="16504" priority="2659" operator="equal">
      <formula>"OFF"</formula>
    </cfRule>
    <cfRule type="cellIs" dxfId="16503" priority="2660" operator="equal">
      <formula>"PTO"</formula>
    </cfRule>
  </conditionalFormatting>
  <conditionalFormatting sqref="V30">
    <cfRule type="cellIs" dxfId="16502" priority="2657" operator="equal">
      <formula>"OFF"</formula>
    </cfRule>
    <cfRule type="cellIs" dxfId="16501" priority="2658" operator="equal">
      <formula>"PTO"</formula>
    </cfRule>
  </conditionalFormatting>
  <conditionalFormatting sqref="V30">
    <cfRule type="cellIs" dxfId="16500" priority="2655" operator="equal">
      <formula>"OFF"</formula>
    </cfRule>
    <cfRule type="cellIs" dxfId="16499" priority="2656" operator="equal">
      <formula>"PTO"</formula>
    </cfRule>
  </conditionalFormatting>
  <conditionalFormatting sqref="V30">
    <cfRule type="cellIs" dxfId="16498" priority="2653" operator="equal">
      <formula>"OFF"</formula>
    </cfRule>
    <cfRule type="cellIs" dxfId="16497" priority="2654" operator="equal">
      <formula>"PTO"</formula>
    </cfRule>
  </conditionalFormatting>
  <conditionalFormatting sqref="V30">
    <cfRule type="cellIs" dxfId="16496" priority="2651" operator="equal">
      <formula>"OFF"</formula>
    </cfRule>
    <cfRule type="cellIs" dxfId="16495" priority="2652" operator="equal">
      <formula>"PTO"</formula>
    </cfRule>
  </conditionalFormatting>
  <conditionalFormatting sqref="V30">
    <cfRule type="cellIs" dxfId="16494" priority="2649" operator="equal">
      <formula>"OFF"</formula>
    </cfRule>
    <cfRule type="cellIs" dxfId="16493" priority="2650" operator="equal">
      <formula>"PTO"</formula>
    </cfRule>
  </conditionalFormatting>
  <conditionalFormatting sqref="V30">
    <cfRule type="cellIs" dxfId="16492" priority="2647" operator="equal">
      <formula>"OFF"</formula>
    </cfRule>
    <cfRule type="cellIs" dxfId="16491" priority="2648" operator="equal">
      <formula>"PTO"</formula>
    </cfRule>
  </conditionalFormatting>
  <conditionalFormatting sqref="V30">
    <cfRule type="cellIs" dxfId="16490" priority="2645" operator="equal">
      <formula>"OFF"</formula>
    </cfRule>
    <cfRule type="cellIs" dxfId="16489" priority="2646" operator="equal">
      <formula>"PTO"</formula>
    </cfRule>
  </conditionalFormatting>
  <conditionalFormatting sqref="V30">
    <cfRule type="cellIs" dxfId="16488" priority="2643" operator="equal">
      <formula>"OFF"</formula>
    </cfRule>
    <cfRule type="cellIs" dxfId="16487" priority="2644" operator="equal">
      <formula>"PTO"</formula>
    </cfRule>
  </conditionalFormatting>
  <conditionalFormatting sqref="V30">
    <cfRule type="cellIs" dxfId="16486" priority="2641" operator="equal">
      <formula>"OFF"</formula>
    </cfRule>
    <cfRule type="cellIs" dxfId="16485" priority="2642" operator="equal">
      <formula>"PTO"</formula>
    </cfRule>
  </conditionalFormatting>
  <conditionalFormatting sqref="V30">
    <cfRule type="cellIs" dxfId="16484" priority="2639" operator="equal">
      <formula>"OFF"</formula>
    </cfRule>
    <cfRule type="cellIs" dxfId="16483" priority="2640" operator="equal">
      <formula>"PTO"</formula>
    </cfRule>
  </conditionalFormatting>
  <conditionalFormatting sqref="V30">
    <cfRule type="cellIs" dxfId="16482" priority="2637" operator="equal">
      <formula>"OFF"</formula>
    </cfRule>
    <cfRule type="cellIs" dxfId="16481" priority="2638" operator="equal">
      <formula>"PTO"</formula>
    </cfRule>
  </conditionalFormatting>
  <conditionalFormatting sqref="V30">
    <cfRule type="cellIs" dxfId="16480" priority="2635" operator="equal">
      <formula>"OFF"</formula>
    </cfRule>
    <cfRule type="cellIs" dxfId="16479" priority="2636" operator="equal">
      <formula>"PTO"</formula>
    </cfRule>
  </conditionalFormatting>
  <conditionalFormatting sqref="V30">
    <cfRule type="cellIs" dxfId="16478" priority="2633" operator="equal">
      <formula>"OFF"</formula>
    </cfRule>
    <cfRule type="cellIs" dxfId="16477" priority="2634" operator="equal">
      <formula>"PTO"</formula>
    </cfRule>
  </conditionalFormatting>
  <conditionalFormatting sqref="V30">
    <cfRule type="cellIs" dxfId="16476" priority="2631" operator="equal">
      <formula>"OFF"</formula>
    </cfRule>
    <cfRule type="cellIs" dxfId="16475" priority="2632" operator="equal">
      <formula>"PTO"</formula>
    </cfRule>
  </conditionalFormatting>
  <conditionalFormatting sqref="V30">
    <cfRule type="cellIs" dxfId="16474" priority="2629" operator="equal">
      <formula>"OFF"</formula>
    </cfRule>
    <cfRule type="cellIs" dxfId="16473" priority="2630" operator="equal">
      <formula>"PTO"</formula>
    </cfRule>
  </conditionalFormatting>
  <conditionalFormatting sqref="V30">
    <cfRule type="cellIs" dxfId="16472" priority="2627" operator="equal">
      <formula>"OFF"</formula>
    </cfRule>
    <cfRule type="cellIs" dxfId="16471" priority="2628" operator="equal">
      <formula>"PTO"</formula>
    </cfRule>
  </conditionalFormatting>
  <conditionalFormatting sqref="V30">
    <cfRule type="cellIs" dxfId="16470" priority="2625" operator="equal">
      <formula>"OFF"</formula>
    </cfRule>
    <cfRule type="cellIs" dxfId="16469" priority="2626" operator="equal">
      <formula>"PTO"</formula>
    </cfRule>
  </conditionalFormatting>
  <conditionalFormatting sqref="V30">
    <cfRule type="cellIs" dxfId="16468" priority="2623" operator="equal">
      <formula>"OFF"</formula>
    </cfRule>
    <cfRule type="cellIs" dxfId="16467" priority="2624" operator="equal">
      <formula>"PTO"</formula>
    </cfRule>
  </conditionalFormatting>
  <conditionalFormatting sqref="V30">
    <cfRule type="cellIs" dxfId="16466" priority="2621" operator="equal">
      <formula>"OFF"</formula>
    </cfRule>
    <cfRule type="cellIs" dxfId="16465" priority="2622" operator="equal">
      <formula>"PTO"</formula>
    </cfRule>
  </conditionalFormatting>
  <conditionalFormatting sqref="V30">
    <cfRule type="cellIs" dxfId="16464" priority="2619" operator="equal">
      <formula>"OFF"</formula>
    </cfRule>
    <cfRule type="cellIs" dxfId="16463" priority="2620" operator="equal">
      <formula>"PTO"</formula>
    </cfRule>
  </conditionalFormatting>
  <conditionalFormatting sqref="V30">
    <cfRule type="cellIs" dxfId="16462" priority="2617" operator="equal">
      <formula>"OFF"</formula>
    </cfRule>
    <cfRule type="cellIs" dxfId="16461" priority="2618" operator="equal">
      <formula>"PTO"</formula>
    </cfRule>
  </conditionalFormatting>
  <conditionalFormatting sqref="V30">
    <cfRule type="cellIs" dxfId="16460" priority="2615" operator="equal">
      <formula>"OFF"</formula>
    </cfRule>
    <cfRule type="cellIs" dxfId="16459" priority="2616" operator="equal">
      <formula>"PTO"</formula>
    </cfRule>
  </conditionalFormatting>
  <conditionalFormatting sqref="V30">
    <cfRule type="cellIs" dxfId="16458" priority="2613" operator="equal">
      <formula>"OFF"</formula>
    </cfRule>
    <cfRule type="cellIs" dxfId="16457" priority="2614" operator="equal">
      <formula>"PTO"</formula>
    </cfRule>
  </conditionalFormatting>
  <conditionalFormatting sqref="V30">
    <cfRule type="cellIs" dxfId="16456" priority="2611" operator="equal">
      <formula>"OFF"</formula>
    </cfRule>
    <cfRule type="cellIs" dxfId="16455" priority="2612" operator="equal">
      <formula>"PTO"</formula>
    </cfRule>
  </conditionalFormatting>
  <conditionalFormatting sqref="V30">
    <cfRule type="cellIs" dxfId="16454" priority="2609" operator="equal">
      <formula>"OFF"</formula>
    </cfRule>
    <cfRule type="cellIs" dxfId="16453" priority="2610" operator="equal">
      <formula>"PTO"</formula>
    </cfRule>
  </conditionalFormatting>
  <conditionalFormatting sqref="V30">
    <cfRule type="cellIs" dxfId="16452" priority="2607" operator="equal">
      <formula>"OFF"</formula>
    </cfRule>
    <cfRule type="cellIs" dxfId="16451" priority="2608" operator="equal">
      <formula>"PTO"</formula>
    </cfRule>
  </conditionalFormatting>
  <conditionalFormatting sqref="V30">
    <cfRule type="cellIs" dxfId="16450" priority="2605" operator="equal">
      <formula>"OFF"</formula>
    </cfRule>
    <cfRule type="cellIs" dxfId="16449" priority="2606" operator="equal">
      <formula>"PTO"</formula>
    </cfRule>
  </conditionalFormatting>
  <conditionalFormatting sqref="V30">
    <cfRule type="cellIs" dxfId="16448" priority="2603" operator="equal">
      <formula>"OFF"</formula>
    </cfRule>
    <cfRule type="cellIs" dxfId="16447" priority="2604" operator="equal">
      <formula>"PTO"</formula>
    </cfRule>
  </conditionalFormatting>
  <conditionalFormatting sqref="V30">
    <cfRule type="cellIs" dxfId="16446" priority="2601" operator="equal">
      <formula>"OFF"</formula>
    </cfRule>
    <cfRule type="cellIs" dxfId="16445" priority="2602" operator="equal">
      <formula>"PTO"</formula>
    </cfRule>
  </conditionalFormatting>
  <conditionalFormatting sqref="V30">
    <cfRule type="cellIs" dxfId="16444" priority="2599" operator="equal">
      <formula>"OFF"</formula>
    </cfRule>
    <cfRule type="cellIs" dxfId="16443" priority="2600" operator="equal">
      <formula>"PTO"</formula>
    </cfRule>
  </conditionalFormatting>
  <conditionalFormatting sqref="V30">
    <cfRule type="cellIs" dxfId="16442" priority="2597" operator="equal">
      <formula>"OFF"</formula>
    </cfRule>
    <cfRule type="cellIs" dxfId="16441" priority="2598" operator="equal">
      <formula>"PTO"</formula>
    </cfRule>
  </conditionalFormatting>
  <conditionalFormatting sqref="V30">
    <cfRule type="cellIs" dxfId="16440" priority="2595" operator="equal">
      <formula>"OFF"</formula>
    </cfRule>
    <cfRule type="cellIs" dxfId="16439" priority="2596" operator="equal">
      <formula>"PTO"</formula>
    </cfRule>
  </conditionalFormatting>
  <conditionalFormatting sqref="V30">
    <cfRule type="cellIs" dxfId="16438" priority="2593" operator="equal">
      <formula>"OFF"</formula>
    </cfRule>
    <cfRule type="cellIs" dxfId="16437" priority="2594" operator="equal">
      <formula>"PTO"</formula>
    </cfRule>
  </conditionalFormatting>
  <conditionalFormatting sqref="V30">
    <cfRule type="cellIs" dxfId="16436" priority="2591" operator="equal">
      <formula>"OFF"</formula>
    </cfRule>
    <cfRule type="cellIs" dxfId="16435" priority="2592" operator="equal">
      <formula>"PTO"</formula>
    </cfRule>
  </conditionalFormatting>
  <conditionalFormatting sqref="V30">
    <cfRule type="cellIs" dxfId="16434" priority="2589" operator="equal">
      <formula>"OFF"</formula>
    </cfRule>
    <cfRule type="cellIs" dxfId="16433" priority="2590" operator="equal">
      <formula>"PTO"</formula>
    </cfRule>
  </conditionalFormatting>
  <conditionalFormatting sqref="V30">
    <cfRule type="cellIs" dxfId="16432" priority="2587" operator="equal">
      <formula>"OFF"</formula>
    </cfRule>
    <cfRule type="cellIs" dxfId="16431" priority="2588" operator="equal">
      <formula>"PTO"</formula>
    </cfRule>
  </conditionalFormatting>
  <conditionalFormatting sqref="V30">
    <cfRule type="cellIs" dxfId="16430" priority="2585" operator="equal">
      <formula>"OFF"</formula>
    </cfRule>
    <cfRule type="cellIs" dxfId="16429" priority="2586" operator="equal">
      <formula>"PTO"</formula>
    </cfRule>
  </conditionalFormatting>
  <conditionalFormatting sqref="V30">
    <cfRule type="cellIs" dxfId="16428" priority="2583" operator="equal">
      <formula>"OFF"</formula>
    </cfRule>
    <cfRule type="cellIs" dxfId="16427" priority="2584" operator="equal">
      <formula>"PTO"</formula>
    </cfRule>
  </conditionalFormatting>
  <conditionalFormatting sqref="V30">
    <cfRule type="cellIs" dxfId="16426" priority="2581" operator="equal">
      <formula>"OFF"</formula>
    </cfRule>
    <cfRule type="cellIs" dxfId="16425" priority="2582" operator="equal">
      <formula>"PTO"</formula>
    </cfRule>
  </conditionalFormatting>
  <conditionalFormatting sqref="V30">
    <cfRule type="cellIs" dxfId="16424" priority="2579" operator="equal">
      <formula>"OFF"</formula>
    </cfRule>
    <cfRule type="cellIs" dxfId="16423" priority="2580" operator="equal">
      <formula>"PTO"</formula>
    </cfRule>
  </conditionalFormatting>
  <conditionalFormatting sqref="V30">
    <cfRule type="cellIs" dxfId="16422" priority="2577" operator="equal">
      <formula>"OFF"</formula>
    </cfRule>
    <cfRule type="cellIs" dxfId="16421" priority="2578" operator="equal">
      <formula>"PTO"</formula>
    </cfRule>
  </conditionalFormatting>
  <conditionalFormatting sqref="V30">
    <cfRule type="cellIs" dxfId="16420" priority="2575" operator="equal">
      <formula>"OFF"</formula>
    </cfRule>
    <cfRule type="cellIs" dxfId="16419" priority="2576" operator="equal">
      <formula>"PTO"</formula>
    </cfRule>
  </conditionalFormatting>
  <conditionalFormatting sqref="V30">
    <cfRule type="cellIs" dxfId="16418" priority="2573" operator="equal">
      <formula>"OFF"</formula>
    </cfRule>
    <cfRule type="cellIs" dxfId="16417" priority="2574" operator="equal">
      <formula>"PTO"</formula>
    </cfRule>
  </conditionalFormatting>
  <conditionalFormatting sqref="V30">
    <cfRule type="cellIs" dxfId="16416" priority="2571" operator="equal">
      <formula>"OFF"</formula>
    </cfRule>
    <cfRule type="cellIs" dxfId="16415" priority="2572" operator="equal">
      <formula>"PTO"</formula>
    </cfRule>
  </conditionalFormatting>
  <conditionalFormatting sqref="V30">
    <cfRule type="cellIs" dxfId="16414" priority="2569" operator="equal">
      <formula>"OFF"</formula>
    </cfRule>
    <cfRule type="cellIs" dxfId="16413" priority="2570" operator="equal">
      <formula>"PTO"</formula>
    </cfRule>
  </conditionalFormatting>
  <conditionalFormatting sqref="V30">
    <cfRule type="cellIs" dxfId="16412" priority="2567" operator="equal">
      <formula>"OFF"</formula>
    </cfRule>
    <cfRule type="cellIs" dxfId="16411" priority="2568" operator="equal">
      <formula>"PTO"</formula>
    </cfRule>
  </conditionalFormatting>
  <conditionalFormatting sqref="V30">
    <cfRule type="cellIs" dxfId="16410" priority="2565" operator="equal">
      <formula>"OFF"</formula>
    </cfRule>
    <cfRule type="cellIs" dxfId="16409" priority="2566" operator="equal">
      <formula>"PTO"</formula>
    </cfRule>
  </conditionalFormatting>
  <conditionalFormatting sqref="V30">
    <cfRule type="cellIs" dxfId="16408" priority="2563" operator="equal">
      <formula>"OFF"</formula>
    </cfRule>
    <cfRule type="cellIs" dxfId="16407" priority="2564" operator="equal">
      <formula>"PTO"</formula>
    </cfRule>
  </conditionalFormatting>
  <conditionalFormatting sqref="V30">
    <cfRule type="cellIs" dxfId="16406" priority="2561" operator="equal">
      <formula>"OFF"</formula>
    </cfRule>
    <cfRule type="cellIs" dxfId="16405" priority="2562" operator="equal">
      <formula>"PTO"</formula>
    </cfRule>
  </conditionalFormatting>
  <conditionalFormatting sqref="V30">
    <cfRule type="cellIs" dxfId="16404" priority="2559" operator="equal">
      <formula>"OFF"</formula>
    </cfRule>
    <cfRule type="cellIs" dxfId="16403" priority="2560" operator="equal">
      <formula>"PTO"</formula>
    </cfRule>
  </conditionalFormatting>
  <conditionalFormatting sqref="V30">
    <cfRule type="cellIs" dxfId="16402" priority="2557" operator="equal">
      <formula>"OFF"</formula>
    </cfRule>
    <cfRule type="cellIs" dxfId="16401" priority="2558" operator="equal">
      <formula>"PTO"</formula>
    </cfRule>
  </conditionalFormatting>
  <conditionalFormatting sqref="V30">
    <cfRule type="cellIs" dxfId="16400" priority="2555" operator="equal">
      <formula>"OFF"</formula>
    </cfRule>
    <cfRule type="cellIs" dxfId="16399" priority="2556" operator="equal">
      <formula>"PTO"</formula>
    </cfRule>
  </conditionalFormatting>
  <conditionalFormatting sqref="V30">
    <cfRule type="cellIs" dxfId="16398" priority="2553" operator="equal">
      <formula>"OFF"</formula>
    </cfRule>
    <cfRule type="cellIs" dxfId="16397" priority="2554" operator="equal">
      <formula>"PTO"</formula>
    </cfRule>
  </conditionalFormatting>
  <conditionalFormatting sqref="V30">
    <cfRule type="cellIs" dxfId="16396" priority="2551" operator="equal">
      <formula>"OFF"</formula>
    </cfRule>
    <cfRule type="cellIs" dxfId="16395" priority="2552" operator="equal">
      <formula>"PTO"</formula>
    </cfRule>
  </conditionalFormatting>
  <conditionalFormatting sqref="V30">
    <cfRule type="cellIs" dxfId="16394" priority="2549" operator="equal">
      <formula>"OFF"</formula>
    </cfRule>
    <cfRule type="cellIs" dxfId="16393" priority="2550" operator="equal">
      <formula>"PTO"</formula>
    </cfRule>
  </conditionalFormatting>
  <conditionalFormatting sqref="V30">
    <cfRule type="cellIs" dxfId="16392" priority="2547" operator="equal">
      <formula>"OFF"</formula>
    </cfRule>
    <cfRule type="cellIs" dxfId="16391" priority="2548" operator="equal">
      <formula>"PTO"</formula>
    </cfRule>
  </conditionalFormatting>
  <conditionalFormatting sqref="V30">
    <cfRule type="cellIs" dxfId="16390" priority="2545" operator="equal">
      <formula>"OFF"</formula>
    </cfRule>
    <cfRule type="cellIs" dxfId="16389" priority="2546" operator="equal">
      <formula>"PTO"</formula>
    </cfRule>
  </conditionalFormatting>
  <conditionalFormatting sqref="V30">
    <cfRule type="cellIs" dxfId="16388" priority="2543" operator="equal">
      <formula>"OFF"</formula>
    </cfRule>
    <cfRule type="cellIs" dxfId="16387" priority="2544" operator="equal">
      <formula>"PTO"</formula>
    </cfRule>
  </conditionalFormatting>
  <conditionalFormatting sqref="V30">
    <cfRule type="cellIs" dxfId="16386" priority="2541" operator="equal">
      <formula>"OFF"</formula>
    </cfRule>
    <cfRule type="cellIs" dxfId="16385" priority="2542" operator="equal">
      <formula>"PTO"</formula>
    </cfRule>
  </conditionalFormatting>
  <conditionalFormatting sqref="V30">
    <cfRule type="cellIs" dxfId="16384" priority="2539" operator="equal">
      <formula>"OFF"</formula>
    </cfRule>
    <cfRule type="cellIs" dxfId="16383" priority="2540" operator="equal">
      <formula>"PTO"</formula>
    </cfRule>
  </conditionalFormatting>
  <conditionalFormatting sqref="V30">
    <cfRule type="cellIs" dxfId="16382" priority="2537" operator="equal">
      <formula>"OFF"</formula>
    </cfRule>
    <cfRule type="cellIs" dxfId="16381" priority="2538" operator="equal">
      <formula>"PTO"</formula>
    </cfRule>
  </conditionalFormatting>
  <conditionalFormatting sqref="V30">
    <cfRule type="cellIs" dxfId="16380" priority="2535" operator="equal">
      <formula>"OFF"</formula>
    </cfRule>
    <cfRule type="cellIs" dxfId="16379" priority="2536" operator="equal">
      <formula>"PTO"</formula>
    </cfRule>
  </conditionalFormatting>
  <conditionalFormatting sqref="V30">
    <cfRule type="cellIs" dxfId="16378" priority="2533" operator="equal">
      <formula>"OFF"</formula>
    </cfRule>
    <cfRule type="cellIs" dxfId="16377" priority="2534" operator="equal">
      <formula>"PTO"</formula>
    </cfRule>
  </conditionalFormatting>
  <conditionalFormatting sqref="V30">
    <cfRule type="cellIs" dxfId="16376" priority="2531" operator="equal">
      <formula>"OFF"</formula>
    </cfRule>
    <cfRule type="cellIs" dxfId="16375" priority="2532" operator="equal">
      <formula>"PTO"</formula>
    </cfRule>
  </conditionalFormatting>
  <conditionalFormatting sqref="V30">
    <cfRule type="cellIs" dxfId="16374" priority="2529" operator="equal">
      <formula>"OFF"</formula>
    </cfRule>
    <cfRule type="cellIs" dxfId="16373" priority="2530" operator="equal">
      <formula>"PTO"</formula>
    </cfRule>
  </conditionalFormatting>
  <conditionalFormatting sqref="V30">
    <cfRule type="cellIs" dxfId="16372" priority="2527" operator="equal">
      <formula>"OFF"</formula>
    </cfRule>
    <cfRule type="cellIs" dxfId="16371" priority="2528" operator="equal">
      <formula>"PTO"</formula>
    </cfRule>
  </conditionalFormatting>
  <conditionalFormatting sqref="V30">
    <cfRule type="cellIs" dxfId="16370" priority="2525" operator="equal">
      <formula>"OFF"</formula>
    </cfRule>
    <cfRule type="cellIs" dxfId="16369" priority="2526" operator="equal">
      <formula>"PTO"</formula>
    </cfRule>
  </conditionalFormatting>
  <conditionalFormatting sqref="V30">
    <cfRule type="cellIs" dxfId="16368" priority="2523" operator="equal">
      <formula>"OFF"</formula>
    </cfRule>
    <cfRule type="cellIs" dxfId="16367" priority="2524" operator="equal">
      <formula>"PTO"</formula>
    </cfRule>
  </conditionalFormatting>
  <conditionalFormatting sqref="V30">
    <cfRule type="cellIs" dxfId="16366" priority="2521" operator="equal">
      <formula>"OFF"</formula>
    </cfRule>
    <cfRule type="cellIs" dxfId="16365" priority="2522" operator="equal">
      <formula>"PTO"</formula>
    </cfRule>
  </conditionalFormatting>
  <conditionalFormatting sqref="V30">
    <cfRule type="cellIs" dxfId="16364" priority="2519" operator="equal">
      <formula>"OFF"</formula>
    </cfRule>
    <cfRule type="cellIs" dxfId="16363" priority="2520" operator="equal">
      <formula>"PTO"</formula>
    </cfRule>
  </conditionalFormatting>
  <conditionalFormatting sqref="V30">
    <cfRule type="cellIs" dxfId="16362" priority="2517" operator="equal">
      <formula>"OFF"</formula>
    </cfRule>
    <cfRule type="cellIs" dxfId="16361" priority="2518" operator="equal">
      <formula>"PTO"</formula>
    </cfRule>
  </conditionalFormatting>
  <conditionalFormatting sqref="V30">
    <cfRule type="cellIs" dxfId="16360" priority="2515" operator="equal">
      <formula>"OFF"</formula>
    </cfRule>
    <cfRule type="cellIs" dxfId="16359" priority="2516" operator="equal">
      <formula>"PTO"</formula>
    </cfRule>
  </conditionalFormatting>
  <conditionalFormatting sqref="V30">
    <cfRule type="cellIs" dxfId="16358" priority="2513" operator="equal">
      <formula>"OFF"</formula>
    </cfRule>
    <cfRule type="cellIs" dxfId="16357" priority="2514" operator="equal">
      <formula>"PTO"</formula>
    </cfRule>
  </conditionalFormatting>
  <conditionalFormatting sqref="V30">
    <cfRule type="cellIs" dxfId="16356" priority="2511" operator="equal">
      <formula>"OFF"</formula>
    </cfRule>
    <cfRule type="cellIs" dxfId="16355" priority="2512" operator="equal">
      <formula>"PTO"</formula>
    </cfRule>
  </conditionalFormatting>
  <conditionalFormatting sqref="V30">
    <cfRule type="cellIs" dxfId="16354" priority="2509" operator="equal">
      <formula>"OFF"</formula>
    </cfRule>
    <cfRule type="cellIs" dxfId="16353" priority="2510" operator="equal">
      <formula>"PTO"</formula>
    </cfRule>
  </conditionalFormatting>
  <conditionalFormatting sqref="V30">
    <cfRule type="cellIs" dxfId="16352" priority="2507" operator="equal">
      <formula>"OFF"</formula>
    </cfRule>
    <cfRule type="cellIs" dxfId="16351" priority="2508" operator="equal">
      <formula>"PTO"</formula>
    </cfRule>
  </conditionalFormatting>
  <conditionalFormatting sqref="V30">
    <cfRule type="cellIs" dxfId="16350" priority="2505" operator="equal">
      <formula>"OFF"</formula>
    </cfRule>
    <cfRule type="cellIs" dxfId="16349" priority="2506" operator="equal">
      <formula>"PTO"</formula>
    </cfRule>
  </conditionalFormatting>
  <conditionalFormatting sqref="V30">
    <cfRule type="cellIs" dxfId="16348" priority="2503" operator="equal">
      <formula>"OFF"</formula>
    </cfRule>
    <cfRule type="cellIs" dxfId="16347" priority="2504" operator="equal">
      <formula>"PTO"</formula>
    </cfRule>
  </conditionalFormatting>
  <conditionalFormatting sqref="V26">
    <cfRule type="cellIs" dxfId="16346" priority="2501" operator="equal">
      <formula>"OFF"</formula>
    </cfRule>
    <cfRule type="cellIs" dxfId="16345" priority="2502" operator="equal">
      <formula>"PTO"</formula>
    </cfRule>
  </conditionalFormatting>
  <conditionalFormatting sqref="V26">
    <cfRule type="cellIs" dxfId="16344" priority="2499" operator="equal">
      <formula>"OFF"</formula>
    </cfRule>
    <cfRule type="cellIs" dxfId="16343" priority="2500" operator="equal">
      <formula>"PTO"</formula>
    </cfRule>
  </conditionalFormatting>
  <conditionalFormatting sqref="V26">
    <cfRule type="cellIs" dxfId="16342" priority="2497" operator="equal">
      <formula>"OFF"</formula>
    </cfRule>
    <cfRule type="cellIs" dxfId="16341" priority="2498" operator="equal">
      <formula>"PTO"</formula>
    </cfRule>
  </conditionalFormatting>
  <conditionalFormatting sqref="V26">
    <cfRule type="cellIs" dxfId="16340" priority="2495" operator="equal">
      <formula>"OFF"</formula>
    </cfRule>
    <cfRule type="cellIs" dxfId="16339" priority="2496" operator="equal">
      <formula>"PTO"</formula>
    </cfRule>
  </conditionalFormatting>
  <conditionalFormatting sqref="V26">
    <cfRule type="cellIs" dxfId="16338" priority="2493" operator="equal">
      <formula>"OFF"</formula>
    </cfRule>
    <cfRule type="cellIs" dxfId="16337" priority="2494" operator="equal">
      <formula>"PTO"</formula>
    </cfRule>
  </conditionalFormatting>
  <conditionalFormatting sqref="V26">
    <cfRule type="cellIs" dxfId="16336" priority="2491" operator="equal">
      <formula>"OFF"</formula>
    </cfRule>
    <cfRule type="cellIs" dxfId="16335" priority="2492" operator="equal">
      <formula>"PTO"</formula>
    </cfRule>
  </conditionalFormatting>
  <conditionalFormatting sqref="V26">
    <cfRule type="cellIs" dxfId="16334" priority="2489" operator="equal">
      <formula>"OFF"</formula>
    </cfRule>
    <cfRule type="cellIs" dxfId="16333" priority="2490" operator="equal">
      <formula>"PTO"</formula>
    </cfRule>
  </conditionalFormatting>
  <conditionalFormatting sqref="V26">
    <cfRule type="cellIs" dxfId="16332" priority="2487" operator="equal">
      <formula>"OFF"</formula>
    </cfRule>
    <cfRule type="cellIs" dxfId="16331" priority="2488" operator="equal">
      <formula>"PTO"</formula>
    </cfRule>
  </conditionalFormatting>
  <conditionalFormatting sqref="V27">
    <cfRule type="cellIs" dxfId="16330" priority="2485" operator="equal">
      <formula>"OFF"</formula>
    </cfRule>
    <cfRule type="cellIs" dxfId="16329" priority="2486" operator="equal">
      <formula>"PTO"</formula>
    </cfRule>
  </conditionalFormatting>
  <conditionalFormatting sqref="V27">
    <cfRule type="cellIs" dxfId="16328" priority="2483" operator="equal">
      <formula>"OFF"</formula>
    </cfRule>
    <cfRule type="cellIs" dxfId="16327" priority="2484" operator="equal">
      <formula>"PTO"</formula>
    </cfRule>
  </conditionalFormatting>
  <conditionalFormatting sqref="V27">
    <cfRule type="cellIs" dxfId="16326" priority="2481" operator="equal">
      <formula>"OFF"</formula>
    </cfRule>
    <cfRule type="cellIs" dxfId="16325" priority="2482" operator="equal">
      <formula>"PTO"</formula>
    </cfRule>
  </conditionalFormatting>
  <conditionalFormatting sqref="V27">
    <cfRule type="cellIs" dxfId="16324" priority="2479" operator="equal">
      <formula>"OFF"</formula>
    </cfRule>
    <cfRule type="cellIs" dxfId="16323" priority="2480" operator="equal">
      <formula>"PTO"</formula>
    </cfRule>
  </conditionalFormatting>
  <conditionalFormatting sqref="V27">
    <cfRule type="cellIs" dxfId="16322" priority="2477" operator="equal">
      <formula>"OFF"</formula>
    </cfRule>
    <cfRule type="cellIs" dxfId="16321" priority="2478" operator="equal">
      <formula>"PTO"</formula>
    </cfRule>
  </conditionalFormatting>
  <conditionalFormatting sqref="V27">
    <cfRule type="cellIs" dxfId="16320" priority="2475" operator="equal">
      <formula>"OFF"</formula>
    </cfRule>
    <cfRule type="cellIs" dxfId="16319" priority="2476" operator="equal">
      <formula>"PTO"</formula>
    </cfRule>
  </conditionalFormatting>
  <conditionalFormatting sqref="V27">
    <cfRule type="cellIs" dxfId="16318" priority="2473" operator="equal">
      <formula>"OFF"</formula>
    </cfRule>
    <cfRule type="cellIs" dxfId="16317" priority="2474" operator="equal">
      <formula>"PTO"</formula>
    </cfRule>
  </conditionalFormatting>
  <conditionalFormatting sqref="V27">
    <cfRule type="cellIs" dxfId="16316" priority="2471" operator="equal">
      <formula>"OFF"</formula>
    </cfRule>
    <cfRule type="cellIs" dxfId="16315" priority="2472" operator="equal">
      <formula>"PTO"</formula>
    </cfRule>
  </conditionalFormatting>
  <conditionalFormatting sqref="V26">
    <cfRule type="cellIs" dxfId="16314" priority="2469" operator="equal">
      <formula>"OFF"</formula>
    </cfRule>
    <cfRule type="cellIs" dxfId="16313" priority="2470" operator="equal">
      <formula>"PTO"</formula>
    </cfRule>
  </conditionalFormatting>
  <conditionalFormatting sqref="V26">
    <cfRule type="cellIs" dxfId="16312" priority="2467" operator="equal">
      <formula>"OFF"</formula>
    </cfRule>
    <cfRule type="cellIs" dxfId="16311" priority="2468" operator="equal">
      <formula>"PTO"</formula>
    </cfRule>
  </conditionalFormatting>
  <conditionalFormatting sqref="V26">
    <cfRule type="cellIs" dxfId="16310" priority="2465" operator="equal">
      <formula>"OFF"</formula>
    </cfRule>
    <cfRule type="cellIs" dxfId="16309" priority="2466" operator="equal">
      <formula>"PTO"</formula>
    </cfRule>
  </conditionalFormatting>
  <conditionalFormatting sqref="V26">
    <cfRule type="cellIs" dxfId="16308" priority="2463" operator="equal">
      <formula>"OFF"</formula>
    </cfRule>
    <cfRule type="cellIs" dxfId="16307" priority="2464" operator="equal">
      <formula>"PTO"</formula>
    </cfRule>
  </conditionalFormatting>
  <conditionalFormatting sqref="V26">
    <cfRule type="cellIs" dxfId="16306" priority="2461" operator="equal">
      <formula>"OFF"</formula>
    </cfRule>
    <cfRule type="cellIs" dxfId="16305" priority="2462" operator="equal">
      <formula>"PTO"</formula>
    </cfRule>
  </conditionalFormatting>
  <conditionalFormatting sqref="V26">
    <cfRule type="cellIs" dxfId="16304" priority="2459" operator="equal">
      <formula>"OFF"</formula>
    </cfRule>
    <cfRule type="cellIs" dxfId="16303" priority="2460" operator="equal">
      <formula>"PTO"</formula>
    </cfRule>
  </conditionalFormatting>
  <conditionalFormatting sqref="V26">
    <cfRule type="cellIs" dxfId="16302" priority="2457" operator="equal">
      <formula>"OFF"</formula>
    </cfRule>
    <cfRule type="cellIs" dxfId="16301" priority="2458" operator="equal">
      <formula>"PTO"</formula>
    </cfRule>
  </conditionalFormatting>
  <conditionalFormatting sqref="V26">
    <cfRule type="cellIs" dxfId="16300" priority="2455" operator="equal">
      <formula>"OFF"</formula>
    </cfRule>
    <cfRule type="cellIs" dxfId="16299" priority="2456" operator="equal">
      <formula>"PTO"</formula>
    </cfRule>
  </conditionalFormatting>
  <conditionalFormatting sqref="V27">
    <cfRule type="cellIs" dxfId="16298" priority="2453" operator="equal">
      <formula>"OFF"</formula>
    </cfRule>
    <cfRule type="cellIs" dxfId="16297" priority="2454" operator="equal">
      <formula>"PTO"</formula>
    </cfRule>
  </conditionalFormatting>
  <conditionalFormatting sqref="V27">
    <cfRule type="cellIs" dxfId="16296" priority="2451" operator="equal">
      <formula>"OFF"</formula>
    </cfRule>
    <cfRule type="cellIs" dxfId="16295" priority="2452" operator="equal">
      <formula>"PTO"</formula>
    </cfRule>
  </conditionalFormatting>
  <conditionalFormatting sqref="V27">
    <cfRule type="cellIs" dxfId="16294" priority="2449" operator="equal">
      <formula>"OFF"</formula>
    </cfRule>
    <cfRule type="cellIs" dxfId="16293" priority="2450" operator="equal">
      <formula>"PTO"</formula>
    </cfRule>
  </conditionalFormatting>
  <conditionalFormatting sqref="V27">
    <cfRule type="cellIs" dxfId="16292" priority="2447" operator="equal">
      <formula>"OFF"</formula>
    </cfRule>
    <cfRule type="cellIs" dxfId="16291" priority="2448" operator="equal">
      <formula>"PTO"</formula>
    </cfRule>
  </conditionalFormatting>
  <conditionalFormatting sqref="V27">
    <cfRule type="cellIs" dxfId="16290" priority="2445" operator="equal">
      <formula>"OFF"</formula>
    </cfRule>
    <cfRule type="cellIs" dxfId="16289" priority="2446" operator="equal">
      <formula>"PTO"</formula>
    </cfRule>
  </conditionalFormatting>
  <conditionalFormatting sqref="V27">
    <cfRule type="cellIs" dxfId="16288" priority="2443" operator="equal">
      <formula>"OFF"</formula>
    </cfRule>
    <cfRule type="cellIs" dxfId="16287" priority="2444" operator="equal">
      <formula>"PTO"</formula>
    </cfRule>
  </conditionalFormatting>
  <conditionalFormatting sqref="V27">
    <cfRule type="cellIs" dxfId="16286" priority="2441" operator="equal">
      <formula>"OFF"</formula>
    </cfRule>
    <cfRule type="cellIs" dxfId="16285" priority="2442" operator="equal">
      <formula>"PTO"</formula>
    </cfRule>
  </conditionalFormatting>
  <conditionalFormatting sqref="V27">
    <cfRule type="cellIs" dxfId="16284" priority="2439" operator="equal">
      <formula>"OFF"</formula>
    </cfRule>
    <cfRule type="cellIs" dxfId="16283" priority="2440" operator="equal">
      <formula>"PTO"</formula>
    </cfRule>
  </conditionalFormatting>
  <conditionalFormatting sqref="V26">
    <cfRule type="cellIs" dxfId="16282" priority="2437" operator="equal">
      <formula>"OFF"</formula>
    </cfRule>
    <cfRule type="cellIs" dxfId="16281" priority="2438" operator="equal">
      <formula>"PTO"</formula>
    </cfRule>
  </conditionalFormatting>
  <conditionalFormatting sqref="V26">
    <cfRule type="cellIs" dxfId="16280" priority="2435" operator="equal">
      <formula>"OFF"</formula>
    </cfRule>
    <cfRule type="cellIs" dxfId="16279" priority="2436" operator="equal">
      <formula>"PTO"</formula>
    </cfRule>
  </conditionalFormatting>
  <conditionalFormatting sqref="V26">
    <cfRule type="cellIs" dxfId="16278" priority="2433" operator="equal">
      <formula>"OFF"</formula>
    </cfRule>
    <cfRule type="cellIs" dxfId="16277" priority="2434" operator="equal">
      <formula>"PTO"</formula>
    </cfRule>
  </conditionalFormatting>
  <conditionalFormatting sqref="V26">
    <cfRule type="cellIs" dxfId="16276" priority="2431" operator="equal">
      <formula>"OFF"</formula>
    </cfRule>
    <cfRule type="cellIs" dxfId="16275" priority="2432" operator="equal">
      <formula>"PTO"</formula>
    </cfRule>
  </conditionalFormatting>
  <conditionalFormatting sqref="V26">
    <cfRule type="cellIs" dxfId="16274" priority="2429" operator="equal">
      <formula>"OFF"</formula>
    </cfRule>
    <cfRule type="cellIs" dxfId="16273" priority="2430" operator="equal">
      <formula>"PTO"</formula>
    </cfRule>
  </conditionalFormatting>
  <conditionalFormatting sqref="V26">
    <cfRule type="cellIs" dxfId="16272" priority="2427" operator="equal">
      <formula>"OFF"</formula>
    </cfRule>
    <cfRule type="cellIs" dxfId="16271" priority="2428" operator="equal">
      <formula>"PTO"</formula>
    </cfRule>
  </conditionalFormatting>
  <conditionalFormatting sqref="V26">
    <cfRule type="cellIs" dxfId="16270" priority="2425" operator="equal">
      <formula>"OFF"</formula>
    </cfRule>
    <cfRule type="cellIs" dxfId="16269" priority="2426" operator="equal">
      <formula>"PTO"</formula>
    </cfRule>
  </conditionalFormatting>
  <conditionalFormatting sqref="V26">
    <cfRule type="cellIs" dxfId="16268" priority="2423" operator="equal">
      <formula>"OFF"</formula>
    </cfRule>
    <cfRule type="cellIs" dxfId="16267" priority="2424" operator="equal">
      <formula>"PTO"</formula>
    </cfRule>
  </conditionalFormatting>
  <conditionalFormatting sqref="V27">
    <cfRule type="cellIs" dxfId="16266" priority="2421" operator="equal">
      <formula>"OFF"</formula>
    </cfRule>
    <cfRule type="cellIs" dxfId="16265" priority="2422" operator="equal">
      <formula>"PTO"</formula>
    </cfRule>
  </conditionalFormatting>
  <conditionalFormatting sqref="V27">
    <cfRule type="cellIs" dxfId="16264" priority="2419" operator="equal">
      <formula>"OFF"</formula>
    </cfRule>
    <cfRule type="cellIs" dxfId="16263" priority="2420" operator="equal">
      <formula>"PTO"</formula>
    </cfRule>
  </conditionalFormatting>
  <conditionalFormatting sqref="V27">
    <cfRule type="cellIs" dxfId="16262" priority="2417" operator="equal">
      <formula>"OFF"</formula>
    </cfRule>
    <cfRule type="cellIs" dxfId="16261" priority="2418" operator="equal">
      <formula>"PTO"</formula>
    </cfRule>
  </conditionalFormatting>
  <conditionalFormatting sqref="V27">
    <cfRule type="cellIs" dxfId="16260" priority="2415" operator="equal">
      <formula>"OFF"</formula>
    </cfRule>
    <cfRule type="cellIs" dxfId="16259" priority="2416" operator="equal">
      <formula>"PTO"</formula>
    </cfRule>
  </conditionalFormatting>
  <conditionalFormatting sqref="V27">
    <cfRule type="cellIs" dxfId="16258" priority="2413" operator="equal">
      <formula>"OFF"</formula>
    </cfRule>
    <cfRule type="cellIs" dxfId="16257" priority="2414" operator="equal">
      <formula>"PTO"</formula>
    </cfRule>
  </conditionalFormatting>
  <conditionalFormatting sqref="V27">
    <cfRule type="cellIs" dxfId="16256" priority="2411" operator="equal">
      <formula>"OFF"</formula>
    </cfRule>
    <cfRule type="cellIs" dxfId="16255" priority="2412" operator="equal">
      <formula>"PTO"</formula>
    </cfRule>
  </conditionalFormatting>
  <conditionalFormatting sqref="V27">
    <cfRule type="cellIs" dxfId="16254" priority="2409" operator="equal">
      <formula>"OFF"</formula>
    </cfRule>
    <cfRule type="cellIs" dxfId="16253" priority="2410" operator="equal">
      <formula>"PTO"</formula>
    </cfRule>
  </conditionalFormatting>
  <conditionalFormatting sqref="V27">
    <cfRule type="cellIs" dxfId="16252" priority="2407" operator="equal">
      <formula>"OFF"</formula>
    </cfRule>
    <cfRule type="cellIs" dxfId="16251" priority="2408" operator="equal">
      <formula>"PTO"</formula>
    </cfRule>
  </conditionalFormatting>
  <conditionalFormatting sqref="V26">
    <cfRule type="cellIs" dxfId="16250" priority="2405" operator="equal">
      <formula>"OFF"</formula>
    </cfRule>
    <cfRule type="cellIs" dxfId="16249" priority="2406" operator="equal">
      <formula>"PTO"</formula>
    </cfRule>
  </conditionalFormatting>
  <conditionalFormatting sqref="V26">
    <cfRule type="cellIs" dxfId="16248" priority="2403" operator="equal">
      <formula>"OFF"</formula>
    </cfRule>
    <cfRule type="cellIs" dxfId="16247" priority="2404" operator="equal">
      <formula>"PTO"</formula>
    </cfRule>
  </conditionalFormatting>
  <conditionalFormatting sqref="V26">
    <cfRule type="cellIs" dxfId="16246" priority="2401" operator="equal">
      <formula>"OFF"</formula>
    </cfRule>
    <cfRule type="cellIs" dxfId="16245" priority="2402" operator="equal">
      <formula>"PTO"</formula>
    </cfRule>
  </conditionalFormatting>
  <conditionalFormatting sqref="V26">
    <cfRule type="cellIs" dxfId="16244" priority="2399" operator="equal">
      <formula>"OFF"</formula>
    </cfRule>
    <cfRule type="cellIs" dxfId="16243" priority="2400" operator="equal">
      <formula>"PTO"</formula>
    </cfRule>
  </conditionalFormatting>
  <conditionalFormatting sqref="V26">
    <cfRule type="cellIs" dxfId="16242" priority="2397" operator="equal">
      <formula>"OFF"</formula>
    </cfRule>
    <cfRule type="cellIs" dxfId="16241" priority="2398" operator="equal">
      <formula>"PTO"</formula>
    </cfRule>
  </conditionalFormatting>
  <conditionalFormatting sqref="V26">
    <cfRule type="cellIs" dxfId="16240" priority="2395" operator="equal">
      <formula>"OFF"</formula>
    </cfRule>
    <cfRule type="cellIs" dxfId="16239" priority="2396" operator="equal">
      <formula>"PTO"</formula>
    </cfRule>
  </conditionalFormatting>
  <conditionalFormatting sqref="V26">
    <cfRule type="cellIs" dxfId="16238" priority="2393" operator="equal">
      <formula>"OFF"</formula>
    </cfRule>
    <cfRule type="cellIs" dxfId="16237" priority="2394" operator="equal">
      <formula>"PTO"</formula>
    </cfRule>
  </conditionalFormatting>
  <conditionalFormatting sqref="V26">
    <cfRule type="cellIs" dxfId="16236" priority="2391" operator="equal">
      <formula>"OFF"</formula>
    </cfRule>
    <cfRule type="cellIs" dxfId="16235" priority="2392" operator="equal">
      <formula>"PTO"</formula>
    </cfRule>
  </conditionalFormatting>
  <conditionalFormatting sqref="V27">
    <cfRule type="cellIs" dxfId="16234" priority="2389" operator="equal">
      <formula>"OFF"</formula>
    </cfRule>
    <cfRule type="cellIs" dxfId="16233" priority="2390" operator="equal">
      <formula>"PTO"</formula>
    </cfRule>
  </conditionalFormatting>
  <conditionalFormatting sqref="V27">
    <cfRule type="cellIs" dxfId="16232" priority="2387" operator="equal">
      <formula>"OFF"</formula>
    </cfRule>
    <cfRule type="cellIs" dxfId="16231" priority="2388" operator="equal">
      <formula>"PTO"</formula>
    </cfRule>
  </conditionalFormatting>
  <conditionalFormatting sqref="V27">
    <cfRule type="cellIs" dxfId="16230" priority="2385" operator="equal">
      <formula>"OFF"</formula>
    </cfRule>
    <cfRule type="cellIs" dxfId="16229" priority="2386" operator="equal">
      <formula>"PTO"</formula>
    </cfRule>
  </conditionalFormatting>
  <conditionalFormatting sqref="V27">
    <cfRule type="cellIs" dxfId="16228" priority="2383" operator="equal">
      <formula>"OFF"</formula>
    </cfRule>
    <cfRule type="cellIs" dxfId="16227" priority="2384" operator="equal">
      <formula>"PTO"</formula>
    </cfRule>
  </conditionalFormatting>
  <conditionalFormatting sqref="V27">
    <cfRule type="cellIs" dxfId="16226" priority="2381" operator="equal">
      <formula>"OFF"</formula>
    </cfRule>
    <cfRule type="cellIs" dxfId="16225" priority="2382" operator="equal">
      <formula>"PTO"</formula>
    </cfRule>
  </conditionalFormatting>
  <conditionalFormatting sqref="V27">
    <cfRule type="cellIs" dxfId="16224" priority="2379" operator="equal">
      <formula>"OFF"</formula>
    </cfRule>
    <cfRule type="cellIs" dxfId="16223" priority="2380" operator="equal">
      <formula>"PTO"</formula>
    </cfRule>
  </conditionalFormatting>
  <conditionalFormatting sqref="V27">
    <cfRule type="cellIs" dxfId="16222" priority="2377" operator="equal">
      <formula>"OFF"</formula>
    </cfRule>
    <cfRule type="cellIs" dxfId="16221" priority="2378" operator="equal">
      <formula>"PTO"</formula>
    </cfRule>
  </conditionalFormatting>
  <conditionalFormatting sqref="V27">
    <cfRule type="cellIs" dxfId="16220" priority="2375" operator="equal">
      <formula>"OFF"</formula>
    </cfRule>
    <cfRule type="cellIs" dxfId="16219" priority="2376" operator="equal">
      <formula>"PTO"</formula>
    </cfRule>
  </conditionalFormatting>
  <conditionalFormatting sqref="V26">
    <cfRule type="cellIs" dxfId="16218" priority="2373" operator="equal">
      <formula>"OFF"</formula>
    </cfRule>
    <cfRule type="cellIs" dxfId="16217" priority="2374" operator="equal">
      <formula>"PTO"</formula>
    </cfRule>
  </conditionalFormatting>
  <conditionalFormatting sqref="V26">
    <cfRule type="cellIs" dxfId="16216" priority="2371" operator="equal">
      <formula>"OFF"</formula>
    </cfRule>
    <cfRule type="cellIs" dxfId="16215" priority="2372" operator="equal">
      <formula>"PTO"</formula>
    </cfRule>
  </conditionalFormatting>
  <conditionalFormatting sqref="V26">
    <cfRule type="cellIs" dxfId="16214" priority="2369" operator="equal">
      <formula>"OFF"</formula>
    </cfRule>
    <cfRule type="cellIs" dxfId="16213" priority="2370" operator="equal">
      <formula>"PTO"</formula>
    </cfRule>
  </conditionalFormatting>
  <conditionalFormatting sqref="V26">
    <cfRule type="cellIs" dxfId="16212" priority="2367" operator="equal">
      <formula>"OFF"</formula>
    </cfRule>
    <cfRule type="cellIs" dxfId="16211" priority="2368" operator="equal">
      <formula>"PTO"</formula>
    </cfRule>
  </conditionalFormatting>
  <conditionalFormatting sqref="V26">
    <cfRule type="cellIs" dxfId="16210" priority="2365" operator="equal">
      <formula>"OFF"</formula>
    </cfRule>
    <cfRule type="cellIs" dxfId="16209" priority="2366" operator="equal">
      <formula>"PTO"</formula>
    </cfRule>
  </conditionalFormatting>
  <conditionalFormatting sqref="V26">
    <cfRule type="cellIs" dxfId="16208" priority="2363" operator="equal">
      <formula>"OFF"</formula>
    </cfRule>
    <cfRule type="cellIs" dxfId="16207" priority="2364" operator="equal">
      <formula>"PTO"</formula>
    </cfRule>
  </conditionalFormatting>
  <conditionalFormatting sqref="V26">
    <cfRule type="cellIs" dxfId="16206" priority="2361" operator="equal">
      <formula>"OFF"</formula>
    </cfRule>
    <cfRule type="cellIs" dxfId="16205" priority="2362" operator="equal">
      <formula>"PTO"</formula>
    </cfRule>
  </conditionalFormatting>
  <conditionalFormatting sqref="V26">
    <cfRule type="cellIs" dxfId="16204" priority="2359" operator="equal">
      <formula>"OFF"</formula>
    </cfRule>
    <cfRule type="cellIs" dxfId="16203" priority="2360" operator="equal">
      <formula>"PTO"</formula>
    </cfRule>
  </conditionalFormatting>
  <conditionalFormatting sqref="V27">
    <cfRule type="cellIs" dxfId="16202" priority="2357" operator="equal">
      <formula>"OFF"</formula>
    </cfRule>
    <cfRule type="cellIs" dxfId="16201" priority="2358" operator="equal">
      <formula>"PTO"</formula>
    </cfRule>
  </conditionalFormatting>
  <conditionalFormatting sqref="V27">
    <cfRule type="cellIs" dxfId="16200" priority="2355" operator="equal">
      <formula>"OFF"</formula>
    </cfRule>
    <cfRule type="cellIs" dxfId="16199" priority="2356" operator="equal">
      <formula>"PTO"</formula>
    </cfRule>
  </conditionalFormatting>
  <conditionalFormatting sqref="V27">
    <cfRule type="cellIs" dxfId="16198" priority="2353" operator="equal">
      <formula>"OFF"</formula>
    </cfRule>
    <cfRule type="cellIs" dxfId="16197" priority="2354" operator="equal">
      <formula>"PTO"</formula>
    </cfRule>
  </conditionalFormatting>
  <conditionalFormatting sqref="V27">
    <cfRule type="cellIs" dxfId="16196" priority="2351" operator="equal">
      <formula>"OFF"</formula>
    </cfRule>
    <cfRule type="cellIs" dxfId="16195" priority="2352" operator="equal">
      <formula>"PTO"</formula>
    </cfRule>
  </conditionalFormatting>
  <conditionalFormatting sqref="V27">
    <cfRule type="cellIs" dxfId="16194" priority="2349" operator="equal">
      <formula>"OFF"</formula>
    </cfRule>
    <cfRule type="cellIs" dxfId="16193" priority="2350" operator="equal">
      <formula>"PTO"</formula>
    </cfRule>
  </conditionalFormatting>
  <conditionalFormatting sqref="V27">
    <cfRule type="cellIs" dxfId="16192" priority="2347" operator="equal">
      <formula>"OFF"</formula>
    </cfRule>
    <cfRule type="cellIs" dxfId="16191" priority="2348" operator="equal">
      <formula>"PTO"</formula>
    </cfRule>
  </conditionalFormatting>
  <conditionalFormatting sqref="V27">
    <cfRule type="cellIs" dxfId="16190" priority="2345" operator="equal">
      <formula>"OFF"</formula>
    </cfRule>
    <cfRule type="cellIs" dxfId="16189" priority="2346" operator="equal">
      <formula>"PTO"</formula>
    </cfRule>
  </conditionalFormatting>
  <conditionalFormatting sqref="V27">
    <cfRule type="cellIs" dxfId="16188" priority="2343" operator="equal">
      <formula>"OFF"</formula>
    </cfRule>
    <cfRule type="cellIs" dxfId="16187" priority="2344" operator="equal">
      <formula>"PTO"</formula>
    </cfRule>
  </conditionalFormatting>
  <conditionalFormatting sqref="V26">
    <cfRule type="cellIs" dxfId="16186" priority="2341" operator="equal">
      <formula>"OFF"</formula>
    </cfRule>
    <cfRule type="cellIs" dxfId="16185" priority="2342" operator="equal">
      <formula>"PTO"</formula>
    </cfRule>
  </conditionalFormatting>
  <conditionalFormatting sqref="V26">
    <cfRule type="cellIs" dxfId="16184" priority="2339" operator="equal">
      <formula>"OFF"</formula>
    </cfRule>
    <cfRule type="cellIs" dxfId="16183" priority="2340" operator="equal">
      <formula>"PTO"</formula>
    </cfRule>
  </conditionalFormatting>
  <conditionalFormatting sqref="V26">
    <cfRule type="cellIs" dxfId="16182" priority="2337" operator="equal">
      <formula>"OFF"</formula>
    </cfRule>
    <cfRule type="cellIs" dxfId="16181" priority="2338" operator="equal">
      <formula>"PTO"</formula>
    </cfRule>
  </conditionalFormatting>
  <conditionalFormatting sqref="V26">
    <cfRule type="cellIs" dxfId="16180" priority="2335" operator="equal">
      <formula>"OFF"</formula>
    </cfRule>
    <cfRule type="cellIs" dxfId="16179" priority="2336" operator="equal">
      <formula>"PTO"</formula>
    </cfRule>
  </conditionalFormatting>
  <conditionalFormatting sqref="V26">
    <cfRule type="cellIs" dxfId="16178" priority="2333" operator="equal">
      <formula>"OFF"</formula>
    </cfRule>
    <cfRule type="cellIs" dxfId="16177" priority="2334" operator="equal">
      <formula>"PTO"</formula>
    </cfRule>
  </conditionalFormatting>
  <conditionalFormatting sqref="V26">
    <cfRule type="cellIs" dxfId="16176" priority="2331" operator="equal">
      <formula>"OFF"</formula>
    </cfRule>
    <cfRule type="cellIs" dxfId="16175" priority="2332" operator="equal">
      <formula>"PTO"</formula>
    </cfRule>
  </conditionalFormatting>
  <conditionalFormatting sqref="V26">
    <cfRule type="cellIs" dxfId="16174" priority="2329" operator="equal">
      <formula>"OFF"</formula>
    </cfRule>
    <cfRule type="cellIs" dxfId="16173" priority="2330" operator="equal">
      <formula>"PTO"</formula>
    </cfRule>
  </conditionalFormatting>
  <conditionalFormatting sqref="V26">
    <cfRule type="cellIs" dxfId="16172" priority="2327" operator="equal">
      <formula>"OFF"</formula>
    </cfRule>
    <cfRule type="cellIs" dxfId="16171" priority="2328" operator="equal">
      <formula>"PTO"</formula>
    </cfRule>
  </conditionalFormatting>
  <conditionalFormatting sqref="V27">
    <cfRule type="cellIs" dxfId="16170" priority="2325" operator="equal">
      <formula>"OFF"</formula>
    </cfRule>
    <cfRule type="cellIs" dxfId="16169" priority="2326" operator="equal">
      <formula>"PTO"</formula>
    </cfRule>
  </conditionalFormatting>
  <conditionalFormatting sqref="V27">
    <cfRule type="cellIs" dxfId="16168" priority="2323" operator="equal">
      <formula>"OFF"</formula>
    </cfRule>
    <cfRule type="cellIs" dxfId="16167" priority="2324" operator="equal">
      <formula>"PTO"</formula>
    </cfRule>
  </conditionalFormatting>
  <conditionalFormatting sqref="V27">
    <cfRule type="cellIs" dxfId="16166" priority="2321" operator="equal">
      <formula>"OFF"</formula>
    </cfRule>
    <cfRule type="cellIs" dxfId="16165" priority="2322" operator="equal">
      <formula>"PTO"</formula>
    </cfRule>
  </conditionalFormatting>
  <conditionalFormatting sqref="V27">
    <cfRule type="cellIs" dxfId="16164" priority="2319" operator="equal">
      <formula>"OFF"</formula>
    </cfRule>
    <cfRule type="cellIs" dxfId="16163" priority="2320" operator="equal">
      <formula>"PTO"</formula>
    </cfRule>
  </conditionalFormatting>
  <conditionalFormatting sqref="V27">
    <cfRule type="cellIs" dxfId="16162" priority="2317" operator="equal">
      <formula>"OFF"</formula>
    </cfRule>
    <cfRule type="cellIs" dxfId="16161" priority="2318" operator="equal">
      <formula>"PTO"</formula>
    </cfRule>
  </conditionalFormatting>
  <conditionalFormatting sqref="V27">
    <cfRule type="cellIs" dxfId="16160" priority="2315" operator="equal">
      <formula>"OFF"</formula>
    </cfRule>
    <cfRule type="cellIs" dxfId="16159" priority="2316" operator="equal">
      <formula>"PTO"</formula>
    </cfRule>
  </conditionalFormatting>
  <conditionalFormatting sqref="V27">
    <cfRule type="cellIs" dxfId="16158" priority="2313" operator="equal">
      <formula>"OFF"</formula>
    </cfRule>
    <cfRule type="cellIs" dxfId="16157" priority="2314" operator="equal">
      <formula>"PTO"</formula>
    </cfRule>
  </conditionalFormatting>
  <conditionalFormatting sqref="V27">
    <cfRule type="cellIs" dxfId="16156" priority="2311" operator="equal">
      <formula>"OFF"</formula>
    </cfRule>
    <cfRule type="cellIs" dxfId="16155" priority="2312" operator="equal">
      <formula>"PTO"</formula>
    </cfRule>
  </conditionalFormatting>
  <conditionalFormatting sqref="V26">
    <cfRule type="cellIs" dxfId="16154" priority="2309" operator="equal">
      <formula>"OFF"</formula>
    </cfRule>
    <cfRule type="cellIs" dxfId="16153" priority="2310" operator="equal">
      <formula>"PTO"</formula>
    </cfRule>
  </conditionalFormatting>
  <conditionalFormatting sqref="V26">
    <cfRule type="cellIs" dxfId="16152" priority="2307" operator="equal">
      <formula>"OFF"</formula>
    </cfRule>
    <cfRule type="cellIs" dxfId="16151" priority="2308" operator="equal">
      <formula>"PTO"</formula>
    </cfRule>
  </conditionalFormatting>
  <conditionalFormatting sqref="V26">
    <cfRule type="cellIs" dxfId="16150" priority="2305" operator="equal">
      <formula>"OFF"</formula>
    </cfRule>
    <cfRule type="cellIs" dxfId="16149" priority="2306" operator="equal">
      <formula>"PTO"</formula>
    </cfRule>
  </conditionalFormatting>
  <conditionalFormatting sqref="V26">
    <cfRule type="cellIs" dxfId="16148" priority="2303" operator="equal">
      <formula>"OFF"</formula>
    </cfRule>
    <cfRule type="cellIs" dxfId="16147" priority="2304" operator="equal">
      <formula>"PTO"</formula>
    </cfRule>
  </conditionalFormatting>
  <conditionalFormatting sqref="V26">
    <cfRule type="cellIs" dxfId="16146" priority="2301" operator="equal">
      <formula>"OFF"</formula>
    </cfRule>
    <cfRule type="cellIs" dxfId="16145" priority="2302" operator="equal">
      <formula>"PTO"</formula>
    </cfRule>
  </conditionalFormatting>
  <conditionalFormatting sqref="V26">
    <cfRule type="cellIs" dxfId="16144" priority="2299" operator="equal">
      <formula>"OFF"</formula>
    </cfRule>
    <cfRule type="cellIs" dxfId="16143" priority="2300" operator="equal">
      <formula>"PTO"</formula>
    </cfRule>
  </conditionalFormatting>
  <conditionalFormatting sqref="V26">
    <cfRule type="cellIs" dxfId="16142" priority="2297" operator="equal">
      <formula>"OFF"</formula>
    </cfRule>
    <cfRule type="cellIs" dxfId="16141" priority="2298" operator="equal">
      <formula>"PTO"</formula>
    </cfRule>
  </conditionalFormatting>
  <conditionalFormatting sqref="V26">
    <cfRule type="cellIs" dxfId="16140" priority="2295" operator="equal">
      <formula>"OFF"</formula>
    </cfRule>
    <cfRule type="cellIs" dxfId="16139" priority="2296" operator="equal">
      <formula>"PTO"</formula>
    </cfRule>
  </conditionalFormatting>
  <conditionalFormatting sqref="V27">
    <cfRule type="cellIs" dxfId="16138" priority="2293" operator="equal">
      <formula>"OFF"</formula>
    </cfRule>
    <cfRule type="cellIs" dxfId="16137" priority="2294" operator="equal">
      <formula>"PTO"</formula>
    </cfRule>
  </conditionalFormatting>
  <conditionalFormatting sqref="V27">
    <cfRule type="cellIs" dxfId="16136" priority="2291" operator="equal">
      <formula>"OFF"</formula>
    </cfRule>
    <cfRule type="cellIs" dxfId="16135" priority="2292" operator="equal">
      <formula>"PTO"</formula>
    </cfRule>
  </conditionalFormatting>
  <conditionalFormatting sqref="V27">
    <cfRule type="cellIs" dxfId="16134" priority="2289" operator="equal">
      <formula>"OFF"</formula>
    </cfRule>
    <cfRule type="cellIs" dxfId="16133" priority="2290" operator="equal">
      <formula>"PTO"</formula>
    </cfRule>
  </conditionalFormatting>
  <conditionalFormatting sqref="V27">
    <cfRule type="cellIs" dxfId="16132" priority="2287" operator="equal">
      <formula>"OFF"</formula>
    </cfRule>
    <cfRule type="cellIs" dxfId="16131" priority="2288" operator="equal">
      <formula>"PTO"</formula>
    </cfRule>
  </conditionalFormatting>
  <conditionalFormatting sqref="V27">
    <cfRule type="cellIs" dxfId="16130" priority="2285" operator="equal">
      <formula>"OFF"</formula>
    </cfRule>
    <cfRule type="cellIs" dxfId="16129" priority="2286" operator="equal">
      <formula>"PTO"</formula>
    </cfRule>
  </conditionalFormatting>
  <conditionalFormatting sqref="V27">
    <cfRule type="cellIs" dxfId="16128" priority="2283" operator="equal">
      <formula>"OFF"</formula>
    </cfRule>
    <cfRule type="cellIs" dxfId="16127" priority="2284" operator="equal">
      <formula>"PTO"</formula>
    </cfRule>
  </conditionalFormatting>
  <conditionalFormatting sqref="V27">
    <cfRule type="cellIs" dxfId="16126" priority="2281" operator="equal">
      <formula>"OFF"</formula>
    </cfRule>
    <cfRule type="cellIs" dxfId="16125" priority="2282" operator="equal">
      <formula>"PTO"</formula>
    </cfRule>
  </conditionalFormatting>
  <conditionalFormatting sqref="V27">
    <cfRule type="cellIs" dxfId="16124" priority="2279" operator="equal">
      <formula>"OFF"</formula>
    </cfRule>
    <cfRule type="cellIs" dxfId="16123" priority="2280" operator="equal">
      <formula>"PTO"</formula>
    </cfRule>
  </conditionalFormatting>
  <conditionalFormatting sqref="V29">
    <cfRule type="cellIs" dxfId="16122" priority="2277" operator="equal">
      <formula>"OFF"</formula>
    </cfRule>
    <cfRule type="cellIs" dxfId="16121" priority="2278" operator="equal">
      <formula>"PTO"</formula>
    </cfRule>
  </conditionalFormatting>
  <conditionalFormatting sqref="V29">
    <cfRule type="cellIs" dxfId="16120" priority="2275" operator="equal">
      <formula>"OFF"</formula>
    </cfRule>
    <cfRule type="cellIs" dxfId="16119" priority="2276" operator="equal">
      <formula>"PTO"</formula>
    </cfRule>
  </conditionalFormatting>
  <conditionalFormatting sqref="V29">
    <cfRule type="cellIs" dxfId="16118" priority="2273" operator="equal">
      <formula>"OFF"</formula>
    </cfRule>
    <cfRule type="cellIs" dxfId="16117" priority="2274" operator="equal">
      <formula>"PTO"</formula>
    </cfRule>
  </conditionalFormatting>
  <conditionalFormatting sqref="V29">
    <cfRule type="cellIs" dxfId="16116" priority="2271" operator="equal">
      <formula>"OFF"</formula>
    </cfRule>
    <cfRule type="cellIs" dxfId="16115" priority="2272" operator="equal">
      <formula>"PTO"</formula>
    </cfRule>
  </conditionalFormatting>
  <conditionalFormatting sqref="V29">
    <cfRule type="cellIs" dxfId="16114" priority="2269" operator="equal">
      <formula>"OFF"</formula>
    </cfRule>
    <cfRule type="cellIs" dxfId="16113" priority="2270" operator="equal">
      <formula>"PTO"</formula>
    </cfRule>
  </conditionalFormatting>
  <conditionalFormatting sqref="V29">
    <cfRule type="cellIs" dxfId="16112" priority="2267" operator="equal">
      <formula>"OFF"</formula>
    </cfRule>
    <cfRule type="cellIs" dxfId="16111" priority="2268" operator="equal">
      <formula>"PTO"</formula>
    </cfRule>
  </conditionalFormatting>
  <conditionalFormatting sqref="V29">
    <cfRule type="cellIs" dxfId="16110" priority="2265" operator="equal">
      <formula>"OFF"</formula>
    </cfRule>
    <cfRule type="cellIs" dxfId="16109" priority="2266" operator="equal">
      <formula>"PTO"</formula>
    </cfRule>
  </conditionalFormatting>
  <conditionalFormatting sqref="V29">
    <cfRule type="cellIs" dxfId="16108" priority="2263" operator="equal">
      <formula>"OFF"</formula>
    </cfRule>
    <cfRule type="cellIs" dxfId="16107" priority="2264" operator="equal">
      <formula>"PTO"</formula>
    </cfRule>
  </conditionalFormatting>
  <conditionalFormatting sqref="V29">
    <cfRule type="cellIs" dxfId="16106" priority="2261" operator="equal">
      <formula>"OFF"</formula>
    </cfRule>
    <cfRule type="cellIs" dxfId="16105" priority="2262" operator="equal">
      <formula>"PTO"</formula>
    </cfRule>
  </conditionalFormatting>
  <conditionalFormatting sqref="V29">
    <cfRule type="cellIs" dxfId="16104" priority="2259" operator="equal">
      <formula>"OFF"</formula>
    </cfRule>
    <cfRule type="cellIs" dxfId="16103" priority="2260" operator="equal">
      <formula>"PTO"</formula>
    </cfRule>
  </conditionalFormatting>
  <conditionalFormatting sqref="V29">
    <cfRule type="cellIs" dxfId="16102" priority="2257" operator="equal">
      <formula>"OFF"</formula>
    </cfRule>
    <cfRule type="cellIs" dxfId="16101" priority="2258" operator="equal">
      <formula>"PTO"</formula>
    </cfRule>
  </conditionalFormatting>
  <conditionalFormatting sqref="V29">
    <cfRule type="cellIs" dxfId="16100" priority="2255" operator="equal">
      <formula>"OFF"</formula>
    </cfRule>
    <cfRule type="cellIs" dxfId="16099" priority="2256" operator="equal">
      <formula>"PTO"</formula>
    </cfRule>
  </conditionalFormatting>
  <conditionalFormatting sqref="V29">
    <cfRule type="cellIs" dxfId="16098" priority="2253" operator="equal">
      <formula>"OFF"</formula>
    </cfRule>
    <cfRule type="cellIs" dxfId="16097" priority="2254" operator="equal">
      <formula>"PTO"</formula>
    </cfRule>
  </conditionalFormatting>
  <conditionalFormatting sqref="V29">
    <cfRule type="cellIs" dxfId="16096" priority="2251" operator="equal">
      <formula>"OFF"</formula>
    </cfRule>
    <cfRule type="cellIs" dxfId="16095" priority="2252" operator="equal">
      <formula>"PTO"</formula>
    </cfRule>
  </conditionalFormatting>
  <conditionalFormatting sqref="V29">
    <cfRule type="cellIs" dxfId="16094" priority="2249" operator="equal">
      <formula>"OFF"</formula>
    </cfRule>
    <cfRule type="cellIs" dxfId="16093" priority="2250" operator="equal">
      <formula>"PTO"</formula>
    </cfRule>
  </conditionalFormatting>
  <conditionalFormatting sqref="V29">
    <cfRule type="cellIs" dxfId="16092" priority="2247" operator="equal">
      <formula>"OFF"</formula>
    </cfRule>
    <cfRule type="cellIs" dxfId="16091" priority="2248" operator="equal">
      <formula>"PTO"</formula>
    </cfRule>
  </conditionalFormatting>
  <conditionalFormatting sqref="V29">
    <cfRule type="cellIs" dxfId="16090" priority="2245" operator="equal">
      <formula>"OFF"</formula>
    </cfRule>
    <cfRule type="cellIs" dxfId="16089" priority="2246" operator="equal">
      <formula>"PTO"</formula>
    </cfRule>
  </conditionalFormatting>
  <conditionalFormatting sqref="V29">
    <cfRule type="cellIs" dxfId="16088" priority="2243" operator="equal">
      <formula>"OFF"</formula>
    </cfRule>
    <cfRule type="cellIs" dxfId="16087" priority="2244" operator="equal">
      <formula>"PTO"</formula>
    </cfRule>
  </conditionalFormatting>
  <conditionalFormatting sqref="V29">
    <cfRule type="cellIs" dxfId="16086" priority="2241" operator="equal">
      <formula>"OFF"</formula>
    </cfRule>
    <cfRule type="cellIs" dxfId="16085" priority="2242" operator="equal">
      <formula>"PTO"</formula>
    </cfRule>
  </conditionalFormatting>
  <conditionalFormatting sqref="V29">
    <cfRule type="cellIs" dxfId="16084" priority="2239" operator="equal">
      <formula>"OFF"</formula>
    </cfRule>
    <cfRule type="cellIs" dxfId="16083" priority="2240" operator="equal">
      <formula>"PTO"</formula>
    </cfRule>
  </conditionalFormatting>
  <conditionalFormatting sqref="V29">
    <cfRule type="cellIs" dxfId="16082" priority="2237" operator="equal">
      <formula>"OFF"</formula>
    </cfRule>
    <cfRule type="cellIs" dxfId="16081" priority="2238" operator="equal">
      <formula>"PTO"</formula>
    </cfRule>
  </conditionalFormatting>
  <conditionalFormatting sqref="V29">
    <cfRule type="cellIs" dxfId="16080" priority="2235" operator="equal">
      <formula>"OFF"</formula>
    </cfRule>
    <cfRule type="cellIs" dxfId="16079" priority="2236" operator="equal">
      <formula>"PTO"</formula>
    </cfRule>
  </conditionalFormatting>
  <conditionalFormatting sqref="V29">
    <cfRule type="cellIs" dxfId="16078" priority="2233" operator="equal">
      <formula>"OFF"</formula>
    </cfRule>
    <cfRule type="cellIs" dxfId="16077" priority="2234" operator="equal">
      <formula>"PTO"</formula>
    </cfRule>
  </conditionalFormatting>
  <conditionalFormatting sqref="V29">
    <cfRule type="cellIs" dxfId="16076" priority="2231" operator="equal">
      <formula>"OFF"</formula>
    </cfRule>
    <cfRule type="cellIs" dxfId="16075" priority="2232" operator="equal">
      <formula>"PTO"</formula>
    </cfRule>
  </conditionalFormatting>
  <conditionalFormatting sqref="V29">
    <cfRule type="cellIs" dxfId="16074" priority="2229" operator="equal">
      <formula>"OFF"</formula>
    </cfRule>
    <cfRule type="cellIs" dxfId="16073" priority="2230" operator="equal">
      <formula>"PTO"</formula>
    </cfRule>
  </conditionalFormatting>
  <conditionalFormatting sqref="V29">
    <cfRule type="cellIs" dxfId="16072" priority="2227" operator="equal">
      <formula>"OFF"</formula>
    </cfRule>
    <cfRule type="cellIs" dxfId="16071" priority="2228" operator="equal">
      <formula>"PTO"</formula>
    </cfRule>
  </conditionalFormatting>
  <conditionalFormatting sqref="V29">
    <cfRule type="cellIs" dxfId="16070" priority="2225" operator="equal">
      <formula>"OFF"</formula>
    </cfRule>
    <cfRule type="cellIs" dxfId="16069" priority="2226" operator="equal">
      <formula>"PTO"</formula>
    </cfRule>
  </conditionalFormatting>
  <conditionalFormatting sqref="V29">
    <cfRule type="cellIs" dxfId="16068" priority="2223" operator="equal">
      <formula>"OFF"</formula>
    </cfRule>
    <cfRule type="cellIs" dxfId="16067" priority="2224" operator="equal">
      <formula>"PTO"</formula>
    </cfRule>
  </conditionalFormatting>
  <conditionalFormatting sqref="V29">
    <cfRule type="cellIs" dxfId="16066" priority="2221" operator="equal">
      <formula>"OFF"</formula>
    </cfRule>
    <cfRule type="cellIs" dxfId="16065" priority="2222" operator="equal">
      <formula>"PTO"</formula>
    </cfRule>
  </conditionalFormatting>
  <conditionalFormatting sqref="V29">
    <cfRule type="cellIs" dxfId="16064" priority="2219" operator="equal">
      <formula>"OFF"</formula>
    </cfRule>
    <cfRule type="cellIs" dxfId="16063" priority="2220" operator="equal">
      <formula>"PTO"</formula>
    </cfRule>
  </conditionalFormatting>
  <conditionalFormatting sqref="V29">
    <cfRule type="cellIs" dxfId="16062" priority="2217" operator="equal">
      <formula>"OFF"</formula>
    </cfRule>
    <cfRule type="cellIs" dxfId="16061" priority="2218" operator="equal">
      <formula>"PTO"</formula>
    </cfRule>
  </conditionalFormatting>
  <conditionalFormatting sqref="V29">
    <cfRule type="cellIs" dxfId="16060" priority="2215" operator="equal">
      <formula>"OFF"</formula>
    </cfRule>
    <cfRule type="cellIs" dxfId="16059" priority="2216" operator="equal">
      <formula>"PTO"</formula>
    </cfRule>
  </conditionalFormatting>
  <conditionalFormatting sqref="V29">
    <cfRule type="cellIs" dxfId="16058" priority="2213" operator="equal">
      <formula>"OFF"</formula>
    </cfRule>
    <cfRule type="cellIs" dxfId="16057" priority="2214" operator="equal">
      <formula>"PTO"</formula>
    </cfRule>
  </conditionalFormatting>
  <conditionalFormatting sqref="V29">
    <cfRule type="cellIs" dxfId="16056" priority="2211" operator="equal">
      <formula>"OFF"</formula>
    </cfRule>
    <cfRule type="cellIs" dxfId="16055" priority="2212" operator="equal">
      <formula>"PTO"</formula>
    </cfRule>
  </conditionalFormatting>
  <conditionalFormatting sqref="V29">
    <cfRule type="cellIs" dxfId="16054" priority="2209" operator="equal">
      <formula>"OFF"</formula>
    </cfRule>
    <cfRule type="cellIs" dxfId="16053" priority="2210" operator="equal">
      <formula>"PTO"</formula>
    </cfRule>
  </conditionalFormatting>
  <conditionalFormatting sqref="V29">
    <cfRule type="cellIs" dxfId="16052" priority="2207" operator="equal">
      <formula>"OFF"</formula>
    </cfRule>
    <cfRule type="cellIs" dxfId="16051" priority="2208" operator="equal">
      <formula>"PTO"</formula>
    </cfRule>
  </conditionalFormatting>
  <conditionalFormatting sqref="V29">
    <cfRule type="cellIs" dxfId="16050" priority="2205" operator="equal">
      <formula>"OFF"</formula>
    </cfRule>
    <cfRule type="cellIs" dxfId="16049" priority="2206" operator="equal">
      <formula>"PTO"</formula>
    </cfRule>
  </conditionalFormatting>
  <conditionalFormatting sqref="V29">
    <cfRule type="cellIs" dxfId="16048" priority="2203" operator="equal">
      <formula>"OFF"</formula>
    </cfRule>
    <cfRule type="cellIs" dxfId="16047" priority="2204" operator="equal">
      <formula>"PTO"</formula>
    </cfRule>
  </conditionalFormatting>
  <conditionalFormatting sqref="V29">
    <cfRule type="cellIs" dxfId="16046" priority="2201" operator="equal">
      <formula>"OFF"</formula>
    </cfRule>
    <cfRule type="cellIs" dxfId="16045" priority="2202" operator="equal">
      <formula>"PTO"</formula>
    </cfRule>
  </conditionalFormatting>
  <conditionalFormatting sqref="V29">
    <cfRule type="cellIs" dxfId="16044" priority="2199" operator="equal">
      <formula>"OFF"</formula>
    </cfRule>
    <cfRule type="cellIs" dxfId="16043" priority="2200" operator="equal">
      <formula>"PTO"</formula>
    </cfRule>
  </conditionalFormatting>
  <conditionalFormatting sqref="V29">
    <cfRule type="cellIs" dxfId="16042" priority="2197" operator="equal">
      <formula>"OFF"</formula>
    </cfRule>
    <cfRule type="cellIs" dxfId="16041" priority="2198" operator="equal">
      <formula>"PTO"</formula>
    </cfRule>
  </conditionalFormatting>
  <conditionalFormatting sqref="V29">
    <cfRule type="cellIs" dxfId="16040" priority="2195" operator="equal">
      <formula>"OFF"</formula>
    </cfRule>
    <cfRule type="cellIs" dxfId="16039" priority="2196" operator="equal">
      <formula>"PTO"</formula>
    </cfRule>
  </conditionalFormatting>
  <conditionalFormatting sqref="V29">
    <cfRule type="cellIs" dxfId="16038" priority="2193" operator="equal">
      <formula>"OFF"</formula>
    </cfRule>
    <cfRule type="cellIs" dxfId="16037" priority="2194" operator="equal">
      <formula>"PTO"</formula>
    </cfRule>
  </conditionalFormatting>
  <conditionalFormatting sqref="V29">
    <cfRule type="cellIs" dxfId="16036" priority="2191" operator="equal">
      <formula>"OFF"</formula>
    </cfRule>
    <cfRule type="cellIs" dxfId="16035" priority="2192" operator="equal">
      <formula>"PTO"</formula>
    </cfRule>
  </conditionalFormatting>
  <conditionalFormatting sqref="V29">
    <cfRule type="cellIs" dxfId="16034" priority="2189" operator="equal">
      <formula>"OFF"</formula>
    </cfRule>
    <cfRule type="cellIs" dxfId="16033" priority="2190" operator="equal">
      <formula>"PTO"</formula>
    </cfRule>
  </conditionalFormatting>
  <conditionalFormatting sqref="V29">
    <cfRule type="cellIs" dxfId="16032" priority="2187" operator="equal">
      <formula>"OFF"</formula>
    </cfRule>
    <cfRule type="cellIs" dxfId="16031" priority="2188" operator="equal">
      <formula>"PTO"</formula>
    </cfRule>
  </conditionalFormatting>
  <conditionalFormatting sqref="V29">
    <cfRule type="cellIs" dxfId="16030" priority="2185" operator="equal">
      <formula>"OFF"</formula>
    </cfRule>
    <cfRule type="cellIs" dxfId="16029" priority="2186" operator="equal">
      <formula>"PTO"</formula>
    </cfRule>
  </conditionalFormatting>
  <conditionalFormatting sqref="V29">
    <cfRule type="cellIs" dxfId="16028" priority="2183" operator="equal">
      <formula>"OFF"</formula>
    </cfRule>
    <cfRule type="cellIs" dxfId="16027" priority="2184" operator="equal">
      <formula>"PTO"</formula>
    </cfRule>
  </conditionalFormatting>
  <conditionalFormatting sqref="V29">
    <cfRule type="cellIs" dxfId="16026" priority="2181" operator="equal">
      <formula>"OFF"</formula>
    </cfRule>
    <cfRule type="cellIs" dxfId="16025" priority="2182" operator="equal">
      <formula>"PTO"</formula>
    </cfRule>
  </conditionalFormatting>
  <conditionalFormatting sqref="V29">
    <cfRule type="cellIs" dxfId="16024" priority="2179" operator="equal">
      <formula>"OFF"</formula>
    </cfRule>
    <cfRule type="cellIs" dxfId="16023" priority="2180" operator="equal">
      <formula>"PTO"</formula>
    </cfRule>
  </conditionalFormatting>
  <conditionalFormatting sqref="V29">
    <cfRule type="cellIs" dxfId="16022" priority="2177" operator="equal">
      <formula>"OFF"</formula>
    </cfRule>
    <cfRule type="cellIs" dxfId="16021" priority="2178" operator="equal">
      <formula>"PTO"</formula>
    </cfRule>
  </conditionalFormatting>
  <conditionalFormatting sqref="V29">
    <cfRule type="cellIs" dxfId="16020" priority="2175" operator="equal">
      <formula>"OFF"</formula>
    </cfRule>
    <cfRule type="cellIs" dxfId="16019" priority="2176" operator="equal">
      <formula>"PTO"</formula>
    </cfRule>
  </conditionalFormatting>
  <conditionalFormatting sqref="V29">
    <cfRule type="cellIs" dxfId="16018" priority="2173" operator="equal">
      <formula>"OFF"</formula>
    </cfRule>
    <cfRule type="cellIs" dxfId="16017" priority="2174" operator="equal">
      <formula>"PTO"</formula>
    </cfRule>
  </conditionalFormatting>
  <conditionalFormatting sqref="V29">
    <cfRule type="cellIs" dxfId="16016" priority="2171" operator="equal">
      <formula>"OFF"</formula>
    </cfRule>
    <cfRule type="cellIs" dxfId="16015" priority="2172" operator="equal">
      <formula>"PTO"</formula>
    </cfRule>
  </conditionalFormatting>
  <conditionalFormatting sqref="V29">
    <cfRule type="cellIs" dxfId="16014" priority="2169" operator="equal">
      <formula>"OFF"</formula>
    </cfRule>
    <cfRule type="cellIs" dxfId="16013" priority="2170" operator="equal">
      <formula>"PTO"</formula>
    </cfRule>
  </conditionalFormatting>
  <conditionalFormatting sqref="V29">
    <cfRule type="cellIs" dxfId="16012" priority="2167" operator="equal">
      <formula>"OFF"</formula>
    </cfRule>
    <cfRule type="cellIs" dxfId="16011" priority="2168" operator="equal">
      <formula>"PTO"</formula>
    </cfRule>
  </conditionalFormatting>
  <conditionalFormatting sqref="V26:V27 V29:V39">
    <cfRule type="cellIs" dxfId="16010" priority="2165" operator="equal">
      <formula>"OFF"</formula>
    </cfRule>
    <cfRule type="cellIs" dxfId="16009" priority="2166" operator="equal">
      <formula>"PTO"</formula>
    </cfRule>
  </conditionalFormatting>
  <conditionalFormatting sqref="V26">
    <cfRule type="cellIs" dxfId="16008" priority="2163" operator="equal">
      <formula>"OFF"</formula>
    </cfRule>
    <cfRule type="cellIs" dxfId="16007" priority="2164" operator="equal">
      <formula>"PTO"</formula>
    </cfRule>
  </conditionalFormatting>
  <conditionalFormatting sqref="V26">
    <cfRule type="cellIs" dxfId="16006" priority="2161" operator="equal">
      <formula>"OFF"</formula>
    </cfRule>
    <cfRule type="cellIs" dxfId="16005" priority="2162" operator="equal">
      <formula>"PTO"</formula>
    </cfRule>
  </conditionalFormatting>
  <conditionalFormatting sqref="V26">
    <cfRule type="cellIs" dxfId="16004" priority="2159" operator="equal">
      <formula>"OFF"</formula>
    </cfRule>
    <cfRule type="cellIs" dxfId="16003" priority="2160" operator="equal">
      <formula>"PTO"</formula>
    </cfRule>
  </conditionalFormatting>
  <conditionalFormatting sqref="V26">
    <cfRule type="cellIs" dxfId="16002" priority="2157" operator="equal">
      <formula>"OFF"</formula>
    </cfRule>
    <cfRule type="cellIs" dxfId="16001" priority="2158" operator="equal">
      <formula>"PTO"</formula>
    </cfRule>
  </conditionalFormatting>
  <conditionalFormatting sqref="V26">
    <cfRule type="cellIs" dxfId="16000" priority="2155" operator="equal">
      <formula>"OFF"</formula>
    </cfRule>
    <cfRule type="cellIs" dxfId="15999" priority="2156" operator="equal">
      <formula>"PTO"</formula>
    </cfRule>
  </conditionalFormatting>
  <conditionalFormatting sqref="V26">
    <cfRule type="cellIs" dxfId="15998" priority="2153" operator="equal">
      <formula>"OFF"</formula>
    </cfRule>
    <cfRule type="cellIs" dxfId="15997" priority="2154" operator="equal">
      <formula>"PTO"</formula>
    </cfRule>
  </conditionalFormatting>
  <conditionalFormatting sqref="V26">
    <cfRule type="cellIs" dxfId="15996" priority="2151" operator="equal">
      <formula>"OFF"</formula>
    </cfRule>
    <cfRule type="cellIs" dxfId="15995" priority="2152" operator="equal">
      <formula>"PTO"</formula>
    </cfRule>
  </conditionalFormatting>
  <conditionalFormatting sqref="V26">
    <cfRule type="cellIs" dxfId="15994" priority="2149" operator="equal">
      <formula>"OFF"</formula>
    </cfRule>
    <cfRule type="cellIs" dxfId="15993" priority="2150" operator="equal">
      <formula>"PTO"</formula>
    </cfRule>
  </conditionalFormatting>
  <conditionalFormatting sqref="V27">
    <cfRule type="cellIs" dxfId="15992" priority="2147" operator="equal">
      <formula>"OFF"</formula>
    </cfRule>
    <cfRule type="cellIs" dxfId="15991" priority="2148" operator="equal">
      <formula>"PTO"</formula>
    </cfRule>
  </conditionalFormatting>
  <conditionalFormatting sqref="V27">
    <cfRule type="cellIs" dxfId="15990" priority="2145" operator="equal">
      <formula>"OFF"</formula>
    </cfRule>
    <cfRule type="cellIs" dxfId="15989" priority="2146" operator="equal">
      <formula>"PTO"</formula>
    </cfRule>
  </conditionalFormatting>
  <conditionalFormatting sqref="V27">
    <cfRule type="cellIs" dxfId="15988" priority="2143" operator="equal">
      <formula>"OFF"</formula>
    </cfRule>
    <cfRule type="cellIs" dxfId="15987" priority="2144" operator="equal">
      <formula>"PTO"</formula>
    </cfRule>
  </conditionalFormatting>
  <conditionalFormatting sqref="V27">
    <cfRule type="cellIs" dxfId="15986" priority="2141" operator="equal">
      <formula>"OFF"</formula>
    </cfRule>
    <cfRule type="cellIs" dxfId="15985" priority="2142" operator="equal">
      <formula>"PTO"</formula>
    </cfRule>
  </conditionalFormatting>
  <conditionalFormatting sqref="V27">
    <cfRule type="cellIs" dxfId="15984" priority="2139" operator="equal">
      <formula>"OFF"</formula>
    </cfRule>
    <cfRule type="cellIs" dxfId="15983" priority="2140" operator="equal">
      <formula>"PTO"</formula>
    </cfRule>
  </conditionalFormatting>
  <conditionalFormatting sqref="V27">
    <cfRule type="cellIs" dxfId="15982" priority="2137" operator="equal">
      <formula>"OFF"</formula>
    </cfRule>
    <cfRule type="cellIs" dxfId="15981" priority="2138" operator="equal">
      <formula>"PTO"</formula>
    </cfRule>
  </conditionalFormatting>
  <conditionalFormatting sqref="V27">
    <cfRule type="cellIs" dxfId="15980" priority="2135" operator="equal">
      <formula>"OFF"</formula>
    </cfRule>
    <cfRule type="cellIs" dxfId="15979" priority="2136" operator="equal">
      <formula>"PTO"</formula>
    </cfRule>
  </conditionalFormatting>
  <conditionalFormatting sqref="V27">
    <cfRule type="cellIs" dxfId="15978" priority="2133" operator="equal">
      <formula>"OFF"</formula>
    </cfRule>
    <cfRule type="cellIs" dxfId="15977" priority="2134" operator="equal">
      <formula>"PTO"</formula>
    </cfRule>
  </conditionalFormatting>
  <conditionalFormatting sqref="V26">
    <cfRule type="cellIs" dxfId="15976" priority="2131" operator="equal">
      <formula>"OFF"</formula>
    </cfRule>
    <cfRule type="cellIs" dxfId="15975" priority="2132" operator="equal">
      <formula>"PTO"</formula>
    </cfRule>
  </conditionalFormatting>
  <conditionalFormatting sqref="V26">
    <cfRule type="cellIs" dxfId="15974" priority="2129" operator="equal">
      <formula>"OFF"</formula>
    </cfRule>
    <cfRule type="cellIs" dxfId="15973" priority="2130" operator="equal">
      <formula>"PTO"</formula>
    </cfRule>
  </conditionalFormatting>
  <conditionalFormatting sqref="V26">
    <cfRule type="cellIs" dxfId="15972" priority="2127" operator="equal">
      <formula>"OFF"</formula>
    </cfRule>
    <cfRule type="cellIs" dxfId="15971" priority="2128" operator="equal">
      <formula>"PTO"</formula>
    </cfRule>
  </conditionalFormatting>
  <conditionalFormatting sqref="V26">
    <cfRule type="cellIs" dxfId="15970" priority="2125" operator="equal">
      <formula>"OFF"</formula>
    </cfRule>
    <cfRule type="cellIs" dxfId="15969" priority="2126" operator="equal">
      <formula>"PTO"</formula>
    </cfRule>
  </conditionalFormatting>
  <conditionalFormatting sqref="V26">
    <cfRule type="cellIs" dxfId="15968" priority="2123" operator="equal">
      <formula>"OFF"</formula>
    </cfRule>
    <cfRule type="cellIs" dxfId="15967" priority="2124" operator="equal">
      <formula>"PTO"</formula>
    </cfRule>
  </conditionalFormatting>
  <conditionalFormatting sqref="V26">
    <cfRule type="cellIs" dxfId="15966" priority="2121" operator="equal">
      <formula>"OFF"</formula>
    </cfRule>
    <cfRule type="cellIs" dxfId="15965" priority="2122" operator="equal">
      <formula>"PTO"</formula>
    </cfRule>
  </conditionalFormatting>
  <conditionalFormatting sqref="V26">
    <cfRule type="cellIs" dxfId="15964" priority="2119" operator="equal">
      <formula>"OFF"</formula>
    </cfRule>
    <cfRule type="cellIs" dxfId="15963" priority="2120" operator="equal">
      <formula>"PTO"</formula>
    </cfRule>
  </conditionalFormatting>
  <conditionalFormatting sqref="V26">
    <cfRule type="cellIs" dxfId="15962" priority="2117" operator="equal">
      <formula>"OFF"</formula>
    </cfRule>
    <cfRule type="cellIs" dxfId="15961" priority="2118" operator="equal">
      <formula>"PTO"</formula>
    </cfRule>
  </conditionalFormatting>
  <conditionalFormatting sqref="V27">
    <cfRule type="cellIs" dxfId="15960" priority="2115" operator="equal">
      <formula>"OFF"</formula>
    </cfRule>
    <cfRule type="cellIs" dxfId="15959" priority="2116" operator="equal">
      <formula>"PTO"</formula>
    </cfRule>
  </conditionalFormatting>
  <conditionalFormatting sqref="V27">
    <cfRule type="cellIs" dxfId="15958" priority="2113" operator="equal">
      <formula>"OFF"</formula>
    </cfRule>
    <cfRule type="cellIs" dxfId="15957" priority="2114" operator="equal">
      <formula>"PTO"</formula>
    </cfRule>
  </conditionalFormatting>
  <conditionalFormatting sqref="V27">
    <cfRule type="cellIs" dxfId="15956" priority="2111" operator="equal">
      <formula>"OFF"</formula>
    </cfRule>
    <cfRule type="cellIs" dxfId="15955" priority="2112" operator="equal">
      <formula>"PTO"</formula>
    </cfRule>
  </conditionalFormatting>
  <conditionalFormatting sqref="V27">
    <cfRule type="cellIs" dxfId="15954" priority="2109" operator="equal">
      <formula>"OFF"</formula>
    </cfRule>
    <cfRule type="cellIs" dxfId="15953" priority="2110" operator="equal">
      <formula>"PTO"</formula>
    </cfRule>
  </conditionalFormatting>
  <conditionalFormatting sqref="V27">
    <cfRule type="cellIs" dxfId="15952" priority="2107" operator="equal">
      <formula>"OFF"</formula>
    </cfRule>
    <cfRule type="cellIs" dxfId="15951" priority="2108" operator="equal">
      <formula>"PTO"</formula>
    </cfRule>
  </conditionalFormatting>
  <conditionalFormatting sqref="V27">
    <cfRule type="cellIs" dxfId="15950" priority="2105" operator="equal">
      <formula>"OFF"</formula>
    </cfRule>
    <cfRule type="cellIs" dxfId="15949" priority="2106" operator="equal">
      <formula>"PTO"</formula>
    </cfRule>
  </conditionalFormatting>
  <conditionalFormatting sqref="V27">
    <cfRule type="cellIs" dxfId="15948" priority="2103" operator="equal">
      <formula>"OFF"</formula>
    </cfRule>
    <cfRule type="cellIs" dxfId="15947" priority="2104" operator="equal">
      <formula>"PTO"</formula>
    </cfRule>
  </conditionalFormatting>
  <conditionalFormatting sqref="V27">
    <cfRule type="cellIs" dxfId="15946" priority="2101" operator="equal">
      <formula>"OFF"</formula>
    </cfRule>
    <cfRule type="cellIs" dxfId="15945" priority="2102" operator="equal">
      <formula>"PTO"</formula>
    </cfRule>
  </conditionalFormatting>
  <conditionalFormatting sqref="V26">
    <cfRule type="cellIs" dxfId="15944" priority="2099" operator="equal">
      <formula>"OFF"</formula>
    </cfRule>
    <cfRule type="cellIs" dxfId="15943" priority="2100" operator="equal">
      <formula>"PTO"</formula>
    </cfRule>
  </conditionalFormatting>
  <conditionalFormatting sqref="V26">
    <cfRule type="cellIs" dxfId="15942" priority="2097" operator="equal">
      <formula>"OFF"</formula>
    </cfRule>
    <cfRule type="cellIs" dxfId="15941" priority="2098" operator="equal">
      <formula>"PTO"</formula>
    </cfRule>
  </conditionalFormatting>
  <conditionalFormatting sqref="V26">
    <cfRule type="cellIs" dxfId="15940" priority="2095" operator="equal">
      <formula>"OFF"</formula>
    </cfRule>
    <cfRule type="cellIs" dxfId="15939" priority="2096" operator="equal">
      <formula>"PTO"</formula>
    </cfRule>
  </conditionalFormatting>
  <conditionalFormatting sqref="V26">
    <cfRule type="cellIs" dxfId="15938" priority="2093" operator="equal">
      <formula>"OFF"</formula>
    </cfRule>
    <cfRule type="cellIs" dxfId="15937" priority="2094" operator="equal">
      <formula>"PTO"</formula>
    </cfRule>
  </conditionalFormatting>
  <conditionalFormatting sqref="V26">
    <cfRule type="cellIs" dxfId="15936" priority="2091" operator="equal">
      <formula>"OFF"</formula>
    </cfRule>
    <cfRule type="cellIs" dxfId="15935" priority="2092" operator="equal">
      <formula>"PTO"</formula>
    </cfRule>
  </conditionalFormatting>
  <conditionalFormatting sqref="V26">
    <cfRule type="cellIs" dxfId="15934" priority="2089" operator="equal">
      <formula>"OFF"</formula>
    </cfRule>
    <cfRule type="cellIs" dxfId="15933" priority="2090" operator="equal">
      <formula>"PTO"</formula>
    </cfRule>
  </conditionalFormatting>
  <conditionalFormatting sqref="V26">
    <cfRule type="cellIs" dxfId="15932" priority="2087" operator="equal">
      <formula>"OFF"</formula>
    </cfRule>
    <cfRule type="cellIs" dxfId="15931" priority="2088" operator="equal">
      <formula>"PTO"</formula>
    </cfRule>
  </conditionalFormatting>
  <conditionalFormatting sqref="V26">
    <cfRule type="cellIs" dxfId="15930" priority="2085" operator="equal">
      <formula>"OFF"</formula>
    </cfRule>
    <cfRule type="cellIs" dxfId="15929" priority="2086" operator="equal">
      <formula>"PTO"</formula>
    </cfRule>
  </conditionalFormatting>
  <conditionalFormatting sqref="V27">
    <cfRule type="cellIs" dxfId="15928" priority="2083" operator="equal">
      <formula>"OFF"</formula>
    </cfRule>
    <cfRule type="cellIs" dxfId="15927" priority="2084" operator="equal">
      <formula>"PTO"</formula>
    </cfRule>
  </conditionalFormatting>
  <conditionalFormatting sqref="V27">
    <cfRule type="cellIs" dxfId="15926" priority="2081" operator="equal">
      <formula>"OFF"</formula>
    </cfRule>
    <cfRule type="cellIs" dxfId="15925" priority="2082" operator="equal">
      <formula>"PTO"</formula>
    </cfRule>
  </conditionalFormatting>
  <conditionalFormatting sqref="V27">
    <cfRule type="cellIs" dxfId="15924" priority="2079" operator="equal">
      <formula>"OFF"</formula>
    </cfRule>
    <cfRule type="cellIs" dxfId="15923" priority="2080" operator="equal">
      <formula>"PTO"</formula>
    </cfRule>
  </conditionalFormatting>
  <conditionalFormatting sqref="V27">
    <cfRule type="cellIs" dxfId="15922" priority="2077" operator="equal">
      <formula>"OFF"</formula>
    </cfRule>
    <cfRule type="cellIs" dxfId="15921" priority="2078" operator="equal">
      <formula>"PTO"</formula>
    </cfRule>
  </conditionalFormatting>
  <conditionalFormatting sqref="V27">
    <cfRule type="cellIs" dxfId="15920" priority="2075" operator="equal">
      <formula>"OFF"</formula>
    </cfRule>
    <cfRule type="cellIs" dxfId="15919" priority="2076" operator="equal">
      <formula>"PTO"</formula>
    </cfRule>
  </conditionalFormatting>
  <conditionalFormatting sqref="V27">
    <cfRule type="cellIs" dxfId="15918" priority="2073" operator="equal">
      <formula>"OFF"</formula>
    </cfRule>
    <cfRule type="cellIs" dxfId="15917" priority="2074" operator="equal">
      <formula>"PTO"</formula>
    </cfRule>
  </conditionalFormatting>
  <conditionalFormatting sqref="V27">
    <cfRule type="cellIs" dxfId="15916" priority="2071" operator="equal">
      <formula>"OFF"</formula>
    </cfRule>
    <cfRule type="cellIs" dxfId="15915" priority="2072" operator="equal">
      <formula>"PTO"</formula>
    </cfRule>
  </conditionalFormatting>
  <conditionalFormatting sqref="V27">
    <cfRule type="cellIs" dxfId="15914" priority="2069" operator="equal">
      <formula>"OFF"</formula>
    </cfRule>
    <cfRule type="cellIs" dxfId="15913" priority="2070" operator="equal">
      <formula>"PTO"</formula>
    </cfRule>
  </conditionalFormatting>
  <conditionalFormatting sqref="V26">
    <cfRule type="cellIs" dxfId="15912" priority="2067" operator="equal">
      <formula>"OFF"</formula>
    </cfRule>
    <cfRule type="cellIs" dxfId="15911" priority="2068" operator="equal">
      <formula>"PTO"</formula>
    </cfRule>
  </conditionalFormatting>
  <conditionalFormatting sqref="V26">
    <cfRule type="cellIs" dxfId="15910" priority="2065" operator="equal">
      <formula>"OFF"</formula>
    </cfRule>
    <cfRule type="cellIs" dxfId="15909" priority="2066" operator="equal">
      <formula>"PTO"</formula>
    </cfRule>
  </conditionalFormatting>
  <conditionalFormatting sqref="V26">
    <cfRule type="cellIs" dxfId="15908" priority="2063" operator="equal">
      <formula>"OFF"</formula>
    </cfRule>
    <cfRule type="cellIs" dxfId="15907" priority="2064" operator="equal">
      <formula>"PTO"</formula>
    </cfRule>
  </conditionalFormatting>
  <conditionalFormatting sqref="V26">
    <cfRule type="cellIs" dxfId="15906" priority="2061" operator="equal">
      <formula>"OFF"</formula>
    </cfRule>
    <cfRule type="cellIs" dxfId="15905" priority="2062" operator="equal">
      <formula>"PTO"</formula>
    </cfRule>
  </conditionalFormatting>
  <conditionalFormatting sqref="V26">
    <cfRule type="cellIs" dxfId="15904" priority="2059" operator="equal">
      <formula>"OFF"</formula>
    </cfRule>
    <cfRule type="cellIs" dxfId="15903" priority="2060" operator="equal">
      <formula>"PTO"</formula>
    </cfRule>
  </conditionalFormatting>
  <conditionalFormatting sqref="V26">
    <cfRule type="cellIs" dxfId="15902" priority="2057" operator="equal">
      <formula>"OFF"</formula>
    </cfRule>
    <cfRule type="cellIs" dxfId="15901" priority="2058" operator="equal">
      <formula>"PTO"</formula>
    </cfRule>
  </conditionalFormatting>
  <conditionalFormatting sqref="V26">
    <cfRule type="cellIs" dxfId="15900" priority="2055" operator="equal">
      <formula>"OFF"</formula>
    </cfRule>
    <cfRule type="cellIs" dxfId="15899" priority="2056" operator="equal">
      <formula>"PTO"</formula>
    </cfRule>
  </conditionalFormatting>
  <conditionalFormatting sqref="V26">
    <cfRule type="cellIs" dxfId="15898" priority="2053" operator="equal">
      <formula>"OFF"</formula>
    </cfRule>
    <cfRule type="cellIs" dxfId="15897" priority="2054" operator="equal">
      <formula>"PTO"</formula>
    </cfRule>
  </conditionalFormatting>
  <conditionalFormatting sqref="V27">
    <cfRule type="cellIs" dxfId="15896" priority="2051" operator="equal">
      <formula>"OFF"</formula>
    </cfRule>
    <cfRule type="cellIs" dxfId="15895" priority="2052" operator="equal">
      <formula>"PTO"</formula>
    </cfRule>
  </conditionalFormatting>
  <conditionalFormatting sqref="V27">
    <cfRule type="cellIs" dxfId="15894" priority="2049" operator="equal">
      <formula>"OFF"</formula>
    </cfRule>
    <cfRule type="cellIs" dxfId="15893" priority="2050" operator="equal">
      <formula>"PTO"</formula>
    </cfRule>
  </conditionalFormatting>
  <conditionalFormatting sqref="V27">
    <cfRule type="cellIs" dxfId="15892" priority="2047" operator="equal">
      <formula>"OFF"</formula>
    </cfRule>
    <cfRule type="cellIs" dxfId="15891" priority="2048" operator="equal">
      <formula>"PTO"</formula>
    </cfRule>
  </conditionalFormatting>
  <conditionalFormatting sqref="V27">
    <cfRule type="cellIs" dxfId="15890" priority="2045" operator="equal">
      <formula>"OFF"</formula>
    </cfRule>
    <cfRule type="cellIs" dxfId="15889" priority="2046" operator="equal">
      <formula>"PTO"</formula>
    </cfRule>
  </conditionalFormatting>
  <conditionalFormatting sqref="V27">
    <cfRule type="cellIs" dxfId="15888" priority="2043" operator="equal">
      <formula>"OFF"</formula>
    </cfRule>
    <cfRule type="cellIs" dxfId="15887" priority="2044" operator="equal">
      <formula>"PTO"</formula>
    </cfRule>
  </conditionalFormatting>
  <conditionalFormatting sqref="V27">
    <cfRule type="cellIs" dxfId="15886" priority="2041" operator="equal">
      <formula>"OFF"</formula>
    </cfRule>
    <cfRule type="cellIs" dxfId="15885" priority="2042" operator="equal">
      <formula>"PTO"</formula>
    </cfRule>
  </conditionalFormatting>
  <conditionalFormatting sqref="V27">
    <cfRule type="cellIs" dxfId="15884" priority="2039" operator="equal">
      <formula>"OFF"</formula>
    </cfRule>
    <cfRule type="cellIs" dxfId="15883" priority="2040" operator="equal">
      <formula>"PTO"</formula>
    </cfRule>
  </conditionalFormatting>
  <conditionalFormatting sqref="V27">
    <cfRule type="cellIs" dxfId="15882" priority="2037" operator="equal">
      <formula>"OFF"</formula>
    </cfRule>
    <cfRule type="cellIs" dxfId="15881" priority="2038" operator="equal">
      <formula>"PTO"</formula>
    </cfRule>
  </conditionalFormatting>
  <conditionalFormatting sqref="V26">
    <cfRule type="cellIs" dxfId="15880" priority="2035" operator="equal">
      <formula>"OFF"</formula>
    </cfRule>
    <cfRule type="cellIs" dxfId="15879" priority="2036" operator="equal">
      <formula>"PTO"</formula>
    </cfRule>
  </conditionalFormatting>
  <conditionalFormatting sqref="V26">
    <cfRule type="cellIs" dxfId="15878" priority="2033" operator="equal">
      <formula>"OFF"</formula>
    </cfRule>
    <cfRule type="cellIs" dxfId="15877" priority="2034" operator="equal">
      <formula>"PTO"</formula>
    </cfRule>
  </conditionalFormatting>
  <conditionalFormatting sqref="V26">
    <cfRule type="cellIs" dxfId="15876" priority="2031" operator="equal">
      <formula>"OFF"</formula>
    </cfRule>
    <cfRule type="cellIs" dxfId="15875" priority="2032" operator="equal">
      <formula>"PTO"</formula>
    </cfRule>
  </conditionalFormatting>
  <conditionalFormatting sqref="V26">
    <cfRule type="cellIs" dxfId="15874" priority="2029" operator="equal">
      <formula>"OFF"</formula>
    </cfRule>
    <cfRule type="cellIs" dxfId="15873" priority="2030" operator="equal">
      <formula>"PTO"</formula>
    </cfRule>
  </conditionalFormatting>
  <conditionalFormatting sqref="V26">
    <cfRule type="cellIs" dxfId="15872" priority="2027" operator="equal">
      <formula>"OFF"</formula>
    </cfRule>
    <cfRule type="cellIs" dxfId="15871" priority="2028" operator="equal">
      <formula>"PTO"</formula>
    </cfRule>
  </conditionalFormatting>
  <conditionalFormatting sqref="V26">
    <cfRule type="cellIs" dxfId="15870" priority="2025" operator="equal">
      <formula>"OFF"</formula>
    </cfRule>
    <cfRule type="cellIs" dxfId="15869" priority="2026" operator="equal">
      <formula>"PTO"</formula>
    </cfRule>
  </conditionalFormatting>
  <conditionalFormatting sqref="V26">
    <cfRule type="cellIs" dxfId="15868" priority="2023" operator="equal">
      <formula>"OFF"</formula>
    </cfRule>
    <cfRule type="cellIs" dxfId="15867" priority="2024" operator="equal">
      <formula>"PTO"</formula>
    </cfRule>
  </conditionalFormatting>
  <conditionalFormatting sqref="V26">
    <cfRule type="cellIs" dxfId="15866" priority="2021" operator="equal">
      <formula>"OFF"</formula>
    </cfRule>
    <cfRule type="cellIs" dxfId="15865" priority="2022" operator="equal">
      <formula>"PTO"</formula>
    </cfRule>
  </conditionalFormatting>
  <conditionalFormatting sqref="V27">
    <cfRule type="cellIs" dxfId="15864" priority="2019" operator="equal">
      <formula>"OFF"</formula>
    </cfRule>
    <cfRule type="cellIs" dxfId="15863" priority="2020" operator="equal">
      <formula>"PTO"</formula>
    </cfRule>
  </conditionalFormatting>
  <conditionalFormatting sqref="V27">
    <cfRule type="cellIs" dxfId="15862" priority="2017" operator="equal">
      <formula>"OFF"</formula>
    </cfRule>
    <cfRule type="cellIs" dxfId="15861" priority="2018" operator="equal">
      <formula>"PTO"</formula>
    </cfRule>
  </conditionalFormatting>
  <conditionalFormatting sqref="V27">
    <cfRule type="cellIs" dxfId="15860" priority="2015" operator="equal">
      <formula>"OFF"</formula>
    </cfRule>
    <cfRule type="cellIs" dxfId="15859" priority="2016" operator="equal">
      <formula>"PTO"</formula>
    </cfRule>
  </conditionalFormatting>
  <conditionalFormatting sqref="V27">
    <cfRule type="cellIs" dxfId="15858" priority="2013" operator="equal">
      <formula>"OFF"</formula>
    </cfRule>
    <cfRule type="cellIs" dxfId="15857" priority="2014" operator="equal">
      <formula>"PTO"</formula>
    </cfRule>
  </conditionalFormatting>
  <conditionalFormatting sqref="V27">
    <cfRule type="cellIs" dxfId="15856" priority="2011" operator="equal">
      <formula>"OFF"</formula>
    </cfRule>
    <cfRule type="cellIs" dxfId="15855" priority="2012" operator="equal">
      <formula>"PTO"</formula>
    </cfRule>
  </conditionalFormatting>
  <conditionalFormatting sqref="V27">
    <cfRule type="cellIs" dxfId="15854" priority="2009" operator="equal">
      <formula>"OFF"</formula>
    </cfRule>
    <cfRule type="cellIs" dxfId="15853" priority="2010" operator="equal">
      <formula>"PTO"</formula>
    </cfRule>
  </conditionalFormatting>
  <conditionalFormatting sqref="V27">
    <cfRule type="cellIs" dxfId="15852" priority="2007" operator="equal">
      <formula>"OFF"</formula>
    </cfRule>
    <cfRule type="cellIs" dxfId="15851" priority="2008" operator="equal">
      <formula>"PTO"</formula>
    </cfRule>
  </conditionalFormatting>
  <conditionalFormatting sqref="V27">
    <cfRule type="cellIs" dxfId="15850" priority="2005" operator="equal">
      <formula>"OFF"</formula>
    </cfRule>
    <cfRule type="cellIs" dxfId="15849" priority="2006" operator="equal">
      <formula>"PTO"</formula>
    </cfRule>
  </conditionalFormatting>
  <conditionalFormatting sqref="V26">
    <cfRule type="cellIs" dxfId="15848" priority="2003" operator="equal">
      <formula>"OFF"</formula>
    </cfRule>
    <cfRule type="cellIs" dxfId="15847" priority="2004" operator="equal">
      <formula>"PTO"</formula>
    </cfRule>
  </conditionalFormatting>
  <conditionalFormatting sqref="V26">
    <cfRule type="cellIs" dxfId="15846" priority="2001" operator="equal">
      <formula>"OFF"</formula>
    </cfRule>
    <cfRule type="cellIs" dxfId="15845" priority="2002" operator="equal">
      <formula>"PTO"</formula>
    </cfRule>
  </conditionalFormatting>
  <conditionalFormatting sqref="V26">
    <cfRule type="cellIs" dxfId="15844" priority="1999" operator="equal">
      <formula>"OFF"</formula>
    </cfRule>
    <cfRule type="cellIs" dxfId="15843" priority="2000" operator="equal">
      <formula>"PTO"</formula>
    </cfRule>
  </conditionalFormatting>
  <conditionalFormatting sqref="V26">
    <cfRule type="cellIs" dxfId="15842" priority="1997" operator="equal">
      <formula>"OFF"</formula>
    </cfRule>
    <cfRule type="cellIs" dxfId="15841" priority="1998" operator="equal">
      <formula>"PTO"</formula>
    </cfRule>
  </conditionalFormatting>
  <conditionalFormatting sqref="V26">
    <cfRule type="cellIs" dxfId="15840" priority="1995" operator="equal">
      <formula>"OFF"</formula>
    </cfRule>
    <cfRule type="cellIs" dxfId="15839" priority="1996" operator="equal">
      <formula>"PTO"</formula>
    </cfRule>
  </conditionalFormatting>
  <conditionalFormatting sqref="V26">
    <cfRule type="cellIs" dxfId="15838" priority="1993" operator="equal">
      <formula>"OFF"</formula>
    </cfRule>
    <cfRule type="cellIs" dxfId="15837" priority="1994" operator="equal">
      <formula>"PTO"</formula>
    </cfRule>
  </conditionalFormatting>
  <conditionalFormatting sqref="V26">
    <cfRule type="cellIs" dxfId="15836" priority="1991" operator="equal">
      <formula>"OFF"</formula>
    </cfRule>
    <cfRule type="cellIs" dxfId="15835" priority="1992" operator="equal">
      <formula>"PTO"</formula>
    </cfRule>
  </conditionalFormatting>
  <conditionalFormatting sqref="V26">
    <cfRule type="cellIs" dxfId="15834" priority="1989" operator="equal">
      <formula>"OFF"</formula>
    </cfRule>
    <cfRule type="cellIs" dxfId="15833" priority="1990" operator="equal">
      <formula>"PTO"</formula>
    </cfRule>
  </conditionalFormatting>
  <conditionalFormatting sqref="V27">
    <cfRule type="cellIs" dxfId="15832" priority="1987" operator="equal">
      <formula>"OFF"</formula>
    </cfRule>
    <cfRule type="cellIs" dxfId="15831" priority="1988" operator="equal">
      <formula>"PTO"</formula>
    </cfRule>
  </conditionalFormatting>
  <conditionalFormatting sqref="V27">
    <cfRule type="cellIs" dxfId="15830" priority="1985" operator="equal">
      <formula>"OFF"</formula>
    </cfRule>
    <cfRule type="cellIs" dxfId="15829" priority="1986" operator="equal">
      <formula>"PTO"</formula>
    </cfRule>
  </conditionalFormatting>
  <conditionalFormatting sqref="V27">
    <cfRule type="cellIs" dxfId="15828" priority="1983" operator="equal">
      <formula>"OFF"</formula>
    </cfRule>
    <cfRule type="cellIs" dxfId="15827" priority="1984" operator="equal">
      <formula>"PTO"</formula>
    </cfRule>
  </conditionalFormatting>
  <conditionalFormatting sqref="V27">
    <cfRule type="cellIs" dxfId="15826" priority="1981" operator="equal">
      <formula>"OFF"</formula>
    </cfRule>
    <cfRule type="cellIs" dxfId="15825" priority="1982" operator="equal">
      <formula>"PTO"</formula>
    </cfRule>
  </conditionalFormatting>
  <conditionalFormatting sqref="V27">
    <cfRule type="cellIs" dxfId="15824" priority="1979" operator="equal">
      <formula>"OFF"</formula>
    </cfRule>
    <cfRule type="cellIs" dxfId="15823" priority="1980" operator="equal">
      <formula>"PTO"</formula>
    </cfRule>
  </conditionalFormatting>
  <conditionalFormatting sqref="V27">
    <cfRule type="cellIs" dxfId="15822" priority="1977" operator="equal">
      <formula>"OFF"</formula>
    </cfRule>
    <cfRule type="cellIs" dxfId="15821" priority="1978" operator="equal">
      <formula>"PTO"</formula>
    </cfRule>
  </conditionalFormatting>
  <conditionalFormatting sqref="V27">
    <cfRule type="cellIs" dxfId="15820" priority="1975" operator="equal">
      <formula>"OFF"</formula>
    </cfRule>
    <cfRule type="cellIs" dxfId="15819" priority="1976" operator="equal">
      <formula>"PTO"</formula>
    </cfRule>
  </conditionalFormatting>
  <conditionalFormatting sqref="V27">
    <cfRule type="cellIs" dxfId="15818" priority="1973" operator="equal">
      <formula>"OFF"</formula>
    </cfRule>
    <cfRule type="cellIs" dxfId="15817" priority="1974" operator="equal">
      <formula>"PTO"</formula>
    </cfRule>
  </conditionalFormatting>
  <conditionalFormatting sqref="V26">
    <cfRule type="cellIs" dxfId="15816" priority="1971" operator="equal">
      <formula>"OFF"</formula>
    </cfRule>
    <cfRule type="cellIs" dxfId="15815" priority="1972" operator="equal">
      <formula>"PTO"</formula>
    </cfRule>
  </conditionalFormatting>
  <conditionalFormatting sqref="V26">
    <cfRule type="cellIs" dxfId="15814" priority="1969" operator="equal">
      <formula>"OFF"</formula>
    </cfRule>
    <cfRule type="cellIs" dxfId="15813" priority="1970" operator="equal">
      <formula>"PTO"</formula>
    </cfRule>
  </conditionalFormatting>
  <conditionalFormatting sqref="V26">
    <cfRule type="cellIs" dxfId="15812" priority="1967" operator="equal">
      <formula>"OFF"</formula>
    </cfRule>
    <cfRule type="cellIs" dxfId="15811" priority="1968" operator="equal">
      <formula>"PTO"</formula>
    </cfRule>
  </conditionalFormatting>
  <conditionalFormatting sqref="V26">
    <cfRule type="cellIs" dxfId="15810" priority="1965" operator="equal">
      <formula>"OFF"</formula>
    </cfRule>
    <cfRule type="cellIs" dxfId="15809" priority="1966" operator="equal">
      <formula>"PTO"</formula>
    </cfRule>
  </conditionalFormatting>
  <conditionalFormatting sqref="V26">
    <cfRule type="cellIs" dxfId="15808" priority="1963" operator="equal">
      <formula>"OFF"</formula>
    </cfRule>
    <cfRule type="cellIs" dxfId="15807" priority="1964" operator="equal">
      <formula>"PTO"</formula>
    </cfRule>
  </conditionalFormatting>
  <conditionalFormatting sqref="V26">
    <cfRule type="cellIs" dxfId="15806" priority="1961" operator="equal">
      <formula>"OFF"</formula>
    </cfRule>
    <cfRule type="cellIs" dxfId="15805" priority="1962" operator="equal">
      <formula>"PTO"</formula>
    </cfRule>
  </conditionalFormatting>
  <conditionalFormatting sqref="V26">
    <cfRule type="cellIs" dxfId="15804" priority="1959" operator="equal">
      <formula>"OFF"</formula>
    </cfRule>
    <cfRule type="cellIs" dxfId="15803" priority="1960" operator="equal">
      <formula>"PTO"</formula>
    </cfRule>
  </conditionalFormatting>
  <conditionalFormatting sqref="V26">
    <cfRule type="cellIs" dxfId="15802" priority="1957" operator="equal">
      <formula>"OFF"</formula>
    </cfRule>
    <cfRule type="cellIs" dxfId="15801" priority="1958" operator="equal">
      <formula>"PTO"</formula>
    </cfRule>
  </conditionalFormatting>
  <conditionalFormatting sqref="V27">
    <cfRule type="cellIs" dxfId="15800" priority="1955" operator="equal">
      <formula>"OFF"</formula>
    </cfRule>
    <cfRule type="cellIs" dxfId="15799" priority="1956" operator="equal">
      <formula>"PTO"</formula>
    </cfRule>
  </conditionalFormatting>
  <conditionalFormatting sqref="V27">
    <cfRule type="cellIs" dxfId="15798" priority="1953" operator="equal">
      <formula>"OFF"</formula>
    </cfRule>
    <cfRule type="cellIs" dxfId="15797" priority="1954" operator="equal">
      <formula>"PTO"</formula>
    </cfRule>
  </conditionalFormatting>
  <conditionalFormatting sqref="V27">
    <cfRule type="cellIs" dxfId="15796" priority="1951" operator="equal">
      <formula>"OFF"</formula>
    </cfRule>
    <cfRule type="cellIs" dxfId="15795" priority="1952" operator="equal">
      <formula>"PTO"</formula>
    </cfRule>
  </conditionalFormatting>
  <conditionalFormatting sqref="V27">
    <cfRule type="cellIs" dxfId="15794" priority="1949" operator="equal">
      <formula>"OFF"</formula>
    </cfRule>
    <cfRule type="cellIs" dxfId="15793" priority="1950" operator="equal">
      <formula>"PTO"</formula>
    </cfRule>
  </conditionalFormatting>
  <conditionalFormatting sqref="V27">
    <cfRule type="cellIs" dxfId="15792" priority="1947" operator="equal">
      <formula>"OFF"</formula>
    </cfRule>
    <cfRule type="cellIs" dxfId="15791" priority="1948" operator="equal">
      <formula>"PTO"</formula>
    </cfRule>
  </conditionalFormatting>
  <conditionalFormatting sqref="V27">
    <cfRule type="cellIs" dxfId="15790" priority="1945" operator="equal">
      <formula>"OFF"</formula>
    </cfRule>
    <cfRule type="cellIs" dxfId="15789" priority="1946" operator="equal">
      <formula>"PTO"</formula>
    </cfRule>
  </conditionalFormatting>
  <conditionalFormatting sqref="V27">
    <cfRule type="cellIs" dxfId="15788" priority="1943" operator="equal">
      <formula>"OFF"</formula>
    </cfRule>
    <cfRule type="cellIs" dxfId="15787" priority="1944" operator="equal">
      <formula>"PTO"</formula>
    </cfRule>
  </conditionalFormatting>
  <conditionalFormatting sqref="V27">
    <cfRule type="cellIs" dxfId="15786" priority="1941" operator="equal">
      <formula>"OFF"</formula>
    </cfRule>
    <cfRule type="cellIs" dxfId="15785" priority="1942" operator="equal">
      <formula>"PTO"</formula>
    </cfRule>
  </conditionalFormatting>
  <conditionalFormatting sqref="V29">
    <cfRule type="cellIs" dxfId="15784" priority="1939" operator="equal">
      <formula>"OFF"</formula>
    </cfRule>
    <cfRule type="cellIs" dxfId="15783" priority="1940" operator="equal">
      <formula>"PTO"</formula>
    </cfRule>
  </conditionalFormatting>
  <conditionalFormatting sqref="V29">
    <cfRule type="cellIs" dxfId="15782" priority="1937" operator="equal">
      <formula>"OFF"</formula>
    </cfRule>
    <cfRule type="cellIs" dxfId="15781" priority="1938" operator="equal">
      <formula>"PTO"</formula>
    </cfRule>
  </conditionalFormatting>
  <conditionalFormatting sqref="V29">
    <cfRule type="cellIs" dxfId="15780" priority="1935" operator="equal">
      <formula>"OFF"</formula>
    </cfRule>
    <cfRule type="cellIs" dxfId="15779" priority="1936" operator="equal">
      <formula>"PTO"</formula>
    </cfRule>
  </conditionalFormatting>
  <conditionalFormatting sqref="V29">
    <cfRule type="cellIs" dxfId="15778" priority="1933" operator="equal">
      <formula>"OFF"</formula>
    </cfRule>
    <cfRule type="cellIs" dxfId="15777" priority="1934" operator="equal">
      <formula>"PTO"</formula>
    </cfRule>
  </conditionalFormatting>
  <conditionalFormatting sqref="V29">
    <cfRule type="cellIs" dxfId="15776" priority="1931" operator="equal">
      <formula>"OFF"</formula>
    </cfRule>
    <cfRule type="cellIs" dxfId="15775" priority="1932" operator="equal">
      <formula>"PTO"</formula>
    </cfRule>
  </conditionalFormatting>
  <conditionalFormatting sqref="V29">
    <cfRule type="cellIs" dxfId="15774" priority="1929" operator="equal">
      <formula>"OFF"</formula>
    </cfRule>
    <cfRule type="cellIs" dxfId="15773" priority="1930" operator="equal">
      <formula>"PTO"</formula>
    </cfRule>
  </conditionalFormatting>
  <conditionalFormatting sqref="V29">
    <cfRule type="cellIs" dxfId="15772" priority="1927" operator="equal">
      <formula>"OFF"</formula>
    </cfRule>
    <cfRule type="cellIs" dxfId="15771" priority="1928" operator="equal">
      <formula>"PTO"</formula>
    </cfRule>
  </conditionalFormatting>
  <conditionalFormatting sqref="V29">
    <cfRule type="cellIs" dxfId="15770" priority="1925" operator="equal">
      <formula>"OFF"</formula>
    </cfRule>
    <cfRule type="cellIs" dxfId="15769" priority="1926" operator="equal">
      <formula>"PTO"</formula>
    </cfRule>
  </conditionalFormatting>
  <conditionalFormatting sqref="V29">
    <cfRule type="cellIs" dxfId="15768" priority="1923" operator="equal">
      <formula>"OFF"</formula>
    </cfRule>
    <cfRule type="cellIs" dxfId="15767" priority="1924" operator="equal">
      <formula>"PTO"</formula>
    </cfRule>
  </conditionalFormatting>
  <conditionalFormatting sqref="V29">
    <cfRule type="cellIs" dxfId="15766" priority="1921" operator="equal">
      <formula>"OFF"</formula>
    </cfRule>
    <cfRule type="cellIs" dxfId="15765" priority="1922" operator="equal">
      <formula>"PTO"</formula>
    </cfRule>
  </conditionalFormatting>
  <conditionalFormatting sqref="V29">
    <cfRule type="cellIs" dxfId="15764" priority="1919" operator="equal">
      <formula>"OFF"</formula>
    </cfRule>
    <cfRule type="cellIs" dxfId="15763" priority="1920" operator="equal">
      <formula>"PTO"</formula>
    </cfRule>
  </conditionalFormatting>
  <conditionalFormatting sqref="V29">
    <cfRule type="cellIs" dxfId="15762" priority="1917" operator="equal">
      <formula>"OFF"</formula>
    </cfRule>
    <cfRule type="cellIs" dxfId="15761" priority="1918" operator="equal">
      <formula>"PTO"</formula>
    </cfRule>
  </conditionalFormatting>
  <conditionalFormatting sqref="V29">
    <cfRule type="cellIs" dxfId="15760" priority="1915" operator="equal">
      <formula>"OFF"</formula>
    </cfRule>
    <cfRule type="cellIs" dxfId="15759" priority="1916" operator="equal">
      <formula>"PTO"</formula>
    </cfRule>
  </conditionalFormatting>
  <conditionalFormatting sqref="V29">
    <cfRule type="cellIs" dxfId="15758" priority="1913" operator="equal">
      <formula>"OFF"</formula>
    </cfRule>
    <cfRule type="cellIs" dxfId="15757" priority="1914" operator="equal">
      <formula>"PTO"</formula>
    </cfRule>
  </conditionalFormatting>
  <conditionalFormatting sqref="V29">
    <cfRule type="cellIs" dxfId="15756" priority="1911" operator="equal">
      <formula>"OFF"</formula>
    </cfRule>
    <cfRule type="cellIs" dxfId="15755" priority="1912" operator="equal">
      <formula>"PTO"</formula>
    </cfRule>
  </conditionalFormatting>
  <conditionalFormatting sqref="V29">
    <cfRule type="cellIs" dxfId="15754" priority="1909" operator="equal">
      <formula>"OFF"</formula>
    </cfRule>
    <cfRule type="cellIs" dxfId="15753" priority="1910" operator="equal">
      <formula>"PTO"</formula>
    </cfRule>
  </conditionalFormatting>
  <conditionalFormatting sqref="V29">
    <cfRule type="cellIs" dxfId="15752" priority="1907" operator="equal">
      <formula>"OFF"</formula>
    </cfRule>
    <cfRule type="cellIs" dxfId="15751" priority="1908" operator="equal">
      <formula>"PTO"</formula>
    </cfRule>
  </conditionalFormatting>
  <conditionalFormatting sqref="V29">
    <cfRule type="cellIs" dxfId="15750" priority="1905" operator="equal">
      <formula>"OFF"</formula>
    </cfRule>
    <cfRule type="cellIs" dxfId="15749" priority="1906" operator="equal">
      <formula>"PTO"</formula>
    </cfRule>
  </conditionalFormatting>
  <conditionalFormatting sqref="V29">
    <cfRule type="cellIs" dxfId="15748" priority="1903" operator="equal">
      <formula>"OFF"</formula>
    </cfRule>
    <cfRule type="cellIs" dxfId="15747" priority="1904" operator="equal">
      <formula>"PTO"</formula>
    </cfRule>
  </conditionalFormatting>
  <conditionalFormatting sqref="V29">
    <cfRule type="cellIs" dxfId="15746" priority="1901" operator="equal">
      <formula>"OFF"</formula>
    </cfRule>
    <cfRule type="cellIs" dxfId="15745" priority="1902" operator="equal">
      <formula>"PTO"</formula>
    </cfRule>
  </conditionalFormatting>
  <conditionalFormatting sqref="V29">
    <cfRule type="cellIs" dxfId="15744" priority="1899" operator="equal">
      <formula>"OFF"</formula>
    </cfRule>
    <cfRule type="cellIs" dxfId="15743" priority="1900" operator="equal">
      <formula>"PTO"</formula>
    </cfRule>
  </conditionalFormatting>
  <conditionalFormatting sqref="V29">
    <cfRule type="cellIs" dxfId="15742" priority="1897" operator="equal">
      <formula>"OFF"</formula>
    </cfRule>
    <cfRule type="cellIs" dxfId="15741" priority="1898" operator="equal">
      <formula>"PTO"</formula>
    </cfRule>
  </conditionalFormatting>
  <conditionalFormatting sqref="V29">
    <cfRule type="cellIs" dxfId="15740" priority="1895" operator="equal">
      <formula>"OFF"</formula>
    </cfRule>
    <cfRule type="cellIs" dxfId="15739" priority="1896" operator="equal">
      <formula>"PTO"</formula>
    </cfRule>
  </conditionalFormatting>
  <conditionalFormatting sqref="V29">
    <cfRule type="cellIs" dxfId="15738" priority="1893" operator="equal">
      <formula>"OFF"</formula>
    </cfRule>
    <cfRule type="cellIs" dxfId="15737" priority="1894" operator="equal">
      <formula>"PTO"</formula>
    </cfRule>
  </conditionalFormatting>
  <conditionalFormatting sqref="V29">
    <cfRule type="cellIs" dxfId="15736" priority="1891" operator="equal">
      <formula>"OFF"</formula>
    </cfRule>
    <cfRule type="cellIs" dxfId="15735" priority="1892" operator="equal">
      <formula>"PTO"</formula>
    </cfRule>
  </conditionalFormatting>
  <conditionalFormatting sqref="V29">
    <cfRule type="cellIs" dxfId="15734" priority="1889" operator="equal">
      <formula>"OFF"</formula>
    </cfRule>
    <cfRule type="cellIs" dxfId="15733" priority="1890" operator="equal">
      <formula>"PTO"</formula>
    </cfRule>
  </conditionalFormatting>
  <conditionalFormatting sqref="V29">
    <cfRule type="cellIs" dxfId="15732" priority="1887" operator="equal">
      <formula>"OFF"</formula>
    </cfRule>
    <cfRule type="cellIs" dxfId="15731" priority="1888" operator="equal">
      <formula>"PTO"</formula>
    </cfRule>
  </conditionalFormatting>
  <conditionalFormatting sqref="V29">
    <cfRule type="cellIs" dxfId="15730" priority="1885" operator="equal">
      <formula>"OFF"</formula>
    </cfRule>
    <cfRule type="cellIs" dxfId="15729" priority="1886" operator="equal">
      <formula>"PTO"</formula>
    </cfRule>
  </conditionalFormatting>
  <conditionalFormatting sqref="V29">
    <cfRule type="cellIs" dxfId="15728" priority="1883" operator="equal">
      <formula>"OFF"</formula>
    </cfRule>
    <cfRule type="cellIs" dxfId="15727" priority="1884" operator="equal">
      <formula>"PTO"</formula>
    </cfRule>
  </conditionalFormatting>
  <conditionalFormatting sqref="V29">
    <cfRule type="cellIs" dxfId="15726" priority="1881" operator="equal">
      <formula>"OFF"</formula>
    </cfRule>
    <cfRule type="cellIs" dxfId="15725" priority="1882" operator="equal">
      <formula>"PTO"</formula>
    </cfRule>
  </conditionalFormatting>
  <conditionalFormatting sqref="V29">
    <cfRule type="cellIs" dxfId="15724" priority="1879" operator="equal">
      <formula>"OFF"</formula>
    </cfRule>
    <cfRule type="cellIs" dxfId="15723" priority="1880" operator="equal">
      <formula>"PTO"</formula>
    </cfRule>
  </conditionalFormatting>
  <conditionalFormatting sqref="V29">
    <cfRule type="cellIs" dxfId="15722" priority="1877" operator="equal">
      <formula>"OFF"</formula>
    </cfRule>
    <cfRule type="cellIs" dxfId="15721" priority="1878" operator="equal">
      <formula>"PTO"</formula>
    </cfRule>
  </conditionalFormatting>
  <conditionalFormatting sqref="V29">
    <cfRule type="cellIs" dxfId="15720" priority="1875" operator="equal">
      <formula>"OFF"</formula>
    </cfRule>
    <cfRule type="cellIs" dxfId="15719" priority="1876" operator="equal">
      <formula>"PTO"</formula>
    </cfRule>
  </conditionalFormatting>
  <conditionalFormatting sqref="V29">
    <cfRule type="cellIs" dxfId="15718" priority="1873" operator="equal">
      <formula>"OFF"</formula>
    </cfRule>
    <cfRule type="cellIs" dxfId="15717" priority="1874" operator="equal">
      <formula>"PTO"</formula>
    </cfRule>
  </conditionalFormatting>
  <conditionalFormatting sqref="V29">
    <cfRule type="cellIs" dxfId="15716" priority="1871" operator="equal">
      <formula>"OFF"</formula>
    </cfRule>
    <cfRule type="cellIs" dxfId="15715" priority="1872" operator="equal">
      <formula>"PTO"</formula>
    </cfRule>
  </conditionalFormatting>
  <conditionalFormatting sqref="V29">
    <cfRule type="cellIs" dxfId="15714" priority="1869" operator="equal">
      <formula>"OFF"</formula>
    </cfRule>
    <cfRule type="cellIs" dxfId="15713" priority="1870" operator="equal">
      <formula>"PTO"</formula>
    </cfRule>
  </conditionalFormatting>
  <conditionalFormatting sqref="V29">
    <cfRule type="cellIs" dxfId="15712" priority="1867" operator="equal">
      <formula>"OFF"</formula>
    </cfRule>
    <cfRule type="cellIs" dxfId="15711" priority="1868" operator="equal">
      <formula>"PTO"</formula>
    </cfRule>
  </conditionalFormatting>
  <conditionalFormatting sqref="V29">
    <cfRule type="cellIs" dxfId="15710" priority="1865" operator="equal">
      <formula>"OFF"</formula>
    </cfRule>
    <cfRule type="cellIs" dxfId="15709" priority="1866" operator="equal">
      <formula>"PTO"</formula>
    </cfRule>
  </conditionalFormatting>
  <conditionalFormatting sqref="V29">
    <cfRule type="cellIs" dxfId="15708" priority="1863" operator="equal">
      <formula>"OFF"</formula>
    </cfRule>
    <cfRule type="cellIs" dxfId="15707" priority="1864" operator="equal">
      <formula>"PTO"</formula>
    </cfRule>
  </conditionalFormatting>
  <conditionalFormatting sqref="V29">
    <cfRule type="cellIs" dxfId="15706" priority="1861" operator="equal">
      <formula>"OFF"</formula>
    </cfRule>
    <cfRule type="cellIs" dxfId="15705" priority="1862" operator="equal">
      <formula>"PTO"</formula>
    </cfRule>
  </conditionalFormatting>
  <conditionalFormatting sqref="V29">
    <cfRule type="cellIs" dxfId="15704" priority="1859" operator="equal">
      <formula>"OFF"</formula>
    </cfRule>
    <cfRule type="cellIs" dxfId="15703" priority="1860" operator="equal">
      <formula>"PTO"</formula>
    </cfRule>
  </conditionalFormatting>
  <conditionalFormatting sqref="V29">
    <cfRule type="cellIs" dxfId="15702" priority="1857" operator="equal">
      <formula>"OFF"</formula>
    </cfRule>
    <cfRule type="cellIs" dxfId="15701" priority="1858" operator="equal">
      <formula>"PTO"</formula>
    </cfRule>
  </conditionalFormatting>
  <conditionalFormatting sqref="V29">
    <cfRule type="cellIs" dxfId="15700" priority="1855" operator="equal">
      <formula>"OFF"</formula>
    </cfRule>
    <cfRule type="cellIs" dxfId="15699" priority="1856" operator="equal">
      <formula>"PTO"</formula>
    </cfRule>
  </conditionalFormatting>
  <conditionalFormatting sqref="V29">
    <cfRule type="cellIs" dxfId="15698" priority="1853" operator="equal">
      <formula>"OFF"</formula>
    </cfRule>
    <cfRule type="cellIs" dxfId="15697" priority="1854" operator="equal">
      <formula>"PTO"</formula>
    </cfRule>
  </conditionalFormatting>
  <conditionalFormatting sqref="V29">
    <cfRule type="cellIs" dxfId="15696" priority="1851" operator="equal">
      <formula>"OFF"</formula>
    </cfRule>
    <cfRule type="cellIs" dxfId="15695" priority="1852" operator="equal">
      <formula>"PTO"</formula>
    </cfRule>
  </conditionalFormatting>
  <conditionalFormatting sqref="V29">
    <cfRule type="cellIs" dxfId="15694" priority="1849" operator="equal">
      <formula>"OFF"</formula>
    </cfRule>
    <cfRule type="cellIs" dxfId="15693" priority="1850" operator="equal">
      <formula>"PTO"</formula>
    </cfRule>
  </conditionalFormatting>
  <conditionalFormatting sqref="V29">
    <cfRule type="cellIs" dxfId="15692" priority="1847" operator="equal">
      <formula>"OFF"</formula>
    </cfRule>
    <cfRule type="cellIs" dxfId="15691" priority="1848" operator="equal">
      <formula>"PTO"</formula>
    </cfRule>
  </conditionalFormatting>
  <conditionalFormatting sqref="V29">
    <cfRule type="cellIs" dxfId="15690" priority="1845" operator="equal">
      <formula>"OFF"</formula>
    </cfRule>
    <cfRule type="cellIs" dxfId="15689" priority="1846" operator="equal">
      <formula>"PTO"</formula>
    </cfRule>
  </conditionalFormatting>
  <conditionalFormatting sqref="V29">
    <cfRule type="cellIs" dxfId="15688" priority="1843" operator="equal">
      <formula>"OFF"</formula>
    </cfRule>
    <cfRule type="cellIs" dxfId="15687" priority="1844" operator="equal">
      <formula>"PTO"</formula>
    </cfRule>
  </conditionalFormatting>
  <conditionalFormatting sqref="V29">
    <cfRule type="cellIs" dxfId="15686" priority="1841" operator="equal">
      <formula>"OFF"</formula>
    </cfRule>
    <cfRule type="cellIs" dxfId="15685" priority="1842" operator="equal">
      <formula>"PTO"</formula>
    </cfRule>
  </conditionalFormatting>
  <conditionalFormatting sqref="V29">
    <cfRule type="cellIs" dxfId="15684" priority="1839" operator="equal">
      <formula>"OFF"</formula>
    </cfRule>
    <cfRule type="cellIs" dxfId="15683" priority="1840" operator="equal">
      <formula>"PTO"</formula>
    </cfRule>
  </conditionalFormatting>
  <conditionalFormatting sqref="V29">
    <cfRule type="cellIs" dxfId="15682" priority="1837" operator="equal">
      <formula>"OFF"</formula>
    </cfRule>
    <cfRule type="cellIs" dxfId="15681" priority="1838" operator="equal">
      <formula>"PTO"</formula>
    </cfRule>
  </conditionalFormatting>
  <conditionalFormatting sqref="V29">
    <cfRule type="cellIs" dxfId="15680" priority="1835" operator="equal">
      <formula>"OFF"</formula>
    </cfRule>
    <cfRule type="cellIs" dxfId="15679" priority="1836" operator="equal">
      <formula>"PTO"</formula>
    </cfRule>
  </conditionalFormatting>
  <conditionalFormatting sqref="V29">
    <cfRule type="cellIs" dxfId="15678" priority="1833" operator="equal">
      <formula>"OFF"</formula>
    </cfRule>
    <cfRule type="cellIs" dxfId="15677" priority="1834" operator="equal">
      <formula>"PTO"</formula>
    </cfRule>
  </conditionalFormatting>
  <conditionalFormatting sqref="V29">
    <cfRule type="cellIs" dxfId="15676" priority="1831" operator="equal">
      <formula>"OFF"</formula>
    </cfRule>
    <cfRule type="cellIs" dxfId="15675" priority="1832" operator="equal">
      <formula>"PTO"</formula>
    </cfRule>
  </conditionalFormatting>
  <conditionalFormatting sqref="V29">
    <cfRule type="cellIs" dxfId="15674" priority="1829" operator="equal">
      <formula>"OFF"</formula>
    </cfRule>
    <cfRule type="cellIs" dxfId="15673" priority="1830" operator="equal">
      <formula>"PTO"</formula>
    </cfRule>
  </conditionalFormatting>
  <conditionalFormatting sqref="V30">
    <cfRule type="cellIs" dxfId="15672" priority="1827" operator="equal">
      <formula>"OFF"</formula>
    </cfRule>
    <cfRule type="cellIs" dxfId="15671" priority="1828" operator="equal">
      <formula>"PTO"</formula>
    </cfRule>
  </conditionalFormatting>
  <conditionalFormatting sqref="V30">
    <cfRule type="cellIs" dxfId="15670" priority="1825" operator="equal">
      <formula>"OFF"</formula>
    </cfRule>
    <cfRule type="cellIs" dxfId="15669" priority="1826" operator="equal">
      <formula>"PTO"</formula>
    </cfRule>
  </conditionalFormatting>
  <conditionalFormatting sqref="V30">
    <cfRule type="cellIs" dxfId="15668" priority="1823" operator="equal">
      <formula>"OFF"</formula>
    </cfRule>
    <cfRule type="cellIs" dxfId="15667" priority="1824" operator="equal">
      <formula>"PTO"</formula>
    </cfRule>
  </conditionalFormatting>
  <conditionalFormatting sqref="V30">
    <cfRule type="cellIs" dxfId="15666" priority="1821" operator="equal">
      <formula>"OFF"</formula>
    </cfRule>
    <cfRule type="cellIs" dxfId="15665" priority="1822" operator="equal">
      <formula>"PTO"</formula>
    </cfRule>
  </conditionalFormatting>
  <conditionalFormatting sqref="V30">
    <cfRule type="cellIs" dxfId="15664" priority="1819" operator="equal">
      <formula>"OFF"</formula>
    </cfRule>
    <cfRule type="cellIs" dxfId="15663" priority="1820" operator="equal">
      <formula>"PTO"</formula>
    </cfRule>
  </conditionalFormatting>
  <conditionalFormatting sqref="V30">
    <cfRule type="cellIs" dxfId="15662" priority="1817" operator="equal">
      <formula>"OFF"</formula>
    </cfRule>
    <cfRule type="cellIs" dxfId="15661" priority="1818" operator="equal">
      <formula>"PTO"</formula>
    </cfRule>
  </conditionalFormatting>
  <conditionalFormatting sqref="V30">
    <cfRule type="cellIs" dxfId="15660" priority="1815" operator="equal">
      <formula>"OFF"</formula>
    </cfRule>
    <cfRule type="cellIs" dxfId="15659" priority="1816" operator="equal">
      <formula>"PTO"</formula>
    </cfRule>
  </conditionalFormatting>
  <conditionalFormatting sqref="V30">
    <cfRule type="cellIs" dxfId="15658" priority="1813" operator="equal">
      <formula>"OFF"</formula>
    </cfRule>
    <cfRule type="cellIs" dxfId="15657" priority="1814" operator="equal">
      <formula>"PTO"</formula>
    </cfRule>
  </conditionalFormatting>
  <conditionalFormatting sqref="V30">
    <cfRule type="cellIs" dxfId="15656" priority="1811" operator="equal">
      <formula>"OFF"</formula>
    </cfRule>
    <cfRule type="cellIs" dxfId="15655" priority="1812" operator="equal">
      <formula>"PTO"</formula>
    </cfRule>
  </conditionalFormatting>
  <conditionalFormatting sqref="V30">
    <cfRule type="cellIs" dxfId="15654" priority="1809" operator="equal">
      <formula>"OFF"</formula>
    </cfRule>
    <cfRule type="cellIs" dxfId="15653" priority="1810" operator="equal">
      <formula>"PTO"</formula>
    </cfRule>
  </conditionalFormatting>
  <conditionalFormatting sqref="V30">
    <cfRule type="cellIs" dxfId="15652" priority="1807" operator="equal">
      <formula>"OFF"</formula>
    </cfRule>
    <cfRule type="cellIs" dxfId="15651" priority="1808" operator="equal">
      <formula>"PTO"</formula>
    </cfRule>
  </conditionalFormatting>
  <conditionalFormatting sqref="V30">
    <cfRule type="cellIs" dxfId="15650" priority="1805" operator="equal">
      <formula>"OFF"</formula>
    </cfRule>
    <cfRule type="cellIs" dxfId="15649" priority="1806" operator="equal">
      <formula>"PTO"</formula>
    </cfRule>
  </conditionalFormatting>
  <conditionalFormatting sqref="V30">
    <cfRule type="cellIs" dxfId="15648" priority="1803" operator="equal">
      <formula>"OFF"</formula>
    </cfRule>
    <cfRule type="cellIs" dxfId="15647" priority="1804" operator="equal">
      <formula>"PTO"</formula>
    </cfRule>
  </conditionalFormatting>
  <conditionalFormatting sqref="V30">
    <cfRule type="cellIs" dxfId="15646" priority="1801" operator="equal">
      <formula>"OFF"</formula>
    </cfRule>
    <cfRule type="cellIs" dxfId="15645" priority="1802" operator="equal">
      <formula>"PTO"</formula>
    </cfRule>
  </conditionalFormatting>
  <conditionalFormatting sqref="V30">
    <cfRule type="cellIs" dxfId="15644" priority="1799" operator="equal">
      <formula>"OFF"</formula>
    </cfRule>
    <cfRule type="cellIs" dxfId="15643" priority="1800" operator="equal">
      <formula>"PTO"</formula>
    </cfRule>
  </conditionalFormatting>
  <conditionalFormatting sqref="V30">
    <cfRule type="cellIs" dxfId="15642" priority="1797" operator="equal">
      <formula>"OFF"</formula>
    </cfRule>
    <cfRule type="cellIs" dxfId="15641" priority="1798" operator="equal">
      <formula>"PTO"</formula>
    </cfRule>
  </conditionalFormatting>
  <conditionalFormatting sqref="V30">
    <cfRule type="cellIs" dxfId="15640" priority="1795" operator="equal">
      <formula>"OFF"</formula>
    </cfRule>
    <cfRule type="cellIs" dxfId="15639" priority="1796" operator="equal">
      <formula>"PTO"</formula>
    </cfRule>
  </conditionalFormatting>
  <conditionalFormatting sqref="V30">
    <cfRule type="cellIs" dxfId="15638" priority="1793" operator="equal">
      <formula>"OFF"</formula>
    </cfRule>
    <cfRule type="cellIs" dxfId="15637" priority="1794" operator="equal">
      <formula>"PTO"</formula>
    </cfRule>
  </conditionalFormatting>
  <conditionalFormatting sqref="V30">
    <cfRule type="cellIs" dxfId="15636" priority="1791" operator="equal">
      <formula>"OFF"</formula>
    </cfRule>
    <cfRule type="cellIs" dxfId="15635" priority="1792" operator="equal">
      <formula>"PTO"</formula>
    </cfRule>
  </conditionalFormatting>
  <conditionalFormatting sqref="V30">
    <cfRule type="cellIs" dxfId="15634" priority="1789" operator="equal">
      <formula>"OFF"</formula>
    </cfRule>
    <cfRule type="cellIs" dxfId="15633" priority="1790" operator="equal">
      <formula>"PTO"</formula>
    </cfRule>
  </conditionalFormatting>
  <conditionalFormatting sqref="V30">
    <cfRule type="cellIs" dxfId="15632" priority="1787" operator="equal">
      <formula>"OFF"</formula>
    </cfRule>
    <cfRule type="cellIs" dxfId="15631" priority="1788" operator="equal">
      <formula>"PTO"</formula>
    </cfRule>
  </conditionalFormatting>
  <conditionalFormatting sqref="V30">
    <cfRule type="cellIs" dxfId="15630" priority="1785" operator="equal">
      <formula>"OFF"</formula>
    </cfRule>
    <cfRule type="cellIs" dxfId="15629" priority="1786" operator="equal">
      <formula>"PTO"</formula>
    </cfRule>
  </conditionalFormatting>
  <conditionalFormatting sqref="V30">
    <cfRule type="cellIs" dxfId="15628" priority="1783" operator="equal">
      <formula>"OFF"</formula>
    </cfRule>
    <cfRule type="cellIs" dxfId="15627" priority="1784" operator="equal">
      <formula>"PTO"</formula>
    </cfRule>
  </conditionalFormatting>
  <conditionalFormatting sqref="V30">
    <cfRule type="cellIs" dxfId="15626" priority="1781" operator="equal">
      <formula>"OFF"</formula>
    </cfRule>
    <cfRule type="cellIs" dxfId="15625" priority="1782" operator="equal">
      <formula>"PTO"</formula>
    </cfRule>
  </conditionalFormatting>
  <conditionalFormatting sqref="V30">
    <cfRule type="cellIs" dxfId="15624" priority="1779" operator="equal">
      <formula>"OFF"</formula>
    </cfRule>
    <cfRule type="cellIs" dxfId="15623" priority="1780" operator="equal">
      <formula>"PTO"</formula>
    </cfRule>
  </conditionalFormatting>
  <conditionalFormatting sqref="V30">
    <cfRule type="cellIs" dxfId="15622" priority="1777" operator="equal">
      <formula>"OFF"</formula>
    </cfRule>
    <cfRule type="cellIs" dxfId="15621" priority="1778" operator="equal">
      <formula>"PTO"</formula>
    </cfRule>
  </conditionalFormatting>
  <conditionalFormatting sqref="V30">
    <cfRule type="cellIs" dxfId="15620" priority="1775" operator="equal">
      <formula>"OFF"</formula>
    </cfRule>
    <cfRule type="cellIs" dxfId="15619" priority="1776" operator="equal">
      <formula>"PTO"</formula>
    </cfRule>
  </conditionalFormatting>
  <conditionalFormatting sqref="V30">
    <cfRule type="cellIs" dxfId="15618" priority="1773" operator="equal">
      <formula>"OFF"</formula>
    </cfRule>
    <cfRule type="cellIs" dxfId="15617" priority="1774" operator="equal">
      <formula>"PTO"</formula>
    </cfRule>
  </conditionalFormatting>
  <conditionalFormatting sqref="V30">
    <cfRule type="cellIs" dxfId="15616" priority="1771" operator="equal">
      <formula>"OFF"</formula>
    </cfRule>
    <cfRule type="cellIs" dxfId="15615" priority="1772" operator="equal">
      <formula>"PTO"</formula>
    </cfRule>
  </conditionalFormatting>
  <conditionalFormatting sqref="V30">
    <cfRule type="cellIs" dxfId="15614" priority="1769" operator="equal">
      <formula>"OFF"</formula>
    </cfRule>
    <cfRule type="cellIs" dxfId="15613" priority="1770" operator="equal">
      <formula>"PTO"</formula>
    </cfRule>
  </conditionalFormatting>
  <conditionalFormatting sqref="V30">
    <cfRule type="cellIs" dxfId="15612" priority="1767" operator="equal">
      <formula>"OFF"</formula>
    </cfRule>
    <cfRule type="cellIs" dxfId="15611" priority="1768" operator="equal">
      <formula>"PTO"</formula>
    </cfRule>
  </conditionalFormatting>
  <conditionalFormatting sqref="V30">
    <cfRule type="cellIs" dxfId="15610" priority="1765" operator="equal">
      <formula>"OFF"</formula>
    </cfRule>
    <cfRule type="cellIs" dxfId="15609" priority="1766" operator="equal">
      <formula>"PTO"</formula>
    </cfRule>
  </conditionalFormatting>
  <conditionalFormatting sqref="V30">
    <cfRule type="cellIs" dxfId="15608" priority="1763" operator="equal">
      <formula>"OFF"</formula>
    </cfRule>
    <cfRule type="cellIs" dxfId="15607" priority="1764" operator="equal">
      <formula>"PTO"</formula>
    </cfRule>
  </conditionalFormatting>
  <conditionalFormatting sqref="V30">
    <cfRule type="cellIs" dxfId="15606" priority="1761" operator="equal">
      <formula>"OFF"</formula>
    </cfRule>
    <cfRule type="cellIs" dxfId="15605" priority="1762" operator="equal">
      <formula>"PTO"</formula>
    </cfRule>
  </conditionalFormatting>
  <conditionalFormatting sqref="V30">
    <cfRule type="cellIs" dxfId="15604" priority="1759" operator="equal">
      <formula>"OFF"</formula>
    </cfRule>
    <cfRule type="cellIs" dxfId="15603" priority="1760" operator="equal">
      <formula>"PTO"</formula>
    </cfRule>
  </conditionalFormatting>
  <conditionalFormatting sqref="V30">
    <cfRule type="cellIs" dxfId="15602" priority="1757" operator="equal">
      <formula>"OFF"</formula>
    </cfRule>
    <cfRule type="cellIs" dxfId="15601" priority="1758" operator="equal">
      <formula>"PTO"</formula>
    </cfRule>
  </conditionalFormatting>
  <conditionalFormatting sqref="V30">
    <cfRule type="cellIs" dxfId="15600" priority="1755" operator="equal">
      <formula>"OFF"</formula>
    </cfRule>
    <cfRule type="cellIs" dxfId="15599" priority="1756" operator="equal">
      <formula>"PTO"</formula>
    </cfRule>
  </conditionalFormatting>
  <conditionalFormatting sqref="V30">
    <cfRule type="cellIs" dxfId="15598" priority="1753" operator="equal">
      <formula>"OFF"</formula>
    </cfRule>
    <cfRule type="cellIs" dxfId="15597" priority="1754" operator="equal">
      <formula>"PTO"</formula>
    </cfRule>
  </conditionalFormatting>
  <conditionalFormatting sqref="V30">
    <cfRule type="cellIs" dxfId="15596" priority="1751" operator="equal">
      <formula>"OFF"</formula>
    </cfRule>
    <cfRule type="cellIs" dxfId="15595" priority="1752" operator="equal">
      <formula>"PTO"</formula>
    </cfRule>
  </conditionalFormatting>
  <conditionalFormatting sqref="V30">
    <cfRule type="cellIs" dxfId="15594" priority="1749" operator="equal">
      <formula>"OFF"</formula>
    </cfRule>
    <cfRule type="cellIs" dxfId="15593" priority="1750" operator="equal">
      <formula>"PTO"</formula>
    </cfRule>
  </conditionalFormatting>
  <conditionalFormatting sqref="V30">
    <cfRule type="cellIs" dxfId="15592" priority="1747" operator="equal">
      <formula>"OFF"</formula>
    </cfRule>
    <cfRule type="cellIs" dxfId="15591" priority="1748" operator="equal">
      <formula>"PTO"</formula>
    </cfRule>
  </conditionalFormatting>
  <conditionalFormatting sqref="V30">
    <cfRule type="cellIs" dxfId="15590" priority="1745" operator="equal">
      <formula>"OFF"</formula>
    </cfRule>
    <cfRule type="cellIs" dxfId="15589" priority="1746" operator="equal">
      <formula>"PTO"</formula>
    </cfRule>
  </conditionalFormatting>
  <conditionalFormatting sqref="V30">
    <cfRule type="cellIs" dxfId="15588" priority="1743" operator="equal">
      <formula>"OFF"</formula>
    </cfRule>
    <cfRule type="cellIs" dxfId="15587" priority="1744" operator="equal">
      <formula>"PTO"</formula>
    </cfRule>
  </conditionalFormatting>
  <conditionalFormatting sqref="V30">
    <cfRule type="cellIs" dxfId="15586" priority="1741" operator="equal">
      <formula>"OFF"</formula>
    </cfRule>
    <cfRule type="cellIs" dxfId="15585" priority="1742" operator="equal">
      <formula>"PTO"</formula>
    </cfRule>
  </conditionalFormatting>
  <conditionalFormatting sqref="V30">
    <cfRule type="cellIs" dxfId="15584" priority="1739" operator="equal">
      <formula>"OFF"</formula>
    </cfRule>
    <cfRule type="cellIs" dxfId="15583" priority="1740" operator="equal">
      <formula>"PTO"</formula>
    </cfRule>
  </conditionalFormatting>
  <conditionalFormatting sqref="V30">
    <cfRule type="cellIs" dxfId="15582" priority="1737" operator="equal">
      <formula>"OFF"</formula>
    </cfRule>
    <cfRule type="cellIs" dxfId="15581" priority="1738" operator="equal">
      <formula>"PTO"</formula>
    </cfRule>
  </conditionalFormatting>
  <conditionalFormatting sqref="V30">
    <cfRule type="cellIs" dxfId="15580" priority="1735" operator="equal">
      <formula>"OFF"</formula>
    </cfRule>
    <cfRule type="cellIs" dxfId="15579" priority="1736" operator="equal">
      <formula>"PTO"</formula>
    </cfRule>
  </conditionalFormatting>
  <conditionalFormatting sqref="V30">
    <cfRule type="cellIs" dxfId="15578" priority="1733" operator="equal">
      <formula>"OFF"</formula>
    </cfRule>
    <cfRule type="cellIs" dxfId="15577" priority="1734" operator="equal">
      <formula>"PTO"</formula>
    </cfRule>
  </conditionalFormatting>
  <conditionalFormatting sqref="V30">
    <cfRule type="cellIs" dxfId="15576" priority="1731" operator="equal">
      <formula>"OFF"</formula>
    </cfRule>
    <cfRule type="cellIs" dxfId="15575" priority="1732" operator="equal">
      <formula>"PTO"</formula>
    </cfRule>
  </conditionalFormatting>
  <conditionalFormatting sqref="V30">
    <cfRule type="cellIs" dxfId="15574" priority="1729" operator="equal">
      <formula>"OFF"</formula>
    </cfRule>
    <cfRule type="cellIs" dxfId="15573" priority="1730" operator="equal">
      <formula>"PTO"</formula>
    </cfRule>
  </conditionalFormatting>
  <conditionalFormatting sqref="V30">
    <cfRule type="cellIs" dxfId="15572" priority="1727" operator="equal">
      <formula>"OFF"</formula>
    </cfRule>
    <cfRule type="cellIs" dxfId="15571" priority="1728" operator="equal">
      <formula>"PTO"</formula>
    </cfRule>
  </conditionalFormatting>
  <conditionalFormatting sqref="V30">
    <cfRule type="cellIs" dxfId="15570" priority="1725" operator="equal">
      <formula>"OFF"</formula>
    </cfRule>
    <cfRule type="cellIs" dxfId="15569" priority="1726" operator="equal">
      <formula>"PTO"</formula>
    </cfRule>
  </conditionalFormatting>
  <conditionalFormatting sqref="V30">
    <cfRule type="cellIs" dxfId="15568" priority="1723" operator="equal">
      <formula>"OFF"</formula>
    </cfRule>
    <cfRule type="cellIs" dxfId="15567" priority="1724" operator="equal">
      <formula>"PTO"</formula>
    </cfRule>
  </conditionalFormatting>
  <conditionalFormatting sqref="V30">
    <cfRule type="cellIs" dxfId="15566" priority="1721" operator="equal">
      <formula>"OFF"</formula>
    </cfRule>
    <cfRule type="cellIs" dxfId="15565" priority="1722" operator="equal">
      <formula>"PTO"</formula>
    </cfRule>
  </conditionalFormatting>
  <conditionalFormatting sqref="V30">
    <cfRule type="cellIs" dxfId="15564" priority="1719" operator="equal">
      <formula>"OFF"</formula>
    </cfRule>
    <cfRule type="cellIs" dxfId="15563" priority="1720" operator="equal">
      <formula>"PTO"</formula>
    </cfRule>
  </conditionalFormatting>
  <conditionalFormatting sqref="V30">
    <cfRule type="cellIs" dxfId="15562" priority="1717" operator="equal">
      <formula>"OFF"</formula>
    </cfRule>
    <cfRule type="cellIs" dxfId="15561" priority="1718" operator="equal">
      <formula>"PTO"</formula>
    </cfRule>
  </conditionalFormatting>
  <conditionalFormatting sqref="V30">
    <cfRule type="cellIs" dxfId="15560" priority="1715" operator="equal">
      <formula>"OFF"</formula>
    </cfRule>
    <cfRule type="cellIs" dxfId="15559" priority="1716" operator="equal">
      <formula>"PTO"</formula>
    </cfRule>
  </conditionalFormatting>
  <conditionalFormatting sqref="V30">
    <cfRule type="cellIs" dxfId="15558" priority="1713" operator="equal">
      <formula>"OFF"</formula>
    </cfRule>
    <cfRule type="cellIs" dxfId="15557" priority="1714" operator="equal">
      <formula>"PTO"</formula>
    </cfRule>
  </conditionalFormatting>
  <conditionalFormatting sqref="V30">
    <cfRule type="cellIs" dxfId="15556" priority="1711" operator="equal">
      <formula>"OFF"</formula>
    </cfRule>
    <cfRule type="cellIs" dxfId="15555" priority="1712" operator="equal">
      <formula>"PTO"</formula>
    </cfRule>
  </conditionalFormatting>
  <conditionalFormatting sqref="V30">
    <cfRule type="cellIs" dxfId="15554" priority="1709" operator="equal">
      <formula>"OFF"</formula>
    </cfRule>
    <cfRule type="cellIs" dxfId="15553" priority="1710" operator="equal">
      <formula>"PTO"</formula>
    </cfRule>
  </conditionalFormatting>
  <conditionalFormatting sqref="V30">
    <cfRule type="cellIs" dxfId="15552" priority="1707" operator="equal">
      <formula>"OFF"</formula>
    </cfRule>
    <cfRule type="cellIs" dxfId="15551" priority="1708" operator="equal">
      <formula>"PTO"</formula>
    </cfRule>
  </conditionalFormatting>
  <conditionalFormatting sqref="V30">
    <cfRule type="cellIs" dxfId="15550" priority="1705" operator="equal">
      <formula>"OFF"</formula>
    </cfRule>
    <cfRule type="cellIs" dxfId="15549" priority="1706" operator="equal">
      <formula>"PTO"</formula>
    </cfRule>
  </conditionalFormatting>
  <conditionalFormatting sqref="V30">
    <cfRule type="cellIs" dxfId="15548" priority="1703" operator="equal">
      <formula>"OFF"</formula>
    </cfRule>
    <cfRule type="cellIs" dxfId="15547" priority="1704" operator="equal">
      <formula>"PTO"</formula>
    </cfRule>
  </conditionalFormatting>
  <conditionalFormatting sqref="V30">
    <cfRule type="cellIs" dxfId="15546" priority="1701" operator="equal">
      <formula>"OFF"</formula>
    </cfRule>
    <cfRule type="cellIs" dxfId="15545" priority="1702" operator="equal">
      <formula>"PTO"</formula>
    </cfRule>
  </conditionalFormatting>
  <conditionalFormatting sqref="V30">
    <cfRule type="cellIs" dxfId="15544" priority="1699" operator="equal">
      <formula>"OFF"</formula>
    </cfRule>
    <cfRule type="cellIs" dxfId="15543" priority="1700" operator="equal">
      <formula>"PTO"</formula>
    </cfRule>
  </conditionalFormatting>
  <conditionalFormatting sqref="V30">
    <cfRule type="cellIs" dxfId="15542" priority="1697" operator="equal">
      <formula>"OFF"</formula>
    </cfRule>
    <cfRule type="cellIs" dxfId="15541" priority="1698" operator="equal">
      <formula>"PTO"</formula>
    </cfRule>
  </conditionalFormatting>
  <conditionalFormatting sqref="V30">
    <cfRule type="cellIs" dxfId="15540" priority="1695" operator="equal">
      <formula>"OFF"</formula>
    </cfRule>
    <cfRule type="cellIs" dxfId="15539" priority="1696" operator="equal">
      <formula>"PTO"</formula>
    </cfRule>
  </conditionalFormatting>
  <conditionalFormatting sqref="V30">
    <cfRule type="cellIs" dxfId="15538" priority="1693" operator="equal">
      <formula>"OFF"</formula>
    </cfRule>
    <cfRule type="cellIs" dxfId="15537" priority="1694" operator="equal">
      <formula>"PTO"</formula>
    </cfRule>
  </conditionalFormatting>
  <conditionalFormatting sqref="V30">
    <cfRule type="cellIs" dxfId="15536" priority="1691" operator="equal">
      <formula>"OFF"</formula>
    </cfRule>
    <cfRule type="cellIs" dxfId="15535" priority="1692" operator="equal">
      <formula>"PTO"</formula>
    </cfRule>
  </conditionalFormatting>
  <conditionalFormatting sqref="V30">
    <cfRule type="cellIs" dxfId="15534" priority="1689" operator="equal">
      <formula>"OFF"</formula>
    </cfRule>
    <cfRule type="cellIs" dxfId="15533" priority="1690" operator="equal">
      <formula>"PTO"</formula>
    </cfRule>
  </conditionalFormatting>
  <conditionalFormatting sqref="V30">
    <cfRule type="cellIs" dxfId="15532" priority="1687" operator="equal">
      <formula>"OFF"</formula>
    </cfRule>
    <cfRule type="cellIs" dxfId="15531" priority="1688" operator="equal">
      <formula>"PTO"</formula>
    </cfRule>
  </conditionalFormatting>
  <conditionalFormatting sqref="V30">
    <cfRule type="cellIs" dxfId="15530" priority="1685" operator="equal">
      <formula>"OFF"</formula>
    </cfRule>
    <cfRule type="cellIs" dxfId="15529" priority="1686" operator="equal">
      <formula>"PTO"</formula>
    </cfRule>
  </conditionalFormatting>
  <conditionalFormatting sqref="V30">
    <cfRule type="cellIs" dxfId="15528" priority="1683" operator="equal">
      <formula>"OFF"</formula>
    </cfRule>
    <cfRule type="cellIs" dxfId="15527" priority="1684" operator="equal">
      <formula>"PTO"</formula>
    </cfRule>
  </conditionalFormatting>
  <conditionalFormatting sqref="V30">
    <cfRule type="cellIs" dxfId="15526" priority="1681" operator="equal">
      <formula>"OFF"</formula>
    </cfRule>
    <cfRule type="cellIs" dxfId="15525" priority="1682" operator="equal">
      <formula>"PTO"</formula>
    </cfRule>
  </conditionalFormatting>
  <conditionalFormatting sqref="V30">
    <cfRule type="cellIs" dxfId="15524" priority="1679" operator="equal">
      <formula>"OFF"</formula>
    </cfRule>
    <cfRule type="cellIs" dxfId="15523" priority="1680" operator="equal">
      <formula>"PTO"</formula>
    </cfRule>
  </conditionalFormatting>
  <conditionalFormatting sqref="V30">
    <cfRule type="cellIs" dxfId="15522" priority="1677" operator="equal">
      <formula>"OFF"</formula>
    </cfRule>
    <cfRule type="cellIs" dxfId="15521" priority="1678" operator="equal">
      <formula>"PTO"</formula>
    </cfRule>
  </conditionalFormatting>
  <conditionalFormatting sqref="V30">
    <cfRule type="cellIs" dxfId="15520" priority="1675" operator="equal">
      <formula>"OFF"</formula>
    </cfRule>
    <cfRule type="cellIs" dxfId="15519" priority="1676" operator="equal">
      <formula>"PTO"</formula>
    </cfRule>
  </conditionalFormatting>
  <conditionalFormatting sqref="V30">
    <cfRule type="cellIs" dxfId="15518" priority="1673" operator="equal">
      <formula>"OFF"</formula>
    </cfRule>
    <cfRule type="cellIs" dxfId="15517" priority="1674" operator="equal">
      <formula>"PTO"</formula>
    </cfRule>
  </conditionalFormatting>
  <conditionalFormatting sqref="V30">
    <cfRule type="cellIs" dxfId="15516" priority="1671" operator="equal">
      <formula>"OFF"</formula>
    </cfRule>
    <cfRule type="cellIs" dxfId="15515" priority="1672" operator="equal">
      <formula>"PTO"</formula>
    </cfRule>
  </conditionalFormatting>
  <conditionalFormatting sqref="V30">
    <cfRule type="cellIs" dxfId="15514" priority="1669" operator="equal">
      <formula>"OFF"</formula>
    </cfRule>
    <cfRule type="cellIs" dxfId="15513" priority="1670" operator="equal">
      <formula>"PTO"</formula>
    </cfRule>
  </conditionalFormatting>
  <conditionalFormatting sqref="V30">
    <cfRule type="cellIs" dxfId="15512" priority="1667" operator="equal">
      <formula>"OFF"</formula>
    </cfRule>
    <cfRule type="cellIs" dxfId="15511" priority="1668" operator="equal">
      <formula>"PTO"</formula>
    </cfRule>
  </conditionalFormatting>
  <conditionalFormatting sqref="V30">
    <cfRule type="cellIs" dxfId="15510" priority="1665" operator="equal">
      <formula>"OFF"</formula>
    </cfRule>
    <cfRule type="cellIs" dxfId="15509" priority="1666" operator="equal">
      <formula>"PTO"</formula>
    </cfRule>
  </conditionalFormatting>
  <conditionalFormatting sqref="V30">
    <cfRule type="cellIs" dxfId="15508" priority="1663" operator="equal">
      <formula>"OFF"</formula>
    </cfRule>
    <cfRule type="cellIs" dxfId="15507" priority="1664" operator="equal">
      <formula>"PTO"</formula>
    </cfRule>
  </conditionalFormatting>
  <conditionalFormatting sqref="V30">
    <cfRule type="cellIs" dxfId="15506" priority="1661" operator="equal">
      <formula>"OFF"</formula>
    </cfRule>
    <cfRule type="cellIs" dxfId="15505" priority="1662" operator="equal">
      <formula>"PTO"</formula>
    </cfRule>
  </conditionalFormatting>
  <conditionalFormatting sqref="V30">
    <cfRule type="cellIs" dxfId="15504" priority="1659" operator="equal">
      <formula>"OFF"</formula>
    </cfRule>
    <cfRule type="cellIs" dxfId="15503" priority="1660" operator="equal">
      <formula>"PTO"</formula>
    </cfRule>
  </conditionalFormatting>
  <conditionalFormatting sqref="V30">
    <cfRule type="cellIs" dxfId="15502" priority="1657" operator="equal">
      <formula>"OFF"</formula>
    </cfRule>
    <cfRule type="cellIs" dxfId="15501" priority="1658" operator="equal">
      <formula>"PTO"</formula>
    </cfRule>
  </conditionalFormatting>
  <conditionalFormatting sqref="V30">
    <cfRule type="cellIs" dxfId="15500" priority="1655" operator="equal">
      <formula>"OFF"</formula>
    </cfRule>
    <cfRule type="cellIs" dxfId="15499" priority="1656" operator="equal">
      <formula>"PTO"</formula>
    </cfRule>
  </conditionalFormatting>
  <conditionalFormatting sqref="V30">
    <cfRule type="cellIs" dxfId="15498" priority="1653" operator="equal">
      <formula>"OFF"</formula>
    </cfRule>
    <cfRule type="cellIs" dxfId="15497" priority="1654" operator="equal">
      <formula>"PTO"</formula>
    </cfRule>
  </conditionalFormatting>
  <conditionalFormatting sqref="V26">
    <cfRule type="cellIs" dxfId="15496" priority="1651" operator="equal">
      <formula>"OFF"</formula>
    </cfRule>
    <cfRule type="cellIs" dxfId="15495" priority="1652" operator="equal">
      <formula>"PTO"</formula>
    </cfRule>
  </conditionalFormatting>
  <conditionalFormatting sqref="V26">
    <cfRule type="cellIs" dxfId="15494" priority="1649" operator="equal">
      <formula>"OFF"</formula>
    </cfRule>
    <cfRule type="cellIs" dxfId="15493" priority="1650" operator="equal">
      <formula>"PTO"</formula>
    </cfRule>
  </conditionalFormatting>
  <conditionalFormatting sqref="V26">
    <cfRule type="cellIs" dxfId="15492" priority="1647" operator="equal">
      <formula>"OFF"</formula>
    </cfRule>
    <cfRule type="cellIs" dxfId="15491" priority="1648" operator="equal">
      <formula>"PTO"</formula>
    </cfRule>
  </conditionalFormatting>
  <conditionalFormatting sqref="V26">
    <cfRule type="cellIs" dxfId="15490" priority="1645" operator="equal">
      <formula>"OFF"</formula>
    </cfRule>
    <cfRule type="cellIs" dxfId="15489" priority="1646" operator="equal">
      <formula>"PTO"</formula>
    </cfRule>
  </conditionalFormatting>
  <conditionalFormatting sqref="V26">
    <cfRule type="cellIs" dxfId="15488" priority="1643" operator="equal">
      <formula>"OFF"</formula>
    </cfRule>
    <cfRule type="cellIs" dxfId="15487" priority="1644" operator="equal">
      <formula>"PTO"</formula>
    </cfRule>
  </conditionalFormatting>
  <conditionalFormatting sqref="V26">
    <cfRule type="cellIs" dxfId="15486" priority="1641" operator="equal">
      <formula>"OFF"</formula>
    </cfRule>
    <cfRule type="cellIs" dxfId="15485" priority="1642" operator="equal">
      <formula>"PTO"</formula>
    </cfRule>
  </conditionalFormatting>
  <conditionalFormatting sqref="V26">
    <cfRule type="cellIs" dxfId="15484" priority="1639" operator="equal">
      <formula>"OFF"</formula>
    </cfRule>
    <cfRule type="cellIs" dxfId="15483" priority="1640" operator="equal">
      <formula>"PTO"</formula>
    </cfRule>
  </conditionalFormatting>
  <conditionalFormatting sqref="V26">
    <cfRule type="cellIs" dxfId="15482" priority="1637" operator="equal">
      <formula>"OFF"</formula>
    </cfRule>
    <cfRule type="cellIs" dxfId="15481" priority="1638" operator="equal">
      <formula>"PTO"</formula>
    </cfRule>
  </conditionalFormatting>
  <conditionalFormatting sqref="V27">
    <cfRule type="cellIs" dxfId="15480" priority="1635" operator="equal">
      <formula>"OFF"</formula>
    </cfRule>
    <cfRule type="cellIs" dxfId="15479" priority="1636" operator="equal">
      <formula>"PTO"</formula>
    </cfRule>
  </conditionalFormatting>
  <conditionalFormatting sqref="V27">
    <cfRule type="cellIs" dxfId="15478" priority="1633" operator="equal">
      <formula>"OFF"</formula>
    </cfRule>
    <cfRule type="cellIs" dxfId="15477" priority="1634" operator="equal">
      <formula>"PTO"</formula>
    </cfRule>
  </conditionalFormatting>
  <conditionalFormatting sqref="V27">
    <cfRule type="cellIs" dxfId="15476" priority="1631" operator="equal">
      <formula>"OFF"</formula>
    </cfRule>
    <cfRule type="cellIs" dxfId="15475" priority="1632" operator="equal">
      <formula>"PTO"</formula>
    </cfRule>
  </conditionalFormatting>
  <conditionalFormatting sqref="V27">
    <cfRule type="cellIs" dxfId="15474" priority="1629" operator="equal">
      <formula>"OFF"</formula>
    </cfRule>
    <cfRule type="cellIs" dxfId="15473" priority="1630" operator="equal">
      <formula>"PTO"</formula>
    </cfRule>
  </conditionalFormatting>
  <conditionalFormatting sqref="V27">
    <cfRule type="cellIs" dxfId="15472" priority="1627" operator="equal">
      <formula>"OFF"</formula>
    </cfRule>
    <cfRule type="cellIs" dxfId="15471" priority="1628" operator="equal">
      <formula>"PTO"</formula>
    </cfRule>
  </conditionalFormatting>
  <conditionalFormatting sqref="V27">
    <cfRule type="cellIs" dxfId="15470" priority="1625" operator="equal">
      <formula>"OFF"</formula>
    </cfRule>
    <cfRule type="cellIs" dxfId="15469" priority="1626" operator="equal">
      <formula>"PTO"</formula>
    </cfRule>
  </conditionalFormatting>
  <conditionalFormatting sqref="V27">
    <cfRule type="cellIs" dxfId="15468" priority="1623" operator="equal">
      <formula>"OFF"</formula>
    </cfRule>
    <cfRule type="cellIs" dxfId="15467" priority="1624" operator="equal">
      <formula>"PTO"</formula>
    </cfRule>
  </conditionalFormatting>
  <conditionalFormatting sqref="V27">
    <cfRule type="cellIs" dxfId="15466" priority="1621" operator="equal">
      <formula>"OFF"</formula>
    </cfRule>
    <cfRule type="cellIs" dxfId="15465" priority="1622" operator="equal">
      <formula>"PTO"</formula>
    </cfRule>
  </conditionalFormatting>
  <conditionalFormatting sqref="V26">
    <cfRule type="cellIs" dxfId="15464" priority="1619" operator="equal">
      <formula>"OFF"</formula>
    </cfRule>
    <cfRule type="cellIs" dxfId="15463" priority="1620" operator="equal">
      <formula>"PTO"</formula>
    </cfRule>
  </conditionalFormatting>
  <conditionalFormatting sqref="V26">
    <cfRule type="cellIs" dxfId="15462" priority="1617" operator="equal">
      <formula>"OFF"</formula>
    </cfRule>
    <cfRule type="cellIs" dxfId="15461" priority="1618" operator="equal">
      <formula>"PTO"</formula>
    </cfRule>
  </conditionalFormatting>
  <conditionalFormatting sqref="V26">
    <cfRule type="cellIs" dxfId="15460" priority="1615" operator="equal">
      <formula>"OFF"</formula>
    </cfRule>
    <cfRule type="cellIs" dxfId="15459" priority="1616" operator="equal">
      <formula>"PTO"</formula>
    </cfRule>
  </conditionalFormatting>
  <conditionalFormatting sqref="V26">
    <cfRule type="cellIs" dxfId="15458" priority="1613" operator="equal">
      <formula>"OFF"</formula>
    </cfRule>
    <cfRule type="cellIs" dxfId="15457" priority="1614" operator="equal">
      <formula>"PTO"</formula>
    </cfRule>
  </conditionalFormatting>
  <conditionalFormatting sqref="V26">
    <cfRule type="cellIs" dxfId="15456" priority="1611" operator="equal">
      <formula>"OFF"</formula>
    </cfRule>
    <cfRule type="cellIs" dxfId="15455" priority="1612" operator="equal">
      <formula>"PTO"</formula>
    </cfRule>
  </conditionalFormatting>
  <conditionalFormatting sqref="V26">
    <cfRule type="cellIs" dxfId="15454" priority="1609" operator="equal">
      <formula>"OFF"</formula>
    </cfRule>
    <cfRule type="cellIs" dxfId="15453" priority="1610" operator="equal">
      <formula>"PTO"</formula>
    </cfRule>
  </conditionalFormatting>
  <conditionalFormatting sqref="V26">
    <cfRule type="cellIs" dxfId="15452" priority="1607" operator="equal">
      <formula>"OFF"</formula>
    </cfRule>
    <cfRule type="cellIs" dxfId="15451" priority="1608" operator="equal">
      <formula>"PTO"</formula>
    </cfRule>
  </conditionalFormatting>
  <conditionalFormatting sqref="V26">
    <cfRule type="cellIs" dxfId="15450" priority="1605" operator="equal">
      <formula>"OFF"</formula>
    </cfRule>
    <cfRule type="cellIs" dxfId="15449" priority="1606" operator="equal">
      <formula>"PTO"</formula>
    </cfRule>
  </conditionalFormatting>
  <conditionalFormatting sqref="V27">
    <cfRule type="cellIs" dxfId="15448" priority="1603" operator="equal">
      <formula>"OFF"</formula>
    </cfRule>
    <cfRule type="cellIs" dxfId="15447" priority="1604" operator="equal">
      <formula>"PTO"</formula>
    </cfRule>
  </conditionalFormatting>
  <conditionalFormatting sqref="V27">
    <cfRule type="cellIs" dxfId="15446" priority="1601" operator="equal">
      <formula>"OFF"</formula>
    </cfRule>
    <cfRule type="cellIs" dxfId="15445" priority="1602" operator="equal">
      <formula>"PTO"</formula>
    </cfRule>
  </conditionalFormatting>
  <conditionalFormatting sqref="V27">
    <cfRule type="cellIs" dxfId="15444" priority="1599" operator="equal">
      <formula>"OFF"</formula>
    </cfRule>
    <cfRule type="cellIs" dxfId="15443" priority="1600" operator="equal">
      <formula>"PTO"</formula>
    </cfRule>
  </conditionalFormatting>
  <conditionalFormatting sqref="V27">
    <cfRule type="cellIs" dxfId="15442" priority="1597" operator="equal">
      <formula>"OFF"</formula>
    </cfRule>
    <cfRule type="cellIs" dxfId="15441" priority="1598" operator="equal">
      <formula>"PTO"</formula>
    </cfRule>
  </conditionalFormatting>
  <conditionalFormatting sqref="V27">
    <cfRule type="cellIs" dxfId="15440" priority="1595" operator="equal">
      <formula>"OFF"</formula>
    </cfRule>
    <cfRule type="cellIs" dxfId="15439" priority="1596" operator="equal">
      <formula>"PTO"</formula>
    </cfRule>
  </conditionalFormatting>
  <conditionalFormatting sqref="V27">
    <cfRule type="cellIs" dxfId="15438" priority="1593" operator="equal">
      <formula>"OFF"</formula>
    </cfRule>
    <cfRule type="cellIs" dxfId="15437" priority="1594" operator="equal">
      <formula>"PTO"</formula>
    </cfRule>
  </conditionalFormatting>
  <conditionalFormatting sqref="V27">
    <cfRule type="cellIs" dxfId="15436" priority="1591" operator="equal">
      <formula>"OFF"</formula>
    </cfRule>
    <cfRule type="cellIs" dxfId="15435" priority="1592" operator="equal">
      <formula>"PTO"</formula>
    </cfRule>
  </conditionalFormatting>
  <conditionalFormatting sqref="V27">
    <cfRule type="cellIs" dxfId="15434" priority="1589" operator="equal">
      <formula>"OFF"</formula>
    </cfRule>
    <cfRule type="cellIs" dxfId="15433" priority="1590" operator="equal">
      <formula>"PTO"</formula>
    </cfRule>
  </conditionalFormatting>
  <conditionalFormatting sqref="V26">
    <cfRule type="cellIs" dxfId="15432" priority="1587" operator="equal">
      <formula>"OFF"</formula>
    </cfRule>
    <cfRule type="cellIs" dxfId="15431" priority="1588" operator="equal">
      <formula>"PTO"</formula>
    </cfRule>
  </conditionalFormatting>
  <conditionalFormatting sqref="V26">
    <cfRule type="cellIs" dxfId="15430" priority="1585" operator="equal">
      <formula>"OFF"</formula>
    </cfRule>
    <cfRule type="cellIs" dxfId="15429" priority="1586" operator="equal">
      <formula>"PTO"</formula>
    </cfRule>
  </conditionalFormatting>
  <conditionalFormatting sqref="V26">
    <cfRule type="cellIs" dxfId="15428" priority="1583" operator="equal">
      <formula>"OFF"</formula>
    </cfRule>
    <cfRule type="cellIs" dxfId="15427" priority="1584" operator="equal">
      <formula>"PTO"</formula>
    </cfRule>
  </conditionalFormatting>
  <conditionalFormatting sqref="V26">
    <cfRule type="cellIs" dxfId="15426" priority="1581" operator="equal">
      <formula>"OFF"</formula>
    </cfRule>
    <cfRule type="cellIs" dxfId="15425" priority="1582" operator="equal">
      <formula>"PTO"</formula>
    </cfRule>
  </conditionalFormatting>
  <conditionalFormatting sqref="V26">
    <cfRule type="cellIs" dxfId="15424" priority="1579" operator="equal">
      <formula>"OFF"</formula>
    </cfRule>
    <cfRule type="cellIs" dxfId="15423" priority="1580" operator="equal">
      <formula>"PTO"</formula>
    </cfRule>
  </conditionalFormatting>
  <conditionalFormatting sqref="V26">
    <cfRule type="cellIs" dxfId="15422" priority="1577" operator="equal">
      <formula>"OFF"</formula>
    </cfRule>
    <cfRule type="cellIs" dxfId="15421" priority="1578" operator="equal">
      <formula>"PTO"</formula>
    </cfRule>
  </conditionalFormatting>
  <conditionalFormatting sqref="V26">
    <cfRule type="cellIs" dxfId="15420" priority="1575" operator="equal">
      <formula>"OFF"</formula>
    </cfRule>
    <cfRule type="cellIs" dxfId="15419" priority="1576" operator="equal">
      <formula>"PTO"</formula>
    </cfRule>
  </conditionalFormatting>
  <conditionalFormatting sqref="V26">
    <cfRule type="cellIs" dxfId="15418" priority="1573" operator="equal">
      <formula>"OFF"</formula>
    </cfRule>
    <cfRule type="cellIs" dxfId="15417" priority="1574" operator="equal">
      <formula>"PTO"</formula>
    </cfRule>
  </conditionalFormatting>
  <conditionalFormatting sqref="V27">
    <cfRule type="cellIs" dxfId="15416" priority="1571" operator="equal">
      <formula>"OFF"</formula>
    </cfRule>
    <cfRule type="cellIs" dxfId="15415" priority="1572" operator="equal">
      <formula>"PTO"</formula>
    </cfRule>
  </conditionalFormatting>
  <conditionalFormatting sqref="V27">
    <cfRule type="cellIs" dxfId="15414" priority="1569" operator="equal">
      <formula>"OFF"</formula>
    </cfRule>
    <cfRule type="cellIs" dxfId="15413" priority="1570" operator="equal">
      <formula>"PTO"</formula>
    </cfRule>
  </conditionalFormatting>
  <conditionalFormatting sqref="V27">
    <cfRule type="cellIs" dxfId="15412" priority="1567" operator="equal">
      <formula>"OFF"</formula>
    </cfRule>
    <cfRule type="cellIs" dxfId="15411" priority="1568" operator="equal">
      <formula>"PTO"</formula>
    </cfRule>
  </conditionalFormatting>
  <conditionalFormatting sqref="V27">
    <cfRule type="cellIs" dxfId="15410" priority="1565" operator="equal">
      <formula>"OFF"</formula>
    </cfRule>
    <cfRule type="cellIs" dxfId="15409" priority="1566" operator="equal">
      <formula>"PTO"</formula>
    </cfRule>
  </conditionalFormatting>
  <conditionalFormatting sqref="V27">
    <cfRule type="cellIs" dxfId="15408" priority="1563" operator="equal">
      <formula>"OFF"</formula>
    </cfRule>
    <cfRule type="cellIs" dxfId="15407" priority="1564" operator="equal">
      <formula>"PTO"</formula>
    </cfRule>
  </conditionalFormatting>
  <conditionalFormatting sqref="V27">
    <cfRule type="cellIs" dxfId="15406" priority="1561" operator="equal">
      <formula>"OFF"</formula>
    </cfRule>
    <cfRule type="cellIs" dxfId="15405" priority="1562" operator="equal">
      <formula>"PTO"</formula>
    </cfRule>
  </conditionalFormatting>
  <conditionalFormatting sqref="V27">
    <cfRule type="cellIs" dxfId="15404" priority="1559" operator="equal">
      <formula>"OFF"</formula>
    </cfRule>
    <cfRule type="cellIs" dxfId="15403" priority="1560" operator="equal">
      <formula>"PTO"</formula>
    </cfRule>
  </conditionalFormatting>
  <conditionalFormatting sqref="V27">
    <cfRule type="cellIs" dxfId="15402" priority="1557" operator="equal">
      <formula>"OFF"</formula>
    </cfRule>
    <cfRule type="cellIs" dxfId="15401" priority="1558" operator="equal">
      <formula>"PTO"</formula>
    </cfRule>
  </conditionalFormatting>
  <conditionalFormatting sqref="V26">
    <cfRule type="cellIs" dxfId="15400" priority="1555" operator="equal">
      <formula>"OFF"</formula>
    </cfRule>
    <cfRule type="cellIs" dxfId="15399" priority="1556" operator="equal">
      <formula>"PTO"</formula>
    </cfRule>
  </conditionalFormatting>
  <conditionalFormatting sqref="V26">
    <cfRule type="cellIs" dxfId="15398" priority="1553" operator="equal">
      <formula>"OFF"</formula>
    </cfRule>
    <cfRule type="cellIs" dxfId="15397" priority="1554" operator="equal">
      <formula>"PTO"</formula>
    </cfRule>
  </conditionalFormatting>
  <conditionalFormatting sqref="V26">
    <cfRule type="cellIs" dxfId="15396" priority="1551" operator="equal">
      <formula>"OFF"</formula>
    </cfRule>
    <cfRule type="cellIs" dxfId="15395" priority="1552" operator="equal">
      <formula>"PTO"</formula>
    </cfRule>
  </conditionalFormatting>
  <conditionalFormatting sqref="V26">
    <cfRule type="cellIs" dxfId="15394" priority="1549" operator="equal">
      <formula>"OFF"</formula>
    </cfRule>
    <cfRule type="cellIs" dxfId="15393" priority="1550" operator="equal">
      <formula>"PTO"</formula>
    </cfRule>
  </conditionalFormatting>
  <conditionalFormatting sqref="V26">
    <cfRule type="cellIs" dxfId="15392" priority="1547" operator="equal">
      <formula>"OFF"</formula>
    </cfRule>
    <cfRule type="cellIs" dxfId="15391" priority="1548" operator="equal">
      <formula>"PTO"</formula>
    </cfRule>
  </conditionalFormatting>
  <conditionalFormatting sqref="V26">
    <cfRule type="cellIs" dxfId="15390" priority="1545" operator="equal">
      <formula>"OFF"</formula>
    </cfRule>
    <cfRule type="cellIs" dxfId="15389" priority="1546" operator="equal">
      <formula>"PTO"</formula>
    </cfRule>
  </conditionalFormatting>
  <conditionalFormatting sqref="V26">
    <cfRule type="cellIs" dxfId="15388" priority="1543" operator="equal">
      <formula>"OFF"</formula>
    </cfRule>
    <cfRule type="cellIs" dxfId="15387" priority="1544" operator="equal">
      <formula>"PTO"</formula>
    </cfRule>
  </conditionalFormatting>
  <conditionalFormatting sqref="V26">
    <cfRule type="cellIs" dxfId="15386" priority="1541" operator="equal">
      <formula>"OFF"</formula>
    </cfRule>
    <cfRule type="cellIs" dxfId="15385" priority="1542" operator="equal">
      <formula>"PTO"</formula>
    </cfRule>
  </conditionalFormatting>
  <conditionalFormatting sqref="V27">
    <cfRule type="cellIs" dxfId="15384" priority="1539" operator="equal">
      <formula>"OFF"</formula>
    </cfRule>
    <cfRule type="cellIs" dxfId="15383" priority="1540" operator="equal">
      <formula>"PTO"</formula>
    </cfRule>
  </conditionalFormatting>
  <conditionalFormatting sqref="V27">
    <cfRule type="cellIs" dxfId="15382" priority="1537" operator="equal">
      <formula>"OFF"</formula>
    </cfRule>
    <cfRule type="cellIs" dxfId="15381" priority="1538" operator="equal">
      <formula>"PTO"</formula>
    </cfRule>
  </conditionalFormatting>
  <conditionalFormatting sqref="V27">
    <cfRule type="cellIs" dxfId="15380" priority="1535" operator="equal">
      <formula>"OFF"</formula>
    </cfRule>
    <cfRule type="cellIs" dxfId="15379" priority="1536" operator="equal">
      <formula>"PTO"</formula>
    </cfRule>
  </conditionalFormatting>
  <conditionalFormatting sqref="V27">
    <cfRule type="cellIs" dxfId="15378" priority="1533" operator="equal">
      <formula>"OFF"</formula>
    </cfRule>
    <cfRule type="cellIs" dxfId="15377" priority="1534" operator="equal">
      <formula>"PTO"</formula>
    </cfRule>
  </conditionalFormatting>
  <conditionalFormatting sqref="V27">
    <cfRule type="cellIs" dxfId="15376" priority="1531" operator="equal">
      <formula>"OFF"</formula>
    </cfRule>
    <cfRule type="cellIs" dxfId="15375" priority="1532" operator="equal">
      <formula>"PTO"</formula>
    </cfRule>
  </conditionalFormatting>
  <conditionalFormatting sqref="V27">
    <cfRule type="cellIs" dxfId="15374" priority="1529" operator="equal">
      <formula>"OFF"</formula>
    </cfRule>
    <cfRule type="cellIs" dxfId="15373" priority="1530" operator="equal">
      <formula>"PTO"</formula>
    </cfRule>
  </conditionalFormatting>
  <conditionalFormatting sqref="V27">
    <cfRule type="cellIs" dxfId="15372" priority="1527" operator="equal">
      <formula>"OFF"</formula>
    </cfRule>
    <cfRule type="cellIs" dxfId="15371" priority="1528" operator="equal">
      <formula>"PTO"</formula>
    </cfRule>
  </conditionalFormatting>
  <conditionalFormatting sqref="V27">
    <cfRule type="cellIs" dxfId="15370" priority="1525" operator="equal">
      <formula>"OFF"</formula>
    </cfRule>
    <cfRule type="cellIs" dxfId="15369" priority="1526" operator="equal">
      <formula>"PTO"</formula>
    </cfRule>
  </conditionalFormatting>
  <conditionalFormatting sqref="V26">
    <cfRule type="cellIs" dxfId="15368" priority="1523" operator="equal">
      <formula>"OFF"</formula>
    </cfRule>
    <cfRule type="cellIs" dxfId="15367" priority="1524" operator="equal">
      <formula>"PTO"</formula>
    </cfRule>
  </conditionalFormatting>
  <conditionalFormatting sqref="V26">
    <cfRule type="cellIs" dxfId="15366" priority="1521" operator="equal">
      <formula>"OFF"</formula>
    </cfRule>
    <cfRule type="cellIs" dxfId="15365" priority="1522" operator="equal">
      <formula>"PTO"</formula>
    </cfRule>
  </conditionalFormatting>
  <conditionalFormatting sqref="V26">
    <cfRule type="cellIs" dxfId="15364" priority="1519" operator="equal">
      <formula>"OFF"</formula>
    </cfRule>
    <cfRule type="cellIs" dxfId="15363" priority="1520" operator="equal">
      <formula>"PTO"</formula>
    </cfRule>
  </conditionalFormatting>
  <conditionalFormatting sqref="V26">
    <cfRule type="cellIs" dxfId="15362" priority="1517" operator="equal">
      <formula>"OFF"</formula>
    </cfRule>
    <cfRule type="cellIs" dxfId="15361" priority="1518" operator="equal">
      <formula>"PTO"</formula>
    </cfRule>
  </conditionalFormatting>
  <conditionalFormatting sqref="V26">
    <cfRule type="cellIs" dxfId="15360" priority="1515" operator="equal">
      <formula>"OFF"</formula>
    </cfRule>
    <cfRule type="cellIs" dxfId="15359" priority="1516" operator="equal">
      <formula>"PTO"</formula>
    </cfRule>
  </conditionalFormatting>
  <conditionalFormatting sqref="V26">
    <cfRule type="cellIs" dxfId="15358" priority="1513" operator="equal">
      <formula>"OFF"</formula>
    </cfRule>
    <cfRule type="cellIs" dxfId="15357" priority="1514" operator="equal">
      <formula>"PTO"</formula>
    </cfRule>
  </conditionalFormatting>
  <conditionalFormatting sqref="V26">
    <cfRule type="cellIs" dxfId="15356" priority="1511" operator="equal">
      <formula>"OFF"</formula>
    </cfRule>
    <cfRule type="cellIs" dxfId="15355" priority="1512" operator="equal">
      <formula>"PTO"</formula>
    </cfRule>
  </conditionalFormatting>
  <conditionalFormatting sqref="V26">
    <cfRule type="cellIs" dxfId="15354" priority="1509" operator="equal">
      <formula>"OFF"</formula>
    </cfRule>
    <cfRule type="cellIs" dxfId="15353" priority="1510" operator="equal">
      <formula>"PTO"</formula>
    </cfRule>
  </conditionalFormatting>
  <conditionalFormatting sqref="V27">
    <cfRule type="cellIs" dxfId="15352" priority="1507" operator="equal">
      <formula>"OFF"</formula>
    </cfRule>
    <cfRule type="cellIs" dxfId="15351" priority="1508" operator="equal">
      <formula>"PTO"</formula>
    </cfRule>
  </conditionalFormatting>
  <conditionalFormatting sqref="V27">
    <cfRule type="cellIs" dxfId="15350" priority="1505" operator="equal">
      <formula>"OFF"</formula>
    </cfRule>
    <cfRule type="cellIs" dxfId="15349" priority="1506" operator="equal">
      <formula>"PTO"</formula>
    </cfRule>
  </conditionalFormatting>
  <conditionalFormatting sqref="V27">
    <cfRule type="cellIs" dxfId="15348" priority="1503" operator="equal">
      <formula>"OFF"</formula>
    </cfRule>
    <cfRule type="cellIs" dxfId="15347" priority="1504" operator="equal">
      <formula>"PTO"</formula>
    </cfRule>
  </conditionalFormatting>
  <conditionalFormatting sqref="V27">
    <cfRule type="cellIs" dxfId="15346" priority="1501" operator="equal">
      <formula>"OFF"</formula>
    </cfRule>
    <cfRule type="cellIs" dxfId="15345" priority="1502" operator="equal">
      <formula>"PTO"</formula>
    </cfRule>
  </conditionalFormatting>
  <conditionalFormatting sqref="V27">
    <cfRule type="cellIs" dxfId="15344" priority="1499" operator="equal">
      <formula>"OFF"</formula>
    </cfRule>
    <cfRule type="cellIs" dxfId="15343" priority="1500" operator="equal">
      <formula>"PTO"</formula>
    </cfRule>
  </conditionalFormatting>
  <conditionalFormatting sqref="V27">
    <cfRule type="cellIs" dxfId="15342" priority="1497" operator="equal">
      <formula>"OFF"</formula>
    </cfRule>
    <cfRule type="cellIs" dxfId="15341" priority="1498" operator="equal">
      <formula>"PTO"</formula>
    </cfRule>
  </conditionalFormatting>
  <conditionalFormatting sqref="V27">
    <cfRule type="cellIs" dxfId="15340" priority="1495" operator="equal">
      <formula>"OFF"</formula>
    </cfRule>
    <cfRule type="cellIs" dxfId="15339" priority="1496" operator="equal">
      <formula>"PTO"</formula>
    </cfRule>
  </conditionalFormatting>
  <conditionalFormatting sqref="V27">
    <cfRule type="cellIs" dxfId="15338" priority="1493" operator="equal">
      <formula>"OFF"</formula>
    </cfRule>
    <cfRule type="cellIs" dxfId="15337" priority="1494" operator="equal">
      <formula>"PTO"</formula>
    </cfRule>
  </conditionalFormatting>
  <conditionalFormatting sqref="V26">
    <cfRule type="cellIs" dxfId="15336" priority="1491" operator="equal">
      <formula>"OFF"</formula>
    </cfRule>
    <cfRule type="cellIs" dxfId="15335" priority="1492" operator="equal">
      <formula>"PTO"</formula>
    </cfRule>
  </conditionalFormatting>
  <conditionalFormatting sqref="V26">
    <cfRule type="cellIs" dxfId="15334" priority="1489" operator="equal">
      <formula>"OFF"</formula>
    </cfRule>
    <cfRule type="cellIs" dxfId="15333" priority="1490" operator="equal">
      <formula>"PTO"</formula>
    </cfRule>
  </conditionalFormatting>
  <conditionalFormatting sqref="V26">
    <cfRule type="cellIs" dxfId="15332" priority="1487" operator="equal">
      <formula>"OFF"</formula>
    </cfRule>
    <cfRule type="cellIs" dxfId="15331" priority="1488" operator="equal">
      <formula>"PTO"</formula>
    </cfRule>
  </conditionalFormatting>
  <conditionalFormatting sqref="V26">
    <cfRule type="cellIs" dxfId="15330" priority="1485" operator="equal">
      <formula>"OFF"</formula>
    </cfRule>
    <cfRule type="cellIs" dxfId="15329" priority="1486" operator="equal">
      <formula>"PTO"</formula>
    </cfRule>
  </conditionalFormatting>
  <conditionalFormatting sqref="V26">
    <cfRule type="cellIs" dxfId="15328" priority="1483" operator="equal">
      <formula>"OFF"</formula>
    </cfRule>
    <cfRule type="cellIs" dxfId="15327" priority="1484" operator="equal">
      <formula>"PTO"</formula>
    </cfRule>
  </conditionalFormatting>
  <conditionalFormatting sqref="V26">
    <cfRule type="cellIs" dxfId="15326" priority="1481" operator="equal">
      <formula>"OFF"</formula>
    </cfRule>
    <cfRule type="cellIs" dxfId="15325" priority="1482" operator="equal">
      <formula>"PTO"</formula>
    </cfRule>
  </conditionalFormatting>
  <conditionalFormatting sqref="V26">
    <cfRule type="cellIs" dxfId="15324" priority="1479" operator="equal">
      <formula>"OFF"</formula>
    </cfRule>
    <cfRule type="cellIs" dxfId="15323" priority="1480" operator="equal">
      <formula>"PTO"</formula>
    </cfRule>
  </conditionalFormatting>
  <conditionalFormatting sqref="V26">
    <cfRule type="cellIs" dxfId="15322" priority="1477" operator="equal">
      <formula>"OFF"</formula>
    </cfRule>
    <cfRule type="cellIs" dxfId="15321" priority="1478" operator="equal">
      <formula>"PTO"</formula>
    </cfRule>
  </conditionalFormatting>
  <conditionalFormatting sqref="V27">
    <cfRule type="cellIs" dxfId="15320" priority="1475" operator="equal">
      <formula>"OFF"</formula>
    </cfRule>
    <cfRule type="cellIs" dxfId="15319" priority="1476" operator="equal">
      <formula>"PTO"</formula>
    </cfRule>
  </conditionalFormatting>
  <conditionalFormatting sqref="V27">
    <cfRule type="cellIs" dxfId="15318" priority="1473" operator="equal">
      <formula>"OFF"</formula>
    </cfRule>
    <cfRule type="cellIs" dxfId="15317" priority="1474" operator="equal">
      <formula>"PTO"</formula>
    </cfRule>
  </conditionalFormatting>
  <conditionalFormatting sqref="V27">
    <cfRule type="cellIs" dxfId="15316" priority="1471" operator="equal">
      <formula>"OFF"</formula>
    </cfRule>
    <cfRule type="cellIs" dxfId="15315" priority="1472" operator="equal">
      <formula>"PTO"</formula>
    </cfRule>
  </conditionalFormatting>
  <conditionalFormatting sqref="V27">
    <cfRule type="cellIs" dxfId="15314" priority="1469" operator="equal">
      <formula>"OFF"</formula>
    </cfRule>
    <cfRule type="cellIs" dxfId="15313" priority="1470" operator="equal">
      <formula>"PTO"</formula>
    </cfRule>
  </conditionalFormatting>
  <conditionalFormatting sqref="V27">
    <cfRule type="cellIs" dxfId="15312" priority="1467" operator="equal">
      <formula>"OFF"</formula>
    </cfRule>
    <cfRule type="cellIs" dxfId="15311" priority="1468" operator="equal">
      <formula>"PTO"</formula>
    </cfRule>
  </conditionalFormatting>
  <conditionalFormatting sqref="V27">
    <cfRule type="cellIs" dxfId="15310" priority="1465" operator="equal">
      <formula>"OFF"</formula>
    </cfRule>
    <cfRule type="cellIs" dxfId="15309" priority="1466" operator="equal">
      <formula>"PTO"</formula>
    </cfRule>
  </conditionalFormatting>
  <conditionalFormatting sqref="V27">
    <cfRule type="cellIs" dxfId="15308" priority="1463" operator="equal">
      <formula>"OFF"</formula>
    </cfRule>
    <cfRule type="cellIs" dxfId="15307" priority="1464" operator="equal">
      <formula>"PTO"</formula>
    </cfRule>
  </conditionalFormatting>
  <conditionalFormatting sqref="V27">
    <cfRule type="cellIs" dxfId="15306" priority="1461" operator="equal">
      <formula>"OFF"</formula>
    </cfRule>
    <cfRule type="cellIs" dxfId="15305" priority="1462" operator="equal">
      <formula>"PTO"</formula>
    </cfRule>
  </conditionalFormatting>
  <conditionalFormatting sqref="V26">
    <cfRule type="cellIs" dxfId="15304" priority="1459" operator="equal">
      <formula>"OFF"</formula>
    </cfRule>
    <cfRule type="cellIs" dxfId="15303" priority="1460" operator="equal">
      <formula>"PTO"</formula>
    </cfRule>
  </conditionalFormatting>
  <conditionalFormatting sqref="V26">
    <cfRule type="cellIs" dxfId="15302" priority="1457" operator="equal">
      <formula>"OFF"</formula>
    </cfRule>
    <cfRule type="cellIs" dxfId="15301" priority="1458" operator="equal">
      <formula>"PTO"</formula>
    </cfRule>
  </conditionalFormatting>
  <conditionalFormatting sqref="V26">
    <cfRule type="cellIs" dxfId="15300" priority="1455" operator="equal">
      <formula>"OFF"</formula>
    </cfRule>
    <cfRule type="cellIs" dxfId="15299" priority="1456" operator="equal">
      <formula>"PTO"</formula>
    </cfRule>
  </conditionalFormatting>
  <conditionalFormatting sqref="V26">
    <cfRule type="cellIs" dxfId="15298" priority="1453" operator="equal">
      <formula>"OFF"</formula>
    </cfRule>
    <cfRule type="cellIs" dxfId="15297" priority="1454" operator="equal">
      <formula>"PTO"</formula>
    </cfRule>
  </conditionalFormatting>
  <conditionalFormatting sqref="V26">
    <cfRule type="cellIs" dxfId="15296" priority="1451" operator="equal">
      <formula>"OFF"</formula>
    </cfRule>
    <cfRule type="cellIs" dxfId="15295" priority="1452" operator="equal">
      <formula>"PTO"</formula>
    </cfRule>
  </conditionalFormatting>
  <conditionalFormatting sqref="V26">
    <cfRule type="cellIs" dxfId="15294" priority="1449" operator="equal">
      <formula>"OFF"</formula>
    </cfRule>
    <cfRule type="cellIs" dxfId="15293" priority="1450" operator="equal">
      <formula>"PTO"</formula>
    </cfRule>
  </conditionalFormatting>
  <conditionalFormatting sqref="V26">
    <cfRule type="cellIs" dxfId="15292" priority="1447" operator="equal">
      <formula>"OFF"</formula>
    </cfRule>
    <cfRule type="cellIs" dxfId="15291" priority="1448" operator="equal">
      <formula>"PTO"</formula>
    </cfRule>
  </conditionalFormatting>
  <conditionalFormatting sqref="V26">
    <cfRule type="cellIs" dxfId="15290" priority="1445" operator="equal">
      <formula>"OFF"</formula>
    </cfRule>
    <cfRule type="cellIs" dxfId="15289" priority="1446" operator="equal">
      <formula>"PTO"</formula>
    </cfRule>
  </conditionalFormatting>
  <conditionalFormatting sqref="V27">
    <cfRule type="cellIs" dxfId="15288" priority="1443" operator="equal">
      <formula>"OFF"</formula>
    </cfRule>
    <cfRule type="cellIs" dxfId="15287" priority="1444" operator="equal">
      <formula>"PTO"</formula>
    </cfRule>
  </conditionalFormatting>
  <conditionalFormatting sqref="V27">
    <cfRule type="cellIs" dxfId="15286" priority="1441" operator="equal">
      <formula>"OFF"</formula>
    </cfRule>
    <cfRule type="cellIs" dxfId="15285" priority="1442" operator="equal">
      <formula>"PTO"</formula>
    </cfRule>
  </conditionalFormatting>
  <conditionalFormatting sqref="V27">
    <cfRule type="cellIs" dxfId="15284" priority="1439" operator="equal">
      <formula>"OFF"</formula>
    </cfRule>
    <cfRule type="cellIs" dxfId="15283" priority="1440" operator="equal">
      <formula>"PTO"</formula>
    </cfRule>
  </conditionalFormatting>
  <conditionalFormatting sqref="V27">
    <cfRule type="cellIs" dxfId="15282" priority="1437" operator="equal">
      <formula>"OFF"</formula>
    </cfRule>
    <cfRule type="cellIs" dxfId="15281" priority="1438" operator="equal">
      <formula>"PTO"</formula>
    </cfRule>
  </conditionalFormatting>
  <conditionalFormatting sqref="V27">
    <cfRule type="cellIs" dxfId="15280" priority="1435" operator="equal">
      <formula>"OFF"</formula>
    </cfRule>
    <cfRule type="cellIs" dxfId="15279" priority="1436" operator="equal">
      <formula>"PTO"</formula>
    </cfRule>
  </conditionalFormatting>
  <conditionalFormatting sqref="V27">
    <cfRule type="cellIs" dxfId="15278" priority="1433" operator="equal">
      <formula>"OFF"</formula>
    </cfRule>
    <cfRule type="cellIs" dxfId="15277" priority="1434" operator="equal">
      <formula>"PTO"</formula>
    </cfRule>
  </conditionalFormatting>
  <conditionalFormatting sqref="V27">
    <cfRule type="cellIs" dxfId="15276" priority="1431" operator="equal">
      <formula>"OFF"</formula>
    </cfRule>
    <cfRule type="cellIs" dxfId="15275" priority="1432" operator="equal">
      <formula>"PTO"</formula>
    </cfRule>
  </conditionalFormatting>
  <conditionalFormatting sqref="V27">
    <cfRule type="cellIs" dxfId="15274" priority="1429" operator="equal">
      <formula>"OFF"</formula>
    </cfRule>
    <cfRule type="cellIs" dxfId="15273" priority="1430" operator="equal">
      <formula>"PTO"</formula>
    </cfRule>
  </conditionalFormatting>
  <conditionalFormatting sqref="V29">
    <cfRule type="cellIs" dxfId="15272" priority="1427" operator="equal">
      <formula>"OFF"</formula>
    </cfRule>
    <cfRule type="cellIs" dxfId="15271" priority="1428" operator="equal">
      <formula>"PTO"</formula>
    </cfRule>
  </conditionalFormatting>
  <conditionalFormatting sqref="V29">
    <cfRule type="cellIs" dxfId="15270" priority="1425" operator="equal">
      <formula>"OFF"</formula>
    </cfRule>
    <cfRule type="cellIs" dxfId="15269" priority="1426" operator="equal">
      <formula>"PTO"</formula>
    </cfRule>
  </conditionalFormatting>
  <conditionalFormatting sqref="V29">
    <cfRule type="cellIs" dxfId="15268" priority="1423" operator="equal">
      <formula>"OFF"</formula>
    </cfRule>
    <cfRule type="cellIs" dxfId="15267" priority="1424" operator="equal">
      <formula>"PTO"</formula>
    </cfRule>
  </conditionalFormatting>
  <conditionalFormatting sqref="V29">
    <cfRule type="cellIs" dxfId="15266" priority="1421" operator="equal">
      <formula>"OFF"</formula>
    </cfRule>
    <cfRule type="cellIs" dxfId="15265" priority="1422" operator="equal">
      <formula>"PTO"</formula>
    </cfRule>
  </conditionalFormatting>
  <conditionalFormatting sqref="V29">
    <cfRule type="cellIs" dxfId="15264" priority="1419" operator="equal">
      <formula>"OFF"</formula>
    </cfRule>
    <cfRule type="cellIs" dxfId="15263" priority="1420" operator="equal">
      <formula>"PTO"</formula>
    </cfRule>
  </conditionalFormatting>
  <conditionalFormatting sqref="V29">
    <cfRule type="cellIs" dxfId="15262" priority="1417" operator="equal">
      <formula>"OFF"</formula>
    </cfRule>
    <cfRule type="cellIs" dxfId="15261" priority="1418" operator="equal">
      <formula>"PTO"</formula>
    </cfRule>
  </conditionalFormatting>
  <conditionalFormatting sqref="V29">
    <cfRule type="cellIs" dxfId="15260" priority="1415" operator="equal">
      <formula>"OFF"</formula>
    </cfRule>
    <cfRule type="cellIs" dxfId="15259" priority="1416" operator="equal">
      <formula>"PTO"</formula>
    </cfRule>
  </conditionalFormatting>
  <conditionalFormatting sqref="V29">
    <cfRule type="cellIs" dxfId="15258" priority="1413" operator="equal">
      <formula>"OFF"</formula>
    </cfRule>
    <cfRule type="cellIs" dxfId="15257" priority="1414" operator="equal">
      <formula>"PTO"</formula>
    </cfRule>
  </conditionalFormatting>
  <conditionalFormatting sqref="V29">
    <cfRule type="cellIs" dxfId="15256" priority="1411" operator="equal">
      <formula>"OFF"</formula>
    </cfRule>
    <cfRule type="cellIs" dxfId="15255" priority="1412" operator="equal">
      <formula>"PTO"</formula>
    </cfRule>
  </conditionalFormatting>
  <conditionalFormatting sqref="V29">
    <cfRule type="cellIs" dxfId="15254" priority="1409" operator="equal">
      <formula>"OFF"</formula>
    </cfRule>
    <cfRule type="cellIs" dxfId="15253" priority="1410" operator="equal">
      <formula>"PTO"</formula>
    </cfRule>
  </conditionalFormatting>
  <conditionalFormatting sqref="V29">
    <cfRule type="cellIs" dxfId="15252" priority="1407" operator="equal">
      <formula>"OFF"</formula>
    </cfRule>
    <cfRule type="cellIs" dxfId="15251" priority="1408" operator="equal">
      <formula>"PTO"</formula>
    </cfRule>
  </conditionalFormatting>
  <conditionalFormatting sqref="V29">
    <cfRule type="cellIs" dxfId="15250" priority="1405" operator="equal">
      <formula>"OFF"</formula>
    </cfRule>
    <cfRule type="cellIs" dxfId="15249" priority="1406" operator="equal">
      <formula>"PTO"</formula>
    </cfRule>
  </conditionalFormatting>
  <conditionalFormatting sqref="V29">
    <cfRule type="cellIs" dxfId="15248" priority="1403" operator="equal">
      <formula>"OFF"</formula>
    </cfRule>
    <cfRule type="cellIs" dxfId="15247" priority="1404" operator="equal">
      <formula>"PTO"</formula>
    </cfRule>
  </conditionalFormatting>
  <conditionalFormatting sqref="V29">
    <cfRule type="cellIs" dxfId="15246" priority="1401" operator="equal">
      <formula>"OFF"</formula>
    </cfRule>
    <cfRule type="cellIs" dxfId="15245" priority="1402" operator="equal">
      <formula>"PTO"</formula>
    </cfRule>
  </conditionalFormatting>
  <conditionalFormatting sqref="V29">
    <cfRule type="cellIs" dxfId="15244" priority="1399" operator="equal">
      <formula>"OFF"</formula>
    </cfRule>
    <cfRule type="cellIs" dxfId="15243" priority="1400" operator="equal">
      <formula>"PTO"</formula>
    </cfRule>
  </conditionalFormatting>
  <conditionalFormatting sqref="V29">
    <cfRule type="cellIs" dxfId="15242" priority="1397" operator="equal">
      <formula>"OFF"</formula>
    </cfRule>
    <cfRule type="cellIs" dxfId="15241" priority="1398" operator="equal">
      <formula>"PTO"</formula>
    </cfRule>
  </conditionalFormatting>
  <conditionalFormatting sqref="V29">
    <cfRule type="cellIs" dxfId="15240" priority="1395" operator="equal">
      <formula>"OFF"</formula>
    </cfRule>
    <cfRule type="cellIs" dxfId="15239" priority="1396" operator="equal">
      <formula>"PTO"</formula>
    </cfRule>
  </conditionalFormatting>
  <conditionalFormatting sqref="V29">
    <cfRule type="cellIs" dxfId="15238" priority="1393" operator="equal">
      <formula>"OFF"</formula>
    </cfRule>
    <cfRule type="cellIs" dxfId="15237" priority="1394" operator="equal">
      <formula>"PTO"</formula>
    </cfRule>
  </conditionalFormatting>
  <conditionalFormatting sqref="V29">
    <cfRule type="cellIs" dxfId="15236" priority="1391" operator="equal">
      <formula>"OFF"</formula>
    </cfRule>
    <cfRule type="cellIs" dxfId="15235" priority="1392" operator="equal">
      <formula>"PTO"</formula>
    </cfRule>
  </conditionalFormatting>
  <conditionalFormatting sqref="V29">
    <cfRule type="cellIs" dxfId="15234" priority="1389" operator="equal">
      <formula>"OFF"</formula>
    </cfRule>
    <cfRule type="cellIs" dxfId="15233" priority="1390" operator="equal">
      <formula>"PTO"</formula>
    </cfRule>
  </conditionalFormatting>
  <conditionalFormatting sqref="V29">
    <cfRule type="cellIs" dxfId="15232" priority="1387" operator="equal">
      <formula>"OFF"</formula>
    </cfRule>
    <cfRule type="cellIs" dxfId="15231" priority="1388" operator="equal">
      <formula>"PTO"</formula>
    </cfRule>
  </conditionalFormatting>
  <conditionalFormatting sqref="V29">
    <cfRule type="cellIs" dxfId="15230" priority="1385" operator="equal">
      <formula>"OFF"</formula>
    </cfRule>
    <cfRule type="cellIs" dxfId="15229" priority="1386" operator="equal">
      <formula>"PTO"</formula>
    </cfRule>
  </conditionalFormatting>
  <conditionalFormatting sqref="V29">
    <cfRule type="cellIs" dxfId="15228" priority="1383" operator="equal">
      <formula>"OFF"</formula>
    </cfRule>
    <cfRule type="cellIs" dxfId="15227" priority="1384" operator="equal">
      <formula>"PTO"</formula>
    </cfRule>
  </conditionalFormatting>
  <conditionalFormatting sqref="V29">
    <cfRule type="cellIs" dxfId="15226" priority="1381" operator="equal">
      <formula>"OFF"</formula>
    </cfRule>
    <cfRule type="cellIs" dxfId="15225" priority="1382" operator="equal">
      <formula>"PTO"</formula>
    </cfRule>
  </conditionalFormatting>
  <conditionalFormatting sqref="V29">
    <cfRule type="cellIs" dxfId="15224" priority="1379" operator="equal">
      <formula>"OFF"</formula>
    </cfRule>
    <cfRule type="cellIs" dxfId="15223" priority="1380" operator="equal">
      <formula>"PTO"</formula>
    </cfRule>
  </conditionalFormatting>
  <conditionalFormatting sqref="V29">
    <cfRule type="cellIs" dxfId="15222" priority="1377" operator="equal">
      <formula>"OFF"</formula>
    </cfRule>
    <cfRule type="cellIs" dxfId="15221" priority="1378" operator="equal">
      <formula>"PTO"</formula>
    </cfRule>
  </conditionalFormatting>
  <conditionalFormatting sqref="V29">
    <cfRule type="cellIs" dxfId="15220" priority="1375" operator="equal">
      <formula>"OFF"</formula>
    </cfRule>
    <cfRule type="cellIs" dxfId="15219" priority="1376" operator="equal">
      <formula>"PTO"</formula>
    </cfRule>
  </conditionalFormatting>
  <conditionalFormatting sqref="V29">
    <cfRule type="cellIs" dxfId="15218" priority="1373" operator="equal">
      <formula>"OFF"</formula>
    </cfRule>
    <cfRule type="cellIs" dxfId="15217" priority="1374" operator="equal">
      <formula>"PTO"</formula>
    </cfRule>
  </conditionalFormatting>
  <conditionalFormatting sqref="V29">
    <cfRule type="cellIs" dxfId="15216" priority="1371" operator="equal">
      <formula>"OFF"</formula>
    </cfRule>
    <cfRule type="cellIs" dxfId="15215" priority="1372" operator="equal">
      <formula>"PTO"</formula>
    </cfRule>
  </conditionalFormatting>
  <conditionalFormatting sqref="V29">
    <cfRule type="cellIs" dxfId="15214" priority="1369" operator="equal">
      <formula>"OFF"</formula>
    </cfRule>
    <cfRule type="cellIs" dxfId="15213" priority="1370" operator="equal">
      <formula>"PTO"</formula>
    </cfRule>
  </conditionalFormatting>
  <conditionalFormatting sqref="V29">
    <cfRule type="cellIs" dxfId="15212" priority="1367" operator="equal">
      <formula>"OFF"</formula>
    </cfRule>
    <cfRule type="cellIs" dxfId="15211" priority="1368" operator="equal">
      <formula>"PTO"</formula>
    </cfRule>
  </conditionalFormatting>
  <conditionalFormatting sqref="V29">
    <cfRule type="cellIs" dxfId="15210" priority="1365" operator="equal">
      <formula>"OFF"</formula>
    </cfRule>
    <cfRule type="cellIs" dxfId="15209" priority="1366" operator="equal">
      <formula>"PTO"</formula>
    </cfRule>
  </conditionalFormatting>
  <conditionalFormatting sqref="V29">
    <cfRule type="cellIs" dxfId="15208" priority="1363" operator="equal">
      <formula>"OFF"</formula>
    </cfRule>
    <cfRule type="cellIs" dxfId="15207" priority="1364" operator="equal">
      <formula>"PTO"</formula>
    </cfRule>
  </conditionalFormatting>
  <conditionalFormatting sqref="V29">
    <cfRule type="cellIs" dxfId="15206" priority="1361" operator="equal">
      <formula>"OFF"</formula>
    </cfRule>
    <cfRule type="cellIs" dxfId="15205" priority="1362" operator="equal">
      <formula>"PTO"</formula>
    </cfRule>
  </conditionalFormatting>
  <conditionalFormatting sqref="V29">
    <cfRule type="cellIs" dxfId="15204" priority="1359" operator="equal">
      <formula>"OFF"</formula>
    </cfRule>
    <cfRule type="cellIs" dxfId="15203" priority="1360" operator="equal">
      <formula>"PTO"</formula>
    </cfRule>
  </conditionalFormatting>
  <conditionalFormatting sqref="V29">
    <cfRule type="cellIs" dxfId="15202" priority="1357" operator="equal">
      <formula>"OFF"</formula>
    </cfRule>
    <cfRule type="cellIs" dxfId="15201" priority="1358" operator="equal">
      <formula>"PTO"</formula>
    </cfRule>
  </conditionalFormatting>
  <conditionalFormatting sqref="V29">
    <cfRule type="cellIs" dxfId="15200" priority="1355" operator="equal">
      <formula>"OFF"</formula>
    </cfRule>
    <cfRule type="cellIs" dxfId="15199" priority="1356" operator="equal">
      <formula>"PTO"</formula>
    </cfRule>
  </conditionalFormatting>
  <conditionalFormatting sqref="V29">
    <cfRule type="cellIs" dxfId="15198" priority="1353" operator="equal">
      <formula>"OFF"</formula>
    </cfRule>
    <cfRule type="cellIs" dxfId="15197" priority="1354" operator="equal">
      <formula>"PTO"</formula>
    </cfRule>
  </conditionalFormatting>
  <conditionalFormatting sqref="V29">
    <cfRule type="cellIs" dxfId="15196" priority="1351" operator="equal">
      <formula>"OFF"</formula>
    </cfRule>
    <cfRule type="cellIs" dxfId="15195" priority="1352" operator="equal">
      <formula>"PTO"</formula>
    </cfRule>
  </conditionalFormatting>
  <conditionalFormatting sqref="V29">
    <cfRule type="cellIs" dxfId="15194" priority="1349" operator="equal">
      <formula>"OFF"</formula>
    </cfRule>
    <cfRule type="cellIs" dxfId="15193" priority="1350" operator="equal">
      <formula>"PTO"</formula>
    </cfRule>
  </conditionalFormatting>
  <conditionalFormatting sqref="V29">
    <cfRule type="cellIs" dxfId="15192" priority="1347" operator="equal">
      <formula>"OFF"</formula>
    </cfRule>
    <cfRule type="cellIs" dxfId="15191" priority="1348" operator="equal">
      <formula>"PTO"</formula>
    </cfRule>
  </conditionalFormatting>
  <conditionalFormatting sqref="V29">
    <cfRule type="cellIs" dxfId="15190" priority="1345" operator="equal">
      <formula>"OFF"</formula>
    </cfRule>
    <cfRule type="cellIs" dxfId="15189" priority="1346" operator="equal">
      <formula>"PTO"</formula>
    </cfRule>
  </conditionalFormatting>
  <conditionalFormatting sqref="V29">
    <cfRule type="cellIs" dxfId="15188" priority="1343" operator="equal">
      <formula>"OFF"</formula>
    </cfRule>
    <cfRule type="cellIs" dxfId="15187" priority="1344" operator="equal">
      <formula>"PTO"</formula>
    </cfRule>
  </conditionalFormatting>
  <conditionalFormatting sqref="V29">
    <cfRule type="cellIs" dxfId="15186" priority="1341" operator="equal">
      <formula>"OFF"</formula>
    </cfRule>
    <cfRule type="cellIs" dxfId="15185" priority="1342" operator="equal">
      <formula>"PTO"</formula>
    </cfRule>
  </conditionalFormatting>
  <conditionalFormatting sqref="V29">
    <cfRule type="cellIs" dxfId="15184" priority="1339" operator="equal">
      <formula>"OFF"</formula>
    </cfRule>
    <cfRule type="cellIs" dxfId="15183" priority="1340" operator="equal">
      <formula>"PTO"</formula>
    </cfRule>
  </conditionalFormatting>
  <conditionalFormatting sqref="V29">
    <cfRule type="cellIs" dxfId="15182" priority="1337" operator="equal">
      <formula>"OFF"</formula>
    </cfRule>
    <cfRule type="cellIs" dxfId="15181" priority="1338" operator="equal">
      <formula>"PTO"</formula>
    </cfRule>
  </conditionalFormatting>
  <conditionalFormatting sqref="V29">
    <cfRule type="cellIs" dxfId="15180" priority="1335" operator="equal">
      <formula>"OFF"</formula>
    </cfRule>
    <cfRule type="cellIs" dxfId="15179" priority="1336" operator="equal">
      <formula>"PTO"</formula>
    </cfRule>
  </conditionalFormatting>
  <conditionalFormatting sqref="V29">
    <cfRule type="cellIs" dxfId="15178" priority="1333" operator="equal">
      <formula>"OFF"</formula>
    </cfRule>
    <cfRule type="cellIs" dxfId="15177" priority="1334" operator="equal">
      <formula>"PTO"</formula>
    </cfRule>
  </conditionalFormatting>
  <conditionalFormatting sqref="V29">
    <cfRule type="cellIs" dxfId="15176" priority="1331" operator="equal">
      <formula>"OFF"</formula>
    </cfRule>
    <cfRule type="cellIs" dxfId="15175" priority="1332" operator="equal">
      <formula>"PTO"</formula>
    </cfRule>
  </conditionalFormatting>
  <conditionalFormatting sqref="V29">
    <cfRule type="cellIs" dxfId="15174" priority="1329" operator="equal">
      <formula>"OFF"</formula>
    </cfRule>
    <cfRule type="cellIs" dxfId="15173" priority="1330" operator="equal">
      <formula>"PTO"</formula>
    </cfRule>
  </conditionalFormatting>
  <conditionalFormatting sqref="V29">
    <cfRule type="cellIs" dxfId="15172" priority="1327" operator="equal">
      <formula>"OFF"</formula>
    </cfRule>
    <cfRule type="cellIs" dxfId="15171" priority="1328" operator="equal">
      <formula>"PTO"</formula>
    </cfRule>
  </conditionalFormatting>
  <conditionalFormatting sqref="V29">
    <cfRule type="cellIs" dxfId="15170" priority="1325" operator="equal">
      <formula>"OFF"</formula>
    </cfRule>
    <cfRule type="cellIs" dxfId="15169" priority="1326" operator="equal">
      <formula>"PTO"</formula>
    </cfRule>
  </conditionalFormatting>
  <conditionalFormatting sqref="V29">
    <cfRule type="cellIs" dxfId="15168" priority="1323" operator="equal">
      <formula>"OFF"</formula>
    </cfRule>
    <cfRule type="cellIs" dxfId="15167" priority="1324" operator="equal">
      <formula>"PTO"</formula>
    </cfRule>
  </conditionalFormatting>
  <conditionalFormatting sqref="V29">
    <cfRule type="cellIs" dxfId="15166" priority="1321" operator="equal">
      <formula>"OFF"</formula>
    </cfRule>
    <cfRule type="cellIs" dxfId="15165" priority="1322" operator="equal">
      <formula>"PTO"</formula>
    </cfRule>
  </conditionalFormatting>
  <conditionalFormatting sqref="V29">
    <cfRule type="cellIs" dxfId="15164" priority="1319" operator="equal">
      <formula>"OFF"</formula>
    </cfRule>
    <cfRule type="cellIs" dxfId="15163" priority="1320" operator="equal">
      <formula>"PTO"</formula>
    </cfRule>
  </conditionalFormatting>
  <conditionalFormatting sqref="V29">
    <cfRule type="cellIs" dxfId="15162" priority="1317" operator="equal">
      <formula>"OFF"</formula>
    </cfRule>
    <cfRule type="cellIs" dxfId="15161" priority="1318" operator="equal">
      <formula>"PTO"</formula>
    </cfRule>
  </conditionalFormatting>
  <conditionalFormatting sqref="T26:T27 T30 T32:T33 T35:T36 T38:T39">
    <cfRule type="cellIs" dxfId="15160" priority="1315" operator="equal">
      <formula>"OFF"</formula>
    </cfRule>
    <cfRule type="cellIs" dxfId="15159" priority="1316" operator="equal">
      <formula>"PTO"</formula>
    </cfRule>
  </conditionalFormatting>
  <conditionalFormatting sqref="T26:T27">
    <cfRule type="cellIs" dxfId="15158" priority="1313" operator="equal">
      <formula>"OFF"</formula>
    </cfRule>
    <cfRule type="cellIs" dxfId="15157" priority="1314" operator="equal">
      <formula>"PTO"</formula>
    </cfRule>
  </conditionalFormatting>
  <conditionalFormatting sqref="T26:T27">
    <cfRule type="cellIs" dxfId="15156" priority="1311" operator="equal">
      <formula>"OFF"</formula>
    </cfRule>
    <cfRule type="cellIs" dxfId="15155" priority="1312" operator="equal">
      <formula>"PTO"</formula>
    </cfRule>
  </conditionalFormatting>
  <conditionalFormatting sqref="T26:T27">
    <cfRule type="cellIs" dxfId="15154" priority="1309" operator="equal">
      <formula>"OFF"</formula>
    </cfRule>
    <cfRule type="cellIs" dxfId="15153" priority="1310" operator="equal">
      <formula>"PTO"</formula>
    </cfRule>
  </conditionalFormatting>
  <conditionalFormatting sqref="T26:T27">
    <cfRule type="cellIs" dxfId="15152" priority="1307" operator="equal">
      <formula>"OFF"</formula>
    </cfRule>
    <cfRule type="cellIs" dxfId="15151" priority="1308" operator="equal">
      <formula>"PTO"</formula>
    </cfRule>
  </conditionalFormatting>
  <conditionalFormatting sqref="T26:T27">
    <cfRule type="cellIs" dxfId="15150" priority="1305" operator="equal">
      <formula>"OFF"</formula>
    </cfRule>
    <cfRule type="cellIs" dxfId="15149" priority="1306" operator="equal">
      <formula>"PTO"</formula>
    </cfRule>
  </conditionalFormatting>
  <conditionalFormatting sqref="T26:T27">
    <cfRule type="cellIs" dxfId="15148" priority="1303" operator="equal">
      <formula>"OFF"</formula>
    </cfRule>
    <cfRule type="cellIs" dxfId="15147" priority="1304" operator="equal">
      <formula>"PTO"</formula>
    </cfRule>
  </conditionalFormatting>
  <conditionalFormatting sqref="T26:T27">
    <cfRule type="cellIs" dxfId="15146" priority="1301" operator="equal">
      <formula>"OFF"</formula>
    </cfRule>
    <cfRule type="cellIs" dxfId="15145" priority="1302" operator="equal">
      <formula>"PTO"</formula>
    </cfRule>
  </conditionalFormatting>
  <conditionalFormatting sqref="T26:T27">
    <cfRule type="cellIs" dxfId="15144" priority="1299" operator="equal">
      <formula>"OFF"</formula>
    </cfRule>
    <cfRule type="cellIs" dxfId="15143" priority="1300" operator="equal">
      <formula>"PTO"</formula>
    </cfRule>
  </conditionalFormatting>
  <conditionalFormatting sqref="T27">
    <cfRule type="cellIs" dxfId="15142" priority="1297" operator="equal">
      <formula>"OFF"</formula>
    </cfRule>
    <cfRule type="cellIs" dxfId="15141" priority="1298" operator="equal">
      <formula>"PTO"</formula>
    </cfRule>
  </conditionalFormatting>
  <conditionalFormatting sqref="T27">
    <cfRule type="cellIs" dxfId="15140" priority="1295" operator="equal">
      <formula>"OFF"</formula>
    </cfRule>
    <cfRule type="cellIs" dxfId="15139" priority="1296" operator="equal">
      <formula>"PTO"</formula>
    </cfRule>
  </conditionalFormatting>
  <conditionalFormatting sqref="T27">
    <cfRule type="cellIs" dxfId="15138" priority="1293" operator="equal">
      <formula>"OFF"</formula>
    </cfRule>
    <cfRule type="cellIs" dxfId="15137" priority="1294" operator="equal">
      <formula>"PTO"</formula>
    </cfRule>
  </conditionalFormatting>
  <conditionalFormatting sqref="T27">
    <cfRule type="cellIs" dxfId="15136" priority="1291" operator="equal">
      <formula>"OFF"</formula>
    </cfRule>
    <cfRule type="cellIs" dxfId="15135" priority="1292" operator="equal">
      <formula>"PTO"</formula>
    </cfRule>
  </conditionalFormatting>
  <conditionalFormatting sqref="T27">
    <cfRule type="cellIs" dxfId="15134" priority="1289" operator="equal">
      <formula>"OFF"</formula>
    </cfRule>
    <cfRule type="cellIs" dxfId="15133" priority="1290" operator="equal">
      <formula>"PTO"</formula>
    </cfRule>
  </conditionalFormatting>
  <conditionalFormatting sqref="T27">
    <cfRule type="cellIs" dxfId="15132" priority="1287" operator="equal">
      <formula>"OFF"</formula>
    </cfRule>
    <cfRule type="cellIs" dxfId="15131" priority="1288" operator="equal">
      <formula>"PTO"</formula>
    </cfRule>
  </conditionalFormatting>
  <conditionalFormatting sqref="T27">
    <cfRule type="cellIs" dxfId="15130" priority="1285" operator="equal">
      <formula>"OFF"</formula>
    </cfRule>
    <cfRule type="cellIs" dxfId="15129" priority="1286" operator="equal">
      <formula>"PTO"</formula>
    </cfRule>
  </conditionalFormatting>
  <conditionalFormatting sqref="T27">
    <cfRule type="cellIs" dxfId="15128" priority="1283" operator="equal">
      <formula>"OFF"</formula>
    </cfRule>
    <cfRule type="cellIs" dxfId="15127" priority="1284" operator="equal">
      <formula>"PTO"</formula>
    </cfRule>
  </conditionalFormatting>
  <conditionalFormatting sqref="T30">
    <cfRule type="cellIs" dxfId="15126" priority="1281" operator="equal">
      <formula>"OFF"</formula>
    </cfRule>
    <cfRule type="cellIs" dxfId="15125" priority="1282" operator="equal">
      <formula>"PTO"</formula>
    </cfRule>
  </conditionalFormatting>
  <conditionalFormatting sqref="T30">
    <cfRule type="cellIs" dxfId="15124" priority="1279" operator="equal">
      <formula>"OFF"</formula>
    </cfRule>
    <cfRule type="cellIs" dxfId="15123" priority="1280" operator="equal">
      <formula>"PTO"</formula>
    </cfRule>
  </conditionalFormatting>
  <conditionalFormatting sqref="T30">
    <cfRule type="cellIs" dxfId="15122" priority="1277" operator="equal">
      <formula>"OFF"</formula>
    </cfRule>
    <cfRule type="cellIs" dxfId="15121" priority="1278" operator="equal">
      <formula>"PTO"</formula>
    </cfRule>
  </conditionalFormatting>
  <conditionalFormatting sqref="T30">
    <cfRule type="cellIs" dxfId="15120" priority="1275" operator="equal">
      <formula>"OFF"</formula>
    </cfRule>
    <cfRule type="cellIs" dxfId="15119" priority="1276" operator="equal">
      <formula>"PTO"</formula>
    </cfRule>
  </conditionalFormatting>
  <conditionalFormatting sqref="T30">
    <cfRule type="cellIs" dxfId="15118" priority="1273" operator="equal">
      <formula>"OFF"</formula>
    </cfRule>
    <cfRule type="cellIs" dxfId="15117" priority="1274" operator="equal">
      <formula>"PTO"</formula>
    </cfRule>
  </conditionalFormatting>
  <conditionalFormatting sqref="T30">
    <cfRule type="cellIs" dxfId="15116" priority="1271" operator="equal">
      <formula>"OFF"</formula>
    </cfRule>
    <cfRule type="cellIs" dxfId="15115" priority="1272" operator="equal">
      <formula>"PTO"</formula>
    </cfRule>
  </conditionalFormatting>
  <conditionalFormatting sqref="T30">
    <cfRule type="cellIs" dxfId="15114" priority="1269" operator="equal">
      <formula>"OFF"</formula>
    </cfRule>
    <cfRule type="cellIs" dxfId="15113" priority="1270" operator="equal">
      <formula>"PTO"</formula>
    </cfRule>
  </conditionalFormatting>
  <conditionalFormatting sqref="T30">
    <cfRule type="cellIs" dxfId="15112" priority="1267" operator="equal">
      <formula>"OFF"</formula>
    </cfRule>
    <cfRule type="cellIs" dxfId="15111" priority="1268" operator="equal">
      <formula>"PTO"</formula>
    </cfRule>
  </conditionalFormatting>
  <conditionalFormatting sqref="T30">
    <cfRule type="cellIs" dxfId="15110" priority="1265" operator="equal">
      <formula>"OFF"</formula>
    </cfRule>
    <cfRule type="cellIs" dxfId="15109" priority="1266" operator="equal">
      <formula>"PTO"</formula>
    </cfRule>
  </conditionalFormatting>
  <conditionalFormatting sqref="T30">
    <cfRule type="cellIs" dxfId="15108" priority="1263" operator="equal">
      <formula>"OFF"</formula>
    </cfRule>
    <cfRule type="cellIs" dxfId="15107" priority="1264" operator="equal">
      <formula>"PTO"</formula>
    </cfRule>
  </conditionalFormatting>
  <conditionalFormatting sqref="T30">
    <cfRule type="cellIs" dxfId="15106" priority="1261" operator="equal">
      <formula>"OFF"</formula>
    </cfRule>
    <cfRule type="cellIs" dxfId="15105" priority="1262" operator="equal">
      <formula>"PTO"</formula>
    </cfRule>
  </conditionalFormatting>
  <conditionalFormatting sqref="T30">
    <cfRule type="cellIs" dxfId="15104" priority="1259" operator="equal">
      <formula>"OFF"</formula>
    </cfRule>
    <cfRule type="cellIs" dxfId="15103" priority="1260" operator="equal">
      <formula>"PTO"</formula>
    </cfRule>
  </conditionalFormatting>
  <conditionalFormatting sqref="T30">
    <cfRule type="cellIs" dxfId="15102" priority="1257" operator="equal">
      <formula>"OFF"</formula>
    </cfRule>
    <cfRule type="cellIs" dxfId="15101" priority="1258" operator="equal">
      <formula>"PTO"</formula>
    </cfRule>
  </conditionalFormatting>
  <conditionalFormatting sqref="T30">
    <cfRule type="cellIs" dxfId="15100" priority="1255" operator="equal">
      <formula>"OFF"</formula>
    </cfRule>
    <cfRule type="cellIs" dxfId="15099" priority="1256" operator="equal">
      <formula>"PTO"</formula>
    </cfRule>
  </conditionalFormatting>
  <conditionalFormatting sqref="T30">
    <cfRule type="cellIs" dxfId="15098" priority="1253" operator="equal">
      <formula>"OFF"</formula>
    </cfRule>
    <cfRule type="cellIs" dxfId="15097" priority="1254" operator="equal">
      <formula>"PTO"</formula>
    </cfRule>
  </conditionalFormatting>
  <conditionalFormatting sqref="T30">
    <cfRule type="cellIs" dxfId="15096" priority="1251" operator="equal">
      <formula>"OFF"</formula>
    </cfRule>
    <cfRule type="cellIs" dxfId="15095" priority="1252" operator="equal">
      <formula>"PTO"</formula>
    </cfRule>
  </conditionalFormatting>
  <conditionalFormatting sqref="T30">
    <cfRule type="cellIs" dxfId="15094" priority="1249" operator="equal">
      <formula>"OFF"</formula>
    </cfRule>
    <cfRule type="cellIs" dxfId="15093" priority="1250" operator="equal">
      <formula>"PTO"</formula>
    </cfRule>
  </conditionalFormatting>
  <conditionalFormatting sqref="T30">
    <cfRule type="cellIs" dxfId="15092" priority="1247" operator="equal">
      <formula>"OFF"</formula>
    </cfRule>
    <cfRule type="cellIs" dxfId="15091" priority="1248" operator="equal">
      <formula>"PTO"</formula>
    </cfRule>
  </conditionalFormatting>
  <conditionalFormatting sqref="T30">
    <cfRule type="cellIs" dxfId="15090" priority="1245" operator="equal">
      <formula>"OFF"</formula>
    </cfRule>
    <cfRule type="cellIs" dxfId="15089" priority="1246" operator="equal">
      <formula>"PTO"</formula>
    </cfRule>
  </conditionalFormatting>
  <conditionalFormatting sqref="T30">
    <cfRule type="cellIs" dxfId="15088" priority="1243" operator="equal">
      <formula>"OFF"</formula>
    </cfRule>
    <cfRule type="cellIs" dxfId="15087" priority="1244" operator="equal">
      <formula>"PTO"</formula>
    </cfRule>
  </conditionalFormatting>
  <conditionalFormatting sqref="T30">
    <cfRule type="cellIs" dxfId="15086" priority="1241" operator="equal">
      <formula>"OFF"</formula>
    </cfRule>
    <cfRule type="cellIs" dxfId="15085" priority="1242" operator="equal">
      <formula>"PTO"</formula>
    </cfRule>
  </conditionalFormatting>
  <conditionalFormatting sqref="T30">
    <cfRule type="cellIs" dxfId="15084" priority="1239" operator="equal">
      <formula>"OFF"</formula>
    </cfRule>
    <cfRule type="cellIs" dxfId="15083" priority="1240" operator="equal">
      <formula>"PTO"</formula>
    </cfRule>
  </conditionalFormatting>
  <conditionalFormatting sqref="T30">
    <cfRule type="cellIs" dxfId="15082" priority="1237" operator="equal">
      <formula>"OFF"</formula>
    </cfRule>
    <cfRule type="cellIs" dxfId="15081" priority="1238" operator="equal">
      <formula>"PTO"</formula>
    </cfRule>
  </conditionalFormatting>
  <conditionalFormatting sqref="T30">
    <cfRule type="cellIs" dxfId="15080" priority="1235" operator="equal">
      <formula>"OFF"</formula>
    </cfRule>
    <cfRule type="cellIs" dxfId="15079" priority="1236" operator="equal">
      <formula>"PTO"</formula>
    </cfRule>
  </conditionalFormatting>
  <conditionalFormatting sqref="T30">
    <cfRule type="cellIs" dxfId="15078" priority="1233" operator="equal">
      <formula>"OFF"</formula>
    </cfRule>
    <cfRule type="cellIs" dxfId="15077" priority="1234" operator="equal">
      <formula>"PTO"</formula>
    </cfRule>
  </conditionalFormatting>
  <conditionalFormatting sqref="T30">
    <cfRule type="cellIs" dxfId="15076" priority="1231" operator="equal">
      <formula>"OFF"</formula>
    </cfRule>
    <cfRule type="cellIs" dxfId="15075" priority="1232" operator="equal">
      <formula>"PTO"</formula>
    </cfRule>
  </conditionalFormatting>
  <conditionalFormatting sqref="T30">
    <cfRule type="cellIs" dxfId="15074" priority="1229" operator="equal">
      <formula>"OFF"</formula>
    </cfRule>
    <cfRule type="cellIs" dxfId="15073" priority="1230" operator="equal">
      <formula>"PTO"</formula>
    </cfRule>
  </conditionalFormatting>
  <conditionalFormatting sqref="T30">
    <cfRule type="cellIs" dxfId="15072" priority="1227" operator="equal">
      <formula>"OFF"</formula>
    </cfRule>
    <cfRule type="cellIs" dxfId="15071" priority="1228" operator="equal">
      <formula>"PTO"</formula>
    </cfRule>
  </conditionalFormatting>
  <conditionalFormatting sqref="T30">
    <cfRule type="cellIs" dxfId="15070" priority="1225" operator="equal">
      <formula>"OFF"</formula>
    </cfRule>
    <cfRule type="cellIs" dxfId="15069" priority="1226" operator="equal">
      <formula>"PTO"</formula>
    </cfRule>
  </conditionalFormatting>
  <conditionalFormatting sqref="T30">
    <cfRule type="cellIs" dxfId="15068" priority="1223" operator="equal">
      <formula>"OFF"</formula>
    </cfRule>
    <cfRule type="cellIs" dxfId="15067" priority="1224" operator="equal">
      <formula>"PTO"</formula>
    </cfRule>
  </conditionalFormatting>
  <conditionalFormatting sqref="T30">
    <cfRule type="cellIs" dxfId="15066" priority="1221" operator="equal">
      <formula>"OFF"</formula>
    </cfRule>
    <cfRule type="cellIs" dxfId="15065" priority="1222" operator="equal">
      <formula>"PTO"</formula>
    </cfRule>
  </conditionalFormatting>
  <conditionalFormatting sqref="T30">
    <cfRule type="cellIs" dxfId="15064" priority="1219" operator="equal">
      <formula>"OFF"</formula>
    </cfRule>
    <cfRule type="cellIs" dxfId="15063" priority="1220" operator="equal">
      <formula>"PTO"</formula>
    </cfRule>
  </conditionalFormatting>
  <conditionalFormatting sqref="T30">
    <cfRule type="cellIs" dxfId="15062" priority="1217" operator="equal">
      <formula>"OFF"</formula>
    </cfRule>
    <cfRule type="cellIs" dxfId="15061" priority="1218" operator="equal">
      <formula>"PTO"</formula>
    </cfRule>
  </conditionalFormatting>
  <conditionalFormatting sqref="T30">
    <cfRule type="cellIs" dxfId="15060" priority="1215" operator="equal">
      <formula>"OFF"</formula>
    </cfRule>
    <cfRule type="cellIs" dxfId="15059" priority="1216" operator="equal">
      <formula>"PTO"</formula>
    </cfRule>
  </conditionalFormatting>
  <conditionalFormatting sqref="T30">
    <cfRule type="cellIs" dxfId="15058" priority="1213" operator="equal">
      <formula>"OFF"</formula>
    </cfRule>
    <cfRule type="cellIs" dxfId="15057" priority="1214" operator="equal">
      <formula>"PTO"</formula>
    </cfRule>
  </conditionalFormatting>
  <conditionalFormatting sqref="T30">
    <cfRule type="cellIs" dxfId="15056" priority="1211" operator="equal">
      <formula>"OFF"</formula>
    </cfRule>
    <cfRule type="cellIs" dxfId="15055" priority="1212" operator="equal">
      <formula>"PTO"</formula>
    </cfRule>
  </conditionalFormatting>
  <conditionalFormatting sqref="T30">
    <cfRule type="cellIs" dxfId="15054" priority="1209" operator="equal">
      <formula>"OFF"</formula>
    </cfRule>
    <cfRule type="cellIs" dxfId="15053" priority="1210" operator="equal">
      <formula>"PTO"</formula>
    </cfRule>
  </conditionalFormatting>
  <conditionalFormatting sqref="T30">
    <cfRule type="cellIs" dxfId="15052" priority="1207" operator="equal">
      <formula>"OFF"</formula>
    </cfRule>
    <cfRule type="cellIs" dxfId="15051" priority="1208" operator="equal">
      <formula>"PTO"</formula>
    </cfRule>
  </conditionalFormatting>
  <conditionalFormatting sqref="T30">
    <cfRule type="cellIs" dxfId="15050" priority="1205" operator="equal">
      <formula>"OFF"</formula>
    </cfRule>
    <cfRule type="cellIs" dxfId="15049" priority="1206" operator="equal">
      <formula>"PTO"</formula>
    </cfRule>
  </conditionalFormatting>
  <conditionalFormatting sqref="T30">
    <cfRule type="cellIs" dxfId="15048" priority="1203" operator="equal">
      <formula>"OFF"</formula>
    </cfRule>
    <cfRule type="cellIs" dxfId="15047" priority="1204" operator="equal">
      <formula>"PTO"</formula>
    </cfRule>
  </conditionalFormatting>
  <conditionalFormatting sqref="T30">
    <cfRule type="cellIs" dxfId="15046" priority="1201" operator="equal">
      <formula>"OFF"</formula>
    </cfRule>
    <cfRule type="cellIs" dxfId="15045" priority="1202" operator="equal">
      <formula>"PTO"</formula>
    </cfRule>
  </conditionalFormatting>
  <conditionalFormatting sqref="T30">
    <cfRule type="cellIs" dxfId="15044" priority="1199" operator="equal">
      <formula>"OFF"</formula>
    </cfRule>
    <cfRule type="cellIs" dxfId="15043" priority="1200" operator="equal">
      <formula>"PTO"</formula>
    </cfRule>
  </conditionalFormatting>
  <conditionalFormatting sqref="T30">
    <cfRule type="cellIs" dxfId="15042" priority="1197" operator="equal">
      <formula>"OFF"</formula>
    </cfRule>
    <cfRule type="cellIs" dxfId="15041" priority="1198" operator="equal">
      <formula>"PTO"</formula>
    </cfRule>
  </conditionalFormatting>
  <conditionalFormatting sqref="T30">
    <cfRule type="cellIs" dxfId="15040" priority="1195" operator="equal">
      <formula>"OFF"</formula>
    </cfRule>
    <cfRule type="cellIs" dxfId="15039" priority="1196" operator="equal">
      <formula>"PTO"</formula>
    </cfRule>
  </conditionalFormatting>
  <conditionalFormatting sqref="T30">
    <cfRule type="cellIs" dxfId="15038" priority="1193" operator="equal">
      <formula>"OFF"</formula>
    </cfRule>
    <cfRule type="cellIs" dxfId="15037" priority="1194" operator="equal">
      <formula>"PTO"</formula>
    </cfRule>
  </conditionalFormatting>
  <conditionalFormatting sqref="T30">
    <cfRule type="cellIs" dxfId="15036" priority="1191" operator="equal">
      <formula>"OFF"</formula>
    </cfRule>
    <cfRule type="cellIs" dxfId="15035" priority="1192" operator="equal">
      <formula>"PTO"</formula>
    </cfRule>
  </conditionalFormatting>
  <conditionalFormatting sqref="T30">
    <cfRule type="cellIs" dxfId="15034" priority="1189" operator="equal">
      <formula>"OFF"</formula>
    </cfRule>
    <cfRule type="cellIs" dxfId="15033" priority="1190" operator="equal">
      <formula>"PTO"</formula>
    </cfRule>
  </conditionalFormatting>
  <conditionalFormatting sqref="T30">
    <cfRule type="cellIs" dxfId="15032" priority="1187" operator="equal">
      <formula>"OFF"</formula>
    </cfRule>
    <cfRule type="cellIs" dxfId="15031" priority="1188" operator="equal">
      <formula>"PTO"</formula>
    </cfRule>
  </conditionalFormatting>
  <conditionalFormatting sqref="T30">
    <cfRule type="cellIs" dxfId="15030" priority="1185" operator="equal">
      <formula>"OFF"</formula>
    </cfRule>
    <cfRule type="cellIs" dxfId="15029" priority="1186" operator="equal">
      <formula>"PTO"</formula>
    </cfRule>
  </conditionalFormatting>
  <conditionalFormatting sqref="T30">
    <cfRule type="cellIs" dxfId="15028" priority="1183" operator="equal">
      <formula>"OFF"</formula>
    </cfRule>
    <cfRule type="cellIs" dxfId="15027" priority="1184" operator="equal">
      <formula>"PTO"</formula>
    </cfRule>
  </conditionalFormatting>
  <conditionalFormatting sqref="T30">
    <cfRule type="cellIs" dxfId="15026" priority="1181" operator="equal">
      <formula>"OFF"</formula>
    </cfRule>
    <cfRule type="cellIs" dxfId="15025" priority="1182" operator="equal">
      <formula>"PTO"</formula>
    </cfRule>
  </conditionalFormatting>
  <conditionalFormatting sqref="T30">
    <cfRule type="cellIs" dxfId="15024" priority="1179" operator="equal">
      <formula>"OFF"</formula>
    </cfRule>
    <cfRule type="cellIs" dxfId="15023" priority="1180" operator="equal">
      <formula>"PTO"</formula>
    </cfRule>
  </conditionalFormatting>
  <conditionalFormatting sqref="T30">
    <cfRule type="cellIs" dxfId="15022" priority="1177" operator="equal">
      <formula>"OFF"</formula>
    </cfRule>
    <cfRule type="cellIs" dxfId="15021" priority="1178" operator="equal">
      <formula>"PTO"</formula>
    </cfRule>
  </conditionalFormatting>
  <conditionalFormatting sqref="T30">
    <cfRule type="cellIs" dxfId="15020" priority="1175" operator="equal">
      <formula>"OFF"</formula>
    </cfRule>
    <cfRule type="cellIs" dxfId="15019" priority="1176" operator="equal">
      <formula>"PTO"</formula>
    </cfRule>
  </conditionalFormatting>
  <conditionalFormatting sqref="T30">
    <cfRule type="cellIs" dxfId="15018" priority="1173" operator="equal">
      <formula>"OFF"</formula>
    </cfRule>
    <cfRule type="cellIs" dxfId="15017" priority="1174" operator="equal">
      <formula>"PTO"</formula>
    </cfRule>
  </conditionalFormatting>
  <conditionalFormatting sqref="T30">
    <cfRule type="cellIs" dxfId="15016" priority="1171" operator="equal">
      <formula>"OFF"</formula>
    </cfRule>
    <cfRule type="cellIs" dxfId="15015" priority="1172" operator="equal">
      <formula>"PTO"</formula>
    </cfRule>
  </conditionalFormatting>
  <conditionalFormatting sqref="T30">
    <cfRule type="cellIs" dxfId="15014" priority="1169" operator="equal">
      <formula>"OFF"</formula>
    </cfRule>
    <cfRule type="cellIs" dxfId="15013" priority="1170" operator="equal">
      <formula>"PTO"</formula>
    </cfRule>
  </conditionalFormatting>
  <conditionalFormatting sqref="T30">
    <cfRule type="cellIs" dxfId="15012" priority="1167" operator="equal">
      <formula>"OFF"</formula>
    </cfRule>
    <cfRule type="cellIs" dxfId="15011" priority="1168" operator="equal">
      <formula>"PTO"</formula>
    </cfRule>
  </conditionalFormatting>
  <conditionalFormatting sqref="T30">
    <cfRule type="cellIs" dxfId="15010" priority="1165" operator="equal">
      <formula>"OFF"</formula>
    </cfRule>
    <cfRule type="cellIs" dxfId="15009" priority="1166" operator="equal">
      <formula>"PTO"</formula>
    </cfRule>
  </conditionalFormatting>
  <conditionalFormatting sqref="T30">
    <cfRule type="cellIs" dxfId="15008" priority="1163" operator="equal">
      <formula>"OFF"</formula>
    </cfRule>
    <cfRule type="cellIs" dxfId="15007" priority="1164" operator="equal">
      <formula>"PTO"</formula>
    </cfRule>
  </conditionalFormatting>
  <conditionalFormatting sqref="T30">
    <cfRule type="cellIs" dxfId="15006" priority="1161" operator="equal">
      <formula>"OFF"</formula>
    </cfRule>
    <cfRule type="cellIs" dxfId="15005" priority="1162" operator="equal">
      <formula>"PTO"</formula>
    </cfRule>
  </conditionalFormatting>
  <conditionalFormatting sqref="T30">
    <cfRule type="cellIs" dxfId="15004" priority="1159" operator="equal">
      <formula>"OFF"</formula>
    </cfRule>
    <cfRule type="cellIs" dxfId="15003" priority="1160" operator="equal">
      <formula>"PTO"</formula>
    </cfRule>
  </conditionalFormatting>
  <conditionalFormatting sqref="T30">
    <cfRule type="cellIs" dxfId="15002" priority="1157" operator="equal">
      <formula>"OFF"</formula>
    </cfRule>
    <cfRule type="cellIs" dxfId="15001" priority="1158" operator="equal">
      <formula>"PTO"</formula>
    </cfRule>
  </conditionalFormatting>
  <conditionalFormatting sqref="T30">
    <cfRule type="cellIs" dxfId="15000" priority="1155" operator="equal">
      <formula>"OFF"</formula>
    </cfRule>
    <cfRule type="cellIs" dxfId="14999" priority="1156" operator="equal">
      <formula>"PTO"</formula>
    </cfRule>
  </conditionalFormatting>
  <conditionalFormatting sqref="T30">
    <cfRule type="cellIs" dxfId="14998" priority="1153" operator="equal">
      <formula>"OFF"</formula>
    </cfRule>
    <cfRule type="cellIs" dxfId="14997" priority="1154" operator="equal">
      <formula>"PTO"</formula>
    </cfRule>
  </conditionalFormatting>
  <conditionalFormatting sqref="T30">
    <cfRule type="cellIs" dxfId="14996" priority="1151" operator="equal">
      <formula>"OFF"</formula>
    </cfRule>
    <cfRule type="cellIs" dxfId="14995" priority="1152" operator="equal">
      <formula>"PTO"</formula>
    </cfRule>
  </conditionalFormatting>
  <conditionalFormatting sqref="T30">
    <cfRule type="cellIs" dxfId="14994" priority="1149" operator="equal">
      <formula>"OFF"</formula>
    </cfRule>
    <cfRule type="cellIs" dxfId="14993" priority="1150" operator="equal">
      <formula>"PTO"</formula>
    </cfRule>
  </conditionalFormatting>
  <conditionalFormatting sqref="T30">
    <cfRule type="cellIs" dxfId="14992" priority="1147" operator="equal">
      <formula>"OFF"</formula>
    </cfRule>
    <cfRule type="cellIs" dxfId="14991" priority="1148" operator="equal">
      <formula>"PTO"</formula>
    </cfRule>
  </conditionalFormatting>
  <conditionalFormatting sqref="T30">
    <cfRule type="cellIs" dxfId="14990" priority="1145" operator="equal">
      <formula>"OFF"</formula>
    </cfRule>
    <cfRule type="cellIs" dxfId="14989" priority="1146" operator="equal">
      <formula>"PTO"</formula>
    </cfRule>
  </conditionalFormatting>
  <conditionalFormatting sqref="T30">
    <cfRule type="cellIs" dxfId="14988" priority="1143" operator="equal">
      <formula>"OFF"</formula>
    </cfRule>
    <cfRule type="cellIs" dxfId="14987" priority="1144" operator="equal">
      <formula>"PTO"</formula>
    </cfRule>
  </conditionalFormatting>
  <conditionalFormatting sqref="T30">
    <cfRule type="cellIs" dxfId="14986" priority="1141" operator="equal">
      <formula>"OFF"</formula>
    </cfRule>
    <cfRule type="cellIs" dxfId="14985" priority="1142" operator="equal">
      <formula>"PTO"</formula>
    </cfRule>
  </conditionalFormatting>
  <conditionalFormatting sqref="T30">
    <cfRule type="cellIs" dxfId="14984" priority="1139" operator="equal">
      <formula>"OFF"</formula>
    </cfRule>
    <cfRule type="cellIs" dxfId="14983" priority="1140" operator="equal">
      <formula>"PTO"</formula>
    </cfRule>
  </conditionalFormatting>
  <conditionalFormatting sqref="T30">
    <cfRule type="cellIs" dxfId="14982" priority="1137" operator="equal">
      <formula>"OFF"</formula>
    </cfRule>
    <cfRule type="cellIs" dxfId="14981" priority="1138" operator="equal">
      <formula>"PTO"</formula>
    </cfRule>
  </conditionalFormatting>
  <conditionalFormatting sqref="T30">
    <cfRule type="cellIs" dxfId="14980" priority="1135" operator="equal">
      <formula>"OFF"</formula>
    </cfRule>
    <cfRule type="cellIs" dxfId="14979" priority="1136" operator="equal">
      <formula>"PTO"</formula>
    </cfRule>
  </conditionalFormatting>
  <conditionalFormatting sqref="T30">
    <cfRule type="cellIs" dxfId="14978" priority="1133" operator="equal">
      <formula>"OFF"</formula>
    </cfRule>
    <cfRule type="cellIs" dxfId="14977" priority="1134" operator="equal">
      <formula>"PTO"</formula>
    </cfRule>
  </conditionalFormatting>
  <conditionalFormatting sqref="T30">
    <cfRule type="cellIs" dxfId="14976" priority="1131" operator="equal">
      <formula>"OFF"</formula>
    </cfRule>
    <cfRule type="cellIs" dxfId="14975" priority="1132" operator="equal">
      <formula>"PTO"</formula>
    </cfRule>
  </conditionalFormatting>
  <conditionalFormatting sqref="T30">
    <cfRule type="cellIs" dxfId="14974" priority="1129" operator="equal">
      <formula>"OFF"</formula>
    </cfRule>
    <cfRule type="cellIs" dxfId="14973" priority="1130" operator="equal">
      <formula>"PTO"</formula>
    </cfRule>
  </conditionalFormatting>
  <conditionalFormatting sqref="T30">
    <cfRule type="cellIs" dxfId="14972" priority="1127" operator="equal">
      <formula>"OFF"</formula>
    </cfRule>
    <cfRule type="cellIs" dxfId="14971" priority="1128" operator="equal">
      <formula>"PTO"</formula>
    </cfRule>
  </conditionalFormatting>
  <conditionalFormatting sqref="T30">
    <cfRule type="cellIs" dxfId="14970" priority="1125" operator="equal">
      <formula>"OFF"</formula>
    </cfRule>
    <cfRule type="cellIs" dxfId="14969" priority="1126" operator="equal">
      <formula>"PTO"</formula>
    </cfRule>
  </conditionalFormatting>
  <conditionalFormatting sqref="T30">
    <cfRule type="cellIs" dxfId="14968" priority="1123" operator="equal">
      <formula>"OFF"</formula>
    </cfRule>
    <cfRule type="cellIs" dxfId="14967" priority="1124" operator="equal">
      <formula>"PTO"</formula>
    </cfRule>
  </conditionalFormatting>
  <conditionalFormatting sqref="T30">
    <cfRule type="cellIs" dxfId="14966" priority="1121" operator="equal">
      <formula>"OFF"</formula>
    </cfRule>
    <cfRule type="cellIs" dxfId="14965" priority="1122" operator="equal">
      <formula>"PTO"</formula>
    </cfRule>
  </conditionalFormatting>
  <conditionalFormatting sqref="T30">
    <cfRule type="cellIs" dxfId="14964" priority="1119" operator="equal">
      <formula>"OFF"</formula>
    </cfRule>
    <cfRule type="cellIs" dxfId="14963" priority="1120" operator="equal">
      <formula>"PTO"</formula>
    </cfRule>
  </conditionalFormatting>
  <conditionalFormatting sqref="T30">
    <cfRule type="cellIs" dxfId="14962" priority="1117" operator="equal">
      <formula>"OFF"</formula>
    </cfRule>
    <cfRule type="cellIs" dxfId="14961" priority="1118" operator="equal">
      <formula>"PTO"</formula>
    </cfRule>
  </conditionalFormatting>
  <conditionalFormatting sqref="T30">
    <cfRule type="cellIs" dxfId="14960" priority="1115" operator="equal">
      <formula>"OFF"</formula>
    </cfRule>
    <cfRule type="cellIs" dxfId="14959" priority="1116" operator="equal">
      <formula>"PTO"</formula>
    </cfRule>
  </conditionalFormatting>
  <conditionalFormatting sqref="T30">
    <cfRule type="cellIs" dxfId="14958" priority="1113" operator="equal">
      <formula>"OFF"</formula>
    </cfRule>
    <cfRule type="cellIs" dxfId="14957" priority="1114" operator="equal">
      <formula>"PTO"</formula>
    </cfRule>
  </conditionalFormatting>
  <conditionalFormatting sqref="T30">
    <cfRule type="cellIs" dxfId="14956" priority="1111" operator="equal">
      <formula>"OFF"</formula>
    </cfRule>
    <cfRule type="cellIs" dxfId="14955" priority="1112" operator="equal">
      <formula>"PTO"</formula>
    </cfRule>
  </conditionalFormatting>
  <conditionalFormatting sqref="T30">
    <cfRule type="cellIs" dxfId="14954" priority="1109" operator="equal">
      <formula>"OFF"</formula>
    </cfRule>
    <cfRule type="cellIs" dxfId="14953" priority="1110" operator="equal">
      <formula>"PTO"</formula>
    </cfRule>
  </conditionalFormatting>
  <conditionalFormatting sqref="T30">
    <cfRule type="cellIs" dxfId="14952" priority="1107" operator="equal">
      <formula>"OFF"</formula>
    </cfRule>
    <cfRule type="cellIs" dxfId="14951" priority="1108" operator="equal">
      <formula>"PTO"</formula>
    </cfRule>
  </conditionalFormatting>
  <conditionalFormatting sqref="T30">
    <cfRule type="cellIs" dxfId="14950" priority="1105" operator="equal">
      <formula>"OFF"</formula>
    </cfRule>
    <cfRule type="cellIs" dxfId="14949" priority="1106" operator="equal">
      <formula>"PTO"</formula>
    </cfRule>
  </conditionalFormatting>
  <conditionalFormatting sqref="T30">
    <cfRule type="cellIs" dxfId="14948" priority="1103" operator="equal">
      <formula>"OFF"</formula>
    </cfRule>
    <cfRule type="cellIs" dxfId="14947" priority="1104" operator="equal">
      <formula>"PTO"</formula>
    </cfRule>
  </conditionalFormatting>
  <conditionalFormatting sqref="T30">
    <cfRule type="cellIs" dxfId="14946" priority="1101" operator="equal">
      <formula>"OFF"</formula>
    </cfRule>
    <cfRule type="cellIs" dxfId="14945" priority="1102" operator="equal">
      <formula>"PTO"</formula>
    </cfRule>
  </conditionalFormatting>
  <conditionalFormatting sqref="T30">
    <cfRule type="cellIs" dxfId="14944" priority="1099" operator="equal">
      <formula>"OFF"</formula>
    </cfRule>
    <cfRule type="cellIs" dxfId="14943" priority="1100" operator="equal">
      <formula>"PTO"</formula>
    </cfRule>
  </conditionalFormatting>
  <conditionalFormatting sqref="T30">
    <cfRule type="cellIs" dxfId="14942" priority="1097" operator="equal">
      <formula>"OFF"</formula>
    </cfRule>
    <cfRule type="cellIs" dxfId="14941" priority="1098" operator="equal">
      <formula>"PTO"</formula>
    </cfRule>
  </conditionalFormatting>
  <conditionalFormatting sqref="T30">
    <cfRule type="cellIs" dxfId="14940" priority="1095" operator="equal">
      <formula>"OFF"</formula>
    </cfRule>
    <cfRule type="cellIs" dxfId="14939" priority="1096" operator="equal">
      <formula>"PTO"</formula>
    </cfRule>
  </conditionalFormatting>
  <conditionalFormatting sqref="T32:T33">
    <cfRule type="cellIs" dxfId="14938" priority="1093" operator="equal">
      <formula>"OFF"</formula>
    </cfRule>
    <cfRule type="cellIs" dxfId="14937" priority="1094" operator="equal">
      <formula>"PTO"</formula>
    </cfRule>
  </conditionalFormatting>
  <conditionalFormatting sqref="T32:T33">
    <cfRule type="cellIs" dxfId="14936" priority="1091" operator="equal">
      <formula>"OFF"</formula>
    </cfRule>
    <cfRule type="cellIs" dxfId="14935" priority="1092" operator="equal">
      <formula>"PTO"</formula>
    </cfRule>
  </conditionalFormatting>
  <conditionalFormatting sqref="T32:T33">
    <cfRule type="cellIs" dxfId="14934" priority="1089" operator="equal">
      <formula>"OFF"</formula>
    </cfRule>
    <cfRule type="cellIs" dxfId="14933" priority="1090" operator="equal">
      <formula>"PTO"</formula>
    </cfRule>
  </conditionalFormatting>
  <conditionalFormatting sqref="T32:T33">
    <cfRule type="cellIs" dxfId="14932" priority="1087" operator="equal">
      <formula>"OFF"</formula>
    </cfRule>
    <cfRule type="cellIs" dxfId="14931" priority="1088" operator="equal">
      <formula>"PTO"</formula>
    </cfRule>
  </conditionalFormatting>
  <conditionalFormatting sqref="T32:T33">
    <cfRule type="cellIs" dxfId="14930" priority="1085" operator="equal">
      <formula>"OFF"</formula>
    </cfRule>
    <cfRule type="cellIs" dxfId="14929" priority="1086" operator="equal">
      <formula>"PTO"</formula>
    </cfRule>
  </conditionalFormatting>
  <conditionalFormatting sqref="T32:T33">
    <cfRule type="cellIs" dxfId="14928" priority="1083" operator="equal">
      <formula>"OFF"</formula>
    </cfRule>
    <cfRule type="cellIs" dxfId="14927" priority="1084" operator="equal">
      <formula>"PTO"</formula>
    </cfRule>
  </conditionalFormatting>
  <conditionalFormatting sqref="T32:T33">
    <cfRule type="cellIs" dxfId="14926" priority="1081" operator="equal">
      <formula>"OFF"</formula>
    </cfRule>
    <cfRule type="cellIs" dxfId="14925" priority="1082" operator="equal">
      <formula>"PTO"</formula>
    </cfRule>
  </conditionalFormatting>
  <conditionalFormatting sqref="T32:T33">
    <cfRule type="cellIs" dxfId="14924" priority="1079" operator="equal">
      <formula>"OFF"</formula>
    </cfRule>
    <cfRule type="cellIs" dxfId="14923" priority="1080" operator="equal">
      <formula>"PTO"</formula>
    </cfRule>
  </conditionalFormatting>
  <conditionalFormatting sqref="T35:T36">
    <cfRule type="cellIs" dxfId="14922" priority="1077" operator="equal">
      <formula>"OFF"</formula>
    </cfRule>
    <cfRule type="cellIs" dxfId="14921" priority="1078" operator="equal">
      <formula>"PTO"</formula>
    </cfRule>
  </conditionalFormatting>
  <conditionalFormatting sqref="T35:T36">
    <cfRule type="cellIs" dxfId="14920" priority="1075" operator="equal">
      <formula>"OFF"</formula>
    </cfRule>
    <cfRule type="cellIs" dxfId="14919" priority="1076" operator="equal">
      <formula>"PTO"</formula>
    </cfRule>
  </conditionalFormatting>
  <conditionalFormatting sqref="T35:T36">
    <cfRule type="cellIs" dxfId="14918" priority="1073" operator="equal">
      <formula>"OFF"</formula>
    </cfRule>
    <cfRule type="cellIs" dxfId="14917" priority="1074" operator="equal">
      <formula>"PTO"</formula>
    </cfRule>
  </conditionalFormatting>
  <conditionalFormatting sqref="T35:T36">
    <cfRule type="cellIs" dxfId="14916" priority="1071" operator="equal">
      <formula>"OFF"</formula>
    </cfRule>
    <cfRule type="cellIs" dxfId="14915" priority="1072" operator="equal">
      <formula>"PTO"</formula>
    </cfRule>
  </conditionalFormatting>
  <conditionalFormatting sqref="T35:T36">
    <cfRule type="cellIs" dxfId="14914" priority="1069" operator="equal">
      <formula>"OFF"</formula>
    </cfRule>
    <cfRule type="cellIs" dxfId="14913" priority="1070" operator="equal">
      <formula>"PTO"</formula>
    </cfRule>
  </conditionalFormatting>
  <conditionalFormatting sqref="T35:T36">
    <cfRule type="cellIs" dxfId="14912" priority="1067" operator="equal">
      <formula>"OFF"</formula>
    </cfRule>
    <cfRule type="cellIs" dxfId="14911" priority="1068" operator="equal">
      <formula>"PTO"</formula>
    </cfRule>
  </conditionalFormatting>
  <conditionalFormatting sqref="T35:T36">
    <cfRule type="cellIs" dxfId="14910" priority="1065" operator="equal">
      <formula>"OFF"</formula>
    </cfRule>
    <cfRule type="cellIs" dxfId="14909" priority="1066" operator="equal">
      <formula>"PTO"</formula>
    </cfRule>
  </conditionalFormatting>
  <conditionalFormatting sqref="T35:T36">
    <cfRule type="cellIs" dxfId="14908" priority="1063" operator="equal">
      <formula>"OFF"</formula>
    </cfRule>
    <cfRule type="cellIs" dxfId="14907" priority="1064" operator="equal">
      <formula>"PTO"</formula>
    </cfRule>
  </conditionalFormatting>
  <conditionalFormatting sqref="T38:T39">
    <cfRule type="cellIs" dxfId="14906" priority="1061" operator="equal">
      <formula>"OFF"</formula>
    </cfRule>
    <cfRule type="cellIs" dxfId="14905" priority="1062" operator="equal">
      <formula>"PTO"</formula>
    </cfRule>
  </conditionalFormatting>
  <conditionalFormatting sqref="T38:T39">
    <cfRule type="cellIs" dxfId="14904" priority="1059" operator="equal">
      <formula>"OFF"</formula>
    </cfRule>
    <cfRule type="cellIs" dxfId="14903" priority="1060" operator="equal">
      <formula>"PTO"</formula>
    </cfRule>
  </conditionalFormatting>
  <conditionalFormatting sqref="T38:T39">
    <cfRule type="cellIs" dxfId="14902" priority="1057" operator="equal">
      <formula>"OFF"</formula>
    </cfRule>
    <cfRule type="cellIs" dxfId="14901" priority="1058" operator="equal">
      <formula>"PTO"</formula>
    </cfRule>
  </conditionalFormatting>
  <conditionalFormatting sqref="T38:T39">
    <cfRule type="cellIs" dxfId="14900" priority="1055" operator="equal">
      <formula>"OFF"</formula>
    </cfRule>
    <cfRule type="cellIs" dxfId="14899" priority="1056" operator="equal">
      <formula>"PTO"</formula>
    </cfRule>
  </conditionalFormatting>
  <conditionalFormatting sqref="T38:T39">
    <cfRule type="cellIs" dxfId="14898" priority="1053" operator="equal">
      <formula>"OFF"</formula>
    </cfRule>
    <cfRule type="cellIs" dxfId="14897" priority="1054" operator="equal">
      <formula>"PTO"</formula>
    </cfRule>
  </conditionalFormatting>
  <conditionalFormatting sqref="T38:T39">
    <cfRule type="cellIs" dxfId="14896" priority="1051" operator="equal">
      <formula>"OFF"</formula>
    </cfRule>
    <cfRule type="cellIs" dxfId="14895" priority="1052" operator="equal">
      <formula>"PTO"</formula>
    </cfRule>
  </conditionalFormatting>
  <conditionalFormatting sqref="T38:T39">
    <cfRule type="cellIs" dxfId="14894" priority="1049" operator="equal">
      <formula>"OFF"</formula>
    </cfRule>
    <cfRule type="cellIs" dxfId="14893" priority="1050" operator="equal">
      <formula>"PTO"</formula>
    </cfRule>
  </conditionalFormatting>
  <conditionalFormatting sqref="T38:T39">
    <cfRule type="cellIs" dxfId="14892" priority="1047" operator="equal">
      <formula>"OFF"</formula>
    </cfRule>
    <cfRule type="cellIs" dxfId="14891" priority="1048" operator="equal">
      <formula>"PTO"</formula>
    </cfRule>
  </conditionalFormatting>
  <conditionalFormatting sqref="M28">
    <cfRule type="cellIs" dxfId="14890" priority="1045" operator="equal">
      <formula>"OFF"</formula>
    </cfRule>
    <cfRule type="cellIs" dxfId="14889" priority="1046" operator="equal">
      <formula>"PTO"</formula>
    </cfRule>
  </conditionalFormatting>
  <conditionalFormatting sqref="M28">
    <cfRule type="cellIs" dxfId="14888" priority="1043" operator="equal">
      <formula>"OFF"</formula>
    </cfRule>
    <cfRule type="cellIs" dxfId="14887" priority="1044" operator="equal">
      <formula>"PTO"</formula>
    </cfRule>
  </conditionalFormatting>
  <conditionalFormatting sqref="M28">
    <cfRule type="cellIs" dxfId="14886" priority="1041" operator="equal">
      <formula>"OFF"</formula>
    </cfRule>
    <cfRule type="cellIs" dxfId="14885" priority="1042" operator="equal">
      <formula>"PTO"</formula>
    </cfRule>
  </conditionalFormatting>
  <conditionalFormatting sqref="M28">
    <cfRule type="cellIs" dxfId="14884" priority="1039" operator="equal">
      <formula>"OFF"</formula>
    </cfRule>
    <cfRule type="cellIs" dxfId="14883" priority="1040" operator="equal">
      <formula>"PTO"</formula>
    </cfRule>
  </conditionalFormatting>
  <conditionalFormatting sqref="M28">
    <cfRule type="cellIs" dxfId="14882" priority="1037" operator="equal">
      <formula>"OFF"</formula>
    </cfRule>
    <cfRule type="cellIs" dxfId="14881" priority="1038" operator="equal">
      <formula>"PTO"</formula>
    </cfRule>
  </conditionalFormatting>
  <conditionalFormatting sqref="M28">
    <cfRule type="cellIs" dxfId="14880" priority="1035" operator="equal">
      <formula>"OFF"</formula>
    </cfRule>
    <cfRule type="cellIs" dxfId="14879" priority="1036" operator="equal">
      <formula>"PTO"</formula>
    </cfRule>
  </conditionalFormatting>
  <conditionalFormatting sqref="M28">
    <cfRule type="cellIs" dxfId="14878" priority="1033" operator="equal">
      <formula>"OFF"</formula>
    </cfRule>
    <cfRule type="cellIs" dxfId="14877" priority="1034" operator="equal">
      <formula>"PTO"</formula>
    </cfRule>
  </conditionalFormatting>
  <conditionalFormatting sqref="M28">
    <cfRule type="cellIs" dxfId="14876" priority="1031" operator="equal">
      <formula>"OFF"</formula>
    </cfRule>
    <cfRule type="cellIs" dxfId="14875" priority="1032" operator="equal">
      <formula>"PTO"</formula>
    </cfRule>
  </conditionalFormatting>
  <conditionalFormatting sqref="M28">
    <cfRule type="cellIs" dxfId="14874" priority="1029" operator="equal">
      <formula>"OFF"</formula>
    </cfRule>
    <cfRule type="cellIs" dxfId="14873" priority="1030" operator="equal">
      <formula>"PTO"</formula>
    </cfRule>
  </conditionalFormatting>
  <conditionalFormatting sqref="M28">
    <cfRule type="cellIs" dxfId="14872" priority="1027" operator="equal">
      <formula>"OFF"</formula>
    </cfRule>
    <cfRule type="cellIs" dxfId="14871" priority="1028" operator="equal">
      <formula>"PTO"</formula>
    </cfRule>
  </conditionalFormatting>
  <conditionalFormatting sqref="M28">
    <cfRule type="cellIs" dxfId="14870" priority="1025" operator="equal">
      <formula>"OFF"</formula>
    </cfRule>
    <cfRule type="cellIs" dxfId="14869" priority="1026" operator="equal">
      <formula>"PTO"</formula>
    </cfRule>
  </conditionalFormatting>
  <conditionalFormatting sqref="M28">
    <cfRule type="cellIs" dxfId="14868" priority="1023" operator="equal">
      <formula>"OFF"</formula>
    </cfRule>
    <cfRule type="cellIs" dxfId="14867" priority="1024" operator="equal">
      <formula>"PTO"</formula>
    </cfRule>
  </conditionalFormatting>
  <conditionalFormatting sqref="M28">
    <cfRule type="cellIs" dxfId="14866" priority="1021" operator="equal">
      <formula>"OFF"</formula>
    </cfRule>
    <cfRule type="cellIs" dxfId="14865" priority="1022" operator="equal">
      <formula>"PTO"</formula>
    </cfRule>
  </conditionalFormatting>
  <conditionalFormatting sqref="M28">
    <cfRule type="cellIs" dxfId="14864" priority="1019" operator="equal">
      <formula>"OFF"</formula>
    </cfRule>
    <cfRule type="cellIs" dxfId="14863" priority="1020" operator="equal">
      <formula>"PTO"</formula>
    </cfRule>
  </conditionalFormatting>
  <conditionalFormatting sqref="M28">
    <cfRule type="cellIs" dxfId="14862" priority="1017" operator="equal">
      <formula>"OFF"</formula>
    </cfRule>
    <cfRule type="cellIs" dxfId="14861" priority="1018" operator="equal">
      <formula>"PTO"</formula>
    </cfRule>
  </conditionalFormatting>
  <conditionalFormatting sqref="M28">
    <cfRule type="cellIs" dxfId="14860" priority="1015" operator="equal">
      <formula>"OFF"</formula>
    </cfRule>
    <cfRule type="cellIs" dxfId="14859" priority="1016" operator="equal">
      <formula>"PTO"</formula>
    </cfRule>
  </conditionalFormatting>
  <conditionalFormatting sqref="M28">
    <cfRule type="cellIs" dxfId="14858" priority="1013" operator="equal">
      <formula>"OFF"</formula>
    </cfRule>
    <cfRule type="cellIs" dxfId="14857" priority="1014" operator="equal">
      <formula>"PTO"</formula>
    </cfRule>
  </conditionalFormatting>
  <conditionalFormatting sqref="M28">
    <cfRule type="cellIs" dxfId="14856" priority="1011" operator="equal">
      <formula>"OFF"</formula>
    </cfRule>
    <cfRule type="cellIs" dxfId="14855" priority="1012" operator="equal">
      <formula>"PTO"</formula>
    </cfRule>
  </conditionalFormatting>
  <conditionalFormatting sqref="M28">
    <cfRule type="cellIs" dxfId="14854" priority="1009" operator="equal">
      <formula>"OFF"</formula>
    </cfRule>
    <cfRule type="cellIs" dxfId="14853" priority="1010" operator="equal">
      <formula>"PTO"</formula>
    </cfRule>
  </conditionalFormatting>
  <conditionalFormatting sqref="M28">
    <cfRule type="cellIs" dxfId="14852" priority="1007" operator="equal">
      <formula>"OFF"</formula>
    </cfRule>
    <cfRule type="cellIs" dxfId="14851" priority="1008" operator="equal">
      <formula>"PTO"</formula>
    </cfRule>
  </conditionalFormatting>
  <conditionalFormatting sqref="M28">
    <cfRule type="cellIs" dxfId="14850" priority="1005" operator="equal">
      <formula>"OFF"</formula>
    </cfRule>
    <cfRule type="cellIs" dxfId="14849" priority="1006" operator="equal">
      <formula>"PTO"</formula>
    </cfRule>
  </conditionalFormatting>
  <conditionalFormatting sqref="M28">
    <cfRule type="cellIs" dxfId="14848" priority="1003" operator="equal">
      <formula>"OFF"</formula>
    </cfRule>
    <cfRule type="cellIs" dxfId="14847" priority="1004" operator="equal">
      <formula>"PTO"</formula>
    </cfRule>
  </conditionalFormatting>
  <conditionalFormatting sqref="M28">
    <cfRule type="cellIs" dxfId="14846" priority="1001" operator="equal">
      <formula>"OFF"</formula>
    </cfRule>
    <cfRule type="cellIs" dxfId="14845" priority="1002" operator="equal">
      <formula>"PTO"</formula>
    </cfRule>
  </conditionalFormatting>
  <conditionalFormatting sqref="M28">
    <cfRule type="cellIs" dxfId="14844" priority="999" operator="equal">
      <formula>"OFF"</formula>
    </cfRule>
    <cfRule type="cellIs" dxfId="14843" priority="1000" operator="equal">
      <formula>"PTO"</formula>
    </cfRule>
  </conditionalFormatting>
  <conditionalFormatting sqref="M28">
    <cfRule type="cellIs" dxfId="14842" priority="997" operator="equal">
      <formula>"OFF"</formula>
    </cfRule>
    <cfRule type="cellIs" dxfId="14841" priority="998" operator="equal">
      <formula>"PTO"</formula>
    </cfRule>
  </conditionalFormatting>
  <conditionalFormatting sqref="M28">
    <cfRule type="cellIs" dxfId="14840" priority="995" operator="equal">
      <formula>"OFF"</formula>
    </cfRule>
    <cfRule type="cellIs" dxfId="14839" priority="996" operator="equal">
      <formula>"PTO"</formula>
    </cfRule>
  </conditionalFormatting>
  <conditionalFormatting sqref="M28">
    <cfRule type="cellIs" dxfId="14838" priority="993" operator="equal">
      <formula>"OFF"</formula>
    </cfRule>
    <cfRule type="cellIs" dxfId="14837" priority="994" operator="equal">
      <formula>"PTO"</formula>
    </cfRule>
  </conditionalFormatting>
  <conditionalFormatting sqref="M28">
    <cfRule type="cellIs" dxfId="14836" priority="991" operator="equal">
      <formula>"OFF"</formula>
    </cfRule>
    <cfRule type="cellIs" dxfId="14835" priority="992" operator="equal">
      <formula>"PTO"</formula>
    </cfRule>
  </conditionalFormatting>
  <conditionalFormatting sqref="M28">
    <cfRule type="cellIs" dxfId="14834" priority="989" operator="equal">
      <formula>"OFF"</formula>
    </cfRule>
    <cfRule type="cellIs" dxfId="14833" priority="990" operator="equal">
      <formula>"PTO"</formula>
    </cfRule>
  </conditionalFormatting>
  <conditionalFormatting sqref="M28">
    <cfRule type="cellIs" dxfId="14832" priority="987" operator="equal">
      <formula>"OFF"</formula>
    </cfRule>
    <cfRule type="cellIs" dxfId="14831" priority="988" operator="equal">
      <formula>"PTO"</formula>
    </cfRule>
  </conditionalFormatting>
  <conditionalFormatting sqref="M28">
    <cfRule type="cellIs" dxfId="14830" priority="985" operator="equal">
      <formula>"OFF"</formula>
    </cfRule>
    <cfRule type="cellIs" dxfId="14829" priority="986" operator="equal">
      <formula>"PTO"</formula>
    </cfRule>
  </conditionalFormatting>
  <conditionalFormatting sqref="M28">
    <cfRule type="cellIs" dxfId="14828" priority="983" operator="equal">
      <formula>"OFF"</formula>
    </cfRule>
    <cfRule type="cellIs" dxfId="14827" priority="984" operator="equal">
      <formula>"PTO"</formula>
    </cfRule>
  </conditionalFormatting>
  <conditionalFormatting sqref="M28">
    <cfRule type="cellIs" dxfId="14826" priority="981" operator="equal">
      <formula>"OFF"</formula>
    </cfRule>
    <cfRule type="cellIs" dxfId="14825" priority="982" operator="equal">
      <formula>"PTO"</formula>
    </cfRule>
  </conditionalFormatting>
  <conditionalFormatting sqref="M28">
    <cfRule type="cellIs" dxfId="14824" priority="979" operator="equal">
      <formula>"OFF"</formula>
    </cfRule>
    <cfRule type="cellIs" dxfId="14823" priority="980" operator="equal">
      <formula>"PTO"</formula>
    </cfRule>
  </conditionalFormatting>
  <conditionalFormatting sqref="M28">
    <cfRule type="cellIs" dxfId="14822" priority="977" operator="equal">
      <formula>"OFF"</formula>
    </cfRule>
    <cfRule type="cellIs" dxfId="14821" priority="978" operator="equal">
      <formula>"PTO"</formula>
    </cfRule>
  </conditionalFormatting>
  <conditionalFormatting sqref="M28">
    <cfRule type="cellIs" dxfId="14820" priority="975" operator="equal">
      <formula>"OFF"</formula>
    </cfRule>
    <cfRule type="cellIs" dxfId="14819" priority="976" operator="equal">
      <formula>"PTO"</formula>
    </cfRule>
  </conditionalFormatting>
  <conditionalFormatting sqref="M28">
    <cfRule type="cellIs" dxfId="14818" priority="973" operator="equal">
      <formula>"OFF"</formula>
    </cfRule>
    <cfRule type="cellIs" dxfId="14817" priority="974" operator="equal">
      <formula>"PTO"</formula>
    </cfRule>
  </conditionalFormatting>
  <conditionalFormatting sqref="M28">
    <cfRule type="cellIs" dxfId="14816" priority="971" operator="equal">
      <formula>"OFF"</formula>
    </cfRule>
    <cfRule type="cellIs" dxfId="14815" priority="972" operator="equal">
      <formula>"PTO"</formula>
    </cfRule>
  </conditionalFormatting>
  <conditionalFormatting sqref="M28">
    <cfRule type="cellIs" dxfId="14814" priority="969" operator="equal">
      <formula>"OFF"</formula>
    </cfRule>
    <cfRule type="cellIs" dxfId="14813" priority="970" operator="equal">
      <formula>"PTO"</formula>
    </cfRule>
  </conditionalFormatting>
  <conditionalFormatting sqref="M28">
    <cfRule type="cellIs" dxfId="14812" priority="967" operator="equal">
      <formula>"OFF"</formula>
    </cfRule>
    <cfRule type="cellIs" dxfId="14811" priority="968" operator="equal">
      <formula>"PTO"</formula>
    </cfRule>
  </conditionalFormatting>
  <conditionalFormatting sqref="M28">
    <cfRule type="cellIs" dxfId="14810" priority="965" operator="equal">
      <formula>"OFF"</formula>
    </cfRule>
    <cfRule type="cellIs" dxfId="14809" priority="966" operator="equal">
      <formula>"PTO"</formula>
    </cfRule>
  </conditionalFormatting>
  <conditionalFormatting sqref="M28">
    <cfRule type="cellIs" dxfId="14808" priority="963" operator="equal">
      <formula>"OFF"</formula>
    </cfRule>
    <cfRule type="cellIs" dxfId="14807" priority="964" operator="equal">
      <formula>"PTO"</formula>
    </cfRule>
  </conditionalFormatting>
  <conditionalFormatting sqref="M28">
    <cfRule type="cellIs" dxfId="14806" priority="961" operator="equal">
      <formula>"OFF"</formula>
    </cfRule>
    <cfRule type="cellIs" dxfId="14805" priority="962" operator="equal">
      <formula>"PTO"</formula>
    </cfRule>
  </conditionalFormatting>
  <conditionalFormatting sqref="M28">
    <cfRule type="cellIs" dxfId="14804" priority="959" operator="equal">
      <formula>"OFF"</formula>
    </cfRule>
    <cfRule type="cellIs" dxfId="14803" priority="960" operator="equal">
      <formula>"PTO"</formula>
    </cfRule>
  </conditionalFormatting>
  <conditionalFormatting sqref="M28">
    <cfRule type="cellIs" dxfId="14802" priority="957" operator="equal">
      <formula>"OFF"</formula>
    </cfRule>
    <cfRule type="cellIs" dxfId="14801" priority="958" operator="equal">
      <formula>"PTO"</formula>
    </cfRule>
  </conditionalFormatting>
  <conditionalFormatting sqref="M28">
    <cfRule type="cellIs" dxfId="14800" priority="955" operator="equal">
      <formula>"OFF"</formula>
    </cfRule>
    <cfRule type="cellIs" dxfId="14799" priority="956" operator="equal">
      <formula>"PTO"</formula>
    </cfRule>
  </conditionalFormatting>
  <conditionalFormatting sqref="M28">
    <cfRule type="cellIs" dxfId="14798" priority="953" operator="equal">
      <formula>"OFF"</formula>
    </cfRule>
    <cfRule type="cellIs" dxfId="14797" priority="954" operator="equal">
      <formula>"PTO"</formula>
    </cfRule>
  </conditionalFormatting>
  <conditionalFormatting sqref="M28">
    <cfRule type="cellIs" dxfId="14796" priority="951" operator="equal">
      <formula>"OFF"</formula>
    </cfRule>
    <cfRule type="cellIs" dxfId="14795" priority="952" operator="equal">
      <formula>"PTO"</formula>
    </cfRule>
  </conditionalFormatting>
  <conditionalFormatting sqref="M28">
    <cfRule type="cellIs" dxfId="14794" priority="949" operator="equal">
      <formula>"OFF"</formula>
    </cfRule>
    <cfRule type="cellIs" dxfId="14793" priority="950" operator="equal">
      <formula>"PTO"</formula>
    </cfRule>
  </conditionalFormatting>
  <conditionalFormatting sqref="M28">
    <cfRule type="cellIs" dxfId="14792" priority="947" operator="equal">
      <formula>"OFF"</formula>
    </cfRule>
    <cfRule type="cellIs" dxfId="14791" priority="948" operator="equal">
      <formula>"PTO"</formula>
    </cfRule>
  </conditionalFormatting>
  <conditionalFormatting sqref="M28">
    <cfRule type="cellIs" dxfId="14790" priority="945" operator="equal">
      <formula>"OFF"</formula>
    </cfRule>
    <cfRule type="cellIs" dxfId="14789" priority="946" operator="equal">
      <formula>"PTO"</formula>
    </cfRule>
  </conditionalFormatting>
  <conditionalFormatting sqref="M28">
    <cfRule type="cellIs" dxfId="14788" priority="943" operator="equal">
      <formula>"OFF"</formula>
    </cfRule>
    <cfRule type="cellIs" dxfId="14787" priority="944" operator="equal">
      <formula>"PTO"</formula>
    </cfRule>
  </conditionalFormatting>
  <conditionalFormatting sqref="M28">
    <cfRule type="cellIs" dxfId="14786" priority="941" operator="equal">
      <formula>"OFF"</formula>
    </cfRule>
    <cfRule type="cellIs" dxfId="14785" priority="942" operator="equal">
      <formula>"PTO"</formula>
    </cfRule>
  </conditionalFormatting>
  <conditionalFormatting sqref="M28">
    <cfRule type="cellIs" dxfId="14784" priority="939" operator="equal">
      <formula>"OFF"</formula>
    </cfRule>
    <cfRule type="cellIs" dxfId="14783" priority="940" operator="equal">
      <formula>"PTO"</formula>
    </cfRule>
  </conditionalFormatting>
  <conditionalFormatting sqref="M28">
    <cfRule type="cellIs" dxfId="14782" priority="937" operator="equal">
      <formula>"OFF"</formula>
    </cfRule>
    <cfRule type="cellIs" dxfId="14781" priority="938" operator="equal">
      <formula>"PTO"</formula>
    </cfRule>
  </conditionalFormatting>
  <conditionalFormatting sqref="M28">
    <cfRule type="cellIs" dxfId="14780" priority="935" operator="equal">
      <formula>"OFF"</formula>
    </cfRule>
    <cfRule type="cellIs" dxfId="14779" priority="936" operator="equal">
      <formula>"PTO"</formula>
    </cfRule>
  </conditionalFormatting>
  <conditionalFormatting sqref="M28">
    <cfRule type="cellIs" dxfId="14778" priority="933" operator="equal">
      <formula>"OFF"</formula>
    </cfRule>
    <cfRule type="cellIs" dxfId="14777" priority="934" operator="equal">
      <formula>"PTO"</formula>
    </cfRule>
  </conditionalFormatting>
  <conditionalFormatting sqref="M28">
    <cfRule type="cellIs" dxfId="14776" priority="931" operator="equal">
      <formula>"OFF"</formula>
    </cfRule>
    <cfRule type="cellIs" dxfId="14775" priority="932" operator="equal">
      <formula>"PTO"</formula>
    </cfRule>
  </conditionalFormatting>
  <conditionalFormatting sqref="M28">
    <cfRule type="cellIs" dxfId="14774" priority="929" operator="equal">
      <formula>"OFF"</formula>
    </cfRule>
    <cfRule type="cellIs" dxfId="14773" priority="930" operator="equal">
      <formula>"PTO"</formula>
    </cfRule>
  </conditionalFormatting>
  <conditionalFormatting sqref="M28">
    <cfRule type="cellIs" dxfId="14772" priority="927" operator="equal">
      <formula>"OFF"</formula>
    </cfRule>
    <cfRule type="cellIs" dxfId="14771" priority="928" operator="equal">
      <formula>"PTO"</formula>
    </cfRule>
  </conditionalFormatting>
  <conditionalFormatting sqref="M28">
    <cfRule type="cellIs" dxfId="14770" priority="925" operator="equal">
      <formula>"OFF"</formula>
    </cfRule>
    <cfRule type="cellIs" dxfId="14769" priority="926" operator="equal">
      <formula>"PTO"</formula>
    </cfRule>
  </conditionalFormatting>
  <conditionalFormatting sqref="M28">
    <cfRule type="cellIs" dxfId="14768" priority="923" operator="equal">
      <formula>"OFF"</formula>
    </cfRule>
    <cfRule type="cellIs" dxfId="14767" priority="924" operator="equal">
      <formula>"PTO"</formula>
    </cfRule>
  </conditionalFormatting>
  <conditionalFormatting sqref="M28">
    <cfRule type="cellIs" dxfId="14766" priority="921" operator="equal">
      <formula>"OFF"</formula>
    </cfRule>
    <cfRule type="cellIs" dxfId="14765" priority="922" operator="equal">
      <formula>"PTO"</formula>
    </cfRule>
  </conditionalFormatting>
  <conditionalFormatting sqref="M28">
    <cfRule type="cellIs" dxfId="14764" priority="919" operator="equal">
      <formula>"OFF"</formula>
    </cfRule>
    <cfRule type="cellIs" dxfId="14763" priority="920" operator="equal">
      <formula>"PTO"</formula>
    </cfRule>
  </conditionalFormatting>
  <conditionalFormatting sqref="M28">
    <cfRule type="cellIs" dxfId="14762" priority="917" operator="equal">
      <formula>"OFF"</formula>
    </cfRule>
    <cfRule type="cellIs" dxfId="14761" priority="918" operator="equal">
      <formula>"PTO"</formula>
    </cfRule>
  </conditionalFormatting>
  <conditionalFormatting sqref="M28">
    <cfRule type="cellIs" dxfId="14760" priority="915" operator="equal">
      <formula>"OFF"</formula>
    </cfRule>
    <cfRule type="cellIs" dxfId="14759" priority="916" operator="equal">
      <formula>"PTO"</formula>
    </cfRule>
  </conditionalFormatting>
  <conditionalFormatting sqref="M28">
    <cfRule type="cellIs" dxfId="14758" priority="913" operator="equal">
      <formula>"OFF"</formula>
    </cfRule>
    <cfRule type="cellIs" dxfId="14757" priority="914" operator="equal">
      <formula>"PTO"</formula>
    </cfRule>
  </conditionalFormatting>
  <conditionalFormatting sqref="M28">
    <cfRule type="cellIs" dxfId="14756" priority="911" operator="equal">
      <formula>"OFF"</formula>
    </cfRule>
    <cfRule type="cellIs" dxfId="14755" priority="912" operator="equal">
      <formula>"PTO"</formula>
    </cfRule>
  </conditionalFormatting>
  <conditionalFormatting sqref="M28">
    <cfRule type="cellIs" dxfId="14754" priority="909" operator="equal">
      <formula>"OFF"</formula>
    </cfRule>
    <cfRule type="cellIs" dxfId="14753" priority="910" operator="equal">
      <formula>"PTO"</formula>
    </cfRule>
  </conditionalFormatting>
  <conditionalFormatting sqref="M28">
    <cfRule type="cellIs" dxfId="14752" priority="907" operator="equal">
      <formula>"OFF"</formula>
    </cfRule>
    <cfRule type="cellIs" dxfId="14751" priority="908" operator="equal">
      <formula>"PTO"</formula>
    </cfRule>
  </conditionalFormatting>
  <conditionalFormatting sqref="M28">
    <cfRule type="cellIs" dxfId="14750" priority="905" operator="equal">
      <formula>"OFF"</formula>
    </cfRule>
    <cfRule type="cellIs" dxfId="14749" priority="906" operator="equal">
      <formula>"PTO"</formula>
    </cfRule>
  </conditionalFormatting>
  <conditionalFormatting sqref="M28">
    <cfRule type="cellIs" dxfId="14748" priority="903" operator="equal">
      <formula>"OFF"</formula>
    </cfRule>
    <cfRule type="cellIs" dxfId="14747" priority="904" operator="equal">
      <formula>"PTO"</formula>
    </cfRule>
  </conditionalFormatting>
  <conditionalFormatting sqref="M28">
    <cfRule type="cellIs" dxfId="14746" priority="901" operator="equal">
      <formula>"OFF"</formula>
    </cfRule>
    <cfRule type="cellIs" dxfId="14745" priority="902" operator="equal">
      <formula>"PTO"</formula>
    </cfRule>
  </conditionalFormatting>
  <conditionalFormatting sqref="M28">
    <cfRule type="cellIs" dxfId="14744" priority="899" operator="equal">
      <formula>"OFF"</formula>
    </cfRule>
    <cfRule type="cellIs" dxfId="14743" priority="900" operator="equal">
      <formula>"PTO"</formula>
    </cfRule>
  </conditionalFormatting>
  <conditionalFormatting sqref="M28">
    <cfRule type="cellIs" dxfId="14742" priority="897" operator="equal">
      <formula>"OFF"</formula>
    </cfRule>
    <cfRule type="cellIs" dxfId="14741" priority="898" operator="equal">
      <formula>"PTO"</formula>
    </cfRule>
  </conditionalFormatting>
  <conditionalFormatting sqref="M28">
    <cfRule type="cellIs" dxfId="14740" priority="895" operator="equal">
      <formula>"OFF"</formula>
    </cfRule>
    <cfRule type="cellIs" dxfId="14739" priority="896" operator="equal">
      <formula>"PTO"</formula>
    </cfRule>
  </conditionalFormatting>
  <conditionalFormatting sqref="M28">
    <cfRule type="cellIs" dxfId="14738" priority="893" operator="equal">
      <formula>"OFF"</formula>
    </cfRule>
    <cfRule type="cellIs" dxfId="14737" priority="894" operator="equal">
      <formula>"PTO"</formula>
    </cfRule>
  </conditionalFormatting>
  <conditionalFormatting sqref="M28">
    <cfRule type="cellIs" dxfId="14736" priority="891" operator="equal">
      <formula>"OFF"</formula>
    </cfRule>
    <cfRule type="cellIs" dxfId="14735" priority="892" operator="equal">
      <formula>"PTO"</formula>
    </cfRule>
  </conditionalFormatting>
  <conditionalFormatting sqref="M28">
    <cfRule type="cellIs" dxfId="14734" priority="889" operator="equal">
      <formula>"OFF"</formula>
    </cfRule>
    <cfRule type="cellIs" dxfId="14733" priority="890" operator="equal">
      <formula>"PTO"</formula>
    </cfRule>
  </conditionalFormatting>
  <conditionalFormatting sqref="M28">
    <cfRule type="cellIs" dxfId="14732" priority="887" operator="equal">
      <formula>"OFF"</formula>
    </cfRule>
    <cfRule type="cellIs" dxfId="14731" priority="888" operator="equal">
      <formula>"PTO"</formula>
    </cfRule>
  </conditionalFormatting>
  <conditionalFormatting sqref="M28">
    <cfRule type="cellIs" dxfId="14730" priority="885" operator="equal">
      <formula>"OFF"</formula>
    </cfRule>
    <cfRule type="cellIs" dxfId="14729" priority="886" operator="equal">
      <formula>"PTO"</formula>
    </cfRule>
  </conditionalFormatting>
  <conditionalFormatting sqref="M28">
    <cfRule type="cellIs" dxfId="14728" priority="883" operator="equal">
      <formula>"OFF"</formula>
    </cfRule>
    <cfRule type="cellIs" dxfId="14727" priority="884" operator="equal">
      <formula>"PTO"</formula>
    </cfRule>
  </conditionalFormatting>
  <conditionalFormatting sqref="M28">
    <cfRule type="cellIs" dxfId="14726" priority="881" operator="equal">
      <formula>"OFF"</formula>
    </cfRule>
    <cfRule type="cellIs" dxfId="14725" priority="882" operator="equal">
      <formula>"PTO"</formula>
    </cfRule>
  </conditionalFormatting>
  <conditionalFormatting sqref="M28">
    <cfRule type="cellIs" dxfId="14724" priority="879" operator="equal">
      <formula>"OFF"</formula>
    </cfRule>
    <cfRule type="cellIs" dxfId="14723" priority="880" operator="equal">
      <formula>"PTO"</formula>
    </cfRule>
  </conditionalFormatting>
  <conditionalFormatting sqref="M28">
    <cfRule type="cellIs" dxfId="14722" priority="877" operator="equal">
      <formula>"OFF"</formula>
    </cfRule>
    <cfRule type="cellIs" dxfId="14721" priority="878" operator="equal">
      <formula>"PTO"</formula>
    </cfRule>
  </conditionalFormatting>
  <conditionalFormatting sqref="M28">
    <cfRule type="cellIs" dxfId="14720" priority="875" operator="equal">
      <formula>"OFF"</formula>
    </cfRule>
    <cfRule type="cellIs" dxfId="14719" priority="876" operator="equal">
      <formula>"PTO"</formula>
    </cfRule>
  </conditionalFormatting>
  <conditionalFormatting sqref="M28">
    <cfRule type="cellIs" dxfId="14718" priority="873" operator="equal">
      <formula>"OFF"</formula>
    </cfRule>
    <cfRule type="cellIs" dxfId="14717" priority="874" operator="equal">
      <formula>"PTO"</formula>
    </cfRule>
  </conditionalFormatting>
  <conditionalFormatting sqref="M28">
    <cfRule type="cellIs" dxfId="14716" priority="871" operator="equal">
      <formula>"OFF"</formula>
    </cfRule>
    <cfRule type="cellIs" dxfId="14715" priority="872" operator="equal">
      <formula>"PTO"</formula>
    </cfRule>
  </conditionalFormatting>
  <conditionalFormatting sqref="M28">
    <cfRule type="cellIs" dxfId="14714" priority="869" operator="equal">
      <formula>"OFF"</formula>
    </cfRule>
    <cfRule type="cellIs" dxfId="14713" priority="870" operator="equal">
      <formula>"PTO"</formula>
    </cfRule>
  </conditionalFormatting>
  <conditionalFormatting sqref="M28">
    <cfRule type="cellIs" dxfId="14712" priority="867" operator="equal">
      <formula>"OFF"</formula>
    </cfRule>
    <cfRule type="cellIs" dxfId="14711" priority="868" operator="equal">
      <formula>"PTO"</formula>
    </cfRule>
  </conditionalFormatting>
  <conditionalFormatting sqref="M28">
    <cfRule type="cellIs" dxfId="14710" priority="865" operator="equal">
      <formula>"OFF"</formula>
    </cfRule>
    <cfRule type="cellIs" dxfId="14709" priority="866" operator="equal">
      <formula>"PTO"</formula>
    </cfRule>
  </conditionalFormatting>
  <conditionalFormatting sqref="M28">
    <cfRule type="cellIs" dxfId="14708" priority="863" operator="equal">
      <formula>"OFF"</formula>
    </cfRule>
    <cfRule type="cellIs" dxfId="14707" priority="864" operator="equal">
      <formula>"PTO"</formula>
    </cfRule>
  </conditionalFormatting>
  <conditionalFormatting sqref="M28">
    <cfRule type="cellIs" dxfId="14706" priority="861" operator="equal">
      <formula>"OFF"</formula>
    </cfRule>
    <cfRule type="cellIs" dxfId="14705" priority="862" operator="equal">
      <formula>"PTO"</formula>
    </cfRule>
  </conditionalFormatting>
  <conditionalFormatting sqref="M28">
    <cfRule type="cellIs" dxfId="14704" priority="859" operator="equal">
      <formula>"OFF"</formula>
    </cfRule>
    <cfRule type="cellIs" dxfId="14703" priority="860" operator="equal">
      <formula>"PTO"</formula>
    </cfRule>
  </conditionalFormatting>
  <conditionalFormatting sqref="M28">
    <cfRule type="cellIs" dxfId="14702" priority="857" operator="equal">
      <formula>"OFF"</formula>
    </cfRule>
    <cfRule type="cellIs" dxfId="14701" priority="858" operator="equal">
      <formula>"PTO"</formula>
    </cfRule>
  </conditionalFormatting>
  <conditionalFormatting sqref="M28">
    <cfRule type="cellIs" dxfId="14700" priority="855" operator="equal">
      <formula>"OFF"</formula>
    </cfRule>
    <cfRule type="cellIs" dxfId="14699" priority="856" operator="equal">
      <formula>"PTO"</formula>
    </cfRule>
  </conditionalFormatting>
  <conditionalFormatting sqref="M28">
    <cfRule type="cellIs" dxfId="14698" priority="853" operator="equal">
      <formula>"OFF"</formula>
    </cfRule>
    <cfRule type="cellIs" dxfId="14697" priority="854" operator="equal">
      <formula>"PTO"</formula>
    </cfRule>
  </conditionalFormatting>
  <conditionalFormatting sqref="M28">
    <cfRule type="cellIs" dxfId="14696" priority="851" operator="equal">
      <formula>"OFF"</formula>
    </cfRule>
    <cfRule type="cellIs" dxfId="14695" priority="852" operator="equal">
      <formula>"PTO"</formula>
    </cfRule>
  </conditionalFormatting>
  <conditionalFormatting sqref="M28">
    <cfRule type="cellIs" dxfId="14694" priority="849" operator="equal">
      <formula>"OFF"</formula>
    </cfRule>
    <cfRule type="cellIs" dxfId="14693" priority="850" operator="equal">
      <formula>"PTO"</formula>
    </cfRule>
  </conditionalFormatting>
  <conditionalFormatting sqref="M28">
    <cfRule type="cellIs" dxfId="14692" priority="847" operator="equal">
      <formula>"OFF"</formula>
    </cfRule>
    <cfRule type="cellIs" dxfId="14691" priority="848" operator="equal">
      <formula>"PTO"</formula>
    </cfRule>
  </conditionalFormatting>
  <conditionalFormatting sqref="M28">
    <cfRule type="cellIs" dxfId="14690" priority="845" operator="equal">
      <formula>"OFF"</formula>
    </cfRule>
    <cfRule type="cellIs" dxfId="14689" priority="846" operator="equal">
      <formula>"PTO"</formula>
    </cfRule>
  </conditionalFormatting>
  <conditionalFormatting sqref="M28">
    <cfRule type="cellIs" dxfId="14688" priority="843" operator="equal">
      <formula>"OFF"</formula>
    </cfRule>
    <cfRule type="cellIs" dxfId="14687" priority="844" operator="equal">
      <formula>"PTO"</formula>
    </cfRule>
  </conditionalFormatting>
  <conditionalFormatting sqref="M28">
    <cfRule type="cellIs" dxfId="14686" priority="841" operator="equal">
      <formula>"OFF"</formula>
    </cfRule>
    <cfRule type="cellIs" dxfId="14685" priority="842" operator="equal">
      <formula>"PTO"</formula>
    </cfRule>
  </conditionalFormatting>
  <conditionalFormatting sqref="M28">
    <cfRule type="cellIs" dxfId="14684" priority="839" operator="equal">
      <formula>"OFF"</formula>
    </cfRule>
    <cfRule type="cellIs" dxfId="14683" priority="840" operator="equal">
      <formula>"PTO"</formula>
    </cfRule>
  </conditionalFormatting>
  <conditionalFormatting sqref="M28">
    <cfRule type="cellIs" dxfId="14682" priority="837" operator="equal">
      <formula>"OFF"</formula>
    </cfRule>
    <cfRule type="cellIs" dxfId="14681" priority="838" operator="equal">
      <formula>"PTO"</formula>
    </cfRule>
  </conditionalFormatting>
  <conditionalFormatting sqref="M28">
    <cfRule type="cellIs" dxfId="14680" priority="835" operator="equal">
      <formula>"OFF"</formula>
    </cfRule>
    <cfRule type="cellIs" dxfId="14679" priority="836" operator="equal">
      <formula>"PTO"</formula>
    </cfRule>
  </conditionalFormatting>
  <conditionalFormatting sqref="M28">
    <cfRule type="cellIs" dxfId="14678" priority="833" operator="equal">
      <formula>"OFF"</formula>
    </cfRule>
    <cfRule type="cellIs" dxfId="14677" priority="834" operator="equal">
      <formula>"PTO"</formula>
    </cfRule>
  </conditionalFormatting>
  <conditionalFormatting sqref="M28">
    <cfRule type="cellIs" dxfId="14676" priority="831" operator="equal">
      <formula>"OFF"</formula>
    </cfRule>
    <cfRule type="cellIs" dxfId="14675" priority="832" operator="equal">
      <formula>"PTO"</formula>
    </cfRule>
  </conditionalFormatting>
  <conditionalFormatting sqref="M28">
    <cfRule type="cellIs" dxfId="14674" priority="829" operator="equal">
      <formula>"OFF"</formula>
    </cfRule>
    <cfRule type="cellIs" dxfId="14673" priority="830" operator="equal">
      <formula>"PTO"</formula>
    </cfRule>
  </conditionalFormatting>
  <conditionalFormatting sqref="M28">
    <cfRule type="cellIs" dxfId="14672" priority="827" operator="equal">
      <formula>"OFF"</formula>
    </cfRule>
    <cfRule type="cellIs" dxfId="14671" priority="828" operator="equal">
      <formula>"PTO"</formula>
    </cfRule>
  </conditionalFormatting>
  <conditionalFormatting sqref="M28">
    <cfRule type="cellIs" dxfId="14670" priority="825" operator="equal">
      <formula>"OFF"</formula>
    </cfRule>
    <cfRule type="cellIs" dxfId="14669" priority="826" operator="equal">
      <formula>"PTO"</formula>
    </cfRule>
  </conditionalFormatting>
  <conditionalFormatting sqref="M28">
    <cfRule type="cellIs" dxfId="14668" priority="823" operator="equal">
      <formula>"OFF"</formula>
    </cfRule>
    <cfRule type="cellIs" dxfId="14667" priority="824" operator="equal">
      <formula>"PTO"</formula>
    </cfRule>
  </conditionalFormatting>
  <conditionalFormatting sqref="M28">
    <cfRule type="cellIs" dxfId="14666" priority="821" operator="equal">
      <formula>"OFF"</formula>
    </cfRule>
    <cfRule type="cellIs" dxfId="14665" priority="822" operator="equal">
      <formula>"PTO"</formula>
    </cfRule>
  </conditionalFormatting>
  <conditionalFormatting sqref="M28">
    <cfRule type="cellIs" dxfId="14664" priority="819" operator="equal">
      <formula>"OFF"</formula>
    </cfRule>
    <cfRule type="cellIs" dxfId="14663" priority="820" operator="equal">
      <formula>"PTO"</formula>
    </cfRule>
  </conditionalFormatting>
  <conditionalFormatting sqref="M28">
    <cfRule type="cellIs" dxfId="14662" priority="817" operator="equal">
      <formula>"OFF"</formula>
    </cfRule>
    <cfRule type="cellIs" dxfId="14661" priority="818" operator="equal">
      <formula>"PTO"</formula>
    </cfRule>
  </conditionalFormatting>
  <conditionalFormatting sqref="M28">
    <cfRule type="cellIs" dxfId="14660" priority="815" operator="equal">
      <formula>"OFF"</formula>
    </cfRule>
    <cfRule type="cellIs" dxfId="14659" priority="816" operator="equal">
      <formula>"PTO"</formula>
    </cfRule>
  </conditionalFormatting>
  <conditionalFormatting sqref="M28">
    <cfRule type="cellIs" dxfId="14658" priority="813" operator="equal">
      <formula>"OFF"</formula>
    </cfRule>
    <cfRule type="cellIs" dxfId="14657" priority="814" operator="equal">
      <formula>"PTO"</formula>
    </cfRule>
  </conditionalFormatting>
  <conditionalFormatting sqref="M28">
    <cfRule type="cellIs" dxfId="14656" priority="811" operator="equal">
      <formula>"OFF"</formula>
    </cfRule>
    <cfRule type="cellIs" dxfId="14655" priority="812" operator="equal">
      <formula>"PTO"</formula>
    </cfRule>
  </conditionalFormatting>
  <conditionalFormatting sqref="M28">
    <cfRule type="cellIs" dxfId="14654" priority="809" operator="equal">
      <formula>"OFF"</formula>
    </cfRule>
    <cfRule type="cellIs" dxfId="14653" priority="810" operator="equal">
      <formula>"PTO"</formula>
    </cfRule>
  </conditionalFormatting>
  <conditionalFormatting sqref="M28">
    <cfRule type="cellIs" dxfId="14652" priority="807" operator="equal">
      <formula>"OFF"</formula>
    </cfRule>
    <cfRule type="cellIs" dxfId="14651" priority="808" operator="equal">
      <formula>"PTO"</formula>
    </cfRule>
  </conditionalFormatting>
  <conditionalFormatting sqref="M28">
    <cfRule type="cellIs" dxfId="14650" priority="805" operator="equal">
      <formula>"OFF"</formula>
    </cfRule>
    <cfRule type="cellIs" dxfId="14649" priority="806" operator="equal">
      <formula>"PTO"</formula>
    </cfRule>
  </conditionalFormatting>
  <conditionalFormatting sqref="M28">
    <cfRule type="cellIs" dxfId="14648" priority="803" operator="equal">
      <formula>"OFF"</formula>
    </cfRule>
    <cfRule type="cellIs" dxfId="14647" priority="804" operator="equal">
      <formula>"PTO"</formula>
    </cfRule>
  </conditionalFormatting>
  <conditionalFormatting sqref="M28">
    <cfRule type="cellIs" dxfId="14646" priority="801" operator="equal">
      <formula>"OFF"</formula>
    </cfRule>
    <cfRule type="cellIs" dxfId="14645" priority="802" operator="equal">
      <formula>"PTO"</formula>
    </cfRule>
  </conditionalFormatting>
  <conditionalFormatting sqref="M28">
    <cfRule type="cellIs" dxfId="14644" priority="799" operator="equal">
      <formula>"OFF"</formula>
    </cfRule>
    <cfRule type="cellIs" dxfId="14643" priority="800" operator="equal">
      <formula>"PTO"</formula>
    </cfRule>
  </conditionalFormatting>
  <conditionalFormatting sqref="M28">
    <cfRule type="cellIs" dxfId="14642" priority="797" operator="equal">
      <formula>"OFF"</formula>
    </cfRule>
    <cfRule type="cellIs" dxfId="14641" priority="798" operator="equal">
      <formula>"PTO"</formula>
    </cfRule>
  </conditionalFormatting>
  <conditionalFormatting sqref="M28">
    <cfRule type="cellIs" dxfId="14640" priority="795" operator="equal">
      <formula>"OFF"</formula>
    </cfRule>
    <cfRule type="cellIs" dxfId="14639" priority="796" operator="equal">
      <formula>"PTO"</formula>
    </cfRule>
  </conditionalFormatting>
  <conditionalFormatting sqref="M28">
    <cfRule type="cellIs" dxfId="14638" priority="793" operator="equal">
      <formula>"OFF"</formula>
    </cfRule>
    <cfRule type="cellIs" dxfId="14637" priority="794" operator="equal">
      <formula>"PTO"</formula>
    </cfRule>
  </conditionalFormatting>
  <conditionalFormatting sqref="M28">
    <cfRule type="cellIs" dxfId="14636" priority="791" operator="equal">
      <formula>"OFF"</formula>
    </cfRule>
    <cfRule type="cellIs" dxfId="14635" priority="792" operator="equal">
      <formula>"PTO"</formula>
    </cfRule>
  </conditionalFormatting>
  <conditionalFormatting sqref="M28">
    <cfRule type="cellIs" dxfId="14634" priority="789" operator="equal">
      <formula>"OFF"</formula>
    </cfRule>
    <cfRule type="cellIs" dxfId="14633" priority="790" operator="equal">
      <formula>"PTO"</formula>
    </cfRule>
  </conditionalFormatting>
  <conditionalFormatting sqref="M28">
    <cfRule type="cellIs" dxfId="14632" priority="787" operator="equal">
      <formula>"OFF"</formula>
    </cfRule>
    <cfRule type="cellIs" dxfId="14631" priority="788" operator="equal">
      <formula>"PTO"</formula>
    </cfRule>
  </conditionalFormatting>
  <conditionalFormatting sqref="M28">
    <cfRule type="cellIs" dxfId="14630" priority="785" operator="equal">
      <formula>"OFF"</formula>
    </cfRule>
    <cfRule type="cellIs" dxfId="14629" priority="786" operator="equal">
      <formula>"PTO"</formula>
    </cfRule>
  </conditionalFormatting>
  <conditionalFormatting sqref="M28">
    <cfRule type="cellIs" dxfId="14628" priority="783" operator="equal">
      <formula>"OFF"</formula>
    </cfRule>
    <cfRule type="cellIs" dxfId="14627" priority="784" operator="equal">
      <formula>"PTO"</formula>
    </cfRule>
  </conditionalFormatting>
  <conditionalFormatting sqref="M28">
    <cfRule type="cellIs" dxfId="14626" priority="781" operator="equal">
      <formula>"OFF"</formula>
    </cfRule>
    <cfRule type="cellIs" dxfId="14625" priority="782" operator="equal">
      <formula>"PTO"</formula>
    </cfRule>
  </conditionalFormatting>
  <conditionalFormatting sqref="M28">
    <cfRule type="cellIs" dxfId="14624" priority="779" operator="equal">
      <formula>"OFF"</formula>
    </cfRule>
    <cfRule type="cellIs" dxfId="14623" priority="780" operator="equal">
      <formula>"PTO"</formula>
    </cfRule>
  </conditionalFormatting>
  <conditionalFormatting sqref="M28">
    <cfRule type="cellIs" dxfId="14622" priority="777" operator="equal">
      <formula>"OFF"</formula>
    </cfRule>
    <cfRule type="cellIs" dxfId="14621" priority="778" operator="equal">
      <formula>"PTO"</formula>
    </cfRule>
  </conditionalFormatting>
  <conditionalFormatting sqref="M28">
    <cfRule type="cellIs" dxfId="14620" priority="775" operator="equal">
      <formula>"OFF"</formula>
    </cfRule>
    <cfRule type="cellIs" dxfId="14619" priority="776" operator="equal">
      <formula>"PTO"</formula>
    </cfRule>
  </conditionalFormatting>
  <conditionalFormatting sqref="M28">
    <cfRule type="cellIs" dxfId="14618" priority="773" operator="equal">
      <formula>"OFF"</formula>
    </cfRule>
    <cfRule type="cellIs" dxfId="14617" priority="774" operator="equal">
      <formula>"PTO"</formula>
    </cfRule>
  </conditionalFormatting>
  <conditionalFormatting sqref="M28">
    <cfRule type="cellIs" dxfId="14616" priority="771" operator="equal">
      <formula>"OFF"</formula>
    </cfRule>
    <cfRule type="cellIs" dxfId="14615" priority="772" operator="equal">
      <formula>"PTO"</formula>
    </cfRule>
  </conditionalFormatting>
  <conditionalFormatting sqref="M28">
    <cfRule type="cellIs" dxfId="14614" priority="769" operator="equal">
      <formula>"OFF"</formula>
    </cfRule>
    <cfRule type="cellIs" dxfId="14613" priority="770" operator="equal">
      <formula>"PTO"</formula>
    </cfRule>
  </conditionalFormatting>
  <conditionalFormatting sqref="M28">
    <cfRule type="cellIs" dxfId="14612" priority="767" operator="equal">
      <formula>"OFF"</formula>
    </cfRule>
    <cfRule type="cellIs" dxfId="14611" priority="768" operator="equal">
      <formula>"PTO"</formula>
    </cfRule>
  </conditionalFormatting>
  <conditionalFormatting sqref="M28">
    <cfRule type="cellIs" dxfId="14610" priority="765" operator="equal">
      <formula>"OFF"</formula>
    </cfRule>
    <cfRule type="cellIs" dxfId="14609" priority="766" operator="equal">
      <formula>"PTO"</formula>
    </cfRule>
  </conditionalFormatting>
  <conditionalFormatting sqref="M28">
    <cfRule type="cellIs" dxfId="14608" priority="763" operator="equal">
      <formula>"OFF"</formula>
    </cfRule>
    <cfRule type="cellIs" dxfId="14607" priority="764" operator="equal">
      <formula>"PTO"</formula>
    </cfRule>
  </conditionalFormatting>
  <conditionalFormatting sqref="M28">
    <cfRule type="cellIs" dxfId="14606" priority="761" operator="equal">
      <formula>"OFF"</formula>
    </cfRule>
    <cfRule type="cellIs" dxfId="14605" priority="762" operator="equal">
      <formula>"PTO"</formula>
    </cfRule>
  </conditionalFormatting>
  <conditionalFormatting sqref="M28">
    <cfRule type="cellIs" dxfId="14604" priority="759" operator="equal">
      <formula>"OFF"</formula>
    </cfRule>
    <cfRule type="cellIs" dxfId="14603" priority="760" operator="equal">
      <formula>"PTO"</formula>
    </cfRule>
  </conditionalFormatting>
  <conditionalFormatting sqref="M28">
    <cfRule type="cellIs" dxfId="14602" priority="757" operator="equal">
      <formula>"OFF"</formula>
    </cfRule>
    <cfRule type="cellIs" dxfId="14601" priority="758" operator="equal">
      <formula>"PTO"</formula>
    </cfRule>
  </conditionalFormatting>
  <conditionalFormatting sqref="M28">
    <cfRule type="cellIs" dxfId="14600" priority="755" operator="equal">
      <formula>"OFF"</formula>
    </cfRule>
    <cfRule type="cellIs" dxfId="14599" priority="756" operator="equal">
      <formula>"PTO"</formula>
    </cfRule>
  </conditionalFormatting>
  <conditionalFormatting sqref="M28">
    <cfRule type="cellIs" dxfId="14598" priority="753" operator="equal">
      <formula>"OFF"</formula>
    </cfRule>
    <cfRule type="cellIs" dxfId="14597" priority="754" operator="equal">
      <formula>"PTO"</formula>
    </cfRule>
  </conditionalFormatting>
  <conditionalFormatting sqref="M28">
    <cfRule type="cellIs" dxfId="14596" priority="751" operator="equal">
      <formula>"OFF"</formula>
    </cfRule>
    <cfRule type="cellIs" dxfId="14595" priority="752" operator="equal">
      <formula>"PTO"</formula>
    </cfRule>
  </conditionalFormatting>
  <conditionalFormatting sqref="M28">
    <cfRule type="cellIs" dxfId="14594" priority="749" operator="equal">
      <formula>"OFF"</formula>
    </cfRule>
    <cfRule type="cellIs" dxfId="14593" priority="750" operator="equal">
      <formula>"PTO"</formula>
    </cfRule>
  </conditionalFormatting>
  <conditionalFormatting sqref="M28">
    <cfRule type="cellIs" dxfId="14592" priority="747" operator="equal">
      <formula>"OFF"</formula>
    </cfRule>
    <cfRule type="cellIs" dxfId="14591" priority="748" operator="equal">
      <formula>"PTO"</formula>
    </cfRule>
  </conditionalFormatting>
  <conditionalFormatting sqref="M28">
    <cfRule type="cellIs" dxfId="14590" priority="745" operator="equal">
      <formula>"OFF"</formula>
    </cfRule>
    <cfRule type="cellIs" dxfId="14589" priority="746" operator="equal">
      <formula>"PTO"</formula>
    </cfRule>
  </conditionalFormatting>
  <conditionalFormatting sqref="M28">
    <cfRule type="cellIs" dxfId="14588" priority="743" operator="equal">
      <formula>"OFF"</formula>
    </cfRule>
    <cfRule type="cellIs" dxfId="14587" priority="744" operator="equal">
      <formula>"PTO"</formula>
    </cfRule>
  </conditionalFormatting>
  <conditionalFormatting sqref="M28">
    <cfRule type="cellIs" dxfId="14586" priority="741" operator="equal">
      <formula>"OFF"</formula>
    </cfRule>
    <cfRule type="cellIs" dxfId="14585" priority="742" operator="equal">
      <formula>"PTO"</formula>
    </cfRule>
  </conditionalFormatting>
  <conditionalFormatting sqref="M28">
    <cfRule type="cellIs" dxfId="14584" priority="739" operator="equal">
      <formula>"OFF"</formula>
    </cfRule>
    <cfRule type="cellIs" dxfId="14583" priority="740" operator="equal">
      <formula>"PTO"</formula>
    </cfRule>
  </conditionalFormatting>
  <conditionalFormatting sqref="M28">
    <cfRule type="cellIs" dxfId="14582" priority="737" operator="equal">
      <formula>"OFF"</formula>
    </cfRule>
    <cfRule type="cellIs" dxfId="14581" priority="738" operator="equal">
      <formula>"PTO"</formula>
    </cfRule>
  </conditionalFormatting>
  <conditionalFormatting sqref="M28">
    <cfRule type="cellIs" dxfId="14580" priority="735" operator="equal">
      <formula>"OFF"</formula>
    </cfRule>
    <cfRule type="cellIs" dxfId="14579" priority="736" operator="equal">
      <formula>"PTO"</formula>
    </cfRule>
  </conditionalFormatting>
  <conditionalFormatting sqref="M28">
    <cfRule type="cellIs" dxfId="14578" priority="733" operator="equal">
      <formula>"OFF"</formula>
    </cfRule>
    <cfRule type="cellIs" dxfId="14577" priority="734" operator="equal">
      <formula>"PTO"</formula>
    </cfRule>
  </conditionalFormatting>
  <conditionalFormatting sqref="M28">
    <cfRule type="cellIs" dxfId="14576" priority="731" operator="equal">
      <formula>"OFF"</formula>
    </cfRule>
    <cfRule type="cellIs" dxfId="14575" priority="732" operator="equal">
      <formula>"PTO"</formula>
    </cfRule>
  </conditionalFormatting>
  <conditionalFormatting sqref="M28">
    <cfRule type="cellIs" dxfId="14574" priority="729" operator="equal">
      <formula>"OFF"</formula>
    </cfRule>
    <cfRule type="cellIs" dxfId="14573" priority="730" operator="equal">
      <formula>"PTO"</formula>
    </cfRule>
  </conditionalFormatting>
  <conditionalFormatting sqref="M28">
    <cfRule type="cellIs" dxfId="14572" priority="727" operator="equal">
      <formula>"OFF"</formula>
    </cfRule>
    <cfRule type="cellIs" dxfId="14571" priority="728" operator="equal">
      <formula>"PTO"</formula>
    </cfRule>
  </conditionalFormatting>
  <conditionalFormatting sqref="M28">
    <cfRule type="cellIs" dxfId="14570" priority="725" operator="equal">
      <formula>"OFF"</formula>
    </cfRule>
    <cfRule type="cellIs" dxfId="14569" priority="726" operator="equal">
      <formula>"PTO"</formula>
    </cfRule>
  </conditionalFormatting>
  <conditionalFormatting sqref="M28">
    <cfRule type="cellIs" dxfId="14568" priority="723" operator="equal">
      <formula>"OFF"</formula>
    </cfRule>
    <cfRule type="cellIs" dxfId="14567" priority="724" operator="equal">
      <formula>"PTO"</formula>
    </cfRule>
  </conditionalFormatting>
  <conditionalFormatting sqref="M28">
    <cfRule type="cellIs" dxfId="14566" priority="721" operator="equal">
      <formula>"OFF"</formula>
    </cfRule>
    <cfRule type="cellIs" dxfId="14565" priority="722" operator="equal">
      <formula>"PTO"</formula>
    </cfRule>
  </conditionalFormatting>
  <conditionalFormatting sqref="M28">
    <cfRule type="cellIs" dxfId="14564" priority="719" operator="equal">
      <formula>"OFF"</formula>
    </cfRule>
    <cfRule type="cellIs" dxfId="14563" priority="720" operator="equal">
      <formula>"PTO"</formula>
    </cfRule>
  </conditionalFormatting>
  <conditionalFormatting sqref="M28">
    <cfRule type="cellIs" dxfId="14562" priority="717" operator="equal">
      <formula>"OFF"</formula>
    </cfRule>
    <cfRule type="cellIs" dxfId="14561" priority="718" operator="equal">
      <formula>"PTO"</formula>
    </cfRule>
  </conditionalFormatting>
  <conditionalFormatting sqref="M28">
    <cfRule type="cellIs" dxfId="14560" priority="715" operator="equal">
      <formula>"OFF"</formula>
    </cfRule>
    <cfRule type="cellIs" dxfId="14559" priority="716" operator="equal">
      <formula>"PTO"</formula>
    </cfRule>
  </conditionalFormatting>
  <conditionalFormatting sqref="M28">
    <cfRule type="cellIs" dxfId="14558" priority="713" operator="equal">
      <formula>"OFF"</formula>
    </cfRule>
    <cfRule type="cellIs" dxfId="14557" priority="714" operator="equal">
      <formula>"PTO"</formula>
    </cfRule>
  </conditionalFormatting>
  <conditionalFormatting sqref="M28">
    <cfRule type="cellIs" dxfId="14556" priority="711" operator="equal">
      <formula>"OFF"</formula>
    </cfRule>
    <cfRule type="cellIs" dxfId="14555" priority="712" operator="equal">
      <formula>"PTO"</formula>
    </cfRule>
  </conditionalFormatting>
  <conditionalFormatting sqref="M28">
    <cfRule type="cellIs" dxfId="14554" priority="709" operator="equal">
      <formula>"OFF"</formula>
    </cfRule>
    <cfRule type="cellIs" dxfId="14553" priority="710" operator="equal">
      <formula>"PTO"</formula>
    </cfRule>
  </conditionalFormatting>
  <conditionalFormatting sqref="M28">
    <cfRule type="cellIs" dxfId="14552" priority="707" operator="equal">
      <formula>"OFF"</formula>
    </cfRule>
    <cfRule type="cellIs" dxfId="14551" priority="708" operator="equal">
      <formula>"PTO"</formula>
    </cfRule>
  </conditionalFormatting>
  <conditionalFormatting sqref="M28">
    <cfRule type="cellIs" dxfId="14550" priority="705" operator="equal">
      <formula>"OFF"</formula>
    </cfRule>
    <cfRule type="cellIs" dxfId="14549" priority="706" operator="equal">
      <formula>"PTO"</formula>
    </cfRule>
  </conditionalFormatting>
  <conditionalFormatting sqref="M28">
    <cfRule type="cellIs" dxfId="14548" priority="703" operator="equal">
      <formula>"OFF"</formula>
    </cfRule>
    <cfRule type="cellIs" dxfId="14547" priority="704" operator="equal">
      <formula>"PTO"</formula>
    </cfRule>
  </conditionalFormatting>
  <conditionalFormatting sqref="M28">
    <cfRule type="cellIs" dxfId="14546" priority="701" operator="equal">
      <formula>"OFF"</formula>
    </cfRule>
    <cfRule type="cellIs" dxfId="14545" priority="702" operator="equal">
      <formula>"PTO"</formula>
    </cfRule>
  </conditionalFormatting>
  <conditionalFormatting sqref="M28">
    <cfRule type="cellIs" dxfId="14544" priority="699" operator="equal">
      <formula>"OFF"</formula>
    </cfRule>
    <cfRule type="cellIs" dxfId="14543" priority="700" operator="equal">
      <formula>"PTO"</formula>
    </cfRule>
  </conditionalFormatting>
  <conditionalFormatting sqref="M28">
    <cfRule type="cellIs" dxfId="14542" priority="697" operator="equal">
      <formula>"OFF"</formula>
    </cfRule>
    <cfRule type="cellIs" dxfId="14541" priority="698" operator="equal">
      <formula>"PTO"</formula>
    </cfRule>
  </conditionalFormatting>
  <conditionalFormatting sqref="M28">
    <cfRule type="cellIs" dxfId="14540" priority="695" operator="equal">
      <formula>"OFF"</formula>
    </cfRule>
    <cfRule type="cellIs" dxfId="14539" priority="696" operator="equal">
      <formula>"PTO"</formula>
    </cfRule>
  </conditionalFormatting>
  <conditionalFormatting sqref="M28">
    <cfRule type="cellIs" dxfId="14538" priority="693" operator="equal">
      <formula>"OFF"</formula>
    </cfRule>
    <cfRule type="cellIs" dxfId="14537" priority="694" operator="equal">
      <formula>"PTO"</formula>
    </cfRule>
  </conditionalFormatting>
  <conditionalFormatting sqref="M28">
    <cfRule type="cellIs" dxfId="14536" priority="691" operator="equal">
      <formula>"OFF"</formula>
    </cfRule>
    <cfRule type="cellIs" dxfId="14535" priority="692" operator="equal">
      <formula>"PTO"</formula>
    </cfRule>
  </conditionalFormatting>
  <conditionalFormatting sqref="M28">
    <cfRule type="cellIs" dxfId="14534" priority="689" operator="equal">
      <formula>"OFF"</formula>
    </cfRule>
    <cfRule type="cellIs" dxfId="14533" priority="690" operator="equal">
      <formula>"PTO"</formula>
    </cfRule>
  </conditionalFormatting>
  <conditionalFormatting sqref="M28">
    <cfRule type="cellIs" dxfId="14532" priority="687" operator="equal">
      <formula>"OFF"</formula>
    </cfRule>
    <cfRule type="cellIs" dxfId="14531" priority="688" operator="equal">
      <formula>"PTO"</formula>
    </cfRule>
  </conditionalFormatting>
  <conditionalFormatting sqref="M28">
    <cfRule type="cellIs" dxfId="14530" priority="685" operator="equal">
      <formula>"OFF"</formula>
    </cfRule>
    <cfRule type="cellIs" dxfId="14529" priority="686" operator="equal">
      <formula>"PTO"</formula>
    </cfRule>
  </conditionalFormatting>
  <conditionalFormatting sqref="M28">
    <cfRule type="cellIs" dxfId="14528" priority="683" operator="equal">
      <formula>"OFF"</formula>
    </cfRule>
    <cfRule type="cellIs" dxfId="14527" priority="684" operator="equal">
      <formula>"PTO"</formula>
    </cfRule>
  </conditionalFormatting>
  <conditionalFormatting sqref="M28">
    <cfRule type="cellIs" dxfId="14526" priority="681" operator="equal">
      <formula>"OFF"</formula>
    </cfRule>
    <cfRule type="cellIs" dxfId="14525" priority="682" operator="equal">
      <formula>"PTO"</formula>
    </cfRule>
  </conditionalFormatting>
  <conditionalFormatting sqref="M28">
    <cfRule type="cellIs" dxfId="14524" priority="679" operator="equal">
      <formula>"OFF"</formula>
    </cfRule>
    <cfRule type="cellIs" dxfId="14523" priority="680" operator="equal">
      <formula>"PTO"</formula>
    </cfRule>
  </conditionalFormatting>
  <conditionalFormatting sqref="M28">
    <cfRule type="cellIs" dxfId="14522" priority="677" operator="equal">
      <formula>"OFF"</formula>
    </cfRule>
    <cfRule type="cellIs" dxfId="14521" priority="678" operator="equal">
      <formula>"PTO"</formula>
    </cfRule>
  </conditionalFormatting>
  <conditionalFormatting sqref="M28">
    <cfRule type="cellIs" dxfId="14520" priority="675" operator="equal">
      <formula>"OFF"</formula>
    </cfRule>
    <cfRule type="cellIs" dxfId="14519" priority="676" operator="equal">
      <formula>"PTO"</formula>
    </cfRule>
  </conditionalFormatting>
  <conditionalFormatting sqref="M28">
    <cfRule type="cellIs" dxfId="14518" priority="673" operator="equal">
      <formula>"OFF"</formula>
    </cfRule>
    <cfRule type="cellIs" dxfId="14517" priority="674" operator="equal">
      <formula>"PTO"</formula>
    </cfRule>
  </conditionalFormatting>
  <conditionalFormatting sqref="M28">
    <cfRule type="cellIs" dxfId="14516" priority="671" operator="equal">
      <formula>"OFF"</formula>
    </cfRule>
    <cfRule type="cellIs" dxfId="14515" priority="672" operator="equal">
      <formula>"PTO"</formula>
    </cfRule>
  </conditionalFormatting>
  <conditionalFormatting sqref="M28">
    <cfRule type="cellIs" dxfId="14514" priority="669" operator="equal">
      <formula>"OFF"</formula>
    </cfRule>
    <cfRule type="cellIs" dxfId="14513" priority="670" operator="equal">
      <formula>"PTO"</formula>
    </cfRule>
  </conditionalFormatting>
  <conditionalFormatting sqref="M28">
    <cfRule type="cellIs" dxfId="14512" priority="667" operator="equal">
      <formula>"OFF"</formula>
    </cfRule>
    <cfRule type="cellIs" dxfId="14511" priority="668" operator="equal">
      <formula>"PTO"</formula>
    </cfRule>
  </conditionalFormatting>
  <conditionalFormatting sqref="M28">
    <cfRule type="cellIs" dxfId="14510" priority="665" operator="equal">
      <formula>"OFF"</formula>
    </cfRule>
    <cfRule type="cellIs" dxfId="14509" priority="666" operator="equal">
      <formula>"PTO"</formula>
    </cfRule>
  </conditionalFormatting>
  <conditionalFormatting sqref="M28">
    <cfRule type="cellIs" dxfId="14508" priority="663" operator="equal">
      <formula>"OFF"</formula>
    </cfRule>
    <cfRule type="cellIs" dxfId="14507" priority="664" operator="equal">
      <formula>"PTO"</formula>
    </cfRule>
  </conditionalFormatting>
  <conditionalFormatting sqref="M28">
    <cfRule type="cellIs" dxfId="14506" priority="661" operator="equal">
      <formula>"OFF"</formula>
    </cfRule>
    <cfRule type="cellIs" dxfId="14505" priority="662" operator="equal">
      <formula>"PTO"</formula>
    </cfRule>
  </conditionalFormatting>
  <conditionalFormatting sqref="M28">
    <cfRule type="cellIs" dxfId="14504" priority="659" operator="equal">
      <formula>"OFF"</formula>
    </cfRule>
    <cfRule type="cellIs" dxfId="14503" priority="660" operator="equal">
      <formula>"PTO"</formula>
    </cfRule>
  </conditionalFormatting>
  <conditionalFormatting sqref="M28">
    <cfRule type="cellIs" dxfId="14502" priority="657" operator="equal">
      <formula>"OFF"</formula>
    </cfRule>
    <cfRule type="cellIs" dxfId="14501" priority="658" operator="equal">
      <formula>"PTO"</formula>
    </cfRule>
  </conditionalFormatting>
  <conditionalFormatting sqref="M28">
    <cfRule type="cellIs" dxfId="14500" priority="655" operator="equal">
      <formula>"OFF"</formula>
    </cfRule>
    <cfRule type="cellIs" dxfId="14499" priority="656" operator="equal">
      <formula>"PTO"</formula>
    </cfRule>
  </conditionalFormatting>
  <conditionalFormatting sqref="M28">
    <cfRule type="cellIs" dxfId="14498" priority="653" operator="equal">
      <formula>"OFF"</formula>
    </cfRule>
    <cfRule type="cellIs" dxfId="14497" priority="654" operator="equal">
      <formula>"PTO"</formula>
    </cfRule>
  </conditionalFormatting>
  <conditionalFormatting sqref="M28">
    <cfRule type="cellIs" dxfId="14496" priority="651" operator="equal">
      <formula>"OFF"</formula>
    </cfRule>
    <cfRule type="cellIs" dxfId="14495" priority="652" operator="equal">
      <formula>"PTO"</formula>
    </cfRule>
  </conditionalFormatting>
  <conditionalFormatting sqref="M28">
    <cfRule type="cellIs" dxfId="14494" priority="649" operator="equal">
      <formula>"OFF"</formula>
    </cfRule>
    <cfRule type="cellIs" dxfId="14493" priority="650" operator="equal">
      <formula>"PTO"</formula>
    </cfRule>
  </conditionalFormatting>
  <conditionalFormatting sqref="M28">
    <cfRule type="cellIs" dxfId="14492" priority="647" operator="equal">
      <formula>"OFF"</formula>
    </cfRule>
    <cfRule type="cellIs" dxfId="14491" priority="648" operator="equal">
      <formula>"PTO"</formula>
    </cfRule>
  </conditionalFormatting>
  <conditionalFormatting sqref="M28">
    <cfRule type="cellIs" dxfId="14490" priority="645" operator="equal">
      <formula>"OFF"</formula>
    </cfRule>
    <cfRule type="cellIs" dxfId="14489" priority="646" operator="equal">
      <formula>"PTO"</formula>
    </cfRule>
  </conditionalFormatting>
  <conditionalFormatting sqref="M28">
    <cfRule type="cellIs" dxfId="14488" priority="643" operator="equal">
      <formula>"OFF"</formula>
    </cfRule>
    <cfRule type="cellIs" dxfId="14487" priority="644" operator="equal">
      <formula>"PTO"</formula>
    </cfRule>
  </conditionalFormatting>
  <conditionalFormatting sqref="M28">
    <cfRule type="cellIs" dxfId="14486" priority="641" operator="equal">
      <formula>"OFF"</formula>
    </cfRule>
    <cfRule type="cellIs" dxfId="14485" priority="642" operator="equal">
      <formula>"PTO"</formula>
    </cfRule>
  </conditionalFormatting>
  <conditionalFormatting sqref="M28">
    <cfRule type="cellIs" dxfId="14484" priority="639" operator="equal">
      <formula>"OFF"</formula>
    </cfRule>
    <cfRule type="cellIs" dxfId="14483" priority="640" operator="equal">
      <formula>"PTO"</formula>
    </cfRule>
  </conditionalFormatting>
  <conditionalFormatting sqref="M28">
    <cfRule type="cellIs" dxfId="14482" priority="637" operator="equal">
      <formula>"OFF"</formula>
    </cfRule>
    <cfRule type="cellIs" dxfId="14481" priority="638" operator="equal">
      <formula>"PTO"</formula>
    </cfRule>
  </conditionalFormatting>
  <conditionalFormatting sqref="M28">
    <cfRule type="cellIs" dxfId="14480" priority="635" operator="equal">
      <formula>"OFF"</formula>
    </cfRule>
    <cfRule type="cellIs" dxfId="14479" priority="636" operator="equal">
      <formula>"PTO"</formula>
    </cfRule>
  </conditionalFormatting>
  <conditionalFormatting sqref="M28">
    <cfRule type="cellIs" dxfId="14478" priority="633" operator="equal">
      <formula>"OFF"</formula>
    </cfRule>
    <cfRule type="cellIs" dxfId="14477" priority="634" operator="equal">
      <formula>"PTO"</formula>
    </cfRule>
  </conditionalFormatting>
  <conditionalFormatting sqref="M28">
    <cfRule type="cellIs" dxfId="14476" priority="631" operator="equal">
      <formula>"OFF"</formula>
    </cfRule>
    <cfRule type="cellIs" dxfId="14475" priority="632" operator="equal">
      <formula>"PTO"</formula>
    </cfRule>
  </conditionalFormatting>
  <conditionalFormatting sqref="M28">
    <cfRule type="cellIs" dxfId="14474" priority="629" operator="equal">
      <formula>"OFF"</formula>
    </cfRule>
    <cfRule type="cellIs" dxfId="14473" priority="630" operator="equal">
      <formula>"PTO"</formula>
    </cfRule>
  </conditionalFormatting>
  <conditionalFormatting sqref="M28">
    <cfRule type="cellIs" dxfId="14472" priority="627" operator="equal">
      <formula>"OFF"</formula>
    </cfRule>
    <cfRule type="cellIs" dxfId="14471" priority="628" operator="equal">
      <formula>"PTO"</formula>
    </cfRule>
  </conditionalFormatting>
  <conditionalFormatting sqref="M28">
    <cfRule type="cellIs" dxfId="14470" priority="625" operator="equal">
      <formula>"OFF"</formula>
    </cfRule>
    <cfRule type="cellIs" dxfId="14469" priority="626" operator="equal">
      <formula>"PTO"</formula>
    </cfRule>
  </conditionalFormatting>
  <conditionalFormatting sqref="M28">
    <cfRule type="cellIs" dxfId="14468" priority="623" operator="equal">
      <formula>"OFF"</formula>
    </cfRule>
    <cfRule type="cellIs" dxfId="14467" priority="624" operator="equal">
      <formula>"PTO"</formula>
    </cfRule>
  </conditionalFormatting>
  <conditionalFormatting sqref="M28">
    <cfRule type="cellIs" dxfId="14466" priority="621" operator="equal">
      <formula>"OFF"</formula>
    </cfRule>
    <cfRule type="cellIs" dxfId="14465" priority="622" operator="equal">
      <formula>"PTO"</formula>
    </cfRule>
  </conditionalFormatting>
  <conditionalFormatting sqref="M28">
    <cfRule type="cellIs" dxfId="14464" priority="619" operator="equal">
      <formula>"OFF"</formula>
    </cfRule>
    <cfRule type="cellIs" dxfId="14463" priority="620" operator="equal">
      <formula>"PTO"</formula>
    </cfRule>
  </conditionalFormatting>
  <conditionalFormatting sqref="M28">
    <cfRule type="cellIs" dxfId="14462" priority="617" operator="equal">
      <formula>"OFF"</formula>
    </cfRule>
    <cfRule type="cellIs" dxfId="14461" priority="618" operator="equal">
      <formula>"PTO"</formula>
    </cfRule>
  </conditionalFormatting>
  <conditionalFormatting sqref="M28">
    <cfRule type="cellIs" dxfId="14460" priority="615" operator="equal">
      <formula>"OFF"</formula>
    </cfRule>
    <cfRule type="cellIs" dxfId="14459" priority="616" operator="equal">
      <formula>"PTO"</formula>
    </cfRule>
  </conditionalFormatting>
  <conditionalFormatting sqref="M28">
    <cfRule type="cellIs" dxfId="14458" priority="613" operator="equal">
      <formula>"OFF"</formula>
    </cfRule>
    <cfRule type="cellIs" dxfId="14457" priority="614" operator="equal">
      <formula>"PTO"</formula>
    </cfRule>
  </conditionalFormatting>
  <conditionalFormatting sqref="M28">
    <cfRule type="cellIs" dxfId="14456" priority="611" operator="equal">
      <formula>"OFF"</formula>
    </cfRule>
    <cfRule type="cellIs" dxfId="14455" priority="612" operator="equal">
      <formula>"PTO"</formula>
    </cfRule>
  </conditionalFormatting>
  <conditionalFormatting sqref="M28">
    <cfRule type="cellIs" dxfId="14454" priority="609" operator="equal">
      <formula>"OFF"</formula>
    </cfRule>
    <cfRule type="cellIs" dxfId="14453" priority="610" operator="equal">
      <formula>"PTO"</formula>
    </cfRule>
  </conditionalFormatting>
  <conditionalFormatting sqref="M28">
    <cfRule type="cellIs" dxfId="14452" priority="607" operator="equal">
      <formula>"OFF"</formula>
    </cfRule>
    <cfRule type="cellIs" dxfId="14451" priority="608" operator="equal">
      <formula>"PTO"</formula>
    </cfRule>
  </conditionalFormatting>
  <conditionalFormatting sqref="M28">
    <cfRule type="cellIs" dxfId="14450" priority="605" operator="equal">
      <formula>"OFF"</formula>
    </cfRule>
    <cfRule type="cellIs" dxfId="14449" priority="606" operator="equal">
      <formula>"PTO"</formula>
    </cfRule>
  </conditionalFormatting>
  <conditionalFormatting sqref="M28">
    <cfRule type="cellIs" dxfId="14448" priority="603" operator="equal">
      <formula>"OFF"</formula>
    </cfRule>
    <cfRule type="cellIs" dxfId="14447" priority="604" operator="equal">
      <formula>"PTO"</formula>
    </cfRule>
  </conditionalFormatting>
  <conditionalFormatting sqref="M28">
    <cfRule type="cellIs" dxfId="14446" priority="601" operator="equal">
      <formula>"OFF"</formula>
    </cfRule>
    <cfRule type="cellIs" dxfId="14445" priority="602" operator="equal">
      <formula>"PTO"</formula>
    </cfRule>
  </conditionalFormatting>
  <conditionalFormatting sqref="M28">
    <cfRule type="cellIs" dxfId="14444" priority="599" operator="equal">
      <formula>"OFF"</formula>
    </cfRule>
    <cfRule type="cellIs" dxfId="14443" priority="600" operator="equal">
      <formula>"PTO"</formula>
    </cfRule>
  </conditionalFormatting>
  <conditionalFormatting sqref="M28">
    <cfRule type="cellIs" dxfId="14442" priority="597" operator="equal">
      <formula>"OFF"</formula>
    </cfRule>
    <cfRule type="cellIs" dxfId="14441" priority="598" operator="equal">
      <formula>"PTO"</formula>
    </cfRule>
  </conditionalFormatting>
  <conditionalFormatting sqref="M28">
    <cfRule type="cellIs" dxfId="14440" priority="595" operator="equal">
      <formula>"OFF"</formula>
    </cfRule>
    <cfRule type="cellIs" dxfId="14439" priority="596" operator="equal">
      <formula>"PTO"</formula>
    </cfRule>
  </conditionalFormatting>
  <conditionalFormatting sqref="O28">
    <cfRule type="cellIs" dxfId="14438" priority="593" operator="equal">
      <formula>"OFF"</formula>
    </cfRule>
    <cfRule type="cellIs" dxfId="14437" priority="594" operator="equal">
      <formula>"PTO"</formula>
    </cfRule>
  </conditionalFormatting>
  <conditionalFormatting sqref="O28">
    <cfRule type="cellIs" dxfId="14436" priority="591" operator="equal">
      <formula>"OFF"</formula>
    </cfRule>
    <cfRule type="cellIs" dxfId="14435" priority="592" operator="equal">
      <formula>"PTO"</formula>
    </cfRule>
  </conditionalFormatting>
  <conditionalFormatting sqref="O28">
    <cfRule type="cellIs" dxfId="14434" priority="589" operator="equal">
      <formula>"OFF"</formula>
    </cfRule>
    <cfRule type="cellIs" dxfId="14433" priority="590" operator="equal">
      <formula>"PTO"</formula>
    </cfRule>
  </conditionalFormatting>
  <conditionalFormatting sqref="O28">
    <cfRule type="cellIs" dxfId="14432" priority="587" operator="equal">
      <formula>"OFF"</formula>
    </cfRule>
    <cfRule type="cellIs" dxfId="14431" priority="588" operator="equal">
      <formula>"PTO"</formula>
    </cfRule>
  </conditionalFormatting>
  <conditionalFormatting sqref="O28">
    <cfRule type="cellIs" dxfId="14430" priority="585" operator="equal">
      <formula>"OFF"</formula>
    </cfRule>
    <cfRule type="cellIs" dxfId="14429" priority="586" operator="equal">
      <formula>"PTO"</formula>
    </cfRule>
  </conditionalFormatting>
  <conditionalFormatting sqref="O28">
    <cfRule type="cellIs" dxfId="14428" priority="583" operator="equal">
      <formula>"OFF"</formula>
    </cfRule>
    <cfRule type="cellIs" dxfId="14427" priority="584" operator="equal">
      <formula>"PTO"</formula>
    </cfRule>
  </conditionalFormatting>
  <conditionalFormatting sqref="O28">
    <cfRule type="cellIs" dxfId="14426" priority="581" operator="equal">
      <formula>"OFF"</formula>
    </cfRule>
    <cfRule type="cellIs" dxfId="14425" priority="582" operator="equal">
      <formula>"PTO"</formula>
    </cfRule>
  </conditionalFormatting>
  <conditionalFormatting sqref="O28">
    <cfRule type="cellIs" dxfId="14424" priority="579" operator="equal">
      <formula>"OFF"</formula>
    </cfRule>
    <cfRule type="cellIs" dxfId="14423" priority="580" operator="equal">
      <formula>"PTO"</formula>
    </cfRule>
  </conditionalFormatting>
  <conditionalFormatting sqref="O28">
    <cfRule type="cellIs" dxfId="14422" priority="577" operator="equal">
      <formula>"OFF"</formula>
    </cfRule>
    <cfRule type="cellIs" dxfId="14421" priority="578" operator="equal">
      <formula>"PTO"</formula>
    </cfRule>
  </conditionalFormatting>
  <conditionalFormatting sqref="Q28">
    <cfRule type="cellIs" dxfId="14420" priority="575" operator="equal">
      <formula>"OFF"</formula>
    </cfRule>
    <cfRule type="cellIs" dxfId="14419" priority="576" operator="equal">
      <formula>"PTO"</formula>
    </cfRule>
  </conditionalFormatting>
  <conditionalFormatting sqref="R28">
    <cfRule type="cellIs" dxfId="14418" priority="573" operator="equal">
      <formula>"OFF"</formula>
    </cfRule>
    <cfRule type="cellIs" dxfId="14417" priority="574" operator="equal">
      <formula>"PTO"</formula>
    </cfRule>
  </conditionalFormatting>
  <conditionalFormatting sqref="Q28">
    <cfRule type="cellIs" dxfId="14416" priority="571" operator="equal">
      <formula>"OFF"</formula>
    </cfRule>
    <cfRule type="cellIs" dxfId="14415" priority="572" operator="equal">
      <formula>"PTO"</formula>
    </cfRule>
  </conditionalFormatting>
  <conditionalFormatting sqref="Q28">
    <cfRule type="cellIs" dxfId="14414" priority="569" operator="equal">
      <formula>"OFF"</formula>
    </cfRule>
    <cfRule type="cellIs" dxfId="14413" priority="570" operator="equal">
      <formula>"PTO"</formula>
    </cfRule>
  </conditionalFormatting>
  <conditionalFormatting sqref="Q28">
    <cfRule type="cellIs" dxfId="14412" priority="567" operator="equal">
      <formula>"OFF"</formula>
    </cfRule>
    <cfRule type="cellIs" dxfId="14411" priority="568" operator="equal">
      <formula>"PTO"</formula>
    </cfRule>
  </conditionalFormatting>
  <conditionalFormatting sqref="Q28">
    <cfRule type="cellIs" dxfId="14410" priority="565" operator="equal">
      <formula>"OFF"</formula>
    </cfRule>
    <cfRule type="cellIs" dxfId="14409" priority="566" operator="equal">
      <formula>"PTO"</formula>
    </cfRule>
  </conditionalFormatting>
  <conditionalFormatting sqref="Q28">
    <cfRule type="cellIs" dxfId="14408" priority="563" operator="equal">
      <formula>"OFF"</formula>
    </cfRule>
    <cfRule type="cellIs" dxfId="14407" priority="564" operator="equal">
      <formula>"PTO"</formula>
    </cfRule>
  </conditionalFormatting>
  <conditionalFormatting sqref="Q28">
    <cfRule type="cellIs" dxfId="14406" priority="561" operator="equal">
      <formula>"OFF"</formula>
    </cfRule>
    <cfRule type="cellIs" dxfId="14405" priority="562" operator="equal">
      <formula>"PTO"</formula>
    </cfRule>
  </conditionalFormatting>
  <conditionalFormatting sqref="Q28">
    <cfRule type="cellIs" dxfId="14404" priority="559" operator="equal">
      <formula>"OFF"</formula>
    </cfRule>
    <cfRule type="cellIs" dxfId="14403" priority="560" operator="equal">
      <formula>"PTO"</formula>
    </cfRule>
  </conditionalFormatting>
  <conditionalFormatting sqref="Q28">
    <cfRule type="cellIs" dxfId="14402" priority="557" operator="equal">
      <formula>"OFF"</formula>
    </cfRule>
    <cfRule type="cellIs" dxfId="14401" priority="558" operator="equal">
      <formula>"PTO"</formula>
    </cfRule>
  </conditionalFormatting>
  <conditionalFormatting sqref="R28">
    <cfRule type="cellIs" dxfId="14400" priority="555" operator="equal">
      <formula>"OFF"</formula>
    </cfRule>
    <cfRule type="cellIs" dxfId="14399" priority="556" operator="equal">
      <formula>"PTO"</formula>
    </cfRule>
  </conditionalFormatting>
  <conditionalFormatting sqref="R28">
    <cfRule type="cellIs" dxfId="14398" priority="553" operator="equal">
      <formula>"OFF"</formula>
    </cfRule>
    <cfRule type="cellIs" dxfId="14397" priority="554" operator="equal">
      <formula>"PTO"</formula>
    </cfRule>
  </conditionalFormatting>
  <conditionalFormatting sqref="R28">
    <cfRule type="cellIs" dxfId="14396" priority="551" operator="equal">
      <formula>"OFF"</formula>
    </cfRule>
    <cfRule type="cellIs" dxfId="14395" priority="552" operator="equal">
      <formula>"PTO"</formula>
    </cfRule>
  </conditionalFormatting>
  <conditionalFormatting sqref="R28">
    <cfRule type="cellIs" dxfId="14394" priority="549" operator="equal">
      <formula>"OFF"</formula>
    </cfRule>
    <cfRule type="cellIs" dxfId="14393" priority="550" operator="equal">
      <formula>"PTO"</formula>
    </cfRule>
  </conditionalFormatting>
  <conditionalFormatting sqref="R28">
    <cfRule type="cellIs" dxfId="14392" priority="547" operator="equal">
      <formula>"OFF"</formula>
    </cfRule>
    <cfRule type="cellIs" dxfId="14391" priority="548" operator="equal">
      <formula>"PTO"</formula>
    </cfRule>
  </conditionalFormatting>
  <conditionalFormatting sqref="R28">
    <cfRule type="cellIs" dxfId="14390" priority="545" operator="equal">
      <formula>"OFF"</formula>
    </cfRule>
    <cfRule type="cellIs" dxfId="14389" priority="546" operator="equal">
      <formula>"PTO"</formula>
    </cfRule>
  </conditionalFormatting>
  <conditionalFormatting sqref="R28">
    <cfRule type="cellIs" dxfId="14388" priority="543" operator="equal">
      <formula>"OFF"</formula>
    </cfRule>
    <cfRule type="cellIs" dxfId="14387" priority="544" operator="equal">
      <formula>"PTO"</formula>
    </cfRule>
  </conditionalFormatting>
  <conditionalFormatting sqref="R28">
    <cfRule type="cellIs" dxfId="14386" priority="541" operator="equal">
      <formula>"OFF"</formula>
    </cfRule>
    <cfRule type="cellIs" dxfId="14385" priority="542" operator="equal">
      <formula>"PTO"</formula>
    </cfRule>
  </conditionalFormatting>
  <conditionalFormatting sqref="S28">
    <cfRule type="cellIs" dxfId="14384" priority="539" operator="equal">
      <formula>"OFF"</formula>
    </cfRule>
    <cfRule type="cellIs" dxfId="14383" priority="540" operator="equal">
      <formula>"PTO"</formula>
    </cfRule>
  </conditionalFormatting>
  <conditionalFormatting sqref="S28">
    <cfRule type="cellIs" dxfId="14382" priority="537" operator="equal">
      <formula>"OFF"</formula>
    </cfRule>
    <cfRule type="cellIs" dxfId="14381" priority="538" operator="equal">
      <formula>"PTO"</formula>
    </cfRule>
  </conditionalFormatting>
  <conditionalFormatting sqref="S28">
    <cfRule type="cellIs" dxfId="14380" priority="535" operator="equal">
      <formula>"OFF"</formula>
    </cfRule>
    <cfRule type="cellIs" dxfId="14379" priority="536" operator="equal">
      <formula>"PTO"</formula>
    </cfRule>
  </conditionalFormatting>
  <conditionalFormatting sqref="S28">
    <cfRule type="cellIs" dxfId="14378" priority="533" operator="equal">
      <formula>"OFF"</formula>
    </cfRule>
    <cfRule type="cellIs" dxfId="14377" priority="534" operator="equal">
      <formula>"PTO"</formula>
    </cfRule>
  </conditionalFormatting>
  <conditionalFormatting sqref="S28">
    <cfRule type="cellIs" dxfId="14376" priority="531" operator="equal">
      <formula>"OFF"</formula>
    </cfRule>
    <cfRule type="cellIs" dxfId="14375" priority="532" operator="equal">
      <formula>"PTO"</formula>
    </cfRule>
  </conditionalFormatting>
  <conditionalFormatting sqref="S28">
    <cfRule type="cellIs" dxfId="14374" priority="529" operator="equal">
      <formula>"OFF"</formula>
    </cfRule>
    <cfRule type="cellIs" dxfId="14373" priority="530" operator="equal">
      <formula>"PTO"</formula>
    </cfRule>
  </conditionalFormatting>
  <conditionalFormatting sqref="S28">
    <cfRule type="cellIs" dxfId="14372" priority="527" operator="equal">
      <formula>"OFF"</formula>
    </cfRule>
    <cfRule type="cellIs" dxfId="14371" priority="528" operator="equal">
      <formula>"PTO"</formula>
    </cfRule>
  </conditionalFormatting>
  <conditionalFormatting sqref="S28">
    <cfRule type="cellIs" dxfId="14370" priority="525" operator="equal">
      <formula>"OFF"</formula>
    </cfRule>
    <cfRule type="cellIs" dxfId="14369" priority="526" operator="equal">
      <formula>"PTO"</formula>
    </cfRule>
  </conditionalFormatting>
  <conditionalFormatting sqref="S28">
    <cfRule type="cellIs" dxfId="14368" priority="523" operator="equal">
      <formula>"OFF"</formula>
    </cfRule>
    <cfRule type="cellIs" dxfId="14367" priority="524" operator="equal">
      <formula>"PTO"</formula>
    </cfRule>
  </conditionalFormatting>
  <conditionalFormatting sqref="W28">
    <cfRule type="cellIs" dxfId="14366" priority="521" operator="equal">
      <formula>"OFF"</formula>
    </cfRule>
    <cfRule type="cellIs" dxfId="14365" priority="522" operator="equal">
      <formula>"PTO"</formula>
    </cfRule>
  </conditionalFormatting>
  <conditionalFormatting sqref="W28">
    <cfRule type="cellIs" dxfId="14364" priority="519" operator="equal">
      <formula>"OFF"</formula>
    </cfRule>
    <cfRule type="cellIs" dxfId="14363" priority="520" operator="equal">
      <formula>"PTO"</formula>
    </cfRule>
  </conditionalFormatting>
  <conditionalFormatting sqref="W28">
    <cfRule type="cellIs" dxfId="14362" priority="517" operator="equal">
      <formula>"OFF"</formula>
    </cfRule>
    <cfRule type="cellIs" dxfId="14361" priority="518" operator="equal">
      <formula>"PTO"</formula>
    </cfRule>
  </conditionalFormatting>
  <conditionalFormatting sqref="W28">
    <cfRule type="cellIs" dxfId="14360" priority="515" operator="equal">
      <formula>"OFF"</formula>
    </cfRule>
    <cfRule type="cellIs" dxfId="14359" priority="516" operator="equal">
      <formula>"PTO"</formula>
    </cfRule>
  </conditionalFormatting>
  <conditionalFormatting sqref="W28">
    <cfRule type="cellIs" dxfId="14358" priority="513" operator="equal">
      <formula>"OFF"</formula>
    </cfRule>
    <cfRule type="cellIs" dxfId="14357" priority="514" operator="equal">
      <formula>"PTO"</formula>
    </cfRule>
  </conditionalFormatting>
  <conditionalFormatting sqref="W28">
    <cfRule type="cellIs" dxfId="14356" priority="511" operator="equal">
      <formula>"OFF"</formula>
    </cfRule>
    <cfRule type="cellIs" dxfId="14355" priority="512" operator="equal">
      <formula>"PTO"</formula>
    </cfRule>
  </conditionalFormatting>
  <conditionalFormatting sqref="W28">
    <cfRule type="cellIs" dxfId="14354" priority="509" operator="equal">
      <formula>"OFF"</formula>
    </cfRule>
    <cfRule type="cellIs" dxfId="14353" priority="510" operator="equal">
      <formula>"PTO"</formula>
    </cfRule>
  </conditionalFormatting>
  <conditionalFormatting sqref="W28">
    <cfRule type="cellIs" dxfId="14352" priority="507" operator="equal">
      <formula>"OFF"</formula>
    </cfRule>
    <cfRule type="cellIs" dxfId="14351" priority="508" operator="equal">
      <formula>"PTO"</formula>
    </cfRule>
  </conditionalFormatting>
  <conditionalFormatting sqref="W28">
    <cfRule type="cellIs" dxfId="14350" priority="505" operator="equal">
      <formula>"OFF"</formula>
    </cfRule>
    <cfRule type="cellIs" dxfId="14349" priority="506" operator="equal">
      <formula>"PTO"</formula>
    </cfRule>
  </conditionalFormatting>
  <conditionalFormatting sqref="W28">
    <cfRule type="cellIs" dxfId="14348" priority="503" operator="equal">
      <formula>"OFF"</formula>
    </cfRule>
    <cfRule type="cellIs" dxfId="14347" priority="504" operator="equal">
      <formula>"PTO"</formula>
    </cfRule>
  </conditionalFormatting>
  <conditionalFormatting sqref="W28">
    <cfRule type="cellIs" dxfId="14346" priority="501" operator="equal">
      <formula>"OFF"</formula>
    </cfRule>
    <cfRule type="cellIs" dxfId="14345" priority="502" operator="equal">
      <formula>"PTO"</formula>
    </cfRule>
  </conditionalFormatting>
  <conditionalFormatting sqref="W28">
    <cfRule type="cellIs" dxfId="14344" priority="499" operator="equal">
      <formula>"OFF"</formula>
    </cfRule>
    <cfRule type="cellIs" dxfId="14343" priority="500" operator="equal">
      <formula>"PTO"</formula>
    </cfRule>
  </conditionalFormatting>
  <conditionalFormatting sqref="W28">
    <cfRule type="cellIs" dxfId="14342" priority="497" operator="equal">
      <formula>"OFF"</formula>
    </cfRule>
    <cfRule type="cellIs" dxfId="14341" priority="498" operator="equal">
      <formula>"PTO"</formula>
    </cfRule>
  </conditionalFormatting>
  <conditionalFormatting sqref="W28">
    <cfRule type="cellIs" dxfId="14340" priority="495" operator="equal">
      <formula>"OFF"</formula>
    </cfRule>
    <cfRule type="cellIs" dxfId="14339" priority="496" operator="equal">
      <formula>"PTO"</formula>
    </cfRule>
  </conditionalFormatting>
  <conditionalFormatting sqref="W28">
    <cfRule type="cellIs" dxfId="14338" priority="493" operator="equal">
      <formula>"OFF"</formula>
    </cfRule>
    <cfRule type="cellIs" dxfId="14337" priority="494" operator="equal">
      <formula>"PTO"</formula>
    </cfRule>
  </conditionalFormatting>
  <conditionalFormatting sqref="W28">
    <cfRule type="cellIs" dxfId="14336" priority="491" operator="equal">
      <formula>"OFF"</formula>
    </cfRule>
    <cfRule type="cellIs" dxfId="14335" priority="492" operator="equal">
      <formula>"PTO"</formula>
    </cfRule>
  </conditionalFormatting>
  <conditionalFormatting sqref="W28">
    <cfRule type="cellIs" dxfId="14334" priority="489" operator="equal">
      <formula>"OFF"</formula>
    </cfRule>
    <cfRule type="cellIs" dxfId="14333" priority="490" operator="equal">
      <formula>"PTO"</formula>
    </cfRule>
  </conditionalFormatting>
  <conditionalFormatting sqref="W28">
    <cfRule type="cellIs" dxfId="14332" priority="487" operator="equal">
      <formula>"OFF"</formula>
    </cfRule>
    <cfRule type="cellIs" dxfId="14331" priority="488" operator="equal">
      <formula>"PTO"</formula>
    </cfRule>
  </conditionalFormatting>
  <conditionalFormatting sqref="W28">
    <cfRule type="cellIs" dxfId="14330" priority="485" operator="equal">
      <formula>"OFF"</formula>
    </cfRule>
    <cfRule type="cellIs" dxfId="14329" priority="486" operator="equal">
      <formula>"PTO"</formula>
    </cfRule>
  </conditionalFormatting>
  <conditionalFormatting sqref="W28">
    <cfRule type="cellIs" dxfId="14328" priority="483" operator="equal">
      <formula>"OFF"</formula>
    </cfRule>
    <cfRule type="cellIs" dxfId="14327" priority="484" operator="equal">
      <formula>"PTO"</formula>
    </cfRule>
  </conditionalFormatting>
  <conditionalFormatting sqref="W28">
    <cfRule type="cellIs" dxfId="14326" priority="481" operator="equal">
      <formula>"OFF"</formula>
    </cfRule>
    <cfRule type="cellIs" dxfId="14325" priority="482" operator="equal">
      <formula>"PTO"</formula>
    </cfRule>
  </conditionalFormatting>
  <conditionalFormatting sqref="W28">
    <cfRule type="cellIs" dxfId="14324" priority="479" operator="equal">
      <formula>"OFF"</formula>
    </cfRule>
    <cfRule type="cellIs" dxfId="14323" priority="480" operator="equal">
      <formula>"PTO"</formula>
    </cfRule>
  </conditionalFormatting>
  <conditionalFormatting sqref="W28">
    <cfRule type="cellIs" dxfId="14322" priority="477" operator="equal">
      <formula>"OFF"</formula>
    </cfRule>
    <cfRule type="cellIs" dxfId="14321" priority="478" operator="equal">
      <formula>"PTO"</formula>
    </cfRule>
  </conditionalFormatting>
  <conditionalFormatting sqref="W28">
    <cfRule type="cellIs" dxfId="14320" priority="475" operator="equal">
      <formula>"OFF"</formula>
    </cfRule>
    <cfRule type="cellIs" dxfId="14319" priority="476" operator="equal">
      <formula>"PTO"</formula>
    </cfRule>
  </conditionalFormatting>
  <conditionalFormatting sqref="W28">
    <cfRule type="cellIs" dxfId="14318" priority="473" operator="equal">
      <formula>"OFF"</formula>
    </cfRule>
    <cfRule type="cellIs" dxfId="14317" priority="474" operator="equal">
      <formula>"PTO"</formula>
    </cfRule>
  </conditionalFormatting>
  <conditionalFormatting sqref="W28">
    <cfRule type="cellIs" dxfId="14316" priority="471" operator="equal">
      <formula>"OFF"</formula>
    </cfRule>
    <cfRule type="cellIs" dxfId="14315" priority="472" operator="equal">
      <formula>"PTO"</formula>
    </cfRule>
  </conditionalFormatting>
  <conditionalFormatting sqref="T28">
    <cfRule type="cellIs" dxfId="14314" priority="469" operator="equal">
      <formula>"OFF"</formula>
    </cfRule>
    <cfRule type="cellIs" dxfId="14313" priority="470" operator="equal">
      <formula>"PTO"</formula>
    </cfRule>
  </conditionalFormatting>
  <conditionalFormatting sqref="T28">
    <cfRule type="cellIs" dxfId="14312" priority="467" operator="equal">
      <formula>"OFF"</formula>
    </cfRule>
    <cfRule type="cellIs" dxfId="14311" priority="468" operator="equal">
      <formula>"PTO"</formula>
    </cfRule>
  </conditionalFormatting>
  <conditionalFormatting sqref="T28">
    <cfRule type="cellIs" dxfId="14310" priority="465" operator="equal">
      <formula>"OFF"</formula>
    </cfRule>
    <cfRule type="cellIs" dxfId="14309" priority="466" operator="equal">
      <formula>"PTO"</formula>
    </cfRule>
  </conditionalFormatting>
  <conditionalFormatting sqref="T28">
    <cfRule type="cellIs" dxfId="14308" priority="463" operator="equal">
      <formula>"OFF"</formula>
    </cfRule>
    <cfRule type="cellIs" dxfId="14307" priority="464" operator="equal">
      <formula>"PTO"</formula>
    </cfRule>
  </conditionalFormatting>
  <conditionalFormatting sqref="T28">
    <cfRule type="cellIs" dxfId="14306" priority="461" operator="equal">
      <formula>"OFF"</formula>
    </cfRule>
    <cfRule type="cellIs" dxfId="14305" priority="462" operator="equal">
      <formula>"PTO"</formula>
    </cfRule>
  </conditionalFormatting>
  <conditionalFormatting sqref="T28">
    <cfRule type="cellIs" dxfId="14304" priority="459" operator="equal">
      <formula>"OFF"</formula>
    </cfRule>
    <cfRule type="cellIs" dxfId="14303" priority="460" operator="equal">
      <formula>"PTO"</formula>
    </cfRule>
  </conditionalFormatting>
  <conditionalFormatting sqref="T28">
    <cfRule type="cellIs" dxfId="14302" priority="457" operator="equal">
      <formula>"OFF"</formula>
    </cfRule>
    <cfRule type="cellIs" dxfId="14301" priority="458" operator="equal">
      <formula>"PTO"</formula>
    </cfRule>
  </conditionalFormatting>
  <conditionalFormatting sqref="T28">
    <cfRule type="cellIs" dxfId="14300" priority="455" operator="equal">
      <formula>"OFF"</formula>
    </cfRule>
    <cfRule type="cellIs" dxfId="14299" priority="456" operator="equal">
      <formula>"PTO"</formula>
    </cfRule>
  </conditionalFormatting>
  <conditionalFormatting sqref="T28">
    <cfRule type="cellIs" dxfId="14298" priority="453" operator="equal">
      <formula>"OFF"</formula>
    </cfRule>
    <cfRule type="cellIs" dxfId="14297" priority="454" operator="equal">
      <formula>"PTO"</formula>
    </cfRule>
  </conditionalFormatting>
  <conditionalFormatting sqref="T28">
    <cfRule type="cellIs" dxfId="14296" priority="451" operator="equal">
      <formula>"OFF"</formula>
    </cfRule>
    <cfRule type="cellIs" dxfId="14295" priority="452" operator="equal">
      <formula>"PTO"</formula>
    </cfRule>
  </conditionalFormatting>
  <conditionalFormatting sqref="T28">
    <cfRule type="cellIs" dxfId="14294" priority="449" operator="equal">
      <formula>"OFF"</formula>
    </cfRule>
    <cfRule type="cellIs" dxfId="14293" priority="450" operator="equal">
      <formula>"PTO"</formula>
    </cfRule>
  </conditionalFormatting>
  <conditionalFormatting sqref="T28">
    <cfRule type="cellIs" dxfId="14292" priority="447" operator="equal">
      <formula>"OFF"</formula>
    </cfRule>
    <cfRule type="cellIs" dxfId="14291" priority="448" operator="equal">
      <formula>"PTO"</formula>
    </cfRule>
  </conditionalFormatting>
  <conditionalFormatting sqref="T28">
    <cfRule type="cellIs" dxfId="14290" priority="445" operator="equal">
      <formula>"OFF"</formula>
    </cfRule>
    <cfRule type="cellIs" dxfId="14289" priority="446" operator="equal">
      <formula>"PTO"</formula>
    </cfRule>
  </conditionalFormatting>
  <conditionalFormatting sqref="T28">
    <cfRule type="cellIs" dxfId="14288" priority="443" operator="equal">
      <formula>"OFF"</formula>
    </cfRule>
    <cfRule type="cellIs" dxfId="14287" priority="444" operator="equal">
      <formula>"PTO"</formula>
    </cfRule>
  </conditionalFormatting>
  <conditionalFormatting sqref="T28">
    <cfRule type="cellIs" dxfId="14286" priority="441" operator="equal">
      <formula>"OFF"</formula>
    </cfRule>
    <cfRule type="cellIs" dxfId="14285" priority="442" operator="equal">
      <formula>"PTO"</formula>
    </cfRule>
  </conditionalFormatting>
  <conditionalFormatting sqref="T28">
    <cfRule type="cellIs" dxfId="14284" priority="439" operator="equal">
      <formula>"OFF"</formula>
    </cfRule>
    <cfRule type="cellIs" dxfId="14283" priority="440" operator="equal">
      <formula>"PTO"</formula>
    </cfRule>
  </conditionalFormatting>
  <conditionalFormatting sqref="T28">
    <cfRule type="cellIs" dxfId="14282" priority="437" operator="equal">
      <formula>"OFF"</formula>
    </cfRule>
    <cfRule type="cellIs" dxfId="14281" priority="438" operator="equal">
      <formula>"PTO"</formula>
    </cfRule>
  </conditionalFormatting>
  <conditionalFormatting sqref="T28">
    <cfRule type="cellIs" dxfId="14280" priority="435" operator="equal">
      <formula>"OFF"</formula>
    </cfRule>
    <cfRule type="cellIs" dxfId="14279" priority="436" operator="equal">
      <formula>"PTO"</formula>
    </cfRule>
  </conditionalFormatting>
  <conditionalFormatting sqref="T28">
    <cfRule type="cellIs" dxfId="14278" priority="433" operator="equal">
      <formula>"OFF"</formula>
    </cfRule>
    <cfRule type="cellIs" dxfId="14277" priority="434" operator="equal">
      <formula>"PTO"</formula>
    </cfRule>
  </conditionalFormatting>
  <conditionalFormatting sqref="T28">
    <cfRule type="cellIs" dxfId="14276" priority="431" operator="equal">
      <formula>"OFF"</formula>
    </cfRule>
    <cfRule type="cellIs" dxfId="14275" priority="432" operator="equal">
      <formula>"PTO"</formula>
    </cfRule>
  </conditionalFormatting>
  <conditionalFormatting sqref="T28">
    <cfRule type="cellIs" dxfId="14274" priority="429" operator="equal">
      <formula>"OFF"</formula>
    </cfRule>
    <cfRule type="cellIs" dxfId="14273" priority="430" operator="equal">
      <formula>"PTO"</formula>
    </cfRule>
  </conditionalFormatting>
  <conditionalFormatting sqref="T28">
    <cfRule type="cellIs" dxfId="14272" priority="427" operator="equal">
      <formula>"OFF"</formula>
    </cfRule>
    <cfRule type="cellIs" dxfId="14271" priority="428" operator="equal">
      <formula>"PTO"</formula>
    </cfRule>
  </conditionalFormatting>
  <conditionalFormatting sqref="T28">
    <cfRule type="cellIs" dxfId="14270" priority="425" operator="equal">
      <formula>"OFF"</formula>
    </cfRule>
    <cfRule type="cellIs" dxfId="14269" priority="426" operator="equal">
      <formula>"PTO"</formula>
    </cfRule>
  </conditionalFormatting>
  <conditionalFormatting sqref="T28">
    <cfRule type="cellIs" dxfId="14268" priority="423" operator="equal">
      <formula>"OFF"</formula>
    </cfRule>
    <cfRule type="cellIs" dxfId="14267" priority="424" operator="equal">
      <formula>"PTO"</formula>
    </cfRule>
  </conditionalFormatting>
  <conditionalFormatting sqref="T28">
    <cfRule type="cellIs" dxfId="14266" priority="421" operator="equal">
      <formula>"OFF"</formula>
    </cfRule>
    <cfRule type="cellIs" dxfId="14265" priority="422" operator="equal">
      <formula>"PTO"</formula>
    </cfRule>
  </conditionalFormatting>
  <conditionalFormatting sqref="T28">
    <cfRule type="cellIs" dxfId="14264" priority="419" operator="equal">
      <formula>"OFF"</formula>
    </cfRule>
    <cfRule type="cellIs" dxfId="14263" priority="420" operator="equal">
      <formula>"PTO"</formula>
    </cfRule>
  </conditionalFormatting>
  <conditionalFormatting sqref="T28">
    <cfRule type="cellIs" dxfId="14262" priority="417" operator="equal">
      <formula>"OFF"</formula>
    </cfRule>
    <cfRule type="cellIs" dxfId="14261" priority="418" operator="equal">
      <formula>"PTO"</formula>
    </cfRule>
  </conditionalFormatting>
  <conditionalFormatting sqref="T28">
    <cfRule type="cellIs" dxfId="14260" priority="415" operator="equal">
      <formula>"OFF"</formula>
    </cfRule>
    <cfRule type="cellIs" dxfId="14259" priority="416" operator="equal">
      <formula>"PTO"</formula>
    </cfRule>
  </conditionalFormatting>
  <conditionalFormatting sqref="T28">
    <cfRule type="cellIs" dxfId="14258" priority="413" operator="equal">
      <formula>"OFF"</formula>
    </cfRule>
    <cfRule type="cellIs" dxfId="14257" priority="414" operator="equal">
      <formula>"PTO"</formula>
    </cfRule>
  </conditionalFormatting>
  <conditionalFormatting sqref="T28">
    <cfRule type="cellIs" dxfId="14256" priority="411" operator="equal">
      <formula>"OFF"</formula>
    </cfRule>
    <cfRule type="cellIs" dxfId="14255" priority="412" operator="equal">
      <formula>"PTO"</formula>
    </cfRule>
  </conditionalFormatting>
  <conditionalFormatting sqref="T28">
    <cfRule type="cellIs" dxfId="14254" priority="409" operator="equal">
      <formula>"OFF"</formula>
    </cfRule>
    <cfRule type="cellIs" dxfId="14253" priority="410" operator="equal">
      <formula>"PTO"</formula>
    </cfRule>
  </conditionalFormatting>
  <conditionalFormatting sqref="T28">
    <cfRule type="cellIs" dxfId="14252" priority="407" operator="equal">
      <formula>"OFF"</formula>
    </cfRule>
    <cfRule type="cellIs" dxfId="14251" priority="408" operator="equal">
      <formula>"PTO"</formula>
    </cfRule>
  </conditionalFormatting>
  <conditionalFormatting sqref="T28">
    <cfRule type="cellIs" dxfId="14250" priority="405" operator="equal">
      <formula>"OFF"</formula>
    </cfRule>
    <cfRule type="cellIs" dxfId="14249" priority="406" operator="equal">
      <formula>"PTO"</formula>
    </cfRule>
  </conditionalFormatting>
  <conditionalFormatting sqref="T28">
    <cfRule type="cellIs" dxfId="14248" priority="403" operator="equal">
      <formula>"OFF"</formula>
    </cfRule>
    <cfRule type="cellIs" dxfId="14247" priority="404" operator="equal">
      <formula>"PTO"</formula>
    </cfRule>
  </conditionalFormatting>
  <conditionalFormatting sqref="T28">
    <cfRule type="cellIs" dxfId="14246" priority="401" operator="equal">
      <formula>"OFF"</formula>
    </cfRule>
    <cfRule type="cellIs" dxfId="14245" priority="402" operator="equal">
      <formula>"PTO"</formula>
    </cfRule>
  </conditionalFormatting>
  <conditionalFormatting sqref="T28">
    <cfRule type="cellIs" dxfId="14244" priority="399" operator="equal">
      <formula>"OFF"</formula>
    </cfRule>
    <cfRule type="cellIs" dxfId="14243" priority="400" operator="equal">
      <formula>"PTO"</formula>
    </cfRule>
  </conditionalFormatting>
  <conditionalFormatting sqref="T28">
    <cfRule type="cellIs" dxfId="14242" priority="397" operator="equal">
      <formula>"OFF"</formula>
    </cfRule>
    <cfRule type="cellIs" dxfId="14241" priority="398" operator="equal">
      <formula>"PTO"</formula>
    </cfRule>
  </conditionalFormatting>
  <conditionalFormatting sqref="T28">
    <cfRule type="cellIs" dxfId="14240" priority="395" operator="equal">
      <formula>"OFF"</formula>
    </cfRule>
    <cfRule type="cellIs" dxfId="14239" priority="396" operator="equal">
      <formula>"PTO"</formula>
    </cfRule>
  </conditionalFormatting>
  <conditionalFormatting sqref="T28">
    <cfRule type="cellIs" dxfId="14238" priority="393" operator="equal">
      <formula>"OFF"</formula>
    </cfRule>
    <cfRule type="cellIs" dxfId="14237" priority="394" operator="equal">
      <formula>"PTO"</formula>
    </cfRule>
  </conditionalFormatting>
  <conditionalFormatting sqref="T28">
    <cfRule type="cellIs" dxfId="14236" priority="391" operator="equal">
      <formula>"OFF"</formula>
    </cfRule>
    <cfRule type="cellIs" dxfId="14235" priority="392" operator="equal">
      <formula>"PTO"</formula>
    </cfRule>
  </conditionalFormatting>
  <conditionalFormatting sqref="T28">
    <cfRule type="cellIs" dxfId="14234" priority="389" operator="equal">
      <formula>"OFF"</formula>
    </cfRule>
    <cfRule type="cellIs" dxfId="14233" priority="390" operator="equal">
      <formula>"PTO"</formula>
    </cfRule>
  </conditionalFormatting>
  <conditionalFormatting sqref="T28">
    <cfRule type="cellIs" dxfId="14232" priority="387" operator="equal">
      <formula>"OFF"</formula>
    </cfRule>
    <cfRule type="cellIs" dxfId="14231" priority="388" operator="equal">
      <formula>"PTO"</formula>
    </cfRule>
  </conditionalFormatting>
  <conditionalFormatting sqref="T28">
    <cfRule type="cellIs" dxfId="14230" priority="385" operator="equal">
      <formula>"OFF"</formula>
    </cfRule>
    <cfRule type="cellIs" dxfId="14229" priority="386" operator="equal">
      <formula>"PTO"</formula>
    </cfRule>
  </conditionalFormatting>
  <conditionalFormatting sqref="T28">
    <cfRule type="cellIs" dxfId="14228" priority="383" operator="equal">
      <formula>"OFF"</formula>
    </cfRule>
    <cfRule type="cellIs" dxfId="14227" priority="384" operator="equal">
      <formula>"PTO"</formula>
    </cfRule>
  </conditionalFormatting>
  <conditionalFormatting sqref="T28">
    <cfRule type="cellIs" dxfId="14226" priority="381" operator="equal">
      <formula>"OFF"</formula>
    </cfRule>
    <cfRule type="cellIs" dxfId="14225" priority="382" operator="equal">
      <formula>"PTO"</formula>
    </cfRule>
  </conditionalFormatting>
  <conditionalFormatting sqref="T28">
    <cfRule type="cellIs" dxfId="14224" priority="379" operator="equal">
      <formula>"OFF"</formula>
    </cfRule>
    <cfRule type="cellIs" dxfId="14223" priority="380" operator="equal">
      <formula>"PTO"</formula>
    </cfRule>
  </conditionalFormatting>
  <conditionalFormatting sqref="T28">
    <cfRule type="cellIs" dxfId="14222" priority="377" operator="equal">
      <formula>"OFF"</formula>
    </cfRule>
    <cfRule type="cellIs" dxfId="14221" priority="378" operator="equal">
      <formula>"PTO"</formula>
    </cfRule>
  </conditionalFormatting>
  <conditionalFormatting sqref="T28">
    <cfRule type="cellIs" dxfId="14220" priority="375" operator="equal">
      <formula>"OFF"</formula>
    </cfRule>
    <cfRule type="cellIs" dxfId="14219" priority="376" operator="equal">
      <formula>"PTO"</formula>
    </cfRule>
  </conditionalFormatting>
  <conditionalFormatting sqref="T28">
    <cfRule type="cellIs" dxfId="14218" priority="373" operator="equal">
      <formula>"OFF"</formula>
    </cfRule>
    <cfRule type="cellIs" dxfId="14217" priority="374" operator="equal">
      <formula>"PTO"</formula>
    </cfRule>
  </conditionalFormatting>
  <conditionalFormatting sqref="T28">
    <cfRule type="cellIs" dxfId="14216" priority="371" operator="equal">
      <formula>"OFF"</formula>
    </cfRule>
    <cfRule type="cellIs" dxfId="14215" priority="372" operator="equal">
      <formula>"PTO"</formula>
    </cfRule>
  </conditionalFormatting>
  <conditionalFormatting sqref="T28">
    <cfRule type="cellIs" dxfId="14214" priority="369" operator="equal">
      <formula>"OFF"</formula>
    </cfRule>
    <cfRule type="cellIs" dxfId="14213" priority="370" operator="equal">
      <formula>"PTO"</formula>
    </cfRule>
  </conditionalFormatting>
  <conditionalFormatting sqref="T28">
    <cfRule type="cellIs" dxfId="14212" priority="367" operator="equal">
      <formula>"OFF"</formula>
    </cfRule>
    <cfRule type="cellIs" dxfId="14211" priority="368" operator="equal">
      <formula>"PTO"</formula>
    </cfRule>
  </conditionalFormatting>
  <conditionalFormatting sqref="T28">
    <cfRule type="cellIs" dxfId="14210" priority="365" operator="equal">
      <formula>"OFF"</formula>
    </cfRule>
    <cfRule type="cellIs" dxfId="14209" priority="366" operator="equal">
      <formula>"PTO"</formula>
    </cfRule>
  </conditionalFormatting>
  <conditionalFormatting sqref="T28">
    <cfRule type="cellIs" dxfId="14208" priority="363" operator="equal">
      <formula>"OFF"</formula>
    </cfRule>
    <cfRule type="cellIs" dxfId="14207" priority="364" operator="equal">
      <formula>"PTO"</formula>
    </cfRule>
  </conditionalFormatting>
  <conditionalFormatting sqref="T28">
    <cfRule type="cellIs" dxfId="14206" priority="361" operator="equal">
      <formula>"OFF"</formula>
    </cfRule>
    <cfRule type="cellIs" dxfId="14205" priority="362" operator="equal">
      <formula>"PTO"</formula>
    </cfRule>
  </conditionalFormatting>
  <conditionalFormatting sqref="T28">
    <cfRule type="cellIs" dxfId="14204" priority="359" operator="equal">
      <formula>"OFF"</formula>
    </cfRule>
    <cfRule type="cellIs" dxfId="14203" priority="360" operator="equal">
      <formula>"PTO"</formula>
    </cfRule>
  </conditionalFormatting>
  <conditionalFormatting sqref="T28">
    <cfRule type="cellIs" dxfId="14202" priority="357" operator="equal">
      <formula>"OFF"</formula>
    </cfRule>
    <cfRule type="cellIs" dxfId="14201" priority="358" operator="equal">
      <formula>"PTO"</formula>
    </cfRule>
  </conditionalFormatting>
  <conditionalFormatting sqref="T28">
    <cfRule type="cellIs" dxfId="14200" priority="355" operator="equal">
      <formula>"OFF"</formula>
    </cfRule>
    <cfRule type="cellIs" dxfId="14199" priority="356" operator="equal">
      <formula>"PTO"</formula>
    </cfRule>
  </conditionalFormatting>
  <conditionalFormatting sqref="T28">
    <cfRule type="cellIs" dxfId="14198" priority="353" operator="equal">
      <formula>"OFF"</formula>
    </cfRule>
    <cfRule type="cellIs" dxfId="14197" priority="354" operator="equal">
      <formula>"PTO"</formula>
    </cfRule>
  </conditionalFormatting>
  <conditionalFormatting sqref="T28">
    <cfRule type="cellIs" dxfId="14196" priority="351" operator="equal">
      <formula>"OFF"</formula>
    </cfRule>
    <cfRule type="cellIs" dxfId="14195" priority="352" operator="equal">
      <formula>"PTO"</formula>
    </cfRule>
  </conditionalFormatting>
  <conditionalFormatting sqref="T28">
    <cfRule type="cellIs" dxfId="14194" priority="349" operator="equal">
      <formula>"OFF"</formula>
    </cfRule>
    <cfRule type="cellIs" dxfId="14193" priority="350" operator="equal">
      <formula>"PTO"</formula>
    </cfRule>
  </conditionalFormatting>
  <conditionalFormatting sqref="T28">
    <cfRule type="cellIs" dxfId="14192" priority="347" operator="equal">
      <formula>"OFF"</formula>
    </cfRule>
    <cfRule type="cellIs" dxfId="14191" priority="348" operator="equal">
      <formula>"PTO"</formula>
    </cfRule>
  </conditionalFormatting>
  <conditionalFormatting sqref="T28">
    <cfRule type="cellIs" dxfId="14190" priority="345" operator="equal">
      <formula>"OFF"</formula>
    </cfRule>
    <cfRule type="cellIs" dxfId="14189" priority="346" operator="equal">
      <formula>"PTO"</formula>
    </cfRule>
  </conditionalFormatting>
  <conditionalFormatting sqref="T28">
    <cfRule type="cellIs" dxfId="14188" priority="343" operator="equal">
      <formula>"OFF"</formula>
    </cfRule>
    <cfRule type="cellIs" dxfId="14187" priority="344" operator="equal">
      <formula>"PTO"</formula>
    </cfRule>
  </conditionalFormatting>
  <conditionalFormatting sqref="T28">
    <cfRule type="cellIs" dxfId="14186" priority="341" operator="equal">
      <formula>"OFF"</formula>
    </cfRule>
    <cfRule type="cellIs" dxfId="14185" priority="342" operator="equal">
      <formula>"PTO"</formula>
    </cfRule>
  </conditionalFormatting>
  <conditionalFormatting sqref="T28">
    <cfRule type="cellIs" dxfId="14184" priority="339" operator="equal">
      <formula>"OFF"</formula>
    </cfRule>
    <cfRule type="cellIs" dxfId="14183" priority="340" operator="equal">
      <formula>"PTO"</formula>
    </cfRule>
  </conditionalFormatting>
  <conditionalFormatting sqref="T28">
    <cfRule type="cellIs" dxfId="14182" priority="337" operator="equal">
      <formula>"OFF"</formula>
    </cfRule>
    <cfRule type="cellIs" dxfId="14181" priority="338" operator="equal">
      <formula>"PTO"</formula>
    </cfRule>
  </conditionalFormatting>
  <conditionalFormatting sqref="T28">
    <cfRule type="cellIs" dxfId="14180" priority="335" operator="equal">
      <formula>"OFF"</formula>
    </cfRule>
    <cfRule type="cellIs" dxfId="14179" priority="336" operator="equal">
      <formula>"PTO"</formula>
    </cfRule>
  </conditionalFormatting>
  <conditionalFormatting sqref="T28">
    <cfRule type="cellIs" dxfId="14178" priority="333" operator="equal">
      <formula>"OFF"</formula>
    </cfRule>
    <cfRule type="cellIs" dxfId="14177" priority="334" operator="equal">
      <formula>"PTO"</formula>
    </cfRule>
  </conditionalFormatting>
  <conditionalFormatting sqref="T28">
    <cfRule type="cellIs" dxfId="14176" priority="331" operator="equal">
      <formula>"OFF"</formula>
    </cfRule>
    <cfRule type="cellIs" dxfId="14175" priority="332" operator="equal">
      <formula>"PTO"</formula>
    </cfRule>
  </conditionalFormatting>
  <conditionalFormatting sqref="T28">
    <cfRule type="cellIs" dxfId="14174" priority="329" operator="equal">
      <formula>"OFF"</formula>
    </cfRule>
    <cfRule type="cellIs" dxfId="14173" priority="330" operator="equal">
      <formula>"PTO"</formula>
    </cfRule>
  </conditionalFormatting>
  <conditionalFormatting sqref="T28">
    <cfRule type="cellIs" dxfId="14172" priority="327" operator="equal">
      <formula>"OFF"</formula>
    </cfRule>
    <cfRule type="cellIs" dxfId="14171" priority="328" operator="equal">
      <formula>"PTO"</formula>
    </cfRule>
  </conditionalFormatting>
  <conditionalFormatting sqref="T28">
    <cfRule type="cellIs" dxfId="14170" priority="325" operator="equal">
      <formula>"OFF"</formula>
    </cfRule>
    <cfRule type="cellIs" dxfId="14169" priority="326" operator="equal">
      <formula>"PTO"</formula>
    </cfRule>
  </conditionalFormatting>
  <conditionalFormatting sqref="T28">
    <cfRule type="cellIs" dxfId="14168" priority="323" operator="equal">
      <formula>"OFF"</formula>
    </cfRule>
    <cfRule type="cellIs" dxfId="14167" priority="324" operator="equal">
      <formula>"PTO"</formula>
    </cfRule>
  </conditionalFormatting>
  <conditionalFormatting sqref="T28">
    <cfRule type="cellIs" dxfId="14166" priority="321" operator="equal">
      <formula>"OFF"</formula>
    </cfRule>
    <cfRule type="cellIs" dxfId="14165" priority="322" operator="equal">
      <formula>"PTO"</formula>
    </cfRule>
  </conditionalFormatting>
  <conditionalFormatting sqref="T28">
    <cfRule type="cellIs" dxfId="14164" priority="319" operator="equal">
      <formula>"OFF"</formula>
    </cfRule>
    <cfRule type="cellIs" dxfId="14163" priority="320" operator="equal">
      <formula>"PTO"</formula>
    </cfRule>
  </conditionalFormatting>
  <conditionalFormatting sqref="T28">
    <cfRule type="cellIs" dxfId="14162" priority="317" operator="equal">
      <formula>"OFF"</formula>
    </cfRule>
    <cfRule type="cellIs" dxfId="14161" priority="318" operator="equal">
      <formula>"PTO"</formula>
    </cfRule>
  </conditionalFormatting>
  <conditionalFormatting sqref="T28">
    <cfRule type="cellIs" dxfId="14160" priority="315" operator="equal">
      <formula>"OFF"</formula>
    </cfRule>
    <cfRule type="cellIs" dxfId="14159" priority="316" operator="equal">
      <formula>"PTO"</formula>
    </cfRule>
  </conditionalFormatting>
  <conditionalFormatting sqref="T28">
    <cfRule type="cellIs" dxfId="14158" priority="313" operator="equal">
      <formula>"OFF"</formula>
    </cfRule>
    <cfRule type="cellIs" dxfId="14157" priority="314" operator="equal">
      <formula>"PTO"</formula>
    </cfRule>
  </conditionalFormatting>
  <conditionalFormatting sqref="T28">
    <cfRule type="cellIs" dxfId="14156" priority="311" operator="equal">
      <formula>"OFF"</formula>
    </cfRule>
    <cfRule type="cellIs" dxfId="14155" priority="312" operator="equal">
      <formula>"PTO"</formula>
    </cfRule>
  </conditionalFormatting>
  <conditionalFormatting sqref="T28">
    <cfRule type="cellIs" dxfId="14154" priority="309" operator="equal">
      <formula>"OFF"</formula>
    </cfRule>
    <cfRule type="cellIs" dxfId="14153" priority="310" operator="equal">
      <formula>"PTO"</formula>
    </cfRule>
  </conditionalFormatting>
  <conditionalFormatting sqref="T28">
    <cfRule type="cellIs" dxfId="14152" priority="307" operator="equal">
      <formula>"OFF"</formula>
    </cfRule>
    <cfRule type="cellIs" dxfId="14151" priority="308" operator="equal">
      <formula>"PTO"</formula>
    </cfRule>
  </conditionalFormatting>
  <conditionalFormatting sqref="T28">
    <cfRule type="cellIs" dxfId="14150" priority="305" operator="equal">
      <formula>"OFF"</formula>
    </cfRule>
    <cfRule type="cellIs" dxfId="14149" priority="306" operator="equal">
      <formula>"PTO"</formula>
    </cfRule>
  </conditionalFormatting>
  <conditionalFormatting sqref="T28">
    <cfRule type="cellIs" dxfId="14148" priority="303" operator="equal">
      <formula>"OFF"</formula>
    </cfRule>
    <cfRule type="cellIs" dxfId="14147" priority="304" operator="equal">
      <formula>"PTO"</formula>
    </cfRule>
  </conditionalFormatting>
  <conditionalFormatting sqref="T28">
    <cfRule type="cellIs" dxfId="14146" priority="301" operator="equal">
      <formula>"OFF"</formula>
    </cfRule>
    <cfRule type="cellIs" dxfId="14145" priority="302" operator="equal">
      <formula>"PTO"</formula>
    </cfRule>
  </conditionalFormatting>
  <conditionalFormatting sqref="T28">
    <cfRule type="cellIs" dxfId="14144" priority="299" operator="equal">
      <formula>"OFF"</formula>
    </cfRule>
    <cfRule type="cellIs" dxfId="14143" priority="300" operator="equal">
      <formula>"PTO"</formula>
    </cfRule>
  </conditionalFormatting>
  <conditionalFormatting sqref="T28">
    <cfRule type="cellIs" dxfId="14142" priority="297" operator="equal">
      <formula>"OFF"</formula>
    </cfRule>
    <cfRule type="cellIs" dxfId="14141" priority="298" operator="equal">
      <formula>"PTO"</formula>
    </cfRule>
  </conditionalFormatting>
  <conditionalFormatting sqref="T28">
    <cfRule type="cellIs" dxfId="14140" priority="295" operator="equal">
      <formula>"OFF"</formula>
    </cfRule>
    <cfRule type="cellIs" dxfId="14139" priority="296" operator="equal">
      <formula>"PTO"</formula>
    </cfRule>
  </conditionalFormatting>
  <conditionalFormatting sqref="T28">
    <cfRule type="cellIs" dxfId="14138" priority="293" operator="equal">
      <formula>"OFF"</formula>
    </cfRule>
    <cfRule type="cellIs" dxfId="14137" priority="294" operator="equal">
      <formula>"PTO"</formula>
    </cfRule>
  </conditionalFormatting>
  <conditionalFormatting sqref="T28">
    <cfRule type="cellIs" dxfId="14136" priority="291" operator="equal">
      <formula>"OFF"</formula>
    </cfRule>
    <cfRule type="cellIs" dxfId="14135" priority="292" operator="equal">
      <formula>"PTO"</formula>
    </cfRule>
  </conditionalFormatting>
  <conditionalFormatting sqref="T28">
    <cfRule type="cellIs" dxfId="14134" priority="289" operator="equal">
      <formula>"OFF"</formula>
    </cfRule>
    <cfRule type="cellIs" dxfId="14133" priority="290" operator="equal">
      <formula>"PTO"</formula>
    </cfRule>
  </conditionalFormatting>
  <conditionalFormatting sqref="T28">
    <cfRule type="cellIs" dxfId="14132" priority="287" operator="equal">
      <formula>"OFF"</formula>
    </cfRule>
    <cfRule type="cellIs" dxfId="14131" priority="288" operator="equal">
      <formula>"PTO"</formula>
    </cfRule>
  </conditionalFormatting>
  <conditionalFormatting sqref="T28">
    <cfRule type="cellIs" dxfId="14130" priority="285" operator="equal">
      <formula>"OFF"</formula>
    </cfRule>
    <cfRule type="cellIs" dxfId="14129" priority="286" operator="equal">
      <formula>"PTO"</formula>
    </cfRule>
  </conditionalFormatting>
  <conditionalFormatting sqref="T28">
    <cfRule type="cellIs" dxfId="14128" priority="283" operator="equal">
      <formula>"OFF"</formula>
    </cfRule>
    <cfRule type="cellIs" dxfId="14127" priority="284" operator="equal">
      <formula>"PTO"</formula>
    </cfRule>
  </conditionalFormatting>
  <conditionalFormatting sqref="T28">
    <cfRule type="cellIs" dxfId="14126" priority="281" operator="equal">
      <formula>"OFF"</formula>
    </cfRule>
    <cfRule type="cellIs" dxfId="14125" priority="282" operator="equal">
      <formula>"PTO"</formula>
    </cfRule>
  </conditionalFormatting>
  <conditionalFormatting sqref="T28">
    <cfRule type="cellIs" dxfId="14124" priority="279" operator="equal">
      <formula>"OFF"</formula>
    </cfRule>
    <cfRule type="cellIs" dxfId="14123" priority="280" operator="equal">
      <formula>"PTO"</formula>
    </cfRule>
  </conditionalFormatting>
  <conditionalFormatting sqref="T28">
    <cfRule type="cellIs" dxfId="14122" priority="277" operator="equal">
      <formula>"OFF"</formula>
    </cfRule>
    <cfRule type="cellIs" dxfId="14121" priority="278" operator="equal">
      <formula>"PTO"</formula>
    </cfRule>
  </conditionalFormatting>
  <conditionalFormatting sqref="T28">
    <cfRule type="cellIs" dxfId="14120" priority="275" operator="equal">
      <formula>"OFF"</formula>
    </cfRule>
    <cfRule type="cellIs" dxfId="14119" priority="276" operator="equal">
      <formula>"PTO"</formula>
    </cfRule>
  </conditionalFormatting>
  <conditionalFormatting sqref="T28">
    <cfRule type="cellIs" dxfId="14118" priority="273" operator="equal">
      <formula>"OFF"</formula>
    </cfRule>
    <cfRule type="cellIs" dxfId="14117" priority="274" operator="equal">
      <formula>"PTO"</formula>
    </cfRule>
  </conditionalFormatting>
  <conditionalFormatting sqref="T28">
    <cfRule type="cellIs" dxfId="14116" priority="271" operator="equal">
      <formula>"OFF"</formula>
    </cfRule>
    <cfRule type="cellIs" dxfId="14115" priority="272" operator="equal">
      <formula>"PTO"</formula>
    </cfRule>
  </conditionalFormatting>
  <conditionalFormatting sqref="T28">
    <cfRule type="cellIs" dxfId="14114" priority="269" operator="equal">
      <formula>"OFF"</formula>
    </cfRule>
    <cfRule type="cellIs" dxfId="14113" priority="270" operator="equal">
      <formula>"PTO"</formula>
    </cfRule>
  </conditionalFormatting>
  <conditionalFormatting sqref="T28">
    <cfRule type="cellIs" dxfId="14112" priority="267" operator="equal">
      <formula>"OFF"</formula>
    </cfRule>
    <cfRule type="cellIs" dxfId="14111" priority="268" operator="equal">
      <formula>"PTO"</formula>
    </cfRule>
  </conditionalFormatting>
  <conditionalFormatting sqref="T28">
    <cfRule type="cellIs" dxfId="14110" priority="265" operator="equal">
      <formula>"OFF"</formula>
    </cfRule>
    <cfRule type="cellIs" dxfId="14109" priority="266" operator="equal">
      <formula>"PTO"</formula>
    </cfRule>
  </conditionalFormatting>
  <conditionalFormatting sqref="T28">
    <cfRule type="cellIs" dxfId="14108" priority="263" operator="equal">
      <formula>"OFF"</formula>
    </cfRule>
    <cfRule type="cellIs" dxfId="14107" priority="264" operator="equal">
      <formula>"PTO"</formula>
    </cfRule>
  </conditionalFormatting>
  <conditionalFormatting sqref="T28">
    <cfRule type="cellIs" dxfId="14106" priority="261" operator="equal">
      <formula>"OFF"</formula>
    </cfRule>
    <cfRule type="cellIs" dxfId="14105" priority="262" operator="equal">
      <formula>"PTO"</formula>
    </cfRule>
  </conditionalFormatting>
  <conditionalFormatting sqref="T28">
    <cfRule type="cellIs" dxfId="14104" priority="259" operator="equal">
      <formula>"OFF"</formula>
    </cfRule>
    <cfRule type="cellIs" dxfId="14103" priority="260" operator="equal">
      <formula>"PTO"</formula>
    </cfRule>
  </conditionalFormatting>
  <conditionalFormatting sqref="T28">
    <cfRule type="cellIs" dxfId="14102" priority="257" operator="equal">
      <formula>"OFF"</formula>
    </cfRule>
    <cfRule type="cellIs" dxfId="14101" priority="258" operator="equal">
      <formula>"PTO"</formula>
    </cfRule>
  </conditionalFormatting>
  <conditionalFormatting sqref="T28">
    <cfRule type="cellIs" dxfId="14100" priority="255" operator="equal">
      <formula>"OFF"</formula>
    </cfRule>
    <cfRule type="cellIs" dxfId="14099" priority="256" operator="equal">
      <formula>"PTO"</formula>
    </cfRule>
  </conditionalFormatting>
  <conditionalFormatting sqref="T28">
    <cfRule type="cellIs" dxfId="14098" priority="253" operator="equal">
      <formula>"OFF"</formula>
    </cfRule>
    <cfRule type="cellIs" dxfId="14097" priority="254" operator="equal">
      <formula>"PTO"</formula>
    </cfRule>
  </conditionalFormatting>
  <conditionalFormatting sqref="T28">
    <cfRule type="cellIs" dxfId="14096" priority="251" operator="equal">
      <formula>"OFF"</formula>
    </cfRule>
    <cfRule type="cellIs" dxfId="14095" priority="252" operator="equal">
      <formula>"PTO"</formula>
    </cfRule>
  </conditionalFormatting>
  <conditionalFormatting sqref="T28">
    <cfRule type="cellIs" dxfId="14094" priority="249" operator="equal">
      <formula>"OFF"</formula>
    </cfRule>
    <cfRule type="cellIs" dxfId="14093" priority="250" operator="equal">
      <formula>"PTO"</formula>
    </cfRule>
  </conditionalFormatting>
  <conditionalFormatting sqref="T28">
    <cfRule type="cellIs" dxfId="14092" priority="247" operator="equal">
      <formula>"OFF"</formula>
    </cfRule>
    <cfRule type="cellIs" dxfId="14091" priority="248" operator="equal">
      <formula>"PTO"</formula>
    </cfRule>
  </conditionalFormatting>
  <conditionalFormatting sqref="T28">
    <cfRule type="cellIs" dxfId="14090" priority="245" operator="equal">
      <formula>"OFF"</formula>
    </cfRule>
    <cfRule type="cellIs" dxfId="14089" priority="246" operator="equal">
      <formula>"PTO"</formula>
    </cfRule>
  </conditionalFormatting>
  <conditionalFormatting sqref="T28">
    <cfRule type="cellIs" dxfId="14088" priority="243" operator="equal">
      <formula>"OFF"</formula>
    </cfRule>
    <cfRule type="cellIs" dxfId="14087" priority="244" operator="equal">
      <formula>"PTO"</formula>
    </cfRule>
  </conditionalFormatting>
  <conditionalFormatting sqref="T28">
    <cfRule type="cellIs" dxfId="14086" priority="241" operator="equal">
      <formula>"OFF"</formula>
    </cfRule>
    <cfRule type="cellIs" dxfId="14085" priority="242" operator="equal">
      <formula>"PTO"</formula>
    </cfRule>
  </conditionalFormatting>
  <conditionalFormatting sqref="T28">
    <cfRule type="cellIs" dxfId="14084" priority="239" operator="equal">
      <formula>"OFF"</formula>
    </cfRule>
    <cfRule type="cellIs" dxfId="14083" priority="240" operator="equal">
      <formula>"PTO"</formula>
    </cfRule>
  </conditionalFormatting>
  <conditionalFormatting sqref="T28">
    <cfRule type="cellIs" dxfId="14082" priority="237" operator="equal">
      <formula>"OFF"</formula>
    </cfRule>
    <cfRule type="cellIs" dxfId="14081" priority="238" operator="equal">
      <formula>"PTO"</formula>
    </cfRule>
  </conditionalFormatting>
  <conditionalFormatting sqref="T28">
    <cfRule type="cellIs" dxfId="14080" priority="235" operator="equal">
      <formula>"OFF"</formula>
    </cfRule>
    <cfRule type="cellIs" dxfId="14079" priority="236" operator="equal">
      <formula>"PTO"</formula>
    </cfRule>
  </conditionalFormatting>
  <conditionalFormatting sqref="T28">
    <cfRule type="cellIs" dxfId="14078" priority="233" operator="equal">
      <formula>"OFF"</formula>
    </cfRule>
    <cfRule type="cellIs" dxfId="14077" priority="234" operator="equal">
      <formula>"PTO"</formula>
    </cfRule>
  </conditionalFormatting>
  <conditionalFormatting sqref="T28">
    <cfRule type="cellIs" dxfId="14076" priority="231" operator="equal">
      <formula>"OFF"</formula>
    </cfRule>
    <cfRule type="cellIs" dxfId="14075" priority="232" operator="equal">
      <formula>"PTO"</formula>
    </cfRule>
  </conditionalFormatting>
  <conditionalFormatting sqref="T28">
    <cfRule type="cellIs" dxfId="14074" priority="229" operator="equal">
      <formula>"OFF"</formula>
    </cfRule>
    <cfRule type="cellIs" dxfId="14073" priority="230" operator="equal">
      <formula>"PTO"</formula>
    </cfRule>
  </conditionalFormatting>
  <conditionalFormatting sqref="T28">
    <cfRule type="cellIs" dxfId="14072" priority="227" operator="equal">
      <formula>"OFF"</formula>
    </cfRule>
    <cfRule type="cellIs" dxfId="14071" priority="228" operator="equal">
      <formula>"PTO"</formula>
    </cfRule>
  </conditionalFormatting>
  <conditionalFormatting sqref="T28">
    <cfRule type="cellIs" dxfId="14070" priority="225" operator="equal">
      <formula>"OFF"</formula>
    </cfRule>
    <cfRule type="cellIs" dxfId="14069" priority="226" operator="equal">
      <formula>"PTO"</formula>
    </cfRule>
  </conditionalFormatting>
  <conditionalFormatting sqref="T28">
    <cfRule type="cellIs" dxfId="14068" priority="223" operator="equal">
      <formula>"OFF"</formula>
    </cfRule>
    <cfRule type="cellIs" dxfId="14067" priority="224" operator="equal">
      <formula>"PTO"</formula>
    </cfRule>
  </conditionalFormatting>
  <conditionalFormatting sqref="T28">
    <cfRule type="cellIs" dxfId="14066" priority="221" operator="equal">
      <formula>"OFF"</formula>
    </cfRule>
    <cfRule type="cellIs" dxfId="14065" priority="222" operator="equal">
      <formula>"PTO"</formula>
    </cfRule>
  </conditionalFormatting>
  <conditionalFormatting sqref="T28">
    <cfRule type="cellIs" dxfId="14064" priority="219" operator="equal">
      <formula>"OFF"</formula>
    </cfRule>
    <cfRule type="cellIs" dxfId="14063" priority="220" operator="equal">
      <formula>"PTO"</formula>
    </cfRule>
  </conditionalFormatting>
  <conditionalFormatting sqref="T28">
    <cfRule type="cellIs" dxfId="14062" priority="217" operator="equal">
      <formula>"OFF"</formula>
    </cfRule>
    <cfRule type="cellIs" dxfId="14061" priority="218" operator="equal">
      <formula>"PTO"</formula>
    </cfRule>
  </conditionalFormatting>
  <conditionalFormatting sqref="T28">
    <cfRule type="cellIs" dxfId="14060" priority="215" operator="equal">
      <formula>"OFF"</formula>
    </cfRule>
    <cfRule type="cellIs" dxfId="14059" priority="216" operator="equal">
      <formula>"PTO"</formula>
    </cfRule>
  </conditionalFormatting>
  <conditionalFormatting sqref="T28">
    <cfRule type="cellIs" dxfId="14058" priority="213" operator="equal">
      <formula>"OFF"</formula>
    </cfRule>
    <cfRule type="cellIs" dxfId="14057" priority="214" operator="equal">
      <formula>"PTO"</formula>
    </cfRule>
  </conditionalFormatting>
  <conditionalFormatting sqref="T28">
    <cfRule type="cellIs" dxfId="14056" priority="211" operator="equal">
      <formula>"OFF"</formula>
    </cfRule>
    <cfRule type="cellIs" dxfId="14055" priority="212" operator="equal">
      <formula>"PTO"</formula>
    </cfRule>
  </conditionalFormatting>
  <conditionalFormatting sqref="T28">
    <cfRule type="cellIs" dxfId="14054" priority="209" operator="equal">
      <formula>"OFF"</formula>
    </cfRule>
    <cfRule type="cellIs" dxfId="14053" priority="210" operator="equal">
      <formula>"PTO"</formula>
    </cfRule>
  </conditionalFormatting>
  <conditionalFormatting sqref="T28">
    <cfRule type="cellIs" dxfId="14052" priority="207" operator="equal">
      <formula>"OFF"</formula>
    </cfRule>
    <cfRule type="cellIs" dxfId="14051" priority="208" operator="equal">
      <formula>"PTO"</formula>
    </cfRule>
  </conditionalFormatting>
  <conditionalFormatting sqref="T28">
    <cfRule type="cellIs" dxfId="14050" priority="205" operator="equal">
      <formula>"OFF"</formula>
    </cfRule>
    <cfRule type="cellIs" dxfId="14049" priority="206" operator="equal">
      <formula>"PTO"</formula>
    </cfRule>
  </conditionalFormatting>
  <conditionalFormatting sqref="T28">
    <cfRule type="cellIs" dxfId="14048" priority="203" operator="equal">
      <formula>"OFF"</formula>
    </cfRule>
    <cfRule type="cellIs" dxfId="14047" priority="204" operator="equal">
      <formula>"PTO"</formula>
    </cfRule>
  </conditionalFormatting>
  <conditionalFormatting sqref="T28">
    <cfRule type="cellIs" dxfId="14046" priority="201" operator="equal">
      <formula>"OFF"</formula>
    </cfRule>
    <cfRule type="cellIs" dxfId="14045" priority="202" operator="equal">
      <formula>"PTO"</formula>
    </cfRule>
  </conditionalFormatting>
  <conditionalFormatting sqref="T28">
    <cfRule type="cellIs" dxfId="14044" priority="199" operator="equal">
      <formula>"OFF"</formula>
    </cfRule>
    <cfRule type="cellIs" dxfId="14043" priority="200" operator="equal">
      <formula>"PTO"</formula>
    </cfRule>
  </conditionalFormatting>
  <conditionalFormatting sqref="T28">
    <cfRule type="cellIs" dxfId="14042" priority="197" operator="equal">
      <formula>"OFF"</formula>
    </cfRule>
    <cfRule type="cellIs" dxfId="14041" priority="198" operator="equal">
      <formula>"PTO"</formula>
    </cfRule>
  </conditionalFormatting>
  <conditionalFormatting sqref="T28">
    <cfRule type="cellIs" dxfId="14040" priority="195" operator="equal">
      <formula>"OFF"</formula>
    </cfRule>
    <cfRule type="cellIs" dxfId="14039" priority="196" operator="equal">
      <formula>"PTO"</formula>
    </cfRule>
  </conditionalFormatting>
  <conditionalFormatting sqref="T28">
    <cfRule type="cellIs" dxfId="14038" priority="193" operator="equal">
      <formula>"OFF"</formula>
    </cfRule>
    <cfRule type="cellIs" dxfId="14037" priority="194" operator="equal">
      <formula>"PTO"</formula>
    </cfRule>
  </conditionalFormatting>
  <conditionalFormatting sqref="T28">
    <cfRule type="cellIs" dxfId="14036" priority="191" operator="equal">
      <formula>"OFF"</formula>
    </cfRule>
    <cfRule type="cellIs" dxfId="14035" priority="192" operator="equal">
      <formula>"PTO"</formula>
    </cfRule>
  </conditionalFormatting>
  <conditionalFormatting sqref="T28">
    <cfRule type="cellIs" dxfId="14034" priority="189" operator="equal">
      <formula>"OFF"</formula>
    </cfRule>
    <cfRule type="cellIs" dxfId="14033" priority="190" operator="equal">
      <formula>"PTO"</formula>
    </cfRule>
  </conditionalFormatting>
  <conditionalFormatting sqref="T28">
    <cfRule type="cellIs" dxfId="14032" priority="187" operator="equal">
      <formula>"OFF"</formula>
    </cfRule>
    <cfRule type="cellIs" dxfId="14031" priority="188" operator="equal">
      <formula>"PTO"</formula>
    </cfRule>
  </conditionalFormatting>
  <conditionalFormatting sqref="T28">
    <cfRule type="cellIs" dxfId="14030" priority="185" operator="equal">
      <formula>"OFF"</formula>
    </cfRule>
    <cfRule type="cellIs" dxfId="14029" priority="186" operator="equal">
      <formula>"PTO"</formula>
    </cfRule>
  </conditionalFormatting>
  <conditionalFormatting sqref="T28">
    <cfRule type="cellIs" dxfId="14028" priority="183" operator="equal">
      <formula>"OFF"</formula>
    </cfRule>
    <cfRule type="cellIs" dxfId="14027" priority="184" operator="equal">
      <formula>"PTO"</formula>
    </cfRule>
  </conditionalFormatting>
  <conditionalFormatting sqref="T28">
    <cfRule type="cellIs" dxfId="14026" priority="181" operator="equal">
      <formula>"OFF"</formula>
    </cfRule>
    <cfRule type="cellIs" dxfId="14025" priority="182" operator="equal">
      <formula>"PTO"</formula>
    </cfRule>
  </conditionalFormatting>
  <conditionalFormatting sqref="T28">
    <cfRule type="cellIs" dxfId="14024" priority="179" operator="equal">
      <formula>"OFF"</formula>
    </cfRule>
    <cfRule type="cellIs" dxfId="14023" priority="180" operator="equal">
      <formula>"PTO"</formula>
    </cfRule>
  </conditionalFormatting>
  <conditionalFormatting sqref="T28">
    <cfRule type="cellIs" dxfId="14022" priority="177" operator="equal">
      <formula>"OFF"</formula>
    </cfRule>
    <cfRule type="cellIs" dxfId="14021" priority="178" operator="equal">
      <formula>"PTO"</formula>
    </cfRule>
  </conditionalFormatting>
  <conditionalFormatting sqref="T28">
    <cfRule type="cellIs" dxfId="14020" priority="175" operator="equal">
      <formula>"OFF"</formula>
    </cfRule>
    <cfRule type="cellIs" dxfId="14019" priority="176" operator="equal">
      <formula>"PTO"</formula>
    </cfRule>
  </conditionalFormatting>
  <conditionalFormatting sqref="T28">
    <cfRule type="cellIs" dxfId="14018" priority="173" operator="equal">
      <formula>"OFF"</formula>
    </cfRule>
    <cfRule type="cellIs" dxfId="14017" priority="174" operator="equal">
      <formula>"PTO"</formula>
    </cfRule>
  </conditionalFormatting>
  <conditionalFormatting sqref="T28">
    <cfRule type="cellIs" dxfId="14016" priority="171" operator="equal">
      <formula>"OFF"</formula>
    </cfRule>
    <cfRule type="cellIs" dxfId="14015" priority="172" operator="equal">
      <formula>"PTO"</formula>
    </cfRule>
  </conditionalFormatting>
  <conditionalFormatting sqref="T28">
    <cfRule type="cellIs" dxfId="14014" priority="169" operator="equal">
      <formula>"OFF"</formula>
    </cfRule>
    <cfRule type="cellIs" dxfId="14013" priority="170" operator="equal">
      <formula>"PTO"</formula>
    </cfRule>
  </conditionalFormatting>
  <conditionalFormatting sqref="T28">
    <cfRule type="cellIs" dxfId="14012" priority="167" operator="equal">
      <formula>"OFF"</formula>
    </cfRule>
    <cfRule type="cellIs" dxfId="14011" priority="168" operator="equal">
      <formula>"PTO"</formula>
    </cfRule>
  </conditionalFormatting>
  <conditionalFormatting sqref="T28">
    <cfRule type="cellIs" dxfId="14010" priority="165" operator="equal">
      <formula>"OFF"</formula>
    </cfRule>
    <cfRule type="cellIs" dxfId="14009" priority="166" operator="equal">
      <formula>"PTO"</formula>
    </cfRule>
  </conditionalFormatting>
  <conditionalFormatting sqref="T28">
    <cfRule type="cellIs" dxfId="14008" priority="163" operator="equal">
      <formula>"OFF"</formula>
    </cfRule>
    <cfRule type="cellIs" dxfId="14007" priority="164" operator="equal">
      <formula>"PTO"</formula>
    </cfRule>
  </conditionalFormatting>
  <conditionalFormatting sqref="T28">
    <cfRule type="cellIs" dxfId="14006" priority="161" operator="equal">
      <formula>"OFF"</formula>
    </cfRule>
    <cfRule type="cellIs" dxfId="14005" priority="162" operator="equal">
      <formula>"PTO"</formula>
    </cfRule>
  </conditionalFormatting>
  <conditionalFormatting sqref="T28">
    <cfRule type="cellIs" dxfId="14004" priority="159" operator="equal">
      <formula>"OFF"</formula>
    </cfRule>
    <cfRule type="cellIs" dxfId="14003" priority="160" operator="equal">
      <formula>"PTO"</formula>
    </cfRule>
  </conditionalFormatting>
  <conditionalFormatting sqref="T28">
    <cfRule type="cellIs" dxfId="14002" priority="157" operator="equal">
      <formula>"OFF"</formula>
    </cfRule>
    <cfRule type="cellIs" dxfId="14001" priority="158" operator="equal">
      <formula>"PTO"</formula>
    </cfRule>
  </conditionalFormatting>
  <conditionalFormatting sqref="T28">
    <cfRule type="cellIs" dxfId="14000" priority="155" operator="equal">
      <formula>"OFF"</formula>
    </cfRule>
    <cfRule type="cellIs" dxfId="13999" priority="156" operator="equal">
      <formula>"PTO"</formula>
    </cfRule>
  </conditionalFormatting>
  <conditionalFormatting sqref="T28">
    <cfRule type="cellIs" dxfId="13998" priority="153" operator="equal">
      <formula>"OFF"</formula>
    </cfRule>
    <cfRule type="cellIs" dxfId="13997" priority="154" operator="equal">
      <formula>"PTO"</formula>
    </cfRule>
  </conditionalFormatting>
  <conditionalFormatting sqref="T28">
    <cfRule type="cellIs" dxfId="13996" priority="151" operator="equal">
      <formula>"OFF"</formula>
    </cfRule>
    <cfRule type="cellIs" dxfId="13995" priority="152" operator="equal">
      <formula>"PTO"</formula>
    </cfRule>
  </conditionalFormatting>
  <conditionalFormatting sqref="T28">
    <cfRule type="cellIs" dxfId="13994" priority="149" operator="equal">
      <formula>"OFF"</formula>
    </cfRule>
    <cfRule type="cellIs" dxfId="13993" priority="150" operator="equal">
      <formula>"PTO"</formula>
    </cfRule>
  </conditionalFormatting>
  <conditionalFormatting sqref="T28">
    <cfRule type="cellIs" dxfId="13992" priority="147" operator="equal">
      <formula>"OFF"</formula>
    </cfRule>
    <cfRule type="cellIs" dxfId="13991" priority="148" operator="equal">
      <formula>"PTO"</formula>
    </cfRule>
  </conditionalFormatting>
  <conditionalFormatting sqref="T28">
    <cfRule type="cellIs" dxfId="13990" priority="145" operator="equal">
      <formula>"OFF"</formula>
    </cfRule>
    <cfRule type="cellIs" dxfId="13989" priority="146" operator="equal">
      <formula>"PTO"</formula>
    </cfRule>
  </conditionalFormatting>
  <conditionalFormatting sqref="T28">
    <cfRule type="cellIs" dxfId="13988" priority="143" operator="equal">
      <formula>"OFF"</formula>
    </cfRule>
    <cfRule type="cellIs" dxfId="13987" priority="144" operator="equal">
      <formula>"PTO"</formula>
    </cfRule>
  </conditionalFormatting>
  <conditionalFormatting sqref="T28">
    <cfRule type="cellIs" dxfId="13986" priority="141" operator="equal">
      <formula>"OFF"</formula>
    </cfRule>
    <cfRule type="cellIs" dxfId="13985" priority="142" operator="equal">
      <formula>"PTO"</formula>
    </cfRule>
  </conditionalFormatting>
  <conditionalFormatting sqref="T28">
    <cfRule type="cellIs" dxfId="13984" priority="139" operator="equal">
      <formula>"OFF"</formula>
    </cfRule>
    <cfRule type="cellIs" dxfId="13983" priority="140" operator="equal">
      <formula>"PTO"</formula>
    </cfRule>
  </conditionalFormatting>
  <conditionalFormatting sqref="T28">
    <cfRule type="cellIs" dxfId="13982" priority="137" operator="equal">
      <formula>"OFF"</formula>
    </cfRule>
    <cfRule type="cellIs" dxfId="13981" priority="138" operator="equal">
      <formula>"PTO"</formula>
    </cfRule>
  </conditionalFormatting>
  <conditionalFormatting sqref="T28">
    <cfRule type="cellIs" dxfId="13980" priority="135" operator="equal">
      <formula>"OFF"</formula>
    </cfRule>
    <cfRule type="cellIs" dxfId="13979" priority="136" operator="equal">
      <formula>"PTO"</formula>
    </cfRule>
  </conditionalFormatting>
  <conditionalFormatting sqref="T28">
    <cfRule type="cellIs" dxfId="13978" priority="133" operator="equal">
      <formula>"OFF"</formula>
    </cfRule>
    <cfRule type="cellIs" dxfId="13977" priority="134" operator="equal">
      <formula>"PTO"</formula>
    </cfRule>
  </conditionalFormatting>
  <conditionalFormatting sqref="T28">
    <cfRule type="cellIs" dxfId="13976" priority="131" operator="equal">
      <formula>"OFF"</formula>
    </cfRule>
    <cfRule type="cellIs" dxfId="13975" priority="132" operator="equal">
      <formula>"PTO"</formula>
    </cfRule>
  </conditionalFormatting>
  <conditionalFormatting sqref="T28">
    <cfRule type="cellIs" dxfId="13974" priority="129" operator="equal">
      <formula>"OFF"</formula>
    </cfRule>
    <cfRule type="cellIs" dxfId="13973" priority="130" operator="equal">
      <formula>"PTO"</formula>
    </cfRule>
  </conditionalFormatting>
  <conditionalFormatting sqref="T28">
    <cfRule type="cellIs" dxfId="13972" priority="127" operator="equal">
      <formula>"OFF"</formula>
    </cfRule>
    <cfRule type="cellIs" dxfId="13971" priority="128" operator="equal">
      <formula>"PTO"</formula>
    </cfRule>
  </conditionalFormatting>
  <conditionalFormatting sqref="T28">
    <cfRule type="cellIs" dxfId="13970" priority="125" operator="equal">
      <formula>"OFF"</formula>
    </cfRule>
    <cfRule type="cellIs" dxfId="13969" priority="126" operator="equal">
      <formula>"PTO"</formula>
    </cfRule>
  </conditionalFormatting>
  <conditionalFormatting sqref="T28">
    <cfRule type="cellIs" dxfId="13968" priority="123" operator="equal">
      <formula>"OFF"</formula>
    </cfRule>
    <cfRule type="cellIs" dxfId="13967" priority="124" operator="equal">
      <formula>"PTO"</formula>
    </cfRule>
  </conditionalFormatting>
  <conditionalFormatting sqref="T28">
    <cfRule type="cellIs" dxfId="13966" priority="121" operator="equal">
      <formula>"OFF"</formula>
    </cfRule>
    <cfRule type="cellIs" dxfId="13965" priority="122" operator="equal">
      <formula>"PTO"</formula>
    </cfRule>
  </conditionalFormatting>
  <conditionalFormatting sqref="T28">
    <cfRule type="cellIs" dxfId="13964" priority="119" operator="equal">
      <formula>"OFF"</formula>
    </cfRule>
    <cfRule type="cellIs" dxfId="13963" priority="120" operator="equal">
      <formula>"PTO"</formula>
    </cfRule>
  </conditionalFormatting>
  <conditionalFormatting sqref="T28">
    <cfRule type="cellIs" dxfId="13962" priority="117" operator="equal">
      <formula>"OFF"</formula>
    </cfRule>
    <cfRule type="cellIs" dxfId="13961" priority="118" operator="equal">
      <formula>"PTO"</formula>
    </cfRule>
  </conditionalFormatting>
  <conditionalFormatting sqref="T28">
    <cfRule type="cellIs" dxfId="13960" priority="115" operator="equal">
      <formula>"OFF"</formula>
    </cfRule>
    <cfRule type="cellIs" dxfId="13959" priority="116" operator="equal">
      <formula>"PTO"</formula>
    </cfRule>
  </conditionalFormatting>
  <conditionalFormatting sqref="T28">
    <cfRule type="cellIs" dxfId="13958" priority="113" operator="equal">
      <formula>"OFF"</formula>
    </cfRule>
    <cfRule type="cellIs" dxfId="13957" priority="114" operator="equal">
      <formula>"PTO"</formula>
    </cfRule>
  </conditionalFormatting>
  <conditionalFormatting sqref="T28">
    <cfRule type="cellIs" dxfId="13956" priority="111" operator="equal">
      <formula>"OFF"</formula>
    </cfRule>
    <cfRule type="cellIs" dxfId="13955" priority="112" operator="equal">
      <formula>"PTO"</formula>
    </cfRule>
  </conditionalFormatting>
  <conditionalFormatting sqref="T28">
    <cfRule type="cellIs" dxfId="13954" priority="109" operator="equal">
      <formula>"OFF"</formula>
    </cfRule>
    <cfRule type="cellIs" dxfId="13953" priority="110" operator="equal">
      <formula>"PTO"</formula>
    </cfRule>
  </conditionalFormatting>
  <conditionalFormatting sqref="T28">
    <cfRule type="cellIs" dxfId="13952" priority="107" operator="equal">
      <formula>"OFF"</formula>
    </cfRule>
    <cfRule type="cellIs" dxfId="13951" priority="108" operator="equal">
      <formula>"PTO"</formula>
    </cfRule>
  </conditionalFormatting>
  <conditionalFormatting sqref="T28">
    <cfRule type="cellIs" dxfId="13950" priority="105" operator="equal">
      <formula>"OFF"</formula>
    </cfRule>
    <cfRule type="cellIs" dxfId="13949" priority="106" operator="equal">
      <formula>"PTO"</formula>
    </cfRule>
  </conditionalFormatting>
  <conditionalFormatting sqref="T28">
    <cfRule type="cellIs" dxfId="13948" priority="103" operator="equal">
      <formula>"OFF"</formula>
    </cfRule>
    <cfRule type="cellIs" dxfId="13947" priority="104" operator="equal">
      <formula>"PTO"</formula>
    </cfRule>
  </conditionalFormatting>
  <conditionalFormatting sqref="T28">
    <cfRule type="cellIs" dxfId="13946" priority="101" operator="equal">
      <formula>"OFF"</formula>
    </cfRule>
    <cfRule type="cellIs" dxfId="13945" priority="102" operator="equal">
      <formula>"PTO"</formula>
    </cfRule>
  </conditionalFormatting>
  <conditionalFormatting sqref="T28">
    <cfRule type="cellIs" dxfId="13944" priority="99" operator="equal">
      <formula>"OFF"</formula>
    </cfRule>
    <cfRule type="cellIs" dxfId="13943" priority="100" operator="equal">
      <formula>"PTO"</formula>
    </cfRule>
  </conditionalFormatting>
  <conditionalFormatting sqref="T28">
    <cfRule type="cellIs" dxfId="13942" priority="97" operator="equal">
      <formula>"OFF"</formula>
    </cfRule>
    <cfRule type="cellIs" dxfId="13941" priority="98" operator="equal">
      <formula>"PTO"</formula>
    </cfRule>
  </conditionalFormatting>
  <conditionalFormatting sqref="T28">
    <cfRule type="cellIs" dxfId="13940" priority="95" operator="equal">
      <formula>"OFF"</formula>
    </cfRule>
    <cfRule type="cellIs" dxfId="13939" priority="96" operator="equal">
      <formula>"PTO"</formula>
    </cfRule>
  </conditionalFormatting>
  <conditionalFormatting sqref="T28">
    <cfRule type="cellIs" dxfId="13938" priority="93" operator="equal">
      <formula>"OFF"</formula>
    </cfRule>
    <cfRule type="cellIs" dxfId="13937" priority="94" operator="equal">
      <formula>"PTO"</formula>
    </cfRule>
  </conditionalFormatting>
  <conditionalFormatting sqref="T28">
    <cfRule type="cellIs" dxfId="13936" priority="91" operator="equal">
      <formula>"OFF"</formula>
    </cfRule>
    <cfRule type="cellIs" dxfId="13935" priority="92" operator="equal">
      <formula>"PTO"</formula>
    </cfRule>
  </conditionalFormatting>
  <conditionalFormatting sqref="T28">
    <cfRule type="cellIs" dxfId="13934" priority="89" operator="equal">
      <formula>"OFF"</formula>
    </cfRule>
    <cfRule type="cellIs" dxfId="13933" priority="90" operator="equal">
      <formula>"PTO"</formula>
    </cfRule>
  </conditionalFormatting>
  <conditionalFormatting sqref="T28">
    <cfRule type="cellIs" dxfId="13932" priority="87" operator="equal">
      <formula>"OFF"</formula>
    </cfRule>
    <cfRule type="cellIs" dxfId="13931" priority="88" operator="equal">
      <formula>"PTO"</formula>
    </cfRule>
  </conditionalFormatting>
  <conditionalFormatting sqref="T28">
    <cfRule type="cellIs" dxfId="13930" priority="85" operator="equal">
      <formula>"OFF"</formula>
    </cfRule>
    <cfRule type="cellIs" dxfId="13929" priority="86" operator="equal">
      <formula>"PTO"</formula>
    </cfRule>
  </conditionalFormatting>
  <conditionalFormatting sqref="T28">
    <cfRule type="cellIs" dxfId="13928" priority="83" operator="equal">
      <formula>"OFF"</formula>
    </cfRule>
    <cfRule type="cellIs" dxfId="13927" priority="84" operator="equal">
      <formula>"PTO"</formula>
    </cfRule>
  </conditionalFormatting>
  <conditionalFormatting sqref="T28">
    <cfRule type="cellIs" dxfId="13926" priority="81" operator="equal">
      <formula>"OFF"</formula>
    </cfRule>
    <cfRule type="cellIs" dxfId="13925" priority="82" operator="equal">
      <formula>"PTO"</formula>
    </cfRule>
  </conditionalFormatting>
  <conditionalFormatting sqref="T28">
    <cfRule type="cellIs" dxfId="13924" priority="79" operator="equal">
      <formula>"OFF"</formula>
    </cfRule>
    <cfRule type="cellIs" dxfId="13923" priority="80" operator="equal">
      <formula>"PTO"</formula>
    </cfRule>
  </conditionalFormatting>
  <conditionalFormatting sqref="T28">
    <cfRule type="cellIs" dxfId="13922" priority="77" operator="equal">
      <formula>"OFF"</formula>
    </cfRule>
    <cfRule type="cellIs" dxfId="13921" priority="78" operator="equal">
      <formula>"PTO"</formula>
    </cfRule>
  </conditionalFormatting>
  <conditionalFormatting sqref="T28">
    <cfRule type="cellIs" dxfId="13920" priority="75" operator="equal">
      <formula>"OFF"</formula>
    </cfRule>
    <cfRule type="cellIs" dxfId="13919" priority="76" operator="equal">
      <formula>"PTO"</formula>
    </cfRule>
  </conditionalFormatting>
  <conditionalFormatting sqref="T28">
    <cfRule type="cellIs" dxfId="13918" priority="73" operator="equal">
      <formula>"OFF"</formula>
    </cfRule>
    <cfRule type="cellIs" dxfId="13917" priority="74" operator="equal">
      <formula>"PTO"</formula>
    </cfRule>
  </conditionalFormatting>
  <conditionalFormatting sqref="T28">
    <cfRule type="cellIs" dxfId="13916" priority="71" operator="equal">
      <formula>"OFF"</formula>
    </cfRule>
    <cfRule type="cellIs" dxfId="13915" priority="72" operator="equal">
      <formula>"PTO"</formula>
    </cfRule>
  </conditionalFormatting>
  <conditionalFormatting sqref="T28">
    <cfRule type="cellIs" dxfId="13914" priority="69" operator="equal">
      <formula>"OFF"</formula>
    </cfRule>
    <cfRule type="cellIs" dxfId="13913" priority="70" operator="equal">
      <formula>"PTO"</formula>
    </cfRule>
  </conditionalFormatting>
  <conditionalFormatting sqref="T28">
    <cfRule type="cellIs" dxfId="13912" priority="67" operator="equal">
      <formula>"OFF"</formula>
    </cfRule>
    <cfRule type="cellIs" dxfId="13911" priority="68" operator="equal">
      <formula>"PTO"</formula>
    </cfRule>
  </conditionalFormatting>
  <conditionalFormatting sqref="T28">
    <cfRule type="cellIs" dxfId="13910" priority="65" operator="equal">
      <formula>"OFF"</formula>
    </cfRule>
    <cfRule type="cellIs" dxfId="13909" priority="66" operator="equal">
      <formula>"PTO"</formula>
    </cfRule>
  </conditionalFormatting>
  <conditionalFormatting sqref="T28">
    <cfRule type="cellIs" dxfId="13908" priority="63" operator="equal">
      <formula>"OFF"</formula>
    </cfRule>
    <cfRule type="cellIs" dxfId="13907" priority="64" operator="equal">
      <formula>"PTO"</formula>
    </cfRule>
  </conditionalFormatting>
  <conditionalFormatting sqref="T28">
    <cfRule type="cellIs" dxfId="13906" priority="61" operator="equal">
      <formula>"OFF"</formula>
    </cfRule>
    <cfRule type="cellIs" dxfId="13905" priority="62" operator="equal">
      <formula>"PTO"</formula>
    </cfRule>
  </conditionalFormatting>
  <conditionalFormatting sqref="T28">
    <cfRule type="cellIs" dxfId="13904" priority="59" operator="equal">
      <formula>"OFF"</formula>
    </cfRule>
    <cfRule type="cellIs" dxfId="13903" priority="60" operator="equal">
      <formula>"PTO"</formula>
    </cfRule>
  </conditionalFormatting>
  <conditionalFormatting sqref="T28">
    <cfRule type="cellIs" dxfId="13902" priority="57" operator="equal">
      <formula>"OFF"</formula>
    </cfRule>
    <cfRule type="cellIs" dxfId="13901" priority="58" operator="equal">
      <formula>"PTO"</formula>
    </cfRule>
  </conditionalFormatting>
  <conditionalFormatting sqref="T28">
    <cfRule type="cellIs" dxfId="13900" priority="55" operator="equal">
      <formula>"OFF"</formula>
    </cfRule>
    <cfRule type="cellIs" dxfId="13899" priority="56" operator="equal">
      <formula>"PTO"</formula>
    </cfRule>
  </conditionalFormatting>
  <conditionalFormatting sqref="T28">
    <cfRule type="cellIs" dxfId="13898" priority="53" operator="equal">
      <formula>"OFF"</formula>
    </cfRule>
    <cfRule type="cellIs" dxfId="13897" priority="54" operator="equal">
      <formula>"PTO"</formula>
    </cfRule>
  </conditionalFormatting>
  <conditionalFormatting sqref="T28">
    <cfRule type="cellIs" dxfId="13896" priority="51" operator="equal">
      <formula>"OFF"</formula>
    </cfRule>
    <cfRule type="cellIs" dxfId="13895" priority="52" operator="equal">
      <formula>"PTO"</formula>
    </cfRule>
  </conditionalFormatting>
  <conditionalFormatting sqref="T28">
    <cfRule type="cellIs" dxfId="13894" priority="49" operator="equal">
      <formula>"OFF"</formula>
    </cfRule>
    <cfRule type="cellIs" dxfId="13893" priority="50" operator="equal">
      <formula>"PTO"</formula>
    </cfRule>
  </conditionalFormatting>
  <conditionalFormatting sqref="T28">
    <cfRule type="cellIs" dxfId="13892" priority="47" operator="equal">
      <formula>"OFF"</formula>
    </cfRule>
    <cfRule type="cellIs" dxfId="13891" priority="48" operator="equal">
      <formula>"PTO"</formula>
    </cfRule>
  </conditionalFormatting>
  <conditionalFormatting sqref="T28">
    <cfRule type="cellIs" dxfId="13890" priority="45" operator="equal">
      <formula>"OFF"</formula>
    </cfRule>
    <cfRule type="cellIs" dxfId="13889" priority="46" operator="equal">
      <formula>"PTO"</formula>
    </cfRule>
  </conditionalFormatting>
  <conditionalFormatting sqref="T28">
    <cfRule type="cellIs" dxfId="13888" priority="43" operator="equal">
      <formula>"OFF"</formula>
    </cfRule>
    <cfRule type="cellIs" dxfId="13887" priority="44" operator="equal">
      <formula>"PTO"</formula>
    </cfRule>
  </conditionalFormatting>
  <conditionalFormatting sqref="T28">
    <cfRule type="cellIs" dxfId="13886" priority="41" operator="equal">
      <formula>"OFF"</formula>
    </cfRule>
    <cfRule type="cellIs" dxfId="13885" priority="42" operator="equal">
      <formula>"PTO"</formula>
    </cfRule>
  </conditionalFormatting>
  <conditionalFormatting sqref="T28">
    <cfRule type="cellIs" dxfId="13884" priority="39" operator="equal">
      <formula>"OFF"</formula>
    </cfRule>
    <cfRule type="cellIs" dxfId="13883" priority="40" operator="equal">
      <formula>"PTO"</formula>
    </cfRule>
  </conditionalFormatting>
  <conditionalFormatting sqref="T28">
    <cfRule type="cellIs" dxfId="13882" priority="37" operator="equal">
      <formula>"OFF"</formula>
    </cfRule>
    <cfRule type="cellIs" dxfId="13881" priority="38" operator="equal">
      <formula>"PTO"</formula>
    </cfRule>
  </conditionalFormatting>
  <conditionalFormatting sqref="T28">
    <cfRule type="cellIs" dxfId="13880" priority="35" operator="equal">
      <formula>"OFF"</formula>
    </cfRule>
    <cfRule type="cellIs" dxfId="13879" priority="36" operator="equal">
      <formula>"PTO"</formula>
    </cfRule>
  </conditionalFormatting>
  <conditionalFormatting sqref="T28">
    <cfRule type="cellIs" dxfId="13878" priority="33" operator="equal">
      <formula>"OFF"</formula>
    </cfRule>
    <cfRule type="cellIs" dxfId="13877" priority="34" operator="equal">
      <formula>"PTO"</formula>
    </cfRule>
  </conditionalFormatting>
  <conditionalFormatting sqref="T28">
    <cfRule type="cellIs" dxfId="13876" priority="31" operator="equal">
      <formula>"OFF"</formula>
    </cfRule>
    <cfRule type="cellIs" dxfId="13875" priority="32" operator="equal">
      <formula>"PTO"</formula>
    </cfRule>
  </conditionalFormatting>
  <conditionalFormatting sqref="T28">
    <cfRule type="cellIs" dxfId="13874" priority="29" operator="equal">
      <formula>"OFF"</formula>
    </cfRule>
    <cfRule type="cellIs" dxfId="13873" priority="30" operator="equal">
      <formula>"PTO"</formula>
    </cfRule>
  </conditionalFormatting>
  <conditionalFormatting sqref="T28">
    <cfRule type="cellIs" dxfId="13872" priority="27" operator="equal">
      <formula>"OFF"</formula>
    </cfRule>
    <cfRule type="cellIs" dxfId="13871" priority="28" operator="equal">
      <formula>"PTO"</formula>
    </cfRule>
  </conditionalFormatting>
  <conditionalFormatting sqref="T28">
    <cfRule type="cellIs" dxfId="13870" priority="25" operator="equal">
      <formula>"OFF"</formula>
    </cfRule>
    <cfRule type="cellIs" dxfId="13869" priority="26" operator="equal">
      <formula>"PTO"</formula>
    </cfRule>
  </conditionalFormatting>
  <conditionalFormatting sqref="T28">
    <cfRule type="cellIs" dxfId="13868" priority="23" operator="equal">
      <formula>"OFF"</formula>
    </cfRule>
    <cfRule type="cellIs" dxfId="13867" priority="24" operator="equal">
      <formula>"PTO"</formula>
    </cfRule>
  </conditionalFormatting>
  <conditionalFormatting sqref="T28">
    <cfRule type="cellIs" dxfId="13866" priority="21" operator="equal">
      <formula>"OFF"</formula>
    </cfRule>
    <cfRule type="cellIs" dxfId="13865" priority="22" operator="equal">
      <formula>"PTO"</formula>
    </cfRule>
  </conditionalFormatting>
  <conditionalFormatting sqref="T28">
    <cfRule type="cellIs" dxfId="13864" priority="19" operator="equal">
      <formula>"OFF"</formula>
    </cfRule>
    <cfRule type="cellIs" dxfId="13863" priority="20" operator="equal">
      <formula>"PTO"</formula>
    </cfRule>
  </conditionalFormatting>
  <conditionalFormatting sqref="V28">
    <cfRule type="cellIs" dxfId="13862" priority="17" operator="equal">
      <formula>"OFF"</formula>
    </cfRule>
    <cfRule type="cellIs" dxfId="13861" priority="18" operator="equal">
      <formula>"PTO"</formula>
    </cfRule>
  </conditionalFormatting>
  <conditionalFormatting sqref="V28">
    <cfRule type="cellIs" dxfId="13860" priority="15" operator="equal">
      <formula>"OFF"</formula>
    </cfRule>
    <cfRule type="cellIs" dxfId="13859" priority="16" operator="equal">
      <formula>"PTO"</formula>
    </cfRule>
  </conditionalFormatting>
  <conditionalFormatting sqref="V28">
    <cfRule type="cellIs" dxfId="13858" priority="13" operator="equal">
      <formula>"OFF"</formula>
    </cfRule>
    <cfRule type="cellIs" dxfId="13857" priority="14" operator="equal">
      <formula>"PTO"</formula>
    </cfRule>
  </conditionalFormatting>
  <conditionalFormatting sqref="V28">
    <cfRule type="cellIs" dxfId="13856" priority="11" operator="equal">
      <formula>"OFF"</formula>
    </cfRule>
    <cfRule type="cellIs" dxfId="13855" priority="12" operator="equal">
      <formula>"PTO"</formula>
    </cfRule>
  </conditionalFormatting>
  <conditionalFormatting sqref="V28">
    <cfRule type="cellIs" dxfId="13854" priority="9" operator="equal">
      <formula>"OFF"</formula>
    </cfRule>
    <cfRule type="cellIs" dxfId="13853" priority="10" operator="equal">
      <formula>"PTO"</formula>
    </cfRule>
  </conditionalFormatting>
  <conditionalFormatting sqref="V28">
    <cfRule type="cellIs" dxfId="13852" priority="7" operator="equal">
      <formula>"OFF"</formula>
    </cfRule>
    <cfRule type="cellIs" dxfId="13851" priority="8" operator="equal">
      <formula>"PTO"</formula>
    </cfRule>
  </conditionalFormatting>
  <conditionalFormatting sqref="V28">
    <cfRule type="cellIs" dxfId="13850" priority="5" operator="equal">
      <formula>"OFF"</formula>
    </cfRule>
    <cfRule type="cellIs" dxfId="13849" priority="6" operator="equal">
      <formula>"PTO"</formula>
    </cfRule>
  </conditionalFormatting>
  <conditionalFormatting sqref="V28">
    <cfRule type="cellIs" dxfId="13848" priority="3" operator="equal">
      <formula>"OFF"</formula>
    </cfRule>
    <cfRule type="cellIs" dxfId="13847" priority="4" operator="equal">
      <formula>"PTO"</formula>
    </cfRule>
  </conditionalFormatting>
  <conditionalFormatting sqref="V28">
    <cfRule type="cellIs" dxfId="13846" priority="1" operator="equal">
      <formula>"OFF"</formula>
    </cfRule>
    <cfRule type="cellIs" dxfId="13845" priority="2" operator="equal">
      <formula>"PTO"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/>
  </sheetPr>
  <dimension ref="A1:AC138"/>
  <sheetViews>
    <sheetView zoomScale="70" zoomScaleNormal="70" workbookViewId="0"/>
  </sheetViews>
  <sheetFormatPr defaultRowHeight="15" x14ac:dyDescent="0.25"/>
  <cols>
    <col min="1" max="1" width="34.42578125" customWidth="1"/>
    <col min="2" max="2" width="38" customWidth="1"/>
    <col min="3" max="8" width="10.85546875" customWidth="1"/>
    <col min="9" max="9" width="10.85546875" bestFit="1" customWidth="1"/>
    <col min="10" max="20" width="10.85546875" customWidth="1"/>
    <col min="21" max="22" width="11" customWidth="1"/>
    <col min="23" max="23" width="9.85546875" customWidth="1"/>
    <col min="24" max="24" width="18.85546875" customWidth="1"/>
    <col min="25" max="25" width="10.85546875" customWidth="1"/>
    <col min="26" max="26" width="9.140625" customWidth="1"/>
    <col min="28" max="28" width="9.5703125" customWidth="1"/>
  </cols>
  <sheetData>
    <row r="1" spans="1:29" ht="15.75" thickBot="1" x14ac:dyDescent="0.3">
      <c r="A1" s="150" t="s">
        <v>13</v>
      </c>
      <c r="B1" s="182"/>
      <c r="C1" s="321" t="str">
        <f>'Agent Sched'!C1:I1</f>
        <v>WEEK BEGINNING 0427</v>
      </c>
      <c r="D1" s="322"/>
      <c r="E1" s="322"/>
      <c r="F1" s="322"/>
      <c r="G1" s="322"/>
      <c r="H1" s="322"/>
      <c r="I1" s="323"/>
      <c r="J1" s="324" t="str">
        <f>'Agent Sched'!J1:P1</f>
        <v>WEEK BEGINNING 0504</v>
      </c>
      <c r="K1" s="322"/>
      <c r="L1" s="322"/>
      <c r="M1" s="322"/>
      <c r="N1" s="322"/>
      <c r="O1" s="322"/>
      <c r="P1" s="323"/>
      <c r="Q1" s="324" t="str">
        <f>'Agent Sched'!Q1:W1</f>
        <v>WEEK BEGINNING 0511</v>
      </c>
      <c r="R1" s="322"/>
      <c r="S1" s="322"/>
      <c r="T1" s="322"/>
      <c r="U1" s="322"/>
      <c r="V1" s="322"/>
      <c r="W1" s="323"/>
      <c r="Y1" t="s">
        <v>37</v>
      </c>
      <c r="Z1" t="s">
        <v>113</v>
      </c>
    </row>
    <row r="2" spans="1:29" ht="15.75" thickBot="1" x14ac:dyDescent="0.3">
      <c r="A2" s="309" t="s">
        <v>9</v>
      </c>
      <c r="B2" s="307" t="s">
        <v>10</v>
      </c>
      <c r="C2" s="202" t="s">
        <v>0</v>
      </c>
      <c r="D2" s="203" t="s">
        <v>1</v>
      </c>
      <c r="E2" s="203" t="s">
        <v>2</v>
      </c>
      <c r="F2" s="203" t="s">
        <v>3</v>
      </c>
      <c r="G2" s="203" t="s">
        <v>4</v>
      </c>
      <c r="H2" s="203" t="s">
        <v>5</v>
      </c>
      <c r="I2" s="204" t="s">
        <v>6</v>
      </c>
      <c r="J2" s="207" t="s">
        <v>0</v>
      </c>
      <c r="K2" s="203" t="s">
        <v>1</v>
      </c>
      <c r="L2" s="203" t="s">
        <v>2</v>
      </c>
      <c r="M2" s="203" t="s">
        <v>3</v>
      </c>
      <c r="N2" s="203" t="s">
        <v>4</v>
      </c>
      <c r="O2" s="203" t="s">
        <v>5</v>
      </c>
      <c r="P2" s="204" t="s">
        <v>6</v>
      </c>
      <c r="Q2" s="207" t="s">
        <v>0</v>
      </c>
      <c r="R2" s="203" t="s">
        <v>1</v>
      </c>
      <c r="S2" s="203" t="s">
        <v>2</v>
      </c>
      <c r="T2" s="203" t="s">
        <v>3</v>
      </c>
      <c r="U2" s="203" t="s">
        <v>4</v>
      </c>
      <c r="V2" s="203" t="s">
        <v>5</v>
      </c>
      <c r="W2" s="204" t="s">
        <v>6</v>
      </c>
      <c r="X2" s="226" t="s">
        <v>36</v>
      </c>
      <c r="Y2" s="176" t="s">
        <v>6</v>
      </c>
    </row>
    <row r="3" spans="1:29" ht="15.75" thickBot="1" x14ac:dyDescent="0.3">
      <c r="A3" s="320"/>
      <c r="B3" s="308"/>
      <c r="C3" s="94">
        <f>'Agent Sched'!C3</f>
        <v>46139</v>
      </c>
      <c r="D3" s="95">
        <f t="shared" ref="D3:W3" si="0">C3+1</f>
        <v>46140</v>
      </c>
      <c r="E3" s="95">
        <f t="shared" si="0"/>
        <v>46141</v>
      </c>
      <c r="F3" s="95">
        <f t="shared" si="0"/>
        <v>46142</v>
      </c>
      <c r="G3" s="95">
        <f t="shared" si="0"/>
        <v>46143</v>
      </c>
      <c r="H3" s="95">
        <f t="shared" si="0"/>
        <v>46144</v>
      </c>
      <c r="I3" s="96">
        <f t="shared" si="0"/>
        <v>46145</v>
      </c>
      <c r="J3" s="95">
        <f t="shared" si="0"/>
        <v>46146</v>
      </c>
      <c r="K3" s="95">
        <f t="shared" si="0"/>
        <v>46147</v>
      </c>
      <c r="L3" s="95">
        <f t="shared" si="0"/>
        <v>46148</v>
      </c>
      <c r="M3" s="95">
        <f t="shared" si="0"/>
        <v>46149</v>
      </c>
      <c r="N3" s="95">
        <f t="shared" si="0"/>
        <v>46150</v>
      </c>
      <c r="O3" s="95">
        <f t="shared" si="0"/>
        <v>46151</v>
      </c>
      <c r="P3" s="96">
        <f t="shared" si="0"/>
        <v>46152</v>
      </c>
      <c r="Q3" s="95">
        <f t="shared" si="0"/>
        <v>46153</v>
      </c>
      <c r="R3" s="95">
        <f t="shared" si="0"/>
        <v>46154</v>
      </c>
      <c r="S3" s="95">
        <f t="shared" si="0"/>
        <v>46155</v>
      </c>
      <c r="T3" s="95">
        <f t="shared" si="0"/>
        <v>46156</v>
      </c>
      <c r="U3" s="95">
        <f t="shared" si="0"/>
        <v>46157</v>
      </c>
      <c r="V3" s="95">
        <f t="shared" si="0"/>
        <v>46158</v>
      </c>
      <c r="W3" s="96">
        <f t="shared" si="0"/>
        <v>46159</v>
      </c>
      <c r="X3" s="227"/>
      <c r="Y3" s="177">
        <f>C3-1</f>
        <v>46138</v>
      </c>
      <c r="AB3" s="116">
        <v>0.625</v>
      </c>
      <c r="AC3">
        <f>COUNTIF(X:X,AB3)</f>
        <v>0</v>
      </c>
    </row>
    <row r="4" spans="1:29" x14ac:dyDescent="0.25">
      <c r="A4" s="248">
        <f>VLOOKUP(B4,Masterlist!B:D,2,)</f>
        <v>524596</v>
      </c>
      <c r="B4" s="263" t="s">
        <v>374</v>
      </c>
      <c r="C4" s="298">
        <v>0.58333333333333337</v>
      </c>
      <c r="D4" s="267" t="s">
        <v>7</v>
      </c>
      <c r="E4" s="298">
        <v>0.58333333333333337</v>
      </c>
      <c r="F4" s="298">
        <v>0.58333333333333337</v>
      </c>
      <c r="G4" s="298">
        <v>0.58333333333333337</v>
      </c>
      <c r="H4" s="267" t="s">
        <v>7</v>
      </c>
      <c r="I4" s="299">
        <v>0.58333333333333337</v>
      </c>
      <c r="J4" s="268">
        <v>0.58333333333333337</v>
      </c>
      <c r="K4" s="268">
        <v>0.58333333333333337</v>
      </c>
      <c r="L4" s="268">
        <v>0.58333333333333337</v>
      </c>
      <c r="M4" s="268">
        <v>0.58333333333333337</v>
      </c>
      <c r="N4" s="267" t="s">
        <v>7</v>
      </c>
      <c r="O4" s="267" t="s">
        <v>7</v>
      </c>
      <c r="P4" s="269">
        <v>0.58333333333333337</v>
      </c>
      <c r="Q4" s="268">
        <v>0.58333333333333337</v>
      </c>
      <c r="R4" s="268">
        <v>0.58333333333333337</v>
      </c>
      <c r="S4" s="268">
        <v>0.58333333333333337</v>
      </c>
      <c r="T4" s="268">
        <v>0.58333333333333337</v>
      </c>
      <c r="U4" s="267" t="s">
        <v>7</v>
      </c>
      <c r="V4" s="267" t="s">
        <v>7</v>
      </c>
      <c r="W4" s="269">
        <v>0.58333333333333337</v>
      </c>
      <c r="X4" s="228">
        <f t="shared" ref="X4" si="1">MODE(Q4:W4)</f>
        <v>0.58333333333333337</v>
      </c>
      <c r="Y4" s="269">
        <v>0.58333333333333337</v>
      </c>
      <c r="AB4" s="116"/>
    </row>
    <row r="5" spans="1:29" x14ac:dyDescent="0.25">
      <c r="A5" s="256">
        <f>VLOOKUP(B5,Masterlist!B:D,2,)</f>
        <v>524598</v>
      </c>
      <c r="B5" s="263" t="s">
        <v>375</v>
      </c>
      <c r="C5" s="298">
        <v>0.58333333333333337</v>
      </c>
      <c r="D5" s="267" t="s">
        <v>7</v>
      </c>
      <c r="E5" s="298">
        <v>0.58333333333333337</v>
      </c>
      <c r="F5" s="298">
        <v>0.58333333333333337</v>
      </c>
      <c r="G5" s="298">
        <v>0.58333333333333337</v>
      </c>
      <c r="H5" s="267" t="s">
        <v>7</v>
      </c>
      <c r="I5" s="299">
        <v>0.58333333333333337</v>
      </c>
      <c r="J5" s="268">
        <v>0.58333333333333337</v>
      </c>
      <c r="K5" s="268">
        <v>0.58333333333333337</v>
      </c>
      <c r="L5" s="268">
        <v>0.58333333333333337</v>
      </c>
      <c r="M5" s="268">
        <v>0.58333333333333337</v>
      </c>
      <c r="N5" s="267" t="s">
        <v>7</v>
      </c>
      <c r="O5" s="267" t="s">
        <v>7</v>
      </c>
      <c r="P5" s="269">
        <v>0.58333333333333337</v>
      </c>
      <c r="Q5" s="268">
        <v>0.58333333333333337</v>
      </c>
      <c r="R5" s="268">
        <v>0.58333333333333337</v>
      </c>
      <c r="S5" s="268">
        <v>0.58333333333333337</v>
      </c>
      <c r="T5" s="268">
        <v>0.58333333333333337</v>
      </c>
      <c r="U5" s="267" t="s">
        <v>7</v>
      </c>
      <c r="V5" s="267" t="s">
        <v>7</v>
      </c>
      <c r="W5" s="269">
        <v>0.58333333333333337</v>
      </c>
      <c r="X5" s="228">
        <f t="shared" ref="X5:X13" si="2">MODE(Q5:W5)</f>
        <v>0.58333333333333337</v>
      </c>
      <c r="Y5" s="269">
        <v>0.58333333333333337</v>
      </c>
      <c r="AB5" s="116"/>
    </row>
    <row r="6" spans="1:29" ht="15.75" customHeight="1" x14ac:dyDescent="0.25">
      <c r="A6" s="256">
        <f>VLOOKUP(B6,Masterlist!B:D,2,)</f>
        <v>524599</v>
      </c>
      <c r="B6" s="285" t="s">
        <v>376</v>
      </c>
      <c r="C6" s="267" t="s">
        <v>7</v>
      </c>
      <c r="D6" s="267" t="s">
        <v>7</v>
      </c>
      <c r="E6" s="267" t="s">
        <v>7</v>
      </c>
      <c r="F6" s="267" t="s">
        <v>7</v>
      </c>
      <c r="G6" s="267" t="s">
        <v>7</v>
      </c>
      <c r="H6" s="267" t="s">
        <v>7</v>
      </c>
      <c r="I6" s="272" t="s">
        <v>7</v>
      </c>
      <c r="J6" s="267" t="s">
        <v>7</v>
      </c>
      <c r="K6" s="267" t="s">
        <v>7</v>
      </c>
      <c r="L6" s="267" t="s">
        <v>7</v>
      </c>
      <c r="M6" s="267" t="s">
        <v>7</v>
      </c>
      <c r="N6" s="267" t="s">
        <v>7</v>
      </c>
      <c r="O6" s="267" t="s">
        <v>7</v>
      </c>
      <c r="P6" s="272" t="s">
        <v>7</v>
      </c>
      <c r="Q6" s="267" t="s">
        <v>7</v>
      </c>
      <c r="R6" s="267" t="s">
        <v>7</v>
      </c>
      <c r="S6" s="267" t="s">
        <v>7</v>
      </c>
      <c r="T6" s="267" t="s">
        <v>7</v>
      </c>
      <c r="U6" s="267" t="s">
        <v>7</v>
      </c>
      <c r="V6" s="267" t="s">
        <v>7</v>
      </c>
      <c r="W6" s="272" t="s">
        <v>7</v>
      </c>
      <c r="X6" s="228" t="e">
        <f t="shared" si="2"/>
        <v>#N/A</v>
      </c>
      <c r="Y6" s="272" t="s">
        <v>7</v>
      </c>
    </row>
    <row r="7" spans="1:29" ht="15.75" customHeight="1" x14ac:dyDescent="0.25">
      <c r="A7" s="209">
        <f>VLOOKUP(B7,Masterlist!B:D,2,)</f>
        <v>524593</v>
      </c>
      <c r="B7" s="263" t="s">
        <v>377</v>
      </c>
      <c r="C7" s="298">
        <v>0.58333333333333337</v>
      </c>
      <c r="D7" s="267" t="s">
        <v>7</v>
      </c>
      <c r="E7" s="298">
        <v>0.58333333333333337</v>
      </c>
      <c r="F7" s="298">
        <v>0.58333333333333337</v>
      </c>
      <c r="G7" s="298">
        <v>0.58333333333333337</v>
      </c>
      <c r="H7" s="267" t="s">
        <v>7</v>
      </c>
      <c r="I7" s="299">
        <v>0.58333333333333337</v>
      </c>
      <c r="J7" s="268">
        <v>0.58333333333333337</v>
      </c>
      <c r="K7" s="268">
        <v>0.58333333333333337</v>
      </c>
      <c r="L7" s="268">
        <v>0.58333333333333337</v>
      </c>
      <c r="M7" s="268">
        <v>0.58333333333333337</v>
      </c>
      <c r="N7" s="267" t="s">
        <v>7</v>
      </c>
      <c r="O7" s="267" t="s">
        <v>7</v>
      </c>
      <c r="P7" s="269">
        <v>0.58333333333333337</v>
      </c>
      <c r="Q7" s="268">
        <v>0.58333333333333337</v>
      </c>
      <c r="R7" s="268">
        <v>0.58333333333333337</v>
      </c>
      <c r="S7" s="268">
        <v>0.58333333333333337</v>
      </c>
      <c r="T7" s="268">
        <v>0.58333333333333337</v>
      </c>
      <c r="U7" s="267" t="s">
        <v>7</v>
      </c>
      <c r="V7" s="267" t="s">
        <v>7</v>
      </c>
      <c r="W7" s="269">
        <v>0.58333333333333337</v>
      </c>
      <c r="X7" s="228">
        <f t="shared" si="2"/>
        <v>0.58333333333333337</v>
      </c>
      <c r="Y7" s="269">
        <v>0.58333333333333337</v>
      </c>
    </row>
    <row r="8" spans="1:29" ht="15.75" customHeight="1" x14ac:dyDescent="0.25">
      <c r="A8" s="209">
        <f>VLOOKUP(B8,Masterlist!B:D,2,)</f>
        <v>524591</v>
      </c>
      <c r="B8" s="263" t="s">
        <v>378</v>
      </c>
      <c r="C8" s="298">
        <v>0.58333333333333337</v>
      </c>
      <c r="D8" s="267" t="s">
        <v>7</v>
      </c>
      <c r="E8" s="298">
        <v>0.58333333333333337</v>
      </c>
      <c r="F8" s="298">
        <v>0.58333333333333337</v>
      </c>
      <c r="G8" s="298">
        <v>0.58333333333333337</v>
      </c>
      <c r="H8" s="267" t="s">
        <v>7</v>
      </c>
      <c r="I8" s="299">
        <v>0.58333333333333337</v>
      </c>
      <c r="J8" s="268">
        <v>0.58333333333333337</v>
      </c>
      <c r="K8" s="268">
        <v>0.58333333333333337</v>
      </c>
      <c r="L8" s="268">
        <v>0.58333333333333337</v>
      </c>
      <c r="M8" s="268">
        <v>0.58333333333333337</v>
      </c>
      <c r="N8" s="267" t="s">
        <v>7</v>
      </c>
      <c r="O8" s="267" t="s">
        <v>7</v>
      </c>
      <c r="P8" s="269">
        <v>0.58333333333333337</v>
      </c>
      <c r="Q8" s="268">
        <v>0.58333333333333337</v>
      </c>
      <c r="R8" s="268">
        <v>0.58333333333333337</v>
      </c>
      <c r="S8" s="268">
        <v>0.58333333333333337</v>
      </c>
      <c r="T8" s="268">
        <v>0.58333333333333337</v>
      </c>
      <c r="U8" s="267" t="s">
        <v>7</v>
      </c>
      <c r="V8" s="267" t="s">
        <v>7</v>
      </c>
      <c r="W8" s="269">
        <v>0.58333333333333337</v>
      </c>
      <c r="X8" s="228">
        <f t="shared" si="2"/>
        <v>0.58333333333333337</v>
      </c>
      <c r="Y8" s="269">
        <v>0.58333333333333337</v>
      </c>
    </row>
    <row r="9" spans="1:29" ht="15.75" customHeight="1" x14ac:dyDescent="0.25">
      <c r="A9" s="209">
        <f>VLOOKUP(B9,Masterlist!B:D,2,)</f>
        <v>524600</v>
      </c>
      <c r="B9" s="263" t="s">
        <v>379</v>
      </c>
      <c r="C9" s="298">
        <v>0.58333333333333337</v>
      </c>
      <c r="D9" s="267" t="s">
        <v>7</v>
      </c>
      <c r="E9" s="298">
        <v>0.58333333333333337</v>
      </c>
      <c r="F9" s="298">
        <v>0.58333333333333337</v>
      </c>
      <c r="G9" s="298">
        <v>0.58333333333333337</v>
      </c>
      <c r="H9" s="267" t="s">
        <v>7</v>
      </c>
      <c r="I9" s="299">
        <v>0.58333333333333337</v>
      </c>
      <c r="J9" s="268">
        <v>0.58333333333333337</v>
      </c>
      <c r="K9" s="268">
        <v>0.58333333333333337</v>
      </c>
      <c r="L9" s="268">
        <v>0.58333333333333337</v>
      </c>
      <c r="M9" s="268">
        <v>0.58333333333333337</v>
      </c>
      <c r="N9" s="267" t="s">
        <v>7</v>
      </c>
      <c r="O9" s="267" t="s">
        <v>7</v>
      </c>
      <c r="P9" s="269">
        <v>0.58333333333333337</v>
      </c>
      <c r="Q9" s="268">
        <v>0.58333333333333337</v>
      </c>
      <c r="R9" s="268">
        <v>0.58333333333333337</v>
      </c>
      <c r="S9" s="268">
        <v>0.58333333333333337</v>
      </c>
      <c r="T9" s="268">
        <v>0.58333333333333337</v>
      </c>
      <c r="U9" s="267" t="s">
        <v>7</v>
      </c>
      <c r="V9" s="267" t="s">
        <v>7</v>
      </c>
      <c r="W9" s="269">
        <v>0.58333333333333337</v>
      </c>
      <c r="X9" s="228">
        <f t="shared" si="2"/>
        <v>0.58333333333333337</v>
      </c>
      <c r="Y9" s="269">
        <v>0.58333333333333337</v>
      </c>
    </row>
    <row r="10" spans="1:29" ht="15.75" customHeight="1" x14ac:dyDescent="0.25">
      <c r="A10" s="209">
        <f>VLOOKUP(B10,Masterlist!B:D,2,)</f>
        <v>524597</v>
      </c>
      <c r="B10" s="263" t="s">
        <v>380</v>
      </c>
      <c r="C10" s="298">
        <v>0.58333333333333337</v>
      </c>
      <c r="D10" s="267" t="s">
        <v>7</v>
      </c>
      <c r="E10" s="298">
        <v>0.58333333333333337</v>
      </c>
      <c r="F10" s="298">
        <v>0.58333333333333337</v>
      </c>
      <c r="G10" s="298">
        <v>0.58333333333333337</v>
      </c>
      <c r="H10" s="267" t="s">
        <v>7</v>
      </c>
      <c r="I10" s="299">
        <v>0.58333333333333337</v>
      </c>
      <c r="J10" s="268">
        <v>0.58333333333333337</v>
      </c>
      <c r="K10" s="268">
        <v>0.58333333333333337</v>
      </c>
      <c r="L10" s="268">
        <v>0.58333333333333337</v>
      </c>
      <c r="M10" s="268">
        <v>0.58333333333333337</v>
      </c>
      <c r="N10" s="267" t="s">
        <v>7</v>
      </c>
      <c r="O10" s="267" t="s">
        <v>7</v>
      </c>
      <c r="P10" s="269">
        <v>0.58333333333333337</v>
      </c>
      <c r="Q10" s="268">
        <v>0.58333333333333337</v>
      </c>
      <c r="R10" s="268">
        <v>0.58333333333333337</v>
      </c>
      <c r="S10" s="268">
        <v>0.58333333333333337</v>
      </c>
      <c r="T10" s="268">
        <v>0.58333333333333337</v>
      </c>
      <c r="U10" s="267" t="s">
        <v>7</v>
      </c>
      <c r="V10" s="267" t="s">
        <v>7</v>
      </c>
      <c r="W10" s="269">
        <v>0.58333333333333337</v>
      </c>
      <c r="X10" s="228">
        <f t="shared" si="2"/>
        <v>0.58333333333333337</v>
      </c>
      <c r="Y10" s="269">
        <v>0.58333333333333337</v>
      </c>
    </row>
    <row r="11" spans="1:29" ht="15.75" customHeight="1" x14ac:dyDescent="0.25">
      <c r="A11" s="209">
        <f>VLOOKUP(B11,Masterlist!B:D,2,)</f>
        <v>524595</v>
      </c>
      <c r="B11" s="263" t="s">
        <v>381</v>
      </c>
      <c r="C11" s="298">
        <v>0.58333333333333337</v>
      </c>
      <c r="D11" s="267" t="s">
        <v>7</v>
      </c>
      <c r="E11" s="298">
        <v>0.58333333333333337</v>
      </c>
      <c r="F11" s="298">
        <v>0.58333333333333337</v>
      </c>
      <c r="G11" s="298">
        <v>0.58333333333333337</v>
      </c>
      <c r="H11" s="267" t="s">
        <v>7</v>
      </c>
      <c r="I11" s="299">
        <v>0.58333333333333337</v>
      </c>
      <c r="J11" s="268">
        <v>0.58333333333333337</v>
      </c>
      <c r="K11" s="268">
        <v>0.58333333333333337</v>
      </c>
      <c r="L11" s="268">
        <v>0.58333333333333337</v>
      </c>
      <c r="M11" s="268">
        <v>0.58333333333333337</v>
      </c>
      <c r="N11" s="267" t="s">
        <v>7</v>
      </c>
      <c r="O11" s="267" t="s">
        <v>7</v>
      </c>
      <c r="P11" s="269">
        <v>0.58333333333333337</v>
      </c>
      <c r="Q11" s="268">
        <v>0.58333333333333337</v>
      </c>
      <c r="R11" s="268">
        <v>0.58333333333333337</v>
      </c>
      <c r="S11" s="268">
        <v>0.58333333333333337</v>
      </c>
      <c r="T11" s="268">
        <v>0.58333333333333337</v>
      </c>
      <c r="U11" s="267" t="s">
        <v>7</v>
      </c>
      <c r="V11" s="267" t="s">
        <v>7</v>
      </c>
      <c r="W11" s="269">
        <v>0.58333333333333337</v>
      </c>
      <c r="X11" s="228">
        <f t="shared" si="2"/>
        <v>0.58333333333333337</v>
      </c>
      <c r="Y11" s="269">
        <v>0.58333333333333337</v>
      </c>
    </row>
    <row r="12" spans="1:29" ht="15.75" customHeight="1" x14ac:dyDescent="0.25">
      <c r="A12" s="209">
        <f>VLOOKUP(B12,Masterlist!B:D,2,)</f>
        <v>524594</v>
      </c>
      <c r="B12" s="263" t="s">
        <v>382</v>
      </c>
      <c r="C12" s="298">
        <v>0.58333333333333337</v>
      </c>
      <c r="D12" s="267" t="s">
        <v>7</v>
      </c>
      <c r="E12" s="298">
        <v>0.58333333333333337</v>
      </c>
      <c r="F12" s="298">
        <v>0.58333333333333337</v>
      </c>
      <c r="G12" s="298">
        <v>0.58333333333333337</v>
      </c>
      <c r="H12" s="267" t="s">
        <v>7</v>
      </c>
      <c r="I12" s="299">
        <v>0.58333333333333337</v>
      </c>
      <c r="J12" s="268">
        <v>0.58333333333333337</v>
      </c>
      <c r="K12" s="268">
        <v>0.58333333333333337</v>
      </c>
      <c r="L12" s="268">
        <v>0.58333333333333337</v>
      </c>
      <c r="M12" s="268">
        <v>0.58333333333333337</v>
      </c>
      <c r="N12" s="267" t="s">
        <v>7</v>
      </c>
      <c r="O12" s="267" t="s">
        <v>7</v>
      </c>
      <c r="P12" s="269">
        <v>0.58333333333333337</v>
      </c>
      <c r="Q12" s="268">
        <v>0.58333333333333337</v>
      </c>
      <c r="R12" s="268">
        <v>0.58333333333333337</v>
      </c>
      <c r="S12" s="268">
        <v>0.58333333333333337</v>
      </c>
      <c r="T12" s="268">
        <v>0.58333333333333337</v>
      </c>
      <c r="U12" s="267" t="s">
        <v>7</v>
      </c>
      <c r="V12" s="267" t="s">
        <v>7</v>
      </c>
      <c r="W12" s="269">
        <v>0.58333333333333337</v>
      </c>
      <c r="X12" s="228">
        <f t="shared" si="2"/>
        <v>0.58333333333333337</v>
      </c>
      <c r="Y12" s="269">
        <v>0.58333333333333337</v>
      </c>
    </row>
    <row r="13" spans="1:29" ht="15.75" customHeight="1" x14ac:dyDescent="0.25">
      <c r="A13" s="209">
        <f>VLOOKUP(B13,Masterlist!B:D,2,)</f>
        <v>524592</v>
      </c>
      <c r="B13" s="263" t="s">
        <v>383</v>
      </c>
      <c r="C13" s="298">
        <v>0.58333333333333337</v>
      </c>
      <c r="D13" s="267" t="s">
        <v>7</v>
      </c>
      <c r="E13" s="298">
        <v>0.58333333333333337</v>
      </c>
      <c r="F13" s="298">
        <v>0.58333333333333337</v>
      </c>
      <c r="G13" s="298">
        <v>0.58333333333333337</v>
      </c>
      <c r="H13" s="267" t="s">
        <v>7</v>
      </c>
      <c r="I13" s="299">
        <v>0.58333333333333337</v>
      </c>
      <c r="J13" s="268">
        <v>0.58333333333333337</v>
      </c>
      <c r="K13" s="268">
        <v>0.58333333333333337</v>
      </c>
      <c r="L13" s="268">
        <v>0.58333333333333337</v>
      </c>
      <c r="M13" s="268">
        <v>0.58333333333333337</v>
      </c>
      <c r="N13" s="267" t="s">
        <v>7</v>
      </c>
      <c r="O13" s="267" t="s">
        <v>7</v>
      </c>
      <c r="P13" s="269">
        <v>0.58333333333333337</v>
      </c>
      <c r="Q13" s="268">
        <v>0.58333333333333337</v>
      </c>
      <c r="R13" s="268">
        <v>0.58333333333333337</v>
      </c>
      <c r="S13" s="268">
        <v>0.58333333333333337</v>
      </c>
      <c r="T13" s="268">
        <v>0.58333333333333337</v>
      </c>
      <c r="U13" s="267" t="s">
        <v>7</v>
      </c>
      <c r="V13" s="267" t="s">
        <v>7</v>
      </c>
      <c r="W13" s="269">
        <v>0.58333333333333337</v>
      </c>
      <c r="X13" s="228">
        <f t="shared" si="2"/>
        <v>0.58333333333333337</v>
      </c>
      <c r="Y13" s="269">
        <v>0.58333333333333337</v>
      </c>
    </row>
    <row r="14" spans="1:29" ht="15.75" customHeight="1" x14ac:dyDescent="0.25">
      <c r="A14" s="209"/>
      <c r="B14" s="260"/>
      <c r="C14" s="127"/>
      <c r="D14" s="127"/>
      <c r="E14" s="127"/>
      <c r="F14" s="127"/>
      <c r="G14" s="127"/>
      <c r="H14" s="127"/>
      <c r="I14" s="117"/>
      <c r="J14" s="127"/>
      <c r="K14" s="127"/>
      <c r="L14" s="127"/>
      <c r="M14" s="127"/>
      <c r="N14" s="127"/>
      <c r="O14" s="127"/>
      <c r="P14" s="117"/>
      <c r="Q14" s="127"/>
      <c r="R14" s="127"/>
      <c r="S14" s="127"/>
      <c r="T14" s="127"/>
      <c r="U14" s="127"/>
      <c r="V14" s="127"/>
      <c r="W14" s="117"/>
      <c r="X14" s="265"/>
      <c r="Y14" s="117"/>
    </row>
    <row r="15" spans="1:29" ht="15.75" customHeight="1" x14ac:dyDescent="0.25">
      <c r="A15" s="209"/>
      <c r="B15" s="260"/>
      <c r="C15" s="127"/>
      <c r="D15" s="127"/>
      <c r="E15" s="127"/>
      <c r="F15" s="127"/>
      <c r="G15" s="127"/>
      <c r="H15" s="127"/>
      <c r="I15" s="117"/>
      <c r="J15" s="127"/>
      <c r="K15" s="127"/>
      <c r="L15" s="127"/>
      <c r="M15" s="127"/>
      <c r="N15" s="127"/>
      <c r="O15" s="127"/>
      <c r="P15" s="117"/>
      <c r="Q15" s="127"/>
      <c r="R15" s="127"/>
      <c r="S15" s="127"/>
      <c r="T15" s="127"/>
      <c r="U15" s="127"/>
      <c r="V15" s="127"/>
      <c r="W15" s="117"/>
      <c r="X15" s="265"/>
      <c r="Y15" s="117"/>
    </row>
    <row r="16" spans="1:29" ht="15.75" customHeight="1" x14ac:dyDescent="0.25">
      <c r="A16" s="209"/>
      <c r="B16" s="260"/>
      <c r="C16" s="127"/>
      <c r="D16" s="127"/>
      <c r="E16" s="127"/>
      <c r="F16" s="127"/>
      <c r="G16" s="127"/>
      <c r="H16" s="127"/>
      <c r="I16" s="117"/>
      <c r="J16" s="127"/>
      <c r="K16" s="127"/>
      <c r="L16" s="127"/>
      <c r="M16" s="127"/>
      <c r="N16" s="127"/>
      <c r="O16" s="127"/>
      <c r="P16" s="117"/>
      <c r="Q16" s="127"/>
      <c r="R16" s="127"/>
      <c r="S16" s="127"/>
      <c r="T16" s="127"/>
      <c r="U16" s="127"/>
      <c r="V16" s="127"/>
      <c r="W16" s="117"/>
      <c r="X16" s="265"/>
      <c r="Y16" s="117"/>
    </row>
    <row r="17" spans="1:25" s="124" customFormat="1" ht="15.75" customHeight="1" x14ac:dyDescent="0.25">
      <c r="A17" s="209"/>
      <c r="B17" s="260"/>
      <c r="C17" s="127"/>
      <c r="D17" s="127"/>
      <c r="E17" s="127"/>
      <c r="F17" s="127"/>
      <c r="G17" s="127"/>
      <c r="H17" s="127"/>
      <c r="I17" s="117"/>
      <c r="J17" s="127"/>
      <c r="K17" s="127"/>
      <c r="L17" s="127"/>
      <c r="M17" s="127"/>
      <c r="N17" s="127"/>
      <c r="O17" s="127"/>
      <c r="P17" s="117"/>
      <c r="Q17" s="127"/>
      <c r="R17" s="127"/>
      <c r="S17" s="127"/>
      <c r="T17" s="127"/>
      <c r="U17" s="127"/>
      <c r="V17" s="127"/>
      <c r="W17" s="117"/>
      <c r="X17" s="265"/>
      <c r="Y17" s="117"/>
    </row>
    <row r="18" spans="1:25" s="124" customFormat="1" ht="15.75" customHeight="1" x14ac:dyDescent="0.25">
      <c r="A18" s="209"/>
      <c r="B18" s="260"/>
      <c r="C18" s="127"/>
      <c r="D18" s="127"/>
      <c r="E18" s="127"/>
      <c r="F18" s="127"/>
      <c r="G18" s="127"/>
      <c r="H18" s="127"/>
      <c r="I18" s="117"/>
      <c r="J18" s="127"/>
      <c r="K18" s="127"/>
      <c r="L18" s="127"/>
      <c r="M18" s="127"/>
      <c r="N18" s="127"/>
      <c r="O18" s="127"/>
      <c r="P18" s="117"/>
      <c r="Q18" s="127"/>
      <c r="R18" s="127"/>
      <c r="S18" s="127"/>
      <c r="T18" s="127"/>
      <c r="U18" s="127"/>
      <c r="V18" s="127"/>
      <c r="W18" s="117"/>
      <c r="X18" s="265"/>
      <c r="Y18" s="117"/>
    </row>
    <row r="19" spans="1:25" s="124" customFormat="1" ht="15.75" customHeight="1" x14ac:dyDescent="0.25">
      <c r="A19" s="209"/>
      <c r="B19" s="260"/>
      <c r="C19" s="127"/>
      <c r="D19" s="127"/>
      <c r="E19" s="127"/>
      <c r="F19" s="127"/>
      <c r="G19" s="127"/>
      <c r="H19" s="127"/>
      <c r="I19" s="117"/>
      <c r="J19" s="127"/>
      <c r="K19" s="127"/>
      <c r="L19" s="127"/>
      <c r="M19" s="127"/>
      <c r="N19" s="127"/>
      <c r="O19" s="127"/>
      <c r="P19" s="117"/>
      <c r="Q19" s="127"/>
      <c r="R19" s="127"/>
      <c r="S19" s="127"/>
      <c r="T19" s="127"/>
      <c r="U19" s="127"/>
      <c r="V19" s="127"/>
      <c r="W19" s="117"/>
      <c r="X19" s="265"/>
      <c r="Y19" s="117"/>
    </row>
    <row r="20" spans="1:25" s="124" customFormat="1" ht="15.75" customHeight="1" x14ac:dyDescent="0.25">
      <c r="A20" s="209"/>
      <c r="B20" s="260"/>
      <c r="C20" s="127"/>
      <c r="D20" s="127"/>
      <c r="E20" s="127"/>
      <c r="F20" s="127"/>
      <c r="G20" s="127"/>
      <c r="H20" s="127"/>
      <c r="I20" s="117"/>
      <c r="J20" s="127"/>
      <c r="K20" s="127"/>
      <c r="L20" s="127"/>
      <c r="M20" s="127"/>
      <c r="N20" s="127"/>
      <c r="O20" s="127"/>
      <c r="P20" s="117"/>
      <c r="Q20" s="127"/>
      <c r="R20" s="127"/>
      <c r="S20" s="127"/>
      <c r="T20" s="127"/>
      <c r="U20" s="127"/>
      <c r="V20" s="127"/>
      <c r="W20" s="117"/>
      <c r="X20" s="265"/>
      <c r="Y20" s="117"/>
    </row>
    <row r="21" spans="1:25" s="124" customFormat="1" ht="15.75" customHeight="1" x14ac:dyDescent="0.25">
      <c r="A21" s="209"/>
      <c r="B21" s="260"/>
      <c r="C21" s="127"/>
      <c r="D21" s="127"/>
      <c r="E21" s="127"/>
      <c r="F21" s="127"/>
      <c r="G21" s="127"/>
      <c r="H21" s="127"/>
      <c r="I21" s="117"/>
      <c r="J21" s="127"/>
      <c r="K21" s="127"/>
      <c r="L21" s="127"/>
      <c r="M21" s="127"/>
      <c r="N21" s="127"/>
      <c r="O21" s="127"/>
      <c r="P21" s="117"/>
      <c r="Q21" s="127"/>
      <c r="R21" s="127"/>
      <c r="S21" s="127"/>
      <c r="T21" s="127"/>
      <c r="U21" s="127"/>
      <c r="V21" s="127"/>
      <c r="W21" s="117"/>
      <c r="X21" s="265"/>
      <c r="Y21" s="117"/>
    </row>
    <row r="22" spans="1:25" s="124" customFormat="1" ht="15.75" customHeight="1" x14ac:dyDescent="0.25">
      <c r="A22" s="209"/>
      <c r="B22" s="260"/>
      <c r="C22" s="127"/>
      <c r="D22" s="127"/>
      <c r="E22" s="127"/>
      <c r="F22" s="127"/>
      <c r="G22" s="127"/>
      <c r="H22" s="127"/>
      <c r="I22" s="117"/>
      <c r="J22" s="127"/>
      <c r="K22" s="127"/>
      <c r="L22" s="127"/>
      <c r="M22" s="127"/>
      <c r="N22" s="127"/>
      <c r="O22" s="127"/>
      <c r="P22" s="117"/>
      <c r="Q22" s="127"/>
      <c r="R22" s="127"/>
      <c r="S22" s="127"/>
      <c r="T22" s="127"/>
      <c r="U22" s="127"/>
      <c r="V22" s="127"/>
      <c r="W22" s="117"/>
      <c r="X22" s="265"/>
      <c r="Y22" s="117"/>
    </row>
    <row r="23" spans="1:25" s="124" customFormat="1" ht="15.75" customHeight="1" x14ac:dyDescent="0.25">
      <c r="A23" s="209"/>
      <c r="B23" s="260"/>
      <c r="C23" s="127"/>
      <c r="D23" s="127"/>
      <c r="E23" s="127"/>
      <c r="F23" s="127"/>
      <c r="G23" s="127"/>
      <c r="H23" s="127"/>
      <c r="I23" s="117"/>
      <c r="J23" s="127"/>
      <c r="K23" s="127"/>
      <c r="L23" s="127"/>
      <c r="M23" s="127"/>
      <c r="N23" s="127"/>
      <c r="O23" s="127"/>
      <c r="P23" s="117"/>
      <c r="Q23" s="127"/>
      <c r="R23" s="127"/>
      <c r="S23" s="127"/>
      <c r="T23" s="127"/>
      <c r="U23" s="127"/>
      <c r="V23" s="127"/>
      <c r="W23" s="117"/>
      <c r="X23" s="265"/>
      <c r="Y23" s="117"/>
    </row>
    <row r="24" spans="1:25" s="124" customFormat="1" ht="15.75" customHeight="1" x14ac:dyDescent="0.25">
      <c r="A24" s="209"/>
      <c r="B24" s="260"/>
      <c r="C24" s="127"/>
      <c r="D24" s="127"/>
      <c r="E24" s="127"/>
      <c r="F24" s="127"/>
      <c r="G24" s="127"/>
      <c r="H24" s="127"/>
      <c r="I24" s="117"/>
      <c r="J24" s="127"/>
      <c r="K24" s="127"/>
      <c r="L24" s="127"/>
      <c r="M24" s="127"/>
      <c r="N24" s="127"/>
      <c r="O24" s="127"/>
      <c r="P24" s="117"/>
      <c r="Q24" s="127"/>
      <c r="R24" s="127"/>
      <c r="S24" s="127"/>
      <c r="T24" s="127"/>
      <c r="U24" s="127"/>
      <c r="V24" s="127"/>
      <c r="W24" s="117"/>
      <c r="X24" s="265"/>
      <c r="Y24" s="117"/>
    </row>
    <row r="25" spans="1:25" s="124" customFormat="1" ht="15.75" customHeight="1" x14ac:dyDescent="0.25">
      <c r="A25" s="209"/>
      <c r="B25" s="260"/>
      <c r="C25" s="127"/>
      <c r="D25" s="127"/>
      <c r="E25" s="127"/>
      <c r="F25" s="127"/>
      <c r="G25" s="127"/>
      <c r="H25" s="127"/>
      <c r="I25" s="117"/>
      <c r="J25" s="127"/>
      <c r="K25" s="127"/>
      <c r="L25" s="127"/>
      <c r="M25" s="127"/>
      <c r="N25" s="127"/>
      <c r="O25" s="127"/>
      <c r="P25" s="117"/>
      <c r="Q25" s="127"/>
      <c r="R25" s="127"/>
      <c r="S25" s="127"/>
      <c r="T25" s="127"/>
      <c r="U25" s="127"/>
      <c r="V25" s="127"/>
      <c r="W25" s="117"/>
      <c r="X25" s="265"/>
      <c r="Y25" s="117"/>
    </row>
    <row r="26" spans="1:25" s="124" customFormat="1" ht="15.75" customHeight="1" x14ac:dyDescent="0.25">
      <c r="A26" s="209"/>
      <c r="B26" s="260"/>
      <c r="C26" s="127"/>
      <c r="D26" s="127"/>
      <c r="E26" s="127"/>
      <c r="F26" s="127"/>
      <c r="G26" s="127"/>
      <c r="H26" s="127"/>
      <c r="I26" s="117"/>
      <c r="J26" s="127"/>
      <c r="K26" s="127"/>
      <c r="L26" s="127"/>
      <c r="M26" s="127"/>
      <c r="N26" s="127"/>
      <c r="O26" s="127"/>
      <c r="P26" s="117"/>
      <c r="Q26" s="127"/>
      <c r="R26" s="127"/>
      <c r="S26" s="127"/>
      <c r="T26" s="127"/>
      <c r="U26" s="127"/>
      <c r="V26" s="127"/>
      <c r="W26" s="117"/>
      <c r="X26" s="265"/>
      <c r="Y26" s="117"/>
    </row>
    <row r="27" spans="1:25" s="124" customFormat="1" ht="15.75" customHeight="1" x14ac:dyDescent="0.25">
      <c r="A27" s="209"/>
      <c r="B27" s="260"/>
      <c r="C27" s="127"/>
      <c r="D27" s="127"/>
      <c r="E27" s="127"/>
      <c r="F27" s="127"/>
      <c r="G27" s="127"/>
      <c r="H27" s="127"/>
      <c r="I27" s="117"/>
      <c r="J27" s="127"/>
      <c r="K27" s="127"/>
      <c r="L27" s="127"/>
      <c r="M27" s="127"/>
      <c r="N27" s="127"/>
      <c r="O27" s="127"/>
      <c r="P27" s="117"/>
      <c r="Q27" s="127"/>
      <c r="R27" s="127"/>
      <c r="S27" s="127"/>
      <c r="T27" s="127"/>
      <c r="U27" s="127"/>
      <c r="V27" s="127"/>
      <c r="W27" s="117"/>
      <c r="X27" s="265"/>
      <c r="Y27" s="117"/>
    </row>
    <row r="28" spans="1:25" s="124" customFormat="1" ht="15.75" customHeight="1" x14ac:dyDescent="0.25">
      <c r="A28" s="209"/>
      <c r="B28" s="260"/>
      <c r="C28" s="127"/>
      <c r="D28" s="127"/>
      <c r="E28" s="127"/>
      <c r="F28" s="127"/>
      <c r="G28" s="127"/>
      <c r="H28" s="127"/>
      <c r="I28" s="117"/>
      <c r="J28" s="127"/>
      <c r="K28" s="127"/>
      <c r="L28" s="127"/>
      <c r="M28" s="127"/>
      <c r="N28" s="127"/>
      <c r="O28" s="127"/>
      <c r="P28" s="117"/>
      <c r="Q28" s="127"/>
      <c r="R28" s="127"/>
      <c r="S28" s="127"/>
      <c r="T28" s="127"/>
      <c r="U28" s="127"/>
      <c r="V28" s="127"/>
      <c r="W28" s="117"/>
      <c r="X28" s="265"/>
      <c r="Y28" s="117"/>
    </row>
    <row r="29" spans="1:25" s="124" customFormat="1" ht="15.75" customHeight="1" x14ac:dyDescent="0.25">
      <c r="A29" s="209"/>
      <c r="B29" s="260"/>
      <c r="C29" s="127"/>
      <c r="D29" s="127"/>
      <c r="E29" s="127"/>
      <c r="F29" s="127"/>
      <c r="G29" s="127"/>
      <c r="H29" s="127"/>
      <c r="I29" s="117"/>
      <c r="J29" s="127"/>
      <c r="K29" s="127"/>
      <c r="L29" s="127"/>
      <c r="M29" s="127"/>
      <c r="N29" s="127"/>
      <c r="O29" s="127"/>
      <c r="P29" s="117"/>
      <c r="Q29" s="127"/>
      <c r="R29" s="127"/>
      <c r="S29" s="127"/>
      <c r="T29" s="127"/>
      <c r="U29" s="127"/>
      <c r="V29" s="127"/>
      <c r="W29" s="117"/>
      <c r="X29" s="265"/>
      <c r="Y29" s="117"/>
    </row>
    <row r="30" spans="1:25" s="124" customFormat="1" ht="15.75" customHeight="1" x14ac:dyDescent="0.25">
      <c r="A30" s="209"/>
      <c r="B30" s="260"/>
      <c r="C30" s="127"/>
      <c r="D30" s="127"/>
      <c r="E30" s="127"/>
      <c r="F30" s="127"/>
      <c r="G30" s="127"/>
      <c r="H30" s="127"/>
      <c r="I30" s="117"/>
      <c r="J30" s="127"/>
      <c r="K30" s="127"/>
      <c r="L30" s="127"/>
      <c r="M30" s="127"/>
      <c r="N30" s="127"/>
      <c r="O30" s="127"/>
      <c r="P30" s="117"/>
      <c r="Q30" s="127"/>
      <c r="R30" s="127"/>
      <c r="S30" s="127"/>
      <c r="T30" s="127"/>
      <c r="U30" s="127"/>
      <c r="V30" s="127"/>
      <c r="W30" s="117"/>
      <c r="X30" s="265"/>
      <c r="Y30" s="117"/>
    </row>
    <row r="31" spans="1:25" s="124" customFormat="1" ht="15.75" customHeight="1" x14ac:dyDescent="0.25">
      <c r="A31" s="209"/>
      <c r="B31" s="260"/>
      <c r="C31" s="127"/>
      <c r="D31" s="127"/>
      <c r="E31" s="127"/>
      <c r="F31" s="127"/>
      <c r="G31" s="127"/>
      <c r="H31" s="127"/>
      <c r="I31" s="117"/>
      <c r="J31" s="127"/>
      <c r="K31" s="127"/>
      <c r="L31" s="127"/>
      <c r="M31" s="127"/>
      <c r="N31" s="127"/>
      <c r="O31" s="127"/>
      <c r="P31" s="117"/>
      <c r="Q31" s="127"/>
      <c r="R31" s="127"/>
      <c r="S31" s="127"/>
      <c r="T31" s="127"/>
      <c r="U31" s="127"/>
      <c r="V31" s="127"/>
      <c r="W31" s="117"/>
      <c r="X31" s="265"/>
      <c r="Y31" s="117"/>
    </row>
    <row r="32" spans="1:25" s="124" customFormat="1" ht="15.75" customHeight="1" x14ac:dyDescent="0.25">
      <c r="A32" s="209"/>
      <c r="B32" s="260"/>
      <c r="C32" s="127"/>
      <c r="D32" s="127"/>
      <c r="E32" s="127"/>
      <c r="F32" s="127"/>
      <c r="G32" s="127"/>
      <c r="H32" s="127"/>
      <c r="I32" s="117"/>
      <c r="J32" s="127"/>
      <c r="K32" s="127"/>
      <c r="L32" s="127"/>
      <c r="M32" s="127"/>
      <c r="N32" s="127"/>
      <c r="O32" s="127"/>
      <c r="P32" s="117"/>
      <c r="Q32" s="127"/>
      <c r="R32" s="127"/>
      <c r="S32" s="127"/>
      <c r="T32" s="127"/>
      <c r="U32" s="127"/>
      <c r="V32" s="127"/>
      <c r="W32" s="117"/>
      <c r="X32" s="265"/>
      <c r="Y32" s="117"/>
    </row>
    <row r="33" spans="1:25" s="124" customFormat="1" ht="15.75" customHeight="1" x14ac:dyDescent="0.25">
      <c r="A33" s="209"/>
      <c r="B33" s="260"/>
      <c r="C33" s="127"/>
      <c r="D33" s="127"/>
      <c r="E33" s="127"/>
      <c r="F33" s="127"/>
      <c r="G33" s="127"/>
      <c r="H33" s="127"/>
      <c r="I33" s="117"/>
      <c r="J33" s="127"/>
      <c r="K33" s="127"/>
      <c r="L33" s="127"/>
      <c r="M33" s="127"/>
      <c r="N33" s="127"/>
      <c r="O33" s="127"/>
      <c r="P33" s="117"/>
      <c r="Q33" s="127"/>
      <c r="R33" s="127"/>
      <c r="S33" s="127"/>
      <c r="T33" s="127"/>
      <c r="U33" s="127"/>
      <c r="V33" s="127"/>
      <c r="W33" s="117"/>
      <c r="X33" s="228"/>
      <c r="Y33" s="72"/>
    </row>
    <row r="34" spans="1:25" s="124" customFormat="1" ht="15.75" customHeight="1" x14ac:dyDescent="0.25">
      <c r="A34" s="209"/>
      <c r="B34" s="260"/>
      <c r="C34" s="127"/>
      <c r="D34" s="127"/>
      <c r="E34" s="127"/>
      <c r="F34" s="127"/>
      <c r="G34" s="127"/>
      <c r="H34" s="127"/>
      <c r="I34" s="117"/>
      <c r="J34" s="127"/>
      <c r="K34" s="127"/>
      <c r="L34" s="127"/>
      <c r="M34" s="127"/>
      <c r="N34" s="127"/>
      <c r="O34" s="127"/>
      <c r="P34" s="117"/>
      <c r="Q34" s="127"/>
      <c r="R34" s="127"/>
      <c r="S34" s="127"/>
      <c r="T34" s="127"/>
      <c r="U34" s="127"/>
      <c r="V34" s="127"/>
      <c r="W34" s="117"/>
      <c r="X34" s="228"/>
      <c r="Y34" s="72"/>
    </row>
    <row r="35" spans="1:25" s="124" customFormat="1" ht="15.75" customHeight="1" x14ac:dyDescent="0.25">
      <c r="A35" s="209"/>
      <c r="B35" s="260"/>
      <c r="C35" s="127"/>
      <c r="D35" s="127"/>
      <c r="E35" s="127"/>
      <c r="F35" s="127"/>
      <c r="G35" s="127"/>
      <c r="H35" s="127"/>
      <c r="I35" s="117"/>
      <c r="J35" s="127"/>
      <c r="K35" s="127"/>
      <c r="L35" s="127"/>
      <c r="M35" s="127"/>
      <c r="N35" s="127"/>
      <c r="O35" s="127"/>
      <c r="P35" s="117"/>
      <c r="Q35" s="127"/>
      <c r="R35" s="127"/>
      <c r="S35" s="127"/>
      <c r="T35" s="127"/>
      <c r="U35" s="127"/>
      <c r="V35" s="127"/>
      <c r="W35" s="117"/>
      <c r="X35" s="127"/>
      <c r="Y35" s="72"/>
    </row>
    <row r="36" spans="1:25" s="124" customFormat="1" ht="15.75" customHeight="1" x14ac:dyDescent="0.25">
      <c r="A36" s="209"/>
      <c r="B36" s="260"/>
      <c r="C36" s="127"/>
      <c r="D36" s="127"/>
      <c r="E36" s="127"/>
      <c r="F36" s="127"/>
      <c r="G36" s="127"/>
      <c r="H36" s="127"/>
      <c r="I36" s="117"/>
      <c r="J36" s="127"/>
      <c r="K36" s="127"/>
      <c r="L36" s="127"/>
      <c r="M36" s="127"/>
      <c r="N36" s="127"/>
      <c r="O36" s="127"/>
      <c r="P36" s="117"/>
      <c r="Q36" s="127"/>
      <c r="R36" s="127"/>
      <c r="S36" s="127"/>
      <c r="T36" s="127"/>
      <c r="U36" s="127"/>
      <c r="V36" s="127"/>
      <c r="W36" s="117"/>
      <c r="X36" s="127"/>
      <c r="Y36" s="72"/>
    </row>
    <row r="37" spans="1:25" s="124" customFormat="1" ht="15.75" customHeight="1" x14ac:dyDescent="0.25">
      <c r="A37" s="209"/>
      <c r="B37" s="260"/>
      <c r="C37" s="127"/>
      <c r="D37" s="127"/>
      <c r="E37" s="127"/>
      <c r="F37" s="127"/>
      <c r="G37" s="127"/>
      <c r="H37" s="127"/>
      <c r="I37" s="117"/>
      <c r="J37" s="127"/>
      <c r="K37" s="127"/>
      <c r="L37" s="127"/>
      <c r="M37" s="127"/>
      <c r="N37" s="127"/>
      <c r="O37" s="127"/>
      <c r="P37" s="117"/>
      <c r="Q37" s="127"/>
      <c r="R37" s="127"/>
      <c r="S37" s="127"/>
      <c r="T37" s="127"/>
      <c r="U37" s="127"/>
      <c r="V37" s="127"/>
      <c r="W37" s="117"/>
      <c r="X37" s="127"/>
      <c r="Y37" s="72"/>
    </row>
    <row r="38" spans="1:25" s="124" customFormat="1" ht="15.75" customHeight="1" x14ac:dyDescent="0.25">
      <c r="A38" s="209"/>
      <c r="B38" s="260"/>
      <c r="C38" s="127"/>
      <c r="D38" s="127"/>
      <c r="E38" s="127"/>
      <c r="F38" s="127"/>
      <c r="G38" s="127"/>
      <c r="H38" s="127"/>
      <c r="I38" s="117"/>
      <c r="J38" s="127"/>
      <c r="K38" s="127"/>
      <c r="L38" s="127"/>
      <c r="M38" s="127"/>
      <c r="N38" s="127"/>
      <c r="O38" s="127"/>
      <c r="P38" s="117"/>
      <c r="Q38" s="127"/>
      <c r="R38" s="127"/>
      <c r="S38" s="127"/>
      <c r="T38" s="127"/>
      <c r="U38" s="127"/>
      <c r="V38" s="127"/>
      <c r="W38" s="117"/>
      <c r="X38" s="127"/>
      <c r="Y38" s="72"/>
    </row>
    <row r="39" spans="1:25" s="124" customFormat="1" ht="15.75" customHeight="1" x14ac:dyDescent="0.25">
      <c r="A39" s="209"/>
      <c r="B39" s="260"/>
      <c r="C39" s="127"/>
      <c r="D39" s="127"/>
      <c r="E39" s="127"/>
      <c r="F39" s="127"/>
      <c r="G39" s="127"/>
      <c r="H39" s="127"/>
      <c r="I39" s="117"/>
      <c r="J39" s="127"/>
      <c r="K39" s="127"/>
      <c r="L39" s="127"/>
      <c r="M39" s="127"/>
      <c r="N39" s="127"/>
      <c r="O39" s="127"/>
      <c r="P39" s="117"/>
      <c r="Q39" s="127"/>
      <c r="R39" s="127"/>
      <c r="S39" s="127"/>
      <c r="T39" s="127"/>
      <c r="U39" s="127"/>
      <c r="V39" s="127"/>
      <c r="W39" s="117"/>
      <c r="X39" s="127"/>
      <c r="Y39" s="72"/>
    </row>
    <row r="40" spans="1:25" s="124" customFormat="1" ht="15.75" customHeight="1" x14ac:dyDescent="0.25">
      <c r="A40" s="209"/>
      <c r="B40" s="260"/>
      <c r="C40" s="127"/>
      <c r="D40" s="127"/>
      <c r="E40" s="127"/>
      <c r="F40" s="127"/>
      <c r="G40" s="127"/>
      <c r="H40" s="127"/>
      <c r="I40" s="117"/>
      <c r="J40" s="127"/>
      <c r="K40" s="127"/>
      <c r="L40" s="127"/>
      <c r="M40" s="127"/>
      <c r="N40" s="127"/>
      <c r="O40" s="127"/>
      <c r="P40" s="117"/>
      <c r="Q40" s="127"/>
      <c r="R40" s="127"/>
      <c r="S40" s="127"/>
      <c r="T40" s="127"/>
      <c r="U40" s="127"/>
      <c r="V40" s="127"/>
      <c r="W40" s="117"/>
      <c r="X40" s="127"/>
      <c r="Y40" s="72"/>
    </row>
    <row r="41" spans="1:25" s="124" customFormat="1" ht="15.75" customHeight="1" x14ac:dyDescent="0.25">
      <c r="A41" s="209"/>
      <c r="B41" s="260"/>
      <c r="C41" s="127"/>
      <c r="D41" s="127"/>
      <c r="E41" s="127"/>
      <c r="F41" s="127"/>
      <c r="G41" s="127"/>
      <c r="H41" s="127"/>
      <c r="I41" s="117"/>
      <c r="J41" s="127"/>
      <c r="K41" s="127"/>
      <c r="L41" s="127"/>
      <c r="M41" s="127"/>
      <c r="N41" s="127"/>
      <c r="O41" s="127"/>
      <c r="P41" s="117"/>
      <c r="Q41" s="127"/>
      <c r="R41" s="127"/>
      <c r="S41" s="127"/>
      <c r="T41" s="127"/>
      <c r="U41" s="127"/>
      <c r="V41" s="127"/>
      <c r="W41" s="117"/>
      <c r="X41" s="127"/>
      <c r="Y41" s="72"/>
    </row>
    <row r="42" spans="1:25" s="124" customFormat="1" ht="15.75" customHeight="1" x14ac:dyDescent="0.25">
      <c r="A42" s="209"/>
      <c r="B42" s="260"/>
      <c r="C42" s="127"/>
      <c r="D42" s="127"/>
      <c r="E42" s="127"/>
      <c r="F42" s="127"/>
      <c r="G42" s="127"/>
      <c r="H42" s="127"/>
      <c r="I42" s="117"/>
      <c r="J42" s="127"/>
      <c r="K42" s="127"/>
      <c r="L42" s="127"/>
      <c r="M42" s="127"/>
      <c r="N42" s="127"/>
      <c r="O42" s="127"/>
      <c r="P42" s="117"/>
      <c r="Q42" s="127"/>
      <c r="R42" s="127"/>
      <c r="S42" s="127"/>
      <c r="T42" s="127"/>
      <c r="U42" s="127"/>
      <c r="V42" s="127"/>
      <c r="W42" s="117"/>
      <c r="X42" s="127"/>
      <c r="Y42" s="72"/>
    </row>
    <row r="43" spans="1:25" s="124" customFormat="1" ht="15.75" customHeight="1" x14ac:dyDescent="0.25">
      <c r="A43" s="209"/>
      <c r="B43" s="260"/>
      <c r="C43" s="121"/>
      <c r="D43" s="127"/>
      <c r="E43" s="127"/>
      <c r="F43" s="127"/>
      <c r="G43" s="127"/>
      <c r="H43" s="127"/>
      <c r="I43" s="117"/>
      <c r="J43" s="121"/>
      <c r="K43" s="127"/>
      <c r="L43" s="127"/>
      <c r="M43" s="127"/>
      <c r="N43" s="127"/>
      <c r="O43" s="127"/>
      <c r="P43" s="117"/>
      <c r="Q43" s="121"/>
      <c r="R43" s="127"/>
      <c r="S43" s="127"/>
      <c r="T43" s="127"/>
      <c r="U43" s="127"/>
      <c r="V43" s="127"/>
      <c r="W43" s="117"/>
      <c r="X43" s="127"/>
      <c r="Y43" s="117"/>
    </row>
    <row r="44" spans="1:25" s="124" customFormat="1" ht="15.75" customHeight="1" x14ac:dyDescent="0.25">
      <c r="A44" s="209"/>
      <c r="B44" s="260"/>
      <c r="C44" s="121"/>
      <c r="D44" s="127"/>
      <c r="E44" s="127"/>
      <c r="F44" s="127"/>
      <c r="G44" s="127"/>
      <c r="H44" s="127"/>
      <c r="I44" s="117"/>
      <c r="J44" s="121"/>
      <c r="K44" s="127"/>
      <c r="L44" s="127"/>
      <c r="M44" s="127"/>
      <c r="N44" s="127"/>
      <c r="O44" s="127"/>
      <c r="P44" s="117"/>
      <c r="Q44" s="121"/>
      <c r="R44" s="127"/>
      <c r="S44" s="127"/>
      <c r="T44" s="127"/>
      <c r="U44" s="127"/>
      <c r="V44" s="127"/>
      <c r="W44" s="117"/>
      <c r="X44" s="127"/>
      <c r="Y44" s="117"/>
    </row>
    <row r="45" spans="1:25" s="124" customFormat="1" ht="15.75" customHeight="1" x14ac:dyDescent="0.25">
      <c r="A45" s="209"/>
      <c r="B45" s="260"/>
      <c r="C45" s="121"/>
      <c r="D45" s="127"/>
      <c r="E45" s="127"/>
      <c r="F45" s="127"/>
      <c r="G45" s="127"/>
      <c r="H45" s="127"/>
      <c r="I45" s="117"/>
      <c r="J45" s="121"/>
      <c r="K45" s="127"/>
      <c r="L45" s="127"/>
      <c r="M45" s="127"/>
      <c r="N45" s="127"/>
      <c r="O45" s="127"/>
      <c r="P45" s="117"/>
      <c r="Q45" s="121"/>
      <c r="R45" s="127"/>
      <c r="S45" s="127"/>
      <c r="T45" s="127"/>
      <c r="U45" s="127"/>
      <c r="V45" s="127"/>
      <c r="W45" s="117"/>
      <c r="X45" s="127"/>
      <c r="Y45" s="117"/>
    </row>
    <row r="46" spans="1:25" s="124" customFormat="1" ht="15.75" customHeight="1" x14ac:dyDescent="0.25">
      <c r="A46" s="209"/>
      <c r="B46" s="260"/>
      <c r="C46" s="121"/>
      <c r="D46" s="127"/>
      <c r="E46" s="127"/>
      <c r="F46" s="127"/>
      <c r="G46" s="127"/>
      <c r="H46" s="127"/>
      <c r="I46" s="117"/>
      <c r="J46" s="121"/>
      <c r="K46" s="127"/>
      <c r="L46" s="127"/>
      <c r="M46" s="127"/>
      <c r="N46" s="127"/>
      <c r="O46" s="127"/>
      <c r="P46" s="117"/>
      <c r="Q46" s="121"/>
      <c r="R46" s="127"/>
      <c r="S46" s="127"/>
      <c r="T46" s="127"/>
      <c r="U46" s="127"/>
      <c r="V46" s="127"/>
      <c r="W46" s="117"/>
      <c r="X46" s="127"/>
      <c r="Y46" s="117"/>
    </row>
    <row r="47" spans="1:25" s="124" customFormat="1" ht="15.75" customHeight="1" x14ac:dyDescent="0.25">
      <c r="A47" s="209"/>
      <c r="B47" s="260"/>
      <c r="C47" s="121"/>
      <c r="D47" s="127"/>
      <c r="E47" s="127"/>
      <c r="F47" s="127"/>
      <c r="G47" s="127"/>
      <c r="H47" s="127"/>
      <c r="I47" s="117"/>
      <c r="J47" s="121"/>
      <c r="K47" s="127"/>
      <c r="L47" s="127"/>
      <c r="M47" s="127"/>
      <c r="N47" s="127"/>
      <c r="O47" s="127"/>
      <c r="P47" s="117"/>
      <c r="Q47" s="121"/>
      <c r="R47" s="127"/>
      <c r="S47" s="127"/>
      <c r="T47" s="127"/>
      <c r="U47" s="127"/>
      <c r="V47" s="127"/>
      <c r="W47" s="117"/>
      <c r="X47" s="127"/>
      <c r="Y47" s="117"/>
    </row>
    <row r="48" spans="1:25" s="124" customFormat="1" ht="15.75" customHeight="1" x14ac:dyDescent="0.25">
      <c r="A48" s="209"/>
      <c r="B48" s="260"/>
      <c r="C48" s="121"/>
      <c r="D48" s="127"/>
      <c r="E48" s="127"/>
      <c r="F48" s="127"/>
      <c r="G48" s="127"/>
      <c r="H48" s="127"/>
      <c r="I48" s="117"/>
      <c r="J48" s="121"/>
      <c r="K48" s="127"/>
      <c r="L48" s="127"/>
      <c r="M48" s="127"/>
      <c r="N48" s="127"/>
      <c r="O48" s="127"/>
      <c r="P48" s="117"/>
      <c r="Q48" s="121"/>
      <c r="R48" s="127"/>
      <c r="S48" s="127"/>
      <c r="T48" s="127"/>
      <c r="U48" s="127"/>
      <c r="V48" s="127"/>
      <c r="W48" s="117"/>
      <c r="X48" s="127"/>
      <c r="Y48" s="117"/>
    </row>
    <row r="49" spans="1:25" s="124" customFormat="1" ht="15.75" customHeight="1" x14ac:dyDescent="0.25">
      <c r="A49" s="209"/>
      <c r="B49" s="260"/>
      <c r="C49" s="121"/>
      <c r="D49" s="127"/>
      <c r="E49" s="127"/>
      <c r="F49" s="127"/>
      <c r="G49" s="127"/>
      <c r="H49" s="127"/>
      <c r="I49" s="117"/>
      <c r="J49" s="121"/>
      <c r="K49" s="127"/>
      <c r="L49" s="127"/>
      <c r="M49" s="127"/>
      <c r="N49" s="127"/>
      <c r="O49" s="127"/>
      <c r="P49" s="117"/>
      <c r="Q49" s="121"/>
      <c r="R49" s="127"/>
      <c r="S49" s="127"/>
      <c r="T49" s="127"/>
      <c r="U49" s="127"/>
      <c r="V49" s="127"/>
      <c r="W49" s="117"/>
      <c r="X49" s="127"/>
      <c r="Y49" s="117"/>
    </row>
    <row r="50" spans="1:25" s="124" customFormat="1" ht="15.75" customHeight="1" x14ac:dyDescent="0.25">
      <c r="A50" s="209"/>
      <c r="B50" s="260"/>
      <c r="C50" s="121"/>
      <c r="D50" s="127"/>
      <c r="E50" s="127"/>
      <c r="F50" s="127"/>
      <c r="G50" s="127"/>
      <c r="H50" s="127"/>
      <c r="I50" s="117"/>
      <c r="J50" s="121"/>
      <c r="K50" s="127"/>
      <c r="L50" s="127"/>
      <c r="M50" s="127"/>
      <c r="N50" s="127"/>
      <c r="O50" s="127"/>
      <c r="P50" s="117"/>
      <c r="Q50" s="121"/>
      <c r="R50" s="127"/>
      <c r="S50" s="127"/>
      <c r="T50" s="127"/>
      <c r="U50" s="127"/>
      <c r="V50" s="127"/>
      <c r="W50" s="117"/>
      <c r="X50" s="127"/>
      <c r="Y50" s="117"/>
    </row>
    <row r="51" spans="1:25" s="124" customFormat="1" ht="15.75" customHeight="1" x14ac:dyDescent="0.25">
      <c r="A51" s="209"/>
      <c r="B51" s="260"/>
      <c r="C51" s="121"/>
      <c r="D51" s="127"/>
      <c r="E51" s="127"/>
      <c r="F51" s="127"/>
      <c r="G51" s="127"/>
      <c r="H51" s="127"/>
      <c r="I51" s="117"/>
      <c r="J51" s="121"/>
      <c r="K51" s="127"/>
      <c r="L51" s="127"/>
      <c r="M51" s="127"/>
      <c r="N51" s="127"/>
      <c r="O51" s="127"/>
      <c r="P51" s="117"/>
      <c r="Q51" s="121"/>
      <c r="R51" s="127"/>
      <c r="S51" s="127"/>
      <c r="T51" s="127"/>
      <c r="U51" s="127"/>
      <c r="V51" s="127"/>
      <c r="W51" s="117"/>
      <c r="X51" s="127"/>
      <c r="Y51" s="117"/>
    </row>
    <row r="52" spans="1:25" s="124" customFormat="1" ht="15.75" customHeight="1" x14ac:dyDescent="0.25">
      <c r="A52" s="209"/>
      <c r="B52" s="260"/>
      <c r="C52" s="121"/>
      <c r="D52" s="127"/>
      <c r="E52" s="127"/>
      <c r="F52" s="127"/>
      <c r="G52" s="127"/>
      <c r="H52" s="127"/>
      <c r="I52" s="117"/>
      <c r="J52" s="121"/>
      <c r="K52" s="127"/>
      <c r="L52" s="127"/>
      <c r="M52" s="127"/>
      <c r="N52" s="127"/>
      <c r="O52" s="127"/>
      <c r="P52" s="117"/>
      <c r="Q52" s="121"/>
      <c r="R52" s="127"/>
      <c r="S52" s="127"/>
      <c r="T52" s="127"/>
      <c r="U52" s="127"/>
      <c r="V52" s="127"/>
      <c r="W52" s="117"/>
      <c r="X52" s="127"/>
      <c r="Y52" s="117"/>
    </row>
    <row r="53" spans="1:25" s="124" customFormat="1" ht="15.75" customHeight="1" x14ac:dyDescent="0.25">
      <c r="A53" s="209"/>
      <c r="B53" s="260"/>
      <c r="C53" s="121"/>
      <c r="D53" s="127"/>
      <c r="E53" s="127"/>
      <c r="F53" s="127"/>
      <c r="G53" s="127"/>
      <c r="H53" s="127"/>
      <c r="I53" s="117"/>
      <c r="J53" s="121"/>
      <c r="K53" s="127"/>
      <c r="L53" s="127"/>
      <c r="M53" s="127"/>
      <c r="N53" s="127"/>
      <c r="O53" s="127"/>
      <c r="P53" s="117"/>
      <c r="Q53" s="121"/>
      <c r="R53" s="127"/>
      <c r="S53" s="127"/>
      <c r="T53" s="127"/>
      <c r="U53" s="127"/>
      <c r="V53" s="127"/>
      <c r="W53" s="117"/>
      <c r="X53" s="127"/>
      <c r="Y53" s="117"/>
    </row>
    <row r="54" spans="1:25" s="124" customFormat="1" ht="15.75" customHeight="1" x14ac:dyDescent="0.25">
      <c r="A54" s="209"/>
      <c r="B54" s="92"/>
      <c r="C54" s="121"/>
      <c r="D54" s="127"/>
      <c r="E54" s="127"/>
      <c r="F54" s="127"/>
      <c r="G54" s="127"/>
      <c r="H54" s="127"/>
      <c r="I54" s="117"/>
      <c r="J54" s="121"/>
      <c r="K54" s="127"/>
      <c r="L54" s="127"/>
      <c r="M54" s="127"/>
      <c r="N54" s="127"/>
      <c r="O54" s="127"/>
      <c r="P54" s="117"/>
      <c r="Q54" s="121"/>
      <c r="R54" s="127"/>
      <c r="S54" s="127"/>
      <c r="T54" s="127"/>
      <c r="U54" s="127"/>
      <c r="V54" s="127"/>
      <c r="W54" s="117"/>
      <c r="X54" s="127"/>
      <c r="Y54" s="117"/>
    </row>
    <row r="55" spans="1:25" s="124" customFormat="1" ht="15.75" customHeight="1" x14ac:dyDescent="0.25">
      <c r="A55" s="209"/>
      <c r="B55" s="92"/>
      <c r="C55" s="86"/>
      <c r="D55" s="116"/>
      <c r="E55" s="116"/>
      <c r="F55" s="116"/>
      <c r="G55" s="116"/>
      <c r="H55" s="116"/>
      <c r="I55" s="72"/>
      <c r="J55" s="116"/>
      <c r="K55" s="116"/>
      <c r="L55" s="116"/>
      <c r="M55" s="116"/>
      <c r="N55" s="116"/>
      <c r="O55" s="116"/>
      <c r="P55" s="72"/>
      <c r="Q55" s="116"/>
      <c r="R55" s="116"/>
      <c r="S55" s="116"/>
      <c r="T55" s="116"/>
      <c r="U55" s="116"/>
      <c r="V55" s="116"/>
      <c r="W55" s="72"/>
      <c r="X55" s="228"/>
      <c r="Y55" s="72"/>
    </row>
    <row r="56" spans="1:25" s="124" customFormat="1" ht="15.75" customHeight="1" x14ac:dyDescent="0.25">
      <c r="A56" s="209"/>
      <c r="B56" s="92"/>
      <c r="C56" s="86"/>
      <c r="D56" s="116"/>
      <c r="E56" s="116"/>
      <c r="F56" s="116"/>
      <c r="G56" s="116"/>
      <c r="H56" s="116"/>
      <c r="I56" s="72"/>
      <c r="J56" s="116"/>
      <c r="K56" s="116"/>
      <c r="L56" s="116"/>
      <c r="M56" s="116"/>
      <c r="N56" s="116"/>
      <c r="O56" s="116"/>
      <c r="P56" s="72"/>
      <c r="Q56" s="116"/>
      <c r="R56" s="116"/>
      <c r="S56" s="116"/>
      <c r="T56" s="116"/>
      <c r="U56" s="116"/>
      <c r="V56" s="116"/>
      <c r="W56" s="72"/>
      <c r="X56" s="228"/>
      <c r="Y56" s="72"/>
    </row>
    <row r="57" spans="1:25" s="124" customFormat="1" ht="15.75" customHeight="1" thickBot="1" x14ac:dyDescent="0.3">
      <c r="A57" s="210"/>
      <c r="B57" s="211"/>
      <c r="C57" s="115"/>
      <c r="D57" s="113"/>
      <c r="E57" s="113"/>
      <c r="F57" s="113"/>
      <c r="G57" s="113"/>
      <c r="H57" s="113"/>
      <c r="I57" s="114"/>
      <c r="J57" s="113"/>
      <c r="K57" s="113"/>
      <c r="L57" s="113"/>
      <c r="M57" s="113"/>
      <c r="N57" s="113"/>
      <c r="O57" s="113"/>
      <c r="P57" s="114"/>
      <c r="Q57" s="113"/>
      <c r="R57" s="113"/>
      <c r="S57" s="113"/>
      <c r="T57" s="113"/>
      <c r="U57" s="113"/>
      <c r="V57" s="113"/>
      <c r="W57" s="114"/>
      <c r="X57" s="229"/>
      <c r="Y57" s="114"/>
    </row>
    <row r="58" spans="1:25" s="124" customFormat="1" ht="15.75" customHeight="1" x14ac:dyDescent="0.25">
      <c r="A58" s="201"/>
      <c r="B58" s="125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47"/>
      <c r="Y58" s="116"/>
    </row>
    <row r="59" spans="1:25" s="124" customFormat="1" ht="15.75" customHeight="1" x14ac:dyDescent="0.25">
      <c r="A59" s="201"/>
      <c r="B59" s="125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47"/>
      <c r="Y59" s="116"/>
    </row>
    <row r="60" spans="1:25" s="124" customFormat="1" ht="15.75" customHeight="1" x14ac:dyDescent="0.25">
      <c r="A60" s="201"/>
      <c r="B60" s="125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47"/>
      <c r="Y60" s="116"/>
    </row>
    <row r="61" spans="1:25" s="124" customFormat="1" ht="15.75" customHeight="1" thickBot="1" x14ac:dyDescent="0.3">
      <c r="A61" s="201"/>
      <c r="B61" s="125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47"/>
      <c r="Y61" s="116"/>
    </row>
    <row r="62" spans="1:25" x14ac:dyDescent="0.25">
      <c r="A62" s="76" t="s">
        <v>124</v>
      </c>
      <c r="B62" s="89"/>
      <c r="C62" s="77">
        <f>COUNTIF(C4:C54,"OFF")</f>
        <v>1</v>
      </c>
      <c r="D62" s="78">
        <f t="shared" ref="D62:W62" si="3">COUNTIF(D4:D54,"OFF")</f>
        <v>10</v>
      </c>
      <c r="E62" s="78">
        <f t="shared" si="3"/>
        <v>1</v>
      </c>
      <c r="F62" s="78">
        <f t="shared" si="3"/>
        <v>1</v>
      </c>
      <c r="G62" s="78">
        <f t="shared" si="3"/>
        <v>1</v>
      </c>
      <c r="H62" s="78">
        <f t="shared" si="3"/>
        <v>10</v>
      </c>
      <c r="I62" s="79">
        <f t="shared" si="3"/>
        <v>1</v>
      </c>
      <c r="J62" s="77">
        <f t="shared" si="3"/>
        <v>1</v>
      </c>
      <c r="K62" s="78">
        <f t="shared" si="3"/>
        <v>1</v>
      </c>
      <c r="L62" s="78">
        <f t="shared" si="3"/>
        <v>1</v>
      </c>
      <c r="M62" s="78">
        <f t="shared" si="3"/>
        <v>1</v>
      </c>
      <c r="N62" s="78">
        <f t="shared" si="3"/>
        <v>10</v>
      </c>
      <c r="O62" s="78">
        <f t="shared" si="3"/>
        <v>10</v>
      </c>
      <c r="P62" s="79">
        <f t="shared" si="3"/>
        <v>1</v>
      </c>
      <c r="Q62" s="77">
        <f t="shared" si="3"/>
        <v>1</v>
      </c>
      <c r="R62" s="78">
        <f t="shared" si="3"/>
        <v>1</v>
      </c>
      <c r="S62" s="78">
        <f t="shared" si="3"/>
        <v>1</v>
      </c>
      <c r="T62" s="78">
        <f t="shared" si="3"/>
        <v>1</v>
      </c>
      <c r="U62" s="78">
        <f t="shared" si="3"/>
        <v>10</v>
      </c>
      <c r="V62" s="78">
        <f t="shared" si="3"/>
        <v>10</v>
      </c>
      <c r="W62" s="79">
        <f t="shared" si="3"/>
        <v>1</v>
      </c>
    </row>
    <row r="63" spans="1:25" x14ac:dyDescent="0.25">
      <c r="A63" s="28" t="s">
        <v>125</v>
      </c>
      <c r="B63" s="132"/>
      <c r="C63" s="80">
        <f t="shared" ref="C63:I63" si="4">COUNTIF(C4:C61,"PTO")</f>
        <v>0</v>
      </c>
      <c r="D63" s="123">
        <f t="shared" si="4"/>
        <v>0</v>
      </c>
      <c r="E63" s="123">
        <f t="shared" si="4"/>
        <v>0</v>
      </c>
      <c r="F63" s="123">
        <f t="shared" si="4"/>
        <v>0</v>
      </c>
      <c r="G63" s="123">
        <f t="shared" si="4"/>
        <v>0</v>
      </c>
      <c r="H63" s="123">
        <f t="shared" si="4"/>
        <v>0</v>
      </c>
      <c r="I63" s="82">
        <f t="shared" si="4"/>
        <v>0</v>
      </c>
      <c r="J63" s="80">
        <f t="shared" ref="J63:W63" si="5">COUNTIF(J4:J61,"PTO")</f>
        <v>0</v>
      </c>
      <c r="K63" s="123">
        <f t="shared" si="5"/>
        <v>0</v>
      </c>
      <c r="L63" s="123">
        <f t="shared" si="5"/>
        <v>0</v>
      </c>
      <c r="M63" s="123">
        <f t="shared" si="5"/>
        <v>0</v>
      </c>
      <c r="N63" s="123">
        <f t="shared" si="5"/>
        <v>0</v>
      </c>
      <c r="O63" s="123">
        <f t="shared" si="5"/>
        <v>0</v>
      </c>
      <c r="P63" s="82">
        <f t="shared" si="5"/>
        <v>0</v>
      </c>
      <c r="Q63" s="80">
        <f t="shared" si="5"/>
        <v>0</v>
      </c>
      <c r="R63" s="123">
        <f t="shared" si="5"/>
        <v>0</v>
      </c>
      <c r="S63" s="123">
        <f t="shared" si="5"/>
        <v>0</v>
      </c>
      <c r="T63" s="123">
        <f t="shared" si="5"/>
        <v>0</v>
      </c>
      <c r="U63" s="123">
        <f t="shared" si="5"/>
        <v>0</v>
      </c>
      <c r="V63" s="123">
        <f t="shared" si="5"/>
        <v>0</v>
      </c>
      <c r="W63" s="82">
        <f t="shared" si="5"/>
        <v>0</v>
      </c>
    </row>
    <row r="64" spans="1:25" x14ac:dyDescent="0.25">
      <c r="A64" s="28" t="s">
        <v>126</v>
      </c>
      <c r="B64" s="132"/>
      <c r="C64" s="80">
        <f t="shared" ref="C64:I64" si="6">COUNTIF(C4:C61,"LOA")</f>
        <v>0</v>
      </c>
      <c r="D64" s="123">
        <f t="shared" si="6"/>
        <v>0</v>
      </c>
      <c r="E64" s="123">
        <f t="shared" si="6"/>
        <v>0</v>
      </c>
      <c r="F64" s="123">
        <f t="shared" si="6"/>
        <v>0</v>
      </c>
      <c r="G64" s="123">
        <f t="shared" si="6"/>
        <v>0</v>
      </c>
      <c r="H64" s="123">
        <f t="shared" si="6"/>
        <v>0</v>
      </c>
      <c r="I64" s="82">
        <f t="shared" si="6"/>
        <v>0</v>
      </c>
      <c r="J64" s="80">
        <f t="shared" ref="J64:W64" si="7">COUNTIF(J4:J61,"LOA")</f>
        <v>0</v>
      </c>
      <c r="K64" s="123">
        <f t="shared" si="7"/>
        <v>0</v>
      </c>
      <c r="L64" s="123">
        <f t="shared" si="7"/>
        <v>0</v>
      </c>
      <c r="M64" s="123">
        <f t="shared" si="7"/>
        <v>0</v>
      </c>
      <c r="N64" s="123">
        <f t="shared" si="7"/>
        <v>0</v>
      </c>
      <c r="O64" s="123">
        <f t="shared" si="7"/>
        <v>0</v>
      </c>
      <c r="P64" s="82">
        <f t="shared" si="7"/>
        <v>0</v>
      </c>
      <c r="Q64" s="80">
        <f t="shared" si="7"/>
        <v>0</v>
      </c>
      <c r="R64" s="123">
        <f t="shared" si="7"/>
        <v>0</v>
      </c>
      <c r="S64" s="123">
        <f t="shared" si="7"/>
        <v>0</v>
      </c>
      <c r="T64" s="123">
        <f t="shared" si="7"/>
        <v>0</v>
      </c>
      <c r="U64" s="123">
        <f t="shared" si="7"/>
        <v>0</v>
      </c>
      <c r="V64" s="123">
        <f t="shared" si="7"/>
        <v>0</v>
      </c>
      <c r="W64" s="82">
        <f t="shared" si="7"/>
        <v>0</v>
      </c>
    </row>
    <row r="65" spans="1:24" x14ac:dyDescent="0.25">
      <c r="A65" s="28" t="s">
        <v>34</v>
      </c>
      <c r="B65" s="132"/>
      <c r="C65" s="80">
        <f t="shared" ref="C65:I65" si="8">COUNTIF(C4:C61,"A")</f>
        <v>0</v>
      </c>
      <c r="D65" s="123">
        <f t="shared" si="8"/>
        <v>0</v>
      </c>
      <c r="E65" s="123">
        <f t="shared" si="8"/>
        <v>0</v>
      </c>
      <c r="F65" s="123">
        <f t="shared" si="8"/>
        <v>0</v>
      </c>
      <c r="G65" s="123">
        <f t="shared" si="8"/>
        <v>0</v>
      </c>
      <c r="H65" s="123">
        <f t="shared" si="8"/>
        <v>0</v>
      </c>
      <c r="I65" s="82">
        <f t="shared" si="8"/>
        <v>0</v>
      </c>
      <c r="J65" s="80">
        <f t="shared" ref="J65:W65" si="9">COUNTIF(J4:J61,"A")</f>
        <v>0</v>
      </c>
      <c r="K65" s="123">
        <f t="shared" si="9"/>
        <v>0</v>
      </c>
      <c r="L65" s="123">
        <f t="shared" si="9"/>
        <v>0</v>
      </c>
      <c r="M65" s="123">
        <f t="shared" si="9"/>
        <v>0</v>
      </c>
      <c r="N65" s="123">
        <f t="shared" si="9"/>
        <v>0</v>
      </c>
      <c r="O65" s="123">
        <f t="shared" si="9"/>
        <v>0</v>
      </c>
      <c r="P65" s="82">
        <f t="shared" si="9"/>
        <v>0</v>
      </c>
      <c r="Q65" s="80">
        <f t="shared" si="9"/>
        <v>0</v>
      </c>
      <c r="R65" s="123">
        <f t="shared" si="9"/>
        <v>0</v>
      </c>
      <c r="S65" s="123">
        <f t="shared" si="9"/>
        <v>0</v>
      </c>
      <c r="T65" s="123">
        <f t="shared" si="9"/>
        <v>0</v>
      </c>
      <c r="U65" s="123">
        <f t="shared" si="9"/>
        <v>0</v>
      </c>
      <c r="V65" s="123">
        <f t="shared" si="9"/>
        <v>0</v>
      </c>
      <c r="W65" s="82">
        <f t="shared" si="9"/>
        <v>0</v>
      </c>
      <c r="X65" s="93"/>
    </row>
    <row r="66" spans="1:24" x14ac:dyDescent="0.25">
      <c r="A66" s="28" t="s">
        <v>15</v>
      </c>
      <c r="B66" s="132"/>
      <c r="C66" s="80">
        <f>30-C62-C63-C64-C65</f>
        <v>29</v>
      </c>
      <c r="D66" s="123">
        <f t="shared" ref="D66:W66" si="10">30-D62-D63-D64-D65</f>
        <v>20</v>
      </c>
      <c r="E66" s="123">
        <f t="shared" si="10"/>
        <v>29</v>
      </c>
      <c r="F66" s="123">
        <f t="shared" si="10"/>
        <v>29</v>
      </c>
      <c r="G66" s="123">
        <f t="shared" si="10"/>
        <v>29</v>
      </c>
      <c r="H66" s="123">
        <f t="shared" si="10"/>
        <v>20</v>
      </c>
      <c r="I66" s="82">
        <f t="shared" si="10"/>
        <v>29</v>
      </c>
      <c r="J66" s="80">
        <f t="shared" si="10"/>
        <v>29</v>
      </c>
      <c r="K66" s="123">
        <f t="shared" si="10"/>
        <v>29</v>
      </c>
      <c r="L66" s="123">
        <f t="shared" si="10"/>
        <v>29</v>
      </c>
      <c r="M66" s="123">
        <f t="shared" si="10"/>
        <v>29</v>
      </c>
      <c r="N66" s="123">
        <f t="shared" si="10"/>
        <v>20</v>
      </c>
      <c r="O66" s="123">
        <f t="shared" si="10"/>
        <v>20</v>
      </c>
      <c r="P66" s="82">
        <f t="shared" si="10"/>
        <v>29</v>
      </c>
      <c r="Q66" s="80">
        <f t="shared" si="10"/>
        <v>29</v>
      </c>
      <c r="R66" s="123">
        <f t="shared" si="10"/>
        <v>29</v>
      </c>
      <c r="S66" s="123">
        <f t="shared" si="10"/>
        <v>29</v>
      </c>
      <c r="T66" s="123">
        <f t="shared" si="10"/>
        <v>29</v>
      </c>
      <c r="U66" s="123">
        <f t="shared" si="10"/>
        <v>20</v>
      </c>
      <c r="V66" s="123">
        <f t="shared" si="10"/>
        <v>20</v>
      </c>
      <c r="W66" s="82">
        <f t="shared" si="10"/>
        <v>29</v>
      </c>
      <c r="X66" s="93"/>
    </row>
    <row r="67" spans="1:24" ht="15.75" thickBot="1" x14ac:dyDescent="0.3">
      <c r="A67" s="67" t="s">
        <v>33</v>
      </c>
      <c r="B67" s="68"/>
      <c r="C67" s="83">
        <f>SUM(C62:C66)</f>
        <v>30</v>
      </c>
      <c r="D67" s="84">
        <f t="shared" ref="D67:J67" si="11">SUM(D62:D66)</f>
        <v>30</v>
      </c>
      <c r="E67" s="84">
        <f t="shared" si="11"/>
        <v>30</v>
      </c>
      <c r="F67" s="84">
        <f t="shared" si="11"/>
        <v>30</v>
      </c>
      <c r="G67" s="84">
        <f t="shared" si="11"/>
        <v>30</v>
      </c>
      <c r="H67" s="84">
        <f t="shared" si="11"/>
        <v>30</v>
      </c>
      <c r="I67" s="85">
        <f t="shared" si="11"/>
        <v>30</v>
      </c>
      <c r="J67" s="83">
        <f t="shared" si="11"/>
        <v>30</v>
      </c>
      <c r="K67" s="84">
        <f t="shared" ref="K67:W67" si="12">SUM(K62:K66)</f>
        <v>30</v>
      </c>
      <c r="L67" s="84">
        <f t="shared" si="12"/>
        <v>30</v>
      </c>
      <c r="M67" s="84">
        <f t="shared" si="12"/>
        <v>30</v>
      </c>
      <c r="N67" s="84">
        <f t="shared" si="12"/>
        <v>30</v>
      </c>
      <c r="O67" s="84">
        <f t="shared" si="12"/>
        <v>30</v>
      </c>
      <c r="P67" s="85">
        <f t="shared" si="12"/>
        <v>30</v>
      </c>
      <c r="Q67" s="83">
        <f t="shared" si="12"/>
        <v>30</v>
      </c>
      <c r="R67" s="84">
        <f t="shared" si="12"/>
        <v>30</v>
      </c>
      <c r="S67" s="84">
        <f t="shared" si="12"/>
        <v>30</v>
      </c>
      <c r="T67" s="84">
        <f t="shared" si="12"/>
        <v>30</v>
      </c>
      <c r="U67" s="84">
        <f t="shared" si="12"/>
        <v>30</v>
      </c>
      <c r="V67" s="84">
        <f t="shared" si="12"/>
        <v>30</v>
      </c>
      <c r="W67" s="85">
        <f t="shared" si="12"/>
        <v>30</v>
      </c>
      <c r="X67" s="5"/>
    </row>
    <row r="68" spans="1:24" ht="15.75" thickBot="1" x14ac:dyDescent="0.3">
      <c r="A68" s="67" t="s">
        <v>131</v>
      </c>
      <c r="B68" s="68"/>
      <c r="C68" s="83">
        <f>COUNTIF(C4:C23,"OT")*7.5</f>
        <v>0</v>
      </c>
      <c r="D68" s="84">
        <f t="shared" ref="D68:W68" si="13">COUNTIF(D4:D23,"OT")*7.5</f>
        <v>0</v>
      </c>
      <c r="E68" s="84">
        <f t="shared" si="13"/>
        <v>0</v>
      </c>
      <c r="F68" s="84">
        <f t="shared" si="13"/>
        <v>0</v>
      </c>
      <c r="G68" s="84">
        <f t="shared" si="13"/>
        <v>0</v>
      </c>
      <c r="H68" s="84">
        <f t="shared" si="13"/>
        <v>0</v>
      </c>
      <c r="I68" s="85">
        <f t="shared" si="13"/>
        <v>0</v>
      </c>
      <c r="J68" s="83">
        <f t="shared" si="13"/>
        <v>0</v>
      </c>
      <c r="K68" s="84">
        <f t="shared" si="13"/>
        <v>0</v>
      </c>
      <c r="L68" s="84">
        <f t="shared" si="13"/>
        <v>0</v>
      </c>
      <c r="M68" s="84">
        <f t="shared" si="13"/>
        <v>0</v>
      </c>
      <c r="N68" s="84">
        <f t="shared" si="13"/>
        <v>0</v>
      </c>
      <c r="O68" s="84">
        <f t="shared" si="13"/>
        <v>0</v>
      </c>
      <c r="P68" s="85">
        <f t="shared" si="13"/>
        <v>0</v>
      </c>
      <c r="Q68" s="83">
        <f t="shared" si="13"/>
        <v>0</v>
      </c>
      <c r="R68" s="84">
        <f t="shared" si="13"/>
        <v>0</v>
      </c>
      <c r="S68" s="84">
        <f t="shared" si="13"/>
        <v>0</v>
      </c>
      <c r="T68" s="84">
        <f t="shared" si="13"/>
        <v>0</v>
      </c>
      <c r="U68" s="84">
        <f t="shared" si="13"/>
        <v>0</v>
      </c>
      <c r="V68" s="84">
        <f t="shared" si="13"/>
        <v>0</v>
      </c>
      <c r="W68" s="85">
        <f t="shared" si="13"/>
        <v>0</v>
      </c>
      <c r="X68" s="5"/>
    </row>
    <row r="69" spans="1:24" x14ac:dyDescent="0.2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5"/>
    </row>
    <row r="70" spans="1:24" ht="15.75" thickBot="1" x14ac:dyDescent="0.3">
      <c r="X70" s="5"/>
    </row>
    <row r="71" spans="1:24" ht="15.75" thickBot="1" x14ac:dyDescent="0.3">
      <c r="A71" s="70" t="s">
        <v>14</v>
      </c>
      <c r="B71" s="124"/>
      <c r="C71" s="319" t="str">
        <f>C1</f>
        <v>WEEK BEGINNING 0427</v>
      </c>
      <c r="D71" s="319"/>
      <c r="E71" s="319"/>
      <c r="F71" s="319"/>
      <c r="G71" s="319"/>
      <c r="H71" s="319"/>
      <c r="I71" s="319"/>
      <c r="J71" s="319" t="str">
        <f>J1</f>
        <v>WEEK BEGINNING 0504</v>
      </c>
      <c r="K71" s="319"/>
      <c r="L71" s="319"/>
      <c r="M71" s="319"/>
      <c r="N71" s="319"/>
      <c r="O71" s="319"/>
      <c r="P71" s="319"/>
      <c r="Q71" s="319" t="str">
        <f>Q1</f>
        <v>WEEK BEGINNING 0511</v>
      </c>
      <c r="R71" s="319"/>
      <c r="S71" s="319"/>
      <c r="T71" s="319"/>
      <c r="U71" s="319"/>
      <c r="V71" s="319"/>
      <c r="W71" s="319"/>
      <c r="X71" s="5"/>
    </row>
    <row r="72" spans="1:24" ht="15.75" thickBot="1" x14ac:dyDescent="0.3">
      <c r="A72" s="2"/>
      <c r="B72" s="124"/>
      <c r="C72" s="230" t="s">
        <v>0</v>
      </c>
      <c r="D72" s="230" t="s">
        <v>1</v>
      </c>
      <c r="E72" s="230" t="s">
        <v>2</v>
      </c>
      <c r="F72" s="230" t="s">
        <v>3</v>
      </c>
      <c r="G72" s="230" t="s">
        <v>4</v>
      </c>
      <c r="H72" s="230" t="s">
        <v>5</v>
      </c>
      <c r="I72" s="230" t="s">
        <v>6</v>
      </c>
      <c r="J72" s="230" t="s">
        <v>0</v>
      </c>
      <c r="K72" s="230" t="s">
        <v>1</v>
      </c>
      <c r="L72" s="230" t="s">
        <v>2</v>
      </c>
      <c r="M72" s="230" t="s">
        <v>3</v>
      </c>
      <c r="N72" s="230" t="s">
        <v>4</v>
      </c>
      <c r="O72" s="230" t="s">
        <v>5</v>
      </c>
      <c r="P72" s="230" t="s">
        <v>6</v>
      </c>
      <c r="Q72" s="230" t="s">
        <v>0</v>
      </c>
      <c r="R72" s="230" t="s">
        <v>1</v>
      </c>
      <c r="S72" s="230" t="s">
        <v>2</v>
      </c>
      <c r="T72" s="230" t="s">
        <v>3</v>
      </c>
      <c r="U72" s="230" t="s">
        <v>4</v>
      </c>
      <c r="V72" s="230" t="s">
        <v>5</v>
      </c>
      <c r="W72" s="230" t="s">
        <v>6</v>
      </c>
      <c r="X72" s="5"/>
    </row>
    <row r="73" spans="1:24" x14ac:dyDescent="0.25">
      <c r="A73" s="130" t="s">
        <v>9</v>
      </c>
      <c r="B73" s="206" t="s">
        <v>10</v>
      </c>
      <c r="C73" s="231">
        <f>C3</f>
        <v>46139</v>
      </c>
      <c r="D73" s="231">
        <f>C73+1</f>
        <v>46140</v>
      </c>
      <c r="E73" s="231">
        <f t="shared" ref="E73:W73" si="14">D73+1</f>
        <v>46141</v>
      </c>
      <c r="F73" s="231">
        <f t="shared" si="14"/>
        <v>46142</v>
      </c>
      <c r="G73" s="231">
        <f t="shared" si="14"/>
        <v>46143</v>
      </c>
      <c r="H73" s="231">
        <f t="shared" si="14"/>
        <v>46144</v>
      </c>
      <c r="I73" s="231">
        <f t="shared" si="14"/>
        <v>46145</v>
      </c>
      <c r="J73" s="231">
        <f t="shared" si="14"/>
        <v>46146</v>
      </c>
      <c r="K73" s="231">
        <f t="shared" si="14"/>
        <v>46147</v>
      </c>
      <c r="L73" s="231">
        <f t="shared" si="14"/>
        <v>46148</v>
      </c>
      <c r="M73" s="231">
        <f t="shared" si="14"/>
        <v>46149</v>
      </c>
      <c r="N73" s="231">
        <f t="shared" si="14"/>
        <v>46150</v>
      </c>
      <c r="O73" s="231">
        <f t="shared" si="14"/>
        <v>46151</v>
      </c>
      <c r="P73" s="231">
        <f>O73+1</f>
        <v>46152</v>
      </c>
      <c r="Q73" s="231">
        <f t="shared" si="14"/>
        <v>46153</v>
      </c>
      <c r="R73" s="231">
        <f t="shared" si="14"/>
        <v>46154</v>
      </c>
      <c r="S73" s="231">
        <f t="shared" si="14"/>
        <v>46155</v>
      </c>
      <c r="T73" s="231">
        <f t="shared" si="14"/>
        <v>46156</v>
      </c>
      <c r="U73" s="231">
        <f t="shared" si="14"/>
        <v>46157</v>
      </c>
      <c r="V73" s="231">
        <f t="shared" si="14"/>
        <v>46158</v>
      </c>
      <c r="W73" s="232">
        <f t="shared" si="14"/>
        <v>46159</v>
      </c>
      <c r="X73" s="5"/>
    </row>
    <row r="74" spans="1:24" x14ac:dyDescent="0.25">
      <c r="A74" s="71" t="str">
        <f t="shared" ref="A74:A83" si="15">B4</f>
        <v>Jave Lowelle Valiente Gayangos</v>
      </c>
      <c r="B74" s="28" t="str">
        <f>VLOOKUP(A74,Masterlist!B:D,3,)</f>
        <v>Jane Sairah Arac</v>
      </c>
      <c r="C74" s="86">
        <f>IFERROR(IF(Y4= "PTO", "PTO",Y4+"12:00"),"OFF")</f>
        <v>1.0833333333333335</v>
      </c>
      <c r="D74" s="116">
        <f>IFERROR(IF(C4= "PTO", "PTO",C4+"12:00"),"OFF")</f>
        <v>1.0833333333333335</v>
      </c>
      <c r="E74" s="116" t="str">
        <f t="shared" ref="E74:F74" si="16">IFERROR(IF(D4= "PTO", "PTO",D4+"12:00"),"OFF")</f>
        <v>OFF</v>
      </c>
      <c r="F74" s="116">
        <f t="shared" si="16"/>
        <v>1.0833333333333335</v>
      </c>
      <c r="G74" s="116">
        <f>IFERROR(IF(F4= "PTO", "PTO",F4+"12:00"),"OFF")</f>
        <v>1.0833333333333335</v>
      </c>
      <c r="H74" s="116">
        <f>IFERROR(IF(G4= "PTO", "PTO",G4+"12:00"),"OFF")</f>
        <v>1.0833333333333335</v>
      </c>
      <c r="I74" s="72" t="str">
        <f t="shared" ref="I74" si="17">IFERROR(IF(H4= "PTO", "PTO",H4+"12:00"),"OFF")</f>
        <v>OFF</v>
      </c>
      <c r="J74" s="86">
        <f>IFERROR(IF(I4= "PTO", "PTO",I4+"12:00"),"OFF")</f>
        <v>1.0833333333333335</v>
      </c>
      <c r="K74" s="116">
        <f t="shared" ref="K74:W74" si="18">IFERROR(IF(J4= "PTO", "PTO",J4+"12:00"),"OFF")</f>
        <v>1.0833333333333335</v>
      </c>
      <c r="L74" s="116">
        <f t="shared" si="18"/>
        <v>1.0833333333333335</v>
      </c>
      <c r="M74" s="116">
        <f t="shared" si="18"/>
        <v>1.0833333333333335</v>
      </c>
      <c r="N74" s="116">
        <f t="shared" si="18"/>
        <v>1.0833333333333335</v>
      </c>
      <c r="O74" s="116" t="str">
        <f t="shared" si="18"/>
        <v>OFF</v>
      </c>
      <c r="P74" s="72" t="str">
        <f t="shared" si="18"/>
        <v>OFF</v>
      </c>
      <c r="Q74" s="86">
        <f t="shared" si="18"/>
        <v>1.0833333333333335</v>
      </c>
      <c r="R74" s="116">
        <f t="shared" si="18"/>
        <v>1.0833333333333335</v>
      </c>
      <c r="S74" s="116">
        <f t="shared" si="18"/>
        <v>1.0833333333333335</v>
      </c>
      <c r="T74" s="116">
        <f t="shared" si="18"/>
        <v>1.0833333333333335</v>
      </c>
      <c r="U74" s="116">
        <f t="shared" si="18"/>
        <v>1.0833333333333335</v>
      </c>
      <c r="V74" s="116" t="str">
        <f t="shared" si="18"/>
        <v>OFF</v>
      </c>
      <c r="W74" s="72" t="str">
        <f t="shared" si="18"/>
        <v>OFF</v>
      </c>
      <c r="X74" s="5"/>
    </row>
    <row r="75" spans="1:24" x14ac:dyDescent="0.25">
      <c r="A75" s="71" t="str">
        <f t="shared" si="15"/>
        <v>Nicka Mae De Los Reyes Porras</v>
      </c>
      <c r="B75" s="28" t="str">
        <f>VLOOKUP(A75,Masterlist!B:D,3,)</f>
        <v>-</v>
      </c>
      <c r="C75" s="86">
        <f t="shared" ref="C75:C83" si="19">IFERROR(IF(Y5= "PTO", "PTO",Y5+"12:00"),"OFF")</f>
        <v>1.0833333333333335</v>
      </c>
      <c r="D75" s="116">
        <f t="shared" ref="D75:F75" si="20">IFERROR(IF(C5= "PTO", "PTO",C5+"12:00"),"OFF")</f>
        <v>1.0833333333333335</v>
      </c>
      <c r="E75" s="116" t="str">
        <f t="shared" si="20"/>
        <v>OFF</v>
      </c>
      <c r="F75" s="116">
        <f t="shared" si="20"/>
        <v>1.0833333333333335</v>
      </c>
      <c r="G75" s="116">
        <f t="shared" ref="G75:I75" si="21">IFERROR(IF(F5= "PTO", "PTO",F5+"12:00"),"OFF")</f>
        <v>1.0833333333333335</v>
      </c>
      <c r="H75" s="116">
        <f t="shared" si="21"/>
        <v>1.0833333333333335</v>
      </c>
      <c r="I75" s="72" t="str">
        <f t="shared" si="21"/>
        <v>OFF</v>
      </c>
      <c r="J75" s="86">
        <f t="shared" ref="J75:W75" si="22">IFERROR(IF(I5= "PTO", "PTO",I5+"12:00"),"OFF")</f>
        <v>1.0833333333333335</v>
      </c>
      <c r="K75" s="116">
        <f t="shared" si="22"/>
        <v>1.0833333333333335</v>
      </c>
      <c r="L75" s="116">
        <f t="shared" si="22"/>
        <v>1.0833333333333335</v>
      </c>
      <c r="M75" s="116">
        <f t="shared" si="22"/>
        <v>1.0833333333333335</v>
      </c>
      <c r="N75" s="116">
        <f t="shared" si="22"/>
        <v>1.0833333333333335</v>
      </c>
      <c r="O75" s="116" t="str">
        <f t="shared" si="22"/>
        <v>OFF</v>
      </c>
      <c r="P75" s="72" t="str">
        <f t="shared" si="22"/>
        <v>OFF</v>
      </c>
      <c r="Q75" s="86">
        <f t="shared" si="22"/>
        <v>1.0833333333333335</v>
      </c>
      <c r="R75" s="116">
        <f t="shared" si="22"/>
        <v>1.0833333333333335</v>
      </c>
      <c r="S75" s="116">
        <f t="shared" si="22"/>
        <v>1.0833333333333335</v>
      </c>
      <c r="T75" s="116">
        <f t="shared" si="22"/>
        <v>1.0833333333333335</v>
      </c>
      <c r="U75" s="116">
        <f t="shared" si="22"/>
        <v>1.0833333333333335</v>
      </c>
      <c r="V75" s="116" t="str">
        <f t="shared" si="22"/>
        <v>OFF</v>
      </c>
      <c r="W75" s="72" t="str">
        <f t="shared" si="22"/>
        <v>OFF</v>
      </c>
    </row>
    <row r="76" spans="1:24" x14ac:dyDescent="0.25">
      <c r="A76" s="71" t="str">
        <f t="shared" si="15"/>
        <v>Roxan Sabido Sacay</v>
      </c>
      <c r="B76" s="28" t="str">
        <f>VLOOKUP(A76,Masterlist!B:D,3,)</f>
        <v>Jane Sairah Arac</v>
      </c>
      <c r="C76" s="86" t="str">
        <f t="shared" si="19"/>
        <v>OFF</v>
      </c>
      <c r="D76" s="116" t="str">
        <f t="shared" ref="D76:F76" si="23">IFERROR(IF(C6= "PTO", "PTO",C6+"12:00"),"OFF")</f>
        <v>OFF</v>
      </c>
      <c r="E76" s="116" t="str">
        <f t="shared" si="23"/>
        <v>OFF</v>
      </c>
      <c r="F76" s="116" t="str">
        <f t="shared" si="23"/>
        <v>OFF</v>
      </c>
      <c r="G76" s="116" t="str">
        <f t="shared" ref="G76:I76" si="24">IFERROR(IF(F6= "PTO", "PTO",F6+"12:00"),"OFF")</f>
        <v>OFF</v>
      </c>
      <c r="H76" s="116" t="str">
        <f t="shared" si="24"/>
        <v>OFF</v>
      </c>
      <c r="I76" s="72" t="str">
        <f t="shared" si="24"/>
        <v>OFF</v>
      </c>
      <c r="J76" s="86" t="str">
        <f t="shared" ref="J76:W76" si="25">IFERROR(IF(I6= "PTO", "PTO",I6+"12:00"),"OFF")</f>
        <v>OFF</v>
      </c>
      <c r="K76" s="116" t="str">
        <f t="shared" si="25"/>
        <v>OFF</v>
      </c>
      <c r="L76" s="116" t="str">
        <f t="shared" si="25"/>
        <v>OFF</v>
      </c>
      <c r="M76" s="116" t="str">
        <f t="shared" si="25"/>
        <v>OFF</v>
      </c>
      <c r="N76" s="116" t="str">
        <f t="shared" si="25"/>
        <v>OFF</v>
      </c>
      <c r="O76" s="116" t="str">
        <f t="shared" si="25"/>
        <v>OFF</v>
      </c>
      <c r="P76" s="72" t="str">
        <f t="shared" si="25"/>
        <v>OFF</v>
      </c>
      <c r="Q76" s="86" t="str">
        <f t="shared" si="25"/>
        <v>OFF</v>
      </c>
      <c r="R76" s="116" t="str">
        <f t="shared" si="25"/>
        <v>OFF</v>
      </c>
      <c r="S76" s="116" t="str">
        <f t="shared" si="25"/>
        <v>OFF</v>
      </c>
      <c r="T76" s="116" t="str">
        <f t="shared" si="25"/>
        <v>OFF</v>
      </c>
      <c r="U76" s="116" t="str">
        <f t="shared" si="25"/>
        <v>OFF</v>
      </c>
      <c r="V76" s="116" t="str">
        <f t="shared" si="25"/>
        <v>OFF</v>
      </c>
      <c r="W76" s="72" t="str">
        <f t="shared" si="25"/>
        <v>OFF</v>
      </c>
    </row>
    <row r="77" spans="1:24" x14ac:dyDescent="0.25">
      <c r="A77" s="71" t="str">
        <f t="shared" si="15"/>
        <v>Mikhaela Palma Detera</v>
      </c>
      <c r="B77" s="28" t="str">
        <f>VLOOKUP(A77,Masterlist!B:D,3,)</f>
        <v>Jane Sairah Arac</v>
      </c>
      <c r="C77" s="86">
        <f t="shared" si="19"/>
        <v>1.0833333333333335</v>
      </c>
      <c r="D77" s="116">
        <f t="shared" ref="D77:F77" si="26">IFERROR(IF(C7= "PTO", "PTO",C7+"12:00"),"OFF")</f>
        <v>1.0833333333333335</v>
      </c>
      <c r="E77" s="116" t="str">
        <f t="shared" si="26"/>
        <v>OFF</v>
      </c>
      <c r="F77" s="116">
        <f t="shared" si="26"/>
        <v>1.0833333333333335</v>
      </c>
      <c r="G77" s="116">
        <f t="shared" ref="G77:I77" si="27">IFERROR(IF(F7= "PTO", "PTO",F7+"12:00"),"OFF")</f>
        <v>1.0833333333333335</v>
      </c>
      <c r="H77" s="116">
        <f t="shared" si="27"/>
        <v>1.0833333333333335</v>
      </c>
      <c r="I77" s="72" t="str">
        <f t="shared" si="27"/>
        <v>OFF</v>
      </c>
      <c r="J77" s="86">
        <f t="shared" ref="J77:W77" si="28">IFERROR(IF(I7= "PTO", "PTO",I7+"12:00"),"OFF")</f>
        <v>1.0833333333333335</v>
      </c>
      <c r="K77" s="116">
        <f t="shared" si="28"/>
        <v>1.0833333333333335</v>
      </c>
      <c r="L77" s="116">
        <f t="shared" si="28"/>
        <v>1.0833333333333335</v>
      </c>
      <c r="M77" s="116">
        <f t="shared" si="28"/>
        <v>1.0833333333333335</v>
      </c>
      <c r="N77" s="116">
        <f t="shared" si="28"/>
        <v>1.0833333333333335</v>
      </c>
      <c r="O77" s="116" t="str">
        <f t="shared" si="28"/>
        <v>OFF</v>
      </c>
      <c r="P77" s="72" t="str">
        <f t="shared" si="28"/>
        <v>OFF</v>
      </c>
      <c r="Q77" s="86">
        <f t="shared" si="28"/>
        <v>1.0833333333333335</v>
      </c>
      <c r="R77" s="116">
        <f t="shared" si="28"/>
        <v>1.0833333333333335</v>
      </c>
      <c r="S77" s="116">
        <f t="shared" si="28"/>
        <v>1.0833333333333335</v>
      </c>
      <c r="T77" s="116">
        <f t="shared" si="28"/>
        <v>1.0833333333333335</v>
      </c>
      <c r="U77" s="116">
        <f t="shared" si="28"/>
        <v>1.0833333333333335</v>
      </c>
      <c r="V77" s="116" t="str">
        <f t="shared" si="28"/>
        <v>OFF</v>
      </c>
      <c r="W77" s="72" t="str">
        <f t="shared" si="28"/>
        <v>OFF</v>
      </c>
    </row>
    <row r="78" spans="1:24" x14ac:dyDescent="0.25">
      <c r="A78" s="71" t="str">
        <f t="shared" si="15"/>
        <v>Jenel Prieto Advincula</v>
      </c>
      <c r="B78" s="28" t="str">
        <f>VLOOKUP(A78,Masterlist!B:D,3,)</f>
        <v>Jane Sairah Arac</v>
      </c>
      <c r="C78" s="86">
        <f t="shared" si="19"/>
        <v>1.0833333333333335</v>
      </c>
      <c r="D78" s="116">
        <f t="shared" ref="D78:F78" si="29">IFERROR(IF(C8= "PTO", "PTO",C8+"12:00"),"OFF")</f>
        <v>1.0833333333333335</v>
      </c>
      <c r="E78" s="116" t="str">
        <f t="shared" si="29"/>
        <v>OFF</v>
      </c>
      <c r="F78" s="116">
        <f t="shared" si="29"/>
        <v>1.0833333333333335</v>
      </c>
      <c r="G78" s="116">
        <f t="shared" ref="G78:I78" si="30">IFERROR(IF(F8= "PTO", "PTO",F8+"12:00"),"OFF")</f>
        <v>1.0833333333333335</v>
      </c>
      <c r="H78" s="116">
        <f t="shared" si="30"/>
        <v>1.0833333333333335</v>
      </c>
      <c r="I78" s="72" t="str">
        <f t="shared" si="30"/>
        <v>OFF</v>
      </c>
      <c r="J78" s="86">
        <f t="shared" ref="J78:W78" si="31">IFERROR(IF(I8= "PTO", "PTO",I8+"12:00"),"OFF")</f>
        <v>1.0833333333333335</v>
      </c>
      <c r="K78" s="116">
        <f t="shared" si="31"/>
        <v>1.0833333333333335</v>
      </c>
      <c r="L78" s="116">
        <f t="shared" si="31"/>
        <v>1.0833333333333335</v>
      </c>
      <c r="M78" s="116">
        <f t="shared" si="31"/>
        <v>1.0833333333333335</v>
      </c>
      <c r="N78" s="116">
        <f t="shared" si="31"/>
        <v>1.0833333333333335</v>
      </c>
      <c r="O78" s="116" t="str">
        <f t="shared" si="31"/>
        <v>OFF</v>
      </c>
      <c r="P78" s="72" t="str">
        <f t="shared" si="31"/>
        <v>OFF</v>
      </c>
      <c r="Q78" s="86">
        <f t="shared" si="31"/>
        <v>1.0833333333333335</v>
      </c>
      <c r="R78" s="116">
        <f t="shared" si="31"/>
        <v>1.0833333333333335</v>
      </c>
      <c r="S78" s="116">
        <f t="shared" si="31"/>
        <v>1.0833333333333335</v>
      </c>
      <c r="T78" s="116">
        <f t="shared" si="31"/>
        <v>1.0833333333333335</v>
      </c>
      <c r="U78" s="116">
        <f t="shared" si="31"/>
        <v>1.0833333333333335</v>
      </c>
      <c r="V78" s="116" t="str">
        <f t="shared" si="31"/>
        <v>OFF</v>
      </c>
      <c r="W78" s="72" t="str">
        <f t="shared" si="31"/>
        <v>OFF</v>
      </c>
    </row>
    <row r="79" spans="1:24" x14ac:dyDescent="0.25">
      <c r="A79" s="71" t="str">
        <f t="shared" si="15"/>
        <v>John Federico Alfonso Tribunal Teruel</v>
      </c>
      <c r="B79" s="28" t="str">
        <f>VLOOKUP(A79,Masterlist!B:D,3,)</f>
        <v>Jane Sairah Arac</v>
      </c>
      <c r="C79" s="86">
        <f t="shared" si="19"/>
        <v>1.0833333333333335</v>
      </c>
      <c r="D79" s="116">
        <f t="shared" ref="D79:F79" si="32">IFERROR(IF(C9= "PTO", "PTO",C9+"12:00"),"OFF")</f>
        <v>1.0833333333333335</v>
      </c>
      <c r="E79" s="116" t="str">
        <f t="shared" si="32"/>
        <v>OFF</v>
      </c>
      <c r="F79" s="116">
        <f t="shared" si="32"/>
        <v>1.0833333333333335</v>
      </c>
      <c r="G79" s="116">
        <f t="shared" ref="G79:I79" si="33">IFERROR(IF(F9= "PTO", "PTO",F9+"12:00"),"OFF")</f>
        <v>1.0833333333333335</v>
      </c>
      <c r="H79" s="116">
        <f t="shared" si="33"/>
        <v>1.0833333333333335</v>
      </c>
      <c r="I79" s="72" t="str">
        <f t="shared" si="33"/>
        <v>OFF</v>
      </c>
      <c r="J79" s="86">
        <f t="shared" ref="J79:W79" si="34">IFERROR(IF(I9= "PTO", "PTO",I9+"12:00"),"OFF")</f>
        <v>1.0833333333333335</v>
      </c>
      <c r="K79" s="116">
        <f t="shared" si="34"/>
        <v>1.0833333333333335</v>
      </c>
      <c r="L79" s="116">
        <f t="shared" si="34"/>
        <v>1.0833333333333335</v>
      </c>
      <c r="M79" s="116">
        <f t="shared" si="34"/>
        <v>1.0833333333333335</v>
      </c>
      <c r="N79" s="116">
        <f t="shared" si="34"/>
        <v>1.0833333333333335</v>
      </c>
      <c r="O79" s="116" t="str">
        <f t="shared" si="34"/>
        <v>OFF</v>
      </c>
      <c r="P79" s="72" t="str">
        <f t="shared" si="34"/>
        <v>OFF</v>
      </c>
      <c r="Q79" s="86">
        <f t="shared" si="34"/>
        <v>1.0833333333333335</v>
      </c>
      <c r="R79" s="116">
        <f t="shared" si="34"/>
        <v>1.0833333333333335</v>
      </c>
      <c r="S79" s="116">
        <f t="shared" si="34"/>
        <v>1.0833333333333335</v>
      </c>
      <c r="T79" s="116">
        <f t="shared" si="34"/>
        <v>1.0833333333333335</v>
      </c>
      <c r="U79" s="116">
        <f t="shared" si="34"/>
        <v>1.0833333333333335</v>
      </c>
      <c r="V79" s="116" t="str">
        <f t="shared" si="34"/>
        <v>OFF</v>
      </c>
      <c r="W79" s="72" t="str">
        <f t="shared" si="34"/>
        <v>OFF</v>
      </c>
    </row>
    <row r="80" spans="1:24" x14ac:dyDescent="0.25">
      <c r="A80" s="71" t="str">
        <f t="shared" si="15"/>
        <v>Jevel Von Bance Grate</v>
      </c>
      <c r="B80" s="28" t="str">
        <f>VLOOKUP(A80,Masterlist!B:D,3,)</f>
        <v>Jane Sairah Arac</v>
      </c>
      <c r="C80" s="86">
        <f t="shared" si="19"/>
        <v>1.0833333333333335</v>
      </c>
      <c r="D80" s="116">
        <f t="shared" ref="D80:F80" si="35">IFERROR(IF(C10= "PTO", "PTO",C10+"12:00"),"OFF")</f>
        <v>1.0833333333333335</v>
      </c>
      <c r="E80" s="116" t="str">
        <f t="shared" si="35"/>
        <v>OFF</v>
      </c>
      <c r="F80" s="116">
        <f t="shared" si="35"/>
        <v>1.0833333333333335</v>
      </c>
      <c r="G80" s="116">
        <f t="shared" ref="G80:I80" si="36">IFERROR(IF(F10= "PTO", "PTO",F10+"12:00"),"OFF")</f>
        <v>1.0833333333333335</v>
      </c>
      <c r="H80" s="116">
        <f t="shared" si="36"/>
        <v>1.0833333333333335</v>
      </c>
      <c r="I80" s="72" t="str">
        <f t="shared" si="36"/>
        <v>OFF</v>
      </c>
      <c r="J80" s="86">
        <f t="shared" ref="J80:W80" si="37">IFERROR(IF(I10= "PTO", "PTO",I10+"12:00"),"OFF")</f>
        <v>1.0833333333333335</v>
      </c>
      <c r="K80" s="116">
        <f t="shared" si="37"/>
        <v>1.0833333333333335</v>
      </c>
      <c r="L80" s="116">
        <f t="shared" si="37"/>
        <v>1.0833333333333335</v>
      </c>
      <c r="M80" s="116">
        <f t="shared" si="37"/>
        <v>1.0833333333333335</v>
      </c>
      <c r="N80" s="116">
        <f t="shared" si="37"/>
        <v>1.0833333333333335</v>
      </c>
      <c r="O80" s="116" t="str">
        <f t="shared" si="37"/>
        <v>OFF</v>
      </c>
      <c r="P80" s="72" t="str">
        <f t="shared" si="37"/>
        <v>OFF</v>
      </c>
      <c r="Q80" s="86">
        <f t="shared" si="37"/>
        <v>1.0833333333333335</v>
      </c>
      <c r="R80" s="116">
        <f t="shared" si="37"/>
        <v>1.0833333333333335</v>
      </c>
      <c r="S80" s="116">
        <f t="shared" si="37"/>
        <v>1.0833333333333335</v>
      </c>
      <c r="T80" s="116">
        <f t="shared" si="37"/>
        <v>1.0833333333333335</v>
      </c>
      <c r="U80" s="116">
        <f t="shared" si="37"/>
        <v>1.0833333333333335</v>
      </c>
      <c r="V80" s="116" t="str">
        <f t="shared" si="37"/>
        <v>OFF</v>
      </c>
      <c r="W80" s="72" t="str">
        <f t="shared" si="37"/>
        <v>OFF</v>
      </c>
    </row>
    <row r="81" spans="1:23" x14ac:dyDescent="0.25">
      <c r="A81" s="71" t="str">
        <f t="shared" si="15"/>
        <v>Maxine Pabillo Duenas</v>
      </c>
      <c r="B81" s="28" t="str">
        <f>VLOOKUP(A81,Masterlist!B:D,3,)</f>
        <v>Jane Sairah Arac</v>
      </c>
      <c r="C81" s="86">
        <f t="shared" si="19"/>
        <v>1.0833333333333335</v>
      </c>
      <c r="D81" s="116">
        <f t="shared" ref="D81:F81" si="38">IFERROR(IF(C11= "PTO", "PTO",C11+"12:00"),"OFF")</f>
        <v>1.0833333333333335</v>
      </c>
      <c r="E81" s="116" t="str">
        <f t="shared" si="38"/>
        <v>OFF</v>
      </c>
      <c r="F81" s="116">
        <f t="shared" si="38"/>
        <v>1.0833333333333335</v>
      </c>
      <c r="G81" s="116">
        <f t="shared" ref="G81:I81" si="39">IFERROR(IF(F11= "PTO", "PTO",F11+"12:00"),"OFF")</f>
        <v>1.0833333333333335</v>
      </c>
      <c r="H81" s="116">
        <f t="shared" si="39"/>
        <v>1.0833333333333335</v>
      </c>
      <c r="I81" s="72" t="str">
        <f t="shared" si="39"/>
        <v>OFF</v>
      </c>
      <c r="J81" s="86">
        <f t="shared" ref="J81:W81" si="40">IFERROR(IF(I11= "PTO", "PTO",I11+"12:00"),"OFF")</f>
        <v>1.0833333333333335</v>
      </c>
      <c r="K81" s="116">
        <f t="shared" si="40"/>
        <v>1.0833333333333335</v>
      </c>
      <c r="L81" s="116">
        <f t="shared" si="40"/>
        <v>1.0833333333333335</v>
      </c>
      <c r="M81" s="116">
        <f t="shared" si="40"/>
        <v>1.0833333333333335</v>
      </c>
      <c r="N81" s="116">
        <f t="shared" si="40"/>
        <v>1.0833333333333335</v>
      </c>
      <c r="O81" s="116" t="str">
        <f t="shared" si="40"/>
        <v>OFF</v>
      </c>
      <c r="P81" s="72" t="str">
        <f t="shared" si="40"/>
        <v>OFF</v>
      </c>
      <c r="Q81" s="86">
        <f t="shared" si="40"/>
        <v>1.0833333333333335</v>
      </c>
      <c r="R81" s="116">
        <f t="shared" si="40"/>
        <v>1.0833333333333335</v>
      </c>
      <c r="S81" s="116">
        <f t="shared" si="40"/>
        <v>1.0833333333333335</v>
      </c>
      <c r="T81" s="116">
        <f t="shared" si="40"/>
        <v>1.0833333333333335</v>
      </c>
      <c r="U81" s="116">
        <f t="shared" si="40"/>
        <v>1.0833333333333335</v>
      </c>
      <c r="V81" s="116" t="str">
        <f t="shared" si="40"/>
        <v>OFF</v>
      </c>
      <c r="W81" s="72" t="str">
        <f t="shared" si="40"/>
        <v>OFF</v>
      </c>
    </row>
    <row r="82" spans="1:23" x14ac:dyDescent="0.25">
      <c r="A82" s="71" t="str">
        <f t="shared" si="15"/>
        <v>Sittie Sufiyah Macaumbang Dimaampao</v>
      </c>
      <c r="B82" s="28" t="str">
        <f>VLOOKUP(A82,Masterlist!B:D,3,)</f>
        <v>Jane Sairah Arac</v>
      </c>
      <c r="C82" s="86">
        <f t="shared" si="19"/>
        <v>1.0833333333333335</v>
      </c>
      <c r="D82" s="116">
        <f t="shared" ref="D82:F82" si="41">IFERROR(IF(C12= "PTO", "PTO",C12+"12:00"),"OFF")</f>
        <v>1.0833333333333335</v>
      </c>
      <c r="E82" s="116" t="str">
        <f t="shared" si="41"/>
        <v>OFF</v>
      </c>
      <c r="F82" s="116">
        <f t="shared" si="41"/>
        <v>1.0833333333333335</v>
      </c>
      <c r="G82" s="116">
        <f t="shared" ref="G82:I82" si="42">IFERROR(IF(F12= "PTO", "PTO",F12+"12:00"),"OFF")</f>
        <v>1.0833333333333335</v>
      </c>
      <c r="H82" s="116">
        <f t="shared" si="42"/>
        <v>1.0833333333333335</v>
      </c>
      <c r="I82" s="72" t="str">
        <f t="shared" si="42"/>
        <v>OFF</v>
      </c>
      <c r="J82" s="86">
        <f t="shared" ref="J82:W82" si="43">IFERROR(IF(I12= "PTO", "PTO",I12+"12:00"),"OFF")</f>
        <v>1.0833333333333335</v>
      </c>
      <c r="K82" s="116">
        <f t="shared" si="43"/>
        <v>1.0833333333333335</v>
      </c>
      <c r="L82" s="116">
        <f t="shared" si="43"/>
        <v>1.0833333333333335</v>
      </c>
      <c r="M82" s="116">
        <f t="shared" si="43"/>
        <v>1.0833333333333335</v>
      </c>
      <c r="N82" s="116">
        <f t="shared" si="43"/>
        <v>1.0833333333333335</v>
      </c>
      <c r="O82" s="116" t="str">
        <f t="shared" si="43"/>
        <v>OFF</v>
      </c>
      <c r="P82" s="72" t="str">
        <f t="shared" si="43"/>
        <v>OFF</v>
      </c>
      <c r="Q82" s="86">
        <f t="shared" si="43"/>
        <v>1.0833333333333335</v>
      </c>
      <c r="R82" s="116">
        <f t="shared" si="43"/>
        <v>1.0833333333333335</v>
      </c>
      <c r="S82" s="116">
        <f t="shared" si="43"/>
        <v>1.0833333333333335</v>
      </c>
      <c r="T82" s="116">
        <f t="shared" si="43"/>
        <v>1.0833333333333335</v>
      </c>
      <c r="U82" s="116">
        <f t="shared" si="43"/>
        <v>1.0833333333333335</v>
      </c>
      <c r="V82" s="116" t="str">
        <f t="shared" si="43"/>
        <v>OFF</v>
      </c>
      <c r="W82" s="72" t="str">
        <f t="shared" si="43"/>
        <v>OFF</v>
      </c>
    </row>
    <row r="83" spans="1:23" x14ac:dyDescent="0.25">
      <c r="A83" s="71" t="str">
        <f t="shared" si="15"/>
        <v>Ana Marie Albao</v>
      </c>
      <c r="B83" s="28" t="str">
        <f>VLOOKUP(A83,Masterlist!B:D,3,)</f>
        <v>-</v>
      </c>
      <c r="C83" s="86">
        <f t="shared" si="19"/>
        <v>1.0833333333333335</v>
      </c>
      <c r="D83" s="116">
        <f t="shared" ref="D83:F83" si="44">IFERROR(IF(C13= "PTO", "PTO",C13+"12:00"),"OFF")</f>
        <v>1.0833333333333335</v>
      </c>
      <c r="E83" s="116" t="str">
        <f t="shared" si="44"/>
        <v>OFF</v>
      </c>
      <c r="F83" s="116">
        <f t="shared" si="44"/>
        <v>1.0833333333333335</v>
      </c>
      <c r="G83" s="116">
        <f t="shared" ref="G83:I83" si="45">IFERROR(IF(F13= "PTO", "PTO",F13+"12:00"),"OFF")</f>
        <v>1.0833333333333335</v>
      </c>
      <c r="H83" s="116">
        <f t="shared" si="45"/>
        <v>1.0833333333333335</v>
      </c>
      <c r="I83" s="72" t="str">
        <f t="shared" si="45"/>
        <v>OFF</v>
      </c>
      <c r="J83" s="86">
        <f t="shared" ref="J83:W83" si="46">IFERROR(IF(I13= "PTO", "PTO",I13+"12:00"),"OFF")</f>
        <v>1.0833333333333335</v>
      </c>
      <c r="K83" s="116">
        <f t="shared" si="46"/>
        <v>1.0833333333333335</v>
      </c>
      <c r="L83" s="116">
        <f t="shared" si="46"/>
        <v>1.0833333333333335</v>
      </c>
      <c r="M83" s="116">
        <f t="shared" si="46"/>
        <v>1.0833333333333335</v>
      </c>
      <c r="N83" s="116">
        <f t="shared" si="46"/>
        <v>1.0833333333333335</v>
      </c>
      <c r="O83" s="116" t="str">
        <f t="shared" si="46"/>
        <v>OFF</v>
      </c>
      <c r="P83" s="72" t="str">
        <f t="shared" si="46"/>
        <v>OFF</v>
      </c>
      <c r="Q83" s="86">
        <f t="shared" si="46"/>
        <v>1.0833333333333335</v>
      </c>
      <c r="R83" s="116">
        <f t="shared" si="46"/>
        <v>1.0833333333333335</v>
      </c>
      <c r="S83" s="116">
        <f t="shared" si="46"/>
        <v>1.0833333333333335</v>
      </c>
      <c r="T83" s="116">
        <f t="shared" si="46"/>
        <v>1.0833333333333335</v>
      </c>
      <c r="U83" s="116">
        <f t="shared" si="46"/>
        <v>1.0833333333333335</v>
      </c>
      <c r="V83" s="116" t="str">
        <f t="shared" si="46"/>
        <v>OFF</v>
      </c>
      <c r="W83" s="72" t="str">
        <f t="shared" si="46"/>
        <v>OFF</v>
      </c>
    </row>
    <row r="84" spans="1:23" x14ac:dyDescent="0.25">
      <c r="A84" s="71"/>
      <c r="B84" s="28"/>
      <c r="C84" s="86"/>
      <c r="D84" s="116"/>
      <c r="E84" s="116"/>
      <c r="F84" s="116"/>
      <c r="G84" s="116"/>
      <c r="H84" s="116"/>
      <c r="I84" s="72"/>
      <c r="J84" s="86"/>
      <c r="K84" s="116"/>
      <c r="L84" s="116"/>
      <c r="M84" s="116"/>
      <c r="N84" s="116"/>
      <c r="O84" s="116"/>
      <c r="P84" s="72"/>
      <c r="Q84" s="86"/>
      <c r="R84" s="116"/>
      <c r="S84" s="116"/>
      <c r="T84" s="116"/>
      <c r="U84" s="116"/>
      <c r="V84" s="116"/>
      <c r="W84" s="72"/>
    </row>
    <row r="85" spans="1:23" x14ac:dyDescent="0.25">
      <c r="A85" s="71"/>
      <c r="B85" s="28"/>
      <c r="C85" s="86"/>
      <c r="D85" s="116"/>
      <c r="E85" s="116"/>
      <c r="F85" s="116"/>
      <c r="G85" s="116"/>
      <c r="H85" s="116"/>
      <c r="I85" s="72"/>
      <c r="J85" s="86"/>
      <c r="K85" s="116"/>
      <c r="L85" s="116"/>
      <c r="M85" s="116"/>
      <c r="N85" s="116"/>
      <c r="O85" s="116"/>
      <c r="P85" s="72"/>
      <c r="Q85" s="86"/>
      <c r="R85" s="116"/>
      <c r="S85" s="116"/>
      <c r="T85" s="116"/>
      <c r="U85" s="116"/>
      <c r="V85" s="116"/>
      <c r="W85" s="72"/>
    </row>
    <row r="86" spans="1:23" x14ac:dyDescent="0.25">
      <c r="A86" s="71"/>
      <c r="B86" s="28"/>
      <c r="C86" s="86"/>
      <c r="D86" s="116"/>
      <c r="E86" s="116"/>
      <c r="F86" s="116"/>
      <c r="G86" s="116"/>
      <c r="H86" s="116"/>
      <c r="I86" s="72"/>
      <c r="J86" s="86"/>
      <c r="K86" s="116"/>
      <c r="L86" s="116"/>
      <c r="M86" s="116"/>
      <c r="N86" s="116"/>
      <c r="O86" s="116"/>
      <c r="P86" s="72"/>
      <c r="Q86" s="86"/>
      <c r="R86" s="116"/>
      <c r="S86" s="116"/>
      <c r="T86" s="116"/>
      <c r="U86" s="116"/>
      <c r="V86" s="116"/>
      <c r="W86" s="72"/>
    </row>
    <row r="87" spans="1:23" s="205" customFormat="1" x14ac:dyDescent="0.25">
      <c r="A87" s="71"/>
      <c r="B87" s="28"/>
      <c r="C87" s="86"/>
      <c r="D87" s="116"/>
      <c r="E87" s="116"/>
      <c r="F87" s="116"/>
      <c r="G87" s="116"/>
      <c r="H87" s="116"/>
      <c r="I87" s="72"/>
      <c r="J87" s="86"/>
      <c r="K87" s="116"/>
      <c r="L87" s="116"/>
      <c r="M87" s="116"/>
      <c r="N87" s="116"/>
      <c r="O87" s="116"/>
      <c r="P87" s="72"/>
      <c r="Q87" s="86"/>
      <c r="R87" s="116"/>
      <c r="S87" s="116"/>
      <c r="T87" s="116"/>
      <c r="U87" s="116"/>
      <c r="V87" s="116"/>
      <c r="W87" s="72"/>
    </row>
    <row r="88" spans="1:23" s="205" customFormat="1" x14ac:dyDescent="0.25">
      <c r="A88" s="71"/>
      <c r="B88" s="28"/>
      <c r="C88" s="86"/>
      <c r="D88" s="116"/>
      <c r="E88" s="116"/>
      <c r="F88" s="116"/>
      <c r="G88" s="116"/>
      <c r="H88" s="116"/>
      <c r="I88" s="72"/>
      <c r="J88" s="86"/>
      <c r="K88" s="116"/>
      <c r="L88" s="116"/>
      <c r="M88" s="116"/>
      <c r="N88" s="116"/>
      <c r="O88" s="116"/>
      <c r="P88" s="72"/>
      <c r="Q88" s="86"/>
      <c r="R88" s="116"/>
      <c r="S88" s="116"/>
      <c r="T88" s="116"/>
      <c r="U88" s="116"/>
      <c r="V88" s="116"/>
      <c r="W88" s="72"/>
    </row>
    <row r="89" spans="1:23" s="205" customFormat="1" x14ac:dyDescent="0.25">
      <c r="A89" s="71"/>
      <c r="B89" s="28"/>
      <c r="C89" s="86"/>
      <c r="D89" s="116"/>
      <c r="E89" s="116"/>
      <c r="F89" s="116"/>
      <c r="G89" s="116"/>
      <c r="H89" s="116"/>
      <c r="I89" s="72"/>
      <c r="J89" s="86"/>
      <c r="K89" s="116"/>
      <c r="L89" s="116"/>
      <c r="M89" s="116"/>
      <c r="N89" s="116"/>
      <c r="O89" s="116"/>
      <c r="P89" s="72"/>
      <c r="Q89" s="86"/>
      <c r="R89" s="116"/>
      <c r="S89" s="116"/>
      <c r="T89" s="116"/>
      <c r="U89" s="116"/>
      <c r="V89" s="116"/>
      <c r="W89" s="72"/>
    </row>
    <row r="90" spans="1:23" s="205" customFormat="1" x14ac:dyDescent="0.25">
      <c r="A90" s="71"/>
      <c r="B90" s="28"/>
      <c r="C90" s="86"/>
      <c r="D90" s="116"/>
      <c r="E90" s="116"/>
      <c r="F90" s="116"/>
      <c r="G90" s="116"/>
      <c r="H90" s="116"/>
      <c r="I90" s="72"/>
      <c r="J90" s="86"/>
      <c r="K90" s="116"/>
      <c r="L90" s="116"/>
      <c r="M90" s="116"/>
      <c r="N90" s="116"/>
      <c r="O90" s="116"/>
      <c r="P90" s="72"/>
      <c r="Q90" s="86"/>
      <c r="R90" s="116"/>
      <c r="S90" s="116"/>
      <c r="T90" s="116"/>
      <c r="U90" s="116"/>
      <c r="V90" s="116"/>
      <c r="W90" s="72"/>
    </row>
    <row r="91" spans="1:23" s="205" customFormat="1" x14ac:dyDescent="0.25">
      <c r="A91" s="71"/>
      <c r="B91" s="28"/>
      <c r="C91" s="86"/>
      <c r="D91" s="116"/>
      <c r="E91" s="116"/>
      <c r="F91" s="116"/>
      <c r="G91" s="116"/>
      <c r="H91" s="116"/>
      <c r="I91" s="72"/>
      <c r="J91" s="86"/>
      <c r="K91" s="116"/>
      <c r="L91" s="116"/>
      <c r="M91" s="116"/>
      <c r="N91" s="116"/>
      <c r="O91" s="116"/>
      <c r="P91" s="72"/>
      <c r="Q91" s="86"/>
      <c r="R91" s="116"/>
      <c r="S91" s="116"/>
      <c r="T91" s="116"/>
      <c r="U91" s="116"/>
      <c r="V91" s="116"/>
      <c r="W91" s="72"/>
    </row>
    <row r="92" spans="1:23" s="205" customFormat="1" x14ac:dyDescent="0.25">
      <c r="A92" s="71"/>
      <c r="B92" s="28"/>
      <c r="C92" s="86"/>
      <c r="D92" s="116"/>
      <c r="E92" s="116"/>
      <c r="F92" s="116"/>
      <c r="G92" s="116"/>
      <c r="H92" s="116"/>
      <c r="I92" s="72"/>
      <c r="J92" s="86"/>
      <c r="K92" s="116"/>
      <c r="L92" s="116"/>
      <c r="M92" s="116"/>
      <c r="N92" s="116"/>
      <c r="O92" s="116"/>
      <c r="P92" s="72"/>
      <c r="Q92" s="86"/>
      <c r="R92" s="116"/>
      <c r="S92" s="116"/>
      <c r="T92" s="116"/>
      <c r="U92" s="116"/>
      <c r="V92" s="116"/>
      <c r="W92" s="72"/>
    </row>
    <row r="93" spans="1:23" s="205" customFormat="1" x14ac:dyDescent="0.25">
      <c r="A93" s="71"/>
      <c r="B93" s="28"/>
      <c r="C93" s="86"/>
      <c r="D93" s="116"/>
      <c r="E93" s="116"/>
      <c r="F93" s="116"/>
      <c r="G93" s="116"/>
      <c r="H93" s="116"/>
      <c r="I93" s="72"/>
      <c r="J93" s="86"/>
      <c r="K93" s="116"/>
      <c r="L93" s="116"/>
      <c r="M93" s="116"/>
      <c r="N93" s="116"/>
      <c r="O93" s="116"/>
      <c r="P93" s="72"/>
      <c r="Q93" s="86"/>
      <c r="R93" s="116"/>
      <c r="S93" s="116"/>
      <c r="T93" s="116"/>
      <c r="U93" s="116"/>
      <c r="V93" s="116"/>
      <c r="W93" s="72"/>
    </row>
    <row r="94" spans="1:23" s="205" customFormat="1" x14ac:dyDescent="0.25">
      <c r="A94" s="71"/>
      <c r="B94" s="28"/>
      <c r="C94" s="86"/>
      <c r="D94" s="116"/>
      <c r="E94" s="116"/>
      <c r="F94" s="116"/>
      <c r="G94" s="116"/>
      <c r="H94" s="116"/>
      <c r="I94" s="72"/>
      <c r="J94" s="86"/>
      <c r="K94" s="116"/>
      <c r="L94" s="116"/>
      <c r="M94" s="116"/>
      <c r="N94" s="116"/>
      <c r="O94" s="116"/>
      <c r="P94" s="72"/>
      <c r="Q94" s="86"/>
      <c r="R94" s="116"/>
      <c r="S94" s="116"/>
      <c r="T94" s="116"/>
      <c r="U94" s="116"/>
      <c r="V94" s="116"/>
      <c r="W94" s="72"/>
    </row>
    <row r="95" spans="1:23" s="205" customFormat="1" x14ac:dyDescent="0.25">
      <c r="A95" s="71"/>
      <c r="B95" s="28"/>
      <c r="C95" s="86"/>
      <c r="D95" s="116"/>
      <c r="E95" s="116"/>
      <c r="F95" s="116"/>
      <c r="G95" s="116"/>
      <c r="H95" s="116"/>
      <c r="I95" s="72"/>
      <c r="J95" s="86"/>
      <c r="K95" s="116"/>
      <c r="L95" s="116"/>
      <c r="M95" s="116"/>
      <c r="N95" s="116"/>
      <c r="O95" s="116"/>
      <c r="P95" s="72"/>
      <c r="Q95" s="86"/>
      <c r="R95" s="116"/>
      <c r="S95" s="116"/>
      <c r="T95" s="116"/>
      <c r="U95" s="116"/>
      <c r="V95" s="116"/>
      <c r="W95" s="72"/>
    </row>
    <row r="96" spans="1:23" s="205" customFormat="1" x14ac:dyDescent="0.25">
      <c r="A96" s="71"/>
      <c r="B96" s="28"/>
      <c r="C96" s="86"/>
      <c r="D96" s="116"/>
      <c r="E96" s="116"/>
      <c r="F96" s="116"/>
      <c r="G96" s="116"/>
      <c r="H96" s="116"/>
      <c r="I96" s="72"/>
      <c r="J96" s="86"/>
      <c r="K96" s="116"/>
      <c r="L96" s="116"/>
      <c r="M96" s="116"/>
      <c r="N96" s="116"/>
      <c r="O96" s="116"/>
      <c r="P96" s="72"/>
      <c r="Q96" s="86"/>
      <c r="R96" s="116"/>
      <c r="S96" s="116"/>
      <c r="T96" s="116"/>
      <c r="U96" s="116"/>
      <c r="V96" s="116"/>
      <c r="W96" s="72"/>
    </row>
    <row r="97" spans="1:23" x14ac:dyDescent="0.25">
      <c r="A97" s="71"/>
      <c r="B97" s="28"/>
      <c r="C97" s="86"/>
      <c r="D97" s="116"/>
      <c r="E97" s="116"/>
      <c r="F97" s="116"/>
      <c r="G97" s="116"/>
      <c r="H97" s="116"/>
      <c r="I97" s="72"/>
      <c r="J97" s="86"/>
      <c r="K97" s="116"/>
      <c r="L97" s="116"/>
      <c r="M97" s="116"/>
      <c r="N97" s="116"/>
      <c r="O97" s="116"/>
      <c r="P97" s="72"/>
      <c r="Q97" s="86"/>
      <c r="R97" s="116"/>
      <c r="S97" s="116"/>
      <c r="T97" s="116"/>
      <c r="U97" s="116"/>
      <c r="V97" s="116"/>
      <c r="W97" s="72"/>
    </row>
    <row r="98" spans="1:23" x14ac:dyDescent="0.25">
      <c r="A98" s="71"/>
      <c r="B98" s="28"/>
      <c r="C98" s="86"/>
      <c r="D98" s="116"/>
      <c r="E98" s="116"/>
      <c r="F98" s="116"/>
      <c r="G98" s="116"/>
      <c r="H98" s="116"/>
      <c r="I98" s="72"/>
      <c r="J98" s="86"/>
      <c r="K98" s="116"/>
      <c r="L98" s="116"/>
      <c r="M98" s="116"/>
      <c r="N98" s="116"/>
      <c r="O98" s="116"/>
      <c r="P98" s="72"/>
      <c r="Q98" s="86"/>
      <c r="R98" s="116"/>
      <c r="S98" s="116"/>
      <c r="T98" s="116"/>
      <c r="U98" s="116"/>
      <c r="V98" s="116"/>
      <c r="W98" s="72"/>
    </row>
    <row r="99" spans="1:23" x14ac:dyDescent="0.25">
      <c r="A99" s="71"/>
      <c r="B99" s="28"/>
      <c r="C99" s="86"/>
      <c r="D99" s="116"/>
      <c r="E99" s="116"/>
      <c r="F99" s="116"/>
      <c r="G99" s="116"/>
      <c r="H99" s="116"/>
      <c r="I99" s="72"/>
      <c r="J99" s="86"/>
      <c r="K99" s="116"/>
      <c r="L99" s="116"/>
      <c r="M99" s="116"/>
      <c r="N99" s="116"/>
      <c r="O99" s="116"/>
      <c r="P99" s="72"/>
      <c r="Q99" s="86"/>
      <c r="R99" s="116"/>
      <c r="S99" s="116"/>
      <c r="T99" s="116"/>
      <c r="U99" s="116"/>
      <c r="V99" s="116"/>
      <c r="W99" s="72"/>
    </row>
    <row r="100" spans="1:23" x14ac:dyDescent="0.25">
      <c r="A100" s="71"/>
      <c r="B100" s="28"/>
      <c r="C100" s="86"/>
      <c r="D100" s="116"/>
      <c r="E100" s="116"/>
      <c r="F100" s="116"/>
      <c r="G100" s="116"/>
      <c r="H100" s="116"/>
      <c r="I100" s="72"/>
      <c r="J100" s="86"/>
      <c r="K100" s="116"/>
      <c r="L100" s="116"/>
      <c r="M100" s="116"/>
      <c r="N100" s="116"/>
      <c r="O100" s="116"/>
      <c r="P100" s="72"/>
      <c r="Q100" s="86"/>
      <c r="R100" s="116"/>
      <c r="S100" s="116"/>
      <c r="T100" s="116"/>
      <c r="U100" s="116"/>
      <c r="V100" s="116"/>
      <c r="W100" s="72"/>
    </row>
    <row r="101" spans="1:23" x14ac:dyDescent="0.25">
      <c r="A101" s="71"/>
      <c r="B101" s="28"/>
      <c r="C101" s="86"/>
      <c r="D101" s="116"/>
      <c r="E101" s="116"/>
      <c r="F101" s="116"/>
      <c r="G101" s="116"/>
      <c r="H101" s="116"/>
      <c r="I101" s="72"/>
      <c r="J101" s="86"/>
      <c r="K101" s="116"/>
      <c r="L101" s="116"/>
      <c r="M101" s="116"/>
      <c r="N101" s="116"/>
      <c r="O101" s="116"/>
      <c r="P101" s="72"/>
      <c r="Q101" s="86"/>
      <c r="R101" s="116"/>
      <c r="S101" s="116"/>
      <c r="T101" s="116"/>
      <c r="U101" s="116"/>
      <c r="V101" s="116"/>
      <c r="W101" s="72"/>
    </row>
    <row r="102" spans="1:23" x14ac:dyDescent="0.25">
      <c r="A102" s="71"/>
      <c r="B102" s="28"/>
      <c r="C102" s="86"/>
      <c r="D102" s="116"/>
      <c r="E102" s="116"/>
      <c r="F102" s="116"/>
      <c r="G102" s="116"/>
      <c r="H102" s="116"/>
      <c r="I102" s="72"/>
      <c r="J102" s="86"/>
      <c r="K102" s="116"/>
      <c r="L102" s="116"/>
      <c r="M102" s="116"/>
      <c r="N102" s="116"/>
      <c r="O102" s="116"/>
      <c r="P102" s="72"/>
      <c r="Q102" s="86"/>
      <c r="R102" s="116"/>
      <c r="S102" s="116"/>
      <c r="T102" s="116"/>
      <c r="U102" s="116"/>
      <c r="V102" s="116"/>
      <c r="W102" s="72"/>
    </row>
    <row r="103" spans="1:23" x14ac:dyDescent="0.25">
      <c r="A103" s="71"/>
      <c r="B103" s="28"/>
      <c r="C103" s="86"/>
      <c r="D103" s="116"/>
      <c r="E103" s="116"/>
      <c r="F103" s="116"/>
      <c r="G103" s="116"/>
      <c r="H103" s="116"/>
      <c r="I103" s="72"/>
      <c r="J103" s="86"/>
      <c r="K103" s="116"/>
      <c r="L103" s="116"/>
      <c r="M103" s="116"/>
      <c r="N103" s="116"/>
      <c r="O103" s="116"/>
      <c r="P103" s="72"/>
      <c r="Q103" s="86"/>
      <c r="R103" s="116"/>
      <c r="S103" s="116"/>
      <c r="T103" s="116"/>
      <c r="U103" s="116"/>
      <c r="V103" s="116"/>
      <c r="W103" s="72"/>
    </row>
    <row r="104" spans="1:23" x14ac:dyDescent="0.25">
      <c r="A104" s="71"/>
      <c r="B104" s="28"/>
      <c r="C104" s="86"/>
      <c r="D104" s="116"/>
      <c r="E104" s="116"/>
      <c r="F104" s="116"/>
      <c r="G104" s="116"/>
      <c r="H104" s="116"/>
      <c r="I104" s="72"/>
      <c r="J104" s="86"/>
      <c r="K104" s="116"/>
      <c r="L104" s="116"/>
      <c r="M104" s="116"/>
      <c r="N104" s="116"/>
      <c r="O104" s="116"/>
      <c r="P104" s="72"/>
      <c r="Q104" s="86"/>
      <c r="R104" s="116"/>
      <c r="S104" s="116"/>
      <c r="T104" s="116"/>
      <c r="U104" s="116"/>
      <c r="V104" s="116"/>
      <c r="W104" s="72"/>
    </row>
    <row r="105" spans="1:23" x14ac:dyDescent="0.25">
      <c r="A105" s="71"/>
      <c r="B105" s="28"/>
      <c r="C105" s="86"/>
      <c r="D105" s="116"/>
      <c r="E105" s="116"/>
      <c r="F105" s="116"/>
      <c r="G105" s="116"/>
      <c r="H105" s="116"/>
      <c r="I105" s="72"/>
      <c r="J105" s="86"/>
      <c r="K105" s="116"/>
      <c r="L105" s="116"/>
      <c r="M105" s="116"/>
      <c r="N105" s="116"/>
      <c r="O105" s="116"/>
      <c r="P105" s="72"/>
      <c r="Q105" s="86"/>
      <c r="R105" s="116"/>
      <c r="S105" s="116"/>
      <c r="T105" s="116"/>
      <c r="U105" s="116"/>
      <c r="V105" s="116"/>
      <c r="W105" s="72"/>
    </row>
    <row r="106" spans="1:23" x14ac:dyDescent="0.25">
      <c r="A106" s="71"/>
      <c r="B106" s="28"/>
      <c r="C106" s="86"/>
      <c r="D106" s="116"/>
      <c r="E106" s="116"/>
      <c r="F106" s="116"/>
      <c r="G106" s="116"/>
      <c r="H106" s="116"/>
      <c r="I106" s="72"/>
      <c r="J106" s="86"/>
      <c r="K106" s="116"/>
      <c r="L106" s="116"/>
      <c r="M106" s="116"/>
      <c r="N106" s="116"/>
      <c r="O106" s="116"/>
      <c r="P106" s="72"/>
      <c r="Q106" s="86"/>
      <c r="R106" s="116"/>
      <c r="S106" s="116"/>
      <c r="T106" s="116"/>
      <c r="U106" s="116"/>
      <c r="V106" s="116"/>
      <c r="W106" s="72"/>
    </row>
    <row r="107" spans="1:23" x14ac:dyDescent="0.25">
      <c r="A107" s="71"/>
      <c r="B107" s="28"/>
      <c r="C107" s="86"/>
      <c r="D107" s="116"/>
      <c r="E107" s="116"/>
      <c r="F107" s="116"/>
      <c r="G107" s="116"/>
      <c r="H107" s="116"/>
      <c r="I107" s="72"/>
      <c r="J107" s="86"/>
      <c r="K107" s="116"/>
      <c r="L107" s="116"/>
      <c r="M107" s="116"/>
      <c r="N107" s="116"/>
      <c r="O107" s="116"/>
      <c r="P107" s="72"/>
      <c r="Q107" s="86"/>
      <c r="R107" s="116"/>
      <c r="S107" s="116"/>
      <c r="T107" s="116"/>
      <c r="U107" s="116"/>
      <c r="V107" s="116"/>
      <c r="W107" s="72"/>
    </row>
    <row r="108" spans="1:23" x14ac:dyDescent="0.25">
      <c r="A108" s="71"/>
      <c r="B108" s="28"/>
      <c r="C108" s="86"/>
      <c r="D108" s="116"/>
      <c r="E108" s="116"/>
      <c r="F108" s="116"/>
      <c r="G108" s="116"/>
      <c r="H108" s="116"/>
      <c r="I108" s="72"/>
      <c r="J108" s="86"/>
      <c r="K108" s="116"/>
      <c r="L108" s="116"/>
      <c r="M108" s="116"/>
      <c r="N108" s="116"/>
      <c r="O108" s="116"/>
      <c r="P108" s="72"/>
      <c r="Q108" s="86"/>
      <c r="R108" s="116"/>
      <c r="S108" s="116"/>
      <c r="T108" s="116"/>
      <c r="U108" s="116"/>
      <c r="V108" s="116"/>
      <c r="W108" s="72"/>
    </row>
    <row r="109" spans="1:23" x14ac:dyDescent="0.25">
      <c r="A109" s="71"/>
      <c r="B109" s="28"/>
      <c r="C109" s="86"/>
      <c r="D109" s="116"/>
      <c r="E109" s="116"/>
      <c r="F109" s="116"/>
      <c r="G109" s="116"/>
      <c r="H109" s="116"/>
      <c r="I109" s="72"/>
      <c r="J109" s="86"/>
      <c r="K109" s="116"/>
      <c r="L109" s="116"/>
      <c r="M109" s="116"/>
      <c r="N109" s="116"/>
      <c r="O109" s="116"/>
      <c r="P109" s="72"/>
      <c r="Q109" s="86"/>
      <c r="R109" s="116"/>
      <c r="S109" s="116"/>
      <c r="T109" s="116"/>
      <c r="U109" s="116"/>
      <c r="V109" s="116"/>
      <c r="W109" s="72"/>
    </row>
    <row r="110" spans="1:23" x14ac:dyDescent="0.25">
      <c r="A110" s="71"/>
      <c r="B110" s="28"/>
      <c r="C110" s="86"/>
      <c r="D110" s="116"/>
      <c r="E110" s="116"/>
      <c r="F110" s="116"/>
      <c r="G110" s="116"/>
      <c r="H110" s="116"/>
      <c r="I110" s="72"/>
      <c r="J110" s="86"/>
      <c r="K110" s="116"/>
      <c r="L110" s="116"/>
      <c r="M110" s="116"/>
      <c r="N110" s="116"/>
      <c r="O110" s="116"/>
      <c r="P110" s="72"/>
      <c r="Q110" s="86"/>
      <c r="R110" s="116"/>
      <c r="S110" s="116"/>
      <c r="T110" s="116"/>
      <c r="U110" s="116"/>
      <c r="V110" s="116"/>
      <c r="W110" s="72"/>
    </row>
    <row r="111" spans="1:23" x14ac:dyDescent="0.25">
      <c r="A111" s="71"/>
      <c r="B111" s="28"/>
      <c r="C111" s="86"/>
      <c r="D111" s="116"/>
      <c r="E111" s="116"/>
      <c r="F111" s="116"/>
      <c r="G111" s="116"/>
      <c r="H111" s="116"/>
      <c r="I111" s="72"/>
      <c r="J111" s="86"/>
      <c r="K111" s="116"/>
      <c r="L111" s="116"/>
      <c r="M111" s="116"/>
      <c r="N111" s="116"/>
      <c r="O111" s="116"/>
      <c r="P111" s="72"/>
      <c r="Q111" s="86"/>
      <c r="R111" s="116"/>
      <c r="S111" s="116"/>
      <c r="T111" s="116"/>
      <c r="U111" s="116"/>
      <c r="V111" s="116"/>
      <c r="W111" s="72"/>
    </row>
    <row r="112" spans="1:23" x14ac:dyDescent="0.25">
      <c r="A112" s="71"/>
      <c r="B112" s="28"/>
      <c r="C112" s="86"/>
      <c r="D112" s="116"/>
      <c r="E112" s="116"/>
      <c r="F112" s="116"/>
      <c r="G112" s="116"/>
      <c r="H112" s="116"/>
      <c r="I112" s="72"/>
      <c r="J112" s="86"/>
      <c r="K112" s="116"/>
      <c r="L112" s="116"/>
      <c r="M112" s="116"/>
      <c r="N112" s="116"/>
      <c r="O112" s="116"/>
      <c r="P112" s="72"/>
      <c r="Q112" s="86"/>
      <c r="R112" s="116"/>
      <c r="S112" s="116"/>
      <c r="T112" s="116"/>
      <c r="U112" s="116"/>
      <c r="V112" s="116"/>
      <c r="W112" s="72"/>
    </row>
    <row r="113" spans="1:23" x14ac:dyDescent="0.25">
      <c r="A113" s="71"/>
      <c r="B113" s="28"/>
      <c r="C113" s="86"/>
      <c r="D113" s="116"/>
      <c r="E113" s="116"/>
      <c r="F113" s="116"/>
      <c r="G113" s="116"/>
      <c r="H113" s="116"/>
      <c r="I113" s="72"/>
      <c r="J113" s="86"/>
      <c r="K113" s="116"/>
      <c r="L113" s="116"/>
      <c r="M113" s="116"/>
      <c r="N113" s="116"/>
      <c r="O113" s="116"/>
      <c r="P113" s="72"/>
      <c r="Q113" s="86"/>
      <c r="R113" s="116"/>
      <c r="S113" s="116"/>
      <c r="T113" s="116"/>
      <c r="U113" s="116"/>
      <c r="V113" s="116"/>
      <c r="W113" s="72"/>
    </row>
    <row r="114" spans="1:23" x14ac:dyDescent="0.25">
      <c r="A114" s="71"/>
      <c r="B114" s="28"/>
      <c r="C114" s="86"/>
      <c r="D114" s="116"/>
      <c r="E114" s="116"/>
      <c r="F114" s="116"/>
      <c r="G114" s="116"/>
      <c r="H114" s="116"/>
      <c r="I114" s="72"/>
      <c r="J114" s="86"/>
      <c r="K114" s="116"/>
      <c r="L114" s="116"/>
      <c r="M114" s="116"/>
      <c r="N114" s="116"/>
      <c r="O114" s="116"/>
      <c r="P114" s="72"/>
      <c r="Q114" s="86"/>
      <c r="R114" s="116"/>
      <c r="S114" s="116"/>
      <c r="T114" s="116"/>
      <c r="U114" s="116"/>
      <c r="V114" s="116"/>
      <c r="W114" s="72"/>
    </row>
    <row r="115" spans="1:23" x14ac:dyDescent="0.25">
      <c r="A115" s="71"/>
      <c r="B115" s="28"/>
      <c r="C115" s="86"/>
      <c r="D115" s="116"/>
      <c r="E115" s="116"/>
      <c r="F115" s="116"/>
      <c r="G115" s="116"/>
      <c r="H115" s="116"/>
      <c r="I115" s="72"/>
      <c r="J115" s="86"/>
      <c r="K115" s="116"/>
      <c r="L115" s="116"/>
      <c r="M115" s="116"/>
      <c r="N115" s="116"/>
      <c r="O115" s="116"/>
      <c r="P115" s="72"/>
      <c r="Q115" s="86"/>
      <c r="R115" s="116"/>
      <c r="S115" s="116"/>
      <c r="T115" s="116"/>
      <c r="U115" s="116"/>
      <c r="V115" s="116"/>
      <c r="W115" s="72"/>
    </row>
    <row r="116" spans="1:23" x14ac:dyDescent="0.25">
      <c r="A116" s="71"/>
      <c r="B116" s="28"/>
      <c r="C116" s="86"/>
      <c r="D116" s="116"/>
      <c r="E116" s="116"/>
      <c r="F116" s="116"/>
      <c r="G116" s="116"/>
      <c r="H116" s="116"/>
      <c r="I116" s="72"/>
      <c r="J116" s="86"/>
      <c r="K116" s="116"/>
      <c r="L116" s="116"/>
      <c r="M116" s="116"/>
      <c r="N116" s="116"/>
      <c r="O116" s="116"/>
      <c r="P116" s="72"/>
      <c r="Q116" s="86"/>
      <c r="R116" s="116"/>
      <c r="S116" s="116"/>
      <c r="T116" s="116"/>
      <c r="U116" s="116"/>
      <c r="V116" s="116"/>
      <c r="W116" s="72"/>
    </row>
    <row r="117" spans="1:23" x14ac:dyDescent="0.25">
      <c r="A117" s="71"/>
      <c r="B117" s="28"/>
      <c r="C117" s="86"/>
      <c r="D117" s="116"/>
      <c r="E117" s="116"/>
      <c r="F117" s="116"/>
      <c r="G117" s="116"/>
      <c r="H117" s="116"/>
      <c r="I117" s="72"/>
      <c r="J117" s="86"/>
      <c r="K117" s="116"/>
      <c r="L117" s="116"/>
      <c r="M117" s="116"/>
      <c r="N117" s="116"/>
      <c r="O117" s="116"/>
      <c r="P117" s="72"/>
      <c r="Q117" s="86"/>
      <c r="R117" s="116"/>
      <c r="S117" s="116"/>
      <c r="T117" s="116"/>
      <c r="U117" s="116"/>
      <c r="V117" s="116"/>
      <c r="W117" s="72"/>
    </row>
    <row r="118" spans="1:23" x14ac:dyDescent="0.25">
      <c r="A118" s="71"/>
      <c r="B118" s="28"/>
      <c r="C118" s="86"/>
      <c r="D118" s="116"/>
      <c r="E118" s="116"/>
      <c r="F118" s="116"/>
      <c r="G118" s="116"/>
      <c r="H118" s="116"/>
      <c r="I118" s="72"/>
      <c r="J118" s="86"/>
      <c r="K118" s="116"/>
      <c r="L118" s="116"/>
      <c r="M118" s="116"/>
      <c r="N118" s="116"/>
      <c r="O118" s="116"/>
      <c r="P118" s="72"/>
      <c r="Q118" s="86"/>
      <c r="R118" s="116"/>
      <c r="S118" s="116"/>
      <c r="T118" s="116"/>
      <c r="U118" s="116"/>
      <c r="V118" s="116"/>
      <c r="W118" s="72"/>
    </row>
    <row r="119" spans="1:23" x14ac:dyDescent="0.25">
      <c r="A119" s="71"/>
      <c r="B119" s="28"/>
      <c r="C119" s="86"/>
      <c r="D119" s="116"/>
      <c r="E119" s="116"/>
      <c r="F119" s="116"/>
      <c r="G119" s="116"/>
      <c r="H119" s="116"/>
      <c r="I119" s="72"/>
      <c r="J119" s="86"/>
      <c r="K119" s="116"/>
      <c r="L119" s="116"/>
      <c r="M119" s="116"/>
      <c r="N119" s="116"/>
      <c r="O119" s="116"/>
      <c r="P119" s="72"/>
      <c r="Q119" s="86"/>
      <c r="R119" s="116"/>
      <c r="S119" s="116"/>
      <c r="T119" s="116"/>
      <c r="U119" s="116"/>
      <c r="V119" s="116"/>
      <c r="W119" s="72"/>
    </row>
    <row r="120" spans="1:23" x14ac:dyDescent="0.25">
      <c r="A120" s="71"/>
      <c r="B120" s="28"/>
      <c r="C120" s="86"/>
      <c r="D120" s="116"/>
      <c r="E120" s="116"/>
      <c r="F120" s="116"/>
      <c r="G120" s="116"/>
      <c r="H120" s="116"/>
      <c r="I120" s="72"/>
      <c r="J120" s="86"/>
      <c r="K120" s="116"/>
      <c r="L120" s="116"/>
      <c r="M120" s="116"/>
      <c r="N120" s="116"/>
      <c r="O120" s="116"/>
      <c r="P120" s="72"/>
      <c r="Q120" s="86"/>
      <c r="R120" s="116"/>
      <c r="S120" s="116"/>
      <c r="T120" s="116"/>
      <c r="U120" s="116"/>
      <c r="V120" s="116"/>
      <c r="W120" s="72"/>
    </row>
    <row r="121" spans="1:23" x14ac:dyDescent="0.25">
      <c r="A121" s="71"/>
      <c r="B121" s="28"/>
      <c r="C121" s="86"/>
      <c r="D121" s="116"/>
      <c r="E121" s="116"/>
      <c r="F121" s="116"/>
      <c r="G121" s="116"/>
      <c r="H121" s="116"/>
      <c r="I121" s="72"/>
      <c r="J121" s="86"/>
      <c r="K121" s="116"/>
      <c r="L121" s="116"/>
      <c r="M121" s="116"/>
      <c r="N121" s="116"/>
      <c r="O121" s="116"/>
      <c r="P121" s="72"/>
      <c r="Q121" s="86"/>
      <c r="R121" s="116"/>
      <c r="S121" s="116"/>
      <c r="T121" s="116"/>
      <c r="U121" s="116"/>
      <c r="V121" s="116"/>
      <c r="W121" s="72"/>
    </row>
    <row r="122" spans="1:23" x14ac:dyDescent="0.25">
      <c r="A122" s="71"/>
      <c r="B122" s="28"/>
      <c r="C122" s="86"/>
      <c r="D122" s="116"/>
      <c r="E122" s="116"/>
      <c r="F122" s="116"/>
      <c r="G122" s="116"/>
      <c r="H122" s="116"/>
      <c r="I122" s="72"/>
      <c r="J122" s="86"/>
      <c r="K122" s="116"/>
      <c r="L122" s="116"/>
      <c r="M122" s="116"/>
      <c r="N122" s="116"/>
      <c r="O122" s="116"/>
      <c r="P122" s="72"/>
      <c r="Q122" s="86"/>
      <c r="R122" s="116"/>
      <c r="S122" s="116"/>
      <c r="T122" s="116"/>
      <c r="U122" s="116"/>
      <c r="V122" s="116"/>
      <c r="W122" s="72"/>
    </row>
    <row r="123" spans="1:23" x14ac:dyDescent="0.25">
      <c r="A123" s="71"/>
      <c r="B123" s="28"/>
      <c r="C123" s="86"/>
      <c r="D123" s="116"/>
      <c r="E123" s="116"/>
      <c r="F123" s="116"/>
      <c r="G123" s="116"/>
      <c r="H123" s="116"/>
      <c r="I123" s="72"/>
      <c r="J123" s="86"/>
      <c r="K123" s="116"/>
      <c r="L123" s="116"/>
      <c r="M123" s="116"/>
      <c r="N123" s="116"/>
      <c r="O123" s="116"/>
      <c r="P123" s="72"/>
      <c r="Q123" s="86"/>
      <c r="R123" s="116"/>
      <c r="S123" s="116"/>
      <c r="T123" s="116"/>
      <c r="U123" s="116"/>
      <c r="V123" s="116"/>
      <c r="W123" s="72"/>
    </row>
    <row r="124" spans="1:23" x14ac:dyDescent="0.25">
      <c r="A124" s="71"/>
      <c r="B124" s="28"/>
      <c r="C124" s="86"/>
      <c r="D124" s="116"/>
      <c r="E124" s="116"/>
      <c r="F124" s="116"/>
      <c r="G124" s="116"/>
      <c r="H124" s="116"/>
      <c r="I124" s="72"/>
      <c r="J124" s="86"/>
      <c r="K124" s="116"/>
      <c r="L124" s="116"/>
      <c r="M124" s="116"/>
      <c r="N124" s="116"/>
      <c r="O124" s="116"/>
      <c r="P124" s="72"/>
      <c r="Q124" s="86"/>
      <c r="R124" s="116"/>
      <c r="S124" s="116"/>
      <c r="T124" s="116"/>
      <c r="U124" s="116"/>
      <c r="V124" s="116"/>
      <c r="W124" s="72"/>
    </row>
    <row r="125" spans="1:23" x14ac:dyDescent="0.25">
      <c r="A125" s="71"/>
      <c r="B125" s="28"/>
      <c r="C125" s="86"/>
      <c r="D125" s="116"/>
      <c r="E125" s="116"/>
      <c r="F125" s="116"/>
      <c r="G125" s="116"/>
      <c r="H125" s="116"/>
      <c r="I125" s="72"/>
      <c r="J125" s="86"/>
      <c r="K125" s="116"/>
      <c r="L125" s="116"/>
      <c r="M125" s="116"/>
      <c r="N125" s="116"/>
      <c r="O125" s="116"/>
      <c r="P125" s="72"/>
      <c r="Q125" s="86"/>
      <c r="R125" s="116"/>
      <c r="S125" s="116"/>
      <c r="T125" s="116"/>
      <c r="U125" s="116"/>
      <c r="V125" s="116"/>
      <c r="W125" s="72"/>
    </row>
    <row r="126" spans="1:23" x14ac:dyDescent="0.25">
      <c r="A126" s="71"/>
      <c r="B126" s="28"/>
      <c r="C126" s="86"/>
      <c r="D126" s="116"/>
      <c r="E126" s="116"/>
      <c r="F126" s="116"/>
      <c r="G126" s="116"/>
      <c r="H126" s="116"/>
      <c r="I126" s="72"/>
      <c r="J126" s="86"/>
      <c r="K126" s="116"/>
      <c r="L126" s="116"/>
      <c r="M126" s="116"/>
      <c r="N126" s="116"/>
      <c r="O126" s="116"/>
      <c r="P126" s="72"/>
      <c r="Q126" s="86"/>
      <c r="R126" s="116"/>
      <c r="S126" s="116"/>
      <c r="T126" s="116"/>
      <c r="U126" s="116"/>
      <c r="V126" s="116"/>
      <c r="W126" s="72"/>
    </row>
    <row r="127" spans="1:23" x14ac:dyDescent="0.25">
      <c r="A127" s="71"/>
      <c r="B127" s="28"/>
      <c r="C127" s="86"/>
      <c r="D127" s="116"/>
      <c r="E127" s="116"/>
      <c r="F127" s="116"/>
      <c r="G127" s="116"/>
      <c r="H127" s="116"/>
      <c r="I127" s="72"/>
      <c r="J127" s="86"/>
      <c r="K127" s="116"/>
      <c r="L127" s="116"/>
      <c r="M127" s="116"/>
      <c r="N127" s="116"/>
      <c r="O127" s="116"/>
      <c r="P127" s="72"/>
      <c r="Q127" s="86"/>
      <c r="R127" s="116"/>
      <c r="S127" s="116"/>
      <c r="T127" s="116"/>
      <c r="U127" s="116"/>
      <c r="V127" s="116"/>
      <c r="W127" s="72"/>
    </row>
    <row r="128" spans="1:23" x14ac:dyDescent="0.25">
      <c r="A128" s="71"/>
      <c r="B128" s="28"/>
      <c r="C128" s="86"/>
      <c r="D128" s="116"/>
      <c r="E128" s="116"/>
      <c r="F128" s="116"/>
      <c r="G128" s="116"/>
      <c r="H128" s="116"/>
      <c r="I128" s="72"/>
      <c r="J128" s="86"/>
      <c r="K128" s="116"/>
      <c r="L128" s="116"/>
      <c r="M128" s="116"/>
      <c r="N128" s="116"/>
      <c r="O128" s="116"/>
      <c r="P128" s="72"/>
      <c r="Q128" s="86"/>
      <c r="R128" s="116"/>
      <c r="S128" s="116"/>
      <c r="T128" s="116"/>
      <c r="U128" s="116"/>
      <c r="V128" s="116"/>
      <c r="W128" s="72"/>
    </row>
    <row r="129" spans="1:23" x14ac:dyDescent="0.25">
      <c r="A129" s="71"/>
      <c r="B129" s="28"/>
      <c r="C129" s="86"/>
      <c r="D129" s="116"/>
      <c r="E129" s="116"/>
      <c r="F129" s="116"/>
      <c r="G129" s="116"/>
      <c r="H129" s="116"/>
      <c r="I129" s="72"/>
      <c r="J129" s="86"/>
      <c r="K129" s="116"/>
      <c r="L129" s="116"/>
      <c r="M129" s="116"/>
      <c r="N129" s="116"/>
      <c r="O129" s="116"/>
      <c r="P129" s="72"/>
      <c r="Q129" s="86"/>
      <c r="R129" s="116"/>
      <c r="S129" s="116"/>
      <c r="T129" s="116"/>
      <c r="U129" s="116"/>
      <c r="V129" s="116"/>
      <c r="W129" s="72"/>
    </row>
    <row r="130" spans="1:23" x14ac:dyDescent="0.25">
      <c r="A130" s="71"/>
      <c r="B130" s="28"/>
      <c r="C130" s="86"/>
      <c r="D130" s="116"/>
      <c r="E130" s="116"/>
      <c r="F130" s="116"/>
      <c r="G130" s="116"/>
      <c r="H130" s="116"/>
      <c r="I130" s="72"/>
      <c r="J130" s="86"/>
      <c r="K130" s="116"/>
      <c r="L130" s="116"/>
      <c r="M130" s="116"/>
      <c r="N130" s="116"/>
      <c r="O130" s="116"/>
      <c r="P130" s="72"/>
      <c r="Q130" s="86"/>
      <c r="R130" s="116"/>
      <c r="S130" s="116"/>
      <c r="T130" s="116"/>
      <c r="U130" s="116"/>
      <c r="V130" s="116"/>
      <c r="W130" s="72"/>
    </row>
    <row r="131" spans="1:23" x14ac:dyDescent="0.25">
      <c r="A131" s="71"/>
      <c r="B131" s="28"/>
      <c r="C131" s="86"/>
      <c r="D131" s="116"/>
      <c r="E131" s="116"/>
      <c r="F131" s="116"/>
      <c r="G131" s="116"/>
      <c r="H131" s="116"/>
      <c r="I131" s="72"/>
      <c r="J131" s="86"/>
      <c r="K131" s="116"/>
      <c r="L131" s="116"/>
      <c r="M131" s="116"/>
      <c r="N131" s="116"/>
      <c r="O131" s="116"/>
      <c r="P131" s="72"/>
      <c r="Q131" s="86"/>
      <c r="R131" s="116"/>
      <c r="S131" s="116"/>
      <c r="T131" s="116"/>
      <c r="U131" s="116"/>
      <c r="V131" s="116"/>
      <c r="W131" s="72"/>
    </row>
    <row r="132" spans="1:23" x14ac:dyDescent="0.25">
      <c r="A132" s="71"/>
      <c r="B132" s="28"/>
      <c r="C132" s="86"/>
      <c r="D132" s="116"/>
      <c r="E132" s="116"/>
      <c r="F132" s="116"/>
      <c r="G132" s="116"/>
      <c r="H132" s="116"/>
      <c r="I132" s="72"/>
      <c r="J132" s="86"/>
      <c r="K132" s="116"/>
      <c r="L132" s="116"/>
      <c r="M132" s="116"/>
      <c r="N132" s="116"/>
      <c r="O132" s="116"/>
      <c r="P132" s="72"/>
      <c r="Q132" s="86"/>
      <c r="R132" s="116"/>
      <c r="S132" s="116"/>
      <c r="T132" s="116"/>
      <c r="U132" s="116"/>
      <c r="V132" s="116"/>
      <c r="W132" s="72"/>
    </row>
    <row r="133" spans="1:23" x14ac:dyDescent="0.25">
      <c r="A133" s="71"/>
      <c r="B133" s="28"/>
      <c r="C133" s="86"/>
      <c r="D133" s="116"/>
      <c r="E133" s="116"/>
      <c r="F133" s="116"/>
      <c r="G133" s="116"/>
      <c r="H133" s="116"/>
      <c r="I133" s="72"/>
      <c r="J133" s="86"/>
      <c r="K133" s="116"/>
      <c r="L133" s="116"/>
      <c r="M133" s="116"/>
      <c r="N133" s="116"/>
      <c r="O133" s="116"/>
      <c r="P133" s="72"/>
      <c r="Q133" s="86"/>
      <c r="R133" s="116"/>
      <c r="S133" s="116"/>
      <c r="T133" s="116"/>
      <c r="U133" s="116"/>
      <c r="V133" s="116"/>
      <c r="W133" s="72"/>
    </row>
    <row r="134" spans="1:23" x14ac:dyDescent="0.25">
      <c r="A134" s="71"/>
      <c r="B134" s="28"/>
      <c r="C134" s="86"/>
      <c r="D134" s="116"/>
      <c r="E134" s="116"/>
      <c r="F134" s="116"/>
      <c r="G134" s="116"/>
      <c r="H134" s="116"/>
      <c r="I134" s="72"/>
      <c r="J134" s="86"/>
      <c r="K134" s="116"/>
      <c r="L134" s="116"/>
      <c r="M134" s="116"/>
      <c r="N134" s="116"/>
      <c r="O134" s="116"/>
      <c r="P134" s="72"/>
      <c r="Q134" s="86"/>
      <c r="R134" s="116"/>
      <c r="S134" s="116"/>
      <c r="T134" s="116"/>
      <c r="U134" s="116"/>
      <c r="V134" s="116"/>
      <c r="W134" s="72"/>
    </row>
    <row r="135" spans="1:23" x14ac:dyDescent="0.25">
      <c r="A135" s="71"/>
      <c r="B135" s="28"/>
      <c r="C135" s="86"/>
      <c r="D135" s="116"/>
      <c r="E135" s="116"/>
      <c r="F135" s="116"/>
      <c r="G135" s="116"/>
      <c r="H135" s="116"/>
      <c r="I135" s="72"/>
      <c r="J135" s="86"/>
      <c r="K135" s="116"/>
      <c r="L135" s="116"/>
      <c r="M135" s="116"/>
      <c r="N135" s="116"/>
      <c r="O135" s="116"/>
      <c r="P135" s="72"/>
      <c r="Q135" s="86"/>
      <c r="R135" s="116"/>
      <c r="S135" s="116"/>
      <c r="T135" s="116"/>
      <c r="U135" s="116"/>
      <c r="V135" s="116"/>
      <c r="W135" s="72"/>
    </row>
    <row r="136" spans="1:23" x14ac:dyDescent="0.25">
      <c r="A136" s="71"/>
      <c r="B136" s="28"/>
      <c r="C136" s="86"/>
      <c r="D136" s="116"/>
      <c r="E136" s="116"/>
      <c r="F136" s="116"/>
      <c r="G136" s="116"/>
      <c r="H136" s="116"/>
      <c r="I136" s="72"/>
      <c r="J136" s="86"/>
      <c r="K136" s="116"/>
      <c r="L136" s="116"/>
      <c r="M136" s="116"/>
      <c r="N136" s="116"/>
      <c r="O136" s="116"/>
      <c r="P136" s="72"/>
      <c r="Q136" s="86"/>
      <c r="R136" s="116"/>
      <c r="S136" s="116"/>
      <c r="T136" s="116"/>
      <c r="U136" s="116"/>
      <c r="V136" s="116"/>
      <c r="W136" s="72"/>
    </row>
    <row r="137" spans="1:23" x14ac:dyDescent="0.25">
      <c r="A137" s="71"/>
      <c r="B137" s="28"/>
      <c r="C137" s="86"/>
      <c r="D137" s="116"/>
      <c r="E137" s="116"/>
      <c r="F137" s="116"/>
      <c r="G137" s="116"/>
      <c r="H137" s="116"/>
      <c r="I137" s="72"/>
      <c r="J137" s="86"/>
      <c r="K137" s="116"/>
      <c r="L137" s="116"/>
      <c r="M137" s="116"/>
      <c r="N137" s="116"/>
      <c r="O137" s="116"/>
      <c r="P137" s="72"/>
      <c r="Q137" s="86"/>
      <c r="R137" s="116"/>
      <c r="S137" s="116"/>
      <c r="T137" s="116"/>
      <c r="U137" s="116"/>
      <c r="V137" s="116"/>
      <c r="W137" s="72"/>
    </row>
    <row r="138" spans="1:23" ht="15.75" thickBot="1" x14ac:dyDescent="0.3">
      <c r="A138" s="151"/>
      <c r="B138" s="67"/>
      <c r="C138" s="115"/>
      <c r="D138" s="113"/>
      <c r="E138" s="113"/>
      <c r="F138" s="113"/>
      <c r="G138" s="113"/>
      <c r="H138" s="113"/>
      <c r="I138" s="114"/>
      <c r="J138" s="115"/>
      <c r="K138" s="113"/>
      <c r="L138" s="113"/>
      <c r="M138" s="113"/>
      <c r="N138" s="113"/>
      <c r="O138" s="113"/>
      <c r="P138" s="114"/>
      <c r="Q138" s="115"/>
      <c r="R138" s="113"/>
      <c r="S138" s="113"/>
      <c r="T138" s="113"/>
      <c r="U138" s="113"/>
      <c r="V138" s="113"/>
      <c r="W138" s="114"/>
    </row>
  </sheetData>
  <mergeCells count="8">
    <mergeCell ref="C1:I1"/>
    <mergeCell ref="J1:P1"/>
    <mergeCell ref="Q1:W1"/>
    <mergeCell ref="C71:I71"/>
    <mergeCell ref="J71:P71"/>
    <mergeCell ref="Q71:W71"/>
    <mergeCell ref="A2:A3"/>
    <mergeCell ref="B2:B3"/>
  </mergeCells>
  <conditionalFormatting sqref="Y58:Y61">
    <cfRule type="cellIs" dxfId="13844" priority="101237" operator="equal">
      <formula>"A"</formula>
    </cfRule>
  </conditionalFormatting>
  <conditionalFormatting sqref="Y58:Y61">
    <cfRule type="cellIs" dxfId="13843" priority="101239" operator="equal">
      <formula>"PTO"</formula>
    </cfRule>
  </conditionalFormatting>
  <conditionalFormatting sqref="Y58:Y61">
    <cfRule type="cellIs" dxfId="13842" priority="105647" operator="equal">
      <formula>"PTO"</formula>
    </cfRule>
    <cfRule type="cellIs" dxfId="13841" priority="107111" operator="equal">
      <formula>"A"</formula>
    </cfRule>
  </conditionalFormatting>
  <conditionalFormatting sqref="C74:W138">
    <cfRule type="cellIs" dxfId="13840" priority="109082" stopIfTrue="1" operator="equal">
      <formula>"OFF"</formula>
    </cfRule>
    <cfRule type="cellIs" dxfId="13839" priority="109083" stopIfTrue="1" operator="equal">
      <formula>"PTO"</formula>
    </cfRule>
  </conditionalFormatting>
  <conditionalFormatting sqref="Y58:Y61">
    <cfRule type="cellIs" dxfId="13838" priority="101725" operator="equal">
      <formula>"EmailF"</formula>
    </cfRule>
    <cfRule type="cellIs" dxfId="13837" priority="101726" operator="equal">
      <formula>"A"</formula>
    </cfRule>
  </conditionalFormatting>
  <conditionalFormatting sqref="Y58:Y61">
    <cfRule type="cellIs" dxfId="13836" priority="97148" operator="equal">
      <formula>"EmailF"</formula>
    </cfRule>
  </conditionalFormatting>
  <conditionalFormatting sqref="Y58:Y61">
    <cfRule type="cellIs" dxfId="13835" priority="101640" operator="equal">
      <formula>"OFF"</formula>
    </cfRule>
  </conditionalFormatting>
  <conditionalFormatting sqref="Y58:Y61">
    <cfRule type="cellIs" dxfId="13834" priority="97097" operator="equal">
      <formula>"EmailF"</formula>
    </cfRule>
    <cfRule type="cellIs" dxfId="13833" priority="97098" operator="equal">
      <formula>"A"</formula>
    </cfRule>
    <cfRule type="cellIs" dxfId="13832" priority="97135" operator="equal">
      <formula>"EmailF"</formula>
    </cfRule>
  </conditionalFormatting>
  <conditionalFormatting sqref="Y58:Y61 C55:W61">
    <cfRule type="cellIs" dxfId="13831" priority="96732" operator="equal">
      <formula>"OFF"</formula>
    </cfRule>
    <cfRule type="cellIs" dxfId="13830" priority="96733" operator="equal">
      <formula>"PTO"</formula>
    </cfRule>
  </conditionalFormatting>
  <conditionalFormatting sqref="AB3">
    <cfRule type="cellIs" dxfId="13829" priority="46235" operator="equal">
      <formula>"A"</formula>
    </cfRule>
  </conditionalFormatting>
  <conditionalFormatting sqref="AB3">
    <cfRule type="cellIs" dxfId="13828" priority="46236" operator="equal">
      <formula>"PTO"</formula>
    </cfRule>
  </conditionalFormatting>
  <conditionalFormatting sqref="AB3">
    <cfRule type="cellIs" dxfId="13827" priority="46240" operator="equal">
      <formula>"PTO"</formula>
    </cfRule>
    <cfRule type="cellIs" dxfId="13826" priority="46241" operator="equal">
      <formula>"A"</formula>
    </cfRule>
  </conditionalFormatting>
  <conditionalFormatting sqref="AB3">
    <cfRule type="cellIs" dxfId="13825" priority="46238" operator="equal">
      <formula>"EmailF"</formula>
    </cfRule>
    <cfRule type="cellIs" dxfId="13824" priority="46239" operator="equal">
      <formula>"A"</formula>
    </cfRule>
  </conditionalFormatting>
  <conditionalFormatting sqref="AB3">
    <cfRule type="cellIs" dxfId="13823" priority="46234" operator="equal">
      <formula>"EmailF"</formula>
    </cfRule>
  </conditionalFormatting>
  <conditionalFormatting sqref="AB3">
    <cfRule type="cellIs" dxfId="13822" priority="46237" operator="equal">
      <formula>"OFF"</formula>
    </cfRule>
  </conditionalFormatting>
  <conditionalFormatting sqref="AB3">
    <cfRule type="cellIs" dxfId="13821" priority="46231" operator="equal">
      <formula>"EmailF"</formula>
    </cfRule>
    <cfRule type="cellIs" dxfId="13820" priority="46232" operator="equal">
      <formula>"A"</formula>
    </cfRule>
    <cfRule type="cellIs" dxfId="13819" priority="46233" operator="equal">
      <formula>"EmailF"</formula>
    </cfRule>
  </conditionalFormatting>
  <conditionalFormatting sqref="AB3">
    <cfRule type="cellIs" dxfId="13818" priority="46229" operator="equal">
      <formula>"EmailF"</formula>
    </cfRule>
    <cfRule type="cellIs" dxfId="13817" priority="46230" operator="equal">
      <formula>"A"</formula>
    </cfRule>
  </conditionalFormatting>
  <conditionalFormatting sqref="AB3">
    <cfRule type="cellIs" dxfId="13816" priority="46226" operator="equal">
      <formula>"OFF"</formula>
    </cfRule>
    <cfRule type="cellIs" dxfId="13815" priority="46227" operator="equal">
      <formula>"PTO"</formula>
    </cfRule>
  </conditionalFormatting>
  <conditionalFormatting sqref="AB3">
    <cfRule type="cellIs" dxfId="13814" priority="46228" operator="equal">
      <formula>"A"</formula>
    </cfRule>
  </conditionalFormatting>
  <conditionalFormatting sqref="AB3">
    <cfRule type="cellIs" dxfId="13813" priority="46224" operator="equal">
      <formula>"EmailF"</formula>
    </cfRule>
    <cfRule type="cellIs" dxfId="13812" priority="46225" operator="equal">
      <formula>"A"</formula>
    </cfRule>
  </conditionalFormatting>
  <conditionalFormatting sqref="AB3">
    <cfRule type="cellIs" dxfId="13811" priority="46222" operator="equal">
      <formula>"EmailF"</formula>
    </cfRule>
    <cfRule type="cellIs" dxfId="13810" priority="46223" operator="equal">
      <formula>"A"</formula>
    </cfRule>
  </conditionalFormatting>
  <conditionalFormatting sqref="AB3">
    <cfRule type="cellIs" dxfId="13809" priority="46220" operator="equal">
      <formula>"EmailF"</formula>
    </cfRule>
    <cfRule type="cellIs" dxfId="13808" priority="46221" operator="equal">
      <formula>"A"</formula>
    </cfRule>
  </conditionalFormatting>
  <conditionalFormatting sqref="AB3">
    <cfRule type="cellIs" dxfId="13807" priority="46218" operator="equal">
      <formula>"EmailF"</formula>
    </cfRule>
    <cfRule type="cellIs" dxfId="13806" priority="46219" operator="equal">
      <formula>"A"</formula>
    </cfRule>
  </conditionalFormatting>
  <conditionalFormatting sqref="AB3">
    <cfRule type="cellIs" dxfId="13805" priority="46216" operator="equal">
      <formula>"EmailF"</formula>
    </cfRule>
    <cfRule type="cellIs" dxfId="13804" priority="46217" operator="equal">
      <formula>"A"</formula>
    </cfRule>
  </conditionalFormatting>
  <conditionalFormatting sqref="AB3">
    <cfRule type="cellIs" dxfId="13803" priority="46214" operator="equal">
      <formula>"EmailF"</formula>
    </cfRule>
    <cfRule type="cellIs" dxfId="13802" priority="46215" operator="equal">
      <formula>"A"</formula>
    </cfRule>
  </conditionalFormatting>
  <conditionalFormatting sqref="AB3">
    <cfRule type="cellIs" dxfId="13801" priority="46212" operator="equal">
      <formula>"EmailF"</formula>
    </cfRule>
    <cfRule type="cellIs" dxfId="13800" priority="46213" operator="equal">
      <formula>"A"</formula>
    </cfRule>
  </conditionalFormatting>
  <conditionalFormatting sqref="AB3">
    <cfRule type="cellIs" dxfId="13799" priority="46210" operator="equal">
      <formula>"EmailF"</formula>
    </cfRule>
    <cfRule type="cellIs" dxfId="13798" priority="46211" operator="equal">
      <formula>"A"</formula>
    </cfRule>
  </conditionalFormatting>
  <conditionalFormatting sqref="AB3">
    <cfRule type="cellIs" dxfId="13797" priority="46208" operator="equal">
      <formula>"EmailF"</formula>
    </cfRule>
    <cfRule type="cellIs" dxfId="13796" priority="46209" operator="equal">
      <formula>"A"</formula>
    </cfRule>
  </conditionalFormatting>
  <conditionalFormatting sqref="AB3">
    <cfRule type="cellIs" dxfId="13795" priority="46206" operator="equal">
      <formula>"EmailF"</formula>
    </cfRule>
    <cfRule type="cellIs" dxfId="13794" priority="46207" operator="equal">
      <formula>"A"</formula>
    </cfRule>
  </conditionalFormatting>
  <conditionalFormatting sqref="AB3">
    <cfRule type="cellIs" dxfId="13793" priority="46204" operator="equal">
      <formula>"EmailF"</formula>
    </cfRule>
    <cfRule type="cellIs" dxfId="13792" priority="46205" operator="equal">
      <formula>"A"</formula>
    </cfRule>
  </conditionalFormatting>
  <conditionalFormatting sqref="AB3">
    <cfRule type="cellIs" dxfId="13791" priority="46202" operator="equal">
      <formula>"EmailF"</formula>
    </cfRule>
    <cfRule type="cellIs" dxfId="13790" priority="46203" operator="equal">
      <formula>"A"</formula>
    </cfRule>
  </conditionalFormatting>
  <conditionalFormatting sqref="AB3">
    <cfRule type="cellIs" dxfId="13789" priority="46200" operator="equal">
      <formula>"EmailF"</formula>
    </cfRule>
    <cfRule type="cellIs" dxfId="13788" priority="46201" operator="equal">
      <formula>"A"</formula>
    </cfRule>
  </conditionalFormatting>
  <conditionalFormatting sqref="AB3">
    <cfRule type="cellIs" dxfId="13787" priority="46198" operator="equal">
      <formula>"EmailF"</formula>
    </cfRule>
    <cfRule type="cellIs" dxfId="13786" priority="46199" operator="equal">
      <formula>"A"</formula>
    </cfRule>
  </conditionalFormatting>
  <conditionalFormatting sqref="AB3">
    <cfRule type="cellIs" dxfId="13785" priority="46196" operator="equal">
      <formula>"EmailF"</formula>
    </cfRule>
    <cfRule type="cellIs" dxfId="13784" priority="46197" operator="equal">
      <formula>"A"</formula>
    </cfRule>
  </conditionalFormatting>
  <conditionalFormatting sqref="AB3">
    <cfRule type="cellIs" dxfId="13783" priority="46191" operator="equal">
      <formula>"OFF"</formula>
    </cfRule>
    <cfRule type="cellIs" dxfId="13782" priority="46192" operator="equal">
      <formula>"PTO"</formula>
    </cfRule>
  </conditionalFormatting>
  <conditionalFormatting sqref="AB3">
    <cfRule type="cellIs" dxfId="13781" priority="46193" operator="equal">
      <formula>"A"</formula>
    </cfRule>
  </conditionalFormatting>
  <conditionalFormatting sqref="AB3">
    <cfRule type="cellIs" dxfId="13780" priority="46194" operator="equal">
      <formula>"EmailF"</formula>
    </cfRule>
    <cfRule type="cellIs" dxfId="13779" priority="46195" operator="equal">
      <formula>"A"</formula>
    </cfRule>
  </conditionalFormatting>
  <conditionalFormatting sqref="AB3">
    <cfRule type="cellIs" dxfId="13778" priority="46189" operator="equal">
      <formula>"EmailF"</formula>
    </cfRule>
    <cfRule type="cellIs" dxfId="13777" priority="46190" operator="equal">
      <formula>"A"</formula>
    </cfRule>
  </conditionalFormatting>
  <conditionalFormatting sqref="AB3">
    <cfRule type="cellIs" dxfId="13776" priority="46187" operator="equal">
      <formula>"EmailF"</formula>
    </cfRule>
    <cfRule type="cellIs" dxfId="13775" priority="46188" operator="equal">
      <formula>"A"</formula>
    </cfRule>
  </conditionalFormatting>
  <conditionalFormatting sqref="AB3">
    <cfRule type="cellIs" dxfId="13774" priority="46185" operator="equal">
      <formula>"EmailF"</formula>
    </cfRule>
    <cfRule type="cellIs" dxfId="13773" priority="46186" operator="equal">
      <formula>"A"</formula>
    </cfRule>
  </conditionalFormatting>
  <conditionalFormatting sqref="AB3">
    <cfRule type="cellIs" dxfId="13772" priority="46183" operator="equal">
      <formula>"EmailF"</formula>
    </cfRule>
    <cfRule type="cellIs" dxfId="13771" priority="46184" operator="equal">
      <formula>"A"</formula>
    </cfRule>
  </conditionalFormatting>
  <conditionalFormatting sqref="AB3">
    <cfRule type="cellIs" dxfId="13770" priority="46181" operator="equal">
      <formula>"EmailF"</formula>
    </cfRule>
    <cfRule type="cellIs" dxfId="13769" priority="46182" operator="equal">
      <formula>"A"</formula>
    </cfRule>
  </conditionalFormatting>
  <conditionalFormatting sqref="AB3">
    <cfRule type="cellIs" dxfId="13768" priority="46179" operator="equal">
      <formula>"EmailF"</formula>
    </cfRule>
    <cfRule type="cellIs" dxfId="13767" priority="46180" operator="equal">
      <formula>"A"</formula>
    </cfRule>
  </conditionalFormatting>
  <conditionalFormatting sqref="AB3">
    <cfRule type="cellIs" dxfId="13766" priority="46177" operator="equal">
      <formula>"EmailF"</formula>
    </cfRule>
    <cfRule type="cellIs" dxfId="13765" priority="46178" operator="equal">
      <formula>"A"</formula>
    </cfRule>
  </conditionalFormatting>
  <conditionalFormatting sqref="AB3">
    <cfRule type="cellIs" dxfId="13764" priority="46175" operator="equal">
      <formula>"EmailF"</formula>
    </cfRule>
    <cfRule type="cellIs" dxfId="13763" priority="46176" operator="equal">
      <formula>"A"</formula>
    </cfRule>
  </conditionalFormatting>
  <conditionalFormatting sqref="AB3">
    <cfRule type="cellIs" dxfId="13762" priority="46173" operator="equal">
      <formula>"EmailF"</formula>
    </cfRule>
    <cfRule type="cellIs" dxfId="13761" priority="46174" operator="equal">
      <formula>"A"</formula>
    </cfRule>
  </conditionalFormatting>
  <conditionalFormatting sqref="AB3">
    <cfRule type="cellIs" dxfId="13760" priority="46171" operator="equal">
      <formula>"EmailF"</formula>
    </cfRule>
    <cfRule type="cellIs" dxfId="13759" priority="46172" operator="equal">
      <formula>"A"</formula>
    </cfRule>
  </conditionalFormatting>
  <conditionalFormatting sqref="AB3">
    <cfRule type="cellIs" dxfId="13758" priority="46169" operator="equal">
      <formula>"EmailF"</formula>
    </cfRule>
    <cfRule type="cellIs" dxfId="13757" priority="46170" operator="equal">
      <formula>"A"</formula>
    </cfRule>
  </conditionalFormatting>
  <conditionalFormatting sqref="AB3">
    <cfRule type="cellIs" dxfId="13756" priority="46167" operator="equal">
      <formula>"EmailF"</formula>
    </cfRule>
    <cfRule type="cellIs" dxfId="13755" priority="46168" operator="equal">
      <formula>"A"</formula>
    </cfRule>
  </conditionalFormatting>
  <conditionalFormatting sqref="AB3">
    <cfRule type="cellIs" dxfId="13754" priority="46165" operator="equal">
      <formula>"EmailF"</formula>
    </cfRule>
    <cfRule type="cellIs" dxfId="13753" priority="46166" operator="equal">
      <formula>"A"</formula>
    </cfRule>
  </conditionalFormatting>
  <conditionalFormatting sqref="AB3">
    <cfRule type="cellIs" dxfId="13752" priority="46163" operator="equal">
      <formula>"EmailF"</formula>
    </cfRule>
    <cfRule type="cellIs" dxfId="13751" priority="46164" operator="equal">
      <formula>"A"</formula>
    </cfRule>
  </conditionalFormatting>
  <conditionalFormatting sqref="AB3">
    <cfRule type="cellIs" dxfId="13750" priority="46161" operator="equal">
      <formula>"EmailF"</formula>
    </cfRule>
    <cfRule type="cellIs" dxfId="13749" priority="46162" operator="equal">
      <formula>"A"</formula>
    </cfRule>
  </conditionalFormatting>
  <conditionalFormatting sqref="AB3">
    <cfRule type="cellIs" dxfId="13748" priority="46159" operator="equal">
      <formula>"EmailF"</formula>
    </cfRule>
    <cfRule type="cellIs" dxfId="13747" priority="46160" operator="equal">
      <formula>"A"</formula>
    </cfRule>
  </conditionalFormatting>
  <conditionalFormatting sqref="AB3">
    <cfRule type="cellIs" dxfId="13746" priority="46156" operator="equal">
      <formula>"OFF"</formula>
    </cfRule>
    <cfRule type="cellIs" dxfId="13745" priority="46157" operator="equal">
      <formula>"PTO"</formula>
    </cfRule>
  </conditionalFormatting>
  <conditionalFormatting sqref="AB3">
    <cfRule type="cellIs" dxfId="13744" priority="46158" operator="equal">
      <formula>"A"</formula>
    </cfRule>
  </conditionalFormatting>
  <conditionalFormatting sqref="AB3">
    <cfRule type="cellIs" dxfId="13743" priority="46154" operator="equal">
      <formula>"EmailF"</formula>
    </cfRule>
    <cfRule type="cellIs" dxfId="13742" priority="46155" operator="equal">
      <formula>"A"</formula>
    </cfRule>
  </conditionalFormatting>
  <conditionalFormatting sqref="AB3">
    <cfRule type="cellIs" dxfId="13741" priority="46152" operator="equal">
      <formula>"EmailF"</formula>
    </cfRule>
    <cfRule type="cellIs" dxfId="13740" priority="46153" operator="equal">
      <formula>"A"</formula>
    </cfRule>
  </conditionalFormatting>
  <conditionalFormatting sqref="AB3">
    <cfRule type="cellIs" dxfId="13739" priority="46150" operator="equal">
      <formula>"EmailF"</formula>
    </cfRule>
    <cfRule type="cellIs" dxfId="13738" priority="46151" operator="equal">
      <formula>"A"</formula>
    </cfRule>
  </conditionalFormatting>
  <conditionalFormatting sqref="AB3">
    <cfRule type="cellIs" dxfId="13737" priority="46148" operator="equal">
      <formula>"EmailF"</formula>
    </cfRule>
    <cfRule type="cellIs" dxfId="13736" priority="46149" operator="equal">
      <formula>"A"</formula>
    </cfRule>
  </conditionalFormatting>
  <conditionalFormatting sqref="AB3">
    <cfRule type="cellIs" dxfId="13735" priority="46146" operator="equal">
      <formula>"EmailF"</formula>
    </cfRule>
    <cfRule type="cellIs" dxfId="13734" priority="46147" operator="equal">
      <formula>"A"</formula>
    </cfRule>
  </conditionalFormatting>
  <conditionalFormatting sqref="AB3">
    <cfRule type="cellIs" dxfId="13733" priority="46144" operator="equal">
      <formula>"EmailF"</formula>
    </cfRule>
    <cfRule type="cellIs" dxfId="13732" priority="46145" operator="equal">
      <formula>"A"</formula>
    </cfRule>
  </conditionalFormatting>
  <conditionalFormatting sqref="AB3">
    <cfRule type="cellIs" dxfId="13731" priority="46142" operator="equal">
      <formula>"EmailF"</formula>
    </cfRule>
    <cfRule type="cellIs" dxfId="13730" priority="46143" operator="equal">
      <formula>"A"</formula>
    </cfRule>
  </conditionalFormatting>
  <conditionalFormatting sqref="AB3">
    <cfRule type="cellIs" dxfId="13729" priority="46140" operator="equal">
      <formula>"EmailF"</formula>
    </cfRule>
    <cfRule type="cellIs" dxfId="13728" priority="46141" operator="equal">
      <formula>"A"</formula>
    </cfRule>
  </conditionalFormatting>
  <conditionalFormatting sqref="AB3">
    <cfRule type="cellIs" dxfId="13727" priority="46138" operator="equal">
      <formula>"EmailF"</formula>
    </cfRule>
    <cfRule type="cellIs" dxfId="13726" priority="46139" operator="equal">
      <formula>"A"</formula>
    </cfRule>
  </conditionalFormatting>
  <conditionalFormatting sqref="AB3">
    <cfRule type="cellIs" dxfId="13725" priority="46136" operator="equal">
      <formula>"EmailF"</formula>
    </cfRule>
    <cfRule type="cellIs" dxfId="13724" priority="46137" operator="equal">
      <formula>"A"</formula>
    </cfRule>
  </conditionalFormatting>
  <conditionalFormatting sqref="AB3">
    <cfRule type="cellIs" dxfId="13723" priority="46134" operator="equal">
      <formula>"EmailF"</formula>
    </cfRule>
    <cfRule type="cellIs" dxfId="13722" priority="46135" operator="equal">
      <formula>"A"</formula>
    </cfRule>
  </conditionalFormatting>
  <conditionalFormatting sqref="AB3">
    <cfRule type="cellIs" dxfId="13721" priority="46132" operator="equal">
      <formula>"EmailF"</formula>
    </cfRule>
    <cfRule type="cellIs" dxfId="13720" priority="46133" operator="equal">
      <formula>"A"</formula>
    </cfRule>
  </conditionalFormatting>
  <conditionalFormatting sqref="AB3">
    <cfRule type="cellIs" dxfId="13719" priority="46130" operator="equal">
      <formula>"EmailF"</formula>
    </cfRule>
    <cfRule type="cellIs" dxfId="13718" priority="46131" operator="equal">
      <formula>"A"</formula>
    </cfRule>
  </conditionalFormatting>
  <conditionalFormatting sqref="AB3">
    <cfRule type="cellIs" dxfId="13717" priority="46128" operator="equal">
      <formula>"EmailF"</formula>
    </cfRule>
    <cfRule type="cellIs" dxfId="13716" priority="46129" operator="equal">
      <formula>"A"</formula>
    </cfRule>
  </conditionalFormatting>
  <conditionalFormatting sqref="AB3">
    <cfRule type="cellIs" dxfId="13715" priority="46126" operator="equal">
      <formula>"EmailF"</formula>
    </cfRule>
    <cfRule type="cellIs" dxfId="13714" priority="46127" operator="equal">
      <formula>"A"</formula>
    </cfRule>
  </conditionalFormatting>
  <conditionalFormatting sqref="AB3">
    <cfRule type="cellIs" dxfId="13713" priority="46121" operator="equal">
      <formula>"OFF"</formula>
    </cfRule>
    <cfRule type="cellIs" dxfId="13712" priority="46122" operator="equal">
      <formula>"PTO"</formula>
    </cfRule>
  </conditionalFormatting>
  <conditionalFormatting sqref="AB3">
    <cfRule type="cellIs" dxfId="13711" priority="46123" operator="equal">
      <formula>"A"</formula>
    </cfRule>
  </conditionalFormatting>
  <conditionalFormatting sqref="AB3">
    <cfRule type="cellIs" dxfId="13710" priority="46124" operator="equal">
      <formula>"EmailF"</formula>
    </cfRule>
    <cfRule type="cellIs" dxfId="13709" priority="46125" operator="equal">
      <formula>"A"</formula>
    </cfRule>
  </conditionalFormatting>
  <conditionalFormatting sqref="AB3">
    <cfRule type="cellIs" dxfId="13708" priority="46119" operator="equal">
      <formula>"EmailF"</formula>
    </cfRule>
    <cfRule type="cellIs" dxfId="13707" priority="46120" operator="equal">
      <formula>"A"</formula>
    </cfRule>
  </conditionalFormatting>
  <conditionalFormatting sqref="AB3">
    <cfRule type="cellIs" dxfId="13706" priority="46117" operator="equal">
      <formula>"EmailF"</formula>
    </cfRule>
    <cfRule type="cellIs" dxfId="13705" priority="46118" operator="equal">
      <formula>"A"</formula>
    </cfRule>
  </conditionalFormatting>
  <conditionalFormatting sqref="AB3">
    <cfRule type="cellIs" dxfId="13704" priority="46115" operator="equal">
      <formula>"EmailF"</formula>
    </cfRule>
    <cfRule type="cellIs" dxfId="13703" priority="46116" operator="equal">
      <formula>"A"</formula>
    </cfRule>
  </conditionalFormatting>
  <conditionalFormatting sqref="AB3">
    <cfRule type="cellIs" dxfId="13702" priority="46113" operator="equal">
      <formula>"EmailF"</formula>
    </cfRule>
    <cfRule type="cellIs" dxfId="13701" priority="46114" operator="equal">
      <formula>"A"</formula>
    </cfRule>
  </conditionalFormatting>
  <conditionalFormatting sqref="AB3">
    <cfRule type="cellIs" dxfId="13700" priority="46111" operator="equal">
      <formula>"EmailF"</formula>
    </cfRule>
    <cfRule type="cellIs" dxfId="13699" priority="46112" operator="equal">
      <formula>"A"</formula>
    </cfRule>
  </conditionalFormatting>
  <conditionalFormatting sqref="AB3">
    <cfRule type="cellIs" dxfId="13698" priority="46109" operator="equal">
      <formula>"EmailF"</formula>
    </cfRule>
    <cfRule type="cellIs" dxfId="13697" priority="46110" operator="equal">
      <formula>"A"</formula>
    </cfRule>
  </conditionalFormatting>
  <conditionalFormatting sqref="AB3">
    <cfRule type="cellIs" dxfId="13696" priority="46107" operator="equal">
      <formula>"EmailF"</formula>
    </cfRule>
    <cfRule type="cellIs" dxfId="13695" priority="46108" operator="equal">
      <formula>"A"</formula>
    </cfRule>
  </conditionalFormatting>
  <conditionalFormatting sqref="AB3">
    <cfRule type="cellIs" dxfId="13694" priority="46105" operator="equal">
      <formula>"EmailF"</formula>
    </cfRule>
    <cfRule type="cellIs" dxfId="13693" priority="46106" operator="equal">
      <formula>"A"</formula>
    </cfRule>
  </conditionalFormatting>
  <conditionalFormatting sqref="AB3">
    <cfRule type="cellIs" dxfId="13692" priority="46103" operator="equal">
      <formula>"EmailF"</formula>
    </cfRule>
    <cfRule type="cellIs" dxfId="13691" priority="46104" operator="equal">
      <formula>"A"</formula>
    </cfRule>
  </conditionalFormatting>
  <conditionalFormatting sqref="AB3">
    <cfRule type="cellIs" dxfId="13690" priority="46101" operator="equal">
      <formula>"EmailF"</formula>
    </cfRule>
    <cfRule type="cellIs" dxfId="13689" priority="46102" operator="equal">
      <formula>"A"</formula>
    </cfRule>
  </conditionalFormatting>
  <conditionalFormatting sqref="AB3">
    <cfRule type="cellIs" dxfId="13688" priority="46099" operator="equal">
      <formula>"EmailF"</formula>
    </cfRule>
    <cfRule type="cellIs" dxfId="13687" priority="46100" operator="equal">
      <formula>"A"</formula>
    </cfRule>
  </conditionalFormatting>
  <conditionalFormatting sqref="AB3">
    <cfRule type="cellIs" dxfId="13686" priority="46097" operator="equal">
      <formula>"EmailF"</formula>
    </cfRule>
    <cfRule type="cellIs" dxfId="13685" priority="46098" operator="equal">
      <formula>"A"</formula>
    </cfRule>
  </conditionalFormatting>
  <conditionalFormatting sqref="AB3">
    <cfRule type="cellIs" dxfId="13684" priority="46095" operator="equal">
      <formula>"EmailF"</formula>
    </cfRule>
    <cfRule type="cellIs" dxfId="13683" priority="46096" operator="equal">
      <formula>"A"</formula>
    </cfRule>
  </conditionalFormatting>
  <conditionalFormatting sqref="AB3">
    <cfRule type="cellIs" dxfId="13682" priority="46093" operator="equal">
      <formula>"EmailF"</formula>
    </cfRule>
    <cfRule type="cellIs" dxfId="13681" priority="46094" operator="equal">
      <formula>"A"</formula>
    </cfRule>
  </conditionalFormatting>
  <conditionalFormatting sqref="AB3">
    <cfRule type="cellIs" dxfId="13680" priority="46091" operator="equal">
      <formula>"EmailF"</formula>
    </cfRule>
    <cfRule type="cellIs" dxfId="13679" priority="46092" operator="equal">
      <formula>"A"</formula>
    </cfRule>
  </conditionalFormatting>
  <conditionalFormatting sqref="AB3">
    <cfRule type="cellIs" dxfId="13678" priority="46089" operator="equal">
      <formula>"EmailF"</formula>
    </cfRule>
    <cfRule type="cellIs" dxfId="13677" priority="46090" operator="equal">
      <formula>"A"</formula>
    </cfRule>
  </conditionalFormatting>
  <conditionalFormatting sqref="AB3">
    <cfRule type="cellIs" dxfId="13676" priority="46086" operator="equal">
      <formula>"OFF"</formula>
    </cfRule>
    <cfRule type="cellIs" dxfId="13675" priority="46087" operator="equal">
      <formula>"PTO"</formula>
    </cfRule>
  </conditionalFormatting>
  <conditionalFormatting sqref="AB3">
    <cfRule type="cellIs" dxfId="13674" priority="46088" operator="equal">
      <formula>"A"</formula>
    </cfRule>
  </conditionalFormatting>
  <conditionalFormatting sqref="AB3">
    <cfRule type="cellIs" dxfId="13673" priority="46084" operator="equal">
      <formula>"EmailF"</formula>
    </cfRule>
    <cfRule type="cellIs" dxfId="13672" priority="46085" operator="equal">
      <formula>"A"</formula>
    </cfRule>
  </conditionalFormatting>
  <conditionalFormatting sqref="AB3">
    <cfRule type="cellIs" dxfId="13671" priority="46082" operator="equal">
      <formula>"EmailF"</formula>
    </cfRule>
    <cfRule type="cellIs" dxfId="13670" priority="46083" operator="equal">
      <formula>"A"</formula>
    </cfRule>
  </conditionalFormatting>
  <conditionalFormatting sqref="AB3">
    <cfRule type="cellIs" dxfId="13669" priority="46080" operator="equal">
      <formula>"EmailF"</formula>
    </cfRule>
    <cfRule type="cellIs" dxfId="13668" priority="46081" operator="equal">
      <formula>"A"</formula>
    </cfRule>
  </conditionalFormatting>
  <conditionalFormatting sqref="AB3">
    <cfRule type="cellIs" dxfId="13667" priority="46078" operator="equal">
      <formula>"EmailF"</formula>
    </cfRule>
    <cfRule type="cellIs" dxfId="13666" priority="46079" operator="equal">
      <formula>"A"</formula>
    </cfRule>
  </conditionalFormatting>
  <conditionalFormatting sqref="AB3">
    <cfRule type="cellIs" dxfId="13665" priority="46076" operator="equal">
      <formula>"EmailF"</formula>
    </cfRule>
    <cfRule type="cellIs" dxfId="13664" priority="46077" operator="equal">
      <formula>"A"</formula>
    </cfRule>
  </conditionalFormatting>
  <conditionalFormatting sqref="AB3">
    <cfRule type="cellIs" dxfId="13663" priority="46074" operator="equal">
      <formula>"EmailF"</formula>
    </cfRule>
    <cfRule type="cellIs" dxfId="13662" priority="46075" operator="equal">
      <formula>"A"</formula>
    </cfRule>
  </conditionalFormatting>
  <conditionalFormatting sqref="AB3">
    <cfRule type="cellIs" dxfId="13661" priority="46072" operator="equal">
      <formula>"EmailF"</formula>
    </cfRule>
    <cfRule type="cellIs" dxfId="13660" priority="46073" operator="equal">
      <formula>"A"</formula>
    </cfRule>
  </conditionalFormatting>
  <conditionalFormatting sqref="AB3">
    <cfRule type="cellIs" dxfId="13659" priority="46070" operator="equal">
      <formula>"EmailF"</formula>
    </cfRule>
    <cfRule type="cellIs" dxfId="13658" priority="46071" operator="equal">
      <formula>"A"</formula>
    </cfRule>
  </conditionalFormatting>
  <conditionalFormatting sqref="AB3">
    <cfRule type="cellIs" dxfId="13657" priority="46068" operator="equal">
      <formula>"EmailF"</formula>
    </cfRule>
    <cfRule type="cellIs" dxfId="13656" priority="46069" operator="equal">
      <formula>"A"</formula>
    </cfRule>
  </conditionalFormatting>
  <conditionalFormatting sqref="AB3">
    <cfRule type="cellIs" dxfId="13655" priority="46066" operator="equal">
      <formula>"EmailF"</formula>
    </cfRule>
    <cfRule type="cellIs" dxfId="13654" priority="46067" operator="equal">
      <formula>"A"</formula>
    </cfRule>
  </conditionalFormatting>
  <conditionalFormatting sqref="AB3">
    <cfRule type="cellIs" dxfId="13653" priority="46064" operator="equal">
      <formula>"EmailF"</formula>
    </cfRule>
    <cfRule type="cellIs" dxfId="13652" priority="46065" operator="equal">
      <formula>"A"</formula>
    </cfRule>
  </conditionalFormatting>
  <conditionalFormatting sqref="AB3">
    <cfRule type="cellIs" dxfId="13651" priority="46062" operator="equal">
      <formula>"EmailF"</formula>
    </cfRule>
    <cfRule type="cellIs" dxfId="13650" priority="46063" operator="equal">
      <formula>"A"</formula>
    </cfRule>
  </conditionalFormatting>
  <conditionalFormatting sqref="AB3">
    <cfRule type="cellIs" dxfId="13649" priority="46060" operator="equal">
      <formula>"EmailF"</formula>
    </cfRule>
    <cfRule type="cellIs" dxfId="13648" priority="46061" operator="equal">
      <formula>"A"</formula>
    </cfRule>
  </conditionalFormatting>
  <conditionalFormatting sqref="AB3">
    <cfRule type="cellIs" dxfId="13647" priority="46058" operator="equal">
      <formula>"EmailF"</formula>
    </cfRule>
    <cfRule type="cellIs" dxfId="13646" priority="46059" operator="equal">
      <formula>"A"</formula>
    </cfRule>
  </conditionalFormatting>
  <conditionalFormatting sqref="AB3">
    <cfRule type="cellIs" dxfId="13645" priority="46056" operator="equal">
      <formula>"EmailF"</formula>
    </cfRule>
    <cfRule type="cellIs" dxfId="13644" priority="46057" operator="equal">
      <formula>"A"</formula>
    </cfRule>
  </conditionalFormatting>
  <conditionalFormatting sqref="AB3">
    <cfRule type="cellIs" dxfId="13643" priority="46051" operator="equal">
      <formula>"OFF"</formula>
    </cfRule>
    <cfRule type="cellIs" dxfId="13642" priority="46052" operator="equal">
      <formula>"PTO"</formula>
    </cfRule>
  </conditionalFormatting>
  <conditionalFormatting sqref="AB3">
    <cfRule type="cellIs" dxfId="13641" priority="46053" operator="equal">
      <formula>"A"</formula>
    </cfRule>
  </conditionalFormatting>
  <conditionalFormatting sqref="AB3">
    <cfRule type="cellIs" dxfId="13640" priority="46054" operator="equal">
      <formula>"EmailF"</formula>
    </cfRule>
    <cfRule type="cellIs" dxfId="13639" priority="46055" operator="equal">
      <formula>"A"</formula>
    </cfRule>
  </conditionalFormatting>
  <conditionalFormatting sqref="AB3">
    <cfRule type="cellIs" dxfId="13638" priority="46049" operator="equal">
      <formula>"EmailF"</formula>
    </cfRule>
    <cfRule type="cellIs" dxfId="13637" priority="46050" operator="equal">
      <formula>"A"</formula>
    </cfRule>
  </conditionalFormatting>
  <conditionalFormatting sqref="AB3">
    <cfRule type="cellIs" dxfId="13636" priority="46047" operator="equal">
      <formula>"EmailF"</formula>
    </cfRule>
    <cfRule type="cellIs" dxfId="13635" priority="46048" operator="equal">
      <formula>"A"</formula>
    </cfRule>
  </conditionalFormatting>
  <conditionalFormatting sqref="AB3">
    <cfRule type="cellIs" dxfId="13634" priority="46045" operator="equal">
      <formula>"EmailF"</formula>
    </cfRule>
    <cfRule type="cellIs" dxfId="13633" priority="46046" operator="equal">
      <formula>"A"</formula>
    </cfRule>
  </conditionalFormatting>
  <conditionalFormatting sqref="AB3">
    <cfRule type="cellIs" dxfId="13632" priority="46043" operator="equal">
      <formula>"EmailF"</formula>
    </cfRule>
    <cfRule type="cellIs" dxfId="13631" priority="46044" operator="equal">
      <formula>"A"</formula>
    </cfRule>
  </conditionalFormatting>
  <conditionalFormatting sqref="AB3">
    <cfRule type="cellIs" dxfId="13630" priority="46041" operator="equal">
      <formula>"EmailF"</formula>
    </cfRule>
    <cfRule type="cellIs" dxfId="13629" priority="46042" operator="equal">
      <formula>"A"</formula>
    </cfRule>
  </conditionalFormatting>
  <conditionalFormatting sqref="AB3">
    <cfRule type="cellIs" dxfId="13628" priority="46039" operator="equal">
      <formula>"EmailF"</formula>
    </cfRule>
    <cfRule type="cellIs" dxfId="13627" priority="46040" operator="equal">
      <formula>"A"</formula>
    </cfRule>
  </conditionalFormatting>
  <conditionalFormatting sqref="AB3">
    <cfRule type="cellIs" dxfId="13626" priority="46037" operator="equal">
      <formula>"EmailF"</formula>
    </cfRule>
    <cfRule type="cellIs" dxfId="13625" priority="46038" operator="equal">
      <formula>"A"</formula>
    </cfRule>
  </conditionalFormatting>
  <conditionalFormatting sqref="AB3">
    <cfRule type="cellIs" dxfId="13624" priority="46035" operator="equal">
      <formula>"EmailF"</formula>
    </cfRule>
    <cfRule type="cellIs" dxfId="13623" priority="46036" operator="equal">
      <formula>"A"</formula>
    </cfRule>
  </conditionalFormatting>
  <conditionalFormatting sqref="AB3">
    <cfRule type="cellIs" dxfId="13622" priority="46033" operator="equal">
      <formula>"EmailF"</formula>
    </cfRule>
    <cfRule type="cellIs" dxfId="13621" priority="46034" operator="equal">
      <formula>"A"</formula>
    </cfRule>
  </conditionalFormatting>
  <conditionalFormatting sqref="AB3">
    <cfRule type="cellIs" dxfId="13620" priority="46031" operator="equal">
      <formula>"EmailF"</formula>
    </cfRule>
    <cfRule type="cellIs" dxfId="13619" priority="46032" operator="equal">
      <formula>"A"</formula>
    </cfRule>
  </conditionalFormatting>
  <conditionalFormatting sqref="AB3">
    <cfRule type="cellIs" dxfId="13618" priority="46029" operator="equal">
      <formula>"EmailF"</formula>
    </cfRule>
    <cfRule type="cellIs" dxfId="13617" priority="46030" operator="equal">
      <formula>"A"</formula>
    </cfRule>
  </conditionalFormatting>
  <conditionalFormatting sqref="AB3">
    <cfRule type="cellIs" dxfId="13616" priority="46027" operator="equal">
      <formula>"EmailF"</formula>
    </cfRule>
    <cfRule type="cellIs" dxfId="13615" priority="46028" operator="equal">
      <formula>"A"</formula>
    </cfRule>
  </conditionalFormatting>
  <conditionalFormatting sqref="AB3">
    <cfRule type="cellIs" dxfId="13614" priority="46025" operator="equal">
      <formula>"EmailF"</formula>
    </cfRule>
    <cfRule type="cellIs" dxfId="13613" priority="46026" operator="equal">
      <formula>"A"</formula>
    </cfRule>
  </conditionalFormatting>
  <conditionalFormatting sqref="AB3">
    <cfRule type="cellIs" dxfId="13612" priority="46023" operator="equal">
      <formula>"EmailF"</formula>
    </cfRule>
    <cfRule type="cellIs" dxfId="13611" priority="46024" operator="equal">
      <formula>"A"</formula>
    </cfRule>
  </conditionalFormatting>
  <conditionalFormatting sqref="AB3">
    <cfRule type="cellIs" dxfId="13610" priority="46021" operator="equal">
      <formula>"EmailF"</formula>
    </cfRule>
    <cfRule type="cellIs" dxfId="13609" priority="46022" operator="equal">
      <formula>"A"</formula>
    </cfRule>
  </conditionalFormatting>
  <conditionalFormatting sqref="AB3">
    <cfRule type="cellIs" dxfId="13608" priority="46019" operator="equal">
      <formula>"EmailF"</formula>
    </cfRule>
    <cfRule type="cellIs" dxfId="13607" priority="46020" operator="equal">
      <formula>"A"</formula>
    </cfRule>
  </conditionalFormatting>
  <conditionalFormatting sqref="AB3">
    <cfRule type="cellIs" dxfId="13606" priority="46016" operator="equal">
      <formula>"OFF"</formula>
    </cfRule>
    <cfRule type="cellIs" dxfId="13605" priority="46017" operator="equal">
      <formula>"PTO"</formula>
    </cfRule>
  </conditionalFormatting>
  <conditionalFormatting sqref="AB3">
    <cfRule type="cellIs" dxfId="13604" priority="46018" operator="equal">
      <formula>"A"</formula>
    </cfRule>
  </conditionalFormatting>
  <conditionalFormatting sqref="AB3">
    <cfRule type="cellIs" dxfId="13603" priority="46014" operator="equal">
      <formula>"EmailF"</formula>
    </cfRule>
    <cfRule type="cellIs" dxfId="13602" priority="46015" operator="equal">
      <formula>"A"</formula>
    </cfRule>
  </conditionalFormatting>
  <conditionalFormatting sqref="AB3">
    <cfRule type="cellIs" dxfId="13601" priority="46012" operator="equal">
      <formula>"EmailF"</formula>
    </cfRule>
    <cfRule type="cellIs" dxfId="13600" priority="46013" operator="equal">
      <formula>"A"</formula>
    </cfRule>
  </conditionalFormatting>
  <conditionalFormatting sqref="AB3">
    <cfRule type="cellIs" dxfId="13599" priority="46010" operator="equal">
      <formula>"EmailF"</formula>
    </cfRule>
    <cfRule type="cellIs" dxfId="13598" priority="46011" operator="equal">
      <formula>"A"</formula>
    </cfRule>
  </conditionalFormatting>
  <conditionalFormatting sqref="AB3">
    <cfRule type="cellIs" dxfId="13597" priority="46008" operator="equal">
      <formula>"EmailF"</formula>
    </cfRule>
    <cfRule type="cellIs" dxfId="13596" priority="46009" operator="equal">
      <formula>"A"</formula>
    </cfRule>
  </conditionalFormatting>
  <conditionalFormatting sqref="AB3">
    <cfRule type="cellIs" dxfId="13595" priority="46006" operator="equal">
      <formula>"EmailF"</formula>
    </cfRule>
    <cfRule type="cellIs" dxfId="13594" priority="46007" operator="equal">
      <formula>"A"</formula>
    </cfRule>
  </conditionalFormatting>
  <conditionalFormatting sqref="AB3">
    <cfRule type="cellIs" dxfId="13593" priority="46004" operator="equal">
      <formula>"EmailF"</formula>
    </cfRule>
    <cfRule type="cellIs" dxfId="13592" priority="46005" operator="equal">
      <formula>"A"</formula>
    </cfRule>
  </conditionalFormatting>
  <conditionalFormatting sqref="AB3">
    <cfRule type="cellIs" dxfId="13591" priority="46002" operator="equal">
      <formula>"EmailF"</formula>
    </cfRule>
    <cfRule type="cellIs" dxfId="13590" priority="46003" operator="equal">
      <formula>"A"</formula>
    </cfRule>
  </conditionalFormatting>
  <conditionalFormatting sqref="AB3">
    <cfRule type="cellIs" dxfId="13589" priority="46000" operator="equal">
      <formula>"EmailF"</formula>
    </cfRule>
    <cfRule type="cellIs" dxfId="13588" priority="46001" operator="equal">
      <formula>"A"</formula>
    </cfRule>
  </conditionalFormatting>
  <conditionalFormatting sqref="AB3">
    <cfRule type="cellIs" dxfId="13587" priority="45998" operator="equal">
      <formula>"EmailF"</formula>
    </cfRule>
    <cfRule type="cellIs" dxfId="13586" priority="45999" operator="equal">
      <formula>"A"</formula>
    </cfRule>
  </conditionalFormatting>
  <conditionalFormatting sqref="AB3">
    <cfRule type="cellIs" dxfId="13585" priority="45996" operator="equal">
      <formula>"EmailF"</formula>
    </cfRule>
    <cfRule type="cellIs" dxfId="13584" priority="45997" operator="equal">
      <formula>"A"</formula>
    </cfRule>
  </conditionalFormatting>
  <conditionalFormatting sqref="AB3">
    <cfRule type="cellIs" dxfId="13583" priority="45994" operator="equal">
      <formula>"EmailF"</formula>
    </cfRule>
    <cfRule type="cellIs" dxfId="13582" priority="45995" operator="equal">
      <formula>"A"</formula>
    </cfRule>
  </conditionalFormatting>
  <conditionalFormatting sqref="AB3">
    <cfRule type="cellIs" dxfId="13581" priority="45992" operator="equal">
      <formula>"EmailF"</formula>
    </cfRule>
    <cfRule type="cellIs" dxfId="13580" priority="45993" operator="equal">
      <formula>"A"</formula>
    </cfRule>
  </conditionalFormatting>
  <conditionalFormatting sqref="AB3">
    <cfRule type="cellIs" dxfId="13579" priority="45990" operator="equal">
      <formula>"EmailF"</formula>
    </cfRule>
    <cfRule type="cellIs" dxfId="13578" priority="45991" operator="equal">
      <formula>"A"</formula>
    </cfRule>
  </conditionalFormatting>
  <conditionalFormatting sqref="AB3">
    <cfRule type="cellIs" dxfId="13577" priority="45988" operator="equal">
      <formula>"EmailF"</formula>
    </cfRule>
    <cfRule type="cellIs" dxfId="13576" priority="45989" operator="equal">
      <formula>"A"</formula>
    </cfRule>
  </conditionalFormatting>
  <conditionalFormatting sqref="AB3">
    <cfRule type="cellIs" dxfId="13575" priority="45986" operator="equal">
      <formula>"EmailF"</formula>
    </cfRule>
    <cfRule type="cellIs" dxfId="13574" priority="45987" operator="equal">
      <formula>"A"</formula>
    </cfRule>
  </conditionalFormatting>
  <conditionalFormatting sqref="AB4">
    <cfRule type="cellIs" dxfId="13573" priority="45979" operator="equal">
      <formula>"A"</formula>
    </cfRule>
  </conditionalFormatting>
  <conditionalFormatting sqref="AB4">
    <cfRule type="cellIs" dxfId="13572" priority="45980" operator="equal">
      <formula>"PTO"</formula>
    </cfRule>
  </conditionalFormatting>
  <conditionalFormatting sqref="AB4">
    <cfRule type="cellIs" dxfId="13571" priority="45984" operator="equal">
      <formula>"PTO"</formula>
    </cfRule>
    <cfRule type="cellIs" dxfId="13570" priority="45985" operator="equal">
      <formula>"A"</formula>
    </cfRule>
  </conditionalFormatting>
  <conditionalFormatting sqref="AB4">
    <cfRule type="cellIs" dxfId="13569" priority="45982" operator="equal">
      <formula>"EmailF"</formula>
    </cfRule>
    <cfRule type="cellIs" dxfId="13568" priority="45983" operator="equal">
      <formula>"A"</formula>
    </cfRule>
  </conditionalFormatting>
  <conditionalFormatting sqref="AB4">
    <cfRule type="cellIs" dxfId="13567" priority="45978" operator="equal">
      <formula>"EmailF"</formula>
    </cfRule>
  </conditionalFormatting>
  <conditionalFormatting sqref="AB4">
    <cfRule type="cellIs" dxfId="13566" priority="45981" operator="equal">
      <formula>"OFF"</formula>
    </cfRule>
  </conditionalFormatting>
  <conditionalFormatting sqref="AB4">
    <cfRule type="cellIs" dxfId="13565" priority="45975" operator="equal">
      <formula>"EmailF"</formula>
    </cfRule>
    <cfRule type="cellIs" dxfId="13564" priority="45976" operator="equal">
      <formula>"A"</formula>
    </cfRule>
    <cfRule type="cellIs" dxfId="13563" priority="45977" operator="equal">
      <formula>"EmailF"</formula>
    </cfRule>
  </conditionalFormatting>
  <conditionalFormatting sqref="AB5">
    <cfRule type="cellIs" dxfId="13562" priority="45968" operator="equal">
      <formula>"A"</formula>
    </cfRule>
  </conditionalFormatting>
  <conditionalFormatting sqref="AB5">
    <cfRule type="cellIs" dxfId="13561" priority="45969" operator="equal">
      <formula>"PTO"</formula>
    </cfRule>
  </conditionalFormatting>
  <conditionalFormatting sqref="AB5">
    <cfRule type="cellIs" dxfId="13560" priority="45973" operator="equal">
      <formula>"PTO"</formula>
    </cfRule>
    <cfRule type="cellIs" dxfId="13559" priority="45974" operator="equal">
      <formula>"A"</formula>
    </cfRule>
  </conditionalFormatting>
  <conditionalFormatting sqref="AB5">
    <cfRule type="cellIs" dxfId="13558" priority="45971" operator="equal">
      <formula>"EmailF"</formula>
    </cfRule>
    <cfRule type="cellIs" dxfId="13557" priority="45972" operator="equal">
      <formula>"A"</formula>
    </cfRule>
  </conditionalFormatting>
  <conditionalFormatting sqref="AB5">
    <cfRule type="cellIs" dxfId="13556" priority="45967" operator="equal">
      <formula>"EmailF"</formula>
    </cfRule>
  </conditionalFormatting>
  <conditionalFormatting sqref="AB5">
    <cfRule type="cellIs" dxfId="13555" priority="45970" operator="equal">
      <formula>"OFF"</formula>
    </cfRule>
  </conditionalFormatting>
  <conditionalFormatting sqref="AB5">
    <cfRule type="cellIs" dxfId="13554" priority="45964" operator="equal">
      <formula>"EmailF"</formula>
    </cfRule>
    <cfRule type="cellIs" dxfId="13553" priority="45965" operator="equal">
      <formula>"A"</formula>
    </cfRule>
    <cfRule type="cellIs" dxfId="13552" priority="45966" operator="equal">
      <formula>"EmailF"</formula>
    </cfRule>
  </conditionalFormatting>
  <conditionalFormatting sqref="AB5">
    <cfRule type="cellIs" dxfId="13551" priority="45958" operator="equal">
      <formula>"OFF"</formula>
    </cfRule>
    <cfRule type="cellIs" dxfId="13550" priority="45959" operator="equal">
      <formula>"PTO"</formula>
    </cfRule>
  </conditionalFormatting>
  <conditionalFormatting sqref="AB5">
    <cfRule type="cellIs" dxfId="13549" priority="45962" operator="equal">
      <formula>"EmailF"</formula>
    </cfRule>
  </conditionalFormatting>
  <conditionalFormatting sqref="AB5">
    <cfRule type="cellIs" dxfId="13548" priority="45960" operator="equal">
      <formula>"EmailF"</formula>
    </cfRule>
    <cfRule type="cellIs" dxfId="13547" priority="45961" operator="equal">
      <formula>"A"</formula>
    </cfRule>
  </conditionalFormatting>
  <conditionalFormatting sqref="AB5">
    <cfRule type="cellIs" dxfId="13546" priority="45963" operator="equal">
      <formula>"A"</formula>
    </cfRule>
  </conditionalFormatting>
  <conditionalFormatting sqref="AB5">
    <cfRule type="cellIs" dxfId="13545" priority="45952" operator="equal">
      <formula>"OFF"</formula>
    </cfRule>
    <cfRule type="cellIs" dxfId="13544" priority="45953" operator="equal">
      <formula>"PTO"</formula>
    </cfRule>
  </conditionalFormatting>
  <conditionalFormatting sqref="AB5">
    <cfRule type="cellIs" dxfId="13543" priority="45956" operator="equal">
      <formula>"EmailF"</formula>
    </cfRule>
  </conditionalFormatting>
  <conditionalFormatting sqref="AB5">
    <cfRule type="cellIs" dxfId="13542" priority="45954" operator="equal">
      <formula>"EmailF"</formula>
    </cfRule>
    <cfRule type="cellIs" dxfId="13541" priority="45955" operator="equal">
      <formula>"A"</formula>
    </cfRule>
  </conditionalFormatting>
  <conditionalFormatting sqref="AB5">
    <cfRule type="cellIs" dxfId="13540" priority="45957" operator="equal">
      <formula>"A"</formula>
    </cfRule>
  </conditionalFormatting>
  <conditionalFormatting sqref="AB5">
    <cfRule type="cellIs" dxfId="13539" priority="45946" operator="equal">
      <formula>"OFF"</formula>
    </cfRule>
    <cfRule type="cellIs" dxfId="13538" priority="45947" operator="equal">
      <formula>"PTO"</formula>
    </cfRule>
  </conditionalFormatting>
  <conditionalFormatting sqref="AB5">
    <cfRule type="cellIs" dxfId="13537" priority="45950" operator="equal">
      <formula>"EmailF"</formula>
    </cfRule>
  </conditionalFormatting>
  <conditionalFormatting sqref="AB5">
    <cfRule type="cellIs" dxfId="13536" priority="45948" operator="equal">
      <formula>"EmailF"</formula>
    </cfRule>
    <cfRule type="cellIs" dxfId="13535" priority="45949" operator="equal">
      <formula>"A"</formula>
    </cfRule>
  </conditionalFormatting>
  <conditionalFormatting sqref="AB5">
    <cfRule type="cellIs" dxfId="13534" priority="45951" operator="equal">
      <formula>"A"</formula>
    </cfRule>
  </conditionalFormatting>
  <conditionalFormatting sqref="AB5">
    <cfRule type="cellIs" dxfId="13533" priority="45940" operator="equal">
      <formula>"OFF"</formula>
    </cfRule>
    <cfRule type="cellIs" dxfId="13532" priority="45941" operator="equal">
      <formula>"PTO"</formula>
    </cfRule>
  </conditionalFormatting>
  <conditionalFormatting sqref="AB5">
    <cfRule type="cellIs" dxfId="13531" priority="45944" operator="equal">
      <formula>"EmailF"</formula>
    </cfRule>
  </conditionalFormatting>
  <conditionalFormatting sqref="AB5">
    <cfRule type="cellIs" dxfId="13530" priority="45942" operator="equal">
      <formula>"EmailF"</formula>
    </cfRule>
    <cfRule type="cellIs" dxfId="13529" priority="45943" operator="equal">
      <formula>"A"</formula>
    </cfRule>
  </conditionalFormatting>
  <conditionalFormatting sqref="AB5">
    <cfRule type="cellIs" dxfId="13528" priority="45945" operator="equal">
      <formula>"A"</formula>
    </cfRule>
  </conditionalFormatting>
  <conditionalFormatting sqref="AB5">
    <cfRule type="cellIs" dxfId="13527" priority="45934" operator="equal">
      <formula>"OFF"</formula>
    </cfRule>
    <cfRule type="cellIs" dxfId="13526" priority="45935" operator="equal">
      <formula>"PTO"</formula>
    </cfRule>
  </conditionalFormatting>
  <conditionalFormatting sqref="AB5">
    <cfRule type="cellIs" dxfId="13525" priority="45938" operator="equal">
      <formula>"EmailF"</formula>
    </cfRule>
  </conditionalFormatting>
  <conditionalFormatting sqref="AB5">
    <cfRule type="cellIs" dxfId="13524" priority="45936" operator="equal">
      <formula>"EmailF"</formula>
    </cfRule>
    <cfRule type="cellIs" dxfId="13523" priority="45937" operator="equal">
      <formula>"A"</formula>
    </cfRule>
  </conditionalFormatting>
  <conditionalFormatting sqref="AB5">
    <cfRule type="cellIs" dxfId="13522" priority="45939" operator="equal">
      <formula>"A"</formula>
    </cfRule>
  </conditionalFormatting>
  <conditionalFormatting sqref="AB5">
    <cfRule type="cellIs" dxfId="13521" priority="45928" operator="equal">
      <formula>"OFF"</formula>
    </cfRule>
    <cfRule type="cellIs" dxfId="13520" priority="45929" operator="equal">
      <formula>"PTO"</formula>
    </cfRule>
  </conditionalFormatting>
  <conditionalFormatting sqref="AB5">
    <cfRule type="cellIs" dxfId="13519" priority="45932" operator="equal">
      <formula>"EmailF"</formula>
    </cfRule>
  </conditionalFormatting>
  <conditionalFormatting sqref="AB5">
    <cfRule type="cellIs" dxfId="13518" priority="45930" operator="equal">
      <formula>"EmailF"</formula>
    </cfRule>
    <cfRule type="cellIs" dxfId="13517" priority="45931" operator="equal">
      <formula>"A"</formula>
    </cfRule>
  </conditionalFormatting>
  <conditionalFormatting sqref="AB5">
    <cfRule type="cellIs" dxfId="13516" priority="45933" operator="equal">
      <formula>"A"</formula>
    </cfRule>
  </conditionalFormatting>
  <conditionalFormatting sqref="AB5">
    <cfRule type="cellIs" dxfId="13515" priority="45923" operator="equal">
      <formula>"OFF"</formula>
    </cfRule>
    <cfRule type="cellIs" dxfId="13514" priority="45924" operator="equal">
      <formula>"PTO"</formula>
    </cfRule>
  </conditionalFormatting>
  <conditionalFormatting sqref="AB5">
    <cfRule type="cellIs" dxfId="13513" priority="45925" operator="equal">
      <formula>"A"</formula>
    </cfRule>
  </conditionalFormatting>
  <conditionalFormatting sqref="AB5">
    <cfRule type="cellIs" dxfId="13512" priority="45926" operator="equal">
      <formula>"EmailF"</formula>
    </cfRule>
    <cfRule type="cellIs" dxfId="13511" priority="45927" operator="equal">
      <formula>"A"</formula>
    </cfRule>
  </conditionalFormatting>
  <conditionalFormatting sqref="AB5">
    <cfRule type="cellIs" dxfId="13510" priority="45921" operator="equal">
      <formula>"EmailF"</formula>
    </cfRule>
    <cfRule type="cellIs" dxfId="13509" priority="45922" operator="equal">
      <formula>"A"</formula>
    </cfRule>
  </conditionalFormatting>
  <conditionalFormatting sqref="AB5">
    <cfRule type="cellIs" dxfId="13508" priority="45919" operator="equal">
      <formula>"EmailF"</formula>
    </cfRule>
    <cfRule type="cellIs" dxfId="13507" priority="45920" operator="equal">
      <formula>"A"</formula>
    </cfRule>
  </conditionalFormatting>
  <conditionalFormatting sqref="AB5">
    <cfRule type="cellIs" dxfId="13506" priority="45917" operator="equal">
      <formula>"EmailF"</formula>
    </cfRule>
    <cfRule type="cellIs" dxfId="13505" priority="45918" operator="equal">
      <formula>"A"</formula>
    </cfRule>
  </conditionalFormatting>
  <conditionalFormatting sqref="AB5">
    <cfRule type="cellIs" dxfId="13504" priority="45915" operator="equal">
      <formula>"EmailF"</formula>
    </cfRule>
    <cfRule type="cellIs" dxfId="13503" priority="45916" operator="equal">
      <formula>"A"</formula>
    </cfRule>
  </conditionalFormatting>
  <conditionalFormatting sqref="AB5">
    <cfRule type="cellIs" dxfId="13502" priority="45913" operator="equal">
      <formula>"EmailF"</formula>
    </cfRule>
    <cfRule type="cellIs" dxfId="13501" priority="45914" operator="equal">
      <formula>"A"</formula>
    </cfRule>
  </conditionalFormatting>
  <conditionalFormatting sqref="AB5">
    <cfRule type="cellIs" dxfId="13500" priority="45911" operator="equal">
      <formula>"EmailF"</formula>
    </cfRule>
    <cfRule type="cellIs" dxfId="13499" priority="45912" operator="equal">
      <formula>"A"</formula>
    </cfRule>
  </conditionalFormatting>
  <conditionalFormatting sqref="AB5">
    <cfRule type="cellIs" dxfId="13498" priority="45909" operator="equal">
      <formula>"EmailF"</formula>
    </cfRule>
    <cfRule type="cellIs" dxfId="13497" priority="45910" operator="equal">
      <formula>"A"</formula>
    </cfRule>
  </conditionalFormatting>
  <conditionalFormatting sqref="AB5">
    <cfRule type="cellIs" dxfId="13496" priority="45907" operator="equal">
      <formula>"EmailF"</formula>
    </cfRule>
    <cfRule type="cellIs" dxfId="13495" priority="45908" operator="equal">
      <formula>"A"</formula>
    </cfRule>
  </conditionalFormatting>
  <conditionalFormatting sqref="AB5">
    <cfRule type="cellIs" dxfId="13494" priority="45905" operator="equal">
      <formula>"EmailF"</formula>
    </cfRule>
    <cfRule type="cellIs" dxfId="13493" priority="45906" operator="equal">
      <formula>"A"</formula>
    </cfRule>
  </conditionalFormatting>
  <conditionalFormatting sqref="AB5">
    <cfRule type="cellIs" dxfId="13492" priority="45903" operator="equal">
      <formula>"EmailF"</formula>
    </cfRule>
    <cfRule type="cellIs" dxfId="13491" priority="45904" operator="equal">
      <formula>"A"</formula>
    </cfRule>
  </conditionalFormatting>
  <conditionalFormatting sqref="AB5">
    <cfRule type="cellIs" dxfId="13490" priority="45901" operator="equal">
      <formula>"EmailF"</formula>
    </cfRule>
    <cfRule type="cellIs" dxfId="13489" priority="45902" operator="equal">
      <formula>"A"</formula>
    </cfRule>
  </conditionalFormatting>
  <conditionalFormatting sqref="AB5">
    <cfRule type="cellIs" dxfId="13488" priority="45899" operator="equal">
      <formula>"EmailF"</formula>
    </cfRule>
    <cfRule type="cellIs" dxfId="13487" priority="45900" operator="equal">
      <formula>"A"</formula>
    </cfRule>
  </conditionalFormatting>
  <conditionalFormatting sqref="AB5">
    <cfRule type="cellIs" dxfId="13486" priority="45897" operator="equal">
      <formula>"EmailF"</formula>
    </cfRule>
    <cfRule type="cellIs" dxfId="13485" priority="45898" operator="equal">
      <formula>"A"</formula>
    </cfRule>
  </conditionalFormatting>
  <conditionalFormatting sqref="AB5">
    <cfRule type="cellIs" dxfId="13484" priority="45895" operator="equal">
      <formula>"EmailF"</formula>
    </cfRule>
    <cfRule type="cellIs" dxfId="13483" priority="45896" operator="equal">
      <formula>"A"</formula>
    </cfRule>
  </conditionalFormatting>
  <conditionalFormatting sqref="AB5">
    <cfRule type="cellIs" dxfId="13482" priority="45893" operator="equal">
      <formula>"EmailF"</formula>
    </cfRule>
    <cfRule type="cellIs" dxfId="13481" priority="45894" operator="equal">
      <formula>"A"</formula>
    </cfRule>
  </conditionalFormatting>
  <conditionalFormatting sqref="AB5">
    <cfRule type="cellIs" dxfId="13480" priority="45854" operator="equal">
      <formula>"EmailF"</formula>
    </cfRule>
    <cfRule type="cellIs" dxfId="13479" priority="45855" operator="equal">
      <formula>"A"</formula>
    </cfRule>
  </conditionalFormatting>
  <conditionalFormatting sqref="AB5">
    <cfRule type="cellIs" dxfId="13478" priority="45852" operator="equal">
      <formula>"EmailF"</formula>
    </cfRule>
    <cfRule type="cellIs" dxfId="13477" priority="45853" operator="equal">
      <formula>"A"</formula>
    </cfRule>
  </conditionalFormatting>
  <conditionalFormatting sqref="AB5">
    <cfRule type="cellIs" dxfId="13476" priority="45884" operator="equal">
      <formula>"A"</formula>
    </cfRule>
  </conditionalFormatting>
  <conditionalFormatting sqref="AB5">
    <cfRule type="cellIs" dxfId="13475" priority="45872" operator="equal">
      <formula>"EmailF"</formula>
    </cfRule>
    <cfRule type="cellIs" dxfId="13474" priority="45873" operator="equal">
      <formula>"A"</formula>
    </cfRule>
  </conditionalFormatting>
  <conditionalFormatting sqref="AB5">
    <cfRule type="cellIs" dxfId="13473" priority="45870" operator="equal">
      <formula>"EmailF"</formula>
    </cfRule>
    <cfRule type="cellIs" dxfId="13472" priority="45871" operator="equal">
      <formula>"A"</formula>
    </cfRule>
  </conditionalFormatting>
  <conditionalFormatting sqref="AB5">
    <cfRule type="cellIs" dxfId="13471" priority="45868" operator="equal">
      <formula>"EmailF"</formula>
    </cfRule>
    <cfRule type="cellIs" dxfId="13470" priority="45869" operator="equal">
      <formula>"A"</formula>
    </cfRule>
  </conditionalFormatting>
  <conditionalFormatting sqref="AB5">
    <cfRule type="cellIs" dxfId="13469" priority="45866" operator="equal">
      <formula>"EmailF"</formula>
    </cfRule>
    <cfRule type="cellIs" dxfId="13468" priority="45867" operator="equal">
      <formula>"A"</formula>
    </cfRule>
  </conditionalFormatting>
  <conditionalFormatting sqref="AB5">
    <cfRule type="cellIs" dxfId="13467" priority="45864" operator="equal">
      <formula>"EmailF"</formula>
    </cfRule>
    <cfRule type="cellIs" dxfId="13466" priority="45865" operator="equal">
      <formula>"A"</formula>
    </cfRule>
  </conditionalFormatting>
  <conditionalFormatting sqref="AB5">
    <cfRule type="cellIs" dxfId="13465" priority="45862" operator="equal">
      <formula>"EmailF"</formula>
    </cfRule>
    <cfRule type="cellIs" dxfId="13464" priority="45863" operator="equal">
      <formula>"A"</formula>
    </cfRule>
  </conditionalFormatting>
  <conditionalFormatting sqref="AB5">
    <cfRule type="cellIs" dxfId="13463" priority="45860" operator="equal">
      <formula>"EmailF"</formula>
    </cfRule>
    <cfRule type="cellIs" dxfId="13462" priority="45861" operator="equal">
      <formula>"A"</formula>
    </cfRule>
  </conditionalFormatting>
  <conditionalFormatting sqref="AB5">
    <cfRule type="cellIs" dxfId="13461" priority="45858" operator="equal">
      <formula>"EmailF"</formula>
    </cfRule>
    <cfRule type="cellIs" dxfId="13460" priority="45859" operator="equal">
      <formula>"A"</formula>
    </cfRule>
  </conditionalFormatting>
  <conditionalFormatting sqref="AB5">
    <cfRule type="cellIs" dxfId="13459" priority="45856" operator="equal">
      <formula>"EmailF"</formula>
    </cfRule>
    <cfRule type="cellIs" dxfId="13458" priority="45857" operator="equal">
      <formula>"A"</formula>
    </cfRule>
  </conditionalFormatting>
  <conditionalFormatting sqref="AB5">
    <cfRule type="cellIs" dxfId="13457" priority="45887" operator="equal">
      <formula>"OFF"</formula>
    </cfRule>
    <cfRule type="cellIs" dxfId="13456" priority="45888" operator="equal">
      <formula>"PTO"</formula>
    </cfRule>
  </conditionalFormatting>
  <conditionalFormatting sqref="AB5">
    <cfRule type="cellIs" dxfId="13455" priority="45891" operator="equal">
      <formula>"EmailF"</formula>
    </cfRule>
  </conditionalFormatting>
  <conditionalFormatting sqref="AB5">
    <cfRule type="cellIs" dxfId="13454" priority="45889" operator="equal">
      <formula>"EmailF"</formula>
    </cfRule>
    <cfRule type="cellIs" dxfId="13453" priority="45890" operator="equal">
      <formula>"A"</formula>
    </cfRule>
  </conditionalFormatting>
  <conditionalFormatting sqref="AB5">
    <cfRule type="cellIs" dxfId="13452" priority="45892" operator="equal">
      <formula>"A"</formula>
    </cfRule>
  </conditionalFormatting>
  <conditionalFormatting sqref="AB5">
    <cfRule type="cellIs" dxfId="13451" priority="45882" operator="equal">
      <formula>"OFF"</formula>
    </cfRule>
    <cfRule type="cellIs" dxfId="13450" priority="45883" operator="equal">
      <formula>"PTO"</formula>
    </cfRule>
  </conditionalFormatting>
  <conditionalFormatting sqref="AB5">
    <cfRule type="cellIs" dxfId="13449" priority="45885" operator="equal">
      <formula>"EmailF"</formula>
    </cfRule>
    <cfRule type="cellIs" dxfId="13448" priority="45886" operator="equal">
      <formula>"A"</formula>
    </cfRule>
  </conditionalFormatting>
  <conditionalFormatting sqref="AB5">
    <cfRule type="cellIs" dxfId="13447" priority="45880" operator="equal">
      <formula>"EmailF"</formula>
    </cfRule>
    <cfRule type="cellIs" dxfId="13446" priority="45881" operator="equal">
      <formula>"A"</formula>
    </cfRule>
  </conditionalFormatting>
  <conditionalFormatting sqref="AB5">
    <cfRule type="cellIs" dxfId="13445" priority="45878" operator="equal">
      <formula>"EmailF"</formula>
    </cfRule>
    <cfRule type="cellIs" dxfId="13444" priority="45879" operator="equal">
      <formula>"A"</formula>
    </cfRule>
  </conditionalFormatting>
  <conditionalFormatting sqref="AB5">
    <cfRule type="cellIs" dxfId="13443" priority="45876" operator="equal">
      <formula>"EmailF"</formula>
    </cfRule>
    <cfRule type="cellIs" dxfId="13442" priority="45877" operator="equal">
      <formula>"A"</formula>
    </cfRule>
  </conditionalFormatting>
  <conditionalFormatting sqref="AB5">
    <cfRule type="cellIs" dxfId="13441" priority="45874" operator="equal">
      <formula>"EmailF"</formula>
    </cfRule>
    <cfRule type="cellIs" dxfId="13440" priority="45875" operator="equal">
      <formula>"A"</formula>
    </cfRule>
  </conditionalFormatting>
  <conditionalFormatting sqref="Y55:Y57">
    <cfRule type="cellIs" dxfId="13439" priority="40336" operator="equal">
      <formula>"OFF"</formula>
    </cfRule>
    <cfRule type="cellIs" dxfId="13438" priority="40337" operator="equal">
      <formula>"PTO"</formula>
    </cfRule>
  </conditionalFormatting>
  <conditionalFormatting sqref="B18:B57">
    <cfRule type="duplicateValues" dxfId="13437" priority="109114"/>
  </conditionalFormatting>
  <conditionalFormatting sqref="B23">
    <cfRule type="duplicateValues" dxfId="13436" priority="39238"/>
  </conditionalFormatting>
  <conditionalFormatting sqref="B22">
    <cfRule type="duplicateValues" dxfId="13435" priority="38963"/>
  </conditionalFormatting>
  <conditionalFormatting sqref="B21">
    <cfRule type="duplicateValues" dxfId="13434" priority="38438"/>
  </conditionalFormatting>
  <conditionalFormatting sqref="Y55:Y57">
    <cfRule type="cellIs" dxfId="13433" priority="38334" operator="equal">
      <formula>"OFF"</formula>
    </cfRule>
    <cfRule type="cellIs" dxfId="13432" priority="38335" operator="equal">
      <formula>"PTO"</formula>
    </cfRule>
  </conditionalFormatting>
  <conditionalFormatting sqref="Y55:Y57">
    <cfRule type="cellIs" dxfId="13431" priority="38294" operator="equal">
      <formula>"OFF"</formula>
    </cfRule>
    <cfRule type="cellIs" dxfId="13430" priority="38295" operator="equal">
      <formula>"PTO"</formula>
    </cfRule>
  </conditionalFormatting>
  <conditionalFormatting sqref="B19">
    <cfRule type="duplicateValues" dxfId="13429" priority="37811"/>
  </conditionalFormatting>
  <conditionalFormatting sqref="X35:X54">
    <cfRule type="cellIs" dxfId="13428" priority="34107" operator="equal">
      <formula>"OFF"</formula>
    </cfRule>
    <cfRule type="cellIs" dxfId="13427" priority="34108" operator="equal">
      <formula>"PTO"</formula>
    </cfRule>
  </conditionalFormatting>
  <conditionalFormatting sqref="X35:X54">
    <cfRule type="cellIs" dxfId="13426" priority="34105" operator="equal">
      <formula>"OFF"</formula>
    </cfRule>
    <cfRule type="cellIs" dxfId="13425" priority="34106" operator="equal">
      <formula>"PTO"</formula>
    </cfRule>
  </conditionalFormatting>
  <conditionalFormatting sqref="X35:X54">
    <cfRule type="cellIs" dxfId="13424" priority="34103" operator="equal">
      <formula>"OFF"</formula>
    </cfRule>
    <cfRule type="cellIs" dxfId="13423" priority="34104" operator="equal">
      <formula>"PTO"</formula>
    </cfRule>
  </conditionalFormatting>
  <conditionalFormatting sqref="X35:X54">
    <cfRule type="cellIs" dxfId="13422" priority="34101" operator="equal">
      <formula>"OFF"</formula>
    </cfRule>
    <cfRule type="cellIs" dxfId="13421" priority="34102" operator="equal">
      <formula>"PTO"</formula>
    </cfRule>
  </conditionalFormatting>
  <conditionalFormatting sqref="X35:X54">
    <cfRule type="cellIs" dxfId="13420" priority="34099" operator="equal">
      <formula>"OFF"</formula>
    </cfRule>
    <cfRule type="cellIs" dxfId="13419" priority="34100" operator="equal">
      <formula>"PTO"</formula>
    </cfRule>
  </conditionalFormatting>
  <conditionalFormatting sqref="X35:X54">
    <cfRule type="cellIs" dxfId="13418" priority="34097" operator="equal">
      <formula>"OFF"</formula>
    </cfRule>
    <cfRule type="cellIs" dxfId="13417" priority="34098" operator="equal">
      <formula>"PTO"</formula>
    </cfRule>
  </conditionalFormatting>
  <conditionalFormatting sqref="X35:X54">
    <cfRule type="cellIs" dxfId="13416" priority="34095" operator="equal">
      <formula>"OFF"</formula>
    </cfRule>
    <cfRule type="cellIs" dxfId="13415" priority="34096" operator="equal">
      <formula>"PTO"</formula>
    </cfRule>
  </conditionalFormatting>
  <conditionalFormatting sqref="X35:X54">
    <cfRule type="cellIs" dxfId="13414" priority="34093" operator="equal">
      <formula>"OFF"</formula>
    </cfRule>
    <cfRule type="cellIs" dxfId="13413" priority="34094" operator="equal">
      <formula>"PTO"</formula>
    </cfRule>
  </conditionalFormatting>
  <conditionalFormatting sqref="X35:X54">
    <cfRule type="cellIs" dxfId="13412" priority="34091" operator="equal">
      <formula>"OFF"</formula>
    </cfRule>
    <cfRule type="cellIs" dxfId="13411" priority="34092" operator="equal">
      <formula>"PTO"</formula>
    </cfRule>
  </conditionalFormatting>
  <conditionalFormatting sqref="X35:X54">
    <cfRule type="cellIs" dxfId="13410" priority="34089" operator="equal">
      <formula>"OFF"</formula>
    </cfRule>
    <cfRule type="cellIs" dxfId="13409" priority="34090" operator="equal">
      <formula>"PTO"</formula>
    </cfRule>
  </conditionalFormatting>
  <conditionalFormatting sqref="X35:X54">
    <cfRule type="cellIs" dxfId="13408" priority="34087" operator="equal">
      <formula>"OFF"</formula>
    </cfRule>
    <cfRule type="cellIs" dxfId="13407" priority="34088" operator="equal">
      <formula>"PTO"</formula>
    </cfRule>
  </conditionalFormatting>
  <conditionalFormatting sqref="X35:X54">
    <cfRule type="cellIs" dxfId="13406" priority="34085" operator="equal">
      <formula>"OFF"</formula>
    </cfRule>
    <cfRule type="cellIs" dxfId="13405" priority="34086" operator="equal">
      <formula>"PTO"</formula>
    </cfRule>
  </conditionalFormatting>
  <conditionalFormatting sqref="X35:X54">
    <cfRule type="cellIs" dxfId="13404" priority="34083" operator="equal">
      <formula>"OFF"</formula>
    </cfRule>
    <cfRule type="cellIs" dxfId="13403" priority="34084" operator="equal">
      <formula>"PTO"</formula>
    </cfRule>
  </conditionalFormatting>
  <conditionalFormatting sqref="X35:X54">
    <cfRule type="cellIs" dxfId="13402" priority="34081" operator="equal">
      <formula>"OFF"</formula>
    </cfRule>
    <cfRule type="cellIs" dxfId="13401" priority="34082" operator="equal">
      <formula>"PTO"</formula>
    </cfRule>
  </conditionalFormatting>
  <conditionalFormatting sqref="X35:X54">
    <cfRule type="cellIs" dxfId="13400" priority="34079" operator="equal">
      <formula>"OFF"</formula>
    </cfRule>
    <cfRule type="cellIs" dxfId="13399" priority="34080" operator="equal">
      <formula>"PTO"</formula>
    </cfRule>
  </conditionalFormatting>
  <conditionalFormatting sqref="X35:X54">
    <cfRule type="cellIs" dxfId="13398" priority="34077" operator="equal">
      <formula>"OFF"</formula>
    </cfRule>
    <cfRule type="cellIs" dxfId="13397" priority="34078" operator="equal">
      <formula>"PTO"</formula>
    </cfRule>
  </conditionalFormatting>
  <conditionalFormatting sqref="X35:X54">
    <cfRule type="cellIs" dxfId="13396" priority="34075" operator="equal">
      <formula>"OFF"</formula>
    </cfRule>
    <cfRule type="cellIs" dxfId="13395" priority="34076" operator="equal">
      <formula>"PTO"</formula>
    </cfRule>
  </conditionalFormatting>
  <conditionalFormatting sqref="X35:X54">
    <cfRule type="cellIs" dxfId="13394" priority="34073" operator="equal">
      <formula>"OFF"</formula>
    </cfRule>
    <cfRule type="cellIs" dxfId="13393" priority="34074" operator="equal">
      <formula>"PTO"</formula>
    </cfRule>
  </conditionalFormatting>
  <conditionalFormatting sqref="X35:X54">
    <cfRule type="cellIs" dxfId="13392" priority="34071" operator="equal">
      <formula>"OFF"</formula>
    </cfRule>
    <cfRule type="cellIs" dxfId="13391" priority="34072" operator="equal">
      <formula>"PTO"</formula>
    </cfRule>
  </conditionalFormatting>
  <conditionalFormatting sqref="X35:X54">
    <cfRule type="cellIs" dxfId="13390" priority="34069" operator="equal">
      <formula>"OFF"</formula>
    </cfRule>
    <cfRule type="cellIs" dxfId="13389" priority="34070" operator="equal">
      <formula>"PTO"</formula>
    </cfRule>
  </conditionalFormatting>
  <conditionalFormatting sqref="X35:X54">
    <cfRule type="cellIs" dxfId="13388" priority="34067" operator="equal">
      <formula>"OFF"</formula>
    </cfRule>
    <cfRule type="cellIs" dxfId="13387" priority="34068" operator="equal">
      <formula>"PTO"</formula>
    </cfRule>
  </conditionalFormatting>
  <conditionalFormatting sqref="X35:X54">
    <cfRule type="cellIs" dxfId="13386" priority="34065" operator="equal">
      <formula>"OFF"</formula>
    </cfRule>
    <cfRule type="cellIs" dxfId="13385" priority="34066" operator="equal">
      <formula>"PTO"</formula>
    </cfRule>
  </conditionalFormatting>
  <conditionalFormatting sqref="Q43:W54">
    <cfRule type="cellIs" dxfId="13384" priority="18053" operator="equal">
      <formula>"OFF"</formula>
    </cfRule>
    <cfRule type="cellIs" dxfId="13383" priority="18054" operator="equal">
      <formula>"PTO"</formula>
    </cfRule>
  </conditionalFormatting>
  <conditionalFormatting sqref="Q43:W54">
    <cfRule type="cellIs" dxfId="13382" priority="18051" operator="equal">
      <formula>"OFF"</formula>
    </cfRule>
    <cfRule type="cellIs" dxfId="13381" priority="18052" operator="equal">
      <formula>"PTO"</formula>
    </cfRule>
  </conditionalFormatting>
  <conditionalFormatting sqref="Q43:W54">
    <cfRule type="cellIs" dxfId="13380" priority="18049" operator="equal">
      <formula>"OFF"</formula>
    </cfRule>
    <cfRule type="cellIs" dxfId="13379" priority="18050" operator="equal">
      <formula>"PTO"</formula>
    </cfRule>
  </conditionalFormatting>
  <conditionalFormatting sqref="Q43:W54">
    <cfRule type="cellIs" dxfId="13378" priority="18047" operator="equal">
      <formula>"OFF"</formula>
    </cfRule>
    <cfRule type="cellIs" dxfId="13377" priority="18048" operator="equal">
      <formula>"PTO"</formula>
    </cfRule>
  </conditionalFormatting>
  <conditionalFormatting sqref="Q43:W54">
    <cfRule type="cellIs" dxfId="13376" priority="18045" operator="equal">
      <formula>"OFF"</formula>
    </cfRule>
    <cfRule type="cellIs" dxfId="13375" priority="18046" operator="equal">
      <formula>"PTO"</formula>
    </cfRule>
  </conditionalFormatting>
  <conditionalFormatting sqref="Q43:W54">
    <cfRule type="cellIs" dxfId="13374" priority="18043" operator="equal">
      <formula>"OFF"</formula>
    </cfRule>
    <cfRule type="cellIs" dxfId="13373" priority="18044" operator="equal">
      <formula>"PTO"</formula>
    </cfRule>
  </conditionalFormatting>
  <conditionalFormatting sqref="Q43:W54">
    <cfRule type="cellIs" dxfId="13372" priority="18041" operator="equal">
      <formula>"OFF"</formula>
    </cfRule>
    <cfRule type="cellIs" dxfId="13371" priority="18042" operator="equal">
      <formula>"PTO"</formula>
    </cfRule>
  </conditionalFormatting>
  <conditionalFormatting sqref="Q43:W54">
    <cfRule type="cellIs" dxfId="13370" priority="18039" operator="equal">
      <formula>"OFF"</formula>
    </cfRule>
    <cfRule type="cellIs" dxfId="13369" priority="18040" operator="equal">
      <formula>"PTO"</formula>
    </cfRule>
  </conditionalFormatting>
  <conditionalFormatting sqref="Q43:W54">
    <cfRule type="cellIs" dxfId="13368" priority="18037" operator="equal">
      <formula>"OFF"</formula>
    </cfRule>
    <cfRule type="cellIs" dxfId="13367" priority="18038" operator="equal">
      <formula>"PTO"</formula>
    </cfRule>
  </conditionalFormatting>
  <conditionalFormatting sqref="Q43:W54">
    <cfRule type="cellIs" dxfId="13366" priority="18035" operator="equal">
      <formula>"OFF"</formula>
    </cfRule>
    <cfRule type="cellIs" dxfId="13365" priority="18036" operator="equal">
      <formula>"PTO"</formula>
    </cfRule>
  </conditionalFormatting>
  <conditionalFormatting sqref="Q43:W54">
    <cfRule type="cellIs" dxfId="13364" priority="18033" operator="equal">
      <formula>"OFF"</formula>
    </cfRule>
    <cfRule type="cellIs" dxfId="13363" priority="18034" operator="equal">
      <formula>"PTO"</formula>
    </cfRule>
  </conditionalFormatting>
  <conditionalFormatting sqref="Q43:W54">
    <cfRule type="cellIs" dxfId="13362" priority="18031" operator="equal">
      <formula>"OFF"</formula>
    </cfRule>
    <cfRule type="cellIs" dxfId="13361" priority="18032" operator="equal">
      <formula>"PTO"</formula>
    </cfRule>
  </conditionalFormatting>
  <conditionalFormatting sqref="Q43:W54">
    <cfRule type="cellIs" dxfId="13360" priority="18029" operator="equal">
      <formula>"OFF"</formula>
    </cfRule>
    <cfRule type="cellIs" dxfId="13359" priority="18030" operator="equal">
      <formula>"PTO"</formula>
    </cfRule>
  </conditionalFormatting>
  <conditionalFormatting sqref="S43:V54">
    <cfRule type="cellIs" dxfId="13358" priority="18027" operator="equal">
      <formula>"OFF"</formula>
    </cfRule>
    <cfRule type="cellIs" dxfId="13357" priority="18028" operator="equal">
      <formula>"PTO"</formula>
    </cfRule>
  </conditionalFormatting>
  <conditionalFormatting sqref="Q43:W54">
    <cfRule type="cellIs" dxfId="13356" priority="18025" operator="equal">
      <formula>"OFF"</formula>
    </cfRule>
    <cfRule type="cellIs" dxfId="13355" priority="18026" operator="equal">
      <formula>"PTO"</formula>
    </cfRule>
  </conditionalFormatting>
  <conditionalFormatting sqref="S43:V54">
    <cfRule type="cellIs" dxfId="13354" priority="18023" operator="equal">
      <formula>"OFF"</formula>
    </cfRule>
    <cfRule type="cellIs" dxfId="13353" priority="18024" operator="equal">
      <formula>"PTO"</formula>
    </cfRule>
  </conditionalFormatting>
  <conditionalFormatting sqref="V43:W54">
    <cfRule type="cellIs" dxfId="13352" priority="18021" operator="equal">
      <formula>"OFF"</formula>
    </cfRule>
    <cfRule type="cellIs" dxfId="13351" priority="18022" operator="equal">
      <formula>"PTO"</formula>
    </cfRule>
  </conditionalFormatting>
  <conditionalFormatting sqref="S43:V54">
    <cfRule type="cellIs" dxfId="13350" priority="18019" operator="equal">
      <formula>"OFF"</formula>
    </cfRule>
    <cfRule type="cellIs" dxfId="13349" priority="18020" operator="equal">
      <formula>"PTO"</formula>
    </cfRule>
  </conditionalFormatting>
  <conditionalFormatting sqref="V43:W54">
    <cfRule type="cellIs" dxfId="13348" priority="18017" operator="equal">
      <formula>"OFF"</formula>
    </cfRule>
    <cfRule type="cellIs" dxfId="13347" priority="18018" operator="equal">
      <formula>"PTO"</formula>
    </cfRule>
  </conditionalFormatting>
  <conditionalFormatting sqref="S43:V54">
    <cfRule type="cellIs" dxfId="13346" priority="18015" operator="equal">
      <formula>"OFF"</formula>
    </cfRule>
    <cfRule type="cellIs" dxfId="13345" priority="18016" operator="equal">
      <formula>"PTO"</formula>
    </cfRule>
  </conditionalFormatting>
  <conditionalFormatting sqref="V43:W54">
    <cfRule type="cellIs" dxfId="13344" priority="18013" operator="equal">
      <formula>"OFF"</formula>
    </cfRule>
    <cfRule type="cellIs" dxfId="13343" priority="18014" operator="equal">
      <formula>"PTO"</formula>
    </cfRule>
  </conditionalFormatting>
  <conditionalFormatting sqref="S43:V54">
    <cfRule type="cellIs" dxfId="13342" priority="18011" operator="equal">
      <formula>"OFF"</formula>
    </cfRule>
    <cfRule type="cellIs" dxfId="13341" priority="18012" operator="equal">
      <formula>"PTO"</formula>
    </cfRule>
  </conditionalFormatting>
  <conditionalFormatting sqref="V43:W54">
    <cfRule type="cellIs" dxfId="13340" priority="18009" operator="equal">
      <formula>"OFF"</formula>
    </cfRule>
    <cfRule type="cellIs" dxfId="13339" priority="18010" operator="equal">
      <formula>"PTO"</formula>
    </cfRule>
  </conditionalFormatting>
  <conditionalFormatting sqref="S43:V54">
    <cfRule type="cellIs" dxfId="13338" priority="18007" operator="equal">
      <formula>"OFF"</formula>
    </cfRule>
    <cfRule type="cellIs" dxfId="13337" priority="18008" operator="equal">
      <formula>"PTO"</formula>
    </cfRule>
  </conditionalFormatting>
  <conditionalFormatting sqref="V43:W54">
    <cfRule type="cellIs" dxfId="13336" priority="18005" operator="equal">
      <formula>"OFF"</formula>
    </cfRule>
    <cfRule type="cellIs" dxfId="13335" priority="18006" operator="equal">
      <formula>"PTO"</formula>
    </cfRule>
  </conditionalFormatting>
  <conditionalFormatting sqref="S43:V54">
    <cfRule type="cellIs" dxfId="13334" priority="18003" operator="equal">
      <formula>"OFF"</formula>
    </cfRule>
    <cfRule type="cellIs" dxfId="13333" priority="18004" operator="equal">
      <formula>"PTO"</formula>
    </cfRule>
  </conditionalFormatting>
  <conditionalFormatting sqref="V43:W54">
    <cfRule type="cellIs" dxfId="13332" priority="18001" operator="equal">
      <formula>"OFF"</formula>
    </cfRule>
    <cfRule type="cellIs" dxfId="13331" priority="18002" operator="equal">
      <formula>"PTO"</formula>
    </cfRule>
  </conditionalFormatting>
  <conditionalFormatting sqref="Y43:Y54">
    <cfRule type="cellIs" dxfId="13330" priority="17807" operator="equal">
      <formula>"OFF"</formula>
    </cfRule>
    <cfRule type="cellIs" dxfId="13329" priority="17808" operator="equal">
      <formula>"PTO"</formula>
    </cfRule>
  </conditionalFormatting>
  <conditionalFormatting sqref="Y43:Y54">
    <cfRule type="cellIs" dxfId="13328" priority="17805" operator="equal">
      <formula>"OFF"</formula>
    </cfRule>
    <cfRule type="cellIs" dxfId="13327" priority="17806" operator="equal">
      <formula>"PTO"</formula>
    </cfRule>
  </conditionalFormatting>
  <conditionalFormatting sqref="Y43:Y54">
    <cfRule type="cellIs" dxfId="13326" priority="17803" operator="equal">
      <formula>"OFF"</formula>
    </cfRule>
    <cfRule type="cellIs" dxfId="13325" priority="17804" operator="equal">
      <formula>"PTO"</formula>
    </cfRule>
  </conditionalFormatting>
  <conditionalFormatting sqref="Y43:Y54">
    <cfRule type="cellIs" dxfId="13324" priority="17801" operator="equal">
      <formula>"OFF"</formula>
    </cfRule>
    <cfRule type="cellIs" dxfId="13323" priority="17802" operator="equal">
      <formula>"PTO"</formula>
    </cfRule>
  </conditionalFormatting>
  <conditionalFormatting sqref="Y43:Y54">
    <cfRule type="cellIs" dxfId="13322" priority="17799" operator="equal">
      <formula>"OFF"</formula>
    </cfRule>
    <cfRule type="cellIs" dxfId="13321" priority="17800" operator="equal">
      <formula>"PTO"</formula>
    </cfRule>
  </conditionalFormatting>
  <conditionalFormatting sqref="Y43:Y54">
    <cfRule type="cellIs" dxfId="13320" priority="17797" operator="equal">
      <formula>"OFF"</formula>
    </cfRule>
    <cfRule type="cellIs" dxfId="13319" priority="17798" operator="equal">
      <formula>"PTO"</formula>
    </cfRule>
  </conditionalFormatting>
  <conditionalFormatting sqref="Y43:Y54">
    <cfRule type="cellIs" dxfId="13318" priority="17795" operator="equal">
      <formula>"OFF"</formula>
    </cfRule>
    <cfRule type="cellIs" dxfId="13317" priority="17796" operator="equal">
      <formula>"PTO"</formula>
    </cfRule>
  </conditionalFormatting>
  <conditionalFormatting sqref="Y43:Y54">
    <cfRule type="cellIs" dxfId="13316" priority="17793" operator="equal">
      <formula>"OFF"</formula>
    </cfRule>
    <cfRule type="cellIs" dxfId="13315" priority="17794" operator="equal">
      <formula>"PTO"</formula>
    </cfRule>
  </conditionalFormatting>
  <conditionalFormatting sqref="Y43:Y54">
    <cfRule type="cellIs" dxfId="13314" priority="17791" operator="equal">
      <formula>"OFF"</formula>
    </cfRule>
    <cfRule type="cellIs" dxfId="13313" priority="17792" operator="equal">
      <formula>"PTO"</formula>
    </cfRule>
  </conditionalFormatting>
  <conditionalFormatting sqref="Y43:Y54">
    <cfRule type="cellIs" dxfId="13312" priority="17789" operator="equal">
      <formula>"OFF"</formula>
    </cfRule>
    <cfRule type="cellIs" dxfId="13311" priority="17790" operator="equal">
      <formula>"PTO"</formula>
    </cfRule>
  </conditionalFormatting>
  <conditionalFormatting sqref="Y43:Y54">
    <cfRule type="cellIs" dxfId="13310" priority="17787" operator="equal">
      <formula>"OFF"</formula>
    </cfRule>
    <cfRule type="cellIs" dxfId="13309" priority="17788" operator="equal">
      <formula>"PTO"</formula>
    </cfRule>
  </conditionalFormatting>
  <conditionalFormatting sqref="Y43:Y54">
    <cfRule type="cellIs" dxfId="13308" priority="17785" operator="equal">
      <formula>"OFF"</formula>
    </cfRule>
    <cfRule type="cellIs" dxfId="13307" priority="17786" operator="equal">
      <formula>"PTO"</formula>
    </cfRule>
  </conditionalFormatting>
  <conditionalFormatting sqref="Y43:Y54">
    <cfRule type="cellIs" dxfId="13306" priority="17783" operator="equal">
      <formula>"OFF"</formula>
    </cfRule>
    <cfRule type="cellIs" dxfId="13305" priority="17784" operator="equal">
      <formula>"PTO"</formula>
    </cfRule>
  </conditionalFormatting>
  <conditionalFormatting sqref="Y43:Y54">
    <cfRule type="cellIs" dxfId="13304" priority="17781" operator="equal">
      <formula>"OFF"</formula>
    </cfRule>
    <cfRule type="cellIs" dxfId="13303" priority="17782" operator="equal">
      <formula>"PTO"</formula>
    </cfRule>
  </conditionalFormatting>
  <conditionalFormatting sqref="Y43:Y54">
    <cfRule type="cellIs" dxfId="13302" priority="17779" operator="equal">
      <formula>"OFF"</formula>
    </cfRule>
    <cfRule type="cellIs" dxfId="13301" priority="17780" operator="equal">
      <formula>"PTO"</formula>
    </cfRule>
  </conditionalFormatting>
  <conditionalFormatting sqref="Y43:Y54">
    <cfRule type="cellIs" dxfId="13300" priority="17777" operator="equal">
      <formula>"OFF"</formula>
    </cfRule>
    <cfRule type="cellIs" dxfId="13299" priority="17778" operator="equal">
      <formula>"PTO"</formula>
    </cfRule>
  </conditionalFormatting>
  <conditionalFormatting sqref="Y43:Y54">
    <cfRule type="cellIs" dxfId="13298" priority="17775" operator="equal">
      <formula>"OFF"</formula>
    </cfRule>
    <cfRule type="cellIs" dxfId="13297" priority="17776" operator="equal">
      <formula>"PTO"</formula>
    </cfRule>
  </conditionalFormatting>
  <conditionalFormatting sqref="Y43:Y54">
    <cfRule type="cellIs" dxfId="13296" priority="17773" operator="equal">
      <formula>"OFF"</formula>
    </cfRule>
    <cfRule type="cellIs" dxfId="13295" priority="17774" operator="equal">
      <formula>"PTO"</formula>
    </cfRule>
  </conditionalFormatting>
  <conditionalFormatting sqref="Y43:Y54">
    <cfRule type="cellIs" dxfId="13294" priority="17771" operator="equal">
      <formula>"OFF"</formula>
    </cfRule>
    <cfRule type="cellIs" dxfId="13293" priority="17772" operator="equal">
      <formula>"PTO"</formula>
    </cfRule>
  </conditionalFormatting>
  <conditionalFormatting sqref="Y43:Y54">
    <cfRule type="cellIs" dxfId="13292" priority="17769" operator="equal">
      <formula>"OFF"</formula>
    </cfRule>
    <cfRule type="cellIs" dxfId="13291" priority="17770" operator="equal">
      <formula>"PTO"</formula>
    </cfRule>
  </conditionalFormatting>
  <conditionalFormatting sqref="C54:I54">
    <cfRule type="cellIs" dxfId="13290" priority="16943" operator="equal">
      <formula>"OFF"</formula>
    </cfRule>
    <cfRule type="cellIs" dxfId="13289" priority="16944" operator="equal">
      <formula>"PTO"</formula>
    </cfRule>
  </conditionalFormatting>
  <conditionalFormatting sqref="C54:I54">
    <cfRule type="cellIs" dxfId="13288" priority="16941" operator="equal">
      <formula>"OFF"</formula>
    </cfRule>
    <cfRule type="cellIs" dxfId="13287" priority="16942" operator="equal">
      <formula>"PTO"</formula>
    </cfRule>
  </conditionalFormatting>
  <conditionalFormatting sqref="C54:I54">
    <cfRule type="cellIs" dxfId="13286" priority="16939" operator="equal">
      <formula>"OFF"</formula>
    </cfRule>
    <cfRule type="cellIs" dxfId="13285" priority="16940" operator="equal">
      <formula>"PTO"</formula>
    </cfRule>
  </conditionalFormatting>
  <conditionalFormatting sqref="C54:I54">
    <cfRule type="cellIs" dxfId="13284" priority="16937" operator="equal">
      <formula>"OFF"</formula>
    </cfRule>
    <cfRule type="cellIs" dxfId="13283" priority="16938" operator="equal">
      <formula>"PTO"</formula>
    </cfRule>
  </conditionalFormatting>
  <conditionalFormatting sqref="C54:I54">
    <cfRule type="cellIs" dxfId="13282" priority="16935" operator="equal">
      <formula>"OFF"</formula>
    </cfRule>
    <cfRule type="cellIs" dxfId="13281" priority="16936" operator="equal">
      <formula>"PTO"</formula>
    </cfRule>
  </conditionalFormatting>
  <conditionalFormatting sqref="C54:I54">
    <cfRule type="cellIs" dxfId="13280" priority="16933" operator="equal">
      <formula>"OFF"</formula>
    </cfRule>
    <cfRule type="cellIs" dxfId="13279" priority="16934" operator="equal">
      <formula>"PTO"</formula>
    </cfRule>
  </conditionalFormatting>
  <conditionalFormatting sqref="C54:I54">
    <cfRule type="cellIs" dxfId="13278" priority="16931" operator="equal">
      <formula>"OFF"</formula>
    </cfRule>
    <cfRule type="cellIs" dxfId="13277" priority="16932" operator="equal">
      <formula>"PTO"</formula>
    </cfRule>
  </conditionalFormatting>
  <conditionalFormatting sqref="C54:I54">
    <cfRule type="cellIs" dxfId="13276" priority="16929" operator="equal">
      <formula>"OFF"</formula>
    </cfRule>
    <cfRule type="cellIs" dxfId="13275" priority="16930" operator="equal">
      <formula>"PTO"</formula>
    </cfRule>
  </conditionalFormatting>
  <conditionalFormatting sqref="C54:I54">
    <cfRule type="cellIs" dxfId="13274" priority="16927" operator="equal">
      <formula>"OFF"</formula>
    </cfRule>
    <cfRule type="cellIs" dxfId="13273" priority="16928" operator="equal">
      <formula>"PTO"</formula>
    </cfRule>
  </conditionalFormatting>
  <conditionalFormatting sqref="C54:I54">
    <cfRule type="cellIs" dxfId="13272" priority="16925" operator="equal">
      <formula>"OFF"</formula>
    </cfRule>
    <cfRule type="cellIs" dxfId="13271" priority="16926" operator="equal">
      <formula>"PTO"</formula>
    </cfRule>
  </conditionalFormatting>
  <conditionalFormatting sqref="C54:I54">
    <cfRule type="cellIs" dxfId="13270" priority="16923" operator="equal">
      <formula>"OFF"</formula>
    </cfRule>
    <cfRule type="cellIs" dxfId="13269" priority="16924" operator="equal">
      <formula>"PTO"</formula>
    </cfRule>
  </conditionalFormatting>
  <conditionalFormatting sqref="C54:I54">
    <cfRule type="cellIs" dxfId="13268" priority="16921" operator="equal">
      <formula>"OFF"</formula>
    </cfRule>
    <cfRule type="cellIs" dxfId="13267" priority="16922" operator="equal">
      <formula>"PTO"</formula>
    </cfRule>
  </conditionalFormatting>
  <conditionalFormatting sqref="C54:I54">
    <cfRule type="cellIs" dxfId="13266" priority="16919" operator="equal">
      <formula>"OFF"</formula>
    </cfRule>
    <cfRule type="cellIs" dxfId="13265" priority="16920" operator="equal">
      <formula>"PTO"</formula>
    </cfRule>
  </conditionalFormatting>
  <conditionalFormatting sqref="E54:H54">
    <cfRule type="cellIs" dxfId="13264" priority="16917" operator="equal">
      <formula>"OFF"</formula>
    </cfRule>
    <cfRule type="cellIs" dxfId="13263" priority="16918" operator="equal">
      <formula>"PTO"</formula>
    </cfRule>
  </conditionalFormatting>
  <conditionalFormatting sqref="C54:I54">
    <cfRule type="cellIs" dxfId="13262" priority="16915" operator="equal">
      <formula>"OFF"</formula>
    </cfRule>
    <cfRule type="cellIs" dxfId="13261" priority="16916" operator="equal">
      <formula>"PTO"</formula>
    </cfRule>
  </conditionalFormatting>
  <conditionalFormatting sqref="E54:H54">
    <cfRule type="cellIs" dxfId="13260" priority="16913" operator="equal">
      <formula>"OFF"</formula>
    </cfRule>
    <cfRule type="cellIs" dxfId="13259" priority="16914" operator="equal">
      <formula>"PTO"</formula>
    </cfRule>
  </conditionalFormatting>
  <conditionalFormatting sqref="H54:I54">
    <cfRule type="cellIs" dxfId="13258" priority="16911" operator="equal">
      <formula>"OFF"</formula>
    </cfRule>
    <cfRule type="cellIs" dxfId="13257" priority="16912" operator="equal">
      <formula>"PTO"</formula>
    </cfRule>
  </conditionalFormatting>
  <conditionalFormatting sqref="E54:H54">
    <cfRule type="cellIs" dxfId="13256" priority="16909" operator="equal">
      <formula>"OFF"</formula>
    </cfRule>
    <cfRule type="cellIs" dxfId="13255" priority="16910" operator="equal">
      <formula>"PTO"</formula>
    </cfRule>
  </conditionalFormatting>
  <conditionalFormatting sqref="H54:I54">
    <cfRule type="cellIs" dxfId="13254" priority="16907" operator="equal">
      <formula>"OFF"</formula>
    </cfRule>
    <cfRule type="cellIs" dxfId="13253" priority="16908" operator="equal">
      <formula>"PTO"</formula>
    </cfRule>
  </conditionalFormatting>
  <conditionalFormatting sqref="E54:H54">
    <cfRule type="cellIs" dxfId="13252" priority="16905" operator="equal">
      <formula>"OFF"</formula>
    </cfRule>
    <cfRule type="cellIs" dxfId="13251" priority="16906" operator="equal">
      <formula>"PTO"</formula>
    </cfRule>
  </conditionalFormatting>
  <conditionalFormatting sqref="H54:I54">
    <cfRule type="cellIs" dxfId="13250" priority="16903" operator="equal">
      <formula>"OFF"</formula>
    </cfRule>
    <cfRule type="cellIs" dxfId="13249" priority="16904" operator="equal">
      <formula>"PTO"</formula>
    </cfRule>
  </conditionalFormatting>
  <conditionalFormatting sqref="E54:H54">
    <cfRule type="cellIs" dxfId="13248" priority="16901" operator="equal">
      <formula>"OFF"</formula>
    </cfRule>
    <cfRule type="cellIs" dxfId="13247" priority="16902" operator="equal">
      <formula>"PTO"</formula>
    </cfRule>
  </conditionalFormatting>
  <conditionalFormatting sqref="H54:I54">
    <cfRule type="cellIs" dxfId="13246" priority="16899" operator="equal">
      <formula>"OFF"</formula>
    </cfRule>
    <cfRule type="cellIs" dxfId="13245" priority="16900" operator="equal">
      <formula>"PTO"</formula>
    </cfRule>
  </conditionalFormatting>
  <conditionalFormatting sqref="E54:H54">
    <cfRule type="cellIs" dxfId="13244" priority="16897" operator="equal">
      <formula>"OFF"</formula>
    </cfRule>
    <cfRule type="cellIs" dxfId="13243" priority="16898" operator="equal">
      <formula>"PTO"</formula>
    </cfRule>
  </conditionalFormatting>
  <conditionalFormatting sqref="H54:I54">
    <cfRule type="cellIs" dxfId="13242" priority="16895" operator="equal">
      <formula>"OFF"</formula>
    </cfRule>
    <cfRule type="cellIs" dxfId="13241" priority="16896" operator="equal">
      <formula>"PTO"</formula>
    </cfRule>
  </conditionalFormatting>
  <conditionalFormatting sqref="E54:H54">
    <cfRule type="cellIs" dxfId="13240" priority="16893" operator="equal">
      <formula>"OFF"</formula>
    </cfRule>
    <cfRule type="cellIs" dxfId="13239" priority="16894" operator="equal">
      <formula>"PTO"</formula>
    </cfRule>
  </conditionalFormatting>
  <conditionalFormatting sqref="H54:I54">
    <cfRule type="cellIs" dxfId="13238" priority="16891" operator="equal">
      <formula>"OFF"</formula>
    </cfRule>
    <cfRule type="cellIs" dxfId="13237" priority="16892" operator="equal">
      <formula>"PTO"</formula>
    </cfRule>
  </conditionalFormatting>
  <conditionalFormatting sqref="J54:P54">
    <cfRule type="cellIs" dxfId="13236" priority="16065" operator="equal">
      <formula>"OFF"</formula>
    </cfRule>
    <cfRule type="cellIs" dxfId="13235" priority="16066" operator="equal">
      <formula>"PTO"</formula>
    </cfRule>
  </conditionalFormatting>
  <conditionalFormatting sqref="J54:P54">
    <cfRule type="cellIs" dxfId="13234" priority="16063" operator="equal">
      <formula>"OFF"</formula>
    </cfRule>
    <cfRule type="cellIs" dxfId="13233" priority="16064" operator="equal">
      <formula>"PTO"</formula>
    </cfRule>
  </conditionalFormatting>
  <conditionalFormatting sqref="J54:P54">
    <cfRule type="cellIs" dxfId="13232" priority="16061" operator="equal">
      <formula>"OFF"</formula>
    </cfRule>
    <cfRule type="cellIs" dxfId="13231" priority="16062" operator="equal">
      <formula>"PTO"</formula>
    </cfRule>
  </conditionalFormatting>
  <conditionalFormatting sqref="J54:P54">
    <cfRule type="cellIs" dxfId="13230" priority="16059" operator="equal">
      <formula>"OFF"</formula>
    </cfRule>
    <cfRule type="cellIs" dxfId="13229" priority="16060" operator="equal">
      <formula>"PTO"</formula>
    </cfRule>
  </conditionalFormatting>
  <conditionalFormatting sqref="J54:P54">
    <cfRule type="cellIs" dxfId="13228" priority="16057" operator="equal">
      <formula>"OFF"</formula>
    </cfRule>
    <cfRule type="cellIs" dxfId="13227" priority="16058" operator="equal">
      <formula>"PTO"</formula>
    </cfRule>
  </conditionalFormatting>
  <conditionalFormatting sqref="J54:P54">
    <cfRule type="cellIs" dxfId="13226" priority="16055" operator="equal">
      <formula>"OFF"</formula>
    </cfRule>
    <cfRule type="cellIs" dxfId="13225" priority="16056" operator="equal">
      <formula>"PTO"</formula>
    </cfRule>
  </conditionalFormatting>
  <conditionalFormatting sqref="J54:P54">
    <cfRule type="cellIs" dxfId="13224" priority="16053" operator="equal">
      <formula>"OFF"</formula>
    </cfRule>
    <cfRule type="cellIs" dxfId="13223" priority="16054" operator="equal">
      <formula>"PTO"</formula>
    </cfRule>
  </conditionalFormatting>
  <conditionalFormatting sqref="J54:P54">
    <cfRule type="cellIs" dxfId="13222" priority="16051" operator="equal">
      <formula>"OFF"</formula>
    </cfRule>
    <cfRule type="cellIs" dxfId="13221" priority="16052" operator="equal">
      <formula>"PTO"</formula>
    </cfRule>
  </conditionalFormatting>
  <conditionalFormatting sqref="J54:P54">
    <cfRule type="cellIs" dxfId="13220" priority="16049" operator="equal">
      <formula>"OFF"</formula>
    </cfRule>
    <cfRule type="cellIs" dxfId="13219" priority="16050" operator="equal">
      <formula>"PTO"</formula>
    </cfRule>
  </conditionalFormatting>
  <conditionalFormatting sqref="J54:P54">
    <cfRule type="cellIs" dxfId="13218" priority="16047" operator="equal">
      <formula>"OFF"</formula>
    </cfRule>
    <cfRule type="cellIs" dxfId="13217" priority="16048" operator="equal">
      <formula>"PTO"</formula>
    </cfRule>
  </conditionalFormatting>
  <conditionalFormatting sqref="J54:P54">
    <cfRule type="cellIs" dxfId="13216" priority="16045" operator="equal">
      <formula>"OFF"</formula>
    </cfRule>
    <cfRule type="cellIs" dxfId="13215" priority="16046" operator="equal">
      <formula>"PTO"</formula>
    </cfRule>
  </conditionalFormatting>
  <conditionalFormatting sqref="J54:P54">
    <cfRule type="cellIs" dxfId="13214" priority="16043" operator="equal">
      <formula>"OFF"</formula>
    </cfRule>
    <cfRule type="cellIs" dxfId="13213" priority="16044" operator="equal">
      <formula>"PTO"</formula>
    </cfRule>
  </conditionalFormatting>
  <conditionalFormatting sqref="J54:P54">
    <cfRule type="cellIs" dxfId="13212" priority="16041" operator="equal">
      <formula>"OFF"</formula>
    </cfRule>
    <cfRule type="cellIs" dxfId="13211" priority="16042" operator="equal">
      <formula>"PTO"</formula>
    </cfRule>
  </conditionalFormatting>
  <conditionalFormatting sqref="L54:O54">
    <cfRule type="cellIs" dxfId="13210" priority="16039" operator="equal">
      <formula>"OFF"</formula>
    </cfRule>
    <cfRule type="cellIs" dxfId="13209" priority="16040" operator="equal">
      <formula>"PTO"</formula>
    </cfRule>
  </conditionalFormatting>
  <conditionalFormatting sqref="J54:P54">
    <cfRule type="cellIs" dxfId="13208" priority="16037" operator="equal">
      <formula>"OFF"</formula>
    </cfRule>
    <cfRule type="cellIs" dxfId="13207" priority="16038" operator="equal">
      <formula>"PTO"</formula>
    </cfRule>
  </conditionalFormatting>
  <conditionalFormatting sqref="L54:O54">
    <cfRule type="cellIs" dxfId="13206" priority="16035" operator="equal">
      <formula>"OFF"</formula>
    </cfRule>
    <cfRule type="cellIs" dxfId="13205" priority="16036" operator="equal">
      <formula>"PTO"</formula>
    </cfRule>
  </conditionalFormatting>
  <conditionalFormatting sqref="O54:P54">
    <cfRule type="cellIs" dxfId="13204" priority="16033" operator="equal">
      <formula>"OFF"</formula>
    </cfRule>
    <cfRule type="cellIs" dxfId="13203" priority="16034" operator="equal">
      <formula>"PTO"</formula>
    </cfRule>
  </conditionalFormatting>
  <conditionalFormatting sqref="L54:O54">
    <cfRule type="cellIs" dxfId="13202" priority="16031" operator="equal">
      <formula>"OFF"</formula>
    </cfRule>
    <cfRule type="cellIs" dxfId="13201" priority="16032" operator="equal">
      <formula>"PTO"</formula>
    </cfRule>
  </conditionalFormatting>
  <conditionalFormatting sqref="O54:P54">
    <cfRule type="cellIs" dxfId="13200" priority="16029" operator="equal">
      <formula>"OFF"</formula>
    </cfRule>
    <cfRule type="cellIs" dxfId="13199" priority="16030" operator="equal">
      <formula>"PTO"</formula>
    </cfRule>
  </conditionalFormatting>
  <conditionalFormatting sqref="L54:O54">
    <cfRule type="cellIs" dxfId="13198" priority="16027" operator="equal">
      <formula>"OFF"</formula>
    </cfRule>
    <cfRule type="cellIs" dxfId="13197" priority="16028" operator="equal">
      <formula>"PTO"</formula>
    </cfRule>
  </conditionalFormatting>
  <conditionalFormatting sqref="O54:P54">
    <cfRule type="cellIs" dxfId="13196" priority="16025" operator="equal">
      <formula>"OFF"</formula>
    </cfRule>
    <cfRule type="cellIs" dxfId="13195" priority="16026" operator="equal">
      <formula>"PTO"</formula>
    </cfRule>
  </conditionalFormatting>
  <conditionalFormatting sqref="L54:O54">
    <cfRule type="cellIs" dxfId="13194" priority="16023" operator="equal">
      <formula>"OFF"</formula>
    </cfRule>
    <cfRule type="cellIs" dxfId="13193" priority="16024" operator="equal">
      <formula>"PTO"</formula>
    </cfRule>
  </conditionalFormatting>
  <conditionalFormatting sqref="O54:P54">
    <cfRule type="cellIs" dxfId="13192" priority="16021" operator="equal">
      <formula>"OFF"</formula>
    </cfRule>
    <cfRule type="cellIs" dxfId="13191" priority="16022" operator="equal">
      <formula>"PTO"</formula>
    </cfRule>
  </conditionalFormatting>
  <conditionalFormatting sqref="L54:O54">
    <cfRule type="cellIs" dxfId="13190" priority="16019" operator="equal">
      <formula>"OFF"</formula>
    </cfRule>
    <cfRule type="cellIs" dxfId="13189" priority="16020" operator="equal">
      <formula>"PTO"</formula>
    </cfRule>
  </conditionalFormatting>
  <conditionalFormatting sqref="O54:P54">
    <cfRule type="cellIs" dxfId="13188" priority="16017" operator="equal">
      <formula>"OFF"</formula>
    </cfRule>
    <cfRule type="cellIs" dxfId="13187" priority="16018" operator="equal">
      <formula>"PTO"</formula>
    </cfRule>
  </conditionalFormatting>
  <conditionalFormatting sqref="L54:O54">
    <cfRule type="cellIs" dxfId="13186" priority="16015" operator="equal">
      <formula>"OFF"</formula>
    </cfRule>
    <cfRule type="cellIs" dxfId="13185" priority="16016" operator="equal">
      <formula>"PTO"</formula>
    </cfRule>
  </conditionalFormatting>
  <conditionalFormatting sqref="O54:P54">
    <cfRule type="cellIs" dxfId="13184" priority="16013" operator="equal">
      <formula>"OFF"</formula>
    </cfRule>
    <cfRule type="cellIs" dxfId="13183" priority="16014" operator="equal">
      <formula>"PTO"</formula>
    </cfRule>
  </conditionalFormatting>
  <conditionalFormatting sqref="C43:I53 E34:I42">
    <cfRule type="cellIs" dxfId="13182" priority="14955" operator="equal">
      <formula>"OFF"</formula>
    </cfRule>
    <cfRule type="cellIs" dxfId="13181" priority="14956" operator="equal">
      <formula>"PTO"</formula>
    </cfRule>
  </conditionalFormatting>
  <conditionalFormatting sqref="C43:I53 E34:I42">
    <cfRule type="cellIs" dxfId="13180" priority="14953" operator="equal">
      <formula>"OFF"</formula>
    </cfRule>
    <cfRule type="cellIs" dxfId="13179" priority="14954" operator="equal">
      <formula>"PTO"</formula>
    </cfRule>
  </conditionalFormatting>
  <conditionalFormatting sqref="C43:I53 E34:I42">
    <cfRule type="cellIs" dxfId="13178" priority="14951" operator="equal">
      <formula>"OFF"</formula>
    </cfRule>
    <cfRule type="cellIs" dxfId="13177" priority="14952" operator="equal">
      <formula>"PTO"</formula>
    </cfRule>
  </conditionalFormatting>
  <conditionalFormatting sqref="C43:I53 E34:I42">
    <cfRule type="cellIs" dxfId="13176" priority="14949" operator="equal">
      <formula>"OFF"</formula>
    </cfRule>
    <cfRule type="cellIs" dxfId="13175" priority="14950" operator="equal">
      <formula>"PTO"</formula>
    </cfRule>
  </conditionalFormatting>
  <conditionalFormatting sqref="C43:I53 E34:I42">
    <cfRule type="cellIs" dxfId="13174" priority="14947" operator="equal">
      <formula>"OFF"</formula>
    </cfRule>
    <cfRule type="cellIs" dxfId="13173" priority="14948" operator="equal">
      <formula>"PTO"</formula>
    </cfRule>
  </conditionalFormatting>
  <conditionalFormatting sqref="C43:I53 E34:I42">
    <cfRule type="cellIs" dxfId="13172" priority="14945" operator="equal">
      <formula>"OFF"</formula>
    </cfRule>
    <cfRule type="cellIs" dxfId="13171" priority="14946" operator="equal">
      <formula>"PTO"</formula>
    </cfRule>
  </conditionalFormatting>
  <conditionalFormatting sqref="C43:I53 E34:I42">
    <cfRule type="cellIs" dxfId="13170" priority="14943" operator="equal">
      <formula>"OFF"</formula>
    </cfRule>
    <cfRule type="cellIs" dxfId="13169" priority="14944" operator="equal">
      <formula>"PTO"</formula>
    </cfRule>
  </conditionalFormatting>
  <conditionalFormatting sqref="C43:I53 E34:I42">
    <cfRule type="cellIs" dxfId="13168" priority="14941" operator="equal">
      <formula>"OFF"</formula>
    </cfRule>
    <cfRule type="cellIs" dxfId="13167" priority="14942" operator="equal">
      <formula>"PTO"</formula>
    </cfRule>
  </conditionalFormatting>
  <conditionalFormatting sqref="C43:I53 E34:I42">
    <cfRule type="cellIs" dxfId="13166" priority="14939" operator="equal">
      <formula>"OFF"</formula>
    </cfRule>
    <cfRule type="cellIs" dxfId="13165" priority="14940" operator="equal">
      <formula>"PTO"</formula>
    </cfRule>
  </conditionalFormatting>
  <conditionalFormatting sqref="C43:I53 E34:I42">
    <cfRule type="cellIs" dxfId="13164" priority="14937" operator="equal">
      <formula>"OFF"</formula>
    </cfRule>
    <cfRule type="cellIs" dxfId="13163" priority="14938" operator="equal">
      <formula>"PTO"</formula>
    </cfRule>
  </conditionalFormatting>
  <conditionalFormatting sqref="C43:I53 E34:I42">
    <cfRule type="cellIs" dxfId="13162" priority="14935" operator="equal">
      <formula>"OFF"</formula>
    </cfRule>
    <cfRule type="cellIs" dxfId="13161" priority="14936" operator="equal">
      <formula>"PTO"</formula>
    </cfRule>
  </conditionalFormatting>
  <conditionalFormatting sqref="C43:I53 E34:I42">
    <cfRule type="cellIs" dxfId="13160" priority="14933" operator="equal">
      <formula>"OFF"</formula>
    </cfRule>
    <cfRule type="cellIs" dxfId="13159" priority="14934" operator="equal">
      <formula>"PTO"</formula>
    </cfRule>
  </conditionalFormatting>
  <conditionalFormatting sqref="C43:I53 E34:I42">
    <cfRule type="cellIs" dxfId="13158" priority="14931" operator="equal">
      <formula>"OFF"</formula>
    </cfRule>
    <cfRule type="cellIs" dxfId="13157" priority="14932" operator="equal">
      <formula>"PTO"</formula>
    </cfRule>
  </conditionalFormatting>
  <conditionalFormatting sqref="E34:H53">
    <cfRule type="cellIs" dxfId="13156" priority="14929" operator="equal">
      <formula>"OFF"</formula>
    </cfRule>
    <cfRule type="cellIs" dxfId="13155" priority="14930" operator="equal">
      <formula>"PTO"</formula>
    </cfRule>
  </conditionalFormatting>
  <conditionalFormatting sqref="C43:I53 E34:I42">
    <cfRule type="cellIs" dxfId="13154" priority="14927" operator="equal">
      <formula>"OFF"</formula>
    </cfRule>
    <cfRule type="cellIs" dxfId="13153" priority="14928" operator="equal">
      <formula>"PTO"</formula>
    </cfRule>
  </conditionalFormatting>
  <conditionalFormatting sqref="E34:H53">
    <cfRule type="cellIs" dxfId="13152" priority="14925" operator="equal">
      <formula>"OFF"</formula>
    </cfRule>
    <cfRule type="cellIs" dxfId="13151" priority="14926" operator="equal">
      <formula>"PTO"</formula>
    </cfRule>
  </conditionalFormatting>
  <conditionalFormatting sqref="H34:I53">
    <cfRule type="cellIs" dxfId="13150" priority="14923" operator="equal">
      <formula>"OFF"</formula>
    </cfRule>
    <cfRule type="cellIs" dxfId="13149" priority="14924" operator="equal">
      <formula>"PTO"</formula>
    </cfRule>
  </conditionalFormatting>
  <conditionalFormatting sqref="E34:H53">
    <cfRule type="cellIs" dxfId="13148" priority="14921" operator="equal">
      <formula>"OFF"</formula>
    </cfRule>
    <cfRule type="cellIs" dxfId="13147" priority="14922" operator="equal">
      <formula>"PTO"</formula>
    </cfRule>
  </conditionalFormatting>
  <conditionalFormatting sqref="H34:I53">
    <cfRule type="cellIs" dxfId="13146" priority="14919" operator="equal">
      <formula>"OFF"</formula>
    </cfRule>
    <cfRule type="cellIs" dxfId="13145" priority="14920" operator="equal">
      <formula>"PTO"</formula>
    </cfRule>
  </conditionalFormatting>
  <conditionalFormatting sqref="E34:H53">
    <cfRule type="cellIs" dxfId="13144" priority="14917" operator="equal">
      <formula>"OFF"</formula>
    </cfRule>
    <cfRule type="cellIs" dxfId="13143" priority="14918" operator="equal">
      <formula>"PTO"</formula>
    </cfRule>
  </conditionalFormatting>
  <conditionalFormatting sqref="H34:I53">
    <cfRule type="cellIs" dxfId="13142" priority="14915" operator="equal">
      <formula>"OFF"</formula>
    </cfRule>
    <cfRule type="cellIs" dxfId="13141" priority="14916" operator="equal">
      <formula>"PTO"</formula>
    </cfRule>
  </conditionalFormatting>
  <conditionalFormatting sqref="E34:H53">
    <cfRule type="cellIs" dxfId="13140" priority="14913" operator="equal">
      <formula>"OFF"</formula>
    </cfRule>
    <cfRule type="cellIs" dxfId="13139" priority="14914" operator="equal">
      <formula>"PTO"</formula>
    </cfRule>
  </conditionalFormatting>
  <conditionalFormatting sqref="H34:I53">
    <cfRule type="cellIs" dxfId="13138" priority="14911" operator="equal">
      <formula>"OFF"</formula>
    </cfRule>
    <cfRule type="cellIs" dxfId="13137" priority="14912" operator="equal">
      <formula>"PTO"</formula>
    </cfRule>
  </conditionalFormatting>
  <conditionalFormatting sqref="E34:H53">
    <cfRule type="cellIs" dxfId="13136" priority="14909" operator="equal">
      <formula>"OFF"</formula>
    </cfRule>
    <cfRule type="cellIs" dxfId="13135" priority="14910" operator="equal">
      <formula>"PTO"</formula>
    </cfRule>
  </conditionalFormatting>
  <conditionalFormatting sqref="H34:I53">
    <cfRule type="cellIs" dxfId="13134" priority="14907" operator="equal">
      <formula>"OFF"</formula>
    </cfRule>
    <cfRule type="cellIs" dxfId="13133" priority="14908" operator="equal">
      <formula>"PTO"</formula>
    </cfRule>
  </conditionalFormatting>
  <conditionalFormatting sqref="E34:H53">
    <cfRule type="cellIs" dxfId="13132" priority="14905" operator="equal">
      <formula>"OFF"</formula>
    </cfRule>
    <cfRule type="cellIs" dxfId="13131" priority="14906" operator="equal">
      <formula>"PTO"</formula>
    </cfRule>
  </conditionalFormatting>
  <conditionalFormatting sqref="H34:I53">
    <cfRule type="cellIs" dxfId="13130" priority="14903" operator="equal">
      <formula>"OFF"</formula>
    </cfRule>
    <cfRule type="cellIs" dxfId="13129" priority="14904" operator="equal">
      <formula>"PTO"</formula>
    </cfRule>
  </conditionalFormatting>
  <conditionalFormatting sqref="E34:H34">
    <cfRule type="cellIs" dxfId="13128" priority="14899" operator="equal">
      <formula>"OFF"</formula>
    </cfRule>
    <cfRule type="cellIs" dxfId="13127" priority="14900" operator="equal">
      <formula>"PTO"</formula>
    </cfRule>
  </conditionalFormatting>
  <conditionalFormatting sqref="E34:H34">
    <cfRule type="cellIs" dxfId="13126" priority="14887" operator="equal">
      <formula>"OFF"</formula>
    </cfRule>
    <cfRule type="cellIs" dxfId="13125" priority="14888" operator="equal">
      <formula>"PTO"</formula>
    </cfRule>
  </conditionalFormatting>
  <conditionalFormatting sqref="E34:H34">
    <cfRule type="cellIs" dxfId="13124" priority="14867" operator="equal">
      <formula>"OFF"</formula>
    </cfRule>
    <cfRule type="cellIs" dxfId="13123" priority="14868" operator="equal">
      <formula>"PTO"</formula>
    </cfRule>
  </conditionalFormatting>
  <conditionalFormatting sqref="E34:H34">
    <cfRule type="cellIs" dxfId="13122" priority="14865" operator="equal">
      <formula>"OFF"</formula>
    </cfRule>
    <cfRule type="cellIs" dxfId="13121" priority="14866" operator="equal">
      <formula>"PTO"</formula>
    </cfRule>
  </conditionalFormatting>
  <conditionalFormatting sqref="E34:H34">
    <cfRule type="cellIs" dxfId="13120" priority="14863" operator="equal">
      <formula>"OFF"</formula>
    </cfRule>
    <cfRule type="cellIs" dxfId="13119" priority="14864" operator="equal">
      <formula>"PTO"</formula>
    </cfRule>
  </conditionalFormatting>
  <conditionalFormatting sqref="E34:H34">
    <cfRule type="cellIs" dxfId="13118" priority="14861" operator="equal">
      <formula>"OFF"</formula>
    </cfRule>
    <cfRule type="cellIs" dxfId="13117" priority="14862" operator="equal">
      <formula>"PTO"</formula>
    </cfRule>
  </conditionalFormatting>
  <conditionalFormatting sqref="E34:H34">
    <cfRule type="cellIs" dxfId="13116" priority="14849" operator="equal">
      <formula>"OFF"</formula>
    </cfRule>
    <cfRule type="cellIs" dxfId="13115" priority="14850" operator="equal">
      <formula>"PTO"</formula>
    </cfRule>
  </conditionalFormatting>
  <conditionalFormatting sqref="E34:H34">
    <cfRule type="cellIs" dxfId="13114" priority="14847" operator="equal">
      <formula>"OFF"</formula>
    </cfRule>
    <cfRule type="cellIs" dxfId="13113" priority="14848" operator="equal">
      <formula>"PTO"</formula>
    </cfRule>
  </conditionalFormatting>
  <conditionalFormatting sqref="E34:H34">
    <cfRule type="cellIs" dxfId="13112" priority="14845" operator="equal">
      <formula>"OFF"</formula>
    </cfRule>
    <cfRule type="cellIs" dxfId="13111" priority="14846" operator="equal">
      <formula>"PTO"</formula>
    </cfRule>
  </conditionalFormatting>
  <conditionalFormatting sqref="E34:H34">
    <cfRule type="cellIs" dxfId="13110" priority="14843" operator="equal">
      <formula>"OFF"</formula>
    </cfRule>
    <cfRule type="cellIs" dxfId="13109" priority="14844" operator="equal">
      <formula>"PTO"</formula>
    </cfRule>
  </conditionalFormatting>
  <conditionalFormatting sqref="E34:H34">
    <cfRule type="cellIs" dxfId="13108" priority="14831" operator="equal">
      <formula>"OFF"</formula>
    </cfRule>
    <cfRule type="cellIs" dxfId="13107" priority="14832" operator="equal">
      <formula>"PTO"</formula>
    </cfRule>
  </conditionalFormatting>
  <conditionalFormatting sqref="E34:H34">
    <cfRule type="cellIs" dxfId="13106" priority="14829" operator="equal">
      <formula>"OFF"</formula>
    </cfRule>
    <cfRule type="cellIs" dxfId="13105" priority="14830" operator="equal">
      <formula>"PTO"</formula>
    </cfRule>
  </conditionalFormatting>
  <conditionalFormatting sqref="E34:H34">
    <cfRule type="cellIs" dxfId="13104" priority="14827" operator="equal">
      <formula>"OFF"</formula>
    </cfRule>
    <cfRule type="cellIs" dxfId="13103" priority="14828" operator="equal">
      <formula>"PTO"</formula>
    </cfRule>
  </conditionalFormatting>
  <conditionalFormatting sqref="E34:H34">
    <cfRule type="cellIs" dxfId="13102" priority="14825" operator="equal">
      <formula>"OFF"</formula>
    </cfRule>
    <cfRule type="cellIs" dxfId="13101" priority="14826" operator="equal">
      <formula>"PTO"</formula>
    </cfRule>
  </conditionalFormatting>
  <conditionalFormatting sqref="E34:H34">
    <cfRule type="cellIs" dxfId="13100" priority="14815" operator="equal">
      <formula>"OFF"</formula>
    </cfRule>
    <cfRule type="cellIs" dxfId="13099" priority="14816" operator="equal">
      <formula>"PTO"</formula>
    </cfRule>
  </conditionalFormatting>
  <conditionalFormatting sqref="E34:H34">
    <cfRule type="cellIs" dxfId="13098" priority="14813" operator="equal">
      <formula>"OFF"</formula>
    </cfRule>
    <cfRule type="cellIs" dxfId="13097" priority="14814" operator="equal">
      <formula>"PTO"</formula>
    </cfRule>
  </conditionalFormatting>
  <conditionalFormatting sqref="E34:H34">
    <cfRule type="cellIs" dxfId="13096" priority="14811" operator="equal">
      <formula>"OFF"</formula>
    </cfRule>
    <cfRule type="cellIs" dxfId="13095" priority="14812" operator="equal">
      <formula>"PTO"</formula>
    </cfRule>
  </conditionalFormatting>
  <conditionalFormatting sqref="E34:H34">
    <cfRule type="cellIs" dxfId="13094" priority="14809" operator="equal">
      <formula>"OFF"</formula>
    </cfRule>
    <cfRule type="cellIs" dxfId="13093" priority="14810" operator="equal">
      <formula>"PTO"</formula>
    </cfRule>
  </conditionalFormatting>
  <conditionalFormatting sqref="E34:H34">
    <cfRule type="cellIs" dxfId="13092" priority="14753" operator="equal">
      <formula>"OFF"</formula>
    </cfRule>
    <cfRule type="cellIs" dxfId="13091" priority="14754" operator="equal">
      <formula>"PTO"</formula>
    </cfRule>
  </conditionalFormatting>
  <conditionalFormatting sqref="E34:H34">
    <cfRule type="cellIs" dxfId="13090" priority="14751" operator="equal">
      <formula>"OFF"</formula>
    </cfRule>
    <cfRule type="cellIs" dxfId="13089" priority="14752" operator="equal">
      <formula>"PTO"</formula>
    </cfRule>
  </conditionalFormatting>
  <conditionalFormatting sqref="E34:H34">
    <cfRule type="cellIs" dxfId="13088" priority="14749" operator="equal">
      <formula>"OFF"</formula>
    </cfRule>
    <cfRule type="cellIs" dxfId="13087" priority="14750" operator="equal">
      <formula>"PTO"</formula>
    </cfRule>
  </conditionalFormatting>
  <conditionalFormatting sqref="E34:H34">
    <cfRule type="cellIs" dxfId="13086" priority="14747" operator="equal">
      <formula>"OFF"</formula>
    </cfRule>
    <cfRule type="cellIs" dxfId="13085" priority="14748" operator="equal">
      <formula>"PTO"</formula>
    </cfRule>
  </conditionalFormatting>
  <conditionalFormatting sqref="E34:H34">
    <cfRule type="cellIs" dxfId="13084" priority="14745" operator="equal">
      <formula>"OFF"</formula>
    </cfRule>
    <cfRule type="cellIs" dxfId="13083" priority="14746" operator="equal">
      <formula>"PTO"</formula>
    </cfRule>
  </conditionalFormatting>
  <conditionalFormatting sqref="E34:H34">
    <cfRule type="cellIs" dxfId="13082" priority="14743" operator="equal">
      <formula>"OFF"</formula>
    </cfRule>
    <cfRule type="cellIs" dxfId="13081" priority="14744" operator="equal">
      <formula>"PTO"</formula>
    </cfRule>
  </conditionalFormatting>
  <conditionalFormatting sqref="E34:H34">
    <cfRule type="cellIs" dxfId="13080" priority="14741" operator="equal">
      <formula>"OFF"</formula>
    </cfRule>
    <cfRule type="cellIs" dxfId="13079" priority="14742" operator="equal">
      <formula>"PTO"</formula>
    </cfRule>
  </conditionalFormatting>
  <conditionalFormatting sqref="E34:H34">
    <cfRule type="cellIs" dxfId="13078" priority="14739" operator="equal">
      <formula>"OFF"</formula>
    </cfRule>
    <cfRule type="cellIs" dxfId="13077" priority="14740" operator="equal">
      <formula>"PTO"</formula>
    </cfRule>
  </conditionalFormatting>
  <conditionalFormatting sqref="E34:H34">
    <cfRule type="cellIs" dxfId="13076" priority="14737" operator="equal">
      <formula>"OFF"</formula>
    </cfRule>
    <cfRule type="cellIs" dxfId="13075" priority="14738" operator="equal">
      <formula>"PTO"</formula>
    </cfRule>
  </conditionalFormatting>
  <conditionalFormatting sqref="E34:H34">
    <cfRule type="cellIs" dxfId="13074" priority="14735" operator="equal">
      <formula>"OFF"</formula>
    </cfRule>
    <cfRule type="cellIs" dxfId="13073" priority="14736" operator="equal">
      <formula>"PTO"</formula>
    </cfRule>
  </conditionalFormatting>
  <conditionalFormatting sqref="E34:H34">
    <cfRule type="cellIs" dxfId="13072" priority="14733" operator="equal">
      <formula>"OFF"</formula>
    </cfRule>
    <cfRule type="cellIs" dxfId="13071" priority="14734" operator="equal">
      <formula>"PTO"</formula>
    </cfRule>
  </conditionalFormatting>
  <conditionalFormatting sqref="E34:H34">
    <cfRule type="cellIs" dxfId="13070" priority="14731" operator="equal">
      <formula>"OFF"</formula>
    </cfRule>
    <cfRule type="cellIs" dxfId="13069" priority="14732" operator="equal">
      <formula>"PTO"</formula>
    </cfRule>
  </conditionalFormatting>
  <conditionalFormatting sqref="E34:H34">
    <cfRule type="cellIs" dxfId="13068" priority="14729" operator="equal">
      <formula>"OFF"</formula>
    </cfRule>
    <cfRule type="cellIs" dxfId="13067" priority="14730" operator="equal">
      <formula>"PTO"</formula>
    </cfRule>
  </conditionalFormatting>
  <conditionalFormatting sqref="E34:H34">
    <cfRule type="cellIs" dxfId="13066" priority="14727" operator="equal">
      <formula>"OFF"</formula>
    </cfRule>
    <cfRule type="cellIs" dxfId="13065" priority="14728" operator="equal">
      <formula>"PTO"</formula>
    </cfRule>
  </conditionalFormatting>
  <conditionalFormatting sqref="E34:H34">
    <cfRule type="cellIs" dxfId="13064" priority="14725" operator="equal">
      <formula>"OFF"</formula>
    </cfRule>
    <cfRule type="cellIs" dxfId="13063" priority="14726" operator="equal">
      <formula>"PTO"</formula>
    </cfRule>
  </conditionalFormatting>
  <conditionalFormatting sqref="E34:H34">
    <cfRule type="cellIs" dxfId="13062" priority="14723" operator="equal">
      <formula>"OFF"</formula>
    </cfRule>
    <cfRule type="cellIs" dxfId="13061" priority="14724" operator="equal">
      <formula>"PTO"</formula>
    </cfRule>
  </conditionalFormatting>
  <conditionalFormatting sqref="E34:H34">
    <cfRule type="cellIs" dxfId="13060" priority="14721" operator="equal">
      <formula>"OFF"</formula>
    </cfRule>
    <cfRule type="cellIs" dxfId="13059" priority="14722" operator="equal">
      <formula>"PTO"</formula>
    </cfRule>
  </conditionalFormatting>
  <conditionalFormatting sqref="E34:H34">
    <cfRule type="cellIs" dxfId="13058" priority="14719" operator="equal">
      <formula>"OFF"</formula>
    </cfRule>
    <cfRule type="cellIs" dxfId="13057" priority="14720" operator="equal">
      <formula>"PTO"</formula>
    </cfRule>
  </conditionalFormatting>
  <conditionalFormatting sqref="E34:H34">
    <cfRule type="cellIs" dxfId="13056" priority="14717" operator="equal">
      <formula>"OFF"</formula>
    </cfRule>
    <cfRule type="cellIs" dxfId="13055" priority="14718" operator="equal">
      <formula>"PTO"</formula>
    </cfRule>
  </conditionalFormatting>
  <conditionalFormatting sqref="E34:H34">
    <cfRule type="cellIs" dxfId="13054" priority="14715" operator="equal">
      <formula>"OFF"</formula>
    </cfRule>
    <cfRule type="cellIs" dxfId="13053" priority="14716" operator="equal">
      <formula>"PTO"</formula>
    </cfRule>
  </conditionalFormatting>
  <conditionalFormatting sqref="E34:H34">
    <cfRule type="cellIs" dxfId="13052" priority="14713" operator="equal">
      <formula>"OFF"</formula>
    </cfRule>
    <cfRule type="cellIs" dxfId="13051" priority="14714" operator="equal">
      <formula>"PTO"</formula>
    </cfRule>
  </conditionalFormatting>
  <conditionalFormatting sqref="E34:H34">
    <cfRule type="cellIs" dxfId="13050" priority="14711" operator="equal">
      <formula>"OFF"</formula>
    </cfRule>
    <cfRule type="cellIs" dxfId="13049" priority="14712" operator="equal">
      <formula>"PTO"</formula>
    </cfRule>
  </conditionalFormatting>
  <conditionalFormatting sqref="E34:H34">
    <cfRule type="cellIs" dxfId="13048" priority="14709" operator="equal">
      <formula>"OFF"</formula>
    </cfRule>
    <cfRule type="cellIs" dxfId="13047" priority="14710" operator="equal">
      <formula>"PTO"</formula>
    </cfRule>
  </conditionalFormatting>
  <conditionalFormatting sqref="E34:H34">
    <cfRule type="cellIs" dxfId="13046" priority="14707" operator="equal">
      <formula>"OFF"</formula>
    </cfRule>
    <cfRule type="cellIs" dxfId="13045" priority="14708" operator="equal">
      <formula>"PTO"</formula>
    </cfRule>
  </conditionalFormatting>
  <conditionalFormatting sqref="E34:H34">
    <cfRule type="cellIs" dxfId="13044" priority="14705" operator="equal">
      <formula>"OFF"</formula>
    </cfRule>
    <cfRule type="cellIs" dxfId="13043" priority="14706" operator="equal">
      <formula>"PTO"</formula>
    </cfRule>
  </conditionalFormatting>
  <conditionalFormatting sqref="F34:H34">
    <cfRule type="cellIs" dxfId="13042" priority="14703" operator="equal">
      <formula>"OFF"</formula>
    </cfRule>
    <cfRule type="cellIs" dxfId="13041" priority="14704" operator="equal">
      <formula>"PTO"</formula>
    </cfRule>
  </conditionalFormatting>
  <conditionalFormatting sqref="G34:H34">
    <cfRule type="cellIs" dxfId="13040" priority="14701" operator="equal">
      <formula>"OFF"</formula>
    </cfRule>
    <cfRule type="cellIs" dxfId="13039" priority="14702" operator="equal">
      <formula>"PTO"</formula>
    </cfRule>
  </conditionalFormatting>
  <conditionalFormatting sqref="G34:H34">
    <cfRule type="cellIs" dxfId="13038" priority="14699" operator="equal">
      <formula>"OFF"</formula>
    </cfRule>
    <cfRule type="cellIs" dxfId="13037" priority="14700" operator="equal">
      <formula>"PTO"</formula>
    </cfRule>
  </conditionalFormatting>
  <conditionalFormatting sqref="G34:H34">
    <cfRule type="cellIs" dxfId="13036" priority="14697" operator="equal">
      <formula>"OFF"</formula>
    </cfRule>
    <cfRule type="cellIs" dxfId="13035" priority="14698" operator="equal">
      <formula>"PTO"</formula>
    </cfRule>
  </conditionalFormatting>
  <conditionalFormatting sqref="G34:H34">
    <cfRule type="cellIs" dxfId="13034" priority="14695" operator="equal">
      <formula>"OFF"</formula>
    </cfRule>
    <cfRule type="cellIs" dxfId="13033" priority="14696" operator="equal">
      <formula>"PTO"</formula>
    </cfRule>
  </conditionalFormatting>
  <conditionalFormatting sqref="G34:H34">
    <cfRule type="cellIs" dxfId="13032" priority="14693" operator="equal">
      <formula>"OFF"</formula>
    </cfRule>
    <cfRule type="cellIs" dxfId="13031" priority="14694" operator="equal">
      <formula>"PTO"</formula>
    </cfRule>
  </conditionalFormatting>
  <conditionalFormatting sqref="G34:H34">
    <cfRule type="cellIs" dxfId="13030" priority="14691" operator="equal">
      <formula>"OFF"</formula>
    </cfRule>
    <cfRule type="cellIs" dxfId="13029" priority="14692" operator="equal">
      <formula>"PTO"</formula>
    </cfRule>
  </conditionalFormatting>
  <conditionalFormatting sqref="G34:H34">
    <cfRule type="cellIs" dxfId="13028" priority="14689" operator="equal">
      <formula>"OFF"</formula>
    </cfRule>
    <cfRule type="cellIs" dxfId="13027" priority="14690" operator="equal">
      <formula>"PTO"</formula>
    </cfRule>
  </conditionalFormatting>
  <conditionalFormatting sqref="G34:H34">
    <cfRule type="cellIs" dxfId="13026" priority="14687" operator="equal">
      <formula>"OFF"</formula>
    </cfRule>
    <cfRule type="cellIs" dxfId="13025" priority="14688" operator="equal">
      <formula>"PTO"</formula>
    </cfRule>
  </conditionalFormatting>
  <conditionalFormatting sqref="I34">
    <cfRule type="cellIs" dxfId="13024" priority="14685" operator="equal">
      <formula>"OFF"</formula>
    </cfRule>
    <cfRule type="cellIs" dxfId="13023" priority="14686" operator="equal">
      <formula>"PTO"</formula>
    </cfRule>
  </conditionalFormatting>
  <conditionalFormatting sqref="I34">
    <cfRule type="cellIs" dxfId="13022" priority="14683" operator="equal">
      <formula>"OFF"</formula>
    </cfRule>
    <cfRule type="cellIs" dxfId="13021" priority="14684" operator="equal">
      <formula>"PTO"</formula>
    </cfRule>
  </conditionalFormatting>
  <conditionalFormatting sqref="I34">
    <cfRule type="cellIs" dxfId="13020" priority="14681" operator="equal">
      <formula>"OFF"</formula>
    </cfRule>
    <cfRule type="cellIs" dxfId="13019" priority="14682" operator="equal">
      <formula>"PTO"</formula>
    </cfRule>
  </conditionalFormatting>
  <conditionalFormatting sqref="I34">
    <cfRule type="cellIs" dxfId="13018" priority="14679" operator="equal">
      <formula>"OFF"</formula>
    </cfRule>
    <cfRule type="cellIs" dxfId="13017" priority="14680" operator="equal">
      <formula>"PTO"</formula>
    </cfRule>
  </conditionalFormatting>
  <conditionalFormatting sqref="I34">
    <cfRule type="cellIs" dxfId="13016" priority="14677" operator="equal">
      <formula>"OFF"</formula>
    </cfRule>
    <cfRule type="cellIs" dxfId="13015" priority="14678" operator="equal">
      <formula>"PTO"</formula>
    </cfRule>
  </conditionalFormatting>
  <conditionalFormatting sqref="I34">
    <cfRule type="cellIs" dxfId="13014" priority="14675" operator="equal">
      <formula>"OFF"</formula>
    </cfRule>
    <cfRule type="cellIs" dxfId="13013" priority="14676" operator="equal">
      <formula>"PTO"</formula>
    </cfRule>
  </conditionalFormatting>
  <conditionalFormatting sqref="I34">
    <cfRule type="cellIs" dxfId="13012" priority="14673" operator="equal">
      <formula>"OFF"</formula>
    </cfRule>
    <cfRule type="cellIs" dxfId="13011" priority="14674" operator="equal">
      <formula>"PTO"</formula>
    </cfRule>
  </conditionalFormatting>
  <conditionalFormatting sqref="I34">
    <cfRule type="cellIs" dxfId="13010" priority="14671" operator="equal">
      <formula>"OFF"</formula>
    </cfRule>
    <cfRule type="cellIs" dxfId="13009" priority="14672" operator="equal">
      <formula>"PTO"</formula>
    </cfRule>
  </conditionalFormatting>
  <conditionalFormatting sqref="J43:P53">
    <cfRule type="cellIs" dxfId="13008" priority="14077" operator="equal">
      <formula>"OFF"</formula>
    </cfRule>
    <cfRule type="cellIs" dxfId="13007" priority="14078" operator="equal">
      <formula>"PTO"</formula>
    </cfRule>
  </conditionalFormatting>
  <conditionalFormatting sqref="J43:P53">
    <cfRule type="cellIs" dxfId="13006" priority="14075" operator="equal">
      <formula>"OFF"</formula>
    </cfRule>
    <cfRule type="cellIs" dxfId="13005" priority="14076" operator="equal">
      <formula>"PTO"</formula>
    </cfRule>
  </conditionalFormatting>
  <conditionalFormatting sqref="J43:P53">
    <cfRule type="cellIs" dxfId="13004" priority="14073" operator="equal">
      <formula>"OFF"</formula>
    </cfRule>
    <cfRule type="cellIs" dxfId="13003" priority="14074" operator="equal">
      <formula>"PTO"</formula>
    </cfRule>
  </conditionalFormatting>
  <conditionalFormatting sqref="J43:P53">
    <cfRule type="cellIs" dxfId="13002" priority="14071" operator="equal">
      <formula>"OFF"</formula>
    </cfRule>
    <cfRule type="cellIs" dxfId="13001" priority="14072" operator="equal">
      <formula>"PTO"</formula>
    </cfRule>
  </conditionalFormatting>
  <conditionalFormatting sqref="J43:P53">
    <cfRule type="cellIs" dxfId="13000" priority="14069" operator="equal">
      <formula>"OFF"</formula>
    </cfRule>
    <cfRule type="cellIs" dxfId="12999" priority="14070" operator="equal">
      <formula>"PTO"</formula>
    </cfRule>
  </conditionalFormatting>
  <conditionalFormatting sqref="J43:P53">
    <cfRule type="cellIs" dxfId="12998" priority="14067" operator="equal">
      <formula>"OFF"</formula>
    </cfRule>
    <cfRule type="cellIs" dxfId="12997" priority="14068" operator="equal">
      <formula>"PTO"</formula>
    </cfRule>
  </conditionalFormatting>
  <conditionalFormatting sqref="J43:P53">
    <cfRule type="cellIs" dxfId="12996" priority="14065" operator="equal">
      <formula>"OFF"</formula>
    </cfRule>
    <cfRule type="cellIs" dxfId="12995" priority="14066" operator="equal">
      <formula>"PTO"</formula>
    </cfRule>
  </conditionalFormatting>
  <conditionalFormatting sqref="J43:P53">
    <cfRule type="cellIs" dxfId="12994" priority="14063" operator="equal">
      <formula>"OFF"</formula>
    </cfRule>
    <cfRule type="cellIs" dxfId="12993" priority="14064" operator="equal">
      <formula>"PTO"</formula>
    </cfRule>
  </conditionalFormatting>
  <conditionalFormatting sqref="J43:P53">
    <cfRule type="cellIs" dxfId="12992" priority="14061" operator="equal">
      <formula>"OFF"</formula>
    </cfRule>
    <cfRule type="cellIs" dxfId="12991" priority="14062" operator="equal">
      <formula>"PTO"</formula>
    </cfRule>
  </conditionalFormatting>
  <conditionalFormatting sqref="J43:P53">
    <cfRule type="cellIs" dxfId="12990" priority="14059" operator="equal">
      <formula>"OFF"</formula>
    </cfRule>
    <cfRule type="cellIs" dxfId="12989" priority="14060" operator="equal">
      <formula>"PTO"</formula>
    </cfRule>
  </conditionalFormatting>
  <conditionalFormatting sqref="J43:P53">
    <cfRule type="cellIs" dxfId="12988" priority="14057" operator="equal">
      <formula>"OFF"</formula>
    </cfRule>
    <cfRule type="cellIs" dxfId="12987" priority="14058" operator="equal">
      <formula>"PTO"</formula>
    </cfRule>
  </conditionalFormatting>
  <conditionalFormatting sqref="J43:P53">
    <cfRule type="cellIs" dxfId="12986" priority="14055" operator="equal">
      <formula>"OFF"</formula>
    </cfRule>
    <cfRule type="cellIs" dxfId="12985" priority="14056" operator="equal">
      <formula>"PTO"</formula>
    </cfRule>
  </conditionalFormatting>
  <conditionalFormatting sqref="J43:P53">
    <cfRule type="cellIs" dxfId="12984" priority="14053" operator="equal">
      <formula>"OFF"</formula>
    </cfRule>
    <cfRule type="cellIs" dxfId="12983" priority="14054" operator="equal">
      <formula>"PTO"</formula>
    </cfRule>
  </conditionalFormatting>
  <conditionalFormatting sqref="L43:O53">
    <cfRule type="cellIs" dxfId="12982" priority="14051" operator="equal">
      <formula>"OFF"</formula>
    </cfRule>
    <cfRule type="cellIs" dxfId="12981" priority="14052" operator="equal">
      <formula>"PTO"</formula>
    </cfRule>
  </conditionalFormatting>
  <conditionalFormatting sqref="J43:P53">
    <cfRule type="cellIs" dxfId="12980" priority="14049" operator="equal">
      <formula>"OFF"</formula>
    </cfRule>
    <cfRule type="cellIs" dxfId="12979" priority="14050" operator="equal">
      <formula>"PTO"</formula>
    </cfRule>
  </conditionalFormatting>
  <conditionalFormatting sqref="L43:O53">
    <cfRule type="cellIs" dxfId="12978" priority="14047" operator="equal">
      <formula>"OFF"</formula>
    </cfRule>
    <cfRule type="cellIs" dxfId="12977" priority="14048" operator="equal">
      <formula>"PTO"</formula>
    </cfRule>
  </conditionalFormatting>
  <conditionalFormatting sqref="O43:P53">
    <cfRule type="cellIs" dxfId="12976" priority="14045" operator="equal">
      <formula>"OFF"</formula>
    </cfRule>
    <cfRule type="cellIs" dxfId="12975" priority="14046" operator="equal">
      <formula>"PTO"</formula>
    </cfRule>
  </conditionalFormatting>
  <conditionalFormatting sqref="L43:O53">
    <cfRule type="cellIs" dxfId="12974" priority="14043" operator="equal">
      <formula>"OFF"</formula>
    </cfRule>
    <cfRule type="cellIs" dxfId="12973" priority="14044" operator="equal">
      <formula>"PTO"</formula>
    </cfRule>
  </conditionalFormatting>
  <conditionalFormatting sqref="O43:P53">
    <cfRule type="cellIs" dxfId="12972" priority="14041" operator="equal">
      <formula>"OFF"</formula>
    </cfRule>
    <cfRule type="cellIs" dxfId="12971" priority="14042" operator="equal">
      <formula>"PTO"</formula>
    </cfRule>
  </conditionalFormatting>
  <conditionalFormatting sqref="L43:O53">
    <cfRule type="cellIs" dxfId="12970" priority="14039" operator="equal">
      <formula>"OFF"</formula>
    </cfRule>
    <cfRule type="cellIs" dxfId="12969" priority="14040" operator="equal">
      <formula>"PTO"</formula>
    </cfRule>
  </conditionalFormatting>
  <conditionalFormatting sqref="O43:P53">
    <cfRule type="cellIs" dxfId="12968" priority="14037" operator="equal">
      <formula>"OFF"</formula>
    </cfRule>
    <cfRule type="cellIs" dxfId="12967" priority="14038" operator="equal">
      <formula>"PTO"</formula>
    </cfRule>
  </conditionalFormatting>
  <conditionalFormatting sqref="L43:O53">
    <cfRule type="cellIs" dxfId="12966" priority="14035" operator="equal">
      <formula>"OFF"</formula>
    </cfRule>
    <cfRule type="cellIs" dxfId="12965" priority="14036" operator="equal">
      <formula>"PTO"</formula>
    </cfRule>
  </conditionalFormatting>
  <conditionalFormatting sqref="O43:P53">
    <cfRule type="cellIs" dxfId="12964" priority="14033" operator="equal">
      <formula>"OFF"</formula>
    </cfRule>
    <cfRule type="cellIs" dxfId="12963" priority="14034" operator="equal">
      <formula>"PTO"</formula>
    </cfRule>
  </conditionalFormatting>
  <conditionalFormatting sqref="L43:O53">
    <cfRule type="cellIs" dxfId="12962" priority="14031" operator="equal">
      <formula>"OFF"</formula>
    </cfRule>
    <cfRule type="cellIs" dxfId="12961" priority="14032" operator="equal">
      <formula>"PTO"</formula>
    </cfRule>
  </conditionalFormatting>
  <conditionalFormatting sqref="O43:P53">
    <cfRule type="cellIs" dxfId="12960" priority="14029" operator="equal">
      <formula>"OFF"</formula>
    </cfRule>
    <cfRule type="cellIs" dxfId="12959" priority="14030" operator="equal">
      <formula>"PTO"</formula>
    </cfRule>
  </conditionalFormatting>
  <conditionalFormatting sqref="L43:O53">
    <cfRule type="cellIs" dxfId="12958" priority="14027" operator="equal">
      <formula>"OFF"</formula>
    </cfRule>
    <cfRule type="cellIs" dxfId="12957" priority="14028" operator="equal">
      <formula>"PTO"</formula>
    </cfRule>
  </conditionalFormatting>
  <conditionalFormatting sqref="O43:P53">
    <cfRule type="cellIs" dxfId="12956" priority="14025" operator="equal">
      <formula>"OFF"</formula>
    </cfRule>
    <cfRule type="cellIs" dxfId="12955" priority="14026" operator="equal">
      <formula>"PTO"</formula>
    </cfRule>
  </conditionalFormatting>
  <conditionalFormatting sqref="B14:B18">
    <cfRule type="duplicateValues" dxfId="12954" priority="13792"/>
  </conditionalFormatting>
  <conditionalFormatting sqref="Q19:W19">
    <cfRule type="cellIs" dxfId="12953" priority="11313" operator="equal">
      <formula>"OFF"</formula>
    </cfRule>
    <cfRule type="cellIs" dxfId="12952" priority="11314" operator="equal">
      <formula>"PTO"</formula>
    </cfRule>
  </conditionalFormatting>
  <conditionalFormatting sqref="Q19:W19">
    <cfRule type="cellIs" dxfId="12951" priority="11311" operator="equal">
      <formula>"OFF"</formula>
    </cfRule>
    <cfRule type="cellIs" dxfId="12950" priority="11312" operator="equal">
      <formula>"PTO"</formula>
    </cfRule>
  </conditionalFormatting>
  <conditionalFormatting sqref="Q19">
    <cfRule type="cellIs" dxfId="12949" priority="11309" operator="equal">
      <formula>"OFF"</formula>
    </cfRule>
    <cfRule type="cellIs" dxfId="12948" priority="11310" operator="equal">
      <formula>"PTO"</formula>
    </cfRule>
  </conditionalFormatting>
  <conditionalFormatting sqref="Q19">
    <cfRule type="cellIs" dxfId="12947" priority="11307" operator="equal">
      <formula>"OFF"</formula>
    </cfRule>
    <cfRule type="cellIs" dxfId="12946" priority="11308" operator="equal">
      <formula>"PTO"</formula>
    </cfRule>
  </conditionalFormatting>
  <conditionalFormatting sqref="Q19">
    <cfRule type="cellIs" dxfId="12945" priority="11305" operator="equal">
      <formula>"OFF"</formula>
    </cfRule>
    <cfRule type="cellIs" dxfId="12944" priority="11306" operator="equal">
      <formula>"PTO"</formula>
    </cfRule>
  </conditionalFormatting>
  <conditionalFormatting sqref="Q19">
    <cfRule type="cellIs" dxfId="12943" priority="11303" operator="equal">
      <formula>"OFF"</formula>
    </cfRule>
    <cfRule type="cellIs" dxfId="12942" priority="11304" operator="equal">
      <formula>"PTO"</formula>
    </cfRule>
  </conditionalFormatting>
  <conditionalFormatting sqref="R19">
    <cfRule type="cellIs" dxfId="12941" priority="11301" operator="equal">
      <formula>"OFF"</formula>
    </cfRule>
    <cfRule type="cellIs" dxfId="12940" priority="11302" operator="equal">
      <formula>"PTO"</formula>
    </cfRule>
  </conditionalFormatting>
  <conditionalFormatting sqref="R19">
    <cfRule type="cellIs" dxfId="12939" priority="11299" operator="equal">
      <formula>"OFF"</formula>
    </cfRule>
    <cfRule type="cellIs" dxfId="12938" priority="11300" operator="equal">
      <formula>"PTO"</formula>
    </cfRule>
  </conditionalFormatting>
  <conditionalFormatting sqref="R19">
    <cfRule type="cellIs" dxfId="12937" priority="11297" operator="equal">
      <formula>"OFF"</formula>
    </cfRule>
    <cfRule type="cellIs" dxfId="12936" priority="11298" operator="equal">
      <formula>"PTO"</formula>
    </cfRule>
  </conditionalFormatting>
  <conditionalFormatting sqref="R19">
    <cfRule type="cellIs" dxfId="12935" priority="11295" operator="equal">
      <formula>"OFF"</formula>
    </cfRule>
    <cfRule type="cellIs" dxfId="12934" priority="11296" operator="equal">
      <formula>"PTO"</formula>
    </cfRule>
  </conditionalFormatting>
  <conditionalFormatting sqref="Q19">
    <cfRule type="cellIs" dxfId="12933" priority="11293" operator="equal">
      <formula>"OFF"</formula>
    </cfRule>
    <cfRule type="cellIs" dxfId="12932" priority="11294" operator="equal">
      <formula>"PTO"</formula>
    </cfRule>
  </conditionalFormatting>
  <conditionalFormatting sqref="Q19">
    <cfRule type="cellIs" dxfId="12931" priority="11291" operator="equal">
      <formula>"OFF"</formula>
    </cfRule>
    <cfRule type="cellIs" dxfId="12930" priority="11292" operator="equal">
      <formula>"PTO"</formula>
    </cfRule>
  </conditionalFormatting>
  <conditionalFormatting sqref="Q19">
    <cfRule type="cellIs" dxfId="12929" priority="11289" operator="equal">
      <formula>"OFF"</formula>
    </cfRule>
    <cfRule type="cellIs" dxfId="12928" priority="11290" operator="equal">
      <formula>"PTO"</formula>
    </cfRule>
  </conditionalFormatting>
  <conditionalFormatting sqref="Q19">
    <cfRule type="cellIs" dxfId="12927" priority="11287" operator="equal">
      <formula>"OFF"</formula>
    </cfRule>
    <cfRule type="cellIs" dxfId="12926" priority="11288" operator="equal">
      <formula>"PTO"</formula>
    </cfRule>
  </conditionalFormatting>
  <conditionalFormatting sqref="R19">
    <cfRule type="cellIs" dxfId="12925" priority="11285" operator="equal">
      <formula>"OFF"</formula>
    </cfRule>
    <cfRule type="cellIs" dxfId="12924" priority="11286" operator="equal">
      <formula>"PTO"</formula>
    </cfRule>
  </conditionalFormatting>
  <conditionalFormatting sqref="R19">
    <cfRule type="cellIs" dxfId="12923" priority="11283" operator="equal">
      <formula>"OFF"</formula>
    </cfRule>
    <cfRule type="cellIs" dxfId="12922" priority="11284" operator="equal">
      <formula>"PTO"</formula>
    </cfRule>
  </conditionalFormatting>
  <conditionalFormatting sqref="R19">
    <cfRule type="cellIs" dxfId="12921" priority="11281" operator="equal">
      <formula>"OFF"</formula>
    </cfRule>
    <cfRule type="cellIs" dxfId="12920" priority="11282" operator="equal">
      <formula>"PTO"</formula>
    </cfRule>
  </conditionalFormatting>
  <conditionalFormatting sqref="R19">
    <cfRule type="cellIs" dxfId="12919" priority="11279" operator="equal">
      <formula>"OFF"</formula>
    </cfRule>
    <cfRule type="cellIs" dxfId="12918" priority="11280" operator="equal">
      <formula>"PTO"</formula>
    </cfRule>
  </conditionalFormatting>
  <conditionalFormatting sqref="Q19">
    <cfRule type="cellIs" dxfId="12917" priority="11277" operator="equal">
      <formula>"OFF"</formula>
    </cfRule>
    <cfRule type="cellIs" dxfId="12916" priority="11278" operator="equal">
      <formula>"PTO"</formula>
    </cfRule>
  </conditionalFormatting>
  <conditionalFormatting sqref="Q19">
    <cfRule type="cellIs" dxfId="12915" priority="11275" operator="equal">
      <formula>"OFF"</formula>
    </cfRule>
    <cfRule type="cellIs" dxfId="12914" priority="11276" operator="equal">
      <formula>"PTO"</formula>
    </cfRule>
  </conditionalFormatting>
  <conditionalFormatting sqref="Q19">
    <cfRule type="cellIs" dxfId="12913" priority="11273" operator="equal">
      <formula>"OFF"</formula>
    </cfRule>
    <cfRule type="cellIs" dxfId="12912" priority="11274" operator="equal">
      <formula>"PTO"</formula>
    </cfRule>
  </conditionalFormatting>
  <conditionalFormatting sqref="Q19">
    <cfRule type="cellIs" dxfId="12911" priority="11271" operator="equal">
      <formula>"OFF"</formula>
    </cfRule>
    <cfRule type="cellIs" dxfId="12910" priority="11272" operator="equal">
      <formula>"PTO"</formula>
    </cfRule>
  </conditionalFormatting>
  <conditionalFormatting sqref="R19">
    <cfRule type="cellIs" dxfId="12909" priority="11269" operator="equal">
      <formula>"OFF"</formula>
    </cfRule>
    <cfRule type="cellIs" dxfId="12908" priority="11270" operator="equal">
      <formula>"PTO"</formula>
    </cfRule>
  </conditionalFormatting>
  <conditionalFormatting sqref="R19">
    <cfRule type="cellIs" dxfId="12907" priority="11267" operator="equal">
      <formula>"OFF"</formula>
    </cfRule>
    <cfRule type="cellIs" dxfId="12906" priority="11268" operator="equal">
      <formula>"PTO"</formula>
    </cfRule>
  </conditionalFormatting>
  <conditionalFormatting sqref="R19">
    <cfRule type="cellIs" dxfId="12905" priority="11265" operator="equal">
      <formula>"OFF"</formula>
    </cfRule>
    <cfRule type="cellIs" dxfId="12904" priority="11266" operator="equal">
      <formula>"PTO"</formula>
    </cfRule>
  </conditionalFormatting>
  <conditionalFormatting sqref="R19">
    <cfRule type="cellIs" dxfId="12903" priority="11263" operator="equal">
      <formula>"OFF"</formula>
    </cfRule>
    <cfRule type="cellIs" dxfId="12902" priority="11264" operator="equal">
      <formula>"PTO"</formula>
    </cfRule>
  </conditionalFormatting>
  <conditionalFormatting sqref="Q19">
    <cfRule type="cellIs" dxfId="12901" priority="11261" operator="equal">
      <formula>"OFF"</formula>
    </cfRule>
    <cfRule type="cellIs" dxfId="12900" priority="11262" operator="equal">
      <formula>"PTO"</formula>
    </cfRule>
  </conditionalFormatting>
  <conditionalFormatting sqref="Q19">
    <cfRule type="cellIs" dxfId="12899" priority="11259" operator="equal">
      <formula>"OFF"</formula>
    </cfRule>
    <cfRule type="cellIs" dxfId="12898" priority="11260" operator="equal">
      <formula>"PTO"</formula>
    </cfRule>
  </conditionalFormatting>
  <conditionalFormatting sqref="Q19">
    <cfRule type="cellIs" dxfId="12897" priority="11257" operator="equal">
      <formula>"OFF"</formula>
    </cfRule>
    <cfRule type="cellIs" dxfId="12896" priority="11258" operator="equal">
      <formula>"PTO"</formula>
    </cfRule>
  </conditionalFormatting>
  <conditionalFormatting sqref="Q19">
    <cfRule type="cellIs" dxfId="12895" priority="11255" operator="equal">
      <formula>"OFF"</formula>
    </cfRule>
    <cfRule type="cellIs" dxfId="12894" priority="11256" operator="equal">
      <formula>"PTO"</formula>
    </cfRule>
  </conditionalFormatting>
  <conditionalFormatting sqref="R19">
    <cfRule type="cellIs" dxfId="12893" priority="11253" operator="equal">
      <formula>"OFF"</formula>
    </cfRule>
    <cfRule type="cellIs" dxfId="12892" priority="11254" operator="equal">
      <formula>"PTO"</formula>
    </cfRule>
  </conditionalFormatting>
  <conditionalFormatting sqref="R19">
    <cfRule type="cellIs" dxfId="12891" priority="11251" operator="equal">
      <formula>"OFF"</formula>
    </cfRule>
    <cfRule type="cellIs" dxfId="12890" priority="11252" operator="equal">
      <formula>"PTO"</formula>
    </cfRule>
  </conditionalFormatting>
  <conditionalFormatting sqref="R19">
    <cfRule type="cellIs" dxfId="12889" priority="11249" operator="equal">
      <formula>"OFF"</formula>
    </cfRule>
    <cfRule type="cellIs" dxfId="12888" priority="11250" operator="equal">
      <formula>"PTO"</formula>
    </cfRule>
  </conditionalFormatting>
  <conditionalFormatting sqref="R19">
    <cfRule type="cellIs" dxfId="12887" priority="11247" operator="equal">
      <formula>"OFF"</formula>
    </cfRule>
    <cfRule type="cellIs" dxfId="12886" priority="11248" operator="equal">
      <formula>"PTO"</formula>
    </cfRule>
  </conditionalFormatting>
  <conditionalFormatting sqref="Q19:W19">
    <cfRule type="cellIs" dxfId="12885" priority="11245" operator="equal">
      <formula>"OFF"</formula>
    </cfRule>
    <cfRule type="cellIs" dxfId="12884" priority="11246" operator="equal">
      <formula>"PTO"</formula>
    </cfRule>
  </conditionalFormatting>
  <conditionalFormatting sqref="Q19:W19">
    <cfRule type="cellIs" dxfId="12883" priority="11243" operator="equal">
      <formula>"OFF"</formula>
    </cfRule>
    <cfRule type="cellIs" dxfId="12882" priority="11244" operator="equal">
      <formula>"PTO"</formula>
    </cfRule>
  </conditionalFormatting>
  <conditionalFormatting sqref="S19">
    <cfRule type="cellIs" dxfId="12881" priority="11241" operator="equal">
      <formula>"OFF"</formula>
    </cfRule>
    <cfRule type="cellIs" dxfId="12880" priority="11242" operator="equal">
      <formula>"PTO"</formula>
    </cfRule>
  </conditionalFormatting>
  <conditionalFormatting sqref="S19">
    <cfRule type="cellIs" dxfId="12879" priority="11239" operator="equal">
      <formula>"OFF"</formula>
    </cfRule>
    <cfRule type="cellIs" dxfId="12878" priority="11240" operator="equal">
      <formula>"PTO"</formula>
    </cfRule>
  </conditionalFormatting>
  <conditionalFormatting sqref="S19">
    <cfRule type="cellIs" dxfId="12877" priority="11237" operator="equal">
      <formula>"OFF"</formula>
    </cfRule>
    <cfRule type="cellIs" dxfId="12876" priority="11238" operator="equal">
      <formula>"PTO"</formula>
    </cfRule>
  </conditionalFormatting>
  <conditionalFormatting sqref="S19">
    <cfRule type="cellIs" dxfId="12875" priority="11235" operator="equal">
      <formula>"OFF"</formula>
    </cfRule>
    <cfRule type="cellIs" dxfId="12874" priority="11236" operator="equal">
      <formula>"PTO"</formula>
    </cfRule>
  </conditionalFormatting>
  <conditionalFormatting sqref="S19">
    <cfRule type="cellIs" dxfId="12873" priority="11233" operator="equal">
      <formula>"OFF"</formula>
    </cfRule>
    <cfRule type="cellIs" dxfId="12872" priority="11234" operator="equal">
      <formula>"PTO"</formula>
    </cfRule>
  </conditionalFormatting>
  <conditionalFormatting sqref="S19">
    <cfRule type="cellIs" dxfId="12871" priority="11231" operator="equal">
      <formula>"OFF"</formula>
    </cfRule>
    <cfRule type="cellIs" dxfId="12870" priority="11232" operator="equal">
      <formula>"PTO"</formula>
    </cfRule>
  </conditionalFormatting>
  <conditionalFormatting sqref="S19">
    <cfRule type="cellIs" dxfId="12869" priority="11229" operator="equal">
      <formula>"OFF"</formula>
    </cfRule>
    <cfRule type="cellIs" dxfId="12868" priority="11230" operator="equal">
      <formula>"PTO"</formula>
    </cfRule>
  </conditionalFormatting>
  <conditionalFormatting sqref="S19">
    <cfRule type="cellIs" dxfId="12867" priority="11227" operator="equal">
      <formula>"OFF"</formula>
    </cfRule>
    <cfRule type="cellIs" dxfId="12866" priority="11228" operator="equal">
      <formula>"PTO"</formula>
    </cfRule>
  </conditionalFormatting>
  <conditionalFormatting sqref="S19">
    <cfRule type="cellIs" dxfId="12865" priority="11225" operator="equal">
      <formula>"OFF"</formula>
    </cfRule>
    <cfRule type="cellIs" dxfId="12864" priority="11226" operator="equal">
      <formula>"PTO"</formula>
    </cfRule>
  </conditionalFormatting>
  <conditionalFormatting sqref="S19">
    <cfRule type="cellIs" dxfId="12863" priority="11223" operator="equal">
      <formula>"OFF"</formula>
    </cfRule>
    <cfRule type="cellIs" dxfId="12862" priority="11224" operator="equal">
      <formula>"PTO"</formula>
    </cfRule>
  </conditionalFormatting>
  <conditionalFormatting sqref="S19">
    <cfRule type="cellIs" dxfId="12861" priority="11221" operator="equal">
      <formula>"OFF"</formula>
    </cfRule>
    <cfRule type="cellIs" dxfId="12860" priority="11222" operator="equal">
      <formula>"PTO"</formula>
    </cfRule>
  </conditionalFormatting>
  <conditionalFormatting sqref="S19">
    <cfRule type="cellIs" dxfId="12859" priority="11219" operator="equal">
      <formula>"OFF"</formula>
    </cfRule>
    <cfRule type="cellIs" dxfId="12858" priority="11220" operator="equal">
      <formula>"PTO"</formula>
    </cfRule>
  </conditionalFormatting>
  <conditionalFormatting sqref="S19">
    <cfRule type="cellIs" dxfId="12857" priority="11217" operator="equal">
      <formula>"OFF"</formula>
    </cfRule>
    <cfRule type="cellIs" dxfId="12856" priority="11218" operator="equal">
      <formula>"PTO"</formula>
    </cfRule>
  </conditionalFormatting>
  <conditionalFormatting sqref="S19">
    <cfRule type="cellIs" dxfId="12855" priority="11215" operator="equal">
      <formula>"OFF"</formula>
    </cfRule>
    <cfRule type="cellIs" dxfId="12854" priority="11216" operator="equal">
      <formula>"PTO"</formula>
    </cfRule>
  </conditionalFormatting>
  <conditionalFormatting sqref="S19">
    <cfRule type="cellIs" dxfId="12853" priority="11213" operator="equal">
      <formula>"OFF"</formula>
    </cfRule>
    <cfRule type="cellIs" dxfId="12852" priority="11214" operator="equal">
      <formula>"PTO"</formula>
    </cfRule>
  </conditionalFormatting>
  <conditionalFormatting sqref="S19">
    <cfRule type="cellIs" dxfId="12851" priority="11211" operator="equal">
      <formula>"OFF"</formula>
    </cfRule>
    <cfRule type="cellIs" dxfId="12850" priority="11212" operator="equal">
      <formula>"PTO"</formula>
    </cfRule>
  </conditionalFormatting>
  <conditionalFormatting sqref="V19">
    <cfRule type="cellIs" dxfId="12849" priority="11209" operator="equal">
      <formula>"OFF"</formula>
    </cfRule>
    <cfRule type="cellIs" dxfId="12848" priority="11210" operator="equal">
      <formula>"PTO"</formula>
    </cfRule>
  </conditionalFormatting>
  <conditionalFormatting sqref="V19">
    <cfRule type="cellIs" dxfId="12847" priority="11207" operator="equal">
      <formula>"OFF"</formula>
    </cfRule>
    <cfRule type="cellIs" dxfId="12846" priority="11208" operator="equal">
      <formula>"PTO"</formula>
    </cfRule>
  </conditionalFormatting>
  <conditionalFormatting sqref="V19">
    <cfRule type="cellIs" dxfId="12845" priority="11205" operator="equal">
      <formula>"OFF"</formula>
    </cfRule>
    <cfRule type="cellIs" dxfId="12844" priority="11206" operator="equal">
      <formula>"PTO"</formula>
    </cfRule>
  </conditionalFormatting>
  <conditionalFormatting sqref="V19">
    <cfRule type="cellIs" dxfId="12843" priority="11203" operator="equal">
      <formula>"OFF"</formula>
    </cfRule>
    <cfRule type="cellIs" dxfId="12842" priority="11204" operator="equal">
      <formula>"PTO"</formula>
    </cfRule>
  </conditionalFormatting>
  <conditionalFormatting sqref="V19">
    <cfRule type="cellIs" dxfId="12841" priority="11201" operator="equal">
      <formula>"OFF"</formula>
    </cfRule>
    <cfRule type="cellIs" dxfId="12840" priority="11202" operator="equal">
      <formula>"PTO"</formula>
    </cfRule>
  </conditionalFormatting>
  <conditionalFormatting sqref="V19">
    <cfRule type="cellIs" dxfId="12839" priority="11199" operator="equal">
      <formula>"OFF"</formula>
    </cfRule>
    <cfRule type="cellIs" dxfId="12838" priority="11200" operator="equal">
      <formula>"PTO"</formula>
    </cfRule>
  </conditionalFormatting>
  <conditionalFormatting sqref="V19">
    <cfRule type="cellIs" dxfId="12837" priority="11197" operator="equal">
      <formula>"OFF"</formula>
    </cfRule>
    <cfRule type="cellIs" dxfId="12836" priority="11198" operator="equal">
      <formula>"PTO"</formula>
    </cfRule>
  </conditionalFormatting>
  <conditionalFormatting sqref="V19">
    <cfRule type="cellIs" dxfId="12835" priority="11195" operator="equal">
      <formula>"OFF"</formula>
    </cfRule>
    <cfRule type="cellIs" dxfId="12834" priority="11196" operator="equal">
      <formula>"PTO"</formula>
    </cfRule>
  </conditionalFormatting>
  <conditionalFormatting sqref="V19">
    <cfRule type="cellIs" dxfId="12833" priority="11193" operator="equal">
      <formula>"OFF"</formula>
    </cfRule>
    <cfRule type="cellIs" dxfId="12832" priority="11194" operator="equal">
      <formula>"PTO"</formula>
    </cfRule>
  </conditionalFormatting>
  <conditionalFormatting sqref="V19">
    <cfRule type="cellIs" dxfId="12831" priority="11191" operator="equal">
      <formula>"OFF"</formula>
    </cfRule>
    <cfRule type="cellIs" dxfId="12830" priority="11192" operator="equal">
      <formula>"PTO"</formula>
    </cfRule>
  </conditionalFormatting>
  <conditionalFormatting sqref="V19">
    <cfRule type="cellIs" dxfId="12829" priority="11189" operator="equal">
      <formula>"OFF"</formula>
    </cfRule>
    <cfRule type="cellIs" dxfId="12828" priority="11190" operator="equal">
      <formula>"PTO"</formula>
    </cfRule>
  </conditionalFormatting>
  <conditionalFormatting sqref="V19">
    <cfRule type="cellIs" dxfId="12827" priority="11187" operator="equal">
      <formula>"OFF"</formula>
    </cfRule>
    <cfRule type="cellIs" dxfId="12826" priority="11188" operator="equal">
      <formula>"PTO"</formula>
    </cfRule>
  </conditionalFormatting>
  <conditionalFormatting sqref="V19">
    <cfRule type="cellIs" dxfId="12825" priority="11185" operator="equal">
      <formula>"OFF"</formula>
    </cfRule>
    <cfRule type="cellIs" dxfId="12824" priority="11186" operator="equal">
      <formula>"PTO"</formula>
    </cfRule>
  </conditionalFormatting>
  <conditionalFormatting sqref="V19">
    <cfRule type="cellIs" dxfId="12823" priority="11183" operator="equal">
      <formula>"OFF"</formula>
    </cfRule>
    <cfRule type="cellIs" dxfId="12822" priority="11184" operator="equal">
      <formula>"PTO"</formula>
    </cfRule>
  </conditionalFormatting>
  <conditionalFormatting sqref="V19">
    <cfRule type="cellIs" dxfId="12821" priority="11181" operator="equal">
      <formula>"OFF"</formula>
    </cfRule>
    <cfRule type="cellIs" dxfId="12820" priority="11182" operator="equal">
      <formula>"PTO"</formula>
    </cfRule>
  </conditionalFormatting>
  <conditionalFormatting sqref="V19">
    <cfRule type="cellIs" dxfId="12819" priority="11179" operator="equal">
      <formula>"OFF"</formula>
    </cfRule>
    <cfRule type="cellIs" dxfId="12818" priority="11180" operator="equal">
      <formula>"PTO"</formula>
    </cfRule>
  </conditionalFormatting>
  <conditionalFormatting sqref="S19">
    <cfRule type="cellIs" dxfId="12817" priority="11177" operator="equal">
      <formula>"OFF"</formula>
    </cfRule>
    <cfRule type="cellIs" dxfId="12816" priority="11178" operator="equal">
      <formula>"PTO"</formula>
    </cfRule>
  </conditionalFormatting>
  <conditionalFormatting sqref="S19">
    <cfRule type="cellIs" dxfId="12815" priority="11175" operator="equal">
      <formula>"OFF"</formula>
    </cfRule>
    <cfRule type="cellIs" dxfId="12814" priority="11176" operator="equal">
      <formula>"PTO"</formula>
    </cfRule>
  </conditionalFormatting>
  <conditionalFormatting sqref="S19">
    <cfRule type="cellIs" dxfId="12813" priority="11173" operator="equal">
      <formula>"OFF"</formula>
    </cfRule>
    <cfRule type="cellIs" dxfId="12812" priority="11174" operator="equal">
      <formula>"PTO"</formula>
    </cfRule>
  </conditionalFormatting>
  <conditionalFormatting sqref="S19">
    <cfRule type="cellIs" dxfId="12811" priority="11171" operator="equal">
      <formula>"OFF"</formula>
    </cfRule>
    <cfRule type="cellIs" dxfId="12810" priority="11172" operator="equal">
      <formula>"PTO"</formula>
    </cfRule>
  </conditionalFormatting>
  <conditionalFormatting sqref="W19:W28 W30:W32">
    <cfRule type="cellIs" dxfId="12809" priority="10837" operator="equal">
      <formula>"OFF"</formula>
    </cfRule>
    <cfRule type="cellIs" dxfId="12808" priority="10838" operator="equal">
      <formula>"PTO"</formula>
    </cfRule>
  </conditionalFormatting>
  <conditionalFormatting sqref="W19:W28 W30:W32">
    <cfRule type="cellIs" dxfId="12807" priority="10835" operator="equal">
      <formula>"OFF"</formula>
    </cfRule>
    <cfRule type="cellIs" dxfId="12806" priority="10836" operator="equal">
      <formula>"PTO"</formula>
    </cfRule>
  </conditionalFormatting>
  <conditionalFormatting sqref="W19:W28 W30:W32">
    <cfRule type="cellIs" dxfId="12805" priority="10833" operator="equal">
      <formula>"OFF"</formula>
    </cfRule>
    <cfRule type="cellIs" dxfId="12804" priority="10834" operator="equal">
      <formula>"PTO"</formula>
    </cfRule>
  </conditionalFormatting>
  <conditionalFormatting sqref="W19:W28 W30:W32">
    <cfRule type="cellIs" dxfId="12803" priority="10831" operator="equal">
      <formula>"OFF"</formula>
    </cfRule>
    <cfRule type="cellIs" dxfId="12802" priority="10832" operator="equal">
      <formula>"PTO"</formula>
    </cfRule>
  </conditionalFormatting>
  <conditionalFormatting sqref="W19:W28 W30:W32">
    <cfRule type="cellIs" dxfId="12801" priority="10829" operator="equal">
      <formula>"OFF"</formula>
    </cfRule>
    <cfRule type="cellIs" dxfId="12800" priority="10830" operator="equal">
      <formula>"PTO"</formula>
    </cfRule>
  </conditionalFormatting>
  <conditionalFormatting sqref="Q14:V28 R33:S42 Q30:V32">
    <cfRule type="cellIs" dxfId="12799" priority="10825" operator="equal">
      <formula>"OFF"</formula>
    </cfRule>
    <cfRule type="cellIs" dxfId="12798" priority="10826" operator="equal">
      <formula>"PTO"</formula>
    </cfRule>
  </conditionalFormatting>
  <conditionalFormatting sqref="Q14:W28 R33:S42 Q30:W32">
    <cfRule type="cellIs" dxfId="12797" priority="10819" operator="equal">
      <formula>"OFF"</formula>
    </cfRule>
    <cfRule type="cellIs" dxfId="12796" priority="10820" operator="equal">
      <formula>"PTO"</formula>
    </cfRule>
  </conditionalFormatting>
  <conditionalFormatting sqref="Q14:W28 R33:S42 Q30:W32">
    <cfRule type="cellIs" dxfId="12795" priority="10803" operator="equal">
      <formula>"OFF"</formula>
    </cfRule>
    <cfRule type="cellIs" dxfId="12794" priority="10804" operator="equal">
      <formula>"PTO"</formula>
    </cfRule>
  </conditionalFormatting>
  <conditionalFormatting sqref="Q14:W28 R33:S42 Q30:W32">
    <cfRule type="cellIs" dxfId="12793" priority="10771" operator="equal">
      <formula>"OFF"</formula>
    </cfRule>
    <cfRule type="cellIs" dxfId="12792" priority="10772" operator="equal">
      <formula>"PTO"</formula>
    </cfRule>
  </conditionalFormatting>
  <conditionalFormatting sqref="Q14:W28 R33:S42 Q30:W32">
    <cfRule type="cellIs" dxfId="12791" priority="10769" operator="equal">
      <formula>"OFF"</formula>
    </cfRule>
    <cfRule type="cellIs" dxfId="12790" priority="10770" operator="equal">
      <formula>"PTO"</formula>
    </cfRule>
  </conditionalFormatting>
  <conditionalFormatting sqref="S19">
    <cfRule type="cellIs" dxfId="12789" priority="11169" operator="equal">
      <formula>"OFF"</formula>
    </cfRule>
    <cfRule type="cellIs" dxfId="12788" priority="11170" operator="equal">
      <formula>"PTO"</formula>
    </cfRule>
  </conditionalFormatting>
  <conditionalFormatting sqref="S19">
    <cfRule type="cellIs" dxfId="12787" priority="11167" operator="equal">
      <formula>"OFF"</formula>
    </cfRule>
    <cfRule type="cellIs" dxfId="12786" priority="11168" operator="equal">
      <formula>"PTO"</formula>
    </cfRule>
  </conditionalFormatting>
  <conditionalFormatting sqref="S19">
    <cfRule type="cellIs" dxfId="12785" priority="11165" operator="equal">
      <formula>"OFF"</formula>
    </cfRule>
    <cfRule type="cellIs" dxfId="12784" priority="11166" operator="equal">
      <formula>"PTO"</formula>
    </cfRule>
  </conditionalFormatting>
  <conditionalFormatting sqref="S19">
    <cfRule type="cellIs" dxfId="12783" priority="11163" operator="equal">
      <formula>"OFF"</formula>
    </cfRule>
    <cfRule type="cellIs" dxfId="12782" priority="11164" operator="equal">
      <formula>"PTO"</formula>
    </cfRule>
  </conditionalFormatting>
  <conditionalFormatting sqref="S19">
    <cfRule type="cellIs" dxfId="12781" priority="11161" operator="equal">
      <formula>"OFF"</formula>
    </cfRule>
    <cfRule type="cellIs" dxfId="12780" priority="11162" operator="equal">
      <formula>"PTO"</formula>
    </cfRule>
  </conditionalFormatting>
  <conditionalFormatting sqref="S19">
    <cfRule type="cellIs" dxfId="12779" priority="11159" operator="equal">
      <formula>"OFF"</formula>
    </cfRule>
    <cfRule type="cellIs" dxfId="12778" priority="11160" operator="equal">
      <formula>"PTO"</formula>
    </cfRule>
  </conditionalFormatting>
  <conditionalFormatting sqref="S19">
    <cfRule type="cellIs" dxfId="12777" priority="11157" operator="equal">
      <formula>"OFF"</formula>
    </cfRule>
    <cfRule type="cellIs" dxfId="12776" priority="11158" operator="equal">
      <formula>"PTO"</formula>
    </cfRule>
  </conditionalFormatting>
  <conditionalFormatting sqref="S19">
    <cfRule type="cellIs" dxfId="12775" priority="11155" operator="equal">
      <formula>"OFF"</formula>
    </cfRule>
    <cfRule type="cellIs" dxfId="12774" priority="11156" operator="equal">
      <formula>"PTO"</formula>
    </cfRule>
  </conditionalFormatting>
  <conditionalFormatting sqref="S19">
    <cfRule type="cellIs" dxfId="12773" priority="11153" operator="equal">
      <formula>"OFF"</formula>
    </cfRule>
    <cfRule type="cellIs" dxfId="12772" priority="11154" operator="equal">
      <formula>"PTO"</formula>
    </cfRule>
  </conditionalFormatting>
  <conditionalFormatting sqref="S19">
    <cfRule type="cellIs" dxfId="12771" priority="11151" operator="equal">
      <formula>"OFF"</formula>
    </cfRule>
    <cfRule type="cellIs" dxfId="12770" priority="11152" operator="equal">
      <formula>"PTO"</formula>
    </cfRule>
  </conditionalFormatting>
  <conditionalFormatting sqref="S19">
    <cfRule type="cellIs" dxfId="12769" priority="11149" operator="equal">
      <formula>"OFF"</formula>
    </cfRule>
    <cfRule type="cellIs" dxfId="12768" priority="11150" operator="equal">
      <formula>"PTO"</formula>
    </cfRule>
  </conditionalFormatting>
  <conditionalFormatting sqref="S19">
    <cfRule type="cellIs" dxfId="12767" priority="11147" operator="equal">
      <formula>"OFF"</formula>
    </cfRule>
    <cfRule type="cellIs" dxfId="12766" priority="11148" operator="equal">
      <formula>"PTO"</formula>
    </cfRule>
  </conditionalFormatting>
  <conditionalFormatting sqref="V19">
    <cfRule type="cellIs" dxfId="12765" priority="11145" operator="equal">
      <formula>"OFF"</formula>
    </cfRule>
    <cfRule type="cellIs" dxfId="12764" priority="11146" operator="equal">
      <formula>"PTO"</formula>
    </cfRule>
  </conditionalFormatting>
  <conditionalFormatting sqref="V19">
    <cfRule type="cellIs" dxfId="12763" priority="11143" operator="equal">
      <formula>"OFF"</formula>
    </cfRule>
    <cfRule type="cellIs" dxfId="12762" priority="11144" operator="equal">
      <formula>"PTO"</formula>
    </cfRule>
  </conditionalFormatting>
  <conditionalFormatting sqref="V19">
    <cfRule type="cellIs" dxfId="12761" priority="11141" operator="equal">
      <formula>"OFF"</formula>
    </cfRule>
    <cfRule type="cellIs" dxfId="12760" priority="11142" operator="equal">
      <formula>"PTO"</formula>
    </cfRule>
  </conditionalFormatting>
  <conditionalFormatting sqref="V19">
    <cfRule type="cellIs" dxfId="12759" priority="11139" operator="equal">
      <formula>"OFF"</formula>
    </cfRule>
    <cfRule type="cellIs" dxfId="12758" priority="11140" operator="equal">
      <formula>"PTO"</formula>
    </cfRule>
  </conditionalFormatting>
  <conditionalFormatting sqref="V19">
    <cfRule type="cellIs" dxfId="12757" priority="11137" operator="equal">
      <formula>"OFF"</formula>
    </cfRule>
    <cfRule type="cellIs" dxfId="12756" priority="11138" operator="equal">
      <formula>"PTO"</formula>
    </cfRule>
  </conditionalFormatting>
  <conditionalFormatting sqref="V19">
    <cfRule type="cellIs" dxfId="12755" priority="11135" operator="equal">
      <formula>"OFF"</formula>
    </cfRule>
    <cfRule type="cellIs" dxfId="12754" priority="11136" operator="equal">
      <formula>"PTO"</formula>
    </cfRule>
  </conditionalFormatting>
  <conditionalFormatting sqref="V19">
    <cfRule type="cellIs" dxfId="12753" priority="11133" operator="equal">
      <formula>"OFF"</formula>
    </cfRule>
    <cfRule type="cellIs" dxfId="12752" priority="11134" operator="equal">
      <formula>"PTO"</formula>
    </cfRule>
  </conditionalFormatting>
  <conditionalFormatting sqref="V19">
    <cfRule type="cellIs" dxfId="12751" priority="11131" operator="equal">
      <formula>"OFF"</formula>
    </cfRule>
    <cfRule type="cellIs" dxfId="12750" priority="11132" operator="equal">
      <formula>"PTO"</formula>
    </cfRule>
  </conditionalFormatting>
  <conditionalFormatting sqref="V19">
    <cfRule type="cellIs" dxfId="12749" priority="11129" operator="equal">
      <formula>"OFF"</formula>
    </cfRule>
    <cfRule type="cellIs" dxfId="12748" priority="11130" operator="equal">
      <formula>"PTO"</formula>
    </cfRule>
  </conditionalFormatting>
  <conditionalFormatting sqref="V19">
    <cfRule type="cellIs" dxfId="12747" priority="11127" operator="equal">
      <formula>"OFF"</formula>
    </cfRule>
    <cfRule type="cellIs" dxfId="12746" priority="11128" operator="equal">
      <formula>"PTO"</formula>
    </cfRule>
  </conditionalFormatting>
  <conditionalFormatting sqref="V19">
    <cfRule type="cellIs" dxfId="12745" priority="11125" operator="equal">
      <formula>"OFF"</formula>
    </cfRule>
    <cfRule type="cellIs" dxfId="12744" priority="11126" operator="equal">
      <formula>"PTO"</formula>
    </cfRule>
  </conditionalFormatting>
  <conditionalFormatting sqref="V19">
    <cfRule type="cellIs" dxfId="12743" priority="11123" operator="equal">
      <formula>"OFF"</formula>
    </cfRule>
    <cfRule type="cellIs" dxfId="12742" priority="11124" operator="equal">
      <formula>"PTO"</formula>
    </cfRule>
  </conditionalFormatting>
  <conditionalFormatting sqref="V19">
    <cfRule type="cellIs" dxfId="12741" priority="11121" operator="equal">
      <formula>"OFF"</formula>
    </cfRule>
    <cfRule type="cellIs" dxfId="12740" priority="11122" operator="equal">
      <formula>"PTO"</formula>
    </cfRule>
  </conditionalFormatting>
  <conditionalFormatting sqref="V19">
    <cfRule type="cellIs" dxfId="12739" priority="11119" operator="equal">
      <formula>"OFF"</formula>
    </cfRule>
    <cfRule type="cellIs" dxfId="12738" priority="11120" operator="equal">
      <formula>"PTO"</formula>
    </cfRule>
  </conditionalFormatting>
  <conditionalFormatting sqref="V19">
    <cfRule type="cellIs" dxfId="12737" priority="11117" operator="equal">
      <formula>"OFF"</formula>
    </cfRule>
    <cfRule type="cellIs" dxfId="12736" priority="11118" operator="equal">
      <formula>"PTO"</formula>
    </cfRule>
  </conditionalFormatting>
  <conditionalFormatting sqref="V19">
    <cfRule type="cellIs" dxfId="12735" priority="11115" operator="equal">
      <formula>"OFF"</formula>
    </cfRule>
    <cfRule type="cellIs" dxfId="12734" priority="11116" operator="equal">
      <formula>"PTO"</formula>
    </cfRule>
  </conditionalFormatting>
  <conditionalFormatting sqref="Q18:W28 R33:S42 Q30:W32">
    <cfRule type="cellIs" dxfId="12733" priority="11113" operator="equal">
      <formula>"OFF"</formula>
    </cfRule>
    <cfRule type="cellIs" dxfId="12732" priority="11114" operator="equal">
      <formula>"PTO"</formula>
    </cfRule>
  </conditionalFormatting>
  <conditionalFormatting sqref="Q18:W28 R33:S42 Q30:W32">
    <cfRule type="cellIs" dxfId="12731" priority="11111" operator="equal">
      <formula>"OFF"</formula>
    </cfRule>
    <cfRule type="cellIs" dxfId="12730" priority="11112" operator="equal">
      <formula>"PTO"</formula>
    </cfRule>
  </conditionalFormatting>
  <conditionalFormatting sqref="Q18:W28 R33:S42 Q30:W32">
    <cfRule type="cellIs" dxfId="12729" priority="11109" operator="equal">
      <formula>"OFF"</formula>
    </cfRule>
    <cfRule type="cellIs" dxfId="12728" priority="11110" operator="equal">
      <formula>"PTO"</formula>
    </cfRule>
  </conditionalFormatting>
  <conditionalFormatting sqref="Q18:W28 R33:S42 Q30:W32">
    <cfRule type="cellIs" dxfId="12727" priority="11107" operator="equal">
      <formula>"OFF"</formula>
    </cfRule>
    <cfRule type="cellIs" dxfId="12726" priority="11108" operator="equal">
      <formula>"PTO"</formula>
    </cfRule>
  </conditionalFormatting>
  <conditionalFormatting sqref="Q18:W28 R33:S42 Q30:W32">
    <cfRule type="cellIs" dxfId="12725" priority="11105" operator="equal">
      <formula>"OFF"</formula>
    </cfRule>
    <cfRule type="cellIs" dxfId="12724" priority="11106" operator="equal">
      <formula>"PTO"</formula>
    </cfRule>
  </conditionalFormatting>
  <conditionalFormatting sqref="Q18:W28 R33:S42 Q30:W32">
    <cfRule type="cellIs" dxfId="12723" priority="11103" operator="equal">
      <formula>"OFF"</formula>
    </cfRule>
    <cfRule type="cellIs" dxfId="12722" priority="11104" operator="equal">
      <formula>"PTO"</formula>
    </cfRule>
  </conditionalFormatting>
  <conditionalFormatting sqref="Q18:W28 R33:S42 Q30:W32">
    <cfRule type="cellIs" dxfId="12721" priority="11101" operator="equal">
      <formula>"OFF"</formula>
    </cfRule>
    <cfRule type="cellIs" dxfId="12720" priority="11102" operator="equal">
      <formula>"PTO"</formula>
    </cfRule>
  </conditionalFormatting>
  <conditionalFormatting sqref="Q18:W28 R33:S42 Q30:W32">
    <cfRule type="cellIs" dxfId="12719" priority="11099" operator="equal">
      <formula>"OFF"</formula>
    </cfRule>
    <cfRule type="cellIs" dxfId="12718" priority="11100" operator="equal">
      <formula>"PTO"</formula>
    </cfRule>
  </conditionalFormatting>
  <conditionalFormatting sqref="Q18:W28 R33:S42 Q30:W32">
    <cfRule type="cellIs" dxfId="12717" priority="11097" operator="equal">
      <formula>"OFF"</formula>
    </cfRule>
    <cfRule type="cellIs" dxfId="12716" priority="11098" operator="equal">
      <formula>"PTO"</formula>
    </cfRule>
  </conditionalFormatting>
  <conditionalFormatting sqref="Q18:W28 R33:S42 Q30:W32">
    <cfRule type="cellIs" dxfId="12715" priority="11095" operator="equal">
      <formula>"OFF"</formula>
    </cfRule>
    <cfRule type="cellIs" dxfId="12714" priority="11096" operator="equal">
      <formula>"PTO"</formula>
    </cfRule>
  </conditionalFormatting>
  <conditionalFormatting sqref="Q18:W28 R33:S42 Q30:W32">
    <cfRule type="cellIs" dxfId="12713" priority="11093" operator="equal">
      <formula>"OFF"</formula>
    </cfRule>
    <cfRule type="cellIs" dxfId="12712" priority="11094" operator="equal">
      <formula>"PTO"</formula>
    </cfRule>
  </conditionalFormatting>
  <conditionalFormatting sqref="Q18:W28 R33:S42 Q30:W32">
    <cfRule type="cellIs" dxfId="12711" priority="11091" operator="equal">
      <formula>"OFF"</formula>
    </cfRule>
    <cfRule type="cellIs" dxfId="12710" priority="11092" operator="equal">
      <formula>"PTO"</formula>
    </cfRule>
  </conditionalFormatting>
  <conditionalFormatting sqref="Q18:W28 R33:S42 Q30:W32">
    <cfRule type="cellIs" dxfId="12709" priority="11089" operator="equal">
      <formula>"OFF"</formula>
    </cfRule>
    <cfRule type="cellIs" dxfId="12708" priority="11090" operator="equal">
      <formula>"PTO"</formula>
    </cfRule>
  </conditionalFormatting>
  <conditionalFormatting sqref="S18:V28 S33:S42 S30:V32">
    <cfRule type="cellIs" dxfId="12707" priority="11087" operator="equal">
      <formula>"OFF"</formula>
    </cfRule>
    <cfRule type="cellIs" dxfId="12706" priority="11088" operator="equal">
      <formula>"PTO"</formula>
    </cfRule>
  </conditionalFormatting>
  <conditionalFormatting sqref="Q18:W28 R33:S42 Q30:W32">
    <cfRule type="cellIs" dxfId="12705" priority="11085" operator="equal">
      <formula>"OFF"</formula>
    </cfRule>
    <cfRule type="cellIs" dxfId="12704" priority="11086" operator="equal">
      <formula>"PTO"</formula>
    </cfRule>
  </conditionalFormatting>
  <conditionalFormatting sqref="S18:V28 S33:S42 S30:V32">
    <cfRule type="cellIs" dxfId="12703" priority="11083" operator="equal">
      <formula>"OFF"</formula>
    </cfRule>
    <cfRule type="cellIs" dxfId="12702" priority="11084" operator="equal">
      <formula>"PTO"</formula>
    </cfRule>
  </conditionalFormatting>
  <conditionalFormatting sqref="V18:W28 V30:W32">
    <cfRule type="cellIs" dxfId="12701" priority="11081" operator="equal">
      <formula>"OFF"</formula>
    </cfRule>
    <cfRule type="cellIs" dxfId="12700" priority="11082" operator="equal">
      <formula>"PTO"</formula>
    </cfRule>
  </conditionalFormatting>
  <conditionalFormatting sqref="S18:V28 S33:S42 S30:V32">
    <cfRule type="cellIs" dxfId="12699" priority="11079" operator="equal">
      <formula>"OFF"</formula>
    </cfRule>
    <cfRule type="cellIs" dxfId="12698" priority="11080" operator="equal">
      <formula>"PTO"</formula>
    </cfRule>
  </conditionalFormatting>
  <conditionalFormatting sqref="V18:W28 V30:W32">
    <cfRule type="cellIs" dxfId="12697" priority="11077" operator="equal">
      <formula>"OFF"</formula>
    </cfRule>
    <cfRule type="cellIs" dxfId="12696" priority="11078" operator="equal">
      <formula>"PTO"</formula>
    </cfRule>
  </conditionalFormatting>
  <conditionalFormatting sqref="S18:V28 S33:S42 S30:V32">
    <cfRule type="cellIs" dxfId="12695" priority="11075" operator="equal">
      <formula>"OFF"</formula>
    </cfRule>
    <cfRule type="cellIs" dxfId="12694" priority="11076" operator="equal">
      <formula>"PTO"</formula>
    </cfRule>
  </conditionalFormatting>
  <conditionalFormatting sqref="V18:W28 V30:W32">
    <cfRule type="cellIs" dxfId="12693" priority="11073" operator="equal">
      <formula>"OFF"</formula>
    </cfRule>
    <cfRule type="cellIs" dxfId="12692" priority="11074" operator="equal">
      <formula>"PTO"</formula>
    </cfRule>
  </conditionalFormatting>
  <conditionalFormatting sqref="S18:V28 S33:S42 S30:V32">
    <cfRule type="cellIs" dxfId="12691" priority="11071" operator="equal">
      <formula>"OFF"</formula>
    </cfRule>
    <cfRule type="cellIs" dxfId="12690" priority="11072" operator="equal">
      <formula>"PTO"</formula>
    </cfRule>
  </conditionalFormatting>
  <conditionalFormatting sqref="V18:W28 V30:W32">
    <cfRule type="cellIs" dxfId="12689" priority="11069" operator="equal">
      <formula>"OFF"</formula>
    </cfRule>
    <cfRule type="cellIs" dxfId="12688" priority="11070" operator="equal">
      <formula>"PTO"</formula>
    </cfRule>
  </conditionalFormatting>
  <conditionalFormatting sqref="S18:V28 S33:S42 S30:V32">
    <cfRule type="cellIs" dxfId="12687" priority="11067" operator="equal">
      <formula>"OFF"</formula>
    </cfRule>
    <cfRule type="cellIs" dxfId="12686" priority="11068" operator="equal">
      <formula>"PTO"</formula>
    </cfRule>
  </conditionalFormatting>
  <conditionalFormatting sqref="V18:W28 V30:W32">
    <cfRule type="cellIs" dxfId="12685" priority="11065" operator="equal">
      <formula>"OFF"</formula>
    </cfRule>
    <cfRule type="cellIs" dxfId="12684" priority="11066" operator="equal">
      <formula>"PTO"</formula>
    </cfRule>
  </conditionalFormatting>
  <conditionalFormatting sqref="S18:V28 S33:S42 S30:V32">
    <cfRule type="cellIs" dxfId="12683" priority="11063" operator="equal">
      <formula>"OFF"</formula>
    </cfRule>
    <cfRule type="cellIs" dxfId="12682" priority="11064" operator="equal">
      <formula>"PTO"</formula>
    </cfRule>
  </conditionalFormatting>
  <conditionalFormatting sqref="V18:W28 V30:W32">
    <cfRule type="cellIs" dxfId="12681" priority="11061" operator="equal">
      <formula>"OFF"</formula>
    </cfRule>
    <cfRule type="cellIs" dxfId="12680" priority="11062" operator="equal">
      <formula>"PTO"</formula>
    </cfRule>
  </conditionalFormatting>
  <conditionalFormatting sqref="Q25:Q28 Q30:Q32">
    <cfRule type="cellIs" dxfId="12679" priority="11059" operator="equal">
      <formula>"OFF"</formula>
    </cfRule>
    <cfRule type="cellIs" dxfId="12678" priority="11060" operator="equal">
      <formula>"PTO"</formula>
    </cfRule>
  </conditionalFormatting>
  <conditionalFormatting sqref="Q19:V28 R33:S42 Q30:V32">
    <cfRule type="cellIs" dxfId="12677" priority="11057" operator="equal">
      <formula>"OFF"</formula>
    </cfRule>
    <cfRule type="cellIs" dxfId="12676" priority="11058" operator="equal">
      <formula>"PTO"</formula>
    </cfRule>
  </conditionalFormatting>
  <conditionalFormatting sqref="Q21">
    <cfRule type="cellIs" dxfId="12675" priority="11055" operator="equal">
      <formula>"OFF"</formula>
    </cfRule>
    <cfRule type="cellIs" dxfId="12674" priority="11056" operator="equal">
      <formula>"PTO"</formula>
    </cfRule>
  </conditionalFormatting>
  <conditionalFormatting sqref="Q21">
    <cfRule type="cellIs" dxfId="12673" priority="11053" operator="equal">
      <formula>"OFF"</formula>
    </cfRule>
    <cfRule type="cellIs" dxfId="12672" priority="11054" operator="equal">
      <formula>"PTO"</formula>
    </cfRule>
  </conditionalFormatting>
  <conditionalFormatting sqref="Q21">
    <cfRule type="cellIs" dxfId="12671" priority="11051" operator="equal">
      <formula>"OFF"</formula>
    </cfRule>
    <cfRule type="cellIs" dxfId="12670" priority="11052" operator="equal">
      <formula>"PTO"</formula>
    </cfRule>
  </conditionalFormatting>
  <conditionalFormatting sqref="Q21">
    <cfRule type="cellIs" dxfId="12669" priority="11049" operator="equal">
      <formula>"OFF"</formula>
    </cfRule>
    <cfRule type="cellIs" dxfId="12668" priority="11050" operator="equal">
      <formula>"PTO"</formula>
    </cfRule>
  </conditionalFormatting>
  <conditionalFormatting sqref="Q23">
    <cfRule type="cellIs" dxfId="12667" priority="11047" operator="equal">
      <formula>"OFF"</formula>
    </cfRule>
    <cfRule type="cellIs" dxfId="12666" priority="11048" operator="equal">
      <formula>"PTO"</formula>
    </cfRule>
  </conditionalFormatting>
  <conditionalFormatting sqref="Q19:V28 R33:S42 Q30:V32">
    <cfRule type="cellIs" dxfId="12665" priority="11045" operator="equal">
      <formula>"OFF"</formula>
    </cfRule>
    <cfRule type="cellIs" dxfId="12664" priority="11046" operator="equal">
      <formula>"PTO"</formula>
    </cfRule>
  </conditionalFormatting>
  <conditionalFormatting sqref="Q21">
    <cfRule type="cellIs" dxfId="12663" priority="11043" operator="equal">
      <formula>"OFF"</formula>
    </cfRule>
    <cfRule type="cellIs" dxfId="12662" priority="11044" operator="equal">
      <formula>"PTO"</formula>
    </cfRule>
  </conditionalFormatting>
  <conditionalFormatting sqref="Q21">
    <cfRule type="cellIs" dxfId="12661" priority="11041" operator="equal">
      <formula>"OFF"</formula>
    </cfRule>
    <cfRule type="cellIs" dxfId="12660" priority="11042" operator="equal">
      <formula>"PTO"</formula>
    </cfRule>
  </conditionalFormatting>
  <conditionalFormatting sqref="Q21">
    <cfRule type="cellIs" dxfId="12659" priority="11039" operator="equal">
      <formula>"OFF"</formula>
    </cfRule>
    <cfRule type="cellIs" dxfId="12658" priority="11040" operator="equal">
      <formula>"PTO"</formula>
    </cfRule>
  </conditionalFormatting>
  <conditionalFormatting sqref="Q21">
    <cfRule type="cellIs" dxfId="12657" priority="11037" operator="equal">
      <formula>"OFF"</formula>
    </cfRule>
    <cfRule type="cellIs" dxfId="12656" priority="11038" operator="equal">
      <formula>"PTO"</formula>
    </cfRule>
  </conditionalFormatting>
  <conditionalFormatting sqref="Q23">
    <cfRule type="cellIs" dxfId="12655" priority="11035" operator="equal">
      <formula>"OFF"</formula>
    </cfRule>
    <cfRule type="cellIs" dxfId="12654" priority="11036" operator="equal">
      <formula>"PTO"</formula>
    </cfRule>
  </conditionalFormatting>
  <conditionalFormatting sqref="Q19:Q28 Q30:Q32">
    <cfRule type="cellIs" dxfId="12653" priority="11033" operator="equal">
      <formula>"OFF"</formula>
    </cfRule>
    <cfRule type="cellIs" dxfId="12652" priority="11034" operator="equal">
      <formula>"PTO"</formula>
    </cfRule>
  </conditionalFormatting>
  <conditionalFormatting sqref="Q19:Q28 Q30:Q32">
    <cfRule type="cellIs" dxfId="12651" priority="11031" operator="equal">
      <formula>"OFF"</formula>
    </cfRule>
    <cfRule type="cellIs" dxfId="12650" priority="11032" operator="equal">
      <formula>"PTO"</formula>
    </cfRule>
  </conditionalFormatting>
  <conditionalFormatting sqref="Q19:Q28 Q30:Q32">
    <cfRule type="cellIs" dxfId="12649" priority="11029" operator="equal">
      <formula>"OFF"</formula>
    </cfRule>
    <cfRule type="cellIs" dxfId="12648" priority="11030" operator="equal">
      <formula>"PTO"</formula>
    </cfRule>
  </conditionalFormatting>
  <conditionalFormatting sqref="Q19:Q28 Q30:Q32">
    <cfRule type="cellIs" dxfId="12647" priority="11027" operator="equal">
      <formula>"OFF"</formula>
    </cfRule>
    <cfRule type="cellIs" dxfId="12646" priority="11028" operator="equal">
      <formula>"PTO"</formula>
    </cfRule>
  </conditionalFormatting>
  <conditionalFormatting sqref="R19:V28 R33:S42 R30:V32">
    <cfRule type="cellIs" dxfId="12645" priority="11025" operator="equal">
      <formula>"OFF"</formula>
    </cfRule>
    <cfRule type="cellIs" dxfId="12644" priority="11026" operator="equal">
      <formula>"PTO"</formula>
    </cfRule>
  </conditionalFormatting>
  <conditionalFormatting sqref="R19:V28 R33:S42 R30:V32">
    <cfRule type="cellIs" dxfId="12643" priority="11023" operator="equal">
      <formula>"OFF"</formula>
    </cfRule>
    <cfRule type="cellIs" dxfId="12642" priority="11024" operator="equal">
      <formula>"PTO"</formula>
    </cfRule>
  </conditionalFormatting>
  <conditionalFormatting sqref="R19:V28 R33:S42 R30:V32">
    <cfRule type="cellIs" dxfId="12641" priority="11021" operator="equal">
      <formula>"OFF"</formula>
    </cfRule>
    <cfRule type="cellIs" dxfId="12640" priority="11022" operator="equal">
      <formula>"PTO"</formula>
    </cfRule>
  </conditionalFormatting>
  <conditionalFormatting sqref="R19:V28 R33:S42 R30:V32">
    <cfRule type="cellIs" dxfId="12639" priority="11019" operator="equal">
      <formula>"OFF"</formula>
    </cfRule>
    <cfRule type="cellIs" dxfId="12638" priority="11020" operator="equal">
      <formula>"PTO"</formula>
    </cfRule>
  </conditionalFormatting>
  <conditionalFormatting sqref="Q22">
    <cfRule type="cellIs" dxfId="12637" priority="11017" operator="equal">
      <formula>"OFF"</formula>
    </cfRule>
    <cfRule type="cellIs" dxfId="12636" priority="11018" operator="equal">
      <formula>"PTO"</formula>
    </cfRule>
  </conditionalFormatting>
  <conditionalFormatting sqref="Q19:Q28 Q30:Q32">
    <cfRule type="cellIs" dxfId="12635" priority="11015" operator="equal">
      <formula>"OFF"</formula>
    </cfRule>
    <cfRule type="cellIs" dxfId="12634" priority="11016" operator="equal">
      <formula>"PTO"</formula>
    </cfRule>
  </conditionalFormatting>
  <conditionalFormatting sqref="Q19:Q28 Q30:Q32">
    <cfRule type="cellIs" dxfId="12633" priority="11013" operator="equal">
      <formula>"OFF"</formula>
    </cfRule>
    <cfRule type="cellIs" dxfId="12632" priority="11014" operator="equal">
      <formula>"PTO"</formula>
    </cfRule>
  </conditionalFormatting>
  <conditionalFormatting sqref="Q19:Q28 Q30:Q32">
    <cfRule type="cellIs" dxfId="12631" priority="11011" operator="equal">
      <formula>"OFF"</formula>
    </cfRule>
    <cfRule type="cellIs" dxfId="12630" priority="11012" operator="equal">
      <formula>"PTO"</formula>
    </cfRule>
  </conditionalFormatting>
  <conditionalFormatting sqref="Q19:Q28 Q30:Q32">
    <cfRule type="cellIs" dxfId="12629" priority="11009" operator="equal">
      <formula>"OFF"</formula>
    </cfRule>
    <cfRule type="cellIs" dxfId="12628" priority="11010" operator="equal">
      <formula>"PTO"</formula>
    </cfRule>
  </conditionalFormatting>
  <conditionalFormatting sqref="R19:V28 R33:S42 R30:V32">
    <cfRule type="cellIs" dxfId="12627" priority="11007" operator="equal">
      <formula>"OFF"</formula>
    </cfRule>
    <cfRule type="cellIs" dxfId="12626" priority="11008" operator="equal">
      <formula>"PTO"</formula>
    </cfRule>
  </conditionalFormatting>
  <conditionalFormatting sqref="R19:V28 R33:S42 R30:V32">
    <cfRule type="cellIs" dxfId="12625" priority="11005" operator="equal">
      <formula>"OFF"</formula>
    </cfRule>
    <cfRule type="cellIs" dxfId="12624" priority="11006" operator="equal">
      <formula>"PTO"</formula>
    </cfRule>
  </conditionalFormatting>
  <conditionalFormatting sqref="R19:V28 R33:S42 R30:V32">
    <cfRule type="cellIs" dxfId="12623" priority="11003" operator="equal">
      <formula>"OFF"</formula>
    </cfRule>
    <cfRule type="cellIs" dxfId="12622" priority="11004" operator="equal">
      <formula>"PTO"</formula>
    </cfRule>
  </conditionalFormatting>
  <conditionalFormatting sqref="R19:V28 R33:S42 R30:V32">
    <cfRule type="cellIs" dxfId="12621" priority="11001" operator="equal">
      <formula>"OFF"</formula>
    </cfRule>
    <cfRule type="cellIs" dxfId="12620" priority="11002" operator="equal">
      <formula>"PTO"</formula>
    </cfRule>
  </conditionalFormatting>
  <conditionalFormatting sqref="Q22">
    <cfRule type="cellIs" dxfId="12619" priority="10999" operator="equal">
      <formula>"OFF"</formula>
    </cfRule>
    <cfRule type="cellIs" dxfId="12618" priority="11000" operator="equal">
      <formula>"PTO"</formula>
    </cfRule>
  </conditionalFormatting>
  <conditionalFormatting sqref="Q19:Q28 Q30:Q32">
    <cfRule type="cellIs" dxfId="12617" priority="10997" operator="equal">
      <formula>"OFF"</formula>
    </cfRule>
    <cfRule type="cellIs" dxfId="12616" priority="10998" operator="equal">
      <formula>"PTO"</formula>
    </cfRule>
  </conditionalFormatting>
  <conditionalFormatting sqref="Q19:Q28 Q30:Q32">
    <cfRule type="cellIs" dxfId="12615" priority="10995" operator="equal">
      <formula>"OFF"</formula>
    </cfRule>
    <cfRule type="cellIs" dxfId="12614" priority="10996" operator="equal">
      <formula>"PTO"</formula>
    </cfRule>
  </conditionalFormatting>
  <conditionalFormatting sqref="Q19:Q28 Q30:Q32">
    <cfRule type="cellIs" dxfId="12613" priority="10993" operator="equal">
      <formula>"OFF"</formula>
    </cfRule>
    <cfRule type="cellIs" dxfId="12612" priority="10994" operator="equal">
      <formula>"PTO"</formula>
    </cfRule>
  </conditionalFormatting>
  <conditionalFormatting sqref="Q19:Q28 Q30:Q32">
    <cfRule type="cellIs" dxfId="12611" priority="10991" operator="equal">
      <formula>"OFF"</formula>
    </cfRule>
    <cfRule type="cellIs" dxfId="12610" priority="10992" operator="equal">
      <formula>"PTO"</formula>
    </cfRule>
  </conditionalFormatting>
  <conditionalFormatting sqref="R19:V28 R33:S42 R30:V32">
    <cfRule type="cellIs" dxfId="12609" priority="10989" operator="equal">
      <formula>"OFF"</formula>
    </cfRule>
    <cfRule type="cellIs" dxfId="12608" priority="10990" operator="equal">
      <formula>"PTO"</formula>
    </cfRule>
  </conditionalFormatting>
  <conditionalFormatting sqref="R19:V28 R33:S42 R30:V32">
    <cfRule type="cellIs" dxfId="12607" priority="10987" operator="equal">
      <formula>"OFF"</formula>
    </cfRule>
    <cfRule type="cellIs" dxfId="12606" priority="10988" operator="equal">
      <formula>"PTO"</formula>
    </cfRule>
  </conditionalFormatting>
  <conditionalFormatting sqref="R19:V28 R33:S42 R30:V32">
    <cfRule type="cellIs" dxfId="12605" priority="10985" operator="equal">
      <formula>"OFF"</formula>
    </cfRule>
    <cfRule type="cellIs" dxfId="12604" priority="10986" operator="equal">
      <formula>"PTO"</formula>
    </cfRule>
  </conditionalFormatting>
  <conditionalFormatting sqref="R19:V28 R33:S42 R30:V32">
    <cfRule type="cellIs" dxfId="12603" priority="10983" operator="equal">
      <formula>"OFF"</formula>
    </cfRule>
    <cfRule type="cellIs" dxfId="12602" priority="10984" operator="equal">
      <formula>"PTO"</formula>
    </cfRule>
  </conditionalFormatting>
  <conditionalFormatting sqref="Q19:Q28 Q30:Q32">
    <cfRule type="cellIs" dxfId="12601" priority="10981" operator="equal">
      <formula>"OFF"</formula>
    </cfRule>
    <cfRule type="cellIs" dxfId="12600" priority="10982" operator="equal">
      <formula>"PTO"</formula>
    </cfRule>
  </conditionalFormatting>
  <conditionalFormatting sqref="Q19:Q28 Q30:Q32">
    <cfRule type="cellIs" dxfId="12599" priority="10979" operator="equal">
      <formula>"OFF"</formula>
    </cfRule>
    <cfRule type="cellIs" dxfId="12598" priority="10980" operator="equal">
      <formula>"PTO"</formula>
    </cfRule>
  </conditionalFormatting>
  <conditionalFormatting sqref="Q19:Q28 Q30:Q32">
    <cfRule type="cellIs" dxfId="12597" priority="10977" operator="equal">
      <formula>"OFF"</formula>
    </cfRule>
    <cfRule type="cellIs" dxfId="12596" priority="10978" operator="equal">
      <formula>"PTO"</formula>
    </cfRule>
  </conditionalFormatting>
  <conditionalFormatting sqref="Q19:Q28 Q30:Q32">
    <cfRule type="cellIs" dxfId="12595" priority="10975" operator="equal">
      <formula>"OFF"</formula>
    </cfRule>
    <cfRule type="cellIs" dxfId="12594" priority="10976" operator="equal">
      <formula>"PTO"</formula>
    </cfRule>
  </conditionalFormatting>
  <conditionalFormatting sqref="R19:V28 R33:S42 R30:V32">
    <cfRule type="cellIs" dxfId="12593" priority="10973" operator="equal">
      <formula>"OFF"</formula>
    </cfRule>
    <cfRule type="cellIs" dxfId="12592" priority="10974" operator="equal">
      <formula>"PTO"</formula>
    </cfRule>
  </conditionalFormatting>
  <conditionalFormatting sqref="R19:V28 R33:S42 R30:V32">
    <cfRule type="cellIs" dxfId="12591" priority="10971" operator="equal">
      <formula>"OFF"</formula>
    </cfRule>
    <cfRule type="cellIs" dxfId="12590" priority="10972" operator="equal">
      <formula>"PTO"</formula>
    </cfRule>
  </conditionalFormatting>
  <conditionalFormatting sqref="R19:V28 R33:S42 R30:V32">
    <cfRule type="cellIs" dxfId="12589" priority="10969" operator="equal">
      <formula>"OFF"</formula>
    </cfRule>
    <cfRule type="cellIs" dxfId="12588" priority="10970" operator="equal">
      <formula>"PTO"</formula>
    </cfRule>
  </conditionalFormatting>
  <conditionalFormatting sqref="R19:V28 R33:S42 R30:V32">
    <cfRule type="cellIs" dxfId="12587" priority="10967" operator="equal">
      <formula>"OFF"</formula>
    </cfRule>
    <cfRule type="cellIs" dxfId="12586" priority="10968" operator="equal">
      <formula>"PTO"</formula>
    </cfRule>
  </conditionalFormatting>
  <conditionalFormatting sqref="Q21">
    <cfRule type="cellIs" dxfId="12585" priority="10965" operator="equal">
      <formula>"OFF"</formula>
    </cfRule>
    <cfRule type="cellIs" dxfId="12584" priority="10966" operator="equal">
      <formula>"PTO"</formula>
    </cfRule>
  </conditionalFormatting>
  <conditionalFormatting sqref="Q21">
    <cfRule type="cellIs" dxfId="12583" priority="10963" operator="equal">
      <formula>"OFF"</formula>
    </cfRule>
    <cfRule type="cellIs" dxfId="12582" priority="10964" operator="equal">
      <formula>"PTO"</formula>
    </cfRule>
  </conditionalFormatting>
  <conditionalFormatting sqref="Q19:Q28 Q30:Q32">
    <cfRule type="cellIs" dxfId="12581" priority="10961" operator="equal">
      <formula>"OFF"</formula>
    </cfRule>
    <cfRule type="cellIs" dxfId="12580" priority="10962" operator="equal">
      <formula>"PTO"</formula>
    </cfRule>
  </conditionalFormatting>
  <conditionalFormatting sqref="Q19:Q28 Q30:Q32">
    <cfRule type="cellIs" dxfId="12579" priority="10959" operator="equal">
      <formula>"OFF"</formula>
    </cfRule>
    <cfRule type="cellIs" dxfId="12578" priority="10960" operator="equal">
      <formula>"PTO"</formula>
    </cfRule>
  </conditionalFormatting>
  <conditionalFormatting sqref="Q19:Q28 Q30:Q32">
    <cfRule type="cellIs" dxfId="12577" priority="10957" operator="equal">
      <formula>"OFF"</formula>
    </cfRule>
    <cfRule type="cellIs" dxfId="12576" priority="10958" operator="equal">
      <formula>"PTO"</formula>
    </cfRule>
  </conditionalFormatting>
  <conditionalFormatting sqref="Q19:Q28 Q30:Q32">
    <cfRule type="cellIs" dxfId="12575" priority="10955" operator="equal">
      <formula>"OFF"</formula>
    </cfRule>
    <cfRule type="cellIs" dxfId="12574" priority="10956" operator="equal">
      <formula>"PTO"</formula>
    </cfRule>
  </conditionalFormatting>
  <conditionalFormatting sqref="Q19:Q28 Q30:Q32">
    <cfRule type="cellIs" dxfId="12573" priority="10953" operator="equal">
      <formula>"OFF"</formula>
    </cfRule>
    <cfRule type="cellIs" dxfId="12572" priority="10954" operator="equal">
      <formula>"PTO"</formula>
    </cfRule>
  </conditionalFormatting>
  <conditionalFormatting sqref="Q19:Q28 Q30:Q32">
    <cfRule type="cellIs" dxfId="12571" priority="10951" operator="equal">
      <formula>"OFF"</formula>
    </cfRule>
    <cfRule type="cellIs" dxfId="12570" priority="10952" operator="equal">
      <formula>"PTO"</formula>
    </cfRule>
  </conditionalFormatting>
  <conditionalFormatting sqref="Q19:Q28 Q30:Q32">
    <cfRule type="cellIs" dxfId="12569" priority="10949" operator="equal">
      <formula>"OFF"</formula>
    </cfRule>
    <cfRule type="cellIs" dxfId="12568" priority="10950" operator="equal">
      <formula>"PTO"</formula>
    </cfRule>
  </conditionalFormatting>
  <conditionalFormatting sqref="Q19:Q28 Q30:Q32">
    <cfRule type="cellIs" dxfId="12567" priority="10947" operator="equal">
      <formula>"OFF"</formula>
    </cfRule>
    <cfRule type="cellIs" dxfId="12566" priority="10948" operator="equal">
      <formula>"PTO"</formula>
    </cfRule>
  </conditionalFormatting>
  <conditionalFormatting sqref="Q19:Q28 Q30:Q32">
    <cfRule type="cellIs" dxfId="12565" priority="10945" operator="equal">
      <formula>"OFF"</formula>
    </cfRule>
    <cfRule type="cellIs" dxfId="12564" priority="10946" operator="equal">
      <formula>"PTO"</formula>
    </cfRule>
  </conditionalFormatting>
  <conditionalFormatting sqref="Q19:Q28 Q30:Q32">
    <cfRule type="cellIs" dxfId="12563" priority="10943" operator="equal">
      <formula>"OFF"</formula>
    </cfRule>
    <cfRule type="cellIs" dxfId="12562" priority="10944" operator="equal">
      <formula>"PTO"</formula>
    </cfRule>
  </conditionalFormatting>
  <conditionalFormatting sqref="Q19:Q28 Q30:Q32">
    <cfRule type="cellIs" dxfId="12561" priority="10941" operator="equal">
      <formula>"OFF"</formula>
    </cfRule>
    <cfRule type="cellIs" dxfId="12560" priority="10942" operator="equal">
      <formula>"PTO"</formula>
    </cfRule>
  </conditionalFormatting>
  <conditionalFormatting sqref="Q19:Q28 Q30:Q32">
    <cfRule type="cellIs" dxfId="12559" priority="10939" operator="equal">
      <formula>"OFF"</formula>
    </cfRule>
    <cfRule type="cellIs" dxfId="12558" priority="10940" operator="equal">
      <formula>"PTO"</formula>
    </cfRule>
  </conditionalFormatting>
  <conditionalFormatting sqref="Q19:Q28 Q30:Q32">
    <cfRule type="cellIs" dxfId="12557" priority="10937" operator="equal">
      <formula>"OFF"</formula>
    </cfRule>
    <cfRule type="cellIs" dxfId="12556" priority="10938" operator="equal">
      <formula>"PTO"</formula>
    </cfRule>
  </conditionalFormatting>
  <conditionalFormatting sqref="Q19:Q28 Q30:Q32">
    <cfRule type="cellIs" dxfId="12555" priority="10935" operator="equal">
      <formula>"OFF"</formula>
    </cfRule>
    <cfRule type="cellIs" dxfId="12554" priority="10936" operator="equal">
      <formula>"PTO"</formula>
    </cfRule>
  </conditionalFormatting>
  <conditionalFormatting sqref="Q19:Q28 Q30:Q32">
    <cfRule type="cellIs" dxfId="12553" priority="10933" operator="equal">
      <formula>"OFF"</formula>
    </cfRule>
    <cfRule type="cellIs" dxfId="12552" priority="10934" operator="equal">
      <formula>"PTO"</formula>
    </cfRule>
  </conditionalFormatting>
  <conditionalFormatting sqref="Q19:Q28 Q30:Q32">
    <cfRule type="cellIs" dxfId="12551" priority="10931" operator="equal">
      <formula>"OFF"</formula>
    </cfRule>
    <cfRule type="cellIs" dxfId="12550" priority="10932" operator="equal">
      <formula>"PTO"</formula>
    </cfRule>
  </conditionalFormatting>
  <conditionalFormatting sqref="Q19:Q28 Q30:Q32">
    <cfRule type="cellIs" dxfId="12549" priority="10929" operator="equal">
      <formula>"OFF"</formula>
    </cfRule>
    <cfRule type="cellIs" dxfId="12548" priority="10930" operator="equal">
      <formula>"PTO"</formula>
    </cfRule>
  </conditionalFormatting>
  <conditionalFormatting sqref="Q19:Q28 Q30:Q32">
    <cfRule type="cellIs" dxfId="12547" priority="10927" operator="equal">
      <formula>"OFF"</formula>
    </cfRule>
    <cfRule type="cellIs" dxfId="12546" priority="10928" operator="equal">
      <formula>"PTO"</formula>
    </cfRule>
  </conditionalFormatting>
  <conditionalFormatting sqref="Q19:Q28 Q30:Q32">
    <cfRule type="cellIs" dxfId="12545" priority="10925" operator="equal">
      <formula>"OFF"</formula>
    </cfRule>
    <cfRule type="cellIs" dxfId="12544" priority="10926" operator="equal">
      <formula>"PTO"</formula>
    </cfRule>
  </conditionalFormatting>
  <conditionalFormatting sqref="Q19:Q28 Q30:Q32">
    <cfRule type="cellIs" dxfId="12543" priority="10923" operator="equal">
      <formula>"OFF"</formula>
    </cfRule>
    <cfRule type="cellIs" dxfId="12542" priority="10924" operator="equal">
      <formula>"PTO"</formula>
    </cfRule>
  </conditionalFormatting>
  <conditionalFormatting sqref="Q19:Q28 Q30:Q32">
    <cfRule type="cellIs" dxfId="12541" priority="10921" operator="equal">
      <formula>"OFF"</formula>
    </cfRule>
    <cfRule type="cellIs" dxfId="12540" priority="10922" operator="equal">
      <formula>"PTO"</formula>
    </cfRule>
  </conditionalFormatting>
  <conditionalFormatting sqref="Q19:Q28 Q30:Q32">
    <cfRule type="cellIs" dxfId="12539" priority="10919" operator="equal">
      <formula>"OFF"</formula>
    </cfRule>
    <cfRule type="cellIs" dxfId="12538" priority="10920" operator="equal">
      <formula>"PTO"</formula>
    </cfRule>
  </conditionalFormatting>
  <conditionalFormatting sqref="Q19:Q28 Q30:Q32">
    <cfRule type="cellIs" dxfId="12537" priority="10917" operator="equal">
      <formula>"OFF"</formula>
    </cfRule>
    <cfRule type="cellIs" dxfId="12536" priority="10918" operator="equal">
      <formula>"PTO"</formula>
    </cfRule>
  </conditionalFormatting>
  <conditionalFormatting sqref="Q19:Q28 Q30:Q32">
    <cfRule type="cellIs" dxfId="12535" priority="10915" operator="equal">
      <formula>"OFF"</formula>
    </cfRule>
    <cfRule type="cellIs" dxfId="12534" priority="10916" operator="equal">
      <formula>"PTO"</formula>
    </cfRule>
  </conditionalFormatting>
  <conditionalFormatting sqref="Q19:Q28 Q30:Q32">
    <cfRule type="cellIs" dxfId="12533" priority="10913" operator="equal">
      <formula>"OFF"</formula>
    </cfRule>
    <cfRule type="cellIs" dxfId="12532" priority="10914" operator="equal">
      <formula>"PTO"</formula>
    </cfRule>
  </conditionalFormatting>
  <conditionalFormatting sqref="R19:V28 R33:S42 R30:V32">
    <cfRule type="cellIs" dxfId="12531" priority="10911" operator="equal">
      <formula>"OFF"</formula>
    </cfRule>
    <cfRule type="cellIs" dxfId="12530" priority="10912" operator="equal">
      <formula>"PTO"</formula>
    </cfRule>
  </conditionalFormatting>
  <conditionalFormatting sqref="R19:V28 R33:S42 R30:V32">
    <cfRule type="cellIs" dxfId="12529" priority="10909" operator="equal">
      <formula>"OFF"</formula>
    </cfRule>
    <cfRule type="cellIs" dxfId="12528" priority="10910" operator="equal">
      <formula>"PTO"</formula>
    </cfRule>
  </conditionalFormatting>
  <conditionalFormatting sqref="R19:V28 R33:S42 R30:V32">
    <cfRule type="cellIs" dxfId="12527" priority="10907" operator="equal">
      <formula>"OFF"</formula>
    </cfRule>
    <cfRule type="cellIs" dxfId="12526" priority="10908" operator="equal">
      <formula>"PTO"</formula>
    </cfRule>
  </conditionalFormatting>
  <conditionalFormatting sqref="R19:V28 R33:S42 R30:V32">
    <cfRule type="cellIs" dxfId="12525" priority="10905" operator="equal">
      <formula>"OFF"</formula>
    </cfRule>
    <cfRule type="cellIs" dxfId="12524" priority="10906" operator="equal">
      <formula>"PTO"</formula>
    </cfRule>
  </conditionalFormatting>
  <conditionalFormatting sqref="R19:V28 R33:S42 R30:V32">
    <cfRule type="cellIs" dxfId="12523" priority="10903" operator="equal">
      <formula>"OFF"</formula>
    </cfRule>
    <cfRule type="cellIs" dxfId="12522" priority="10904" operator="equal">
      <formula>"PTO"</formula>
    </cfRule>
  </conditionalFormatting>
  <conditionalFormatting sqref="R19:V28 R33:S42 R30:V32">
    <cfRule type="cellIs" dxfId="12521" priority="10901" operator="equal">
      <formula>"OFF"</formula>
    </cfRule>
    <cfRule type="cellIs" dxfId="12520" priority="10902" operator="equal">
      <formula>"PTO"</formula>
    </cfRule>
  </conditionalFormatting>
  <conditionalFormatting sqref="R19:V28 R33:S42 R30:V32">
    <cfRule type="cellIs" dxfId="12519" priority="10899" operator="equal">
      <formula>"OFF"</formula>
    </cfRule>
    <cfRule type="cellIs" dxfId="12518" priority="10900" operator="equal">
      <formula>"PTO"</formula>
    </cfRule>
  </conditionalFormatting>
  <conditionalFormatting sqref="R19:V28 R33:S42 R30:V32">
    <cfRule type="cellIs" dxfId="12517" priority="10897" operator="equal">
      <formula>"OFF"</formula>
    </cfRule>
    <cfRule type="cellIs" dxfId="12516" priority="10898" operator="equal">
      <formula>"PTO"</formula>
    </cfRule>
  </conditionalFormatting>
  <conditionalFormatting sqref="R19:V28 R33:S42 R30:V32">
    <cfRule type="cellIs" dxfId="12515" priority="10895" operator="equal">
      <formula>"OFF"</formula>
    </cfRule>
    <cfRule type="cellIs" dxfId="12514" priority="10896" operator="equal">
      <formula>"PTO"</formula>
    </cfRule>
  </conditionalFormatting>
  <conditionalFormatting sqref="R19:V28 R33:S42 R30:V32">
    <cfRule type="cellIs" dxfId="12513" priority="10893" operator="equal">
      <formula>"OFF"</formula>
    </cfRule>
    <cfRule type="cellIs" dxfId="12512" priority="10894" operator="equal">
      <formula>"PTO"</formula>
    </cfRule>
  </conditionalFormatting>
  <conditionalFormatting sqref="R19:V28 R33:S42 R30:V32">
    <cfRule type="cellIs" dxfId="12511" priority="10891" operator="equal">
      <formula>"OFF"</formula>
    </cfRule>
    <cfRule type="cellIs" dxfId="12510" priority="10892" operator="equal">
      <formula>"PTO"</formula>
    </cfRule>
  </conditionalFormatting>
  <conditionalFormatting sqref="R19:V28 R33:S42 R30:V32">
    <cfRule type="cellIs" dxfId="12509" priority="10889" operator="equal">
      <formula>"OFF"</formula>
    </cfRule>
    <cfRule type="cellIs" dxfId="12508" priority="10890" operator="equal">
      <formula>"PTO"</formula>
    </cfRule>
  </conditionalFormatting>
  <conditionalFormatting sqref="R19:V28 R33:S42 R30:V32">
    <cfRule type="cellIs" dxfId="12507" priority="10887" operator="equal">
      <formula>"OFF"</formula>
    </cfRule>
    <cfRule type="cellIs" dxfId="12506" priority="10888" operator="equal">
      <formula>"PTO"</formula>
    </cfRule>
  </conditionalFormatting>
  <conditionalFormatting sqref="R19:V28 R33:S42 R30:V32">
    <cfRule type="cellIs" dxfId="12505" priority="10885" operator="equal">
      <formula>"OFF"</formula>
    </cfRule>
    <cfRule type="cellIs" dxfId="12504" priority="10886" operator="equal">
      <formula>"PTO"</formula>
    </cfRule>
  </conditionalFormatting>
  <conditionalFormatting sqref="R19:V28 R33:S42 R30:V32">
    <cfRule type="cellIs" dxfId="12503" priority="10883" operator="equal">
      <formula>"OFF"</formula>
    </cfRule>
    <cfRule type="cellIs" dxfId="12502" priority="10884" operator="equal">
      <formula>"PTO"</formula>
    </cfRule>
  </conditionalFormatting>
  <conditionalFormatting sqref="R19:V28 R33:S42 R30:V32">
    <cfRule type="cellIs" dxfId="12501" priority="10881" operator="equal">
      <formula>"OFF"</formula>
    </cfRule>
    <cfRule type="cellIs" dxfId="12500" priority="10882" operator="equal">
      <formula>"PTO"</formula>
    </cfRule>
  </conditionalFormatting>
  <conditionalFormatting sqref="R19:V28 R33:S42 R30:V32">
    <cfRule type="cellIs" dxfId="12499" priority="10879" operator="equal">
      <formula>"OFF"</formula>
    </cfRule>
    <cfRule type="cellIs" dxfId="12498" priority="10880" operator="equal">
      <formula>"PTO"</formula>
    </cfRule>
  </conditionalFormatting>
  <conditionalFormatting sqref="R19:V28 R33:S42 R30:V32">
    <cfRule type="cellIs" dxfId="12497" priority="10877" operator="equal">
      <formula>"OFF"</formula>
    </cfRule>
    <cfRule type="cellIs" dxfId="12496" priority="10878" operator="equal">
      <formula>"PTO"</formula>
    </cfRule>
  </conditionalFormatting>
  <conditionalFormatting sqref="R19:V28 R33:S42 R30:V32">
    <cfRule type="cellIs" dxfId="12495" priority="10875" operator="equal">
      <formula>"OFF"</formula>
    </cfRule>
    <cfRule type="cellIs" dxfId="12494" priority="10876" operator="equal">
      <formula>"PTO"</formula>
    </cfRule>
  </conditionalFormatting>
  <conditionalFormatting sqref="R19:V28 R33:S42 R30:V32">
    <cfRule type="cellIs" dxfId="12493" priority="10873" operator="equal">
      <formula>"OFF"</formula>
    </cfRule>
    <cfRule type="cellIs" dxfId="12492" priority="10874" operator="equal">
      <formula>"PTO"</formula>
    </cfRule>
  </conditionalFormatting>
  <conditionalFormatting sqref="R19:V28 R33:S42 R30:V32">
    <cfRule type="cellIs" dxfId="12491" priority="10871" operator="equal">
      <formula>"OFF"</formula>
    </cfRule>
    <cfRule type="cellIs" dxfId="12490" priority="10872" operator="equal">
      <formula>"PTO"</formula>
    </cfRule>
  </conditionalFormatting>
  <conditionalFormatting sqref="R19:V28 R33:S42 R30:V32">
    <cfRule type="cellIs" dxfId="12489" priority="10869" operator="equal">
      <formula>"OFF"</formula>
    </cfRule>
    <cfRule type="cellIs" dxfId="12488" priority="10870" operator="equal">
      <formula>"PTO"</formula>
    </cfRule>
  </conditionalFormatting>
  <conditionalFormatting sqref="R19:V28 R33:S42 R30:V32">
    <cfRule type="cellIs" dxfId="12487" priority="10867" operator="equal">
      <formula>"OFF"</formula>
    </cfRule>
    <cfRule type="cellIs" dxfId="12486" priority="10868" operator="equal">
      <formula>"PTO"</formula>
    </cfRule>
  </conditionalFormatting>
  <conditionalFormatting sqref="R19:V28 R33:S42 R30:V32">
    <cfRule type="cellIs" dxfId="12485" priority="10865" operator="equal">
      <formula>"OFF"</formula>
    </cfRule>
    <cfRule type="cellIs" dxfId="12484" priority="10866" operator="equal">
      <formula>"PTO"</formula>
    </cfRule>
  </conditionalFormatting>
  <conditionalFormatting sqref="R19:V28 R33:S42 R30:V32">
    <cfRule type="cellIs" dxfId="12483" priority="10863" operator="equal">
      <formula>"OFF"</formula>
    </cfRule>
    <cfRule type="cellIs" dxfId="12482" priority="10864" operator="equal">
      <formula>"PTO"</formula>
    </cfRule>
  </conditionalFormatting>
  <conditionalFormatting sqref="T19:V28 T30:V32">
    <cfRule type="cellIs" dxfId="12481" priority="10861" operator="equal">
      <formula>"OFF"</formula>
    </cfRule>
    <cfRule type="cellIs" dxfId="12480" priority="10862" operator="equal">
      <formula>"PTO"</formula>
    </cfRule>
  </conditionalFormatting>
  <conditionalFormatting sqref="U19:V28 U30:V32">
    <cfRule type="cellIs" dxfId="12479" priority="10859" operator="equal">
      <formula>"OFF"</formula>
    </cfRule>
    <cfRule type="cellIs" dxfId="12478" priority="10860" operator="equal">
      <formula>"PTO"</formula>
    </cfRule>
  </conditionalFormatting>
  <conditionalFormatting sqref="U19:V28 U30:V32">
    <cfRule type="cellIs" dxfId="12477" priority="10857" operator="equal">
      <formula>"OFF"</formula>
    </cfRule>
    <cfRule type="cellIs" dxfId="12476" priority="10858" operator="equal">
      <formula>"PTO"</formula>
    </cfRule>
  </conditionalFormatting>
  <conditionalFormatting sqref="U19:V28 U30:V32">
    <cfRule type="cellIs" dxfId="12475" priority="10855" operator="equal">
      <formula>"OFF"</formula>
    </cfRule>
    <cfRule type="cellIs" dxfId="12474" priority="10856" operator="equal">
      <formula>"PTO"</formula>
    </cfRule>
  </conditionalFormatting>
  <conditionalFormatting sqref="U19:V28 U30:V32">
    <cfRule type="cellIs" dxfId="12473" priority="10853" operator="equal">
      <formula>"OFF"</formula>
    </cfRule>
    <cfRule type="cellIs" dxfId="12472" priority="10854" operator="equal">
      <formula>"PTO"</formula>
    </cfRule>
  </conditionalFormatting>
  <conditionalFormatting sqref="U19:V28 U30:V32">
    <cfRule type="cellIs" dxfId="12471" priority="10851" operator="equal">
      <formula>"OFF"</formula>
    </cfRule>
    <cfRule type="cellIs" dxfId="12470" priority="10852" operator="equal">
      <formula>"PTO"</formula>
    </cfRule>
  </conditionalFormatting>
  <conditionalFormatting sqref="U19:V28 U30:V32">
    <cfRule type="cellIs" dxfId="12469" priority="10849" operator="equal">
      <formula>"OFF"</formula>
    </cfRule>
    <cfRule type="cellIs" dxfId="12468" priority="10850" operator="equal">
      <formula>"PTO"</formula>
    </cfRule>
  </conditionalFormatting>
  <conditionalFormatting sqref="U19:V28 U30:V32">
    <cfRule type="cellIs" dxfId="12467" priority="10847" operator="equal">
      <formula>"OFF"</formula>
    </cfRule>
    <cfRule type="cellIs" dxfId="12466" priority="10848" operator="equal">
      <formula>"PTO"</formula>
    </cfRule>
  </conditionalFormatting>
  <conditionalFormatting sqref="U19:V28 U30:V32">
    <cfRule type="cellIs" dxfId="12465" priority="10845" operator="equal">
      <formula>"OFF"</formula>
    </cfRule>
    <cfRule type="cellIs" dxfId="12464" priority="10846" operator="equal">
      <formula>"PTO"</formula>
    </cfRule>
  </conditionalFormatting>
  <conditionalFormatting sqref="W19:W28 W30:W32">
    <cfRule type="cellIs" dxfId="12463" priority="10843" operator="equal">
      <formula>"OFF"</formula>
    </cfRule>
    <cfRule type="cellIs" dxfId="12462" priority="10844" operator="equal">
      <formula>"PTO"</formula>
    </cfRule>
  </conditionalFormatting>
  <conditionalFormatting sqref="W19:W28 W30:W32">
    <cfRule type="cellIs" dxfId="12461" priority="10841" operator="equal">
      <formula>"OFF"</formula>
    </cfRule>
    <cfRule type="cellIs" dxfId="12460" priority="10842" operator="equal">
      <formula>"PTO"</formula>
    </cfRule>
  </conditionalFormatting>
  <conditionalFormatting sqref="W19:W28 W30:W32">
    <cfRule type="cellIs" dxfId="12459" priority="10839" operator="equal">
      <formula>"OFF"</formula>
    </cfRule>
    <cfRule type="cellIs" dxfId="12458" priority="10840" operator="equal">
      <formula>"PTO"</formula>
    </cfRule>
  </conditionalFormatting>
  <conditionalFormatting sqref="Q14:Q28 Q30:Q32">
    <cfRule type="cellIs" dxfId="12457" priority="10827" operator="equal">
      <formula>"OFF"</formula>
    </cfRule>
    <cfRule type="cellIs" dxfId="12456" priority="10828" operator="equal">
      <formula>"PTO"</formula>
    </cfRule>
  </conditionalFormatting>
  <conditionalFormatting sqref="Q14:W28 R33:S42 Q30:W32">
    <cfRule type="cellIs" dxfId="12455" priority="10823" operator="equal">
      <formula>"OFF"</formula>
    </cfRule>
    <cfRule type="cellIs" dxfId="12454" priority="10824" operator="equal">
      <formula>"PTO"</formula>
    </cfRule>
  </conditionalFormatting>
  <conditionalFormatting sqref="Q14:W28 R33:S42 Q30:W32">
    <cfRule type="cellIs" dxfId="12453" priority="10821" operator="equal">
      <formula>"OFF"</formula>
    </cfRule>
    <cfRule type="cellIs" dxfId="12452" priority="10822" operator="equal">
      <formula>"PTO"</formula>
    </cfRule>
  </conditionalFormatting>
  <conditionalFormatting sqref="Q14:W28 R33:S42 Q30:W32">
    <cfRule type="cellIs" dxfId="12451" priority="10817" operator="equal">
      <formula>"OFF"</formula>
    </cfRule>
    <cfRule type="cellIs" dxfId="12450" priority="10818" operator="equal">
      <formula>"PTO"</formula>
    </cfRule>
  </conditionalFormatting>
  <conditionalFormatting sqref="Q14:W28 R33:S42 Q30:W32">
    <cfRule type="cellIs" dxfId="12449" priority="10815" operator="equal">
      <formula>"OFF"</formula>
    </cfRule>
    <cfRule type="cellIs" dxfId="12448" priority="10816" operator="equal">
      <formula>"PTO"</formula>
    </cfRule>
  </conditionalFormatting>
  <conditionalFormatting sqref="R14:V28 R33:S42 R30:V32">
    <cfRule type="cellIs" dxfId="12447" priority="10813" operator="equal">
      <formula>"OFF"</formula>
    </cfRule>
    <cfRule type="cellIs" dxfId="12446" priority="10814" operator="equal">
      <formula>"PTO"</formula>
    </cfRule>
  </conditionalFormatting>
  <conditionalFormatting sqref="R14:V28 R33:S42 R30:V32">
    <cfRule type="cellIs" dxfId="12445" priority="10811" operator="equal">
      <formula>"OFF"</formula>
    </cfRule>
    <cfRule type="cellIs" dxfId="12444" priority="10812" operator="equal">
      <formula>"PTO"</formula>
    </cfRule>
  </conditionalFormatting>
  <conditionalFormatting sqref="R14:V28 R33:S42 R30:V32">
    <cfRule type="cellIs" dxfId="12443" priority="10809" operator="equal">
      <formula>"OFF"</formula>
    </cfRule>
    <cfRule type="cellIs" dxfId="12442" priority="10810" operator="equal">
      <formula>"PTO"</formula>
    </cfRule>
  </conditionalFormatting>
  <conditionalFormatting sqref="R14:V28 R33:S42 R30:V32">
    <cfRule type="cellIs" dxfId="12441" priority="10807" operator="equal">
      <formula>"OFF"</formula>
    </cfRule>
    <cfRule type="cellIs" dxfId="12440" priority="10808" operator="equal">
      <formula>"PTO"</formula>
    </cfRule>
  </conditionalFormatting>
  <conditionalFormatting sqref="Q14:W28 R33:S42 Q30:W32">
    <cfRule type="cellIs" dxfId="12439" priority="10805" operator="equal">
      <formula>"OFF"</formula>
    </cfRule>
    <cfRule type="cellIs" dxfId="12438" priority="10806" operator="equal">
      <formula>"PTO"</formula>
    </cfRule>
  </conditionalFormatting>
  <conditionalFormatting sqref="Q14:W28 R33:S42 Q30:W32">
    <cfRule type="cellIs" dxfId="12437" priority="10801" operator="equal">
      <formula>"OFF"</formula>
    </cfRule>
    <cfRule type="cellIs" dxfId="12436" priority="10802" operator="equal">
      <formula>"PTO"</formula>
    </cfRule>
  </conditionalFormatting>
  <conditionalFormatting sqref="Q14:W28 R33:S42 Q30:W32">
    <cfRule type="cellIs" dxfId="12435" priority="10799" operator="equal">
      <formula>"OFF"</formula>
    </cfRule>
    <cfRule type="cellIs" dxfId="12434" priority="10800" operator="equal">
      <formula>"PTO"</formula>
    </cfRule>
  </conditionalFormatting>
  <conditionalFormatting sqref="R14:V28 R33:S42 R30:V32">
    <cfRule type="cellIs" dxfId="12433" priority="10797" operator="equal">
      <formula>"OFF"</formula>
    </cfRule>
    <cfRule type="cellIs" dxfId="12432" priority="10798" operator="equal">
      <formula>"PTO"</formula>
    </cfRule>
  </conditionalFormatting>
  <conditionalFormatting sqref="R14:V28 R33:S42 R30:V32">
    <cfRule type="cellIs" dxfId="12431" priority="10795" operator="equal">
      <formula>"OFF"</formula>
    </cfRule>
    <cfRule type="cellIs" dxfId="12430" priority="10796" operator="equal">
      <formula>"PTO"</formula>
    </cfRule>
  </conditionalFormatting>
  <conditionalFormatting sqref="R14:V28 R33:S42 R30:V32">
    <cfRule type="cellIs" dxfId="12429" priority="10793" operator="equal">
      <formula>"OFF"</formula>
    </cfRule>
    <cfRule type="cellIs" dxfId="12428" priority="10794" operator="equal">
      <formula>"PTO"</formula>
    </cfRule>
  </conditionalFormatting>
  <conditionalFormatting sqref="R14:V28 R33:S42 R30:V32">
    <cfRule type="cellIs" dxfId="12427" priority="10791" operator="equal">
      <formula>"OFF"</formula>
    </cfRule>
    <cfRule type="cellIs" dxfId="12426" priority="10792" operator="equal">
      <formula>"PTO"</formula>
    </cfRule>
  </conditionalFormatting>
  <conditionalFormatting sqref="Q14:W28 R33:S42 Q30:W32">
    <cfRule type="cellIs" dxfId="12425" priority="10789" operator="equal">
      <formula>"OFF"</formula>
    </cfRule>
    <cfRule type="cellIs" dxfId="12424" priority="10790" operator="equal">
      <formula>"PTO"</formula>
    </cfRule>
  </conditionalFormatting>
  <conditionalFormatting sqref="Q14:W28 R33:S42 Q30:W32">
    <cfRule type="cellIs" dxfId="12423" priority="10787" operator="equal">
      <formula>"OFF"</formula>
    </cfRule>
    <cfRule type="cellIs" dxfId="12422" priority="10788" operator="equal">
      <formula>"PTO"</formula>
    </cfRule>
  </conditionalFormatting>
  <conditionalFormatting sqref="Q14:W28 R33:S42 Q30:W32">
    <cfRule type="cellIs" dxfId="12421" priority="10785" operator="equal">
      <formula>"OFF"</formula>
    </cfRule>
    <cfRule type="cellIs" dxfId="12420" priority="10786" operator="equal">
      <formula>"PTO"</formula>
    </cfRule>
  </conditionalFormatting>
  <conditionalFormatting sqref="Q14:W28 R33:S42 Q30:W32">
    <cfRule type="cellIs" dxfId="12419" priority="10783" operator="equal">
      <formula>"OFF"</formula>
    </cfRule>
    <cfRule type="cellIs" dxfId="12418" priority="10784" operator="equal">
      <formula>"PTO"</formula>
    </cfRule>
  </conditionalFormatting>
  <conditionalFormatting sqref="R14:V28 R33:S42 R30:V32">
    <cfRule type="cellIs" dxfId="12417" priority="10781" operator="equal">
      <formula>"OFF"</formula>
    </cfRule>
    <cfRule type="cellIs" dxfId="12416" priority="10782" operator="equal">
      <formula>"PTO"</formula>
    </cfRule>
  </conditionalFormatting>
  <conditionalFormatting sqref="R14:V28 R33:S42 R30:V32">
    <cfRule type="cellIs" dxfId="12415" priority="10779" operator="equal">
      <formula>"OFF"</formula>
    </cfRule>
    <cfRule type="cellIs" dxfId="12414" priority="10780" operator="equal">
      <formula>"PTO"</formula>
    </cfRule>
  </conditionalFormatting>
  <conditionalFormatting sqref="R14:V28 R33:S42 R30:V32">
    <cfRule type="cellIs" dxfId="12413" priority="10777" operator="equal">
      <formula>"OFF"</formula>
    </cfRule>
    <cfRule type="cellIs" dxfId="12412" priority="10778" operator="equal">
      <formula>"PTO"</formula>
    </cfRule>
  </conditionalFormatting>
  <conditionalFormatting sqref="R14:V28 R33:S42 R30:V32">
    <cfRule type="cellIs" dxfId="12411" priority="10775" operator="equal">
      <formula>"OFF"</formula>
    </cfRule>
    <cfRule type="cellIs" dxfId="12410" priority="10776" operator="equal">
      <formula>"PTO"</formula>
    </cfRule>
  </conditionalFormatting>
  <conditionalFormatting sqref="Q14:W28 R33:S42 Q30:W32">
    <cfRule type="cellIs" dxfId="12409" priority="10773" operator="equal">
      <formula>"OFF"</formula>
    </cfRule>
    <cfRule type="cellIs" dxfId="12408" priority="10774" operator="equal">
      <formula>"PTO"</formula>
    </cfRule>
  </conditionalFormatting>
  <conditionalFormatting sqref="Q14:W28 R33:S42 Q30:W32">
    <cfRule type="cellIs" dxfId="12407" priority="10767" operator="equal">
      <formula>"OFF"</formula>
    </cfRule>
    <cfRule type="cellIs" dxfId="12406" priority="10768" operator="equal">
      <formula>"PTO"</formula>
    </cfRule>
  </conditionalFormatting>
  <conditionalFormatting sqref="R14:V28 R33:S42 R30:V32">
    <cfRule type="cellIs" dxfId="12405" priority="10765" operator="equal">
      <formula>"OFF"</formula>
    </cfRule>
    <cfRule type="cellIs" dxfId="12404" priority="10766" operator="equal">
      <formula>"PTO"</formula>
    </cfRule>
  </conditionalFormatting>
  <conditionalFormatting sqref="R14:V28 R33:S42 R30:V32">
    <cfRule type="cellIs" dxfId="12403" priority="10763" operator="equal">
      <formula>"OFF"</formula>
    </cfRule>
    <cfRule type="cellIs" dxfId="12402" priority="10764" operator="equal">
      <formula>"PTO"</formula>
    </cfRule>
  </conditionalFormatting>
  <conditionalFormatting sqref="R14:V28 R33:S42 R30:V32">
    <cfRule type="cellIs" dxfId="12401" priority="10761" operator="equal">
      <formula>"OFF"</formula>
    </cfRule>
    <cfRule type="cellIs" dxfId="12400" priority="10762" operator="equal">
      <formula>"PTO"</formula>
    </cfRule>
  </conditionalFormatting>
  <conditionalFormatting sqref="R14:V28 R33:S42 R30:V32">
    <cfRule type="cellIs" dxfId="12399" priority="10759" operator="equal">
      <formula>"OFF"</formula>
    </cfRule>
    <cfRule type="cellIs" dxfId="12398" priority="10760" operator="equal">
      <formula>"PTO"</formula>
    </cfRule>
  </conditionalFormatting>
  <conditionalFormatting sqref="Q14:W28 R33:S42 Q30:W32">
    <cfRule type="cellIs" dxfId="12397" priority="10757" operator="equal">
      <formula>"OFF"</formula>
    </cfRule>
    <cfRule type="cellIs" dxfId="12396" priority="10758" operator="equal">
      <formula>"PTO"</formula>
    </cfRule>
  </conditionalFormatting>
  <conditionalFormatting sqref="Q14:W28 R33:S42 Q30:W32">
    <cfRule type="cellIs" dxfId="12395" priority="10755" operator="equal">
      <formula>"OFF"</formula>
    </cfRule>
    <cfRule type="cellIs" dxfId="12394" priority="10756" operator="equal">
      <formula>"PTO"</formula>
    </cfRule>
  </conditionalFormatting>
  <conditionalFormatting sqref="Q14:W28 R33:S42 Q30:W32">
    <cfRule type="cellIs" dxfId="12393" priority="10753" operator="equal">
      <formula>"OFF"</formula>
    </cfRule>
    <cfRule type="cellIs" dxfId="12392" priority="10754" operator="equal">
      <formula>"PTO"</formula>
    </cfRule>
  </conditionalFormatting>
  <conditionalFormatting sqref="Q14:W28 R33:S42 Q30:W32">
    <cfRule type="cellIs" dxfId="12391" priority="10751" operator="equal">
      <formula>"OFF"</formula>
    </cfRule>
    <cfRule type="cellIs" dxfId="12390" priority="10752" operator="equal">
      <formula>"PTO"</formula>
    </cfRule>
  </conditionalFormatting>
  <conditionalFormatting sqref="Q14:W28 R33:S42 Q30:W32">
    <cfRule type="cellIs" dxfId="12389" priority="10749" operator="equal">
      <formula>"OFF"</formula>
    </cfRule>
    <cfRule type="cellIs" dxfId="12388" priority="10750" operator="equal">
      <formula>"PTO"</formula>
    </cfRule>
  </conditionalFormatting>
  <conditionalFormatting sqref="Q14:W28 R33:S42 Q30:W32">
    <cfRule type="cellIs" dxfId="12387" priority="10747" operator="equal">
      <formula>"OFF"</formula>
    </cfRule>
    <cfRule type="cellIs" dxfId="12386" priority="10748" operator="equal">
      <formula>"PTO"</formula>
    </cfRule>
  </conditionalFormatting>
  <conditionalFormatting sqref="Q14:W28 R33:S42 Q30:W32">
    <cfRule type="cellIs" dxfId="12385" priority="10745" operator="equal">
      <formula>"OFF"</formula>
    </cfRule>
    <cfRule type="cellIs" dxfId="12384" priority="10746" operator="equal">
      <formula>"PTO"</formula>
    </cfRule>
  </conditionalFormatting>
  <conditionalFormatting sqref="Q14:W28 R33:S42 Q30:W32">
    <cfRule type="cellIs" dxfId="12383" priority="10743" operator="equal">
      <formula>"OFF"</formula>
    </cfRule>
    <cfRule type="cellIs" dxfId="12382" priority="10744" operator="equal">
      <formula>"PTO"</formula>
    </cfRule>
  </conditionalFormatting>
  <conditionalFormatting sqref="Q14:W28 R33:S42 Q30:W32">
    <cfRule type="cellIs" dxfId="12381" priority="10741" operator="equal">
      <formula>"OFF"</formula>
    </cfRule>
    <cfRule type="cellIs" dxfId="12380" priority="10742" operator="equal">
      <formula>"PTO"</formula>
    </cfRule>
  </conditionalFormatting>
  <conditionalFormatting sqref="Q14:W28 R33:S42 Q30:W32">
    <cfRule type="cellIs" dxfId="12379" priority="10739" operator="equal">
      <formula>"OFF"</formula>
    </cfRule>
    <cfRule type="cellIs" dxfId="12378" priority="10740" operator="equal">
      <formula>"PTO"</formula>
    </cfRule>
  </conditionalFormatting>
  <conditionalFormatting sqref="Q14:W28 R33:S42 Q30:W32">
    <cfRule type="cellIs" dxfId="12377" priority="10737" operator="equal">
      <formula>"OFF"</formula>
    </cfRule>
    <cfRule type="cellIs" dxfId="12376" priority="10738" operator="equal">
      <formula>"PTO"</formula>
    </cfRule>
  </conditionalFormatting>
  <conditionalFormatting sqref="Q14:W28 R33:S42 Q30:W32">
    <cfRule type="cellIs" dxfId="12375" priority="10735" operator="equal">
      <formula>"OFF"</formula>
    </cfRule>
    <cfRule type="cellIs" dxfId="12374" priority="10736" operator="equal">
      <formula>"PTO"</formula>
    </cfRule>
  </conditionalFormatting>
  <conditionalFormatting sqref="Q14:W28 R33:S42 Q30:W32">
    <cfRule type="cellIs" dxfId="12373" priority="10733" operator="equal">
      <formula>"OFF"</formula>
    </cfRule>
    <cfRule type="cellIs" dxfId="12372" priority="10734" operator="equal">
      <formula>"PTO"</formula>
    </cfRule>
  </conditionalFormatting>
  <conditionalFormatting sqref="Q14:W28 R33:S42 Q30:W32">
    <cfRule type="cellIs" dxfId="12371" priority="10731" operator="equal">
      <formula>"OFF"</formula>
    </cfRule>
    <cfRule type="cellIs" dxfId="12370" priority="10732" operator="equal">
      <formula>"PTO"</formula>
    </cfRule>
  </conditionalFormatting>
  <conditionalFormatting sqref="Q14:W28 R33:S42 Q30:W32">
    <cfRule type="cellIs" dxfId="12369" priority="10729" operator="equal">
      <formula>"OFF"</formula>
    </cfRule>
    <cfRule type="cellIs" dxfId="12368" priority="10730" operator="equal">
      <formula>"PTO"</formula>
    </cfRule>
  </conditionalFormatting>
  <conditionalFormatting sqref="Q14:W28 R33:S42 Q30:W32">
    <cfRule type="cellIs" dxfId="12367" priority="10727" operator="equal">
      <formula>"OFF"</formula>
    </cfRule>
    <cfRule type="cellIs" dxfId="12366" priority="10728" operator="equal">
      <formula>"PTO"</formula>
    </cfRule>
  </conditionalFormatting>
  <conditionalFormatting sqref="Q14:W28 R33:S42 Q30:W32">
    <cfRule type="cellIs" dxfId="12365" priority="10725" operator="equal">
      <formula>"OFF"</formula>
    </cfRule>
    <cfRule type="cellIs" dxfId="12364" priority="10726" operator="equal">
      <formula>"PTO"</formula>
    </cfRule>
  </conditionalFormatting>
  <conditionalFormatting sqref="Q14:W28 R33:S42 Q30:W32">
    <cfRule type="cellIs" dxfId="12363" priority="10723" operator="equal">
      <formula>"OFF"</formula>
    </cfRule>
    <cfRule type="cellIs" dxfId="12362" priority="10724" operator="equal">
      <formula>"PTO"</formula>
    </cfRule>
  </conditionalFormatting>
  <conditionalFormatting sqref="Q14:W28 R33:S42 Q30:W32">
    <cfRule type="cellIs" dxfId="12361" priority="10721" operator="equal">
      <formula>"OFF"</formula>
    </cfRule>
    <cfRule type="cellIs" dxfId="12360" priority="10722" operator="equal">
      <formula>"PTO"</formula>
    </cfRule>
  </conditionalFormatting>
  <conditionalFormatting sqref="Q14:W28 R33:S42 Q30:W32">
    <cfRule type="cellIs" dxfId="12359" priority="10719" operator="equal">
      <formula>"OFF"</formula>
    </cfRule>
    <cfRule type="cellIs" dxfId="12358" priority="10720" operator="equal">
      <formula>"PTO"</formula>
    </cfRule>
  </conditionalFormatting>
  <conditionalFormatting sqref="Q14:W28 R33:S42 Q30:W32">
    <cfRule type="cellIs" dxfId="12357" priority="10717" operator="equal">
      <formula>"OFF"</formula>
    </cfRule>
    <cfRule type="cellIs" dxfId="12356" priority="10718" operator="equal">
      <formula>"PTO"</formula>
    </cfRule>
  </conditionalFormatting>
  <conditionalFormatting sqref="Q14:W28 R33:S42 Q30:W32">
    <cfRule type="cellIs" dxfId="12355" priority="10715" operator="equal">
      <formula>"OFF"</formula>
    </cfRule>
    <cfRule type="cellIs" dxfId="12354" priority="10716" operator="equal">
      <formula>"PTO"</formula>
    </cfRule>
  </conditionalFormatting>
  <conditionalFormatting sqref="Q14:W28 R33:S42 Q30:W32">
    <cfRule type="cellIs" dxfId="12353" priority="10713" operator="equal">
      <formula>"OFF"</formula>
    </cfRule>
    <cfRule type="cellIs" dxfId="12352" priority="10714" operator="equal">
      <formula>"PTO"</formula>
    </cfRule>
  </conditionalFormatting>
  <conditionalFormatting sqref="Q14:W28 R33:S42 Q30:W32">
    <cfRule type="cellIs" dxfId="12351" priority="10711" operator="equal">
      <formula>"OFF"</formula>
    </cfRule>
    <cfRule type="cellIs" dxfId="12350" priority="10712" operator="equal">
      <formula>"PTO"</formula>
    </cfRule>
  </conditionalFormatting>
  <conditionalFormatting sqref="Q14:W28 R33:S42 Q30:W32">
    <cfRule type="cellIs" dxfId="12349" priority="10709" operator="equal">
      <formula>"OFF"</formula>
    </cfRule>
    <cfRule type="cellIs" dxfId="12348" priority="10710" operator="equal">
      <formula>"PTO"</formula>
    </cfRule>
  </conditionalFormatting>
  <conditionalFormatting sqref="R14:V28 R33:S42 R30:V32">
    <cfRule type="cellIs" dxfId="12347" priority="10707" operator="equal">
      <formula>"OFF"</formula>
    </cfRule>
    <cfRule type="cellIs" dxfId="12346" priority="10708" operator="equal">
      <formula>"PTO"</formula>
    </cfRule>
  </conditionalFormatting>
  <conditionalFormatting sqref="R14:V28 R33:S42 R30:V32">
    <cfRule type="cellIs" dxfId="12345" priority="10705" operator="equal">
      <formula>"OFF"</formula>
    </cfRule>
    <cfRule type="cellIs" dxfId="12344" priority="10706" operator="equal">
      <formula>"PTO"</formula>
    </cfRule>
  </conditionalFormatting>
  <conditionalFormatting sqref="R14:V28 R33:S42 R30:V32">
    <cfRule type="cellIs" dxfId="12343" priority="10703" operator="equal">
      <formula>"OFF"</formula>
    </cfRule>
    <cfRule type="cellIs" dxfId="12342" priority="10704" operator="equal">
      <formula>"PTO"</formula>
    </cfRule>
  </conditionalFormatting>
  <conditionalFormatting sqref="R14:V28 R33:S42 R30:V32">
    <cfRule type="cellIs" dxfId="12341" priority="10701" operator="equal">
      <formula>"OFF"</formula>
    </cfRule>
    <cfRule type="cellIs" dxfId="12340" priority="10702" operator="equal">
      <formula>"PTO"</formula>
    </cfRule>
  </conditionalFormatting>
  <conditionalFormatting sqref="R14:V28 R33:S42 R30:V32">
    <cfRule type="cellIs" dxfId="12339" priority="10699" operator="equal">
      <formula>"OFF"</formula>
    </cfRule>
    <cfRule type="cellIs" dxfId="12338" priority="10700" operator="equal">
      <formula>"PTO"</formula>
    </cfRule>
  </conditionalFormatting>
  <conditionalFormatting sqref="R14:V28 R33:S42 R30:V32">
    <cfRule type="cellIs" dxfId="12337" priority="10697" operator="equal">
      <formula>"OFF"</formula>
    </cfRule>
    <cfRule type="cellIs" dxfId="12336" priority="10698" operator="equal">
      <formula>"PTO"</formula>
    </cfRule>
  </conditionalFormatting>
  <conditionalFormatting sqref="R14:V28 R33:S42 R30:V32">
    <cfRule type="cellIs" dxfId="12335" priority="10695" operator="equal">
      <formula>"OFF"</formula>
    </cfRule>
    <cfRule type="cellIs" dxfId="12334" priority="10696" operator="equal">
      <formula>"PTO"</formula>
    </cfRule>
  </conditionalFormatting>
  <conditionalFormatting sqref="R14:V28 R33:S42 R30:V32">
    <cfRule type="cellIs" dxfId="12333" priority="10693" operator="equal">
      <formula>"OFF"</formula>
    </cfRule>
    <cfRule type="cellIs" dxfId="12332" priority="10694" operator="equal">
      <formula>"PTO"</formula>
    </cfRule>
  </conditionalFormatting>
  <conditionalFormatting sqref="R14:V28 R33:S42 R30:V32">
    <cfRule type="cellIs" dxfId="12331" priority="10691" operator="equal">
      <formula>"OFF"</formula>
    </cfRule>
    <cfRule type="cellIs" dxfId="12330" priority="10692" operator="equal">
      <formula>"PTO"</formula>
    </cfRule>
  </conditionalFormatting>
  <conditionalFormatting sqref="R14:V28 R33:S42 R30:V32">
    <cfRule type="cellIs" dxfId="12329" priority="10689" operator="equal">
      <formula>"OFF"</formula>
    </cfRule>
    <cfRule type="cellIs" dxfId="12328" priority="10690" operator="equal">
      <formula>"PTO"</formula>
    </cfRule>
  </conditionalFormatting>
  <conditionalFormatting sqref="R14:V28 R33:S42 R30:V32">
    <cfRule type="cellIs" dxfId="12327" priority="10687" operator="equal">
      <formula>"OFF"</formula>
    </cfRule>
    <cfRule type="cellIs" dxfId="12326" priority="10688" operator="equal">
      <formula>"PTO"</formula>
    </cfRule>
  </conditionalFormatting>
  <conditionalFormatting sqref="R14:V28 R33:S42 R30:V32">
    <cfRule type="cellIs" dxfId="12325" priority="10685" operator="equal">
      <formula>"OFF"</formula>
    </cfRule>
    <cfRule type="cellIs" dxfId="12324" priority="10686" operator="equal">
      <formula>"PTO"</formula>
    </cfRule>
  </conditionalFormatting>
  <conditionalFormatting sqref="R14:V28 R33:S42 R30:V32">
    <cfRule type="cellIs" dxfId="12323" priority="10683" operator="equal">
      <formula>"OFF"</formula>
    </cfRule>
    <cfRule type="cellIs" dxfId="12322" priority="10684" operator="equal">
      <formula>"PTO"</formula>
    </cfRule>
  </conditionalFormatting>
  <conditionalFormatting sqref="R14:V28 R33:S42 R30:V32">
    <cfRule type="cellIs" dxfId="12321" priority="10681" operator="equal">
      <formula>"OFF"</formula>
    </cfRule>
    <cfRule type="cellIs" dxfId="12320" priority="10682" operator="equal">
      <formula>"PTO"</formula>
    </cfRule>
  </conditionalFormatting>
  <conditionalFormatting sqref="R14:V28 R33:S42 R30:V32">
    <cfRule type="cellIs" dxfId="12319" priority="10679" operator="equal">
      <formula>"OFF"</formula>
    </cfRule>
    <cfRule type="cellIs" dxfId="12318" priority="10680" operator="equal">
      <formula>"PTO"</formula>
    </cfRule>
  </conditionalFormatting>
  <conditionalFormatting sqref="R14:V28 R33:S42 R30:V32">
    <cfRule type="cellIs" dxfId="12317" priority="10677" operator="equal">
      <formula>"OFF"</formula>
    </cfRule>
    <cfRule type="cellIs" dxfId="12316" priority="10678" operator="equal">
      <formula>"PTO"</formula>
    </cfRule>
  </conditionalFormatting>
  <conditionalFormatting sqref="R14:V28 R33:S42 R30:V32">
    <cfRule type="cellIs" dxfId="12315" priority="10675" operator="equal">
      <formula>"OFF"</formula>
    </cfRule>
    <cfRule type="cellIs" dxfId="12314" priority="10676" operator="equal">
      <formula>"PTO"</formula>
    </cfRule>
  </conditionalFormatting>
  <conditionalFormatting sqref="R14:V28 R33:S42 R30:V32">
    <cfRule type="cellIs" dxfId="12313" priority="10673" operator="equal">
      <formula>"OFF"</formula>
    </cfRule>
    <cfRule type="cellIs" dxfId="12312" priority="10674" operator="equal">
      <formula>"PTO"</formula>
    </cfRule>
  </conditionalFormatting>
  <conditionalFormatting sqref="R14:V28 R33:S42 R30:V32">
    <cfRule type="cellIs" dxfId="12311" priority="10671" operator="equal">
      <formula>"OFF"</formula>
    </cfRule>
    <cfRule type="cellIs" dxfId="12310" priority="10672" operator="equal">
      <formula>"PTO"</formula>
    </cfRule>
  </conditionalFormatting>
  <conditionalFormatting sqref="R14:V28 R33:S42 R30:V32">
    <cfRule type="cellIs" dxfId="12309" priority="10669" operator="equal">
      <formula>"OFF"</formula>
    </cfRule>
    <cfRule type="cellIs" dxfId="12308" priority="10670" operator="equal">
      <formula>"PTO"</formula>
    </cfRule>
  </conditionalFormatting>
  <conditionalFormatting sqref="R14:V28 R33:S42 R30:V32">
    <cfRule type="cellIs" dxfId="12307" priority="10667" operator="equal">
      <formula>"OFF"</formula>
    </cfRule>
    <cfRule type="cellIs" dxfId="12306" priority="10668" operator="equal">
      <formula>"PTO"</formula>
    </cfRule>
  </conditionalFormatting>
  <conditionalFormatting sqref="R14:V28 R33:S42 R30:V32">
    <cfRule type="cellIs" dxfId="12305" priority="10665" operator="equal">
      <formula>"OFF"</formula>
    </cfRule>
    <cfRule type="cellIs" dxfId="12304" priority="10666" operator="equal">
      <formula>"PTO"</formula>
    </cfRule>
  </conditionalFormatting>
  <conditionalFormatting sqref="R14:V28 R33:S42 R30:V32">
    <cfRule type="cellIs" dxfId="12303" priority="10663" operator="equal">
      <formula>"OFF"</formula>
    </cfRule>
    <cfRule type="cellIs" dxfId="12302" priority="10664" operator="equal">
      <formula>"PTO"</formula>
    </cfRule>
  </conditionalFormatting>
  <conditionalFormatting sqref="R14:V28 R33:S42 R30:V32">
    <cfRule type="cellIs" dxfId="12301" priority="10661" operator="equal">
      <formula>"OFF"</formula>
    </cfRule>
    <cfRule type="cellIs" dxfId="12300" priority="10662" operator="equal">
      <formula>"PTO"</formula>
    </cfRule>
  </conditionalFormatting>
  <conditionalFormatting sqref="R14:V28 R33:S42 R30:V32">
    <cfRule type="cellIs" dxfId="12299" priority="10659" operator="equal">
      <formula>"OFF"</formula>
    </cfRule>
    <cfRule type="cellIs" dxfId="12298" priority="10660" operator="equal">
      <formula>"PTO"</formula>
    </cfRule>
  </conditionalFormatting>
  <conditionalFormatting sqref="T14:V28 T30:V32">
    <cfRule type="cellIs" dxfId="12297" priority="10657" operator="equal">
      <formula>"OFF"</formula>
    </cfRule>
    <cfRule type="cellIs" dxfId="12296" priority="10658" operator="equal">
      <formula>"PTO"</formula>
    </cfRule>
  </conditionalFormatting>
  <conditionalFormatting sqref="U14:V28 U30:V32">
    <cfRule type="cellIs" dxfId="12295" priority="10655" operator="equal">
      <formula>"OFF"</formula>
    </cfRule>
    <cfRule type="cellIs" dxfId="12294" priority="10656" operator="equal">
      <formula>"PTO"</formula>
    </cfRule>
  </conditionalFormatting>
  <conditionalFormatting sqref="U14:V28 U30:V32">
    <cfRule type="cellIs" dxfId="12293" priority="10653" operator="equal">
      <formula>"OFF"</formula>
    </cfRule>
    <cfRule type="cellIs" dxfId="12292" priority="10654" operator="equal">
      <formula>"PTO"</formula>
    </cfRule>
  </conditionalFormatting>
  <conditionalFormatting sqref="U14:V28 U30:V32">
    <cfRule type="cellIs" dxfId="12291" priority="10651" operator="equal">
      <formula>"OFF"</formula>
    </cfRule>
    <cfRule type="cellIs" dxfId="12290" priority="10652" operator="equal">
      <formula>"PTO"</formula>
    </cfRule>
  </conditionalFormatting>
  <conditionalFormatting sqref="U14:V28 U30:V32">
    <cfRule type="cellIs" dxfId="12289" priority="10649" operator="equal">
      <formula>"OFF"</formula>
    </cfRule>
    <cfRule type="cellIs" dxfId="12288" priority="10650" operator="equal">
      <formula>"PTO"</formula>
    </cfRule>
  </conditionalFormatting>
  <conditionalFormatting sqref="U14:V28 U30:V32">
    <cfRule type="cellIs" dxfId="12287" priority="10647" operator="equal">
      <formula>"OFF"</formula>
    </cfRule>
    <cfRule type="cellIs" dxfId="12286" priority="10648" operator="equal">
      <formula>"PTO"</formula>
    </cfRule>
  </conditionalFormatting>
  <conditionalFormatting sqref="U14:V28 U30:V32">
    <cfRule type="cellIs" dxfId="12285" priority="10645" operator="equal">
      <formula>"OFF"</formula>
    </cfRule>
    <cfRule type="cellIs" dxfId="12284" priority="10646" operator="equal">
      <formula>"PTO"</formula>
    </cfRule>
  </conditionalFormatting>
  <conditionalFormatting sqref="U14:V28 U30:V32">
    <cfRule type="cellIs" dxfId="12283" priority="10643" operator="equal">
      <formula>"OFF"</formula>
    </cfRule>
    <cfRule type="cellIs" dxfId="12282" priority="10644" operator="equal">
      <formula>"PTO"</formula>
    </cfRule>
  </conditionalFormatting>
  <conditionalFormatting sqref="U14:V28 U30:V32">
    <cfRule type="cellIs" dxfId="12281" priority="10641" operator="equal">
      <formula>"OFF"</formula>
    </cfRule>
    <cfRule type="cellIs" dxfId="12280" priority="10642" operator="equal">
      <formula>"PTO"</formula>
    </cfRule>
  </conditionalFormatting>
  <conditionalFormatting sqref="W14:W28 W30:W32">
    <cfRule type="cellIs" dxfId="12279" priority="10639" operator="equal">
      <formula>"OFF"</formula>
    </cfRule>
    <cfRule type="cellIs" dxfId="12278" priority="10640" operator="equal">
      <formula>"PTO"</formula>
    </cfRule>
  </conditionalFormatting>
  <conditionalFormatting sqref="W14:W28 W30:W32">
    <cfRule type="cellIs" dxfId="12277" priority="10637" operator="equal">
      <formula>"OFF"</formula>
    </cfRule>
    <cfRule type="cellIs" dxfId="12276" priority="10638" operator="equal">
      <formula>"PTO"</formula>
    </cfRule>
  </conditionalFormatting>
  <conditionalFormatting sqref="W14:W28 W30:W32">
    <cfRule type="cellIs" dxfId="12275" priority="10635" operator="equal">
      <formula>"OFF"</formula>
    </cfRule>
    <cfRule type="cellIs" dxfId="12274" priority="10636" operator="equal">
      <formula>"PTO"</formula>
    </cfRule>
  </conditionalFormatting>
  <conditionalFormatting sqref="W14:W28 W30:W32">
    <cfRule type="cellIs" dxfId="12273" priority="10633" operator="equal">
      <formula>"OFF"</formula>
    </cfRule>
    <cfRule type="cellIs" dxfId="12272" priority="10634" operator="equal">
      <formula>"PTO"</formula>
    </cfRule>
  </conditionalFormatting>
  <conditionalFormatting sqref="W14:W28 W30:W32">
    <cfRule type="cellIs" dxfId="12271" priority="10631" operator="equal">
      <formula>"OFF"</formula>
    </cfRule>
    <cfRule type="cellIs" dxfId="12270" priority="10632" operator="equal">
      <formula>"PTO"</formula>
    </cfRule>
  </conditionalFormatting>
  <conditionalFormatting sqref="W14:W28 W30:W32">
    <cfRule type="cellIs" dxfId="12269" priority="10629" operator="equal">
      <formula>"OFF"</formula>
    </cfRule>
    <cfRule type="cellIs" dxfId="12268" priority="10630" operator="equal">
      <formula>"PTO"</formula>
    </cfRule>
  </conditionalFormatting>
  <conditionalFormatting sqref="W14:W28 W30:W32">
    <cfRule type="cellIs" dxfId="12267" priority="10627" operator="equal">
      <formula>"OFF"</formula>
    </cfRule>
    <cfRule type="cellIs" dxfId="12266" priority="10628" operator="equal">
      <formula>"PTO"</formula>
    </cfRule>
  </conditionalFormatting>
  <conditionalFormatting sqref="W14:W28 W30:W32">
    <cfRule type="cellIs" dxfId="12265" priority="10625" operator="equal">
      <formula>"OFF"</formula>
    </cfRule>
    <cfRule type="cellIs" dxfId="12264" priority="10626" operator="equal">
      <formula>"PTO"</formula>
    </cfRule>
  </conditionalFormatting>
  <conditionalFormatting sqref="R19">
    <cfRule type="cellIs" dxfId="12263" priority="10623" operator="equal">
      <formula>"OFF"</formula>
    </cfRule>
    <cfRule type="cellIs" dxfId="12262" priority="10624" operator="equal">
      <formula>"PTO"</formula>
    </cfRule>
  </conditionalFormatting>
  <conditionalFormatting sqref="R19">
    <cfRule type="cellIs" dxfId="12261" priority="10621" operator="equal">
      <formula>"OFF"</formula>
    </cfRule>
    <cfRule type="cellIs" dxfId="12260" priority="10622" operator="equal">
      <formula>"PTO"</formula>
    </cfRule>
  </conditionalFormatting>
  <conditionalFormatting sqref="R19">
    <cfRule type="cellIs" dxfId="12259" priority="10619" operator="equal">
      <formula>"OFF"</formula>
    </cfRule>
    <cfRule type="cellIs" dxfId="12258" priority="10620" operator="equal">
      <formula>"PTO"</formula>
    </cfRule>
  </conditionalFormatting>
  <conditionalFormatting sqref="R19">
    <cfRule type="cellIs" dxfId="12257" priority="10617" operator="equal">
      <formula>"OFF"</formula>
    </cfRule>
    <cfRule type="cellIs" dxfId="12256" priority="10618" operator="equal">
      <formula>"PTO"</formula>
    </cfRule>
  </conditionalFormatting>
  <conditionalFormatting sqref="R19">
    <cfRule type="cellIs" dxfId="12255" priority="10615" operator="equal">
      <formula>"OFF"</formula>
    </cfRule>
    <cfRule type="cellIs" dxfId="12254" priority="10616" operator="equal">
      <formula>"PTO"</formula>
    </cfRule>
  </conditionalFormatting>
  <conditionalFormatting sqref="R19">
    <cfRule type="cellIs" dxfId="12253" priority="10613" operator="equal">
      <formula>"OFF"</formula>
    </cfRule>
    <cfRule type="cellIs" dxfId="12252" priority="10614" operator="equal">
      <formula>"PTO"</formula>
    </cfRule>
  </conditionalFormatting>
  <conditionalFormatting sqref="R19">
    <cfRule type="cellIs" dxfId="12251" priority="10611" operator="equal">
      <formula>"OFF"</formula>
    </cfRule>
    <cfRule type="cellIs" dxfId="12250" priority="10612" operator="equal">
      <formula>"PTO"</formula>
    </cfRule>
  </conditionalFormatting>
  <conditionalFormatting sqref="R19">
    <cfRule type="cellIs" dxfId="12249" priority="10609" operator="equal">
      <formula>"OFF"</formula>
    </cfRule>
    <cfRule type="cellIs" dxfId="12248" priority="10610" operator="equal">
      <formula>"PTO"</formula>
    </cfRule>
  </conditionalFormatting>
  <conditionalFormatting sqref="R19">
    <cfRule type="cellIs" dxfId="12247" priority="10607" operator="equal">
      <formula>"OFF"</formula>
    </cfRule>
    <cfRule type="cellIs" dxfId="12246" priority="10608" operator="equal">
      <formula>"PTO"</formula>
    </cfRule>
  </conditionalFormatting>
  <conditionalFormatting sqref="R19">
    <cfRule type="cellIs" dxfId="12245" priority="10605" operator="equal">
      <formula>"OFF"</formula>
    </cfRule>
    <cfRule type="cellIs" dxfId="12244" priority="10606" operator="equal">
      <formula>"PTO"</formula>
    </cfRule>
  </conditionalFormatting>
  <conditionalFormatting sqref="R19">
    <cfRule type="cellIs" dxfId="12243" priority="10603" operator="equal">
      <formula>"OFF"</formula>
    </cfRule>
    <cfRule type="cellIs" dxfId="12242" priority="10604" operator="equal">
      <formula>"PTO"</formula>
    </cfRule>
  </conditionalFormatting>
  <conditionalFormatting sqref="R19">
    <cfRule type="cellIs" dxfId="12241" priority="10601" operator="equal">
      <formula>"OFF"</formula>
    </cfRule>
    <cfRule type="cellIs" dxfId="12240" priority="10602" operator="equal">
      <formula>"PTO"</formula>
    </cfRule>
  </conditionalFormatting>
  <conditionalFormatting sqref="R19">
    <cfRule type="cellIs" dxfId="12239" priority="10599" operator="equal">
      <formula>"OFF"</formula>
    </cfRule>
    <cfRule type="cellIs" dxfId="12238" priority="10600" operator="equal">
      <formula>"PTO"</formula>
    </cfRule>
  </conditionalFormatting>
  <conditionalFormatting sqref="R19">
    <cfRule type="cellIs" dxfId="12237" priority="10597" operator="equal">
      <formula>"OFF"</formula>
    </cfRule>
    <cfRule type="cellIs" dxfId="12236" priority="10598" operator="equal">
      <formula>"PTO"</formula>
    </cfRule>
  </conditionalFormatting>
  <conditionalFormatting sqref="R19">
    <cfRule type="cellIs" dxfId="12235" priority="10595" operator="equal">
      <formula>"OFF"</formula>
    </cfRule>
    <cfRule type="cellIs" dxfId="12234" priority="10596" operator="equal">
      <formula>"PTO"</formula>
    </cfRule>
  </conditionalFormatting>
  <conditionalFormatting sqref="R19">
    <cfRule type="cellIs" dxfId="12233" priority="10593" operator="equal">
      <formula>"OFF"</formula>
    </cfRule>
    <cfRule type="cellIs" dxfId="12232" priority="10594" operator="equal">
      <formula>"PTO"</formula>
    </cfRule>
  </conditionalFormatting>
  <conditionalFormatting sqref="R19">
    <cfRule type="cellIs" dxfId="12231" priority="10591" operator="equal">
      <formula>"OFF"</formula>
    </cfRule>
    <cfRule type="cellIs" dxfId="12230" priority="10592" operator="equal">
      <formula>"PTO"</formula>
    </cfRule>
  </conditionalFormatting>
  <conditionalFormatting sqref="R19">
    <cfRule type="cellIs" dxfId="12229" priority="10589" operator="equal">
      <formula>"OFF"</formula>
    </cfRule>
    <cfRule type="cellIs" dxfId="12228" priority="10590" operator="equal">
      <formula>"PTO"</formula>
    </cfRule>
  </conditionalFormatting>
  <conditionalFormatting sqref="R19">
    <cfRule type="cellIs" dxfId="12227" priority="10587" operator="equal">
      <formula>"OFF"</formula>
    </cfRule>
    <cfRule type="cellIs" dxfId="12226" priority="10588" operator="equal">
      <formula>"PTO"</formula>
    </cfRule>
  </conditionalFormatting>
  <conditionalFormatting sqref="R19">
    <cfRule type="cellIs" dxfId="12225" priority="10585" operator="equal">
      <formula>"OFF"</formula>
    </cfRule>
    <cfRule type="cellIs" dxfId="12224" priority="10586" operator="equal">
      <formula>"PTO"</formula>
    </cfRule>
  </conditionalFormatting>
  <conditionalFormatting sqref="R19">
    <cfRule type="cellIs" dxfId="12223" priority="10583" operator="equal">
      <formula>"OFF"</formula>
    </cfRule>
    <cfRule type="cellIs" dxfId="12222" priority="10584" operator="equal">
      <formula>"PTO"</formula>
    </cfRule>
  </conditionalFormatting>
  <conditionalFormatting sqref="R19">
    <cfRule type="cellIs" dxfId="12221" priority="10581" operator="equal">
      <formula>"OFF"</formula>
    </cfRule>
    <cfRule type="cellIs" dxfId="12220" priority="10582" operator="equal">
      <formula>"PTO"</formula>
    </cfRule>
  </conditionalFormatting>
  <conditionalFormatting sqref="R19">
    <cfRule type="cellIs" dxfId="12219" priority="10579" operator="equal">
      <formula>"OFF"</formula>
    </cfRule>
    <cfRule type="cellIs" dxfId="12218" priority="10580" operator="equal">
      <formula>"PTO"</formula>
    </cfRule>
  </conditionalFormatting>
  <conditionalFormatting sqref="R19">
    <cfRule type="cellIs" dxfId="12217" priority="10577" operator="equal">
      <formula>"OFF"</formula>
    </cfRule>
    <cfRule type="cellIs" dxfId="12216" priority="10578" operator="equal">
      <formula>"PTO"</formula>
    </cfRule>
  </conditionalFormatting>
  <conditionalFormatting sqref="R19">
    <cfRule type="cellIs" dxfId="12215" priority="10575" operator="equal">
      <formula>"OFF"</formula>
    </cfRule>
    <cfRule type="cellIs" dxfId="12214" priority="10576" operator="equal">
      <formula>"PTO"</formula>
    </cfRule>
  </conditionalFormatting>
  <conditionalFormatting sqref="R19">
    <cfRule type="cellIs" dxfId="12213" priority="10573" operator="equal">
      <formula>"OFF"</formula>
    </cfRule>
    <cfRule type="cellIs" dxfId="12212" priority="10574" operator="equal">
      <formula>"PTO"</formula>
    </cfRule>
  </conditionalFormatting>
  <conditionalFormatting sqref="R19">
    <cfRule type="cellIs" dxfId="12211" priority="10571" operator="equal">
      <formula>"OFF"</formula>
    </cfRule>
    <cfRule type="cellIs" dxfId="12210" priority="10572" operator="equal">
      <formula>"PTO"</formula>
    </cfRule>
  </conditionalFormatting>
  <conditionalFormatting sqref="R19">
    <cfRule type="cellIs" dxfId="12209" priority="10569" operator="equal">
      <formula>"OFF"</formula>
    </cfRule>
    <cfRule type="cellIs" dxfId="12208" priority="10570" operator="equal">
      <formula>"PTO"</formula>
    </cfRule>
  </conditionalFormatting>
  <conditionalFormatting sqref="R19">
    <cfRule type="cellIs" dxfId="12207" priority="10567" operator="equal">
      <formula>"OFF"</formula>
    </cfRule>
    <cfRule type="cellIs" dxfId="12206" priority="10568" operator="equal">
      <formula>"PTO"</formula>
    </cfRule>
  </conditionalFormatting>
  <conditionalFormatting sqref="R19">
    <cfRule type="cellIs" dxfId="12205" priority="10565" operator="equal">
      <formula>"OFF"</formula>
    </cfRule>
    <cfRule type="cellIs" dxfId="12204" priority="10566" operator="equal">
      <formula>"PTO"</formula>
    </cfRule>
  </conditionalFormatting>
  <conditionalFormatting sqref="R19">
    <cfRule type="cellIs" dxfId="12203" priority="10563" operator="equal">
      <formula>"OFF"</formula>
    </cfRule>
    <cfRule type="cellIs" dxfId="12202" priority="10564" operator="equal">
      <formula>"PTO"</formula>
    </cfRule>
  </conditionalFormatting>
  <conditionalFormatting sqref="R19">
    <cfRule type="cellIs" dxfId="12201" priority="10561" operator="equal">
      <formula>"OFF"</formula>
    </cfRule>
    <cfRule type="cellIs" dxfId="12200" priority="10562" operator="equal">
      <formula>"PTO"</formula>
    </cfRule>
  </conditionalFormatting>
  <conditionalFormatting sqref="R18:R28 R30:R42">
    <cfRule type="cellIs" dxfId="12199" priority="10559" operator="equal">
      <formula>"OFF"</formula>
    </cfRule>
    <cfRule type="cellIs" dxfId="12198" priority="10560" operator="equal">
      <formula>"PTO"</formula>
    </cfRule>
  </conditionalFormatting>
  <conditionalFormatting sqref="R18:R28 R30:R42">
    <cfRule type="cellIs" dxfId="12197" priority="10557" operator="equal">
      <formula>"OFF"</formula>
    </cfRule>
    <cfRule type="cellIs" dxfId="12196" priority="10558" operator="equal">
      <formula>"PTO"</formula>
    </cfRule>
  </conditionalFormatting>
  <conditionalFormatting sqref="R18:R28 R30:R42">
    <cfRule type="cellIs" dxfId="12195" priority="10555" operator="equal">
      <formula>"OFF"</formula>
    </cfRule>
    <cfRule type="cellIs" dxfId="12194" priority="10556" operator="equal">
      <formula>"PTO"</formula>
    </cfRule>
  </conditionalFormatting>
  <conditionalFormatting sqref="R18:R28 R30:R42">
    <cfRule type="cellIs" dxfId="12193" priority="10553" operator="equal">
      <formula>"OFF"</formula>
    </cfRule>
    <cfRule type="cellIs" dxfId="12192" priority="10554" operator="equal">
      <formula>"PTO"</formula>
    </cfRule>
  </conditionalFormatting>
  <conditionalFormatting sqref="R18:R28 R30:R42">
    <cfRule type="cellIs" dxfId="12191" priority="10551" operator="equal">
      <formula>"OFF"</formula>
    </cfRule>
    <cfRule type="cellIs" dxfId="12190" priority="10552" operator="equal">
      <formula>"PTO"</formula>
    </cfRule>
  </conditionalFormatting>
  <conditionalFormatting sqref="R18:R28 R30:R42">
    <cfRule type="cellIs" dxfId="12189" priority="10549" operator="equal">
      <formula>"OFF"</formula>
    </cfRule>
    <cfRule type="cellIs" dxfId="12188" priority="10550" operator="equal">
      <formula>"PTO"</formula>
    </cfRule>
  </conditionalFormatting>
  <conditionalFormatting sqref="R18:R28 R30:R42">
    <cfRule type="cellIs" dxfId="12187" priority="10547" operator="equal">
      <formula>"OFF"</formula>
    </cfRule>
    <cfRule type="cellIs" dxfId="12186" priority="10548" operator="equal">
      <formula>"PTO"</formula>
    </cfRule>
  </conditionalFormatting>
  <conditionalFormatting sqref="C19:I19">
    <cfRule type="cellIs" dxfId="12185" priority="10149" operator="equal">
      <formula>"OFF"</formula>
    </cfRule>
    <cfRule type="cellIs" dxfId="12184" priority="10150" operator="equal">
      <formula>"PTO"</formula>
    </cfRule>
  </conditionalFormatting>
  <conditionalFormatting sqref="C19:I19">
    <cfRule type="cellIs" dxfId="12183" priority="10147" operator="equal">
      <formula>"OFF"</formula>
    </cfRule>
    <cfRule type="cellIs" dxfId="12182" priority="10148" operator="equal">
      <formula>"PTO"</formula>
    </cfRule>
  </conditionalFormatting>
  <conditionalFormatting sqref="C19">
    <cfRule type="cellIs" dxfId="12181" priority="10145" operator="equal">
      <formula>"OFF"</formula>
    </cfRule>
    <cfRule type="cellIs" dxfId="12180" priority="10146" operator="equal">
      <formula>"PTO"</formula>
    </cfRule>
  </conditionalFormatting>
  <conditionalFormatting sqref="C19">
    <cfRule type="cellIs" dxfId="12179" priority="10143" operator="equal">
      <formula>"OFF"</formula>
    </cfRule>
    <cfRule type="cellIs" dxfId="12178" priority="10144" operator="equal">
      <formula>"PTO"</formula>
    </cfRule>
  </conditionalFormatting>
  <conditionalFormatting sqref="C19">
    <cfRule type="cellIs" dxfId="12177" priority="10141" operator="equal">
      <formula>"OFF"</formula>
    </cfRule>
    <cfRule type="cellIs" dxfId="12176" priority="10142" operator="equal">
      <formula>"PTO"</formula>
    </cfRule>
  </conditionalFormatting>
  <conditionalFormatting sqref="C19">
    <cfRule type="cellIs" dxfId="12175" priority="10139" operator="equal">
      <formula>"OFF"</formula>
    </cfRule>
    <cfRule type="cellIs" dxfId="12174" priority="10140" operator="equal">
      <formula>"PTO"</formula>
    </cfRule>
  </conditionalFormatting>
  <conditionalFormatting sqref="D19">
    <cfRule type="cellIs" dxfId="12173" priority="10137" operator="equal">
      <formula>"OFF"</formula>
    </cfRule>
    <cfRule type="cellIs" dxfId="12172" priority="10138" operator="equal">
      <formula>"PTO"</formula>
    </cfRule>
  </conditionalFormatting>
  <conditionalFormatting sqref="D19">
    <cfRule type="cellIs" dxfId="12171" priority="10135" operator="equal">
      <formula>"OFF"</formula>
    </cfRule>
    <cfRule type="cellIs" dxfId="12170" priority="10136" operator="equal">
      <formula>"PTO"</formula>
    </cfRule>
  </conditionalFormatting>
  <conditionalFormatting sqref="D19">
    <cfRule type="cellIs" dxfId="12169" priority="10133" operator="equal">
      <formula>"OFF"</formula>
    </cfRule>
    <cfRule type="cellIs" dxfId="12168" priority="10134" operator="equal">
      <formula>"PTO"</formula>
    </cfRule>
  </conditionalFormatting>
  <conditionalFormatting sqref="D19">
    <cfRule type="cellIs" dxfId="12167" priority="10131" operator="equal">
      <formula>"OFF"</formula>
    </cfRule>
    <cfRule type="cellIs" dxfId="12166" priority="10132" operator="equal">
      <formula>"PTO"</formula>
    </cfRule>
  </conditionalFormatting>
  <conditionalFormatting sqref="C19">
    <cfRule type="cellIs" dxfId="12165" priority="10129" operator="equal">
      <formula>"OFF"</formula>
    </cfRule>
    <cfRule type="cellIs" dxfId="12164" priority="10130" operator="equal">
      <formula>"PTO"</formula>
    </cfRule>
  </conditionalFormatting>
  <conditionalFormatting sqref="C19">
    <cfRule type="cellIs" dxfId="12163" priority="10127" operator="equal">
      <formula>"OFF"</formula>
    </cfRule>
    <cfRule type="cellIs" dxfId="12162" priority="10128" operator="equal">
      <formula>"PTO"</formula>
    </cfRule>
  </conditionalFormatting>
  <conditionalFormatting sqref="C19">
    <cfRule type="cellIs" dxfId="12161" priority="10125" operator="equal">
      <formula>"OFF"</formula>
    </cfRule>
    <cfRule type="cellIs" dxfId="12160" priority="10126" operator="equal">
      <formula>"PTO"</formula>
    </cfRule>
  </conditionalFormatting>
  <conditionalFormatting sqref="C19">
    <cfRule type="cellIs" dxfId="12159" priority="10123" operator="equal">
      <formula>"OFF"</formula>
    </cfRule>
    <cfRule type="cellIs" dxfId="12158" priority="10124" operator="equal">
      <formula>"PTO"</formula>
    </cfRule>
  </conditionalFormatting>
  <conditionalFormatting sqref="D19">
    <cfRule type="cellIs" dxfId="12157" priority="10121" operator="equal">
      <formula>"OFF"</formula>
    </cfRule>
    <cfRule type="cellIs" dxfId="12156" priority="10122" operator="equal">
      <formula>"PTO"</formula>
    </cfRule>
  </conditionalFormatting>
  <conditionalFormatting sqref="D19">
    <cfRule type="cellIs" dxfId="12155" priority="10119" operator="equal">
      <formula>"OFF"</formula>
    </cfRule>
    <cfRule type="cellIs" dxfId="12154" priority="10120" operator="equal">
      <formula>"PTO"</formula>
    </cfRule>
  </conditionalFormatting>
  <conditionalFormatting sqref="D19">
    <cfRule type="cellIs" dxfId="12153" priority="10117" operator="equal">
      <formula>"OFF"</formula>
    </cfRule>
    <cfRule type="cellIs" dxfId="12152" priority="10118" operator="equal">
      <formula>"PTO"</formula>
    </cfRule>
  </conditionalFormatting>
  <conditionalFormatting sqref="D19">
    <cfRule type="cellIs" dxfId="12151" priority="10115" operator="equal">
      <formula>"OFF"</formula>
    </cfRule>
    <cfRule type="cellIs" dxfId="12150" priority="10116" operator="equal">
      <formula>"PTO"</formula>
    </cfRule>
  </conditionalFormatting>
  <conditionalFormatting sqref="C19">
    <cfRule type="cellIs" dxfId="12149" priority="10113" operator="equal">
      <formula>"OFF"</formula>
    </cfRule>
    <cfRule type="cellIs" dxfId="12148" priority="10114" operator="equal">
      <formula>"PTO"</formula>
    </cfRule>
  </conditionalFormatting>
  <conditionalFormatting sqref="C19">
    <cfRule type="cellIs" dxfId="12147" priority="10111" operator="equal">
      <formula>"OFF"</formula>
    </cfRule>
    <cfRule type="cellIs" dxfId="12146" priority="10112" operator="equal">
      <formula>"PTO"</formula>
    </cfRule>
  </conditionalFormatting>
  <conditionalFormatting sqref="C19">
    <cfRule type="cellIs" dxfId="12145" priority="10109" operator="equal">
      <formula>"OFF"</formula>
    </cfRule>
    <cfRule type="cellIs" dxfId="12144" priority="10110" operator="equal">
      <formula>"PTO"</formula>
    </cfRule>
  </conditionalFormatting>
  <conditionalFormatting sqref="C19">
    <cfRule type="cellIs" dxfId="12143" priority="10107" operator="equal">
      <formula>"OFF"</formula>
    </cfRule>
    <cfRule type="cellIs" dxfId="12142" priority="10108" operator="equal">
      <formula>"PTO"</formula>
    </cfRule>
  </conditionalFormatting>
  <conditionalFormatting sqref="D19">
    <cfRule type="cellIs" dxfId="12141" priority="10105" operator="equal">
      <formula>"OFF"</formula>
    </cfRule>
    <cfRule type="cellIs" dxfId="12140" priority="10106" operator="equal">
      <formula>"PTO"</formula>
    </cfRule>
  </conditionalFormatting>
  <conditionalFormatting sqref="D19">
    <cfRule type="cellIs" dxfId="12139" priority="10103" operator="equal">
      <formula>"OFF"</formula>
    </cfRule>
    <cfRule type="cellIs" dxfId="12138" priority="10104" operator="equal">
      <formula>"PTO"</formula>
    </cfRule>
  </conditionalFormatting>
  <conditionalFormatting sqref="D19">
    <cfRule type="cellIs" dxfId="12137" priority="10101" operator="equal">
      <formula>"OFF"</formula>
    </cfRule>
    <cfRule type="cellIs" dxfId="12136" priority="10102" operator="equal">
      <formula>"PTO"</formula>
    </cfRule>
  </conditionalFormatting>
  <conditionalFormatting sqref="D19">
    <cfRule type="cellIs" dxfId="12135" priority="10099" operator="equal">
      <formula>"OFF"</formula>
    </cfRule>
    <cfRule type="cellIs" dxfId="12134" priority="10100" operator="equal">
      <formula>"PTO"</formula>
    </cfRule>
  </conditionalFormatting>
  <conditionalFormatting sqref="C19">
    <cfRule type="cellIs" dxfId="12133" priority="10097" operator="equal">
      <formula>"OFF"</formula>
    </cfRule>
    <cfRule type="cellIs" dxfId="12132" priority="10098" operator="equal">
      <formula>"PTO"</formula>
    </cfRule>
  </conditionalFormatting>
  <conditionalFormatting sqref="C19">
    <cfRule type="cellIs" dxfId="12131" priority="10095" operator="equal">
      <formula>"OFF"</formula>
    </cfRule>
    <cfRule type="cellIs" dxfId="12130" priority="10096" operator="equal">
      <formula>"PTO"</formula>
    </cfRule>
  </conditionalFormatting>
  <conditionalFormatting sqref="C19">
    <cfRule type="cellIs" dxfId="12129" priority="10093" operator="equal">
      <formula>"OFF"</formula>
    </cfRule>
    <cfRule type="cellIs" dxfId="12128" priority="10094" operator="equal">
      <formula>"PTO"</formula>
    </cfRule>
  </conditionalFormatting>
  <conditionalFormatting sqref="C19">
    <cfRule type="cellIs" dxfId="12127" priority="10091" operator="equal">
      <formula>"OFF"</formula>
    </cfRule>
    <cfRule type="cellIs" dxfId="12126" priority="10092" operator="equal">
      <formula>"PTO"</formula>
    </cfRule>
  </conditionalFormatting>
  <conditionalFormatting sqref="D19">
    <cfRule type="cellIs" dxfId="12125" priority="10089" operator="equal">
      <formula>"OFF"</formula>
    </cfRule>
    <cfRule type="cellIs" dxfId="12124" priority="10090" operator="equal">
      <formula>"PTO"</formula>
    </cfRule>
  </conditionalFormatting>
  <conditionalFormatting sqref="D19">
    <cfRule type="cellIs" dxfId="12123" priority="10087" operator="equal">
      <formula>"OFF"</formula>
    </cfRule>
    <cfRule type="cellIs" dxfId="12122" priority="10088" operator="equal">
      <formula>"PTO"</formula>
    </cfRule>
  </conditionalFormatting>
  <conditionalFormatting sqref="D19">
    <cfRule type="cellIs" dxfId="12121" priority="10085" operator="equal">
      <formula>"OFF"</formula>
    </cfRule>
    <cfRule type="cellIs" dxfId="12120" priority="10086" operator="equal">
      <formula>"PTO"</formula>
    </cfRule>
  </conditionalFormatting>
  <conditionalFormatting sqref="D19">
    <cfRule type="cellIs" dxfId="12119" priority="10083" operator="equal">
      <formula>"OFF"</formula>
    </cfRule>
    <cfRule type="cellIs" dxfId="12118" priority="10084" operator="equal">
      <formula>"PTO"</formula>
    </cfRule>
  </conditionalFormatting>
  <conditionalFormatting sqref="C19:I19">
    <cfRule type="cellIs" dxfId="12117" priority="10081" operator="equal">
      <formula>"OFF"</formula>
    </cfRule>
    <cfRule type="cellIs" dxfId="12116" priority="10082" operator="equal">
      <formula>"PTO"</formula>
    </cfRule>
  </conditionalFormatting>
  <conditionalFormatting sqref="C19:I19">
    <cfRule type="cellIs" dxfId="12115" priority="10079" operator="equal">
      <formula>"OFF"</formula>
    </cfRule>
    <cfRule type="cellIs" dxfId="12114" priority="10080" operator="equal">
      <formula>"PTO"</formula>
    </cfRule>
  </conditionalFormatting>
  <conditionalFormatting sqref="E19">
    <cfRule type="cellIs" dxfId="12113" priority="10077" operator="equal">
      <formula>"OFF"</formula>
    </cfRule>
    <cfRule type="cellIs" dxfId="12112" priority="10078" operator="equal">
      <formula>"PTO"</formula>
    </cfRule>
  </conditionalFormatting>
  <conditionalFormatting sqref="E19">
    <cfRule type="cellIs" dxfId="12111" priority="10075" operator="equal">
      <formula>"OFF"</formula>
    </cfRule>
    <cfRule type="cellIs" dxfId="12110" priority="10076" operator="equal">
      <formula>"PTO"</formula>
    </cfRule>
  </conditionalFormatting>
  <conditionalFormatting sqref="E19">
    <cfRule type="cellIs" dxfId="12109" priority="10073" operator="equal">
      <formula>"OFF"</formula>
    </cfRule>
    <cfRule type="cellIs" dxfId="12108" priority="10074" operator="equal">
      <formula>"PTO"</formula>
    </cfRule>
  </conditionalFormatting>
  <conditionalFormatting sqref="E19">
    <cfRule type="cellIs" dxfId="12107" priority="10071" operator="equal">
      <formula>"OFF"</formula>
    </cfRule>
    <cfRule type="cellIs" dxfId="12106" priority="10072" operator="equal">
      <formula>"PTO"</formula>
    </cfRule>
  </conditionalFormatting>
  <conditionalFormatting sqref="E19">
    <cfRule type="cellIs" dxfId="12105" priority="10069" operator="equal">
      <formula>"OFF"</formula>
    </cfRule>
    <cfRule type="cellIs" dxfId="12104" priority="10070" operator="equal">
      <formula>"PTO"</formula>
    </cfRule>
  </conditionalFormatting>
  <conditionalFormatting sqref="E19">
    <cfRule type="cellIs" dxfId="12103" priority="10067" operator="equal">
      <formula>"OFF"</formula>
    </cfRule>
    <cfRule type="cellIs" dxfId="12102" priority="10068" operator="equal">
      <formula>"PTO"</formula>
    </cfRule>
  </conditionalFormatting>
  <conditionalFormatting sqref="E19">
    <cfRule type="cellIs" dxfId="12101" priority="10065" operator="equal">
      <formula>"OFF"</formula>
    </cfRule>
    <cfRule type="cellIs" dxfId="12100" priority="10066" operator="equal">
      <formula>"PTO"</formula>
    </cfRule>
  </conditionalFormatting>
  <conditionalFormatting sqref="E19">
    <cfRule type="cellIs" dxfId="12099" priority="10063" operator="equal">
      <formula>"OFF"</formula>
    </cfRule>
    <cfRule type="cellIs" dxfId="12098" priority="10064" operator="equal">
      <formula>"PTO"</formula>
    </cfRule>
  </conditionalFormatting>
  <conditionalFormatting sqref="E19">
    <cfRule type="cellIs" dxfId="12097" priority="10061" operator="equal">
      <formula>"OFF"</formula>
    </cfRule>
    <cfRule type="cellIs" dxfId="12096" priority="10062" operator="equal">
      <formula>"PTO"</formula>
    </cfRule>
  </conditionalFormatting>
  <conditionalFormatting sqref="E19">
    <cfRule type="cellIs" dxfId="12095" priority="10059" operator="equal">
      <formula>"OFF"</formula>
    </cfRule>
    <cfRule type="cellIs" dxfId="12094" priority="10060" operator="equal">
      <formula>"PTO"</formula>
    </cfRule>
  </conditionalFormatting>
  <conditionalFormatting sqref="E19">
    <cfRule type="cellIs" dxfId="12093" priority="10057" operator="equal">
      <formula>"OFF"</formula>
    </cfRule>
    <cfRule type="cellIs" dxfId="12092" priority="10058" operator="equal">
      <formula>"PTO"</formula>
    </cfRule>
  </conditionalFormatting>
  <conditionalFormatting sqref="E19">
    <cfRule type="cellIs" dxfId="12091" priority="10055" operator="equal">
      <formula>"OFF"</formula>
    </cfRule>
    <cfRule type="cellIs" dxfId="12090" priority="10056" operator="equal">
      <formula>"PTO"</formula>
    </cfRule>
  </conditionalFormatting>
  <conditionalFormatting sqref="E19">
    <cfRule type="cellIs" dxfId="12089" priority="10053" operator="equal">
      <formula>"OFF"</formula>
    </cfRule>
    <cfRule type="cellIs" dxfId="12088" priority="10054" operator="equal">
      <formula>"PTO"</formula>
    </cfRule>
  </conditionalFormatting>
  <conditionalFormatting sqref="E19">
    <cfRule type="cellIs" dxfId="12087" priority="10051" operator="equal">
      <formula>"OFF"</formula>
    </cfRule>
    <cfRule type="cellIs" dxfId="12086" priority="10052" operator="equal">
      <formula>"PTO"</formula>
    </cfRule>
  </conditionalFormatting>
  <conditionalFormatting sqref="E19">
    <cfRule type="cellIs" dxfId="12085" priority="10049" operator="equal">
      <formula>"OFF"</formula>
    </cfRule>
    <cfRule type="cellIs" dxfId="12084" priority="10050" operator="equal">
      <formula>"PTO"</formula>
    </cfRule>
  </conditionalFormatting>
  <conditionalFormatting sqref="E19">
    <cfRule type="cellIs" dxfId="12083" priority="10047" operator="equal">
      <formula>"OFF"</formula>
    </cfRule>
    <cfRule type="cellIs" dxfId="12082" priority="10048" operator="equal">
      <formula>"PTO"</formula>
    </cfRule>
  </conditionalFormatting>
  <conditionalFormatting sqref="H19">
    <cfRule type="cellIs" dxfId="12081" priority="10045" operator="equal">
      <formula>"OFF"</formula>
    </cfRule>
    <cfRule type="cellIs" dxfId="12080" priority="10046" operator="equal">
      <formula>"PTO"</formula>
    </cfRule>
  </conditionalFormatting>
  <conditionalFormatting sqref="H19">
    <cfRule type="cellIs" dxfId="12079" priority="10043" operator="equal">
      <formula>"OFF"</formula>
    </cfRule>
    <cfRule type="cellIs" dxfId="12078" priority="10044" operator="equal">
      <formula>"PTO"</formula>
    </cfRule>
  </conditionalFormatting>
  <conditionalFormatting sqref="H19">
    <cfRule type="cellIs" dxfId="12077" priority="10041" operator="equal">
      <formula>"OFF"</formula>
    </cfRule>
    <cfRule type="cellIs" dxfId="12076" priority="10042" operator="equal">
      <formula>"PTO"</formula>
    </cfRule>
  </conditionalFormatting>
  <conditionalFormatting sqref="H19">
    <cfRule type="cellIs" dxfId="12075" priority="10039" operator="equal">
      <formula>"OFF"</formula>
    </cfRule>
    <cfRule type="cellIs" dxfId="12074" priority="10040" operator="equal">
      <formula>"PTO"</formula>
    </cfRule>
  </conditionalFormatting>
  <conditionalFormatting sqref="H19">
    <cfRule type="cellIs" dxfId="12073" priority="10037" operator="equal">
      <formula>"OFF"</formula>
    </cfRule>
    <cfRule type="cellIs" dxfId="12072" priority="10038" operator="equal">
      <formula>"PTO"</formula>
    </cfRule>
  </conditionalFormatting>
  <conditionalFormatting sqref="H19">
    <cfRule type="cellIs" dxfId="12071" priority="10035" operator="equal">
      <formula>"OFF"</formula>
    </cfRule>
    <cfRule type="cellIs" dxfId="12070" priority="10036" operator="equal">
      <formula>"PTO"</formula>
    </cfRule>
  </conditionalFormatting>
  <conditionalFormatting sqref="H19">
    <cfRule type="cellIs" dxfId="12069" priority="10033" operator="equal">
      <formula>"OFF"</formula>
    </cfRule>
    <cfRule type="cellIs" dxfId="12068" priority="10034" operator="equal">
      <formula>"PTO"</formula>
    </cfRule>
  </conditionalFormatting>
  <conditionalFormatting sqref="H19">
    <cfRule type="cellIs" dxfId="12067" priority="10031" operator="equal">
      <formula>"OFF"</formula>
    </cfRule>
    <cfRule type="cellIs" dxfId="12066" priority="10032" operator="equal">
      <formula>"PTO"</formula>
    </cfRule>
  </conditionalFormatting>
  <conditionalFormatting sqref="H19">
    <cfRule type="cellIs" dxfId="12065" priority="10029" operator="equal">
      <formula>"OFF"</formula>
    </cfRule>
    <cfRule type="cellIs" dxfId="12064" priority="10030" operator="equal">
      <formula>"PTO"</formula>
    </cfRule>
  </conditionalFormatting>
  <conditionalFormatting sqref="H19">
    <cfRule type="cellIs" dxfId="12063" priority="10027" operator="equal">
      <formula>"OFF"</formula>
    </cfRule>
    <cfRule type="cellIs" dxfId="12062" priority="10028" operator="equal">
      <formula>"PTO"</formula>
    </cfRule>
  </conditionalFormatting>
  <conditionalFormatting sqref="H19">
    <cfRule type="cellIs" dxfId="12061" priority="10025" operator="equal">
      <formula>"OFF"</formula>
    </cfRule>
    <cfRule type="cellIs" dxfId="12060" priority="10026" operator="equal">
      <formula>"PTO"</formula>
    </cfRule>
  </conditionalFormatting>
  <conditionalFormatting sqref="H19">
    <cfRule type="cellIs" dxfId="12059" priority="10023" operator="equal">
      <formula>"OFF"</formula>
    </cfRule>
    <cfRule type="cellIs" dxfId="12058" priority="10024" operator="equal">
      <formula>"PTO"</formula>
    </cfRule>
  </conditionalFormatting>
  <conditionalFormatting sqref="H19">
    <cfRule type="cellIs" dxfId="12057" priority="10021" operator="equal">
      <formula>"OFF"</formula>
    </cfRule>
    <cfRule type="cellIs" dxfId="12056" priority="10022" operator="equal">
      <formula>"PTO"</formula>
    </cfRule>
  </conditionalFormatting>
  <conditionalFormatting sqref="H19">
    <cfRule type="cellIs" dxfId="12055" priority="10019" operator="equal">
      <formula>"OFF"</formula>
    </cfRule>
    <cfRule type="cellIs" dxfId="12054" priority="10020" operator="equal">
      <formula>"PTO"</formula>
    </cfRule>
  </conditionalFormatting>
  <conditionalFormatting sqref="H19">
    <cfRule type="cellIs" dxfId="12053" priority="10017" operator="equal">
      <formula>"OFF"</formula>
    </cfRule>
    <cfRule type="cellIs" dxfId="12052" priority="10018" operator="equal">
      <formula>"PTO"</formula>
    </cfRule>
  </conditionalFormatting>
  <conditionalFormatting sqref="H19">
    <cfRule type="cellIs" dxfId="12051" priority="10015" operator="equal">
      <formula>"OFF"</formula>
    </cfRule>
    <cfRule type="cellIs" dxfId="12050" priority="10016" operator="equal">
      <formula>"PTO"</formula>
    </cfRule>
  </conditionalFormatting>
  <conditionalFormatting sqref="E19">
    <cfRule type="cellIs" dxfId="12049" priority="10013" operator="equal">
      <formula>"OFF"</formula>
    </cfRule>
    <cfRule type="cellIs" dxfId="12048" priority="10014" operator="equal">
      <formula>"PTO"</formula>
    </cfRule>
  </conditionalFormatting>
  <conditionalFormatting sqref="E19">
    <cfRule type="cellIs" dxfId="12047" priority="10011" operator="equal">
      <formula>"OFF"</formula>
    </cfRule>
    <cfRule type="cellIs" dxfId="12046" priority="10012" operator="equal">
      <formula>"PTO"</formula>
    </cfRule>
  </conditionalFormatting>
  <conditionalFormatting sqref="E19">
    <cfRule type="cellIs" dxfId="12045" priority="10009" operator="equal">
      <formula>"OFF"</formula>
    </cfRule>
    <cfRule type="cellIs" dxfId="12044" priority="10010" operator="equal">
      <formula>"PTO"</formula>
    </cfRule>
  </conditionalFormatting>
  <conditionalFormatting sqref="E19">
    <cfRule type="cellIs" dxfId="12043" priority="10007" operator="equal">
      <formula>"OFF"</formula>
    </cfRule>
    <cfRule type="cellIs" dxfId="12042" priority="10008" operator="equal">
      <formula>"PTO"</formula>
    </cfRule>
  </conditionalFormatting>
  <conditionalFormatting sqref="I19:I42">
    <cfRule type="cellIs" dxfId="12041" priority="9673" operator="equal">
      <formula>"OFF"</formula>
    </cfRule>
    <cfRule type="cellIs" dxfId="12040" priority="9674" operator="equal">
      <formula>"PTO"</formula>
    </cfRule>
  </conditionalFormatting>
  <conditionalFormatting sqref="I19:I42">
    <cfRule type="cellIs" dxfId="12039" priority="9671" operator="equal">
      <formula>"OFF"</formula>
    </cfRule>
    <cfRule type="cellIs" dxfId="12038" priority="9672" operator="equal">
      <formula>"PTO"</formula>
    </cfRule>
  </conditionalFormatting>
  <conditionalFormatting sqref="I19:I42">
    <cfRule type="cellIs" dxfId="12037" priority="9669" operator="equal">
      <formula>"OFF"</formula>
    </cfRule>
    <cfRule type="cellIs" dxfId="12036" priority="9670" operator="equal">
      <formula>"PTO"</formula>
    </cfRule>
  </conditionalFormatting>
  <conditionalFormatting sqref="I19:I42">
    <cfRule type="cellIs" dxfId="12035" priority="9667" operator="equal">
      <formula>"OFF"</formula>
    </cfRule>
    <cfRule type="cellIs" dxfId="12034" priority="9668" operator="equal">
      <formula>"PTO"</formula>
    </cfRule>
  </conditionalFormatting>
  <conditionalFormatting sqref="I19:I42">
    <cfRule type="cellIs" dxfId="12033" priority="9665" operator="equal">
      <formula>"OFF"</formula>
    </cfRule>
    <cfRule type="cellIs" dxfId="12032" priority="9666" operator="equal">
      <formula>"PTO"</formula>
    </cfRule>
  </conditionalFormatting>
  <conditionalFormatting sqref="D17:H17 E33:E42 G33:H33 C18:H32 C14:H16">
    <cfRule type="cellIs" dxfId="12031" priority="9661" operator="equal">
      <formula>"OFF"</formula>
    </cfRule>
    <cfRule type="cellIs" dxfId="12030" priority="9662" operator="equal">
      <formula>"PTO"</formula>
    </cfRule>
  </conditionalFormatting>
  <conditionalFormatting sqref="D17:I17 E33:E42 G33:I33 I33:I42 C18:I32 C14:I16">
    <cfRule type="cellIs" dxfId="12029" priority="9655" operator="equal">
      <formula>"OFF"</formula>
    </cfRule>
    <cfRule type="cellIs" dxfId="12028" priority="9656" operator="equal">
      <formula>"PTO"</formula>
    </cfRule>
  </conditionalFormatting>
  <conditionalFormatting sqref="D17:I17 E33:E42 G33:I33 I33:I42 C18:I32 C14:I16">
    <cfRule type="cellIs" dxfId="12027" priority="9639" operator="equal">
      <formula>"OFF"</formula>
    </cfRule>
    <cfRule type="cellIs" dxfId="12026" priority="9640" operator="equal">
      <formula>"PTO"</formula>
    </cfRule>
  </conditionalFormatting>
  <conditionalFormatting sqref="D17:I17 E33:E42 G33:I33 I33:I42 C18:I32 C14:I16">
    <cfRule type="cellIs" dxfId="12025" priority="9607" operator="equal">
      <formula>"OFF"</formula>
    </cfRule>
    <cfRule type="cellIs" dxfId="12024" priority="9608" operator="equal">
      <formula>"PTO"</formula>
    </cfRule>
  </conditionalFormatting>
  <conditionalFormatting sqref="D17:I17 E33:E42 G33:I33 I33:I42 C18:I32 C14:I16">
    <cfRule type="cellIs" dxfId="12023" priority="9605" operator="equal">
      <formula>"OFF"</formula>
    </cfRule>
    <cfRule type="cellIs" dxfId="12022" priority="9606" operator="equal">
      <formula>"PTO"</formula>
    </cfRule>
  </conditionalFormatting>
  <conditionalFormatting sqref="E19">
    <cfRule type="cellIs" dxfId="12021" priority="10005" operator="equal">
      <formula>"OFF"</formula>
    </cfRule>
    <cfRule type="cellIs" dxfId="12020" priority="10006" operator="equal">
      <formula>"PTO"</formula>
    </cfRule>
  </conditionalFormatting>
  <conditionalFormatting sqref="E19">
    <cfRule type="cellIs" dxfId="12019" priority="10003" operator="equal">
      <formula>"OFF"</formula>
    </cfRule>
    <cfRule type="cellIs" dxfId="12018" priority="10004" operator="equal">
      <formula>"PTO"</formula>
    </cfRule>
  </conditionalFormatting>
  <conditionalFormatting sqref="E19">
    <cfRule type="cellIs" dxfId="12017" priority="10001" operator="equal">
      <formula>"OFF"</formula>
    </cfRule>
    <cfRule type="cellIs" dxfId="12016" priority="10002" operator="equal">
      <formula>"PTO"</formula>
    </cfRule>
  </conditionalFormatting>
  <conditionalFormatting sqref="E19">
    <cfRule type="cellIs" dxfId="12015" priority="9999" operator="equal">
      <formula>"OFF"</formula>
    </cfRule>
    <cfRule type="cellIs" dxfId="12014" priority="10000" operator="equal">
      <formula>"PTO"</formula>
    </cfRule>
  </conditionalFormatting>
  <conditionalFormatting sqref="E19">
    <cfRule type="cellIs" dxfId="12013" priority="9997" operator="equal">
      <formula>"OFF"</formula>
    </cfRule>
    <cfRule type="cellIs" dxfId="12012" priority="9998" operator="equal">
      <formula>"PTO"</formula>
    </cfRule>
  </conditionalFormatting>
  <conditionalFormatting sqref="E19">
    <cfRule type="cellIs" dxfId="12011" priority="9995" operator="equal">
      <formula>"OFF"</formula>
    </cfRule>
    <cfRule type="cellIs" dxfId="12010" priority="9996" operator="equal">
      <formula>"PTO"</formula>
    </cfRule>
  </conditionalFormatting>
  <conditionalFormatting sqref="E19">
    <cfRule type="cellIs" dxfId="12009" priority="9993" operator="equal">
      <formula>"OFF"</formula>
    </cfRule>
    <cfRule type="cellIs" dxfId="12008" priority="9994" operator="equal">
      <formula>"PTO"</formula>
    </cfRule>
  </conditionalFormatting>
  <conditionalFormatting sqref="E19">
    <cfRule type="cellIs" dxfId="12007" priority="9991" operator="equal">
      <formula>"OFF"</formula>
    </cfRule>
    <cfRule type="cellIs" dxfId="12006" priority="9992" operator="equal">
      <formula>"PTO"</formula>
    </cfRule>
  </conditionalFormatting>
  <conditionalFormatting sqref="E19">
    <cfRule type="cellIs" dxfId="12005" priority="9989" operator="equal">
      <formula>"OFF"</formula>
    </cfRule>
    <cfRule type="cellIs" dxfId="12004" priority="9990" operator="equal">
      <formula>"PTO"</formula>
    </cfRule>
  </conditionalFormatting>
  <conditionalFormatting sqref="E19">
    <cfRule type="cellIs" dxfId="12003" priority="9987" operator="equal">
      <formula>"OFF"</formula>
    </cfRule>
    <cfRule type="cellIs" dxfId="12002" priority="9988" operator="equal">
      <formula>"PTO"</formula>
    </cfRule>
  </conditionalFormatting>
  <conditionalFormatting sqref="E19">
    <cfRule type="cellIs" dxfId="12001" priority="9985" operator="equal">
      <formula>"OFF"</formula>
    </cfRule>
    <cfRule type="cellIs" dxfId="12000" priority="9986" operator="equal">
      <formula>"PTO"</formula>
    </cfRule>
  </conditionalFormatting>
  <conditionalFormatting sqref="E19">
    <cfRule type="cellIs" dxfId="11999" priority="9983" operator="equal">
      <formula>"OFF"</formula>
    </cfRule>
    <cfRule type="cellIs" dxfId="11998" priority="9984" operator="equal">
      <formula>"PTO"</formula>
    </cfRule>
  </conditionalFormatting>
  <conditionalFormatting sqref="H19">
    <cfRule type="cellIs" dxfId="11997" priority="9981" operator="equal">
      <formula>"OFF"</formula>
    </cfRule>
    <cfRule type="cellIs" dxfId="11996" priority="9982" operator="equal">
      <formula>"PTO"</formula>
    </cfRule>
  </conditionalFormatting>
  <conditionalFormatting sqref="H19">
    <cfRule type="cellIs" dxfId="11995" priority="9979" operator="equal">
      <formula>"OFF"</formula>
    </cfRule>
    <cfRule type="cellIs" dxfId="11994" priority="9980" operator="equal">
      <formula>"PTO"</formula>
    </cfRule>
  </conditionalFormatting>
  <conditionalFormatting sqref="H19">
    <cfRule type="cellIs" dxfId="11993" priority="9977" operator="equal">
      <formula>"OFF"</formula>
    </cfRule>
    <cfRule type="cellIs" dxfId="11992" priority="9978" operator="equal">
      <formula>"PTO"</formula>
    </cfRule>
  </conditionalFormatting>
  <conditionalFormatting sqref="H19">
    <cfRule type="cellIs" dxfId="11991" priority="9975" operator="equal">
      <formula>"OFF"</formula>
    </cfRule>
    <cfRule type="cellIs" dxfId="11990" priority="9976" operator="equal">
      <formula>"PTO"</formula>
    </cfRule>
  </conditionalFormatting>
  <conditionalFormatting sqref="H19">
    <cfRule type="cellIs" dxfId="11989" priority="9973" operator="equal">
      <formula>"OFF"</formula>
    </cfRule>
    <cfRule type="cellIs" dxfId="11988" priority="9974" operator="equal">
      <formula>"PTO"</formula>
    </cfRule>
  </conditionalFormatting>
  <conditionalFormatting sqref="H19">
    <cfRule type="cellIs" dxfId="11987" priority="9971" operator="equal">
      <formula>"OFF"</formula>
    </cfRule>
    <cfRule type="cellIs" dxfId="11986" priority="9972" operator="equal">
      <formula>"PTO"</formula>
    </cfRule>
  </conditionalFormatting>
  <conditionalFormatting sqref="H19">
    <cfRule type="cellIs" dxfId="11985" priority="9969" operator="equal">
      <formula>"OFF"</formula>
    </cfRule>
    <cfRule type="cellIs" dxfId="11984" priority="9970" operator="equal">
      <formula>"PTO"</formula>
    </cfRule>
  </conditionalFormatting>
  <conditionalFormatting sqref="H19">
    <cfRule type="cellIs" dxfId="11983" priority="9967" operator="equal">
      <formula>"OFF"</formula>
    </cfRule>
    <cfRule type="cellIs" dxfId="11982" priority="9968" operator="equal">
      <formula>"PTO"</formula>
    </cfRule>
  </conditionalFormatting>
  <conditionalFormatting sqref="H19">
    <cfRule type="cellIs" dxfId="11981" priority="9965" operator="equal">
      <formula>"OFF"</formula>
    </cfRule>
    <cfRule type="cellIs" dxfId="11980" priority="9966" operator="equal">
      <formula>"PTO"</formula>
    </cfRule>
  </conditionalFormatting>
  <conditionalFormatting sqref="H19">
    <cfRule type="cellIs" dxfId="11979" priority="9963" operator="equal">
      <formula>"OFF"</formula>
    </cfRule>
    <cfRule type="cellIs" dxfId="11978" priority="9964" operator="equal">
      <formula>"PTO"</formula>
    </cfRule>
  </conditionalFormatting>
  <conditionalFormatting sqref="H19">
    <cfRule type="cellIs" dxfId="11977" priority="9961" operator="equal">
      <formula>"OFF"</formula>
    </cfRule>
    <cfRule type="cellIs" dxfId="11976" priority="9962" operator="equal">
      <formula>"PTO"</formula>
    </cfRule>
  </conditionalFormatting>
  <conditionalFormatting sqref="H19">
    <cfRule type="cellIs" dxfId="11975" priority="9959" operator="equal">
      <formula>"OFF"</formula>
    </cfRule>
    <cfRule type="cellIs" dxfId="11974" priority="9960" operator="equal">
      <formula>"PTO"</formula>
    </cfRule>
  </conditionalFormatting>
  <conditionalFormatting sqref="H19">
    <cfRule type="cellIs" dxfId="11973" priority="9957" operator="equal">
      <formula>"OFF"</formula>
    </cfRule>
    <cfRule type="cellIs" dxfId="11972" priority="9958" operator="equal">
      <formula>"PTO"</formula>
    </cfRule>
  </conditionalFormatting>
  <conditionalFormatting sqref="H19">
    <cfRule type="cellIs" dxfId="11971" priority="9955" operator="equal">
      <formula>"OFF"</formula>
    </cfRule>
    <cfRule type="cellIs" dxfId="11970" priority="9956" operator="equal">
      <formula>"PTO"</formula>
    </cfRule>
  </conditionalFormatting>
  <conditionalFormatting sqref="H19">
    <cfRule type="cellIs" dxfId="11969" priority="9953" operator="equal">
      <formula>"OFF"</formula>
    </cfRule>
    <cfRule type="cellIs" dxfId="11968" priority="9954" operator="equal">
      <formula>"PTO"</formula>
    </cfRule>
  </conditionalFormatting>
  <conditionalFormatting sqref="H19">
    <cfRule type="cellIs" dxfId="11967" priority="9951" operator="equal">
      <formula>"OFF"</formula>
    </cfRule>
    <cfRule type="cellIs" dxfId="11966" priority="9952" operator="equal">
      <formula>"PTO"</formula>
    </cfRule>
  </conditionalFormatting>
  <conditionalFormatting sqref="E33:E42 G33:I33 I33:I42 C18:I32">
    <cfRule type="cellIs" dxfId="11965" priority="9949" operator="equal">
      <formula>"OFF"</formula>
    </cfRule>
    <cfRule type="cellIs" dxfId="11964" priority="9950" operator="equal">
      <formula>"PTO"</formula>
    </cfRule>
  </conditionalFormatting>
  <conditionalFormatting sqref="E33:E42 G33:I33 I33:I42 C18:I32">
    <cfRule type="cellIs" dxfId="11963" priority="9947" operator="equal">
      <formula>"OFF"</formula>
    </cfRule>
    <cfRule type="cellIs" dxfId="11962" priority="9948" operator="equal">
      <formula>"PTO"</formula>
    </cfRule>
  </conditionalFormatting>
  <conditionalFormatting sqref="E33:E42 G33:I33 I33:I42 C18:I32">
    <cfRule type="cellIs" dxfId="11961" priority="9945" operator="equal">
      <formula>"OFF"</formula>
    </cfRule>
    <cfRule type="cellIs" dxfId="11960" priority="9946" operator="equal">
      <formula>"PTO"</formula>
    </cfRule>
  </conditionalFormatting>
  <conditionalFormatting sqref="E33:E42 G33:I33 I33:I42 C18:I32">
    <cfRule type="cellIs" dxfId="11959" priority="9943" operator="equal">
      <formula>"OFF"</formula>
    </cfRule>
    <cfRule type="cellIs" dxfId="11958" priority="9944" operator="equal">
      <formula>"PTO"</formula>
    </cfRule>
  </conditionalFormatting>
  <conditionalFormatting sqref="E33:E42 G33:I33 I33:I42 C18:I32">
    <cfRule type="cellIs" dxfId="11957" priority="9941" operator="equal">
      <formula>"OFF"</formula>
    </cfRule>
    <cfRule type="cellIs" dxfId="11956" priority="9942" operator="equal">
      <formula>"PTO"</formula>
    </cfRule>
  </conditionalFormatting>
  <conditionalFormatting sqref="E33:E42 G33:I33 I33:I42 C18:I32">
    <cfRule type="cellIs" dxfId="11955" priority="9939" operator="equal">
      <formula>"OFF"</formula>
    </cfRule>
    <cfRule type="cellIs" dxfId="11954" priority="9940" operator="equal">
      <formula>"PTO"</formula>
    </cfRule>
  </conditionalFormatting>
  <conditionalFormatting sqref="E33:E42 G33:I33 I33:I42 C18:I32">
    <cfRule type="cellIs" dxfId="11953" priority="9937" operator="equal">
      <formula>"OFF"</formula>
    </cfRule>
    <cfRule type="cellIs" dxfId="11952" priority="9938" operator="equal">
      <formula>"PTO"</formula>
    </cfRule>
  </conditionalFormatting>
  <conditionalFormatting sqref="E33:E42 G33:I33 I33:I42 C18:I32">
    <cfRule type="cellIs" dxfId="11951" priority="9935" operator="equal">
      <formula>"OFF"</formula>
    </cfRule>
    <cfRule type="cellIs" dxfId="11950" priority="9936" operator="equal">
      <formula>"PTO"</formula>
    </cfRule>
  </conditionalFormatting>
  <conditionalFormatting sqref="E33:E42 G33:I33 I33:I42 C18:I32">
    <cfRule type="cellIs" dxfId="11949" priority="9933" operator="equal">
      <formula>"OFF"</formula>
    </cfRule>
    <cfRule type="cellIs" dxfId="11948" priority="9934" operator="equal">
      <formula>"PTO"</formula>
    </cfRule>
  </conditionalFormatting>
  <conditionalFormatting sqref="E33:E42 G33:I33 I33:I42 C18:I32">
    <cfRule type="cellIs" dxfId="11947" priority="9931" operator="equal">
      <formula>"OFF"</formula>
    </cfRule>
    <cfRule type="cellIs" dxfId="11946" priority="9932" operator="equal">
      <formula>"PTO"</formula>
    </cfRule>
  </conditionalFormatting>
  <conditionalFormatting sqref="E33:E42 G33:I33 I33:I42 C18:I32">
    <cfRule type="cellIs" dxfId="11945" priority="9929" operator="equal">
      <formula>"OFF"</formula>
    </cfRule>
    <cfRule type="cellIs" dxfId="11944" priority="9930" operator="equal">
      <formula>"PTO"</formula>
    </cfRule>
  </conditionalFormatting>
  <conditionalFormatting sqref="E33:E42 G33:I33 I33:I42 C18:I32">
    <cfRule type="cellIs" dxfId="11943" priority="9927" operator="equal">
      <formula>"OFF"</formula>
    </cfRule>
    <cfRule type="cellIs" dxfId="11942" priority="9928" operator="equal">
      <formula>"PTO"</formula>
    </cfRule>
  </conditionalFormatting>
  <conditionalFormatting sqref="E33:E42 G33:I33 I33:I42 C18:I32">
    <cfRule type="cellIs" dxfId="11941" priority="9925" operator="equal">
      <formula>"OFF"</formula>
    </cfRule>
    <cfRule type="cellIs" dxfId="11940" priority="9926" operator="equal">
      <formula>"PTO"</formula>
    </cfRule>
  </conditionalFormatting>
  <conditionalFormatting sqref="E33 G33:H33 E18:H32">
    <cfRule type="cellIs" dxfId="11939" priority="9923" operator="equal">
      <formula>"OFF"</formula>
    </cfRule>
    <cfRule type="cellIs" dxfId="11938" priority="9924" operator="equal">
      <formula>"PTO"</formula>
    </cfRule>
  </conditionalFormatting>
  <conditionalFormatting sqref="E33:E42 G33:I33 I33:I42 C18:I32">
    <cfRule type="cellIs" dxfId="11937" priority="9921" operator="equal">
      <formula>"OFF"</formula>
    </cfRule>
    <cfRule type="cellIs" dxfId="11936" priority="9922" operator="equal">
      <formula>"PTO"</formula>
    </cfRule>
  </conditionalFormatting>
  <conditionalFormatting sqref="E33 G33:H33 E18:H32">
    <cfRule type="cellIs" dxfId="11935" priority="9919" operator="equal">
      <formula>"OFF"</formula>
    </cfRule>
    <cfRule type="cellIs" dxfId="11934" priority="9920" operator="equal">
      <formula>"PTO"</formula>
    </cfRule>
  </conditionalFormatting>
  <conditionalFormatting sqref="H18:I33 I33:I42">
    <cfRule type="cellIs" dxfId="11933" priority="9917" operator="equal">
      <formula>"OFF"</formula>
    </cfRule>
    <cfRule type="cellIs" dxfId="11932" priority="9918" operator="equal">
      <formula>"PTO"</formula>
    </cfRule>
  </conditionalFormatting>
  <conditionalFormatting sqref="E33 G33:H33 E18:H32">
    <cfRule type="cellIs" dxfId="11931" priority="9915" operator="equal">
      <formula>"OFF"</formula>
    </cfRule>
    <cfRule type="cellIs" dxfId="11930" priority="9916" operator="equal">
      <formula>"PTO"</formula>
    </cfRule>
  </conditionalFormatting>
  <conditionalFormatting sqref="H18:I33 I33:I42">
    <cfRule type="cellIs" dxfId="11929" priority="9913" operator="equal">
      <formula>"OFF"</formula>
    </cfRule>
    <cfRule type="cellIs" dxfId="11928" priority="9914" operator="equal">
      <formula>"PTO"</formula>
    </cfRule>
  </conditionalFormatting>
  <conditionalFormatting sqref="E33 G33:H33 E18:H32">
    <cfRule type="cellIs" dxfId="11927" priority="9911" operator="equal">
      <formula>"OFF"</formula>
    </cfRule>
    <cfRule type="cellIs" dxfId="11926" priority="9912" operator="equal">
      <formula>"PTO"</formula>
    </cfRule>
  </conditionalFormatting>
  <conditionalFormatting sqref="H18:I33 I33:I42">
    <cfRule type="cellIs" dxfId="11925" priority="9909" operator="equal">
      <formula>"OFF"</formula>
    </cfRule>
    <cfRule type="cellIs" dxfId="11924" priority="9910" operator="equal">
      <formula>"PTO"</formula>
    </cfRule>
  </conditionalFormatting>
  <conditionalFormatting sqref="E33 G33:H33 E18:H32">
    <cfRule type="cellIs" dxfId="11923" priority="9907" operator="equal">
      <formula>"OFF"</formula>
    </cfRule>
    <cfRule type="cellIs" dxfId="11922" priority="9908" operator="equal">
      <formula>"PTO"</formula>
    </cfRule>
  </conditionalFormatting>
  <conditionalFormatting sqref="H18:I33 I33:I42">
    <cfRule type="cellIs" dxfId="11921" priority="9905" operator="equal">
      <formula>"OFF"</formula>
    </cfRule>
    <cfRule type="cellIs" dxfId="11920" priority="9906" operator="equal">
      <formula>"PTO"</formula>
    </cfRule>
  </conditionalFormatting>
  <conditionalFormatting sqref="E33 G33:H33 E18:H32">
    <cfRule type="cellIs" dxfId="11919" priority="9903" operator="equal">
      <formula>"OFF"</formula>
    </cfRule>
    <cfRule type="cellIs" dxfId="11918" priority="9904" operator="equal">
      <formula>"PTO"</formula>
    </cfRule>
  </conditionalFormatting>
  <conditionalFormatting sqref="H18:I33 I33:I42">
    <cfRule type="cellIs" dxfId="11917" priority="9901" operator="equal">
      <formula>"OFF"</formula>
    </cfRule>
    <cfRule type="cellIs" dxfId="11916" priority="9902" operator="equal">
      <formula>"PTO"</formula>
    </cfRule>
  </conditionalFormatting>
  <conditionalFormatting sqref="E33 G33:H33 E18:H32">
    <cfRule type="cellIs" dxfId="11915" priority="9899" operator="equal">
      <formula>"OFF"</formula>
    </cfRule>
    <cfRule type="cellIs" dxfId="11914" priority="9900" operator="equal">
      <formula>"PTO"</formula>
    </cfRule>
  </conditionalFormatting>
  <conditionalFormatting sqref="H18:I33 I33:I42">
    <cfRule type="cellIs" dxfId="11913" priority="9897" operator="equal">
      <formula>"OFF"</formula>
    </cfRule>
    <cfRule type="cellIs" dxfId="11912" priority="9898" operator="equal">
      <formula>"PTO"</formula>
    </cfRule>
  </conditionalFormatting>
  <conditionalFormatting sqref="C25:C32">
    <cfRule type="cellIs" dxfId="11911" priority="9895" operator="equal">
      <formula>"OFF"</formula>
    </cfRule>
    <cfRule type="cellIs" dxfId="11910" priority="9896" operator="equal">
      <formula>"PTO"</formula>
    </cfRule>
  </conditionalFormatting>
  <conditionalFormatting sqref="E33:E42 G33:H33 C19:H32">
    <cfRule type="cellIs" dxfId="11909" priority="9893" operator="equal">
      <formula>"OFF"</formula>
    </cfRule>
    <cfRule type="cellIs" dxfId="11908" priority="9894" operator="equal">
      <formula>"PTO"</formula>
    </cfRule>
  </conditionalFormatting>
  <conditionalFormatting sqref="C21">
    <cfRule type="cellIs" dxfId="11907" priority="9891" operator="equal">
      <formula>"OFF"</formula>
    </cfRule>
    <cfRule type="cellIs" dxfId="11906" priority="9892" operator="equal">
      <formula>"PTO"</formula>
    </cfRule>
  </conditionalFormatting>
  <conditionalFormatting sqref="C21">
    <cfRule type="cellIs" dxfId="11905" priority="9889" operator="equal">
      <formula>"OFF"</formula>
    </cfRule>
    <cfRule type="cellIs" dxfId="11904" priority="9890" operator="equal">
      <formula>"PTO"</formula>
    </cfRule>
  </conditionalFormatting>
  <conditionalFormatting sqref="C21">
    <cfRule type="cellIs" dxfId="11903" priority="9887" operator="equal">
      <formula>"OFF"</formula>
    </cfRule>
    <cfRule type="cellIs" dxfId="11902" priority="9888" operator="equal">
      <formula>"PTO"</formula>
    </cfRule>
  </conditionalFormatting>
  <conditionalFormatting sqref="C21">
    <cfRule type="cellIs" dxfId="11901" priority="9885" operator="equal">
      <formula>"OFF"</formula>
    </cfRule>
    <cfRule type="cellIs" dxfId="11900" priority="9886" operator="equal">
      <formula>"PTO"</formula>
    </cfRule>
  </conditionalFormatting>
  <conditionalFormatting sqref="C23">
    <cfRule type="cellIs" dxfId="11899" priority="9883" operator="equal">
      <formula>"OFF"</formula>
    </cfRule>
    <cfRule type="cellIs" dxfId="11898" priority="9884" operator="equal">
      <formula>"PTO"</formula>
    </cfRule>
  </conditionalFormatting>
  <conditionalFormatting sqref="E33:E42 G33:H33 C19:H32">
    <cfRule type="cellIs" dxfId="11897" priority="9881" operator="equal">
      <formula>"OFF"</formula>
    </cfRule>
    <cfRule type="cellIs" dxfId="11896" priority="9882" operator="equal">
      <formula>"PTO"</formula>
    </cfRule>
  </conditionalFormatting>
  <conditionalFormatting sqref="C21">
    <cfRule type="cellIs" dxfId="11895" priority="9879" operator="equal">
      <formula>"OFF"</formula>
    </cfRule>
    <cfRule type="cellIs" dxfId="11894" priority="9880" operator="equal">
      <formula>"PTO"</formula>
    </cfRule>
  </conditionalFormatting>
  <conditionalFormatting sqref="C21">
    <cfRule type="cellIs" dxfId="11893" priority="9877" operator="equal">
      <formula>"OFF"</formula>
    </cfRule>
    <cfRule type="cellIs" dxfId="11892" priority="9878" operator="equal">
      <formula>"PTO"</formula>
    </cfRule>
  </conditionalFormatting>
  <conditionalFormatting sqref="C21">
    <cfRule type="cellIs" dxfId="11891" priority="9875" operator="equal">
      <formula>"OFF"</formula>
    </cfRule>
    <cfRule type="cellIs" dxfId="11890" priority="9876" operator="equal">
      <formula>"PTO"</formula>
    </cfRule>
  </conditionalFormatting>
  <conditionalFormatting sqref="C21">
    <cfRule type="cellIs" dxfId="11889" priority="9873" operator="equal">
      <formula>"OFF"</formula>
    </cfRule>
    <cfRule type="cellIs" dxfId="11888" priority="9874" operator="equal">
      <formula>"PTO"</formula>
    </cfRule>
  </conditionalFormatting>
  <conditionalFormatting sqref="C23">
    <cfRule type="cellIs" dxfId="11887" priority="9871" operator="equal">
      <formula>"OFF"</formula>
    </cfRule>
    <cfRule type="cellIs" dxfId="11886" priority="9872" operator="equal">
      <formula>"PTO"</formula>
    </cfRule>
  </conditionalFormatting>
  <conditionalFormatting sqref="C19:C32">
    <cfRule type="cellIs" dxfId="11885" priority="9869" operator="equal">
      <formula>"OFF"</formula>
    </cfRule>
    <cfRule type="cellIs" dxfId="11884" priority="9870" operator="equal">
      <formula>"PTO"</formula>
    </cfRule>
  </conditionalFormatting>
  <conditionalFormatting sqref="C19:C32">
    <cfRule type="cellIs" dxfId="11883" priority="9867" operator="equal">
      <formula>"OFF"</formula>
    </cfRule>
    <cfRule type="cellIs" dxfId="11882" priority="9868" operator="equal">
      <formula>"PTO"</formula>
    </cfRule>
  </conditionalFormatting>
  <conditionalFormatting sqref="C19:C32">
    <cfRule type="cellIs" dxfId="11881" priority="9865" operator="equal">
      <formula>"OFF"</formula>
    </cfRule>
    <cfRule type="cellIs" dxfId="11880" priority="9866" operator="equal">
      <formula>"PTO"</formula>
    </cfRule>
  </conditionalFormatting>
  <conditionalFormatting sqref="C19:C32">
    <cfRule type="cellIs" dxfId="11879" priority="9863" operator="equal">
      <formula>"OFF"</formula>
    </cfRule>
    <cfRule type="cellIs" dxfId="11878" priority="9864" operator="equal">
      <formula>"PTO"</formula>
    </cfRule>
  </conditionalFormatting>
  <conditionalFormatting sqref="E33:E42 G33:H33 D19:H32">
    <cfRule type="cellIs" dxfId="11877" priority="9861" operator="equal">
      <formula>"OFF"</formula>
    </cfRule>
    <cfRule type="cellIs" dxfId="11876" priority="9862" operator="equal">
      <formula>"PTO"</formula>
    </cfRule>
  </conditionalFormatting>
  <conditionalFormatting sqref="E33:E42 G33:H33 D19:H32">
    <cfRule type="cellIs" dxfId="11875" priority="9859" operator="equal">
      <formula>"OFF"</formula>
    </cfRule>
    <cfRule type="cellIs" dxfId="11874" priority="9860" operator="equal">
      <formula>"PTO"</formula>
    </cfRule>
  </conditionalFormatting>
  <conditionalFormatting sqref="E33:E42 G33:H33 D19:H32">
    <cfRule type="cellIs" dxfId="11873" priority="9857" operator="equal">
      <formula>"OFF"</formula>
    </cfRule>
    <cfRule type="cellIs" dxfId="11872" priority="9858" operator="equal">
      <formula>"PTO"</formula>
    </cfRule>
  </conditionalFormatting>
  <conditionalFormatting sqref="E33:E42 G33:H33 D19:H32">
    <cfRule type="cellIs" dxfId="11871" priority="9855" operator="equal">
      <formula>"OFF"</formula>
    </cfRule>
    <cfRule type="cellIs" dxfId="11870" priority="9856" operator="equal">
      <formula>"PTO"</formula>
    </cfRule>
  </conditionalFormatting>
  <conditionalFormatting sqref="C22">
    <cfRule type="cellIs" dxfId="11869" priority="9853" operator="equal">
      <formula>"OFF"</formula>
    </cfRule>
    <cfRule type="cellIs" dxfId="11868" priority="9854" operator="equal">
      <formula>"PTO"</formula>
    </cfRule>
  </conditionalFormatting>
  <conditionalFormatting sqref="C19:C32">
    <cfRule type="cellIs" dxfId="11867" priority="9851" operator="equal">
      <formula>"OFF"</formula>
    </cfRule>
    <cfRule type="cellIs" dxfId="11866" priority="9852" operator="equal">
      <formula>"PTO"</formula>
    </cfRule>
  </conditionalFormatting>
  <conditionalFormatting sqref="C19:C32">
    <cfRule type="cellIs" dxfId="11865" priority="9849" operator="equal">
      <formula>"OFF"</formula>
    </cfRule>
    <cfRule type="cellIs" dxfId="11864" priority="9850" operator="equal">
      <formula>"PTO"</formula>
    </cfRule>
  </conditionalFormatting>
  <conditionalFormatting sqref="C19:C32">
    <cfRule type="cellIs" dxfId="11863" priority="9847" operator="equal">
      <formula>"OFF"</formula>
    </cfRule>
    <cfRule type="cellIs" dxfId="11862" priority="9848" operator="equal">
      <formula>"PTO"</formula>
    </cfRule>
  </conditionalFormatting>
  <conditionalFormatting sqref="C19:C32">
    <cfRule type="cellIs" dxfId="11861" priority="9845" operator="equal">
      <formula>"OFF"</formula>
    </cfRule>
    <cfRule type="cellIs" dxfId="11860" priority="9846" operator="equal">
      <formula>"PTO"</formula>
    </cfRule>
  </conditionalFormatting>
  <conditionalFormatting sqref="E33:E42 G33:H33 D19:H32">
    <cfRule type="cellIs" dxfId="11859" priority="9843" operator="equal">
      <formula>"OFF"</formula>
    </cfRule>
    <cfRule type="cellIs" dxfId="11858" priority="9844" operator="equal">
      <formula>"PTO"</formula>
    </cfRule>
  </conditionalFormatting>
  <conditionalFormatting sqref="E33:E42 G33:H33 D19:H32">
    <cfRule type="cellIs" dxfId="11857" priority="9841" operator="equal">
      <formula>"OFF"</formula>
    </cfRule>
    <cfRule type="cellIs" dxfId="11856" priority="9842" operator="equal">
      <formula>"PTO"</formula>
    </cfRule>
  </conditionalFormatting>
  <conditionalFormatting sqref="E33:E42 G33:H33 D19:H32">
    <cfRule type="cellIs" dxfId="11855" priority="9839" operator="equal">
      <formula>"OFF"</formula>
    </cfRule>
    <cfRule type="cellIs" dxfId="11854" priority="9840" operator="equal">
      <formula>"PTO"</formula>
    </cfRule>
  </conditionalFormatting>
  <conditionalFormatting sqref="E33:E42 G33:H33 D19:H32">
    <cfRule type="cellIs" dxfId="11853" priority="9837" operator="equal">
      <formula>"OFF"</formula>
    </cfRule>
    <cfRule type="cellIs" dxfId="11852" priority="9838" operator="equal">
      <formula>"PTO"</formula>
    </cfRule>
  </conditionalFormatting>
  <conditionalFormatting sqref="C22">
    <cfRule type="cellIs" dxfId="11851" priority="9835" operator="equal">
      <formula>"OFF"</formula>
    </cfRule>
    <cfRule type="cellIs" dxfId="11850" priority="9836" operator="equal">
      <formula>"PTO"</formula>
    </cfRule>
  </conditionalFormatting>
  <conditionalFormatting sqref="C19:C32">
    <cfRule type="cellIs" dxfId="11849" priority="9833" operator="equal">
      <formula>"OFF"</formula>
    </cfRule>
    <cfRule type="cellIs" dxfId="11848" priority="9834" operator="equal">
      <formula>"PTO"</formula>
    </cfRule>
  </conditionalFormatting>
  <conditionalFormatting sqref="C19:C32">
    <cfRule type="cellIs" dxfId="11847" priority="9831" operator="equal">
      <formula>"OFF"</formula>
    </cfRule>
    <cfRule type="cellIs" dxfId="11846" priority="9832" operator="equal">
      <formula>"PTO"</formula>
    </cfRule>
  </conditionalFormatting>
  <conditionalFormatting sqref="C19:C32">
    <cfRule type="cellIs" dxfId="11845" priority="9829" operator="equal">
      <formula>"OFF"</formula>
    </cfRule>
    <cfRule type="cellIs" dxfId="11844" priority="9830" operator="equal">
      <formula>"PTO"</formula>
    </cfRule>
  </conditionalFormatting>
  <conditionalFormatting sqref="C19:C32">
    <cfRule type="cellIs" dxfId="11843" priority="9827" operator="equal">
      <formula>"OFF"</formula>
    </cfRule>
    <cfRule type="cellIs" dxfId="11842" priority="9828" operator="equal">
      <formula>"PTO"</formula>
    </cfRule>
  </conditionalFormatting>
  <conditionalFormatting sqref="E33:E42 G33:H33 D19:H32">
    <cfRule type="cellIs" dxfId="11841" priority="9825" operator="equal">
      <formula>"OFF"</formula>
    </cfRule>
    <cfRule type="cellIs" dxfId="11840" priority="9826" operator="equal">
      <formula>"PTO"</formula>
    </cfRule>
  </conditionalFormatting>
  <conditionalFormatting sqref="E33:E42 G33:H33 D19:H32">
    <cfRule type="cellIs" dxfId="11839" priority="9823" operator="equal">
      <formula>"OFF"</formula>
    </cfRule>
    <cfRule type="cellIs" dxfId="11838" priority="9824" operator="equal">
      <formula>"PTO"</formula>
    </cfRule>
  </conditionalFormatting>
  <conditionalFormatting sqref="E33:E42 G33:H33 D19:H32">
    <cfRule type="cellIs" dxfId="11837" priority="9821" operator="equal">
      <formula>"OFF"</formula>
    </cfRule>
    <cfRule type="cellIs" dxfId="11836" priority="9822" operator="equal">
      <formula>"PTO"</formula>
    </cfRule>
  </conditionalFormatting>
  <conditionalFormatting sqref="E33:E42 G33:H33 D19:H32">
    <cfRule type="cellIs" dxfId="11835" priority="9819" operator="equal">
      <formula>"OFF"</formula>
    </cfRule>
    <cfRule type="cellIs" dxfId="11834" priority="9820" operator="equal">
      <formula>"PTO"</formula>
    </cfRule>
  </conditionalFormatting>
  <conditionalFormatting sqref="C19:C32">
    <cfRule type="cellIs" dxfId="11833" priority="9817" operator="equal">
      <formula>"OFF"</formula>
    </cfRule>
    <cfRule type="cellIs" dxfId="11832" priority="9818" operator="equal">
      <formula>"PTO"</formula>
    </cfRule>
  </conditionalFormatting>
  <conditionalFormatting sqref="C19:C32">
    <cfRule type="cellIs" dxfId="11831" priority="9815" operator="equal">
      <formula>"OFF"</formula>
    </cfRule>
    <cfRule type="cellIs" dxfId="11830" priority="9816" operator="equal">
      <formula>"PTO"</formula>
    </cfRule>
  </conditionalFormatting>
  <conditionalFormatting sqref="C19:C32">
    <cfRule type="cellIs" dxfId="11829" priority="9813" operator="equal">
      <formula>"OFF"</formula>
    </cfRule>
    <cfRule type="cellIs" dxfId="11828" priority="9814" operator="equal">
      <formula>"PTO"</formula>
    </cfRule>
  </conditionalFormatting>
  <conditionalFormatting sqref="C19:C32">
    <cfRule type="cellIs" dxfId="11827" priority="9811" operator="equal">
      <formula>"OFF"</formula>
    </cfRule>
    <cfRule type="cellIs" dxfId="11826" priority="9812" operator="equal">
      <formula>"PTO"</formula>
    </cfRule>
  </conditionalFormatting>
  <conditionalFormatting sqref="E33:E42 G33:H33 D19:H32">
    <cfRule type="cellIs" dxfId="11825" priority="9809" operator="equal">
      <formula>"OFF"</formula>
    </cfRule>
    <cfRule type="cellIs" dxfId="11824" priority="9810" operator="equal">
      <formula>"PTO"</formula>
    </cfRule>
  </conditionalFormatting>
  <conditionalFormatting sqref="E33:E42 G33:H33 D19:H32">
    <cfRule type="cellIs" dxfId="11823" priority="9807" operator="equal">
      <formula>"OFF"</formula>
    </cfRule>
    <cfRule type="cellIs" dxfId="11822" priority="9808" operator="equal">
      <formula>"PTO"</formula>
    </cfRule>
  </conditionalFormatting>
  <conditionalFormatting sqref="E33:E42 G33:H33 D19:H32">
    <cfRule type="cellIs" dxfId="11821" priority="9805" operator="equal">
      <formula>"OFF"</formula>
    </cfRule>
    <cfRule type="cellIs" dxfId="11820" priority="9806" operator="equal">
      <formula>"PTO"</formula>
    </cfRule>
  </conditionalFormatting>
  <conditionalFormatting sqref="E33:E42 G33:H33 D19:H32">
    <cfRule type="cellIs" dxfId="11819" priority="9803" operator="equal">
      <formula>"OFF"</formula>
    </cfRule>
    <cfRule type="cellIs" dxfId="11818" priority="9804" operator="equal">
      <formula>"PTO"</formula>
    </cfRule>
  </conditionalFormatting>
  <conditionalFormatting sqref="C21">
    <cfRule type="cellIs" dxfId="11817" priority="9801" operator="equal">
      <formula>"OFF"</formula>
    </cfRule>
    <cfRule type="cellIs" dxfId="11816" priority="9802" operator="equal">
      <formula>"PTO"</formula>
    </cfRule>
  </conditionalFormatting>
  <conditionalFormatting sqref="C21">
    <cfRule type="cellIs" dxfId="11815" priority="9799" operator="equal">
      <formula>"OFF"</formula>
    </cfRule>
    <cfRule type="cellIs" dxfId="11814" priority="9800" operator="equal">
      <formula>"PTO"</formula>
    </cfRule>
  </conditionalFormatting>
  <conditionalFormatting sqref="C19:C32">
    <cfRule type="cellIs" dxfId="11813" priority="9797" operator="equal">
      <formula>"OFF"</formula>
    </cfRule>
    <cfRule type="cellIs" dxfId="11812" priority="9798" operator="equal">
      <formula>"PTO"</formula>
    </cfRule>
  </conditionalFormatting>
  <conditionalFormatting sqref="C19:C32">
    <cfRule type="cellIs" dxfId="11811" priority="9795" operator="equal">
      <formula>"OFF"</formula>
    </cfRule>
    <cfRule type="cellIs" dxfId="11810" priority="9796" operator="equal">
      <formula>"PTO"</formula>
    </cfRule>
  </conditionalFormatting>
  <conditionalFormatting sqref="C19:C32">
    <cfRule type="cellIs" dxfId="11809" priority="9793" operator="equal">
      <formula>"OFF"</formula>
    </cfRule>
    <cfRule type="cellIs" dxfId="11808" priority="9794" operator="equal">
      <formula>"PTO"</formula>
    </cfRule>
  </conditionalFormatting>
  <conditionalFormatting sqref="C19:C32">
    <cfRule type="cellIs" dxfId="11807" priority="9791" operator="equal">
      <formula>"OFF"</formula>
    </cfRule>
    <cfRule type="cellIs" dxfId="11806" priority="9792" operator="equal">
      <formula>"PTO"</formula>
    </cfRule>
  </conditionalFormatting>
  <conditionalFormatting sqref="C19:C32">
    <cfRule type="cellIs" dxfId="11805" priority="9789" operator="equal">
      <formula>"OFF"</formula>
    </cfRule>
    <cfRule type="cellIs" dxfId="11804" priority="9790" operator="equal">
      <formula>"PTO"</formula>
    </cfRule>
  </conditionalFormatting>
  <conditionalFormatting sqref="C19:C32">
    <cfRule type="cellIs" dxfId="11803" priority="9787" operator="equal">
      <formula>"OFF"</formula>
    </cfRule>
    <cfRule type="cellIs" dxfId="11802" priority="9788" operator="equal">
      <formula>"PTO"</formula>
    </cfRule>
  </conditionalFormatting>
  <conditionalFormatting sqref="C19:C32">
    <cfRule type="cellIs" dxfId="11801" priority="9785" operator="equal">
      <formula>"OFF"</formula>
    </cfRule>
    <cfRule type="cellIs" dxfId="11800" priority="9786" operator="equal">
      <formula>"PTO"</formula>
    </cfRule>
  </conditionalFormatting>
  <conditionalFormatting sqref="C19:C32">
    <cfRule type="cellIs" dxfId="11799" priority="9783" operator="equal">
      <formula>"OFF"</formula>
    </cfRule>
    <cfRule type="cellIs" dxfId="11798" priority="9784" operator="equal">
      <formula>"PTO"</formula>
    </cfRule>
  </conditionalFormatting>
  <conditionalFormatting sqref="C19:C32">
    <cfRule type="cellIs" dxfId="11797" priority="9781" operator="equal">
      <formula>"OFF"</formula>
    </cfRule>
    <cfRule type="cellIs" dxfId="11796" priority="9782" operator="equal">
      <formula>"PTO"</formula>
    </cfRule>
  </conditionalFormatting>
  <conditionalFormatting sqref="C19:C32">
    <cfRule type="cellIs" dxfId="11795" priority="9779" operator="equal">
      <formula>"OFF"</formula>
    </cfRule>
    <cfRule type="cellIs" dxfId="11794" priority="9780" operator="equal">
      <formula>"PTO"</formula>
    </cfRule>
  </conditionalFormatting>
  <conditionalFormatting sqref="C19:C32">
    <cfRule type="cellIs" dxfId="11793" priority="9777" operator="equal">
      <formula>"OFF"</formula>
    </cfRule>
    <cfRule type="cellIs" dxfId="11792" priority="9778" operator="equal">
      <formula>"PTO"</formula>
    </cfRule>
  </conditionalFormatting>
  <conditionalFormatting sqref="C19:C32">
    <cfRule type="cellIs" dxfId="11791" priority="9775" operator="equal">
      <formula>"OFF"</formula>
    </cfRule>
    <cfRule type="cellIs" dxfId="11790" priority="9776" operator="equal">
      <formula>"PTO"</formula>
    </cfRule>
  </conditionalFormatting>
  <conditionalFormatting sqref="C19:C32">
    <cfRule type="cellIs" dxfId="11789" priority="9773" operator="equal">
      <formula>"OFF"</formula>
    </cfRule>
    <cfRule type="cellIs" dxfId="11788" priority="9774" operator="equal">
      <formula>"PTO"</formula>
    </cfRule>
  </conditionalFormatting>
  <conditionalFormatting sqref="C19:C32">
    <cfRule type="cellIs" dxfId="11787" priority="9771" operator="equal">
      <formula>"OFF"</formula>
    </cfRule>
    <cfRule type="cellIs" dxfId="11786" priority="9772" operator="equal">
      <formula>"PTO"</formula>
    </cfRule>
  </conditionalFormatting>
  <conditionalFormatting sqref="C19:C32">
    <cfRule type="cellIs" dxfId="11785" priority="9769" operator="equal">
      <formula>"OFF"</formula>
    </cfRule>
    <cfRule type="cellIs" dxfId="11784" priority="9770" operator="equal">
      <formula>"PTO"</formula>
    </cfRule>
  </conditionalFormatting>
  <conditionalFormatting sqref="C19:C32">
    <cfRule type="cellIs" dxfId="11783" priority="9767" operator="equal">
      <formula>"OFF"</formula>
    </cfRule>
    <cfRule type="cellIs" dxfId="11782" priority="9768" operator="equal">
      <formula>"PTO"</formula>
    </cfRule>
  </conditionalFormatting>
  <conditionalFormatting sqref="C19:C32">
    <cfRule type="cellIs" dxfId="11781" priority="9765" operator="equal">
      <formula>"OFF"</formula>
    </cfRule>
    <cfRule type="cellIs" dxfId="11780" priority="9766" operator="equal">
      <formula>"PTO"</formula>
    </cfRule>
  </conditionalFormatting>
  <conditionalFormatting sqref="C19:C32">
    <cfRule type="cellIs" dxfId="11779" priority="9763" operator="equal">
      <formula>"OFF"</formula>
    </cfRule>
    <cfRule type="cellIs" dxfId="11778" priority="9764" operator="equal">
      <formula>"PTO"</formula>
    </cfRule>
  </conditionalFormatting>
  <conditionalFormatting sqref="C19:C32">
    <cfRule type="cellIs" dxfId="11777" priority="9761" operator="equal">
      <formula>"OFF"</formula>
    </cfRule>
    <cfRule type="cellIs" dxfId="11776" priority="9762" operator="equal">
      <formula>"PTO"</formula>
    </cfRule>
  </conditionalFormatting>
  <conditionalFormatting sqref="C19:C32">
    <cfRule type="cellIs" dxfId="11775" priority="9759" operator="equal">
      <formula>"OFF"</formula>
    </cfRule>
    <cfRule type="cellIs" dxfId="11774" priority="9760" operator="equal">
      <formula>"PTO"</formula>
    </cfRule>
  </conditionalFormatting>
  <conditionalFormatting sqref="C19:C32">
    <cfRule type="cellIs" dxfId="11773" priority="9757" operator="equal">
      <formula>"OFF"</formula>
    </cfRule>
    <cfRule type="cellIs" dxfId="11772" priority="9758" operator="equal">
      <formula>"PTO"</formula>
    </cfRule>
  </conditionalFormatting>
  <conditionalFormatting sqref="C19:C32">
    <cfRule type="cellIs" dxfId="11771" priority="9755" operator="equal">
      <formula>"OFF"</formula>
    </cfRule>
    <cfRule type="cellIs" dxfId="11770" priority="9756" operator="equal">
      <formula>"PTO"</formula>
    </cfRule>
  </conditionalFormatting>
  <conditionalFormatting sqref="C19:C32">
    <cfRule type="cellIs" dxfId="11769" priority="9753" operator="equal">
      <formula>"OFF"</formula>
    </cfRule>
    <cfRule type="cellIs" dxfId="11768" priority="9754" operator="equal">
      <formula>"PTO"</formula>
    </cfRule>
  </conditionalFormatting>
  <conditionalFormatting sqref="C19:C32">
    <cfRule type="cellIs" dxfId="11767" priority="9751" operator="equal">
      <formula>"OFF"</formula>
    </cfRule>
    <cfRule type="cellIs" dxfId="11766" priority="9752" operator="equal">
      <formula>"PTO"</formula>
    </cfRule>
  </conditionalFormatting>
  <conditionalFormatting sqref="C19:C32">
    <cfRule type="cellIs" dxfId="11765" priority="9749" operator="equal">
      <formula>"OFF"</formula>
    </cfRule>
    <cfRule type="cellIs" dxfId="11764" priority="9750" operator="equal">
      <formula>"PTO"</formula>
    </cfRule>
  </conditionalFormatting>
  <conditionalFormatting sqref="E33:E42 G33:H33 D19:H32">
    <cfRule type="cellIs" dxfId="11763" priority="9747" operator="equal">
      <formula>"OFF"</formula>
    </cfRule>
    <cfRule type="cellIs" dxfId="11762" priority="9748" operator="equal">
      <formula>"PTO"</formula>
    </cfRule>
  </conditionalFormatting>
  <conditionalFormatting sqref="E33:E42 G33:H33 D19:H32">
    <cfRule type="cellIs" dxfId="11761" priority="9745" operator="equal">
      <formula>"OFF"</formula>
    </cfRule>
    <cfRule type="cellIs" dxfId="11760" priority="9746" operator="equal">
      <formula>"PTO"</formula>
    </cfRule>
  </conditionalFormatting>
  <conditionalFormatting sqref="E33:E42 G33:H33 D19:H32">
    <cfRule type="cellIs" dxfId="11759" priority="9743" operator="equal">
      <formula>"OFF"</formula>
    </cfRule>
    <cfRule type="cellIs" dxfId="11758" priority="9744" operator="equal">
      <formula>"PTO"</formula>
    </cfRule>
  </conditionalFormatting>
  <conditionalFormatting sqref="E33:E42 G33:H33 D19:H32">
    <cfRule type="cellIs" dxfId="11757" priority="9741" operator="equal">
      <formula>"OFF"</formula>
    </cfRule>
    <cfRule type="cellIs" dxfId="11756" priority="9742" operator="equal">
      <formula>"PTO"</formula>
    </cfRule>
  </conditionalFormatting>
  <conditionalFormatting sqref="E33:E42 G33:H33 D19:H32">
    <cfRule type="cellIs" dxfId="11755" priority="9739" operator="equal">
      <formula>"OFF"</formula>
    </cfRule>
    <cfRule type="cellIs" dxfId="11754" priority="9740" operator="equal">
      <formula>"PTO"</formula>
    </cfRule>
  </conditionalFormatting>
  <conditionalFormatting sqref="E33:E42 G33:H33 D19:H32">
    <cfRule type="cellIs" dxfId="11753" priority="9737" operator="equal">
      <formula>"OFF"</formula>
    </cfRule>
    <cfRule type="cellIs" dxfId="11752" priority="9738" operator="equal">
      <formula>"PTO"</formula>
    </cfRule>
  </conditionalFormatting>
  <conditionalFormatting sqref="E33:E42 G33:H33 D19:H32">
    <cfRule type="cellIs" dxfId="11751" priority="9735" operator="equal">
      <formula>"OFF"</formula>
    </cfRule>
    <cfRule type="cellIs" dxfId="11750" priority="9736" operator="equal">
      <formula>"PTO"</formula>
    </cfRule>
  </conditionalFormatting>
  <conditionalFormatting sqref="E33:E42 G33:H33 D19:H32">
    <cfRule type="cellIs" dxfId="11749" priority="9733" operator="equal">
      <formula>"OFF"</formula>
    </cfRule>
    <cfRule type="cellIs" dxfId="11748" priority="9734" operator="equal">
      <formula>"PTO"</formula>
    </cfRule>
  </conditionalFormatting>
  <conditionalFormatting sqref="E33:E42 G33:H33 D19:H32">
    <cfRule type="cellIs" dxfId="11747" priority="9731" operator="equal">
      <formula>"OFF"</formula>
    </cfRule>
    <cfRule type="cellIs" dxfId="11746" priority="9732" operator="equal">
      <formula>"PTO"</formula>
    </cfRule>
  </conditionalFormatting>
  <conditionalFormatting sqref="E33:E42 G33:H33 D19:H32">
    <cfRule type="cellIs" dxfId="11745" priority="9729" operator="equal">
      <formula>"OFF"</formula>
    </cfRule>
    <cfRule type="cellIs" dxfId="11744" priority="9730" operator="equal">
      <formula>"PTO"</formula>
    </cfRule>
  </conditionalFormatting>
  <conditionalFormatting sqref="E33:E42 G33:H33 D19:H32">
    <cfRule type="cellIs" dxfId="11743" priority="9727" operator="equal">
      <formula>"OFF"</formula>
    </cfRule>
    <cfRule type="cellIs" dxfId="11742" priority="9728" operator="equal">
      <formula>"PTO"</formula>
    </cfRule>
  </conditionalFormatting>
  <conditionalFormatting sqref="E33:E42 G33:H33 D19:H32">
    <cfRule type="cellIs" dxfId="11741" priority="9725" operator="equal">
      <formula>"OFF"</formula>
    </cfRule>
    <cfRule type="cellIs" dxfId="11740" priority="9726" operator="equal">
      <formula>"PTO"</formula>
    </cfRule>
  </conditionalFormatting>
  <conditionalFormatting sqref="E33:E42 G33:H33 D19:H32">
    <cfRule type="cellIs" dxfId="11739" priority="9723" operator="equal">
      <formula>"OFF"</formula>
    </cfRule>
    <cfRule type="cellIs" dxfId="11738" priority="9724" operator="equal">
      <formula>"PTO"</formula>
    </cfRule>
  </conditionalFormatting>
  <conditionalFormatting sqref="E33:E42 G33:H33 D19:H32">
    <cfRule type="cellIs" dxfId="11737" priority="9721" operator="equal">
      <formula>"OFF"</formula>
    </cfRule>
    <cfRule type="cellIs" dxfId="11736" priority="9722" operator="equal">
      <formula>"PTO"</formula>
    </cfRule>
  </conditionalFormatting>
  <conditionalFormatting sqref="E33:E42 G33:H33 D19:H32">
    <cfRule type="cellIs" dxfId="11735" priority="9719" operator="equal">
      <formula>"OFF"</formula>
    </cfRule>
    <cfRule type="cellIs" dxfId="11734" priority="9720" operator="equal">
      <formula>"PTO"</formula>
    </cfRule>
  </conditionalFormatting>
  <conditionalFormatting sqref="E33:E42 G33:H33 D19:H32">
    <cfRule type="cellIs" dxfId="11733" priority="9717" operator="equal">
      <formula>"OFF"</formula>
    </cfRule>
    <cfRule type="cellIs" dxfId="11732" priority="9718" operator="equal">
      <formula>"PTO"</formula>
    </cfRule>
  </conditionalFormatting>
  <conditionalFormatting sqref="E33:E42 G33:H33 D19:H32">
    <cfRule type="cellIs" dxfId="11731" priority="9715" operator="equal">
      <formula>"OFF"</formula>
    </cfRule>
    <cfRule type="cellIs" dxfId="11730" priority="9716" operator="equal">
      <formula>"PTO"</formula>
    </cfRule>
  </conditionalFormatting>
  <conditionalFormatting sqref="E33:E42 G33:H33 D19:H32">
    <cfRule type="cellIs" dxfId="11729" priority="9713" operator="equal">
      <formula>"OFF"</formula>
    </cfRule>
    <cfRule type="cellIs" dxfId="11728" priority="9714" operator="equal">
      <formula>"PTO"</formula>
    </cfRule>
  </conditionalFormatting>
  <conditionalFormatting sqref="E33:E42 G33:H33 D19:H32">
    <cfRule type="cellIs" dxfId="11727" priority="9711" operator="equal">
      <formula>"OFF"</formula>
    </cfRule>
    <cfRule type="cellIs" dxfId="11726" priority="9712" operator="equal">
      <formula>"PTO"</formula>
    </cfRule>
  </conditionalFormatting>
  <conditionalFormatting sqref="E33:E42 G33:H33 D19:H32">
    <cfRule type="cellIs" dxfId="11725" priority="9709" operator="equal">
      <formula>"OFF"</formula>
    </cfRule>
    <cfRule type="cellIs" dxfId="11724" priority="9710" operator="equal">
      <formula>"PTO"</formula>
    </cfRule>
  </conditionalFormatting>
  <conditionalFormatting sqref="E33:E42 G33:H33 D19:H32">
    <cfRule type="cellIs" dxfId="11723" priority="9707" operator="equal">
      <formula>"OFF"</formula>
    </cfRule>
    <cfRule type="cellIs" dxfId="11722" priority="9708" operator="equal">
      <formula>"PTO"</formula>
    </cfRule>
  </conditionalFormatting>
  <conditionalFormatting sqref="E33:E42 G33:H33 D19:H32">
    <cfRule type="cellIs" dxfId="11721" priority="9705" operator="equal">
      <formula>"OFF"</formula>
    </cfRule>
    <cfRule type="cellIs" dxfId="11720" priority="9706" operator="equal">
      <formula>"PTO"</formula>
    </cfRule>
  </conditionalFormatting>
  <conditionalFormatting sqref="E33:E42 G33:H33 D19:H32">
    <cfRule type="cellIs" dxfId="11719" priority="9703" operator="equal">
      <formula>"OFF"</formula>
    </cfRule>
    <cfRule type="cellIs" dxfId="11718" priority="9704" operator="equal">
      <formula>"PTO"</formula>
    </cfRule>
  </conditionalFormatting>
  <conditionalFormatting sqref="E33:E42 G33:H33 D19:H32">
    <cfRule type="cellIs" dxfId="11717" priority="9701" operator="equal">
      <formula>"OFF"</formula>
    </cfRule>
    <cfRule type="cellIs" dxfId="11716" priority="9702" operator="equal">
      <formula>"PTO"</formula>
    </cfRule>
  </conditionalFormatting>
  <conditionalFormatting sqref="E33:E42 G33:H33 D19:H32">
    <cfRule type="cellIs" dxfId="11715" priority="9699" operator="equal">
      <formula>"OFF"</formula>
    </cfRule>
    <cfRule type="cellIs" dxfId="11714" priority="9700" operator="equal">
      <formula>"PTO"</formula>
    </cfRule>
  </conditionalFormatting>
  <conditionalFormatting sqref="F19:H32 G33:H33">
    <cfRule type="cellIs" dxfId="11713" priority="9697" operator="equal">
      <formula>"OFF"</formula>
    </cfRule>
    <cfRule type="cellIs" dxfId="11712" priority="9698" operator="equal">
      <formula>"PTO"</formula>
    </cfRule>
  </conditionalFormatting>
  <conditionalFormatting sqref="G19:H33">
    <cfRule type="cellIs" dxfId="11711" priority="9695" operator="equal">
      <formula>"OFF"</formula>
    </cfRule>
    <cfRule type="cellIs" dxfId="11710" priority="9696" operator="equal">
      <formula>"PTO"</formula>
    </cfRule>
  </conditionalFormatting>
  <conditionalFormatting sqref="G19:H33">
    <cfRule type="cellIs" dxfId="11709" priority="9693" operator="equal">
      <formula>"OFF"</formula>
    </cfRule>
    <cfRule type="cellIs" dxfId="11708" priority="9694" operator="equal">
      <formula>"PTO"</formula>
    </cfRule>
  </conditionalFormatting>
  <conditionalFormatting sqref="G19:H33">
    <cfRule type="cellIs" dxfId="11707" priority="9691" operator="equal">
      <formula>"OFF"</formula>
    </cfRule>
    <cfRule type="cellIs" dxfId="11706" priority="9692" operator="equal">
      <formula>"PTO"</formula>
    </cfRule>
  </conditionalFormatting>
  <conditionalFormatting sqref="G19:H33">
    <cfRule type="cellIs" dxfId="11705" priority="9689" operator="equal">
      <formula>"OFF"</formula>
    </cfRule>
    <cfRule type="cellIs" dxfId="11704" priority="9690" operator="equal">
      <formula>"PTO"</formula>
    </cfRule>
  </conditionalFormatting>
  <conditionalFormatting sqref="G19:H33">
    <cfRule type="cellIs" dxfId="11703" priority="9687" operator="equal">
      <formula>"OFF"</formula>
    </cfRule>
    <cfRule type="cellIs" dxfId="11702" priority="9688" operator="equal">
      <formula>"PTO"</formula>
    </cfRule>
  </conditionalFormatting>
  <conditionalFormatting sqref="G19:H33">
    <cfRule type="cellIs" dxfId="11701" priority="9685" operator="equal">
      <formula>"OFF"</formula>
    </cfRule>
    <cfRule type="cellIs" dxfId="11700" priority="9686" operator="equal">
      <formula>"PTO"</formula>
    </cfRule>
  </conditionalFormatting>
  <conditionalFormatting sqref="G19:H33">
    <cfRule type="cellIs" dxfId="11699" priority="9683" operator="equal">
      <formula>"OFF"</formula>
    </cfRule>
    <cfRule type="cellIs" dxfId="11698" priority="9684" operator="equal">
      <formula>"PTO"</formula>
    </cfRule>
  </conditionalFormatting>
  <conditionalFormatting sqref="G19:H33">
    <cfRule type="cellIs" dxfId="11697" priority="9681" operator="equal">
      <formula>"OFF"</formula>
    </cfRule>
    <cfRule type="cellIs" dxfId="11696" priority="9682" operator="equal">
      <formula>"PTO"</formula>
    </cfRule>
  </conditionalFormatting>
  <conditionalFormatting sqref="I19:I42">
    <cfRule type="cellIs" dxfId="11695" priority="9679" operator="equal">
      <formula>"OFF"</formula>
    </cfRule>
    <cfRule type="cellIs" dxfId="11694" priority="9680" operator="equal">
      <formula>"PTO"</formula>
    </cfRule>
  </conditionalFormatting>
  <conditionalFormatting sqref="I19:I42">
    <cfRule type="cellIs" dxfId="11693" priority="9677" operator="equal">
      <formula>"OFF"</formula>
    </cfRule>
    <cfRule type="cellIs" dxfId="11692" priority="9678" operator="equal">
      <formula>"PTO"</formula>
    </cfRule>
  </conditionalFormatting>
  <conditionalFormatting sqref="I19:I42">
    <cfRule type="cellIs" dxfId="11691" priority="9675" operator="equal">
      <formula>"OFF"</formula>
    </cfRule>
    <cfRule type="cellIs" dxfId="11690" priority="9676" operator="equal">
      <formula>"PTO"</formula>
    </cfRule>
  </conditionalFormatting>
  <conditionalFormatting sqref="C14:C16 C18:C32">
    <cfRule type="cellIs" dxfId="11689" priority="9663" operator="equal">
      <formula>"OFF"</formula>
    </cfRule>
    <cfRule type="cellIs" dxfId="11688" priority="9664" operator="equal">
      <formula>"PTO"</formula>
    </cfRule>
  </conditionalFormatting>
  <conditionalFormatting sqref="D17:I17 E33:E42 G33:I33 I33:I42 C18:I32 C14:I16">
    <cfRule type="cellIs" dxfId="11687" priority="9659" operator="equal">
      <formula>"OFF"</formula>
    </cfRule>
    <cfRule type="cellIs" dxfId="11686" priority="9660" operator="equal">
      <formula>"PTO"</formula>
    </cfRule>
  </conditionalFormatting>
  <conditionalFormatting sqref="D17:I17 E33:E42 G33:I33 I33:I42 C18:I32 C14:I16">
    <cfRule type="cellIs" dxfId="11685" priority="9657" operator="equal">
      <formula>"OFF"</formula>
    </cfRule>
    <cfRule type="cellIs" dxfId="11684" priority="9658" operator="equal">
      <formula>"PTO"</formula>
    </cfRule>
  </conditionalFormatting>
  <conditionalFormatting sqref="D17:I17 E33:E42 G33:I33 I33:I42 C18:I32 C14:I16">
    <cfRule type="cellIs" dxfId="11683" priority="9653" operator="equal">
      <formula>"OFF"</formula>
    </cfRule>
    <cfRule type="cellIs" dxfId="11682" priority="9654" operator="equal">
      <formula>"PTO"</formula>
    </cfRule>
  </conditionalFormatting>
  <conditionalFormatting sqref="D17:I17 E33:E42 G33:I33 I33:I42 C18:I32 C14:I16">
    <cfRule type="cellIs" dxfId="11681" priority="9651" operator="equal">
      <formula>"OFF"</formula>
    </cfRule>
    <cfRule type="cellIs" dxfId="11680" priority="9652" operator="equal">
      <formula>"PTO"</formula>
    </cfRule>
  </conditionalFormatting>
  <conditionalFormatting sqref="E33:E42 G33:H33 D14:H32">
    <cfRule type="cellIs" dxfId="11679" priority="9649" operator="equal">
      <formula>"OFF"</formula>
    </cfRule>
    <cfRule type="cellIs" dxfId="11678" priority="9650" operator="equal">
      <formula>"PTO"</formula>
    </cfRule>
  </conditionalFormatting>
  <conditionalFormatting sqref="E33:E42 G33:H33 D14:H32">
    <cfRule type="cellIs" dxfId="11677" priority="9647" operator="equal">
      <formula>"OFF"</formula>
    </cfRule>
    <cfRule type="cellIs" dxfId="11676" priority="9648" operator="equal">
      <formula>"PTO"</formula>
    </cfRule>
  </conditionalFormatting>
  <conditionalFormatting sqref="E33:E42 G33:H33 D14:H32">
    <cfRule type="cellIs" dxfId="11675" priority="9645" operator="equal">
      <formula>"OFF"</formula>
    </cfRule>
    <cfRule type="cellIs" dxfId="11674" priority="9646" operator="equal">
      <formula>"PTO"</formula>
    </cfRule>
  </conditionalFormatting>
  <conditionalFormatting sqref="E33:E42 G33:H33 D14:H32">
    <cfRule type="cellIs" dxfId="11673" priority="9643" operator="equal">
      <formula>"OFF"</formula>
    </cfRule>
    <cfRule type="cellIs" dxfId="11672" priority="9644" operator="equal">
      <formula>"PTO"</formula>
    </cfRule>
  </conditionalFormatting>
  <conditionalFormatting sqref="D17:I17 E33:E42 G33:I33 I33:I42 C18:I32 C14:I16">
    <cfRule type="cellIs" dxfId="11671" priority="9641" operator="equal">
      <formula>"OFF"</formula>
    </cfRule>
    <cfRule type="cellIs" dxfId="11670" priority="9642" operator="equal">
      <formula>"PTO"</formula>
    </cfRule>
  </conditionalFormatting>
  <conditionalFormatting sqref="D17:I17 E33:E42 G33:I33 I33:I42 C18:I32 C14:I16">
    <cfRule type="cellIs" dxfId="11669" priority="9637" operator="equal">
      <formula>"OFF"</formula>
    </cfRule>
    <cfRule type="cellIs" dxfId="11668" priority="9638" operator="equal">
      <formula>"PTO"</formula>
    </cfRule>
  </conditionalFormatting>
  <conditionalFormatting sqref="D17:I17 E33:E42 G33:I33 I33:I42 C18:I32 C14:I16">
    <cfRule type="cellIs" dxfId="11667" priority="9635" operator="equal">
      <formula>"OFF"</formula>
    </cfRule>
    <cfRule type="cellIs" dxfId="11666" priority="9636" operator="equal">
      <formula>"PTO"</formula>
    </cfRule>
  </conditionalFormatting>
  <conditionalFormatting sqref="E33:E42 G33:H33 D14:H32">
    <cfRule type="cellIs" dxfId="11665" priority="9633" operator="equal">
      <formula>"OFF"</formula>
    </cfRule>
    <cfRule type="cellIs" dxfId="11664" priority="9634" operator="equal">
      <formula>"PTO"</formula>
    </cfRule>
  </conditionalFormatting>
  <conditionalFormatting sqref="E33:E42 G33:H33 D14:H32">
    <cfRule type="cellIs" dxfId="11663" priority="9631" operator="equal">
      <formula>"OFF"</formula>
    </cfRule>
    <cfRule type="cellIs" dxfId="11662" priority="9632" operator="equal">
      <formula>"PTO"</formula>
    </cfRule>
  </conditionalFormatting>
  <conditionalFormatting sqref="E33:E42 G33:H33 D14:H32">
    <cfRule type="cellIs" dxfId="11661" priority="9629" operator="equal">
      <formula>"OFF"</formula>
    </cfRule>
    <cfRule type="cellIs" dxfId="11660" priority="9630" operator="equal">
      <formula>"PTO"</formula>
    </cfRule>
  </conditionalFormatting>
  <conditionalFormatting sqref="E33:E42 G33:H33 D14:H32">
    <cfRule type="cellIs" dxfId="11659" priority="9627" operator="equal">
      <formula>"OFF"</formula>
    </cfRule>
    <cfRule type="cellIs" dxfId="11658" priority="9628" operator="equal">
      <formula>"PTO"</formula>
    </cfRule>
  </conditionalFormatting>
  <conditionalFormatting sqref="D17:I17 E33:E42 G33:I33 I33:I42 C18:I32 C14:I16">
    <cfRule type="cellIs" dxfId="11657" priority="9625" operator="equal">
      <formula>"OFF"</formula>
    </cfRule>
    <cfRule type="cellIs" dxfId="11656" priority="9626" operator="equal">
      <formula>"PTO"</formula>
    </cfRule>
  </conditionalFormatting>
  <conditionalFormatting sqref="D17:I17 E33:E42 G33:I33 I33:I42 C18:I32 C14:I16">
    <cfRule type="cellIs" dxfId="11655" priority="9623" operator="equal">
      <formula>"OFF"</formula>
    </cfRule>
    <cfRule type="cellIs" dxfId="11654" priority="9624" operator="equal">
      <formula>"PTO"</formula>
    </cfRule>
  </conditionalFormatting>
  <conditionalFormatting sqref="D17:I17 E33:E42 G33:I33 I33:I42 C18:I32 C14:I16">
    <cfRule type="cellIs" dxfId="11653" priority="9621" operator="equal">
      <formula>"OFF"</formula>
    </cfRule>
    <cfRule type="cellIs" dxfId="11652" priority="9622" operator="equal">
      <formula>"PTO"</formula>
    </cfRule>
  </conditionalFormatting>
  <conditionalFormatting sqref="D17:I17 E33:E42 G33:I33 I33:I42 C18:I32 C14:I16">
    <cfRule type="cellIs" dxfId="11651" priority="9619" operator="equal">
      <formula>"OFF"</formula>
    </cfRule>
    <cfRule type="cellIs" dxfId="11650" priority="9620" operator="equal">
      <formula>"PTO"</formula>
    </cfRule>
  </conditionalFormatting>
  <conditionalFormatting sqref="E33:E42 G33:H33 D14:H32">
    <cfRule type="cellIs" dxfId="11649" priority="9617" operator="equal">
      <formula>"OFF"</formula>
    </cfRule>
    <cfRule type="cellIs" dxfId="11648" priority="9618" operator="equal">
      <formula>"PTO"</formula>
    </cfRule>
  </conditionalFormatting>
  <conditionalFormatting sqref="E33:E42 G33:H33 D14:H32">
    <cfRule type="cellIs" dxfId="11647" priority="9615" operator="equal">
      <formula>"OFF"</formula>
    </cfRule>
    <cfRule type="cellIs" dxfId="11646" priority="9616" operator="equal">
      <formula>"PTO"</formula>
    </cfRule>
  </conditionalFormatting>
  <conditionalFormatting sqref="E33:E42 G33:H33 D14:H32">
    <cfRule type="cellIs" dxfId="11645" priority="9613" operator="equal">
      <formula>"OFF"</formula>
    </cfRule>
    <cfRule type="cellIs" dxfId="11644" priority="9614" operator="equal">
      <formula>"PTO"</formula>
    </cfRule>
  </conditionalFormatting>
  <conditionalFormatting sqref="E33:E42 G33:H33 D14:H32">
    <cfRule type="cellIs" dxfId="11643" priority="9611" operator="equal">
      <formula>"OFF"</formula>
    </cfRule>
    <cfRule type="cellIs" dxfId="11642" priority="9612" operator="equal">
      <formula>"PTO"</formula>
    </cfRule>
  </conditionalFormatting>
  <conditionalFormatting sqref="D17:I17 E33:E42 G33:I33 I33:I42 C18:I32 C14:I16">
    <cfRule type="cellIs" dxfId="11641" priority="9609" operator="equal">
      <formula>"OFF"</formula>
    </cfRule>
    <cfRule type="cellIs" dxfId="11640" priority="9610" operator="equal">
      <formula>"PTO"</formula>
    </cfRule>
  </conditionalFormatting>
  <conditionalFormatting sqref="D17:I17 E33:E42 G33:I33 I33:I42 C18:I32 C14:I16">
    <cfRule type="cellIs" dxfId="11639" priority="9603" operator="equal">
      <formula>"OFF"</formula>
    </cfRule>
    <cfRule type="cellIs" dxfId="11638" priority="9604" operator="equal">
      <formula>"PTO"</formula>
    </cfRule>
  </conditionalFormatting>
  <conditionalFormatting sqref="E33:E42 G33:H33 D14:H32">
    <cfRule type="cellIs" dxfId="11637" priority="9601" operator="equal">
      <formula>"OFF"</formula>
    </cfRule>
    <cfRule type="cellIs" dxfId="11636" priority="9602" operator="equal">
      <formula>"PTO"</formula>
    </cfRule>
  </conditionalFormatting>
  <conditionalFormatting sqref="E33:E42 G33:H33 D14:H32">
    <cfRule type="cellIs" dxfId="11635" priority="9599" operator="equal">
      <formula>"OFF"</formula>
    </cfRule>
    <cfRule type="cellIs" dxfId="11634" priority="9600" operator="equal">
      <formula>"PTO"</formula>
    </cfRule>
  </conditionalFormatting>
  <conditionalFormatting sqref="E33:E42 G33:H33 D14:H32">
    <cfRule type="cellIs" dxfId="11633" priority="9597" operator="equal">
      <formula>"OFF"</formula>
    </cfRule>
    <cfRule type="cellIs" dxfId="11632" priority="9598" operator="equal">
      <formula>"PTO"</formula>
    </cfRule>
  </conditionalFormatting>
  <conditionalFormatting sqref="E33:E42 G33:H33 D14:H32">
    <cfRule type="cellIs" dxfId="11631" priority="9595" operator="equal">
      <formula>"OFF"</formula>
    </cfRule>
    <cfRule type="cellIs" dxfId="11630" priority="9596" operator="equal">
      <formula>"PTO"</formula>
    </cfRule>
  </conditionalFormatting>
  <conditionalFormatting sqref="D17:I17 E33:E42 G33:I33 I33:I42 C18:I32 C14:I16">
    <cfRule type="cellIs" dxfId="11629" priority="9593" operator="equal">
      <formula>"OFF"</formula>
    </cfRule>
    <cfRule type="cellIs" dxfId="11628" priority="9594" operator="equal">
      <formula>"PTO"</formula>
    </cfRule>
  </conditionalFormatting>
  <conditionalFormatting sqref="D17:I17 E33:E42 G33:I33 I33:I42 C18:I32 C14:I16">
    <cfRule type="cellIs" dxfId="11627" priority="9591" operator="equal">
      <formula>"OFF"</formula>
    </cfRule>
    <cfRule type="cellIs" dxfId="11626" priority="9592" operator="equal">
      <formula>"PTO"</formula>
    </cfRule>
  </conditionalFormatting>
  <conditionalFormatting sqref="D17:I17 E33:E42 G33:I33 I33:I42 C18:I32 C14:I16">
    <cfRule type="cellIs" dxfId="11625" priority="9589" operator="equal">
      <formula>"OFF"</formula>
    </cfRule>
    <cfRule type="cellIs" dxfId="11624" priority="9590" operator="equal">
      <formula>"PTO"</formula>
    </cfRule>
  </conditionalFormatting>
  <conditionalFormatting sqref="D17:I17 E33:E42 G33:I33 I33:I42 C18:I32 C14:I16">
    <cfRule type="cellIs" dxfId="11623" priority="9587" operator="equal">
      <formula>"OFF"</formula>
    </cfRule>
    <cfRule type="cellIs" dxfId="11622" priority="9588" operator="equal">
      <formula>"PTO"</formula>
    </cfRule>
  </conditionalFormatting>
  <conditionalFormatting sqref="D17:I17 E33:E42 G33:I33 I33:I42 C18:I32 C14:I16">
    <cfRule type="cellIs" dxfId="11621" priority="9585" operator="equal">
      <formula>"OFF"</formula>
    </cfRule>
    <cfRule type="cellIs" dxfId="11620" priority="9586" operator="equal">
      <formula>"PTO"</formula>
    </cfRule>
  </conditionalFormatting>
  <conditionalFormatting sqref="D17:I17 E33:E42 G33:I33 I33:I42 C18:I32 C14:I16">
    <cfRule type="cellIs" dxfId="11619" priority="9583" operator="equal">
      <formula>"OFF"</formula>
    </cfRule>
    <cfRule type="cellIs" dxfId="11618" priority="9584" operator="equal">
      <formula>"PTO"</formula>
    </cfRule>
  </conditionalFormatting>
  <conditionalFormatting sqref="D17:I17 E33:E42 G33:I33 I33:I42 C18:I32 C14:I16">
    <cfRule type="cellIs" dxfId="11617" priority="9581" operator="equal">
      <formula>"OFF"</formula>
    </cfRule>
    <cfRule type="cellIs" dxfId="11616" priority="9582" operator="equal">
      <formula>"PTO"</formula>
    </cfRule>
  </conditionalFormatting>
  <conditionalFormatting sqref="D17:I17 E33:E42 G33:I33 I33:I42 C18:I32 C14:I16">
    <cfRule type="cellIs" dxfId="11615" priority="9579" operator="equal">
      <formula>"OFF"</formula>
    </cfRule>
    <cfRule type="cellIs" dxfId="11614" priority="9580" operator="equal">
      <formula>"PTO"</formula>
    </cfRule>
  </conditionalFormatting>
  <conditionalFormatting sqref="D17:I17 E33:E42 G33:I33 I33:I42 C18:I32 C14:I16">
    <cfRule type="cellIs" dxfId="11613" priority="9577" operator="equal">
      <formula>"OFF"</formula>
    </cfRule>
    <cfRule type="cellIs" dxfId="11612" priority="9578" operator="equal">
      <formula>"PTO"</formula>
    </cfRule>
  </conditionalFormatting>
  <conditionalFormatting sqref="D17:I17 E33:E42 G33:I33 I33:I42 C18:I32 C14:I16">
    <cfRule type="cellIs" dxfId="11611" priority="9575" operator="equal">
      <formula>"OFF"</formula>
    </cfRule>
    <cfRule type="cellIs" dxfId="11610" priority="9576" operator="equal">
      <formula>"PTO"</formula>
    </cfRule>
  </conditionalFormatting>
  <conditionalFormatting sqref="D17:I17 E33:E42 G33:I33 I33:I42 C18:I32 C14:I16">
    <cfRule type="cellIs" dxfId="11609" priority="9573" operator="equal">
      <formula>"OFF"</formula>
    </cfRule>
    <cfRule type="cellIs" dxfId="11608" priority="9574" operator="equal">
      <formula>"PTO"</formula>
    </cfRule>
  </conditionalFormatting>
  <conditionalFormatting sqref="D17:I17 E33:E42 G33:I33 I33:I42 C18:I32 C14:I16">
    <cfRule type="cellIs" dxfId="11607" priority="9571" operator="equal">
      <formula>"OFF"</formula>
    </cfRule>
    <cfRule type="cellIs" dxfId="11606" priority="9572" operator="equal">
      <formula>"PTO"</formula>
    </cfRule>
  </conditionalFormatting>
  <conditionalFormatting sqref="D17:I17 E33:E42 G33:I33 I33:I42 C18:I32 C14:I16">
    <cfRule type="cellIs" dxfId="11605" priority="9569" operator="equal">
      <formula>"OFF"</formula>
    </cfRule>
    <cfRule type="cellIs" dxfId="11604" priority="9570" operator="equal">
      <formula>"PTO"</formula>
    </cfRule>
  </conditionalFormatting>
  <conditionalFormatting sqref="D17:I17 E33:E42 G33:I33 I33:I42 C18:I32 C14:I16">
    <cfRule type="cellIs" dxfId="11603" priority="9567" operator="equal">
      <formula>"OFF"</formula>
    </cfRule>
    <cfRule type="cellIs" dxfId="11602" priority="9568" operator="equal">
      <formula>"PTO"</formula>
    </cfRule>
  </conditionalFormatting>
  <conditionalFormatting sqref="D17:I17 E33:E42 G33:I33 I33:I42 C18:I32 C14:I16">
    <cfRule type="cellIs" dxfId="11601" priority="9565" operator="equal">
      <formula>"OFF"</formula>
    </cfRule>
    <cfRule type="cellIs" dxfId="11600" priority="9566" operator="equal">
      <formula>"PTO"</formula>
    </cfRule>
  </conditionalFormatting>
  <conditionalFormatting sqref="D17:I17 E33:E42 G33:I33 I33:I42 C18:I32 C14:I16">
    <cfRule type="cellIs" dxfId="11599" priority="9563" operator="equal">
      <formula>"OFF"</formula>
    </cfRule>
    <cfRule type="cellIs" dxfId="11598" priority="9564" operator="equal">
      <formula>"PTO"</formula>
    </cfRule>
  </conditionalFormatting>
  <conditionalFormatting sqref="D17:I17 E33:E42 G33:I33 I33:I42 C18:I32 C14:I16">
    <cfRule type="cellIs" dxfId="11597" priority="9561" operator="equal">
      <formula>"OFF"</formula>
    </cfRule>
    <cfRule type="cellIs" dxfId="11596" priority="9562" operator="equal">
      <formula>"PTO"</formula>
    </cfRule>
  </conditionalFormatting>
  <conditionalFormatting sqref="D17:I17 E33:E42 G33:I33 I33:I42 C18:I32 C14:I16">
    <cfRule type="cellIs" dxfId="11595" priority="9559" operator="equal">
      <formula>"OFF"</formula>
    </cfRule>
    <cfRule type="cellIs" dxfId="11594" priority="9560" operator="equal">
      <formula>"PTO"</formula>
    </cfRule>
  </conditionalFormatting>
  <conditionalFormatting sqref="D17:I17 E33:E42 G33:I33 I33:I42 C18:I32 C14:I16">
    <cfRule type="cellIs" dxfId="11593" priority="9557" operator="equal">
      <formula>"OFF"</formula>
    </cfRule>
    <cfRule type="cellIs" dxfId="11592" priority="9558" operator="equal">
      <formula>"PTO"</formula>
    </cfRule>
  </conditionalFormatting>
  <conditionalFormatting sqref="D17:I17 E33:E42 G33:I33 I33:I42 C18:I32 C14:I16">
    <cfRule type="cellIs" dxfId="11591" priority="9555" operator="equal">
      <formula>"OFF"</formula>
    </cfRule>
    <cfRule type="cellIs" dxfId="11590" priority="9556" operator="equal">
      <formula>"PTO"</formula>
    </cfRule>
  </conditionalFormatting>
  <conditionalFormatting sqref="D17:I17 E33:E42 G33:I33 I33:I42 C18:I32 C14:I16">
    <cfRule type="cellIs" dxfId="11589" priority="9553" operator="equal">
      <formula>"OFF"</formula>
    </cfRule>
    <cfRule type="cellIs" dxfId="11588" priority="9554" operator="equal">
      <formula>"PTO"</formula>
    </cfRule>
  </conditionalFormatting>
  <conditionalFormatting sqref="D17:I17 E33:E42 G33:I33 I33:I42 C18:I32 C14:I16">
    <cfRule type="cellIs" dxfId="11587" priority="9551" operator="equal">
      <formula>"OFF"</formula>
    </cfRule>
    <cfRule type="cellIs" dxfId="11586" priority="9552" operator="equal">
      <formula>"PTO"</formula>
    </cfRule>
  </conditionalFormatting>
  <conditionalFormatting sqref="D17:I17 E33:E42 G33:I33 I33:I42 C18:I32 C14:I16">
    <cfRule type="cellIs" dxfId="11585" priority="9549" operator="equal">
      <formula>"OFF"</formula>
    </cfRule>
    <cfRule type="cellIs" dxfId="11584" priority="9550" operator="equal">
      <formula>"PTO"</formula>
    </cfRule>
  </conditionalFormatting>
  <conditionalFormatting sqref="D17:I17 E33:E42 G33:I33 I33:I42 C18:I32 C14:I16">
    <cfRule type="cellIs" dxfId="11583" priority="9547" operator="equal">
      <formula>"OFF"</formula>
    </cfRule>
    <cfRule type="cellIs" dxfId="11582" priority="9548" operator="equal">
      <formula>"PTO"</formula>
    </cfRule>
  </conditionalFormatting>
  <conditionalFormatting sqref="D17:I17 E33:E42 G33:I33 I33:I42 C18:I32 C14:I16">
    <cfRule type="cellIs" dxfId="11581" priority="9545" operator="equal">
      <formula>"OFF"</formula>
    </cfRule>
    <cfRule type="cellIs" dxfId="11580" priority="9546" operator="equal">
      <formula>"PTO"</formula>
    </cfRule>
  </conditionalFormatting>
  <conditionalFormatting sqref="E33:E42 G33:H33 D14:H32">
    <cfRule type="cellIs" dxfId="11579" priority="9543" operator="equal">
      <formula>"OFF"</formula>
    </cfRule>
    <cfRule type="cellIs" dxfId="11578" priority="9544" operator="equal">
      <formula>"PTO"</formula>
    </cfRule>
  </conditionalFormatting>
  <conditionalFormatting sqref="E33:E42 G33:H33 D14:H32">
    <cfRule type="cellIs" dxfId="11577" priority="9541" operator="equal">
      <formula>"OFF"</formula>
    </cfRule>
    <cfRule type="cellIs" dxfId="11576" priority="9542" operator="equal">
      <formula>"PTO"</formula>
    </cfRule>
  </conditionalFormatting>
  <conditionalFormatting sqref="E33:E42 G33:H33 D14:H32">
    <cfRule type="cellIs" dxfId="11575" priority="9539" operator="equal">
      <formula>"OFF"</formula>
    </cfRule>
    <cfRule type="cellIs" dxfId="11574" priority="9540" operator="equal">
      <formula>"PTO"</formula>
    </cfRule>
  </conditionalFormatting>
  <conditionalFormatting sqref="E33:E42 G33:H33 D14:H32">
    <cfRule type="cellIs" dxfId="11573" priority="9537" operator="equal">
      <formula>"OFF"</formula>
    </cfRule>
    <cfRule type="cellIs" dxfId="11572" priority="9538" operator="equal">
      <formula>"PTO"</formula>
    </cfRule>
  </conditionalFormatting>
  <conditionalFormatting sqref="E33:E42 G33:H33 D14:H32">
    <cfRule type="cellIs" dxfId="11571" priority="9535" operator="equal">
      <formula>"OFF"</formula>
    </cfRule>
    <cfRule type="cellIs" dxfId="11570" priority="9536" operator="equal">
      <formula>"PTO"</formula>
    </cfRule>
  </conditionalFormatting>
  <conditionalFormatting sqref="E33:E42 G33:H33 D14:H32">
    <cfRule type="cellIs" dxfId="11569" priority="9533" operator="equal">
      <formula>"OFF"</formula>
    </cfRule>
    <cfRule type="cellIs" dxfId="11568" priority="9534" operator="equal">
      <formula>"PTO"</formula>
    </cfRule>
  </conditionalFormatting>
  <conditionalFormatting sqref="E33:E42 G33:H33 D14:H32">
    <cfRule type="cellIs" dxfId="11567" priority="9531" operator="equal">
      <formula>"OFF"</formula>
    </cfRule>
    <cfRule type="cellIs" dxfId="11566" priority="9532" operator="equal">
      <formula>"PTO"</formula>
    </cfRule>
  </conditionalFormatting>
  <conditionalFormatting sqref="E33:E42 G33:H33 D14:H32">
    <cfRule type="cellIs" dxfId="11565" priority="9529" operator="equal">
      <formula>"OFF"</formula>
    </cfRule>
    <cfRule type="cellIs" dxfId="11564" priority="9530" operator="equal">
      <formula>"PTO"</formula>
    </cfRule>
  </conditionalFormatting>
  <conditionalFormatting sqref="E33:E42 G33:H33 D14:H32">
    <cfRule type="cellIs" dxfId="11563" priority="9527" operator="equal">
      <formula>"OFF"</formula>
    </cfRule>
    <cfRule type="cellIs" dxfId="11562" priority="9528" operator="equal">
      <formula>"PTO"</formula>
    </cfRule>
  </conditionalFormatting>
  <conditionalFormatting sqref="E33:E42 G33:H33 D14:H32">
    <cfRule type="cellIs" dxfId="11561" priority="9525" operator="equal">
      <formula>"OFF"</formula>
    </cfRule>
    <cfRule type="cellIs" dxfId="11560" priority="9526" operator="equal">
      <formula>"PTO"</formula>
    </cfRule>
  </conditionalFormatting>
  <conditionalFormatting sqref="E33:E42 G33:H33 D14:H32">
    <cfRule type="cellIs" dxfId="11559" priority="9523" operator="equal">
      <formula>"OFF"</formula>
    </cfRule>
    <cfRule type="cellIs" dxfId="11558" priority="9524" operator="equal">
      <formula>"PTO"</formula>
    </cfRule>
  </conditionalFormatting>
  <conditionalFormatting sqref="E33:E42 G33:H33 D14:H32">
    <cfRule type="cellIs" dxfId="11557" priority="9521" operator="equal">
      <formula>"OFF"</formula>
    </cfRule>
    <cfRule type="cellIs" dxfId="11556" priority="9522" operator="equal">
      <formula>"PTO"</formula>
    </cfRule>
  </conditionalFormatting>
  <conditionalFormatting sqref="E33:E42 G33:H33 D14:H32">
    <cfRule type="cellIs" dxfId="11555" priority="9519" operator="equal">
      <formula>"OFF"</formula>
    </cfRule>
    <cfRule type="cellIs" dxfId="11554" priority="9520" operator="equal">
      <formula>"PTO"</formula>
    </cfRule>
  </conditionalFormatting>
  <conditionalFormatting sqref="E33:E42 G33:H33 D14:H32">
    <cfRule type="cellIs" dxfId="11553" priority="9517" operator="equal">
      <formula>"OFF"</formula>
    </cfRule>
    <cfRule type="cellIs" dxfId="11552" priority="9518" operator="equal">
      <formula>"PTO"</formula>
    </cfRule>
  </conditionalFormatting>
  <conditionalFormatting sqref="E33:E42 G33:H33 D14:H32">
    <cfRule type="cellIs" dxfId="11551" priority="9515" operator="equal">
      <formula>"OFF"</formula>
    </cfRule>
    <cfRule type="cellIs" dxfId="11550" priority="9516" operator="equal">
      <formula>"PTO"</formula>
    </cfRule>
  </conditionalFormatting>
  <conditionalFormatting sqref="E33:E42 G33:H33 D14:H32">
    <cfRule type="cellIs" dxfId="11549" priority="9513" operator="equal">
      <formula>"OFF"</formula>
    </cfRule>
    <cfRule type="cellIs" dxfId="11548" priority="9514" operator="equal">
      <formula>"PTO"</formula>
    </cfRule>
  </conditionalFormatting>
  <conditionalFormatting sqref="E33:E42 G33:H33 D14:H32">
    <cfRule type="cellIs" dxfId="11547" priority="9511" operator="equal">
      <formula>"OFF"</formula>
    </cfRule>
    <cfRule type="cellIs" dxfId="11546" priority="9512" operator="equal">
      <formula>"PTO"</formula>
    </cfRule>
  </conditionalFormatting>
  <conditionalFormatting sqref="E33:E42 G33:H33 D14:H32">
    <cfRule type="cellIs" dxfId="11545" priority="9509" operator="equal">
      <formula>"OFF"</formula>
    </cfRule>
    <cfRule type="cellIs" dxfId="11544" priority="9510" operator="equal">
      <formula>"PTO"</formula>
    </cfRule>
  </conditionalFormatting>
  <conditionalFormatting sqref="E33:E42 G33:H33 D14:H32">
    <cfRule type="cellIs" dxfId="11543" priority="9507" operator="equal">
      <formula>"OFF"</formula>
    </cfRule>
    <cfRule type="cellIs" dxfId="11542" priority="9508" operator="equal">
      <formula>"PTO"</formula>
    </cfRule>
  </conditionalFormatting>
  <conditionalFormatting sqref="E33:E42 G33:H33 D14:H32">
    <cfRule type="cellIs" dxfId="11541" priority="9505" operator="equal">
      <formula>"OFF"</formula>
    </cfRule>
    <cfRule type="cellIs" dxfId="11540" priority="9506" operator="equal">
      <formula>"PTO"</formula>
    </cfRule>
  </conditionalFormatting>
  <conditionalFormatting sqref="E33:E42 G33:H33 D14:H32">
    <cfRule type="cellIs" dxfId="11539" priority="9503" operator="equal">
      <formula>"OFF"</formula>
    </cfRule>
    <cfRule type="cellIs" dxfId="11538" priority="9504" operator="equal">
      <formula>"PTO"</formula>
    </cfRule>
  </conditionalFormatting>
  <conditionalFormatting sqref="E33:E42 G33:H33 D14:H32">
    <cfRule type="cellIs" dxfId="11537" priority="9501" operator="equal">
      <formula>"OFF"</formula>
    </cfRule>
    <cfRule type="cellIs" dxfId="11536" priority="9502" operator="equal">
      <formula>"PTO"</formula>
    </cfRule>
  </conditionalFormatting>
  <conditionalFormatting sqref="E33:E42 G33:H33 D14:H32">
    <cfRule type="cellIs" dxfId="11535" priority="9499" operator="equal">
      <formula>"OFF"</formula>
    </cfRule>
    <cfRule type="cellIs" dxfId="11534" priority="9500" operator="equal">
      <formula>"PTO"</formula>
    </cfRule>
  </conditionalFormatting>
  <conditionalFormatting sqref="E33:E42 G33:H33 D14:H32">
    <cfRule type="cellIs" dxfId="11533" priority="9497" operator="equal">
      <formula>"OFF"</formula>
    </cfRule>
    <cfRule type="cellIs" dxfId="11532" priority="9498" operator="equal">
      <formula>"PTO"</formula>
    </cfRule>
  </conditionalFormatting>
  <conditionalFormatting sqref="E33:E42 G33:H33 D14:H32">
    <cfRule type="cellIs" dxfId="11531" priority="9495" operator="equal">
      <formula>"OFF"</formula>
    </cfRule>
    <cfRule type="cellIs" dxfId="11530" priority="9496" operator="equal">
      <formula>"PTO"</formula>
    </cfRule>
  </conditionalFormatting>
  <conditionalFormatting sqref="G33:H33 F14:H32">
    <cfRule type="cellIs" dxfId="11529" priority="9493" operator="equal">
      <formula>"OFF"</formula>
    </cfRule>
    <cfRule type="cellIs" dxfId="11528" priority="9494" operator="equal">
      <formula>"PTO"</formula>
    </cfRule>
  </conditionalFormatting>
  <conditionalFormatting sqref="G14:H33">
    <cfRule type="cellIs" dxfId="11527" priority="9491" operator="equal">
      <formula>"OFF"</formula>
    </cfRule>
    <cfRule type="cellIs" dxfId="11526" priority="9492" operator="equal">
      <formula>"PTO"</formula>
    </cfRule>
  </conditionalFormatting>
  <conditionalFormatting sqref="G14:H33">
    <cfRule type="cellIs" dxfId="11525" priority="9489" operator="equal">
      <formula>"OFF"</formula>
    </cfRule>
    <cfRule type="cellIs" dxfId="11524" priority="9490" operator="equal">
      <formula>"PTO"</formula>
    </cfRule>
  </conditionalFormatting>
  <conditionalFormatting sqref="G14:H33">
    <cfRule type="cellIs" dxfId="11523" priority="9487" operator="equal">
      <formula>"OFF"</formula>
    </cfRule>
    <cfRule type="cellIs" dxfId="11522" priority="9488" operator="equal">
      <formula>"PTO"</formula>
    </cfRule>
  </conditionalFormatting>
  <conditionalFormatting sqref="G14:H33">
    <cfRule type="cellIs" dxfId="11521" priority="9485" operator="equal">
      <formula>"OFF"</formula>
    </cfRule>
    <cfRule type="cellIs" dxfId="11520" priority="9486" operator="equal">
      <formula>"PTO"</formula>
    </cfRule>
  </conditionalFormatting>
  <conditionalFormatting sqref="G14:H33">
    <cfRule type="cellIs" dxfId="11519" priority="9483" operator="equal">
      <formula>"OFF"</formula>
    </cfRule>
    <cfRule type="cellIs" dxfId="11518" priority="9484" operator="equal">
      <formula>"PTO"</formula>
    </cfRule>
  </conditionalFormatting>
  <conditionalFormatting sqref="G14:H33">
    <cfRule type="cellIs" dxfId="11517" priority="9481" operator="equal">
      <formula>"OFF"</formula>
    </cfRule>
    <cfRule type="cellIs" dxfId="11516" priority="9482" operator="equal">
      <formula>"PTO"</formula>
    </cfRule>
  </conditionalFormatting>
  <conditionalFormatting sqref="G14:H33">
    <cfRule type="cellIs" dxfId="11515" priority="9479" operator="equal">
      <formula>"OFF"</formula>
    </cfRule>
    <cfRule type="cellIs" dxfId="11514" priority="9480" operator="equal">
      <formula>"PTO"</formula>
    </cfRule>
  </conditionalFormatting>
  <conditionalFormatting sqref="G14:H33">
    <cfRule type="cellIs" dxfId="11513" priority="9477" operator="equal">
      <formula>"OFF"</formula>
    </cfRule>
    <cfRule type="cellIs" dxfId="11512" priority="9478" operator="equal">
      <formula>"PTO"</formula>
    </cfRule>
  </conditionalFormatting>
  <conditionalFormatting sqref="I14:I42">
    <cfRule type="cellIs" dxfId="11511" priority="9475" operator="equal">
      <formula>"OFF"</formula>
    </cfRule>
    <cfRule type="cellIs" dxfId="11510" priority="9476" operator="equal">
      <formula>"PTO"</formula>
    </cfRule>
  </conditionalFormatting>
  <conditionalFormatting sqref="I14:I42">
    <cfRule type="cellIs" dxfId="11509" priority="9473" operator="equal">
      <formula>"OFF"</formula>
    </cfRule>
    <cfRule type="cellIs" dxfId="11508" priority="9474" operator="equal">
      <formula>"PTO"</formula>
    </cfRule>
  </conditionalFormatting>
  <conditionalFormatting sqref="I14:I42">
    <cfRule type="cellIs" dxfId="11507" priority="9471" operator="equal">
      <formula>"OFF"</formula>
    </cfRule>
    <cfRule type="cellIs" dxfId="11506" priority="9472" operator="equal">
      <formula>"PTO"</formula>
    </cfRule>
  </conditionalFormatting>
  <conditionalFormatting sqref="I14:I42">
    <cfRule type="cellIs" dxfId="11505" priority="9469" operator="equal">
      <formula>"OFF"</formula>
    </cfRule>
    <cfRule type="cellIs" dxfId="11504" priority="9470" operator="equal">
      <formula>"PTO"</formula>
    </cfRule>
  </conditionalFormatting>
  <conditionalFormatting sqref="I14:I42">
    <cfRule type="cellIs" dxfId="11503" priority="9467" operator="equal">
      <formula>"OFF"</formula>
    </cfRule>
    <cfRule type="cellIs" dxfId="11502" priority="9468" operator="equal">
      <formula>"PTO"</formula>
    </cfRule>
  </conditionalFormatting>
  <conditionalFormatting sqref="I14:I42">
    <cfRule type="cellIs" dxfId="11501" priority="9465" operator="equal">
      <formula>"OFF"</formula>
    </cfRule>
    <cfRule type="cellIs" dxfId="11500" priority="9466" operator="equal">
      <formula>"PTO"</formula>
    </cfRule>
  </conditionalFormatting>
  <conditionalFormatting sqref="I14:I42">
    <cfRule type="cellIs" dxfId="11499" priority="9463" operator="equal">
      <formula>"OFF"</formula>
    </cfRule>
    <cfRule type="cellIs" dxfId="11498" priority="9464" operator="equal">
      <formula>"PTO"</formula>
    </cfRule>
  </conditionalFormatting>
  <conditionalFormatting sqref="I14:I42">
    <cfRule type="cellIs" dxfId="11497" priority="9461" operator="equal">
      <formula>"OFF"</formula>
    </cfRule>
    <cfRule type="cellIs" dxfId="11496" priority="9462" operator="equal">
      <formula>"PTO"</formula>
    </cfRule>
  </conditionalFormatting>
  <conditionalFormatting sqref="D19">
    <cfRule type="cellIs" dxfId="11495" priority="9459" operator="equal">
      <formula>"OFF"</formula>
    </cfRule>
    <cfRule type="cellIs" dxfId="11494" priority="9460" operator="equal">
      <formula>"PTO"</formula>
    </cfRule>
  </conditionalFormatting>
  <conditionalFormatting sqref="D19">
    <cfRule type="cellIs" dxfId="11493" priority="9457" operator="equal">
      <formula>"OFF"</formula>
    </cfRule>
    <cfRule type="cellIs" dxfId="11492" priority="9458" operator="equal">
      <formula>"PTO"</formula>
    </cfRule>
  </conditionalFormatting>
  <conditionalFormatting sqref="D19">
    <cfRule type="cellIs" dxfId="11491" priority="9455" operator="equal">
      <formula>"OFF"</formula>
    </cfRule>
    <cfRule type="cellIs" dxfId="11490" priority="9456" operator="equal">
      <formula>"PTO"</formula>
    </cfRule>
  </conditionalFormatting>
  <conditionalFormatting sqref="D19">
    <cfRule type="cellIs" dxfId="11489" priority="9453" operator="equal">
      <formula>"OFF"</formula>
    </cfRule>
    <cfRule type="cellIs" dxfId="11488" priority="9454" operator="equal">
      <formula>"PTO"</formula>
    </cfRule>
  </conditionalFormatting>
  <conditionalFormatting sqref="D19">
    <cfRule type="cellIs" dxfId="11487" priority="9451" operator="equal">
      <formula>"OFF"</formula>
    </cfRule>
    <cfRule type="cellIs" dxfId="11486" priority="9452" operator="equal">
      <formula>"PTO"</formula>
    </cfRule>
  </conditionalFormatting>
  <conditionalFormatting sqref="D19">
    <cfRule type="cellIs" dxfId="11485" priority="9449" operator="equal">
      <formula>"OFF"</formula>
    </cfRule>
    <cfRule type="cellIs" dxfId="11484" priority="9450" operator="equal">
      <formula>"PTO"</formula>
    </cfRule>
  </conditionalFormatting>
  <conditionalFormatting sqref="D19">
    <cfRule type="cellIs" dxfId="11483" priority="9447" operator="equal">
      <formula>"OFF"</formula>
    </cfRule>
    <cfRule type="cellIs" dxfId="11482" priority="9448" operator="equal">
      <formula>"PTO"</formula>
    </cfRule>
  </conditionalFormatting>
  <conditionalFormatting sqref="D19">
    <cfRule type="cellIs" dxfId="11481" priority="9445" operator="equal">
      <formula>"OFF"</formula>
    </cfRule>
    <cfRule type="cellIs" dxfId="11480" priority="9446" operator="equal">
      <formula>"PTO"</formula>
    </cfRule>
  </conditionalFormatting>
  <conditionalFormatting sqref="D19">
    <cfRule type="cellIs" dxfId="11479" priority="9443" operator="equal">
      <formula>"OFF"</formula>
    </cfRule>
    <cfRule type="cellIs" dxfId="11478" priority="9444" operator="equal">
      <formula>"PTO"</formula>
    </cfRule>
  </conditionalFormatting>
  <conditionalFormatting sqref="D19">
    <cfRule type="cellIs" dxfId="11477" priority="9441" operator="equal">
      <formula>"OFF"</formula>
    </cfRule>
    <cfRule type="cellIs" dxfId="11476" priority="9442" operator="equal">
      <formula>"PTO"</formula>
    </cfRule>
  </conditionalFormatting>
  <conditionalFormatting sqref="D19">
    <cfRule type="cellIs" dxfId="11475" priority="9439" operator="equal">
      <formula>"OFF"</formula>
    </cfRule>
    <cfRule type="cellIs" dxfId="11474" priority="9440" operator="equal">
      <formula>"PTO"</formula>
    </cfRule>
  </conditionalFormatting>
  <conditionalFormatting sqref="D19">
    <cfRule type="cellIs" dxfId="11473" priority="9437" operator="equal">
      <formula>"OFF"</formula>
    </cfRule>
    <cfRule type="cellIs" dxfId="11472" priority="9438" operator="equal">
      <formula>"PTO"</formula>
    </cfRule>
  </conditionalFormatting>
  <conditionalFormatting sqref="D19">
    <cfRule type="cellIs" dxfId="11471" priority="9435" operator="equal">
      <formula>"OFF"</formula>
    </cfRule>
    <cfRule type="cellIs" dxfId="11470" priority="9436" operator="equal">
      <formula>"PTO"</formula>
    </cfRule>
  </conditionalFormatting>
  <conditionalFormatting sqref="D19">
    <cfRule type="cellIs" dxfId="11469" priority="9433" operator="equal">
      <formula>"OFF"</formula>
    </cfRule>
    <cfRule type="cellIs" dxfId="11468" priority="9434" operator="equal">
      <formula>"PTO"</formula>
    </cfRule>
  </conditionalFormatting>
  <conditionalFormatting sqref="D19">
    <cfRule type="cellIs" dxfId="11467" priority="9431" operator="equal">
      <formula>"OFF"</formula>
    </cfRule>
    <cfRule type="cellIs" dxfId="11466" priority="9432" operator="equal">
      <formula>"PTO"</formula>
    </cfRule>
  </conditionalFormatting>
  <conditionalFormatting sqref="D19">
    <cfRule type="cellIs" dxfId="11465" priority="9429" operator="equal">
      <formula>"OFF"</formula>
    </cfRule>
    <cfRule type="cellIs" dxfId="11464" priority="9430" operator="equal">
      <formula>"PTO"</formula>
    </cfRule>
  </conditionalFormatting>
  <conditionalFormatting sqref="D19">
    <cfRule type="cellIs" dxfId="11463" priority="9427" operator="equal">
      <formula>"OFF"</formula>
    </cfRule>
    <cfRule type="cellIs" dxfId="11462" priority="9428" operator="equal">
      <formula>"PTO"</formula>
    </cfRule>
  </conditionalFormatting>
  <conditionalFormatting sqref="D19">
    <cfRule type="cellIs" dxfId="11461" priority="9425" operator="equal">
      <formula>"OFF"</formula>
    </cfRule>
    <cfRule type="cellIs" dxfId="11460" priority="9426" operator="equal">
      <formula>"PTO"</formula>
    </cfRule>
  </conditionalFormatting>
  <conditionalFormatting sqref="D19">
    <cfRule type="cellIs" dxfId="11459" priority="9423" operator="equal">
      <formula>"OFF"</formula>
    </cfRule>
    <cfRule type="cellIs" dxfId="11458" priority="9424" operator="equal">
      <formula>"PTO"</formula>
    </cfRule>
  </conditionalFormatting>
  <conditionalFormatting sqref="D19">
    <cfRule type="cellIs" dxfId="11457" priority="9421" operator="equal">
      <formula>"OFF"</formula>
    </cfRule>
    <cfRule type="cellIs" dxfId="11456" priority="9422" operator="equal">
      <formula>"PTO"</formula>
    </cfRule>
  </conditionalFormatting>
  <conditionalFormatting sqref="D19">
    <cfRule type="cellIs" dxfId="11455" priority="9419" operator="equal">
      <formula>"OFF"</formula>
    </cfRule>
    <cfRule type="cellIs" dxfId="11454" priority="9420" operator="equal">
      <formula>"PTO"</formula>
    </cfRule>
  </conditionalFormatting>
  <conditionalFormatting sqref="D19">
    <cfRule type="cellIs" dxfId="11453" priority="9417" operator="equal">
      <formula>"OFF"</formula>
    </cfRule>
    <cfRule type="cellIs" dxfId="11452" priority="9418" operator="equal">
      <formula>"PTO"</formula>
    </cfRule>
  </conditionalFormatting>
  <conditionalFormatting sqref="D19">
    <cfRule type="cellIs" dxfId="11451" priority="9415" operator="equal">
      <formula>"OFF"</formula>
    </cfRule>
    <cfRule type="cellIs" dxfId="11450" priority="9416" operator="equal">
      <formula>"PTO"</formula>
    </cfRule>
  </conditionalFormatting>
  <conditionalFormatting sqref="D19">
    <cfRule type="cellIs" dxfId="11449" priority="9413" operator="equal">
      <formula>"OFF"</formula>
    </cfRule>
    <cfRule type="cellIs" dxfId="11448" priority="9414" operator="equal">
      <formula>"PTO"</formula>
    </cfRule>
  </conditionalFormatting>
  <conditionalFormatting sqref="D19">
    <cfRule type="cellIs" dxfId="11447" priority="9411" operator="equal">
      <formula>"OFF"</formula>
    </cfRule>
    <cfRule type="cellIs" dxfId="11446" priority="9412" operator="equal">
      <formula>"PTO"</formula>
    </cfRule>
  </conditionalFormatting>
  <conditionalFormatting sqref="D19">
    <cfRule type="cellIs" dxfId="11445" priority="9409" operator="equal">
      <formula>"OFF"</formula>
    </cfRule>
    <cfRule type="cellIs" dxfId="11444" priority="9410" operator="equal">
      <formula>"PTO"</formula>
    </cfRule>
  </conditionalFormatting>
  <conditionalFormatting sqref="D19">
    <cfRule type="cellIs" dxfId="11443" priority="9407" operator="equal">
      <formula>"OFF"</formula>
    </cfRule>
    <cfRule type="cellIs" dxfId="11442" priority="9408" operator="equal">
      <formula>"PTO"</formula>
    </cfRule>
  </conditionalFormatting>
  <conditionalFormatting sqref="D19">
    <cfRule type="cellIs" dxfId="11441" priority="9405" operator="equal">
      <formula>"OFF"</formula>
    </cfRule>
    <cfRule type="cellIs" dxfId="11440" priority="9406" operator="equal">
      <formula>"PTO"</formula>
    </cfRule>
  </conditionalFormatting>
  <conditionalFormatting sqref="D19">
    <cfRule type="cellIs" dxfId="11439" priority="9403" operator="equal">
      <formula>"OFF"</formula>
    </cfRule>
    <cfRule type="cellIs" dxfId="11438" priority="9404" operator="equal">
      <formula>"PTO"</formula>
    </cfRule>
  </conditionalFormatting>
  <conditionalFormatting sqref="D19">
    <cfRule type="cellIs" dxfId="11437" priority="9401" operator="equal">
      <formula>"OFF"</formula>
    </cfRule>
    <cfRule type="cellIs" dxfId="11436" priority="9402" operator="equal">
      <formula>"PTO"</formula>
    </cfRule>
  </conditionalFormatting>
  <conditionalFormatting sqref="D19">
    <cfRule type="cellIs" dxfId="11435" priority="9399" operator="equal">
      <formula>"OFF"</formula>
    </cfRule>
    <cfRule type="cellIs" dxfId="11434" priority="9400" operator="equal">
      <formula>"PTO"</formula>
    </cfRule>
  </conditionalFormatting>
  <conditionalFormatting sqref="D19">
    <cfRule type="cellIs" dxfId="11433" priority="9397" operator="equal">
      <formula>"OFF"</formula>
    </cfRule>
    <cfRule type="cellIs" dxfId="11432" priority="9398" operator="equal">
      <formula>"PTO"</formula>
    </cfRule>
  </conditionalFormatting>
  <conditionalFormatting sqref="D18:D32 E33:E42">
    <cfRule type="cellIs" dxfId="11431" priority="9395" operator="equal">
      <formula>"OFF"</formula>
    </cfRule>
    <cfRule type="cellIs" dxfId="11430" priority="9396" operator="equal">
      <formula>"PTO"</formula>
    </cfRule>
  </conditionalFormatting>
  <conditionalFormatting sqref="D18:D32 E33:E42">
    <cfRule type="cellIs" dxfId="11429" priority="9393" operator="equal">
      <formula>"OFF"</formula>
    </cfRule>
    <cfRule type="cellIs" dxfId="11428" priority="9394" operator="equal">
      <formula>"PTO"</formula>
    </cfRule>
  </conditionalFormatting>
  <conditionalFormatting sqref="D18:D32 E33:E42">
    <cfRule type="cellIs" dxfId="11427" priority="9391" operator="equal">
      <formula>"OFF"</formula>
    </cfRule>
    <cfRule type="cellIs" dxfId="11426" priority="9392" operator="equal">
      <formula>"PTO"</formula>
    </cfRule>
  </conditionalFormatting>
  <conditionalFormatting sqref="D18:D32 E33:E42">
    <cfRule type="cellIs" dxfId="11425" priority="9389" operator="equal">
      <formula>"OFF"</formula>
    </cfRule>
    <cfRule type="cellIs" dxfId="11424" priority="9390" operator="equal">
      <formula>"PTO"</formula>
    </cfRule>
  </conditionalFormatting>
  <conditionalFormatting sqref="D18:D32 E33:E42">
    <cfRule type="cellIs" dxfId="11423" priority="9387" operator="equal">
      <formula>"OFF"</formula>
    </cfRule>
    <cfRule type="cellIs" dxfId="11422" priority="9388" operator="equal">
      <formula>"PTO"</formula>
    </cfRule>
  </conditionalFormatting>
  <conditionalFormatting sqref="D18:D32 E33:E42">
    <cfRule type="cellIs" dxfId="11421" priority="9385" operator="equal">
      <formula>"OFF"</formula>
    </cfRule>
    <cfRule type="cellIs" dxfId="11420" priority="9386" operator="equal">
      <formula>"PTO"</formula>
    </cfRule>
  </conditionalFormatting>
  <conditionalFormatting sqref="D18:D32 E33:E42">
    <cfRule type="cellIs" dxfId="11419" priority="9383" operator="equal">
      <formula>"OFF"</formula>
    </cfRule>
    <cfRule type="cellIs" dxfId="11418" priority="9384" operator="equal">
      <formula>"PTO"</formula>
    </cfRule>
  </conditionalFormatting>
  <conditionalFormatting sqref="J19:P19">
    <cfRule type="cellIs" dxfId="11417" priority="9149" operator="equal">
      <formula>"OFF"</formula>
    </cfRule>
    <cfRule type="cellIs" dxfId="11416" priority="9150" operator="equal">
      <formula>"PTO"</formula>
    </cfRule>
  </conditionalFormatting>
  <conditionalFormatting sqref="J19:P19">
    <cfRule type="cellIs" dxfId="11415" priority="9147" operator="equal">
      <formula>"OFF"</formula>
    </cfRule>
    <cfRule type="cellIs" dxfId="11414" priority="9148" operator="equal">
      <formula>"PTO"</formula>
    </cfRule>
  </conditionalFormatting>
  <conditionalFormatting sqref="J19">
    <cfRule type="cellIs" dxfId="11413" priority="9145" operator="equal">
      <formula>"OFF"</formula>
    </cfRule>
    <cfRule type="cellIs" dxfId="11412" priority="9146" operator="equal">
      <formula>"PTO"</formula>
    </cfRule>
  </conditionalFormatting>
  <conditionalFormatting sqref="J19">
    <cfRule type="cellIs" dxfId="11411" priority="9143" operator="equal">
      <formula>"OFF"</formula>
    </cfRule>
    <cfRule type="cellIs" dxfId="11410" priority="9144" operator="equal">
      <formula>"PTO"</formula>
    </cfRule>
  </conditionalFormatting>
  <conditionalFormatting sqref="J19">
    <cfRule type="cellIs" dxfId="11409" priority="9141" operator="equal">
      <formula>"OFF"</formula>
    </cfRule>
    <cfRule type="cellIs" dxfId="11408" priority="9142" operator="equal">
      <formula>"PTO"</formula>
    </cfRule>
  </conditionalFormatting>
  <conditionalFormatting sqref="J19">
    <cfRule type="cellIs" dxfId="11407" priority="9139" operator="equal">
      <formula>"OFF"</formula>
    </cfRule>
    <cfRule type="cellIs" dxfId="11406" priority="9140" operator="equal">
      <formula>"PTO"</formula>
    </cfRule>
  </conditionalFormatting>
  <conditionalFormatting sqref="K19">
    <cfRule type="cellIs" dxfId="11405" priority="9137" operator="equal">
      <formula>"OFF"</formula>
    </cfRule>
    <cfRule type="cellIs" dxfId="11404" priority="9138" operator="equal">
      <formula>"PTO"</formula>
    </cfRule>
  </conditionalFormatting>
  <conditionalFormatting sqref="K19">
    <cfRule type="cellIs" dxfId="11403" priority="9135" operator="equal">
      <formula>"OFF"</formula>
    </cfRule>
    <cfRule type="cellIs" dxfId="11402" priority="9136" operator="equal">
      <formula>"PTO"</formula>
    </cfRule>
  </conditionalFormatting>
  <conditionalFormatting sqref="K19">
    <cfRule type="cellIs" dxfId="11401" priority="9133" operator="equal">
      <formula>"OFF"</formula>
    </cfRule>
    <cfRule type="cellIs" dxfId="11400" priority="9134" operator="equal">
      <formula>"PTO"</formula>
    </cfRule>
  </conditionalFormatting>
  <conditionalFormatting sqref="K19">
    <cfRule type="cellIs" dxfId="11399" priority="9131" operator="equal">
      <formula>"OFF"</formula>
    </cfRule>
    <cfRule type="cellIs" dxfId="11398" priority="9132" operator="equal">
      <formula>"PTO"</formula>
    </cfRule>
  </conditionalFormatting>
  <conditionalFormatting sqref="J19">
    <cfRule type="cellIs" dxfId="11397" priority="9129" operator="equal">
      <formula>"OFF"</formula>
    </cfRule>
    <cfRule type="cellIs" dxfId="11396" priority="9130" operator="equal">
      <formula>"PTO"</formula>
    </cfRule>
  </conditionalFormatting>
  <conditionalFormatting sqref="J19">
    <cfRule type="cellIs" dxfId="11395" priority="9127" operator="equal">
      <formula>"OFF"</formula>
    </cfRule>
    <cfRule type="cellIs" dxfId="11394" priority="9128" operator="equal">
      <formula>"PTO"</formula>
    </cfRule>
  </conditionalFormatting>
  <conditionalFormatting sqref="J19">
    <cfRule type="cellIs" dxfId="11393" priority="9125" operator="equal">
      <formula>"OFF"</formula>
    </cfRule>
    <cfRule type="cellIs" dxfId="11392" priority="9126" operator="equal">
      <formula>"PTO"</formula>
    </cfRule>
  </conditionalFormatting>
  <conditionalFormatting sqref="J19">
    <cfRule type="cellIs" dxfId="11391" priority="9123" operator="equal">
      <formula>"OFF"</formula>
    </cfRule>
    <cfRule type="cellIs" dxfId="11390" priority="9124" operator="equal">
      <formula>"PTO"</formula>
    </cfRule>
  </conditionalFormatting>
  <conditionalFormatting sqref="K19">
    <cfRule type="cellIs" dxfId="11389" priority="9121" operator="equal">
      <formula>"OFF"</formula>
    </cfRule>
    <cfRule type="cellIs" dxfId="11388" priority="9122" operator="equal">
      <formula>"PTO"</formula>
    </cfRule>
  </conditionalFormatting>
  <conditionalFormatting sqref="K19">
    <cfRule type="cellIs" dxfId="11387" priority="9119" operator="equal">
      <formula>"OFF"</formula>
    </cfRule>
    <cfRule type="cellIs" dxfId="11386" priority="9120" operator="equal">
      <formula>"PTO"</formula>
    </cfRule>
  </conditionalFormatting>
  <conditionalFormatting sqref="K19">
    <cfRule type="cellIs" dxfId="11385" priority="9117" operator="equal">
      <formula>"OFF"</formula>
    </cfRule>
    <cfRule type="cellIs" dxfId="11384" priority="9118" operator="equal">
      <formula>"PTO"</formula>
    </cfRule>
  </conditionalFormatting>
  <conditionalFormatting sqref="K19">
    <cfRule type="cellIs" dxfId="11383" priority="9115" operator="equal">
      <formula>"OFF"</formula>
    </cfRule>
    <cfRule type="cellIs" dxfId="11382" priority="9116" operator="equal">
      <formula>"PTO"</formula>
    </cfRule>
  </conditionalFormatting>
  <conditionalFormatting sqref="J19">
    <cfRule type="cellIs" dxfId="11381" priority="9113" operator="equal">
      <formula>"OFF"</formula>
    </cfRule>
    <cfRule type="cellIs" dxfId="11380" priority="9114" operator="equal">
      <formula>"PTO"</formula>
    </cfRule>
  </conditionalFormatting>
  <conditionalFormatting sqref="J19">
    <cfRule type="cellIs" dxfId="11379" priority="9111" operator="equal">
      <formula>"OFF"</formula>
    </cfRule>
    <cfRule type="cellIs" dxfId="11378" priority="9112" operator="equal">
      <formula>"PTO"</formula>
    </cfRule>
  </conditionalFormatting>
  <conditionalFormatting sqref="J19">
    <cfRule type="cellIs" dxfId="11377" priority="9109" operator="equal">
      <formula>"OFF"</formula>
    </cfRule>
    <cfRule type="cellIs" dxfId="11376" priority="9110" operator="equal">
      <formula>"PTO"</formula>
    </cfRule>
  </conditionalFormatting>
  <conditionalFormatting sqref="J19">
    <cfRule type="cellIs" dxfId="11375" priority="9107" operator="equal">
      <formula>"OFF"</formula>
    </cfRule>
    <cfRule type="cellIs" dxfId="11374" priority="9108" operator="equal">
      <formula>"PTO"</formula>
    </cfRule>
  </conditionalFormatting>
  <conditionalFormatting sqref="K19">
    <cfRule type="cellIs" dxfId="11373" priority="9105" operator="equal">
      <formula>"OFF"</formula>
    </cfRule>
    <cfRule type="cellIs" dxfId="11372" priority="9106" operator="equal">
      <formula>"PTO"</formula>
    </cfRule>
  </conditionalFormatting>
  <conditionalFormatting sqref="K19">
    <cfRule type="cellIs" dxfId="11371" priority="9103" operator="equal">
      <formula>"OFF"</formula>
    </cfRule>
    <cfRule type="cellIs" dxfId="11370" priority="9104" operator="equal">
      <formula>"PTO"</formula>
    </cfRule>
  </conditionalFormatting>
  <conditionalFormatting sqref="K19">
    <cfRule type="cellIs" dxfId="11369" priority="9101" operator="equal">
      <formula>"OFF"</formula>
    </cfRule>
    <cfRule type="cellIs" dxfId="11368" priority="9102" operator="equal">
      <formula>"PTO"</formula>
    </cfRule>
  </conditionalFormatting>
  <conditionalFormatting sqref="K19">
    <cfRule type="cellIs" dxfId="11367" priority="9099" operator="equal">
      <formula>"OFF"</formula>
    </cfRule>
    <cfRule type="cellIs" dxfId="11366" priority="9100" operator="equal">
      <formula>"PTO"</formula>
    </cfRule>
  </conditionalFormatting>
  <conditionalFormatting sqref="J19">
    <cfRule type="cellIs" dxfId="11365" priority="9097" operator="equal">
      <formula>"OFF"</formula>
    </cfRule>
    <cfRule type="cellIs" dxfId="11364" priority="9098" operator="equal">
      <formula>"PTO"</formula>
    </cfRule>
  </conditionalFormatting>
  <conditionalFormatting sqref="J19">
    <cfRule type="cellIs" dxfId="11363" priority="9095" operator="equal">
      <formula>"OFF"</formula>
    </cfRule>
    <cfRule type="cellIs" dxfId="11362" priority="9096" operator="equal">
      <formula>"PTO"</formula>
    </cfRule>
  </conditionalFormatting>
  <conditionalFormatting sqref="J19">
    <cfRule type="cellIs" dxfId="11361" priority="9093" operator="equal">
      <formula>"OFF"</formula>
    </cfRule>
    <cfRule type="cellIs" dxfId="11360" priority="9094" operator="equal">
      <formula>"PTO"</formula>
    </cfRule>
  </conditionalFormatting>
  <conditionalFormatting sqref="J19">
    <cfRule type="cellIs" dxfId="11359" priority="9091" operator="equal">
      <formula>"OFF"</formula>
    </cfRule>
    <cfRule type="cellIs" dxfId="11358" priority="9092" operator="equal">
      <formula>"PTO"</formula>
    </cfRule>
  </conditionalFormatting>
  <conditionalFormatting sqref="K19">
    <cfRule type="cellIs" dxfId="11357" priority="9089" operator="equal">
      <formula>"OFF"</formula>
    </cfRule>
    <cfRule type="cellIs" dxfId="11356" priority="9090" operator="equal">
      <formula>"PTO"</formula>
    </cfRule>
  </conditionalFormatting>
  <conditionalFormatting sqref="K19">
    <cfRule type="cellIs" dxfId="11355" priority="9087" operator="equal">
      <formula>"OFF"</formula>
    </cfRule>
    <cfRule type="cellIs" dxfId="11354" priority="9088" operator="equal">
      <formula>"PTO"</formula>
    </cfRule>
  </conditionalFormatting>
  <conditionalFormatting sqref="K19">
    <cfRule type="cellIs" dxfId="11353" priority="9085" operator="equal">
      <formula>"OFF"</formula>
    </cfRule>
    <cfRule type="cellIs" dxfId="11352" priority="9086" operator="equal">
      <formula>"PTO"</formula>
    </cfRule>
  </conditionalFormatting>
  <conditionalFormatting sqref="K19">
    <cfRule type="cellIs" dxfId="11351" priority="9083" operator="equal">
      <formula>"OFF"</formula>
    </cfRule>
    <cfRule type="cellIs" dxfId="11350" priority="9084" operator="equal">
      <formula>"PTO"</formula>
    </cfRule>
  </conditionalFormatting>
  <conditionalFormatting sqref="J19:P19">
    <cfRule type="cellIs" dxfId="11349" priority="9081" operator="equal">
      <formula>"OFF"</formula>
    </cfRule>
    <cfRule type="cellIs" dxfId="11348" priority="9082" operator="equal">
      <formula>"PTO"</formula>
    </cfRule>
  </conditionalFormatting>
  <conditionalFormatting sqref="J19:P19">
    <cfRule type="cellIs" dxfId="11347" priority="9079" operator="equal">
      <formula>"OFF"</formula>
    </cfRule>
    <cfRule type="cellIs" dxfId="11346" priority="9080" operator="equal">
      <formula>"PTO"</formula>
    </cfRule>
  </conditionalFormatting>
  <conditionalFormatting sqref="L19">
    <cfRule type="cellIs" dxfId="11345" priority="9077" operator="equal">
      <formula>"OFF"</formula>
    </cfRule>
    <cfRule type="cellIs" dxfId="11344" priority="9078" operator="equal">
      <formula>"PTO"</formula>
    </cfRule>
  </conditionalFormatting>
  <conditionalFormatting sqref="L19">
    <cfRule type="cellIs" dxfId="11343" priority="9075" operator="equal">
      <formula>"OFF"</formula>
    </cfRule>
    <cfRule type="cellIs" dxfId="11342" priority="9076" operator="equal">
      <formula>"PTO"</formula>
    </cfRule>
  </conditionalFormatting>
  <conditionalFormatting sqref="L19">
    <cfRule type="cellIs" dxfId="11341" priority="9073" operator="equal">
      <formula>"OFF"</formula>
    </cfRule>
    <cfRule type="cellIs" dxfId="11340" priority="9074" operator="equal">
      <formula>"PTO"</formula>
    </cfRule>
  </conditionalFormatting>
  <conditionalFormatting sqref="L19">
    <cfRule type="cellIs" dxfId="11339" priority="9071" operator="equal">
      <formula>"OFF"</formula>
    </cfRule>
    <cfRule type="cellIs" dxfId="11338" priority="9072" operator="equal">
      <formula>"PTO"</formula>
    </cfRule>
  </conditionalFormatting>
  <conditionalFormatting sqref="L19">
    <cfRule type="cellIs" dxfId="11337" priority="9069" operator="equal">
      <formula>"OFF"</formula>
    </cfRule>
    <cfRule type="cellIs" dxfId="11336" priority="9070" operator="equal">
      <formula>"PTO"</formula>
    </cfRule>
  </conditionalFormatting>
  <conditionalFormatting sqref="L19">
    <cfRule type="cellIs" dxfId="11335" priority="9067" operator="equal">
      <formula>"OFF"</formula>
    </cfRule>
    <cfRule type="cellIs" dxfId="11334" priority="9068" operator="equal">
      <formula>"PTO"</formula>
    </cfRule>
  </conditionalFormatting>
  <conditionalFormatting sqref="L19">
    <cfRule type="cellIs" dxfId="11333" priority="9065" operator="equal">
      <formula>"OFF"</formula>
    </cfRule>
    <cfRule type="cellIs" dxfId="11332" priority="9066" operator="equal">
      <formula>"PTO"</formula>
    </cfRule>
  </conditionalFormatting>
  <conditionalFormatting sqref="L19">
    <cfRule type="cellIs" dxfId="11331" priority="9063" operator="equal">
      <formula>"OFF"</formula>
    </cfRule>
    <cfRule type="cellIs" dxfId="11330" priority="9064" operator="equal">
      <formula>"PTO"</formula>
    </cfRule>
  </conditionalFormatting>
  <conditionalFormatting sqref="L19">
    <cfRule type="cellIs" dxfId="11329" priority="9061" operator="equal">
      <formula>"OFF"</formula>
    </cfRule>
    <cfRule type="cellIs" dxfId="11328" priority="9062" operator="equal">
      <formula>"PTO"</formula>
    </cfRule>
  </conditionalFormatting>
  <conditionalFormatting sqref="L19">
    <cfRule type="cellIs" dxfId="11327" priority="9059" operator="equal">
      <formula>"OFF"</formula>
    </cfRule>
    <cfRule type="cellIs" dxfId="11326" priority="9060" operator="equal">
      <formula>"PTO"</formula>
    </cfRule>
  </conditionalFormatting>
  <conditionalFormatting sqref="L19">
    <cfRule type="cellIs" dxfId="11325" priority="9057" operator="equal">
      <formula>"OFF"</formula>
    </cfRule>
    <cfRule type="cellIs" dxfId="11324" priority="9058" operator="equal">
      <formula>"PTO"</formula>
    </cfRule>
  </conditionalFormatting>
  <conditionalFormatting sqref="L19">
    <cfRule type="cellIs" dxfId="11323" priority="9055" operator="equal">
      <formula>"OFF"</formula>
    </cfRule>
    <cfRule type="cellIs" dxfId="11322" priority="9056" operator="equal">
      <formula>"PTO"</formula>
    </cfRule>
  </conditionalFormatting>
  <conditionalFormatting sqref="L19">
    <cfRule type="cellIs" dxfId="11321" priority="9053" operator="equal">
      <formula>"OFF"</formula>
    </cfRule>
    <cfRule type="cellIs" dxfId="11320" priority="9054" operator="equal">
      <formula>"PTO"</formula>
    </cfRule>
  </conditionalFormatting>
  <conditionalFormatting sqref="L19">
    <cfRule type="cellIs" dxfId="11319" priority="9051" operator="equal">
      <formula>"OFF"</formula>
    </cfRule>
    <cfRule type="cellIs" dxfId="11318" priority="9052" operator="equal">
      <formula>"PTO"</formula>
    </cfRule>
  </conditionalFormatting>
  <conditionalFormatting sqref="L19">
    <cfRule type="cellIs" dxfId="11317" priority="9049" operator="equal">
      <formula>"OFF"</formula>
    </cfRule>
    <cfRule type="cellIs" dxfId="11316" priority="9050" operator="equal">
      <formula>"PTO"</formula>
    </cfRule>
  </conditionalFormatting>
  <conditionalFormatting sqref="L19">
    <cfRule type="cellIs" dxfId="11315" priority="9047" operator="equal">
      <formula>"OFF"</formula>
    </cfRule>
    <cfRule type="cellIs" dxfId="11314" priority="9048" operator="equal">
      <formula>"PTO"</formula>
    </cfRule>
  </conditionalFormatting>
  <conditionalFormatting sqref="O19">
    <cfRule type="cellIs" dxfId="11313" priority="9045" operator="equal">
      <formula>"OFF"</formula>
    </cfRule>
    <cfRule type="cellIs" dxfId="11312" priority="9046" operator="equal">
      <formula>"PTO"</formula>
    </cfRule>
  </conditionalFormatting>
  <conditionalFormatting sqref="O19">
    <cfRule type="cellIs" dxfId="11311" priority="9043" operator="equal">
      <formula>"OFF"</formula>
    </cfRule>
    <cfRule type="cellIs" dxfId="11310" priority="9044" operator="equal">
      <formula>"PTO"</formula>
    </cfRule>
  </conditionalFormatting>
  <conditionalFormatting sqref="O19">
    <cfRule type="cellIs" dxfId="11309" priority="9041" operator="equal">
      <formula>"OFF"</formula>
    </cfRule>
    <cfRule type="cellIs" dxfId="11308" priority="9042" operator="equal">
      <formula>"PTO"</formula>
    </cfRule>
  </conditionalFormatting>
  <conditionalFormatting sqref="O19">
    <cfRule type="cellIs" dxfId="11307" priority="9039" operator="equal">
      <formula>"OFF"</formula>
    </cfRule>
    <cfRule type="cellIs" dxfId="11306" priority="9040" operator="equal">
      <formula>"PTO"</formula>
    </cfRule>
  </conditionalFormatting>
  <conditionalFormatting sqref="O19">
    <cfRule type="cellIs" dxfId="11305" priority="9037" operator="equal">
      <formula>"OFF"</formula>
    </cfRule>
    <cfRule type="cellIs" dxfId="11304" priority="9038" operator="equal">
      <formula>"PTO"</formula>
    </cfRule>
  </conditionalFormatting>
  <conditionalFormatting sqref="O19">
    <cfRule type="cellIs" dxfId="11303" priority="9035" operator="equal">
      <formula>"OFF"</formula>
    </cfRule>
    <cfRule type="cellIs" dxfId="11302" priority="9036" operator="equal">
      <formula>"PTO"</formula>
    </cfRule>
  </conditionalFormatting>
  <conditionalFormatting sqref="O19">
    <cfRule type="cellIs" dxfId="11301" priority="9033" operator="equal">
      <formula>"OFF"</formula>
    </cfRule>
    <cfRule type="cellIs" dxfId="11300" priority="9034" operator="equal">
      <formula>"PTO"</formula>
    </cfRule>
  </conditionalFormatting>
  <conditionalFormatting sqref="O19">
    <cfRule type="cellIs" dxfId="11299" priority="9031" operator="equal">
      <formula>"OFF"</formula>
    </cfRule>
    <cfRule type="cellIs" dxfId="11298" priority="9032" operator="equal">
      <formula>"PTO"</formula>
    </cfRule>
  </conditionalFormatting>
  <conditionalFormatting sqref="O19">
    <cfRule type="cellIs" dxfId="11297" priority="9029" operator="equal">
      <formula>"OFF"</formula>
    </cfRule>
    <cfRule type="cellIs" dxfId="11296" priority="9030" operator="equal">
      <formula>"PTO"</formula>
    </cfRule>
  </conditionalFormatting>
  <conditionalFormatting sqref="O19">
    <cfRule type="cellIs" dxfId="11295" priority="9027" operator="equal">
      <formula>"OFF"</formula>
    </cfRule>
    <cfRule type="cellIs" dxfId="11294" priority="9028" operator="equal">
      <formula>"PTO"</formula>
    </cfRule>
  </conditionalFormatting>
  <conditionalFormatting sqref="O19">
    <cfRule type="cellIs" dxfId="11293" priority="9025" operator="equal">
      <formula>"OFF"</formula>
    </cfRule>
    <cfRule type="cellIs" dxfId="11292" priority="9026" operator="equal">
      <formula>"PTO"</formula>
    </cfRule>
  </conditionalFormatting>
  <conditionalFormatting sqref="O19">
    <cfRule type="cellIs" dxfId="11291" priority="9023" operator="equal">
      <formula>"OFF"</formula>
    </cfRule>
    <cfRule type="cellIs" dxfId="11290" priority="9024" operator="equal">
      <formula>"PTO"</formula>
    </cfRule>
  </conditionalFormatting>
  <conditionalFormatting sqref="O19">
    <cfRule type="cellIs" dxfId="11289" priority="9021" operator="equal">
      <formula>"OFF"</formula>
    </cfRule>
    <cfRule type="cellIs" dxfId="11288" priority="9022" operator="equal">
      <formula>"PTO"</formula>
    </cfRule>
  </conditionalFormatting>
  <conditionalFormatting sqref="O19">
    <cfRule type="cellIs" dxfId="11287" priority="9019" operator="equal">
      <formula>"OFF"</formula>
    </cfRule>
    <cfRule type="cellIs" dxfId="11286" priority="9020" operator="equal">
      <formula>"PTO"</formula>
    </cfRule>
  </conditionalFormatting>
  <conditionalFormatting sqref="O19">
    <cfRule type="cellIs" dxfId="11285" priority="9017" operator="equal">
      <formula>"OFF"</formula>
    </cfRule>
    <cfRule type="cellIs" dxfId="11284" priority="9018" operator="equal">
      <formula>"PTO"</formula>
    </cfRule>
  </conditionalFormatting>
  <conditionalFormatting sqref="O19">
    <cfRule type="cellIs" dxfId="11283" priority="9015" operator="equal">
      <formula>"OFF"</formula>
    </cfRule>
    <cfRule type="cellIs" dxfId="11282" priority="9016" operator="equal">
      <formula>"PTO"</formula>
    </cfRule>
  </conditionalFormatting>
  <conditionalFormatting sqref="L19">
    <cfRule type="cellIs" dxfId="11281" priority="9013" operator="equal">
      <formula>"OFF"</formula>
    </cfRule>
    <cfRule type="cellIs" dxfId="11280" priority="9014" operator="equal">
      <formula>"PTO"</formula>
    </cfRule>
  </conditionalFormatting>
  <conditionalFormatting sqref="L19">
    <cfRule type="cellIs" dxfId="11279" priority="9011" operator="equal">
      <formula>"OFF"</formula>
    </cfRule>
    <cfRule type="cellIs" dxfId="11278" priority="9012" operator="equal">
      <formula>"PTO"</formula>
    </cfRule>
  </conditionalFormatting>
  <conditionalFormatting sqref="L19">
    <cfRule type="cellIs" dxfId="11277" priority="9009" operator="equal">
      <formula>"OFF"</formula>
    </cfRule>
    <cfRule type="cellIs" dxfId="11276" priority="9010" operator="equal">
      <formula>"PTO"</formula>
    </cfRule>
  </conditionalFormatting>
  <conditionalFormatting sqref="L19">
    <cfRule type="cellIs" dxfId="11275" priority="9007" operator="equal">
      <formula>"OFF"</formula>
    </cfRule>
    <cfRule type="cellIs" dxfId="11274" priority="9008" operator="equal">
      <formula>"PTO"</formula>
    </cfRule>
  </conditionalFormatting>
  <conditionalFormatting sqref="P19:P28 P30:P32">
    <cfRule type="cellIs" dxfId="11273" priority="8673" operator="equal">
      <formula>"OFF"</formula>
    </cfRule>
    <cfRule type="cellIs" dxfId="11272" priority="8674" operator="equal">
      <formula>"PTO"</formula>
    </cfRule>
  </conditionalFormatting>
  <conditionalFormatting sqref="P19:P28 P30:P32">
    <cfRule type="cellIs" dxfId="11271" priority="8671" operator="equal">
      <formula>"OFF"</formula>
    </cfRule>
    <cfRule type="cellIs" dxfId="11270" priority="8672" operator="equal">
      <formula>"PTO"</formula>
    </cfRule>
  </conditionalFormatting>
  <conditionalFormatting sqref="P19:P28 P30:P32">
    <cfRule type="cellIs" dxfId="11269" priority="8669" operator="equal">
      <formula>"OFF"</formula>
    </cfRule>
    <cfRule type="cellIs" dxfId="11268" priority="8670" operator="equal">
      <formula>"PTO"</formula>
    </cfRule>
  </conditionalFormatting>
  <conditionalFormatting sqref="P19:P28 P30:P32">
    <cfRule type="cellIs" dxfId="11267" priority="8667" operator="equal">
      <formula>"OFF"</formula>
    </cfRule>
    <cfRule type="cellIs" dxfId="11266" priority="8668" operator="equal">
      <formula>"PTO"</formula>
    </cfRule>
  </conditionalFormatting>
  <conditionalFormatting sqref="P19:P28 P30:P32">
    <cfRule type="cellIs" dxfId="11265" priority="8665" operator="equal">
      <formula>"OFF"</formula>
    </cfRule>
    <cfRule type="cellIs" dxfId="11264" priority="8666" operator="equal">
      <formula>"PTO"</formula>
    </cfRule>
  </conditionalFormatting>
  <conditionalFormatting sqref="J30:O32 J14:O28">
    <cfRule type="cellIs" dxfId="11263" priority="8661" operator="equal">
      <formula>"OFF"</formula>
    </cfRule>
    <cfRule type="cellIs" dxfId="11262" priority="8662" operator="equal">
      <formula>"PTO"</formula>
    </cfRule>
  </conditionalFormatting>
  <conditionalFormatting sqref="J30:P32 J14:P28">
    <cfRule type="cellIs" dxfId="11261" priority="8655" operator="equal">
      <formula>"OFF"</formula>
    </cfRule>
    <cfRule type="cellIs" dxfId="11260" priority="8656" operator="equal">
      <formula>"PTO"</formula>
    </cfRule>
  </conditionalFormatting>
  <conditionalFormatting sqref="J30:P32 J14:P28">
    <cfRule type="cellIs" dxfId="11259" priority="8639" operator="equal">
      <formula>"OFF"</formula>
    </cfRule>
    <cfRule type="cellIs" dxfId="11258" priority="8640" operator="equal">
      <formula>"PTO"</formula>
    </cfRule>
  </conditionalFormatting>
  <conditionalFormatting sqref="J30:P32 J14:P28">
    <cfRule type="cellIs" dxfId="11257" priority="8607" operator="equal">
      <formula>"OFF"</formula>
    </cfRule>
    <cfRule type="cellIs" dxfId="11256" priority="8608" operator="equal">
      <formula>"PTO"</formula>
    </cfRule>
  </conditionalFormatting>
  <conditionalFormatting sqref="J30:P32 J14:P28">
    <cfRule type="cellIs" dxfId="11255" priority="8605" operator="equal">
      <formula>"OFF"</formula>
    </cfRule>
    <cfRule type="cellIs" dxfId="11254" priority="8606" operator="equal">
      <formula>"PTO"</formula>
    </cfRule>
  </conditionalFormatting>
  <conditionalFormatting sqref="L19">
    <cfRule type="cellIs" dxfId="11253" priority="9005" operator="equal">
      <formula>"OFF"</formula>
    </cfRule>
    <cfRule type="cellIs" dxfId="11252" priority="9006" operator="equal">
      <formula>"PTO"</formula>
    </cfRule>
  </conditionalFormatting>
  <conditionalFormatting sqref="L19">
    <cfRule type="cellIs" dxfId="11251" priority="9003" operator="equal">
      <formula>"OFF"</formula>
    </cfRule>
    <cfRule type="cellIs" dxfId="11250" priority="9004" operator="equal">
      <formula>"PTO"</formula>
    </cfRule>
  </conditionalFormatting>
  <conditionalFormatting sqref="L19">
    <cfRule type="cellIs" dxfId="11249" priority="9001" operator="equal">
      <formula>"OFF"</formula>
    </cfRule>
    <cfRule type="cellIs" dxfId="11248" priority="9002" operator="equal">
      <formula>"PTO"</formula>
    </cfRule>
  </conditionalFormatting>
  <conditionalFormatting sqref="L19">
    <cfRule type="cellIs" dxfId="11247" priority="8999" operator="equal">
      <formula>"OFF"</formula>
    </cfRule>
    <cfRule type="cellIs" dxfId="11246" priority="9000" operator="equal">
      <formula>"PTO"</formula>
    </cfRule>
  </conditionalFormatting>
  <conditionalFormatting sqref="L19">
    <cfRule type="cellIs" dxfId="11245" priority="8997" operator="equal">
      <formula>"OFF"</formula>
    </cfRule>
    <cfRule type="cellIs" dxfId="11244" priority="8998" operator="equal">
      <formula>"PTO"</formula>
    </cfRule>
  </conditionalFormatting>
  <conditionalFormatting sqref="L19">
    <cfRule type="cellIs" dxfId="11243" priority="8995" operator="equal">
      <formula>"OFF"</formula>
    </cfRule>
    <cfRule type="cellIs" dxfId="11242" priority="8996" operator="equal">
      <formula>"PTO"</formula>
    </cfRule>
  </conditionalFormatting>
  <conditionalFormatting sqref="L19">
    <cfRule type="cellIs" dxfId="11241" priority="8993" operator="equal">
      <formula>"OFF"</formula>
    </cfRule>
    <cfRule type="cellIs" dxfId="11240" priority="8994" operator="equal">
      <formula>"PTO"</formula>
    </cfRule>
  </conditionalFormatting>
  <conditionalFormatting sqref="L19">
    <cfRule type="cellIs" dxfId="11239" priority="8991" operator="equal">
      <formula>"OFF"</formula>
    </cfRule>
    <cfRule type="cellIs" dxfId="11238" priority="8992" operator="equal">
      <formula>"PTO"</formula>
    </cfRule>
  </conditionalFormatting>
  <conditionalFormatting sqref="L19">
    <cfRule type="cellIs" dxfId="11237" priority="8989" operator="equal">
      <formula>"OFF"</formula>
    </cfRule>
    <cfRule type="cellIs" dxfId="11236" priority="8990" operator="equal">
      <formula>"PTO"</formula>
    </cfRule>
  </conditionalFormatting>
  <conditionalFormatting sqref="L19">
    <cfRule type="cellIs" dxfId="11235" priority="8987" operator="equal">
      <formula>"OFF"</formula>
    </cfRule>
    <cfRule type="cellIs" dxfId="11234" priority="8988" operator="equal">
      <formula>"PTO"</formula>
    </cfRule>
  </conditionalFormatting>
  <conditionalFormatting sqref="L19">
    <cfRule type="cellIs" dxfId="11233" priority="8985" operator="equal">
      <formula>"OFF"</formula>
    </cfRule>
    <cfRule type="cellIs" dxfId="11232" priority="8986" operator="equal">
      <formula>"PTO"</formula>
    </cfRule>
  </conditionalFormatting>
  <conditionalFormatting sqref="L19">
    <cfRule type="cellIs" dxfId="11231" priority="8983" operator="equal">
      <formula>"OFF"</formula>
    </cfRule>
    <cfRule type="cellIs" dxfId="11230" priority="8984" operator="equal">
      <formula>"PTO"</formula>
    </cfRule>
  </conditionalFormatting>
  <conditionalFormatting sqref="O19">
    <cfRule type="cellIs" dxfId="11229" priority="8981" operator="equal">
      <formula>"OFF"</formula>
    </cfRule>
    <cfRule type="cellIs" dxfId="11228" priority="8982" operator="equal">
      <formula>"PTO"</formula>
    </cfRule>
  </conditionalFormatting>
  <conditionalFormatting sqref="O19">
    <cfRule type="cellIs" dxfId="11227" priority="8979" operator="equal">
      <formula>"OFF"</formula>
    </cfRule>
    <cfRule type="cellIs" dxfId="11226" priority="8980" operator="equal">
      <formula>"PTO"</formula>
    </cfRule>
  </conditionalFormatting>
  <conditionalFormatting sqref="O19">
    <cfRule type="cellIs" dxfId="11225" priority="8977" operator="equal">
      <formula>"OFF"</formula>
    </cfRule>
    <cfRule type="cellIs" dxfId="11224" priority="8978" operator="equal">
      <formula>"PTO"</formula>
    </cfRule>
  </conditionalFormatting>
  <conditionalFormatting sqref="O19">
    <cfRule type="cellIs" dxfId="11223" priority="8975" operator="equal">
      <formula>"OFF"</formula>
    </cfRule>
    <cfRule type="cellIs" dxfId="11222" priority="8976" operator="equal">
      <formula>"PTO"</formula>
    </cfRule>
  </conditionalFormatting>
  <conditionalFormatting sqref="O19">
    <cfRule type="cellIs" dxfId="11221" priority="8973" operator="equal">
      <formula>"OFF"</formula>
    </cfRule>
    <cfRule type="cellIs" dxfId="11220" priority="8974" operator="equal">
      <formula>"PTO"</formula>
    </cfRule>
  </conditionalFormatting>
  <conditionalFormatting sqref="O19">
    <cfRule type="cellIs" dxfId="11219" priority="8971" operator="equal">
      <formula>"OFF"</formula>
    </cfRule>
    <cfRule type="cellIs" dxfId="11218" priority="8972" operator="equal">
      <formula>"PTO"</formula>
    </cfRule>
  </conditionalFormatting>
  <conditionalFormatting sqref="O19">
    <cfRule type="cellIs" dxfId="11217" priority="8969" operator="equal">
      <formula>"OFF"</formula>
    </cfRule>
    <cfRule type="cellIs" dxfId="11216" priority="8970" operator="equal">
      <formula>"PTO"</formula>
    </cfRule>
  </conditionalFormatting>
  <conditionalFormatting sqref="O19">
    <cfRule type="cellIs" dxfId="11215" priority="8967" operator="equal">
      <formula>"OFF"</formula>
    </cfRule>
    <cfRule type="cellIs" dxfId="11214" priority="8968" operator="equal">
      <formula>"PTO"</formula>
    </cfRule>
  </conditionalFormatting>
  <conditionalFormatting sqref="O19">
    <cfRule type="cellIs" dxfId="11213" priority="8965" operator="equal">
      <formula>"OFF"</formula>
    </cfRule>
    <cfRule type="cellIs" dxfId="11212" priority="8966" operator="equal">
      <formula>"PTO"</formula>
    </cfRule>
  </conditionalFormatting>
  <conditionalFormatting sqref="O19">
    <cfRule type="cellIs" dxfId="11211" priority="8963" operator="equal">
      <formula>"OFF"</formula>
    </cfRule>
    <cfRule type="cellIs" dxfId="11210" priority="8964" operator="equal">
      <formula>"PTO"</formula>
    </cfRule>
  </conditionalFormatting>
  <conditionalFormatting sqref="O19">
    <cfRule type="cellIs" dxfId="11209" priority="8961" operator="equal">
      <formula>"OFF"</formula>
    </cfRule>
    <cfRule type="cellIs" dxfId="11208" priority="8962" operator="equal">
      <formula>"PTO"</formula>
    </cfRule>
  </conditionalFormatting>
  <conditionalFormatting sqref="O19">
    <cfRule type="cellIs" dxfId="11207" priority="8959" operator="equal">
      <formula>"OFF"</formula>
    </cfRule>
    <cfRule type="cellIs" dxfId="11206" priority="8960" operator="equal">
      <formula>"PTO"</formula>
    </cfRule>
  </conditionalFormatting>
  <conditionalFormatting sqref="O19">
    <cfRule type="cellIs" dxfId="11205" priority="8957" operator="equal">
      <formula>"OFF"</formula>
    </cfRule>
    <cfRule type="cellIs" dxfId="11204" priority="8958" operator="equal">
      <formula>"PTO"</formula>
    </cfRule>
  </conditionalFormatting>
  <conditionalFormatting sqref="O19">
    <cfRule type="cellIs" dxfId="11203" priority="8955" operator="equal">
      <formula>"OFF"</formula>
    </cfRule>
    <cfRule type="cellIs" dxfId="11202" priority="8956" operator="equal">
      <formula>"PTO"</formula>
    </cfRule>
  </conditionalFormatting>
  <conditionalFormatting sqref="O19">
    <cfRule type="cellIs" dxfId="11201" priority="8953" operator="equal">
      <formula>"OFF"</formula>
    </cfRule>
    <cfRule type="cellIs" dxfId="11200" priority="8954" operator="equal">
      <formula>"PTO"</formula>
    </cfRule>
  </conditionalFormatting>
  <conditionalFormatting sqref="O19">
    <cfRule type="cellIs" dxfId="11199" priority="8951" operator="equal">
      <formula>"OFF"</formula>
    </cfRule>
    <cfRule type="cellIs" dxfId="11198" priority="8952" operator="equal">
      <formula>"PTO"</formula>
    </cfRule>
  </conditionalFormatting>
  <conditionalFormatting sqref="J18:P28 J30:P32">
    <cfRule type="cellIs" dxfId="11197" priority="8949" operator="equal">
      <formula>"OFF"</formula>
    </cfRule>
    <cfRule type="cellIs" dxfId="11196" priority="8950" operator="equal">
      <formula>"PTO"</formula>
    </cfRule>
  </conditionalFormatting>
  <conditionalFormatting sqref="J18:P28 J30:P32">
    <cfRule type="cellIs" dxfId="11195" priority="8947" operator="equal">
      <formula>"OFF"</formula>
    </cfRule>
    <cfRule type="cellIs" dxfId="11194" priority="8948" operator="equal">
      <formula>"PTO"</formula>
    </cfRule>
  </conditionalFormatting>
  <conditionalFormatting sqref="J18:P28 J30:P32">
    <cfRule type="cellIs" dxfId="11193" priority="8945" operator="equal">
      <formula>"OFF"</formula>
    </cfRule>
    <cfRule type="cellIs" dxfId="11192" priority="8946" operator="equal">
      <formula>"PTO"</formula>
    </cfRule>
  </conditionalFormatting>
  <conditionalFormatting sqref="J18:P28 J30:P32">
    <cfRule type="cellIs" dxfId="11191" priority="8943" operator="equal">
      <formula>"OFF"</formula>
    </cfRule>
    <cfRule type="cellIs" dxfId="11190" priority="8944" operator="equal">
      <formula>"PTO"</formula>
    </cfRule>
  </conditionalFormatting>
  <conditionalFormatting sqref="J18:P28 J30:P32">
    <cfRule type="cellIs" dxfId="11189" priority="8941" operator="equal">
      <formula>"OFF"</formula>
    </cfRule>
    <cfRule type="cellIs" dxfId="11188" priority="8942" operator="equal">
      <formula>"PTO"</formula>
    </cfRule>
  </conditionalFormatting>
  <conditionalFormatting sqref="J18:P28 J30:P32">
    <cfRule type="cellIs" dxfId="11187" priority="8939" operator="equal">
      <formula>"OFF"</formula>
    </cfRule>
    <cfRule type="cellIs" dxfId="11186" priority="8940" operator="equal">
      <formula>"PTO"</formula>
    </cfRule>
  </conditionalFormatting>
  <conditionalFormatting sqref="J18:P28 J30:P32">
    <cfRule type="cellIs" dxfId="11185" priority="8937" operator="equal">
      <formula>"OFF"</formula>
    </cfRule>
    <cfRule type="cellIs" dxfId="11184" priority="8938" operator="equal">
      <formula>"PTO"</formula>
    </cfRule>
  </conditionalFormatting>
  <conditionalFormatting sqref="J18:P28 J30:P32">
    <cfRule type="cellIs" dxfId="11183" priority="8935" operator="equal">
      <formula>"OFF"</formula>
    </cfRule>
    <cfRule type="cellIs" dxfId="11182" priority="8936" operator="equal">
      <formula>"PTO"</formula>
    </cfRule>
  </conditionalFormatting>
  <conditionalFormatting sqref="J18:P28 J30:P32">
    <cfRule type="cellIs" dxfId="11181" priority="8933" operator="equal">
      <formula>"OFF"</formula>
    </cfRule>
    <cfRule type="cellIs" dxfId="11180" priority="8934" operator="equal">
      <formula>"PTO"</formula>
    </cfRule>
  </conditionalFormatting>
  <conditionalFormatting sqref="J18:P28 J30:P32">
    <cfRule type="cellIs" dxfId="11179" priority="8931" operator="equal">
      <formula>"OFF"</formula>
    </cfRule>
    <cfRule type="cellIs" dxfId="11178" priority="8932" operator="equal">
      <formula>"PTO"</formula>
    </cfRule>
  </conditionalFormatting>
  <conditionalFormatting sqref="J18:P28 J30:P32">
    <cfRule type="cellIs" dxfId="11177" priority="8929" operator="equal">
      <formula>"OFF"</formula>
    </cfRule>
    <cfRule type="cellIs" dxfId="11176" priority="8930" operator="equal">
      <formula>"PTO"</formula>
    </cfRule>
  </conditionalFormatting>
  <conditionalFormatting sqref="J18:P28 J30:P32">
    <cfRule type="cellIs" dxfId="11175" priority="8927" operator="equal">
      <formula>"OFF"</formula>
    </cfRule>
    <cfRule type="cellIs" dxfId="11174" priority="8928" operator="equal">
      <formula>"PTO"</formula>
    </cfRule>
  </conditionalFormatting>
  <conditionalFormatting sqref="J18:P28 J30:P32">
    <cfRule type="cellIs" dxfId="11173" priority="8925" operator="equal">
      <formula>"OFF"</formula>
    </cfRule>
    <cfRule type="cellIs" dxfId="11172" priority="8926" operator="equal">
      <formula>"PTO"</formula>
    </cfRule>
  </conditionalFormatting>
  <conditionalFormatting sqref="L18:O28 L30:O32">
    <cfRule type="cellIs" dxfId="11171" priority="8923" operator="equal">
      <formula>"OFF"</formula>
    </cfRule>
    <cfRule type="cellIs" dxfId="11170" priority="8924" operator="equal">
      <formula>"PTO"</formula>
    </cfRule>
  </conditionalFormatting>
  <conditionalFormatting sqref="J18:P28 J30:P32">
    <cfRule type="cellIs" dxfId="11169" priority="8921" operator="equal">
      <formula>"OFF"</formula>
    </cfRule>
    <cfRule type="cellIs" dxfId="11168" priority="8922" operator="equal">
      <formula>"PTO"</formula>
    </cfRule>
  </conditionalFormatting>
  <conditionalFormatting sqref="L18:O28 L30:O32">
    <cfRule type="cellIs" dxfId="11167" priority="8919" operator="equal">
      <formula>"OFF"</formula>
    </cfRule>
    <cfRule type="cellIs" dxfId="11166" priority="8920" operator="equal">
      <formula>"PTO"</formula>
    </cfRule>
  </conditionalFormatting>
  <conditionalFormatting sqref="O18:P28 O30:P32">
    <cfRule type="cellIs" dxfId="11165" priority="8917" operator="equal">
      <formula>"OFF"</formula>
    </cfRule>
    <cfRule type="cellIs" dxfId="11164" priority="8918" operator="equal">
      <formula>"PTO"</formula>
    </cfRule>
  </conditionalFormatting>
  <conditionalFormatting sqref="L18:O28 L30:O32">
    <cfRule type="cellIs" dxfId="11163" priority="8915" operator="equal">
      <formula>"OFF"</formula>
    </cfRule>
    <cfRule type="cellIs" dxfId="11162" priority="8916" operator="equal">
      <formula>"PTO"</formula>
    </cfRule>
  </conditionalFormatting>
  <conditionalFormatting sqref="O18:P28 O30:P32">
    <cfRule type="cellIs" dxfId="11161" priority="8913" operator="equal">
      <formula>"OFF"</formula>
    </cfRule>
    <cfRule type="cellIs" dxfId="11160" priority="8914" operator="equal">
      <formula>"PTO"</formula>
    </cfRule>
  </conditionalFormatting>
  <conditionalFormatting sqref="L18:O28 L30:O32">
    <cfRule type="cellIs" dxfId="11159" priority="8911" operator="equal">
      <formula>"OFF"</formula>
    </cfRule>
    <cfRule type="cellIs" dxfId="11158" priority="8912" operator="equal">
      <formula>"PTO"</formula>
    </cfRule>
  </conditionalFormatting>
  <conditionalFormatting sqref="O18:P28 O30:P32">
    <cfRule type="cellIs" dxfId="11157" priority="8909" operator="equal">
      <formula>"OFF"</formula>
    </cfRule>
    <cfRule type="cellIs" dxfId="11156" priority="8910" operator="equal">
      <formula>"PTO"</formula>
    </cfRule>
  </conditionalFormatting>
  <conditionalFormatting sqref="L18:O28 L30:O32">
    <cfRule type="cellIs" dxfId="11155" priority="8907" operator="equal">
      <formula>"OFF"</formula>
    </cfRule>
    <cfRule type="cellIs" dxfId="11154" priority="8908" operator="equal">
      <formula>"PTO"</formula>
    </cfRule>
  </conditionalFormatting>
  <conditionalFormatting sqref="O18:P28 O30:P32">
    <cfRule type="cellIs" dxfId="11153" priority="8905" operator="equal">
      <formula>"OFF"</formula>
    </cfRule>
    <cfRule type="cellIs" dxfId="11152" priority="8906" operator="equal">
      <formula>"PTO"</formula>
    </cfRule>
  </conditionalFormatting>
  <conditionalFormatting sqref="L18:O28 L30:O32">
    <cfRule type="cellIs" dxfId="11151" priority="8903" operator="equal">
      <formula>"OFF"</formula>
    </cfRule>
    <cfRule type="cellIs" dxfId="11150" priority="8904" operator="equal">
      <formula>"PTO"</formula>
    </cfRule>
  </conditionalFormatting>
  <conditionalFormatting sqref="O18:P28 O30:P32">
    <cfRule type="cellIs" dxfId="11149" priority="8901" operator="equal">
      <formula>"OFF"</formula>
    </cfRule>
    <cfRule type="cellIs" dxfId="11148" priority="8902" operator="equal">
      <formula>"PTO"</formula>
    </cfRule>
  </conditionalFormatting>
  <conditionalFormatting sqref="L18:O28 L30:O32">
    <cfRule type="cellIs" dxfId="11147" priority="8899" operator="equal">
      <formula>"OFF"</formula>
    </cfRule>
    <cfRule type="cellIs" dxfId="11146" priority="8900" operator="equal">
      <formula>"PTO"</formula>
    </cfRule>
  </conditionalFormatting>
  <conditionalFormatting sqref="O18:P28 O30:P32">
    <cfRule type="cellIs" dxfId="11145" priority="8897" operator="equal">
      <formula>"OFF"</formula>
    </cfRule>
    <cfRule type="cellIs" dxfId="11144" priority="8898" operator="equal">
      <formula>"PTO"</formula>
    </cfRule>
  </conditionalFormatting>
  <conditionalFormatting sqref="J25:J28 J30:J32">
    <cfRule type="cellIs" dxfId="11143" priority="8895" operator="equal">
      <formula>"OFF"</formula>
    </cfRule>
    <cfRule type="cellIs" dxfId="11142" priority="8896" operator="equal">
      <formula>"PTO"</formula>
    </cfRule>
  </conditionalFormatting>
  <conditionalFormatting sqref="J19:O28 J30:O32">
    <cfRule type="cellIs" dxfId="11141" priority="8893" operator="equal">
      <formula>"OFF"</formula>
    </cfRule>
    <cfRule type="cellIs" dxfId="11140" priority="8894" operator="equal">
      <formula>"PTO"</formula>
    </cfRule>
  </conditionalFormatting>
  <conditionalFormatting sqref="J21">
    <cfRule type="cellIs" dxfId="11139" priority="8891" operator="equal">
      <formula>"OFF"</formula>
    </cfRule>
    <cfRule type="cellIs" dxfId="11138" priority="8892" operator="equal">
      <formula>"PTO"</formula>
    </cfRule>
  </conditionalFormatting>
  <conditionalFormatting sqref="J21">
    <cfRule type="cellIs" dxfId="11137" priority="8889" operator="equal">
      <formula>"OFF"</formula>
    </cfRule>
    <cfRule type="cellIs" dxfId="11136" priority="8890" operator="equal">
      <formula>"PTO"</formula>
    </cfRule>
  </conditionalFormatting>
  <conditionalFormatting sqref="J21">
    <cfRule type="cellIs" dxfId="11135" priority="8887" operator="equal">
      <formula>"OFF"</formula>
    </cfRule>
    <cfRule type="cellIs" dxfId="11134" priority="8888" operator="equal">
      <formula>"PTO"</formula>
    </cfRule>
  </conditionalFormatting>
  <conditionalFormatting sqref="J21">
    <cfRule type="cellIs" dxfId="11133" priority="8885" operator="equal">
      <formula>"OFF"</formula>
    </cfRule>
    <cfRule type="cellIs" dxfId="11132" priority="8886" operator="equal">
      <formula>"PTO"</formula>
    </cfRule>
  </conditionalFormatting>
  <conditionalFormatting sqref="J23">
    <cfRule type="cellIs" dxfId="11131" priority="8883" operator="equal">
      <formula>"OFF"</formula>
    </cfRule>
    <cfRule type="cellIs" dxfId="11130" priority="8884" operator="equal">
      <formula>"PTO"</formula>
    </cfRule>
  </conditionalFormatting>
  <conditionalFormatting sqref="J19:O28 J30:O32">
    <cfRule type="cellIs" dxfId="11129" priority="8881" operator="equal">
      <formula>"OFF"</formula>
    </cfRule>
    <cfRule type="cellIs" dxfId="11128" priority="8882" operator="equal">
      <formula>"PTO"</formula>
    </cfRule>
  </conditionalFormatting>
  <conditionalFormatting sqref="J21">
    <cfRule type="cellIs" dxfId="11127" priority="8879" operator="equal">
      <formula>"OFF"</formula>
    </cfRule>
    <cfRule type="cellIs" dxfId="11126" priority="8880" operator="equal">
      <formula>"PTO"</formula>
    </cfRule>
  </conditionalFormatting>
  <conditionalFormatting sqref="J21">
    <cfRule type="cellIs" dxfId="11125" priority="8877" operator="equal">
      <formula>"OFF"</formula>
    </cfRule>
    <cfRule type="cellIs" dxfId="11124" priority="8878" operator="equal">
      <formula>"PTO"</formula>
    </cfRule>
  </conditionalFormatting>
  <conditionalFormatting sqref="J21">
    <cfRule type="cellIs" dxfId="11123" priority="8875" operator="equal">
      <formula>"OFF"</formula>
    </cfRule>
    <cfRule type="cellIs" dxfId="11122" priority="8876" operator="equal">
      <formula>"PTO"</formula>
    </cfRule>
  </conditionalFormatting>
  <conditionalFormatting sqref="J21">
    <cfRule type="cellIs" dxfId="11121" priority="8873" operator="equal">
      <formula>"OFF"</formula>
    </cfRule>
    <cfRule type="cellIs" dxfId="11120" priority="8874" operator="equal">
      <formula>"PTO"</formula>
    </cfRule>
  </conditionalFormatting>
  <conditionalFormatting sqref="J23">
    <cfRule type="cellIs" dxfId="11119" priority="8871" operator="equal">
      <formula>"OFF"</formula>
    </cfRule>
    <cfRule type="cellIs" dxfId="11118" priority="8872" operator="equal">
      <formula>"PTO"</formula>
    </cfRule>
  </conditionalFormatting>
  <conditionalFormatting sqref="J19:J28 J30:J32">
    <cfRule type="cellIs" dxfId="11117" priority="8869" operator="equal">
      <formula>"OFF"</formula>
    </cfRule>
    <cfRule type="cellIs" dxfId="11116" priority="8870" operator="equal">
      <formula>"PTO"</formula>
    </cfRule>
  </conditionalFormatting>
  <conditionalFormatting sqref="J19:J28 J30:J32">
    <cfRule type="cellIs" dxfId="11115" priority="8867" operator="equal">
      <formula>"OFF"</formula>
    </cfRule>
    <cfRule type="cellIs" dxfId="11114" priority="8868" operator="equal">
      <formula>"PTO"</formula>
    </cfRule>
  </conditionalFormatting>
  <conditionalFormatting sqref="J19:J28 J30:J32">
    <cfRule type="cellIs" dxfId="11113" priority="8865" operator="equal">
      <formula>"OFF"</formula>
    </cfRule>
    <cfRule type="cellIs" dxfId="11112" priority="8866" operator="equal">
      <formula>"PTO"</formula>
    </cfRule>
  </conditionalFormatting>
  <conditionalFormatting sqref="J19:J28 J30:J32">
    <cfRule type="cellIs" dxfId="11111" priority="8863" operator="equal">
      <formula>"OFF"</formula>
    </cfRule>
    <cfRule type="cellIs" dxfId="11110" priority="8864" operator="equal">
      <formula>"PTO"</formula>
    </cfRule>
  </conditionalFormatting>
  <conditionalFormatting sqref="K19:O28 K30:O32">
    <cfRule type="cellIs" dxfId="11109" priority="8861" operator="equal">
      <formula>"OFF"</formula>
    </cfRule>
    <cfRule type="cellIs" dxfId="11108" priority="8862" operator="equal">
      <formula>"PTO"</formula>
    </cfRule>
  </conditionalFormatting>
  <conditionalFormatting sqref="K19:O28 K30:O32">
    <cfRule type="cellIs" dxfId="11107" priority="8859" operator="equal">
      <formula>"OFF"</formula>
    </cfRule>
    <cfRule type="cellIs" dxfId="11106" priority="8860" operator="equal">
      <formula>"PTO"</formula>
    </cfRule>
  </conditionalFormatting>
  <conditionalFormatting sqref="K19:O28 K30:O32">
    <cfRule type="cellIs" dxfId="11105" priority="8857" operator="equal">
      <formula>"OFF"</formula>
    </cfRule>
    <cfRule type="cellIs" dxfId="11104" priority="8858" operator="equal">
      <formula>"PTO"</formula>
    </cfRule>
  </conditionalFormatting>
  <conditionalFormatting sqref="K19:O28 K30:O32">
    <cfRule type="cellIs" dxfId="11103" priority="8855" operator="equal">
      <formula>"OFF"</formula>
    </cfRule>
    <cfRule type="cellIs" dxfId="11102" priority="8856" operator="equal">
      <formula>"PTO"</formula>
    </cfRule>
  </conditionalFormatting>
  <conditionalFormatting sqref="J22">
    <cfRule type="cellIs" dxfId="11101" priority="8853" operator="equal">
      <formula>"OFF"</formula>
    </cfRule>
    <cfRule type="cellIs" dxfId="11100" priority="8854" operator="equal">
      <formula>"PTO"</formula>
    </cfRule>
  </conditionalFormatting>
  <conditionalFormatting sqref="J19:J28 J30:J32">
    <cfRule type="cellIs" dxfId="11099" priority="8851" operator="equal">
      <formula>"OFF"</formula>
    </cfRule>
    <cfRule type="cellIs" dxfId="11098" priority="8852" operator="equal">
      <formula>"PTO"</formula>
    </cfRule>
  </conditionalFormatting>
  <conditionalFormatting sqref="J19:J28 J30:J32">
    <cfRule type="cellIs" dxfId="11097" priority="8849" operator="equal">
      <formula>"OFF"</formula>
    </cfRule>
    <cfRule type="cellIs" dxfId="11096" priority="8850" operator="equal">
      <formula>"PTO"</formula>
    </cfRule>
  </conditionalFormatting>
  <conditionalFormatting sqref="J19:J28 J30:J32">
    <cfRule type="cellIs" dxfId="11095" priority="8847" operator="equal">
      <formula>"OFF"</formula>
    </cfRule>
    <cfRule type="cellIs" dxfId="11094" priority="8848" operator="equal">
      <formula>"PTO"</formula>
    </cfRule>
  </conditionalFormatting>
  <conditionalFormatting sqref="J19:J28 J30:J32">
    <cfRule type="cellIs" dxfId="11093" priority="8845" operator="equal">
      <formula>"OFF"</formula>
    </cfRule>
    <cfRule type="cellIs" dxfId="11092" priority="8846" operator="equal">
      <formula>"PTO"</formula>
    </cfRule>
  </conditionalFormatting>
  <conditionalFormatting sqref="K19:O28 K30:O32">
    <cfRule type="cellIs" dxfId="11091" priority="8843" operator="equal">
      <formula>"OFF"</formula>
    </cfRule>
    <cfRule type="cellIs" dxfId="11090" priority="8844" operator="equal">
      <formula>"PTO"</formula>
    </cfRule>
  </conditionalFormatting>
  <conditionalFormatting sqref="K19:O28 K30:O32">
    <cfRule type="cellIs" dxfId="11089" priority="8841" operator="equal">
      <formula>"OFF"</formula>
    </cfRule>
    <cfRule type="cellIs" dxfId="11088" priority="8842" operator="equal">
      <formula>"PTO"</formula>
    </cfRule>
  </conditionalFormatting>
  <conditionalFormatting sqref="K19:O28 K30:O32">
    <cfRule type="cellIs" dxfId="11087" priority="8839" operator="equal">
      <formula>"OFF"</formula>
    </cfRule>
    <cfRule type="cellIs" dxfId="11086" priority="8840" operator="equal">
      <formula>"PTO"</formula>
    </cfRule>
  </conditionalFormatting>
  <conditionalFormatting sqref="K19:O28 K30:O32">
    <cfRule type="cellIs" dxfId="11085" priority="8837" operator="equal">
      <formula>"OFF"</formula>
    </cfRule>
    <cfRule type="cellIs" dxfId="11084" priority="8838" operator="equal">
      <formula>"PTO"</formula>
    </cfRule>
  </conditionalFormatting>
  <conditionalFormatting sqref="J22">
    <cfRule type="cellIs" dxfId="11083" priority="8835" operator="equal">
      <formula>"OFF"</formula>
    </cfRule>
    <cfRule type="cellIs" dxfId="11082" priority="8836" operator="equal">
      <formula>"PTO"</formula>
    </cfRule>
  </conditionalFormatting>
  <conditionalFormatting sqref="J19:J28 J30:J32">
    <cfRule type="cellIs" dxfId="11081" priority="8833" operator="equal">
      <formula>"OFF"</formula>
    </cfRule>
    <cfRule type="cellIs" dxfId="11080" priority="8834" operator="equal">
      <formula>"PTO"</formula>
    </cfRule>
  </conditionalFormatting>
  <conditionalFormatting sqref="J19:J28 J30:J32">
    <cfRule type="cellIs" dxfId="11079" priority="8831" operator="equal">
      <formula>"OFF"</formula>
    </cfRule>
    <cfRule type="cellIs" dxfId="11078" priority="8832" operator="equal">
      <formula>"PTO"</formula>
    </cfRule>
  </conditionalFormatting>
  <conditionalFormatting sqref="J19:J28 J30:J32">
    <cfRule type="cellIs" dxfId="11077" priority="8829" operator="equal">
      <formula>"OFF"</formula>
    </cfRule>
    <cfRule type="cellIs" dxfId="11076" priority="8830" operator="equal">
      <formula>"PTO"</formula>
    </cfRule>
  </conditionalFormatting>
  <conditionalFormatting sqref="J19:J28 J30:J32">
    <cfRule type="cellIs" dxfId="11075" priority="8827" operator="equal">
      <formula>"OFF"</formula>
    </cfRule>
    <cfRule type="cellIs" dxfId="11074" priority="8828" operator="equal">
      <formula>"PTO"</formula>
    </cfRule>
  </conditionalFormatting>
  <conditionalFormatting sqref="K19:O28 K30:O32">
    <cfRule type="cellIs" dxfId="11073" priority="8825" operator="equal">
      <formula>"OFF"</formula>
    </cfRule>
    <cfRule type="cellIs" dxfId="11072" priority="8826" operator="equal">
      <formula>"PTO"</formula>
    </cfRule>
  </conditionalFormatting>
  <conditionalFormatting sqref="K19:O28 K30:O32">
    <cfRule type="cellIs" dxfId="11071" priority="8823" operator="equal">
      <formula>"OFF"</formula>
    </cfRule>
    <cfRule type="cellIs" dxfId="11070" priority="8824" operator="equal">
      <formula>"PTO"</formula>
    </cfRule>
  </conditionalFormatting>
  <conditionalFormatting sqref="K19:O28 K30:O32">
    <cfRule type="cellIs" dxfId="11069" priority="8821" operator="equal">
      <formula>"OFF"</formula>
    </cfRule>
    <cfRule type="cellIs" dxfId="11068" priority="8822" operator="equal">
      <formula>"PTO"</formula>
    </cfRule>
  </conditionalFormatting>
  <conditionalFormatting sqref="K19:O28 K30:O32">
    <cfRule type="cellIs" dxfId="11067" priority="8819" operator="equal">
      <formula>"OFF"</formula>
    </cfRule>
    <cfRule type="cellIs" dxfId="11066" priority="8820" operator="equal">
      <formula>"PTO"</formula>
    </cfRule>
  </conditionalFormatting>
  <conditionalFormatting sqref="J19:J28 J30:J32">
    <cfRule type="cellIs" dxfId="11065" priority="8817" operator="equal">
      <formula>"OFF"</formula>
    </cfRule>
    <cfRule type="cellIs" dxfId="11064" priority="8818" operator="equal">
      <formula>"PTO"</formula>
    </cfRule>
  </conditionalFormatting>
  <conditionalFormatting sqref="J19:J28 J30:J32">
    <cfRule type="cellIs" dxfId="11063" priority="8815" operator="equal">
      <formula>"OFF"</formula>
    </cfRule>
    <cfRule type="cellIs" dxfId="11062" priority="8816" operator="equal">
      <formula>"PTO"</formula>
    </cfRule>
  </conditionalFormatting>
  <conditionalFormatting sqref="J19:J28 J30:J32">
    <cfRule type="cellIs" dxfId="11061" priority="8813" operator="equal">
      <formula>"OFF"</formula>
    </cfRule>
    <cfRule type="cellIs" dxfId="11060" priority="8814" operator="equal">
      <formula>"PTO"</formula>
    </cfRule>
  </conditionalFormatting>
  <conditionalFormatting sqref="J19:J28 J30:J32">
    <cfRule type="cellIs" dxfId="11059" priority="8811" operator="equal">
      <formula>"OFF"</formula>
    </cfRule>
    <cfRule type="cellIs" dxfId="11058" priority="8812" operator="equal">
      <formula>"PTO"</formula>
    </cfRule>
  </conditionalFormatting>
  <conditionalFormatting sqref="K19:O28 K30:O32">
    <cfRule type="cellIs" dxfId="11057" priority="8809" operator="equal">
      <formula>"OFF"</formula>
    </cfRule>
    <cfRule type="cellIs" dxfId="11056" priority="8810" operator="equal">
      <formula>"PTO"</formula>
    </cfRule>
  </conditionalFormatting>
  <conditionalFormatting sqref="K19:O28 K30:O32">
    <cfRule type="cellIs" dxfId="11055" priority="8807" operator="equal">
      <formula>"OFF"</formula>
    </cfRule>
    <cfRule type="cellIs" dxfId="11054" priority="8808" operator="equal">
      <formula>"PTO"</formula>
    </cfRule>
  </conditionalFormatting>
  <conditionalFormatting sqref="K19:O28 K30:O32">
    <cfRule type="cellIs" dxfId="11053" priority="8805" operator="equal">
      <formula>"OFF"</formula>
    </cfRule>
    <cfRule type="cellIs" dxfId="11052" priority="8806" operator="equal">
      <formula>"PTO"</formula>
    </cfRule>
  </conditionalFormatting>
  <conditionalFormatting sqref="K19:O28 K30:O32">
    <cfRule type="cellIs" dxfId="11051" priority="8803" operator="equal">
      <formula>"OFF"</formula>
    </cfRule>
    <cfRule type="cellIs" dxfId="11050" priority="8804" operator="equal">
      <formula>"PTO"</formula>
    </cfRule>
  </conditionalFormatting>
  <conditionalFormatting sqref="J21">
    <cfRule type="cellIs" dxfId="11049" priority="8801" operator="equal">
      <formula>"OFF"</formula>
    </cfRule>
    <cfRule type="cellIs" dxfId="11048" priority="8802" operator="equal">
      <formula>"PTO"</formula>
    </cfRule>
  </conditionalFormatting>
  <conditionalFormatting sqref="J21">
    <cfRule type="cellIs" dxfId="11047" priority="8799" operator="equal">
      <formula>"OFF"</formula>
    </cfRule>
    <cfRule type="cellIs" dxfId="11046" priority="8800" operator="equal">
      <formula>"PTO"</formula>
    </cfRule>
  </conditionalFormatting>
  <conditionalFormatting sqref="J19:J28 J30:J32">
    <cfRule type="cellIs" dxfId="11045" priority="8797" operator="equal">
      <formula>"OFF"</formula>
    </cfRule>
    <cfRule type="cellIs" dxfId="11044" priority="8798" operator="equal">
      <formula>"PTO"</formula>
    </cfRule>
  </conditionalFormatting>
  <conditionalFormatting sqref="J19:J28 J30:J32">
    <cfRule type="cellIs" dxfId="11043" priority="8795" operator="equal">
      <formula>"OFF"</formula>
    </cfRule>
    <cfRule type="cellIs" dxfId="11042" priority="8796" operator="equal">
      <formula>"PTO"</formula>
    </cfRule>
  </conditionalFormatting>
  <conditionalFormatting sqref="J19:J28 J30:J32">
    <cfRule type="cellIs" dxfId="11041" priority="8793" operator="equal">
      <formula>"OFF"</formula>
    </cfRule>
    <cfRule type="cellIs" dxfId="11040" priority="8794" operator="equal">
      <formula>"PTO"</formula>
    </cfRule>
  </conditionalFormatting>
  <conditionalFormatting sqref="J19:J28 J30:J32">
    <cfRule type="cellIs" dxfId="11039" priority="8791" operator="equal">
      <formula>"OFF"</formula>
    </cfRule>
    <cfRule type="cellIs" dxfId="11038" priority="8792" operator="equal">
      <formula>"PTO"</formula>
    </cfRule>
  </conditionalFormatting>
  <conditionalFormatting sqref="J19:J28 J30:J32">
    <cfRule type="cellIs" dxfId="11037" priority="8789" operator="equal">
      <formula>"OFF"</formula>
    </cfRule>
    <cfRule type="cellIs" dxfId="11036" priority="8790" operator="equal">
      <formula>"PTO"</formula>
    </cfRule>
  </conditionalFormatting>
  <conditionalFormatting sqref="J19:J28 J30:J32">
    <cfRule type="cellIs" dxfId="11035" priority="8787" operator="equal">
      <formula>"OFF"</formula>
    </cfRule>
    <cfRule type="cellIs" dxfId="11034" priority="8788" operator="equal">
      <formula>"PTO"</formula>
    </cfRule>
  </conditionalFormatting>
  <conditionalFormatting sqref="J19:J28 J30:J32">
    <cfRule type="cellIs" dxfId="11033" priority="8785" operator="equal">
      <formula>"OFF"</formula>
    </cfRule>
    <cfRule type="cellIs" dxfId="11032" priority="8786" operator="equal">
      <formula>"PTO"</formula>
    </cfRule>
  </conditionalFormatting>
  <conditionalFormatting sqref="J19:J28 J30:J32">
    <cfRule type="cellIs" dxfId="11031" priority="8783" operator="equal">
      <formula>"OFF"</formula>
    </cfRule>
    <cfRule type="cellIs" dxfId="11030" priority="8784" operator="equal">
      <formula>"PTO"</formula>
    </cfRule>
  </conditionalFormatting>
  <conditionalFormatting sqref="J19:J28 J30:J32">
    <cfRule type="cellIs" dxfId="11029" priority="8781" operator="equal">
      <formula>"OFF"</formula>
    </cfRule>
    <cfRule type="cellIs" dxfId="11028" priority="8782" operator="equal">
      <formula>"PTO"</formula>
    </cfRule>
  </conditionalFormatting>
  <conditionalFormatting sqref="J19:J28 J30:J32">
    <cfRule type="cellIs" dxfId="11027" priority="8779" operator="equal">
      <formula>"OFF"</formula>
    </cfRule>
    <cfRule type="cellIs" dxfId="11026" priority="8780" operator="equal">
      <formula>"PTO"</formula>
    </cfRule>
  </conditionalFormatting>
  <conditionalFormatting sqref="J19:J28 J30:J32">
    <cfRule type="cellIs" dxfId="11025" priority="8777" operator="equal">
      <formula>"OFF"</formula>
    </cfRule>
    <cfRule type="cellIs" dxfId="11024" priority="8778" operator="equal">
      <formula>"PTO"</formula>
    </cfRule>
  </conditionalFormatting>
  <conditionalFormatting sqref="J19:J28 J30:J32">
    <cfRule type="cellIs" dxfId="11023" priority="8775" operator="equal">
      <formula>"OFF"</formula>
    </cfRule>
    <cfRule type="cellIs" dxfId="11022" priority="8776" operator="equal">
      <formula>"PTO"</formula>
    </cfRule>
  </conditionalFormatting>
  <conditionalFormatting sqref="J19:J28 J30:J32">
    <cfRule type="cellIs" dxfId="11021" priority="8773" operator="equal">
      <formula>"OFF"</formula>
    </cfRule>
    <cfRule type="cellIs" dxfId="11020" priority="8774" operator="equal">
      <formula>"PTO"</formula>
    </cfRule>
  </conditionalFormatting>
  <conditionalFormatting sqref="J19:J28 J30:J32">
    <cfRule type="cellIs" dxfId="11019" priority="8771" operator="equal">
      <formula>"OFF"</formula>
    </cfRule>
    <cfRule type="cellIs" dxfId="11018" priority="8772" operator="equal">
      <formula>"PTO"</formula>
    </cfRule>
  </conditionalFormatting>
  <conditionalFormatting sqref="J19:J28 J30:J32">
    <cfRule type="cellIs" dxfId="11017" priority="8769" operator="equal">
      <formula>"OFF"</formula>
    </cfRule>
    <cfRule type="cellIs" dxfId="11016" priority="8770" operator="equal">
      <formula>"PTO"</formula>
    </cfRule>
  </conditionalFormatting>
  <conditionalFormatting sqref="J19:J28 J30:J32">
    <cfRule type="cellIs" dxfId="11015" priority="8767" operator="equal">
      <formula>"OFF"</formula>
    </cfRule>
    <cfRule type="cellIs" dxfId="11014" priority="8768" operator="equal">
      <formula>"PTO"</formula>
    </cfRule>
  </conditionalFormatting>
  <conditionalFormatting sqref="J19:J28 J30:J32">
    <cfRule type="cellIs" dxfId="11013" priority="8765" operator="equal">
      <formula>"OFF"</formula>
    </cfRule>
    <cfRule type="cellIs" dxfId="11012" priority="8766" operator="equal">
      <formula>"PTO"</formula>
    </cfRule>
  </conditionalFormatting>
  <conditionalFormatting sqref="J19:J28 J30:J32">
    <cfRule type="cellIs" dxfId="11011" priority="8763" operator="equal">
      <formula>"OFF"</formula>
    </cfRule>
    <cfRule type="cellIs" dxfId="11010" priority="8764" operator="equal">
      <formula>"PTO"</formula>
    </cfRule>
  </conditionalFormatting>
  <conditionalFormatting sqref="J19:J28 J30:J32">
    <cfRule type="cellIs" dxfId="11009" priority="8761" operator="equal">
      <formula>"OFF"</formula>
    </cfRule>
    <cfRule type="cellIs" dxfId="11008" priority="8762" operator="equal">
      <formula>"PTO"</formula>
    </cfRule>
  </conditionalFormatting>
  <conditionalFormatting sqref="J19:J28 J30:J32">
    <cfRule type="cellIs" dxfId="11007" priority="8759" operator="equal">
      <formula>"OFF"</formula>
    </cfRule>
    <cfRule type="cellIs" dxfId="11006" priority="8760" operator="equal">
      <formula>"PTO"</formula>
    </cfRule>
  </conditionalFormatting>
  <conditionalFormatting sqref="J19:J28 J30:J32">
    <cfRule type="cellIs" dxfId="11005" priority="8757" operator="equal">
      <formula>"OFF"</formula>
    </cfRule>
    <cfRule type="cellIs" dxfId="11004" priority="8758" operator="equal">
      <formula>"PTO"</formula>
    </cfRule>
  </conditionalFormatting>
  <conditionalFormatting sqref="J19:J28 J30:J32">
    <cfRule type="cellIs" dxfId="11003" priority="8755" operator="equal">
      <formula>"OFF"</formula>
    </cfRule>
    <cfRule type="cellIs" dxfId="11002" priority="8756" operator="equal">
      <formula>"PTO"</formula>
    </cfRule>
  </conditionalFormatting>
  <conditionalFormatting sqref="J19:J28 J30:J32">
    <cfRule type="cellIs" dxfId="11001" priority="8753" operator="equal">
      <formula>"OFF"</formula>
    </cfRule>
    <cfRule type="cellIs" dxfId="11000" priority="8754" operator="equal">
      <formula>"PTO"</formula>
    </cfRule>
  </conditionalFormatting>
  <conditionalFormatting sqref="J19:J28 J30:J32">
    <cfRule type="cellIs" dxfId="10999" priority="8751" operator="equal">
      <formula>"OFF"</formula>
    </cfRule>
    <cfRule type="cellIs" dxfId="10998" priority="8752" operator="equal">
      <formula>"PTO"</formula>
    </cfRule>
  </conditionalFormatting>
  <conditionalFormatting sqref="J19:J28 J30:J32">
    <cfRule type="cellIs" dxfId="10997" priority="8749" operator="equal">
      <formula>"OFF"</formula>
    </cfRule>
    <cfRule type="cellIs" dxfId="10996" priority="8750" operator="equal">
      <formula>"PTO"</formula>
    </cfRule>
  </conditionalFormatting>
  <conditionalFormatting sqref="K19:O28 K30:O32">
    <cfRule type="cellIs" dxfId="10995" priority="8747" operator="equal">
      <formula>"OFF"</formula>
    </cfRule>
    <cfRule type="cellIs" dxfId="10994" priority="8748" operator="equal">
      <formula>"PTO"</formula>
    </cfRule>
  </conditionalFormatting>
  <conditionalFormatting sqref="K19:O28 K30:O32">
    <cfRule type="cellIs" dxfId="10993" priority="8745" operator="equal">
      <formula>"OFF"</formula>
    </cfRule>
    <cfRule type="cellIs" dxfId="10992" priority="8746" operator="equal">
      <formula>"PTO"</formula>
    </cfRule>
  </conditionalFormatting>
  <conditionalFormatting sqref="K19:O28 K30:O32">
    <cfRule type="cellIs" dxfId="10991" priority="8743" operator="equal">
      <formula>"OFF"</formula>
    </cfRule>
    <cfRule type="cellIs" dxfId="10990" priority="8744" operator="equal">
      <formula>"PTO"</formula>
    </cfRule>
  </conditionalFormatting>
  <conditionalFormatting sqref="K19:O28 K30:O32">
    <cfRule type="cellIs" dxfId="10989" priority="8741" operator="equal">
      <formula>"OFF"</formula>
    </cfRule>
    <cfRule type="cellIs" dxfId="10988" priority="8742" operator="equal">
      <formula>"PTO"</formula>
    </cfRule>
  </conditionalFormatting>
  <conditionalFormatting sqref="K19:O28 K30:O32">
    <cfRule type="cellIs" dxfId="10987" priority="8739" operator="equal">
      <formula>"OFF"</formula>
    </cfRule>
    <cfRule type="cellIs" dxfId="10986" priority="8740" operator="equal">
      <formula>"PTO"</formula>
    </cfRule>
  </conditionalFormatting>
  <conditionalFormatting sqref="K19:O28 K30:O32">
    <cfRule type="cellIs" dxfId="10985" priority="8737" operator="equal">
      <formula>"OFF"</formula>
    </cfRule>
    <cfRule type="cellIs" dxfId="10984" priority="8738" operator="equal">
      <formula>"PTO"</formula>
    </cfRule>
  </conditionalFormatting>
  <conditionalFormatting sqref="K19:O28 K30:O32">
    <cfRule type="cellIs" dxfId="10983" priority="8735" operator="equal">
      <formula>"OFF"</formula>
    </cfRule>
    <cfRule type="cellIs" dxfId="10982" priority="8736" operator="equal">
      <formula>"PTO"</formula>
    </cfRule>
  </conditionalFormatting>
  <conditionalFormatting sqref="K19:O28 K30:O32">
    <cfRule type="cellIs" dxfId="10981" priority="8733" operator="equal">
      <formula>"OFF"</formula>
    </cfRule>
    <cfRule type="cellIs" dxfId="10980" priority="8734" operator="equal">
      <formula>"PTO"</formula>
    </cfRule>
  </conditionalFormatting>
  <conditionalFormatting sqref="K19:O28 K30:O32">
    <cfRule type="cellIs" dxfId="10979" priority="8731" operator="equal">
      <formula>"OFF"</formula>
    </cfRule>
    <cfRule type="cellIs" dxfId="10978" priority="8732" operator="equal">
      <formula>"PTO"</formula>
    </cfRule>
  </conditionalFormatting>
  <conditionalFormatting sqref="K19:O28 K30:O32">
    <cfRule type="cellIs" dxfId="10977" priority="8729" operator="equal">
      <formula>"OFF"</formula>
    </cfRule>
    <cfRule type="cellIs" dxfId="10976" priority="8730" operator="equal">
      <formula>"PTO"</formula>
    </cfRule>
  </conditionalFormatting>
  <conditionalFormatting sqref="K19:O28 K30:O32">
    <cfRule type="cellIs" dxfId="10975" priority="8727" operator="equal">
      <formula>"OFF"</formula>
    </cfRule>
    <cfRule type="cellIs" dxfId="10974" priority="8728" operator="equal">
      <formula>"PTO"</formula>
    </cfRule>
  </conditionalFormatting>
  <conditionalFormatting sqref="K19:O28 K30:O32">
    <cfRule type="cellIs" dxfId="10973" priority="8725" operator="equal">
      <formula>"OFF"</formula>
    </cfRule>
    <cfRule type="cellIs" dxfId="10972" priority="8726" operator="equal">
      <formula>"PTO"</formula>
    </cfRule>
  </conditionalFormatting>
  <conditionalFormatting sqref="K19:O28 K30:O32">
    <cfRule type="cellIs" dxfId="10971" priority="8723" operator="equal">
      <formula>"OFF"</formula>
    </cfRule>
    <cfRule type="cellIs" dxfId="10970" priority="8724" operator="equal">
      <formula>"PTO"</formula>
    </cfRule>
  </conditionalFormatting>
  <conditionalFormatting sqref="K19:O28 K30:O32">
    <cfRule type="cellIs" dxfId="10969" priority="8721" operator="equal">
      <formula>"OFF"</formula>
    </cfRule>
    <cfRule type="cellIs" dxfId="10968" priority="8722" operator="equal">
      <formula>"PTO"</formula>
    </cfRule>
  </conditionalFormatting>
  <conditionalFormatting sqref="K19:O28 K30:O32">
    <cfRule type="cellIs" dxfId="10967" priority="8719" operator="equal">
      <formula>"OFF"</formula>
    </cfRule>
    <cfRule type="cellIs" dxfId="10966" priority="8720" operator="equal">
      <formula>"PTO"</formula>
    </cfRule>
  </conditionalFormatting>
  <conditionalFormatting sqref="K19:O28 K30:O32">
    <cfRule type="cellIs" dxfId="10965" priority="8717" operator="equal">
      <formula>"OFF"</formula>
    </cfRule>
    <cfRule type="cellIs" dxfId="10964" priority="8718" operator="equal">
      <formula>"PTO"</formula>
    </cfRule>
  </conditionalFormatting>
  <conditionalFormatting sqref="K19:O28 K30:O32">
    <cfRule type="cellIs" dxfId="10963" priority="8715" operator="equal">
      <formula>"OFF"</formula>
    </cfRule>
    <cfRule type="cellIs" dxfId="10962" priority="8716" operator="equal">
      <formula>"PTO"</formula>
    </cfRule>
  </conditionalFormatting>
  <conditionalFormatting sqref="K19:O28 K30:O32">
    <cfRule type="cellIs" dxfId="10961" priority="8713" operator="equal">
      <formula>"OFF"</formula>
    </cfRule>
    <cfRule type="cellIs" dxfId="10960" priority="8714" operator="equal">
      <formula>"PTO"</formula>
    </cfRule>
  </conditionalFormatting>
  <conditionalFormatting sqref="K19:O28 K30:O32">
    <cfRule type="cellIs" dxfId="10959" priority="8711" operator="equal">
      <formula>"OFF"</formula>
    </cfRule>
    <cfRule type="cellIs" dxfId="10958" priority="8712" operator="equal">
      <formula>"PTO"</formula>
    </cfRule>
  </conditionalFormatting>
  <conditionalFormatting sqref="K19:O28 K30:O32">
    <cfRule type="cellIs" dxfId="10957" priority="8709" operator="equal">
      <formula>"OFF"</formula>
    </cfRule>
    <cfRule type="cellIs" dxfId="10956" priority="8710" operator="equal">
      <formula>"PTO"</formula>
    </cfRule>
  </conditionalFormatting>
  <conditionalFormatting sqref="K19:O28 K30:O32">
    <cfRule type="cellIs" dxfId="10955" priority="8707" operator="equal">
      <formula>"OFF"</formula>
    </cfRule>
    <cfRule type="cellIs" dxfId="10954" priority="8708" operator="equal">
      <formula>"PTO"</formula>
    </cfRule>
  </conditionalFormatting>
  <conditionalFormatting sqref="K19:O28 K30:O32">
    <cfRule type="cellIs" dxfId="10953" priority="8705" operator="equal">
      <formula>"OFF"</formula>
    </cfRule>
    <cfRule type="cellIs" dxfId="10952" priority="8706" operator="equal">
      <formula>"PTO"</formula>
    </cfRule>
  </conditionalFormatting>
  <conditionalFormatting sqref="K19:O28 K30:O32">
    <cfRule type="cellIs" dxfId="10951" priority="8703" operator="equal">
      <formula>"OFF"</formula>
    </cfRule>
    <cfRule type="cellIs" dxfId="10950" priority="8704" operator="equal">
      <formula>"PTO"</formula>
    </cfRule>
  </conditionalFormatting>
  <conditionalFormatting sqref="K19:O28 K30:O32">
    <cfRule type="cellIs" dxfId="10949" priority="8701" operator="equal">
      <formula>"OFF"</formula>
    </cfRule>
    <cfRule type="cellIs" dxfId="10948" priority="8702" operator="equal">
      <formula>"PTO"</formula>
    </cfRule>
  </conditionalFormatting>
  <conditionalFormatting sqref="K19:O28 K30:O32">
    <cfRule type="cellIs" dxfId="10947" priority="8699" operator="equal">
      <formula>"OFF"</formula>
    </cfRule>
    <cfRule type="cellIs" dxfId="10946" priority="8700" operator="equal">
      <formula>"PTO"</formula>
    </cfRule>
  </conditionalFormatting>
  <conditionalFormatting sqref="M19:O28 M30:O32">
    <cfRule type="cellIs" dxfId="10945" priority="8697" operator="equal">
      <formula>"OFF"</formula>
    </cfRule>
    <cfRule type="cellIs" dxfId="10944" priority="8698" operator="equal">
      <formula>"PTO"</formula>
    </cfRule>
  </conditionalFormatting>
  <conditionalFormatting sqref="N19:O28 N30:O32">
    <cfRule type="cellIs" dxfId="10943" priority="8695" operator="equal">
      <formula>"OFF"</formula>
    </cfRule>
    <cfRule type="cellIs" dxfId="10942" priority="8696" operator="equal">
      <formula>"PTO"</formula>
    </cfRule>
  </conditionalFormatting>
  <conditionalFormatting sqref="N19:O28 N30:O32">
    <cfRule type="cellIs" dxfId="10941" priority="8693" operator="equal">
      <formula>"OFF"</formula>
    </cfRule>
    <cfRule type="cellIs" dxfId="10940" priority="8694" operator="equal">
      <formula>"PTO"</formula>
    </cfRule>
  </conditionalFormatting>
  <conditionalFormatting sqref="N19:O28 N30:O32">
    <cfRule type="cellIs" dxfId="10939" priority="8691" operator="equal">
      <formula>"OFF"</formula>
    </cfRule>
    <cfRule type="cellIs" dxfId="10938" priority="8692" operator="equal">
      <formula>"PTO"</formula>
    </cfRule>
  </conditionalFormatting>
  <conditionalFormatting sqref="N19:O28 N30:O32">
    <cfRule type="cellIs" dxfId="10937" priority="8689" operator="equal">
      <formula>"OFF"</formula>
    </cfRule>
    <cfRule type="cellIs" dxfId="10936" priority="8690" operator="equal">
      <formula>"PTO"</formula>
    </cfRule>
  </conditionalFormatting>
  <conditionalFormatting sqref="N19:O28 N30:O32">
    <cfRule type="cellIs" dxfId="10935" priority="8687" operator="equal">
      <formula>"OFF"</formula>
    </cfRule>
    <cfRule type="cellIs" dxfId="10934" priority="8688" operator="equal">
      <formula>"PTO"</formula>
    </cfRule>
  </conditionalFormatting>
  <conditionalFormatting sqref="N19:O28 N30:O32">
    <cfRule type="cellIs" dxfId="10933" priority="8685" operator="equal">
      <formula>"OFF"</formula>
    </cfRule>
    <cfRule type="cellIs" dxfId="10932" priority="8686" operator="equal">
      <formula>"PTO"</formula>
    </cfRule>
  </conditionalFormatting>
  <conditionalFormatting sqref="N19:O28 N30:O32">
    <cfRule type="cellIs" dxfId="10931" priority="8683" operator="equal">
      <formula>"OFF"</formula>
    </cfRule>
    <cfRule type="cellIs" dxfId="10930" priority="8684" operator="equal">
      <formula>"PTO"</formula>
    </cfRule>
  </conditionalFormatting>
  <conditionalFormatting sqref="N19:O28 N30:O32">
    <cfRule type="cellIs" dxfId="10929" priority="8681" operator="equal">
      <formula>"OFF"</formula>
    </cfRule>
    <cfRule type="cellIs" dxfId="10928" priority="8682" operator="equal">
      <formula>"PTO"</formula>
    </cfRule>
  </conditionalFormatting>
  <conditionalFormatting sqref="P19:P28 P30:P32">
    <cfRule type="cellIs" dxfId="10927" priority="8679" operator="equal">
      <formula>"OFF"</formula>
    </cfRule>
    <cfRule type="cellIs" dxfId="10926" priority="8680" operator="equal">
      <formula>"PTO"</formula>
    </cfRule>
  </conditionalFormatting>
  <conditionalFormatting sqref="P19:P28 P30:P32">
    <cfRule type="cellIs" dxfId="10925" priority="8677" operator="equal">
      <formula>"OFF"</formula>
    </cfRule>
    <cfRule type="cellIs" dxfId="10924" priority="8678" operator="equal">
      <formula>"PTO"</formula>
    </cfRule>
  </conditionalFormatting>
  <conditionalFormatting sqref="P19:P28 P30:P32">
    <cfRule type="cellIs" dxfId="10923" priority="8675" operator="equal">
      <formula>"OFF"</formula>
    </cfRule>
    <cfRule type="cellIs" dxfId="10922" priority="8676" operator="equal">
      <formula>"PTO"</formula>
    </cfRule>
  </conditionalFormatting>
  <conditionalFormatting sqref="J30:J32 J14:J28">
    <cfRule type="cellIs" dxfId="10921" priority="8663" operator="equal">
      <formula>"OFF"</formula>
    </cfRule>
    <cfRule type="cellIs" dxfId="10920" priority="8664" operator="equal">
      <formula>"PTO"</formula>
    </cfRule>
  </conditionalFormatting>
  <conditionalFormatting sqref="J30:P32 J14:P28">
    <cfRule type="cellIs" dxfId="10919" priority="8659" operator="equal">
      <formula>"OFF"</formula>
    </cfRule>
    <cfRule type="cellIs" dxfId="10918" priority="8660" operator="equal">
      <formula>"PTO"</formula>
    </cfRule>
  </conditionalFormatting>
  <conditionalFormatting sqref="J30:P32 J14:P28">
    <cfRule type="cellIs" dxfId="10917" priority="8657" operator="equal">
      <formula>"OFF"</formula>
    </cfRule>
    <cfRule type="cellIs" dxfId="10916" priority="8658" operator="equal">
      <formula>"PTO"</formula>
    </cfRule>
  </conditionalFormatting>
  <conditionalFormatting sqref="J30:P32 J14:P28">
    <cfRule type="cellIs" dxfId="10915" priority="8653" operator="equal">
      <formula>"OFF"</formula>
    </cfRule>
    <cfRule type="cellIs" dxfId="10914" priority="8654" operator="equal">
      <formula>"PTO"</formula>
    </cfRule>
  </conditionalFormatting>
  <conditionalFormatting sqref="J30:P32 J14:P28">
    <cfRule type="cellIs" dxfId="10913" priority="8651" operator="equal">
      <formula>"OFF"</formula>
    </cfRule>
    <cfRule type="cellIs" dxfId="10912" priority="8652" operator="equal">
      <formula>"PTO"</formula>
    </cfRule>
  </conditionalFormatting>
  <conditionalFormatting sqref="K14:O28 K30:O32">
    <cfRule type="cellIs" dxfId="10911" priority="8649" operator="equal">
      <formula>"OFF"</formula>
    </cfRule>
    <cfRule type="cellIs" dxfId="10910" priority="8650" operator="equal">
      <formula>"PTO"</formula>
    </cfRule>
  </conditionalFormatting>
  <conditionalFormatting sqref="K14:O28 K30:O32">
    <cfRule type="cellIs" dxfId="10909" priority="8647" operator="equal">
      <formula>"OFF"</formula>
    </cfRule>
    <cfRule type="cellIs" dxfId="10908" priority="8648" operator="equal">
      <formula>"PTO"</formula>
    </cfRule>
  </conditionalFormatting>
  <conditionalFormatting sqref="K14:O28 K30:O32">
    <cfRule type="cellIs" dxfId="10907" priority="8645" operator="equal">
      <formula>"OFF"</formula>
    </cfRule>
    <cfRule type="cellIs" dxfId="10906" priority="8646" operator="equal">
      <formula>"PTO"</formula>
    </cfRule>
  </conditionalFormatting>
  <conditionalFormatting sqref="K14:O28 K30:O32">
    <cfRule type="cellIs" dxfId="10905" priority="8643" operator="equal">
      <formula>"OFF"</formula>
    </cfRule>
    <cfRule type="cellIs" dxfId="10904" priority="8644" operator="equal">
      <formula>"PTO"</formula>
    </cfRule>
  </conditionalFormatting>
  <conditionalFormatting sqref="J30:P32 J14:P28">
    <cfRule type="cellIs" dxfId="10903" priority="8641" operator="equal">
      <formula>"OFF"</formula>
    </cfRule>
    <cfRule type="cellIs" dxfId="10902" priority="8642" operator="equal">
      <formula>"PTO"</formula>
    </cfRule>
  </conditionalFormatting>
  <conditionalFormatting sqref="J30:P32 J14:P28">
    <cfRule type="cellIs" dxfId="10901" priority="8637" operator="equal">
      <formula>"OFF"</formula>
    </cfRule>
    <cfRule type="cellIs" dxfId="10900" priority="8638" operator="equal">
      <formula>"PTO"</formula>
    </cfRule>
  </conditionalFormatting>
  <conditionalFormatting sqref="J30:P32 J14:P28">
    <cfRule type="cellIs" dxfId="10899" priority="8635" operator="equal">
      <formula>"OFF"</formula>
    </cfRule>
    <cfRule type="cellIs" dxfId="10898" priority="8636" operator="equal">
      <formula>"PTO"</formula>
    </cfRule>
  </conditionalFormatting>
  <conditionalFormatting sqref="K14:O28 K30:O32">
    <cfRule type="cellIs" dxfId="10897" priority="8633" operator="equal">
      <formula>"OFF"</formula>
    </cfRule>
    <cfRule type="cellIs" dxfId="10896" priority="8634" operator="equal">
      <formula>"PTO"</formula>
    </cfRule>
  </conditionalFormatting>
  <conditionalFormatting sqref="K14:O28 K30:O32">
    <cfRule type="cellIs" dxfId="10895" priority="8631" operator="equal">
      <formula>"OFF"</formula>
    </cfRule>
    <cfRule type="cellIs" dxfId="10894" priority="8632" operator="equal">
      <formula>"PTO"</formula>
    </cfRule>
  </conditionalFormatting>
  <conditionalFormatting sqref="K14:O28 K30:O32">
    <cfRule type="cellIs" dxfId="10893" priority="8629" operator="equal">
      <formula>"OFF"</formula>
    </cfRule>
    <cfRule type="cellIs" dxfId="10892" priority="8630" operator="equal">
      <formula>"PTO"</formula>
    </cfRule>
  </conditionalFormatting>
  <conditionalFormatting sqref="K14:O28 K30:O32">
    <cfRule type="cellIs" dxfId="10891" priority="8627" operator="equal">
      <formula>"OFF"</formula>
    </cfRule>
    <cfRule type="cellIs" dxfId="10890" priority="8628" operator="equal">
      <formula>"PTO"</formula>
    </cfRule>
  </conditionalFormatting>
  <conditionalFormatting sqref="J30:P32 J14:P28">
    <cfRule type="cellIs" dxfId="10889" priority="8625" operator="equal">
      <formula>"OFF"</formula>
    </cfRule>
    <cfRule type="cellIs" dxfId="10888" priority="8626" operator="equal">
      <formula>"PTO"</formula>
    </cfRule>
  </conditionalFormatting>
  <conditionalFormatting sqref="J30:P32 J14:P28">
    <cfRule type="cellIs" dxfId="10887" priority="8623" operator="equal">
      <formula>"OFF"</formula>
    </cfRule>
    <cfRule type="cellIs" dxfId="10886" priority="8624" operator="equal">
      <formula>"PTO"</formula>
    </cfRule>
  </conditionalFormatting>
  <conditionalFormatting sqref="J30:P32 J14:P28">
    <cfRule type="cellIs" dxfId="10885" priority="8621" operator="equal">
      <formula>"OFF"</formula>
    </cfRule>
    <cfRule type="cellIs" dxfId="10884" priority="8622" operator="equal">
      <formula>"PTO"</formula>
    </cfRule>
  </conditionalFormatting>
  <conditionalFormatting sqref="J30:P32 J14:P28">
    <cfRule type="cellIs" dxfId="10883" priority="8619" operator="equal">
      <formula>"OFF"</formula>
    </cfRule>
    <cfRule type="cellIs" dxfId="10882" priority="8620" operator="equal">
      <formula>"PTO"</formula>
    </cfRule>
  </conditionalFormatting>
  <conditionalFormatting sqref="K14:O28 K30:O32">
    <cfRule type="cellIs" dxfId="10881" priority="8617" operator="equal">
      <formula>"OFF"</formula>
    </cfRule>
    <cfRule type="cellIs" dxfId="10880" priority="8618" operator="equal">
      <formula>"PTO"</formula>
    </cfRule>
  </conditionalFormatting>
  <conditionalFormatting sqref="K14:O28 K30:O32">
    <cfRule type="cellIs" dxfId="10879" priority="8615" operator="equal">
      <formula>"OFF"</formula>
    </cfRule>
    <cfRule type="cellIs" dxfId="10878" priority="8616" operator="equal">
      <formula>"PTO"</formula>
    </cfRule>
  </conditionalFormatting>
  <conditionalFormatting sqref="K14:O28 K30:O32">
    <cfRule type="cellIs" dxfId="10877" priority="8613" operator="equal">
      <formula>"OFF"</formula>
    </cfRule>
    <cfRule type="cellIs" dxfId="10876" priority="8614" operator="equal">
      <formula>"PTO"</formula>
    </cfRule>
  </conditionalFormatting>
  <conditionalFormatting sqref="K14:O28 K30:O32">
    <cfRule type="cellIs" dxfId="10875" priority="8611" operator="equal">
      <formula>"OFF"</formula>
    </cfRule>
    <cfRule type="cellIs" dxfId="10874" priority="8612" operator="equal">
      <formula>"PTO"</formula>
    </cfRule>
  </conditionalFormatting>
  <conditionalFormatting sqref="J30:P32 J14:P28">
    <cfRule type="cellIs" dxfId="10873" priority="8609" operator="equal">
      <formula>"OFF"</formula>
    </cfRule>
    <cfRule type="cellIs" dxfId="10872" priority="8610" operator="equal">
      <formula>"PTO"</formula>
    </cfRule>
  </conditionalFormatting>
  <conditionalFormatting sqref="J30:P32 J14:P28">
    <cfRule type="cellIs" dxfId="10871" priority="8603" operator="equal">
      <formula>"OFF"</formula>
    </cfRule>
    <cfRule type="cellIs" dxfId="10870" priority="8604" operator="equal">
      <formula>"PTO"</formula>
    </cfRule>
  </conditionalFormatting>
  <conditionalFormatting sqref="K14:O28 K30:O32">
    <cfRule type="cellIs" dxfId="10869" priority="8601" operator="equal">
      <formula>"OFF"</formula>
    </cfRule>
    <cfRule type="cellIs" dxfId="10868" priority="8602" operator="equal">
      <formula>"PTO"</formula>
    </cfRule>
  </conditionalFormatting>
  <conditionalFormatting sqref="K14:O28 K30:O32">
    <cfRule type="cellIs" dxfId="10867" priority="8599" operator="equal">
      <formula>"OFF"</formula>
    </cfRule>
    <cfRule type="cellIs" dxfId="10866" priority="8600" operator="equal">
      <formula>"PTO"</formula>
    </cfRule>
  </conditionalFormatting>
  <conditionalFormatting sqref="K14:O28 K30:O32">
    <cfRule type="cellIs" dxfId="10865" priority="8597" operator="equal">
      <formula>"OFF"</formula>
    </cfRule>
    <cfRule type="cellIs" dxfId="10864" priority="8598" operator="equal">
      <formula>"PTO"</formula>
    </cfRule>
  </conditionalFormatting>
  <conditionalFormatting sqref="K14:O28 K30:O32">
    <cfRule type="cellIs" dxfId="10863" priority="8595" operator="equal">
      <formula>"OFF"</formula>
    </cfRule>
    <cfRule type="cellIs" dxfId="10862" priority="8596" operator="equal">
      <formula>"PTO"</formula>
    </cfRule>
  </conditionalFormatting>
  <conditionalFormatting sqref="J30:P32 J14:P28">
    <cfRule type="cellIs" dxfId="10861" priority="8593" operator="equal">
      <formula>"OFF"</formula>
    </cfRule>
    <cfRule type="cellIs" dxfId="10860" priority="8594" operator="equal">
      <formula>"PTO"</formula>
    </cfRule>
  </conditionalFormatting>
  <conditionalFormatting sqref="J30:P32 J14:P28">
    <cfRule type="cellIs" dxfId="10859" priority="8591" operator="equal">
      <formula>"OFF"</formula>
    </cfRule>
    <cfRule type="cellIs" dxfId="10858" priority="8592" operator="equal">
      <formula>"PTO"</formula>
    </cfRule>
  </conditionalFormatting>
  <conditionalFormatting sqref="J30:P32 J14:P28">
    <cfRule type="cellIs" dxfId="10857" priority="8589" operator="equal">
      <formula>"OFF"</formula>
    </cfRule>
    <cfRule type="cellIs" dxfId="10856" priority="8590" operator="equal">
      <formula>"PTO"</formula>
    </cfRule>
  </conditionalFormatting>
  <conditionalFormatting sqref="J30:P32 J14:P28">
    <cfRule type="cellIs" dxfId="10855" priority="8587" operator="equal">
      <formula>"OFF"</formula>
    </cfRule>
    <cfRule type="cellIs" dxfId="10854" priority="8588" operator="equal">
      <formula>"PTO"</formula>
    </cfRule>
  </conditionalFormatting>
  <conditionalFormatting sqref="J30:P32 J14:P28">
    <cfRule type="cellIs" dxfId="10853" priority="8585" operator="equal">
      <formula>"OFF"</formula>
    </cfRule>
    <cfRule type="cellIs" dxfId="10852" priority="8586" operator="equal">
      <formula>"PTO"</formula>
    </cfRule>
  </conditionalFormatting>
  <conditionalFormatting sqref="J30:P32 J14:P28">
    <cfRule type="cellIs" dxfId="10851" priority="8583" operator="equal">
      <formula>"OFF"</formula>
    </cfRule>
    <cfRule type="cellIs" dxfId="10850" priority="8584" operator="equal">
      <formula>"PTO"</formula>
    </cfRule>
  </conditionalFormatting>
  <conditionalFormatting sqref="J30:P32 J14:P28">
    <cfRule type="cellIs" dxfId="10849" priority="8581" operator="equal">
      <formula>"OFF"</formula>
    </cfRule>
    <cfRule type="cellIs" dxfId="10848" priority="8582" operator="equal">
      <formula>"PTO"</formula>
    </cfRule>
  </conditionalFormatting>
  <conditionalFormatting sqref="J30:P32 J14:P28">
    <cfRule type="cellIs" dxfId="10847" priority="8579" operator="equal">
      <formula>"OFF"</formula>
    </cfRule>
    <cfRule type="cellIs" dxfId="10846" priority="8580" operator="equal">
      <formula>"PTO"</formula>
    </cfRule>
  </conditionalFormatting>
  <conditionalFormatting sqref="J30:P32 J14:P28">
    <cfRule type="cellIs" dxfId="10845" priority="8577" operator="equal">
      <formula>"OFF"</formula>
    </cfRule>
    <cfRule type="cellIs" dxfId="10844" priority="8578" operator="equal">
      <formula>"PTO"</formula>
    </cfRule>
  </conditionalFormatting>
  <conditionalFormatting sqref="J30:P32 J14:P28">
    <cfRule type="cellIs" dxfId="10843" priority="8575" operator="equal">
      <formula>"OFF"</formula>
    </cfRule>
    <cfRule type="cellIs" dxfId="10842" priority="8576" operator="equal">
      <formula>"PTO"</formula>
    </cfRule>
  </conditionalFormatting>
  <conditionalFormatting sqref="J30:P32 J14:P28">
    <cfRule type="cellIs" dxfId="10841" priority="8573" operator="equal">
      <formula>"OFF"</formula>
    </cfRule>
    <cfRule type="cellIs" dxfId="10840" priority="8574" operator="equal">
      <formula>"PTO"</formula>
    </cfRule>
  </conditionalFormatting>
  <conditionalFormatting sqref="J30:P32 J14:P28">
    <cfRule type="cellIs" dxfId="10839" priority="8571" operator="equal">
      <formula>"OFF"</formula>
    </cfRule>
    <cfRule type="cellIs" dxfId="10838" priority="8572" operator="equal">
      <formula>"PTO"</formula>
    </cfRule>
  </conditionalFormatting>
  <conditionalFormatting sqref="J30:P32 J14:P28">
    <cfRule type="cellIs" dxfId="10837" priority="8569" operator="equal">
      <formula>"OFF"</formula>
    </cfRule>
    <cfRule type="cellIs" dxfId="10836" priority="8570" operator="equal">
      <formula>"PTO"</formula>
    </cfRule>
  </conditionalFormatting>
  <conditionalFormatting sqref="J30:P32 J14:P28">
    <cfRule type="cellIs" dxfId="10835" priority="8567" operator="equal">
      <formula>"OFF"</formula>
    </cfRule>
    <cfRule type="cellIs" dxfId="10834" priority="8568" operator="equal">
      <formula>"PTO"</formula>
    </cfRule>
  </conditionalFormatting>
  <conditionalFormatting sqref="J30:P32 J14:P28">
    <cfRule type="cellIs" dxfId="10833" priority="8565" operator="equal">
      <formula>"OFF"</formula>
    </cfRule>
    <cfRule type="cellIs" dxfId="10832" priority="8566" operator="equal">
      <formula>"PTO"</formula>
    </cfRule>
  </conditionalFormatting>
  <conditionalFormatting sqref="J30:P32 J14:P28">
    <cfRule type="cellIs" dxfId="10831" priority="8563" operator="equal">
      <formula>"OFF"</formula>
    </cfRule>
    <cfRule type="cellIs" dxfId="10830" priority="8564" operator="equal">
      <formula>"PTO"</formula>
    </cfRule>
  </conditionalFormatting>
  <conditionalFormatting sqref="J30:P32 J14:P28">
    <cfRule type="cellIs" dxfId="10829" priority="8561" operator="equal">
      <formula>"OFF"</formula>
    </cfRule>
    <cfRule type="cellIs" dxfId="10828" priority="8562" operator="equal">
      <formula>"PTO"</formula>
    </cfRule>
  </conditionalFormatting>
  <conditionalFormatting sqref="J30:P32 J14:P28">
    <cfRule type="cellIs" dxfId="10827" priority="8559" operator="equal">
      <formula>"OFF"</formula>
    </cfRule>
    <cfRule type="cellIs" dxfId="10826" priority="8560" operator="equal">
      <formula>"PTO"</formula>
    </cfRule>
  </conditionalFormatting>
  <conditionalFormatting sqref="J30:P32 J14:P28">
    <cfRule type="cellIs" dxfId="10825" priority="8557" operator="equal">
      <formula>"OFF"</formula>
    </cfRule>
    <cfRule type="cellIs" dxfId="10824" priority="8558" operator="equal">
      <formula>"PTO"</formula>
    </cfRule>
  </conditionalFormatting>
  <conditionalFormatting sqref="J30:P32 J14:P28">
    <cfRule type="cellIs" dxfId="10823" priority="8555" operator="equal">
      <formula>"OFF"</formula>
    </cfRule>
    <cfRule type="cellIs" dxfId="10822" priority="8556" operator="equal">
      <formula>"PTO"</formula>
    </cfRule>
  </conditionalFormatting>
  <conditionalFormatting sqref="J30:P32 J14:P28">
    <cfRule type="cellIs" dxfId="10821" priority="8553" operator="equal">
      <formula>"OFF"</formula>
    </cfRule>
    <cfRule type="cellIs" dxfId="10820" priority="8554" operator="equal">
      <formula>"PTO"</formula>
    </cfRule>
  </conditionalFormatting>
  <conditionalFormatting sqref="J30:P32 J14:P28">
    <cfRule type="cellIs" dxfId="10819" priority="8551" operator="equal">
      <formula>"OFF"</formula>
    </cfRule>
    <cfRule type="cellIs" dxfId="10818" priority="8552" operator="equal">
      <formula>"PTO"</formula>
    </cfRule>
  </conditionalFormatting>
  <conditionalFormatting sqref="J30:P32 J14:P28">
    <cfRule type="cellIs" dxfId="10817" priority="8549" operator="equal">
      <formula>"OFF"</formula>
    </cfRule>
    <cfRule type="cellIs" dxfId="10816" priority="8550" operator="equal">
      <formula>"PTO"</formula>
    </cfRule>
  </conditionalFormatting>
  <conditionalFormatting sqref="J30:P32 J14:P28">
    <cfRule type="cellIs" dxfId="10815" priority="8547" operator="equal">
      <formula>"OFF"</formula>
    </cfRule>
    <cfRule type="cellIs" dxfId="10814" priority="8548" operator="equal">
      <formula>"PTO"</formula>
    </cfRule>
  </conditionalFormatting>
  <conditionalFormatting sqref="J30:P32 J14:P28">
    <cfRule type="cellIs" dxfId="10813" priority="8545" operator="equal">
      <formula>"OFF"</formula>
    </cfRule>
    <cfRule type="cellIs" dxfId="10812" priority="8546" operator="equal">
      <formula>"PTO"</formula>
    </cfRule>
  </conditionalFormatting>
  <conditionalFormatting sqref="K14:O28 K30:O32">
    <cfRule type="cellIs" dxfId="10811" priority="8543" operator="equal">
      <formula>"OFF"</formula>
    </cfRule>
    <cfRule type="cellIs" dxfId="10810" priority="8544" operator="equal">
      <formula>"PTO"</formula>
    </cfRule>
  </conditionalFormatting>
  <conditionalFormatting sqref="K14:O28 K30:O32">
    <cfRule type="cellIs" dxfId="10809" priority="8541" operator="equal">
      <formula>"OFF"</formula>
    </cfRule>
    <cfRule type="cellIs" dxfId="10808" priority="8542" operator="equal">
      <formula>"PTO"</formula>
    </cfRule>
  </conditionalFormatting>
  <conditionalFormatting sqref="K14:O28 K30:O32">
    <cfRule type="cellIs" dxfId="10807" priority="8539" operator="equal">
      <formula>"OFF"</formula>
    </cfRule>
    <cfRule type="cellIs" dxfId="10806" priority="8540" operator="equal">
      <formula>"PTO"</formula>
    </cfRule>
  </conditionalFormatting>
  <conditionalFormatting sqref="K14:O28 K30:O32">
    <cfRule type="cellIs" dxfId="10805" priority="8537" operator="equal">
      <formula>"OFF"</formula>
    </cfRule>
    <cfRule type="cellIs" dxfId="10804" priority="8538" operator="equal">
      <formula>"PTO"</formula>
    </cfRule>
  </conditionalFormatting>
  <conditionalFormatting sqref="K14:O28 K30:O32">
    <cfRule type="cellIs" dxfId="10803" priority="8535" operator="equal">
      <formula>"OFF"</formula>
    </cfRule>
    <cfRule type="cellIs" dxfId="10802" priority="8536" operator="equal">
      <formula>"PTO"</formula>
    </cfRule>
  </conditionalFormatting>
  <conditionalFormatting sqref="K14:O28 K30:O32">
    <cfRule type="cellIs" dxfId="10801" priority="8533" operator="equal">
      <formula>"OFF"</formula>
    </cfRule>
    <cfRule type="cellIs" dxfId="10800" priority="8534" operator="equal">
      <formula>"PTO"</formula>
    </cfRule>
  </conditionalFormatting>
  <conditionalFormatting sqref="K14:O28 K30:O32">
    <cfRule type="cellIs" dxfId="10799" priority="8531" operator="equal">
      <formula>"OFF"</formula>
    </cfRule>
    <cfRule type="cellIs" dxfId="10798" priority="8532" operator="equal">
      <formula>"PTO"</formula>
    </cfRule>
  </conditionalFormatting>
  <conditionalFormatting sqref="K14:O28 K30:O32">
    <cfRule type="cellIs" dxfId="10797" priority="8529" operator="equal">
      <formula>"OFF"</formula>
    </cfRule>
    <cfRule type="cellIs" dxfId="10796" priority="8530" operator="equal">
      <formula>"PTO"</formula>
    </cfRule>
  </conditionalFormatting>
  <conditionalFormatting sqref="K14:O28 K30:O32">
    <cfRule type="cellIs" dxfId="10795" priority="8527" operator="equal">
      <formula>"OFF"</formula>
    </cfRule>
    <cfRule type="cellIs" dxfId="10794" priority="8528" operator="equal">
      <formula>"PTO"</formula>
    </cfRule>
  </conditionalFormatting>
  <conditionalFormatting sqref="K14:O28 K30:O32">
    <cfRule type="cellIs" dxfId="10793" priority="8525" operator="equal">
      <formula>"OFF"</formula>
    </cfRule>
    <cfRule type="cellIs" dxfId="10792" priority="8526" operator="equal">
      <formula>"PTO"</formula>
    </cfRule>
  </conditionalFormatting>
  <conditionalFormatting sqref="K14:O28 K30:O32">
    <cfRule type="cellIs" dxfId="10791" priority="8523" operator="equal">
      <formula>"OFF"</formula>
    </cfRule>
    <cfRule type="cellIs" dxfId="10790" priority="8524" operator="equal">
      <formula>"PTO"</formula>
    </cfRule>
  </conditionalFormatting>
  <conditionalFormatting sqref="K14:O28 K30:O32">
    <cfRule type="cellIs" dxfId="10789" priority="8521" operator="equal">
      <formula>"OFF"</formula>
    </cfRule>
    <cfRule type="cellIs" dxfId="10788" priority="8522" operator="equal">
      <formula>"PTO"</formula>
    </cfRule>
  </conditionalFormatting>
  <conditionalFormatting sqref="K14:O28 K30:O32">
    <cfRule type="cellIs" dxfId="10787" priority="8519" operator="equal">
      <formula>"OFF"</formula>
    </cfRule>
    <cfRule type="cellIs" dxfId="10786" priority="8520" operator="equal">
      <formula>"PTO"</formula>
    </cfRule>
  </conditionalFormatting>
  <conditionalFormatting sqref="K14:O28 K30:O32">
    <cfRule type="cellIs" dxfId="10785" priority="8517" operator="equal">
      <formula>"OFF"</formula>
    </cfRule>
    <cfRule type="cellIs" dxfId="10784" priority="8518" operator="equal">
      <formula>"PTO"</formula>
    </cfRule>
  </conditionalFormatting>
  <conditionalFormatting sqref="K14:O28 K30:O32">
    <cfRule type="cellIs" dxfId="10783" priority="8515" operator="equal">
      <formula>"OFF"</formula>
    </cfRule>
    <cfRule type="cellIs" dxfId="10782" priority="8516" operator="equal">
      <formula>"PTO"</formula>
    </cfRule>
  </conditionalFormatting>
  <conditionalFormatting sqref="K14:O28 K30:O32">
    <cfRule type="cellIs" dxfId="10781" priority="8513" operator="equal">
      <formula>"OFF"</formula>
    </cfRule>
    <cfRule type="cellIs" dxfId="10780" priority="8514" operator="equal">
      <formula>"PTO"</formula>
    </cfRule>
  </conditionalFormatting>
  <conditionalFormatting sqref="K14:O28 K30:O32">
    <cfRule type="cellIs" dxfId="10779" priority="8511" operator="equal">
      <formula>"OFF"</formula>
    </cfRule>
    <cfRule type="cellIs" dxfId="10778" priority="8512" operator="equal">
      <formula>"PTO"</formula>
    </cfRule>
  </conditionalFormatting>
  <conditionalFormatting sqref="K14:O28 K30:O32">
    <cfRule type="cellIs" dxfId="10777" priority="8509" operator="equal">
      <formula>"OFF"</formula>
    </cfRule>
    <cfRule type="cellIs" dxfId="10776" priority="8510" operator="equal">
      <formula>"PTO"</formula>
    </cfRule>
  </conditionalFormatting>
  <conditionalFormatting sqref="K14:O28 K30:O32">
    <cfRule type="cellIs" dxfId="10775" priority="8507" operator="equal">
      <formula>"OFF"</formula>
    </cfRule>
    <cfRule type="cellIs" dxfId="10774" priority="8508" operator="equal">
      <formula>"PTO"</formula>
    </cfRule>
  </conditionalFormatting>
  <conditionalFormatting sqref="K14:O28 K30:O32">
    <cfRule type="cellIs" dxfId="10773" priority="8505" operator="equal">
      <formula>"OFF"</formula>
    </cfRule>
    <cfRule type="cellIs" dxfId="10772" priority="8506" operator="equal">
      <formula>"PTO"</formula>
    </cfRule>
  </conditionalFormatting>
  <conditionalFormatting sqref="K14:O28 K30:O32">
    <cfRule type="cellIs" dxfId="10771" priority="8503" operator="equal">
      <formula>"OFF"</formula>
    </cfRule>
    <cfRule type="cellIs" dxfId="10770" priority="8504" operator="equal">
      <formula>"PTO"</formula>
    </cfRule>
  </conditionalFormatting>
  <conditionalFormatting sqref="K14:O28 K30:O32">
    <cfRule type="cellIs" dxfId="10769" priority="8501" operator="equal">
      <formula>"OFF"</formula>
    </cfRule>
    <cfRule type="cellIs" dxfId="10768" priority="8502" operator="equal">
      <formula>"PTO"</formula>
    </cfRule>
  </conditionalFormatting>
  <conditionalFormatting sqref="K14:O28 K30:O32">
    <cfRule type="cellIs" dxfId="10767" priority="8499" operator="equal">
      <formula>"OFF"</formula>
    </cfRule>
    <cfRule type="cellIs" dxfId="10766" priority="8500" operator="equal">
      <formula>"PTO"</formula>
    </cfRule>
  </conditionalFormatting>
  <conditionalFormatting sqref="K14:O28 K30:O32">
    <cfRule type="cellIs" dxfId="10765" priority="8497" operator="equal">
      <formula>"OFF"</formula>
    </cfRule>
    <cfRule type="cellIs" dxfId="10764" priority="8498" operator="equal">
      <formula>"PTO"</formula>
    </cfRule>
  </conditionalFormatting>
  <conditionalFormatting sqref="K14:O28 K30:O32">
    <cfRule type="cellIs" dxfId="10763" priority="8495" operator="equal">
      <formula>"OFF"</formula>
    </cfRule>
    <cfRule type="cellIs" dxfId="10762" priority="8496" operator="equal">
      <formula>"PTO"</formula>
    </cfRule>
  </conditionalFormatting>
  <conditionalFormatting sqref="M14:O28 M30:O32">
    <cfRule type="cellIs" dxfId="10761" priority="8493" operator="equal">
      <formula>"OFF"</formula>
    </cfRule>
    <cfRule type="cellIs" dxfId="10760" priority="8494" operator="equal">
      <formula>"PTO"</formula>
    </cfRule>
  </conditionalFormatting>
  <conditionalFormatting sqref="N14:O28 N30:O32">
    <cfRule type="cellIs" dxfId="10759" priority="8491" operator="equal">
      <formula>"OFF"</formula>
    </cfRule>
    <cfRule type="cellIs" dxfId="10758" priority="8492" operator="equal">
      <formula>"PTO"</formula>
    </cfRule>
  </conditionalFormatting>
  <conditionalFormatting sqref="N14:O28 N30:O32">
    <cfRule type="cellIs" dxfId="10757" priority="8489" operator="equal">
      <formula>"OFF"</formula>
    </cfRule>
    <cfRule type="cellIs" dxfId="10756" priority="8490" operator="equal">
      <formula>"PTO"</formula>
    </cfRule>
  </conditionalFormatting>
  <conditionalFormatting sqref="N14:O28 N30:O32">
    <cfRule type="cellIs" dxfId="10755" priority="8487" operator="equal">
      <formula>"OFF"</formula>
    </cfRule>
    <cfRule type="cellIs" dxfId="10754" priority="8488" operator="equal">
      <formula>"PTO"</formula>
    </cfRule>
  </conditionalFormatting>
  <conditionalFormatting sqref="N14:O28 N30:O32">
    <cfRule type="cellIs" dxfId="10753" priority="8485" operator="equal">
      <formula>"OFF"</formula>
    </cfRule>
    <cfRule type="cellIs" dxfId="10752" priority="8486" operator="equal">
      <formula>"PTO"</formula>
    </cfRule>
  </conditionalFormatting>
  <conditionalFormatting sqref="N14:O28 N30:O32">
    <cfRule type="cellIs" dxfId="10751" priority="8483" operator="equal">
      <formula>"OFF"</formula>
    </cfRule>
    <cfRule type="cellIs" dxfId="10750" priority="8484" operator="equal">
      <formula>"PTO"</formula>
    </cfRule>
  </conditionalFormatting>
  <conditionalFormatting sqref="N14:O28 N30:O32">
    <cfRule type="cellIs" dxfId="10749" priority="8481" operator="equal">
      <formula>"OFF"</formula>
    </cfRule>
    <cfRule type="cellIs" dxfId="10748" priority="8482" operator="equal">
      <formula>"PTO"</formula>
    </cfRule>
  </conditionalFormatting>
  <conditionalFormatting sqref="N14:O28 N30:O32">
    <cfRule type="cellIs" dxfId="10747" priority="8479" operator="equal">
      <formula>"OFF"</formula>
    </cfRule>
    <cfRule type="cellIs" dxfId="10746" priority="8480" operator="equal">
      <formula>"PTO"</formula>
    </cfRule>
  </conditionalFormatting>
  <conditionalFormatting sqref="N14:O28 N30:O32">
    <cfRule type="cellIs" dxfId="10745" priority="8477" operator="equal">
      <formula>"OFF"</formula>
    </cfRule>
    <cfRule type="cellIs" dxfId="10744" priority="8478" operator="equal">
      <formula>"PTO"</formula>
    </cfRule>
  </conditionalFormatting>
  <conditionalFormatting sqref="P14:P28 P30:P32">
    <cfRule type="cellIs" dxfId="10743" priority="8475" operator="equal">
      <formula>"OFF"</formula>
    </cfRule>
    <cfRule type="cellIs" dxfId="10742" priority="8476" operator="equal">
      <formula>"PTO"</formula>
    </cfRule>
  </conditionalFormatting>
  <conditionalFormatting sqref="P14:P28 P30:P32">
    <cfRule type="cellIs" dxfId="10741" priority="8473" operator="equal">
      <formula>"OFF"</formula>
    </cfRule>
    <cfRule type="cellIs" dxfId="10740" priority="8474" operator="equal">
      <formula>"PTO"</formula>
    </cfRule>
  </conditionalFormatting>
  <conditionalFormatting sqref="P14:P28 P30:P32">
    <cfRule type="cellIs" dxfId="10739" priority="8471" operator="equal">
      <formula>"OFF"</formula>
    </cfRule>
    <cfRule type="cellIs" dxfId="10738" priority="8472" operator="equal">
      <formula>"PTO"</formula>
    </cfRule>
  </conditionalFormatting>
  <conditionalFormatting sqref="P14:P28 P30:P32">
    <cfRule type="cellIs" dxfId="10737" priority="8469" operator="equal">
      <formula>"OFF"</formula>
    </cfRule>
    <cfRule type="cellIs" dxfId="10736" priority="8470" operator="equal">
      <formula>"PTO"</formula>
    </cfRule>
  </conditionalFormatting>
  <conditionalFormatting sqref="P14:P28 P30:P32">
    <cfRule type="cellIs" dxfId="10735" priority="8467" operator="equal">
      <formula>"OFF"</formula>
    </cfRule>
    <cfRule type="cellIs" dxfId="10734" priority="8468" operator="equal">
      <formula>"PTO"</formula>
    </cfRule>
  </conditionalFormatting>
  <conditionalFormatting sqref="P14:P28 P30:P32">
    <cfRule type="cellIs" dxfId="10733" priority="8465" operator="equal">
      <formula>"OFF"</formula>
    </cfRule>
    <cfRule type="cellIs" dxfId="10732" priority="8466" operator="equal">
      <formula>"PTO"</formula>
    </cfRule>
  </conditionalFormatting>
  <conditionalFormatting sqref="P14:P28 P30:P32">
    <cfRule type="cellIs" dxfId="10731" priority="8463" operator="equal">
      <formula>"OFF"</formula>
    </cfRule>
    <cfRule type="cellIs" dxfId="10730" priority="8464" operator="equal">
      <formula>"PTO"</formula>
    </cfRule>
  </conditionalFormatting>
  <conditionalFormatting sqref="P14:P28 P30:P32">
    <cfRule type="cellIs" dxfId="10729" priority="8461" operator="equal">
      <formula>"OFF"</formula>
    </cfRule>
    <cfRule type="cellIs" dxfId="10728" priority="8462" operator="equal">
      <formula>"PTO"</formula>
    </cfRule>
  </conditionalFormatting>
  <conditionalFormatting sqref="K19">
    <cfRule type="cellIs" dxfId="10727" priority="8459" operator="equal">
      <formula>"OFF"</formula>
    </cfRule>
    <cfRule type="cellIs" dxfId="10726" priority="8460" operator="equal">
      <formula>"PTO"</formula>
    </cfRule>
  </conditionalFormatting>
  <conditionalFormatting sqref="K19">
    <cfRule type="cellIs" dxfId="10725" priority="8457" operator="equal">
      <formula>"OFF"</formula>
    </cfRule>
    <cfRule type="cellIs" dxfId="10724" priority="8458" operator="equal">
      <formula>"PTO"</formula>
    </cfRule>
  </conditionalFormatting>
  <conditionalFormatting sqref="K19">
    <cfRule type="cellIs" dxfId="10723" priority="8455" operator="equal">
      <formula>"OFF"</formula>
    </cfRule>
    <cfRule type="cellIs" dxfId="10722" priority="8456" operator="equal">
      <formula>"PTO"</formula>
    </cfRule>
  </conditionalFormatting>
  <conditionalFormatting sqref="K19">
    <cfRule type="cellIs" dxfId="10721" priority="8453" operator="equal">
      <formula>"OFF"</formula>
    </cfRule>
    <cfRule type="cellIs" dxfId="10720" priority="8454" operator="equal">
      <formula>"PTO"</formula>
    </cfRule>
  </conditionalFormatting>
  <conditionalFormatting sqref="K19">
    <cfRule type="cellIs" dxfId="10719" priority="8451" operator="equal">
      <formula>"OFF"</formula>
    </cfRule>
    <cfRule type="cellIs" dxfId="10718" priority="8452" operator="equal">
      <formula>"PTO"</formula>
    </cfRule>
  </conditionalFormatting>
  <conditionalFormatting sqref="K19">
    <cfRule type="cellIs" dxfId="10717" priority="8449" operator="equal">
      <formula>"OFF"</formula>
    </cfRule>
    <cfRule type="cellIs" dxfId="10716" priority="8450" operator="equal">
      <formula>"PTO"</formula>
    </cfRule>
  </conditionalFormatting>
  <conditionalFormatting sqref="K19">
    <cfRule type="cellIs" dxfId="10715" priority="8447" operator="equal">
      <formula>"OFF"</formula>
    </cfRule>
    <cfRule type="cellIs" dxfId="10714" priority="8448" operator="equal">
      <formula>"PTO"</formula>
    </cfRule>
  </conditionalFormatting>
  <conditionalFormatting sqref="K19">
    <cfRule type="cellIs" dxfId="10713" priority="8445" operator="equal">
      <formula>"OFF"</formula>
    </cfRule>
    <cfRule type="cellIs" dxfId="10712" priority="8446" operator="equal">
      <formula>"PTO"</formula>
    </cfRule>
  </conditionalFormatting>
  <conditionalFormatting sqref="K19">
    <cfRule type="cellIs" dxfId="10711" priority="8443" operator="equal">
      <formula>"OFF"</formula>
    </cfRule>
    <cfRule type="cellIs" dxfId="10710" priority="8444" operator="equal">
      <formula>"PTO"</formula>
    </cfRule>
  </conditionalFormatting>
  <conditionalFormatting sqref="K19">
    <cfRule type="cellIs" dxfId="10709" priority="8441" operator="equal">
      <formula>"OFF"</formula>
    </cfRule>
    <cfRule type="cellIs" dxfId="10708" priority="8442" operator="equal">
      <formula>"PTO"</formula>
    </cfRule>
  </conditionalFormatting>
  <conditionalFormatting sqref="K19">
    <cfRule type="cellIs" dxfId="10707" priority="8439" operator="equal">
      <formula>"OFF"</formula>
    </cfRule>
    <cfRule type="cellIs" dxfId="10706" priority="8440" operator="equal">
      <formula>"PTO"</formula>
    </cfRule>
  </conditionalFormatting>
  <conditionalFormatting sqref="K19">
    <cfRule type="cellIs" dxfId="10705" priority="8437" operator="equal">
      <formula>"OFF"</formula>
    </cfRule>
    <cfRule type="cellIs" dxfId="10704" priority="8438" operator="equal">
      <formula>"PTO"</formula>
    </cfRule>
  </conditionalFormatting>
  <conditionalFormatting sqref="K19">
    <cfRule type="cellIs" dxfId="10703" priority="8435" operator="equal">
      <formula>"OFF"</formula>
    </cfRule>
    <cfRule type="cellIs" dxfId="10702" priority="8436" operator="equal">
      <formula>"PTO"</formula>
    </cfRule>
  </conditionalFormatting>
  <conditionalFormatting sqref="K19">
    <cfRule type="cellIs" dxfId="10701" priority="8433" operator="equal">
      <formula>"OFF"</formula>
    </cfRule>
    <cfRule type="cellIs" dxfId="10700" priority="8434" operator="equal">
      <formula>"PTO"</formula>
    </cfRule>
  </conditionalFormatting>
  <conditionalFormatting sqref="K19">
    <cfRule type="cellIs" dxfId="10699" priority="8431" operator="equal">
      <formula>"OFF"</formula>
    </cfRule>
    <cfRule type="cellIs" dxfId="10698" priority="8432" operator="equal">
      <formula>"PTO"</formula>
    </cfRule>
  </conditionalFormatting>
  <conditionalFormatting sqref="K19">
    <cfRule type="cellIs" dxfId="10697" priority="8429" operator="equal">
      <formula>"OFF"</formula>
    </cfRule>
    <cfRule type="cellIs" dxfId="10696" priority="8430" operator="equal">
      <formula>"PTO"</formula>
    </cfRule>
  </conditionalFormatting>
  <conditionalFormatting sqref="K19">
    <cfRule type="cellIs" dxfId="10695" priority="8427" operator="equal">
      <formula>"OFF"</formula>
    </cfRule>
    <cfRule type="cellIs" dxfId="10694" priority="8428" operator="equal">
      <formula>"PTO"</formula>
    </cfRule>
  </conditionalFormatting>
  <conditionalFormatting sqref="K19">
    <cfRule type="cellIs" dxfId="10693" priority="8425" operator="equal">
      <formula>"OFF"</formula>
    </cfRule>
    <cfRule type="cellIs" dxfId="10692" priority="8426" operator="equal">
      <formula>"PTO"</formula>
    </cfRule>
  </conditionalFormatting>
  <conditionalFormatting sqref="K19">
    <cfRule type="cellIs" dxfId="10691" priority="8423" operator="equal">
      <formula>"OFF"</formula>
    </cfRule>
    <cfRule type="cellIs" dxfId="10690" priority="8424" operator="equal">
      <formula>"PTO"</formula>
    </cfRule>
  </conditionalFormatting>
  <conditionalFormatting sqref="K19">
    <cfRule type="cellIs" dxfId="10689" priority="8421" operator="equal">
      <formula>"OFF"</formula>
    </cfRule>
    <cfRule type="cellIs" dxfId="10688" priority="8422" operator="equal">
      <formula>"PTO"</formula>
    </cfRule>
  </conditionalFormatting>
  <conditionalFormatting sqref="K19">
    <cfRule type="cellIs" dxfId="10687" priority="8419" operator="equal">
      <formula>"OFF"</formula>
    </cfRule>
    <cfRule type="cellIs" dxfId="10686" priority="8420" operator="equal">
      <formula>"PTO"</formula>
    </cfRule>
  </conditionalFormatting>
  <conditionalFormatting sqref="K19">
    <cfRule type="cellIs" dxfId="10685" priority="8417" operator="equal">
      <formula>"OFF"</formula>
    </cfRule>
    <cfRule type="cellIs" dxfId="10684" priority="8418" operator="equal">
      <formula>"PTO"</formula>
    </cfRule>
  </conditionalFormatting>
  <conditionalFormatting sqref="K19">
    <cfRule type="cellIs" dxfId="10683" priority="8415" operator="equal">
      <formula>"OFF"</formula>
    </cfRule>
    <cfRule type="cellIs" dxfId="10682" priority="8416" operator="equal">
      <formula>"PTO"</formula>
    </cfRule>
  </conditionalFormatting>
  <conditionalFormatting sqref="K19">
    <cfRule type="cellIs" dxfId="10681" priority="8413" operator="equal">
      <formula>"OFF"</formula>
    </cfRule>
    <cfRule type="cellIs" dxfId="10680" priority="8414" operator="equal">
      <formula>"PTO"</formula>
    </cfRule>
  </conditionalFormatting>
  <conditionalFormatting sqref="K19">
    <cfRule type="cellIs" dxfId="10679" priority="8411" operator="equal">
      <formula>"OFF"</formula>
    </cfRule>
    <cfRule type="cellIs" dxfId="10678" priority="8412" operator="equal">
      <formula>"PTO"</formula>
    </cfRule>
  </conditionalFormatting>
  <conditionalFormatting sqref="K19">
    <cfRule type="cellIs" dxfId="10677" priority="8409" operator="equal">
      <formula>"OFF"</formula>
    </cfRule>
    <cfRule type="cellIs" dxfId="10676" priority="8410" operator="equal">
      <formula>"PTO"</formula>
    </cfRule>
  </conditionalFormatting>
  <conditionalFormatting sqref="K19">
    <cfRule type="cellIs" dxfId="10675" priority="8407" operator="equal">
      <formula>"OFF"</formula>
    </cfRule>
    <cfRule type="cellIs" dxfId="10674" priority="8408" operator="equal">
      <formula>"PTO"</formula>
    </cfRule>
  </conditionalFormatting>
  <conditionalFormatting sqref="K19">
    <cfRule type="cellIs" dxfId="10673" priority="8405" operator="equal">
      <formula>"OFF"</formula>
    </cfRule>
    <cfRule type="cellIs" dxfId="10672" priority="8406" operator="equal">
      <formula>"PTO"</formula>
    </cfRule>
  </conditionalFormatting>
  <conditionalFormatting sqref="K19">
    <cfRule type="cellIs" dxfId="10671" priority="8403" operator="equal">
      <formula>"OFF"</formula>
    </cfRule>
    <cfRule type="cellIs" dxfId="10670" priority="8404" operator="equal">
      <formula>"PTO"</formula>
    </cfRule>
  </conditionalFormatting>
  <conditionalFormatting sqref="K19">
    <cfRule type="cellIs" dxfId="10669" priority="8401" operator="equal">
      <formula>"OFF"</formula>
    </cfRule>
    <cfRule type="cellIs" dxfId="10668" priority="8402" operator="equal">
      <formula>"PTO"</formula>
    </cfRule>
  </conditionalFormatting>
  <conditionalFormatting sqref="K19">
    <cfRule type="cellIs" dxfId="10667" priority="8399" operator="equal">
      <formula>"OFF"</formula>
    </cfRule>
    <cfRule type="cellIs" dxfId="10666" priority="8400" operator="equal">
      <formula>"PTO"</formula>
    </cfRule>
  </conditionalFormatting>
  <conditionalFormatting sqref="K19">
    <cfRule type="cellIs" dxfId="10665" priority="8397" operator="equal">
      <formula>"OFF"</formula>
    </cfRule>
    <cfRule type="cellIs" dxfId="10664" priority="8398" operator="equal">
      <formula>"PTO"</formula>
    </cfRule>
  </conditionalFormatting>
  <conditionalFormatting sqref="K18:K28 K30:K32">
    <cfRule type="cellIs" dxfId="10663" priority="8395" operator="equal">
      <formula>"OFF"</formula>
    </cfRule>
    <cfRule type="cellIs" dxfId="10662" priority="8396" operator="equal">
      <formula>"PTO"</formula>
    </cfRule>
  </conditionalFormatting>
  <conditionalFormatting sqref="K18:K28 K30:K32">
    <cfRule type="cellIs" dxfId="10661" priority="8393" operator="equal">
      <formula>"OFF"</formula>
    </cfRule>
    <cfRule type="cellIs" dxfId="10660" priority="8394" operator="equal">
      <formula>"PTO"</formula>
    </cfRule>
  </conditionalFormatting>
  <conditionalFormatting sqref="K18:K28 K30:K32">
    <cfRule type="cellIs" dxfId="10659" priority="8391" operator="equal">
      <formula>"OFF"</formula>
    </cfRule>
    <cfRule type="cellIs" dxfId="10658" priority="8392" operator="equal">
      <formula>"PTO"</formula>
    </cfRule>
  </conditionalFormatting>
  <conditionalFormatting sqref="K18:K28 K30:K32">
    <cfRule type="cellIs" dxfId="10657" priority="8389" operator="equal">
      <formula>"OFF"</formula>
    </cfRule>
    <cfRule type="cellIs" dxfId="10656" priority="8390" operator="equal">
      <formula>"PTO"</formula>
    </cfRule>
  </conditionalFormatting>
  <conditionalFormatting sqref="K18:K28 K30:K32">
    <cfRule type="cellIs" dxfId="10655" priority="8387" operator="equal">
      <formula>"OFF"</formula>
    </cfRule>
    <cfRule type="cellIs" dxfId="10654" priority="8388" operator="equal">
      <formula>"PTO"</formula>
    </cfRule>
  </conditionalFormatting>
  <conditionalFormatting sqref="K18:K28 K30:K32">
    <cfRule type="cellIs" dxfId="10653" priority="8385" operator="equal">
      <formula>"OFF"</formula>
    </cfRule>
    <cfRule type="cellIs" dxfId="10652" priority="8386" operator="equal">
      <formula>"PTO"</formula>
    </cfRule>
  </conditionalFormatting>
  <conditionalFormatting sqref="K18:K28 K30:K32">
    <cfRule type="cellIs" dxfId="10651" priority="8383" operator="equal">
      <formula>"OFF"</formula>
    </cfRule>
    <cfRule type="cellIs" dxfId="10650" priority="8384" operator="equal">
      <formula>"PTO"</formula>
    </cfRule>
  </conditionalFormatting>
  <conditionalFormatting sqref="R18">
    <cfRule type="cellIs" dxfId="10649" priority="8049" operator="equal">
      <formula>"OFF"</formula>
    </cfRule>
    <cfRule type="cellIs" dxfId="10648" priority="8050" operator="equal">
      <formula>"PTO"</formula>
    </cfRule>
  </conditionalFormatting>
  <conditionalFormatting sqref="S18">
    <cfRule type="cellIs" dxfId="10647" priority="8041" operator="equal">
      <formula>"OFF"</formula>
    </cfRule>
    <cfRule type="cellIs" dxfId="10646" priority="8042" operator="equal">
      <formula>"PTO"</formula>
    </cfRule>
  </conditionalFormatting>
  <conditionalFormatting sqref="S18">
    <cfRule type="cellIs" dxfId="10645" priority="8025" operator="equal">
      <formula>"OFF"</formula>
    </cfRule>
    <cfRule type="cellIs" dxfId="10644" priority="8026" operator="equal">
      <formula>"PTO"</formula>
    </cfRule>
  </conditionalFormatting>
  <conditionalFormatting sqref="S18">
    <cfRule type="cellIs" dxfId="10643" priority="8023" operator="equal">
      <formula>"OFF"</formula>
    </cfRule>
    <cfRule type="cellIs" dxfId="10642" priority="8024" operator="equal">
      <formula>"PTO"</formula>
    </cfRule>
  </conditionalFormatting>
  <conditionalFormatting sqref="R18">
    <cfRule type="cellIs" dxfId="10641" priority="8053" operator="equal">
      <formula>"OFF"</formula>
    </cfRule>
    <cfRule type="cellIs" dxfId="10640" priority="8054" operator="equal">
      <formula>"PTO"</formula>
    </cfRule>
  </conditionalFormatting>
  <conditionalFormatting sqref="R18">
    <cfRule type="cellIs" dxfId="10639" priority="8051" operator="equal">
      <formula>"OFF"</formula>
    </cfRule>
    <cfRule type="cellIs" dxfId="10638" priority="8052" operator="equal">
      <formula>"PTO"</formula>
    </cfRule>
  </conditionalFormatting>
  <conditionalFormatting sqref="R18">
    <cfRule type="cellIs" dxfId="10637" priority="8047" operator="equal">
      <formula>"OFF"</formula>
    </cfRule>
    <cfRule type="cellIs" dxfId="10636" priority="8048" operator="equal">
      <formula>"PTO"</formula>
    </cfRule>
  </conditionalFormatting>
  <conditionalFormatting sqref="Q18:W18">
    <cfRule type="cellIs" dxfId="10635" priority="8045" operator="equal">
      <formula>"OFF"</formula>
    </cfRule>
    <cfRule type="cellIs" dxfId="10634" priority="8046" operator="equal">
      <formula>"PTO"</formula>
    </cfRule>
  </conditionalFormatting>
  <conditionalFormatting sqref="Q18:W18">
    <cfRule type="cellIs" dxfId="10633" priority="8043" operator="equal">
      <formula>"OFF"</formula>
    </cfRule>
    <cfRule type="cellIs" dxfId="10632" priority="8044" operator="equal">
      <formula>"PTO"</formula>
    </cfRule>
  </conditionalFormatting>
  <conditionalFormatting sqref="S18">
    <cfRule type="cellIs" dxfId="10631" priority="8039" operator="equal">
      <formula>"OFF"</formula>
    </cfRule>
    <cfRule type="cellIs" dxfId="10630" priority="8040" operator="equal">
      <formula>"PTO"</formula>
    </cfRule>
  </conditionalFormatting>
  <conditionalFormatting sqref="S18">
    <cfRule type="cellIs" dxfId="10629" priority="8037" operator="equal">
      <formula>"OFF"</formula>
    </cfRule>
    <cfRule type="cellIs" dxfId="10628" priority="8038" operator="equal">
      <formula>"PTO"</formula>
    </cfRule>
  </conditionalFormatting>
  <conditionalFormatting sqref="S18">
    <cfRule type="cellIs" dxfId="10627" priority="8035" operator="equal">
      <formula>"OFF"</formula>
    </cfRule>
    <cfRule type="cellIs" dxfId="10626" priority="8036" operator="equal">
      <formula>"PTO"</formula>
    </cfRule>
  </conditionalFormatting>
  <conditionalFormatting sqref="S18">
    <cfRule type="cellIs" dxfId="10625" priority="8033" operator="equal">
      <formula>"OFF"</formula>
    </cfRule>
    <cfRule type="cellIs" dxfId="10624" priority="8034" operator="equal">
      <formula>"PTO"</formula>
    </cfRule>
  </conditionalFormatting>
  <conditionalFormatting sqref="S18">
    <cfRule type="cellIs" dxfId="10623" priority="8031" operator="equal">
      <formula>"OFF"</formula>
    </cfRule>
    <cfRule type="cellIs" dxfId="10622" priority="8032" operator="equal">
      <formula>"PTO"</formula>
    </cfRule>
  </conditionalFormatting>
  <conditionalFormatting sqref="S18">
    <cfRule type="cellIs" dxfId="10621" priority="8029" operator="equal">
      <formula>"OFF"</formula>
    </cfRule>
    <cfRule type="cellIs" dxfId="10620" priority="8030" operator="equal">
      <formula>"PTO"</formula>
    </cfRule>
  </conditionalFormatting>
  <conditionalFormatting sqref="S18">
    <cfRule type="cellIs" dxfId="10619" priority="8027" operator="equal">
      <formula>"OFF"</formula>
    </cfRule>
    <cfRule type="cellIs" dxfId="10618" priority="8028" operator="equal">
      <formula>"PTO"</formula>
    </cfRule>
  </conditionalFormatting>
  <conditionalFormatting sqref="S18">
    <cfRule type="cellIs" dxfId="10617" priority="8021" operator="equal">
      <formula>"OFF"</formula>
    </cfRule>
    <cfRule type="cellIs" dxfId="10616" priority="8022" operator="equal">
      <formula>"PTO"</formula>
    </cfRule>
  </conditionalFormatting>
  <conditionalFormatting sqref="S18">
    <cfRule type="cellIs" dxfId="10615" priority="8019" operator="equal">
      <formula>"OFF"</formula>
    </cfRule>
    <cfRule type="cellIs" dxfId="10614" priority="8020" operator="equal">
      <formula>"PTO"</formula>
    </cfRule>
  </conditionalFormatting>
  <conditionalFormatting sqref="S18">
    <cfRule type="cellIs" dxfId="10613" priority="8017" operator="equal">
      <formula>"OFF"</formula>
    </cfRule>
    <cfRule type="cellIs" dxfId="10612" priority="8018" operator="equal">
      <formula>"PTO"</formula>
    </cfRule>
  </conditionalFormatting>
  <conditionalFormatting sqref="S18">
    <cfRule type="cellIs" dxfId="10611" priority="8015" operator="equal">
      <formula>"OFF"</formula>
    </cfRule>
    <cfRule type="cellIs" dxfId="10610" priority="8016" operator="equal">
      <formula>"PTO"</formula>
    </cfRule>
  </conditionalFormatting>
  <conditionalFormatting sqref="S18">
    <cfRule type="cellIs" dxfId="10609" priority="8013" operator="equal">
      <formula>"OFF"</formula>
    </cfRule>
    <cfRule type="cellIs" dxfId="10608" priority="8014" operator="equal">
      <formula>"PTO"</formula>
    </cfRule>
  </conditionalFormatting>
  <conditionalFormatting sqref="S18">
    <cfRule type="cellIs" dxfId="10607" priority="8011" operator="equal">
      <formula>"OFF"</formula>
    </cfRule>
    <cfRule type="cellIs" dxfId="10606" priority="8012" operator="equal">
      <formula>"PTO"</formula>
    </cfRule>
  </conditionalFormatting>
  <conditionalFormatting sqref="V18">
    <cfRule type="cellIs" dxfId="10605" priority="8009" operator="equal">
      <formula>"OFF"</formula>
    </cfRule>
    <cfRule type="cellIs" dxfId="10604" priority="8010" operator="equal">
      <formula>"PTO"</formula>
    </cfRule>
  </conditionalFormatting>
  <conditionalFormatting sqref="V18">
    <cfRule type="cellIs" dxfId="10603" priority="8007" operator="equal">
      <formula>"OFF"</formula>
    </cfRule>
    <cfRule type="cellIs" dxfId="10602" priority="8008" operator="equal">
      <formula>"PTO"</formula>
    </cfRule>
  </conditionalFormatting>
  <conditionalFormatting sqref="V18">
    <cfRule type="cellIs" dxfId="10601" priority="8005" operator="equal">
      <formula>"OFF"</formula>
    </cfRule>
    <cfRule type="cellIs" dxfId="10600" priority="8006" operator="equal">
      <formula>"PTO"</formula>
    </cfRule>
  </conditionalFormatting>
  <conditionalFormatting sqref="V18">
    <cfRule type="cellIs" dxfId="10599" priority="8003" operator="equal">
      <formula>"OFF"</formula>
    </cfRule>
    <cfRule type="cellIs" dxfId="10598" priority="8004" operator="equal">
      <formula>"PTO"</formula>
    </cfRule>
  </conditionalFormatting>
  <conditionalFormatting sqref="V18">
    <cfRule type="cellIs" dxfId="10597" priority="8001" operator="equal">
      <formula>"OFF"</formula>
    </cfRule>
    <cfRule type="cellIs" dxfId="10596" priority="8002" operator="equal">
      <formula>"PTO"</formula>
    </cfRule>
  </conditionalFormatting>
  <conditionalFormatting sqref="V18">
    <cfRule type="cellIs" dxfId="10595" priority="7999" operator="equal">
      <formula>"OFF"</formula>
    </cfRule>
    <cfRule type="cellIs" dxfId="10594" priority="8000" operator="equal">
      <formula>"PTO"</formula>
    </cfRule>
  </conditionalFormatting>
  <conditionalFormatting sqref="V18">
    <cfRule type="cellIs" dxfId="10593" priority="7997" operator="equal">
      <formula>"OFF"</formula>
    </cfRule>
    <cfRule type="cellIs" dxfId="10592" priority="7998" operator="equal">
      <formula>"PTO"</formula>
    </cfRule>
  </conditionalFormatting>
  <conditionalFormatting sqref="V18">
    <cfRule type="cellIs" dxfId="10591" priority="7995" operator="equal">
      <formula>"OFF"</formula>
    </cfRule>
    <cfRule type="cellIs" dxfId="10590" priority="7996" operator="equal">
      <formula>"PTO"</formula>
    </cfRule>
  </conditionalFormatting>
  <conditionalFormatting sqref="V18">
    <cfRule type="cellIs" dxfId="10589" priority="7993" operator="equal">
      <formula>"OFF"</formula>
    </cfRule>
    <cfRule type="cellIs" dxfId="10588" priority="7994" operator="equal">
      <formula>"PTO"</formula>
    </cfRule>
  </conditionalFormatting>
  <conditionalFormatting sqref="V18">
    <cfRule type="cellIs" dxfId="10587" priority="7991" operator="equal">
      <formula>"OFF"</formula>
    </cfRule>
    <cfRule type="cellIs" dxfId="10586" priority="7992" operator="equal">
      <formula>"PTO"</formula>
    </cfRule>
  </conditionalFormatting>
  <conditionalFormatting sqref="V18">
    <cfRule type="cellIs" dxfId="10585" priority="7989" operator="equal">
      <formula>"OFF"</formula>
    </cfRule>
    <cfRule type="cellIs" dxfId="10584" priority="7990" operator="equal">
      <formula>"PTO"</formula>
    </cfRule>
  </conditionalFormatting>
  <conditionalFormatting sqref="V18">
    <cfRule type="cellIs" dxfId="10583" priority="7987" operator="equal">
      <formula>"OFF"</formula>
    </cfRule>
    <cfRule type="cellIs" dxfId="10582" priority="7988" operator="equal">
      <formula>"PTO"</formula>
    </cfRule>
  </conditionalFormatting>
  <conditionalFormatting sqref="V18">
    <cfRule type="cellIs" dxfId="10581" priority="7985" operator="equal">
      <formula>"OFF"</formula>
    </cfRule>
    <cfRule type="cellIs" dxfId="10580" priority="7986" operator="equal">
      <formula>"PTO"</formula>
    </cfRule>
  </conditionalFormatting>
  <conditionalFormatting sqref="V18">
    <cfRule type="cellIs" dxfId="10579" priority="7983" operator="equal">
      <formula>"OFF"</formula>
    </cfRule>
    <cfRule type="cellIs" dxfId="10578" priority="7984" operator="equal">
      <formula>"PTO"</formula>
    </cfRule>
  </conditionalFormatting>
  <conditionalFormatting sqref="V18">
    <cfRule type="cellIs" dxfId="10577" priority="7981" operator="equal">
      <formula>"OFF"</formula>
    </cfRule>
    <cfRule type="cellIs" dxfId="10576" priority="7982" operator="equal">
      <formula>"PTO"</formula>
    </cfRule>
  </conditionalFormatting>
  <conditionalFormatting sqref="V18">
    <cfRule type="cellIs" dxfId="10575" priority="7979" operator="equal">
      <formula>"OFF"</formula>
    </cfRule>
    <cfRule type="cellIs" dxfId="10574" priority="7980" operator="equal">
      <formula>"PTO"</formula>
    </cfRule>
  </conditionalFormatting>
  <conditionalFormatting sqref="S18">
    <cfRule type="cellIs" dxfId="10573" priority="7977" operator="equal">
      <formula>"OFF"</formula>
    </cfRule>
    <cfRule type="cellIs" dxfId="10572" priority="7978" operator="equal">
      <formula>"PTO"</formula>
    </cfRule>
  </conditionalFormatting>
  <conditionalFormatting sqref="S18">
    <cfRule type="cellIs" dxfId="10571" priority="7975" operator="equal">
      <formula>"OFF"</formula>
    </cfRule>
    <cfRule type="cellIs" dxfId="10570" priority="7976" operator="equal">
      <formula>"PTO"</formula>
    </cfRule>
  </conditionalFormatting>
  <conditionalFormatting sqref="S18">
    <cfRule type="cellIs" dxfId="10569" priority="7973" operator="equal">
      <formula>"OFF"</formula>
    </cfRule>
    <cfRule type="cellIs" dxfId="10568" priority="7974" operator="equal">
      <formula>"PTO"</formula>
    </cfRule>
  </conditionalFormatting>
  <conditionalFormatting sqref="S18">
    <cfRule type="cellIs" dxfId="10567" priority="7971" operator="equal">
      <formula>"OFF"</formula>
    </cfRule>
    <cfRule type="cellIs" dxfId="10566" priority="7972" operator="equal">
      <formula>"PTO"</formula>
    </cfRule>
  </conditionalFormatting>
  <conditionalFormatting sqref="S18">
    <cfRule type="cellIs" dxfId="10565" priority="7969" operator="equal">
      <formula>"OFF"</formula>
    </cfRule>
    <cfRule type="cellIs" dxfId="10564" priority="7970" operator="equal">
      <formula>"PTO"</formula>
    </cfRule>
  </conditionalFormatting>
  <conditionalFormatting sqref="S18">
    <cfRule type="cellIs" dxfId="10563" priority="7967" operator="equal">
      <formula>"OFF"</formula>
    </cfRule>
    <cfRule type="cellIs" dxfId="10562" priority="7968" operator="equal">
      <formula>"PTO"</formula>
    </cfRule>
  </conditionalFormatting>
  <conditionalFormatting sqref="S18">
    <cfRule type="cellIs" dxfId="10561" priority="7965" operator="equal">
      <formula>"OFF"</formula>
    </cfRule>
    <cfRule type="cellIs" dxfId="10560" priority="7966" operator="equal">
      <formula>"PTO"</formula>
    </cfRule>
  </conditionalFormatting>
  <conditionalFormatting sqref="S18">
    <cfRule type="cellIs" dxfId="10559" priority="7963" operator="equal">
      <formula>"OFF"</formula>
    </cfRule>
    <cfRule type="cellIs" dxfId="10558" priority="7964" operator="equal">
      <formula>"PTO"</formula>
    </cfRule>
  </conditionalFormatting>
  <conditionalFormatting sqref="S18">
    <cfRule type="cellIs" dxfId="10557" priority="7961" operator="equal">
      <formula>"OFF"</formula>
    </cfRule>
    <cfRule type="cellIs" dxfId="10556" priority="7962" operator="equal">
      <formula>"PTO"</formula>
    </cfRule>
  </conditionalFormatting>
  <conditionalFormatting sqref="S18">
    <cfRule type="cellIs" dxfId="10555" priority="7959" operator="equal">
      <formula>"OFF"</formula>
    </cfRule>
    <cfRule type="cellIs" dxfId="10554" priority="7960" operator="equal">
      <formula>"PTO"</formula>
    </cfRule>
  </conditionalFormatting>
  <conditionalFormatting sqref="S18">
    <cfRule type="cellIs" dxfId="10553" priority="7957" operator="equal">
      <formula>"OFF"</formula>
    </cfRule>
    <cfRule type="cellIs" dxfId="10552" priority="7958" operator="equal">
      <formula>"PTO"</formula>
    </cfRule>
  </conditionalFormatting>
  <conditionalFormatting sqref="S18">
    <cfRule type="cellIs" dxfId="10551" priority="7955" operator="equal">
      <formula>"OFF"</formula>
    </cfRule>
    <cfRule type="cellIs" dxfId="10550" priority="7956" operator="equal">
      <formula>"PTO"</formula>
    </cfRule>
  </conditionalFormatting>
  <conditionalFormatting sqref="S18">
    <cfRule type="cellIs" dxfId="10549" priority="7953" operator="equal">
      <formula>"OFF"</formula>
    </cfRule>
    <cfRule type="cellIs" dxfId="10548" priority="7954" operator="equal">
      <formula>"PTO"</formula>
    </cfRule>
  </conditionalFormatting>
  <conditionalFormatting sqref="S18">
    <cfRule type="cellIs" dxfId="10547" priority="7951" operator="equal">
      <formula>"OFF"</formula>
    </cfRule>
    <cfRule type="cellIs" dxfId="10546" priority="7952" operator="equal">
      <formula>"PTO"</formula>
    </cfRule>
  </conditionalFormatting>
  <conditionalFormatting sqref="S18">
    <cfRule type="cellIs" dxfId="10545" priority="7949" operator="equal">
      <formula>"OFF"</formula>
    </cfRule>
    <cfRule type="cellIs" dxfId="10544" priority="7950" operator="equal">
      <formula>"PTO"</formula>
    </cfRule>
  </conditionalFormatting>
  <conditionalFormatting sqref="S18">
    <cfRule type="cellIs" dxfId="10543" priority="7947" operator="equal">
      <formula>"OFF"</formula>
    </cfRule>
    <cfRule type="cellIs" dxfId="10542" priority="7948" operator="equal">
      <formula>"PTO"</formula>
    </cfRule>
  </conditionalFormatting>
  <conditionalFormatting sqref="Q20">
    <cfRule type="cellIs" dxfId="10541" priority="7899" operator="equal">
      <formula>"OFF"</formula>
    </cfRule>
    <cfRule type="cellIs" dxfId="10540" priority="7900" operator="equal">
      <formula>"PTO"</formula>
    </cfRule>
  </conditionalFormatting>
  <conditionalFormatting sqref="Q20">
    <cfRule type="cellIs" dxfId="10539" priority="7897" operator="equal">
      <formula>"OFF"</formula>
    </cfRule>
    <cfRule type="cellIs" dxfId="10538" priority="7898" operator="equal">
      <formula>"PTO"</formula>
    </cfRule>
  </conditionalFormatting>
  <conditionalFormatting sqref="Q22">
    <cfRule type="cellIs" dxfId="10537" priority="7895" operator="equal">
      <formula>"OFF"</formula>
    </cfRule>
    <cfRule type="cellIs" dxfId="10536" priority="7896" operator="equal">
      <formula>"PTO"</formula>
    </cfRule>
  </conditionalFormatting>
  <conditionalFormatting sqref="Q21">
    <cfRule type="cellIs" dxfId="10535" priority="7893" operator="equal">
      <formula>"OFF"</formula>
    </cfRule>
    <cfRule type="cellIs" dxfId="10534" priority="7894" operator="equal">
      <formula>"PTO"</formula>
    </cfRule>
  </conditionalFormatting>
  <conditionalFormatting sqref="Q21">
    <cfRule type="cellIs" dxfId="10533" priority="7891" operator="equal">
      <formula>"OFF"</formula>
    </cfRule>
    <cfRule type="cellIs" dxfId="10532" priority="7892" operator="equal">
      <formula>"PTO"</formula>
    </cfRule>
  </conditionalFormatting>
  <conditionalFormatting sqref="R18">
    <cfRule type="cellIs" dxfId="10531" priority="7885" operator="equal">
      <formula>"OFF"</formula>
    </cfRule>
    <cfRule type="cellIs" dxfId="10530" priority="7886" operator="equal">
      <formula>"PTO"</formula>
    </cfRule>
  </conditionalFormatting>
  <conditionalFormatting sqref="R18">
    <cfRule type="cellIs" dxfId="10529" priority="7877" operator="equal">
      <formula>"OFF"</formula>
    </cfRule>
    <cfRule type="cellIs" dxfId="10528" priority="7878" operator="equal">
      <formula>"PTO"</formula>
    </cfRule>
  </conditionalFormatting>
  <conditionalFormatting sqref="R18">
    <cfRule type="cellIs" dxfId="10527" priority="7861" operator="equal">
      <formula>"OFF"</formula>
    </cfRule>
    <cfRule type="cellIs" dxfId="10526" priority="7862" operator="equal">
      <formula>"PTO"</formula>
    </cfRule>
  </conditionalFormatting>
  <conditionalFormatting sqref="R18">
    <cfRule type="cellIs" dxfId="10525" priority="7859" operator="equal">
      <formula>"OFF"</formula>
    </cfRule>
    <cfRule type="cellIs" dxfId="10524" priority="7860" operator="equal">
      <formula>"PTO"</formula>
    </cfRule>
  </conditionalFormatting>
  <conditionalFormatting sqref="V18">
    <cfRule type="cellIs" dxfId="10523" priority="7945" operator="equal">
      <formula>"OFF"</formula>
    </cfRule>
    <cfRule type="cellIs" dxfId="10522" priority="7946" operator="equal">
      <formula>"PTO"</formula>
    </cfRule>
  </conditionalFormatting>
  <conditionalFormatting sqref="V18">
    <cfRule type="cellIs" dxfId="10521" priority="7943" operator="equal">
      <formula>"OFF"</formula>
    </cfRule>
    <cfRule type="cellIs" dxfId="10520" priority="7944" operator="equal">
      <formula>"PTO"</formula>
    </cfRule>
  </conditionalFormatting>
  <conditionalFormatting sqref="V18">
    <cfRule type="cellIs" dxfId="10519" priority="7941" operator="equal">
      <formula>"OFF"</formula>
    </cfRule>
    <cfRule type="cellIs" dxfId="10518" priority="7942" operator="equal">
      <formula>"PTO"</formula>
    </cfRule>
  </conditionalFormatting>
  <conditionalFormatting sqref="V18">
    <cfRule type="cellIs" dxfId="10517" priority="7939" operator="equal">
      <formula>"OFF"</formula>
    </cfRule>
    <cfRule type="cellIs" dxfId="10516" priority="7940" operator="equal">
      <formula>"PTO"</formula>
    </cfRule>
  </conditionalFormatting>
  <conditionalFormatting sqref="V18">
    <cfRule type="cellIs" dxfId="10515" priority="7937" operator="equal">
      <formula>"OFF"</formula>
    </cfRule>
    <cfRule type="cellIs" dxfId="10514" priority="7938" operator="equal">
      <formula>"PTO"</formula>
    </cfRule>
  </conditionalFormatting>
  <conditionalFormatting sqref="V18">
    <cfRule type="cellIs" dxfId="10513" priority="7935" operator="equal">
      <formula>"OFF"</formula>
    </cfRule>
    <cfRule type="cellIs" dxfId="10512" priority="7936" operator="equal">
      <formula>"PTO"</formula>
    </cfRule>
  </conditionalFormatting>
  <conditionalFormatting sqref="V18">
    <cfRule type="cellIs" dxfId="10511" priority="7933" operator="equal">
      <formula>"OFF"</formula>
    </cfRule>
    <cfRule type="cellIs" dxfId="10510" priority="7934" operator="equal">
      <formula>"PTO"</formula>
    </cfRule>
  </conditionalFormatting>
  <conditionalFormatting sqref="V18">
    <cfRule type="cellIs" dxfId="10509" priority="7931" operator="equal">
      <formula>"OFF"</formula>
    </cfRule>
    <cfRule type="cellIs" dxfId="10508" priority="7932" operator="equal">
      <formula>"PTO"</formula>
    </cfRule>
  </conditionalFormatting>
  <conditionalFormatting sqref="V18">
    <cfRule type="cellIs" dxfId="10507" priority="7929" operator="equal">
      <formula>"OFF"</formula>
    </cfRule>
    <cfRule type="cellIs" dxfId="10506" priority="7930" operator="equal">
      <formula>"PTO"</formula>
    </cfRule>
  </conditionalFormatting>
  <conditionalFormatting sqref="V18">
    <cfRule type="cellIs" dxfId="10505" priority="7927" operator="equal">
      <formula>"OFF"</formula>
    </cfRule>
    <cfRule type="cellIs" dxfId="10504" priority="7928" operator="equal">
      <formula>"PTO"</formula>
    </cfRule>
  </conditionalFormatting>
  <conditionalFormatting sqref="V18">
    <cfRule type="cellIs" dxfId="10503" priority="7925" operator="equal">
      <formula>"OFF"</formula>
    </cfRule>
    <cfRule type="cellIs" dxfId="10502" priority="7926" operator="equal">
      <formula>"PTO"</formula>
    </cfRule>
  </conditionalFormatting>
  <conditionalFormatting sqref="V18">
    <cfRule type="cellIs" dxfId="10501" priority="7923" operator="equal">
      <formula>"OFF"</formula>
    </cfRule>
    <cfRule type="cellIs" dxfId="10500" priority="7924" operator="equal">
      <formula>"PTO"</formula>
    </cfRule>
  </conditionalFormatting>
  <conditionalFormatting sqref="V18">
    <cfRule type="cellIs" dxfId="10499" priority="7921" operator="equal">
      <formula>"OFF"</formula>
    </cfRule>
    <cfRule type="cellIs" dxfId="10498" priority="7922" operator="equal">
      <formula>"PTO"</formula>
    </cfRule>
  </conditionalFormatting>
  <conditionalFormatting sqref="V18">
    <cfRule type="cellIs" dxfId="10497" priority="7919" operator="equal">
      <formula>"OFF"</formula>
    </cfRule>
    <cfRule type="cellIs" dxfId="10496" priority="7920" operator="equal">
      <formula>"PTO"</formula>
    </cfRule>
  </conditionalFormatting>
  <conditionalFormatting sqref="V18">
    <cfRule type="cellIs" dxfId="10495" priority="7917" operator="equal">
      <formula>"OFF"</formula>
    </cfRule>
    <cfRule type="cellIs" dxfId="10494" priority="7918" operator="equal">
      <formula>"PTO"</formula>
    </cfRule>
  </conditionalFormatting>
  <conditionalFormatting sqref="V18">
    <cfRule type="cellIs" dxfId="10493" priority="7915" operator="equal">
      <formula>"OFF"</formula>
    </cfRule>
    <cfRule type="cellIs" dxfId="10492" priority="7916" operator="equal">
      <formula>"PTO"</formula>
    </cfRule>
  </conditionalFormatting>
  <conditionalFormatting sqref="Q20">
    <cfRule type="cellIs" dxfId="10491" priority="7913" operator="equal">
      <formula>"OFF"</formula>
    </cfRule>
    <cfRule type="cellIs" dxfId="10490" priority="7914" operator="equal">
      <formula>"PTO"</formula>
    </cfRule>
  </conditionalFormatting>
  <conditionalFormatting sqref="Q20">
    <cfRule type="cellIs" dxfId="10489" priority="7911" operator="equal">
      <formula>"OFF"</formula>
    </cfRule>
    <cfRule type="cellIs" dxfId="10488" priority="7912" operator="equal">
      <formula>"PTO"</formula>
    </cfRule>
  </conditionalFormatting>
  <conditionalFormatting sqref="Q20">
    <cfRule type="cellIs" dxfId="10487" priority="7909" operator="equal">
      <formula>"OFF"</formula>
    </cfRule>
    <cfRule type="cellIs" dxfId="10486" priority="7910" operator="equal">
      <formula>"PTO"</formula>
    </cfRule>
  </conditionalFormatting>
  <conditionalFormatting sqref="Q20">
    <cfRule type="cellIs" dxfId="10485" priority="7907" operator="equal">
      <formula>"OFF"</formula>
    </cfRule>
    <cfRule type="cellIs" dxfId="10484" priority="7908" operator="equal">
      <formula>"PTO"</formula>
    </cfRule>
  </conditionalFormatting>
  <conditionalFormatting sqref="Q22">
    <cfRule type="cellIs" dxfId="10483" priority="7905" operator="equal">
      <formula>"OFF"</formula>
    </cfRule>
    <cfRule type="cellIs" dxfId="10482" priority="7906" operator="equal">
      <formula>"PTO"</formula>
    </cfRule>
  </conditionalFormatting>
  <conditionalFormatting sqref="Q20">
    <cfRule type="cellIs" dxfId="10481" priority="7903" operator="equal">
      <formula>"OFF"</formula>
    </cfRule>
    <cfRule type="cellIs" dxfId="10480" priority="7904" operator="equal">
      <formula>"PTO"</formula>
    </cfRule>
  </conditionalFormatting>
  <conditionalFormatting sqref="Q20">
    <cfRule type="cellIs" dxfId="10479" priority="7901" operator="equal">
      <formula>"OFF"</formula>
    </cfRule>
    <cfRule type="cellIs" dxfId="10478" priority="7902" operator="equal">
      <formula>"PTO"</formula>
    </cfRule>
  </conditionalFormatting>
  <conditionalFormatting sqref="Q20">
    <cfRule type="cellIs" dxfId="10477" priority="7889" operator="equal">
      <formula>"OFF"</formula>
    </cfRule>
    <cfRule type="cellIs" dxfId="10476" priority="7890" operator="equal">
      <formula>"PTO"</formula>
    </cfRule>
  </conditionalFormatting>
  <conditionalFormatting sqref="Q20">
    <cfRule type="cellIs" dxfId="10475" priority="7887" operator="equal">
      <formula>"OFF"</formula>
    </cfRule>
    <cfRule type="cellIs" dxfId="10474" priority="7888" operator="equal">
      <formula>"PTO"</formula>
    </cfRule>
  </conditionalFormatting>
  <conditionalFormatting sqref="R18">
    <cfRule type="cellIs" dxfId="10473" priority="7883" operator="equal">
      <formula>"OFF"</formula>
    </cfRule>
    <cfRule type="cellIs" dxfId="10472" priority="7884" operator="equal">
      <formula>"PTO"</formula>
    </cfRule>
  </conditionalFormatting>
  <conditionalFormatting sqref="R18">
    <cfRule type="cellIs" dxfId="10471" priority="7881" operator="equal">
      <formula>"OFF"</formula>
    </cfRule>
    <cfRule type="cellIs" dxfId="10470" priority="7882" operator="equal">
      <formula>"PTO"</formula>
    </cfRule>
  </conditionalFormatting>
  <conditionalFormatting sqref="R18">
    <cfRule type="cellIs" dxfId="10469" priority="7879" operator="equal">
      <formula>"OFF"</formula>
    </cfRule>
    <cfRule type="cellIs" dxfId="10468" priority="7880" operator="equal">
      <formula>"PTO"</formula>
    </cfRule>
  </conditionalFormatting>
  <conditionalFormatting sqref="R18">
    <cfRule type="cellIs" dxfId="10467" priority="7875" operator="equal">
      <formula>"OFF"</formula>
    </cfRule>
    <cfRule type="cellIs" dxfId="10466" priority="7876" operator="equal">
      <formula>"PTO"</formula>
    </cfRule>
  </conditionalFormatting>
  <conditionalFormatting sqref="R18">
    <cfRule type="cellIs" dxfId="10465" priority="7873" operator="equal">
      <formula>"OFF"</formula>
    </cfRule>
    <cfRule type="cellIs" dxfId="10464" priority="7874" operator="equal">
      <formula>"PTO"</formula>
    </cfRule>
  </conditionalFormatting>
  <conditionalFormatting sqref="R18">
    <cfRule type="cellIs" dxfId="10463" priority="7871" operator="equal">
      <formula>"OFF"</formula>
    </cfRule>
    <cfRule type="cellIs" dxfId="10462" priority="7872" operator="equal">
      <formula>"PTO"</formula>
    </cfRule>
  </conditionalFormatting>
  <conditionalFormatting sqref="R18">
    <cfRule type="cellIs" dxfId="10461" priority="7869" operator="equal">
      <formula>"OFF"</formula>
    </cfRule>
    <cfRule type="cellIs" dxfId="10460" priority="7870" operator="equal">
      <formula>"PTO"</formula>
    </cfRule>
  </conditionalFormatting>
  <conditionalFormatting sqref="R18">
    <cfRule type="cellIs" dxfId="10459" priority="7867" operator="equal">
      <formula>"OFF"</formula>
    </cfRule>
    <cfRule type="cellIs" dxfId="10458" priority="7868" operator="equal">
      <formula>"PTO"</formula>
    </cfRule>
  </conditionalFormatting>
  <conditionalFormatting sqref="R18">
    <cfRule type="cellIs" dxfId="10457" priority="7865" operator="equal">
      <formula>"OFF"</formula>
    </cfRule>
    <cfRule type="cellIs" dxfId="10456" priority="7866" operator="equal">
      <formula>"PTO"</formula>
    </cfRule>
  </conditionalFormatting>
  <conditionalFormatting sqref="R18">
    <cfRule type="cellIs" dxfId="10455" priority="7863" operator="equal">
      <formula>"OFF"</formula>
    </cfRule>
    <cfRule type="cellIs" dxfId="10454" priority="7864" operator="equal">
      <formula>"PTO"</formula>
    </cfRule>
  </conditionalFormatting>
  <conditionalFormatting sqref="R18">
    <cfRule type="cellIs" dxfId="10453" priority="7857" operator="equal">
      <formula>"OFF"</formula>
    </cfRule>
    <cfRule type="cellIs" dxfId="10452" priority="7858" operator="equal">
      <formula>"PTO"</formula>
    </cfRule>
  </conditionalFormatting>
  <conditionalFormatting sqref="R18">
    <cfRule type="cellIs" dxfId="10451" priority="7855" operator="equal">
      <formula>"OFF"</formula>
    </cfRule>
    <cfRule type="cellIs" dxfId="10450" priority="7856" operator="equal">
      <formula>"PTO"</formula>
    </cfRule>
  </conditionalFormatting>
  <conditionalFormatting sqref="R18">
    <cfRule type="cellIs" dxfId="10449" priority="7853" operator="equal">
      <formula>"OFF"</formula>
    </cfRule>
    <cfRule type="cellIs" dxfId="10448" priority="7854" operator="equal">
      <formula>"PTO"</formula>
    </cfRule>
  </conditionalFormatting>
  <conditionalFormatting sqref="R18">
    <cfRule type="cellIs" dxfId="10447" priority="7851" operator="equal">
      <formula>"OFF"</formula>
    </cfRule>
    <cfRule type="cellIs" dxfId="10446" priority="7852" operator="equal">
      <formula>"PTO"</formula>
    </cfRule>
  </conditionalFormatting>
  <conditionalFormatting sqref="R18">
    <cfRule type="cellIs" dxfId="10445" priority="7849" operator="equal">
      <formula>"OFF"</formula>
    </cfRule>
    <cfRule type="cellIs" dxfId="10444" priority="7850" operator="equal">
      <formula>"PTO"</formula>
    </cfRule>
  </conditionalFormatting>
  <conditionalFormatting sqref="R18">
    <cfRule type="cellIs" dxfId="10443" priority="7847" operator="equal">
      <formula>"OFF"</formula>
    </cfRule>
    <cfRule type="cellIs" dxfId="10442" priority="7848" operator="equal">
      <formula>"PTO"</formula>
    </cfRule>
  </conditionalFormatting>
  <conditionalFormatting sqref="R18">
    <cfRule type="cellIs" dxfId="10441" priority="7845" operator="equal">
      <formula>"OFF"</formula>
    </cfRule>
    <cfRule type="cellIs" dxfId="10440" priority="7846" operator="equal">
      <formula>"PTO"</formula>
    </cfRule>
  </conditionalFormatting>
  <conditionalFormatting sqref="R18">
    <cfRule type="cellIs" dxfId="10439" priority="7843" operator="equal">
      <formula>"OFF"</formula>
    </cfRule>
    <cfRule type="cellIs" dxfId="10438" priority="7844" operator="equal">
      <formula>"PTO"</formula>
    </cfRule>
  </conditionalFormatting>
  <conditionalFormatting sqref="R18">
    <cfRule type="cellIs" dxfId="10437" priority="7841" operator="equal">
      <formula>"OFF"</formula>
    </cfRule>
    <cfRule type="cellIs" dxfId="10436" priority="7842" operator="equal">
      <formula>"PTO"</formula>
    </cfRule>
  </conditionalFormatting>
  <conditionalFormatting sqref="R18">
    <cfRule type="cellIs" dxfId="10435" priority="7839" operator="equal">
      <formula>"OFF"</formula>
    </cfRule>
    <cfRule type="cellIs" dxfId="10434" priority="7840" operator="equal">
      <formula>"PTO"</formula>
    </cfRule>
  </conditionalFormatting>
  <conditionalFormatting sqref="R18">
    <cfRule type="cellIs" dxfId="10433" priority="7837" operator="equal">
      <formula>"OFF"</formula>
    </cfRule>
    <cfRule type="cellIs" dxfId="10432" priority="7838" operator="equal">
      <formula>"PTO"</formula>
    </cfRule>
  </conditionalFormatting>
  <conditionalFormatting sqref="R18">
    <cfRule type="cellIs" dxfId="10431" priority="7835" operator="equal">
      <formula>"OFF"</formula>
    </cfRule>
    <cfRule type="cellIs" dxfId="10430" priority="7836" operator="equal">
      <formula>"PTO"</formula>
    </cfRule>
  </conditionalFormatting>
  <conditionalFormatting sqref="R18">
    <cfRule type="cellIs" dxfId="10429" priority="7833" operator="equal">
      <formula>"OFF"</formula>
    </cfRule>
    <cfRule type="cellIs" dxfId="10428" priority="7834" operator="equal">
      <formula>"PTO"</formula>
    </cfRule>
  </conditionalFormatting>
  <conditionalFormatting sqref="R18">
    <cfRule type="cellIs" dxfId="10427" priority="7831" operator="equal">
      <formula>"OFF"</formula>
    </cfRule>
    <cfRule type="cellIs" dxfId="10426" priority="7832" operator="equal">
      <formula>"PTO"</formula>
    </cfRule>
  </conditionalFormatting>
  <conditionalFormatting sqref="R18">
    <cfRule type="cellIs" dxfId="10425" priority="7829" operator="equal">
      <formula>"OFF"</formula>
    </cfRule>
    <cfRule type="cellIs" dxfId="10424" priority="7830" operator="equal">
      <formula>"PTO"</formula>
    </cfRule>
  </conditionalFormatting>
  <conditionalFormatting sqref="R18">
    <cfRule type="cellIs" dxfId="10423" priority="7827" operator="equal">
      <formula>"OFF"</formula>
    </cfRule>
    <cfRule type="cellIs" dxfId="10422" priority="7828" operator="equal">
      <formula>"PTO"</formula>
    </cfRule>
  </conditionalFormatting>
  <conditionalFormatting sqref="R18">
    <cfRule type="cellIs" dxfId="10421" priority="7825" operator="equal">
      <formula>"OFF"</formula>
    </cfRule>
    <cfRule type="cellIs" dxfId="10420" priority="7826" operator="equal">
      <formula>"PTO"</formula>
    </cfRule>
  </conditionalFormatting>
  <conditionalFormatting sqref="R18">
    <cfRule type="cellIs" dxfId="10419" priority="7823" operator="equal">
      <formula>"OFF"</formula>
    </cfRule>
    <cfRule type="cellIs" dxfId="10418" priority="7824" operator="equal">
      <formula>"PTO"</formula>
    </cfRule>
  </conditionalFormatting>
  <conditionalFormatting sqref="C18:I18">
    <cfRule type="cellIs" dxfId="10417" priority="7821" operator="equal">
      <formula>"OFF"</formula>
    </cfRule>
    <cfRule type="cellIs" dxfId="10416" priority="7822" operator="equal">
      <formula>"PTO"</formula>
    </cfRule>
  </conditionalFormatting>
  <conditionalFormatting sqref="C18:I18">
    <cfRule type="cellIs" dxfId="10415" priority="7819" operator="equal">
      <formula>"OFF"</formula>
    </cfRule>
    <cfRule type="cellIs" dxfId="10414" priority="7820" operator="equal">
      <formula>"PTO"</formula>
    </cfRule>
  </conditionalFormatting>
  <conditionalFormatting sqref="C18">
    <cfRule type="cellIs" dxfId="10413" priority="7817" operator="equal">
      <formula>"OFF"</formula>
    </cfRule>
    <cfRule type="cellIs" dxfId="10412" priority="7818" operator="equal">
      <formula>"PTO"</formula>
    </cfRule>
  </conditionalFormatting>
  <conditionalFormatting sqref="C18">
    <cfRule type="cellIs" dxfId="10411" priority="7815" operator="equal">
      <formula>"OFF"</formula>
    </cfRule>
    <cfRule type="cellIs" dxfId="10410" priority="7816" operator="equal">
      <formula>"PTO"</formula>
    </cfRule>
  </conditionalFormatting>
  <conditionalFormatting sqref="C18">
    <cfRule type="cellIs" dxfId="10409" priority="7813" operator="equal">
      <formula>"OFF"</formula>
    </cfRule>
    <cfRule type="cellIs" dxfId="10408" priority="7814" operator="equal">
      <formula>"PTO"</formula>
    </cfRule>
  </conditionalFormatting>
  <conditionalFormatting sqref="C18">
    <cfRule type="cellIs" dxfId="10407" priority="7811" operator="equal">
      <formula>"OFF"</formula>
    </cfRule>
    <cfRule type="cellIs" dxfId="10406" priority="7812" operator="equal">
      <formula>"PTO"</formula>
    </cfRule>
  </conditionalFormatting>
  <conditionalFormatting sqref="D18">
    <cfRule type="cellIs" dxfId="10405" priority="7809" operator="equal">
      <formula>"OFF"</formula>
    </cfRule>
    <cfRule type="cellIs" dxfId="10404" priority="7810" operator="equal">
      <formula>"PTO"</formula>
    </cfRule>
  </conditionalFormatting>
  <conditionalFormatting sqref="D18">
    <cfRule type="cellIs" dxfId="10403" priority="7807" operator="equal">
      <formula>"OFF"</formula>
    </cfRule>
    <cfRule type="cellIs" dxfId="10402" priority="7808" operator="equal">
      <formula>"PTO"</formula>
    </cfRule>
  </conditionalFormatting>
  <conditionalFormatting sqref="D18">
    <cfRule type="cellIs" dxfId="10401" priority="7805" operator="equal">
      <formula>"OFF"</formula>
    </cfRule>
    <cfRule type="cellIs" dxfId="10400" priority="7806" operator="equal">
      <formula>"PTO"</formula>
    </cfRule>
  </conditionalFormatting>
  <conditionalFormatting sqref="D18">
    <cfRule type="cellIs" dxfId="10399" priority="7803" operator="equal">
      <formula>"OFF"</formula>
    </cfRule>
    <cfRule type="cellIs" dxfId="10398" priority="7804" operator="equal">
      <formula>"PTO"</formula>
    </cfRule>
  </conditionalFormatting>
  <conditionalFormatting sqref="C18">
    <cfRule type="cellIs" dxfId="10397" priority="7801" operator="equal">
      <formula>"OFF"</formula>
    </cfRule>
    <cfRule type="cellIs" dxfId="10396" priority="7802" operator="equal">
      <formula>"PTO"</formula>
    </cfRule>
  </conditionalFormatting>
  <conditionalFormatting sqref="C18">
    <cfRule type="cellIs" dxfId="10395" priority="7799" operator="equal">
      <formula>"OFF"</formula>
    </cfRule>
    <cfRule type="cellIs" dxfId="10394" priority="7800" operator="equal">
      <formula>"PTO"</formula>
    </cfRule>
  </conditionalFormatting>
  <conditionalFormatting sqref="C18">
    <cfRule type="cellIs" dxfId="10393" priority="7797" operator="equal">
      <formula>"OFF"</formula>
    </cfRule>
    <cfRule type="cellIs" dxfId="10392" priority="7798" operator="equal">
      <formula>"PTO"</formula>
    </cfRule>
  </conditionalFormatting>
  <conditionalFormatting sqref="C18">
    <cfRule type="cellIs" dxfId="10391" priority="7795" operator="equal">
      <formula>"OFF"</formula>
    </cfRule>
    <cfRule type="cellIs" dxfId="10390" priority="7796" operator="equal">
      <formula>"PTO"</formula>
    </cfRule>
  </conditionalFormatting>
  <conditionalFormatting sqref="D18">
    <cfRule type="cellIs" dxfId="10389" priority="7793" operator="equal">
      <formula>"OFF"</formula>
    </cfRule>
    <cfRule type="cellIs" dxfId="10388" priority="7794" operator="equal">
      <formula>"PTO"</formula>
    </cfRule>
  </conditionalFormatting>
  <conditionalFormatting sqref="D18">
    <cfRule type="cellIs" dxfId="10387" priority="7791" operator="equal">
      <formula>"OFF"</formula>
    </cfRule>
    <cfRule type="cellIs" dxfId="10386" priority="7792" operator="equal">
      <formula>"PTO"</formula>
    </cfRule>
  </conditionalFormatting>
  <conditionalFormatting sqref="B22">
    <cfRule type="duplicateValues" dxfId="10385" priority="8118"/>
  </conditionalFormatting>
  <conditionalFormatting sqref="B21">
    <cfRule type="duplicateValues" dxfId="10384" priority="8117"/>
  </conditionalFormatting>
  <conditionalFormatting sqref="B20">
    <cfRule type="duplicateValues" dxfId="10383" priority="8116"/>
  </conditionalFormatting>
  <conditionalFormatting sqref="B18">
    <cfRule type="duplicateValues" dxfId="10382" priority="8115"/>
  </conditionalFormatting>
  <conditionalFormatting sqref="Q18:W18">
    <cfRule type="cellIs" dxfId="10381" priority="8113" operator="equal">
      <formula>"OFF"</formula>
    </cfRule>
    <cfRule type="cellIs" dxfId="10380" priority="8114" operator="equal">
      <formula>"PTO"</formula>
    </cfRule>
  </conditionalFormatting>
  <conditionalFormatting sqref="Q18:W18">
    <cfRule type="cellIs" dxfId="10379" priority="8111" operator="equal">
      <formula>"OFF"</formula>
    </cfRule>
    <cfRule type="cellIs" dxfId="10378" priority="8112" operator="equal">
      <formula>"PTO"</formula>
    </cfRule>
  </conditionalFormatting>
  <conditionalFormatting sqref="Q18">
    <cfRule type="cellIs" dxfId="10377" priority="8109" operator="equal">
      <formula>"OFF"</formula>
    </cfRule>
    <cfRule type="cellIs" dxfId="10376" priority="8110" operator="equal">
      <formula>"PTO"</formula>
    </cfRule>
  </conditionalFormatting>
  <conditionalFormatting sqref="Q18">
    <cfRule type="cellIs" dxfId="10375" priority="8107" operator="equal">
      <formula>"OFF"</formula>
    </cfRule>
    <cfRule type="cellIs" dxfId="10374" priority="8108" operator="equal">
      <formula>"PTO"</formula>
    </cfRule>
  </conditionalFormatting>
  <conditionalFormatting sqref="Q18">
    <cfRule type="cellIs" dxfId="10373" priority="8105" operator="equal">
      <formula>"OFF"</formula>
    </cfRule>
    <cfRule type="cellIs" dxfId="10372" priority="8106" operator="equal">
      <formula>"PTO"</formula>
    </cfRule>
  </conditionalFormatting>
  <conditionalFormatting sqref="Q18">
    <cfRule type="cellIs" dxfId="10371" priority="8103" operator="equal">
      <formula>"OFF"</formula>
    </cfRule>
    <cfRule type="cellIs" dxfId="10370" priority="8104" operator="equal">
      <formula>"PTO"</formula>
    </cfRule>
  </conditionalFormatting>
  <conditionalFormatting sqref="R18">
    <cfRule type="cellIs" dxfId="10369" priority="8101" operator="equal">
      <formula>"OFF"</formula>
    </cfRule>
    <cfRule type="cellIs" dxfId="10368" priority="8102" operator="equal">
      <formula>"PTO"</formula>
    </cfRule>
  </conditionalFormatting>
  <conditionalFormatting sqref="R18">
    <cfRule type="cellIs" dxfId="10367" priority="8099" operator="equal">
      <formula>"OFF"</formula>
    </cfRule>
    <cfRule type="cellIs" dxfId="10366" priority="8100" operator="equal">
      <formula>"PTO"</formula>
    </cfRule>
  </conditionalFormatting>
  <conditionalFormatting sqref="R18">
    <cfRule type="cellIs" dxfId="10365" priority="8097" operator="equal">
      <formula>"OFF"</formula>
    </cfRule>
    <cfRule type="cellIs" dxfId="10364" priority="8098" operator="equal">
      <formula>"PTO"</formula>
    </cfRule>
  </conditionalFormatting>
  <conditionalFormatting sqref="R18">
    <cfRule type="cellIs" dxfId="10363" priority="8095" operator="equal">
      <formula>"OFF"</formula>
    </cfRule>
    <cfRule type="cellIs" dxfId="10362" priority="8096" operator="equal">
      <formula>"PTO"</formula>
    </cfRule>
  </conditionalFormatting>
  <conditionalFormatting sqref="Q18">
    <cfRule type="cellIs" dxfId="10361" priority="8093" operator="equal">
      <formula>"OFF"</formula>
    </cfRule>
    <cfRule type="cellIs" dxfId="10360" priority="8094" operator="equal">
      <formula>"PTO"</formula>
    </cfRule>
  </conditionalFormatting>
  <conditionalFormatting sqref="Q18">
    <cfRule type="cellIs" dxfId="10359" priority="8091" operator="equal">
      <formula>"OFF"</formula>
    </cfRule>
    <cfRule type="cellIs" dxfId="10358" priority="8092" operator="equal">
      <formula>"PTO"</formula>
    </cfRule>
  </conditionalFormatting>
  <conditionalFormatting sqref="Q18">
    <cfRule type="cellIs" dxfId="10357" priority="8089" operator="equal">
      <formula>"OFF"</formula>
    </cfRule>
    <cfRule type="cellIs" dxfId="10356" priority="8090" operator="equal">
      <formula>"PTO"</formula>
    </cfRule>
  </conditionalFormatting>
  <conditionalFormatting sqref="Q18">
    <cfRule type="cellIs" dxfId="10355" priority="8087" operator="equal">
      <formula>"OFF"</formula>
    </cfRule>
    <cfRule type="cellIs" dxfId="10354" priority="8088" operator="equal">
      <formula>"PTO"</formula>
    </cfRule>
  </conditionalFormatting>
  <conditionalFormatting sqref="R18">
    <cfRule type="cellIs" dxfId="10353" priority="8085" operator="equal">
      <formula>"OFF"</formula>
    </cfRule>
    <cfRule type="cellIs" dxfId="10352" priority="8086" operator="equal">
      <formula>"PTO"</formula>
    </cfRule>
  </conditionalFormatting>
  <conditionalFormatting sqref="R18">
    <cfRule type="cellIs" dxfId="10351" priority="8083" operator="equal">
      <formula>"OFF"</formula>
    </cfRule>
    <cfRule type="cellIs" dxfId="10350" priority="8084" operator="equal">
      <formula>"PTO"</formula>
    </cfRule>
  </conditionalFormatting>
  <conditionalFormatting sqref="R18">
    <cfRule type="cellIs" dxfId="10349" priority="8081" operator="equal">
      <formula>"OFF"</formula>
    </cfRule>
    <cfRule type="cellIs" dxfId="10348" priority="8082" operator="equal">
      <formula>"PTO"</formula>
    </cfRule>
  </conditionalFormatting>
  <conditionalFormatting sqref="R18">
    <cfRule type="cellIs" dxfId="10347" priority="8079" operator="equal">
      <formula>"OFF"</formula>
    </cfRule>
    <cfRule type="cellIs" dxfId="10346" priority="8080" operator="equal">
      <formula>"PTO"</formula>
    </cfRule>
  </conditionalFormatting>
  <conditionalFormatting sqref="Q18">
    <cfRule type="cellIs" dxfId="10345" priority="8077" operator="equal">
      <formula>"OFF"</formula>
    </cfRule>
    <cfRule type="cellIs" dxfId="10344" priority="8078" operator="equal">
      <formula>"PTO"</formula>
    </cfRule>
  </conditionalFormatting>
  <conditionalFormatting sqref="Q18">
    <cfRule type="cellIs" dxfId="10343" priority="8075" operator="equal">
      <formula>"OFF"</formula>
    </cfRule>
    <cfRule type="cellIs" dxfId="10342" priority="8076" operator="equal">
      <formula>"PTO"</formula>
    </cfRule>
  </conditionalFormatting>
  <conditionalFormatting sqref="Q18">
    <cfRule type="cellIs" dxfId="10341" priority="8073" operator="equal">
      <formula>"OFF"</formula>
    </cfRule>
    <cfRule type="cellIs" dxfId="10340" priority="8074" operator="equal">
      <formula>"PTO"</formula>
    </cfRule>
  </conditionalFormatting>
  <conditionalFormatting sqref="Q18">
    <cfRule type="cellIs" dxfId="10339" priority="8071" operator="equal">
      <formula>"OFF"</formula>
    </cfRule>
    <cfRule type="cellIs" dxfId="10338" priority="8072" operator="equal">
      <formula>"PTO"</formula>
    </cfRule>
  </conditionalFormatting>
  <conditionalFormatting sqref="R18">
    <cfRule type="cellIs" dxfId="10337" priority="8069" operator="equal">
      <formula>"OFF"</formula>
    </cfRule>
    <cfRule type="cellIs" dxfId="10336" priority="8070" operator="equal">
      <formula>"PTO"</formula>
    </cfRule>
  </conditionalFormatting>
  <conditionalFormatting sqref="R18">
    <cfRule type="cellIs" dxfId="10335" priority="8067" operator="equal">
      <formula>"OFF"</formula>
    </cfRule>
    <cfRule type="cellIs" dxfId="10334" priority="8068" operator="equal">
      <formula>"PTO"</formula>
    </cfRule>
  </conditionalFormatting>
  <conditionalFormatting sqref="R18">
    <cfRule type="cellIs" dxfId="10333" priority="8065" operator="equal">
      <formula>"OFF"</formula>
    </cfRule>
    <cfRule type="cellIs" dxfId="10332" priority="8066" operator="equal">
      <formula>"PTO"</formula>
    </cfRule>
  </conditionalFormatting>
  <conditionalFormatting sqref="R18">
    <cfRule type="cellIs" dxfId="10331" priority="8063" operator="equal">
      <formula>"OFF"</formula>
    </cfRule>
    <cfRule type="cellIs" dxfId="10330" priority="8064" operator="equal">
      <formula>"PTO"</formula>
    </cfRule>
  </conditionalFormatting>
  <conditionalFormatting sqref="Q18">
    <cfRule type="cellIs" dxfId="10329" priority="8061" operator="equal">
      <formula>"OFF"</formula>
    </cfRule>
    <cfRule type="cellIs" dxfId="10328" priority="8062" operator="equal">
      <formula>"PTO"</formula>
    </cfRule>
  </conditionalFormatting>
  <conditionalFormatting sqref="Q18">
    <cfRule type="cellIs" dxfId="10327" priority="8059" operator="equal">
      <formula>"OFF"</formula>
    </cfRule>
    <cfRule type="cellIs" dxfId="10326" priority="8060" operator="equal">
      <formula>"PTO"</formula>
    </cfRule>
  </conditionalFormatting>
  <conditionalFormatting sqref="Q18">
    <cfRule type="cellIs" dxfId="10325" priority="8057" operator="equal">
      <formula>"OFF"</formula>
    </cfRule>
    <cfRule type="cellIs" dxfId="10324" priority="8058" operator="equal">
      <formula>"PTO"</formula>
    </cfRule>
  </conditionalFormatting>
  <conditionalFormatting sqref="Q18">
    <cfRule type="cellIs" dxfId="10323" priority="8055" operator="equal">
      <formula>"OFF"</formula>
    </cfRule>
    <cfRule type="cellIs" dxfId="10322" priority="8056" operator="equal">
      <formula>"PTO"</formula>
    </cfRule>
  </conditionalFormatting>
  <conditionalFormatting sqref="D18">
    <cfRule type="cellIs" dxfId="10321" priority="7789" operator="equal">
      <formula>"OFF"</formula>
    </cfRule>
    <cfRule type="cellIs" dxfId="10320" priority="7790" operator="equal">
      <formula>"PTO"</formula>
    </cfRule>
  </conditionalFormatting>
  <conditionalFormatting sqref="D18">
    <cfRule type="cellIs" dxfId="10319" priority="7787" operator="equal">
      <formula>"OFF"</formula>
    </cfRule>
    <cfRule type="cellIs" dxfId="10318" priority="7788" operator="equal">
      <formula>"PTO"</formula>
    </cfRule>
  </conditionalFormatting>
  <conditionalFormatting sqref="C18">
    <cfRule type="cellIs" dxfId="10317" priority="7785" operator="equal">
      <formula>"OFF"</formula>
    </cfRule>
    <cfRule type="cellIs" dxfId="10316" priority="7786" operator="equal">
      <formula>"PTO"</formula>
    </cfRule>
  </conditionalFormatting>
  <conditionalFormatting sqref="C18">
    <cfRule type="cellIs" dxfId="10315" priority="7783" operator="equal">
      <formula>"OFF"</formula>
    </cfRule>
    <cfRule type="cellIs" dxfId="10314" priority="7784" operator="equal">
      <formula>"PTO"</formula>
    </cfRule>
  </conditionalFormatting>
  <conditionalFormatting sqref="C18">
    <cfRule type="cellIs" dxfId="10313" priority="7781" operator="equal">
      <formula>"OFF"</formula>
    </cfRule>
    <cfRule type="cellIs" dxfId="10312" priority="7782" operator="equal">
      <formula>"PTO"</formula>
    </cfRule>
  </conditionalFormatting>
  <conditionalFormatting sqref="C18">
    <cfRule type="cellIs" dxfId="10311" priority="7779" operator="equal">
      <formula>"OFF"</formula>
    </cfRule>
    <cfRule type="cellIs" dxfId="10310" priority="7780" operator="equal">
      <formula>"PTO"</formula>
    </cfRule>
  </conditionalFormatting>
  <conditionalFormatting sqref="D18">
    <cfRule type="cellIs" dxfId="10309" priority="7777" operator="equal">
      <formula>"OFF"</formula>
    </cfRule>
    <cfRule type="cellIs" dxfId="10308" priority="7778" operator="equal">
      <formula>"PTO"</formula>
    </cfRule>
  </conditionalFormatting>
  <conditionalFormatting sqref="D18">
    <cfRule type="cellIs" dxfId="10307" priority="7775" operator="equal">
      <formula>"OFF"</formula>
    </cfRule>
    <cfRule type="cellIs" dxfId="10306" priority="7776" operator="equal">
      <formula>"PTO"</formula>
    </cfRule>
  </conditionalFormatting>
  <conditionalFormatting sqref="D18">
    <cfRule type="cellIs" dxfId="10305" priority="7773" operator="equal">
      <formula>"OFF"</formula>
    </cfRule>
    <cfRule type="cellIs" dxfId="10304" priority="7774" operator="equal">
      <formula>"PTO"</formula>
    </cfRule>
  </conditionalFormatting>
  <conditionalFormatting sqref="D18">
    <cfRule type="cellIs" dxfId="10303" priority="7771" operator="equal">
      <formula>"OFF"</formula>
    </cfRule>
    <cfRule type="cellIs" dxfId="10302" priority="7772" operator="equal">
      <formula>"PTO"</formula>
    </cfRule>
  </conditionalFormatting>
  <conditionalFormatting sqref="C18">
    <cfRule type="cellIs" dxfId="10301" priority="7769" operator="equal">
      <formula>"OFF"</formula>
    </cfRule>
    <cfRule type="cellIs" dxfId="10300" priority="7770" operator="equal">
      <formula>"PTO"</formula>
    </cfRule>
  </conditionalFormatting>
  <conditionalFormatting sqref="C18">
    <cfRule type="cellIs" dxfId="10299" priority="7767" operator="equal">
      <formula>"OFF"</formula>
    </cfRule>
    <cfRule type="cellIs" dxfId="10298" priority="7768" operator="equal">
      <formula>"PTO"</formula>
    </cfRule>
  </conditionalFormatting>
  <conditionalFormatting sqref="C18">
    <cfRule type="cellIs" dxfId="10297" priority="7765" operator="equal">
      <formula>"OFF"</formula>
    </cfRule>
    <cfRule type="cellIs" dxfId="10296" priority="7766" operator="equal">
      <formula>"PTO"</formula>
    </cfRule>
  </conditionalFormatting>
  <conditionalFormatting sqref="C18">
    <cfRule type="cellIs" dxfId="10295" priority="7763" operator="equal">
      <formula>"OFF"</formula>
    </cfRule>
    <cfRule type="cellIs" dxfId="10294" priority="7764" operator="equal">
      <formula>"PTO"</formula>
    </cfRule>
  </conditionalFormatting>
  <conditionalFormatting sqref="D18">
    <cfRule type="cellIs" dxfId="10293" priority="7761" operator="equal">
      <formula>"OFF"</formula>
    </cfRule>
    <cfRule type="cellIs" dxfId="10292" priority="7762" operator="equal">
      <formula>"PTO"</formula>
    </cfRule>
  </conditionalFormatting>
  <conditionalFormatting sqref="D18">
    <cfRule type="cellIs" dxfId="10291" priority="7759" operator="equal">
      <formula>"OFF"</formula>
    </cfRule>
    <cfRule type="cellIs" dxfId="10290" priority="7760" operator="equal">
      <formula>"PTO"</formula>
    </cfRule>
  </conditionalFormatting>
  <conditionalFormatting sqref="D18">
    <cfRule type="cellIs" dxfId="10289" priority="7757" operator="equal">
      <formula>"OFF"</formula>
    </cfRule>
    <cfRule type="cellIs" dxfId="10288" priority="7758" operator="equal">
      <formula>"PTO"</formula>
    </cfRule>
  </conditionalFormatting>
  <conditionalFormatting sqref="D18">
    <cfRule type="cellIs" dxfId="10287" priority="7755" operator="equal">
      <formula>"OFF"</formula>
    </cfRule>
    <cfRule type="cellIs" dxfId="10286" priority="7756" operator="equal">
      <formula>"PTO"</formula>
    </cfRule>
  </conditionalFormatting>
  <conditionalFormatting sqref="C18:I18">
    <cfRule type="cellIs" dxfId="10285" priority="7753" operator="equal">
      <formula>"OFF"</formula>
    </cfRule>
    <cfRule type="cellIs" dxfId="10284" priority="7754" operator="equal">
      <formula>"PTO"</formula>
    </cfRule>
  </conditionalFormatting>
  <conditionalFormatting sqref="C18:I18">
    <cfRule type="cellIs" dxfId="10283" priority="7751" operator="equal">
      <formula>"OFF"</formula>
    </cfRule>
    <cfRule type="cellIs" dxfId="10282" priority="7752" operator="equal">
      <formula>"PTO"</formula>
    </cfRule>
  </conditionalFormatting>
  <conditionalFormatting sqref="E18">
    <cfRule type="cellIs" dxfId="10281" priority="7749" operator="equal">
      <formula>"OFF"</formula>
    </cfRule>
    <cfRule type="cellIs" dxfId="10280" priority="7750" operator="equal">
      <formula>"PTO"</formula>
    </cfRule>
  </conditionalFormatting>
  <conditionalFormatting sqref="E18">
    <cfRule type="cellIs" dxfId="10279" priority="7747" operator="equal">
      <formula>"OFF"</formula>
    </cfRule>
    <cfRule type="cellIs" dxfId="10278" priority="7748" operator="equal">
      <formula>"PTO"</formula>
    </cfRule>
  </conditionalFormatting>
  <conditionalFormatting sqref="E18">
    <cfRule type="cellIs" dxfId="10277" priority="7745" operator="equal">
      <formula>"OFF"</formula>
    </cfRule>
    <cfRule type="cellIs" dxfId="10276" priority="7746" operator="equal">
      <formula>"PTO"</formula>
    </cfRule>
  </conditionalFormatting>
  <conditionalFormatting sqref="E18">
    <cfRule type="cellIs" dxfId="10275" priority="7743" operator="equal">
      <formula>"OFF"</formula>
    </cfRule>
    <cfRule type="cellIs" dxfId="10274" priority="7744" operator="equal">
      <formula>"PTO"</formula>
    </cfRule>
  </conditionalFormatting>
  <conditionalFormatting sqref="E18">
    <cfRule type="cellIs" dxfId="10273" priority="7741" operator="equal">
      <formula>"OFF"</formula>
    </cfRule>
    <cfRule type="cellIs" dxfId="10272" priority="7742" operator="equal">
      <formula>"PTO"</formula>
    </cfRule>
  </conditionalFormatting>
  <conditionalFormatting sqref="E18">
    <cfRule type="cellIs" dxfId="10271" priority="7739" operator="equal">
      <formula>"OFF"</formula>
    </cfRule>
    <cfRule type="cellIs" dxfId="10270" priority="7740" operator="equal">
      <formula>"PTO"</formula>
    </cfRule>
  </conditionalFormatting>
  <conditionalFormatting sqref="E18">
    <cfRule type="cellIs" dxfId="10269" priority="7737" operator="equal">
      <formula>"OFF"</formula>
    </cfRule>
    <cfRule type="cellIs" dxfId="10268" priority="7738" operator="equal">
      <formula>"PTO"</formula>
    </cfRule>
  </conditionalFormatting>
  <conditionalFormatting sqref="E18">
    <cfRule type="cellIs" dxfId="10267" priority="7735" operator="equal">
      <formula>"OFF"</formula>
    </cfRule>
    <cfRule type="cellIs" dxfId="10266" priority="7736" operator="equal">
      <formula>"PTO"</formula>
    </cfRule>
  </conditionalFormatting>
  <conditionalFormatting sqref="E18">
    <cfRule type="cellIs" dxfId="10265" priority="7733" operator="equal">
      <formula>"OFF"</formula>
    </cfRule>
    <cfRule type="cellIs" dxfId="10264" priority="7734" operator="equal">
      <formula>"PTO"</formula>
    </cfRule>
  </conditionalFormatting>
  <conditionalFormatting sqref="E18">
    <cfRule type="cellIs" dxfId="10263" priority="7731" operator="equal">
      <formula>"OFF"</formula>
    </cfRule>
    <cfRule type="cellIs" dxfId="10262" priority="7732" operator="equal">
      <formula>"PTO"</formula>
    </cfRule>
  </conditionalFormatting>
  <conditionalFormatting sqref="E18">
    <cfRule type="cellIs" dxfId="10261" priority="7729" operator="equal">
      <formula>"OFF"</formula>
    </cfRule>
    <cfRule type="cellIs" dxfId="10260" priority="7730" operator="equal">
      <formula>"PTO"</formula>
    </cfRule>
  </conditionalFormatting>
  <conditionalFormatting sqref="E18">
    <cfRule type="cellIs" dxfId="10259" priority="7727" operator="equal">
      <formula>"OFF"</formula>
    </cfRule>
    <cfRule type="cellIs" dxfId="10258" priority="7728" operator="equal">
      <formula>"PTO"</formula>
    </cfRule>
  </conditionalFormatting>
  <conditionalFormatting sqref="E18">
    <cfRule type="cellIs" dxfId="10257" priority="7725" operator="equal">
      <formula>"OFF"</formula>
    </cfRule>
    <cfRule type="cellIs" dxfId="10256" priority="7726" operator="equal">
      <formula>"PTO"</formula>
    </cfRule>
  </conditionalFormatting>
  <conditionalFormatting sqref="E18">
    <cfRule type="cellIs" dxfId="10255" priority="7723" operator="equal">
      <formula>"OFF"</formula>
    </cfRule>
    <cfRule type="cellIs" dxfId="10254" priority="7724" operator="equal">
      <formula>"PTO"</formula>
    </cfRule>
  </conditionalFormatting>
  <conditionalFormatting sqref="E18">
    <cfRule type="cellIs" dxfId="10253" priority="7721" operator="equal">
      <formula>"OFF"</formula>
    </cfRule>
    <cfRule type="cellIs" dxfId="10252" priority="7722" operator="equal">
      <formula>"PTO"</formula>
    </cfRule>
  </conditionalFormatting>
  <conditionalFormatting sqref="E18">
    <cfRule type="cellIs" dxfId="10251" priority="7719" operator="equal">
      <formula>"OFF"</formula>
    </cfRule>
    <cfRule type="cellIs" dxfId="10250" priority="7720" operator="equal">
      <formula>"PTO"</formula>
    </cfRule>
  </conditionalFormatting>
  <conditionalFormatting sqref="H18">
    <cfRule type="cellIs" dxfId="10249" priority="7717" operator="equal">
      <formula>"OFF"</formula>
    </cfRule>
    <cfRule type="cellIs" dxfId="10248" priority="7718" operator="equal">
      <formula>"PTO"</formula>
    </cfRule>
  </conditionalFormatting>
  <conditionalFormatting sqref="H18">
    <cfRule type="cellIs" dxfId="10247" priority="7715" operator="equal">
      <formula>"OFF"</formula>
    </cfRule>
    <cfRule type="cellIs" dxfId="10246" priority="7716" operator="equal">
      <formula>"PTO"</formula>
    </cfRule>
  </conditionalFormatting>
  <conditionalFormatting sqref="H18">
    <cfRule type="cellIs" dxfId="10245" priority="7713" operator="equal">
      <formula>"OFF"</formula>
    </cfRule>
    <cfRule type="cellIs" dxfId="10244" priority="7714" operator="equal">
      <formula>"PTO"</formula>
    </cfRule>
  </conditionalFormatting>
  <conditionalFormatting sqref="H18">
    <cfRule type="cellIs" dxfId="10243" priority="7711" operator="equal">
      <formula>"OFF"</formula>
    </cfRule>
    <cfRule type="cellIs" dxfId="10242" priority="7712" operator="equal">
      <formula>"PTO"</formula>
    </cfRule>
  </conditionalFormatting>
  <conditionalFormatting sqref="H18">
    <cfRule type="cellIs" dxfId="10241" priority="7709" operator="equal">
      <formula>"OFF"</formula>
    </cfRule>
    <cfRule type="cellIs" dxfId="10240" priority="7710" operator="equal">
      <formula>"PTO"</formula>
    </cfRule>
  </conditionalFormatting>
  <conditionalFormatting sqref="H18">
    <cfRule type="cellIs" dxfId="10239" priority="7707" operator="equal">
      <formula>"OFF"</formula>
    </cfRule>
    <cfRule type="cellIs" dxfId="10238" priority="7708" operator="equal">
      <formula>"PTO"</formula>
    </cfRule>
  </conditionalFormatting>
  <conditionalFormatting sqref="H18">
    <cfRule type="cellIs" dxfId="10237" priority="7705" operator="equal">
      <formula>"OFF"</formula>
    </cfRule>
    <cfRule type="cellIs" dxfId="10236" priority="7706" operator="equal">
      <formula>"PTO"</formula>
    </cfRule>
  </conditionalFormatting>
  <conditionalFormatting sqref="H18">
    <cfRule type="cellIs" dxfId="10235" priority="7703" operator="equal">
      <formula>"OFF"</formula>
    </cfRule>
    <cfRule type="cellIs" dxfId="10234" priority="7704" operator="equal">
      <formula>"PTO"</formula>
    </cfRule>
  </conditionalFormatting>
  <conditionalFormatting sqref="H18">
    <cfRule type="cellIs" dxfId="10233" priority="7701" operator="equal">
      <formula>"OFF"</formula>
    </cfRule>
    <cfRule type="cellIs" dxfId="10232" priority="7702" operator="equal">
      <formula>"PTO"</formula>
    </cfRule>
  </conditionalFormatting>
  <conditionalFormatting sqref="H18">
    <cfRule type="cellIs" dxfId="10231" priority="7699" operator="equal">
      <formula>"OFF"</formula>
    </cfRule>
    <cfRule type="cellIs" dxfId="10230" priority="7700" operator="equal">
      <formula>"PTO"</formula>
    </cfRule>
  </conditionalFormatting>
  <conditionalFormatting sqref="H18">
    <cfRule type="cellIs" dxfId="10229" priority="7697" operator="equal">
      <formula>"OFF"</formula>
    </cfRule>
    <cfRule type="cellIs" dxfId="10228" priority="7698" operator="equal">
      <formula>"PTO"</formula>
    </cfRule>
  </conditionalFormatting>
  <conditionalFormatting sqref="H18">
    <cfRule type="cellIs" dxfId="10227" priority="7695" operator="equal">
      <formula>"OFF"</formula>
    </cfRule>
    <cfRule type="cellIs" dxfId="10226" priority="7696" operator="equal">
      <formula>"PTO"</formula>
    </cfRule>
  </conditionalFormatting>
  <conditionalFormatting sqref="H18">
    <cfRule type="cellIs" dxfId="10225" priority="7693" operator="equal">
      <formula>"OFF"</formula>
    </cfRule>
    <cfRule type="cellIs" dxfId="10224" priority="7694" operator="equal">
      <formula>"PTO"</formula>
    </cfRule>
  </conditionalFormatting>
  <conditionalFormatting sqref="H18">
    <cfRule type="cellIs" dxfId="10223" priority="7691" operator="equal">
      <formula>"OFF"</formula>
    </cfRule>
    <cfRule type="cellIs" dxfId="10222" priority="7692" operator="equal">
      <formula>"PTO"</formula>
    </cfRule>
  </conditionalFormatting>
  <conditionalFormatting sqref="H18">
    <cfRule type="cellIs" dxfId="10221" priority="7689" operator="equal">
      <formula>"OFF"</formula>
    </cfRule>
    <cfRule type="cellIs" dxfId="10220" priority="7690" operator="equal">
      <formula>"PTO"</formula>
    </cfRule>
  </conditionalFormatting>
  <conditionalFormatting sqref="H18">
    <cfRule type="cellIs" dxfId="10219" priority="7687" operator="equal">
      <formula>"OFF"</formula>
    </cfRule>
    <cfRule type="cellIs" dxfId="10218" priority="7688" operator="equal">
      <formula>"PTO"</formula>
    </cfRule>
  </conditionalFormatting>
  <conditionalFormatting sqref="E18">
    <cfRule type="cellIs" dxfId="10217" priority="7685" operator="equal">
      <formula>"OFF"</formula>
    </cfRule>
    <cfRule type="cellIs" dxfId="10216" priority="7686" operator="equal">
      <formula>"PTO"</formula>
    </cfRule>
  </conditionalFormatting>
  <conditionalFormatting sqref="E18">
    <cfRule type="cellIs" dxfId="10215" priority="7683" operator="equal">
      <formula>"OFF"</formula>
    </cfRule>
    <cfRule type="cellIs" dxfId="10214" priority="7684" operator="equal">
      <formula>"PTO"</formula>
    </cfRule>
  </conditionalFormatting>
  <conditionalFormatting sqref="E18">
    <cfRule type="cellIs" dxfId="10213" priority="7681" operator="equal">
      <formula>"OFF"</formula>
    </cfRule>
    <cfRule type="cellIs" dxfId="10212" priority="7682" operator="equal">
      <formula>"PTO"</formula>
    </cfRule>
  </conditionalFormatting>
  <conditionalFormatting sqref="E18">
    <cfRule type="cellIs" dxfId="10211" priority="7679" operator="equal">
      <formula>"OFF"</formula>
    </cfRule>
    <cfRule type="cellIs" dxfId="10210" priority="7680" operator="equal">
      <formula>"PTO"</formula>
    </cfRule>
  </conditionalFormatting>
  <conditionalFormatting sqref="E18">
    <cfRule type="cellIs" dxfId="10209" priority="7677" operator="equal">
      <formula>"OFF"</formula>
    </cfRule>
    <cfRule type="cellIs" dxfId="10208" priority="7678" operator="equal">
      <formula>"PTO"</formula>
    </cfRule>
  </conditionalFormatting>
  <conditionalFormatting sqref="E18">
    <cfRule type="cellIs" dxfId="10207" priority="7675" operator="equal">
      <formula>"OFF"</formula>
    </cfRule>
    <cfRule type="cellIs" dxfId="10206" priority="7676" operator="equal">
      <formula>"PTO"</formula>
    </cfRule>
  </conditionalFormatting>
  <conditionalFormatting sqref="E18">
    <cfRule type="cellIs" dxfId="10205" priority="7673" operator="equal">
      <formula>"OFF"</formula>
    </cfRule>
    <cfRule type="cellIs" dxfId="10204" priority="7674" operator="equal">
      <formula>"PTO"</formula>
    </cfRule>
  </conditionalFormatting>
  <conditionalFormatting sqref="E18">
    <cfRule type="cellIs" dxfId="10203" priority="7671" operator="equal">
      <formula>"OFF"</formula>
    </cfRule>
    <cfRule type="cellIs" dxfId="10202" priority="7672" operator="equal">
      <formula>"PTO"</formula>
    </cfRule>
  </conditionalFormatting>
  <conditionalFormatting sqref="E18">
    <cfRule type="cellIs" dxfId="10201" priority="7669" operator="equal">
      <formula>"OFF"</formula>
    </cfRule>
    <cfRule type="cellIs" dxfId="10200" priority="7670" operator="equal">
      <formula>"PTO"</formula>
    </cfRule>
  </conditionalFormatting>
  <conditionalFormatting sqref="E18">
    <cfRule type="cellIs" dxfId="10199" priority="7667" operator="equal">
      <formula>"OFF"</formula>
    </cfRule>
    <cfRule type="cellIs" dxfId="10198" priority="7668" operator="equal">
      <formula>"PTO"</formula>
    </cfRule>
  </conditionalFormatting>
  <conditionalFormatting sqref="E18">
    <cfRule type="cellIs" dxfId="10197" priority="7665" operator="equal">
      <formula>"OFF"</formula>
    </cfRule>
    <cfRule type="cellIs" dxfId="10196" priority="7666" operator="equal">
      <formula>"PTO"</formula>
    </cfRule>
  </conditionalFormatting>
  <conditionalFormatting sqref="E18">
    <cfRule type="cellIs" dxfId="10195" priority="7663" operator="equal">
      <formula>"OFF"</formula>
    </cfRule>
    <cfRule type="cellIs" dxfId="10194" priority="7664" operator="equal">
      <formula>"PTO"</formula>
    </cfRule>
  </conditionalFormatting>
  <conditionalFormatting sqref="E18">
    <cfRule type="cellIs" dxfId="10193" priority="7661" operator="equal">
      <formula>"OFF"</formula>
    </cfRule>
    <cfRule type="cellIs" dxfId="10192" priority="7662" operator="equal">
      <formula>"PTO"</formula>
    </cfRule>
  </conditionalFormatting>
  <conditionalFormatting sqref="E18">
    <cfRule type="cellIs" dxfId="10191" priority="7659" operator="equal">
      <formula>"OFF"</formula>
    </cfRule>
    <cfRule type="cellIs" dxfId="10190" priority="7660" operator="equal">
      <formula>"PTO"</formula>
    </cfRule>
  </conditionalFormatting>
  <conditionalFormatting sqref="E18">
    <cfRule type="cellIs" dxfId="10189" priority="7657" operator="equal">
      <formula>"OFF"</formula>
    </cfRule>
    <cfRule type="cellIs" dxfId="10188" priority="7658" operator="equal">
      <formula>"PTO"</formula>
    </cfRule>
  </conditionalFormatting>
  <conditionalFormatting sqref="E18">
    <cfRule type="cellIs" dxfId="10187" priority="7655" operator="equal">
      <formula>"OFF"</formula>
    </cfRule>
    <cfRule type="cellIs" dxfId="10186" priority="7656" operator="equal">
      <formula>"PTO"</formula>
    </cfRule>
  </conditionalFormatting>
  <conditionalFormatting sqref="H18">
    <cfRule type="cellIs" dxfId="10185" priority="7653" operator="equal">
      <formula>"OFF"</formula>
    </cfRule>
    <cfRule type="cellIs" dxfId="10184" priority="7654" operator="equal">
      <formula>"PTO"</formula>
    </cfRule>
  </conditionalFormatting>
  <conditionalFormatting sqref="H18">
    <cfRule type="cellIs" dxfId="10183" priority="7651" operator="equal">
      <formula>"OFF"</formula>
    </cfRule>
    <cfRule type="cellIs" dxfId="10182" priority="7652" operator="equal">
      <formula>"PTO"</formula>
    </cfRule>
  </conditionalFormatting>
  <conditionalFormatting sqref="H18">
    <cfRule type="cellIs" dxfId="10181" priority="7649" operator="equal">
      <formula>"OFF"</formula>
    </cfRule>
    <cfRule type="cellIs" dxfId="10180" priority="7650" operator="equal">
      <formula>"PTO"</formula>
    </cfRule>
  </conditionalFormatting>
  <conditionalFormatting sqref="H18">
    <cfRule type="cellIs" dxfId="10179" priority="7647" operator="equal">
      <formula>"OFF"</formula>
    </cfRule>
    <cfRule type="cellIs" dxfId="10178" priority="7648" operator="equal">
      <formula>"PTO"</formula>
    </cfRule>
  </conditionalFormatting>
  <conditionalFormatting sqref="H18">
    <cfRule type="cellIs" dxfId="10177" priority="7645" operator="equal">
      <formula>"OFF"</formula>
    </cfRule>
    <cfRule type="cellIs" dxfId="10176" priority="7646" operator="equal">
      <formula>"PTO"</formula>
    </cfRule>
  </conditionalFormatting>
  <conditionalFormatting sqref="H18">
    <cfRule type="cellIs" dxfId="10175" priority="7643" operator="equal">
      <formula>"OFF"</formula>
    </cfRule>
    <cfRule type="cellIs" dxfId="10174" priority="7644" operator="equal">
      <formula>"PTO"</formula>
    </cfRule>
  </conditionalFormatting>
  <conditionalFormatting sqref="H18">
    <cfRule type="cellIs" dxfId="10173" priority="7641" operator="equal">
      <formula>"OFF"</formula>
    </cfRule>
    <cfRule type="cellIs" dxfId="10172" priority="7642" operator="equal">
      <formula>"PTO"</formula>
    </cfRule>
  </conditionalFormatting>
  <conditionalFormatting sqref="H18">
    <cfRule type="cellIs" dxfId="10171" priority="7639" operator="equal">
      <formula>"OFF"</formula>
    </cfRule>
    <cfRule type="cellIs" dxfId="10170" priority="7640" operator="equal">
      <formula>"PTO"</formula>
    </cfRule>
  </conditionalFormatting>
  <conditionalFormatting sqref="H18">
    <cfRule type="cellIs" dxfId="10169" priority="7637" operator="equal">
      <formula>"OFF"</formula>
    </cfRule>
    <cfRule type="cellIs" dxfId="10168" priority="7638" operator="equal">
      <formula>"PTO"</formula>
    </cfRule>
  </conditionalFormatting>
  <conditionalFormatting sqref="H18">
    <cfRule type="cellIs" dxfId="10167" priority="7635" operator="equal">
      <formula>"OFF"</formula>
    </cfRule>
    <cfRule type="cellIs" dxfId="10166" priority="7636" operator="equal">
      <formula>"PTO"</formula>
    </cfRule>
  </conditionalFormatting>
  <conditionalFormatting sqref="H18">
    <cfRule type="cellIs" dxfId="10165" priority="7633" operator="equal">
      <formula>"OFF"</formula>
    </cfRule>
    <cfRule type="cellIs" dxfId="10164" priority="7634" operator="equal">
      <formula>"PTO"</formula>
    </cfRule>
  </conditionalFormatting>
  <conditionalFormatting sqref="H18">
    <cfRule type="cellIs" dxfId="10163" priority="7631" operator="equal">
      <formula>"OFF"</formula>
    </cfRule>
    <cfRule type="cellIs" dxfId="10162" priority="7632" operator="equal">
      <formula>"PTO"</formula>
    </cfRule>
  </conditionalFormatting>
  <conditionalFormatting sqref="H18">
    <cfRule type="cellIs" dxfId="10161" priority="7629" operator="equal">
      <formula>"OFF"</formula>
    </cfRule>
    <cfRule type="cellIs" dxfId="10160" priority="7630" operator="equal">
      <formula>"PTO"</formula>
    </cfRule>
  </conditionalFormatting>
  <conditionalFormatting sqref="H18">
    <cfRule type="cellIs" dxfId="10159" priority="7627" operator="equal">
      <formula>"OFF"</formula>
    </cfRule>
    <cfRule type="cellIs" dxfId="10158" priority="7628" operator="equal">
      <formula>"PTO"</formula>
    </cfRule>
  </conditionalFormatting>
  <conditionalFormatting sqref="H18">
    <cfRule type="cellIs" dxfId="10157" priority="7625" operator="equal">
      <formula>"OFF"</formula>
    </cfRule>
    <cfRule type="cellIs" dxfId="10156" priority="7626" operator="equal">
      <formula>"PTO"</formula>
    </cfRule>
  </conditionalFormatting>
  <conditionalFormatting sqref="H18">
    <cfRule type="cellIs" dxfId="10155" priority="7623" operator="equal">
      <formula>"OFF"</formula>
    </cfRule>
    <cfRule type="cellIs" dxfId="10154" priority="7624" operator="equal">
      <formula>"PTO"</formula>
    </cfRule>
  </conditionalFormatting>
  <conditionalFormatting sqref="C20">
    <cfRule type="cellIs" dxfId="10153" priority="7621" operator="equal">
      <formula>"OFF"</formula>
    </cfRule>
    <cfRule type="cellIs" dxfId="10152" priority="7622" operator="equal">
      <formula>"PTO"</formula>
    </cfRule>
  </conditionalFormatting>
  <conditionalFormatting sqref="C20">
    <cfRule type="cellIs" dxfId="10151" priority="7619" operator="equal">
      <formula>"OFF"</formula>
    </cfRule>
    <cfRule type="cellIs" dxfId="10150" priority="7620" operator="equal">
      <formula>"PTO"</formula>
    </cfRule>
  </conditionalFormatting>
  <conditionalFormatting sqref="C20">
    <cfRule type="cellIs" dxfId="10149" priority="7617" operator="equal">
      <formula>"OFF"</formula>
    </cfRule>
    <cfRule type="cellIs" dxfId="10148" priority="7618" operator="equal">
      <formula>"PTO"</formula>
    </cfRule>
  </conditionalFormatting>
  <conditionalFormatting sqref="C20">
    <cfRule type="cellIs" dxfId="10147" priority="7615" operator="equal">
      <formula>"OFF"</formula>
    </cfRule>
    <cfRule type="cellIs" dxfId="10146" priority="7616" operator="equal">
      <formula>"PTO"</formula>
    </cfRule>
  </conditionalFormatting>
  <conditionalFormatting sqref="C22">
    <cfRule type="cellIs" dxfId="10145" priority="7613" operator="equal">
      <formula>"OFF"</formula>
    </cfRule>
    <cfRule type="cellIs" dxfId="10144" priority="7614" operator="equal">
      <formula>"PTO"</formula>
    </cfRule>
  </conditionalFormatting>
  <conditionalFormatting sqref="C20">
    <cfRule type="cellIs" dxfId="10143" priority="7611" operator="equal">
      <formula>"OFF"</formula>
    </cfRule>
    <cfRule type="cellIs" dxfId="10142" priority="7612" operator="equal">
      <formula>"PTO"</formula>
    </cfRule>
  </conditionalFormatting>
  <conditionalFormatting sqref="C20">
    <cfRule type="cellIs" dxfId="10141" priority="7609" operator="equal">
      <formula>"OFF"</formula>
    </cfRule>
    <cfRule type="cellIs" dxfId="10140" priority="7610" operator="equal">
      <formula>"PTO"</formula>
    </cfRule>
  </conditionalFormatting>
  <conditionalFormatting sqref="C20">
    <cfRule type="cellIs" dxfId="10139" priority="7607" operator="equal">
      <formula>"OFF"</formula>
    </cfRule>
    <cfRule type="cellIs" dxfId="10138" priority="7608" operator="equal">
      <formula>"PTO"</formula>
    </cfRule>
  </conditionalFormatting>
  <conditionalFormatting sqref="C20">
    <cfRule type="cellIs" dxfId="10137" priority="7605" operator="equal">
      <formula>"OFF"</formula>
    </cfRule>
    <cfRule type="cellIs" dxfId="10136" priority="7606" operator="equal">
      <formula>"PTO"</formula>
    </cfRule>
  </conditionalFormatting>
  <conditionalFormatting sqref="C22">
    <cfRule type="cellIs" dxfId="10135" priority="7603" operator="equal">
      <formula>"OFF"</formula>
    </cfRule>
    <cfRule type="cellIs" dxfId="10134" priority="7604" operator="equal">
      <formula>"PTO"</formula>
    </cfRule>
  </conditionalFormatting>
  <conditionalFormatting sqref="C21">
    <cfRule type="cellIs" dxfId="10133" priority="7601" operator="equal">
      <formula>"OFF"</formula>
    </cfRule>
    <cfRule type="cellIs" dxfId="10132" priority="7602" operator="equal">
      <formula>"PTO"</formula>
    </cfRule>
  </conditionalFormatting>
  <conditionalFormatting sqref="C21">
    <cfRule type="cellIs" dxfId="10131" priority="7599" operator="equal">
      <formula>"OFF"</formula>
    </cfRule>
    <cfRule type="cellIs" dxfId="10130" priority="7600" operator="equal">
      <formula>"PTO"</formula>
    </cfRule>
  </conditionalFormatting>
  <conditionalFormatting sqref="C20">
    <cfRule type="cellIs" dxfId="10129" priority="7597" operator="equal">
      <formula>"OFF"</formula>
    </cfRule>
    <cfRule type="cellIs" dxfId="10128" priority="7598" operator="equal">
      <formula>"PTO"</formula>
    </cfRule>
  </conditionalFormatting>
  <conditionalFormatting sqref="C20">
    <cfRule type="cellIs" dxfId="10127" priority="7595" operator="equal">
      <formula>"OFF"</formula>
    </cfRule>
    <cfRule type="cellIs" dxfId="10126" priority="7596" operator="equal">
      <formula>"PTO"</formula>
    </cfRule>
  </conditionalFormatting>
  <conditionalFormatting sqref="D18">
    <cfRule type="cellIs" dxfId="10125" priority="7593" operator="equal">
      <formula>"OFF"</formula>
    </cfRule>
    <cfRule type="cellIs" dxfId="10124" priority="7594" operator="equal">
      <formula>"PTO"</formula>
    </cfRule>
  </conditionalFormatting>
  <conditionalFormatting sqref="D18">
    <cfRule type="cellIs" dxfId="10123" priority="7591" operator="equal">
      <formula>"OFF"</formula>
    </cfRule>
    <cfRule type="cellIs" dxfId="10122" priority="7592" operator="equal">
      <formula>"PTO"</formula>
    </cfRule>
  </conditionalFormatting>
  <conditionalFormatting sqref="D18">
    <cfRule type="cellIs" dxfId="10121" priority="7589" operator="equal">
      <formula>"OFF"</formula>
    </cfRule>
    <cfRule type="cellIs" dxfId="10120" priority="7590" operator="equal">
      <formula>"PTO"</formula>
    </cfRule>
  </conditionalFormatting>
  <conditionalFormatting sqref="D18">
    <cfRule type="cellIs" dxfId="10119" priority="7587" operator="equal">
      <formula>"OFF"</formula>
    </cfRule>
    <cfRule type="cellIs" dxfId="10118" priority="7588" operator="equal">
      <formula>"PTO"</formula>
    </cfRule>
  </conditionalFormatting>
  <conditionalFormatting sqref="D18">
    <cfRule type="cellIs" dxfId="10117" priority="7585" operator="equal">
      <formula>"OFF"</formula>
    </cfRule>
    <cfRule type="cellIs" dxfId="10116" priority="7586" operator="equal">
      <formula>"PTO"</formula>
    </cfRule>
  </conditionalFormatting>
  <conditionalFormatting sqref="D18">
    <cfRule type="cellIs" dxfId="10115" priority="7583" operator="equal">
      <formula>"OFF"</formula>
    </cfRule>
    <cfRule type="cellIs" dxfId="10114" priority="7584" operator="equal">
      <formula>"PTO"</formula>
    </cfRule>
  </conditionalFormatting>
  <conditionalFormatting sqref="D18">
    <cfRule type="cellIs" dxfId="10113" priority="7581" operator="equal">
      <formula>"OFF"</formula>
    </cfRule>
    <cfRule type="cellIs" dxfId="10112" priority="7582" operator="equal">
      <formula>"PTO"</formula>
    </cfRule>
  </conditionalFormatting>
  <conditionalFormatting sqref="D18">
    <cfRule type="cellIs" dxfId="10111" priority="7579" operator="equal">
      <formula>"OFF"</formula>
    </cfRule>
    <cfRule type="cellIs" dxfId="10110" priority="7580" operator="equal">
      <formula>"PTO"</formula>
    </cfRule>
  </conditionalFormatting>
  <conditionalFormatting sqref="D18">
    <cfRule type="cellIs" dxfId="10109" priority="7577" operator="equal">
      <formula>"OFF"</formula>
    </cfRule>
    <cfRule type="cellIs" dxfId="10108" priority="7578" operator="equal">
      <formula>"PTO"</formula>
    </cfRule>
  </conditionalFormatting>
  <conditionalFormatting sqref="D18">
    <cfRule type="cellIs" dxfId="10107" priority="7575" operator="equal">
      <formula>"OFF"</formula>
    </cfRule>
    <cfRule type="cellIs" dxfId="10106" priority="7576" operator="equal">
      <formula>"PTO"</formula>
    </cfRule>
  </conditionalFormatting>
  <conditionalFormatting sqref="D18">
    <cfRule type="cellIs" dxfId="10105" priority="7573" operator="equal">
      <formula>"OFF"</formula>
    </cfRule>
    <cfRule type="cellIs" dxfId="10104" priority="7574" operator="equal">
      <formula>"PTO"</formula>
    </cfRule>
  </conditionalFormatting>
  <conditionalFormatting sqref="D18">
    <cfRule type="cellIs" dxfId="10103" priority="7571" operator="equal">
      <formula>"OFF"</formula>
    </cfRule>
    <cfRule type="cellIs" dxfId="10102" priority="7572" operator="equal">
      <formula>"PTO"</formula>
    </cfRule>
  </conditionalFormatting>
  <conditionalFormatting sqref="D18">
    <cfRule type="cellIs" dxfId="10101" priority="7569" operator="equal">
      <formula>"OFF"</formula>
    </cfRule>
    <cfRule type="cellIs" dxfId="10100" priority="7570" operator="equal">
      <formula>"PTO"</formula>
    </cfRule>
  </conditionalFormatting>
  <conditionalFormatting sqref="D18">
    <cfRule type="cellIs" dxfId="10099" priority="7567" operator="equal">
      <formula>"OFF"</formula>
    </cfRule>
    <cfRule type="cellIs" dxfId="10098" priority="7568" operator="equal">
      <formula>"PTO"</formula>
    </cfRule>
  </conditionalFormatting>
  <conditionalFormatting sqref="D18">
    <cfRule type="cellIs" dxfId="10097" priority="7565" operator="equal">
      <formula>"OFF"</formula>
    </cfRule>
    <cfRule type="cellIs" dxfId="10096" priority="7566" operator="equal">
      <formula>"PTO"</formula>
    </cfRule>
  </conditionalFormatting>
  <conditionalFormatting sqref="D18">
    <cfRule type="cellIs" dxfId="10095" priority="7563" operator="equal">
      <formula>"OFF"</formula>
    </cfRule>
    <cfRule type="cellIs" dxfId="10094" priority="7564" operator="equal">
      <formula>"PTO"</formula>
    </cfRule>
  </conditionalFormatting>
  <conditionalFormatting sqref="D18">
    <cfRule type="cellIs" dxfId="10093" priority="7561" operator="equal">
      <formula>"OFF"</formula>
    </cfRule>
    <cfRule type="cellIs" dxfId="10092" priority="7562" operator="equal">
      <formula>"PTO"</formula>
    </cfRule>
  </conditionalFormatting>
  <conditionalFormatting sqref="D18">
    <cfRule type="cellIs" dxfId="10091" priority="7559" operator="equal">
      <formula>"OFF"</formula>
    </cfRule>
    <cfRule type="cellIs" dxfId="10090" priority="7560" operator="equal">
      <formula>"PTO"</formula>
    </cfRule>
  </conditionalFormatting>
  <conditionalFormatting sqref="D18">
    <cfRule type="cellIs" dxfId="10089" priority="7557" operator="equal">
      <formula>"OFF"</formula>
    </cfRule>
    <cfRule type="cellIs" dxfId="10088" priority="7558" operator="equal">
      <formula>"PTO"</formula>
    </cfRule>
  </conditionalFormatting>
  <conditionalFormatting sqref="D18">
    <cfRule type="cellIs" dxfId="10087" priority="7555" operator="equal">
      <formula>"OFF"</formula>
    </cfRule>
    <cfRule type="cellIs" dxfId="10086" priority="7556" operator="equal">
      <formula>"PTO"</formula>
    </cfRule>
  </conditionalFormatting>
  <conditionalFormatting sqref="D18">
    <cfRule type="cellIs" dxfId="10085" priority="7553" operator="equal">
      <formula>"OFF"</formula>
    </cfRule>
    <cfRule type="cellIs" dxfId="10084" priority="7554" operator="equal">
      <formula>"PTO"</formula>
    </cfRule>
  </conditionalFormatting>
  <conditionalFormatting sqref="D18">
    <cfRule type="cellIs" dxfId="10083" priority="7551" operator="equal">
      <formula>"OFF"</formula>
    </cfRule>
    <cfRule type="cellIs" dxfId="10082" priority="7552" operator="equal">
      <formula>"PTO"</formula>
    </cfRule>
  </conditionalFormatting>
  <conditionalFormatting sqref="D18">
    <cfRule type="cellIs" dxfId="10081" priority="7549" operator="equal">
      <formula>"OFF"</formula>
    </cfRule>
    <cfRule type="cellIs" dxfId="10080" priority="7550" operator="equal">
      <formula>"PTO"</formula>
    </cfRule>
  </conditionalFormatting>
  <conditionalFormatting sqref="D18">
    <cfRule type="cellIs" dxfId="10079" priority="7547" operator="equal">
      <formula>"OFF"</formula>
    </cfRule>
    <cfRule type="cellIs" dxfId="10078" priority="7548" operator="equal">
      <formula>"PTO"</formula>
    </cfRule>
  </conditionalFormatting>
  <conditionalFormatting sqref="D18">
    <cfRule type="cellIs" dxfId="10077" priority="7545" operator="equal">
      <formula>"OFF"</formula>
    </cfRule>
    <cfRule type="cellIs" dxfId="10076" priority="7546" operator="equal">
      <formula>"PTO"</formula>
    </cfRule>
  </conditionalFormatting>
  <conditionalFormatting sqref="D18">
    <cfRule type="cellIs" dxfId="10075" priority="7543" operator="equal">
      <formula>"OFF"</formula>
    </cfRule>
    <cfRule type="cellIs" dxfId="10074" priority="7544" operator="equal">
      <formula>"PTO"</formula>
    </cfRule>
  </conditionalFormatting>
  <conditionalFormatting sqref="D18">
    <cfRule type="cellIs" dxfId="10073" priority="7541" operator="equal">
      <formula>"OFF"</formula>
    </cfRule>
    <cfRule type="cellIs" dxfId="10072" priority="7542" operator="equal">
      <formula>"PTO"</formula>
    </cfRule>
  </conditionalFormatting>
  <conditionalFormatting sqref="D18">
    <cfRule type="cellIs" dxfId="10071" priority="7539" operator="equal">
      <formula>"OFF"</formula>
    </cfRule>
    <cfRule type="cellIs" dxfId="10070" priority="7540" operator="equal">
      <formula>"PTO"</formula>
    </cfRule>
  </conditionalFormatting>
  <conditionalFormatting sqref="D18">
    <cfRule type="cellIs" dxfId="10069" priority="7537" operator="equal">
      <formula>"OFF"</formula>
    </cfRule>
    <cfRule type="cellIs" dxfId="10068" priority="7538" operator="equal">
      <formula>"PTO"</formula>
    </cfRule>
  </conditionalFormatting>
  <conditionalFormatting sqref="D18">
    <cfRule type="cellIs" dxfId="10067" priority="7535" operator="equal">
      <formula>"OFF"</formula>
    </cfRule>
    <cfRule type="cellIs" dxfId="10066" priority="7536" operator="equal">
      <formula>"PTO"</formula>
    </cfRule>
  </conditionalFormatting>
  <conditionalFormatting sqref="D18">
    <cfRule type="cellIs" dxfId="10065" priority="7533" operator="equal">
      <formula>"OFF"</formula>
    </cfRule>
    <cfRule type="cellIs" dxfId="10064" priority="7534" operator="equal">
      <formula>"PTO"</formula>
    </cfRule>
  </conditionalFormatting>
  <conditionalFormatting sqref="D18">
    <cfRule type="cellIs" dxfId="10063" priority="7531" operator="equal">
      <formula>"OFF"</formula>
    </cfRule>
    <cfRule type="cellIs" dxfId="10062" priority="7532" operator="equal">
      <formula>"PTO"</formula>
    </cfRule>
  </conditionalFormatting>
  <conditionalFormatting sqref="J18:P18">
    <cfRule type="cellIs" dxfId="10061" priority="7529" operator="equal">
      <formula>"OFF"</formula>
    </cfRule>
    <cfRule type="cellIs" dxfId="10060" priority="7530" operator="equal">
      <formula>"PTO"</formula>
    </cfRule>
  </conditionalFormatting>
  <conditionalFormatting sqref="J18:P18">
    <cfRule type="cellIs" dxfId="10059" priority="7527" operator="equal">
      <formula>"OFF"</formula>
    </cfRule>
    <cfRule type="cellIs" dxfId="10058" priority="7528" operator="equal">
      <formula>"PTO"</formula>
    </cfRule>
  </conditionalFormatting>
  <conditionalFormatting sqref="J18">
    <cfRule type="cellIs" dxfId="10057" priority="7525" operator="equal">
      <formula>"OFF"</formula>
    </cfRule>
    <cfRule type="cellIs" dxfId="10056" priority="7526" operator="equal">
      <formula>"PTO"</formula>
    </cfRule>
  </conditionalFormatting>
  <conditionalFormatting sqref="J18">
    <cfRule type="cellIs" dxfId="10055" priority="7523" operator="equal">
      <formula>"OFF"</formula>
    </cfRule>
    <cfRule type="cellIs" dxfId="10054" priority="7524" operator="equal">
      <formula>"PTO"</formula>
    </cfRule>
  </conditionalFormatting>
  <conditionalFormatting sqref="J18">
    <cfRule type="cellIs" dxfId="10053" priority="7521" operator="equal">
      <formula>"OFF"</formula>
    </cfRule>
    <cfRule type="cellIs" dxfId="10052" priority="7522" operator="equal">
      <formula>"PTO"</formula>
    </cfRule>
  </conditionalFormatting>
  <conditionalFormatting sqref="J18">
    <cfRule type="cellIs" dxfId="10051" priority="7519" operator="equal">
      <formula>"OFF"</formula>
    </cfRule>
    <cfRule type="cellIs" dxfId="10050" priority="7520" operator="equal">
      <formula>"PTO"</formula>
    </cfRule>
  </conditionalFormatting>
  <conditionalFormatting sqref="K18">
    <cfRule type="cellIs" dxfId="10049" priority="7517" operator="equal">
      <formula>"OFF"</formula>
    </cfRule>
    <cfRule type="cellIs" dxfId="10048" priority="7518" operator="equal">
      <formula>"PTO"</formula>
    </cfRule>
  </conditionalFormatting>
  <conditionalFormatting sqref="K18">
    <cfRule type="cellIs" dxfId="10047" priority="7515" operator="equal">
      <formula>"OFF"</formula>
    </cfRule>
    <cfRule type="cellIs" dxfId="10046" priority="7516" operator="equal">
      <formula>"PTO"</formula>
    </cfRule>
  </conditionalFormatting>
  <conditionalFormatting sqref="K18">
    <cfRule type="cellIs" dxfId="10045" priority="7513" operator="equal">
      <formula>"OFF"</formula>
    </cfRule>
    <cfRule type="cellIs" dxfId="10044" priority="7514" operator="equal">
      <formula>"PTO"</formula>
    </cfRule>
  </conditionalFormatting>
  <conditionalFormatting sqref="K18">
    <cfRule type="cellIs" dxfId="10043" priority="7511" operator="equal">
      <formula>"OFF"</formula>
    </cfRule>
    <cfRule type="cellIs" dxfId="10042" priority="7512" operator="equal">
      <formula>"PTO"</formula>
    </cfRule>
  </conditionalFormatting>
  <conditionalFormatting sqref="J18">
    <cfRule type="cellIs" dxfId="10041" priority="7509" operator="equal">
      <formula>"OFF"</formula>
    </cfRule>
    <cfRule type="cellIs" dxfId="10040" priority="7510" operator="equal">
      <formula>"PTO"</formula>
    </cfRule>
  </conditionalFormatting>
  <conditionalFormatting sqref="J18">
    <cfRule type="cellIs" dxfId="10039" priority="7507" operator="equal">
      <formula>"OFF"</formula>
    </cfRule>
    <cfRule type="cellIs" dxfId="10038" priority="7508" operator="equal">
      <formula>"PTO"</formula>
    </cfRule>
  </conditionalFormatting>
  <conditionalFormatting sqref="J18">
    <cfRule type="cellIs" dxfId="10037" priority="7505" operator="equal">
      <formula>"OFF"</formula>
    </cfRule>
    <cfRule type="cellIs" dxfId="10036" priority="7506" operator="equal">
      <formula>"PTO"</formula>
    </cfRule>
  </conditionalFormatting>
  <conditionalFormatting sqref="J18">
    <cfRule type="cellIs" dxfId="10035" priority="7503" operator="equal">
      <formula>"OFF"</formula>
    </cfRule>
    <cfRule type="cellIs" dxfId="10034" priority="7504" operator="equal">
      <formula>"PTO"</formula>
    </cfRule>
  </conditionalFormatting>
  <conditionalFormatting sqref="K18">
    <cfRule type="cellIs" dxfId="10033" priority="7501" operator="equal">
      <formula>"OFF"</formula>
    </cfRule>
    <cfRule type="cellIs" dxfId="10032" priority="7502" operator="equal">
      <formula>"PTO"</formula>
    </cfRule>
  </conditionalFormatting>
  <conditionalFormatting sqref="K18">
    <cfRule type="cellIs" dxfId="10031" priority="7499" operator="equal">
      <formula>"OFF"</formula>
    </cfRule>
    <cfRule type="cellIs" dxfId="10030" priority="7500" operator="equal">
      <formula>"PTO"</formula>
    </cfRule>
  </conditionalFormatting>
  <conditionalFormatting sqref="K18">
    <cfRule type="cellIs" dxfId="10029" priority="7497" operator="equal">
      <formula>"OFF"</formula>
    </cfRule>
    <cfRule type="cellIs" dxfId="10028" priority="7498" operator="equal">
      <formula>"PTO"</formula>
    </cfRule>
  </conditionalFormatting>
  <conditionalFormatting sqref="K18">
    <cfRule type="cellIs" dxfId="10027" priority="7495" operator="equal">
      <formula>"OFF"</formula>
    </cfRule>
    <cfRule type="cellIs" dxfId="10026" priority="7496" operator="equal">
      <formula>"PTO"</formula>
    </cfRule>
  </conditionalFormatting>
  <conditionalFormatting sqref="J18">
    <cfRule type="cellIs" dxfId="10025" priority="7493" operator="equal">
      <formula>"OFF"</formula>
    </cfRule>
    <cfRule type="cellIs" dxfId="10024" priority="7494" operator="equal">
      <formula>"PTO"</formula>
    </cfRule>
  </conditionalFormatting>
  <conditionalFormatting sqref="J18">
    <cfRule type="cellIs" dxfId="10023" priority="7491" operator="equal">
      <formula>"OFF"</formula>
    </cfRule>
    <cfRule type="cellIs" dxfId="10022" priority="7492" operator="equal">
      <formula>"PTO"</formula>
    </cfRule>
  </conditionalFormatting>
  <conditionalFormatting sqref="J18">
    <cfRule type="cellIs" dxfId="10021" priority="7489" operator="equal">
      <formula>"OFF"</formula>
    </cfRule>
    <cfRule type="cellIs" dxfId="10020" priority="7490" operator="equal">
      <formula>"PTO"</formula>
    </cfRule>
  </conditionalFormatting>
  <conditionalFormatting sqref="J18">
    <cfRule type="cellIs" dxfId="10019" priority="7487" operator="equal">
      <formula>"OFF"</formula>
    </cfRule>
    <cfRule type="cellIs" dxfId="10018" priority="7488" operator="equal">
      <formula>"PTO"</formula>
    </cfRule>
  </conditionalFormatting>
  <conditionalFormatting sqref="K18">
    <cfRule type="cellIs" dxfId="10017" priority="7485" operator="equal">
      <formula>"OFF"</formula>
    </cfRule>
    <cfRule type="cellIs" dxfId="10016" priority="7486" operator="equal">
      <formula>"PTO"</formula>
    </cfRule>
  </conditionalFormatting>
  <conditionalFormatting sqref="K18">
    <cfRule type="cellIs" dxfId="10015" priority="7483" operator="equal">
      <formula>"OFF"</formula>
    </cfRule>
    <cfRule type="cellIs" dxfId="10014" priority="7484" operator="equal">
      <formula>"PTO"</formula>
    </cfRule>
  </conditionalFormatting>
  <conditionalFormatting sqref="K18">
    <cfRule type="cellIs" dxfId="10013" priority="7481" operator="equal">
      <formula>"OFF"</formula>
    </cfRule>
    <cfRule type="cellIs" dxfId="10012" priority="7482" operator="equal">
      <formula>"PTO"</formula>
    </cfRule>
  </conditionalFormatting>
  <conditionalFormatting sqref="K18">
    <cfRule type="cellIs" dxfId="10011" priority="7479" operator="equal">
      <formula>"OFF"</formula>
    </cfRule>
    <cfRule type="cellIs" dxfId="10010" priority="7480" operator="equal">
      <formula>"PTO"</formula>
    </cfRule>
  </conditionalFormatting>
  <conditionalFormatting sqref="J18">
    <cfRule type="cellIs" dxfId="10009" priority="7477" operator="equal">
      <formula>"OFF"</formula>
    </cfRule>
    <cfRule type="cellIs" dxfId="10008" priority="7478" operator="equal">
      <formula>"PTO"</formula>
    </cfRule>
  </conditionalFormatting>
  <conditionalFormatting sqref="J18">
    <cfRule type="cellIs" dxfId="10007" priority="7475" operator="equal">
      <formula>"OFF"</formula>
    </cfRule>
    <cfRule type="cellIs" dxfId="10006" priority="7476" operator="equal">
      <formula>"PTO"</formula>
    </cfRule>
  </conditionalFormatting>
  <conditionalFormatting sqref="J18">
    <cfRule type="cellIs" dxfId="10005" priority="7473" operator="equal">
      <formula>"OFF"</formula>
    </cfRule>
    <cfRule type="cellIs" dxfId="10004" priority="7474" operator="equal">
      <formula>"PTO"</formula>
    </cfRule>
  </conditionalFormatting>
  <conditionalFormatting sqref="J18">
    <cfRule type="cellIs" dxfId="10003" priority="7471" operator="equal">
      <formula>"OFF"</formula>
    </cfRule>
    <cfRule type="cellIs" dxfId="10002" priority="7472" operator="equal">
      <formula>"PTO"</formula>
    </cfRule>
  </conditionalFormatting>
  <conditionalFormatting sqref="K18">
    <cfRule type="cellIs" dxfId="10001" priority="7469" operator="equal">
      <formula>"OFF"</formula>
    </cfRule>
    <cfRule type="cellIs" dxfId="10000" priority="7470" operator="equal">
      <formula>"PTO"</formula>
    </cfRule>
  </conditionalFormatting>
  <conditionalFormatting sqref="K18">
    <cfRule type="cellIs" dxfId="9999" priority="7467" operator="equal">
      <formula>"OFF"</formula>
    </cfRule>
    <cfRule type="cellIs" dxfId="9998" priority="7468" operator="equal">
      <formula>"PTO"</formula>
    </cfRule>
  </conditionalFormatting>
  <conditionalFormatting sqref="K18">
    <cfRule type="cellIs" dxfId="9997" priority="7465" operator="equal">
      <formula>"OFF"</formula>
    </cfRule>
    <cfRule type="cellIs" dxfId="9996" priority="7466" operator="equal">
      <formula>"PTO"</formula>
    </cfRule>
  </conditionalFormatting>
  <conditionalFormatting sqref="K18">
    <cfRule type="cellIs" dxfId="9995" priority="7463" operator="equal">
      <formula>"OFF"</formula>
    </cfRule>
    <cfRule type="cellIs" dxfId="9994" priority="7464" operator="equal">
      <formula>"PTO"</formula>
    </cfRule>
  </conditionalFormatting>
  <conditionalFormatting sqref="J18:P18">
    <cfRule type="cellIs" dxfId="9993" priority="7461" operator="equal">
      <formula>"OFF"</formula>
    </cfRule>
    <cfRule type="cellIs" dxfId="9992" priority="7462" operator="equal">
      <formula>"PTO"</formula>
    </cfRule>
  </conditionalFormatting>
  <conditionalFormatting sqref="J18:P18">
    <cfRule type="cellIs" dxfId="9991" priority="7459" operator="equal">
      <formula>"OFF"</formula>
    </cfRule>
    <cfRule type="cellIs" dxfId="9990" priority="7460" operator="equal">
      <formula>"PTO"</formula>
    </cfRule>
  </conditionalFormatting>
  <conditionalFormatting sqref="L18">
    <cfRule type="cellIs" dxfId="9989" priority="7457" operator="equal">
      <formula>"OFF"</formula>
    </cfRule>
    <cfRule type="cellIs" dxfId="9988" priority="7458" operator="equal">
      <formula>"PTO"</formula>
    </cfRule>
  </conditionalFormatting>
  <conditionalFormatting sqref="L18">
    <cfRule type="cellIs" dxfId="9987" priority="7455" operator="equal">
      <formula>"OFF"</formula>
    </cfRule>
    <cfRule type="cellIs" dxfId="9986" priority="7456" operator="equal">
      <formula>"PTO"</formula>
    </cfRule>
  </conditionalFormatting>
  <conditionalFormatting sqref="L18">
    <cfRule type="cellIs" dxfId="9985" priority="7453" operator="equal">
      <formula>"OFF"</formula>
    </cfRule>
    <cfRule type="cellIs" dxfId="9984" priority="7454" operator="equal">
      <formula>"PTO"</formula>
    </cfRule>
  </conditionalFormatting>
  <conditionalFormatting sqref="L18">
    <cfRule type="cellIs" dxfId="9983" priority="7451" operator="equal">
      <formula>"OFF"</formula>
    </cfRule>
    <cfRule type="cellIs" dxfId="9982" priority="7452" operator="equal">
      <formula>"PTO"</formula>
    </cfRule>
  </conditionalFormatting>
  <conditionalFormatting sqref="L18">
    <cfRule type="cellIs" dxfId="9981" priority="7449" operator="equal">
      <formula>"OFF"</formula>
    </cfRule>
    <cfRule type="cellIs" dxfId="9980" priority="7450" operator="equal">
      <formula>"PTO"</formula>
    </cfRule>
  </conditionalFormatting>
  <conditionalFormatting sqref="L18">
    <cfRule type="cellIs" dxfId="9979" priority="7447" operator="equal">
      <formula>"OFF"</formula>
    </cfRule>
    <cfRule type="cellIs" dxfId="9978" priority="7448" operator="equal">
      <formula>"PTO"</formula>
    </cfRule>
  </conditionalFormatting>
  <conditionalFormatting sqref="L18">
    <cfRule type="cellIs" dxfId="9977" priority="7445" operator="equal">
      <formula>"OFF"</formula>
    </cfRule>
    <cfRule type="cellIs" dxfId="9976" priority="7446" operator="equal">
      <formula>"PTO"</formula>
    </cfRule>
  </conditionalFormatting>
  <conditionalFormatting sqref="L18">
    <cfRule type="cellIs" dxfId="9975" priority="7443" operator="equal">
      <formula>"OFF"</formula>
    </cfRule>
    <cfRule type="cellIs" dxfId="9974" priority="7444" operator="equal">
      <formula>"PTO"</formula>
    </cfRule>
  </conditionalFormatting>
  <conditionalFormatting sqref="L18">
    <cfRule type="cellIs" dxfId="9973" priority="7441" operator="equal">
      <formula>"OFF"</formula>
    </cfRule>
    <cfRule type="cellIs" dxfId="9972" priority="7442" operator="equal">
      <formula>"PTO"</formula>
    </cfRule>
  </conditionalFormatting>
  <conditionalFormatting sqref="L18">
    <cfRule type="cellIs" dxfId="9971" priority="7439" operator="equal">
      <formula>"OFF"</formula>
    </cfRule>
    <cfRule type="cellIs" dxfId="9970" priority="7440" operator="equal">
      <formula>"PTO"</formula>
    </cfRule>
  </conditionalFormatting>
  <conditionalFormatting sqref="L18">
    <cfRule type="cellIs" dxfId="9969" priority="7437" operator="equal">
      <formula>"OFF"</formula>
    </cfRule>
    <cfRule type="cellIs" dxfId="9968" priority="7438" operator="equal">
      <formula>"PTO"</formula>
    </cfRule>
  </conditionalFormatting>
  <conditionalFormatting sqref="L18">
    <cfRule type="cellIs" dxfId="9967" priority="7435" operator="equal">
      <formula>"OFF"</formula>
    </cfRule>
    <cfRule type="cellIs" dxfId="9966" priority="7436" operator="equal">
      <formula>"PTO"</formula>
    </cfRule>
  </conditionalFormatting>
  <conditionalFormatting sqref="L18">
    <cfRule type="cellIs" dxfId="9965" priority="7433" operator="equal">
      <formula>"OFF"</formula>
    </cfRule>
    <cfRule type="cellIs" dxfId="9964" priority="7434" operator="equal">
      <formula>"PTO"</formula>
    </cfRule>
  </conditionalFormatting>
  <conditionalFormatting sqref="L18">
    <cfRule type="cellIs" dxfId="9963" priority="7431" operator="equal">
      <formula>"OFF"</formula>
    </cfRule>
    <cfRule type="cellIs" dxfId="9962" priority="7432" operator="equal">
      <formula>"PTO"</formula>
    </cfRule>
  </conditionalFormatting>
  <conditionalFormatting sqref="L18">
    <cfRule type="cellIs" dxfId="9961" priority="7429" operator="equal">
      <formula>"OFF"</formula>
    </cfRule>
    <cfRule type="cellIs" dxfId="9960" priority="7430" operator="equal">
      <formula>"PTO"</formula>
    </cfRule>
  </conditionalFormatting>
  <conditionalFormatting sqref="L18">
    <cfRule type="cellIs" dxfId="9959" priority="7427" operator="equal">
      <formula>"OFF"</formula>
    </cfRule>
    <cfRule type="cellIs" dxfId="9958" priority="7428" operator="equal">
      <formula>"PTO"</formula>
    </cfRule>
  </conditionalFormatting>
  <conditionalFormatting sqref="O18">
    <cfRule type="cellIs" dxfId="9957" priority="7425" operator="equal">
      <formula>"OFF"</formula>
    </cfRule>
    <cfRule type="cellIs" dxfId="9956" priority="7426" operator="equal">
      <formula>"PTO"</formula>
    </cfRule>
  </conditionalFormatting>
  <conditionalFormatting sqref="O18">
    <cfRule type="cellIs" dxfId="9955" priority="7423" operator="equal">
      <formula>"OFF"</formula>
    </cfRule>
    <cfRule type="cellIs" dxfId="9954" priority="7424" operator="equal">
      <formula>"PTO"</formula>
    </cfRule>
  </conditionalFormatting>
  <conditionalFormatting sqref="O18">
    <cfRule type="cellIs" dxfId="9953" priority="7421" operator="equal">
      <formula>"OFF"</formula>
    </cfRule>
    <cfRule type="cellIs" dxfId="9952" priority="7422" operator="equal">
      <formula>"PTO"</formula>
    </cfRule>
  </conditionalFormatting>
  <conditionalFormatting sqref="O18">
    <cfRule type="cellIs" dxfId="9951" priority="7419" operator="equal">
      <formula>"OFF"</formula>
    </cfRule>
    <cfRule type="cellIs" dxfId="9950" priority="7420" operator="equal">
      <formula>"PTO"</formula>
    </cfRule>
  </conditionalFormatting>
  <conditionalFormatting sqref="O18">
    <cfRule type="cellIs" dxfId="9949" priority="7417" operator="equal">
      <formula>"OFF"</formula>
    </cfRule>
    <cfRule type="cellIs" dxfId="9948" priority="7418" operator="equal">
      <formula>"PTO"</formula>
    </cfRule>
  </conditionalFormatting>
  <conditionalFormatting sqref="O18">
    <cfRule type="cellIs" dxfId="9947" priority="7415" operator="equal">
      <formula>"OFF"</formula>
    </cfRule>
    <cfRule type="cellIs" dxfId="9946" priority="7416" operator="equal">
      <formula>"PTO"</formula>
    </cfRule>
  </conditionalFormatting>
  <conditionalFormatting sqref="O18">
    <cfRule type="cellIs" dxfId="9945" priority="7413" operator="equal">
      <formula>"OFF"</formula>
    </cfRule>
    <cfRule type="cellIs" dxfId="9944" priority="7414" operator="equal">
      <formula>"PTO"</formula>
    </cfRule>
  </conditionalFormatting>
  <conditionalFormatting sqref="O18">
    <cfRule type="cellIs" dxfId="9943" priority="7411" operator="equal">
      <formula>"OFF"</formula>
    </cfRule>
    <cfRule type="cellIs" dxfId="9942" priority="7412" operator="equal">
      <formula>"PTO"</formula>
    </cfRule>
  </conditionalFormatting>
  <conditionalFormatting sqref="O18">
    <cfRule type="cellIs" dxfId="9941" priority="7409" operator="equal">
      <formula>"OFF"</formula>
    </cfRule>
    <cfRule type="cellIs" dxfId="9940" priority="7410" operator="equal">
      <formula>"PTO"</formula>
    </cfRule>
  </conditionalFormatting>
  <conditionalFormatting sqref="O18">
    <cfRule type="cellIs" dxfId="9939" priority="7407" operator="equal">
      <formula>"OFF"</formula>
    </cfRule>
    <cfRule type="cellIs" dxfId="9938" priority="7408" operator="equal">
      <formula>"PTO"</formula>
    </cfRule>
  </conditionalFormatting>
  <conditionalFormatting sqref="O18">
    <cfRule type="cellIs" dxfId="9937" priority="7405" operator="equal">
      <formula>"OFF"</formula>
    </cfRule>
    <cfRule type="cellIs" dxfId="9936" priority="7406" operator="equal">
      <formula>"PTO"</formula>
    </cfRule>
  </conditionalFormatting>
  <conditionalFormatting sqref="O18">
    <cfRule type="cellIs" dxfId="9935" priority="7403" operator="equal">
      <formula>"OFF"</formula>
    </cfRule>
    <cfRule type="cellIs" dxfId="9934" priority="7404" operator="equal">
      <formula>"PTO"</formula>
    </cfRule>
  </conditionalFormatting>
  <conditionalFormatting sqref="O18">
    <cfRule type="cellIs" dxfId="9933" priority="7401" operator="equal">
      <formula>"OFF"</formula>
    </cfRule>
    <cfRule type="cellIs" dxfId="9932" priority="7402" operator="equal">
      <formula>"PTO"</formula>
    </cfRule>
  </conditionalFormatting>
  <conditionalFormatting sqref="O18">
    <cfRule type="cellIs" dxfId="9931" priority="7399" operator="equal">
      <formula>"OFF"</formula>
    </cfRule>
    <cfRule type="cellIs" dxfId="9930" priority="7400" operator="equal">
      <formula>"PTO"</formula>
    </cfRule>
  </conditionalFormatting>
  <conditionalFormatting sqref="O18">
    <cfRule type="cellIs" dxfId="9929" priority="7397" operator="equal">
      <formula>"OFF"</formula>
    </cfRule>
    <cfRule type="cellIs" dxfId="9928" priority="7398" operator="equal">
      <formula>"PTO"</formula>
    </cfRule>
  </conditionalFormatting>
  <conditionalFormatting sqref="O18">
    <cfRule type="cellIs" dxfId="9927" priority="7395" operator="equal">
      <formula>"OFF"</formula>
    </cfRule>
    <cfRule type="cellIs" dxfId="9926" priority="7396" operator="equal">
      <formula>"PTO"</formula>
    </cfRule>
  </conditionalFormatting>
  <conditionalFormatting sqref="L18">
    <cfRule type="cellIs" dxfId="9925" priority="7393" operator="equal">
      <formula>"OFF"</formula>
    </cfRule>
    <cfRule type="cellIs" dxfId="9924" priority="7394" operator="equal">
      <formula>"PTO"</formula>
    </cfRule>
  </conditionalFormatting>
  <conditionalFormatting sqref="L18">
    <cfRule type="cellIs" dxfId="9923" priority="7391" operator="equal">
      <formula>"OFF"</formula>
    </cfRule>
    <cfRule type="cellIs" dxfId="9922" priority="7392" operator="equal">
      <formula>"PTO"</formula>
    </cfRule>
  </conditionalFormatting>
  <conditionalFormatting sqref="L18">
    <cfRule type="cellIs" dxfId="9921" priority="7389" operator="equal">
      <formula>"OFF"</formula>
    </cfRule>
    <cfRule type="cellIs" dxfId="9920" priority="7390" operator="equal">
      <formula>"PTO"</formula>
    </cfRule>
  </conditionalFormatting>
  <conditionalFormatting sqref="L18">
    <cfRule type="cellIs" dxfId="9919" priority="7387" operator="equal">
      <formula>"OFF"</formula>
    </cfRule>
    <cfRule type="cellIs" dxfId="9918" priority="7388" operator="equal">
      <formula>"PTO"</formula>
    </cfRule>
  </conditionalFormatting>
  <conditionalFormatting sqref="L18">
    <cfRule type="cellIs" dxfId="9917" priority="7385" operator="equal">
      <formula>"OFF"</formula>
    </cfRule>
    <cfRule type="cellIs" dxfId="9916" priority="7386" operator="equal">
      <formula>"PTO"</formula>
    </cfRule>
  </conditionalFormatting>
  <conditionalFormatting sqref="L18">
    <cfRule type="cellIs" dxfId="9915" priority="7383" operator="equal">
      <formula>"OFF"</formula>
    </cfRule>
    <cfRule type="cellIs" dxfId="9914" priority="7384" operator="equal">
      <formula>"PTO"</formula>
    </cfRule>
  </conditionalFormatting>
  <conditionalFormatting sqref="L18">
    <cfRule type="cellIs" dxfId="9913" priority="7381" operator="equal">
      <formula>"OFF"</formula>
    </cfRule>
    <cfRule type="cellIs" dxfId="9912" priority="7382" operator="equal">
      <formula>"PTO"</formula>
    </cfRule>
  </conditionalFormatting>
  <conditionalFormatting sqref="L18">
    <cfRule type="cellIs" dxfId="9911" priority="7379" operator="equal">
      <formula>"OFF"</formula>
    </cfRule>
    <cfRule type="cellIs" dxfId="9910" priority="7380" operator="equal">
      <formula>"PTO"</formula>
    </cfRule>
  </conditionalFormatting>
  <conditionalFormatting sqref="L18">
    <cfRule type="cellIs" dxfId="9909" priority="7377" operator="equal">
      <formula>"OFF"</formula>
    </cfRule>
    <cfRule type="cellIs" dxfId="9908" priority="7378" operator="equal">
      <formula>"PTO"</formula>
    </cfRule>
  </conditionalFormatting>
  <conditionalFormatting sqref="L18">
    <cfRule type="cellIs" dxfId="9907" priority="7375" operator="equal">
      <formula>"OFF"</formula>
    </cfRule>
    <cfRule type="cellIs" dxfId="9906" priority="7376" operator="equal">
      <formula>"PTO"</formula>
    </cfRule>
  </conditionalFormatting>
  <conditionalFormatting sqref="L18">
    <cfRule type="cellIs" dxfId="9905" priority="7373" operator="equal">
      <formula>"OFF"</formula>
    </cfRule>
    <cfRule type="cellIs" dxfId="9904" priority="7374" operator="equal">
      <formula>"PTO"</formula>
    </cfRule>
  </conditionalFormatting>
  <conditionalFormatting sqref="L18">
    <cfRule type="cellIs" dxfId="9903" priority="7371" operator="equal">
      <formula>"OFF"</formula>
    </cfRule>
    <cfRule type="cellIs" dxfId="9902" priority="7372" operator="equal">
      <formula>"PTO"</formula>
    </cfRule>
  </conditionalFormatting>
  <conditionalFormatting sqref="L18">
    <cfRule type="cellIs" dxfId="9901" priority="7369" operator="equal">
      <formula>"OFF"</formula>
    </cfRule>
    <cfRule type="cellIs" dxfId="9900" priority="7370" operator="equal">
      <formula>"PTO"</formula>
    </cfRule>
  </conditionalFormatting>
  <conditionalFormatting sqref="L18">
    <cfRule type="cellIs" dxfId="9899" priority="7367" operator="equal">
      <formula>"OFF"</formula>
    </cfRule>
    <cfRule type="cellIs" dxfId="9898" priority="7368" operator="equal">
      <formula>"PTO"</formula>
    </cfRule>
  </conditionalFormatting>
  <conditionalFormatting sqref="L18">
    <cfRule type="cellIs" dxfId="9897" priority="7365" operator="equal">
      <formula>"OFF"</formula>
    </cfRule>
    <cfRule type="cellIs" dxfId="9896" priority="7366" operator="equal">
      <formula>"PTO"</formula>
    </cfRule>
  </conditionalFormatting>
  <conditionalFormatting sqref="L18">
    <cfRule type="cellIs" dxfId="9895" priority="7363" operator="equal">
      <formula>"OFF"</formula>
    </cfRule>
    <cfRule type="cellIs" dxfId="9894" priority="7364" operator="equal">
      <formula>"PTO"</formula>
    </cfRule>
  </conditionalFormatting>
  <conditionalFormatting sqref="O18">
    <cfRule type="cellIs" dxfId="9893" priority="7361" operator="equal">
      <formula>"OFF"</formula>
    </cfRule>
    <cfRule type="cellIs" dxfId="9892" priority="7362" operator="equal">
      <formula>"PTO"</formula>
    </cfRule>
  </conditionalFormatting>
  <conditionalFormatting sqref="O18">
    <cfRule type="cellIs" dxfId="9891" priority="7359" operator="equal">
      <formula>"OFF"</formula>
    </cfRule>
    <cfRule type="cellIs" dxfId="9890" priority="7360" operator="equal">
      <formula>"PTO"</formula>
    </cfRule>
  </conditionalFormatting>
  <conditionalFormatting sqref="O18">
    <cfRule type="cellIs" dxfId="9889" priority="7357" operator="equal">
      <formula>"OFF"</formula>
    </cfRule>
    <cfRule type="cellIs" dxfId="9888" priority="7358" operator="equal">
      <formula>"PTO"</formula>
    </cfRule>
  </conditionalFormatting>
  <conditionalFormatting sqref="O18">
    <cfRule type="cellIs" dxfId="9887" priority="7355" operator="equal">
      <formula>"OFF"</formula>
    </cfRule>
    <cfRule type="cellIs" dxfId="9886" priority="7356" operator="equal">
      <formula>"PTO"</formula>
    </cfRule>
  </conditionalFormatting>
  <conditionalFormatting sqref="O18">
    <cfRule type="cellIs" dxfId="9885" priority="7353" operator="equal">
      <formula>"OFF"</formula>
    </cfRule>
    <cfRule type="cellIs" dxfId="9884" priority="7354" operator="equal">
      <formula>"PTO"</formula>
    </cfRule>
  </conditionalFormatting>
  <conditionalFormatting sqref="O18">
    <cfRule type="cellIs" dxfId="9883" priority="7351" operator="equal">
      <formula>"OFF"</formula>
    </cfRule>
    <cfRule type="cellIs" dxfId="9882" priority="7352" operator="equal">
      <formula>"PTO"</formula>
    </cfRule>
  </conditionalFormatting>
  <conditionalFormatting sqref="O18">
    <cfRule type="cellIs" dxfId="9881" priority="7349" operator="equal">
      <formula>"OFF"</formula>
    </cfRule>
    <cfRule type="cellIs" dxfId="9880" priority="7350" operator="equal">
      <formula>"PTO"</formula>
    </cfRule>
  </conditionalFormatting>
  <conditionalFormatting sqref="O18">
    <cfRule type="cellIs" dxfId="9879" priority="7347" operator="equal">
      <formula>"OFF"</formula>
    </cfRule>
    <cfRule type="cellIs" dxfId="9878" priority="7348" operator="equal">
      <formula>"PTO"</formula>
    </cfRule>
  </conditionalFormatting>
  <conditionalFormatting sqref="O18">
    <cfRule type="cellIs" dxfId="9877" priority="7345" operator="equal">
      <formula>"OFF"</formula>
    </cfRule>
    <cfRule type="cellIs" dxfId="9876" priority="7346" operator="equal">
      <formula>"PTO"</formula>
    </cfRule>
  </conditionalFormatting>
  <conditionalFormatting sqref="O18">
    <cfRule type="cellIs" dxfId="9875" priority="7343" operator="equal">
      <formula>"OFF"</formula>
    </cfRule>
    <cfRule type="cellIs" dxfId="9874" priority="7344" operator="equal">
      <formula>"PTO"</formula>
    </cfRule>
  </conditionalFormatting>
  <conditionalFormatting sqref="O18">
    <cfRule type="cellIs" dxfId="9873" priority="7341" operator="equal">
      <formula>"OFF"</formula>
    </cfRule>
    <cfRule type="cellIs" dxfId="9872" priority="7342" operator="equal">
      <formula>"PTO"</formula>
    </cfRule>
  </conditionalFormatting>
  <conditionalFormatting sqref="O18">
    <cfRule type="cellIs" dxfId="9871" priority="7339" operator="equal">
      <formula>"OFF"</formula>
    </cfRule>
    <cfRule type="cellIs" dxfId="9870" priority="7340" operator="equal">
      <formula>"PTO"</formula>
    </cfRule>
  </conditionalFormatting>
  <conditionalFormatting sqref="O18">
    <cfRule type="cellIs" dxfId="9869" priority="7337" operator="equal">
      <formula>"OFF"</formula>
    </cfRule>
    <cfRule type="cellIs" dxfId="9868" priority="7338" operator="equal">
      <formula>"PTO"</formula>
    </cfRule>
  </conditionalFormatting>
  <conditionalFormatting sqref="O18">
    <cfRule type="cellIs" dxfId="9867" priority="7335" operator="equal">
      <formula>"OFF"</formula>
    </cfRule>
    <cfRule type="cellIs" dxfId="9866" priority="7336" operator="equal">
      <formula>"PTO"</formula>
    </cfRule>
  </conditionalFormatting>
  <conditionalFormatting sqref="O18">
    <cfRule type="cellIs" dxfId="9865" priority="7333" operator="equal">
      <formula>"OFF"</formula>
    </cfRule>
    <cfRule type="cellIs" dxfId="9864" priority="7334" operator="equal">
      <formula>"PTO"</formula>
    </cfRule>
  </conditionalFormatting>
  <conditionalFormatting sqref="O18">
    <cfRule type="cellIs" dxfId="9863" priority="7331" operator="equal">
      <formula>"OFF"</formula>
    </cfRule>
    <cfRule type="cellIs" dxfId="9862" priority="7332" operator="equal">
      <formula>"PTO"</formula>
    </cfRule>
  </conditionalFormatting>
  <conditionalFormatting sqref="J20">
    <cfRule type="cellIs" dxfId="9861" priority="7329" operator="equal">
      <formula>"OFF"</formula>
    </cfRule>
    <cfRule type="cellIs" dxfId="9860" priority="7330" operator="equal">
      <formula>"PTO"</formula>
    </cfRule>
  </conditionalFormatting>
  <conditionalFormatting sqref="J20">
    <cfRule type="cellIs" dxfId="9859" priority="7327" operator="equal">
      <formula>"OFF"</formula>
    </cfRule>
    <cfRule type="cellIs" dxfId="9858" priority="7328" operator="equal">
      <formula>"PTO"</formula>
    </cfRule>
  </conditionalFormatting>
  <conditionalFormatting sqref="J20">
    <cfRule type="cellIs" dxfId="9857" priority="7325" operator="equal">
      <formula>"OFF"</formula>
    </cfRule>
    <cfRule type="cellIs" dxfId="9856" priority="7326" operator="equal">
      <formula>"PTO"</formula>
    </cfRule>
  </conditionalFormatting>
  <conditionalFormatting sqref="J20">
    <cfRule type="cellIs" dxfId="9855" priority="7323" operator="equal">
      <formula>"OFF"</formula>
    </cfRule>
    <cfRule type="cellIs" dxfId="9854" priority="7324" operator="equal">
      <formula>"PTO"</formula>
    </cfRule>
  </conditionalFormatting>
  <conditionalFormatting sqref="J22">
    <cfRule type="cellIs" dxfId="9853" priority="7321" operator="equal">
      <formula>"OFF"</formula>
    </cfRule>
    <cfRule type="cellIs" dxfId="9852" priority="7322" operator="equal">
      <formula>"PTO"</formula>
    </cfRule>
  </conditionalFormatting>
  <conditionalFormatting sqref="J20">
    <cfRule type="cellIs" dxfId="9851" priority="7319" operator="equal">
      <formula>"OFF"</formula>
    </cfRule>
    <cfRule type="cellIs" dxfId="9850" priority="7320" operator="equal">
      <formula>"PTO"</formula>
    </cfRule>
  </conditionalFormatting>
  <conditionalFormatting sqref="J20">
    <cfRule type="cellIs" dxfId="9849" priority="7317" operator="equal">
      <formula>"OFF"</formula>
    </cfRule>
    <cfRule type="cellIs" dxfId="9848" priority="7318" operator="equal">
      <formula>"PTO"</formula>
    </cfRule>
  </conditionalFormatting>
  <conditionalFormatting sqref="J20">
    <cfRule type="cellIs" dxfId="9847" priority="7315" operator="equal">
      <formula>"OFF"</formula>
    </cfRule>
    <cfRule type="cellIs" dxfId="9846" priority="7316" operator="equal">
      <formula>"PTO"</formula>
    </cfRule>
  </conditionalFormatting>
  <conditionalFormatting sqref="J20">
    <cfRule type="cellIs" dxfId="9845" priority="7313" operator="equal">
      <formula>"OFF"</formula>
    </cfRule>
    <cfRule type="cellIs" dxfId="9844" priority="7314" operator="equal">
      <formula>"PTO"</formula>
    </cfRule>
  </conditionalFormatting>
  <conditionalFormatting sqref="J22">
    <cfRule type="cellIs" dxfId="9843" priority="7311" operator="equal">
      <formula>"OFF"</formula>
    </cfRule>
    <cfRule type="cellIs" dxfId="9842" priority="7312" operator="equal">
      <formula>"PTO"</formula>
    </cfRule>
  </conditionalFormatting>
  <conditionalFormatting sqref="J21">
    <cfRule type="cellIs" dxfId="9841" priority="7309" operator="equal">
      <formula>"OFF"</formula>
    </cfRule>
    <cfRule type="cellIs" dxfId="9840" priority="7310" operator="equal">
      <formula>"PTO"</formula>
    </cfRule>
  </conditionalFormatting>
  <conditionalFormatting sqref="J21">
    <cfRule type="cellIs" dxfId="9839" priority="7307" operator="equal">
      <formula>"OFF"</formula>
    </cfRule>
    <cfRule type="cellIs" dxfId="9838" priority="7308" operator="equal">
      <formula>"PTO"</formula>
    </cfRule>
  </conditionalFormatting>
  <conditionalFormatting sqref="J20">
    <cfRule type="cellIs" dxfId="9837" priority="7305" operator="equal">
      <formula>"OFF"</formula>
    </cfRule>
    <cfRule type="cellIs" dxfId="9836" priority="7306" operator="equal">
      <formula>"PTO"</formula>
    </cfRule>
  </conditionalFormatting>
  <conditionalFormatting sqref="J20">
    <cfRule type="cellIs" dxfId="9835" priority="7303" operator="equal">
      <formula>"OFF"</formula>
    </cfRule>
    <cfRule type="cellIs" dxfId="9834" priority="7304" operator="equal">
      <formula>"PTO"</formula>
    </cfRule>
  </conditionalFormatting>
  <conditionalFormatting sqref="K18">
    <cfRule type="cellIs" dxfId="9833" priority="7301" operator="equal">
      <formula>"OFF"</formula>
    </cfRule>
    <cfRule type="cellIs" dxfId="9832" priority="7302" operator="equal">
      <formula>"PTO"</formula>
    </cfRule>
  </conditionalFormatting>
  <conditionalFormatting sqref="K18">
    <cfRule type="cellIs" dxfId="9831" priority="7299" operator="equal">
      <formula>"OFF"</formula>
    </cfRule>
    <cfRule type="cellIs" dxfId="9830" priority="7300" operator="equal">
      <formula>"PTO"</formula>
    </cfRule>
  </conditionalFormatting>
  <conditionalFormatting sqref="K18">
    <cfRule type="cellIs" dxfId="9829" priority="7297" operator="equal">
      <formula>"OFF"</formula>
    </cfRule>
    <cfRule type="cellIs" dxfId="9828" priority="7298" operator="equal">
      <formula>"PTO"</formula>
    </cfRule>
  </conditionalFormatting>
  <conditionalFormatting sqref="K18">
    <cfRule type="cellIs" dxfId="9827" priority="7295" operator="equal">
      <formula>"OFF"</formula>
    </cfRule>
    <cfRule type="cellIs" dxfId="9826" priority="7296" operator="equal">
      <formula>"PTO"</formula>
    </cfRule>
  </conditionalFormatting>
  <conditionalFormatting sqref="K18">
    <cfRule type="cellIs" dxfId="9825" priority="7293" operator="equal">
      <formula>"OFF"</formula>
    </cfRule>
    <cfRule type="cellIs" dxfId="9824" priority="7294" operator="equal">
      <formula>"PTO"</formula>
    </cfRule>
  </conditionalFormatting>
  <conditionalFormatting sqref="K18">
    <cfRule type="cellIs" dxfId="9823" priority="7291" operator="equal">
      <formula>"OFF"</formula>
    </cfRule>
    <cfRule type="cellIs" dxfId="9822" priority="7292" operator="equal">
      <formula>"PTO"</formula>
    </cfRule>
  </conditionalFormatting>
  <conditionalFormatting sqref="K18">
    <cfRule type="cellIs" dxfId="9821" priority="7289" operator="equal">
      <formula>"OFF"</formula>
    </cfRule>
    <cfRule type="cellIs" dxfId="9820" priority="7290" operator="equal">
      <formula>"PTO"</formula>
    </cfRule>
  </conditionalFormatting>
  <conditionalFormatting sqref="K18">
    <cfRule type="cellIs" dxfId="9819" priority="7287" operator="equal">
      <formula>"OFF"</formula>
    </cfRule>
    <cfRule type="cellIs" dxfId="9818" priority="7288" operator="equal">
      <formula>"PTO"</formula>
    </cfRule>
  </conditionalFormatting>
  <conditionalFormatting sqref="K18">
    <cfRule type="cellIs" dxfId="9817" priority="7285" operator="equal">
      <formula>"OFF"</formula>
    </cfRule>
    <cfRule type="cellIs" dxfId="9816" priority="7286" operator="equal">
      <formula>"PTO"</formula>
    </cfRule>
  </conditionalFormatting>
  <conditionalFormatting sqref="K18">
    <cfRule type="cellIs" dxfId="9815" priority="7283" operator="equal">
      <formula>"OFF"</formula>
    </cfRule>
    <cfRule type="cellIs" dxfId="9814" priority="7284" operator="equal">
      <formula>"PTO"</formula>
    </cfRule>
  </conditionalFormatting>
  <conditionalFormatting sqref="K18">
    <cfRule type="cellIs" dxfId="9813" priority="7281" operator="equal">
      <formula>"OFF"</formula>
    </cfRule>
    <cfRule type="cellIs" dxfId="9812" priority="7282" operator="equal">
      <formula>"PTO"</formula>
    </cfRule>
  </conditionalFormatting>
  <conditionalFormatting sqref="K18">
    <cfRule type="cellIs" dxfId="9811" priority="7279" operator="equal">
      <formula>"OFF"</formula>
    </cfRule>
    <cfRule type="cellIs" dxfId="9810" priority="7280" operator="equal">
      <formula>"PTO"</formula>
    </cfRule>
  </conditionalFormatting>
  <conditionalFormatting sqref="K18">
    <cfRule type="cellIs" dxfId="9809" priority="7277" operator="equal">
      <formula>"OFF"</formula>
    </cfRule>
    <cfRule type="cellIs" dxfId="9808" priority="7278" operator="equal">
      <formula>"PTO"</formula>
    </cfRule>
  </conditionalFormatting>
  <conditionalFormatting sqref="K18">
    <cfRule type="cellIs" dxfId="9807" priority="7275" operator="equal">
      <formula>"OFF"</formula>
    </cfRule>
    <cfRule type="cellIs" dxfId="9806" priority="7276" operator="equal">
      <formula>"PTO"</formula>
    </cfRule>
  </conditionalFormatting>
  <conditionalFormatting sqref="K18">
    <cfRule type="cellIs" dxfId="9805" priority="7273" operator="equal">
      <formula>"OFF"</formula>
    </cfRule>
    <cfRule type="cellIs" dxfId="9804" priority="7274" operator="equal">
      <formula>"PTO"</formula>
    </cfRule>
  </conditionalFormatting>
  <conditionalFormatting sqref="K18">
    <cfRule type="cellIs" dxfId="9803" priority="7271" operator="equal">
      <formula>"OFF"</formula>
    </cfRule>
    <cfRule type="cellIs" dxfId="9802" priority="7272" operator="equal">
      <formula>"PTO"</formula>
    </cfRule>
  </conditionalFormatting>
  <conditionalFormatting sqref="K18">
    <cfRule type="cellIs" dxfId="9801" priority="7269" operator="equal">
      <formula>"OFF"</formula>
    </cfRule>
    <cfRule type="cellIs" dxfId="9800" priority="7270" operator="equal">
      <formula>"PTO"</formula>
    </cfRule>
  </conditionalFormatting>
  <conditionalFormatting sqref="K18">
    <cfRule type="cellIs" dxfId="9799" priority="7267" operator="equal">
      <formula>"OFF"</formula>
    </cfRule>
    <cfRule type="cellIs" dxfId="9798" priority="7268" operator="equal">
      <formula>"PTO"</formula>
    </cfRule>
  </conditionalFormatting>
  <conditionalFormatting sqref="K18">
    <cfRule type="cellIs" dxfId="9797" priority="7265" operator="equal">
      <formula>"OFF"</formula>
    </cfRule>
    <cfRule type="cellIs" dxfId="9796" priority="7266" operator="equal">
      <formula>"PTO"</formula>
    </cfRule>
  </conditionalFormatting>
  <conditionalFormatting sqref="K18">
    <cfRule type="cellIs" dxfId="9795" priority="7263" operator="equal">
      <formula>"OFF"</formula>
    </cfRule>
    <cfRule type="cellIs" dxfId="9794" priority="7264" operator="equal">
      <formula>"PTO"</formula>
    </cfRule>
  </conditionalFormatting>
  <conditionalFormatting sqref="K18">
    <cfRule type="cellIs" dxfId="9793" priority="7261" operator="equal">
      <formula>"OFF"</formula>
    </cfRule>
    <cfRule type="cellIs" dxfId="9792" priority="7262" operator="equal">
      <formula>"PTO"</formula>
    </cfRule>
  </conditionalFormatting>
  <conditionalFormatting sqref="K18">
    <cfRule type="cellIs" dxfId="9791" priority="7259" operator="equal">
      <formula>"OFF"</formula>
    </cfRule>
    <cfRule type="cellIs" dxfId="9790" priority="7260" operator="equal">
      <formula>"PTO"</formula>
    </cfRule>
  </conditionalFormatting>
  <conditionalFormatting sqref="K18">
    <cfRule type="cellIs" dxfId="9789" priority="7257" operator="equal">
      <formula>"OFF"</formula>
    </cfRule>
    <cfRule type="cellIs" dxfId="9788" priority="7258" operator="equal">
      <formula>"PTO"</formula>
    </cfRule>
  </conditionalFormatting>
  <conditionalFormatting sqref="K18">
    <cfRule type="cellIs" dxfId="9787" priority="7255" operator="equal">
      <formula>"OFF"</formula>
    </cfRule>
    <cfRule type="cellIs" dxfId="9786" priority="7256" operator="equal">
      <formula>"PTO"</formula>
    </cfRule>
  </conditionalFormatting>
  <conditionalFormatting sqref="K18">
    <cfRule type="cellIs" dxfId="9785" priority="7253" operator="equal">
      <formula>"OFF"</formula>
    </cfRule>
    <cfRule type="cellIs" dxfId="9784" priority="7254" operator="equal">
      <formula>"PTO"</formula>
    </cfRule>
  </conditionalFormatting>
  <conditionalFormatting sqref="K18">
    <cfRule type="cellIs" dxfId="9783" priority="7251" operator="equal">
      <formula>"OFF"</formula>
    </cfRule>
    <cfRule type="cellIs" dxfId="9782" priority="7252" operator="equal">
      <formula>"PTO"</formula>
    </cfRule>
  </conditionalFormatting>
  <conditionalFormatting sqref="K18">
    <cfRule type="cellIs" dxfId="9781" priority="7249" operator="equal">
      <formula>"OFF"</formula>
    </cfRule>
    <cfRule type="cellIs" dxfId="9780" priority="7250" operator="equal">
      <formula>"PTO"</formula>
    </cfRule>
  </conditionalFormatting>
  <conditionalFormatting sqref="K18">
    <cfRule type="cellIs" dxfId="9779" priority="7247" operator="equal">
      <formula>"OFF"</formula>
    </cfRule>
    <cfRule type="cellIs" dxfId="9778" priority="7248" operator="equal">
      <formula>"PTO"</formula>
    </cfRule>
  </conditionalFormatting>
  <conditionalFormatting sqref="K18">
    <cfRule type="cellIs" dxfId="9777" priority="7245" operator="equal">
      <formula>"OFF"</formula>
    </cfRule>
    <cfRule type="cellIs" dxfId="9776" priority="7246" operator="equal">
      <formula>"PTO"</formula>
    </cfRule>
  </conditionalFormatting>
  <conditionalFormatting sqref="K18">
    <cfRule type="cellIs" dxfId="9775" priority="7243" operator="equal">
      <formula>"OFF"</formula>
    </cfRule>
    <cfRule type="cellIs" dxfId="9774" priority="7244" operator="equal">
      <formula>"PTO"</formula>
    </cfRule>
  </conditionalFormatting>
  <conditionalFormatting sqref="K18">
    <cfRule type="cellIs" dxfId="9773" priority="7241" operator="equal">
      <formula>"OFF"</formula>
    </cfRule>
    <cfRule type="cellIs" dxfId="9772" priority="7242" operator="equal">
      <formula>"PTO"</formula>
    </cfRule>
  </conditionalFormatting>
  <conditionalFormatting sqref="K18">
    <cfRule type="cellIs" dxfId="9771" priority="7239" operator="equal">
      <formula>"OFF"</formula>
    </cfRule>
    <cfRule type="cellIs" dxfId="9770" priority="7240" operator="equal">
      <formula>"PTO"</formula>
    </cfRule>
  </conditionalFormatting>
  <conditionalFormatting sqref="F33:H42">
    <cfRule type="cellIs" dxfId="9769" priority="6909" operator="equal">
      <formula>"OFF"</formula>
    </cfRule>
    <cfRule type="cellIs" dxfId="9768" priority="6910" operator="equal">
      <formula>"PTO"</formula>
    </cfRule>
  </conditionalFormatting>
  <conditionalFormatting sqref="F33:H42">
    <cfRule type="cellIs" dxfId="9767" priority="6907" operator="equal">
      <formula>"OFF"</formula>
    </cfRule>
    <cfRule type="cellIs" dxfId="9766" priority="6908" operator="equal">
      <formula>"PTO"</formula>
    </cfRule>
  </conditionalFormatting>
  <conditionalFormatting sqref="F33:H42">
    <cfRule type="cellIs" dxfId="9765" priority="6905" operator="equal">
      <formula>"OFF"</formula>
    </cfRule>
    <cfRule type="cellIs" dxfId="9764" priority="6906" operator="equal">
      <formula>"PTO"</formula>
    </cfRule>
  </conditionalFormatting>
  <conditionalFormatting sqref="F33:H42">
    <cfRule type="cellIs" dxfId="9763" priority="6903" operator="equal">
      <formula>"OFF"</formula>
    </cfRule>
    <cfRule type="cellIs" dxfId="9762" priority="6904" operator="equal">
      <formula>"PTO"</formula>
    </cfRule>
  </conditionalFormatting>
  <conditionalFormatting sqref="C33:C42">
    <cfRule type="cellIs" dxfId="9761" priority="7227" operator="equal">
      <formula>"OFF"</formula>
    </cfRule>
    <cfRule type="cellIs" dxfId="9760" priority="7228" operator="equal">
      <formula>"PTO"</formula>
    </cfRule>
  </conditionalFormatting>
  <conditionalFormatting sqref="C33:C42">
    <cfRule type="cellIs" dxfId="9759" priority="7221" operator="equal">
      <formula>"OFF"</formula>
    </cfRule>
    <cfRule type="cellIs" dxfId="9758" priority="7222" operator="equal">
      <formula>"PTO"</formula>
    </cfRule>
  </conditionalFormatting>
  <conditionalFormatting sqref="C33:C42">
    <cfRule type="cellIs" dxfId="9757" priority="7213" operator="equal">
      <formula>"OFF"</formula>
    </cfRule>
    <cfRule type="cellIs" dxfId="9756" priority="7214" operator="equal">
      <formula>"PTO"</formula>
    </cfRule>
  </conditionalFormatting>
  <conditionalFormatting sqref="C33:C42">
    <cfRule type="cellIs" dxfId="9755" priority="7197" operator="equal">
      <formula>"OFF"</formula>
    </cfRule>
    <cfRule type="cellIs" dxfId="9754" priority="7198" operator="equal">
      <formula>"PTO"</formula>
    </cfRule>
  </conditionalFormatting>
  <conditionalFormatting sqref="C33:C42">
    <cfRule type="cellIs" dxfId="9753" priority="7195" operator="equal">
      <formula>"OFF"</formula>
    </cfRule>
    <cfRule type="cellIs" dxfId="9752" priority="7196" operator="equal">
      <formula>"PTO"</formula>
    </cfRule>
  </conditionalFormatting>
  <conditionalFormatting sqref="C33:C42">
    <cfRule type="cellIs" dxfId="9751" priority="7229" operator="equal">
      <formula>"OFF"</formula>
    </cfRule>
    <cfRule type="cellIs" dxfId="9750" priority="7230" operator="equal">
      <formula>"PTO"</formula>
    </cfRule>
  </conditionalFormatting>
  <conditionalFormatting sqref="C33:C42">
    <cfRule type="cellIs" dxfId="9749" priority="7225" operator="equal">
      <formula>"OFF"</formula>
    </cfRule>
    <cfRule type="cellIs" dxfId="9748" priority="7226" operator="equal">
      <formula>"PTO"</formula>
    </cfRule>
  </conditionalFormatting>
  <conditionalFormatting sqref="C33:C42">
    <cfRule type="cellIs" dxfId="9747" priority="7223" operator="equal">
      <formula>"OFF"</formula>
    </cfRule>
    <cfRule type="cellIs" dxfId="9746" priority="7224" operator="equal">
      <formula>"PTO"</formula>
    </cfRule>
  </conditionalFormatting>
  <conditionalFormatting sqref="C33:C42">
    <cfRule type="cellIs" dxfId="9745" priority="7219" operator="equal">
      <formula>"OFF"</formula>
    </cfRule>
    <cfRule type="cellIs" dxfId="9744" priority="7220" operator="equal">
      <formula>"PTO"</formula>
    </cfRule>
  </conditionalFormatting>
  <conditionalFormatting sqref="C33:C42">
    <cfRule type="cellIs" dxfId="9743" priority="7217" operator="equal">
      <formula>"OFF"</formula>
    </cfRule>
    <cfRule type="cellIs" dxfId="9742" priority="7218" operator="equal">
      <formula>"PTO"</formula>
    </cfRule>
  </conditionalFormatting>
  <conditionalFormatting sqref="C33:C42">
    <cfRule type="cellIs" dxfId="9741" priority="7215" operator="equal">
      <formula>"OFF"</formula>
    </cfRule>
    <cfRule type="cellIs" dxfId="9740" priority="7216" operator="equal">
      <formula>"PTO"</formula>
    </cfRule>
  </conditionalFormatting>
  <conditionalFormatting sqref="C33:C42">
    <cfRule type="cellIs" dxfId="9739" priority="7211" operator="equal">
      <formula>"OFF"</formula>
    </cfRule>
    <cfRule type="cellIs" dxfId="9738" priority="7212" operator="equal">
      <formula>"PTO"</formula>
    </cfRule>
  </conditionalFormatting>
  <conditionalFormatting sqref="C33:C42">
    <cfRule type="cellIs" dxfId="9737" priority="7209" operator="equal">
      <formula>"OFF"</formula>
    </cfRule>
    <cfRule type="cellIs" dxfId="9736" priority="7210" operator="equal">
      <formula>"PTO"</formula>
    </cfRule>
  </conditionalFormatting>
  <conditionalFormatting sqref="C33:C42">
    <cfRule type="cellIs" dxfId="9735" priority="7207" operator="equal">
      <formula>"OFF"</formula>
    </cfRule>
    <cfRule type="cellIs" dxfId="9734" priority="7208" operator="equal">
      <formula>"PTO"</formula>
    </cfRule>
  </conditionalFormatting>
  <conditionalFormatting sqref="C33:C42">
    <cfRule type="cellIs" dxfId="9733" priority="7205" operator="equal">
      <formula>"OFF"</formula>
    </cfRule>
    <cfRule type="cellIs" dxfId="9732" priority="7206" operator="equal">
      <formula>"PTO"</formula>
    </cfRule>
  </conditionalFormatting>
  <conditionalFormatting sqref="C33:C42">
    <cfRule type="cellIs" dxfId="9731" priority="7203" operator="equal">
      <formula>"OFF"</formula>
    </cfRule>
    <cfRule type="cellIs" dxfId="9730" priority="7204" operator="equal">
      <formula>"PTO"</formula>
    </cfRule>
  </conditionalFormatting>
  <conditionalFormatting sqref="C33:C42">
    <cfRule type="cellIs" dxfId="9729" priority="7201" operator="equal">
      <formula>"OFF"</formula>
    </cfRule>
    <cfRule type="cellIs" dxfId="9728" priority="7202" operator="equal">
      <formula>"PTO"</formula>
    </cfRule>
  </conditionalFormatting>
  <conditionalFormatting sqref="C33:C42">
    <cfRule type="cellIs" dxfId="9727" priority="7199" operator="equal">
      <formula>"OFF"</formula>
    </cfRule>
    <cfRule type="cellIs" dxfId="9726" priority="7200" operator="equal">
      <formula>"PTO"</formula>
    </cfRule>
  </conditionalFormatting>
  <conditionalFormatting sqref="C33:C42">
    <cfRule type="cellIs" dxfId="9725" priority="7193" operator="equal">
      <formula>"OFF"</formula>
    </cfRule>
    <cfRule type="cellIs" dxfId="9724" priority="7194" operator="equal">
      <formula>"PTO"</formula>
    </cfRule>
  </conditionalFormatting>
  <conditionalFormatting sqref="C33:C42">
    <cfRule type="cellIs" dxfId="9723" priority="7191" operator="equal">
      <formula>"OFF"</formula>
    </cfRule>
    <cfRule type="cellIs" dxfId="9722" priority="7192" operator="equal">
      <formula>"PTO"</formula>
    </cfRule>
  </conditionalFormatting>
  <conditionalFormatting sqref="C33:C42">
    <cfRule type="cellIs" dxfId="9721" priority="7189" operator="equal">
      <formula>"OFF"</formula>
    </cfRule>
    <cfRule type="cellIs" dxfId="9720" priority="7190" operator="equal">
      <formula>"PTO"</formula>
    </cfRule>
  </conditionalFormatting>
  <conditionalFormatting sqref="C33:C42">
    <cfRule type="cellIs" dxfId="9719" priority="7187" operator="equal">
      <formula>"OFF"</formula>
    </cfRule>
    <cfRule type="cellIs" dxfId="9718" priority="7188" operator="equal">
      <formula>"PTO"</formula>
    </cfRule>
  </conditionalFormatting>
  <conditionalFormatting sqref="C33:C42">
    <cfRule type="cellIs" dxfId="9717" priority="7185" operator="equal">
      <formula>"OFF"</formula>
    </cfRule>
    <cfRule type="cellIs" dxfId="9716" priority="7186" operator="equal">
      <formula>"PTO"</formula>
    </cfRule>
  </conditionalFormatting>
  <conditionalFormatting sqref="C33:C42">
    <cfRule type="cellIs" dxfId="9715" priority="7183" operator="equal">
      <formula>"OFF"</formula>
    </cfRule>
    <cfRule type="cellIs" dxfId="9714" priority="7184" operator="equal">
      <formula>"PTO"</formula>
    </cfRule>
  </conditionalFormatting>
  <conditionalFormatting sqref="C33:C42">
    <cfRule type="cellIs" dxfId="9713" priority="7181" operator="equal">
      <formula>"OFF"</formula>
    </cfRule>
    <cfRule type="cellIs" dxfId="9712" priority="7182" operator="equal">
      <formula>"PTO"</formula>
    </cfRule>
  </conditionalFormatting>
  <conditionalFormatting sqref="C33:C42">
    <cfRule type="cellIs" dxfId="9711" priority="7179" operator="equal">
      <formula>"OFF"</formula>
    </cfRule>
    <cfRule type="cellIs" dxfId="9710" priority="7180" operator="equal">
      <formula>"PTO"</formula>
    </cfRule>
  </conditionalFormatting>
  <conditionalFormatting sqref="C33:C42">
    <cfRule type="cellIs" dxfId="9709" priority="7177" operator="equal">
      <formula>"OFF"</formula>
    </cfRule>
    <cfRule type="cellIs" dxfId="9708" priority="7178" operator="equal">
      <formula>"PTO"</formula>
    </cfRule>
  </conditionalFormatting>
  <conditionalFormatting sqref="C33:C42">
    <cfRule type="cellIs" dxfId="9707" priority="7175" operator="equal">
      <formula>"OFF"</formula>
    </cfRule>
    <cfRule type="cellIs" dxfId="9706" priority="7176" operator="equal">
      <formula>"PTO"</formula>
    </cfRule>
  </conditionalFormatting>
  <conditionalFormatting sqref="C33:C42">
    <cfRule type="cellIs" dxfId="9705" priority="7173" operator="equal">
      <formula>"OFF"</formula>
    </cfRule>
    <cfRule type="cellIs" dxfId="9704" priority="7174" operator="equal">
      <formula>"PTO"</formula>
    </cfRule>
  </conditionalFormatting>
  <conditionalFormatting sqref="C33:C42">
    <cfRule type="cellIs" dxfId="9703" priority="7171" operator="equal">
      <formula>"OFF"</formula>
    </cfRule>
    <cfRule type="cellIs" dxfId="9702" priority="7172" operator="equal">
      <formula>"PTO"</formula>
    </cfRule>
  </conditionalFormatting>
  <conditionalFormatting sqref="C33:C42">
    <cfRule type="cellIs" dxfId="9701" priority="7169" operator="equal">
      <formula>"OFF"</formula>
    </cfRule>
    <cfRule type="cellIs" dxfId="9700" priority="7170" operator="equal">
      <formula>"PTO"</formula>
    </cfRule>
  </conditionalFormatting>
  <conditionalFormatting sqref="C33:C42">
    <cfRule type="cellIs" dxfId="9699" priority="7167" operator="equal">
      <formula>"OFF"</formula>
    </cfRule>
    <cfRule type="cellIs" dxfId="9698" priority="7168" operator="equal">
      <formula>"PTO"</formula>
    </cfRule>
  </conditionalFormatting>
  <conditionalFormatting sqref="C33:C42">
    <cfRule type="cellIs" dxfId="9697" priority="7165" operator="equal">
      <formula>"OFF"</formula>
    </cfRule>
    <cfRule type="cellIs" dxfId="9696" priority="7166" operator="equal">
      <formula>"PTO"</formula>
    </cfRule>
  </conditionalFormatting>
  <conditionalFormatting sqref="C33:C42">
    <cfRule type="cellIs" dxfId="9695" priority="7163" operator="equal">
      <formula>"OFF"</formula>
    </cfRule>
    <cfRule type="cellIs" dxfId="9694" priority="7164" operator="equal">
      <formula>"PTO"</formula>
    </cfRule>
  </conditionalFormatting>
  <conditionalFormatting sqref="C33:C42">
    <cfRule type="cellIs" dxfId="9693" priority="7161" operator="equal">
      <formula>"OFF"</formula>
    </cfRule>
    <cfRule type="cellIs" dxfId="9692" priority="7162" operator="equal">
      <formula>"PTO"</formula>
    </cfRule>
  </conditionalFormatting>
  <conditionalFormatting sqref="C33:C42">
    <cfRule type="cellIs" dxfId="9691" priority="7159" operator="equal">
      <formula>"OFF"</formula>
    </cfRule>
    <cfRule type="cellIs" dxfId="9690" priority="7160" operator="equal">
      <formula>"PTO"</formula>
    </cfRule>
  </conditionalFormatting>
  <conditionalFormatting sqref="C33:C42">
    <cfRule type="cellIs" dxfId="9689" priority="7157" operator="equal">
      <formula>"OFF"</formula>
    </cfRule>
    <cfRule type="cellIs" dxfId="9688" priority="7158" operator="equal">
      <formula>"PTO"</formula>
    </cfRule>
  </conditionalFormatting>
  <conditionalFormatting sqref="C33:C42">
    <cfRule type="cellIs" dxfId="9687" priority="7155" operator="equal">
      <formula>"OFF"</formula>
    </cfRule>
    <cfRule type="cellIs" dxfId="9686" priority="7156" operator="equal">
      <formula>"PTO"</formula>
    </cfRule>
  </conditionalFormatting>
  <conditionalFormatting sqref="C33:C42">
    <cfRule type="cellIs" dxfId="9685" priority="7153" operator="equal">
      <formula>"OFF"</formula>
    </cfRule>
    <cfRule type="cellIs" dxfId="9684" priority="7154" operator="equal">
      <formula>"PTO"</formula>
    </cfRule>
  </conditionalFormatting>
  <conditionalFormatting sqref="C33:C42">
    <cfRule type="cellIs" dxfId="9683" priority="7151" operator="equal">
      <formula>"OFF"</formula>
    </cfRule>
    <cfRule type="cellIs" dxfId="9682" priority="7152" operator="equal">
      <formula>"PTO"</formula>
    </cfRule>
  </conditionalFormatting>
  <conditionalFormatting sqref="C33:C42">
    <cfRule type="cellIs" dxfId="9681" priority="7149" operator="equal">
      <formula>"OFF"</formula>
    </cfRule>
    <cfRule type="cellIs" dxfId="9680" priority="7150" operator="equal">
      <formula>"PTO"</formula>
    </cfRule>
  </conditionalFormatting>
  <conditionalFormatting sqref="C33:C42">
    <cfRule type="cellIs" dxfId="9679" priority="7147" operator="equal">
      <formula>"OFF"</formula>
    </cfRule>
    <cfRule type="cellIs" dxfId="9678" priority="7148" operator="equal">
      <formula>"PTO"</formula>
    </cfRule>
  </conditionalFormatting>
  <conditionalFormatting sqref="C33:C42">
    <cfRule type="cellIs" dxfId="9677" priority="7145" operator="equal">
      <formula>"OFF"</formula>
    </cfRule>
    <cfRule type="cellIs" dxfId="9676" priority="7146" operator="equal">
      <formula>"PTO"</formula>
    </cfRule>
  </conditionalFormatting>
  <conditionalFormatting sqref="C33:C42">
    <cfRule type="cellIs" dxfId="9675" priority="7143" operator="equal">
      <formula>"OFF"</formula>
    </cfRule>
    <cfRule type="cellIs" dxfId="9674" priority="7144" operator="equal">
      <formula>"PTO"</formula>
    </cfRule>
  </conditionalFormatting>
  <conditionalFormatting sqref="F33:H42">
    <cfRule type="cellIs" dxfId="9673" priority="7053" operator="equal">
      <formula>"OFF"</formula>
    </cfRule>
    <cfRule type="cellIs" dxfId="9672" priority="7054" operator="equal">
      <formula>"PTO"</formula>
    </cfRule>
  </conditionalFormatting>
  <conditionalFormatting sqref="F33:H42">
    <cfRule type="cellIs" dxfId="9671" priority="7047" operator="equal">
      <formula>"OFF"</formula>
    </cfRule>
    <cfRule type="cellIs" dxfId="9670" priority="7048" operator="equal">
      <formula>"PTO"</formula>
    </cfRule>
  </conditionalFormatting>
  <conditionalFormatting sqref="F33:H42">
    <cfRule type="cellIs" dxfId="9669" priority="7031" operator="equal">
      <formula>"OFF"</formula>
    </cfRule>
    <cfRule type="cellIs" dxfId="9668" priority="7032" operator="equal">
      <formula>"PTO"</formula>
    </cfRule>
  </conditionalFormatting>
  <conditionalFormatting sqref="F33:H42">
    <cfRule type="cellIs" dxfId="9667" priority="6999" operator="equal">
      <formula>"OFF"</formula>
    </cfRule>
    <cfRule type="cellIs" dxfId="9666" priority="7000" operator="equal">
      <formula>"PTO"</formula>
    </cfRule>
  </conditionalFormatting>
  <conditionalFormatting sqref="F33:H42">
    <cfRule type="cellIs" dxfId="9665" priority="6997" operator="equal">
      <formula>"OFF"</formula>
    </cfRule>
    <cfRule type="cellIs" dxfId="9664" priority="6998" operator="equal">
      <formula>"PTO"</formula>
    </cfRule>
  </conditionalFormatting>
  <conditionalFormatting sqref="F33:H42">
    <cfRule type="cellIs" dxfId="9663" priority="7051" operator="equal">
      <formula>"OFF"</formula>
    </cfRule>
    <cfRule type="cellIs" dxfId="9662" priority="7052" operator="equal">
      <formula>"PTO"</formula>
    </cfRule>
  </conditionalFormatting>
  <conditionalFormatting sqref="F33:H42">
    <cfRule type="cellIs" dxfId="9661" priority="7049" operator="equal">
      <formula>"OFF"</formula>
    </cfRule>
    <cfRule type="cellIs" dxfId="9660" priority="7050" operator="equal">
      <formula>"PTO"</formula>
    </cfRule>
  </conditionalFormatting>
  <conditionalFormatting sqref="F33:H42">
    <cfRule type="cellIs" dxfId="9659" priority="7045" operator="equal">
      <formula>"OFF"</formula>
    </cfRule>
    <cfRule type="cellIs" dxfId="9658" priority="7046" operator="equal">
      <formula>"PTO"</formula>
    </cfRule>
  </conditionalFormatting>
  <conditionalFormatting sqref="F33:H42">
    <cfRule type="cellIs" dxfId="9657" priority="7043" operator="equal">
      <formula>"OFF"</formula>
    </cfRule>
    <cfRule type="cellIs" dxfId="9656" priority="7044" operator="equal">
      <formula>"PTO"</formula>
    </cfRule>
  </conditionalFormatting>
  <conditionalFormatting sqref="F33:H42">
    <cfRule type="cellIs" dxfId="9655" priority="7041" operator="equal">
      <formula>"OFF"</formula>
    </cfRule>
    <cfRule type="cellIs" dxfId="9654" priority="7042" operator="equal">
      <formula>"PTO"</formula>
    </cfRule>
  </conditionalFormatting>
  <conditionalFormatting sqref="F33:H42">
    <cfRule type="cellIs" dxfId="9653" priority="7039" operator="equal">
      <formula>"OFF"</formula>
    </cfRule>
    <cfRule type="cellIs" dxfId="9652" priority="7040" operator="equal">
      <formula>"PTO"</formula>
    </cfRule>
  </conditionalFormatting>
  <conditionalFormatting sqref="F33:H42">
    <cfRule type="cellIs" dxfId="9651" priority="7037" operator="equal">
      <formula>"OFF"</formula>
    </cfRule>
    <cfRule type="cellIs" dxfId="9650" priority="7038" operator="equal">
      <formula>"PTO"</formula>
    </cfRule>
  </conditionalFormatting>
  <conditionalFormatting sqref="F33:H42">
    <cfRule type="cellIs" dxfId="9649" priority="7035" operator="equal">
      <formula>"OFF"</formula>
    </cfRule>
    <cfRule type="cellIs" dxfId="9648" priority="7036" operator="equal">
      <formula>"PTO"</formula>
    </cfRule>
  </conditionalFormatting>
  <conditionalFormatting sqref="F33:H42">
    <cfRule type="cellIs" dxfId="9647" priority="7033" operator="equal">
      <formula>"OFF"</formula>
    </cfRule>
    <cfRule type="cellIs" dxfId="9646" priority="7034" operator="equal">
      <formula>"PTO"</formula>
    </cfRule>
  </conditionalFormatting>
  <conditionalFormatting sqref="F33:H42">
    <cfRule type="cellIs" dxfId="9645" priority="7029" operator="equal">
      <formula>"OFF"</formula>
    </cfRule>
    <cfRule type="cellIs" dxfId="9644" priority="7030" operator="equal">
      <formula>"PTO"</formula>
    </cfRule>
  </conditionalFormatting>
  <conditionalFormatting sqref="F33:H42">
    <cfRule type="cellIs" dxfId="9643" priority="7027" operator="equal">
      <formula>"OFF"</formula>
    </cfRule>
    <cfRule type="cellIs" dxfId="9642" priority="7028" operator="equal">
      <formula>"PTO"</formula>
    </cfRule>
  </conditionalFormatting>
  <conditionalFormatting sqref="F33:H42">
    <cfRule type="cellIs" dxfId="9641" priority="7025" operator="equal">
      <formula>"OFF"</formula>
    </cfRule>
    <cfRule type="cellIs" dxfId="9640" priority="7026" operator="equal">
      <formula>"PTO"</formula>
    </cfRule>
  </conditionalFormatting>
  <conditionalFormatting sqref="F33:H42">
    <cfRule type="cellIs" dxfId="9639" priority="7023" operator="equal">
      <formula>"OFF"</formula>
    </cfRule>
    <cfRule type="cellIs" dxfId="9638" priority="7024" operator="equal">
      <formula>"PTO"</formula>
    </cfRule>
  </conditionalFormatting>
  <conditionalFormatting sqref="F33:H42">
    <cfRule type="cellIs" dxfId="9637" priority="7021" operator="equal">
      <formula>"OFF"</formula>
    </cfRule>
    <cfRule type="cellIs" dxfId="9636" priority="7022" operator="equal">
      <formula>"PTO"</formula>
    </cfRule>
  </conditionalFormatting>
  <conditionalFormatting sqref="F33:H42">
    <cfRule type="cellIs" dxfId="9635" priority="7019" operator="equal">
      <formula>"OFF"</formula>
    </cfRule>
    <cfRule type="cellIs" dxfId="9634" priority="7020" operator="equal">
      <formula>"PTO"</formula>
    </cfRule>
  </conditionalFormatting>
  <conditionalFormatting sqref="F33:H42">
    <cfRule type="cellIs" dxfId="9633" priority="7017" operator="equal">
      <formula>"OFF"</formula>
    </cfRule>
    <cfRule type="cellIs" dxfId="9632" priority="7018" operator="equal">
      <formula>"PTO"</formula>
    </cfRule>
  </conditionalFormatting>
  <conditionalFormatting sqref="F33:H42">
    <cfRule type="cellIs" dxfId="9631" priority="7015" operator="equal">
      <formula>"OFF"</formula>
    </cfRule>
    <cfRule type="cellIs" dxfId="9630" priority="7016" operator="equal">
      <formula>"PTO"</formula>
    </cfRule>
  </conditionalFormatting>
  <conditionalFormatting sqref="F33:H42">
    <cfRule type="cellIs" dxfId="9629" priority="7013" operator="equal">
      <formula>"OFF"</formula>
    </cfRule>
    <cfRule type="cellIs" dxfId="9628" priority="7014" operator="equal">
      <formula>"PTO"</formula>
    </cfRule>
  </conditionalFormatting>
  <conditionalFormatting sqref="F33:H42">
    <cfRule type="cellIs" dxfId="9627" priority="7011" operator="equal">
      <formula>"OFF"</formula>
    </cfRule>
    <cfRule type="cellIs" dxfId="9626" priority="7012" operator="equal">
      <formula>"PTO"</formula>
    </cfRule>
  </conditionalFormatting>
  <conditionalFormatting sqref="F33:H42">
    <cfRule type="cellIs" dxfId="9625" priority="7009" operator="equal">
      <formula>"OFF"</formula>
    </cfRule>
    <cfRule type="cellIs" dxfId="9624" priority="7010" operator="equal">
      <formula>"PTO"</formula>
    </cfRule>
  </conditionalFormatting>
  <conditionalFormatting sqref="F33:H42">
    <cfRule type="cellIs" dxfId="9623" priority="7007" operator="equal">
      <formula>"OFF"</formula>
    </cfRule>
    <cfRule type="cellIs" dxfId="9622" priority="7008" operator="equal">
      <formula>"PTO"</formula>
    </cfRule>
  </conditionalFormatting>
  <conditionalFormatting sqref="F33:H42">
    <cfRule type="cellIs" dxfId="9621" priority="7005" operator="equal">
      <formula>"OFF"</formula>
    </cfRule>
    <cfRule type="cellIs" dxfId="9620" priority="7006" operator="equal">
      <formula>"PTO"</formula>
    </cfRule>
  </conditionalFormatting>
  <conditionalFormatting sqref="F33:H42">
    <cfRule type="cellIs" dxfId="9619" priority="7003" operator="equal">
      <formula>"OFF"</formula>
    </cfRule>
    <cfRule type="cellIs" dxfId="9618" priority="7004" operator="equal">
      <formula>"PTO"</formula>
    </cfRule>
  </conditionalFormatting>
  <conditionalFormatting sqref="F33:H42">
    <cfRule type="cellIs" dxfId="9617" priority="7001" operator="equal">
      <formula>"OFF"</formula>
    </cfRule>
    <cfRule type="cellIs" dxfId="9616" priority="7002" operator="equal">
      <formula>"PTO"</formula>
    </cfRule>
  </conditionalFormatting>
  <conditionalFormatting sqref="F33:H42">
    <cfRule type="cellIs" dxfId="9615" priority="6995" operator="equal">
      <formula>"OFF"</formula>
    </cfRule>
    <cfRule type="cellIs" dxfId="9614" priority="6996" operator="equal">
      <formula>"PTO"</formula>
    </cfRule>
  </conditionalFormatting>
  <conditionalFormatting sqref="F33:H42">
    <cfRule type="cellIs" dxfId="9613" priority="6993" operator="equal">
      <formula>"OFF"</formula>
    </cfRule>
    <cfRule type="cellIs" dxfId="9612" priority="6994" operator="equal">
      <formula>"PTO"</formula>
    </cfRule>
  </conditionalFormatting>
  <conditionalFormatting sqref="F33:H42">
    <cfRule type="cellIs" dxfId="9611" priority="6991" operator="equal">
      <formula>"OFF"</formula>
    </cfRule>
    <cfRule type="cellIs" dxfId="9610" priority="6992" operator="equal">
      <formula>"PTO"</formula>
    </cfRule>
  </conditionalFormatting>
  <conditionalFormatting sqref="F33:H42">
    <cfRule type="cellIs" dxfId="9609" priority="6989" operator="equal">
      <formula>"OFF"</formula>
    </cfRule>
    <cfRule type="cellIs" dxfId="9608" priority="6990" operator="equal">
      <formula>"PTO"</formula>
    </cfRule>
  </conditionalFormatting>
  <conditionalFormatting sqref="F33:H42">
    <cfRule type="cellIs" dxfId="9607" priority="6987" operator="equal">
      <formula>"OFF"</formula>
    </cfRule>
    <cfRule type="cellIs" dxfId="9606" priority="6988" operator="equal">
      <formula>"PTO"</formula>
    </cfRule>
  </conditionalFormatting>
  <conditionalFormatting sqref="F33:H42">
    <cfRule type="cellIs" dxfId="9605" priority="6985" operator="equal">
      <formula>"OFF"</formula>
    </cfRule>
    <cfRule type="cellIs" dxfId="9604" priority="6986" operator="equal">
      <formula>"PTO"</formula>
    </cfRule>
  </conditionalFormatting>
  <conditionalFormatting sqref="F33:H42">
    <cfRule type="cellIs" dxfId="9603" priority="6983" operator="equal">
      <formula>"OFF"</formula>
    </cfRule>
    <cfRule type="cellIs" dxfId="9602" priority="6984" operator="equal">
      <formula>"PTO"</formula>
    </cfRule>
  </conditionalFormatting>
  <conditionalFormatting sqref="F33:H42">
    <cfRule type="cellIs" dxfId="9601" priority="6981" operator="equal">
      <formula>"OFF"</formula>
    </cfRule>
    <cfRule type="cellIs" dxfId="9600" priority="6982" operator="equal">
      <formula>"PTO"</formula>
    </cfRule>
  </conditionalFormatting>
  <conditionalFormatting sqref="F33:H42">
    <cfRule type="cellIs" dxfId="9599" priority="6979" operator="equal">
      <formula>"OFF"</formula>
    </cfRule>
    <cfRule type="cellIs" dxfId="9598" priority="6980" operator="equal">
      <formula>"PTO"</formula>
    </cfRule>
  </conditionalFormatting>
  <conditionalFormatting sqref="F33:H42">
    <cfRule type="cellIs" dxfId="9597" priority="6977" operator="equal">
      <formula>"OFF"</formula>
    </cfRule>
    <cfRule type="cellIs" dxfId="9596" priority="6978" operator="equal">
      <formula>"PTO"</formula>
    </cfRule>
  </conditionalFormatting>
  <conditionalFormatting sqref="F33:H42">
    <cfRule type="cellIs" dxfId="9595" priority="6975" operator="equal">
      <formula>"OFF"</formula>
    </cfRule>
    <cfRule type="cellIs" dxfId="9594" priority="6976" operator="equal">
      <formula>"PTO"</formula>
    </cfRule>
  </conditionalFormatting>
  <conditionalFormatting sqref="F33:H42">
    <cfRule type="cellIs" dxfId="9593" priority="6973" operator="equal">
      <formula>"OFF"</formula>
    </cfRule>
    <cfRule type="cellIs" dxfId="9592" priority="6974" operator="equal">
      <formula>"PTO"</formula>
    </cfRule>
  </conditionalFormatting>
  <conditionalFormatting sqref="F33:H42">
    <cfRule type="cellIs" dxfId="9591" priority="6971" operator="equal">
      <formula>"OFF"</formula>
    </cfRule>
    <cfRule type="cellIs" dxfId="9590" priority="6972" operator="equal">
      <formula>"PTO"</formula>
    </cfRule>
  </conditionalFormatting>
  <conditionalFormatting sqref="F33:H42">
    <cfRule type="cellIs" dxfId="9589" priority="6969" operator="equal">
      <formula>"OFF"</formula>
    </cfRule>
    <cfRule type="cellIs" dxfId="9588" priority="6970" operator="equal">
      <formula>"PTO"</formula>
    </cfRule>
  </conditionalFormatting>
  <conditionalFormatting sqref="F33:H42">
    <cfRule type="cellIs" dxfId="9587" priority="6967" operator="equal">
      <formula>"OFF"</formula>
    </cfRule>
    <cfRule type="cellIs" dxfId="9586" priority="6968" operator="equal">
      <formula>"PTO"</formula>
    </cfRule>
  </conditionalFormatting>
  <conditionalFormatting sqref="F33:H42">
    <cfRule type="cellIs" dxfId="9585" priority="6965" operator="equal">
      <formula>"OFF"</formula>
    </cfRule>
    <cfRule type="cellIs" dxfId="9584" priority="6966" operator="equal">
      <formula>"PTO"</formula>
    </cfRule>
  </conditionalFormatting>
  <conditionalFormatting sqref="F33:H42">
    <cfRule type="cellIs" dxfId="9583" priority="6963" operator="equal">
      <formula>"OFF"</formula>
    </cfRule>
    <cfRule type="cellIs" dxfId="9582" priority="6964" operator="equal">
      <formula>"PTO"</formula>
    </cfRule>
  </conditionalFormatting>
  <conditionalFormatting sqref="F33:H42">
    <cfRule type="cellIs" dxfId="9581" priority="6961" operator="equal">
      <formula>"OFF"</formula>
    </cfRule>
    <cfRule type="cellIs" dxfId="9580" priority="6962" operator="equal">
      <formula>"PTO"</formula>
    </cfRule>
  </conditionalFormatting>
  <conditionalFormatting sqref="F33:H42">
    <cfRule type="cellIs" dxfId="9579" priority="6959" operator="equal">
      <formula>"OFF"</formula>
    </cfRule>
    <cfRule type="cellIs" dxfId="9578" priority="6960" operator="equal">
      <formula>"PTO"</formula>
    </cfRule>
  </conditionalFormatting>
  <conditionalFormatting sqref="F33:H42">
    <cfRule type="cellIs" dxfId="9577" priority="6957" operator="equal">
      <formula>"OFF"</formula>
    </cfRule>
    <cfRule type="cellIs" dxfId="9576" priority="6958" operator="equal">
      <formula>"PTO"</formula>
    </cfRule>
  </conditionalFormatting>
  <conditionalFormatting sqref="F33:H42">
    <cfRule type="cellIs" dxfId="9575" priority="6955" operator="equal">
      <formula>"OFF"</formula>
    </cfRule>
    <cfRule type="cellIs" dxfId="9574" priority="6956" operator="equal">
      <formula>"PTO"</formula>
    </cfRule>
  </conditionalFormatting>
  <conditionalFormatting sqref="F33:H42">
    <cfRule type="cellIs" dxfId="9573" priority="6953" operator="equal">
      <formula>"OFF"</formula>
    </cfRule>
    <cfRule type="cellIs" dxfId="9572" priority="6954" operator="equal">
      <formula>"PTO"</formula>
    </cfRule>
  </conditionalFormatting>
  <conditionalFormatting sqref="F33:H42">
    <cfRule type="cellIs" dxfId="9571" priority="6951" operator="equal">
      <formula>"OFF"</formula>
    </cfRule>
    <cfRule type="cellIs" dxfId="9570" priority="6952" operator="equal">
      <formula>"PTO"</formula>
    </cfRule>
  </conditionalFormatting>
  <conditionalFormatting sqref="F33:H42">
    <cfRule type="cellIs" dxfId="9569" priority="6949" operator="equal">
      <formula>"OFF"</formula>
    </cfRule>
    <cfRule type="cellIs" dxfId="9568" priority="6950" operator="equal">
      <formula>"PTO"</formula>
    </cfRule>
  </conditionalFormatting>
  <conditionalFormatting sqref="F33:H42">
    <cfRule type="cellIs" dxfId="9567" priority="6947" operator="equal">
      <formula>"OFF"</formula>
    </cfRule>
    <cfRule type="cellIs" dxfId="9566" priority="6948" operator="equal">
      <formula>"PTO"</formula>
    </cfRule>
  </conditionalFormatting>
  <conditionalFormatting sqref="F33:H42">
    <cfRule type="cellIs" dxfId="9565" priority="6945" operator="equal">
      <formula>"OFF"</formula>
    </cfRule>
    <cfRule type="cellIs" dxfId="9564" priority="6946" operator="equal">
      <formula>"PTO"</formula>
    </cfRule>
  </conditionalFormatting>
  <conditionalFormatting sqref="F33:H42">
    <cfRule type="cellIs" dxfId="9563" priority="6943" operator="equal">
      <formula>"OFF"</formula>
    </cfRule>
    <cfRule type="cellIs" dxfId="9562" priority="6944" operator="equal">
      <formula>"PTO"</formula>
    </cfRule>
  </conditionalFormatting>
  <conditionalFormatting sqref="F33:H42">
    <cfRule type="cellIs" dxfId="9561" priority="6941" operator="equal">
      <formula>"OFF"</formula>
    </cfRule>
    <cfRule type="cellIs" dxfId="9560" priority="6942" operator="equal">
      <formula>"PTO"</formula>
    </cfRule>
  </conditionalFormatting>
  <conditionalFormatting sqref="F33:H42">
    <cfRule type="cellIs" dxfId="9559" priority="6939" operator="equal">
      <formula>"OFF"</formula>
    </cfRule>
    <cfRule type="cellIs" dxfId="9558" priority="6940" operator="equal">
      <formula>"PTO"</formula>
    </cfRule>
  </conditionalFormatting>
  <conditionalFormatting sqref="F33:H42">
    <cfRule type="cellIs" dxfId="9557" priority="6937" operator="equal">
      <formula>"OFF"</formula>
    </cfRule>
    <cfRule type="cellIs" dxfId="9556" priority="6938" operator="equal">
      <formula>"PTO"</formula>
    </cfRule>
  </conditionalFormatting>
  <conditionalFormatting sqref="F33:H42">
    <cfRule type="cellIs" dxfId="9555" priority="6935" operator="equal">
      <formula>"OFF"</formula>
    </cfRule>
    <cfRule type="cellIs" dxfId="9554" priority="6936" operator="equal">
      <formula>"PTO"</formula>
    </cfRule>
  </conditionalFormatting>
  <conditionalFormatting sqref="F33:H42">
    <cfRule type="cellIs" dxfId="9553" priority="6933" operator="equal">
      <formula>"OFF"</formula>
    </cfRule>
    <cfRule type="cellIs" dxfId="9552" priority="6934" operator="equal">
      <formula>"PTO"</formula>
    </cfRule>
  </conditionalFormatting>
  <conditionalFormatting sqref="F33:H42">
    <cfRule type="cellIs" dxfId="9551" priority="6931" operator="equal">
      <formula>"OFF"</formula>
    </cfRule>
    <cfRule type="cellIs" dxfId="9550" priority="6932" operator="equal">
      <formula>"PTO"</formula>
    </cfRule>
  </conditionalFormatting>
  <conditionalFormatting sqref="F33:H42">
    <cfRule type="cellIs" dxfId="9549" priority="6929" operator="equal">
      <formula>"OFF"</formula>
    </cfRule>
    <cfRule type="cellIs" dxfId="9548" priority="6930" operator="equal">
      <formula>"PTO"</formula>
    </cfRule>
  </conditionalFormatting>
  <conditionalFormatting sqref="F33:H42">
    <cfRule type="cellIs" dxfId="9547" priority="6927" operator="equal">
      <formula>"OFF"</formula>
    </cfRule>
    <cfRule type="cellIs" dxfId="9546" priority="6928" operator="equal">
      <formula>"PTO"</formula>
    </cfRule>
  </conditionalFormatting>
  <conditionalFormatting sqref="F33:H42">
    <cfRule type="cellIs" dxfId="9545" priority="6925" operator="equal">
      <formula>"OFF"</formula>
    </cfRule>
    <cfRule type="cellIs" dxfId="9544" priority="6926" operator="equal">
      <formula>"PTO"</formula>
    </cfRule>
  </conditionalFormatting>
  <conditionalFormatting sqref="F33:H42">
    <cfRule type="cellIs" dxfId="9543" priority="6923" operator="equal">
      <formula>"OFF"</formula>
    </cfRule>
    <cfRule type="cellIs" dxfId="9542" priority="6924" operator="equal">
      <formula>"PTO"</formula>
    </cfRule>
  </conditionalFormatting>
  <conditionalFormatting sqref="F33:H42">
    <cfRule type="cellIs" dxfId="9541" priority="6921" operator="equal">
      <formula>"OFF"</formula>
    </cfRule>
    <cfRule type="cellIs" dxfId="9540" priority="6922" operator="equal">
      <formula>"PTO"</formula>
    </cfRule>
  </conditionalFormatting>
  <conditionalFormatting sqref="F33:H42">
    <cfRule type="cellIs" dxfId="9539" priority="6919" operator="equal">
      <formula>"OFF"</formula>
    </cfRule>
    <cfRule type="cellIs" dxfId="9538" priority="6920" operator="equal">
      <formula>"PTO"</formula>
    </cfRule>
  </conditionalFormatting>
  <conditionalFormatting sqref="F33:H42">
    <cfRule type="cellIs" dxfId="9537" priority="6917" operator="equal">
      <formula>"OFF"</formula>
    </cfRule>
    <cfRule type="cellIs" dxfId="9536" priority="6918" operator="equal">
      <formula>"PTO"</formula>
    </cfRule>
  </conditionalFormatting>
  <conditionalFormatting sqref="F33:H42">
    <cfRule type="cellIs" dxfId="9535" priority="6915" operator="equal">
      <formula>"OFF"</formula>
    </cfRule>
    <cfRule type="cellIs" dxfId="9534" priority="6916" operator="equal">
      <formula>"PTO"</formula>
    </cfRule>
  </conditionalFormatting>
  <conditionalFormatting sqref="F33:H42">
    <cfRule type="cellIs" dxfId="9533" priority="6913" operator="equal">
      <formula>"OFF"</formula>
    </cfRule>
    <cfRule type="cellIs" dxfId="9532" priority="6914" operator="equal">
      <formula>"PTO"</formula>
    </cfRule>
  </conditionalFormatting>
  <conditionalFormatting sqref="F33:H42">
    <cfRule type="cellIs" dxfId="9531" priority="6911" operator="equal">
      <formula>"OFF"</formula>
    </cfRule>
    <cfRule type="cellIs" dxfId="9530" priority="6912" operator="equal">
      <formula>"PTO"</formula>
    </cfRule>
  </conditionalFormatting>
  <conditionalFormatting sqref="F33:H42">
    <cfRule type="cellIs" dxfId="9529" priority="6901" operator="equal">
      <formula>"OFF"</formula>
    </cfRule>
    <cfRule type="cellIs" dxfId="9528" priority="6902" operator="equal">
      <formula>"PTO"</formula>
    </cfRule>
  </conditionalFormatting>
  <conditionalFormatting sqref="F33:H42">
    <cfRule type="cellIs" dxfId="9527" priority="6899" operator="equal">
      <formula>"OFF"</formula>
    </cfRule>
    <cfRule type="cellIs" dxfId="9526" priority="6900" operator="equal">
      <formula>"PTO"</formula>
    </cfRule>
  </conditionalFormatting>
  <conditionalFormatting sqref="F33:H42">
    <cfRule type="cellIs" dxfId="9525" priority="6897" operator="equal">
      <formula>"OFF"</formula>
    </cfRule>
    <cfRule type="cellIs" dxfId="9524" priority="6898" operator="equal">
      <formula>"PTO"</formula>
    </cfRule>
  </conditionalFormatting>
  <conditionalFormatting sqref="F33:H42">
    <cfRule type="cellIs" dxfId="9523" priority="6895" operator="equal">
      <formula>"OFF"</formula>
    </cfRule>
    <cfRule type="cellIs" dxfId="9522" priority="6896" operator="equal">
      <formula>"PTO"</formula>
    </cfRule>
  </conditionalFormatting>
  <conditionalFormatting sqref="F33:H42">
    <cfRule type="cellIs" dxfId="9521" priority="6893" operator="equal">
      <formula>"OFF"</formula>
    </cfRule>
    <cfRule type="cellIs" dxfId="9520" priority="6894" operator="equal">
      <formula>"PTO"</formula>
    </cfRule>
  </conditionalFormatting>
  <conditionalFormatting sqref="F33:H42">
    <cfRule type="cellIs" dxfId="9519" priority="6891" operator="equal">
      <formula>"OFF"</formula>
    </cfRule>
    <cfRule type="cellIs" dxfId="9518" priority="6892" operator="equal">
      <formula>"PTO"</formula>
    </cfRule>
  </conditionalFormatting>
  <conditionalFormatting sqref="F33:H42">
    <cfRule type="cellIs" dxfId="9517" priority="6889" operator="equal">
      <formula>"OFF"</formula>
    </cfRule>
    <cfRule type="cellIs" dxfId="9516" priority="6890" operator="equal">
      <formula>"PTO"</formula>
    </cfRule>
  </conditionalFormatting>
  <conditionalFormatting sqref="F33:H42">
    <cfRule type="cellIs" dxfId="9515" priority="6887" operator="equal">
      <formula>"OFF"</formula>
    </cfRule>
    <cfRule type="cellIs" dxfId="9514" priority="6888" operator="equal">
      <formula>"PTO"</formula>
    </cfRule>
  </conditionalFormatting>
  <conditionalFormatting sqref="F33:H42">
    <cfRule type="cellIs" dxfId="9513" priority="6885" operator="equal">
      <formula>"OFF"</formula>
    </cfRule>
    <cfRule type="cellIs" dxfId="9512" priority="6886" operator="equal">
      <formula>"PTO"</formula>
    </cfRule>
  </conditionalFormatting>
  <conditionalFormatting sqref="K34:L42">
    <cfRule type="cellIs" dxfId="9511" priority="6883" operator="equal">
      <formula>"OFF"</formula>
    </cfRule>
    <cfRule type="cellIs" dxfId="9510" priority="6884" operator="equal">
      <formula>"PTO"</formula>
    </cfRule>
  </conditionalFormatting>
  <conditionalFormatting sqref="K34:L42">
    <cfRule type="cellIs" dxfId="9509" priority="6881" operator="equal">
      <formula>"OFF"</formula>
    </cfRule>
    <cfRule type="cellIs" dxfId="9508" priority="6882" operator="equal">
      <formula>"PTO"</formula>
    </cfRule>
  </conditionalFormatting>
  <conditionalFormatting sqref="K34:L42">
    <cfRule type="cellIs" dxfId="9507" priority="6879" operator="equal">
      <formula>"OFF"</formula>
    </cfRule>
    <cfRule type="cellIs" dxfId="9506" priority="6880" operator="equal">
      <formula>"PTO"</formula>
    </cfRule>
  </conditionalFormatting>
  <conditionalFormatting sqref="K34:L42">
    <cfRule type="cellIs" dxfId="9505" priority="6877" operator="equal">
      <formula>"OFF"</formula>
    </cfRule>
    <cfRule type="cellIs" dxfId="9504" priority="6878" operator="equal">
      <formula>"PTO"</formula>
    </cfRule>
  </conditionalFormatting>
  <conditionalFormatting sqref="K34:L42">
    <cfRule type="cellIs" dxfId="9503" priority="6875" operator="equal">
      <formula>"OFF"</formula>
    </cfRule>
    <cfRule type="cellIs" dxfId="9502" priority="6876" operator="equal">
      <formula>"PTO"</formula>
    </cfRule>
  </conditionalFormatting>
  <conditionalFormatting sqref="K34:L42">
    <cfRule type="cellIs" dxfId="9501" priority="6873" operator="equal">
      <formula>"OFF"</formula>
    </cfRule>
    <cfRule type="cellIs" dxfId="9500" priority="6874" operator="equal">
      <formula>"PTO"</formula>
    </cfRule>
  </conditionalFormatting>
  <conditionalFormatting sqref="K34:L42">
    <cfRule type="cellIs" dxfId="9499" priority="6871" operator="equal">
      <formula>"OFF"</formula>
    </cfRule>
    <cfRule type="cellIs" dxfId="9498" priority="6872" operator="equal">
      <formula>"PTO"</formula>
    </cfRule>
  </conditionalFormatting>
  <conditionalFormatting sqref="K34:L42">
    <cfRule type="cellIs" dxfId="9497" priority="6869" operator="equal">
      <formula>"OFF"</formula>
    </cfRule>
    <cfRule type="cellIs" dxfId="9496" priority="6870" operator="equal">
      <formula>"PTO"</formula>
    </cfRule>
  </conditionalFormatting>
  <conditionalFormatting sqref="K34:L42">
    <cfRule type="cellIs" dxfId="9495" priority="6867" operator="equal">
      <formula>"OFF"</formula>
    </cfRule>
    <cfRule type="cellIs" dxfId="9494" priority="6868" operator="equal">
      <formula>"PTO"</formula>
    </cfRule>
  </conditionalFormatting>
  <conditionalFormatting sqref="K34:L42">
    <cfRule type="cellIs" dxfId="9493" priority="6865" operator="equal">
      <formula>"OFF"</formula>
    </cfRule>
    <cfRule type="cellIs" dxfId="9492" priority="6866" operator="equal">
      <formula>"PTO"</formula>
    </cfRule>
  </conditionalFormatting>
  <conditionalFormatting sqref="K34:L42">
    <cfRule type="cellIs" dxfId="9491" priority="6863" operator="equal">
      <formula>"OFF"</formula>
    </cfRule>
    <cfRule type="cellIs" dxfId="9490" priority="6864" operator="equal">
      <formula>"PTO"</formula>
    </cfRule>
  </conditionalFormatting>
  <conditionalFormatting sqref="K34:L42">
    <cfRule type="cellIs" dxfId="9489" priority="6861" operator="equal">
      <formula>"OFF"</formula>
    </cfRule>
    <cfRule type="cellIs" dxfId="9488" priority="6862" operator="equal">
      <formula>"PTO"</formula>
    </cfRule>
  </conditionalFormatting>
  <conditionalFormatting sqref="K34:L42">
    <cfRule type="cellIs" dxfId="9487" priority="6859" operator="equal">
      <formula>"OFF"</formula>
    </cfRule>
    <cfRule type="cellIs" dxfId="9486" priority="6860" operator="equal">
      <formula>"PTO"</formula>
    </cfRule>
  </conditionalFormatting>
  <conditionalFormatting sqref="L34:L42">
    <cfRule type="cellIs" dxfId="9485" priority="6857" operator="equal">
      <formula>"OFF"</formula>
    </cfRule>
    <cfRule type="cellIs" dxfId="9484" priority="6858" operator="equal">
      <formula>"PTO"</formula>
    </cfRule>
  </conditionalFormatting>
  <conditionalFormatting sqref="K34:L42">
    <cfRule type="cellIs" dxfId="9483" priority="6855" operator="equal">
      <formula>"OFF"</formula>
    </cfRule>
    <cfRule type="cellIs" dxfId="9482" priority="6856" operator="equal">
      <formula>"PTO"</formula>
    </cfRule>
  </conditionalFormatting>
  <conditionalFormatting sqref="L34:L42">
    <cfRule type="cellIs" dxfId="9481" priority="6853" operator="equal">
      <formula>"OFF"</formula>
    </cfRule>
    <cfRule type="cellIs" dxfId="9480" priority="6854" operator="equal">
      <formula>"PTO"</formula>
    </cfRule>
  </conditionalFormatting>
  <conditionalFormatting sqref="L34:L42">
    <cfRule type="cellIs" dxfId="9479" priority="6851" operator="equal">
      <formula>"OFF"</formula>
    </cfRule>
    <cfRule type="cellIs" dxfId="9478" priority="6852" operator="equal">
      <formula>"PTO"</formula>
    </cfRule>
  </conditionalFormatting>
  <conditionalFormatting sqref="L34:L42">
    <cfRule type="cellIs" dxfId="9477" priority="6849" operator="equal">
      <formula>"OFF"</formula>
    </cfRule>
    <cfRule type="cellIs" dxfId="9476" priority="6850" operator="equal">
      <formula>"PTO"</formula>
    </cfRule>
  </conditionalFormatting>
  <conditionalFormatting sqref="L34:L42">
    <cfRule type="cellIs" dxfId="9475" priority="6847" operator="equal">
      <formula>"OFF"</formula>
    </cfRule>
    <cfRule type="cellIs" dxfId="9474" priority="6848" operator="equal">
      <formula>"PTO"</formula>
    </cfRule>
  </conditionalFormatting>
  <conditionalFormatting sqref="L34:L42">
    <cfRule type="cellIs" dxfId="9473" priority="6845" operator="equal">
      <formula>"OFF"</formula>
    </cfRule>
    <cfRule type="cellIs" dxfId="9472" priority="6846" operator="equal">
      <formula>"PTO"</formula>
    </cfRule>
  </conditionalFormatting>
  <conditionalFormatting sqref="L34:L42">
    <cfRule type="cellIs" dxfId="9471" priority="6843" operator="equal">
      <formula>"OFF"</formula>
    </cfRule>
    <cfRule type="cellIs" dxfId="9470" priority="6844" operator="equal">
      <formula>"PTO"</formula>
    </cfRule>
  </conditionalFormatting>
  <conditionalFormatting sqref="K34:L34">
    <cfRule type="cellIs" dxfId="9469" priority="6841" operator="equal">
      <formula>"OFF"</formula>
    </cfRule>
    <cfRule type="cellIs" dxfId="9468" priority="6842" operator="equal">
      <formula>"PTO"</formula>
    </cfRule>
  </conditionalFormatting>
  <conditionalFormatting sqref="K34:L34">
    <cfRule type="cellIs" dxfId="9467" priority="6839" operator="equal">
      <formula>"OFF"</formula>
    </cfRule>
    <cfRule type="cellIs" dxfId="9466" priority="6840" operator="equal">
      <formula>"PTO"</formula>
    </cfRule>
  </conditionalFormatting>
  <conditionalFormatting sqref="K34:L34">
    <cfRule type="cellIs" dxfId="9465" priority="6837" operator="equal">
      <formula>"OFF"</formula>
    </cfRule>
    <cfRule type="cellIs" dxfId="9464" priority="6838" operator="equal">
      <formula>"PTO"</formula>
    </cfRule>
  </conditionalFormatting>
  <conditionalFormatting sqref="K34:L34">
    <cfRule type="cellIs" dxfId="9463" priority="6835" operator="equal">
      <formula>"OFF"</formula>
    </cfRule>
    <cfRule type="cellIs" dxfId="9462" priority="6836" operator="equal">
      <formula>"PTO"</formula>
    </cfRule>
  </conditionalFormatting>
  <conditionalFormatting sqref="K34:L34">
    <cfRule type="cellIs" dxfId="9461" priority="6833" operator="equal">
      <formula>"OFF"</formula>
    </cfRule>
    <cfRule type="cellIs" dxfId="9460" priority="6834" operator="equal">
      <formula>"PTO"</formula>
    </cfRule>
  </conditionalFormatting>
  <conditionalFormatting sqref="K34:L34">
    <cfRule type="cellIs" dxfId="9459" priority="6831" operator="equal">
      <formula>"OFF"</formula>
    </cfRule>
    <cfRule type="cellIs" dxfId="9458" priority="6832" operator="equal">
      <formula>"PTO"</formula>
    </cfRule>
  </conditionalFormatting>
  <conditionalFormatting sqref="K34:L34">
    <cfRule type="cellIs" dxfId="9457" priority="6829" operator="equal">
      <formula>"OFF"</formula>
    </cfRule>
    <cfRule type="cellIs" dxfId="9456" priority="6830" operator="equal">
      <formula>"PTO"</formula>
    </cfRule>
  </conditionalFormatting>
  <conditionalFormatting sqref="K34:L34">
    <cfRule type="cellIs" dxfId="9455" priority="6827" operator="equal">
      <formula>"OFF"</formula>
    </cfRule>
    <cfRule type="cellIs" dxfId="9454" priority="6828" operator="equal">
      <formula>"PTO"</formula>
    </cfRule>
  </conditionalFormatting>
  <conditionalFormatting sqref="K34:L34">
    <cfRule type="cellIs" dxfId="9453" priority="6825" operator="equal">
      <formula>"OFF"</formula>
    </cfRule>
    <cfRule type="cellIs" dxfId="9452" priority="6826" operator="equal">
      <formula>"PTO"</formula>
    </cfRule>
  </conditionalFormatting>
  <conditionalFormatting sqref="K34:L34">
    <cfRule type="cellIs" dxfId="9451" priority="6823" operator="equal">
      <formula>"OFF"</formula>
    </cfRule>
    <cfRule type="cellIs" dxfId="9450" priority="6824" operator="equal">
      <formula>"PTO"</formula>
    </cfRule>
  </conditionalFormatting>
  <conditionalFormatting sqref="K34:L34">
    <cfRule type="cellIs" dxfId="9449" priority="6821" operator="equal">
      <formula>"OFF"</formula>
    </cfRule>
    <cfRule type="cellIs" dxfId="9448" priority="6822" operator="equal">
      <formula>"PTO"</formula>
    </cfRule>
  </conditionalFormatting>
  <conditionalFormatting sqref="K34:L34">
    <cfRule type="cellIs" dxfId="9447" priority="6819" operator="equal">
      <formula>"OFF"</formula>
    </cfRule>
    <cfRule type="cellIs" dxfId="9446" priority="6820" operator="equal">
      <formula>"PTO"</formula>
    </cfRule>
  </conditionalFormatting>
  <conditionalFormatting sqref="K34:L34">
    <cfRule type="cellIs" dxfId="9445" priority="6817" operator="equal">
      <formula>"OFF"</formula>
    </cfRule>
    <cfRule type="cellIs" dxfId="9444" priority="6818" operator="equal">
      <formula>"PTO"</formula>
    </cfRule>
  </conditionalFormatting>
  <conditionalFormatting sqref="K34:L34">
    <cfRule type="cellIs" dxfId="9443" priority="6815" operator="equal">
      <formula>"OFF"</formula>
    </cfRule>
    <cfRule type="cellIs" dxfId="9442" priority="6816" operator="equal">
      <formula>"PTO"</formula>
    </cfRule>
  </conditionalFormatting>
  <conditionalFormatting sqref="K34:L34">
    <cfRule type="cellIs" dxfId="9441" priority="6813" operator="equal">
      <formula>"OFF"</formula>
    </cfRule>
    <cfRule type="cellIs" dxfId="9440" priority="6814" operator="equal">
      <formula>"PTO"</formula>
    </cfRule>
  </conditionalFormatting>
  <conditionalFormatting sqref="K34:L34">
    <cfRule type="cellIs" dxfId="9439" priority="6811" operator="equal">
      <formula>"OFF"</formula>
    </cfRule>
    <cfRule type="cellIs" dxfId="9438" priority="6812" operator="equal">
      <formula>"PTO"</formula>
    </cfRule>
  </conditionalFormatting>
  <conditionalFormatting sqref="K34:L34">
    <cfRule type="cellIs" dxfId="9437" priority="6809" operator="equal">
      <formula>"OFF"</formula>
    </cfRule>
    <cfRule type="cellIs" dxfId="9436" priority="6810" operator="equal">
      <formula>"PTO"</formula>
    </cfRule>
  </conditionalFormatting>
  <conditionalFormatting sqref="K34:L34">
    <cfRule type="cellIs" dxfId="9435" priority="6807" operator="equal">
      <formula>"OFF"</formula>
    </cfRule>
    <cfRule type="cellIs" dxfId="9434" priority="6808" operator="equal">
      <formula>"PTO"</formula>
    </cfRule>
  </conditionalFormatting>
  <conditionalFormatting sqref="K34:L34">
    <cfRule type="cellIs" dxfId="9433" priority="6805" operator="equal">
      <formula>"OFF"</formula>
    </cfRule>
    <cfRule type="cellIs" dxfId="9432" priority="6806" operator="equal">
      <formula>"PTO"</formula>
    </cfRule>
  </conditionalFormatting>
  <conditionalFormatting sqref="K34:L34">
    <cfRule type="cellIs" dxfId="9431" priority="6803" operator="equal">
      <formula>"OFF"</formula>
    </cfRule>
    <cfRule type="cellIs" dxfId="9430" priority="6804" operator="equal">
      <formula>"PTO"</formula>
    </cfRule>
  </conditionalFormatting>
  <conditionalFormatting sqref="K34:L34">
    <cfRule type="cellIs" dxfId="9429" priority="6801" operator="equal">
      <formula>"OFF"</formula>
    </cfRule>
    <cfRule type="cellIs" dxfId="9428" priority="6802" operator="equal">
      <formula>"PTO"</formula>
    </cfRule>
  </conditionalFormatting>
  <conditionalFormatting sqref="K34:L34">
    <cfRule type="cellIs" dxfId="9427" priority="6799" operator="equal">
      <formula>"OFF"</formula>
    </cfRule>
    <cfRule type="cellIs" dxfId="9426" priority="6800" operator="equal">
      <formula>"PTO"</formula>
    </cfRule>
  </conditionalFormatting>
  <conditionalFormatting sqref="K34:L34">
    <cfRule type="cellIs" dxfId="9425" priority="6797" operator="equal">
      <formula>"OFF"</formula>
    </cfRule>
    <cfRule type="cellIs" dxfId="9424" priority="6798" operator="equal">
      <formula>"PTO"</formula>
    </cfRule>
  </conditionalFormatting>
  <conditionalFormatting sqref="K34:L34">
    <cfRule type="cellIs" dxfId="9423" priority="6795" operator="equal">
      <formula>"OFF"</formula>
    </cfRule>
    <cfRule type="cellIs" dxfId="9422" priority="6796" operator="equal">
      <formula>"PTO"</formula>
    </cfRule>
  </conditionalFormatting>
  <conditionalFormatting sqref="K34:L34">
    <cfRule type="cellIs" dxfId="9421" priority="6793" operator="equal">
      <formula>"OFF"</formula>
    </cfRule>
    <cfRule type="cellIs" dxfId="9420" priority="6794" operator="equal">
      <formula>"PTO"</formula>
    </cfRule>
  </conditionalFormatting>
  <conditionalFormatting sqref="K34:L34">
    <cfRule type="cellIs" dxfId="9419" priority="6791" operator="equal">
      <formula>"OFF"</formula>
    </cfRule>
    <cfRule type="cellIs" dxfId="9418" priority="6792" operator="equal">
      <formula>"PTO"</formula>
    </cfRule>
  </conditionalFormatting>
  <conditionalFormatting sqref="K34:L34">
    <cfRule type="cellIs" dxfId="9417" priority="6789" operator="equal">
      <formula>"OFF"</formula>
    </cfRule>
    <cfRule type="cellIs" dxfId="9416" priority="6790" operator="equal">
      <formula>"PTO"</formula>
    </cfRule>
  </conditionalFormatting>
  <conditionalFormatting sqref="K34:L34">
    <cfRule type="cellIs" dxfId="9415" priority="6787" operator="equal">
      <formula>"OFF"</formula>
    </cfRule>
    <cfRule type="cellIs" dxfId="9414" priority="6788" operator="equal">
      <formula>"PTO"</formula>
    </cfRule>
  </conditionalFormatting>
  <conditionalFormatting sqref="K34:L34">
    <cfRule type="cellIs" dxfId="9413" priority="6785" operator="equal">
      <formula>"OFF"</formula>
    </cfRule>
    <cfRule type="cellIs" dxfId="9412" priority="6786" operator="equal">
      <formula>"PTO"</formula>
    </cfRule>
  </conditionalFormatting>
  <conditionalFormatting sqref="K34:L34">
    <cfRule type="cellIs" dxfId="9411" priority="6783" operator="equal">
      <formula>"OFF"</formula>
    </cfRule>
    <cfRule type="cellIs" dxfId="9410" priority="6784" operator="equal">
      <formula>"PTO"</formula>
    </cfRule>
  </conditionalFormatting>
  <conditionalFormatting sqref="K34:L34">
    <cfRule type="cellIs" dxfId="9409" priority="6781" operator="equal">
      <formula>"OFF"</formula>
    </cfRule>
    <cfRule type="cellIs" dxfId="9408" priority="6782" operator="equal">
      <formula>"PTO"</formula>
    </cfRule>
  </conditionalFormatting>
  <conditionalFormatting sqref="K34:L34">
    <cfRule type="cellIs" dxfId="9407" priority="6779" operator="equal">
      <formula>"OFF"</formula>
    </cfRule>
    <cfRule type="cellIs" dxfId="9406" priority="6780" operator="equal">
      <formula>"PTO"</formula>
    </cfRule>
  </conditionalFormatting>
  <conditionalFormatting sqref="K34:L34">
    <cfRule type="cellIs" dxfId="9405" priority="6777" operator="equal">
      <formula>"OFF"</formula>
    </cfRule>
    <cfRule type="cellIs" dxfId="9404" priority="6778" operator="equal">
      <formula>"PTO"</formula>
    </cfRule>
  </conditionalFormatting>
  <conditionalFormatting sqref="K34:L34">
    <cfRule type="cellIs" dxfId="9403" priority="6775" operator="equal">
      <formula>"OFF"</formula>
    </cfRule>
    <cfRule type="cellIs" dxfId="9402" priority="6776" operator="equal">
      <formula>"PTO"</formula>
    </cfRule>
  </conditionalFormatting>
  <conditionalFormatting sqref="K34:L34">
    <cfRule type="cellIs" dxfId="9401" priority="6773" operator="equal">
      <formula>"OFF"</formula>
    </cfRule>
    <cfRule type="cellIs" dxfId="9400" priority="6774" operator="equal">
      <formula>"PTO"</formula>
    </cfRule>
  </conditionalFormatting>
  <conditionalFormatting sqref="K34:L34">
    <cfRule type="cellIs" dxfId="9399" priority="6771" operator="equal">
      <formula>"OFF"</formula>
    </cfRule>
    <cfRule type="cellIs" dxfId="9398" priority="6772" operator="equal">
      <formula>"PTO"</formula>
    </cfRule>
  </conditionalFormatting>
  <conditionalFormatting sqref="K34:L34">
    <cfRule type="cellIs" dxfId="9397" priority="6769" operator="equal">
      <formula>"OFF"</formula>
    </cfRule>
    <cfRule type="cellIs" dxfId="9396" priority="6770" operator="equal">
      <formula>"PTO"</formula>
    </cfRule>
  </conditionalFormatting>
  <conditionalFormatting sqref="K34:L34">
    <cfRule type="cellIs" dxfId="9395" priority="6767" operator="equal">
      <formula>"OFF"</formula>
    </cfRule>
    <cfRule type="cellIs" dxfId="9394" priority="6768" operator="equal">
      <formula>"PTO"</formula>
    </cfRule>
  </conditionalFormatting>
  <conditionalFormatting sqref="K34:L34">
    <cfRule type="cellIs" dxfId="9393" priority="6765" operator="equal">
      <formula>"OFF"</formula>
    </cfRule>
    <cfRule type="cellIs" dxfId="9392" priority="6766" operator="equal">
      <formula>"PTO"</formula>
    </cfRule>
  </conditionalFormatting>
  <conditionalFormatting sqref="K34:L34">
    <cfRule type="cellIs" dxfId="9391" priority="6763" operator="equal">
      <formula>"OFF"</formula>
    </cfRule>
    <cfRule type="cellIs" dxfId="9390" priority="6764" operator="equal">
      <formula>"PTO"</formula>
    </cfRule>
  </conditionalFormatting>
  <conditionalFormatting sqref="K34:L34">
    <cfRule type="cellIs" dxfId="9389" priority="6761" operator="equal">
      <formula>"OFF"</formula>
    </cfRule>
    <cfRule type="cellIs" dxfId="9388" priority="6762" operator="equal">
      <formula>"PTO"</formula>
    </cfRule>
  </conditionalFormatting>
  <conditionalFormatting sqref="K34:L34">
    <cfRule type="cellIs" dxfId="9387" priority="6759" operator="equal">
      <formula>"OFF"</formula>
    </cfRule>
    <cfRule type="cellIs" dxfId="9386" priority="6760" operator="equal">
      <formula>"PTO"</formula>
    </cfRule>
  </conditionalFormatting>
  <conditionalFormatting sqref="K34:L34">
    <cfRule type="cellIs" dxfId="9385" priority="6757" operator="equal">
      <formula>"OFF"</formula>
    </cfRule>
    <cfRule type="cellIs" dxfId="9384" priority="6758" operator="equal">
      <formula>"PTO"</formula>
    </cfRule>
  </conditionalFormatting>
  <conditionalFormatting sqref="K33:L42">
    <cfRule type="cellIs" dxfId="9383" priority="6627" operator="equal">
      <formula>"OFF"</formula>
    </cfRule>
    <cfRule type="cellIs" dxfId="9382" priority="6628" operator="equal">
      <formula>"PTO"</formula>
    </cfRule>
  </conditionalFormatting>
  <conditionalFormatting sqref="K33:L42">
    <cfRule type="cellIs" dxfId="9381" priority="6621" operator="equal">
      <formula>"OFF"</formula>
    </cfRule>
    <cfRule type="cellIs" dxfId="9380" priority="6622" operator="equal">
      <formula>"PTO"</formula>
    </cfRule>
  </conditionalFormatting>
  <conditionalFormatting sqref="K33:L42">
    <cfRule type="cellIs" dxfId="9379" priority="6605" operator="equal">
      <formula>"OFF"</formula>
    </cfRule>
    <cfRule type="cellIs" dxfId="9378" priority="6606" operator="equal">
      <formula>"PTO"</formula>
    </cfRule>
  </conditionalFormatting>
  <conditionalFormatting sqref="K33:L42">
    <cfRule type="cellIs" dxfId="9377" priority="6573" operator="equal">
      <formula>"OFF"</formula>
    </cfRule>
    <cfRule type="cellIs" dxfId="9376" priority="6574" operator="equal">
      <formula>"PTO"</formula>
    </cfRule>
  </conditionalFormatting>
  <conditionalFormatting sqref="K33:L42">
    <cfRule type="cellIs" dxfId="9375" priority="6571" operator="equal">
      <formula>"OFF"</formula>
    </cfRule>
    <cfRule type="cellIs" dxfId="9374" priority="6572" operator="equal">
      <formula>"PTO"</formula>
    </cfRule>
  </conditionalFormatting>
  <conditionalFormatting sqref="K33:L42">
    <cfRule type="cellIs" dxfId="9373" priority="6755" operator="equal">
      <formula>"OFF"</formula>
    </cfRule>
    <cfRule type="cellIs" dxfId="9372" priority="6756" operator="equal">
      <formula>"PTO"</formula>
    </cfRule>
  </conditionalFormatting>
  <conditionalFormatting sqref="K33:L42">
    <cfRule type="cellIs" dxfId="9371" priority="6753" operator="equal">
      <formula>"OFF"</formula>
    </cfRule>
    <cfRule type="cellIs" dxfId="9370" priority="6754" operator="equal">
      <formula>"PTO"</formula>
    </cfRule>
  </conditionalFormatting>
  <conditionalFormatting sqref="K33:L42">
    <cfRule type="cellIs" dxfId="9369" priority="6751" operator="equal">
      <formula>"OFF"</formula>
    </cfRule>
    <cfRule type="cellIs" dxfId="9368" priority="6752" operator="equal">
      <formula>"PTO"</formula>
    </cfRule>
  </conditionalFormatting>
  <conditionalFormatting sqref="K33:L42">
    <cfRule type="cellIs" dxfId="9367" priority="6749" operator="equal">
      <formula>"OFF"</formula>
    </cfRule>
    <cfRule type="cellIs" dxfId="9366" priority="6750" operator="equal">
      <formula>"PTO"</formula>
    </cfRule>
  </conditionalFormatting>
  <conditionalFormatting sqref="K33:L42">
    <cfRule type="cellIs" dxfId="9365" priority="6747" operator="equal">
      <formula>"OFF"</formula>
    </cfRule>
    <cfRule type="cellIs" dxfId="9364" priority="6748" operator="equal">
      <formula>"PTO"</formula>
    </cfRule>
  </conditionalFormatting>
  <conditionalFormatting sqref="K33:L42">
    <cfRule type="cellIs" dxfId="9363" priority="6745" operator="equal">
      <formula>"OFF"</formula>
    </cfRule>
    <cfRule type="cellIs" dxfId="9362" priority="6746" operator="equal">
      <formula>"PTO"</formula>
    </cfRule>
  </conditionalFormatting>
  <conditionalFormatting sqref="K33:L42">
    <cfRule type="cellIs" dxfId="9361" priority="6743" operator="equal">
      <formula>"OFF"</formula>
    </cfRule>
    <cfRule type="cellIs" dxfId="9360" priority="6744" operator="equal">
      <formula>"PTO"</formula>
    </cfRule>
  </conditionalFormatting>
  <conditionalFormatting sqref="K33:L42">
    <cfRule type="cellIs" dxfId="9359" priority="6741" operator="equal">
      <formula>"OFF"</formula>
    </cfRule>
    <cfRule type="cellIs" dxfId="9358" priority="6742" operator="equal">
      <formula>"PTO"</formula>
    </cfRule>
  </conditionalFormatting>
  <conditionalFormatting sqref="K33:L42">
    <cfRule type="cellIs" dxfId="9357" priority="6739" operator="equal">
      <formula>"OFF"</formula>
    </cfRule>
    <cfRule type="cellIs" dxfId="9356" priority="6740" operator="equal">
      <formula>"PTO"</formula>
    </cfRule>
  </conditionalFormatting>
  <conditionalFormatting sqref="K33:L42">
    <cfRule type="cellIs" dxfId="9355" priority="6737" operator="equal">
      <formula>"OFF"</formula>
    </cfRule>
    <cfRule type="cellIs" dxfId="9354" priority="6738" operator="equal">
      <formula>"PTO"</formula>
    </cfRule>
  </conditionalFormatting>
  <conditionalFormatting sqref="K33:L42">
    <cfRule type="cellIs" dxfId="9353" priority="6735" operator="equal">
      <formula>"OFF"</formula>
    </cfRule>
    <cfRule type="cellIs" dxfId="9352" priority="6736" operator="equal">
      <formula>"PTO"</formula>
    </cfRule>
  </conditionalFormatting>
  <conditionalFormatting sqref="K33:L42">
    <cfRule type="cellIs" dxfId="9351" priority="6733" operator="equal">
      <formula>"OFF"</formula>
    </cfRule>
    <cfRule type="cellIs" dxfId="9350" priority="6734" operator="equal">
      <formula>"PTO"</formula>
    </cfRule>
  </conditionalFormatting>
  <conditionalFormatting sqref="K33:L42">
    <cfRule type="cellIs" dxfId="9349" priority="6731" operator="equal">
      <formula>"OFF"</formula>
    </cfRule>
    <cfRule type="cellIs" dxfId="9348" priority="6732" operator="equal">
      <formula>"PTO"</formula>
    </cfRule>
  </conditionalFormatting>
  <conditionalFormatting sqref="L33">
    <cfRule type="cellIs" dxfId="9347" priority="6729" operator="equal">
      <formula>"OFF"</formula>
    </cfRule>
    <cfRule type="cellIs" dxfId="9346" priority="6730" operator="equal">
      <formula>"PTO"</formula>
    </cfRule>
  </conditionalFormatting>
  <conditionalFormatting sqref="K33:L42">
    <cfRule type="cellIs" dxfId="9345" priority="6727" operator="equal">
      <formula>"OFF"</formula>
    </cfRule>
    <cfRule type="cellIs" dxfId="9344" priority="6728" operator="equal">
      <formula>"PTO"</formula>
    </cfRule>
  </conditionalFormatting>
  <conditionalFormatting sqref="L33">
    <cfRule type="cellIs" dxfId="9343" priority="6725" operator="equal">
      <formula>"OFF"</formula>
    </cfRule>
    <cfRule type="cellIs" dxfId="9342" priority="6726" operator="equal">
      <formula>"PTO"</formula>
    </cfRule>
  </conditionalFormatting>
  <conditionalFormatting sqref="L33">
    <cfRule type="cellIs" dxfId="9341" priority="6723" operator="equal">
      <formula>"OFF"</formula>
    </cfRule>
    <cfRule type="cellIs" dxfId="9340" priority="6724" operator="equal">
      <formula>"PTO"</formula>
    </cfRule>
  </conditionalFormatting>
  <conditionalFormatting sqref="L33">
    <cfRule type="cellIs" dxfId="9339" priority="6721" operator="equal">
      <formula>"OFF"</formula>
    </cfRule>
    <cfRule type="cellIs" dxfId="9338" priority="6722" operator="equal">
      <formula>"PTO"</formula>
    </cfRule>
  </conditionalFormatting>
  <conditionalFormatting sqref="L33">
    <cfRule type="cellIs" dxfId="9337" priority="6719" operator="equal">
      <formula>"OFF"</formula>
    </cfRule>
    <cfRule type="cellIs" dxfId="9336" priority="6720" operator="equal">
      <formula>"PTO"</formula>
    </cfRule>
  </conditionalFormatting>
  <conditionalFormatting sqref="L33">
    <cfRule type="cellIs" dxfId="9335" priority="6717" operator="equal">
      <formula>"OFF"</formula>
    </cfRule>
    <cfRule type="cellIs" dxfId="9334" priority="6718" operator="equal">
      <formula>"PTO"</formula>
    </cfRule>
  </conditionalFormatting>
  <conditionalFormatting sqref="L33">
    <cfRule type="cellIs" dxfId="9333" priority="6715" operator="equal">
      <formula>"OFF"</formula>
    </cfRule>
    <cfRule type="cellIs" dxfId="9332" priority="6716" operator="equal">
      <formula>"PTO"</formula>
    </cfRule>
  </conditionalFormatting>
  <conditionalFormatting sqref="K33:L42">
    <cfRule type="cellIs" dxfId="9331" priority="6713" operator="equal">
      <formula>"OFF"</formula>
    </cfRule>
    <cfRule type="cellIs" dxfId="9330" priority="6714" operator="equal">
      <formula>"PTO"</formula>
    </cfRule>
  </conditionalFormatting>
  <conditionalFormatting sqref="K33:L42">
    <cfRule type="cellIs" dxfId="9329" priority="6711" operator="equal">
      <formula>"OFF"</formula>
    </cfRule>
    <cfRule type="cellIs" dxfId="9328" priority="6712" operator="equal">
      <formula>"PTO"</formula>
    </cfRule>
  </conditionalFormatting>
  <conditionalFormatting sqref="K33:L42">
    <cfRule type="cellIs" dxfId="9327" priority="6709" operator="equal">
      <formula>"OFF"</formula>
    </cfRule>
    <cfRule type="cellIs" dxfId="9326" priority="6710" operator="equal">
      <formula>"PTO"</formula>
    </cfRule>
  </conditionalFormatting>
  <conditionalFormatting sqref="K33:L42">
    <cfRule type="cellIs" dxfId="9325" priority="6707" operator="equal">
      <formula>"OFF"</formula>
    </cfRule>
    <cfRule type="cellIs" dxfId="9324" priority="6708" operator="equal">
      <formula>"PTO"</formula>
    </cfRule>
  </conditionalFormatting>
  <conditionalFormatting sqref="K33:L42">
    <cfRule type="cellIs" dxfId="9323" priority="6705" operator="equal">
      <formula>"OFF"</formula>
    </cfRule>
    <cfRule type="cellIs" dxfId="9322" priority="6706" operator="equal">
      <formula>"PTO"</formula>
    </cfRule>
  </conditionalFormatting>
  <conditionalFormatting sqref="K33:L42">
    <cfRule type="cellIs" dxfId="9321" priority="6703" operator="equal">
      <formula>"OFF"</formula>
    </cfRule>
    <cfRule type="cellIs" dxfId="9320" priority="6704" operator="equal">
      <formula>"PTO"</formula>
    </cfRule>
  </conditionalFormatting>
  <conditionalFormatting sqref="K33:L42">
    <cfRule type="cellIs" dxfId="9319" priority="6701" operator="equal">
      <formula>"OFF"</formula>
    </cfRule>
    <cfRule type="cellIs" dxfId="9318" priority="6702" operator="equal">
      <formula>"PTO"</formula>
    </cfRule>
  </conditionalFormatting>
  <conditionalFormatting sqref="K33:L42">
    <cfRule type="cellIs" dxfId="9317" priority="6699" operator="equal">
      <formula>"OFF"</formula>
    </cfRule>
    <cfRule type="cellIs" dxfId="9316" priority="6700" operator="equal">
      <formula>"PTO"</formula>
    </cfRule>
  </conditionalFormatting>
  <conditionalFormatting sqref="K33:L42">
    <cfRule type="cellIs" dxfId="9315" priority="6697" operator="equal">
      <formula>"OFF"</formula>
    </cfRule>
    <cfRule type="cellIs" dxfId="9314" priority="6698" operator="equal">
      <formula>"PTO"</formula>
    </cfRule>
  </conditionalFormatting>
  <conditionalFormatting sqref="K33:L42">
    <cfRule type="cellIs" dxfId="9313" priority="6695" operator="equal">
      <formula>"OFF"</formula>
    </cfRule>
    <cfRule type="cellIs" dxfId="9312" priority="6696" operator="equal">
      <formula>"PTO"</formula>
    </cfRule>
  </conditionalFormatting>
  <conditionalFormatting sqref="K33:L42">
    <cfRule type="cellIs" dxfId="9311" priority="6693" operator="equal">
      <formula>"OFF"</formula>
    </cfRule>
    <cfRule type="cellIs" dxfId="9310" priority="6694" operator="equal">
      <formula>"PTO"</formula>
    </cfRule>
  </conditionalFormatting>
  <conditionalFormatting sqref="K33:L42">
    <cfRule type="cellIs" dxfId="9309" priority="6691" operator="equal">
      <formula>"OFF"</formula>
    </cfRule>
    <cfRule type="cellIs" dxfId="9308" priority="6692" operator="equal">
      <formula>"PTO"</formula>
    </cfRule>
  </conditionalFormatting>
  <conditionalFormatting sqref="K33:L42">
    <cfRule type="cellIs" dxfId="9307" priority="6689" operator="equal">
      <formula>"OFF"</formula>
    </cfRule>
    <cfRule type="cellIs" dxfId="9306" priority="6690" operator="equal">
      <formula>"PTO"</formula>
    </cfRule>
  </conditionalFormatting>
  <conditionalFormatting sqref="K33:L42">
    <cfRule type="cellIs" dxfId="9305" priority="6687" operator="equal">
      <formula>"OFF"</formula>
    </cfRule>
    <cfRule type="cellIs" dxfId="9304" priority="6688" operator="equal">
      <formula>"PTO"</formula>
    </cfRule>
  </conditionalFormatting>
  <conditionalFormatting sqref="K33:L42">
    <cfRule type="cellIs" dxfId="9303" priority="6685" operator="equal">
      <formula>"OFF"</formula>
    </cfRule>
    <cfRule type="cellIs" dxfId="9302" priority="6686" operator="equal">
      <formula>"PTO"</formula>
    </cfRule>
  </conditionalFormatting>
  <conditionalFormatting sqref="K33:L42">
    <cfRule type="cellIs" dxfId="9301" priority="6683" operator="equal">
      <formula>"OFF"</formula>
    </cfRule>
    <cfRule type="cellIs" dxfId="9300" priority="6684" operator="equal">
      <formula>"PTO"</formula>
    </cfRule>
  </conditionalFormatting>
  <conditionalFormatting sqref="K33:L42">
    <cfRule type="cellIs" dxfId="9299" priority="6681" operator="equal">
      <formula>"OFF"</formula>
    </cfRule>
    <cfRule type="cellIs" dxfId="9298" priority="6682" operator="equal">
      <formula>"PTO"</formula>
    </cfRule>
  </conditionalFormatting>
  <conditionalFormatting sqref="K33:L42">
    <cfRule type="cellIs" dxfId="9297" priority="6679" operator="equal">
      <formula>"OFF"</formula>
    </cfRule>
    <cfRule type="cellIs" dxfId="9296" priority="6680" operator="equal">
      <formula>"PTO"</formula>
    </cfRule>
  </conditionalFormatting>
  <conditionalFormatting sqref="K33:L42">
    <cfRule type="cellIs" dxfId="9295" priority="6677" operator="equal">
      <formula>"OFF"</formula>
    </cfRule>
    <cfRule type="cellIs" dxfId="9294" priority="6678" operator="equal">
      <formula>"PTO"</formula>
    </cfRule>
  </conditionalFormatting>
  <conditionalFormatting sqref="K33:L42">
    <cfRule type="cellIs" dxfId="9293" priority="6675" operator="equal">
      <formula>"OFF"</formula>
    </cfRule>
    <cfRule type="cellIs" dxfId="9292" priority="6676" operator="equal">
      <formula>"PTO"</formula>
    </cfRule>
  </conditionalFormatting>
  <conditionalFormatting sqref="K33:L42">
    <cfRule type="cellIs" dxfId="9291" priority="6673" operator="equal">
      <formula>"OFF"</formula>
    </cfRule>
    <cfRule type="cellIs" dxfId="9290" priority="6674" operator="equal">
      <formula>"PTO"</formula>
    </cfRule>
  </conditionalFormatting>
  <conditionalFormatting sqref="K33:L42">
    <cfRule type="cellIs" dxfId="9289" priority="6671" operator="equal">
      <formula>"OFF"</formula>
    </cfRule>
    <cfRule type="cellIs" dxfId="9288" priority="6672" operator="equal">
      <formula>"PTO"</formula>
    </cfRule>
  </conditionalFormatting>
  <conditionalFormatting sqref="K33:L42">
    <cfRule type="cellIs" dxfId="9287" priority="6669" operator="equal">
      <formula>"OFF"</formula>
    </cfRule>
    <cfRule type="cellIs" dxfId="9286" priority="6670" operator="equal">
      <formula>"PTO"</formula>
    </cfRule>
  </conditionalFormatting>
  <conditionalFormatting sqref="K33:L42">
    <cfRule type="cellIs" dxfId="9285" priority="6667" operator="equal">
      <formula>"OFF"</formula>
    </cfRule>
    <cfRule type="cellIs" dxfId="9284" priority="6668" operator="equal">
      <formula>"PTO"</formula>
    </cfRule>
  </conditionalFormatting>
  <conditionalFormatting sqref="K33:L42">
    <cfRule type="cellIs" dxfId="9283" priority="6665" operator="equal">
      <formula>"OFF"</formula>
    </cfRule>
    <cfRule type="cellIs" dxfId="9282" priority="6666" operator="equal">
      <formula>"PTO"</formula>
    </cfRule>
  </conditionalFormatting>
  <conditionalFormatting sqref="K33:L42">
    <cfRule type="cellIs" dxfId="9281" priority="6663" operator="equal">
      <formula>"OFF"</formula>
    </cfRule>
    <cfRule type="cellIs" dxfId="9280" priority="6664" operator="equal">
      <formula>"PTO"</formula>
    </cfRule>
  </conditionalFormatting>
  <conditionalFormatting sqref="K33:L42">
    <cfRule type="cellIs" dxfId="9279" priority="6661" operator="equal">
      <formula>"OFF"</formula>
    </cfRule>
    <cfRule type="cellIs" dxfId="9278" priority="6662" operator="equal">
      <formula>"PTO"</formula>
    </cfRule>
  </conditionalFormatting>
  <conditionalFormatting sqref="K33:L42">
    <cfRule type="cellIs" dxfId="9277" priority="6659" operator="equal">
      <formula>"OFF"</formula>
    </cfRule>
    <cfRule type="cellIs" dxfId="9276" priority="6660" operator="equal">
      <formula>"PTO"</formula>
    </cfRule>
  </conditionalFormatting>
  <conditionalFormatting sqref="K33:L42">
    <cfRule type="cellIs" dxfId="9275" priority="6657" operator="equal">
      <formula>"OFF"</formula>
    </cfRule>
    <cfRule type="cellIs" dxfId="9274" priority="6658" operator="equal">
      <formula>"PTO"</formula>
    </cfRule>
  </conditionalFormatting>
  <conditionalFormatting sqref="K33:L42">
    <cfRule type="cellIs" dxfId="9273" priority="6655" operator="equal">
      <formula>"OFF"</formula>
    </cfRule>
    <cfRule type="cellIs" dxfId="9272" priority="6656" operator="equal">
      <formula>"PTO"</formula>
    </cfRule>
  </conditionalFormatting>
  <conditionalFormatting sqref="K33:L42">
    <cfRule type="cellIs" dxfId="9271" priority="6653" operator="equal">
      <formula>"OFF"</formula>
    </cfRule>
    <cfRule type="cellIs" dxfId="9270" priority="6654" operator="equal">
      <formula>"PTO"</formula>
    </cfRule>
  </conditionalFormatting>
  <conditionalFormatting sqref="K33:L42">
    <cfRule type="cellIs" dxfId="9269" priority="6651" operator="equal">
      <formula>"OFF"</formula>
    </cfRule>
    <cfRule type="cellIs" dxfId="9268" priority="6652" operator="equal">
      <formula>"PTO"</formula>
    </cfRule>
  </conditionalFormatting>
  <conditionalFormatting sqref="K33:L42">
    <cfRule type="cellIs" dxfId="9267" priority="6649" operator="equal">
      <formula>"OFF"</formula>
    </cfRule>
    <cfRule type="cellIs" dxfId="9266" priority="6650" operator="equal">
      <formula>"PTO"</formula>
    </cfRule>
  </conditionalFormatting>
  <conditionalFormatting sqref="K33:L42">
    <cfRule type="cellIs" dxfId="9265" priority="6647" operator="equal">
      <formula>"OFF"</formula>
    </cfRule>
    <cfRule type="cellIs" dxfId="9264" priority="6648" operator="equal">
      <formula>"PTO"</formula>
    </cfRule>
  </conditionalFormatting>
  <conditionalFormatting sqref="K33:L42">
    <cfRule type="cellIs" dxfId="9263" priority="6645" operator="equal">
      <formula>"OFF"</formula>
    </cfRule>
    <cfRule type="cellIs" dxfId="9262" priority="6646" operator="equal">
      <formula>"PTO"</formula>
    </cfRule>
  </conditionalFormatting>
  <conditionalFormatting sqref="K33:L42">
    <cfRule type="cellIs" dxfId="9261" priority="6643" operator="equal">
      <formula>"OFF"</formula>
    </cfRule>
    <cfRule type="cellIs" dxfId="9260" priority="6644" operator="equal">
      <formula>"PTO"</formula>
    </cfRule>
  </conditionalFormatting>
  <conditionalFormatting sqref="K33:L42">
    <cfRule type="cellIs" dxfId="9259" priority="6641" operator="equal">
      <formula>"OFF"</formula>
    </cfRule>
    <cfRule type="cellIs" dxfId="9258" priority="6642" operator="equal">
      <formula>"PTO"</formula>
    </cfRule>
  </conditionalFormatting>
  <conditionalFormatting sqref="K33:L42">
    <cfRule type="cellIs" dxfId="9257" priority="6639" operator="equal">
      <formula>"OFF"</formula>
    </cfRule>
    <cfRule type="cellIs" dxfId="9256" priority="6640" operator="equal">
      <formula>"PTO"</formula>
    </cfRule>
  </conditionalFormatting>
  <conditionalFormatting sqref="K33:L42">
    <cfRule type="cellIs" dxfId="9255" priority="6637" operator="equal">
      <formula>"OFF"</formula>
    </cfRule>
    <cfRule type="cellIs" dxfId="9254" priority="6638" operator="equal">
      <formula>"PTO"</formula>
    </cfRule>
  </conditionalFormatting>
  <conditionalFormatting sqref="K33:L42">
    <cfRule type="cellIs" dxfId="9253" priority="6635" operator="equal">
      <formula>"OFF"</formula>
    </cfRule>
    <cfRule type="cellIs" dxfId="9252" priority="6636" operator="equal">
      <formula>"PTO"</formula>
    </cfRule>
  </conditionalFormatting>
  <conditionalFormatting sqref="K33:L42">
    <cfRule type="cellIs" dxfId="9251" priority="6633" operator="equal">
      <formula>"OFF"</formula>
    </cfRule>
    <cfRule type="cellIs" dxfId="9250" priority="6634" operator="equal">
      <formula>"PTO"</formula>
    </cfRule>
  </conditionalFormatting>
  <conditionalFormatting sqref="K33:L42">
    <cfRule type="cellIs" dxfId="9249" priority="6631" operator="equal">
      <formula>"OFF"</formula>
    </cfRule>
    <cfRule type="cellIs" dxfId="9248" priority="6632" operator="equal">
      <formula>"PTO"</formula>
    </cfRule>
  </conditionalFormatting>
  <conditionalFormatting sqref="K33:L42">
    <cfRule type="cellIs" dxfId="9247" priority="6629" operator="equal">
      <formula>"OFF"</formula>
    </cfRule>
    <cfRule type="cellIs" dxfId="9246" priority="6630" operator="equal">
      <formula>"PTO"</formula>
    </cfRule>
  </conditionalFormatting>
  <conditionalFormatting sqref="K33:L42">
    <cfRule type="cellIs" dxfId="9245" priority="6625" operator="equal">
      <formula>"OFF"</formula>
    </cfRule>
    <cfRule type="cellIs" dxfId="9244" priority="6626" operator="equal">
      <formula>"PTO"</formula>
    </cfRule>
  </conditionalFormatting>
  <conditionalFormatting sqref="K33:L42">
    <cfRule type="cellIs" dxfId="9243" priority="6623" operator="equal">
      <formula>"OFF"</formula>
    </cfRule>
    <cfRule type="cellIs" dxfId="9242" priority="6624" operator="equal">
      <formula>"PTO"</formula>
    </cfRule>
  </conditionalFormatting>
  <conditionalFormatting sqref="K33:L42">
    <cfRule type="cellIs" dxfId="9241" priority="6619" operator="equal">
      <formula>"OFF"</formula>
    </cfRule>
    <cfRule type="cellIs" dxfId="9240" priority="6620" operator="equal">
      <formula>"PTO"</formula>
    </cfRule>
  </conditionalFormatting>
  <conditionalFormatting sqref="K33:L42">
    <cfRule type="cellIs" dxfId="9239" priority="6617" operator="equal">
      <formula>"OFF"</formula>
    </cfRule>
    <cfRule type="cellIs" dxfId="9238" priority="6618" operator="equal">
      <formula>"PTO"</formula>
    </cfRule>
  </conditionalFormatting>
  <conditionalFormatting sqref="K33:L42">
    <cfRule type="cellIs" dxfId="9237" priority="6615" operator="equal">
      <formula>"OFF"</formula>
    </cfRule>
    <cfRule type="cellIs" dxfId="9236" priority="6616" operator="equal">
      <formula>"PTO"</formula>
    </cfRule>
  </conditionalFormatting>
  <conditionalFormatting sqref="K33:L42">
    <cfRule type="cellIs" dxfId="9235" priority="6613" operator="equal">
      <formula>"OFF"</formula>
    </cfRule>
    <cfRule type="cellIs" dxfId="9234" priority="6614" operator="equal">
      <formula>"PTO"</formula>
    </cfRule>
  </conditionalFormatting>
  <conditionalFormatting sqref="K33:L42">
    <cfRule type="cellIs" dxfId="9233" priority="6611" operator="equal">
      <formula>"OFF"</formula>
    </cfRule>
    <cfRule type="cellIs" dxfId="9232" priority="6612" operator="equal">
      <formula>"PTO"</formula>
    </cfRule>
  </conditionalFormatting>
  <conditionalFormatting sqref="K33:L42">
    <cfRule type="cellIs" dxfId="9231" priority="6609" operator="equal">
      <formula>"OFF"</formula>
    </cfRule>
    <cfRule type="cellIs" dxfId="9230" priority="6610" operator="equal">
      <formula>"PTO"</formula>
    </cfRule>
  </conditionalFormatting>
  <conditionalFormatting sqref="K33:L42">
    <cfRule type="cellIs" dxfId="9229" priority="6607" operator="equal">
      <formula>"OFF"</formula>
    </cfRule>
    <cfRule type="cellIs" dxfId="9228" priority="6608" operator="equal">
      <formula>"PTO"</formula>
    </cfRule>
  </conditionalFormatting>
  <conditionalFormatting sqref="K33:L42">
    <cfRule type="cellIs" dxfId="9227" priority="6603" operator="equal">
      <formula>"OFF"</formula>
    </cfRule>
    <cfRule type="cellIs" dxfId="9226" priority="6604" operator="equal">
      <formula>"PTO"</formula>
    </cfRule>
  </conditionalFormatting>
  <conditionalFormatting sqref="K33:L42">
    <cfRule type="cellIs" dxfId="9225" priority="6601" operator="equal">
      <formula>"OFF"</formula>
    </cfRule>
    <cfRule type="cellIs" dxfId="9224" priority="6602" operator="equal">
      <formula>"PTO"</formula>
    </cfRule>
  </conditionalFormatting>
  <conditionalFormatting sqref="K33:L42">
    <cfRule type="cellIs" dxfId="9223" priority="6599" operator="equal">
      <formula>"OFF"</formula>
    </cfRule>
    <cfRule type="cellIs" dxfId="9222" priority="6600" operator="equal">
      <formula>"PTO"</formula>
    </cfRule>
  </conditionalFormatting>
  <conditionalFormatting sqref="K33:L42">
    <cfRule type="cellIs" dxfId="9221" priority="6597" operator="equal">
      <formula>"OFF"</formula>
    </cfRule>
    <cfRule type="cellIs" dxfId="9220" priority="6598" operator="equal">
      <formula>"PTO"</formula>
    </cfRule>
  </conditionalFormatting>
  <conditionalFormatting sqref="K33:L42">
    <cfRule type="cellIs" dxfId="9219" priority="6595" operator="equal">
      <formula>"OFF"</formula>
    </cfRule>
    <cfRule type="cellIs" dxfId="9218" priority="6596" operator="equal">
      <formula>"PTO"</formula>
    </cfRule>
  </conditionalFormatting>
  <conditionalFormatting sqref="K33:L42">
    <cfRule type="cellIs" dxfId="9217" priority="6593" operator="equal">
      <formula>"OFF"</formula>
    </cfRule>
    <cfRule type="cellIs" dxfId="9216" priority="6594" operator="equal">
      <formula>"PTO"</formula>
    </cfRule>
  </conditionalFormatting>
  <conditionalFormatting sqref="K33:L42">
    <cfRule type="cellIs" dxfId="9215" priority="6591" operator="equal">
      <formula>"OFF"</formula>
    </cfRule>
    <cfRule type="cellIs" dxfId="9214" priority="6592" operator="equal">
      <formula>"PTO"</formula>
    </cfRule>
  </conditionalFormatting>
  <conditionalFormatting sqref="K33:L42">
    <cfRule type="cellIs" dxfId="9213" priority="6589" operator="equal">
      <formula>"OFF"</formula>
    </cfRule>
    <cfRule type="cellIs" dxfId="9212" priority="6590" operator="equal">
      <formula>"PTO"</formula>
    </cfRule>
  </conditionalFormatting>
  <conditionalFormatting sqref="K33:L42">
    <cfRule type="cellIs" dxfId="9211" priority="6587" operator="equal">
      <formula>"OFF"</formula>
    </cfRule>
    <cfRule type="cellIs" dxfId="9210" priority="6588" operator="equal">
      <formula>"PTO"</formula>
    </cfRule>
  </conditionalFormatting>
  <conditionalFormatting sqref="K33:L42">
    <cfRule type="cellIs" dxfId="9209" priority="6585" operator="equal">
      <formula>"OFF"</formula>
    </cfRule>
    <cfRule type="cellIs" dxfId="9208" priority="6586" operator="equal">
      <formula>"PTO"</formula>
    </cfRule>
  </conditionalFormatting>
  <conditionalFormatting sqref="K33:L42">
    <cfRule type="cellIs" dxfId="9207" priority="6583" operator="equal">
      <formula>"OFF"</formula>
    </cfRule>
    <cfRule type="cellIs" dxfId="9206" priority="6584" operator="equal">
      <formula>"PTO"</formula>
    </cfRule>
  </conditionalFormatting>
  <conditionalFormatting sqref="K33:L42">
    <cfRule type="cellIs" dxfId="9205" priority="6581" operator="equal">
      <formula>"OFF"</formula>
    </cfRule>
    <cfRule type="cellIs" dxfId="9204" priority="6582" operator="equal">
      <formula>"PTO"</formula>
    </cfRule>
  </conditionalFormatting>
  <conditionalFormatting sqref="K33:L42">
    <cfRule type="cellIs" dxfId="9203" priority="6579" operator="equal">
      <formula>"OFF"</formula>
    </cfRule>
    <cfRule type="cellIs" dxfId="9202" priority="6580" operator="equal">
      <formula>"PTO"</formula>
    </cfRule>
  </conditionalFormatting>
  <conditionalFormatting sqref="K33:L42">
    <cfRule type="cellIs" dxfId="9201" priority="6577" operator="equal">
      <formula>"OFF"</formula>
    </cfRule>
    <cfRule type="cellIs" dxfId="9200" priority="6578" operator="equal">
      <formula>"PTO"</formula>
    </cfRule>
  </conditionalFormatting>
  <conditionalFormatting sqref="K33:L42">
    <cfRule type="cellIs" dxfId="9199" priority="6575" operator="equal">
      <formula>"OFF"</formula>
    </cfRule>
    <cfRule type="cellIs" dxfId="9198" priority="6576" operator="equal">
      <formula>"PTO"</formula>
    </cfRule>
  </conditionalFormatting>
  <conditionalFormatting sqref="K33:L42">
    <cfRule type="cellIs" dxfId="9197" priority="6569" operator="equal">
      <formula>"OFF"</formula>
    </cfRule>
    <cfRule type="cellIs" dxfId="9196" priority="6570" operator="equal">
      <formula>"PTO"</formula>
    </cfRule>
  </conditionalFormatting>
  <conditionalFormatting sqref="K33:L42">
    <cfRule type="cellIs" dxfId="9195" priority="6567" operator="equal">
      <formula>"OFF"</formula>
    </cfRule>
    <cfRule type="cellIs" dxfId="9194" priority="6568" operator="equal">
      <formula>"PTO"</formula>
    </cfRule>
  </conditionalFormatting>
  <conditionalFormatting sqref="K33:L42">
    <cfRule type="cellIs" dxfId="9193" priority="6565" operator="equal">
      <formula>"OFF"</formula>
    </cfRule>
    <cfRule type="cellIs" dxfId="9192" priority="6566" operator="equal">
      <formula>"PTO"</formula>
    </cfRule>
  </conditionalFormatting>
  <conditionalFormatting sqref="K33:L42">
    <cfRule type="cellIs" dxfId="9191" priority="6563" operator="equal">
      <formula>"OFF"</formula>
    </cfRule>
    <cfRule type="cellIs" dxfId="9190" priority="6564" operator="equal">
      <formula>"PTO"</formula>
    </cfRule>
  </conditionalFormatting>
  <conditionalFormatting sqref="K33:L42">
    <cfRule type="cellIs" dxfId="9189" priority="6561" operator="equal">
      <formula>"OFF"</formula>
    </cfRule>
    <cfRule type="cellIs" dxfId="9188" priority="6562" operator="equal">
      <formula>"PTO"</formula>
    </cfRule>
  </conditionalFormatting>
  <conditionalFormatting sqref="K33:L42">
    <cfRule type="cellIs" dxfId="9187" priority="6559" operator="equal">
      <formula>"OFF"</formula>
    </cfRule>
    <cfRule type="cellIs" dxfId="9186" priority="6560" operator="equal">
      <formula>"PTO"</formula>
    </cfRule>
  </conditionalFormatting>
  <conditionalFormatting sqref="K33:L42">
    <cfRule type="cellIs" dxfId="9185" priority="6557" operator="equal">
      <formula>"OFF"</formula>
    </cfRule>
    <cfRule type="cellIs" dxfId="9184" priority="6558" operator="equal">
      <formula>"PTO"</formula>
    </cfRule>
  </conditionalFormatting>
  <conditionalFormatting sqref="K33:L42">
    <cfRule type="cellIs" dxfId="9183" priority="6555" operator="equal">
      <formula>"OFF"</formula>
    </cfRule>
    <cfRule type="cellIs" dxfId="9182" priority="6556" operator="equal">
      <formula>"PTO"</formula>
    </cfRule>
  </conditionalFormatting>
  <conditionalFormatting sqref="K33:L42">
    <cfRule type="cellIs" dxfId="9181" priority="6553" operator="equal">
      <formula>"OFF"</formula>
    </cfRule>
    <cfRule type="cellIs" dxfId="9180" priority="6554" operator="equal">
      <formula>"PTO"</formula>
    </cfRule>
  </conditionalFormatting>
  <conditionalFormatting sqref="K33:L42">
    <cfRule type="cellIs" dxfId="9179" priority="6551" operator="equal">
      <formula>"OFF"</formula>
    </cfRule>
    <cfRule type="cellIs" dxfId="9178" priority="6552" operator="equal">
      <formula>"PTO"</formula>
    </cfRule>
  </conditionalFormatting>
  <conditionalFormatting sqref="K33:L42">
    <cfRule type="cellIs" dxfId="9177" priority="6549" operator="equal">
      <formula>"OFF"</formula>
    </cfRule>
    <cfRule type="cellIs" dxfId="9176" priority="6550" operator="equal">
      <formula>"PTO"</formula>
    </cfRule>
  </conditionalFormatting>
  <conditionalFormatting sqref="K33:L42">
    <cfRule type="cellIs" dxfId="9175" priority="6547" operator="equal">
      <formula>"OFF"</formula>
    </cfRule>
    <cfRule type="cellIs" dxfId="9174" priority="6548" operator="equal">
      <formula>"PTO"</formula>
    </cfRule>
  </conditionalFormatting>
  <conditionalFormatting sqref="K33:L42">
    <cfRule type="cellIs" dxfId="9173" priority="6545" operator="equal">
      <formula>"OFF"</formula>
    </cfRule>
    <cfRule type="cellIs" dxfId="9172" priority="6546" operator="equal">
      <formula>"PTO"</formula>
    </cfRule>
  </conditionalFormatting>
  <conditionalFormatting sqref="K33:L42">
    <cfRule type="cellIs" dxfId="9171" priority="6543" operator="equal">
      <formula>"OFF"</formula>
    </cfRule>
    <cfRule type="cellIs" dxfId="9170" priority="6544" operator="equal">
      <formula>"PTO"</formula>
    </cfRule>
  </conditionalFormatting>
  <conditionalFormatting sqref="K33:L42">
    <cfRule type="cellIs" dxfId="9169" priority="6541" operator="equal">
      <formula>"OFF"</formula>
    </cfRule>
    <cfRule type="cellIs" dxfId="9168" priority="6542" operator="equal">
      <formula>"PTO"</formula>
    </cfRule>
  </conditionalFormatting>
  <conditionalFormatting sqref="K33:L42">
    <cfRule type="cellIs" dxfId="9167" priority="6539" operator="equal">
      <formula>"OFF"</formula>
    </cfRule>
    <cfRule type="cellIs" dxfId="9166" priority="6540" operator="equal">
      <formula>"PTO"</formula>
    </cfRule>
  </conditionalFormatting>
  <conditionalFormatting sqref="K33:L42">
    <cfRule type="cellIs" dxfId="9165" priority="6537" operator="equal">
      <formula>"OFF"</formula>
    </cfRule>
    <cfRule type="cellIs" dxfId="9164" priority="6538" operator="equal">
      <formula>"PTO"</formula>
    </cfRule>
  </conditionalFormatting>
  <conditionalFormatting sqref="K33:L42">
    <cfRule type="cellIs" dxfId="9163" priority="6535" operator="equal">
      <formula>"OFF"</formula>
    </cfRule>
    <cfRule type="cellIs" dxfId="9162" priority="6536" operator="equal">
      <formula>"PTO"</formula>
    </cfRule>
  </conditionalFormatting>
  <conditionalFormatting sqref="K33:L42">
    <cfRule type="cellIs" dxfId="9161" priority="6533" operator="equal">
      <formula>"OFF"</formula>
    </cfRule>
    <cfRule type="cellIs" dxfId="9160" priority="6534" operator="equal">
      <formula>"PTO"</formula>
    </cfRule>
  </conditionalFormatting>
  <conditionalFormatting sqref="K33:L42">
    <cfRule type="cellIs" dxfId="9159" priority="6531" operator="equal">
      <formula>"OFF"</formula>
    </cfRule>
    <cfRule type="cellIs" dxfId="9158" priority="6532" operator="equal">
      <formula>"PTO"</formula>
    </cfRule>
  </conditionalFormatting>
  <conditionalFormatting sqref="K33:L42">
    <cfRule type="cellIs" dxfId="9157" priority="6529" operator="equal">
      <formula>"OFF"</formula>
    </cfRule>
    <cfRule type="cellIs" dxfId="9156" priority="6530" operator="equal">
      <formula>"PTO"</formula>
    </cfRule>
  </conditionalFormatting>
  <conditionalFormatting sqref="K33:L42">
    <cfRule type="cellIs" dxfId="9155" priority="6527" operator="equal">
      <formula>"OFF"</formula>
    </cfRule>
    <cfRule type="cellIs" dxfId="9154" priority="6528" operator="equal">
      <formula>"PTO"</formula>
    </cfRule>
  </conditionalFormatting>
  <conditionalFormatting sqref="K33:L42">
    <cfRule type="cellIs" dxfId="9153" priority="6525" operator="equal">
      <formula>"OFF"</formula>
    </cfRule>
    <cfRule type="cellIs" dxfId="9152" priority="6526" operator="equal">
      <formula>"PTO"</formula>
    </cfRule>
  </conditionalFormatting>
  <conditionalFormatting sqref="K33:L42">
    <cfRule type="cellIs" dxfId="9151" priority="6523" operator="equal">
      <formula>"OFF"</formula>
    </cfRule>
    <cfRule type="cellIs" dxfId="9150" priority="6524" operator="equal">
      <formula>"PTO"</formula>
    </cfRule>
  </conditionalFormatting>
  <conditionalFormatting sqref="K33:L42">
    <cfRule type="cellIs" dxfId="9149" priority="6521" operator="equal">
      <formula>"OFF"</formula>
    </cfRule>
    <cfRule type="cellIs" dxfId="9148" priority="6522" operator="equal">
      <formula>"PTO"</formula>
    </cfRule>
  </conditionalFormatting>
  <conditionalFormatting sqref="K33:L42">
    <cfRule type="cellIs" dxfId="9147" priority="6519" operator="equal">
      <formula>"OFF"</formula>
    </cfRule>
    <cfRule type="cellIs" dxfId="9146" priority="6520" operator="equal">
      <formula>"PTO"</formula>
    </cfRule>
  </conditionalFormatting>
  <conditionalFormatting sqref="K33:L42">
    <cfRule type="cellIs" dxfId="9145" priority="6517" operator="equal">
      <formula>"OFF"</formula>
    </cfRule>
    <cfRule type="cellIs" dxfId="9144" priority="6518" operator="equal">
      <formula>"PTO"</formula>
    </cfRule>
  </conditionalFormatting>
  <conditionalFormatting sqref="K33:L42">
    <cfRule type="cellIs" dxfId="9143" priority="6515" operator="equal">
      <formula>"OFF"</formula>
    </cfRule>
    <cfRule type="cellIs" dxfId="9142" priority="6516" operator="equal">
      <formula>"PTO"</formula>
    </cfRule>
  </conditionalFormatting>
  <conditionalFormatting sqref="K33:L42">
    <cfRule type="cellIs" dxfId="9141" priority="6513" operator="equal">
      <formula>"OFF"</formula>
    </cfRule>
    <cfRule type="cellIs" dxfId="9140" priority="6514" operator="equal">
      <formula>"PTO"</formula>
    </cfRule>
  </conditionalFormatting>
  <conditionalFormatting sqref="K33:L42">
    <cfRule type="cellIs" dxfId="9139" priority="6511" operator="equal">
      <formula>"OFF"</formula>
    </cfRule>
    <cfRule type="cellIs" dxfId="9138" priority="6512" operator="equal">
      <formula>"PTO"</formula>
    </cfRule>
  </conditionalFormatting>
  <conditionalFormatting sqref="K33:L42">
    <cfRule type="cellIs" dxfId="9137" priority="6509" operator="equal">
      <formula>"OFF"</formula>
    </cfRule>
    <cfRule type="cellIs" dxfId="9136" priority="6510" operator="equal">
      <formula>"PTO"</formula>
    </cfRule>
  </conditionalFormatting>
  <conditionalFormatting sqref="K33:L42">
    <cfRule type="cellIs" dxfId="9135" priority="6507" operator="equal">
      <formula>"OFF"</formula>
    </cfRule>
    <cfRule type="cellIs" dxfId="9134" priority="6508" operator="equal">
      <formula>"PTO"</formula>
    </cfRule>
  </conditionalFormatting>
  <conditionalFormatting sqref="K33:L42">
    <cfRule type="cellIs" dxfId="9133" priority="6505" operator="equal">
      <formula>"OFF"</formula>
    </cfRule>
    <cfRule type="cellIs" dxfId="9132" priority="6506" operator="equal">
      <formula>"PTO"</formula>
    </cfRule>
  </conditionalFormatting>
  <conditionalFormatting sqref="K33:L42">
    <cfRule type="cellIs" dxfId="9131" priority="6503" operator="equal">
      <formula>"OFF"</formula>
    </cfRule>
    <cfRule type="cellIs" dxfId="9130" priority="6504" operator="equal">
      <formula>"PTO"</formula>
    </cfRule>
  </conditionalFormatting>
  <conditionalFormatting sqref="K33:L42">
    <cfRule type="cellIs" dxfId="9129" priority="6501" operator="equal">
      <formula>"OFF"</formula>
    </cfRule>
    <cfRule type="cellIs" dxfId="9128" priority="6502" operator="equal">
      <formula>"PTO"</formula>
    </cfRule>
  </conditionalFormatting>
  <conditionalFormatting sqref="K33:L42">
    <cfRule type="cellIs" dxfId="9127" priority="6499" operator="equal">
      <formula>"OFF"</formula>
    </cfRule>
    <cfRule type="cellIs" dxfId="9126" priority="6500" operator="equal">
      <formula>"PTO"</formula>
    </cfRule>
  </conditionalFormatting>
  <conditionalFormatting sqref="K33:L42">
    <cfRule type="cellIs" dxfId="9125" priority="6497" operator="equal">
      <formula>"OFF"</formula>
    </cfRule>
    <cfRule type="cellIs" dxfId="9124" priority="6498" operator="equal">
      <formula>"PTO"</formula>
    </cfRule>
  </conditionalFormatting>
  <conditionalFormatting sqref="K33:L42">
    <cfRule type="cellIs" dxfId="9123" priority="6495" operator="equal">
      <formula>"OFF"</formula>
    </cfRule>
    <cfRule type="cellIs" dxfId="9122" priority="6496" operator="equal">
      <formula>"PTO"</formula>
    </cfRule>
  </conditionalFormatting>
  <conditionalFormatting sqref="K33:L42">
    <cfRule type="cellIs" dxfId="9121" priority="6493" operator="equal">
      <formula>"OFF"</formula>
    </cfRule>
    <cfRule type="cellIs" dxfId="9120" priority="6494" operator="equal">
      <formula>"PTO"</formula>
    </cfRule>
  </conditionalFormatting>
  <conditionalFormatting sqref="K33:L42">
    <cfRule type="cellIs" dxfId="9119" priority="6491" operator="equal">
      <formula>"OFF"</formula>
    </cfRule>
    <cfRule type="cellIs" dxfId="9118" priority="6492" operator="equal">
      <formula>"PTO"</formula>
    </cfRule>
  </conditionalFormatting>
  <conditionalFormatting sqref="K33:L42">
    <cfRule type="cellIs" dxfId="9117" priority="6489" operator="equal">
      <formula>"OFF"</formula>
    </cfRule>
    <cfRule type="cellIs" dxfId="9116" priority="6490" operator="equal">
      <formula>"PTO"</formula>
    </cfRule>
  </conditionalFormatting>
  <conditionalFormatting sqref="K33:L42">
    <cfRule type="cellIs" dxfId="9115" priority="6487" operator="equal">
      <formula>"OFF"</formula>
    </cfRule>
    <cfRule type="cellIs" dxfId="9114" priority="6488" operator="equal">
      <formula>"PTO"</formula>
    </cfRule>
  </conditionalFormatting>
  <conditionalFormatting sqref="K33:L42">
    <cfRule type="cellIs" dxfId="9113" priority="6485" operator="equal">
      <formula>"OFF"</formula>
    </cfRule>
    <cfRule type="cellIs" dxfId="9112" priority="6486" operator="equal">
      <formula>"PTO"</formula>
    </cfRule>
  </conditionalFormatting>
  <conditionalFormatting sqref="K33:L42">
    <cfRule type="cellIs" dxfId="9111" priority="6483" operator="equal">
      <formula>"OFF"</formula>
    </cfRule>
    <cfRule type="cellIs" dxfId="9110" priority="6484" operator="equal">
      <formula>"PTO"</formula>
    </cfRule>
  </conditionalFormatting>
  <conditionalFormatting sqref="K33:L42">
    <cfRule type="cellIs" dxfId="9109" priority="6481" operator="equal">
      <formula>"OFF"</formula>
    </cfRule>
    <cfRule type="cellIs" dxfId="9108" priority="6482" operator="equal">
      <formula>"PTO"</formula>
    </cfRule>
  </conditionalFormatting>
  <conditionalFormatting sqref="K33:L42">
    <cfRule type="cellIs" dxfId="9107" priority="6479" operator="equal">
      <formula>"OFF"</formula>
    </cfRule>
    <cfRule type="cellIs" dxfId="9106" priority="6480" operator="equal">
      <formula>"PTO"</formula>
    </cfRule>
  </conditionalFormatting>
  <conditionalFormatting sqref="K33:L42">
    <cfRule type="cellIs" dxfId="9105" priority="6477" operator="equal">
      <formula>"OFF"</formula>
    </cfRule>
    <cfRule type="cellIs" dxfId="9104" priority="6478" operator="equal">
      <formula>"PTO"</formula>
    </cfRule>
  </conditionalFormatting>
  <conditionalFormatting sqref="K33:L42">
    <cfRule type="cellIs" dxfId="9103" priority="6475" operator="equal">
      <formula>"OFF"</formula>
    </cfRule>
    <cfRule type="cellIs" dxfId="9102" priority="6476" operator="equal">
      <formula>"PTO"</formula>
    </cfRule>
  </conditionalFormatting>
  <conditionalFormatting sqref="K33:L42">
    <cfRule type="cellIs" dxfId="9101" priority="6473" operator="equal">
      <formula>"OFF"</formula>
    </cfRule>
    <cfRule type="cellIs" dxfId="9100" priority="6474" operator="equal">
      <formula>"PTO"</formula>
    </cfRule>
  </conditionalFormatting>
  <conditionalFormatting sqref="K33:L42">
    <cfRule type="cellIs" dxfId="9099" priority="6471" operator="equal">
      <formula>"OFF"</formula>
    </cfRule>
    <cfRule type="cellIs" dxfId="9098" priority="6472" operator="equal">
      <formula>"PTO"</formula>
    </cfRule>
  </conditionalFormatting>
  <conditionalFormatting sqref="K33:L42">
    <cfRule type="cellIs" dxfId="9097" priority="6469" operator="equal">
      <formula>"OFF"</formula>
    </cfRule>
    <cfRule type="cellIs" dxfId="9096" priority="6470" operator="equal">
      <formula>"PTO"</formula>
    </cfRule>
  </conditionalFormatting>
  <conditionalFormatting sqref="K33:L42">
    <cfRule type="cellIs" dxfId="9095" priority="6467" operator="equal">
      <formula>"OFF"</formula>
    </cfRule>
    <cfRule type="cellIs" dxfId="9094" priority="6468" operator="equal">
      <formula>"PTO"</formula>
    </cfRule>
  </conditionalFormatting>
  <conditionalFormatting sqref="K33:L42">
    <cfRule type="cellIs" dxfId="9093" priority="6465" operator="equal">
      <formula>"OFF"</formula>
    </cfRule>
    <cfRule type="cellIs" dxfId="9092" priority="6466" operator="equal">
      <formula>"PTO"</formula>
    </cfRule>
  </conditionalFormatting>
  <conditionalFormatting sqref="K33:L42">
    <cfRule type="cellIs" dxfId="9091" priority="6463" operator="equal">
      <formula>"OFF"</formula>
    </cfRule>
    <cfRule type="cellIs" dxfId="9090" priority="6464" operator="equal">
      <formula>"PTO"</formula>
    </cfRule>
  </conditionalFormatting>
  <conditionalFormatting sqref="K33:L42">
    <cfRule type="cellIs" dxfId="9089" priority="6461" operator="equal">
      <formula>"OFF"</formula>
    </cfRule>
    <cfRule type="cellIs" dxfId="9088" priority="6462" operator="equal">
      <formula>"PTO"</formula>
    </cfRule>
  </conditionalFormatting>
  <conditionalFormatting sqref="K33:L42">
    <cfRule type="cellIs" dxfId="9087" priority="6459" operator="equal">
      <formula>"OFF"</formula>
    </cfRule>
    <cfRule type="cellIs" dxfId="9086" priority="6460" operator="equal">
      <formula>"PTO"</formula>
    </cfRule>
  </conditionalFormatting>
  <conditionalFormatting sqref="K33:L42">
    <cfRule type="cellIs" dxfId="9085" priority="6457" operator="equal">
      <formula>"OFF"</formula>
    </cfRule>
    <cfRule type="cellIs" dxfId="9084" priority="6458" operator="equal">
      <formula>"PTO"</formula>
    </cfRule>
  </conditionalFormatting>
  <conditionalFormatting sqref="K33:L42">
    <cfRule type="cellIs" dxfId="9083" priority="6455" operator="equal">
      <formula>"OFF"</formula>
    </cfRule>
    <cfRule type="cellIs" dxfId="9082" priority="6456" operator="equal">
      <formula>"PTO"</formula>
    </cfRule>
  </conditionalFormatting>
  <conditionalFormatting sqref="K33:L42">
    <cfRule type="cellIs" dxfId="9081" priority="6453" operator="equal">
      <formula>"OFF"</formula>
    </cfRule>
    <cfRule type="cellIs" dxfId="9080" priority="6454" operator="equal">
      <formula>"PTO"</formula>
    </cfRule>
  </conditionalFormatting>
  <conditionalFormatting sqref="K33:L42">
    <cfRule type="cellIs" dxfId="9079" priority="6451" operator="equal">
      <formula>"OFF"</formula>
    </cfRule>
    <cfRule type="cellIs" dxfId="9078" priority="6452" operator="equal">
      <formula>"PTO"</formula>
    </cfRule>
  </conditionalFormatting>
  <conditionalFormatting sqref="K33:L42">
    <cfRule type="cellIs" dxfId="9077" priority="6449" operator="equal">
      <formula>"OFF"</formula>
    </cfRule>
    <cfRule type="cellIs" dxfId="9076" priority="6450" operator="equal">
      <formula>"PTO"</formula>
    </cfRule>
  </conditionalFormatting>
  <conditionalFormatting sqref="K33:L42">
    <cfRule type="cellIs" dxfId="9075" priority="6447" operator="equal">
      <formula>"OFF"</formula>
    </cfRule>
    <cfRule type="cellIs" dxfId="9074" priority="6448" operator="equal">
      <formula>"PTO"</formula>
    </cfRule>
  </conditionalFormatting>
  <conditionalFormatting sqref="J33:J42">
    <cfRule type="cellIs" dxfId="9073" priority="6443" operator="equal">
      <formula>"OFF"</formula>
    </cfRule>
    <cfRule type="cellIs" dxfId="9072" priority="6444" operator="equal">
      <formula>"PTO"</formula>
    </cfRule>
  </conditionalFormatting>
  <conditionalFormatting sqref="J33:J42">
    <cfRule type="cellIs" dxfId="9071" priority="6437" operator="equal">
      <formula>"OFF"</formula>
    </cfRule>
    <cfRule type="cellIs" dxfId="9070" priority="6438" operator="equal">
      <formula>"PTO"</formula>
    </cfRule>
  </conditionalFormatting>
  <conditionalFormatting sqref="J33:J42">
    <cfRule type="cellIs" dxfId="9069" priority="6429" operator="equal">
      <formula>"OFF"</formula>
    </cfRule>
    <cfRule type="cellIs" dxfId="9068" priority="6430" operator="equal">
      <formula>"PTO"</formula>
    </cfRule>
  </conditionalFormatting>
  <conditionalFormatting sqref="J33:J42">
    <cfRule type="cellIs" dxfId="9067" priority="6413" operator="equal">
      <formula>"OFF"</formula>
    </cfRule>
    <cfRule type="cellIs" dxfId="9066" priority="6414" operator="equal">
      <formula>"PTO"</formula>
    </cfRule>
  </conditionalFormatting>
  <conditionalFormatting sqref="J33:J42">
    <cfRule type="cellIs" dxfId="9065" priority="6411" operator="equal">
      <formula>"OFF"</formula>
    </cfRule>
    <cfRule type="cellIs" dxfId="9064" priority="6412" operator="equal">
      <formula>"PTO"</formula>
    </cfRule>
  </conditionalFormatting>
  <conditionalFormatting sqref="J33:J42">
    <cfRule type="cellIs" dxfId="9063" priority="6445" operator="equal">
      <formula>"OFF"</formula>
    </cfRule>
    <cfRule type="cellIs" dxfId="9062" priority="6446" operator="equal">
      <formula>"PTO"</formula>
    </cfRule>
  </conditionalFormatting>
  <conditionalFormatting sqref="J33:J42">
    <cfRule type="cellIs" dxfId="9061" priority="6441" operator="equal">
      <formula>"OFF"</formula>
    </cfRule>
    <cfRule type="cellIs" dxfId="9060" priority="6442" operator="equal">
      <formula>"PTO"</formula>
    </cfRule>
  </conditionalFormatting>
  <conditionalFormatting sqref="J33:J42">
    <cfRule type="cellIs" dxfId="9059" priority="6439" operator="equal">
      <formula>"OFF"</formula>
    </cfRule>
    <cfRule type="cellIs" dxfId="9058" priority="6440" operator="equal">
      <formula>"PTO"</formula>
    </cfRule>
  </conditionalFormatting>
  <conditionalFormatting sqref="J33:J42">
    <cfRule type="cellIs" dxfId="9057" priority="6435" operator="equal">
      <formula>"OFF"</formula>
    </cfRule>
    <cfRule type="cellIs" dxfId="9056" priority="6436" operator="equal">
      <formula>"PTO"</formula>
    </cfRule>
  </conditionalFormatting>
  <conditionalFormatting sqref="J33:J42">
    <cfRule type="cellIs" dxfId="9055" priority="6433" operator="equal">
      <formula>"OFF"</formula>
    </cfRule>
    <cfRule type="cellIs" dxfId="9054" priority="6434" operator="equal">
      <formula>"PTO"</formula>
    </cfRule>
  </conditionalFormatting>
  <conditionalFormatting sqref="J33:J42">
    <cfRule type="cellIs" dxfId="9053" priority="6431" operator="equal">
      <formula>"OFF"</formula>
    </cfRule>
    <cfRule type="cellIs" dxfId="9052" priority="6432" operator="equal">
      <formula>"PTO"</formula>
    </cfRule>
  </conditionalFormatting>
  <conditionalFormatting sqref="J33:J42">
    <cfRule type="cellIs" dxfId="9051" priority="6427" operator="equal">
      <formula>"OFF"</formula>
    </cfRule>
    <cfRule type="cellIs" dxfId="9050" priority="6428" operator="equal">
      <formula>"PTO"</formula>
    </cfRule>
  </conditionalFormatting>
  <conditionalFormatting sqref="J33:J42">
    <cfRule type="cellIs" dxfId="9049" priority="6425" operator="equal">
      <formula>"OFF"</formula>
    </cfRule>
    <cfRule type="cellIs" dxfId="9048" priority="6426" operator="equal">
      <formula>"PTO"</formula>
    </cfRule>
  </conditionalFormatting>
  <conditionalFormatting sqref="J33:J42">
    <cfRule type="cellIs" dxfId="9047" priority="6423" operator="equal">
      <formula>"OFF"</formula>
    </cfRule>
    <cfRule type="cellIs" dxfId="9046" priority="6424" operator="equal">
      <formula>"PTO"</formula>
    </cfRule>
  </conditionalFormatting>
  <conditionalFormatting sqref="J33:J42">
    <cfRule type="cellIs" dxfId="9045" priority="6421" operator="equal">
      <formula>"OFF"</formula>
    </cfRule>
    <cfRule type="cellIs" dxfId="9044" priority="6422" operator="equal">
      <formula>"PTO"</formula>
    </cfRule>
  </conditionalFormatting>
  <conditionalFormatting sqref="J33:J42">
    <cfRule type="cellIs" dxfId="9043" priority="6419" operator="equal">
      <formula>"OFF"</formula>
    </cfRule>
    <cfRule type="cellIs" dxfId="9042" priority="6420" operator="equal">
      <formula>"PTO"</formula>
    </cfRule>
  </conditionalFormatting>
  <conditionalFormatting sqref="J33:J42">
    <cfRule type="cellIs" dxfId="9041" priority="6417" operator="equal">
      <formula>"OFF"</formula>
    </cfRule>
    <cfRule type="cellIs" dxfId="9040" priority="6418" operator="equal">
      <formula>"PTO"</formula>
    </cfRule>
  </conditionalFormatting>
  <conditionalFormatting sqref="J33:J42">
    <cfRule type="cellIs" dxfId="9039" priority="6415" operator="equal">
      <formula>"OFF"</formula>
    </cfRule>
    <cfRule type="cellIs" dxfId="9038" priority="6416" operator="equal">
      <formula>"PTO"</formula>
    </cfRule>
  </conditionalFormatting>
  <conditionalFormatting sqref="J33:J42">
    <cfRule type="cellIs" dxfId="9037" priority="6409" operator="equal">
      <formula>"OFF"</formula>
    </cfRule>
    <cfRule type="cellIs" dxfId="9036" priority="6410" operator="equal">
      <formula>"PTO"</formula>
    </cfRule>
  </conditionalFormatting>
  <conditionalFormatting sqref="J33:J42">
    <cfRule type="cellIs" dxfId="9035" priority="6407" operator="equal">
      <formula>"OFF"</formula>
    </cfRule>
    <cfRule type="cellIs" dxfId="9034" priority="6408" operator="equal">
      <formula>"PTO"</formula>
    </cfRule>
  </conditionalFormatting>
  <conditionalFormatting sqref="J33:J42">
    <cfRule type="cellIs" dxfId="9033" priority="6405" operator="equal">
      <formula>"OFF"</formula>
    </cfRule>
    <cfRule type="cellIs" dxfId="9032" priority="6406" operator="equal">
      <formula>"PTO"</formula>
    </cfRule>
  </conditionalFormatting>
  <conditionalFormatting sqref="J33:J42">
    <cfRule type="cellIs" dxfId="9031" priority="6403" operator="equal">
      <formula>"OFF"</formula>
    </cfRule>
    <cfRule type="cellIs" dxfId="9030" priority="6404" operator="equal">
      <formula>"PTO"</formula>
    </cfRule>
  </conditionalFormatting>
  <conditionalFormatting sqref="J33:J42">
    <cfRule type="cellIs" dxfId="9029" priority="6401" operator="equal">
      <formula>"OFF"</formula>
    </cfRule>
    <cfRule type="cellIs" dxfId="9028" priority="6402" operator="equal">
      <formula>"PTO"</formula>
    </cfRule>
  </conditionalFormatting>
  <conditionalFormatting sqref="J33:J42">
    <cfRule type="cellIs" dxfId="9027" priority="6399" operator="equal">
      <formula>"OFF"</formula>
    </cfRule>
    <cfRule type="cellIs" dxfId="9026" priority="6400" operator="equal">
      <formula>"PTO"</formula>
    </cfRule>
  </conditionalFormatting>
  <conditionalFormatting sqref="J33:J42">
    <cfRule type="cellIs" dxfId="9025" priority="6397" operator="equal">
      <formula>"OFF"</formula>
    </cfRule>
    <cfRule type="cellIs" dxfId="9024" priority="6398" operator="equal">
      <formula>"PTO"</formula>
    </cfRule>
  </conditionalFormatting>
  <conditionalFormatting sqref="J33:J42">
    <cfRule type="cellIs" dxfId="9023" priority="6395" operator="equal">
      <formula>"OFF"</formula>
    </cfRule>
    <cfRule type="cellIs" dxfId="9022" priority="6396" operator="equal">
      <formula>"PTO"</formula>
    </cfRule>
  </conditionalFormatting>
  <conditionalFormatting sqref="J33:J42">
    <cfRule type="cellIs" dxfId="9021" priority="6393" operator="equal">
      <formula>"OFF"</formula>
    </cfRule>
    <cfRule type="cellIs" dxfId="9020" priority="6394" operator="equal">
      <formula>"PTO"</formula>
    </cfRule>
  </conditionalFormatting>
  <conditionalFormatting sqref="J33:J42">
    <cfRule type="cellIs" dxfId="9019" priority="6391" operator="equal">
      <formula>"OFF"</formula>
    </cfRule>
    <cfRule type="cellIs" dxfId="9018" priority="6392" operator="equal">
      <formula>"PTO"</formula>
    </cfRule>
  </conditionalFormatting>
  <conditionalFormatting sqref="J33:J42">
    <cfRule type="cellIs" dxfId="9017" priority="6389" operator="equal">
      <formula>"OFF"</formula>
    </cfRule>
    <cfRule type="cellIs" dxfId="9016" priority="6390" operator="equal">
      <formula>"PTO"</formula>
    </cfRule>
  </conditionalFormatting>
  <conditionalFormatting sqref="J33:J42">
    <cfRule type="cellIs" dxfId="9015" priority="6387" operator="equal">
      <formula>"OFF"</formula>
    </cfRule>
    <cfRule type="cellIs" dxfId="9014" priority="6388" operator="equal">
      <formula>"PTO"</formula>
    </cfRule>
  </conditionalFormatting>
  <conditionalFormatting sqref="J33:J42">
    <cfRule type="cellIs" dxfId="9013" priority="6385" operator="equal">
      <formula>"OFF"</formula>
    </cfRule>
    <cfRule type="cellIs" dxfId="9012" priority="6386" operator="equal">
      <formula>"PTO"</formula>
    </cfRule>
  </conditionalFormatting>
  <conditionalFormatting sqref="J33:J42">
    <cfRule type="cellIs" dxfId="9011" priority="6383" operator="equal">
      <formula>"OFF"</formula>
    </cfRule>
    <cfRule type="cellIs" dxfId="9010" priority="6384" operator="equal">
      <formula>"PTO"</formula>
    </cfRule>
  </conditionalFormatting>
  <conditionalFormatting sqref="J33:J42">
    <cfRule type="cellIs" dxfId="9009" priority="6381" operator="equal">
      <formula>"OFF"</formula>
    </cfRule>
    <cfRule type="cellIs" dxfId="9008" priority="6382" operator="equal">
      <formula>"PTO"</formula>
    </cfRule>
  </conditionalFormatting>
  <conditionalFormatting sqref="J33:J42">
    <cfRule type="cellIs" dxfId="9007" priority="6379" operator="equal">
      <formula>"OFF"</formula>
    </cfRule>
    <cfRule type="cellIs" dxfId="9006" priority="6380" operator="equal">
      <formula>"PTO"</formula>
    </cfRule>
  </conditionalFormatting>
  <conditionalFormatting sqref="J33:J42">
    <cfRule type="cellIs" dxfId="9005" priority="6377" operator="equal">
      <formula>"OFF"</formula>
    </cfRule>
    <cfRule type="cellIs" dxfId="9004" priority="6378" operator="equal">
      <formula>"PTO"</formula>
    </cfRule>
  </conditionalFormatting>
  <conditionalFormatting sqref="J33:J42">
    <cfRule type="cellIs" dxfId="9003" priority="6375" operator="equal">
      <formula>"OFF"</formula>
    </cfRule>
    <cfRule type="cellIs" dxfId="9002" priority="6376" operator="equal">
      <formula>"PTO"</formula>
    </cfRule>
  </conditionalFormatting>
  <conditionalFormatting sqref="J33:J42">
    <cfRule type="cellIs" dxfId="9001" priority="6373" operator="equal">
      <formula>"OFF"</formula>
    </cfRule>
    <cfRule type="cellIs" dxfId="9000" priority="6374" operator="equal">
      <formula>"PTO"</formula>
    </cfRule>
  </conditionalFormatting>
  <conditionalFormatting sqref="J33:J42">
    <cfRule type="cellIs" dxfId="8999" priority="6371" operator="equal">
      <formula>"OFF"</formula>
    </cfRule>
    <cfRule type="cellIs" dxfId="8998" priority="6372" operator="equal">
      <formula>"PTO"</formula>
    </cfRule>
  </conditionalFormatting>
  <conditionalFormatting sqref="J33:J42">
    <cfRule type="cellIs" dxfId="8997" priority="6369" operator="equal">
      <formula>"OFF"</formula>
    </cfRule>
    <cfRule type="cellIs" dxfId="8996" priority="6370" operator="equal">
      <formula>"PTO"</formula>
    </cfRule>
  </conditionalFormatting>
  <conditionalFormatting sqref="J33:J42">
    <cfRule type="cellIs" dxfId="8995" priority="6367" operator="equal">
      <formula>"OFF"</formula>
    </cfRule>
    <cfRule type="cellIs" dxfId="8994" priority="6368" operator="equal">
      <formula>"PTO"</formula>
    </cfRule>
  </conditionalFormatting>
  <conditionalFormatting sqref="J33:J42">
    <cfRule type="cellIs" dxfId="8993" priority="6365" operator="equal">
      <formula>"OFF"</formula>
    </cfRule>
    <cfRule type="cellIs" dxfId="8992" priority="6366" operator="equal">
      <formula>"PTO"</formula>
    </cfRule>
  </conditionalFormatting>
  <conditionalFormatting sqref="J33:J42">
    <cfRule type="cellIs" dxfId="8991" priority="6363" operator="equal">
      <formula>"OFF"</formula>
    </cfRule>
    <cfRule type="cellIs" dxfId="8990" priority="6364" operator="equal">
      <formula>"PTO"</formula>
    </cfRule>
  </conditionalFormatting>
  <conditionalFormatting sqref="J33:J42">
    <cfRule type="cellIs" dxfId="8989" priority="6361" operator="equal">
      <formula>"OFF"</formula>
    </cfRule>
    <cfRule type="cellIs" dxfId="8988" priority="6362" operator="equal">
      <formula>"PTO"</formula>
    </cfRule>
  </conditionalFormatting>
  <conditionalFormatting sqref="J33:J42">
    <cfRule type="cellIs" dxfId="8987" priority="6359" operator="equal">
      <formula>"OFF"</formula>
    </cfRule>
    <cfRule type="cellIs" dxfId="8986" priority="6360" operator="equal">
      <formula>"PTO"</formula>
    </cfRule>
  </conditionalFormatting>
  <conditionalFormatting sqref="M34:P42">
    <cfRule type="cellIs" dxfId="8985" priority="6357" operator="equal">
      <formula>"OFF"</formula>
    </cfRule>
    <cfRule type="cellIs" dxfId="8984" priority="6358" operator="equal">
      <formula>"PTO"</formula>
    </cfRule>
  </conditionalFormatting>
  <conditionalFormatting sqref="M34:P42">
    <cfRule type="cellIs" dxfId="8983" priority="6355" operator="equal">
      <formula>"OFF"</formula>
    </cfRule>
    <cfRule type="cellIs" dxfId="8982" priority="6356" operator="equal">
      <formula>"PTO"</formula>
    </cfRule>
  </conditionalFormatting>
  <conditionalFormatting sqref="M34:P42">
    <cfRule type="cellIs" dxfId="8981" priority="6353" operator="equal">
      <formula>"OFF"</formula>
    </cfRule>
    <cfRule type="cellIs" dxfId="8980" priority="6354" operator="equal">
      <formula>"PTO"</formula>
    </cfRule>
  </conditionalFormatting>
  <conditionalFormatting sqref="M34:P42">
    <cfRule type="cellIs" dxfId="8979" priority="6351" operator="equal">
      <formula>"OFF"</formula>
    </cfRule>
    <cfRule type="cellIs" dxfId="8978" priority="6352" operator="equal">
      <formula>"PTO"</formula>
    </cfRule>
  </conditionalFormatting>
  <conditionalFormatting sqref="M34:P42">
    <cfRule type="cellIs" dxfId="8977" priority="6349" operator="equal">
      <formula>"OFF"</formula>
    </cfRule>
    <cfRule type="cellIs" dxfId="8976" priority="6350" operator="equal">
      <formula>"PTO"</formula>
    </cfRule>
  </conditionalFormatting>
  <conditionalFormatting sqref="M34:P42">
    <cfRule type="cellIs" dxfId="8975" priority="6347" operator="equal">
      <formula>"OFF"</formula>
    </cfRule>
    <cfRule type="cellIs" dxfId="8974" priority="6348" operator="equal">
      <formula>"PTO"</formula>
    </cfRule>
  </conditionalFormatting>
  <conditionalFormatting sqref="M34:P42">
    <cfRule type="cellIs" dxfId="8973" priority="6345" operator="equal">
      <formula>"OFF"</formula>
    </cfRule>
    <cfRule type="cellIs" dxfId="8972" priority="6346" operator="equal">
      <formula>"PTO"</formula>
    </cfRule>
  </conditionalFormatting>
  <conditionalFormatting sqref="M34:P42">
    <cfRule type="cellIs" dxfId="8971" priority="6343" operator="equal">
      <formula>"OFF"</formula>
    </cfRule>
    <cfRule type="cellIs" dxfId="8970" priority="6344" operator="equal">
      <formula>"PTO"</formula>
    </cfRule>
  </conditionalFormatting>
  <conditionalFormatting sqref="M34:P42">
    <cfRule type="cellIs" dxfId="8969" priority="6341" operator="equal">
      <formula>"OFF"</formula>
    </cfRule>
    <cfRule type="cellIs" dxfId="8968" priority="6342" operator="equal">
      <formula>"PTO"</formula>
    </cfRule>
  </conditionalFormatting>
  <conditionalFormatting sqref="M34:P42">
    <cfRule type="cellIs" dxfId="8967" priority="6339" operator="equal">
      <formula>"OFF"</formula>
    </cfRule>
    <cfRule type="cellIs" dxfId="8966" priority="6340" operator="equal">
      <formula>"PTO"</formula>
    </cfRule>
  </conditionalFormatting>
  <conditionalFormatting sqref="M34:P42">
    <cfRule type="cellIs" dxfId="8965" priority="6337" operator="equal">
      <formula>"OFF"</formula>
    </cfRule>
    <cfRule type="cellIs" dxfId="8964" priority="6338" operator="equal">
      <formula>"PTO"</formula>
    </cfRule>
  </conditionalFormatting>
  <conditionalFormatting sqref="M34:P42">
    <cfRule type="cellIs" dxfId="8963" priority="6335" operator="equal">
      <formula>"OFF"</formula>
    </cfRule>
    <cfRule type="cellIs" dxfId="8962" priority="6336" operator="equal">
      <formula>"PTO"</formula>
    </cfRule>
  </conditionalFormatting>
  <conditionalFormatting sqref="M34:P42">
    <cfRule type="cellIs" dxfId="8961" priority="6333" operator="equal">
      <formula>"OFF"</formula>
    </cfRule>
    <cfRule type="cellIs" dxfId="8960" priority="6334" operator="equal">
      <formula>"PTO"</formula>
    </cfRule>
  </conditionalFormatting>
  <conditionalFormatting sqref="M34:O42">
    <cfRule type="cellIs" dxfId="8959" priority="6331" operator="equal">
      <formula>"OFF"</formula>
    </cfRule>
    <cfRule type="cellIs" dxfId="8958" priority="6332" operator="equal">
      <formula>"PTO"</formula>
    </cfRule>
  </conditionalFormatting>
  <conditionalFormatting sqref="M34:P42">
    <cfRule type="cellIs" dxfId="8957" priority="6329" operator="equal">
      <formula>"OFF"</formula>
    </cfRule>
    <cfRule type="cellIs" dxfId="8956" priority="6330" operator="equal">
      <formula>"PTO"</formula>
    </cfRule>
  </conditionalFormatting>
  <conditionalFormatting sqref="M34:O42">
    <cfRule type="cellIs" dxfId="8955" priority="6327" operator="equal">
      <formula>"OFF"</formula>
    </cfRule>
    <cfRule type="cellIs" dxfId="8954" priority="6328" operator="equal">
      <formula>"PTO"</formula>
    </cfRule>
  </conditionalFormatting>
  <conditionalFormatting sqref="O34:P42">
    <cfRule type="cellIs" dxfId="8953" priority="6325" operator="equal">
      <formula>"OFF"</formula>
    </cfRule>
    <cfRule type="cellIs" dxfId="8952" priority="6326" operator="equal">
      <formula>"PTO"</formula>
    </cfRule>
  </conditionalFormatting>
  <conditionalFormatting sqref="M34:O42">
    <cfRule type="cellIs" dxfId="8951" priority="6323" operator="equal">
      <formula>"OFF"</formula>
    </cfRule>
    <cfRule type="cellIs" dxfId="8950" priority="6324" operator="equal">
      <formula>"PTO"</formula>
    </cfRule>
  </conditionalFormatting>
  <conditionalFormatting sqref="O34:P42">
    <cfRule type="cellIs" dxfId="8949" priority="6321" operator="equal">
      <formula>"OFF"</formula>
    </cfRule>
    <cfRule type="cellIs" dxfId="8948" priority="6322" operator="equal">
      <formula>"PTO"</formula>
    </cfRule>
  </conditionalFormatting>
  <conditionalFormatting sqref="M34:O42">
    <cfRule type="cellIs" dxfId="8947" priority="6319" operator="equal">
      <formula>"OFF"</formula>
    </cfRule>
    <cfRule type="cellIs" dxfId="8946" priority="6320" operator="equal">
      <formula>"PTO"</formula>
    </cfRule>
  </conditionalFormatting>
  <conditionalFormatting sqref="O34:P42">
    <cfRule type="cellIs" dxfId="8945" priority="6317" operator="equal">
      <formula>"OFF"</formula>
    </cfRule>
    <cfRule type="cellIs" dxfId="8944" priority="6318" operator="equal">
      <formula>"PTO"</formula>
    </cfRule>
  </conditionalFormatting>
  <conditionalFormatting sqref="M34:O42">
    <cfRule type="cellIs" dxfId="8943" priority="6315" operator="equal">
      <formula>"OFF"</formula>
    </cfRule>
    <cfRule type="cellIs" dxfId="8942" priority="6316" operator="equal">
      <formula>"PTO"</formula>
    </cfRule>
  </conditionalFormatting>
  <conditionalFormatting sqref="O34:P42">
    <cfRule type="cellIs" dxfId="8941" priority="6313" operator="equal">
      <formula>"OFF"</formula>
    </cfRule>
    <cfRule type="cellIs" dxfId="8940" priority="6314" operator="equal">
      <formula>"PTO"</formula>
    </cfRule>
  </conditionalFormatting>
  <conditionalFormatting sqref="M34:O42">
    <cfRule type="cellIs" dxfId="8939" priority="6311" operator="equal">
      <formula>"OFF"</formula>
    </cfRule>
    <cfRule type="cellIs" dxfId="8938" priority="6312" operator="equal">
      <formula>"PTO"</formula>
    </cfRule>
  </conditionalFormatting>
  <conditionalFormatting sqref="O34:P42">
    <cfRule type="cellIs" dxfId="8937" priority="6309" operator="equal">
      <formula>"OFF"</formula>
    </cfRule>
    <cfRule type="cellIs" dxfId="8936" priority="6310" operator="equal">
      <formula>"PTO"</formula>
    </cfRule>
  </conditionalFormatting>
  <conditionalFormatting sqref="M34:O42">
    <cfRule type="cellIs" dxfId="8935" priority="6307" operator="equal">
      <formula>"OFF"</formula>
    </cfRule>
    <cfRule type="cellIs" dxfId="8934" priority="6308" operator="equal">
      <formula>"PTO"</formula>
    </cfRule>
  </conditionalFormatting>
  <conditionalFormatting sqref="O34:P42">
    <cfRule type="cellIs" dxfId="8933" priority="6305" operator="equal">
      <formula>"OFF"</formula>
    </cfRule>
    <cfRule type="cellIs" dxfId="8932" priority="6306" operator="equal">
      <formula>"PTO"</formula>
    </cfRule>
  </conditionalFormatting>
  <conditionalFormatting sqref="M34:O34">
    <cfRule type="cellIs" dxfId="8931" priority="6303" operator="equal">
      <formula>"OFF"</formula>
    </cfRule>
    <cfRule type="cellIs" dxfId="8930" priority="6304" operator="equal">
      <formula>"PTO"</formula>
    </cfRule>
  </conditionalFormatting>
  <conditionalFormatting sqref="M34:O34">
    <cfRule type="cellIs" dxfId="8929" priority="6301" operator="equal">
      <formula>"OFF"</formula>
    </cfRule>
    <cfRule type="cellIs" dxfId="8928" priority="6302" operator="equal">
      <formula>"PTO"</formula>
    </cfRule>
  </conditionalFormatting>
  <conditionalFormatting sqref="M34:O34">
    <cfRule type="cellIs" dxfId="8927" priority="6299" operator="equal">
      <formula>"OFF"</formula>
    </cfRule>
    <cfRule type="cellIs" dxfId="8926" priority="6300" operator="equal">
      <formula>"PTO"</formula>
    </cfRule>
  </conditionalFormatting>
  <conditionalFormatting sqref="M34:O34">
    <cfRule type="cellIs" dxfId="8925" priority="6297" operator="equal">
      <formula>"OFF"</formula>
    </cfRule>
    <cfRule type="cellIs" dxfId="8924" priority="6298" operator="equal">
      <formula>"PTO"</formula>
    </cfRule>
  </conditionalFormatting>
  <conditionalFormatting sqref="M34:O34">
    <cfRule type="cellIs" dxfId="8923" priority="6295" operator="equal">
      <formula>"OFF"</formula>
    </cfRule>
    <cfRule type="cellIs" dxfId="8922" priority="6296" operator="equal">
      <formula>"PTO"</formula>
    </cfRule>
  </conditionalFormatting>
  <conditionalFormatting sqref="M34:O34">
    <cfRule type="cellIs" dxfId="8921" priority="6293" operator="equal">
      <formula>"OFF"</formula>
    </cfRule>
    <cfRule type="cellIs" dxfId="8920" priority="6294" operator="equal">
      <formula>"PTO"</formula>
    </cfRule>
  </conditionalFormatting>
  <conditionalFormatting sqref="M34:O34">
    <cfRule type="cellIs" dxfId="8919" priority="6291" operator="equal">
      <formula>"OFF"</formula>
    </cfRule>
    <cfRule type="cellIs" dxfId="8918" priority="6292" operator="equal">
      <formula>"PTO"</formula>
    </cfRule>
  </conditionalFormatting>
  <conditionalFormatting sqref="M34:O34">
    <cfRule type="cellIs" dxfId="8917" priority="6289" operator="equal">
      <formula>"OFF"</formula>
    </cfRule>
    <cfRule type="cellIs" dxfId="8916" priority="6290" operator="equal">
      <formula>"PTO"</formula>
    </cfRule>
  </conditionalFormatting>
  <conditionalFormatting sqref="M34:O34">
    <cfRule type="cellIs" dxfId="8915" priority="6287" operator="equal">
      <formula>"OFF"</formula>
    </cfRule>
    <cfRule type="cellIs" dxfId="8914" priority="6288" operator="equal">
      <formula>"PTO"</formula>
    </cfRule>
  </conditionalFormatting>
  <conditionalFormatting sqref="M34:O34">
    <cfRule type="cellIs" dxfId="8913" priority="6285" operator="equal">
      <formula>"OFF"</formula>
    </cfRule>
    <cfRule type="cellIs" dxfId="8912" priority="6286" operator="equal">
      <formula>"PTO"</formula>
    </cfRule>
  </conditionalFormatting>
  <conditionalFormatting sqref="M34:O34">
    <cfRule type="cellIs" dxfId="8911" priority="6283" operator="equal">
      <formula>"OFF"</formula>
    </cfRule>
    <cfRule type="cellIs" dxfId="8910" priority="6284" operator="equal">
      <formula>"PTO"</formula>
    </cfRule>
  </conditionalFormatting>
  <conditionalFormatting sqref="M34:O34">
    <cfRule type="cellIs" dxfId="8909" priority="6281" operator="equal">
      <formula>"OFF"</formula>
    </cfRule>
    <cfRule type="cellIs" dxfId="8908" priority="6282" operator="equal">
      <formula>"PTO"</formula>
    </cfRule>
  </conditionalFormatting>
  <conditionalFormatting sqref="M34:O34">
    <cfRule type="cellIs" dxfId="8907" priority="6279" operator="equal">
      <formula>"OFF"</formula>
    </cfRule>
    <cfRule type="cellIs" dxfId="8906" priority="6280" operator="equal">
      <formula>"PTO"</formula>
    </cfRule>
  </conditionalFormatting>
  <conditionalFormatting sqref="M34:O34">
    <cfRule type="cellIs" dxfId="8905" priority="6277" operator="equal">
      <formula>"OFF"</formula>
    </cfRule>
    <cfRule type="cellIs" dxfId="8904" priority="6278" operator="equal">
      <formula>"PTO"</formula>
    </cfRule>
  </conditionalFormatting>
  <conditionalFormatting sqref="M34:O34">
    <cfRule type="cellIs" dxfId="8903" priority="6275" operator="equal">
      <formula>"OFF"</formula>
    </cfRule>
    <cfRule type="cellIs" dxfId="8902" priority="6276" operator="equal">
      <formula>"PTO"</formula>
    </cfRule>
  </conditionalFormatting>
  <conditionalFormatting sqref="M34:O34">
    <cfRule type="cellIs" dxfId="8901" priority="6273" operator="equal">
      <formula>"OFF"</formula>
    </cfRule>
    <cfRule type="cellIs" dxfId="8900" priority="6274" operator="equal">
      <formula>"PTO"</formula>
    </cfRule>
  </conditionalFormatting>
  <conditionalFormatting sqref="M34:O34">
    <cfRule type="cellIs" dxfId="8899" priority="6271" operator="equal">
      <formula>"OFF"</formula>
    </cfRule>
    <cfRule type="cellIs" dxfId="8898" priority="6272" operator="equal">
      <formula>"PTO"</formula>
    </cfRule>
  </conditionalFormatting>
  <conditionalFormatting sqref="M34:O34">
    <cfRule type="cellIs" dxfId="8897" priority="6269" operator="equal">
      <formula>"OFF"</formula>
    </cfRule>
    <cfRule type="cellIs" dxfId="8896" priority="6270" operator="equal">
      <formula>"PTO"</formula>
    </cfRule>
  </conditionalFormatting>
  <conditionalFormatting sqref="M34:O34">
    <cfRule type="cellIs" dxfId="8895" priority="6267" operator="equal">
      <formula>"OFF"</formula>
    </cfRule>
    <cfRule type="cellIs" dxfId="8894" priority="6268" operator="equal">
      <formula>"PTO"</formula>
    </cfRule>
  </conditionalFormatting>
  <conditionalFormatting sqref="M34:O34">
    <cfRule type="cellIs" dxfId="8893" priority="6265" operator="equal">
      <formula>"OFF"</formula>
    </cfRule>
    <cfRule type="cellIs" dxfId="8892" priority="6266" operator="equal">
      <formula>"PTO"</formula>
    </cfRule>
  </conditionalFormatting>
  <conditionalFormatting sqref="M34:O34">
    <cfRule type="cellIs" dxfId="8891" priority="6263" operator="equal">
      <formula>"OFF"</formula>
    </cfRule>
    <cfRule type="cellIs" dxfId="8890" priority="6264" operator="equal">
      <formula>"PTO"</formula>
    </cfRule>
  </conditionalFormatting>
  <conditionalFormatting sqref="M34:O34">
    <cfRule type="cellIs" dxfId="8889" priority="6261" operator="equal">
      <formula>"OFF"</formula>
    </cfRule>
    <cfRule type="cellIs" dxfId="8888" priority="6262" operator="equal">
      <formula>"PTO"</formula>
    </cfRule>
  </conditionalFormatting>
  <conditionalFormatting sqref="M34:O34">
    <cfRule type="cellIs" dxfId="8887" priority="6259" operator="equal">
      <formula>"OFF"</formula>
    </cfRule>
    <cfRule type="cellIs" dxfId="8886" priority="6260" operator="equal">
      <formula>"PTO"</formula>
    </cfRule>
  </conditionalFormatting>
  <conditionalFormatting sqref="M34:O34">
    <cfRule type="cellIs" dxfId="8885" priority="6257" operator="equal">
      <formula>"OFF"</formula>
    </cfRule>
    <cfRule type="cellIs" dxfId="8884" priority="6258" operator="equal">
      <formula>"PTO"</formula>
    </cfRule>
  </conditionalFormatting>
  <conditionalFormatting sqref="M34:O34">
    <cfRule type="cellIs" dxfId="8883" priority="6255" operator="equal">
      <formula>"OFF"</formula>
    </cfRule>
    <cfRule type="cellIs" dxfId="8882" priority="6256" operator="equal">
      <formula>"PTO"</formula>
    </cfRule>
  </conditionalFormatting>
  <conditionalFormatting sqref="M34:O34">
    <cfRule type="cellIs" dxfId="8881" priority="6253" operator="equal">
      <formula>"OFF"</formula>
    </cfRule>
    <cfRule type="cellIs" dxfId="8880" priority="6254" operator="equal">
      <formula>"PTO"</formula>
    </cfRule>
  </conditionalFormatting>
  <conditionalFormatting sqref="M34:O34">
    <cfRule type="cellIs" dxfId="8879" priority="6251" operator="equal">
      <formula>"OFF"</formula>
    </cfRule>
    <cfRule type="cellIs" dxfId="8878" priority="6252" operator="equal">
      <formula>"PTO"</formula>
    </cfRule>
  </conditionalFormatting>
  <conditionalFormatting sqref="M34:O34">
    <cfRule type="cellIs" dxfId="8877" priority="6249" operator="equal">
      <formula>"OFF"</formula>
    </cfRule>
    <cfRule type="cellIs" dxfId="8876" priority="6250" operator="equal">
      <formula>"PTO"</formula>
    </cfRule>
  </conditionalFormatting>
  <conditionalFormatting sqref="M34:O34">
    <cfRule type="cellIs" dxfId="8875" priority="6247" operator="equal">
      <formula>"OFF"</formula>
    </cfRule>
    <cfRule type="cellIs" dxfId="8874" priority="6248" operator="equal">
      <formula>"PTO"</formula>
    </cfRule>
  </conditionalFormatting>
  <conditionalFormatting sqref="M34:O34">
    <cfRule type="cellIs" dxfId="8873" priority="6245" operator="equal">
      <formula>"OFF"</formula>
    </cfRule>
    <cfRule type="cellIs" dxfId="8872" priority="6246" operator="equal">
      <formula>"PTO"</formula>
    </cfRule>
  </conditionalFormatting>
  <conditionalFormatting sqref="M34:O34">
    <cfRule type="cellIs" dxfId="8871" priority="6243" operator="equal">
      <formula>"OFF"</formula>
    </cfRule>
    <cfRule type="cellIs" dxfId="8870" priority="6244" operator="equal">
      <formula>"PTO"</formula>
    </cfRule>
  </conditionalFormatting>
  <conditionalFormatting sqref="M34:O34">
    <cfRule type="cellIs" dxfId="8869" priority="6241" operator="equal">
      <formula>"OFF"</formula>
    </cfRule>
    <cfRule type="cellIs" dxfId="8868" priority="6242" operator="equal">
      <formula>"PTO"</formula>
    </cfRule>
  </conditionalFormatting>
  <conditionalFormatting sqref="M34:O34">
    <cfRule type="cellIs" dxfId="8867" priority="6239" operator="equal">
      <formula>"OFF"</formula>
    </cfRule>
    <cfRule type="cellIs" dxfId="8866" priority="6240" operator="equal">
      <formula>"PTO"</formula>
    </cfRule>
  </conditionalFormatting>
  <conditionalFormatting sqref="M34:O34">
    <cfRule type="cellIs" dxfId="8865" priority="6237" operator="equal">
      <formula>"OFF"</formula>
    </cfRule>
    <cfRule type="cellIs" dxfId="8864" priority="6238" operator="equal">
      <formula>"PTO"</formula>
    </cfRule>
  </conditionalFormatting>
  <conditionalFormatting sqref="M34:O34">
    <cfRule type="cellIs" dxfId="8863" priority="6235" operator="equal">
      <formula>"OFF"</formula>
    </cfRule>
    <cfRule type="cellIs" dxfId="8862" priority="6236" operator="equal">
      <formula>"PTO"</formula>
    </cfRule>
  </conditionalFormatting>
  <conditionalFormatting sqref="M34:O34">
    <cfRule type="cellIs" dxfId="8861" priority="6233" operator="equal">
      <formula>"OFF"</formula>
    </cfRule>
    <cfRule type="cellIs" dxfId="8860" priority="6234" operator="equal">
      <formula>"PTO"</formula>
    </cfRule>
  </conditionalFormatting>
  <conditionalFormatting sqref="M34:O34">
    <cfRule type="cellIs" dxfId="8859" priority="6231" operator="equal">
      <formula>"OFF"</formula>
    </cfRule>
    <cfRule type="cellIs" dxfId="8858" priority="6232" operator="equal">
      <formula>"PTO"</formula>
    </cfRule>
  </conditionalFormatting>
  <conditionalFormatting sqref="M34:O34">
    <cfRule type="cellIs" dxfId="8857" priority="6229" operator="equal">
      <formula>"OFF"</formula>
    </cfRule>
    <cfRule type="cellIs" dxfId="8856" priority="6230" operator="equal">
      <formula>"PTO"</formula>
    </cfRule>
  </conditionalFormatting>
  <conditionalFormatting sqref="M34:O34">
    <cfRule type="cellIs" dxfId="8855" priority="6227" operator="equal">
      <formula>"OFF"</formula>
    </cfRule>
    <cfRule type="cellIs" dxfId="8854" priority="6228" operator="equal">
      <formula>"PTO"</formula>
    </cfRule>
  </conditionalFormatting>
  <conditionalFormatting sqref="M34:O34">
    <cfRule type="cellIs" dxfId="8853" priority="6225" operator="equal">
      <formula>"OFF"</formula>
    </cfRule>
    <cfRule type="cellIs" dxfId="8852" priority="6226" operator="equal">
      <formula>"PTO"</formula>
    </cfRule>
  </conditionalFormatting>
  <conditionalFormatting sqref="M34:O34">
    <cfRule type="cellIs" dxfId="8851" priority="6223" operator="equal">
      <formula>"OFF"</formula>
    </cfRule>
    <cfRule type="cellIs" dxfId="8850" priority="6224" operator="equal">
      <formula>"PTO"</formula>
    </cfRule>
  </conditionalFormatting>
  <conditionalFormatting sqref="M34:O34">
    <cfRule type="cellIs" dxfId="8849" priority="6221" operator="equal">
      <formula>"OFF"</formula>
    </cfRule>
    <cfRule type="cellIs" dxfId="8848" priority="6222" operator="equal">
      <formula>"PTO"</formula>
    </cfRule>
  </conditionalFormatting>
  <conditionalFormatting sqref="M34:O34">
    <cfRule type="cellIs" dxfId="8847" priority="6219" operator="equal">
      <formula>"OFF"</formula>
    </cfRule>
    <cfRule type="cellIs" dxfId="8846" priority="6220" operator="equal">
      <formula>"PTO"</formula>
    </cfRule>
  </conditionalFormatting>
  <conditionalFormatting sqref="M34:O34">
    <cfRule type="cellIs" dxfId="8845" priority="6217" operator="equal">
      <formula>"OFF"</formula>
    </cfRule>
    <cfRule type="cellIs" dxfId="8844" priority="6218" operator="equal">
      <formula>"PTO"</formula>
    </cfRule>
  </conditionalFormatting>
  <conditionalFormatting sqref="N34:O34">
    <cfRule type="cellIs" dxfId="8843" priority="6215" operator="equal">
      <formula>"OFF"</formula>
    </cfRule>
    <cfRule type="cellIs" dxfId="8842" priority="6216" operator="equal">
      <formula>"PTO"</formula>
    </cfRule>
  </conditionalFormatting>
  <conditionalFormatting sqref="N34:O34">
    <cfRule type="cellIs" dxfId="8841" priority="6213" operator="equal">
      <formula>"OFF"</formula>
    </cfRule>
    <cfRule type="cellIs" dxfId="8840" priority="6214" operator="equal">
      <formula>"PTO"</formula>
    </cfRule>
  </conditionalFormatting>
  <conditionalFormatting sqref="N34:O34">
    <cfRule type="cellIs" dxfId="8839" priority="6211" operator="equal">
      <formula>"OFF"</formula>
    </cfRule>
    <cfRule type="cellIs" dxfId="8838" priority="6212" operator="equal">
      <formula>"PTO"</formula>
    </cfRule>
  </conditionalFormatting>
  <conditionalFormatting sqref="N34:O34">
    <cfRule type="cellIs" dxfId="8837" priority="6209" operator="equal">
      <formula>"OFF"</formula>
    </cfRule>
    <cfRule type="cellIs" dxfId="8836" priority="6210" operator="equal">
      <formula>"PTO"</formula>
    </cfRule>
  </conditionalFormatting>
  <conditionalFormatting sqref="N34:O34">
    <cfRule type="cellIs" dxfId="8835" priority="6207" operator="equal">
      <formula>"OFF"</formula>
    </cfRule>
    <cfRule type="cellIs" dxfId="8834" priority="6208" operator="equal">
      <formula>"PTO"</formula>
    </cfRule>
  </conditionalFormatting>
  <conditionalFormatting sqref="N34:O34">
    <cfRule type="cellIs" dxfId="8833" priority="6205" operator="equal">
      <formula>"OFF"</formula>
    </cfRule>
    <cfRule type="cellIs" dxfId="8832" priority="6206" operator="equal">
      <formula>"PTO"</formula>
    </cfRule>
  </conditionalFormatting>
  <conditionalFormatting sqref="N34:O34">
    <cfRule type="cellIs" dxfId="8831" priority="6203" operator="equal">
      <formula>"OFF"</formula>
    </cfRule>
    <cfRule type="cellIs" dxfId="8830" priority="6204" operator="equal">
      <formula>"PTO"</formula>
    </cfRule>
  </conditionalFormatting>
  <conditionalFormatting sqref="N34:O34">
    <cfRule type="cellIs" dxfId="8829" priority="6201" operator="equal">
      <formula>"OFF"</formula>
    </cfRule>
    <cfRule type="cellIs" dxfId="8828" priority="6202" operator="equal">
      <formula>"PTO"</formula>
    </cfRule>
  </conditionalFormatting>
  <conditionalFormatting sqref="P34">
    <cfRule type="cellIs" dxfId="8827" priority="6199" operator="equal">
      <formula>"OFF"</formula>
    </cfRule>
    <cfRule type="cellIs" dxfId="8826" priority="6200" operator="equal">
      <formula>"PTO"</formula>
    </cfRule>
  </conditionalFormatting>
  <conditionalFormatting sqref="P34">
    <cfRule type="cellIs" dxfId="8825" priority="6197" operator="equal">
      <formula>"OFF"</formula>
    </cfRule>
    <cfRule type="cellIs" dxfId="8824" priority="6198" operator="equal">
      <formula>"PTO"</formula>
    </cfRule>
  </conditionalFormatting>
  <conditionalFormatting sqref="P34">
    <cfRule type="cellIs" dxfId="8823" priority="6195" operator="equal">
      <formula>"OFF"</formula>
    </cfRule>
    <cfRule type="cellIs" dxfId="8822" priority="6196" operator="equal">
      <formula>"PTO"</formula>
    </cfRule>
  </conditionalFormatting>
  <conditionalFormatting sqref="P34">
    <cfRule type="cellIs" dxfId="8821" priority="6193" operator="equal">
      <formula>"OFF"</formula>
    </cfRule>
    <cfRule type="cellIs" dxfId="8820" priority="6194" operator="equal">
      <formula>"PTO"</formula>
    </cfRule>
  </conditionalFormatting>
  <conditionalFormatting sqref="P34">
    <cfRule type="cellIs" dxfId="8819" priority="6191" operator="equal">
      <formula>"OFF"</formula>
    </cfRule>
    <cfRule type="cellIs" dxfId="8818" priority="6192" operator="equal">
      <formula>"PTO"</formula>
    </cfRule>
  </conditionalFormatting>
  <conditionalFormatting sqref="P34">
    <cfRule type="cellIs" dxfId="8817" priority="6189" operator="equal">
      <formula>"OFF"</formula>
    </cfRule>
    <cfRule type="cellIs" dxfId="8816" priority="6190" operator="equal">
      <formula>"PTO"</formula>
    </cfRule>
  </conditionalFormatting>
  <conditionalFormatting sqref="P34">
    <cfRule type="cellIs" dxfId="8815" priority="6187" operator="equal">
      <formula>"OFF"</formula>
    </cfRule>
    <cfRule type="cellIs" dxfId="8814" priority="6188" operator="equal">
      <formula>"PTO"</formula>
    </cfRule>
  </conditionalFormatting>
  <conditionalFormatting sqref="P34">
    <cfRule type="cellIs" dxfId="8813" priority="6185" operator="equal">
      <formula>"OFF"</formula>
    </cfRule>
    <cfRule type="cellIs" dxfId="8812" priority="6186" operator="equal">
      <formula>"PTO"</formula>
    </cfRule>
  </conditionalFormatting>
  <conditionalFormatting sqref="P33:P42">
    <cfRule type="cellIs" dxfId="8811" priority="6019" operator="equal">
      <formula>"OFF"</formula>
    </cfRule>
    <cfRule type="cellIs" dxfId="8810" priority="6020" operator="equal">
      <formula>"PTO"</formula>
    </cfRule>
  </conditionalFormatting>
  <conditionalFormatting sqref="P33:P42">
    <cfRule type="cellIs" dxfId="8809" priority="6017" operator="equal">
      <formula>"OFF"</formula>
    </cfRule>
    <cfRule type="cellIs" dxfId="8808" priority="6018" operator="equal">
      <formula>"PTO"</formula>
    </cfRule>
  </conditionalFormatting>
  <conditionalFormatting sqref="P33:P42">
    <cfRule type="cellIs" dxfId="8807" priority="6015" operator="equal">
      <formula>"OFF"</formula>
    </cfRule>
    <cfRule type="cellIs" dxfId="8806" priority="6016" operator="equal">
      <formula>"PTO"</formula>
    </cfRule>
  </conditionalFormatting>
  <conditionalFormatting sqref="P33:P42">
    <cfRule type="cellIs" dxfId="8805" priority="6013" operator="equal">
      <formula>"OFF"</formula>
    </cfRule>
    <cfRule type="cellIs" dxfId="8804" priority="6014" operator="equal">
      <formula>"PTO"</formula>
    </cfRule>
  </conditionalFormatting>
  <conditionalFormatting sqref="P33:P42">
    <cfRule type="cellIs" dxfId="8803" priority="6011" operator="equal">
      <formula>"OFF"</formula>
    </cfRule>
    <cfRule type="cellIs" dxfId="8802" priority="6012" operator="equal">
      <formula>"PTO"</formula>
    </cfRule>
  </conditionalFormatting>
  <conditionalFormatting sqref="N33:O33">
    <cfRule type="cellIs" dxfId="8801" priority="6009" operator="equal">
      <formula>"OFF"</formula>
    </cfRule>
    <cfRule type="cellIs" dxfId="8800" priority="6010" operator="equal">
      <formula>"PTO"</formula>
    </cfRule>
  </conditionalFormatting>
  <conditionalFormatting sqref="N33:P33 P34:P42">
    <cfRule type="cellIs" dxfId="8799" priority="6003" operator="equal">
      <formula>"OFF"</formula>
    </cfRule>
    <cfRule type="cellIs" dxfId="8798" priority="6004" operator="equal">
      <formula>"PTO"</formula>
    </cfRule>
  </conditionalFormatting>
  <conditionalFormatting sqref="N33:P33 P34:P42">
    <cfRule type="cellIs" dxfId="8797" priority="5987" operator="equal">
      <formula>"OFF"</formula>
    </cfRule>
    <cfRule type="cellIs" dxfId="8796" priority="5988" operator="equal">
      <formula>"PTO"</formula>
    </cfRule>
  </conditionalFormatting>
  <conditionalFormatting sqref="N33:P33 P34:P42">
    <cfRule type="cellIs" dxfId="8795" priority="5955" operator="equal">
      <formula>"OFF"</formula>
    </cfRule>
    <cfRule type="cellIs" dxfId="8794" priority="5956" operator="equal">
      <formula>"PTO"</formula>
    </cfRule>
  </conditionalFormatting>
  <conditionalFormatting sqref="N33:P33 P34:P42">
    <cfRule type="cellIs" dxfId="8793" priority="5953" operator="equal">
      <formula>"OFF"</formula>
    </cfRule>
    <cfRule type="cellIs" dxfId="8792" priority="5954" operator="equal">
      <formula>"PTO"</formula>
    </cfRule>
  </conditionalFormatting>
  <conditionalFormatting sqref="N33:P33 P34:P42">
    <cfRule type="cellIs" dxfId="8791" priority="6183" operator="equal">
      <formula>"OFF"</formula>
    </cfRule>
    <cfRule type="cellIs" dxfId="8790" priority="6184" operator="equal">
      <formula>"PTO"</formula>
    </cfRule>
  </conditionalFormatting>
  <conditionalFormatting sqref="N33:P33 P34:P42">
    <cfRule type="cellIs" dxfId="8789" priority="6181" operator="equal">
      <formula>"OFF"</formula>
    </cfRule>
    <cfRule type="cellIs" dxfId="8788" priority="6182" operator="equal">
      <formula>"PTO"</formula>
    </cfRule>
  </conditionalFormatting>
  <conditionalFormatting sqref="N33:P33 P34:P42">
    <cfRule type="cellIs" dxfId="8787" priority="6179" operator="equal">
      <formula>"OFF"</formula>
    </cfRule>
    <cfRule type="cellIs" dxfId="8786" priority="6180" operator="equal">
      <formula>"PTO"</formula>
    </cfRule>
  </conditionalFormatting>
  <conditionalFormatting sqref="N33:P33 P34:P42">
    <cfRule type="cellIs" dxfId="8785" priority="6177" operator="equal">
      <formula>"OFF"</formula>
    </cfRule>
    <cfRule type="cellIs" dxfId="8784" priority="6178" operator="equal">
      <formula>"PTO"</formula>
    </cfRule>
  </conditionalFormatting>
  <conditionalFormatting sqref="N33:P33 P34:P42">
    <cfRule type="cellIs" dxfId="8783" priority="6175" operator="equal">
      <formula>"OFF"</formula>
    </cfRule>
    <cfRule type="cellIs" dxfId="8782" priority="6176" operator="equal">
      <formula>"PTO"</formula>
    </cfRule>
  </conditionalFormatting>
  <conditionalFormatting sqref="N33:P33 P34:P42">
    <cfRule type="cellIs" dxfId="8781" priority="6173" operator="equal">
      <formula>"OFF"</formula>
    </cfRule>
    <cfRule type="cellIs" dxfId="8780" priority="6174" operator="equal">
      <formula>"PTO"</formula>
    </cfRule>
  </conditionalFormatting>
  <conditionalFormatting sqref="N33:P33 P34:P42">
    <cfRule type="cellIs" dxfId="8779" priority="6171" operator="equal">
      <formula>"OFF"</formula>
    </cfRule>
    <cfRule type="cellIs" dxfId="8778" priority="6172" operator="equal">
      <formula>"PTO"</formula>
    </cfRule>
  </conditionalFormatting>
  <conditionalFormatting sqref="N33:P33 P34:P42">
    <cfRule type="cellIs" dxfId="8777" priority="6169" operator="equal">
      <formula>"OFF"</formula>
    </cfRule>
    <cfRule type="cellIs" dxfId="8776" priority="6170" operator="equal">
      <formula>"PTO"</formula>
    </cfRule>
  </conditionalFormatting>
  <conditionalFormatting sqref="N33:P33 P34:P42">
    <cfRule type="cellIs" dxfId="8775" priority="6167" operator="equal">
      <formula>"OFF"</formula>
    </cfRule>
    <cfRule type="cellIs" dxfId="8774" priority="6168" operator="equal">
      <formula>"PTO"</formula>
    </cfRule>
  </conditionalFormatting>
  <conditionalFormatting sqref="N33:P33 P34:P42">
    <cfRule type="cellIs" dxfId="8773" priority="6165" operator="equal">
      <formula>"OFF"</formula>
    </cfRule>
    <cfRule type="cellIs" dxfId="8772" priority="6166" operator="equal">
      <formula>"PTO"</formula>
    </cfRule>
  </conditionalFormatting>
  <conditionalFormatting sqref="N33:P33 P34:P42">
    <cfRule type="cellIs" dxfId="8771" priority="6163" operator="equal">
      <formula>"OFF"</formula>
    </cfRule>
    <cfRule type="cellIs" dxfId="8770" priority="6164" operator="equal">
      <formula>"PTO"</formula>
    </cfRule>
  </conditionalFormatting>
  <conditionalFormatting sqref="N33:P33 P34:P42">
    <cfRule type="cellIs" dxfId="8769" priority="6161" operator="equal">
      <formula>"OFF"</formula>
    </cfRule>
    <cfRule type="cellIs" dxfId="8768" priority="6162" operator="equal">
      <formula>"PTO"</formula>
    </cfRule>
  </conditionalFormatting>
  <conditionalFormatting sqref="N33:P33 P34:P42">
    <cfRule type="cellIs" dxfId="8767" priority="6159" operator="equal">
      <formula>"OFF"</formula>
    </cfRule>
    <cfRule type="cellIs" dxfId="8766" priority="6160" operator="equal">
      <formula>"PTO"</formula>
    </cfRule>
  </conditionalFormatting>
  <conditionalFormatting sqref="N33:O33">
    <cfRule type="cellIs" dxfId="8765" priority="6157" operator="equal">
      <formula>"OFF"</formula>
    </cfRule>
    <cfRule type="cellIs" dxfId="8764" priority="6158" operator="equal">
      <formula>"PTO"</formula>
    </cfRule>
  </conditionalFormatting>
  <conditionalFormatting sqref="N33:P33 P34:P42">
    <cfRule type="cellIs" dxfId="8763" priority="6155" operator="equal">
      <formula>"OFF"</formula>
    </cfRule>
    <cfRule type="cellIs" dxfId="8762" priority="6156" operator="equal">
      <formula>"PTO"</formula>
    </cfRule>
  </conditionalFormatting>
  <conditionalFormatting sqref="N33:O33">
    <cfRule type="cellIs" dxfId="8761" priority="6153" operator="equal">
      <formula>"OFF"</formula>
    </cfRule>
    <cfRule type="cellIs" dxfId="8760" priority="6154" operator="equal">
      <formula>"PTO"</formula>
    </cfRule>
  </conditionalFormatting>
  <conditionalFormatting sqref="O33:P33 P34:P42">
    <cfRule type="cellIs" dxfId="8759" priority="6151" operator="equal">
      <formula>"OFF"</formula>
    </cfRule>
    <cfRule type="cellIs" dxfId="8758" priority="6152" operator="equal">
      <formula>"PTO"</formula>
    </cfRule>
  </conditionalFormatting>
  <conditionalFormatting sqref="N33:O33">
    <cfRule type="cellIs" dxfId="8757" priority="6149" operator="equal">
      <formula>"OFF"</formula>
    </cfRule>
    <cfRule type="cellIs" dxfId="8756" priority="6150" operator="equal">
      <formula>"PTO"</formula>
    </cfRule>
  </conditionalFormatting>
  <conditionalFormatting sqref="O33:P33 P34:P42">
    <cfRule type="cellIs" dxfId="8755" priority="6147" operator="equal">
      <formula>"OFF"</formula>
    </cfRule>
    <cfRule type="cellIs" dxfId="8754" priority="6148" operator="equal">
      <formula>"PTO"</formula>
    </cfRule>
  </conditionalFormatting>
  <conditionalFormatting sqref="N33:O33">
    <cfRule type="cellIs" dxfId="8753" priority="6145" operator="equal">
      <formula>"OFF"</formula>
    </cfRule>
    <cfRule type="cellIs" dxfId="8752" priority="6146" operator="equal">
      <formula>"PTO"</formula>
    </cfRule>
  </conditionalFormatting>
  <conditionalFormatting sqref="O33:P33 P34:P42">
    <cfRule type="cellIs" dxfId="8751" priority="6143" operator="equal">
      <formula>"OFF"</formula>
    </cfRule>
    <cfRule type="cellIs" dxfId="8750" priority="6144" operator="equal">
      <formula>"PTO"</formula>
    </cfRule>
  </conditionalFormatting>
  <conditionalFormatting sqref="N33:O33">
    <cfRule type="cellIs" dxfId="8749" priority="6141" operator="equal">
      <formula>"OFF"</formula>
    </cfRule>
    <cfRule type="cellIs" dxfId="8748" priority="6142" operator="equal">
      <formula>"PTO"</formula>
    </cfRule>
  </conditionalFormatting>
  <conditionalFormatting sqref="O33:P33 P34:P42">
    <cfRule type="cellIs" dxfId="8747" priority="6139" operator="equal">
      <formula>"OFF"</formula>
    </cfRule>
    <cfRule type="cellIs" dxfId="8746" priority="6140" operator="equal">
      <formula>"PTO"</formula>
    </cfRule>
  </conditionalFormatting>
  <conditionalFormatting sqref="N33:O33">
    <cfRule type="cellIs" dxfId="8745" priority="6137" operator="equal">
      <formula>"OFF"</formula>
    </cfRule>
    <cfRule type="cellIs" dxfId="8744" priority="6138" operator="equal">
      <formula>"PTO"</formula>
    </cfRule>
  </conditionalFormatting>
  <conditionalFormatting sqref="O33:P33 P34:P42">
    <cfRule type="cellIs" dxfId="8743" priority="6135" operator="equal">
      <formula>"OFF"</formula>
    </cfRule>
    <cfRule type="cellIs" dxfId="8742" priority="6136" operator="equal">
      <formula>"PTO"</formula>
    </cfRule>
  </conditionalFormatting>
  <conditionalFormatting sqref="N33:O33">
    <cfRule type="cellIs" dxfId="8741" priority="6133" operator="equal">
      <formula>"OFF"</formula>
    </cfRule>
    <cfRule type="cellIs" dxfId="8740" priority="6134" operator="equal">
      <formula>"PTO"</formula>
    </cfRule>
  </conditionalFormatting>
  <conditionalFormatting sqref="O33:P33 P34:P42">
    <cfRule type="cellIs" dxfId="8739" priority="6131" operator="equal">
      <formula>"OFF"</formula>
    </cfRule>
    <cfRule type="cellIs" dxfId="8738" priority="6132" operator="equal">
      <formula>"PTO"</formula>
    </cfRule>
  </conditionalFormatting>
  <conditionalFormatting sqref="N33:O33">
    <cfRule type="cellIs" dxfId="8737" priority="6129" operator="equal">
      <formula>"OFF"</formula>
    </cfRule>
    <cfRule type="cellIs" dxfId="8736" priority="6130" operator="equal">
      <formula>"PTO"</formula>
    </cfRule>
  </conditionalFormatting>
  <conditionalFormatting sqref="N33:O33">
    <cfRule type="cellIs" dxfId="8735" priority="6127" operator="equal">
      <formula>"OFF"</formula>
    </cfRule>
    <cfRule type="cellIs" dxfId="8734" priority="6128" operator="equal">
      <formula>"PTO"</formula>
    </cfRule>
  </conditionalFormatting>
  <conditionalFormatting sqref="N33:O33">
    <cfRule type="cellIs" dxfId="8733" priority="6125" operator="equal">
      <formula>"OFF"</formula>
    </cfRule>
    <cfRule type="cellIs" dxfId="8732" priority="6126" operator="equal">
      <formula>"PTO"</formula>
    </cfRule>
  </conditionalFormatting>
  <conditionalFormatting sqref="N33:O33">
    <cfRule type="cellIs" dxfId="8731" priority="6123" operator="equal">
      <formula>"OFF"</formula>
    </cfRule>
    <cfRule type="cellIs" dxfId="8730" priority="6124" operator="equal">
      <formula>"PTO"</formula>
    </cfRule>
  </conditionalFormatting>
  <conditionalFormatting sqref="N33:O33">
    <cfRule type="cellIs" dxfId="8729" priority="6121" operator="equal">
      <formula>"OFF"</formula>
    </cfRule>
    <cfRule type="cellIs" dxfId="8728" priority="6122" operator="equal">
      <formula>"PTO"</formula>
    </cfRule>
  </conditionalFormatting>
  <conditionalFormatting sqref="N33:O33">
    <cfRule type="cellIs" dxfId="8727" priority="6119" operator="equal">
      <formula>"OFF"</formula>
    </cfRule>
    <cfRule type="cellIs" dxfId="8726" priority="6120" operator="equal">
      <formula>"PTO"</formula>
    </cfRule>
  </conditionalFormatting>
  <conditionalFormatting sqref="N33:O33">
    <cfRule type="cellIs" dxfId="8725" priority="6117" operator="equal">
      <formula>"OFF"</formula>
    </cfRule>
    <cfRule type="cellIs" dxfId="8724" priority="6118" operator="equal">
      <formula>"PTO"</formula>
    </cfRule>
  </conditionalFormatting>
  <conditionalFormatting sqref="N33:O33">
    <cfRule type="cellIs" dxfId="8723" priority="6115" operator="equal">
      <formula>"OFF"</formula>
    </cfRule>
    <cfRule type="cellIs" dxfId="8722" priority="6116" operator="equal">
      <formula>"PTO"</formula>
    </cfRule>
  </conditionalFormatting>
  <conditionalFormatting sqref="N33:O33">
    <cfRule type="cellIs" dxfId="8721" priority="6113" operator="equal">
      <formula>"OFF"</formula>
    </cfRule>
    <cfRule type="cellIs" dxfId="8720" priority="6114" operator="equal">
      <formula>"PTO"</formula>
    </cfRule>
  </conditionalFormatting>
  <conditionalFormatting sqref="N33:O33">
    <cfRule type="cellIs" dxfId="8719" priority="6111" operator="equal">
      <formula>"OFF"</formula>
    </cfRule>
    <cfRule type="cellIs" dxfId="8718" priority="6112" operator="equal">
      <formula>"PTO"</formula>
    </cfRule>
  </conditionalFormatting>
  <conditionalFormatting sqref="N33:O33">
    <cfRule type="cellIs" dxfId="8717" priority="6109" operator="equal">
      <formula>"OFF"</formula>
    </cfRule>
    <cfRule type="cellIs" dxfId="8716" priority="6110" operator="equal">
      <formula>"PTO"</formula>
    </cfRule>
  </conditionalFormatting>
  <conditionalFormatting sqref="N33:O33">
    <cfRule type="cellIs" dxfId="8715" priority="6107" operator="equal">
      <formula>"OFF"</formula>
    </cfRule>
    <cfRule type="cellIs" dxfId="8714" priority="6108" operator="equal">
      <formula>"PTO"</formula>
    </cfRule>
  </conditionalFormatting>
  <conditionalFormatting sqref="N33:O33">
    <cfRule type="cellIs" dxfId="8713" priority="6105" operator="equal">
      <formula>"OFF"</formula>
    </cfRule>
    <cfRule type="cellIs" dxfId="8712" priority="6106" operator="equal">
      <formula>"PTO"</formula>
    </cfRule>
  </conditionalFormatting>
  <conditionalFormatting sqref="N33:O33">
    <cfRule type="cellIs" dxfId="8711" priority="6103" operator="equal">
      <formula>"OFF"</formula>
    </cfRule>
    <cfRule type="cellIs" dxfId="8710" priority="6104" operator="equal">
      <formula>"PTO"</formula>
    </cfRule>
  </conditionalFormatting>
  <conditionalFormatting sqref="N33:O33">
    <cfRule type="cellIs" dxfId="8709" priority="6101" operator="equal">
      <formula>"OFF"</formula>
    </cfRule>
    <cfRule type="cellIs" dxfId="8708" priority="6102" operator="equal">
      <formula>"PTO"</formula>
    </cfRule>
  </conditionalFormatting>
  <conditionalFormatting sqref="N33:O33">
    <cfRule type="cellIs" dxfId="8707" priority="6099" operator="equal">
      <formula>"OFF"</formula>
    </cfRule>
    <cfRule type="cellIs" dxfId="8706" priority="6100" operator="equal">
      <formula>"PTO"</formula>
    </cfRule>
  </conditionalFormatting>
  <conditionalFormatting sqref="N33:O33">
    <cfRule type="cellIs" dxfId="8705" priority="6097" operator="equal">
      <formula>"OFF"</formula>
    </cfRule>
    <cfRule type="cellIs" dxfId="8704" priority="6098" operator="equal">
      <formula>"PTO"</formula>
    </cfRule>
  </conditionalFormatting>
  <conditionalFormatting sqref="N33:O33">
    <cfRule type="cellIs" dxfId="8703" priority="6095" operator="equal">
      <formula>"OFF"</formula>
    </cfRule>
    <cfRule type="cellIs" dxfId="8702" priority="6096" operator="equal">
      <formula>"PTO"</formula>
    </cfRule>
  </conditionalFormatting>
  <conditionalFormatting sqref="N33:O33">
    <cfRule type="cellIs" dxfId="8701" priority="6093" operator="equal">
      <formula>"OFF"</formula>
    </cfRule>
    <cfRule type="cellIs" dxfId="8700" priority="6094" operator="equal">
      <formula>"PTO"</formula>
    </cfRule>
  </conditionalFormatting>
  <conditionalFormatting sqref="N33:O33">
    <cfRule type="cellIs" dxfId="8699" priority="6091" operator="equal">
      <formula>"OFF"</formula>
    </cfRule>
    <cfRule type="cellIs" dxfId="8698" priority="6092" operator="equal">
      <formula>"PTO"</formula>
    </cfRule>
  </conditionalFormatting>
  <conditionalFormatting sqref="N33:O33">
    <cfRule type="cellIs" dxfId="8697" priority="6089" operator="equal">
      <formula>"OFF"</formula>
    </cfRule>
    <cfRule type="cellIs" dxfId="8696" priority="6090" operator="equal">
      <formula>"PTO"</formula>
    </cfRule>
  </conditionalFormatting>
  <conditionalFormatting sqref="N33:O33">
    <cfRule type="cellIs" dxfId="8695" priority="6087" operator="equal">
      <formula>"OFF"</formula>
    </cfRule>
    <cfRule type="cellIs" dxfId="8694" priority="6088" operator="equal">
      <formula>"PTO"</formula>
    </cfRule>
  </conditionalFormatting>
  <conditionalFormatting sqref="N33:O33">
    <cfRule type="cellIs" dxfId="8693" priority="6085" operator="equal">
      <formula>"OFF"</formula>
    </cfRule>
    <cfRule type="cellIs" dxfId="8692" priority="6086" operator="equal">
      <formula>"PTO"</formula>
    </cfRule>
  </conditionalFormatting>
  <conditionalFormatting sqref="N33:O33">
    <cfRule type="cellIs" dxfId="8691" priority="6083" operator="equal">
      <formula>"OFF"</formula>
    </cfRule>
    <cfRule type="cellIs" dxfId="8690" priority="6084" operator="equal">
      <formula>"PTO"</formula>
    </cfRule>
  </conditionalFormatting>
  <conditionalFormatting sqref="N33:O33">
    <cfRule type="cellIs" dxfId="8689" priority="6081" operator="equal">
      <formula>"OFF"</formula>
    </cfRule>
    <cfRule type="cellIs" dxfId="8688" priority="6082" operator="equal">
      <formula>"PTO"</formula>
    </cfRule>
  </conditionalFormatting>
  <conditionalFormatting sqref="N33:O33">
    <cfRule type="cellIs" dxfId="8687" priority="6079" operator="equal">
      <formula>"OFF"</formula>
    </cfRule>
    <cfRule type="cellIs" dxfId="8686" priority="6080" operator="equal">
      <formula>"PTO"</formula>
    </cfRule>
  </conditionalFormatting>
  <conditionalFormatting sqref="N33:O33">
    <cfRule type="cellIs" dxfId="8685" priority="6077" operator="equal">
      <formula>"OFF"</formula>
    </cfRule>
    <cfRule type="cellIs" dxfId="8684" priority="6078" operator="equal">
      <formula>"PTO"</formula>
    </cfRule>
  </conditionalFormatting>
  <conditionalFormatting sqref="N33:O33">
    <cfRule type="cellIs" dxfId="8683" priority="6075" operator="equal">
      <formula>"OFF"</formula>
    </cfRule>
    <cfRule type="cellIs" dxfId="8682" priority="6076" operator="equal">
      <formula>"PTO"</formula>
    </cfRule>
  </conditionalFormatting>
  <conditionalFormatting sqref="N33:O33">
    <cfRule type="cellIs" dxfId="8681" priority="6073" operator="equal">
      <formula>"OFF"</formula>
    </cfRule>
    <cfRule type="cellIs" dxfId="8680" priority="6074" operator="equal">
      <formula>"PTO"</formula>
    </cfRule>
  </conditionalFormatting>
  <conditionalFormatting sqref="N33:O33">
    <cfRule type="cellIs" dxfId="8679" priority="6071" operator="equal">
      <formula>"OFF"</formula>
    </cfRule>
    <cfRule type="cellIs" dxfId="8678" priority="6072" operator="equal">
      <formula>"PTO"</formula>
    </cfRule>
  </conditionalFormatting>
  <conditionalFormatting sqref="N33:O33">
    <cfRule type="cellIs" dxfId="8677" priority="6069" operator="equal">
      <formula>"OFF"</formula>
    </cfRule>
    <cfRule type="cellIs" dxfId="8676" priority="6070" operator="equal">
      <formula>"PTO"</formula>
    </cfRule>
  </conditionalFormatting>
  <conditionalFormatting sqref="N33:O33">
    <cfRule type="cellIs" dxfId="8675" priority="6067" operator="equal">
      <formula>"OFF"</formula>
    </cfRule>
    <cfRule type="cellIs" dxfId="8674" priority="6068" operator="equal">
      <formula>"PTO"</formula>
    </cfRule>
  </conditionalFormatting>
  <conditionalFormatting sqref="N33:O33">
    <cfRule type="cellIs" dxfId="8673" priority="6065" operator="equal">
      <formula>"OFF"</formula>
    </cfRule>
    <cfRule type="cellIs" dxfId="8672" priority="6066" operator="equal">
      <formula>"PTO"</formula>
    </cfRule>
  </conditionalFormatting>
  <conditionalFormatting sqref="N33:O33">
    <cfRule type="cellIs" dxfId="8671" priority="6063" operator="equal">
      <formula>"OFF"</formula>
    </cfRule>
    <cfRule type="cellIs" dxfId="8670" priority="6064" operator="equal">
      <formula>"PTO"</formula>
    </cfRule>
  </conditionalFormatting>
  <conditionalFormatting sqref="N33:O33">
    <cfRule type="cellIs" dxfId="8669" priority="6061" operator="equal">
      <formula>"OFF"</formula>
    </cfRule>
    <cfRule type="cellIs" dxfId="8668" priority="6062" operator="equal">
      <formula>"PTO"</formula>
    </cfRule>
  </conditionalFormatting>
  <conditionalFormatting sqref="N33:O33">
    <cfRule type="cellIs" dxfId="8667" priority="6059" operator="equal">
      <formula>"OFF"</formula>
    </cfRule>
    <cfRule type="cellIs" dxfId="8666" priority="6060" operator="equal">
      <formula>"PTO"</formula>
    </cfRule>
  </conditionalFormatting>
  <conditionalFormatting sqref="N33:O33">
    <cfRule type="cellIs" dxfId="8665" priority="6057" operator="equal">
      <formula>"OFF"</formula>
    </cfRule>
    <cfRule type="cellIs" dxfId="8664" priority="6058" operator="equal">
      <formula>"PTO"</formula>
    </cfRule>
  </conditionalFormatting>
  <conditionalFormatting sqref="N33:O33">
    <cfRule type="cellIs" dxfId="8663" priority="6055" operator="equal">
      <formula>"OFF"</formula>
    </cfRule>
    <cfRule type="cellIs" dxfId="8662" priority="6056" operator="equal">
      <formula>"PTO"</formula>
    </cfRule>
  </conditionalFormatting>
  <conditionalFormatting sqref="N33:O33">
    <cfRule type="cellIs" dxfId="8661" priority="6053" operator="equal">
      <formula>"OFF"</formula>
    </cfRule>
    <cfRule type="cellIs" dxfId="8660" priority="6054" operator="equal">
      <formula>"PTO"</formula>
    </cfRule>
  </conditionalFormatting>
  <conditionalFormatting sqref="N33:O33">
    <cfRule type="cellIs" dxfId="8659" priority="6051" operator="equal">
      <formula>"OFF"</formula>
    </cfRule>
    <cfRule type="cellIs" dxfId="8658" priority="6052" operator="equal">
      <formula>"PTO"</formula>
    </cfRule>
  </conditionalFormatting>
  <conditionalFormatting sqref="N33:O33">
    <cfRule type="cellIs" dxfId="8657" priority="6049" operator="equal">
      <formula>"OFF"</formula>
    </cfRule>
    <cfRule type="cellIs" dxfId="8656" priority="6050" operator="equal">
      <formula>"PTO"</formula>
    </cfRule>
  </conditionalFormatting>
  <conditionalFormatting sqref="N33:O33">
    <cfRule type="cellIs" dxfId="8655" priority="6047" operator="equal">
      <formula>"OFF"</formula>
    </cfRule>
    <cfRule type="cellIs" dxfId="8654" priority="6048" operator="equal">
      <formula>"PTO"</formula>
    </cfRule>
  </conditionalFormatting>
  <conditionalFormatting sqref="N33:O33">
    <cfRule type="cellIs" dxfId="8653" priority="6045" operator="equal">
      <formula>"OFF"</formula>
    </cfRule>
    <cfRule type="cellIs" dxfId="8652" priority="6046" operator="equal">
      <formula>"PTO"</formula>
    </cfRule>
  </conditionalFormatting>
  <conditionalFormatting sqref="N33:O33">
    <cfRule type="cellIs" dxfId="8651" priority="6043" operator="equal">
      <formula>"OFF"</formula>
    </cfRule>
    <cfRule type="cellIs" dxfId="8650" priority="6044" operator="equal">
      <formula>"PTO"</formula>
    </cfRule>
  </conditionalFormatting>
  <conditionalFormatting sqref="N33:O33">
    <cfRule type="cellIs" dxfId="8649" priority="6041" operator="equal">
      <formula>"OFF"</formula>
    </cfRule>
    <cfRule type="cellIs" dxfId="8648" priority="6042" operator="equal">
      <formula>"PTO"</formula>
    </cfRule>
  </conditionalFormatting>
  <conditionalFormatting sqref="N33:O33">
    <cfRule type="cellIs" dxfId="8647" priority="6039" operator="equal">
      <formula>"OFF"</formula>
    </cfRule>
    <cfRule type="cellIs" dxfId="8646" priority="6040" operator="equal">
      <formula>"PTO"</formula>
    </cfRule>
  </conditionalFormatting>
  <conditionalFormatting sqref="N33:O33">
    <cfRule type="cellIs" dxfId="8645" priority="6037" operator="equal">
      <formula>"OFF"</formula>
    </cfRule>
    <cfRule type="cellIs" dxfId="8644" priority="6038" operator="equal">
      <formula>"PTO"</formula>
    </cfRule>
  </conditionalFormatting>
  <conditionalFormatting sqref="N33:O33">
    <cfRule type="cellIs" dxfId="8643" priority="6035" operator="equal">
      <formula>"OFF"</formula>
    </cfRule>
    <cfRule type="cellIs" dxfId="8642" priority="6036" operator="equal">
      <formula>"PTO"</formula>
    </cfRule>
  </conditionalFormatting>
  <conditionalFormatting sqref="N33:O33">
    <cfRule type="cellIs" dxfId="8641" priority="6033" operator="equal">
      <formula>"OFF"</formula>
    </cfRule>
    <cfRule type="cellIs" dxfId="8640" priority="6034" operator="equal">
      <formula>"PTO"</formula>
    </cfRule>
  </conditionalFormatting>
  <conditionalFormatting sqref="N33:O33">
    <cfRule type="cellIs" dxfId="8639" priority="6031" operator="equal">
      <formula>"OFF"</formula>
    </cfRule>
    <cfRule type="cellIs" dxfId="8638" priority="6032" operator="equal">
      <formula>"PTO"</formula>
    </cfRule>
  </conditionalFormatting>
  <conditionalFormatting sqref="N33:O33">
    <cfRule type="cellIs" dxfId="8637" priority="6029" operator="equal">
      <formula>"OFF"</formula>
    </cfRule>
    <cfRule type="cellIs" dxfId="8636" priority="6030" operator="equal">
      <formula>"PTO"</formula>
    </cfRule>
  </conditionalFormatting>
  <conditionalFormatting sqref="N33:O33">
    <cfRule type="cellIs" dxfId="8635" priority="6027" operator="equal">
      <formula>"OFF"</formula>
    </cfRule>
    <cfRule type="cellIs" dxfId="8634" priority="6028" operator="equal">
      <formula>"PTO"</formula>
    </cfRule>
  </conditionalFormatting>
  <conditionalFormatting sqref="P33:P42">
    <cfRule type="cellIs" dxfId="8633" priority="6025" operator="equal">
      <formula>"OFF"</formula>
    </cfRule>
    <cfRule type="cellIs" dxfId="8632" priority="6026" operator="equal">
      <formula>"PTO"</formula>
    </cfRule>
  </conditionalFormatting>
  <conditionalFormatting sqref="P33:P42">
    <cfRule type="cellIs" dxfId="8631" priority="6023" operator="equal">
      <formula>"OFF"</formula>
    </cfRule>
    <cfRule type="cellIs" dxfId="8630" priority="6024" operator="equal">
      <formula>"PTO"</formula>
    </cfRule>
  </conditionalFormatting>
  <conditionalFormatting sqref="P33:P42">
    <cfRule type="cellIs" dxfId="8629" priority="6021" operator="equal">
      <formula>"OFF"</formula>
    </cfRule>
    <cfRule type="cellIs" dxfId="8628" priority="6022" operator="equal">
      <formula>"PTO"</formula>
    </cfRule>
  </conditionalFormatting>
  <conditionalFormatting sqref="N33:P33 P34:P42">
    <cfRule type="cellIs" dxfId="8627" priority="6007" operator="equal">
      <formula>"OFF"</formula>
    </cfRule>
    <cfRule type="cellIs" dxfId="8626" priority="6008" operator="equal">
      <formula>"PTO"</formula>
    </cfRule>
  </conditionalFormatting>
  <conditionalFormatting sqref="N33:P33 P34:P42">
    <cfRule type="cellIs" dxfId="8625" priority="6005" operator="equal">
      <formula>"OFF"</formula>
    </cfRule>
    <cfRule type="cellIs" dxfId="8624" priority="6006" operator="equal">
      <formula>"PTO"</formula>
    </cfRule>
  </conditionalFormatting>
  <conditionalFormatting sqref="N33:P33 P34:P42">
    <cfRule type="cellIs" dxfId="8623" priority="6001" operator="equal">
      <formula>"OFF"</formula>
    </cfRule>
    <cfRule type="cellIs" dxfId="8622" priority="6002" operator="equal">
      <formula>"PTO"</formula>
    </cfRule>
  </conditionalFormatting>
  <conditionalFormatting sqref="N33:P33 P34:P42">
    <cfRule type="cellIs" dxfId="8621" priority="5999" operator="equal">
      <formula>"OFF"</formula>
    </cfRule>
    <cfRule type="cellIs" dxfId="8620" priority="6000" operator="equal">
      <formula>"PTO"</formula>
    </cfRule>
  </conditionalFormatting>
  <conditionalFormatting sqref="N33:O33">
    <cfRule type="cellIs" dxfId="8619" priority="5997" operator="equal">
      <formula>"OFF"</formula>
    </cfRule>
    <cfRule type="cellIs" dxfId="8618" priority="5998" operator="equal">
      <formula>"PTO"</formula>
    </cfRule>
  </conditionalFormatting>
  <conditionalFormatting sqref="N33:O33">
    <cfRule type="cellIs" dxfId="8617" priority="5995" operator="equal">
      <formula>"OFF"</formula>
    </cfRule>
    <cfRule type="cellIs" dxfId="8616" priority="5996" operator="equal">
      <formula>"PTO"</formula>
    </cfRule>
  </conditionalFormatting>
  <conditionalFormatting sqref="N33:O33">
    <cfRule type="cellIs" dxfId="8615" priority="5993" operator="equal">
      <formula>"OFF"</formula>
    </cfRule>
    <cfRule type="cellIs" dxfId="8614" priority="5994" operator="equal">
      <formula>"PTO"</formula>
    </cfRule>
  </conditionalFormatting>
  <conditionalFormatting sqref="N33:O33">
    <cfRule type="cellIs" dxfId="8613" priority="5991" operator="equal">
      <formula>"OFF"</formula>
    </cfRule>
    <cfRule type="cellIs" dxfId="8612" priority="5992" operator="equal">
      <formula>"PTO"</formula>
    </cfRule>
  </conditionalFormatting>
  <conditionalFormatting sqref="N33:P33 P34:P42">
    <cfRule type="cellIs" dxfId="8611" priority="5989" operator="equal">
      <formula>"OFF"</formula>
    </cfRule>
    <cfRule type="cellIs" dxfId="8610" priority="5990" operator="equal">
      <formula>"PTO"</formula>
    </cfRule>
  </conditionalFormatting>
  <conditionalFormatting sqref="N33:P33 P34:P42">
    <cfRule type="cellIs" dxfId="8609" priority="5985" operator="equal">
      <formula>"OFF"</formula>
    </cfRule>
    <cfRule type="cellIs" dxfId="8608" priority="5986" operator="equal">
      <formula>"PTO"</formula>
    </cfRule>
  </conditionalFormatting>
  <conditionalFormatting sqref="N33:P33 P34:P42">
    <cfRule type="cellIs" dxfId="8607" priority="5983" operator="equal">
      <formula>"OFF"</formula>
    </cfRule>
    <cfRule type="cellIs" dxfId="8606" priority="5984" operator="equal">
      <formula>"PTO"</formula>
    </cfRule>
  </conditionalFormatting>
  <conditionalFormatting sqref="N33:O33">
    <cfRule type="cellIs" dxfId="8605" priority="5981" operator="equal">
      <formula>"OFF"</formula>
    </cfRule>
    <cfRule type="cellIs" dxfId="8604" priority="5982" operator="equal">
      <formula>"PTO"</formula>
    </cfRule>
  </conditionalFormatting>
  <conditionalFormatting sqref="N33:O33">
    <cfRule type="cellIs" dxfId="8603" priority="5979" operator="equal">
      <formula>"OFF"</formula>
    </cfRule>
    <cfRule type="cellIs" dxfId="8602" priority="5980" operator="equal">
      <formula>"PTO"</formula>
    </cfRule>
  </conditionalFormatting>
  <conditionalFormatting sqref="N33:O33">
    <cfRule type="cellIs" dxfId="8601" priority="5977" operator="equal">
      <formula>"OFF"</formula>
    </cfRule>
    <cfRule type="cellIs" dxfId="8600" priority="5978" operator="equal">
      <formula>"PTO"</formula>
    </cfRule>
  </conditionalFormatting>
  <conditionalFormatting sqref="N33:O33">
    <cfRule type="cellIs" dxfId="8599" priority="5975" operator="equal">
      <formula>"OFF"</formula>
    </cfRule>
    <cfRule type="cellIs" dxfId="8598" priority="5976" operator="equal">
      <formula>"PTO"</formula>
    </cfRule>
  </conditionalFormatting>
  <conditionalFormatting sqref="N33:P33 P34:P42">
    <cfRule type="cellIs" dxfId="8597" priority="5973" operator="equal">
      <formula>"OFF"</formula>
    </cfRule>
    <cfRule type="cellIs" dxfId="8596" priority="5974" operator="equal">
      <formula>"PTO"</formula>
    </cfRule>
  </conditionalFormatting>
  <conditionalFormatting sqref="N33:P33 P34:P42">
    <cfRule type="cellIs" dxfId="8595" priority="5971" operator="equal">
      <formula>"OFF"</formula>
    </cfRule>
    <cfRule type="cellIs" dxfId="8594" priority="5972" operator="equal">
      <formula>"PTO"</formula>
    </cfRule>
  </conditionalFormatting>
  <conditionalFormatting sqref="N33:P33 P34:P42">
    <cfRule type="cellIs" dxfId="8593" priority="5969" operator="equal">
      <formula>"OFF"</formula>
    </cfRule>
    <cfRule type="cellIs" dxfId="8592" priority="5970" operator="equal">
      <formula>"PTO"</formula>
    </cfRule>
  </conditionalFormatting>
  <conditionalFormatting sqref="N33:P33 P34:P42">
    <cfRule type="cellIs" dxfId="8591" priority="5967" operator="equal">
      <formula>"OFF"</formula>
    </cfRule>
    <cfRule type="cellIs" dxfId="8590" priority="5968" operator="equal">
      <formula>"PTO"</formula>
    </cfRule>
  </conditionalFormatting>
  <conditionalFormatting sqref="N33:O33">
    <cfRule type="cellIs" dxfId="8589" priority="5965" operator="equal">
      <formula>"OFF"</formula>
    </cfRule>
    <cfRule type="cellIs" dxfId="8588" priority="5966" operator="equal">
      <formula>"PTO"</formula>
    </cfRule>
  </conditionalFormatting>
  <conditionalFormatting sqref="N33:O33">
    <cfRule type="cellIs" dxfId="8587" priority="5963" operator="equal">
      <formula>"OFF"</formula>
    </cfRule>
    <cfRule type="cellIs" dxfId="8586" priority="5964" operator="equal">
      <formula>"PTO"</formula>
    </cfRule>
  </conditionalFormatting>
  <conditionalFormatting sqref="N33:O33">
    <cfRule type="cellIs" dxfId="8585" priority="5961" operator="equal">
      <formula>"OFF"</formula>
    </cfRule>
    <cfRule type="cellIs" dxfId="8584" priority="5962" operator="equal">
      <formula>"PTO"</formula>
    </cfRule>
  </conditionalFormatting>
  <conditionalFormatting sqref="N33:O33">
    <cfRule type="cellIs" dxfId="8583" priority="5959" operator="equal">
      <formula>"OFF"</formula>
    </cfRule>
    <cfRule type="cellIs" dxfId="8582" priority="5960" operator="equal">
      <formula>"PTO"</formula>
    </cfRule>
  </conditionalFormatting>
  <conditionalFormatting sqref="N33:P33 P34:P42">
    <cfRule type="cellIs" dxfId="8581" priority="5957" operator="equal">
      <formula>"OFF"</formula>
    </cfRule>
    <cfRule type="cellIs" dxfId="8580" priority="5958" operator="equal">
      <formula>"PTO"</formula>
    </cfRule>
  </conditionalFormatting>
  <conditionalFormatting sqref="N33:P33 P34:P42">
    <cfRule type="cellIs" dxfId="8579" priority="5951" operator="equal">
      <formula>"OFF"</formula>
    </cfRule>
    <cfRule type="cellIs" dxfId="8578" priority="5952" operator="equal">
      <formula>"PTO"</formula>
    </cfRule>
  </conditionalFormatting>
  <conditionalFormatting sqref="N33:O33">
    <cfRule type="cellIs" dxfId="8577" priority="5949" operator="equal">
      <formula>"OFF"</formula>
    </cfRule>
    <cfRule type="cellIs" dxfId="8576" priority="5950" operator="equal">
      <formula>"PTO"</formula>
    </cfRule>
  </conditionalFormatting>
  <conditionalFormatting sqref="N33:O33">
    <cfRule type="cellIs" dxfId="8575" priority="5947" operator="equal">
      <formula>"OFF"</formula>
    </cfRule>
    <cfRule type="cellIs" dxfId="8574" priority="5948" operator="equal">
      <formula>"PTO"</formula>
    </cfRule>
  </conditionalFormatting>
  <conditionalFormatting sqref="N33:O33">
    <cfRule type="cellIs" dxfId="8573" priority="5945" operator="equal">
      <formula>"OFF"</formula>
    </cfRule>
    <cfRule type="cellIs" dxfId="8572" priority="5946" operator="equal">
      <formula>"PTO"</formula>
    </cfRule>
  </conditionalFormatting>
  <conditionalFormatting sqref="N33:O33">
    <cfRule type="cellIs" dxfId="8571" priority="5943" operator="equal">
      <formula>"OFF"</formula>
    </cfRule>
    <cfRule type="cellIs" dxfId="8570" priority="5944" operator="equal">
      <formula>"PTO"</formula>
    </cfRule>
  </conditionalFormatting>
  <conditionalFormatting sqref="N33:P33 P34:P42">
    <cfRule type="cellIs" dxfId="8569" priority="5941" operator="equal">
      <formula>"OFF"</formula>
    </cfRule>
    <cfRule type="cellIs" dxfId="8568" priority="5942" operator="equal">
      <formula>"PTO"</formula>
    </cfRule>
  </conditionalFormatting>
  <conditionalFormatting sqref="N33:P33 P34:P42">
    <cfRule type="cellIs" dxfId="8567" priority="5939" operator="equal">
      <formula>"OFF"</formula>
    </cfRule>
    <cfRule type="cellIs" dxfId="8566" priority="5940" operator="equal">
      <formula>"PTO"</formula>
    </cfRule>
  </conditionalFormatting>
  <conditionalFormatting sqref="N33:P33 P34:P42">
    <cfRule type="cellIs" dxfId="8565" priority="5937" operator="equal">
      <formula>"OFF"</formula>
    </cfRule>
    <cfRule type="cellIs" dxfId="8564" priority="5938" operator="equal">
      <formula>"PTO"</formula>
    </cfRule>
  </conditionalFormatting>
  <conditionalFormatting sqref="N33:P33 P34:P42">
    <cfRule type="cellIs" dxfId="8563" priority="5935" operator="equal">
      <formula>"OFF"</formula>
    </cfRule>
    <cfRule type="cellIs" dxfId="8562" priority="5936" operator="equal">
      <formula>"PTO"</formula>
    </cfRule>
  </conditionalFormatting>
  <conditionalFormatting sqref="N33:P33 P34:P42">
    <cfRule type="cellIs" dxfId="8561" priority="5933" operator="equal">
      <formula>"OFF"</formula>
    </cfRule>
    <cfRule type="cellIs" dxfId="8560" priority="5934" operator="equal">
      <formula>"PTO"</formula>
    </cfRule>
  </conditionalFormatting>
  <conditionalFormatting sqref="N33:P33 P34:P42">
    <cfRule type="cellIs" dxfId="8559" priority="5931" operator="equal">
      <formula>"OFF"</formula>
    </cfRule>
    <cfRule type="cellIs" dxfId="8558" priority="5932" operator="equal">
      <formula>"PTO"</formula>
    </cfRule>
  </conditionalFormatting>
  <conditionalFormatting sqref="N33:P33 P34:P42">
    <cfRule type="cellIs" dxfId="8557" priority="5929" operator="equal">
      <formula>"OFF"</formula>
    </cfRule>
    <cfRule type="cellIs" dxfId="8556" priority="5930" operator="equal">
      <formula>"PTO"</formula>
    </cfRule>
  </conditionalFormatting>
  <conditionalFormatting sqref="N33:P33 P34:P42">
    <cfRule type="cellIs" dxfId="8555" priority="5927" operator="equal">
      <formula>"OFF"</formula>
    </cfRule>
    <cfRule type="cellIs" dxfId="8554" priority="5928" operator="equal">
      <formula>"PTO"</formula>
    </cfRule>
  </conditionalFormatting>
  <conditionalFormatting sqref="N33:P33 P34:P42">
    <cfRule type="cellIs" dxfId="8553" priority="5925" operator="equal">
      <formula>"OFF"</formula>
    </cfRule>
    <cfRule type="cellIs" dxfId="8552" priority="5926" operator="equal">
      <formula>"PTO"</formula>
    </cfRule>
  </conditionalFormatting>
  <conditionalFormatting sqref="N33:P33 P34:P42">
    <cfRule type="cellIs" dxfId="8551" priority="5923" operator="equal">
      <formula>"OFF"</formula>
    </cfRule>
    <cfRule type="cellIs" dxfId="8550" priority="5924" operator="equal">
      <formula>"PTO"</formula>
    </cfRule>
  </conditionalFormatting>
  <conditionalFormatting sqref="N33:P33 P34:P42">
    <cfRule type="cellIs" dxfId="8549" priority="5921" operator="equal">
      <formula>"OFF"</formula>
    </cfRule>
    <cfRule type="cellIs" dxfId="8548" priority="5922" operator="equal">
      <formula>"PTO"</formula>
    </cfRule>
  </conditionalFormatting>
  <conditionalFormatting sqref="N33:P33 P34:P42">
    <cfRule type="cellIs" dxfId="8547" priority="5919" operator="equal">
      <formula>"OFF"</formula>
    </cfRule>
    <cfRule type="cellIs" dxfId="8546" priority="5920" operator="equal">
      <formula>"PTO"</formula>
    </cfRule>
  </conditionalFormatting>
  <conditionalFormatting sqref="N33:P33 P34:P42">
    <cfRule type="cellIs" dxfId="8545" priority="5917" operator="equal">
      <formula>"OFF"</formula>
    </cfRule>
    <cfRule type="cellIs" dxfId="8544" priority="5918" operator="equal">
      <formula>"PTO"</formula>
    </cfRule>
  </conditionalFormatting>
  <conditionalFormatting sqref="N33:P33 P34:P42">
    <cfRule type="cellIs" dxfId="8543" priority="5915" operator="equal">
      <formula>"OFF"</formula>
    </cfRule>
    <cfRule type="cellIs" dxfId="8542" priority="5916" operator="equal">
      <formula>"PTO"</formula>
    </cfRule>
  </conditionalFormatting>
  <conditionalFormatting sqref="N33:P33 P34:P42">
    <cfRule type="cellIs" dxfId="8541" priority="5913" operator="equal">
      <formula>"OFF"</formula>
    </cfRule>
    <cfRule type="cellIs" dxfId="8540" priority="5914" operator="equal">
      <formula>"PTO"</formula>
    </cfRule>
  </conditionalFormatting>
  <conditionalFormatting sqref="N33:P33 P34:P42">
    <cfRule type="cellIs" dxfId="8539" priority="5911" operator="equal">
      <formula>"OFF"</formula>
    </cfRule>
    <cfRule type="cellIs" dxfId="8538" priority="5912" operator="equal">
      <formula>"PTO"</formula>
    </cfRule>
  </conditionalFormatting>
  <conditionalFormatting sqref="N33:P33 P34:P42">
    <cfRule type="cellIs" dxfId="8537" priority="5909" operator="equal">
      <formula>"OFF"</formula>
    </cfRule>
    <cfRule type="cellIs" dxfId="8536" priority="5910" operator="equal">
      <formula>"PTO"</formula>
    </cfRule>
  </conditionalFormatting>
  <conditionalFormatting sqref="N33:P33 P34:P42">
    <cfRule type="cellIs" dxfId="8535" priority="5907" operator="equal">
      <formula>"OFF"</formula>
    </cfRule>
    <cfRule type="cellIs" dxfId="8534" priority="5908" operator="equal">
      <formula>"PTO"</formula>
    </cfRule>
  </conditionalFormatting>
  <conditionalFormatting sqref="N33:P33 P34:P42">
    <cfRule type="cellIs" dxfId="8533" priority="5905" operator="equal">
      <formula>"OFF"</formula>
    </cfRule>
    <cfRule type="cellIs" dxfId="8532" priority="5906" operator="equal">
      <formula>"PTO"</formula>
    </cfRule>
  </conditionalFormatting>
  <conditionalFormatting sqref="N33:P33 P34:P42">
    <cfRule type="cellIs" dxfId="8531" priority="5903" operator="equal">
      <formula>"OFF"</formula>
    </cfRule>
    <cfRule type="cellIs" dxfId="8530" priority="5904" operator="equal">
      <formula>"PTO"</formula>
    </cfRule>
  </conditionalFormatting>
  <conditionalFormatting sqref="N33:P33 P34:P42">
    <cfRule type="cellIs" dxfId="8529" priority="5901" operator="equal">
      <formula>"OFF"</formula>
    </cfRule>
    <cfRule type="cellIs" dxfId="8528" priority="5902" operator="equal">
      <formula>"PTO"</formula>
    </cfRule>
  </conditionalFormatting>
  <conditionalFormatting sqref="N33:P33 P34:P42">
    <cfRule type="cellIs" dxfId="8527" priority="5899" operator="equal">
      <formula>"OFF"</formula>
    </cfRule>
    <cfRule type="cellIs" dxfId="8526" priority="5900" operator="equal">
      <formula>"PTO"</formula>
    </cfRule>
  </conditionalFormatting>
  <conditionalFormatting sqref="N33:P33 P34:P42">
    <cfRule type="cellIs" dxfId="8525" priority="5897" operator="equal">
      <formula>"OFF"</formula>
    </cfRule>
    <cfRule type="cellIs" dxfId="8524" priority="5898" operator="equal">
      <formula>"PTO"</formula>
    </cfRule>
  </conditionalFormatting>
  <conditionalFormatting sqref="N33:P33 P34:P42">
    <cfRule type="cellIs" dxfId="8523" priority="5895" operator="equal">
      <formula>"OFF"</formula>
    </cfRule>
    <cfRule type="cellIs" dxfId="8522" priority="5896" operator="equal">
      <formula>"PTO"</formula>
    </cfRule>
  </conditionalFormatting>
  <conditionalFormatting sqref="N33:P33 P34:P42">
    <cfRule type="cellIs" dxfId="8521" priority="5893" operator="equal">
      <formula>"OFF"</formula>
    </cfRule>
    <cfRule type="cellIs" dxfId="8520" priority="5894" operator="equal">
      <formula>"PTO"</formula>
    </cfRule>
  </conditionalFormatting>
  <conditionalFormatting sqref="N33:O33">
    <cfRule type="cellIs" dxfId="8519" priority="5891" operator="equal">
      <formula>"OFF"</formula>
    </cfRule>
    <cfRule type="cellIs" dxfId="8518" priority="5892" operator="equal">
      <formula>"PTO"</formula>
    </cfRule>
  </conditionalFormatting>
  <conditionalFormatting sqref="N33:O33">
    <cfRule type="cellIs" dxfId="8517" priority="5889" operator="equal">
      <formula>"OFF"</formula>
    </cfRule>
    <cfRule type="cellIs" dxfId="8516" priority="5890" operator="equal">
      <formula>"PTO"</formula>
    </cfRule>
  </conditionalFormatting>
  <conditionalFormatting sqref="N33:O33">
    <cfRule type="cellIs" dxfId="8515" priority="5887" operator="equal">
      <formula>"OFF"</formula>
    </cfRule>
    <cfRule type="cellIs" dxfId="8514" priority="5888" operator="equal">
      <formula>"PTO"</formula>
    </cfRule>
  </conditionalFormatting>
  <conditionalFormatting sqref="N33:O33">
    <cfRule type="cellIs" dxfId="8513" priority="5885" operator="equal">
      <formula>"OFF"</formula>
    </cfRule>
    <cfRule type="cellIs" dxfId="8512" priority="5886" operator="equal">
      <formula>"PTO"</formula>
    </cfRule>
  </conditionalFormatting>
  <conditionalFormatting sqref="N33:O33">
    <cfRule type="cellIs" dxfId="8511" priority="5883" operator="equal">
      <formula>"OFF"</formula>
    </cfRule>
    <cfRule type="cellIs" dxfId="8510" priority="5884" operator="equal">
      <formula>"PTO"</formula>
    </cfRule>
  </conditionalFormatting>
  <conditionalFormatting sqref="N33:O33">
    <cfRule type="cellIs" dxfId="8509" priority="5881" operator="equal">
      <formula>"OFF"</formula>
    </cfRule>
    <cfRule type="cellIs" dxfId="8508" priority="5882" operator="equal">
      <formula>"PTO"</formula>
    </cfRule>
  </conditionalFormatting>
  <conditionalFormatting sqref="N33:O33">
    <cfRule type="cellIs" dxfId="8507" priority="5879" operator="equal">
      <formula>"OFF"</formula>
    </cfRule>
    <cfRule type="cellIs" dxfId="8506" priority="5880" operator="equal">
      <formula>"PTO"</formula>
    </cfRule>
  </conditionalFormatting>
  <conditionalFormatting sqref="N33:O33">
    <cfRule type="cellIs" dxfId="8505" priority="5877" operator="equal">
      <formula>"OFF"</formula>
    </cfRule>
    <cfRule type="cellIs" dxfId="8504" priority="5878" operator="equal">
      <formula>"PTO"</formula>
    </cfRule>
  </conditionalFormatting>
  <conditionalFormatting sqref="N33:O33">
    <cfRule type="cellIs" dxfId="8503" priority="5875" operator="equal">
      <formula>"OFF"</formula>
    </cfRule>
    <cfRule type="cellIs" dxfId="8502" priority="5876" operator="equal">
      <formula>"PTO"</formula>
    </cfRule>
  </conditionalFormatting>
  <conditionalFormatting sqref="N33:O33">
    <cfRule type="cellIs" dxfId="8501" priority="5873" operator="equal">
      <formula>"OFF"</formula>
    </cfRule>
    <cfRule type="cellIs" dxfId="8500" priority="5874" operator="equal">
      <formula>"PTO"</formula>
    </cfRule>
  </conditionalFormatting>
  <conditionalFormatting sqref="N33:O33">
    <cfRule type="cellIs" dxfId="8499" priority="5871" operator="equal">
      <formula>"OFF"</formula>
    </cfRule>
    <cfRule type="cellIs" dxfId="8498" priority="5872" operator="equal">
      <formula>"PTO"</formula>
    </cfRule>
  </conditionalFormatting>
  <conditionalFormatting sqref="N33:O33">
    <cfRule type="cellIs" dxfId="8497" priority="5869" operator="equal">
      <formula>"OFF"</formula>
    </cfRule>
    <cfRule type="cellIs" dxfId="8496" priority="5870" operator="equal">
      <formula>"PTO"</formula>
    </cfRule>
  </conditionalFormatting>
  <conditionalFormatting sqref="N33:O33">
    <cfRule type="cellIs" dxfId="8495" priority="5867" operator="equal">
      <formula>"OFF"</formula>
    </cfRule>
    <cfRule type="cellIs" dxfId="8494" priority="5868" operator="equal">
      <formula>"PTO"</formula>
    </cfRule>
  </conditionalFormatting>
  <conditionalFormatting sqref="N33:O33">
    <cfRule type="cellIs" dxfId="8493" priority="5865" operator="equal">
      <formula>"OFF"</formula>
    </cfRule>
    <cfRule type="cellIs" dxfId="8492" priority="5866" operator="equal">
      <formula>"PTO"</formula>
    </cfRule>
  </conditionalFormatting>
  <conditionalFormatting sqref="N33:O33">
    <cfRule type="cellIs" dxfId="8491" priority="5863" operator="equal">
      <formula>"OFF"</formula>
    </cfRule>
    <cfRule type="cellIs" dxfId="8490" priority="5864" operator="equal">
      <formula>"PTO"</formula>
    </cfRule>
  </conditionalFormatting>
  <conditionalFormatting sqref="N33:O33">
    <cfRule type="cellIs" dxfId="8489" priority="5861" operator="equal">
      <formula>"OFF"</formula>
    </cfRule>
    <cfRule type="cellIs" dxfId="8488" priority="5862" operator="equal">
      <formula>"PTO"</formula>
    </cfRule>
  </conditionalFormatting>
  <conditionalFormatting sqref="N33:O33">
    <cfRule type="cellIs" dxfId="8487" priority="5859" operator="equal">
      <formula>"OFF"</formula>
    </cfRule>
    <cfRule type="cellIs" dxfId="8486" priority="5860" operator="equal">
      <formula>"PTO"</formula>
    </cfRule>
  </conditionalFormatting>
  <conditionalFormatting sqref="N33:O33">
    <cfRule type="cellIs" dxfId="8485" priority="5857" operator="equal">
      <formula>"OFF"</formula>
    </cfRule>
    <cfRule type="cellIs" dxfId="8484" priority="5858" operator="equal">
      <formula>"PTO"</formula>
    </cfRule>
  </conditionalFormatting>
  <conditionalFormatting sqref="N33:O33">
    <cfRule type="cellIs" dxfId="8483" priority="5855" operator="equal">
      <formula>"OFF"</formula>
    </cfRule>
    <cfRule type="cellIs" dxfId="8482" priority="5856" operator="equal">
      <formula>"PTO"</formula>
    </cfRule>
  </conditionalFormatting>
  <conditionalFormatting sqref="N33:O33">
    <cfRule type="cellIs" dxfId="8481" priority="5853" operator="equal">
      <formula>"OFF"</formula>
    </cfRule>
    <cfRule type="cellIs" dxfId="8480" priority="5854" operator="equal">
      <formula>"PTO"</formula>
    </cfRule>
  </conditionalFormatting>
  <conditionalFormatting sqref="N33:O33">
    <cfRule type="cellIs" dxfId="8479" priority="5851" operator="equal">
      <formula>"OFF"</formula>
    </cfRule>
    <cfRule type="cellIs" dxfId="8478" priority="5852" operator="equal">
      <formula>"PTO"</formula>
    </cfRule>
  </conditionalFormatting>
  <conditionalFormatting sqref="N33:O33">
    <cfRule type="cellIs" dxfId="8477" priority="5849" operator="equal">
      <formula>"OFF"</formula>
    </cfRule>
    <cfRule type="cellIs" dxfId="8476" priority="5850" operator="equal">
      <formula>"PTO"</formula>
    </cfRule>
  </conditionalFormatting>
  <conditionalFormatting sqref="N33:O33">
    <cfRule type="cellIs" dxfId="8475" priority="5847" operator="equal">
      <formula>"OFF"</formula>
    </cfRule>
    <cfRule type="cellIs" dxfId="8474" priority="5848" operator="equal">
      <formula>"PTO"</formula>
    </cfRule>
  </conditionalFormatting>
  <conditionalFormatting sqref="N33:O33">
    <cfRule type="cellIs" dxfId="8473" priority="5845" operator="equal">
      <formula>"OFF"</formula>
    </cfRule>
    <cfRule type="cellIs" dxfId="8472" priority="5846" operator="equal">
      <formula>"PTO"</formula>
    </cfRule>
  </conditionalFormatting>
  <conditionalFormatting sqref="N33:O33">
    <cfRule type="cellIs" dxfId="8471" priority="5843" operator="equal">
      <formula>"OFF"</formula>
    </cfRule>
    <cfRule type="cellIs" dxfId="8470" priority="5844" operator="equal">
      <formula>"PTO"</formula>
    </cfRule>
  </conditionalFormatting>
  <conditionalFormatting sqref="N33:O33">
    <cfRule type="cellIs" dxfId="8469" priority="5841" operator="equal">
      <formula>"OFF"</formula>
    </cfRule>
    <cfRule type="cellIs" dxfId="8468" priority="5842" operator="equal">
      <formula>"PTO"</formula>
    </cfRule>
  </conditionalFormatting>
  <conditionalFormatting sqref="N33:O33">
    <cfRule type="cellIs" dxfId="8467" priority="5839" operator="equal">
      <formula>"OFF"</formula>
    </cfRule>
    <cfRule type="cellIs" dxfId="8466" priority="5840" operator="equal">
      <formula>"PTO"</formula>
    </cfRule>
  </conditionalFormatting>
  <conditionalFormatting sqref="N33:O33">
    <cfRule type="cellIs" dxfId="8465" priority="5837" operator="equal">
      <formula>"OFF"</formula>
    </cfRule>
    <cfRule type="cellIs" dxfId="8464" priority="5838" operator="equal">
      <formula>"PTO"</formula>
    </cfRule>
  </conditionalFormatting>
  <conditionalFormatting sqref="N33:O33">
    <cfRule type="cellIs" dxfId="8463" priority="5835" operator="equal">
      <formula>"OFF"</formula>
    </cfRule>
    <cfRule type="cellIs" dxfId="8462" priority="5836" operator="equal">
      <formula>"PTO"</formula>
    </cfRule>
  </conditionalFormatting>
  <conditionalFormatting sqref="N33:O33">
    <cfRule type="cellIs" dxfId="8461" priority="5833" operator="equal">
      <formula>"OFF"</formula>
    </cfRule>
    <cfRule type="cellIs" dxfId="8460" priority="5834" operator="equal">
      <formula>"PTO"</formula>
    </cfRule>
  </conditionalFormatting>
  <conditionalFormatting sqref="N33:O33">
    <cfRule type="cellIs" dxfId="8459" priority="5831" operator="equal">
      <formula>"OFF"</formula>
    </cfRule>
    <cfRule type="cellIs" dxfId="8458" priority="5832" operator="equal">
      <formula>"PTO"</formula>
    </cfRule>
  </conditionalFormatting>
  <conditionalFormatting sqref="N33:O33">
    <cfRule type="cellIs" dxfId="8457" priority="5829" operator="equal">
      <formula>"OFF"</formula>
    </cfRule>
    <cfRule type="cellIs" dxfId="8456" priority="5830" operator="equal">
      <formula>"PTO"</formula>
    </cfRule>
  </conditionalFormatting>
  <conditionalFormatting sqref="N33:O33">
    <cfRule type="cellIs" dxfId="8455" priority="5827" operator="equal">
      <formula>"OFF"</formula>
    </cfRule>
    <cfRule type="cellIs" dxfId="8454" priority="5828" operator="equal">
      <formula>"PTO"</formula>
    </cfRule>
  </conditionalFormatting>
  <conditionalFormatting sqref="N33:O33">
    <cfRule type="cellIs" dxfId="8453" priority="5825" operator="equal">
      <formula>"OFF"</formula>
    </cfRule>
    <cfRule type="cellIs" dxfId="8452" priority="5826" operator="equal">
      <formula>"PTO"</formula>
    </cfRule>
  </conditionalFormatting>
  <conditionalFormatting sqref="P33:P42">
    <cfRule type="cellIs" dxfId="8451" priority="5823" operator="equal">
      <formula>"OFF"</formula>
    </cfRule>
    <cfRule type="cellIs" dxfId="8450" priority="5824" operator="equal">
      <formula>"PTO"</formula>
    </cfRule>
  </conditionalFormatting>
  <conditionalFormatting sqref="P33:P42">
    <cfRule type="cellIs" dxfId="8449" priority="5821" operator="equal">
      <formula>"OFF"</formula>
    </cfRule>
    <cfRule type="cellIs" dxfId="8448" priority="5822" operator="equal">
      <formula>"PTO"</formula>
    </cfRule>
  </conditionalFormatting>
  <conditionalFormatting sqref="P33:P42">
    <cfRule type="cellIs" dxfId="8447" priority="5819" operator="equal">
      <formula>"OFF"</formula>
    </cfRule>
    <cfRule type="cellIs" dxfId="8446" priority="5820" operator="equal">
      <formula>"PTO"</formula>
    </cfRule>
  </conditionalFormatting>
  <conditionalFormatting sqref="P33:P42">
    <cfRule type="cellIs" dxfId="8445" priority="5817" operator="equal">
      <formula>"OFF"</formula>
    </cfRule>
    <cfRule type="cellIs" dxfId="8444" priority="5818" operator="equal">
      <formula>"PTO"</formula>
    </cfRule>
  </conditionalFormatting>
  <conditionalFormatting sqref="P33:P42">
    <cfRule type="cellIs" dxfId="8443" priority="5815" operator="equal">
      <formula>"OFF"</formula>
    </cfRule>
    <cfRule type="cellIs" dxfId="8442" priority="5816" operator="equal">
      <formula>"PTO"</formula>
    </cfRule>
  </conditionalFormatting>
  <conditionalFormatting sqref="P33:P42">
    <cfRule type="cellIs" dxfId="8441" priority="5813" operator="equal">
      <formula>"OFF"</formula>
    </cfRule>
    <cfRule type="cellIs" dxfId="8440" priority="5814" operator="equal">
      <formula>"PTO"</formula>
    </cfRule>
  </conditionalFormatting>
  <conditionalFormatting sqref="P33:P42">
    <cfRule type="cellIs" dxfId="8439" priority="5811" operator="equal">
      <formula>"OFF"</formula>
    </cfRule>
    <cfRule type="cellIs" dxfId="8438" priority="5812" operator="equal">
      <formula>"PTO"</formula>
    </cfRule>
  </conditionalFormatting>
  <conditionalFormatting sqref="P33:P42">
    <cfRule type="cellIs" dxfId="8437" priority="5809" operator="equal">
      <formula>"OFF"</formula>
    </cfRule>
    <cfRule type="cellIs" dxfId="8436" priority="5810" operator="equal">
      <formula>"PTO"</formula>
    </cfRule>
  </conditionalFormatting>
  <conditionalFormatting sqref="M33:O42">
    <cfRule type="cellIs" dxfId="8435" priority="5807" operator="equal">
      <formula>"OFF"</formula>
    </cfRule>
    <cfRule type="cellIs" dxfId="8434" priority="5808" operator="equal">
      <formula>"PTO"</formula>
    </cfRule>
  </conditionalFormatting>
  <conditionalFormatting sqref="M33:O42">
    <cfRule type="cellIs" dxfId="8433" priority="5801" operator="equal">
      <formula>"OFF"</formula>
    </cfRule>
    <cfRule type="cellIs" dxfId="8432" priority="5802" operator="equal">
      <formula>"PTO"</formula>
    </cfRule>
  </conditionalFormatting>
  <conditionalFormatting sqref="M33:O42">
    <cfRule type="cellIs" dxfId="8431" priority="5785" operator="equal">
      <formula>"OFF"</formula>
    </cfRule>
    <cfRule type="cellIs" dxfId="8430" priority="5786" operator="equal">
      <formula>"PTO"</formula>
    </cfRule>
  </conditionalFormatting>
  <conditionalFormatting sqref="M33:O42">
    <cfRule type="cellIs" dxfId="8429" priority="5753" operator="equal">
      <formula>"OFF"</formula>
    </cfRule>
    <cfRule type="cellIs" dxfId="8428" priority="5754" operator="equal">
      <formula>"PTO"</formula>
    </cfRule>
  </conditionalFormatting>
  <conditionalFormatting sqref="M33:O42">
    <cfRule type="cellIs" dxfId="8427" priority="5751" operator="equal">
      <formula>"OFF"</formula>
    </cfRule>
    <cfRule type="cellIs" dxfId="8426" priority="5752" operator="equal">
      <formula>"PTO"</formula>
    </cfRule>
  </conditionalFormatting>
  <conditionalFormatting sqref="M33:O42">
    <cfRule type="cellIs" dxfId="8425" priority="5805" operator="equal">
      <formula>"OFF"</formula>
    </cfRule>
    <cfRule type="cellIs" dxfId="8424" priority="5806" operator="equal">
      <formula>"PTO"</formula>
    </cfRule>
  </conditionalFormatting>
  <conditionalFormatting sqref="M33:O42">
    <cfRule type="cellIs" dxfId="8423" priority="5803" operator="equal">
      <formula>"OFF"</formula>
    </cfRule>
    <cfRule type="cellIs" dxfId="8422" priority="5804" operator="equal">
      <formula>"PTO"</formula>
    </cfRule>
  </conditionalFormatting>
  <conditionalFormatting sqref="M33:O42">
    <cfRule type="cellIs" dxfId="8421" priority="5799" operator="equal">
      <formula>"OFF"</formula>
    </cfRule>
    <cfRule type="cellIs" dxfId="8420" priority="5800" operator="equal">
      <formula>"PTO"</formula>
    </cfRule>
  </conditionalFormatting>
  <conditionalFormatting sqref="M33:O42">
    <cfRule type="cellIs" dxfId="8419" priority="5797" operator="equal">
      <formula>"OFF"</formula>
    </cfRule>
    <cfRule type="cellIs" dxfId="8418" priority="5798" operator="equal">
      <formula>"PTO"</formula>
    </cfRule>
  </conditionalFormatting>
  <conditionalFormatting sqref="M33:O42">
    <cfRule type="cellIs" dxfId="8417" priority="5795" operator="equal">
      <formula>"OFF"</formula>
    </cfRule>
    <cfRule type="cellIs" dxfId="8416" priority="5796" operator="equal">
      <formula>"PTO"</formula>
    </cfRule>
  </conditionalFormatting>
  <conditionalFormatting sqref="M33:O42">
    <cfRule type="cellIs" dxfId="8415" priority="5793" operator="equal">
      <formula>"OFF"</formula>
    </cfRule>
    <cfRule type="cellIs" dxfId="8414" priority="5794" operator="equal">
      <formula>"PTO"</formula>
    </cfRule>
  </conditionalFormatting>
  <conditionalFormatting sqref="M33:O42">
    <cfRule type="cellIs" dxfId="8413" priority="5791" operator="equal">
      <formula>"OFF"</formula>
    </cfRule>
    <cfRule type="cellIs" dxfId="8412" priority="5792" operator="equal">
      <formula>"PTO"</formula>
    </cfRule>
  </conditionalFormatting>
  <conditionalFormatting sqref="M33:O42">
    <cfRule type="cellIs" dxfId="8411" priority="5789" operator="equal">
      <formula>"OFF"</formula>
    </cfRule>
    <cfRule type="cellIs" dxfId="8410" priority="5790" operator="equal">
      <formula>"PTO"</formula>
    </cfRule>
  </conditionalFormatting>
  <conditionalFormatting sqref="M33:O42">
    <cfRule type="cellIs" dxfId="8409" priority="5787" operator="equal">
      <formula>"OFF"</formula>
    </cfRule>
    <cfRule type="cellIs" dxfId="8408" priority="5788" operator="equal">
      <formula>"PTO"</formula>
    </cfRule>
  </conditionalFormatting>
  <conditionalFormatting sqref="M33:O42">
    <cfRule type="cellIs" dxfId="8407" priority="5783" operator="equal">
      <formula>"OFF"</formula>
    </cfRule>
    <cfRule type="cellIs" dxfId="8406" priority="5784" operator="equal">
      <formula>"PTO"</formula>
    </cfRule>
  </conditionalFormatting>
  <conditionalFormatting sqref="M33:O42">
    <cfRule type="cellIs" dxfId="8405" priority="5781" operator="equal">
      <formula>"OFF"</formula>
    </cfRule>
    <cfRule type="cellIs" dxfId="8404" priority="5782" operator="equal">
      <formula>"PTO"</formula>
    </cfRule>
  </conditionalFormatting>
  <conditionalFormatting sqref="M33:O42">
    <cfRule type="cellIs" dxfId="8403" priority="5779" operator="equal">
      <formula>"OFF"</formula>
    </cfRule>
    <cfRule type="cellIs" dxfId="8402" priority="5780" operator="equal">
      <formula>"PTO"</formula>
    </cfRule>
  </conditionalFormatting>
  <conditionalFormatting sqref="M33:O42">
    <cfRule type="cellIs" dxfId="8401" priority="5777" operator="equal">
      <formula>"OFF"</formula>
    </cfRule>
    <cfRule type="cellIs" dxfId="8400" priority="5778" operator="equal">
      <formula>"PTO"</formula>
    </cfRule>
  </conditionalFormatting>
  <conditionalFormatting sqref="M33:O42">
    <cfRule type="cellIs" dxfId="8399" priority="5775" operator="equal">
      <formula>"OFF"</formula>
    </cfRule>
    <cfRule type="cellIs" dxfId="8398" priority="5776" operator="equal">
      <formula>"PTO"</formula>
    </cfRule>
  </conditionalFormatting>
  <conditionalFormatting sqref="M33:O42">
    <cfRule type="cellIs" dxfId="8397" priority="5773" operator="equal">
      <formula>"OFF"</formula>
    </cfRule>
    <cfRule type="cellIs" dxfId="8396" priority="5774" operator="equal">
      <formula>"PTO"</formula>
    </cfRule>
  </conditionalFormatting>
  <conditionalFormatting sqref="M33:O42">
    <cfRule type="cellIs" dxfId="8395" priority="5771" operator="equal">
      <formula>"OFF"</formula>
    </cfRule>
    <cfRule type="cellIs" dxfId="8394" priority="5772" operator="equal">
      <formula>"PTO"</formula>
    </cfRule>
  </conditionalFormatting>
  <conditionalFormatting sqref="M33:O42">
    <cfRule type="cellIs" dxfId="8393" priority="5769" operator="equal">
      <formula>"OFF"</formula>
    </cfRule>
    <cfRule type="cellIs" dxfId="8392" priority="5770" operator="equal">
      <formula>"PTO"</formula>
    </cfRule>
  </conditionalFormatting>
  <conditionalFormatting sqref="M33:O42">
    <cfRule type="cellIs" dxfId="8391" priority="5767" operator="equal">
      <formula>"OFF"</formula>
    </cfRule>
    <cfRule type="cellIs" dxfId="8390" priority="5768" operator="equal">
      <formula>"PTO"</formula>
    </cfRule>
  </conditionalFormatting>
  <conditionalFormatting sqref="M33:O42">
    <cfRule type="cellIs" dxfId="8389" priority="5765" operator="equal">
      <formula>"OFF"</formula>
    </cfRule>
    <cfRule type="cellIs" dxfId="8388" priority="5766" operator="equal">
      <formula>"PTO"</formula>
    </cfRule>
  </conditionalFormatting>
  <conditionalFormatting sqref="M33:O42">
    <cfRule type="cellIs" dxfId="8387" priority="5763" operator="equal">
      <formula>"OFF"</formula>
    </cfRule>
    <cfRule type="cellIs" dxfId="8386" priority="5764" operator="equal">
      <formula>"PTO"</formula>
    </cfRule>
  </conditionalFormatting>
  <conditionalFormatting sqref="M33:O42">
    <cfRule type="cellIs" dxfId="8385" priority="5761" operator="equal">
      <formula>"OFF"</formula>
    </cfRule>
    <cfRule type="cellIs" dxfId="8384" priority="5762" operator="equal">
      <formula>"PTO"</formula>
    </cfRule>
  </conditionalFormatting>
  <conditionalFormatting sqref="M33:O42">
    <cfRule type="cellIs" dxfId="8383" priority="5759" operator="equal">
      <formula>"OFF"</formula>
    </cfRule>
    <cfRule type="cellIs" dxfId="8382" priority="5760" operator="equal">
      <formula>"PTO"</formula>
    </cfRule>
  </conditionalFormatting>
  <conditionalFormatting sqref="M33:O42">
    <cfRule type="cellIs" dxfId="8381" priority="5757" operator="equal">
      <formula>"OFF"</formula>
    </cfRule>
    <cfRule type="cellIs" dxfId="8380" priority="5758" operator="equal">
      <formula>"PTO"</formula>
    </cfRule>
  </conditionalFormatting>
  <conditionalFormatting sqref="M33:O42">
    <cfRule type="cellIs" dxfId="8379" priority="5755" operator="equal">
      <formula>"OFF"</formula>
    </cfRule>
    <cfRule type="cellIs" dxfId="8378" priority="5756" operator="equal">
      <formula>"PTO"</formula>
    </cfRule>
  </conditionalFormatting>
  <conditionalFormatting sqref="M33:O42">
    <cfRule type="cellIs" dxfId="8377" priority="5749" operator="equal">
      <formula>"OFF"</formula>
    </cfRule>
    <cfRule type="cellIs" dxfId="8376" priority="5750" operator="equal">
      <formula>"PTO"</formula>
    </cfRule>
  </conditionalFormatting>
  <conditionalFormatting sqref="M33:O42">
    <cfRule type="cellIs" dxfId="8375" priority="5747" operator="equal">
      <formula>"OFF"</formula>
    </cfRule>
    <cfRule type="cellIs" dxfId="8374" priority="5748" operator="equal">
      <formula>"PTO"</formula>
    </cfRule>
  </conditionalFormatting>
  <conditionalFormatting sqref="M33:O42">
    <cfRule type="cellIs" dxfId="8373" priority="5745" operator="equal">
      <formula>"OFF"</formula>
    </cfRule>
    <cfRule type="cellIs" dxfId="8372" priority="5746" operator="equal">
      <formula>"PTO"</formula>
    </cfRule>
  </conditionalFormatting>
  <conditionalFormatting sqref="M33:O42">
    <cfRule type="cellIs" dxfId="8371" priority="5743" operator="equal">
      <formula>"OFF"</formula>
    </cfRule>
    <cfRule type="cellIs" dxfId="8370" priority="5744" operator="equal">
      <formula>"PTO"</formula>
    </cfRule>
  </conditionalFormatting>
  <conditionalFormatting sqref="M33:O42">
    <cfRule type="cellIs" dxfId="8369" priority="5741" operator="equal">
      <formula>"OFF"</formula>
    </cfRule>
    <cfRule type="cellIs" dxfId="8368" priority="5742" operator="equal">
      <formula>"PTO"</formula>
    </cfRule>
  </conditionalFormatting>
  <conditionalFormatting sqref="M33:O42">
    <cfRule type="cellIs" dxfId="8367" priority="5739" operator="equal">
      <formula>"OFF"</formula>
    </cfRule>
    <cfRule type="cellIs" dxfId="8366" priority="5740" operator="equal">
      <formula>"PTO"</formula>
    </cfRule>
  </conditionalFormatting>
  <conditionalFormatting sqref="M33:O42">
    <cfRule type="cellIs" dxfId="8365" priority="5737" operator="equal">
      <formula>"OFF"</formula>
    </cfRule>
    <cfRule type="cellIs" dxfId="8364" priority="5738" operator="equal">
      <formula>"PTO"</formula>
    </cfRule>
  </conditionalFormatting>
  <conditionalFormatting sqref="M33:O42">
    <cfRule type="cellIs" dxfId="8363" priority="5735" operator="equal">
      <formula>"OFF"</formula>
    </cfRule>
    <cfRule type="cellIs" dxfId="8362" priority="5736" operator="equal">
      <formula>"PTO"</formula>
    </cfRule>
  </conditionalFormatting>
  <conditionalFormatting sqref="M33:O42">
    <cfRule type="cellIs" dxfId="8361" priority="5733" operator="equal">
      <formula>"OFF"</formula>
    </cfRule>
    <cfRule type="cellIs" dxfId="8360" priority="5734" operator="equal">
      <formula>"PTO"</formula>
    </cfRule>
  </conditionalFormatting>
  <conditionalFormatting sqref="M33:O42">
    <cfRule type="cellIs" dxfId="8359" priority="5731" operator="equal">
      <formula>"OFF"</formula>
    </cfRule>
    <cfRule type="cellIs" dxfId="8358" priority="5732" operator="equal">
      <formula>"PTO"</formula>
    </cfRule>
  </conditionalFormatting>
  <conditionalFormatting sqref="M33:O42">
    <cfRule type="cellIs" dxfId="8357" priority="5729" operator="equal">
      <formula>"OFF"</formula>
    </cfRule>
    <cfRule type="cellIs" dxfId="8356" priority="5730" operator="equal">
      <formula>"PTO"</formula>
    </cfRule>
  </conditionalFormatting>
  <conditionalFormatting sqref="M33:O42">
    <cfRule type="cellIs" dxfId="8355" priority="5727" operator="equal">
      <formula>"OFF"</formula>
    </cfRule>
    <cfRule type="cellIs" dxfId="8354" priority="5728" operator="equal">
      <formula>"PTO"</formula>
    </cfRule>
  </conditionalFormatting>
  <conditionalFormatting sqref="M33:O42">
    <cfRule type="cellIs" dxfId="8353" priority="5725" operator="equal">
      <formula>"OFF"</formula>
    </cfRule>
    <cfRule type="cellIs" dxfId="8352" priority="5726" operator="equal">
      <formula>"PTO"</formula>
    </cfRule>
  </conditionalFormatting>
  <conditionalFormatting sqref="M33:O42">
    <cfRule type="cellIs" dxfId="8351" priority="5723" operator="equal">
      <formula>"OFF"</formula>
    </cfRule>
    <cfRule type="cellIs" dxfId="8350" priority="5724" operator="equal">
      <formula>"PTO"</formula>
    </cfRule>
  </conditionalFormatting>
  <conditionalFormatting sqref="M33:O42">
    <cfRule type="cellIs" dxfId="8349" priority="5721" operator="equal">
      <formula>"OFF"</formula>
    </cfRule>
    <cfRule type="cellIs" dxfId="8348" priority="5722" operator="equal">
      <formula>"PTO"</formula>
    </cfRule>
  </conditionalFormatting>
  <conditionalFormatting sqref="M33:O42">
    <cfRule type="cellIs" dxfId="8347" priority="5719" operator="equal">
      <formula>"OFF"</formula>
    </cfRule>
    <cfRule type="cellIs" dxfId="8346" priority="5720" operator="equal">
      <formula>"PTO"</formula>
    </cfRule>
  </conditionalFormatting>
  <conditionalFormatting sqref="M33:O42">
    <cfRule type="cellIs" dxfId="8345" priority="5717" operator="equal">
      <formula>"OFF"</formula>
    </cfRule>
    <cfRule type="cellIs" dxfId="8344" priority="5718" operator="equal">
      <formula>"PTO"</formula>
    </cfRule>
  </conditionalFormatting>
  <conditionalFormatting sqref="M33:O42">
    <cfRule type="cellIs" dxfId="8343" priority="5715" operator="equal">
      <formula>"OFF"</formula>
    </cfRule>
    <cfRule type="cellIs" dxfId="8342" priority="5716" operator="equal">
      <formula>"PTO"</formula>
    </cfRule>
  </conditionalFormatting>
  <conditionalFormatting sqref="M33:O42">
    <cfRule type="cellIs" dxfId="8341" priority="5713" operator="equal">
      <formula>"OFF"</formula>
    </cfRule>
    <cfRule type="cellIs" dxfId="8340" priority="5714" operator="equal">
      <formula>"PTO"</formula>
    </cfRule>
  </conditionalFormatting>
  <conditionalFormatting sqref="M33:O42">
    <cfRule type="cellIs" dxfId="8339" priority="5711" operator="equal">
      <formula>"OFF"</formula>
    </cfRule>
    <cfRule type="cellIs" dxfId="8338" priority="5712" operator="equal">
      <formula>"PTO"</formula>
    </cfRule>
  </conditionalFormatting>
  <conditionalFormatting sqref="M33:O42">
    <cfRule type="cellIs" dxfId="8337" priority="5709" operator="equal">
      <formula>"OFF"</formula>
    </cfRule>
    <cfRule type="cellIs" dxfId="8336" priority="5710" operator="equal">
      <formula>"PTO"</formula>
    </cfRule>
  </conditionalFormatting>
  <conditionalFormatting sqref="M33:O42">
    <cfRule type="cellIs" dxfId="8335" priority="5707" operator="equal">
      <formula>"OFF"</formula>
    </cfRule>
    <cfRule type="cellIs" dxfId="8334" priority="5708" operator="equal">
      <formula>"PTO"</formula>
    </cfRule>
  </conditionalFormatting>
  <conditionalFormatting sqref="M33:O42">
    <cfRule type="cellIs" dxfId="8333" priority="5705" operator="equal">
      <formula>"OFF"</formula>
    </cfRule>
    <cfRule type="cellIs" dxfId="8332" priority="5706" operator="equal">
      <formula>"PTO"</formula>
    </cfRule>
  </conditionalFormatting>
  <conditionalFormatting sqref="M33:O42">
    <cfRule type="cellIs" dxfId="8331" priority="5703" operator="equal">
      <formula>"OFF"</formula>
    </cfRule>
    <cfRule type="cellIs" dxfId="8330" priority="5704" operator="equal">
      <formula>"PTO"</formula>
    </cfRule>
  </conditionalFormatting>
  <conditionalFormatting sqref="M33:O42">
    <cfRule type="cellIs" dxfId="8329" priority="5701" operator="equal">
      <formula>"OFF"</formula>
    </cfRule>
    <cfRule type="cellIs" dxfId="8328" priority="5702" operator="equal">
      <formula>"PTO"</formula>
    </cfRule>
  </conditionalFormatting>
  <conditionalFormatting sqref="M33:O42">
    <cfRule type="cellIs" dxfId="8327" priority="5699" operator="equal">
      <formula>"OFF"</formula>
    </cfRule>
    <cfRule type="cellIs" dxfId="8326" priority="5700" operator="equal">
      <formula>"PTO"</formula>
    </cfRule>
  </conditionalFormatting>
  <conditionalFormatting sqref="M33:O42">
    <cfRule type="cellIs" dxfId="8325" priority="5697" operator="equal">
      <formula>"OFF"</formula>
    </cfRule>
    <cfRule type="cellIs" dxfId="8324" priority="5698" operator="equal">
      <formula>"PTO"</formula>
    </cfRule>
  </conditionalFormatting>
  <conditionalFormatting sqref="M33:O42">
    <cfRule type="cellIs" dxfId="8323" priority="5695" operator="equal">
      <formula>"OFF"</formula>
    </cfRule>
    <cfRule type="cellIs" dxfId="8322" priority="5696" operator="equal">
      <formula>"PTO"</formula>
    </cfRule>
  </conditionalFormatting>
  <conditionalFormatting sqref="M33:O42">
    <cfRule type="cellIs" dxfId="8321" priority="5693" operator="equal">
      <formula>"OFF"</formula>
    </cfRule>
    <cfRule type="cellIs" dxfId="8320" priority="5694" operator="equal">
      <formula>"PTO"</formula>
    </cfRule>
  </conditionalFormatting>
  <conditionalFormatting sqref="M33:O42">
    <cfRule type="cellIs" dxfId="8319" priority="5691" operator="equal">
      <formula>"OFF"</formula>
    </cfRule>
    <cfRule type="cellIs" dxfId="8318" priority="5692" operator="equal">
      <formula>"PTO"</formula>
    </cfRule>
  </conditionalFormatting>
  <conditionalFormatting sqref="M33:O42">
    <cfRule type="cellIs" dxfId="8317" priority="5689" operator="equal">
      <formula>"OFF"</formula>
    </cfRule>
    <cfRule type="cellIs" dxfId="8316" priority="5690" operator="equal">
      <formula>"PTO"</formula>
    </cfRule>
  </conditionalFormatting>
  <conditionalFormatting sqref="M33:O42">
    <cfRule type="cellIs" dxfId="8315" priority="5687" operator="equal">
      <formula>"OFF"</formula>
    </cfRule>
    <cfRule type="cellIs" dxfId="8314" priority="5688" operator="equal">
      <formula>"PTO"</formula>
    </cfRule>
  </conditionalFormatting>
  <conditionalFormatting sqref="M33:O42">
    <cfRule type="cellIs" dxfId="8313" priority="5685" operator="equal">
      <formula>"OFF"</formula>
    </cfRule>
    <cfRule type="cellIs" dxfId="8312" priority="5686" operator="equal">
      <formula>"PTO"</formula>
    </cfRule>
  </conditionalFormatting>
  <conditionalFormatting sqref="M33:O42">
    <cfRule type="cellIs" dxfId="8311" priority="5683" operator="equal">
      <formula>"OFF"</formula>
    </cfRule>
    <cfRule type="cellIs" dxfId="8310" priority="5684" operator="equal">
      <formula>"PTO"</formula>
    </cfRule>
  </conditionalFormatting>
  <conditionalFormatting sqref="M33:O42">
    <cfRule type="cellIs" dxfId="8309" priority="5681" operator="equal">
      <formula>"OFF"</formula>
    </cfRule>
    <cfRule type="cellIs" dxfId="8308" priority="5682" operator="equal">
      <formula>"PTO"</formula>
    </cfRule>
  </conditionalFormatting>
  <conditionalFormatting sqref="M33:O42">
    <cfRule type="cellIs" dxfId="8307" priority="5679" operator="equal">
      <formula>"OFF"</formula>
    </cfRule>
    <cfRule type="cellIs" dxfId="8306" priority="5680" operator="equal">
      <formula>"PTO"</formula>
    </cfRule>
  </conditionalFormatting>
  <conditionalFormatting sqref="M33:O42">
    <cfRule type="cellIs" dxfId="8305" priority="5677" operator="equal">
      <formula>"OFF"</formula>
    </cfRule>
    <cfRule type="cellIs" dxfId="8304" priority="5678" operator="equal">
      <formula>"PTO"</formula>
    </cfRule>
  </conditionalFormatting>
  <conditionalFormatting sqref="M33:O42">
    <cfRule type="cellIs" dxfId="8303" priority="5675" operator="equal">
      <formula>"OFF"</formula>
    </cfRule>
    <cfRule type="cellIs" dxfId="8302" priority="5676" operator="equal">
      <formula>"PTO"</formula>
    </cfRule>
  </conditionalFormatting>
  <conditionalFormatting sqref="M33:O42">
    <cfRule type="cellIs" dxfId="8301" priority="5673" operator="equal">
      <formula>"OFF"</formula>
    </cfRule>
    <cfRule type="cellIs" dxfId="8300" priority="5674" operator="equal">
      <formula>"PTO"</formula>
    </cfRule>
  </conditionalFormatting>
  <conditionalFormatting sqref="M33:O42">
    <cfRule type="cellIs" dxfId="8299" priority="5671" operator="equal">
      <formula>"OFF"</formula>
    </cfRule>
    <cfRule type="cellIs" dxfId="8298" priority="5672" operator="equal">
      <formula>"PTO"</formula>
    </cfRule>
  </conditionalFormatting>
  <conditionalFormatting sqref="M33:O42">
    <cfRule type="cellIs" dxfId="8297" priority="5669" operator="equal">
      <formula>"OFF"</formula>
    </cfRule>
    <cfRule type="cellIs" dxfId="8296" priority="5670" operator="equal">
      <formula>"PTO"</formula>
    </cfRule>
  </conditionalFormatting>
  <conditionalFormatting sqref="M33:O42">
    <cfRule type="cellIs" dxfId="8295" priority="5667" operator="equal">
      <formula>"OFF"</formula>
    </cfRule>
    <cfRule type="cellIs" dxfId="8294" priority="5668" operator="equal">
      <formula>"PTO"</formula>
    </cfRule>
  </conditionalFormatting>
  <conditionalFormatting sqref="M33:O42">
    <cfRule type="cellIs" dxfId="8293" priority="5665" operator="equal">
      <formula>"OFF"</formula>
    </cfRule>
    <cfRule type="cellIs" dxfId="8292" priority="5666" operator="equal">
      <formula>"PTO"</formula>
    </cfRule>
  </conditionalFormatting>
  <conditionalFormatting sqref="M33:O42">
    <cfRule type="cellIs" dxfId="8291" priority="5663" operator="equal">
      <formula>"OFF"</formula>
    </cfRule>
    <cfRule type="cellIs" dxfId="8290" priority="5664" operator="equal">
      <formula>"PTO"</formula>
    </cfRule>
  </conditionalFormatting>
  <conditionalFormatting sqref="M33:O42">
    <cfRule type="cellIs" dxfId="8289" priority="5661" operator="equal">
      <formula>"OFF"</formula>
    </cfRule>
    <cfRule type="cellIs" dxfId="8288" priority="5662" operator="equal">
      <formula>"PTO"</formula>
    </cfRule>
  </conditionalFormatting>
  <conditionalFormatting sqref="M33:O42">
    <cfRule type="cellIs" dxfId="8287" priority="5659" operator="equal">
      <formula>"OFF"</formula>
    </cfRule>
    <cfRule type="cellIs" dxfId="8286" priority="5660" operator="equal">
      <formula>"PTO"</formula>
    </cfRule>
  </conditionalFormatting>
  <conditionalFormatting sqref="M33:O42">
    <cfRule type="cellIs" dxfId="8285" priority="5657" operator="equal">
      <formula>"OFF"</formula>
    </cfRule>
    <cfRule type="cellIs" dxfId="8284" priority="5658" operator="equal">
      <formula>"PTO"</formula>
    </cfRule>
  </conditionalFormatting>
  <conditionalFormatting sqref="M33:O42">
    <cfRule type="cellIs" dxfId="8283" priority="5655" operator="equal">
      <formula>"OFF"</formula>
    </cfRule>
    <cfRule type="cellIs" dxfId="8282" priority="5656" operator="equal">
      <formula>"PTO"</formula>
    </cfRule>
  </conditionalFormatting>
  <conditionalFormatting sqref="M33:O42">
    <cfRule type="cellIs" dxfId="8281" priority="5653" operator="equal">
      <formula>"OFF"</formula>
    </cfRule>
    <cfRule type="cellIs" dxfId="8280" priority="5654" operator="equal">
      <formula>"PTO"</formula>
    </cfRule>
  </conditionalFormatting>
  <conditionalFormatting sqref="M33:O42">
    <cfRule type="cellIs" dxfId="8279" priority="5651" operator="equal">
      <formula>"OFF"</formula>
    </cfRule>
    <cfRule type="cellIs" dxfId="8278" priority="5652" operator="equal">
      <formula>"PTO"</formula>
    </cfRule>
  </conditionalFormatting>
  <conditionalFormatting sqref="M33:O42">
    <cfRule type="cellIs" dxfId="8277" priority="5649" operator="equal">
      <formula>"OFF"</formula>
    </cfRule>
    <cfRule type="cellIs" dxfId="8276" priority="5650" operator="equal">
      <formula>"PTO"</formula>
    </cfRule>
  </conditionalFormatting>
  <conditionalFormatting sqref="M33:O42">
    <cfRule type="cellIs" dxfId="8275" priority="5647" operator="equal">
      <formula>"OFF"</formula>
    </cfRule>
    <cfRule type="cellIs" dxfId="8274" priority="5648" operator="equal">
      <formula>"PTO"</formula>
    </cfRule>
  </conditionalFormatting>
  <conditionalFormatting sqref="M33:O42">
    <cfRule type="cellIs" dxfId="8273" priority="5645" operator="equal">
      <formula>"OFF"</formula>
    </cfRule>
    <cfRule type="cellIs" dxfId="8272" priority="5646" operator="equal">
      <formula>"PTO"</formula>
    </cfRule>
  </conditionalFormatting>
  <conditionalFormatting sqref="M33:O42">
    <cfRule type="cellIs" dxfId="8271" priority="5643" operator="equal">
      <formula>"OFF"</formula>
    </cfRule>
    <cfRule type="cellIs" dxfId="8270" priority="5644" operator="equal">
      <formula>"PTO"</formula>
    </cfRule>
  </conditionalFormatting>
  <conditionalFormatting sqref="M33:O42">
    <cfRule type="cellIs" dxfId="8269" priority="5641" operator="equal">
      <formula>"OFF"</formula>
    </cfRule>
    <cfRule type="cellIs" dxfId="8268" priority="5642" operator="equal">
      <formula>"PTO"</formula>
    </cfRule>
  </conditionalFormatting>
  <conditionalFormatting sqref="M33:O42">
    <cfRule type="cellIs" dxfId="8267" priority="5639" operator="equal">
      <formula>"OFF"</formula>
    </cfRule>
    <cfRule type="cellIs" dxfId="8266" priority="5640" operator="equal">
      <formula>"PTO"</formula>
    </cfRule>
  </conditionalFormatting>
  <conditionalFormatting sqref="Q33:Q42">
    <cfRule type="cellIs" dxfId="8265" priority="5635" operator="equal">
      <formula>"OFF"</formula>
    </cfRule>
    <cfRule type="cellIs" dxfId="8264" priority="5636" operator="equal">
      <formula>"PTO"</formula>
    </cfRule>
  </conditionalFormatting>
  <conditionalFormatting sqref="Q34">
    <cfRule type="cellIs" dxfId="8263" priority="5633" operator="equal">
      <formula>"OFF"</formula>
    </cfRule>
    <cfRule type="cellIs" dxfId="8262" priority="5634" operator="equal">
      <formula>"PTO"</formula>
    </cfRule>
  </conditionalFormatting>
  <conditionalFormatting sqref="Q34">
    <cfRule type="cellIs" dxfId="8261" priority="5631" operator="equal">
      <formula>"OFF"</formula>
    </cfRule>
    <cfRule type="cellIs" dxfId="8260" priority="5632" operator="equal">
      <formula>"PTO"</formula>
    </cfRule>
  </conditionalFormatting>
  <conditionalFormatting sqref="Q34">
    <cfRule type="cellIs" dxfId="8259" priority="5629" operator="equal">
      <formula>"OFF"</formula>
    </cfRule>
    <cfRule type="cellIs" dxfId="8258" priority="5630" operator="equal">
      <formula>"PTO"</formula>
    </cfRule>
  </conditionalFormatting>
  <conditionalFormatting sqref="Q34">
    <cfRule type="cellIs" dxfId="8257" priority="5627" operator="equal">
      <formula>"OFF"</formula>
    </cfRule>
    <cfRule type="cellIs" dxfId="8256" priority="5628" operator="equal">
      <formula>"PTO"</formula>
    </cfRule>
  </conditionalFormatting>
  <conditionalFormatting sqref="Q33:Q42">
    <cfRule type="cellIs" dxfId="8255" priority="5609" operator="equal">
      <formula>"OFF"</formula>
    </cfRule>
    <cfRule type="cellIs" dxfId="8254" priority="5610" operator="equal">
      <formula>"PTO"</formula>
    </cfRule>
  </conditionalFormatting>
  <conditionalFormatting sqref="Q33:Q42">
    <cfRule type="cellIs" dxfId="8253" priority="5599" operator="equal">
      <formula>"OFF"</formula>
    </cfRule>
    <cfRule type="cellIs" dxfId="8252" priority="5600" operator="equal">
      <formula>"PTO"</formula>
    </cfRule>
  </conditionalFormatting>
  <conditionalFormatting sqref="Q33:Q42">
    <cfRule type="cellIs" dxfId="8251" priority="5581" operator="equal">
      <formula>"OFF"</formula>
    </cfRule>
    <cfRule type="cellIs" dxfId="8250" priority="5582" operator="equal">
      <formula>"PTO"</formula>
    </cfRule>
  </conditionalFormatting>
  <conditionalFormatting sqref="Q33:Q42">
    <cfRule type="cellIs" dxfId="8249" priority="5579" operator="equal">
      <formula>"OFF"</formula>
    </cfRule>
    <cfRule type="cellIs" dxfId="8248" priority="5580" operator="equal">
      <formula>"PTO"</formula>
    </cfRule>
  </conditionalFormatting>
  <conditionalFormatting sqref="Q38:Q42">
    <cfRule type="cellIs" dxfId="8247" priority="5637" operator="equal">
      <formula>"OFF"</formula>
    </cfRule>
    <cfRule type="cellIs" dxfId="8246" priority="5638" operator="equal">
      <formula>"PTO"</formula>
    </cfRule>
  </conditionalFormatting>
  <conditionalFormatting sqref="Q36">
    <cfRule type="cellIs" dxfId="8245" priority="5625" operator="equal">
      <formula>"OFF"</formula>
    </cfRule>
    <cfRule type="cellIs" dxfId="8244" priority="5626" operator="equal">
      <formula>"PTO"</formula>
    </cfRule>
  </conditionalFormatting>
  <conditionalFormatting sqref="Q33:Q42">
    <cfRule type="cellIs" dxfId="8243" priority="5623" operator="equal">
      <formula>"OFF"</formula>
    </cfRule>
    <cfRule type="cellIs" dxfId="8242" priority="5624" operator="equal">
      <formula>"PTO"</formula>
    </cfRule>
  </conditionalFormatting>
  <conditionalFormatting sqref="Q34">
    <cfRule type="cellIs" dxfId="8241" priority="5621" operator="equal">
      <formula>"OFF"</formula>
    </cfRule>
    <cfRule type="cellIs" dxfId="8240" priority="5622" operator="equal">
      <formula>"PTO"</formula>
    </cfRule>
  </conditionalFormatting>
  <conditionalFormatting sqref="Q34">
    <cfRule type="cellIs" dxfId="8239" priority="5619" operator="equal">
      <formula>"OFF"</formula>
    </cfRule>
    <cfRule type="cellIs" dxfId="8238" priority="5620" operator="equal">
      <formula>"PTO"</formula>
    </cfRule>
  </conditionalFormatting>
  <conditionalFormatting sqref="Q34">
    <cfRule type="cellIs" dxfId="8237" priority="5617" operator="equal">
      <formula>"OFF"</formula>
    </cfRule>
    <cfRule type="cellIs" dxfId="8236" priority="5618" operator="equal">
      <formula>"PTO"</formula>
    </cfRule>
  </conditionalFormatting>
  <conditionalFormatting sqref="Q34">
    <cfRule type="cellIs" dxfId="8235" priority="5615" operator="equal">
      <formula>"OFF"</formula>
    </cfRule>
    <cfRule type="cellIs" dxfId="8234" priority="5616" operator="equal">
      <formula>"PTO"</formula>
    </cfRule>
  </conditionalFormatting>
  <conditionalFormatting sqref="Q36">
    <cfRule type="cellIs" dxfId="8233" priority="5613" operator="equal">
      <formula>"OFF"</formula>
    </cfRule>
    <cfRule type="cellIs" dxfId="8232" priority="5614" operator="equal">
      <formula>"PTO"</formula>
    </cfRule>
  </conditionalFormatting>
  <conditionalFormatting sqref="Q33:Q42">
    <cfRule type="cellIs" dxfId="8231" priority="5611" operator="equal">
      <formula>"OFF"</formula>
    </cfRule>
    <cfRule type="cellIs" dxfId="8230" priority="5612" operator="equal">
      <formula>"PTO"</formula>
    </cfRule>
  </conditionalFormatting>
  <conditionalFormatting sqref="Q33:Q42">
    <cfRule type="cellIs" dxfId="8229" priority="5607" operator="equal">
      <formula>"OFF"</formula>
    </cfRule>
    <cfRule type="cellIs" dxfId="8228" priority="5608" operator="equal">
      <formula>"PTO"</formula>
    </cfRule>
  </conditionalFormatting>
  <conditionalFormatting sqref="Q33:Q42">
    <cfRule type="cellIs" dxfId="8227" priority="5605" operator="equal">
      <formula>"OFF"</formula>
    </cfRule>
    <cfRule type="cellIs" dxfId="8226" priority="5606" operator="equal">
      <formula>"PTO"</formula>
    </cfRule>
  </conditionalFormatting>
  <conditionalFormatting sqref="Q35">
    <cfRule type="cellIs" dxfId="8225" priority="5603" operator="equal">
      <formula>"OFF"</formula>
    </cfRule>
    <cfRule type="cellIs" dxfId="8224" priority="5604" operator="equal">
      <formula>"PTO"</formula>
    </cfRule>
  </conditionalFormatting>
  <conditionalFormatting sqref="Q33:Q42">
    <cfRule type="cellIs" dxfId="8223" priority="5601" operator="equal">
      <formula>"OFF"</formula>
    </cfRule>
    <cfRule type="cellIs" dxfId="8222" priority="5602" operator="equal">
      <formula>"PTO"</formula>
    </cfRule>
  </conditionalFormatting>
  <conditionalFormatting sqref="Q33:Q42">
    <cfRule type="cellIs" dxfId="8221" priority="5597" operator="equal">
      <formula>"OFF"</formula>
    </cfRule>
    <cfRule type="cellIs" dxfId="8220" priority="5598" operator="equal">
      <formula>"PTO"</formula>
    </cfRule>
  </conditionalFormatting>
  <conditionalFormatting sqref="Q33:Q42">
    <cfRule type="cellIs" dxfId="8219" priority="5595" operator="equal">
      <formula>"OFF"</formula>
    </cfRule>
    <cfRule type="cellIs" dxfId="8218" priority="5596" operator="equal">
      <formula>"PTO"</formula>
    </cfRule>
  </conditionalFormatting>
  <conditionalFormatting sqref="Q35">
    <cfRule type="cellIs" dxfId="8217" priority="5593" operator="equal">
      <formula>"OFF"</formula>
    </cfRule>
    <cfRule type="cellIs" dxfId="8216" priority="5594" operator="equal">
      <formula>"PTO"</formula>
    </cfRule>
  </conditionalFormatting>
  <conditionalFormatting sqref="Q33:Q42">
    <cfRule type="cellIs" dxfId="8215" priority="5591" operator="equal">
      <formula>"OFF"</formula>
    </cfRule>
    <cfRule type="cellIs" dxfId="8214" priority="5592" operator="equal">
      <formula>"PTO"</formula>
    </cfRule>
  </conditionalFormatting>
  <conditionalFormatting sqref="Q33:Q42">
    <cfRule type="cellIs" dxfId="8213" priority="5589" operator="equal">
      <formula>"OFF"</formula>
    </cfRule>
    <cfRule type="cellIs" dxfId="8212" priority="5590" operator="equal">
      <formula>"PTO"</formula>
    </cfRule>
  </conditionalFormatting>
  <conditionalFormatting sqref="Q33:Q42">
    <cfRule type="cellIs" dxfId="8211" priority="5587" operator="equal">
      <formula>"OFF"</formula>
    </cfRule>
    <cfRule type="cellIs" dxfId="8210" priority="5588" operator="equal">
      <formula>"PTO"</formula>
    </cfRule>
  </conditionalFormatting>
  <conditionalFormatting sqref="Q33:Q42">
    <cfRule type="cellIs" dxfId="8209" priority="5585" operator="equal">
      <formula>"OFF"</formula>
    </cfRule>
    <cfRule type="cellIs" dxfId="8208" priority="5586" operator="equal">
      <formula>"PTO"</formula>
    </cfRule>
  </conditionalFormatting>
  <conditionalFormatting sqref="Q33:Q42">
    <cfRule type="cellIs" dxfId="8207" priority="5583" operator="equal">
      <formula>"OFF"</formula>
    </cfRule>
    <cfRule type="cellIs" dxfId="8206" priority="5584" operator="equal">
      <formula>"PTO"</formula>
    </cfRule>
  </conditionalFormatting>
  <conditionalFormatting sqref="Q33:Q42">
    <cfRule type="cellIs" dxfId="8205" priority="5577" operator="equal">
      <formula>"OFF"</formula>
    </cfRule>
    <cfRule type="cellIs" dxfId="8204" priority="5578" operator="equal">
      <formula>"PTO"</formula>
    </cfRule>
  </conditionalFormatting>
  <conditionalFormatting sqref="Q34">
    <cfRule type="cellIs" dxfId="8203" priority="5575" operator="equal">
      <formula>"OFF"</formula>
    </cfRule>
    <cfRule type="cellIs" dxfId="8202" priority="5576" operator="equal">
      <formula>"PTO"</formula>
    </cfRule>
  </conditionalFormatting>
  <conditionalFormatting sqref="Q34">
    <cfRule type="cellIs" dxfId="8201" priority="5573" operator="equal">
      <formula>"OFF"</formula>
    </cfRule>
    <cfRule type="cellIs" dxfId="8200" priority="5574" operator="equal">
      <formula>"PTO"</formula>
    </cfRule>
  </conditionalFormatting>
  <conditionalFormatting sqref="Q33:Q42">
    <cfRule type="cellIs" dxfId="8199" priority="5571" operator="equal">
      <formula>"OFF"</formula>
    </cfRule>
    <cfRule type="cellIs" dxfId="8198" priority="5572" operator="equal">
      <formula>"PTO"</formula>
    </cfRule>
  </conditionalFormatting>
  <conditionalFormatting sqref="Q33:Q42">
    <cfRule type="cellIs" dxfId="8197" priority="5569" operator="equal">
      <formula>"OFF"</formula>
    </cfRule>
    <cfRule type="cellIs" dxfId="8196" priority="5570" operator="equal">
      <formula>"PTO"</formula>
    </cfRule>
  </conditionalFormatting>
  <conditionalFormatting sqref="Q33:Q42">
    <cfRule type="cellIs" dxfId="8195" priority="5567" operator="equal">
      <formula>"OFF"</formula>
    </cfRule>
    <cfRule type="cellIs" dxfId="8194" priority="5568" operator="equal">
      <formula>"PTO"</formula>
    </cfRule>
  </conditionalFormatting>
  <conditionalFormatting sqref="Q33:Q42">
    <cfRule type="cellIs" dxfId="8193" priority="5565" operator="equal">
      <formula>"OFF"</formula>
    </cfRule>
    <cfRule type="cellIs" dxfId="8192" priority="5566" operator="equal">
      <formula>"PTO"</formula>
    </cfRule>
  </conditionalFormatting>
  <conditionalFormatting sqref="Q33:Q42">
    <cfRule type="cellIs" dxfId="8191" priority="5563" operator="equal">
      <formula>"OFF"</formula>
    </cfRule>
    <cfRule type="cellIs" dxfId="8190" priority="5564" operator="equal">
      <formula>"PTO"</formula>
    </cfRule>
  </conditionalFormatting>
  <conditionalFormatting sqref="Q33:Q42">
    <cfRule type="cellIs" dxfId="8189" priority="5561" operator="equal">
      <formula>"OFF"</formula>
    </cfRule>
    <cfRule type="cellIs" dxfId="8188" priority="5562" operator="equal">
      <formula>"PTO"</formula>
    </cfRule>
  </conditionalFormatting>
  <conditionalFormatting sqref="Q33:Q42">
    <cfRule type="cellIs" dxfId="8187" priority="5559" operator="equal">
      <formula>"OFF"</formula>
    </cfRule>
    <cfRule type="cellIs" dxfId="8186" priority="5560" operator="equal">
      <formula>"PTO"</formula>
    </cfRule>
  </conditionalFormatting>
  <conditionalFormatting sqref="Q33:Q42">
    <cfRule type="cellIs" dxfId="8185" priority="5557" operator="equal">
      <formula>"OFF"</formula>
    </cfRule>
    <cfRule type="cellIs" dxfId="8184" priority="5558" operator="equal">
      <formula>"PTO"</formula>
    </cfRule>
  </conditionalFormatting>
  <conditionalFormatting sqref="Q33:Q42">
    <cfRule type="cellIs" dxfId="8183" priority="5555" operator="equal">
      <formula>"OFF"</formula>
    </cfRule>
    <cfRule type="cellIs" dxfId="8182" priority="5556" operator="equal">
      <formula>"PTO"</formula>
    </cfRule>
  </conditionalFormatting>
  <conditionalFormatting sqref="Q33:Q42">
    <cfRule type="cellIs" dxfId="8181" priority="5553" operator="equal">
      <formula>"OFF"</formula>
    </cfRule>
    <cfRule type="cellIs" dxfId="8180" priority="5554" operator="equal">
      <formula>"PTO"</formula>
    </cfRule>
  </conditionalFormatting>
  <conditionalFormatting sqref="Q33:Q42">
    <cfRule type="cellIs" dxfId="8179" priority="5551" operator="equal">
      <formula>"OFF"</formula>
    </cfRule>
    <cfRule type="cellIs" dxfId="8178" priority="5552" operator="equal">
      <formula>"PTO"</formula>
    </cfRule>
  </conditionalFormatting>
  <conditionalFormatting sqref="Q33:Q42">
    <cfRule type="cellIs" dxfId="8177" priority="5549" operator="equal">
      <formula>"OFF"</formula>
    </cfRule>
    <cfRule type="cellIs" dxfId="8176" priority="5550" operator="equal">
      <formula>"PTO"</formula>
    </cfRule>
  </conditionalFormatting>
  <conditionalFormatting sqref="Q33:Q42">
    <cfRule type="cellIs" dxfId="8175" priority="5547" operator="equal">
      <formula>"OFF"</formula>
    </cfRule>
    <cfRule type="cellIs" dxfId="8174" priority="5548" operator="equal">
      <formula>"PTO"</formula>
    </cfRule>
  </conditionalFormatting>
  <conditionalFormatting sqref="Q33:Q42">
    <cfRule type="cellIs" dxfId="8173" priority="5545" operator="equal">
      <formula>"OFF"</formula>
    </cfRule>
    <cfRule type="cellIs" dxfId="8172" priority="5546" operator="equal">
      <formula>"PTO"</formula>
    </cfRule>
  </conditionalFormatting>
  <conditionalFormatting sqref="Q33:Q42">
    <cfRule type="cellIs" dxfId="8171" priority="5543" operator="equal">
      <formula>"OFF"</formula>
    </cfRule>
    <cfRule type="cellIs" dxfId="8170" priority="5544" operator="equal">
      <formula>"PTO"</formula>
    </cfRule>
  </conditionalFormatting>
  <conditionalFormatting sqref="Q33:Q42">
    <cfRule type="cellIs" dxfId="8169" priority="5541" operator="equal">
      <formula>"OFF"</formula>
    </cfRule>
    <cfRule type="cellIs" dxfId="8168" priority="5542" operator="equal">
      <formula>"PTO"</formula>
    </cfRule>
  </conditionalFormatting>
  <conditionalFormatting sqref="Q33:Q42">
    <cfRule type="cellIs" dxfId="8167" priority="5539" operator="equal">
      <formula>"OFF"</formula>
    </cfRule>
    <cfRule type="cellIs" dxfId="8166" priority="5540" operator="equal">
      <formula>"PTO"</formula>
    </cfRule>
  </conditionalFormatting>
  <conditionalFormatting sqref="Q33:Q42">
    <cfRule type="cellIs" dxfId="8165" priority="5537" operator="equal">
      <formula>"OFF"</formula>
    </cfRule>
    <cfRule type="cellIs" dxfId="8164" priority="5538" operator="equal">
      <formula>"PTO"</formula>
    </cfRule>
  </conditionalFormatting>
  <conditionalFormatting sqref="Q33:Q42">
    <cfRule type="cellIs" dxfId="8163" priority="5535" operator="equal">
      <formula>"OFF"</formula>
    </cfRule>
    <cfRule type="cellIs" dxfId="8162" priority="5536" operator="equal">
      <formula>"PTO"</formula>
    </cfRule>
  </conditionalFormatting>
  <conditionalFormatting sqref="Q33:Q42">
    <cfRule type="cellIs" dxfId="8161" priority="5533" operator="equal">
      <formula>"OFF"</formula>
    </cfRule>
    <cfRule type="cellIs" dxfId="8160" priority="5534" operator="equal">
      <formula>"PTO"</formula>
    </cfRule>
  </conditionalFormatting>
  <conditionalFormatting sqref="Q33:Q42">
    <cfRule type="cellIs" dxfId="8159" priority="5531" operator="equal">
      <formula>"OFF"</formula>
    </cfRule>
    <cfRule type="cellIs" dxfId="8158" priority="5532" operator="equal">
      <formula>"PTO"</formula>
    </cfRule>
  </conditionalFormatting>
  <conditionalFormatting sqref="Q33:Q42">
    <cfRule type="cellIs" dxfId="8157" priority="5529" operator="equal">
      <formula>"OFF"</formula>
    </cfRule>
    <cfRule type="cellIs" dxfId="8156" priority="5530" operator="equal">
      <formula>"PTO"</formula>
    </cfRule>
  </conditionalFormatting>
  <conditionalFormatting sqref="Q33:Q42">
    <cfRule type="cellIs" dxfId="8155" priority="5527" operator="equal">
      <formula>"OFF"</formula>
    </cfRule>
    <cfRule type="cellIs" dxfId="8154" priority="5528" operator="equal">
      <formula>"PTO"</formula>
    </cfRule>
  </conditionalFormatting>
  <conditionalFormatting sqref="Q33:Q42">
    <cfRule type="cellIs" dxfId="8153" priority="5525" operator="equal">
      <formula>"OFF"</formula>
    </cfRule>
    <cfRule type="cellIs" dxfId="8152" priority="5526" operator="equal">
      <formula>"PTO"</formula>
    </cfRule>
  </conditionalFormatting>
  <conditionalFormatting sqref="Q33:Q42">
    <cfRule type="cellIs" dxfId="8151" priority="5523" operator="equal">
      <formula>"OFF"</formula>
    </cfRule>
    <cfRule type="cellIs" dxfId="8150" priority="5524" operator="equal">
      <formula>"PTO"</formula>
    </cfRule>
  </conditionalFormatting>
  <conditionalFormatting sqref="T33:V42">
    <cfRule type="cellIs" dxfId="8149" priority="5521" operator="equal">
      <formula>"OFF"</formula>
    </cfRule>
    <cfRule type="cellIs" dxfId="8148" priority="5522" operator="equal">
      <formula>"PTO"</formula>
    </cfRule>
  </conditionalFormatting>
  <conditionalFormatting sqref="T33:V42">
    <cfRule type="cellIs" dxfId="8147" priority="5515" operator="equal">
      <formula>"OFF"</formula>
    </cfRule>
    <cfRule type="cellIs" dxfId="8146" priority="5516" operator="equal">
      <formula>"PTO"</formula>
    </cfRule>
  </conditionalFormatting>
  <conditionalFormatting sqref="T33:V42">
    <cfRule type="cellIs" dxfId="8145" priority="5499" operator="equal">
      <formula>"OFF"</formula>
    </cfRule>
    <cfRule type="cellIs" dxfId="8144" priority="5500" operator="equal">
      <formula>"PTO"</formula>
    </cfRule>
  </conditionalFormatting>
  <conditionalFormatting sqref="T33:V42">
    <cfRule type="cellIs" dxfId="8143" priority="5467" operator="equal">
      <formula>"OFF"</formula>
    </cfRule>
    <cfRule type="cellIs" dxfId="8142" priority="5468" operator="equal">
      <formula>"PTO"</formula>
    </cfRule>
  </conditionalFormatting>
  <conditionalFormatting sqref="T33:V42">
    <cfRule type="cellIs" dxfId="8141" priority="5465" operator="equal">
      <formula>"OFF"</formula>
    </cfRule>
    <cfRule type="cellIs" dxfId="8140" priority="5466" operator="equal">
      <formula>"PTO"</formula>
    </cfRule>
  </conditionalFormatting>
  <conditionalFormatting sqref="T33:V42">
    <cfRule type="cellIs" dxfId="8139" priority="5519" operator="equal">
      <formula>"OFF"</formula>
    </cfRule>
    <cfRule type="cellIs" dxfId="8138" priority="5520" operator="equal">
      <formula>"PTO"</formula>
    </cfRule>
  </conditionalFormatting>
  <conditionalFormatting sqref="T33:V42">
    <cfRule type="cellIs" dxfId="8137" priority="5517" operator="equal">
      <formula>"OFF"</formula>
    </cfRule>
    <cfRule type="cellIs" dxfId="8136" priority="5518" operator="equal">
      <formula>"PTO"</formula>
    </cfRule>
  </conditionalFormatting>
  <conditionalFormatting sqref="T33:V42">
    <cfRule type="cellIs" dxfId="8135" priority="5513" operator="equal">
      <formula>"OFF"</formula>
    </cfRule>
    <cfRule type="cellIs" dxfId="8134" priority="5514" operator="equal">
      <formula>"PTO"</formula>
    </cfRule>
  </conditionalFormatting>
  <conditionalFormatting sqref="T33:V42">
    <cfRule type="cellIs" dxfId="8133" priority="5511" operator="equal">
      <formula>"OFF"</formula>
    </cfRule>
    <cfRule type="cellIs" dxfId="8132" priority="5512" operator="equal">
      <formula>"PTO"</formula>
    </cfRule>
  </conditionalFormatting>
  <conditionalFormatting sqref="T33:V42">
    <cfRule type="cellIs" dxfId="8131" priority="5509" operator="equal">
      <formula>"OFF"</formula>
    </cfRule>
    <cfRule type="cellIs" dxfId="8130" priority="5510" operator="equal">
      <formula>"PTO"</formula>
    </cfRule>
  </conditionalFormatting>
  <conditionalFormatting sqref="T33:V42">
    <cfRule type="cellIs" dxfId="8129" priority="5507" operator="equal">
      <formula>"OFF"</formula>
    </cfRule>
    <cfRule type="cellIs" dxfId="8128" priority="5508" operator="equal">
      <formula>"PTO"</formula>
    </cfRule>
  </conditionalFormatting>
  <conditionalFormatting sqref="T33:V42">
    <cfRule type="cellIs" dxfId="8127" priority="5505" operator="equal">
      <formula>"OFF"</formula>
    </cfRule>
    <cfRule type="cellIs" dxfId="8126" priority="5506" operator="equal">
      <formula>"PTO"</formula>
    </cfRule>
  </conditionalFormatting>
  <conditionalFormatting sqref="T33:V42">
    <cfRule type="cellIs" dxfId="8125" priority="5503" operator="equal">
      <formula>"OFF"</formula>
    </cfRule>
    <cfRule type="cellIs" dxfId="8124" priority="5504" operator="equal">
      <formula>"PTO"</formula>
    </cfRule>
  </conditionalFormatting>
  <conditionalFormatting sqref="T33:V42">
    <cfRule type="cellIs" dxfId="8123" priority="5501" operator="equal">
      <formula>"OFF"</formula>
    </cfRule>
    <cfRule type="cellIs" dxfId="8122" priority="5502" operator="equal">
      <formula>"PTO"</formula>
    </cfRule>
  </conditionalFormatting>
  <conditionalFormatting sqref="T33:V42">
    <cfRule type="cellIs" dxfId="8121" priority="5497" operator="equal">
      <formula>"OFF"</formula>
    </cfRule>
    <cfRule type="cellIs" dxfId="8120" priority="5498" operator="equal">
      <formula>"PTO"</formula>
    </cfRule>
  </conditionalFormatting>
  <conditionalFormatting sqref="T33:V42">
    <cfRule type="cellIs" dxfId="8119" priority="5495" operator="equal">
      <formula>"OFF"</formula>
    </cfRule>
    <cfRule type="cellIs" dxfId="8118" priority="5496" operator="equal">
      <formula>"PTO"</formula>
    </cfRule>
  </conditionalFormatting>
  <conditionalFormatting sqref="T33:V42">
    <cfRule type="cellIs" dxfId="8117" priority="5493" operator="equal">
      <formula>"OFF"</formula>
    </cfRule>
    <cfRule type="cellIs" dxfId="8116" priority="5494" operator="equal">
      <formula>"PTO"</formula>
    </cfRule>
  </conditionalFormatting>
  <conditionalFormatting sqref="T33:V42">
    <cfRule type="cellIs" dxfId="8115" priority="5491" operator="equal">
      <formula>"OFF"</formula>
    </cfRule>
    <cfRule type="cellIs" dxfId="8114" priority="5492" operator="equal">
      <formula>"PTO"</formula>
    </cfRule>
  </conditionalFormatting>
  <conditionalFormatting sqref="T33:V42">
    <cfRule type="cellIs" dxfId="8113" priority="5489" operator="equal">
      <formula>"OFF"</formula>
    </cfRule>
    <cfRule type="cellIs" dxfId="8112" priority="5490" operator="equal">
      <formula>"PTO"</formula>
    </cfRule>
  </conditionalFormatting>
  <conditionalFormatting sqref="T33:V42">
    <cfRule type="cellIs" dxfId="8111" priority="5487" operator="equal">
      <formula>"OFF"</formula>
    </cfRule>
    <cfRule type="cellIs" dxfId="8110" priority="5488" operator="equal">
      <formula>"PTO"</formula>
    </cfRule>
  </conditionalFormatting>
  <conditionalFormatting sqref="T33:V42">
    <cfRule type="cellIs" dxfId="8109" priority="5485" operator="equal">
      <formula>"OFF"</formula>
    </cfRule>
    <cfRule type="cellIs" dxfId="8108" priority="5486" operator="equal">
      <formula>"PTO"</formula>
    </cfRule>
  </conditionalFormatting>
  <conditionalFormatting sqref="T33:V42">
    <cfRule type="cellIs" dxfId="8107" priority="5483" operator="equal">
      <formula>"OFF"</formula>
    </cfRule>
    <cfRule type="cellIs" dxfId="8106" priority="5484" operator="equal">
      <formula>"PTO"</formula>
    </cfRule>
  </conditionalFormatting>
  <conditionalFormatting sqref="T33:V42">
    <cfRule type="cellIs" dxfId="8105" priority="5481" operator="equal">
      <formula>"OFF"</formula>
    </cfRule>
    <cfRule type="cellIs" dxfId="8104" priority="5482" operator="equal">
      <formula>"PTO"</formula>
    </cfRule>
  </conditionalFormatting>
  <conditionalFormatting sqref="T33:V42">
    <cfRule type="cellIs" dxfId="8103" priority="5479" operator="equal">
      <formula>"OFF"</formula>
    </cfRule>
    <cfRule type="cellIs" dxfId="8102" priority="5480" operator="equal">
      <formula>"PTO"</formula>
    </cfRule>
  </conditionalFormatting>
  <conditionalFormatting sqref="T33:V42">
    <cfRule type="cellIs" dxfId="8101" priority="5477" operator="equal">
      <formula>"OFF"</formula>
    </cfRule>
    <cfRule type="cellIs" dxfId="8100" priority="5478" operator="equal">
      <formula>"PTO"</formula>
    </cfRule>
  </conditionalFormatting>
  <conditionalFormatting sqref="T33:V42">
    <cfRule type="cellIs" dxfId="8099" priority="5475" operator="equal">
      <formula>"OFF"</formula>
    </cfRule>
    <cfRule type="cellIs" dxfId="8098" priority="5476" operator="equal">
      <formula>"PTO"</formula>
    </cfRule>
  </conditionalFormatting>
  <conditionalFormatting sqref="T33:V42">
    <cfRule type="cellIs" dxfId="8097" priority="5473" operator="equal">
      <formula>"OFF"</formula>
    </cfRule>
    <cfRule type="cellIs" dxfId="8096" priority="5474" operator="equal">
      <formula>"PTO"</formula>
    </cfRule>
  </conditionalFormatting>
  <conditionalFormatting sqref="T33:V42">
    <cfRule type="cellIs" dxfId="8095" priority="5471" operator="equal">
      <formula>"OFF"</formula>
    </cfRule>
    <cfRule type="cellIs" dxfId="8094" priority="5472" operator="equal">
      <formula>"PTO"</formula>
    </cfRule>
  </conditionalFormatting>
  <conditionalFormatting sqref="T33:V42">
    <cfRule type="cellIs" dxfId="8093" priority="5469" operator="equal">
      <formula>"OFF"</formula>
    </cfRule>
    <cfRule type="cellIs" dxfId="8092" priority="5470" operator="equal">
      <formula>"PTO"</formula>
    </cfRule>
  </conditionalFormatting>
  <conditionalFormatting sqref="T33:V42">
    <cfRule type="cellIs" dxfId="8091" priority="5463" operator="equal">
      <formula>"OFF"</formula>
    </cfRule>
    <cfRule type="cellIs" dxfId="8090" priority="5464" operator="equal">
      <formula>"PTO"</formula>
    </cfRule>
  </conditionalFormatting>
  <conditionalFormatting sqref="T33:V42">
    <cfRule type="cellIs" dxfId="8089" priority="5461" operator="equal">
      <formula>"OFF"</formula>
    </cfRule>
    <cfRule type="cellIs" dxfId="8088" priority="5462" operator="equal">
      <formula>"PTO"</formula>
    </cfRule>
  </conditionalFormatting>
  <conditionalFormatting sqref="T33:V42">
    <cfRule type="cellIs" dxfId="8087" priority="5459" operator="equal">
      <formula>"OFF"</formula>
    </cfRule>
    <cfRule type="cellIs" dxfId="8086" priority="5460" operator="equal">
      <formula>"PTO"</formula>
    </cfRule>
  </conditionalFormatting>
  <conditionalFormatting sqref="T33:V42">
    <cfRule type="cellIs" dxfId="8085" priority="5457" operator="equal">
      <formula>"OFF"</formula>
    </cfRule>
    <cfRule type="cellIs" dxfId="8084" priority="5458" operator="equal">
      <formula>"PTO"</formula>
    </cfRule>
  </conditionalFormatting>
  <conditionalFormatting sqref="T33:V42">
    <cfRule type="cellIs" dxfId="8083" priority="5455" operator="equal">
      <formula>"OFF"</formula>
    </cfRule>
    <cfRule type="cellIs" dxfId="8082" priority="5456" operator="equal">
      <formula>"PTO"</formula>
    </cfRule>
  </conditionalFormatting>
  <conditionalFormatting sqref="T33:V42">
    <cfRule type="cellIs" dxfId="8081" priority="5453" operator="equal">
      <formula>"OFF"</formula>
    </cfRule>
    <cfRule type="cellIs" dxfId="8080" priority="5454" operator="equal">
      <formula>"PTO"</formula>
    </cfRule>
  </conditionalFormatting>
  <conditionalFormatting sqref="T33:V42">
    <cfRule type="cellIs" dxfId="8079" priority="5451" operator="equal">
      <formula>"OFF"</formula>
    </cfRule>
    <cfRule type="cellIs" dxfId="8078" priority="5452" operator="equal">
      <formula>"PTO"</formula>
    </cfRule>
  </conditionalFormatting>
  <conditionalFormatting sqref="T33:V42">
    <cfRule type="cellIs" dxfId="8077" priority="5449" operator="equal">
      <formula>"OFF"</formula>
    </cfRule>
    <cfRule type="cellIs" dxfId="8076" priority="5450" operator="equal">
      <formula>"PTO"</formula>
    </cfRule>
  </conditionalFormatting>
  <conditionalFormatting sqref="T33:V42">
    <cfRule type="cellIs" dxfId="8075" priority="5447" operator="equal">
      <formula>"OFF"</formula>
    </cfRule>
    <cfRule type="cellIs" dxfId="8074" priority="5448" operator="equal">
      <formula>"PTO"</formula>
    </cfRule>
  </conditionalFormatting>
  <conditionalFormatting sqref="T33:V42">
    <cfRule type="cellIs" dxfId="8073" priority="5445" operator="equal">
      <formula>"OFF"</formula>
    </cfRule>
    <cfRule type="cellIs" dxfId="8072" priority="5446" operator="equal">
      <formula>"PTO"</formula>
    </cfRule>
  </conditionalFormatting>
  <conditionalFormatting sqref="T33:V42">
    <cfRule type="cellIs" dxfId="8071" priority="5443" operator="equal">
      <formula>"OFF"</formula>
    </cfRule>
    <cfRule type="cellIs" dxfId="8070" priority="5444" operator="equal">
      <formula>"PTO"</formula>
    </cfRule>
  </conditionalFormatting>
  <conditionalFormatting sqref="T33:V42">
    <cfRule type="cellIs" dxfId="8069" priority="5441" operator="equal">
      <formula>"OFF"</formula>
    </cfRule>
    <cfRule type="cellIs" dxfId="8068" priority="5442" operator="equal">
      <formula>"PTO"</formula>
    </cfRule>
  </conditionalFormatting>
  <conditionalFormatting sqref="T33:V42">
    <cfRule type="cellIs" dxfId="8067" priority="5439" operator="equal">
      <formula>"OFF"</formula>
    </cfRule>
    <cfRule type="cellIs" dxfId="8066" priority="5440" operator="equal">
      <formula>"PTO"</formula>
    </cfRule>
  </conditionalFormatting>
  <conditionalFormatting sqref="T33:V42">
    <cfRule type="cellIs" dxfId="8065" priority="5437" operator="equal">
      <formula>"OFF"</formula>
    </cfRule>
    <cfRule type="cellIs" dxfId="8064" priority="5438" operator="equal">
      <formula>"PTO"</formula>
    </cfRule>
  </conditionalFormatting>
  <conditionalFormatting sqref="T33:V42">
    <cfRule type="cellIs" dxfId="8063" priority="5435" operator="equal">
      <formula>"OFF"</formula>
    </cfRule>
    <cfRule type="cellIs" dxfId="8062" priority="5436" operator="equal">
      <formula>"PTO"</formula>
    </cfRule>
  </conditionalFormatting>
  <conditionalFormatting sqref="T33:V42">
    <cfRule type="cellIs" dxfId="8061" priority="5433" operator="equal">
      <formula>"OFF"</formula>
    </cfRule>
    <cfRule type="cellIs" dxfId="8060" priority="5434" operator="equal">
      <formula>"PTO"</formula>
    </cfRule>
  </conditionalFormatting>
  <conditionalFormatting sqref="T33:V42">
    <cfRule type="cellIs" dxfId="8059" priority="5431" operator="equal">
      <formula>"OFF"</formula>
    </cfRule>
    <cfRule type="cellIs" dxfId="8058" priority="5432" operator="equal">
      <formula>"PTO"</formula>
    </cfRule>
  </conditionalFormatting>
  <conditionalFormatting sqref="T33:V42">
    <cfRule type="cellIs" dxfId="8057" priority="5429" operator="equal">
      <formula>"OFF"</formula>
    </cfRule>
    <cfRule type="cellIs" dxfId="8056" priority="5430" operator="equal">
      <formula>"PTO"</formula>
    </cfRule>
  </conditionalFormatting>
  <conditionalFormatting sqref="T33:V42">
    <cfRule type="cellIs" dxfId="8055" priority="5427" operator="equal">
      <formula>"OFF"</formula>
    </cfRule>
    <cfRule type="cellIs" dxfId="8054" priority="5428" operator="equal">
      <formula>"PTO"</formula>
    </cfRule>
  </conditionalFormatting>
  <conditionalFormatting sqref="T33:V42">
    <cfRule type="cellIs" dxfId="8053" priority="5425" operator="equal">
      <formula>"OFF"</formula>
    </cfRule>
    <cfRule type="cellIs" dxfId="8052" priority="5426" operator="equal">
      <formula>"PTO"</formula>
    </cfRule>
  </conditionalFormatting>
  <conditionalFormatting sqref="T33:V42">
    <cfRule type="cellIs" dxfId="8051" priority="5423" operator="equal">
      <formula>"OFF"</formula>
    </cfRule>
    <cfRule type="cellIs" dxfId="8050" priority="5424" operator="equal">
      <formula>"PTO"</formula>
    </cfRule>
  </conditionalFormatting>
  <conditionalFormatting sqref="T33:V42">
    <cfRule type="cellIs" dxfId="8049" priority="5421" operator="equal">
      <formula>"OFF"</formula>
    </cfRule>
    <cfRule type="cellIs" dxfId="8048" priority="5422" operator="equal">
      <formula>"PTO"</formula>
    </cfRule>
  </conditionalFormatting>
  <conditionalFormatting sqref="T33:V42">
    <cfRule type="cellIs" dxfId="8047" priority="5419" operator="equal">
      <formula>"OFF"</formula>
    </cfRule>
    <cfRule type="cellIs" dxfId="8046" priority="5420" operator="equal">
      <formula>"PTO"</formula>
    </cfRule>
  </conditionalFormatting>
  <conditionalFormatting sqref="T33:V42">
    <cfRule type="cellIs" dxfId="8045" priority="5417" operator="equal">
      <formula>"OFF"</formula>
    </cfRule>
    <cfRule type="cellIs" dxfId="8044" priority="5418" operator="equal">
      <formula>"PTO"</formula>
    </cfRule>
  </conditionalFormatting>
  <conditionalFormatting sqref="T33:V42">
    <cfRule type="cellIs" dxfId="8043" priority="5415" operator="equal">
      <formula>"OFF"</formula>
    </cfRule>
    <cfRule type="cellIs" dxfId="8042" priority="5416" operator="equal">
      <formula>"PTO"</formula>
    </cfRule>
  </conditionalFormatting>
  <conditionalFormatting sqref="T33:V42">
    <cfRule type="cellIs" dxfId="8041" priority="5413" operator="equal">
      <formula>"OFF"</formula>
    </cfRule>
    <cfRule type="cellIs" dxfId="8040" priority="5414" operator="equal">
      <formula>"PTO"</formula>
    </cfRule>
  </conditionalFormatting>
  <conditionalFormatting sqref="T33:V42">
    <cfRule type="cellIs" dxfId="8039" priority="5411" operator="equal">
      <formula>"OFF"</formula>
    </cfRule>
    <cfRule type="cellIs" dxfId="8038" priority="5412" operator="equal">
      <formula>"PTO"</formula>
    </cfRule>
  </conditionalFormatting>
  <conditionalFormatting sqref="T33:V42">
    <cfRule type="cellIs" dxfId="8037" priority="5409" operator="equal">
      <formula>"OFF"</formula>
    </cfRule>
    <cfRule type="cellIs" dxfId="8036" priority="5410" operator="equal">
      <formula>"PTO"</formula>
    </cfRule>
  </conditionalFormatting>
  <conditionalFormatting sqref="T33:V42">
    <cfRule type="cellIs" dxfId="8035" priority="5407" operator="equal">
      <formula>"OFF"</formula>
    </cfRule>
    <cfRule type="cellIs" dxfId="8034" priority="5408" operator="equal">
      <formula>"PTO"</formula>
    </cfRule>
  </conditionalFormatting>
  <conditionalFormatting sqref="T33:V42">
    <cfRule type="cellIs" dxfId="8033" priority="5405" operator="equal">
      <formula>"OFF"</formula>
    </cfRule>
    <cfRule type="cellIs" dxfId="8032" priority="5406" operator="equal">
      <formula>"PTO"</formula>
    </cfRule>
  </conditionalFormatting>
  <conditionalFormatting sqref="T33:V42">
    <cfRule type="cellIs" dxfId="8031" priority="5403" operator="equal">
      <formula>"OFF"</formula>
    </cfRule>
    <cfRule type="cellIs" dxfId="8030" priority="5404" operator="equal">
      <formula>"PTO"</formula>
    </cfRule>
  </conditionalFormatting>
  <conditionalFormatting sqref="T33:V42">
    <cfRule type="cellIs" dxfId="8029" priority="5401" operator="equal">
      <formula>"OFF"</formula>
    </cfRule>
    <cfRule type="cellIs" dxfId="8028" priority="5402" operator="equal">
      <formula>"PTO"</formula>
    </cfRule>
  </conditionalFormatting>
  <conditionalFormatting sqref="T33:V42">
    <cfRule type="cellIs" dxfId="8027" priority="5399" operator="equal">
      <formula>"OFF"</formula>
    </cfRule>
    <cfRule type="cellIs" dxfId="8026" priority="5400" operator="equal">
      <formula>"PTO"</formula>
    </cfRule>
  </conditionalFormatting>
  <conditionalFormatting sqref="T33:V42">
    <cfRule type="cellIs" dxfId="8025" priority="5397" operator="equal">
      <formula>"OFF"</formula>
    </cfRule>
    <cfRule type="cellIs" dxfId="8024" priority="5398" operator="equal">
      <formula>"PTO"</formula>
    </cfRule>
  </conditionalFormatting>
  <conditionalFormatting sqref="T33:V42">
    <cfRule type="cellIs" dxfId="8023" priority="5395" operator="equal">
      <formula>"OFF"</formula>
    </cfRule>
    <cfRule type="cellIs" dxfId="8022" priority="5396" operator="equal">
      <formula>"PTO"</formula>
    </cfRule>
  </conditionalFormatting>
  <conditionalFormatting sqref="T33:V42">
    <cfRule type="cellIs" dxfId="8021" priority="5393" operator="equal">
      <formula>"OFF"</formula>
    </cfRule>
    <cfRule type="cellIs" dxfId="8020" priority="5394" operator="equal">
      <formula>"PTO"</formula>
    </cfRule>
  </conditionalFormatting>
  <conditionalFormatting sqref="T33:V42">
    <cfRule type="cellIs" dxfId="8019" priority="5391" operator="equal">
      <formula>"OFF"</formula>
    </cfRule>
    <cfRule type="cellIs" dxfId="8018" priority="5392" operator="equal">
      <formula>"PTO"</formula>
    </cfRule>
  </conditionalFormatting>
  <conditionalFormatting sqref="T33:V42">
    <cfRule type="cellIs" dxfId="8017" priority="5389" operator="equal">
      <formula>"OFF"</formula>
    </cfRule>
    <cfRule type="cellIs" dxfId="8016" priority="5390" operator="equal">
      <formula>"PTO"</formula>
    </cfRule>
  </conditionalFormatting>
  <conditionalFormatting sqref="T33:V42">
    <cfRule type="cellIs" dxfId="8015" priority="5387" operator="equal">
      <formula>"OFF"</formula>
    </cfRule>
    <cfRule type="cellIs" dxfId="8014" priority="5388" operator="equal">
      <formula>"PTO"</formula>
    </cfRule>
  </conditionalFormatting>
  <conditionalFormatting sqref="T33:V42">
    <cfRule type="cellIs" dxfId="8013" priority="5385" operator="equal">
      <formula>"OFF"</formula>
    </cfRule>
    <cfRule type="cellIs" dxfId="8012" priority="5386" operator="equal">
      <formula>"PTO"</formula>
    </cfRule>
  </conditionalFormatting>
  <conditionalFormatting sqref="T33:V42">
    <cfRule type="cellIs" dxfId="8011" priority="5383" operator="equal">
      <formula>"OFF"</formula>
    </cfRule>
    <cfRule type="cellIs" dxfId="8010" priority="5384" operator="equal">
      <formula>"PTO"</formula>
    </cfRule>
  </conditionalFormatting>
  <conditionalFormatting sqref="T33:V42">
    <cfRule type="cellIs" dxfId="8009" priority="5381" operator="equal">
      <formula>"OFF"</formula>
    </cfRule>
    <cfRule type="cellIs" dxfId="8008" priority="5382" operator="equal">
      <formula>"PTO"</formula>
    </cfRule>
  </conditionalFormatting>
  <conditionalFormatting sqref="T33:V42">
    <cfRule type="cellIs" dxfId="8007" priority="5379" operator="equal">
      <formula>"OFF"</formula>
    </cfRule>
    <cfRule type="cellIs" dxfId="8006" priority="5380" operator="equal">
      <formula>"PTO"</formula>
    </cfRule>
  </conditionalFormatting>
  <conditionalFormatting sqref="T33:V42">
    <cfRule type="cellIs" dxfId="8005" priority="5377" operator="equal">
      <formula>"OFF"</formula>
    </cfRule>
    <cfRule type="cellIs" dxfId="8004" priority="5378" operator="equal">
      <formula>"PTO"</formula>
    </cfRule>
  </conditionalFormatting>
  <conditionalFormatting sqref="T33:V42">
    <cfRule type="cellIs" dxfId="8003" priority="5375" operator="equal">
      <formula>"OFF"</formula>
    </cfRule>
    <cfRule type="cellIs" dxfId="8002" priority="5376" operator="equal">
      <formula>"PTO"</formula>
    </cfRule>
  </conditionalFormatting>
  <conditionalFormatting sqref="T33:V42">
    <cfRule type="cellIs" dxfId="8001" priority="5373" operator="equal">
      <formula>"OFF"</formula>
    </cfRule>
    <cfRule type="cellIs" dxfId="8000" priority="5374" operator="equal">
      <formula>"PTO"</formula>
    </cfRule>
  </conditionalFormatting>
  <conditionalFormatting sqref="T33:V42">
    <cfRule type="cellIs" dxfId="7999" priority="5371" operator="equal">
      <formula>"OFF"</formula>
    </cfRule>
    <cfRule type="cellIs" dxfId="7998" priority="5372" operator="equal">
      <formula>"PTO"</formula>
    </cfRule>
  </conditionalFormatting>
  <conditionalFormatting sqref="T33:V42">
    <cfRule type="cellIs" dxfId="7997" priority="5369" operator="equal">
      <formula>"OFF"</formula>
    </cfRule>
    <cfRule type="cellIs" dxfId="7996" priority="5370" operator="equal">
      <formula>"PTO"</formula>
    </cfRule>
  </conditionalFormatting>
  <conditionalFormatting sqref="T33:V42">
    <cfRule type="cellIs" dxfId="7995" priority="5367" operator="equal">
      <formula>"OFF"</formula>
    </cfRule>
    <cfRule type="cellIs" dxfId="7994" priority="5368" operator="equal">
      <formula>"PTO"</formula>
    </cfRule>
  </conditionalFormatting>
  <conditionalFormatting sqref="T33:V42">
    <cfRule type="cellIs" dxfId="7993" priority="5365" operator="equal">
      <formula>"OFF"</formula>
    </cfRule>
    <cfRule type="cellIs" dxfId="7992" priority="5366" operator="equal">
      <formula>"PTO"</formula>
    </cfRule>
  </conditionalFormatting>
  <conditionalFormatting sqref="T33:V42">
    <cfRule type="cellIs" dxfId="7991" priority="5363" operator="equal">
      <formula>"OFF"</formula>
    </cfRule>
    <cfRule type="cellIs" dxfId="7990" priority="5364" operator="equal">
      <formula>"PTO"</formula>
    </cfRule>
  </conditionalFormatting>
  <conditionalFormatting sqref="T33:V42">
    <cfRule type="cellIs" dxfId="7989" priority="5361" operator="equal">
      <formula>"OFF"</formula>
    </cfRule>
    <cfRule type="cellIs" dxfId="7988" priority="5362" operator="equal">
      <formula>"PTO"</formula>
    </cfRule>
  </conditionalFormatting>
  <conditionalFormatting sqref="T33:V42">
    <cfRule type="cellIs" dxfId="7987" priority="5359" operator="equal">
      <formula>"OFF"</formula>
    </cfRule>
    <cfRule type="cellIs" dxfId="7986" priority="5360" operator="equal">
      <formula>"PTO"</formula>
    </cfRule>
  </conditionalFormatting>
  <conditionalFormatting sqref="T33:V42">
    <cfRule type="cellIs" dxfId="7985" priority="5357" operator="equal">
      <formula>"OFF"</formula>
    </cfRule>
    <cfRule type="cellIs" dxfId="7984" priority="5358" operator="equal">
      <formula>"PTO"</formula>
    </cfRule>
  </conditionalFormatting>
  <conditionalFormatting sqref="T33:V42">
    <cfRule type="cellIs" dxfId="7983" priority="5355" operator="equal">
      <formula>"OFF"</formula>
    </cfRule>
    <cfRule type="cellIs" dxfId="7982" priority="5356" operator="equal">
      <formula>"PTO"</formula>
    </cfRule>
  </conditionalFormatting>
  <conditionalFormatting sqref="T33:V42">
    <cfRule type="cellIs" dxfId="7981" priority="5353" operator="equal">
      <formula>"OFF"</formula>
    </cfRule>
    <cfRule type="cellIs" dxfId="7980" priority="5354" operator="equal">
      <formula>"PTO"</formula>
    </cfRule>
  </conditionalFormatting>
  <conditionalFormatting sqref="W34:W42">
    <cfRule type="cellIs" dxfId="7979" priority="5351" operator="equal">
      <formula>"OFF"</formula>
    </cfRule>
    <cfRule type="cellIs" dxfId="7978" priority="5352" operator="equal">
      <formula>"PTO"</formula>
    </cfRule>
  </conditionalFormatting>
  <conditionalFormatting sqref="W34:W42">
    <cfRule type="cellIs" dxfId="7977" priority="5349" operator="equal">
      <formula>"OFF"</formula>
    </cfRule>
    <cfRule type="cellIs" dxfId="7976" priority="5350" operator="equal">
      <formula>"PTO"</formula>
    </cfRule>
  </conditionalFormatting>
  <conditionalFormatting sqref="W34:W42">
    <cfRule type="cellIs" dxfId="7975" priority="5347" operator="equal">
      <formula>"OFF"</formula>
    </cfRule>
    <cfRule type="cellIs" dxfId="7974" priority="5348" operator="equal">
      <formula>"PTO"</formula>
    </cfRule>
  </conditionalFormatting>
  <conditionalFormatting sqref="W34:W42">
    <cfRule type="cellIs" dxfId="7973" priority="5345" operator="equal">
      <formula>"OFF"</formula>
    </cfRule>
    <cfRule type="cellIs" dxfId="7972" priority="5346" operator="equal">
      <formula>"PTO"</formula>
    </cfRule>
  </conditionalFormatting>
  <conditionalFormatting sqref="W34:W42">
    <cfRule type="cellIs" dxfId="7971" priority="5343" operator="equal">
      <formula>"OFF"</formula>
    </cfRule>
    <cfRule type="cellIs" dxfId="7970" priority="5344" operator="equal">
      <formula>"PTO"</formula>
    </cfRule>
  </conditionalFormatting>
  <conditionalFormatting sqref="W34:W42">
    <cfRule type="cellIs" dxfId="7969" priority="5341" operator="equal">
      <formula>"OFF"</formula>
    </cfRule>
    <cfRule type="cellIs" dxfId="7968" priority="5342" operator="equal">
      <formula>"PTO"</formula>
    </cfRule>
  </conditionalFormatting>
  <conditionalFormatting sqref="W34:W42">
    <cfRule type="cellIs" dxfId="7967" priority="5339" operator="equal">
      <formula>"OFF"</formula>
    </cfRule>
    <cfRule type="cellIs" dxfId="7966" priority="5340" operator="equal">
      <formula>"PTO"</formula>
    </cfRule>
  </conditionalFormatting>
  <conditionalFormatting sqref="W34:W42">
    <cfRule type="cellIs" dxfId="7965" priority="5337" operator="equal">
      <formula>"OFF"</formula>
    </cfRule>
    <cfRule type="cellIs" dxfId="7964" priority="5338" operator="equal">
      <formula>"PTO"</formula>
    </cfRule>
  </conditionalFormatting>
  <conditionalFormatting sqref="W34:W42">
    <cfRule type="cellIs" dxfId="7963" priority="5335" operator="equal">
      <formula>"OFF"</formula>
    </cfRule>
    <cfRule type="cellIs" dxfId="7962" priority="5336" operator="equal">
      <formula>"PTO"</formula>
    </cfRule>
  </conditionalFormatting>
  <conditionalFormatting sqref="W34:W42">
    <cfRule type="cellIs" dxfId="7961" priority="5333" operator="equal">
      <formula>"OFF"</formula>
    </cfRule>
    <cfRule type="cellIs" dxfId="7960" priority="5334" operator="equal">
      <formula>"PTO"</formula>
    </cfRule>
  </conditionalFormatting>
  <conditionalFormatting sqref="W34:W42">
    <cfRule type="cellIs" dxfId="7959" priority="5331" operator="equal">
      <formula>"OFF"</formula>
    </cfRule>
    <cfRule type="cellIs" dxfId="7958" priority="5332" operator="equal">
      <formula>"PTO"</formula>
    </cfRule>
  </conditionalFormatting>
  <conditionalFormatting sqref="W34:W42">
    <cfRule type="cellIs" dxfId="7957" priority="5329" operator="equal">
      <formula>"OFF"</formula>
    </cfRule>
    <cfRule type="cellIs" dxfId="7956" priority="5330" operator="equal">
      <formula>"PTO"</formula>
    </cfRule>
  </conditionalFormatting>
  <conditionalFormatting sqref="W34:W42">
    <cfRule type="cellIs" dxfId="7955" priority="5327" operator="equal">
      <formula>"OFF"</formula>
    </cfRule>
    <cfRule type="cellIs" dxfId="7954" priority="5328" operator="equal">
      <formula>"PTO"</formula>
    </cfRule>
  </conditionalFormatting>
  <conditionalFormatting sqref="W34:W42">
    <cfRule type="cellIs" dxfId="7953" priority="5325" operator="equal">
      <formula>"OFF"</formula>
    </cfRule>
    <cfRule type="cellIs" dxfId="7952" priority="5326" operator="equal">
      <formula>"PTO"</formula>
    </cfRule>
  </conditionalFormatting>
  <conditionalFormatting sqref="W34:W42">
    <cfRule type="cellIs" dxfId="7951" priority="5323" operator="equal">
      <formula>"OFF"</formula>
    </cfRule>
    <cfRule type="cellIs" dxfId="7950" priority="5324" operator="equal">
      <formula>"PTO"</formula>
    </cfRule>
  </conditionalFormatting>
  <conditionalFormatting sqref="W34:W42">
    <cfRule type="cellIs" dxfId="7949" priority="5321" operator="equal">
      <formula>"OFF"</formula>
    </cfRule>
    <cfRule type="cellIs" dxfId="7948" priority="5322" operator="equal">
      <formula>"PTO"</formula>
    </cfRule>
  </conditionalFormatting>
  <conditionalFormatting sqref="W34:W42">
    <cfRule type="cellIs" dxfId="7947" priority="5319" operator="equal">
      <formula>"OFF"</formula>
    </cfRule>
    <cfRule type="cellIs" dxfId="7946" priority="5320" operator="equal">
      <formula>"PTO"</formula>
    </cfRule>
  </conditionalFormatting>
  <conditionalFormatting sqref="W34:W42">
    <cfRule type="cellIs" dxfId="7945" priority="5317" operator="equal">
      <formula>"OFF"</formula>
    </cfRule>
    <cfRule type="cellIs" dxfId="7944" priority="5318" operator="equal">
      <formula>"PTO"</formula>
    </cfRule>
  </conditionalFormatting>
  <conditionalFormatting sqref="W34:W42">
    <cfRule type="cellIs" dxfId="7943" priority="5315" operator="equal">
      <formula>"OFF"</formula>
    </cfRule>
    <cfRule type="cellIs" dxfId="7942" priority="5316" operator="equal">
      <formula>"PTO"</formula>
    </cfRule>
  </conditionalFormatting>
  <conditionalFormatting sqref="W34:W42">
    <cfRule type="cellIs" dxfId="7941" priority="5313" operator="equal">
      <formula>"OFF"</formula>
    </cfRule>
    <cfRule type="cellIs" dxfId="7940" priority="5314" operator="equal">
      <formula>"PTO"</formula>
    </cfRule>
  </conditionalFormatting>
  <conditionalFormatting sqref="W34">
    <cfRule type="cellIs" dxfId="7939" priority="5311" operator="equal">
      <formula>"OFF"</formula>
    </cfRule>
    <cfRule type="cellIs" dxfId="7938" priority="5312" operator="equal">
      <formula>"PTO"</formula>
    </cfRule>
  </conditionalFormatting>
  <conditionalFormatting sqref="W34">
    <cfRule type="cellIs" dxfId="7937" priority="5309" operator="equal">
      <formula>"OFF"</formula>
    </cfRule>
    <cfRule type="cellIs" dxfId="7936" priority="5310" operator="equal">
      <formula>"PTO"</formula>
    </cfRule>
  </conditionalFormatting>
  <conditionalFormatting sqref="W34">
    <cfRule type="cellIs" dxfId="7935" priority="5307" operator="equal">
      <formula>"OFF"</formula>
    </cfRule>
    <cfRule type="cellIs" dxfId="7934" priority="5308" operator="equal">
      <formula>"PTO"</formula>
    </cfRule>
  </conditionalFormatting>
  <conditionalFormatting sqref="W34">
    <cfRule type="cellIs" dxfId="7933" priority="5305" operator="equal">
      <formula>"OFF"</formula>
    </cfRule>
    <cfRule type="cellIs" dxfId="7932" priority="5306" operator="equal">
      <formula>"PTO"</formula>
    </cfRule>
  </conditionalFormatting>
  <conditionalFormatting sqref="W34">
    <cfRule type="cellIs" dxfId="7931" priority="5303" operator="equal">
      <formula>"OFF"</formula>
    </cfRule>
    <cfRule type="cellIs" dxfId="7930" priority="5304" operator="equal">
      <formula>"PTO"</formula>
    </cfRule>
  </conditionalFormatting>
  <conditionalFormatting sqref="W34">
    <cfRule type="cellIs" dxfId="7929" priority="5301" operator="equal">
      <formula>"OFF"</formula>
    </cfRule>
    <cfRule type="cellIs" dxfId="7928" priority="5302" operator="equal">
      <formula>"PTO"</formula>
    </cfRule>
  </conditionalFormatting>
  <conditionalFormatting sqref="W34">
    <cfRule type="cellIs" dxfId="7927" priority="5299" operator="equal">
      <formula>"OFF"</formula>
    </cfRule>
    <cfRule type="cellIs" dxfId="7926" priority="5300" operator="equal">
      <formula>"PTO"</formula>
    </cfRule>
  </conditionalFormatting>
  <conditionalFormatting sqref="W34">
    <cfRule type="cellIs" dxfId="7925" priority="5297" operator="equal">
      <formula>"OFF"</formula>
    </cfRule>
    <cfRule type="cellIs" dxfId="7924" priority="5298" operator="equal">
      <formula>"PTO"</formula>
    </cfRule>
  </conditionalFormatting>
  <conditionalFormatting sqref="W33:W42">
    <cfRule type="cellIs" dxfId="7923" priority="5249" operator="equal">
      <formula>"OFF"</formula>
    </cfRule>
    <cfRule type="cellIs" dxfId="7922" priority="5250" operator="equal">
      <formula>"PTO"</formula>
    </cfRule>
  </conditionalFormatting>
  <conditionalFormatting sqref="W33:W42">
    <cfRule type="cellIs" dxfId="7921" priority="5247" operator="equal">
      <formula>"OFF"</formula>
    </cfRule>
    <cfRule type="cellIs" dxfId="7920" priority="5248" operator="equal">
      <formula>"PTO"</formula>
    </cfRule>
  </conditionalFormatting>
  <conditionalFormatting sqref="W33:W42">
    <cfRule type="cellIs" dxfId="7919" priority="5245" operator="equal">
      <formula>"OFF"</formula>
    </cfRule>
    <cfRule type="cellIs" dxfId="7918" priority="5246" operator="equal">
      <formula>"PTO"</formula>
    </cfRule>
  </conditionalFormatting>
  <conditionalFormatting sqref="W33:W42">
    <cfRule type="cellIs" dxfId="7917" priority="5243" operator="equal">
      <formula>"OFF"</formula>
    </cfRule>
    <cfRule type="cellIs" dxfId="7916" priority="5244" operator="equal">
      <formula>"PTO"</formula>
    </cfRule>
  </conditionalFormatting>
  <conditionalFormatting sqref="W33:W42">
    <cfRule type="cellIs" dxfId="7915" priority="5241" operator="equal">
      <formula>"OFF"</formula>
    </cfRule>
    <cfRule type="cellIs" dxfId="7914" priority="5242" operator="equal">
      <formula>"PTO"</formula>
    </cfRule>
  </conditionalFormatting>
  <conditionalFormatting sqref="W33:W42">
    <cfRule type="cellIs" dxfId="7913" priority="5235" operator="equal">
      <formula>"OFF"</formula>
    </cfRule>
    <cfRule type="cellIs" dxfId="7912" priority="5236" operator="equal">
      <formula>"PTO"</formula>
    </cfRule>
  </conditionalFormatting>
  <conditionalFormatting sqref="W33:W42">
    <cfRule type="cellIs" dxfId="7911" priority="5227" operator="equal">
      <formula>"OFF"</formula>
    </cfRule>
    <cfRule type="cellIs" dxfId="7910" priority="5228" operator="equal">
      <formula>"PTO"</formula>
    </cfRule>
  </conditionalFormatting>
  <conditionalFormatting sqref="W33:W42">
    <cfRule type="cellIs" dxfId="7909" priority="5211" operator="equal">
      <formula>"OFF"</formula>
    </cfRule>
    <cfRule type="cellIs" dxfId="7908" priority="5212" operator="equal">
      <formula>"PTO"</formula>
    </cfRule>
  </conditionalFormatting>
  <conditionalFormatting sqref="W33:W42">
    <cfRule type="cellIs" dxfId="7907" priority="5209" operator="equal">
      <formula>"OFF"</formula>
    </cfRule>
    <cfRule type="cellIs" dxfId="7906" priority="5210" operator="equal">
      <formula>"PTO"</formula>
    </cfRule>
  </conditionalFormatting>
  <conditionalFormatting sqref="W33:W42">
    <cfRule type="cellIs" dxfId="7905" priority="5295" operator="equal">
      <formula>"OFF"</formula>
    </cfRule>
    <cfRule type="cellIs" dxfId="7904" priority="5296" operator="equal">
      <formula>"PTO"</formula>
    </cfRule>
  </conditionalFormatting>
  <conditionalFormatting sqref="W33:W42">
    <cfRule type="cellIs" dxfId="7903" priority="5293" operator="equal">
      <formula>"OFF"</formula>
    </cfRule>
    <cfRule type="cellIs" dxfId="7902" priority="5294" operator="equal">
      <formula>"PTO"</formula>
    </cfRule>
  </conditionalFormatting>
  <conditionalFormatting sqref="W33:W42">
    <cfRule type="cellIs" dxfId="7901" priority="5291" operator="equal">
      <formula>"OFF"</formula>
    </cfRule>
    <cfRule type="cellIs" dxfId="7900" priority="5292" operator="equal">
      <formula>"PTO"</formula>
    </cfRule>
  </conditionalFormatting>
  <conditionalFormatting sqref="W33:W42">
    <cfRule type="cellIs" dxfId="7899" priority="5289" operator="equal">
      <formula>"OFF"</formula>
    </cfRule>
    <cfRule type="cellIs" dxfId="7898" priority="5290" operator="equal">
      <formula>"PTO"</formula>
    </cfRule>
  </conditionalFormatting>
  <conditionalFormatting sqref="W33:W42">
    <cfRule type="cellIs" dxfId="7897" priority="5287" operator="equal">
      <formula>"OFF"</formula>
    </cfRule>
    <cfRule type="cellIs" dxfId="7896" priority="5288" operator="equal">
      <formula>"PTO"</formula>
    </cfRule>
  </conditionalFormatting>
  <conditionalFormatting sqref="W33:W42">
    <cfRule type="cellIs" dxfId="7895" priority="5285" operator="equal">
      <formula>"OFF"</formula>
    </cfRule>
    <cfRule type="cellIs" dxfId="7894" priority="5286" operator="equal">
      <formula>"PTO"</formula>
    </cfRule>
  </conditionalFormatting>
  <conditionalFormatting sqref="W33:W42">
    <cfRule type="cellIs" dxfId="7893" priority="5283" operator="equal">
      <formula>"OFF"</formula>
    </cfRule>
    <cfRule type="cellIs" dxfId="7892" priority="5284" operator="equal">
      <formula>"PTO"</formula>
    </cfRule>
  </conditionalFormatting>
  <conditionalFormatting sqref="W33:W42">
    <cfRule type="cellIs" dxfId="7891" priority="5281" operator="equal">
      <formula>"OFF"</formula>
    </cfRule>
    <cfRule type="cellIs" dxfId="7890" priority="5282" operator="equal">
      <formula>"PTO"</formula>
    </cfRule>
  </conditionalFormatting>
  <conditionalFormatting sqref="W33:W42">
    <cfRule type="cellIs" dxfId="7889" priority="5279" operator="equal">
      <formula>"OFF"</formula>
    </cfRule>
    <cfRule type="cellIs" dxfId="7888" priority="5280" operator="equal">
      <formula>"PTO"</formula>
    </cfRule>
  </conditionalFormatting>
  <conditionalFormatting sqref="W33:W42">
    <cfRule type="cellIs" dxfId="7887" priority="5277" operator="equal">
      <formula>"OFF"</formula>
    </cfRule>
    <cfRule type="cellIs" dxfId="7886" priority="5278" operator="equal">
      <formula>"PTO"</formula>
    </cfRule>
  </conditionalFormatting>
  <conditionalFormatting sqref="W33:W42">
    <cfRule type="cellIs" dxfId="7885" priority="5275" operator="equal">
      <formula>"OFF"</formula>
    </cfRule>
    <cfRule type="cellIs" dxfId="7884" priority="5276" operator="equal">
      <formula>"PTO"</formula>
    </cfRule>
  </conditionalFormatting>
  <conditionalFormatting sqref="W33:W42">
    <cfRule type="cellIs" dxfId="7883" priority="5273" operator="equal">
      <formula>"OFF"</formula>
    </cfRule>
    <cfRule type="cellIs" dxfId="7882" priority="5274" operator="equal">
      <formula>"PTO"</formula>
    </cfRule>
  </conditionalFormatting>
  <conditionalFormatting sqref="W33:W42">
    <cfRule type="cellIs" dxfId="7881" priority="5271" operator="equal">
      <formula>"OFF"</formula>
    </cfRule>
    <cfRule type="cellIs" dxfId="7880" priority="5272" operator="equal">
      <formula>"PTO"</formula>
    </cfRule>
  </conditionalFormatting>
  <conditionalFormatting sqref="W33:W42">
    <cfRule type="cellIs" dxfId="7879" priority="5269" operator="equal">
      <formula>"OFF"</formula>
    </cfRule>
    <cfRule type="cellIs" dxfId="7878" priority="5270" operator="equal">
      <formula>"PTO"</formula>
    </cfRule>
  </conditionalFormatting>
  <conditionalFormatting sqref="W33:W42">
    <cfRule type="cellIs" dxfId="7877" priority="5267" operator="equal">
      <formula>"OFF"</formula>
    </cfRule>
    <cfRule type="cellIs" dxfId="7876" priority="5268" operator="equal">
      <formula>"PTO"</formula>
    </cfRule>
  </conditionalFormatting>
  <conditionalFormatting sqref="W33:W42">
    <cfRule type="cellIs" dxfId="7875" priority="5265" operator="equal">
      <formula>"OFF"</formula>
    </cfRule>
    <cfRule type="cellIs" dxfId="7874" priority="5266" operator="equal">
      <formula>"PTO"</formula>
    </cfRule>
  </conditionalFormatting>
  <conditionalFormatting sqref="W33:W42">
    <cfRule type="cellIs" dxfId="7873" priority="5263" operator="equal">
      <formula>"OFF"</formula>
    </cfRule>
    <cfRule type="cellIs" dxfId="7872" priority="5264" operator="equal">
      <formula>"PTO"</formula>
    </cfRule>
  </conditionalFormatting>
  <conditionalFormatting sqref="W33:W42">
    <cfRule type="cellIs" dxfId="7871" priority="5261" operator="equal">
      <formula>"OFF"</formula>
    </cfRule>
    <cfRule type="cellIs" dxfId="7870" priority="5262" operator="equal">
      <formula>"PTO"</formula>
    </cfRule>
  </conditionalFormatting>
  <conditionalFormatting sqref="W33:W42">
    <cfRule type="cellIs" dxfId="7869" priority="5259" operator="equal">
      <formula>"OFF"</formula>
    </cfRule>
    <cfRule type="cellIs" dxfId="7868" priority="5260" operator="equal">
      <formula>"PTO"</formula>
    </cfRule>
  </conditionalFormatting>
  <conditionalFormatting sqref="W33:W42">
    <cfRule type="cellIs" dxfId="7867" priority="5257" operator="equal">
      <formula>"OFF"</formula>
    </cfRule>
    <cfRule type="cellIs" dxfId="7866" priority="5258" operator="equal">
      <formula>"PTO"</formula>
    </cfRule>
  </conditionalFormatting>
  <conditionalFormatting sqref="W33:W42">
    <cfRule type="cellIs" dxfId="7865" priority="5255" operator="equal">
      <formula>"OFF"</formula>
    </cfRule>
    <cfRule type="cellIs" dxfId="7864" priority="5256" operator="equal">
      <formula>"PTO"</formula>
    </cfRule>
  </conditionalFormatting>
  <conditionalFormatting sqref="W33:W42">
    <cfRule type="cellIs" dxfId="7863" priority="5253" operator="equal">
      <formula>"OFF"</formula>
    </cfRule>
    <cfRule type="cellIs" dxfId="7862" priority="5254" operator="equal">
      <formula>"PTO"</formula>
    </cfRule>
  </conditionalFormatting>
  <conditionalFormatting sqref="W33:W42">
    <cfRule type="cellIs" dxfId="7861" priority="5251" operator="equal">
      <formula>"OFF"</formula>
    </cfRule>
    <cfRule type="cellIs" dxfId="7860" priority="5252" operator="equal">
      <formula>"PTO"</formula>
    </cfRule>
  </conditionalFormatting>
  <conditionalFormatting sqref="W33:W42">
    <cfRule type="cellIs" dxfId="7859" priority="5239" operator="equal">
      <formula>"OFF"</formula>
    </cfRule>
    <cfRule type="cellIs" dxfId="7858" priority="5240" operator="equal">
      <formula>"PTO"</formula>
    </cfRule>
  </conditionalFormatting>
  <conditionalFormatting sqref="W33:W42">
    <cfRule type="cellIs" dxfId="7857" priority="5237" operator="equal">
      <formula>"OFF"</formula>
    </cfRule>
    <cfRule type="cellIs" dxfId="7856" priority="5238" operator="equal">
      <formula>"PTO"</formula>
    </cfRule>
  </conditionalFormatting>
  <conditionalFormatting sqref="W33:W42">
    <cfRule type="cellIs" dxfId="7855" priority="5233" operator="equal">
      <formula>"OFF"</formula>
    </cfRule>
    <cfRule type="cellIs" dxfId="7854" priority="5234" operator="equal">
      <formula>"PTO"</formula>
    </cfRule>
  </conditionalFormatting>
  <conditionalFormatting sqref="W33:W42">
    <cfRule type="cellIs" dxfId="7853" priority="5231" operator="equal">
      <formula>"OFF"</formula>
    </cfRule>
    <cfRule type="cellIs" dxfId="7852" priority="5232" operator="equal">
      <formula>"PTO"</formula>
    </cfRule>
  </conditionalFormatting>
  <conditionalFormatting sqref="W33:W42">
    <cfRule type="cellIs" dxfId="7851" priority="5229" operator="equal">
      <formula>"OFF"</formula>
    </cfRule>
    <cfRule type="cellIs" dxfId="7850" priority="5230" operator="equal">
      <formula>"PTO"</formula>
    </cfRule>
  </conditionalFormatting>
  <conditionalFormatting sqref="W33:W42">
    <cfRule type="cellIs" dxfId="7849" priority="5225" operator="equal">
      <formula>"OFF"</formula>
    </cfRule>
    <cfRule type="cellIs" dxfId="7848" priority="5226" operator="equal">
      <formula>"PTO"</formula>
    </cfRule>
  </conditionalFormatting>
  <conditionalFormatting sqref="W33:W42">
    <cfRule type="cellIs" dxfId="7847" priority="5223" operator="equal">
      <formula>"OFF"</formula>
    </cfRule>
    <cfRule type="cellIs" dxfId="7846" priority="5224" operator="equal">
      <formula>"PTO"</formula>
    </cfRule>
  </conditionalFormatting>
  <conditionalFormatting sqref="W33:W42">
    <cfRule type="cellIs" dxfId="7845" priority="5221" operator="equal">
      <formula>"OFF"</formula>
    </cfRule>
    <cfRule type="cellIs" dxfId="7844" priority="5222" operator="equal">
      <formula>"PTO"</formula>
    </cfRule>
  </conditionalFormatting>
  <conditionalFormatting sqref="W33:W42">
    <cfRule type="cellIs" dxfId="7843" priority="5219" operator="equal">
      <formula>"OFF"</formula>
    </cfRule>
    <cfRule type="cellIs" dxfId="7842" priority="5220" operator="equal">
      <formula>"PTO"</formula>
    </cfRule>
  </conditionalFormatting>
  <conditionalFormatting sqref="W33:W42">
    <cfRule type="cellIs" dxfId="7841" priority="5217" operator="equal">
      <formula>"OFF"</formula>
    </cfRule>
    <cfRule type="cellIs" dxfId="7840" priority="5218" operator="equal">
      <formula>"PTO"</formula>
    </cfRule>
  </conditionalFormatting>
  <conditionalFormatting sqref="W33:W42">
    <cfRule type="cellIs" dxfId="7839" priority="5215" operator="equal">
      <formula>"OFF"</formula>
    </cfRule>
    <cfRule type="cellIs" dxfId="7838" priority="5216" operator="equal">
      <formula>"PTO"</formula>
    </cfRule>
  </conditionalFormatting>
  <conditionalFormatting sqref="W33:W42">
    <cfRule type="cellIs" dxfId="7837" priority="5213" operator="equal">
      <formula>"OFF"</formula>
    </cfRule>
    <cfRule type="cellIs" dxfId="7836" priority="5214" operator="equal">
      <formula>"PTO"</formula>
    </cfRule>
  </conditionalFormatting>
  <conditionalFormatting sqref="W33:W42">
    <cfRule type="cellIs" dxfId="7835" priority="5207" operator="equal">
      <formula>"OFF"</formula>
    </cfRule>
    <cfRule type="cellIs" dxfId="7834" priority="5208" operator="equal">
      <formula>"PTO"</formula>
    </cfRule>
  </conditionalFormatting>
  <conditionalFormatting sqref="W33:W42">
    <cfRule type="cellIs" dxfId="7833" priority="5205" operator="equal">
      <formula>"OFF"</formula>
    </cfRule>
    <cfRule type="cellIs" dxfId="7832" priority="5206" operator="equal">
      <formula>"PTO"</formula>
    </cfRule>
  </conditionalFormatting>
  <conditionalFormatting sqref="W33:W42">
    <cfRule type="cellIs" dxfId="7831" priority="5203" operator="equal">
      <formula>"OFF"</formula>
    </cfRule>
    <cfRule type="cellIs" dxfId="7830" priority="5204" operator="equal">
      <formula>"PTO"</formula>
    </cfRule>
  </conditionalFormatting>
  <conditionalFormatting sqref="W33:W42">
    <cfRule type="cellIs" dxfId="7829" priority="5201" operator="equal">
      <formula>"OFF"</formula>
    </cfRule>
    <cfRule type="cellIs" dxfId="7828" priority="5202" operator="equal">
      <formula>"PTO"</formula>
    </cfRule>
  </conditionalFormatting>
  <conditionalFormatting sqref="W33:W42">
    <cfRule type="cellIs" dxfId="7827" priority="5199" operator="equal">
      <formula>"OFF"</formula>
    </cfRule>
    <cfRule type="cellIs" dxfId="7826" priority="5200" operator="equal">
      <formula>"PTO"</formula>
    </cfRule>
  </conditionalFormatting>
  <conditionalFormatting sqref="W33:W42">
    <cfRule type="cellIs" dxfId="7825" priority="5197" operator="equal">
      <formula>"OFF"</formula>
    </cfRule>
    <cfRule type="cellIs" dxfId="7824" priority="5198" operator="equal">
      <formula>"PTO"</formula>
    </cfRule>
  </conditionalFormatting>
  <conditionalFormatting sqref="W33:W42">
    <cfRule type="cellIs" dxfId="7823" priority="5195" operator="equal">
      <formula>"OFF"</formula>
    </cfRule>
    <cfRule type="cellIs" dxfId="7822" priority="5196" operator="equal">
      <formula>"PTO"</formula>
    </cfRule>
  </conditionalFormatting>
  <conditionalFormatting sqref="W33:W42">
    <cfRule type="cellIs" dxfId="7821" priority="5193" operator="equal">
      <formula>"OFF"</formula>
    </cfRule>
    <cfRule type="cellIs" dxfId="7820" priority="5194" operator="equal">
      <formula>"PTO"</formula>
    </cfRule>
  </conditionalFormatting>
  <conditionalFormatting sqref="W33:W42">
    <cfRule type="cellIs" dxfId="7819" priority="5191" operator="equal">
      <formula>"OFF"</formula>
    </cfRule>
    <cfRule type="cellIs" dxfId="7818" priority="5192" operator="equal">
      <formula>"PTO"</formula>
    </cfRule>
  </conditionalFormatting>
  <conditionalFormatting sqref="W33:W42">
    <cfRule type="cellIs" dxfId="7817" priority="5189" operator="equal">
      <formula>"OFF"</formula>
    </cfRule>
    <cfRule type="cellIs" dxfId="7816" priority="5190" operator="equal">
      <formula>"PTO"</formula>
    </cfRule>
  </conditionalFormatting>
  <conditionalFormatting sqref="W33:W42">
    <cfRule type="cellIs" dxfId="7815" priority="5187" operator="equal">
      <formula>"OFF"</formula>
    </cfRule>
    <cfRule type="cellIs" dxfId="7814" priority="5188" operator="equal">
      <formula>"PTO"</formula>
    </cfRule>
  </conditionalFormatting>
  <conditionalFormatting sqref="W33:W42">
    <cfRule type="cellIs" dxfId="7813" priority="5185" operator="equal">
      <formula>"OFF"</formula>
    </cfRule>
    <cfRule type="cellIs" dxfId="7812" priority="5186" operator="equal">
      <formula>"PTO"</formula>
    </cfRule>
  </conditionalFormatting>
  <conditionalFormatting sqref="W33:W42">
    <cfRule type="cellIs" dxfId="7811" priority="5183" operator="equal">
      <formula>"OFF"</formula>
    </cfRule>
    <cfRule type="cellIs" dxfId="7810" priority="5184" operator="equal">
      <formula>"PTO"</formula>
    </cfRule>
  </conditionalFormatting>
  <conditionalFormatting sqref="W33:W42">
    <cfRule type="cellIs" dxfId="7809" priority="5181" operator="equal">
      <formula>"OFF"</formula>
    </cfRule>
    <cfRule type="cellIs" dxfId="7808" priority="5182" operator="equal">
      <formula>"PTO"</formula>
    </cfRule>
  </conditionalFormatting>
  <conditionalFormatting sqref="W33:W42">
    <cfRule type="cellIs" dxfId="7807" priority="5179" operator="equal">
      <formula>"OFF"</formula>
    </cfRule>
    <cfRule type="cellIs" dxfId="7806" priority="5180" operator="equal">
      <formula>"PTO"</formula>
    </cfRule>
  </conditionalFormatting>
  <conditionalFormatting sqref="W33:W42">
    <cfRule type="cellIs" dxfId="7805" priority="5177" operator="equal">
      <formula>"OFF"</formula>
    </cfRule>
    <cfRule type="cellIs" dxfId="7804" priority="5178" operator="equal">
      <formula>"PTO"</formula>
    </cfRule>
  </conditionalFormatting>
  <conditionalFormatting sqref="W33:W42">
    <cfRule type="cellIs" dxfId="7803" priority="5175" operator="equal">
      <formula>"OFF"</formula>
    </cfRule>
    <cfRule type="cellIs" dxfId="7802" priority="5176" operator="equal">
      <formula>"PTO"</formula>
    </cfRule>
  </conditionalFormatting>
  <conditionalFormatting sqref="W33:W42">
    <cfRule type="cellIs" dxfId="7801" priority="5173" operator="equal">
      <formula>"OFF"</formula>
    </cfRule>
    <cfRule type="cellIs" dxfId="7800" priority="5174" operator="equal">
      <formula>"PTO"</formula>
    </cfRule>
  </conditionalFormatting>
  <conditionalFormatting sqref="W33:W42">
    <cfRule type="cellIs" dxfId="7799" priority="5171" operator="equal">
      <formula>"OFF"</formula>
    </cfRule>
    <cfRule type="cellIs" dxfId="7798" priority="5172" operator="equal">
      <formula>"PTO"</formula>
    </cfRule>
  </conditionalFormatting>
  <conditionalFormatting sqref="W33:W42">
    <cfRule type="cellIs" dxfId="7797" priority="5169" operator="equal">
      <formula>"OFF"</formula>
    </cfRule>
    <cfRule type="cellIs" dxfId="7796" priority="5170" operator="equal">
      <formula>"PTO"</formula>
    </cfRule>
  </conditionalFormatting>
  <conditionalFormatting sqref="W33:W42">
    <cfRule type="cellIs" dxfId="7795" priority="5167" operator="equal">
      <formula>"OFF"</formula>
    </cfRule>
    <cfRule type="cellIs" dxfId="7794" priority="5168" operator="equal">
      <formula>"PTO"</formula>
    </cfRule>
  </conditionalFormatting>
  <conditionalFormatting sqref="W33:W42">
    <cfRule type="cellIs" dxfId="7793" priority="5165" operator="equal">
      <formula>"OFF"</formula>
    </cfRule>
    <cfRule type="cellIs" dxfId="7792" priority="5166" operator="equal">
      <formula>"PTO"</formula>
    </cfRule>
  </conditionalFormatting>
  <conditionalFormatting sqref="W33:W42">
    <cfRule type="cellIs" dxfId="7791" priority="5163" operator="equal">
      <formula>"OFF"</formula>
    </cfRule>
    <cfRule type="cellIs" dxfId="7790" priority="5164" operator="equal">
      <formula>"PTO"</formula>
    </cfRule>
  </conditionalFormatting>
  <conditionalFormatting sqref="W33:W42">
    <cfRule type="cellIs" dxfId="7789" priority="5161" operator="equal">
      <formula>"OFF"</formula>
    </cfRule>
    <cfRule type="cellIs" dxfId="7788" priority="5162" operator="equal">
      <formula>"PTO"</formula>
    </cfRule>
  </conditionalFormatting>
  <conditionalFormatting sqref="W33:W42">
    <cfRule type="cellIs" dxfId="7787" priority="5159" operator="equal">
      <formula>"OFF"</formula>
    </cfRule>
    <cfRule type="cellIs" dxfId="7786" priority="5160" operator="equal">
      <formula>"PTO"</formula>
    </cfRule>
  </conditionalFormatting>
  <conditionalFormatting sqref="W33:W42">
    <cfRule type="cellIs" dxfId="7785" priority="5157" operator="equal">
      <formula>"OFF"</formula>
    </cfRule>
    <cfRule type="cellIs" dxfId="7784" priority="5158" operator="equal">
      <formula>"PTO"</formula>
    </cfRule>
  </conditionalFormatting>
  <conditionalFormatting sqref="W33:W42">
    <cfRule type="cellIs" dxfId="7783" priority="5155" operator="equal">
      <formula>"OFF"</formula>
    </cfRule>
    <cfRule type="cellIs" dxfId="7782" priority="5156" operator="equal">
      <formula>"PTO"</formula>
    </cfRule>
  </conditionalFormatting>
  <conditionalFormatting sqref="W33:W42">
    <cfRule type="cellIs" dxfId="7781" priority="5153" operator="equal">
      <formula>"OFF"</formula>
    </cfRule>
    <cfRule type="cellIs" dxfId="7780" priority="5154" operator="equal">
      <formula>"PTO"</formula>
    </cfRule>
  </conditionalFormatting>
  <conditionalFormatting sqref="W33:W42">
    <cfRule type="cellIs" dxfId="7779" priority="5151" operator="equal">
      <formula>"OFF"</formula>
    </cfRule>
    <cfRule type="cellIs" dxfId="7778" priority="5152" operator="equal">
      <formula>"PTO"</formula>
    </cfRule>
  </conditionalFormatting>
  <conditionalFormatting sqref="W33:W42">
    <cfRule type="cellIs" dxfId="7777" priority="5149" operator="equal">
      <formula>"OFF"</formula>
    </cfRule>
    <cfRule type="cellIs" dxfId="7776" priority="5150" operator="equal">
      <formula>"PTO"</formula>
    </cfRule>
  </conditionalFormatting>
  <conditionalFormatting sqref="W33:W42">
    <cfRule type="cellIs" dxfId="7775" priority="5147" operator="equal">
      <formula>"OFF"</formula>
    </cfRule>
    <cfRule type="cellIs" dxfId="7774" priority="5148" operator="equal">
      <formula>"PTO"</formula>
    </cfRule>
  </conditionalFormatting>
  <conditionalFormatting sqref="W33:W42">
    <cfRule type="cellIs" dxfId="7773" priority="5145" operator="equal">
      <formula>"OFF"</formula>
    </cfRule>
    <cfRule type="cellIs" dxfId="7772" priority="5146" operator="equal">
      <formula>"PTO"</formula>
    </cfRule>
  </conditionalFormatting>
  <conditionalFormatting sqref="W33:W42">
    <cfRule type="cellIs" dxfId="7771" priority="5143" operator="equal">
      <formula>"OFF"</formula>
    </cfRule>
    <cfRule type="cellIs" dxfId="7770" priority="5144" operator="equal">
      <formula>"PTO"</formula>
    </cfRule>
  </conditionalFormatting>
  <conditionalFormatting sqref="W33:W42">
    <cfRule type="cellIs" dxfId="7769" priority="5141" operator="equal">
      <formula>"OFF"</formula>
    </cfRule>
    <cfRule type="cellIs" dxfId="7768" priority="5142" operator="equal">
      <formula>"PTO"</formula>
    </cfRule>
  </conditionalFormatting>
  <conditionalFormatting sqref="C17">
    <cfRule type="cellIs" dxfId="7767" priority="4809" operator="equal">
      <formula>"OFF"</formula>
    </cfRule>
    <cfRule type="cellIs" dxfId="7766" priority="4810" operator="equal">
      <formula>"PTO"</formula>
    </cfRule>
  </conditionalFormatting>
  <conditionalFormatting sqref="C17">
    <cfRule type="cellIs" dxfId="7765" priority="4803" operator="equal">
      <formula>"OFF"</formula>
    </cfRule>
    <cfRule type="cellIs" dxfId="7764" priority="4804" operator="equal">
      <formula>"PTO"</formula>
    </cfRule>
  </conditionalFormatting>
  <conditionalFormatting sqref="C17">
    <cfRule type="cellIs" dxfId="7763" priority="4795" operator="equal">
      <formula>"OFF"</formula>
    </cfRule>
    <cfRule type="cellIs" dxfId="7762" priority="4796" operator="equal">
      <formula>"PTO"</formula>
    </cfRule>
  </conditionalFormatting>
  <conditionalFormatting sqref="C17">
    <cfRule type="cellIs" dxfId="7761" priority="4779" operator="equal">
      <formula>"OFF"</formula>
    </cfRule>
    <cfRule type="cellIs" dxfId="7760" priority="4780" operator="equal">
      <formula>"PTO"</formula>
    </cfRule>
  </conditionalFormatting>
  <conditionalFormatting sqref="C17">
    <cfRule type="cellIs" dxfId="7759" priority="4777" operator="equal">
      <formula>"OFF"</formula>
    </cfRule>
    <cfRule type="cellIs" dxfId="7758" priority="4778" operator="equal">
      <formula>"PTO"</formula>
    </cfRule>
  </conditionalFormatting>
  <conditionalFormatting sqref="C17">
    <cfRule type="cellIs" dxfId="7757" priority="4811" operator="equal">
      <formula>"OFF"</formula>
    </cfRule>
    <cfRule type="cellIs" dxfId="7756" priority="4812" operator="equal">
      <formula>"PTO"</formula>
    </cfRule>
  </conditionalFormatting>
  <conditionalFormatting sqref="C17">
    <cfRule type="cellIs" dxfId="7755" priority="4807" operator="equal">
      <formula>"OFF"</formula>
    </cfRule>
    <cfRule type="cellIs" dxfId="7754" priority="4808" operator="equal">
      <formula>"PTO"</formula>
    </cfRule>
  </conditionalFormatting>
  <conditionalFormatting sqref="C17">
    <cfRule type="cellIs" dxfId="7753" priority="4805" operator="equal">
      <formula>"OFF"</formula>
    </cfRule>
    <cfRule type="cellIs" dxfId="7752" priority="4806" operator="equal">
      <formula>"PTO"</formula>
    </cfRule>
  </conditionalFormatting>
  <conditionalFormatting sqref="C17">
    <cfRule type="cellIs" dxfId="7751" priority="4801" operator="equal">
      <formula>"OFF"</formula>
    </cfRule>
    <cfRule type="cellIs" dxfId="7750" priority="4802" operator="equal">
      <formula>"PTO"</formula>
    </cfRule>
  </conditionalFormatting>
  <conditionalFormatting sqref="C17">
    <cfRule type="cellIs" dxfId="7749" priority="4799" operator="equal">
      <formula>"OFF"</formula>
    </cfRule>
    <cfRule type="cellIs" dxfId="7748" priority="4800" operator="equal">
      <formula>"PTO"</formula>
    </cfRule>
  </conditionalFormatting>
  <conditionalFormatting sqref="C17">
    <cfRule type="cellIs" dxfId="7747" priority="4797" operator="equal">
      <formula>"OFF"</formula>
    </cfRule>
    <cfRule type="cellIs" dxfId="7746" priority="4798" operator="equal">
      <formula>"PTO"</formula>
    </cfRule>
  </conditionalFormatting>
  <conditionalFormatting sqref="C17">
    <cfRule type="cellIs" dxfId="7745" priority="4793" operator="equal">
      <formula>"OFF"</formula>
    </cfRule>
    <cfRule type="cellIs" dxfId="7744" priority="4794" operator="equal">
      <formula>"PTO"</formula>
    </cfRule>
  </conditionalFormatting>
  <conditionalFormatting sqref="C17">
    <cfRule type="cellIs" dxfId="7743" priority="4791" operator="equal">
      <formula>"OFF"</formula>
    </cfRule>
    <cfRule type="cellIs" dxfId="7742" priority="4792" operator="equal">
      <formula>"PTO"</formula>
    </cfRule>
  </conditionalFormatting>
  <conditionalFormatting sqref="C17">
    <cfRule type="cellIs" dxfId="7741" priority="4789" operator="equal">
      <formula>"OFF"</formula>
    </cfRule>
    <cfRule type="cellIs" dxfId="7740" priority="4790" operator="equal">
      <formula>"PTO"</formula>
    </cfRule>
  </conditionalFormatting>
  <conditionalFormatting sqref="C17">
    <cfRule type="cellIs" dxfId="7739" priority="4787" operator="equal">
      <formula>"OFF"</formula>
    </cfRule>
    <cfRule type="cellIs" dxfId="7738" priority="4788" operator="equal">
      <formula>"PTO"</formula>
    </cfRule>
  </conditionalFormatting>
  <conditionalFormatting sqref="C17">
    <cfRule type="cellIs" dxfId="7737" priority="4785" operator="equal">
      <formula>"OFF"</formula>
    </cfRule>
    <cfRule type="cellIs" dxfId="7736" priority="4786" operator="equal">
      <formula>"PTO"</formula>
    </cfRule>
  </conditionalFormatting>
  <conditionalFormatting sqref="C17">
    <cfRule type="cellIs" dxfId="7735" priority="4783" operator="equal">
      <formula>"OFF"</formula>
    </cfRule>
    <cfRule type="cellIs" dxfId="7734" priority="4784" operator="equal">
      <formula>"PTO"</formula>
    </cfRule>
  </conditionalFormatting>
  <conditionalFormatting sqref="C17">
    <cfRule type="cellIs" dxfId="7733" priority="4781" operator="equal">
      <formula>"OFF"</formula>
    </cfRule>
    <cfRule type="cellIs" dxfId="7732" priority="4782" operator="equal">
      <formula>"PTO"</formula>
    </cfRule>
  </conditionalFormatting>
  <conditionalFormatting sqref="C17">
    <cfRule type="cellIs" dxfId="7731" priority="4775" operator="equal">
      <formula>"OFF"</formula>
    </cfRule>
    <cfRule type="cellIs" dxfId="7730" priority="4776" operator="equal">
      <formula>"PTO"</formula>
    </cfRule>
  </conditionalFormatting>
  <conditionalFormatting sqref="C17">
    <cfRule type="cellIs" dxfId="7729" priority="4773" operator="equal">
      <formula>"OFF"</formula>
    </cfRule>
    <cfRule type="cellIs" dxfId="7728" priority="4774" operator="equal">
      <formula>"PTO"</formula>
    </cfRule>
  </conditionalFormatting>
  <conditionalFormatting sqref="C17">
    <cfRule type="cellIs" dxfId="7727" priority="4771" operator="equal">
      <formula>"OFF"</formula>
    </cfRule>
    <cfRule type="cellIs" dxfId="7726" priority="4772" operator="equal">
      <formula>"PTO"</formula>
    </cfRule>
  </conditionalFormatting>
  <conditionalFormatting sqref="C17">
    <cfRule type="cellIs" dxfId="7725" priority="4769" operator="equal">
      <formula>"OFF"</formula>
    </cfRule>
    <cfRule type="cellIs" dxfId="7724" priority="4770" operator="equal">
      <formula>"PTO"</formula>
    </cfRule>
  </conditionalFormatting>
  <conditionalFormatting sqref="C17">
    <cfRule type="cellIs" dxfId="7723" priority="4767" operator="equal">
      <formula>"OFF"</formula>
    </cfRule>
    <cfRule type="cellIs" dxfId="7722" priority="4768" operator="equal">
      <formula>"PTO"</formula>
    </cfRule>
  </conditionalFormatting>
  <conditionalFormatting sqref="C17">
    <cfRule type="cellIs" dxfId="7721" priority="4765" operator="equal">
      <formula>"OFF"</formula>
    </cfRule>
    <cfRule type="cellIs" dxfId="7720" priority="4766" operator="equal">
      <formula>"PTO"</formula>
    </cfRule>
  </conditionalFormatting>
  <conditionalFormatting sqref="C17">
    <cfRule type="cellIs" dxfId="7719" priority="4763" operator="equal">
      <formula>"OFF"</formula>
    </cfRule>
    <cfRule type="cellIs" dxfId="7718" priority="4764" operator="equal">
      <formula>"PTO"</formula>
    </cfRule>
  </conditionalFormatting>
  <conditionalFormatting sqref="C17">
    <cfRule type="cellIs" dxfId="7717" priority="4761" operator="equal">
      <formula>"OFF"</formula>
    </cfRule>
    <cfRule type="cellIs" dxfId="7716" priority="4762" operator="equal">
      <formula>"PTO"</formula>
    </cfRule>
  </conditionalFormatting>
  <conditionalFormatting sqref="C17">
    <cfRule type="cellIs" dxfId="7715" priority="4759" operator="equal">
      <formula>"OFF"</formula>
    </cfRule>
    <cfRule type="cellIs" dxfId="7714" priority="4760" operator="equal">
      <formula>"PTO"</formula>
    </cfRule>
  </conditionalFormatting>
  <conditionalFormatting sqref="C17">
    <cfRule type="cellIs" dxfId="7713" priority="4757" operator="equal">
      <formula>"OFF"</formula>
    </cfRule>
    <cfRule type="cellIs" dxfId="7712" priority="4758" operator="equal">
      <formula>"PTO"</formula>
    </cfRule>
  </conditionalFormatting>
  <conditionalFormatting sqref="C17">
    <cfRule type="cellIs" dxfId="7711" priority="4755" operator="equal">
      <formula>"OFF"</formula>
    </cfRule>
    <cfRule type="cellIs" dxfId="7710" priority="4756" operator="equal">
      <formula>"PTO"</formula>
    </cfRule>
  </conditionalFormatting>
  <conditionalFormatting sqref="C17">
    <cfRule type="cellIs" dxfId="7709" priority="4753" operator="equal">
      <formula>"OFF"</formula>
    </cfRule>
    <cfRule type="cellIs" dxfId="7708" priority="4754" operator="equal">
      <formula>"PTO"</formula>
    </cfRule>
  </conditionalFormatting>
  <conditionalFormatting sqref="C17">
    <cfRule type="cellIs" dxfId="7707" priority="4751" operator="equal">
      <formula>"OFF"</formula>
    </cfRule>
    <cfRule type="cellIs" dxfId="7706" priority="4752" operator="equal">
      <formula>"PTO"</formula>
    </cfRule>
  </conditionalFormatting>
  <conditionalFormatting sqref="C17">
    <cfRule type="cellIs" dxfId="7705" priority="4749" operator="equal">
      <formula>"OFF"</formula>
    </cfRule>
    <cfRule type="cellIs" dxfId="7704" priority="4750" operator="equal">
      <formula>"PTO"</formula>
    </cfRule>
  </conditionalFormatting>
  <conditionalFormatting sqref="C17">
    <cfRule type="cellIs" dxfId="7703" priority="4747" operator="equal">
      <formula>"OFF"</formula>
    </cfRule>
    <cfRule type="cellIs" dxfId="7702" priority="4748" operator="equal">
      <formula>"PTO"</formula>
    </cfRule>
  </conditionalFormatting>
  <conditionalFormatting sqref="C17">
    <cfRule type="cellIs" dxfId="7701" priority="4745" operator="equal">
      <formula>"OFF"</formula>
    </cfRule>
    <cfRule type="cellIs" dxfId="7700" priority="4746" operator="equal">
      <formula>"PTO"</formula>
    </cfRule>
  </conditionalFormatting>
  <conditionalFormatting sqref="C17">
    <cfRule type="cellIs" dxfId="7699" priority="4743" operator="equal">
      <formula>"OFF"</formula>
    </cfRule>
    <cfRule type="cellIs" dxfId="7698" priority="4744" operator="equal">
      <formula>"PTO"</formula>
    </cfRule>
  </conditionalFormatting>
  <conditionalFormatting sqref="C17">
    <cfRule type="cellIs" dxfId="7697" priority="4741" operator="equal">
      <formula>"OFF"</formula>
    </cfRule>
    <cfRule type="cellIs" dxfId="7696" priority="4742" operator="equal">
      <formula>"PTO"</formula>
    </cfRule>
  </conditionalFormatting>
  <conditionalFormatting sqref="C17">
    <cfRule type="cellIs" dxfId="7695" priority="4739" operator="equal">
      <formula>"OFF"</formula>
    </cfRule>
    <cfRule type="cellIs" dxfId="7694" priority="4740" operator="equal">
      <formula>"PTO"</formula>
    </cfRule>
  </conditionalFormatting>
  <conditionalFormatting sqref="C17">
    <cfRule type="cellIs" dxfId="7693" priority="4737" operator="equal">
      <formula>"OFF"</formula>
    </cfRule>
    <cfRule type="cellIs" dxfId="7692" priority="4738" operator="equal">
      <formula>"PTO"</formula>
    </cfRule>
  </conditionalFormatting>
  <conditionalFormatting sqref="C17">
    <cfRule type="cellIs" dxfId="7691" priority="4735" operator="equal">
      <formula>"OFF"</formula>
    </cfRule>
    <cfRule type="cellIs" dxfId="7690" priority="4736" operator="equal">
      <formula>"PTO"</formula>
    </cfRule>
  </conditionalFormatting>
  <conditionalFormatting sqref="C17">
    <cfRule type="cellIs" dxfId="7689" priority="4733" operator="equal">
      <formula>"OFF"</formula>
    </cfRule>
    <cfRule type="cellIs" dxfId="7688" priority="4734" operator="equal">
      <formula>"PTO"</formula>
    </cfRule>
  </conditionalFormatting>
  <conditionalFormatting sqref="C17">
    <cfRule type="cellIs" dxfId="7687" priority="4731" operator="equal">
      <formula>"OFF"</formula>
    </cfRule>
    <cfRule type="cellIs" dxfId="7686" priority="4732" operator="equal">
      <formula>"PTO"</formula>
    </cfRule>
  </conditionalFormatting>
  <conditionalFormatting sqref="C17">
    <cfRule type="cellIs" dxfId="7685" priority="4729" operator="equal">
      <formula>"OFF"</formula>
    </cfRule>
    <cfRule type="cellIs" dxfId="7684" priority="4730" operator="equal">
      <formula>"PTO"</formula>
    </cfRule>
  </conditionalFormatting>
  <conditionalFormatting sqref="C17">
    <cfRule type="cellIs" dxfId="7683" priority="4727" operator="equal">
      <formula>"OFF"</formula>
    </cfRule>
    <cfRule type="cellIs" dxfId="7682" priority="4728" operator="equal">
      <formula>"PTO"</formula>
    </cfRule>
  </conditionalFormatting>
  <conditionalFormatting sqref="C17">
    <cfRule type="cellIs" dxfId="7681" priority="4725" operator="equal">
      <formula>"OFF"</formula>
    </cfRule>
    <cfRule type="cellIs" dxfId="7680" priority="4726" operator="equal">
      <formula>"PTO"</formula>
    </cfRule>
  </conditionalFormatting>
  <conditionalFormatting sqref="Y34:Y42">
    <cfRule type="cellIs" dxfId="7679" priority="4723" operator="equal">
      <formula>"OFF"</formula>
    </cfRule>
    <cfRule type="cellIs" dxfId="7678" priority="4724" operator="equal">
      <formula>"PTO"</formula>
    </cfRule>
  </conditionalFormatting>
  <conditionalFormatting sqref="Y34:Y42">
    <cfRule type="cellIs" dxfId="7677" priority="4721" operator="equal">
      <formula>"OFF"</formula>
    </cfRule>
    <cfRule type="cellIs" dxfId="7676" priority="4722" operator="equal">
      <formula>"PTO"</formula>
    </cfRule>
  </conditionalFormatting>
  <conditionalFormatting sqref="Y34:Y42">
    <cfRule type="cellIs" dxfId="7675" priority="4719" operator="equal">
      <formula>"OFF"</formula>
    </cfRule>
    <cfRule type="cellIs" dxfId="7674" priority="4720" operator="equal">
      <formula>"PTO"</formula>
    </cfRule>
  </conditionalFormatting>
  <conditionalFormatting sqref="Y34:Y42">
    <cfRule type="cellIs" dxfId="7673" priority="4717" operator="equal">
      <formula>"OFF"</formula>
    </cfRule>
    <cfRule type="cellIs" dxfId="7672" priority="4718" operator="equal">
      <formula>"PTO"</formula>
    </cfRule>
  </conditionalFormatting>
  <conditionalFormatting sqref="Y34:Y42">
    <cfRule type="cellIs" dxfId="7671" priority="4715" operator="equal">
      <formula>"OFF"</formula>
    </cfRule>
    <cfRule type="cellIs" dxfId="7670" priority="4716" operator="equal">
      <formula>"PTO"</formula>
    </cfRule>
  </conditionalFormatting>
  <conditionalFormatting sqref="Y34:Y42">
    <cfRule type="cellIs" dxfId="7669" priority="4713" operator="equal">
      <formula>"OFF"</formula>
    </cfRule>
    <cfRule type="cellIs" dxfId="7668" priority="4714" operator="equal">
      <formula>"PTO"</formula>
    </cfRule>
  </conditionalFormatting>
  <conditionalFormatting sqref="Y34:Y42">
    <cfRule type="cellIs" dxfId="7667" priority="4711" operator="equal">
      <formula>"OFF"</formula>
    </cfRule>
    <cfRule type="cellIs" dxfId="7666" priority="4712" operator="equal">
      <formula>"PTO"</formula>
    </cfRule>
  </conditionalFormatting>
  <conditionalFormatting sqref="Y34:Y42">
    <cfRule type="cellIs" dxfId="7665" priority="4709" operator="equal">
      <formula>"OFF"</formula>
    </cfRule>
    <cfRule type="cellIs" dxfId="7664" priority="4710" operator="equal">
      <formula>"PTO"</formula>
    </cfRule>
  </conditionalFormatting>
  <conditionalFormatting sqref="Y34:Y42">
    <cfRule type="cellIs" dxfId="7663" priority="4707" operator="equal">
      <formula>"OFF"</formula>
    </cfRule>
    <cfRule type="cellIs" dxfId="7662" priority="4708" operator="equal">
      <formula>"PTO"</formula>
    </cfRule>
  </conditionalFormatting>
  <conditionalFormatting sqref="Y34:Y42">
    <cfRule type="cellIs" dxfId="7661" priority="4705" operator="equal">
      <formula>"OFF"</formula>
    </cfRule>
    <cfRule type="cellIs" dxfId="7660" priority="4706" operator="equal">
      <formula>"PTO"</formula>
    </cfRule>
  </conditionalFormatting>
  <conditionalFormatting sqref="Y34:Y42">
    <cfRule type="cellIs" dxfId="7659" priority="4703" operator="equal">
      <formula>"OFF"</formula>
    </cfRule>
    <cfRule type="cellIs" dxfId="7658" priority="4704" operator="equal">
      <formula>"PTO"</formula>
    </cfRule>
  </conditionalFormatting>
  <conditionalFormatting sqref="Y34:Y42">
    <cfRule type="cellIs" dxfId="7657" priority="4701" operator="equal">
      <formula>"OFF"</formula>
    </cfRule>
    <cfRule type="cellIs" dxfId="7656" priority="4702" operator="equal">
      <formula>"PTO"</formula>
    </cfRule>
  </conditionalFormatting>
  <conditionalFormatting sqref="Y34:Y42">
    <cfRule type="cellIs" dxfId="7655" priority="4699" operator="equal">
      <formula>"OFF"</formula>
    </cfRule>
    <cfRule type="cellIs" dxfId="7654" priority="4700" operator="equal">
      <formula>"PTO"</formula>
    </cfRule>
  </conditionalFormatting>
  <conditionalFormatting sqref="Y34:Y42">
    <cfRule type="cellIs" dxfId="7653" priority="4697" operator="equal">
      <formula>"OFF"</formula>
    </cfRule>
    <cfRule type="cellIs" dxfId="7652" priority="4698" operator="equal">
      <formula>"PTO"</formula>
    </cfRule>
  </conditionalFormatting>
  <conditionalFormatting sqref="Y34:Y42">
    <cfRule type="cellIs" dxfId="7651" priority="4695" operator="equal">
      <formula>"OFF"</formula>
    </cfRule>
    <cfRule type="cellIs" dxfId="7650" priority="4696" operator="equal">
      <formula>"PTO"</formula>
    </cfRule>
  </conditionalFormatting>
  <conditionalFormatting sqref="Y34:Y42">
    <cfRule type="cellIs" dxfId="7649" priority="4693" operator="equal">
      <formula>"OFF"</formula>
    </cfRule>
    <cfRule type="cellIs" dxfId="7648" priority="4694" operator="equal">
      <formula>"PTO"</formula>
    </cfRule>
  </conditionalFormatting>
  <conditionalFormatting sqref="Y34:Y42">
    <cfRule type="cellIs" dxfId="7647" priority="4691" operator="equal">
      <formula>"OFF"</formula>
    </cfRule>
    <cfRule type="cellIs" dxfId="7646" priority="4692" operator="equal">
      <formula>"PTO"</formula>
    </cfRule>
  </conditionalFormatting>
  <conditionalFormatting sqref="Y34:Y42">
    <cfRule type="cellIs" dxfId="7645" priority="4689" operator="equal">
      <formula>"OFF"</formula>
    </cfRule>
    <cfRule type="cellIs" dxfId="7644" priority="4690" operator="equal">
      <formula>"PTO"</formula>
    </cfRule>
  </conditionalFormatting>
  <conditionalFormatting sqref="Y34:Y42">
    <cfRule type="cellIs" dxfId="7643" priority="4687" operator="equal">
      <formula>"OFF"</formula>
    </cfRule>
    <cfRule type="cellIs" dxfId="7642" priority="4688" operator="equal">
      <formula>"PTO"</formula>
    </cfRule>
  </conditionalFormatting>
  <conditionalFormatting sqref="Y34:Y42">
    <cfRule type="cellIs" dxfId="7641" priority="4685" operator="equal">
      <formula>"OFF"</formula>
    </cfRule>
    <cfRule type="cellIs" dxfId="7640" priority="4686" operator="equal">
      <formula>"PTO"</formula>
    </cfRule>
  </conditionalFormatting>
  <conditionalFormatting sqref="Y34">
    <cfRule type="cellIs" dxfId="7639" priority="4683" operator="equal">
      <formula>"OFF"</formula>
    </cfRule>
    <cfRule type="cellIs" dxfId="7638" priority="4684" operator="equal">
      <formula>"PTO"</formula>
    </cfRule>
  </conditionalFormatting>
  <conditionalFormatting sqref="Y34">
    <cfRule type="cellIs" dxfId="7637" priority="4681" operator="equal">
      <formula>"OFF"</formula>
    </cfRule>
    <cfRule type="cellIs" dxfId="7636" priority="4682" operator="equal">
      <formula>"PTO"</formula>
    </cfRule>
  </conditionalFormatting>
  <conditionalFormatting sqref="Y34">
    <cfRule type="cellIs" dxfId="7635" priority="4679" operator="equal">
      <formula>"OFF"</formula>
    </cfRule>
    <cfRule type="cellIs" dxfId="7634" priority="4680" operator="equal">
      <formula>"PTO"</formula>
    </cfRule>
  </conditionalFormatting>
  <conditionalFormatting sqref="Y34">
    <cfRule type="cellIs" dxfId="7633" priority="4677" operator="equal">
      <formula>"OFF"</formula>
    </cfRule>
    <cfRule type="cellIs" dxfId="7632" priority="4678" operator="equal">
      <formula>"PTO"</formula>
    </cfRule>
  </conditionalFormatting>
  <conditionalFormatting sqref="Y34">
    <cfRule type="cellIs" dxfId="7631" priority="4675" operator="equal">
      <formula>"OFF"</formula>
    </cfRule>
    <cfRule type="cellIs" dxfId="7630" priority="4676" operator="equal">
      <formula>"PTO"</formula>
    </cfRule>
  </conditionalFormatting>
  <conditionalFormatting sqref="Y34">
    <cfRule type="cellIs" dxfId="7629" priority="4673" operator="equal">
      <formula>"OFF"</formula>
    </cfRule>
    <cfRule type="cellIs" dxfId="7628" priority="4674" operator="equal">
      <formula>"PTO"</formula>
    </cfRule>
  </conditionalFormatting>
  <conditionalFormatting sqref="Y34">
    <cfRule type="cellIs" dxfId="7627" priority="4671" operator="equal">
      <formula>"OFF"</formula>
    </cfRule>
    <cfRule type="cellIs" dxfId="7626" priority="4672" operator="equal">
      <formula>"PTO"</formula>
    </cfRule>
  </conditionalFormatting>
  <conditionalFormatting sqref="Y34">
    <cfRule type="cellIs" dxfId="7625" priority="4669" operator="equal">
      <formula>"OFF"</formula>
    </cfRule>
    <cfRule type="cellIs" dxfId="7624" priority="4670" operator="equal">
      <formula>"PTO"</formula>
    </cfRule>
  </conditionalFormatting>
  <conditionalFormatting sqref="Y19">
    <cfRule type="cellIs" dxfId="7623" priority="4567" operator="equal">
      <formula>"OFF"</formula>
    </cfRule>
    <cfRule type="cellIs" dxfId="7622" priority="4568" operator="equal">
      <formula>"PTO"</formula>
    </cfRule>
  </conditionalFormatting>
  <conditionalFormatting sqref="Y19">
    <cfRule type="cellIs" dxfId="7621" priority="4565" operator="equal">
      <formula>"OFF"</formula>
    </cfRule>
    <cfRule type="cellIs" dxfId="7620" priority="4566" operator="equal">
      <formula>"PTO"</formula>
    </cfRule>
  </conditionalFormatting>
  <conditionalFormatting sqref="Y19">
    <cfRule type="cellIs" dxfId="7619" priority="4563" operator="equal">
      <formula>"OFF"</formula>
    </cfRule>
    <cfRule type="cellIs" dxfId="7618" priority="4564" operator="equal">
      <formula>"PTO"</formula>
    </cfRule>
  </conditionalFormatting>
  <conditionalFormatting sqref="Y19">
    <cfRule type="cellIs" dxfId="7617" priority="4561" operator="equal">
      <formula>"OFF"</formula>
    </cfRule>
    <cfRule type="cellIs" dxfId="7616" priority="4562" operator="equal">
      <formula>"PTO"</formula>
    </cfRule>
  </conditionalFormatting>
  <conditionalFormatting sqref="Y19:Y42">
    <cfRule type="cellIs" dxfId="7615" priority="4513" operator="equal">
      <formula>"OFF"</formula>
    </cfRule>
    <cfRule type="cellIs" dxfId="7614" priority="4514" operator="equal">
      <formula>"PTO"</formula>
    </cfRule>
  </conditionalFormatting>
  <conditionalFormatting sqref="Y19:Y42">
    <cfRule type="cellIs" dxfId="7613" priority="4511" operator="equal">
      <formula>"OFF"</formula>
    </cfRule>
    <cfRule type="cellIs" dxfId="7612" priority="4512" operator="equal">
      <formula>"PTO"</formula>
    </cfRule>
  </conditionalFormatting>
  <conditionalFormatting sqref="Y19:Y42">
    <cfRule type="cellIs" dxfId="7611" priority="4509" operator="equal">
      <formula>"OFF"</formula>
    </cfRule>
    <cfRule type="cellIs" dxfId="7610" priority="4510" operator="equal">
      <formula>"PTO"</formula>
    </cfRule>
  </conditionalFormatting>
  <conditionalFormatting sqref="Y19:Y42">
    <cfRule type="cellIs" dxfId="7609" priority="4507" operator="equal">
      <formula>"OFF"</formula>
    </cfRule>
    <cfRule type="cellIs" dxfId="7608" priority="4508" operator="equal">
      <formula>"PTO"</formula>
    </cfRule>
  </conditionalFormatting>
  <conditionalFormatting sqref="Y19:Y42">
    <cfRule type="cellIs" dxfId="7607" priority="4505" operator="equal">
      <formula>"OFF"</formula>
    </cfRule>
    <cfRule type="cellIs" dxfId="7606" priority="4506" operator="equal">
      <formula>"PTO"</formula>
    </cfRule>
  </conditionalFormatting>
  <conditionalFormatting sqref="Y14:Y42">
    <cfRule type="cellIs" dxfId="7605" priority="4499" operator="equal">
      <formula>"OFF"</formula>
    </cfRule>
    <cfRule type="cellIs" dxfId="7604" priority="4500" operator="equal">
      <formula>"PTO"</formula>
    </cfRule>
  </conditionalFormatting>
  <conditionalFormatting sqref="Y14:Y42">
    <cfRule type="cellIs" dxfId="7603" priority="4491" operator="equal">
      <formula>"OFF"</formula>
    </cfRule>
    <cfRule type="cellIs" dxfId="7602" priority="4492" operator="equal">
      <formula>"PTO"</formula>
    </cfRule>
  </conditionalFormatting>
  <conditionalFormatting sqref="Y14:Y42">
    <cfRule type="cellIs" dxfId="7601" priority="4475" operator="equal">
      <formula>"OFF"</formula>
    </cfRule>
    <cfRule type="cellIs" dxfId="7600" priority="4476" operator="equal">
      <formula>"PTO"</formula>
    </cfRule>
  </conditionalFormatting>
  <conditionalFormatting sqref="Y14:Y42">
    <cfRule type="cellIs" dxfId="7599" priority="4473" operator="equal">
      <formula>"OFF"</formula>
    </cfRule>
    <cfRule type="cellIs" dxfId="7598" priority="4474" operator="equal">
      <formula>"PTO"</formula>
    </cfRule>
  </conditionalFormatting>
  <conditionalFormatting sqref="Y18:Y42">
    <cfRule type="cellIs" dxfId="7597" priority="4559" operator="equal">
      <formula>"OFF"</formula>
    </cfRule>
    <cfRule type="cellIs" dxfId="7596" priority="4560" operator="equal">
      <formula>"PTO"</formula>
    </cfRule>
  </conditionalFormatting>
  <conditionalFormatting sqref="Y18:Y42">
    <cfRule type="cellIs" dxfId="7595" priority="4557" operator="equal">
      <formula>"OFF"</formula>
    </cfRule>
    <cfRule type="cellIs" dxfId="7594" priority="4558" operator="equal">
      <formula>"PTO"</formula>
    </cfRule>
  </conditionalFormatting>
  <conditionalFormatting sqref="Y18:Y42">
    <cfRule type="cellIs" dxfId="7593" priority="4555" operator="equal">
      <formula>"OFF"</formula>
    </cfRule>
    <cfRule type="cellIs" dxfId="7592" priority="4556" operator="equal">
      <formula>"PTO"</formula>
    </cfRule>
  </conditionalFormatting>
  <conditionalFormatting sqref="Y18:Y42">
    <cfRule type="cellIs" dxfId="7591" priority="4553" operator="equal">
      <formula>"OFF"</formula>
    </cfRule>
    <cfRule type="cellIs" dxfId="7590" priority="4554" operator="equal">
      <formula>"PTO"</formula>
    </cfRule>
  </conditionalFormatting>
  <conditionalFormatting sqref="Y18:Y42">
    <cfRule type="cellIs" dxfId="7589" priority="4551" operator="equal">
      <formula>"OFF"</formula>
    </cfRule>
    <cfRule type="cellIs" dxfId="7588" priority="4552" operator="equal">
      <formula>"PTO"</formula>
    </cfRule>
  </conditionalFormatting>
  <conditionalFormatting sqref="Y18:Y42">
    <cfRule type="cellIs" dxfId="7587" priority="4549" operator="equal">
      <formula>"OFF"</formula>
    </cfRule>
    <cfRule type="cellIs" dxfId="7586" priority="4550" operator="equal">
      <formula>"PTO"</formula>
    </cfRule>
  </conditionalFormatting>
  <conditionalFormatting sqref="Y18:Y42">
    <cfRule type="cellIs" dxfId="7585" priority="4547" operator="equal">
      <formula>"OFF"</formula>
    </cfRule>
    <cfRule type="cellIs" dxfId="7584" priority="4548" operator="equal">
      <formula>"PTO"</formula>
    </cfRule>
  </conditionalFormatting>
  <conditionalFormatting sqref="Y18:Y42">
    <cfRule type="cellIs" dxfId="7583" priority="4545" operator="equal">
      <formula>"OFF"</formula>
    </cfRule>
    <cfRule type="cellIs" dxfId="7582" priority="4546" operator="equal">
      <formula>"PTO"</formula>
    </cfRule>
  </conditionalFormatting>
  <conditionalFormatting sqref="Y18:Y42">
    <cfRule type="cellIs" dxfId="7581" priority="4543" operator="equal">
      <formula>"OFF"</formula>
    </cfRule>
    <cfRule type="cellIs" dxfId="7580" priority="4544" operator="equal">
      <formula>"PTO"</formula>
    </cfRule>
  </conditionalFormatting>
  <conditionalFormatting sqref="Y18:Y42">
    <cfRule type="cellIs" dxfId="7579" priority="4541" operator="equal">
      <formula>"OFF"</formula>
    </cfRule>
    <cfRule type="cellIs" dxfId="7578" priority="4542" operator="equal">
      <formula>"PTO"</formula>
    </cfRule>
  </conditionalFormatting>
  <conditionalFormatting sqref="Y18:Y42">
    <cfRule type="cellIs" dxfId="7577" priority="4539" operator="equal">
      <formula>"OFF"</formula>
    </cfRule>
    <cfRule type="cellIs" dxfId="7576" priority="4540" operator="equal">
      <formula>"PTO"</formula>
    </cfRule>
  </conditionalFormatting>
  <conditionalFormatting sqref="Y18:Y42">
    <cfRule type="cellIs" dxfId="7575" priority="4537" operator="equal">
      <formula>"OFF"</formula>
    </cfRule>
    <cfRule type="cellIs" dxfId="7574" priority="4538" operator="equal">
      <formula>"PTO"</formula>
    </cfRule>
  </conditionalFormatting>
  <conditionalFormatting sqref="Y18:Y42">
    <cfRule type="cellIs" dxfId="7573" priority="4535" operator="equal">
      <formula>"OFF"</formula>
    </cfRule>
    <cfRule type="cellIs" dxfId="7572" priority="4536" operator="equal">
      <formula>"PTO"</formula>
    </cfRule>
  </conditionalFormatting>
  <conditionalFormatting sqref="Y18:Y42">
    <cfRule type="cellIs" dxfId="7571" priority="4533" operator="equal">
      <formula>"OFF"</formula>
    </cfRule>
    <cfRule type="cellIs" dxfId="7570" priority="4534" operator="equal">
      <formula>"PTO"</formula>
    </cfRule>
  </conditionalFormatting>
  <conditionalFormatting sqref="Y18:Y42">
    <cfRule type="cellIs" dxfId="7569" priority="4531" operator="equal">
      <formula>"OFF"</formula>
    </cfRule>
    <cfRule type="cellIs" dxfId="7568" priority="4532" operator="equal">
      <formula>"PTO"</formula>
    </cfRule>
  </conditionalFormatting>
  <conditionalFormatting sqref="Y18:Y42">
    <cfRule type="cellIs" dxfId="7567" priority="4529" operator="equal">
      <formula>"OFF"</formula>
    </cfRule>
    <cfRule type="cellIs" dxfId="7566" priority="4530" operator="equal">
      <formula>"PTO"</formula>
    </cfRule>
  </conditionalFormatting>
  <conditionalFormatting sqref="Y18:Y42">
    <cfRule type="cellIs" dxfId="7565" priority="4527" operator="equal">
      <formula>"OFF"</formula>
    </cfRule>
    <cfRule type="cellIs" dxfId="7564" priority="4528" operator="equal">
      <formula>"PTO"</formula>
    </cfRule>
  </conditionalFormatting>
  <conditionalFormatting sqref="Y18:Y42">
    <cfRule type="cellIs" dxfId="7563" priority="4525" operator="equal">
      <formula>"OFF"</formula>
    </cfRule>
    <cfRule type="cellIs" dxfId="7562" priority="4526" operator="equal">
      <formula>"PTO"</formula>
    </cfRule>
  </conditionalFormatting>
  <conditionalFormatting sqref="Y18:Y42">
    <cfRule type="cellIs" dxfId="7561" priority="4523" operator="equal">
      <formula>"OFF"</formula>
    </cfRule>
    <cfRule type="cellIs" dxfId="7560" priority="4524" operator="equal">
      <formula>"PTO"</formula>
    </cfRule>
  </conditionalFormatting>
  <conditionalFormatting sqref="Y18:Y42">
    <cfRule type="cellIs" dxfId="7559" priority="4521" operator="equal">
      <formula>"OFF"</formula>
    </cfRule>
    <cfRule type="cellIs" dxfId="7558" priority="4522" operator="equal">
      <formula>"PTO"</formula>
    </cfRule>
  </conditionalFormatting>
  <conditionalFormatting sqref="Y19:Y42">
    <cfRule type="cellIs" dxfId="7557" priority="4519" operator="equal">
      <formula>"OFF"</formula>
    </cfRule>
    <cfRule type="cellIs" dxfId="7556" priority="4520" operator="equal">
      <formula>"PTO"</formula>
    </cfRule>
  </conditionalFormatting>
  <conditionalFormatting sqref="Y19:Y42">
    <cfRule type="cellIs" dxfId="7555" priority="4517" operator="equal">
      <formula>"OFF"</formula>
    </cfRule>
    <cfRule type="cellIs" dxfId="7554" priority="4518" operator="equal">
      <formula>"PTO"</formula>
    </cfRule>
  </conditionalFormatting>
  <conditionalFormatting sqref="Y19:Y42">
    <cfRule type="cellIs" dxfId="7553" priority="4515" operator="equal">
      <formula>"OFF"</formula>
    </cfRule>
    <cfRule type="cellIs" dxfId="7552" priority="4516" operator="equal">
      <formula>"PTO"</formula>
    </cfRule>
  </conditionalFormatting>
  <conditionalFormatting sqref="Y14:Y42">
    <cfRule type="cellIs" dxfId="7551" priority="4503" operator="equal">
      <formula>"OFF"</formula>
    </cfRule>
    <cfRule type="cellIs" dxfId="7550" priority="4504" operator="equal">
      <formula>"PTO"</formula>
    </cfRule>
  </conditionalFormatting>
  <conditionalFormatting sqref="Y14:Y42">
    <cfRule type="cellIs" dxfId="7549" priority="4501" operator="equal">
      <formula>"OFF"</formula>
    </cfRule>
    <cfRule type="cellIs" dxfId="7548" priority="4502" operator="equal">
      <formula>"PTO"</formula>
    </cfRule>
  </conditionalFormatting>
  <conditionalFormatting sqref="Y14:Y42">
    <cfRule type="cellIs" dxfId="7547" priority="4497" operator="equal">
      <formula>"OFF"</formula>
    </cfRule>
    <cfRule type="cellIs" dxfId="7546" priority="4498" operator="equal">
      <formula>"PTO"</formula>
    </cfRule>
  </conditionalFormatting>
  <conditionalFormatting sqref="Y14:Y42">
    <cfRule type="cellIs" dxfId="7545" priority="4495" operator="equal">
      <formula>"OFF"</formula>
    </cfRule>
    <cfRule type="cellIs" dxfId="7544" priority="4496" operator="equal">
      <formula>"PTO"</formula>
    </cfRule>
  </conditionalFormatting>
  <conditionalFormatting sqref="Y14:Y42">
    <cfRule type="cellIs" dxfId="7543" priority="4493" operator="equal">
      <formula>"OFF"</formula>
    </cfRule>
    <cfRule type="cellIs" dxfId="7542" priority="4494" operator="equal">
      <formula>"PTO"</formula>
    </cfRule>
  </conditionalFormatting>
  <conditionalFormatting sqref="Y14:Y42">
    <cfRule type="cellIs" dxfId="7541" priority="4489" operator="equal">
      <formula>"OFF"</formula>
    </cfRule>
    <cfRule type="cellIs" dxfId="7540" priority="4490" operator="equal">
      <formula>"PTO"</formula>
    </cfRule>
  </conditionalFormatting>
  <conditionalFormatting sqref="Y14:Y42">
    <cfRule type="cellIs" dxfId="7539" priority="4487" operator="equal">
      <formula>"OFF"</formula>
    </cfRule>
    <cfRule type="cellIs" dxfId="7538" priority="4488" operator="equal">
      <formula>"PTO"</formula>
    </cfRule>
  </conditionalFormatting>
  <conditionalFormatting sqref="Y14:Y42">
    <cfRule type="cellIs" dxfId="7537" priority="4485" operator="equal">
      <formula>"OFF"</formula>
    </cfRule>
    <cfRule type="cellIs" dxfId="7536" priority="4486" operator="equal">
      <formula>"PTO"</formula>
    </cfRule>
  </conditionalFormatting>
  <conditionalFormatting sqref="Y14:Y42">
    <cfRule type="cellIs" dxfId="7535" priority="4483" operator="equal">
      <formula>"OFF"</formula>
    </cfRule>
    <cfRule type="cellIs" dxfId="7534" priority="4484" operator="equal">
      <formula>"PTO"</formula>
    </cfRule>
  </conditionalFormatting>
  <conditionalFormatting sqref="Y14:Y42">
    <cfRule type="cellIs" dxfId="7533" priority="4481" operator="equal">
      <formula>"OFF"</formula>
    </cfRule>
    <cfRule type="cellIs" dxfId="7532" priority="4482" operator="equal">
      <formula>"PTO"</formula>
    </cfRule>
  </conditionalFormatting>
  <conditionalFormatting sqref="Y14:Y42">
    <cfRule type="cellIs" dxfId="7531" priority="4479" operator="equal">
      <formula>"OFF"</formula>
    </cfRule>
    <cfRule type="cellIs" dxfId="7530" priority="4480" operator="equal">
      <formula>"PTO"</formula>
    </cfRule>
  </conditionalFormatting>
  <conditionalFormatting sqref="Y14:Y42">
    <cfRule type="cellIs" dxfId="7529" priority="4477" operator="equal">
      <formula>"OFF"</formula>
    </cfRule>
    <cfRule type="cellIs" dxfId="7528" priority="4478" operator="equal">
      <formula>"PTO"</formula>
    </cfRule>
  </conditionalFormatting>
  <conditionalFormatting sqref="Y14:Y42">
    <cfRule type="cellIs" dxfId="7527" priority="4471" operator="equal">
      <formula>"OFF"</formula>
    </cfRule>
    <cfRule type="cellIs" dxfId="7526" priority="4472" operator="equal">
      <formula>"PTO"</formula>
    </cfRule>
  </conditionalFormatting>
  <conditionalFormatting sqref="Y14:Y42">
    <cfRule type="cellIs" dxfId="7525" priority="4469" operator="equal">
      <formula>"OFF"</formula>
    </cfRule>
    <cfRule type="cellIs" dxfId="7524" priority="4470" operator="equal">
      <formula>"PTO"</formula>
    </cfRule>
  </conditionalFormatting>
  <conditionalFormatting sqref="Y14:Y42">
    <cfRule type="cellIs" dxfId="7523" priority="4467" operator="equal">
      <formula>"OFF"</formula>
    </cfRule>
    <cfRule type="cellIs" dxfId="7522" priority="4468" operator="equal">
      <formula>"PTO"</formula>
    </cfRule>
  </conditionalFormatting>
  <conditionalFormatting sqref="Y14:Y42">
    <cfRule type="cellIs" dxfId="7521" priority="4465" operator="equal">
      <formula>"OFF"</formula>
    </cfRule>
    <cfRule type="cellIs" dxfId="7520" priority="4466" operator="equal">
      <formula>"PTO"</formula>
    </cfRule>
  </conditionalFormatting>
  <conditionalFormatting sqref="Y14:Y42">
    <cfRule type="cellIs" dxfId="7519" priority="4463" operator="equal">
      <formula>"OFF"</formula>
    </cfRule>
    <cfRule type="cellIs" dxfId="7518" priority="4464" operator="equal">
      <formula>"PTO"</formula>
    </cfRule>
  </conditionalFormatting>
  <conditionalFormatting sqref="Y14:Y42">
    <cfRule type="cellIs" dxfId="7517" priority="4461" operator="equal">
      <formula>"OFF"</formula>
    </cfRule>
    <cfRule type="cellIs" dxfId="7516" priority="4462" operator="equal">
      <formula>"PTO"</formula>
    </cfRule>
  </conditionalFormatting>
  <conditionalFormatting sqref="Y14:Y42">
    <cfRule type="cellIs" dxfId="7515" priority="4459" operator="equal">
      <formula>"OFF"</formula>
    </cfRule>
    <cfRule type="cellIs" dxfId="7514" priority="4460" operator="equal">
      <formula>"PTO"</formula>
    </cfRule>
  </conditionalFormatting>
  <conditionalFormatting sqref="Y14:Y42">
    <cfRule type="cellIs" dxfId="7513" priority="4457" operator="equal">
      <formula>"OFF"</formula>
    </cfRule>
    <cfRule type="cellIs" dxfId="7512" priority="4458" operator="equal">
      <formula>"PTO"</formula>
    </cfRule>
  </conditionalFormatting>
  <conditionalFormatting sqref="Y14:Y42">
    <cfRule type="cellIs" dxfId="7511" priority="4455" operator="equal">
      <formula>"OFF"</formula>
    </cfRule>
    <cfRule type="cellIs" dxfId="7510" priority="4456" operator="equal">
      <formula>"PTO"</formula>
    </cfRule>
  </conditionalFormatting>
  <conditionalFormatting sqref="Y14:Y42">
    <cfRule type="cellIs" dxfId="7509" priority="4453" operator="equal">
      <formula>"OFF"</formula>
    </cfRule>
    <cfRule type="cellIs" dxfId="7508" priority="4454" operator="equal">
      <formula>"PTO"</formula>
    </cfRule>
  </conditionalFormatting>
  <conditionalFormatting sqref="Y14:Y42">
    <cfRule type="cellIs" dxfId="7507" priority="4451" operator="equal">
      <formula>"OFF"</formula>
    </cfRule>
    <cfRule type="cellIs" dxfId="7506" priority="4452" operator="equal">
      <formula>"PTO"</formula>
    </cfRule>
  </conditionalFormatting>
  <conditionalFormatting sqref="Y14:Y42">
    <cfRule type="cellIs" dxfId="7505" priority="4449" operator="equal">
      <formula>"OFF"</formula>
    </cfRule>
    <cfRule type="cellIs" dxfId="7504" priority="4450" operator="equal">
      <formula>"PTO"</formula>
    </cfRule>
  </conditionalFormatting>
  <conditionalFormatting sqref="Y14:Y42">
    <cfRule type="cellIs" dxfId="7503" priority="4447" operator="equal">
      <formula>"OFF"</formula>
    </cfRule>
    <cfRule type="cellIs" dxfId="7502" priority="4448" operator="equal">
      <formula>"PTO"</formula>
    </cfRule>
  </conditionalFormatting>
  <conditionalFormatting sqref="Y14:Y42">
    <cfRule type="cellIs" dxfId="7501" priority="4445" operator="equal">
      <formula>"OFF"</formula>
    </cfRule>
    <cfRule type="cellIs" dxfId="7500" priority="4446" operator="equal">
      <formula>"PTO"</formula>
    </cfRule>
  </conditionalFormatting>
  <conditionalFormatting sqref="Y14:Y42">
    <cfRule type="cellIs" dxfId="7499" priority="4443" operator="equal">
      <formula>"OFF"</formula>
    </cfRule>
    <cfRule type="cellIs" dxfId="7498" priority="4444" operator="equal">
      <formula>"PTO"</formula>
    </cfRule>
  </conditionalFormatting>
  <conditionalFormatting sqref="Y14:Y42">
    <cfRule type="cellIs" dxfId="7497" priority="4441" operator="equal">
      <formula>"OFF"</formula>
    </cfRule>
    <cfRule type="cellIs" dxfId="7496" priority="4442" operator="equal">
      <formula>"PTO"</formula>
    </cfRule>
  </conditionalFormatting>
  <conditionalFormatting sqref="Y14:Y42">
    <cfRule type="cellIs" dxfId="7495" priority="4439" operator="equal">
      <formula>"OFF"</formula>
    </cfRule>
    <cfRule type="cellIs" dxfId="7494" priority="4440" operator="equal">
      <formula>"PTO"</formula>
    </cfRule>
  </conditionalFormatting>
  <conditionalFormatting sqref="Y14:Y42">
    <cfRule type="cellIs" dxfId="7493" priority="4437" operator="equal">
      <formula>"OFF"</formula>
    </cfRule>
    <cfRule type="cellIs" dxfId="7492" priority="4438" operator="equal">
      <formula>"PTO"</formula>
    </cfRule>
  </conditionalFormatting>
  <conditionalFormatting sqref="Y14:Y42">
    <cfRule type="cellIs" dxfId="7491" priority="4435" operator="equal">
      <formula>"OFF"</formula>
    </cfRule>
    <cfRule type="cellIs" dxfId="7490" priority="4436" operator="equal">
      <formula>"PTO"</formula>
    </cfRule>
  </conditionalFormatting>
  <conditionalFormatting sqref="Y14:Y42">
    <cfRule type="cellIs" dxfId="7489" priority="4433" operator="equal">
      <formula>"OFF"</formula>
    </cfRule>
    <cfRule type="cellIs" dxfId="7488" priority="4434" operator="equal">
      <formula>"PTO"</formula>
    </cfRule>
  </conditionalFormatting>
  <conditionalFormatting sqref="Y14:Y42">
    <cfRule type="cellIs" dxfId="7487" priority="4431" operator="equal">
      <formula>"OFF"</formula>
    </cfRule>
    <cfRule type="cellIs" dxfId="7486" priority="4432" operator="equal">
      <formula>"PTO"</formula>
    </cfRule>
  </conditionalFormatting>
  <conditionalFormatting sqref="Y14:Y42">
    <cfRule type="cellIs" dxfId="7485" priority="4429" operator="equal">
      <formula>"OFF"</formula>
    </cfRule>
    <cfRule type="cellIs" dxfId="7484" priority="4430" operator="equal">
      <formula>"PTO"</formula>
    </cfRule>
  </conditionalFormatting>
  <conditionalFormatting sqref="Y14:Y42">
    <cfRule type="cellIs" dxfId="7483" priority="4427" operator="equal">
      <formula>"OFF"</formula>
    </cfRule>
    <cfRule type="cellIs" dxfId="7482" priority="4428" operator="equal">
      <formula>"PTO"</formula>
    </cfRule>
  </conditionalFormatting>
  <conditionalFormatting sqref="Y14:Y42">
    <cfRule type="cellIs" dxfId="7481" priority="4425" operator="equal">
      <formula>"OFF"</formula>
    </cfRule>
    <cfRule type="cellIs" dxfId="7480" priority="4426" operator="equal">
      <formula>"PTO"</formula>
    </cfRule>
  </conditionalFormatting>
  <conditionalFormatting sqref="Y14:Y42">
    <cfRule type="cellIs" dxfId="7479" priority="4423" operator="equal">
      <formula>"OFF"</formula>
    </cfRule>
    <cfRule type="cellIs" dxfId="7478" priority="4424" operator="equal">
      <formula>"PTO"</formula>
    </cfRule>
  </conditionalFormatting>
  <conditionalFormatting sqref="Y14:Y42">
    <cfRule type="cellIs" dxfId="7477" priority="4421" operator="equal">
      <formula>"OFF"</formula>
    </cfRule>
    <cfRule type="cellIs" dxfId="7476" priority="4422" operator="equal">
      <formula>"PTO"</formula>
    </cfRule>
  </conditionalFormatting>
  <conditionalFormatting sqref="Y14:Y42">
    <cfRule type="cellIs" dxfId="7475" priority="4419" operator="equal">
      <formula>"OFF"</formula>
    </cfRule>
    <cfRule type="cellIs" dxfId="7474" priority="4420" operator="equal">
      <formula>"PTO"</formula>
    </cfRule>
  </conditionalFormatting>
  <conditionalFormatting sqref="Y14:Y42">
    <cfRule type="cellIs" dxfId="7473" priority="4417" operator="equal">
      <formula>"OFF"</formula>
    </cfRule>
    <cfRule type="cellIs" dxfId="7472" priority="4418" operator="equal">
      <formula>"PTO"</formula>
    </cfRule>
  </conditionalFormatting>
  <conditionalFormatting sqref="Y14:Y42">
    <cfRule type="cellIs" dxfId="7471" priority="4415" operator="equal">
      <formula>"OFF"</formula>
    </cfRule>
    <cfRule type="cellIs" dxfId="7470" priority="4416" operator="equal">
      <formula>"PTO"</formula>
    </cfRule>
  </conditionalFormatting>
  <conditionalFormatting sqref="Y14:Y42">
    <cfRule type="cellIs" dxfId="7469" priority="4413" operator="equal">
      <formula>"OFF"</formula>
    </cfRule>
    <cfRule type="cellIs" dxfId="7468" priority="4414" operator="equal">
      <formula>"PTO"</formula>
    </cfRule>
  </conditionalFormatting>
  <conditionalFormatting sqref="Y14:Y42">
    <cfRule type="cellIs" dxfId="7467" priority="4411" operator="equal">
      <formula>"OFF"</formula>
    </cfRule>
    <cfRule type="cellIs" dxfId="7466" priority="4412" operator="equal">
      <formula>"PTO"</formula>
    </cfRule>
  </conditionalFormatting>
  <conditionalFormatting sqref="Y14:Y42">
    <cfRule type="cellIs" dxfId="7465" priority="4409" operator="equal">
      <formula>"OFF"</formula>
    </cfRule>
    <cfRule type="cellIs" dxfId="7464" priority="4410" operator="equal">
      <formula>"PTO"</formula>
    </cfRule>
  </conditionalFormatting>
  <conditionalFormatting sqref="Y14:Y42">
    <cfRule type="cellIs" dxfId="7463" priority="4407" operator="equal">
      <formula>"OFF"</formula>
    </cfRule>
    <cfRule type="cellIs" dxfId="7462" priority="4408" operator="equal">
      <formula>"PTO"</formula>
    </cfRule>
  </conditionalFormatting>
  <conditionalFormatting sqref="Y14:Y42">
    <cfRule type="cellIs" dxfId="7461" priority="4405" operator="equal">
      <formula>"OFF"</formula>
    </cfRule>
    <cfRule type="cellIs" dxfId="7460" priority="4406" operator="equal">
      <formula>"PTO"</formula>
    </cfRule>
  </conditionalFormatting>
  <conditionalFormatting sqref="Y18">
    <cfRule type="cellIs" dxfId="7459" priority="4403" operator="equal">
      <formula>"OFF"</formula>
    </cfRule>
    <cfRule type="cellIs" dxfId="7458" priority="4404" operator="equal">
      <formula>"PTO"</formula>
    </cfRule>
  </conditionalFormatting>
  <conditionalFormatting sqref="Y18">
    <cfRule type="cellIs" dxfId="7457" priority="4401" operator="equal">
      <formula>"OFF"</formula>
    </cfRule>
    <cfRule type="cellIs" dxfId="7456" priority="4402" operator="equal">
      <formula>"PTO"</formula>
    </cfRule>
  </conditionalFormatting>
  <conditionalFormatting sqref="Y18">
    <cfRule type="cellIs" dxfId="7455" priority="4399" operator="equal">
      <formula>"OFF"</formula>
    </cfRule>
    <cfRule type="cellIs" dxfId="7454" priority="4400" operator="equal">
      <formula>"PTO"</formula>
    </cfRule>
  </conditionalFormatting>
  <conditionalFormatting sqref="Y18">
    <cfRule type="cellIs" dxfId="7453" priority="4397" operator="equal">
      <formula>"OFF"</formula>
    </cfRule>
    <cfRule type="cellIs" dxfId="7452" priority="4398" operator="equal">
      <formula>"PTO"</formula>
    </cfRule>
  </conditionalFormatting>
  <conditionalFormatting sqref="P29 W29">
    <cfRule type="cellIs" dxfId="7451" priority="4147" operator="equal">
      <formula>"OFF"</formula>
    </cfRule>
    <cfRule type="cellIs" dxfId="7450" priority="4148" operator="equal">
      <formula>"PTO"</formula>
    </cfRule>
  </conditionalFormatting>
  <conditionalFormatting sqref="P29 W29">
    <cfRule type="cellIs" dxfId="7449" priority="4145" operator="equal">
      <formula>"OFF"</formula>
    </cfRule>
    <cfRule type="cellIs" dxfId="7448" priority="4146" operator="equal">
      <formula>"PTO"</formula>
    </cfRule>
  </conditionalFormatting>
  <conditionalFormatting sqref="P29 W29">
    <cfRule type="cellIs" dxfId="7447" priority="4143" operator="equal">
      <formula>"OFF"</formula>
    </cfRule>
    <cfRule type="cellIs" dxfId="7446" priority="4144" operator="equal">
      <formula>"PTO"</formula>
    </cfRule>
  </conditionalFormatting>
  <conditionalFormatting sqref="P29 W29">
    <cfRule type="cellIs" dxfId="7445" priority="4141" operator="equal">
      <formula>"OFF"</formula>
    </cfRule>
    <cfRule type="cellIs" dxfId="7444" priority="4142" operator="equal">
      <formula>"PTO"</formula>
    </cfRule>
  </conditionalFormatting>
  <conditionalFormatting sqref="P29 W29">
    <cfRule type="cellIs" dxfId="7443" priority="4139" operator="equal">
      <formula>"OFF"</formula>
    </cfRule>
    <cfRule type="cellIs" dxfId="7442" priority="4140" operator="equal">
      <formula>"PTO"</formula>
    </cfRule>
  </conditionalFormatting>
  <conditionalFormatting sqref="J29:O29 Q29:V29">
    <cfRule type="cellIs" dxfId="7441" priority="4135" operator="equal">
      <formula>"OFF"</formula>
    </cfRule>
    <cfRule type="cellIs" dxfId="7440" priority="4136" operator="equal">
      <formula>"PTO"</formula>
    </cfRule>
  </conditionalFormatting>
  <conditionalFormatting sqref="J29:W29">
    <cfRule type="cellIs" dxfId="7439" priority="4129" operator="equal">
      <formula>"OFF"</formula>
    </cfRule>
    <cfRule type="cellIs" dxfId="7438" priority="4130" operator="equal">
      <formula>"PTO"</formula>
    </cfRule>
  </conditionalFormatting>
  <conditionalFormatting sqref="J29:W29">
    <cfRule type="cellIs" dxfId="7437" priority="4113" operator="equal">
      <formula>"OFF"</formula>
    </cfRule>
    <cfRule type="cellIs" dxfId="7436" priority="4114" operator="equal">
      <formula>"PTO"</formula>
    </cfRule>
  </conditionalFormatting>
  <conditionalFormatting sqref="J29:W29">
    <cfRule type="cellIs" dxfId="7435" priority="4081" operator="equal">
      <formula>"OFF"</formula>
    </cfRule>
    <cfRule type="cellIs" dxfId="7434" priority="4082" operator="equal">
      <formula>"PTO"</formula>
    </cfRule>
  </conditionalFormatting>
  <conditionalFormatting sqref="J29:W29">
    <cfRule type="cellIs" dxfId="7433" priority="4079" operator="equal">
      <formula>"OFF"</formula>
    </cfRule>
    <cfRule type="cellIs" dxfId="7432" priority="4080" operator="equal">
      <formula>"PTO"</formula>
    </cfRule>
  </conditionalFormatting>
  <conditionalFormatting sqref="J29:W29">
    <cfRule type="cellIs" dxfId="7431" priority="4395" operator="equal">
      <formula>"OFF"</formula>
    </cfRule>
    <cfRule type="cellIs" dxfId="7430" priority="4396" operator="equal">
      <formula>"PTO"</formula>
    </cfRule>
  </conditionalFormatting>
  <conditionalFormatting sqref="J29:W29">
    <cfRule type="cellIs" dxfId="7429" priority="4393" operator="equal">
      <formula>"OFF"</formula>
    </cfRule>
    <cfRule type="cellIs" dxfId="7428" priority="4394" operator="equal">
      <formula>"PTO"</formula>
    </cfRule>
  </conditionalFormatting>
  <conditionalFormatting sqref="J29:W29">
    <cfRule type="cellIs" dxfId="7427" priority="4391" operator="equal">
      <formula>"OFF"</formula>
    </cfRule>
    <cfRule type="cellIs" dxfId="7426" priority="4392" operator="equal">
      <formula>"PTO"</formula>
    </cfRule>
  </conditionalFormatting>
  <conditionalFormatting sqref="J29:W29">
    <cfRule type="cellIs" dxfId="7425" priority="4389" operator="equal">
      <formula>"OFF"</formula>
    </cfRule>
    <cfRule type="cellIs" dxfId="7424" priority="4390" operator="equal">
      <formula>"PTO"</formula>
    </cfRule>
  </conditionalFormatting>
  <conditionalFormatting sqref="J29:W29">
    <cfRule type="cellIs" dxfId="7423" priority="4387" operator="equal">
      <formula>"OFF"</formula>
    </cfRule>
    <cfRule type="cellIs" dxfId="7422" priority="4388" operator="equal">
      <formula>"PTO"</formula>
    </cfRule>
  </conditionalFormatting>
  <conditionalFormatting sqref="J29:W29">
    <cfRule type="cellIs" dxfId="7421" priority="4385" operator="equal">
      <formula>"OFF"</formula>
    </cfRule>
    <cfRule type="cellIs" dxfId="7420" priority="4386" operator="equal">
      <formula>"PTO"</formula>
    </cfRule>
  </conditionalFormatting>
  <conditionalFormatting sqref="J29:W29">
    <cfRule type="cellIs" dxfId="7419" priority="4383" operator="equal">
      <formula>"OFF"</formula>
    </cfRule>
    <cfRule type="cellIs" dxfId="7418" priority="4384" operator="equal">
      <formula>"PTO"</formula>
    </cfRule>
  </conditionalFormatting>
  <conditionalFormatting sqref="J29:W29">
    <cfRule type="cellIs" dxfId="7417" priority="4381" operator="equal">
      <formula>"OFF"</formula>
    </cfRule>
    <cfRule type="cellIs" dxfId="7416" priority="4382" operator="equal">
      <formula>"PTO"</formula>
    </cfRule>
  </conditionalFormatting>
  <conditionalFormatting sqref="J29:W29">
    <cfRule type="cellIs" dxfId="7415" priority="4379" operator="equal">
      <formula>"OFF"</formula>
    </cfRule>
    <cfRule type="cellIs" dxfId="7414" priority="4380" operator="equal">
      <formula>"PTO"</formula>
    </cfRule>
  </conditionalFormatting>
  <conditionalFormatting sqref="J29:W29">
    <cfRule type="cellIs" dxfId="7413" priority="4377" operator="equal">
      <formula>"OFF"</formula>
    </cfRule>
    <cfRule type="cellIs" dxfId="7412" priority="4378" operator="equal">
      <formula>"PTO"</formula>
    </cfRule>
  </conditionalFormatting>
  <conditionalFormatting sqref="J29:W29">
    <cfRule type="cellIs" dxfId="7411" priority="4375" operator="equal">
      <formula>"OFF"</formula>
    </cfRule>
    <cfRule type="cellIs" dxfId="7410" priority="4376" operator="equal">
      <formula>"PTO"</formula>
    </cfRule>
  </conditionalFormatting>
  <conditionalFormatting sqref="J29:W29">
    <cfRule type="cellIs" dxfId="7409" priority="4373" operator="equal">
      <formula>"OFF"</formula>
    </cfRule>
    <cfRule type="cellIs" dxfId="7408" priority="4374" operator="equal">
      <formula>"PTO"</formula>
    </cfRule>
  </conditionalFormatting>
  <conditionalFormatting sqref="J29:W29">
    <cfRule type="cellIs" dxfId="7407" priority="4371" operator="equal">
      <formula>"OFF"</formula>
    </cfRule>
    <cfRule type="cellIs" dxfId="7406" priority="4372" operator="equal">
      <formula>"PTO"</formula>
    </cfRule>
  </conditionalFormatting>
  <conditionalFormatting sqref="L29:O29 S29:V29">
    <cfRule type="cellIs" dxfId="7405" priority="4369" operator="equal">
      <formula>"OFF"</formula>
    </cfRule>
    <cfRule type="cellIs" dxfId="7404" priority="4370" operator="equal">
      <formula>"PTO"</formula>
    </cfRule>
  </conditionalFormatting>
  <conditionalFormatting sqref="J29:W29">
    <cfRule type="cellIs" dxfId="7403" priority="4367" operator="equal">
      <formula>"OFF"</formula>
    </cfRule>
    <cfRule type="cellIs" dxfId="7402" priority="4368" operator="equal">
      <formula>"PTO"</formula>
    </cfRule>
  </conditionalFormatting>
  <conditionalFormatting sqref="L29:O29 S29:V29">
    <cfRule type="cellIs" dxfId="7401" priority="4365" operator="equal">
      <formula>"OFF"</formula>
    </cfRule>
    <cfRule type="cellIs" dxfId="7400" priority="4366" operator="equal">
      <formula>"PTO"</formula>
    </cfRule>
  </conditionalFormatting>
  <conditionalFormatting sqref="O29:P29 V29:W29">
    <cfRule type="cellIs" dxfId="7399" priority="4363" operator="equal">
      <formula>"OFF"</formula>
    </cfRule>
    <cfRule type="cellIs" dxfId="7398" priority="4364" operator="equal">
      <formula>"PTO"</formula>
    </cfRule>
  </conditionalFormatting>
  <conditionalFormatting sqref="L29:O29 S29:V29">
    <cfRule type="cellIs" dxfId="7397" priority="4361" operator="equal">
      <formula>"OFF"</formula>
    </cfRule>
    <cfRule type="cellIs" dxfId="7396" priority="4362" operator="equal">
      <formula>"PTO"</formula>
    </cfRule>
  </conditionalFormatting>
  <conditionalFormatting sqref="O29:P29 V29:W29">
    <cfRule type="cellIs" dxfId="7395" priority="4359" operator="equal">
      <formula>"OFF"</formula>
    </cfRule>
    <cfRule type="cellIs" dxfId="7394" priority="4360" operator="equal">
      <formula>"PTO"</formula>
    </cfRule>
  </conditionalFormatting>
  <conditionalFormatting sqref="L29:O29 S29:V29">
    <cfRule type="cellIs" dxfId="7393" priority="4357" operator="equal">
      <formula>"OFF"</formula>
    </cfRule>
    <cfRule type="cellIs" dxfId="7392" priority="4358" operator="equal">
      <formula>"PTO"</formula>
    </cfRule>
  </conditionalFormatting>
  <conditionalFormatting sqref="O29:P29 V29:W29">
    <cfRule type="cellIs" dxfId="7391" priority="4355" operator="equal">
      <formula>"OFF"</formula>
    </cfRule>
    <cfRule type="cellIs" dxfId="7390" priority="4356" operator="equal">
      <formula>"PTO"</formula>
    </cfRule>
  </conditionalFormatting>
  <conditionalFormatting sqref="L29:O29 S29:V29">
    <cfRule type="cellIs" dxfId="7389" priority="4353" operator="equal">
      <formula>"OFF"</formula>
    </cfRule>
    <cfRule type="cellIs" dxfId="7388" priority="4354" operator="equal">
      <formula>"PTO"</formula>
    </cfRule>
  </conditionalFormatting>
  <conditionalFormatting sqref="O29:P29 V29:W29">
    <cfRule type="cellIs" dxfId="7387" priority="4351" operator="equal">
      <formula>"OFF"</formula>
    </cfRule>
    <cfRule type="cellIs" dxfId="7386" priority="4352" operator="equal">
      <formula>"PTO"</formula>
    </cfRule>
  </conditionalFormatting>
  <conditionalFormatting sqref="L29:O29 S29:V29">
    <cfRule type="cellIs" dxfId="7385" priority="4349" operator="equal">
      <formula>"OFF"</formula>
    </cfRule>
    <cfRule type="cellIs" dxfId="7384" priority="4350" operator="equal">
      <formula>"PTO"</formula>
    </cfRule>
  </conditionalFormatting>
  <conditionalFormatting sqref="O29:P29 V29:W29">
    <cfRule type="cellIs" dxfId="7383" priority="4347" operator="equal">
      <formula>"OFF"</formula>
    </cfRule>
    <cfRule type="cellIs" dxfId="7382" priority="4348" operator="equal">
      <formula>"PTO"</formula>
    </cfRule>
  </conditionalFormatting>
  <conditionalFormatting sqref="L29:O29 S29:V29">
    <cfRule type="cellIs" dxfId="7381" priority="4345" operator="equal">
      <formula>"OFF"</formula>
    </cfRule>
    <cfRule type="cellIs" dxfId="7380" priority="4346" operator="equal">
      <formula>"PTO"</formula>
    </cfRule>
  </conditionalFormatting>
  <conditionalFormatting sqref="O29:P29 V29:W29">
    <cfRule type="cellIs" dxfId="7379" priority="4343" operator="equal">
      <formula>"OFF"</formula>
    </cfRule>
    <cfRule type="cellIs" dxfId="7378" priority="4344" operator="equal">
      <formula>"PTO"</formula>
    </cfRule>
  </conditionalFormatting>
  <conditionalFormatting sqref="J29 Q29">
    <cfRule type="cellIs" dxfId="7377" priority="4341" operator="equal">
      <formula>"OFF"</formula>
    </cfRule>
    <cfRule type="cellIs" dxfId="7376" priority="4342" operator="equal">
      <formula>"PTO"</formula>
    </cfRule>
  </conditionalFormatting>
  <conditionalFormatting sqref="J29:O29 Q29:V29">
    <cfRule type="cellIs" dxfId="7375" priority="4339" operator="equal">
      <formula>"OFF"</formula>
    </cfRule>
    <cfRule type="cellIs" dxfId="7374" priority="4340" operator="equal">
      <formula>"PTO"</formula>
    </cfRule>
  </conditionalFormatting>
  <conditionalFormatting sqref="J29:O29 Q29:V29">
    <cfRule type="cellIs" dxfId="7373" priority="4337" operator="equal">
      <formula>"OFF"</formula>
    </cfRule>
    <cfRule type="cellIs" dxfId="7372" priority="4338" operator="equal">
      <formula>"PTO"</formula>
    </cfRule>
  </conditionalFormatting>
  <conditionalFormatting sqref="J29 Q29">
    <cfRule type="cellIs" dxfId="7371" priority="4335" operator="equal">
      <formula>"OFF"</formula>
    </cfRule>
    <cfRule type="cellIs" dxfId="7370" priority="4336" operator="equal">
      <formula>"PTO"</formula>
    </cfRule>
  </conditionalFormatting>
  <conditionalFormatting sqref="J29 Q29">
    <cfRule type="cellIs" dxfId="7369" priority="4333" operator="equal">
      <formula>"OFF"</formula>
    </cfRule>
    <cfRule type="cellIs" dxfId="7368" priority="4334" operator="equal">
      <formula>"PTO"</formula>
    </cfRule>
  </conditionalFormatting>
  <conditionalFormatting sqref="J29 Q29">
    <cfRule type="cellIs" dxfId="7367" priority="4331" operator="equal">
      <formula>"OFF"</formula>
    </cfRule>
    <cfRule type="cellIs" dxfId="7366" priority="4332" operator="equal">
      <formula>"PTO"</formula>
    </cfRule>
  </conditionalFormatting>
  <conditionalFormatting sqref="J29 Q29">
    <cfRule type="cellIs" dxfId="7365" priority="4329" operator="equal">
      <formula>"OFF"</formula>
    </cfRule>
    <cfRule type="cellIs" dxfId="7364" priority="4330" operator="equal">
      <formula>"PTO"</formula>
    </cfRule>
  </conditionalFormatting>
  <conditionalFormatting sqref="K29:O29 R29:V29">
    <cfRule type="cellIs" dxfId="7363" priority="4327" operator="equal">
      <formula>"OFF"</formula>
    </cfRule>
    <cfRule type="cellIs" dxfId="7362" priority="4328" operator="equal">
      <formula>"PTO"</formula>
    </cfRule>
  </conditionalFormatting>
  <conditionalFormatting sqref="K29:O29 R29:V29">
    <cfRule type="cellIs" dxfId="7361" priority="4325" operator="equal">
      <formula>"OFF"</formula>
    </cfRule>
    <cfRule type="cellIs" dxfId="7360" priority="4326" operator="equal">
      <formula>"PTO"</formula>
    </cfRule>
  </conditionalFormatting>
  <conditionalFormatting sqref="K29:O29 R29:V29">
    <cfRule type="cellIs" dxfId="7359" priority="4323" operator="equal">
      <formula>"OFF"</formula>
    </cfRule>
    <cfRule type="cellIs" dxfId="7358" priority="4324" operator="equal">
      <formula>"PTO"</formula>
    </cfRule>
  </conditionalFormatting>
  <conditionalFormatting sqref="K29:O29 R29:V29">
    <cfRule type="cellIs" dxfId="7357" priority="4321" operator="equal">
      <formula>"OFF"</formula>
    </cfRule>
    <cfRule type="cellIs" dxfId="7356" priority="4322" operator="equal">
      <formula>"PTO"</formula>
    </cfRule>
  </conditionalFormatting>
  <conditionalFormatting sqref="J29 Q29">
    <cfRule type="cellIs" dxfId="7355" priority="4319" operator="equal">
      <formula>"OFF"</formula>
    </cfRule>
    <cfRule type="cellIs" dxfId="7354" priority="4320" operator="equal">
      <formula>"PTO"</formula>
    </cfRule>
  </conditionalFormatting>
  <conditionalFormatting sqref="J29 Q29">
    <cfRule type="cellIs" dxfId="7353" priority="4317" operator="equal">
      <formula>"OFF"</formula>
    </cfRule>
    <cfRule type="cellIs" dxfId="7352" priority="4318" operator="equal">
      <formula>"PTO"</formula>
    </cfRule>
  </conditionalFormatting>
  <conditionalFormatting sqref="J29 Q29">
    <cfRule type="cellIs" dxfId="7351" priority="4315" operator="equal">
      <formula>"OFF"</formula>
    </cfRule>
    <cfRule type="cellIs" dxfId="7350" priority="4316" operator="equal">
      <formula>"PTO"</formula>
    </cfRule>
  </conditionalFormatting>
  <conditionalFormatting sqref="J29 Q29">
    <cfRule type="cellIs" dxfId="7349" priority="4313" operator="equal">
      <formula>"OFF"</formula>
    </cfRule>
    <cfRule type="cellIs" dxfId="7348" priority="4314" operator="equal">
      <formula>"PTO"</formula>
    </cfRule>
  </conditionalFormatting>
  <conditionalFormatting sqref="K29:O29 R29:V29">
    <cfRule type="cellIs" dxfId="7347" priority="4311" operator="equal">
      <formula>"OFF"</formula>
    </cfRule>
    <cfRule type="cellIs" dxfId="7346" priority="4312" operator="equal">
      <formula>"PTO"</formula>
    </cfRule>
  </conditionalFormatting>
  <conditionalFormatting sqref="K29:O29 R29:V29">
    <cfRule type="cellIs" dxfId="7345" priority="4309" operator="equal">
      <formula>"OFF"</formula>
    </cfRule>
    <cfRule type="cellIs" dxfId="7344" priority="4310" operator="equal">
      <formula>"PTO"</formula>
    </cfRule>
  </conditionalFormatting>
  <conditionalFormatting sqref="K29:O29 R29:V29">
    <cfRule type="cellIs" dxfId="7343" priority="4307" operator="equal">
      <formula>"OFF"</formula>
    </cfRule>
    <cfRule type="cellIs" dxfId="7342" priority="4308" operator="equal">
      <formula>"PTO"</formula>
    </cfRule>
  </conditionalFormatting>
  <conditionalFormatting sqref="K29:O29 R29:V29">
    <cfRule type="cellIs" dxfId="7341" priority="4305" operator="equal">
      <formula>"OFF"</formula>
    </cfRule>
    <cfRule type="cellIs" dxfId="7340" priority="4306" operator="equal">
      <formula>"PTO"</formula>
    </cfRule>
  </conditionalFormatting>
  <conditionalFormatting sqref="J29 Q29">
    <cfRule type="cellIs" dxfId="7339" priority="4303" operator="equal">
      <formula>"OFF"</formula>
    </cfRule>
    <cfRule type="cellIs" dxfId="7338" priority="4304" operator="equal">
      <formula>"PTO"</formula>
    </cfRule>
  </conditionalFormatting>
  <conditionalFormatting sqref="J29 Q29">
    <cfRule type="cellIs" dxfId="7337" priority="4301" operator="equal">
      <formula>"OFF"</formula>
    </cfRule>
    <cfRule type="cellIs" dxfId="7336" priority="4302" operator="equal">
      <formula>"PTO"</formula>
    </cfRule>
  </conditionalFormatting>
  <conditionalFormatting sqref="J29 Q29">
    <cfRule type="cellIs" dxfId="7335" priority="4299" operator="equal">
      <formula>"OFF"</formula>
    </cfRule>
    <cfRule type="cellIs" dxfId="7334" priority="4300" operator="equal">
      <formula>"PTO"</formula>
    </cfRule>
  </conditionalFormatting>
  <conditionalFormatting sqref="J29 Q29">
    <cfRule type="cellIs" dxfId="7333" priority="4297" operator="equal">
      <formula>"OFF"</formula>
    </cfRule>
    <cfRule type="cellIs" dxfId="7332" priority="4298" operator="equal">
      <formula>"PTO"</formula>
    </cfRule>
  </conditionalFormatting>
  <conditionalFormatting sqref="K29:O29 R29:V29">
    <cfRule type="cellIs" dxfId="7331" priority="4295" operator="equal">
      <formula>"OFF"</formula>
    </cfRule>
    <cfRule type="cellIs" dxfId="7330" priority="4296" operator="equal">
      <formula>"PTO"</formula>
    </cfRule>
  </conditionalFormatting>
  <conditionalFormatting sqref="K29:O29 R29:V29">
    <cfRule type="cellIs" dxfId="7329" priority="4293" operator="equal">
      <formula>"OFF"</formula>
    </cfRule>
    <cfRule type="cellIs" dxfId="7328" priority="4294" operator="equal">
      <formula>"PTO"</formula>
    </cfRule>
  </conditionalFormatting>
  <conditionalFormatting sqref="K29:O29 R29:V29">
    <cfRule type="cellIs" dxfId="7327" priority="4291" operator="equal">
      <formula>"OFF"</formula>
    </cfRule>
    <cfRule type="cellIs" dxfId="7326" priority="4292" operator="equal">
      <formula>"PTO"</formula>
    </cfRule>
  </conditionalFormatting>
  <conditionalFormatting sqref="K29:O29 R29:V29">
    <cfRule type="cellIs" dxfId="7325" priority="4289" operator="equal">
      <formula>"OFF"</formula>
    </cfRule>
    <cfRule type="cellIs" dxfId="7324" priority="4290" operator="equal">
      <formula>"PTO"</formula>
    </cfRule>
  </conditionalFormatting>
  <conditionalFormatting sqref="J29 Q29">
    <cfRule type="cellIs" dxfId="7323" priority="4287" operator="equal">
      <formula>"OFF"</formula>
    </cfRule>
    <cfRule type="cellIs" dxfId="7322" priority="4288" operator="equal">
      <formula>"PTO"</formula>
    </cfRule>
  </conditionalFormatting>
  <conditionalFormatting sqref="J29 Q29">
    <cfRule type="cellIs" dxfId="7321" priority="4285" operator="equal">
      <formula>"OFF"</formula>
    </cfRule>
    <cfRule type="cellIs" dxfId="7320" priority="4286" operator="equal">
      <formula>"PTO"</formula>
    </cfRule>
  </conditionalFormatting>
  <conditionalFormatting sqref="J29 Q29">
    <cfRule type="cellIs" dxfId="7319" priority="4283" operator="equal">
      <formula>"OFF"</formula>
    </cfRule>
    <cfRule type="cellIs" dxfId="7318" priority="4284" operator="equal">
      <formula>"PTO"</formula>
    </cfRule>
  </conditionalFormatting>
  <conditionalFormatting sqref="J29 Q29">
    <cfRule type="cellIs" dxfId="7317" priority="4281" operator="equal">
      <formula>"OFF"</formula>
    </cfRule>
    <cfRule type="cellIs" dxfId="7316" priority="4282" operator="equal">
      <formula>"PTO"</formula>
    </cfRule>
  </conditionalFormatting>
  <conditionalFormatting sqref="K29:O29 R29:V29">
    <cfRule type="cellIs" dxfId="7315" priority="4279" operator="equal">
      <formula>"OFF"</formula>
    </cfRule>
    <cfRule type="cellIs" dxfId="7314" priority="4280" operator="equal">
      <formula>"PTO"</formula>
    </cfRule>
  </conditionalFormatting>
  <conditionalFormatting sqref="K29:O29 R29:V29">
    <cfRule type="cellIs" dxfId="7313" priority="4277" operator="equal">
      <formula>"OFF"</formula>
    </cfRule>
    <cfRule type="cellIs" dxfId="7312" priority="4278" operator="equal">
      <formula>"PTO"</formula>
    </cfRule>
  </conditionalFormatting>
  <conditionalFormatting sqref="K29:O29 R29:V29">
    <cfRule type="cellIs" dxfId="7311" priority="4275" operator="equal">
      <formula>"OFF"</formula>
    </cfRule>
    <cfRule type="cellIs" dxfId="7310" priority="4276" operator="equal">
      <formula>"PTO"</formula>
    </cfRule>
  </conditionalFormatting>
  <conditionalFormatting sqref="K29:O29 R29:V29">
    <cfRule type="cellIs" dxfId="7309" priority="4273" operator="equal">
      <formula>"OFF"</formula>
    </cfRule>
    <cfRule type="cellIs" dxfId="7308" priority="4274" operator="equal">
      <formula>"PTO"</formula>
    </cfRule>
  </conditionalFormatting>
  <conditionalFormatting sqref="J29 Q29">
    <cfRule type="cellIs" dxfId="7307" priority="4271" operator="equal">
      <formula>"OFF"</formula>
    </cfRule>
    <cfRule type="cellIs" dxfId="7306" priority="4272" operator="equal">
      <formula>"PTO"</formula>
    </cfRule>
  </conditionalFormatting>
  <conditionalFormatting sqref="J29 Q29">
    <cfRule type="cellIs" dxfId="7305" priority="4269" operator="equal">
      <formula>"OFF"</formula>
    </cfRule>
    <cfRule type="cellIs" dxfId="7304" priority="4270" operator="equal">
      <formula>"PTO"</formula>
    </cfRule>
  </conditionalFormatting>
  <conditionalFormatting sqref="J29 Q29">
    <cfRule type="cellIs" dxfId="7303" priority="4267" operator="equal">
      <formula>"OFF"</formula>
    </cfRule>
    <cfRule type="cellIs" dxfId="7302" priority="4268" operator="equal">
      <formula>"PTO"</formula>
    </cfRule>
  </conditionalFormatting>
  <conditionalFormatting sqref="J29 Q29">
    <cfRule type="cellIs" dxfId="7301" priority="4265" operator="equal">
      <formula>"OFF"</formula>
    </cfRule>
    <cfRule type="cellIs" dxfId="7300" priority="4266" operator="equal">
      <formula>"PTO"</formula>
    </cfRule>
  </conditionalFormatting>
  <conditionalFormatting sqref="J29 Q29">
    <cfRule type="cellIs" dxfId="7299" priority="4263" operator="equal">
      <formula>"OFF"</formula>
    </cfRule>
    <cfRule type="cellIs" dxfId="7298" priority="4264" operator="equal">
      <formula>"PTO"</formula>
    </cfRule>
  </conditionalFormatting>
  <conditionalFormatting sqref="J29 Q29">
    <cfRule type="cellIs" dxfId="7297" priority="4261" operator="equal">
      <formula>"OFF"</formula>
    </cfRule>
    <cfRule type="cellIs" dxfId="7296" priority="4262" operator="equal">
      <formula>"PTO"</formula>
    </cfRule>
  </conditionalFormatting>
  <conditionalFormatting sqref="J29 Q29">
    <cfRule type="cellIs" dxfId="7295" priority="4259" operator="equal">
      <formula>"OFF"</formula>
    </cfRule>
    <cfRule type="cellIs" dxfId="7294" priority="4260" operator="equal">
      <formula>"PTO"</formula>
    </cfRule>
  </conditionalFormatting>
  <conditionalFormatting sqref="J29 Q29">
    <cfRule type="cellIs" dxfId="7293" priority="4257" operator="equal">
      <formula>"OFF"</formula>
    </cfRule>
    <cfRule type="cellIs" dxfId="7292" priority="4258" operator="equal">
      <formula>"PTO"</formula>
    </cfRule>
  </conditionalFormatting>
  <conditionalFormatting sqref="J29 Q29">
    <cfRule type="cellIs" dxfId="7291" priority="4255" operator="equal">
      <formula>"OFF"</formula>
    </cfRule>
    <cfRule type="cellIs" dxfId="7290" priority="4256" operator="equal">
      <formula>"PTO"</formula>
    </cfRule>
  </conditionalFormatting>
  <conditionalFormatting sqref="J29 Q29">
    <cfRule type="cellIs" dxfId="7289" priority="4253" operator="equal">
      <formula>"OFF"</formula>
    </cfRule>
    <cfRule type="cellIs" dxfId="7288" priority="4254" operator="equal">
      <formula>"PTO"</formula>
    </cfRule>
  </conditionalFormatting>
  <conditionalFormatting sqref="J29 Q29">
    <cfRule type="cellIs" dxfId="7287" priority="4251" operator="equal">
      <formula>"OFF"</formula>
    </cfRule>
    <cfRule type="cellIs" dxfId="7286" priority="4252" operator="equal">
      <formula>"PTO"</formula>
    </cfRule>
  </conditionalFormatting>
  <conditionalFormatting sqref="J29 Q29">
    <cfRule type="cellIs" dxfId="7285" priority="4249" operator="equal">
      <formula>"OFF"</formula>
    </cfRule>
    <cfRule type="cellIs" dxfId="7284" priority="4250" operator="equal">
      <formula>"PTO"</formula>
    </cfRule>
  </conditionalFormatting>
  <conditionalFormatting sqref="J29 Q29">
    <cfRule type="cellIs" dxfId="7283" priority="4247" operator="equal">
      <formula>"OFF"</formula>
    </cfRule>
    <cfRule type="cellIs" dxfId="7282" priority="4248" operator="equal">
      <formula>"PTO"</formula>
    </cfRule>
  </conditionalFormatting>
  <conditionalFormatting sqref="J29 Q29">
    <cfRule type="cellIs" dxfId="7281" priority="4245" operator="equal">
      <formula>"OFF"</formula>
    </cfRule>
    <cfRule type="cellIs" dxfId="7280" priority="4246" operator="equal">
      <formula>"PTO"</formula>
    </cfRule>
  </conditionalFormatting>
  <conditionalFormatting sqref="J29 Q29">
    <cfRule type="cellIs" dxfId="7279" priority="4243" operator="equal">
      <formula>"OFF"</formula>
    </cfRule>
    <cfRule type="cellIs" dxfId="7278" priority="4244" operator="equal">
      <formula>"PTO"</formula>
    </cfRule>
  </conditionalFormatting>
  <conditionalFormatting sqref="J29 Q29">
    <cfRule type="cellIs" dxfId="7277" priority="4241" operator="equal">
      <formula>"OFF"</formula>
    </cfRule>
    <cfRule type="cellIs" dxfId="7276" priority="4242" operator="equal">
      <formula>"PTO"</formula>
    </cfRule>
  </conditionalFormatting>
  <conditionalFormatting sqref="J29 Q29">
    <cfRule type="cellIs" dxfId="7275" priority="4239" operator="equal">
      <formula>"OFF"</formula>
    </cfRule>
    <cfRule type="cellIs" dxfId="7274" priority="4240" operator="equal">
      <formula>"PTO"</formula>
    </cfRule>
  </conditionalFormatting>
  <conditionalFormatting sqref="J29 Q29">
    <cfRule type="cellIs" dxfId="7273" priority="4237" operator="equal">
      <formula>"OFF"</formula>
    </cfRule>
    <cfRule type="cellIs" dxfId="7272" priority="4238" operator="equal">
      <formula>"PTO"</formula>
    </cfRule>
  </conditionalFormatting>
  <conditionalFormatting sqref="J29 Q29">
    <cfRule type="cellIs" dxfId="7271" priority="4235" operator="equal">
      <formula>"OFF"</formula>
    </cfRule>
    <cfRule type="cellIs" dxfId="7270" priority="4236" operator="equal">
      <formula>"PTO"</formula>
    </cfRule>
  </conditionalFormatting>
  <conditionalFormatting sqref="J29 Q29">
    <cfRule type="cellIs" dxfId="7269" priority="4233" operator="equal">
      <formula>"OFF"</formula>
    </cfRule>
    <cfRule type="cellIs" dxfId="7268" priority="4234" operator="equal">
      <formula>"PTO"</formula>
    </cfRule>
  </conditionalFormatting>
  <conditionalFormatting sqref="J29 Q29">
    <cfRule type="cellIs" dxfId="7267" priority="4231" operator="equal">
      <formula>"OFF"</formula>
    </cfRule>
    <cfRule type="cellIs" dxfId="7266" priority="4232" operator="equal">
      <formula>"PTO"</formula>
    </cfRule>
  </conditionalFormatting>
  <conditionalFormatting sqref="J29 Q29">
    <cfRule type="cellIs" dxfId="7265" priority="4229" operator="equal">
      <formula>"OFF"</formula>
    </cfRule>
    <cfRule type="cellIs" dxfId="7264" priority="4230" operator="equal">
      <formula>"PTO"</formula>
    </cfRule>
  </conditionalFormatting>
  <conditionalFormatting sqref="J29 Q29">
    <cfRule type="cellIs" dxfId="7263" priority="4227" operator="equal">
      <formula>"OFF"</formula>
    </cfRule>
    <cfRule type="cellIs" dxfId="7262" priority="4228" operator="equal">
      <formula>"PTO"</formula>
    </cfRule>
  </conditionalFormatting>
  <conditionalFormatting sqref="J29 Q29">
    <cfRule type="cellIs" dxfId="7261" priority="4225" operator="equal">
      <formula>"OFF"</formula>
    </cfRule>
    <cfRule type="cellIs" dxfId="7260" priority="4226" operator="equal">
      <formula>"PTO"</formula>
    </cfRule>
  </conditionalFormatting>
  <conditionalFormatting sqref="J29 Q29">
    <cfRule type="cellIs" dxfId="7259" priority="4223" operator="equal">
      <formula>"OFF"</formula>
    </cfRule>
    <cfRule type="cellIs" dxfId="7258" priority="4224" operator="equal">
      <formula>"PTO"</formula>
    </cfRule>
  </conditionalFormatting>
  <conditionalFormatting sqref="K29:O29 R29:V29">
    <cfRule type="cellIs" dxfId="7257" priority="4221" operator="equal">
      <formula>"OFF"</formula>
    </cfRule>
    <cfRule type="cellIs" dxfId="7256" priority="4222" operator="equal">
      <formula>"PTO"</formula>
    </cfRule>
  </conditionalFormatting>
  <conditionalFormatting sqref="K29:O29 R29:V29">
    <cfRule type="cellIs" dxfId="7255" priority="4219" operator="equal">
      <formula>"OFF"</formula>
    </cfRule>
    <cfRule type="cellIs" dxfId="7254" priority="4220" operator="equal">
      <formula>"PTO"</formula>
    </cfRule>
  </conditionalFormatting>
  <conditionalFormatting sqref="K29:O29 R29:V29">
    <cfRule type="cellIs" dxfId="7253" priority="4217" operator="equal">
      <formula>"OFF"</formula>
    </cfRule>
    <cfRule type="cellIs" dxfId="7252" priority="4218" operator="equal">
      <formula>"PTO"</formula>
    </cfRule>
  </conditionalFormatting>
  <conditionalFormatting sqref="K29:O29 R29:V29">
    <cfRule type="cellIs" dxfId="7251" priority="4215" operator="equal">
      <formula>"OFF"</formula>
    </cfRule>
    <cfRule type="cellIs" dxfId="7250" priority="4216" operator="equal">
      <formula>"PTO"</formula>
    </cfRule>
  </conditionalFormatting>
  <conditionalFormatting sqref="K29:O29 R29:V29">
    <cfRule type="cellIs" dxfId="7249" priority="4213" operator="equal">
      <formula>"OFF"</formula>
    </cfRule>
    <cfRule type="cellIs" dxfId="7248" priority="4214" operator="equal">
      <formula>"PTO"</formula>
    </cfRule>
  </conditionalFormatting>
  <conditionalFormatting sqref="K29:O29 R29:V29">
    <cfRule type="cellIs" dxfId="7247" priority="4211" operator="equal">
      <formula>"OFF"</formula>
    </cfRule>
    <cfRule type="cellIs" dxfId="7246" priority="4212" operator="equal">
      <formula>"PTO"</formula>
    </cfRule>
  </conditionalFormatting>
  <conditionalFormatting sqref="K29:O29 R29:V29">
    <cfRule type="cellIs" dxfId="7245" priority="4209" operator="equal">
      <formula>"OFF"</formula>
    </cfRule>
    <cfRule type="cellIs" dxfId="7244" priority="4210" operator="equal">
      <formula>"PTO"</formula>
    </cfRule>
  </conditionalFormatting>
  <conditionalFormatting sqref="K29:O29 R29:V29">
    <cfRule type="cellIs" dxfId="7243" priority="4207" operator="equal">
      <formula>"OFF"</formula>
    </cfRule>
    <cfRule type="cellIs" dxfId="7242" priority="4208" operator="equal">
      <formula>"PTO"</formula>
    </cfRule>
  </conditionalFormatting>
  <conditionalFormatting sqref="K29:O29 R29:V29">
    <cfRule type="cellIs" dxfId="7241" priority="4205" operator="equal">
      <formula>"OFF"</formula>
    </cfRule>
    <cfRule type="cellIs" dxfId="7240" priority="4206" operator="equal">
      <formula>"PTO"</formula>
    </cfRule>
  </conditionalFormatting>
  <conditionalFormatting sqref="K29:O29 R29:V29">
    <cfRule type="cellIs" dxfId="7239" priority="4203" operator="equal">
      <formula>"OFF"</formula>
    </cfRule>
    <cfRule type="cellIs" dxfId="7238" priority="4204" operator="equal">
      <formula>"PTO"</formula>
    </cfRule>
  </conditionalFormatting>
  <conditionalFormatting sqref="K29:O29 R29:V29">
    <cfRule type="cellIs" dxfId="7237" priority="4201" operator="equal">
      <formula>"OFF"</formula>
    </cfRule>
    <cfRule type="cellIs" dxfId="7236" priority="4202" operator="equal">
      <formula>"PTO"</formula>
    </cfRule>
  </conditionalFormatting>
  <conditionalFormatting sqref="K29:O29 R29:V29">
    <cfRule type="cellIs" dxfId="7235" priority="4199" operator="equal">
      <formula>"OFF"</formula>
    </cfRule>
    <cfRule type="cellIs" dxfId="7234" priority="4200" operator="equal">
      <formula>"PTO"</formula>
    </cfRule>
  </conditionalFormatting>
  <conditionalFormatting sqref="K29:O29 R29:V29">
    <cfRule type="cellIs" dxfId="7233" priority="4197" operator="equal">
      <formula>"OFF"</formula>
    </cfRule>
    <cfRule type="cellIs" dxfId="7232" priority="4198" operator="equal">
      <formula>"PTO"</formula>
    </cfRule>
  </conditionalFormatting>
  <conditionalFormatting sqref="K29:O29 R29:V29">
    <cfRule type="cellIs" dxfId="7231" priority="4195" operator="equal">
      <formula>"OFF"</formula>
    </cfRule>
    <cfRule type="cellIs" dxfId="7230" priority="4196" operator="equal">
      <formula>"PTO"</formula>
    </cfRule>
  </conditionalFormatting>
  <conditionalFormatting sqref="K29:O29 R29:V29">
    <cfRule type="cellIs" dxfId="7229" priority="4193" operator="equal">
      <formula>"OFF"</formula>
    </cfRule>
    <cfRule type="cellIs" dxfId="7228" priority="4194" operator="equal">
      <formula>"PTO"</formula>
    </cfRule>
  </conditionalFormatting>
  <conditionalFormatting sqref="K29:O29 R29:V29">
    <cfRule type="cellIs" dxfId="7227" priority="4191" operator="equal">
      <formula>"OFF"</formula>
    </cfRule>
    <cfRule type="cellIs" dxfId="7226" priority="4192" operator="equal">
      <formula>"PTO"</formula>
    </cfRule>
  </conditionalFormatting>
  <conditionalFormatting sqref="K29:O29 R29:V29">
    <cfRule type="cellIs" dxfId="7225" priority="4189" operator="equal">
      <formula>"OFF"</formula>
    </cfRule>
    <cfRule type="cellIs" dxfId="7224" priority="4190" operator="equal">
      <formula>"PTO"</formula>
    </cfRule>
  </conditionalFormatting>
  <conditionalFormatting sqref="K29:O29 R29:V29">
    <cfRule type="cellIs" dxfId="7223" priority="4187" operator="equal">
      <formula>"OFF"</formula>
    </cfRule>
    <cfRule type="cellIs" dxfId="7222" priority="4188" operator="equal">
      <formula>"PTO"</formula>
    </cfRule>
  </conditionalFormatting>
  <conditionalFormatting sqref="K29:O29 R29:V29">
    <cfRule type="cellIs" dxfId="7221" priority="4185" operator="equal">
      <formula>"OFF"</formula>
    </cfRule>
    <cfRule type="cellIs" dxfId="7220" priority="4186" operator="equal">
      <formula>"PTO"</formula>
    </cfRule>
  </conditionalFormatting>
  <conditionalFormatting sqref="K29:O29 R29:V29">
    <cfRule type="cellIs" dxfId="7219" priority="4183" operator="equal">
      <formula>"OFF"</formula>
    </cfRule>
    <cfRule type="cellIs" dxfId="7218" priority="4184" operator="equal">
      <formula>"PTO"</formula>
    </cfRule>
  </conditionalFormatting>
  <conditionalFormatting sqref="K29:O29 R29:V29">
    <cfRule type="cellIs" dxfId="7217" priority="4181" operator="equal">
      <formula>"OFF"</formula>
    </cfRule>
    <cfRule type="cellIs" dxfId="7216" priority="4182" operator="equal">
      <formula>"PTO"</formula>
    </cfRule>
  </conditionalFormatting>
  <conditionalFormatting sqref="K29:O29 R29:V29">
    <cfRule type="cellIs" dxfId="7215" priority="4179" operator="equal">
      <formula>"OFF"</formula>
    </cfRule>
    <cfRule type="cellIs" dxfId="7214" priority="4180" operator="equal">
      <formula>"PTO"</formula>
    </cfRule>
  </conditionalFormatting>
  <conditionalFormatting sqref="K29:O29 R29:V29">
    <cfRule type="cellIs" dxfId="7213" priority="4177" operator="equal">
      <formula>"OFF"</formula>
    </cfRule>
    <cfRule type="cellIs" dxfId="7212" priority="4178" operator="equal">
      <formula>"PTO"</formula>
    </cfRule>
  </conditionalFormatting>
  <conditionalFormatting sqref="K29:O29 R29:V29">
    <cfRule type="cellIs" dxfId="7211" priority="4175" operator="equal">
      <formula>"OFF"</formula>
    </cfRule>
    <cfRule type="cellIs" dxfId="7210" priority="4176" operator="equal">
      <formula>"PTO"</formula>
    </cfRule>
  </conditionalFormatting>
  <conditionalFormatting sqref="K29:O29 R29:V29">
    <cfRule type="cellIs" dxfId="7209" priority="4173" operator="equal">
      <formula>"OFF"</formula>
    </cfRule>
    <cfRule type="cellIs" dxfId="7208" priority="4174" operator="equal">
      <formula>"PTO"</formula>
    </cfRule>
  </conditionalFormatting>
  <conditionalFormatting sqref="M29:O29 T29:V29">
    <cfRule type="cellIs" dxfId="7207" priority="4171" operator="equal">
      <formula>"OFF"</formula>
    </cfRule>
    <cfRule type="cellIs" dxfId="7206" priority="4172" operator="equal">
      <formula>"PTO"</formula>
    </cfRule>
  </conditionalFormatting>
  <conditionalFormatting sqref="N29:O29 U29:V29">
    <cfRule type="cellIs" dxfId="7205" priority="4169" operator="equal">
      <formula>"OFF"</formula>
    </cfRule>
    <cfRule type="cellIs" dxfId="7204" priority="4170" operator="equal">
      <formula>"PTO"</formula>
    </cfRule>
  </conditionalFormatting>
  <conditionalFormatting sqref="N29:O29 U29:V29">
    <cfRule type="cellIs" dxfId="7203" priority="4167" operator="equal">
      <formula>"OFF"</formula>
    </cfRule>
    <cfRule type="cellIs" dxfId="7202" priority="4168" operator="equal">
      <formula>"PTO"</formula>
    </cfRule>
  </conditionalFormatting>
  <conditionalFormatting sqref="N29:O29 U29:V29">
    <cfRule type="cellIs" dxfId="7201" priority="4165" operator="equal">
      <formula>"OFF"</formula>
    </cfRule>
    <cfRule type="cellIs" dxfId="7200" priority="4166" operator="equal">
      <formula>"PTO"</formula>
    </cfRule>
  </conditionalFormatting>
  <conditionalFormatting sqref="N29:O29 U29:V29">
    <cfRule type="cellIs" dxfId="7199" priority="4163" operator="equal">
      <formula>"OFF"</formula>
    </cfRule>
    <cfRule type="cellIs" dxfId="7198" priority="4164" operator="equal">
      <formula>"PTO"</formula>
    </cfRule>
  </conditionalFormatting>
  <conditionalFormatting sqref="N29:O29 U29:V29">
    <cfRule type="cellIs" dxfId="7197" priority="4161" operator="equal">
      <formula>"OFF"</formula>
    </cfRule>
    <cfRule type="cellIs" dxfId="7196" priority="4162" operator="equal">
      <formula>"PTO"</formula>
    </cfRule>
  </conditionalFormatting>
  <conditionalFormatting sqref="N29:O29 U29:V29">
    <cfRule type="cellIs" dxfId="7195" priority="4159" operator="equal">
      <formula>"OFF"</formula>
    </cfRule>
    <cfRule type="cellIs" dxfId="7194" priority="4160" operator="equal">
      <formula>"PTO"</formula>
    </cfRule>
  </conditionalFormatting>
  <conditionalFormatting sqref="N29:O29 U29:V29">
    <cfRule type="cellIs" dxfId="7193" priority="4157" operator="equal">
      <formula>"OFF"</formula>
    </cfRule>
    <cfRule type="cellIs" dxfId="7192" priority="4158" operator="equal">
      <formula>"PTO"</formula>
    </cfRule>
  </conditionalFormatting>
  <conditionalFormatting sqref="N29:O29 U29:V29">
    <cfRule type="cellIs" dxfId="7191" priority="4155" operator="equal">
      <formula>"OFF"</formula>
    </cfRule>
    <cfRule type="cellIs" dxfId="7190" priority="4156" operator="equal">
      <formula>"PTO"</formula>
    </cfRule>
  </conditionalFormatting>
  <conditionalFormatting sqref="P29 W29">
    <cfRule type="cellIs" dxfId="7189" priority="4153" operator="equal">
      <formula>"OFF"</formula>
    </cfRule>
    <cfRule type="cellIs" dxfId="7188" priority="4154" operator="equal">
      <formula>"PTO"</formula>
    </cfRule>
  </conditionalFormatting>
  <conditionalFormatting sqref="P29 W29">
    <cfRule type="cellIs" dxfId="7187" priority="4151" operator="equal">
      <formula>"OFF"</formula>
    </cfRule>
    <cfRule type="cellIs" dxfId="7186" priority="4152" operator="equal">
      <formula>"PTO"</formula>
    </cfRule>
  </conditionalFormatting>
  <conditionalFormatting sqref="P29 W29">
    <cfRule type="cellIs" dxfId="7185" priority="4149" operator="equal">
      <formula>"OFF"</formula>
    </cfRule>
    <cfRule type="cellIs" dxfId="7184" priority="4150" operator="equal">
      <formula>"PTO"</formula>
    </cfRule>
  </conditionalFormatting>
  <conditionalFormatting sqref="J29 Q29">
    <cfRule type="cellIs" dxfId="7183" priority="4137" operator="equal">
      <formula>"OFF"</formula>
    </cfRule>
    <cfRule type="cellIs" dxfId="7182" priority="4138" operator="equal">
      <formula>"PTO"</formula>
    </cfRule>
  </conditionalFormatting>
  <conditionalFormatting sqref="J29:W29">
    <cfRule type="cellIs" dxfId="7181" priority="4133" operator="equal">
      <formula>"OFF"</formula>
    </cfRule>
    <cfRule type="cellIs" dxfId="7180" priority="4134" operator="equal">
      <formula>"PTO"</formula>
    </cfRule>
  </conditionalFormatting>
  <conditionalFormatting sqref="J29:W29">
    <cfRule type="cellIs" dxfId="7179" priority="4131" operator="equal">
      <formula>"OFF"</formula>
    </cfRule>
    <cfRule type="cellIs" dxfId="7178" priority="4132" operator="equal">
      <formula>"PTO"</formula>
    </cfRule>
  </conditionalFormatting>
  <conditionalFormatting sqref="J29:W29">
    <cfRule type="cellIs" dxfId="7177" priority="4127" operator="equal">
      <formula>"OFF"</formula>
    </cfRule>
    <cfRule type="cellIs" dxfId="7176" priority="4128" operator="equal">
      <formula>"PTO"</formula>
    </cfRule>
  </conditionalFormatting>
  <conditionalFormatting sqref="J29:W29">
    <cfRule type="cellIs" dxfId="7175" priority="4125" operator="equal">
      <formula>"OFF"</formula>
    </cfRule>
    <cfRule type="cellIs" dxfId="7174" priority="4126" operator="equal">
      <formula>"PTO"</formula>
    </cfRule>
  </conditionalFormatting>
  <conditionalFormatting sqref="K29:O29 R29:V29">
    <cfRule type="cellIs" dxfId="7173" priority="4123" operator="equal">
      <formula>"OFF"</formula>
    </cfRule>
    <cfRule type="cellIs" dxfId="7172" priority="4124" operator="equal">
      <formula>"PTO"</formula>
    </cfRule>
  </conditionalFormatting>
  <conditionalFormatting sqref="K29:O29 R29:V29">
    <cfRule type="cellIs" dxfId="7171" priority="4121" operator="equal">
      <formula>"OFF"</formula>
    </cfRule>
    <cfRule type="cellIs" dxfId="7170" priority="4122" operator="equal">
      <formula>"PTO"</formula>
    </cfRule>
  </conditionalFormatting>
  <conditionalFormatting sqref="K29:O29 R29:V29">
    <cfRule type="cellIs" dxfId="7169" priority="4119" operator="equal">
      <formula>"OFF"</formula>
    </cfRule>
    <cfRule type="cellIs" dxfId="7168" priority="4120" operator="equal">
      <formula>"PTO"</formula>
    </cfRule>
  </conditionalFormatting>
  <conditionalFormatting sqref="K29:O29 R29:V29">
    <cfRule type="cellIs" dxfId="7167" priority="4117" operator="equal">
      <formula>"OFF"</formula>
    </cfRule>
    <cfRule type="cellIs" dxfId="7166" priority="4118" operator="equal">
      <formula>"PTO"</formula>
    </cfRule>
  </conditionalFormatting>
  <conditionalFormatting sqref="J29:W29">
    <cfRule type="cellIs" dxfId="7165" priority="4115" operator="equal">
      <formula>"OFF"</formula>
    </cfRule>
    <cfRule type="cellIs" dxfId="7164" priority="4116" operator="equal">
      <formula>"PTO"</formula>
    </cfRule>
  </conditionalFormatting>
  <conditionalFormatting sqref="J29:W29">
    <cfRule type="cellIs" dxfId="7163" priority="4111" operator="equal">
      <formula>"OFF"</formula>
    </cfRule>
    <cfRule type="cellIs" dxfId="7162" priority="4112" operator="equal">
      <formula>"PTO"</formula>
    </cfRule>
  </conditionalFormatting>
  <conditionalFormatting sqref="J29:W29">
    <cfRule type="cellIs" dxfId="7161" priority="4109" operator="equal">
      <formula>"OFF"</formula>
    </cfRule>
    <cfRule type="cellIs" dxfId="7160" priority="4110" operator="equal">
      <formula>"PTO"</formula>
    </cfRule>
  </conditionalFormatting>
  <conditionalFormatting sqref="K29:O29 R29:V29">
    <cfRule type="cellIs" dxfId="7159" priority="4107" operator="equal">
      <formula>"OFF"</formula>
    </cfRule>
    <cfRule type="cellIs" dxfId="7158" priority="4108" operator="equal">
      <formula>"PTO"</formula>
    </cfRule>
  </conditionalFormatting>
  <conditionalFormatting sqref="K29:O29 R29:V29">
    <cfRule type="cellIs" dxfId="7157" priority="4105" operator="equal">
      <formula>"OFF"</formula>
    </cfRule>
    <cfRule type="cellIs" dxfId="7156" priority="4106" operator="equal">
      <formula>"PTO"</formula>
    </cfRule>
  </conditionalFormatting>
  <conditionalFormatting sqref="K29:O29 R29:V29">
    <cfRule type="cellIs" dxfId="7155" priority="4103" operator="equal">
      <formula>"OFF"</formula>
    </cfRule>
    <cfRule type="cellIs" dxfId="7154" priority="4104" operator="equal">
      <formula>"PTO"</formula>
    </cfRule>
  </conditionalFormatting>
  <conditionalFormatting sqref="K29:O29 R29:V29">
    <cfRule type="cellIs" dxfId="7153" priority="4101" operator="equal">
      <formula>"OFF"</formula>
    </cfRule>
    <cfRule type="cellIs" dxfId="7152" priority="4102" operator="equal">
      <formula>"PTO"</formula>
    </cfRule>
  </conditionalFormatting>
  <conditionalFormatting sqref="J29:W29">
    <cfRule type="cellIs" dxfId="7151" priority="4099" operator="equal">
      <formula>"OFF"</formula>
    </cfRule>
    <cfRule type="cellIs" dxfId="7150" priority="4100" operator="equal">
      <formula>"PTO"</formula>
    </cfRule>
  </conditionalFormatting>
  <conditionalFormatting sqref="J29:W29">
    <cfRule type="cellIs" dxfId="7149" priority="4097" operator="equal">
      <formula>"OFF"</formula>
    </cfRule>
    <cfRule type="cellIs" dxfId="7148" priority="4098" operator="equal">
      <formula>"PTO"</formula>
    </cfRule>
  </conditionalFormatting>
  <conditionalFormatting sqref="J29:W29">
    <cfRule type="cellIs" dxfId="7147" priority="4095" operator="equal">
      <formula>"OFF"</formula>
    </cfRule>
    <cfRule type="cellIs" dxfId="7146" priority="4096" operator="equal">
      <formula>"PTO"</formula>
    </cfRule>
  </conditionalFormatting>
  <conditionalFormatting sqref="J29:W29">
    <cfRule type="cellIs" dxfId="7145" priority="4093" operator="equal">
      <formula>"OFF"</formula>
    </cfRule>
    <cfRule type="cellIs" dxfId="7144" priority="4094" operator="equal">
      <formula>"PTO"</formula>
    </cfRule>
  </conditionalFormatting>
  <conditionalFormatting sqref="K29:O29 R29:V29">
    <cfRule type="cellIs" dxfId="7143" priority="4091" operator="equal">
      <formula>"OFF"</formula>
    </cfRule>
    <cfRule type="cellIs" dxfId="7142" priority="4092" operator="equal">
      <formula>"PTO"</formula>
    </cfRule>
  </conditionalFormatting>
  <conditionalFormatting sqref="K29:O29 R29:V29">
    <cfRule type="cellIs" dxfId="7141" priority="4089" operator="equal">
      <formula>"OFF"</formula>
    </cfRule>
    <cfRule type="cellIs" dxfId="7140" priority="4090" operator="equal">
      <formula>"PTO"</formula>
    </cfRule>
  </conditionalFormatting>
  <conditionalFormatting sqref="K29:O29 R29:V29">
    <cfRule type="cellIs" dxfId="7139" priority="4087" operator="equal">
      <formula>"OFF"</formula>
    </cfRule>
    <cfRule type="cellIs" dxfId="7138" priority="4088" operator="equal">
      <formula>"PTO"</formula>
    </cfRule>
  </conditionalFormatting>
  <conditionalFormatting sqref="K29:O29 R29:V29">
    <cfRule type="cellIs" dxfId="7137" priority="4085" operator="equal">
      <formula>"OFF"</formula>
    </cfRule>
    <cfRule type="cellIs" dxfId="7136" priority="4086" operator="equal">
      <formula>"PTO"</formula>
    </cfRule>
  </conditionalFormatting>
  <conditionalFormatting sqref="J29:W29">
    <cfRule type="cellIs" dxfId="7135" priority="4083" operator="equal">
      <formula>"OFF"</formula>
    </cfRule>
    <cfRule type="cellIs" dxfId="7134" priority="4084" operator="equal">
      <formula>"PTO"</formula>
    </cfRule>
  </conditionalFormatting>
  <conditionalFormatting sqref="J29:W29">
    <cfRule type="cellIs" dxfId="7133" priority="4077" operator="equal">
      <formula>"OFF"</formula>
    </cfRule>
    <cfRule type="cellIs" dxfId="7132" priority="4078" operator="equal">
      <formula>"PTO"</formula>
    </cfRule>
  </conditionalFormatting>
  <conditionalFormatting sqref="K29:O29 R29:V29">
    <cfRule type="cellIs" dxfId="7131" priority="4075" operator="equal">
      <formula>"OFF"</formula>
    </cfRule>
    <cfRule type="cellIs" dxfId="7130" priority="4076" operator="equal">
      <formula>"PTO"</formula>
    </cfRule>
  </conditionalFormatting>
  <conditionalFormatting sqref="K29:O29 R29:V29">
    <cfRule type="cellIs" dxfId="7129" priority="4073" operator="equal">
      <formula>"OFF"</formula>
    </cfRule>
    <cfRule type="cellIs" dxfId="7128" priority="4074" operator="equal">
      <formula>"PTO"</formula>
    </cfRule>
  </conditionalFormatting>
  <conditionalFormatting sqref="K29:O29 R29:V29">
    <cfRule type="cellIs" dxfId="7127" priority="4071" operator="equal">
      <formula>"OFF"</formula>
    </cfRule>
    <cfRule type="cellIs" dxfId="7126" priority="4072" operator="equal">
      <formula>"PTO"</formula>
    </cfRule>
  </conditionalFormatting>
  <conditionalFormatting sqref="K29:O29 R29:V29">
    <cfRule type="cellIs" dxfId="7125" priority="4069" operator="equal">
      <formula>"OFF"</formula>
    </cfRule>
    <cfRule type="cellIs" dxfId="7124" priority="4070" operator="equal">
      <formula>"PTO"</formula>
    </cfRule>
  </conditionalFormatting>
  <conditionalFormatting sqref="J29:W29">
    <cfRule type="cellIs" dxfId="7123" priority="4067" operator="equal">
      <formula>"OFF"</formula>
    </cfRule>
    <cfRule type="cellIs" dxfId="7122" priority="4068" operator="equal">
      <formula>"PTO"</formula>
    </cfRule>
  </conditionalFormatting>
  <conditionalFormatting sqref="J29:W29">
    <cfRule type="cellIs" dxfId="7121" priority="4065" operator="equal">
      <formula>"OFF"</formula>
    </cfRule>
    <cfRule type="cellIs" dxfId="7120" priority="4066" operator="equal">
      <formula>"PTO"</formula>
    </cfRule>
  </conditionalFormatting>
  <conditionalFormatting sqref="J29:W29">
    <cfRule type="cellIs" dxfId="7119" priority="4063" operator="equal">
      <formula>"OFF"</formula>
    </cfRule>
    <cfRule type="cellIs" dxfId="7118" priority="4064" operator="equal">
      <formula>"PTO"</formula>
    </cfRule>
  </conditionalFormatting>
  <conditionalFormatting sqref="J29:W29">
    <cfRule type="cellIs" dxfId="7117" priority="4061" operator="equal">
      <formula>"OFF"</formula>
    </cfRule>
    <cfRule type="cellIs" dxfId="7116" priority="4062" operator="equal">
      <formula>"PTO"</formula>
    </cfRule>
  </conditionalFormatting>
  <conditionalFormatting sqref="J29:W29">
    <cfRule type="cellIs" dxfId="7115" priority="4059" operator="equal">
      <formula>"OFF"</formula>
    </cfRule>
    <cfRule type="cellIs" dxfId="7114" priority="4060" operator="equal">
      <formula>"PTO"</formula>
    </cfRule>
  </conditionalFormatting>
  <conditionalFormatting sqref="J29:W29">
    <cfRule type="cellIs" dxfId="7113" priority="4057" operator="equal">
      <formula>"OFF"</formula>
    </cfRule>
    <cfRule type="cellIs" dxfId="7112" priority="4058" operator="equal">
      <formula>"PTO"</formula>
    </cfRule>
  </conditionalFormatting>
  <conditionalFormatting sqref="J29:W29">
    <cfRule type="cellIs" dxfId="7111" priority="4055" operator="equal">
      <formula>"OFF"</formula>
    </cfRule>
    <cfRule type="cellIs" dxfId="7110" priority="4056" operator="equal">
      <formula>"PTO"</formula>
    </cfRule>
  </conditionalFormatting>
  <conditionalFormatting sqref="J29:W29">
    <cfRule type="cellIs" dxfId="7109" priority="4053" operator="equal">
      <formula>"OFF"</formula>
    </cfRule>
    <cfRule type="cellIs" dxfId="7108" priority="4054" operator="equal">
      <formula>"PTO"</formula>
    </cfRule>
  </conditionalFormatting>
  <conditionalFormatting sqref="J29:W29">
    <cfRule type="cellIs" dxfId="7107" priority="4051" operator="equal">
      <formula>"OFF"</formula>
    </cfRule>
    <cfRule type="cellIs" dxfId="7106" priority="4052" operator="equal">
      <formula>"PTO"</formula>
    </cfRule>
  </conditionalFormatting>
  <conditionalFormatting sqref="J29:W29">
    <cfRule type="cellIs" dxfId="7105" priority="4049" operator="equal">
      <formula>"OFF"</formula>
    </cfRule>
    <cfRule type="cellIs" dxfId="7104" priority="4050" operator="equal">
      <formula>"PTO"</formula>
    </cfRule>
  </conditionalFormatting>
  <conditionalFormatting sqref="J29:W29">
    <cfRule type="cellIs" dxfId="7103" priority="4047" operator="equal">
      <formula>"OFF"</formula>
    </cfRule>
    <cfRule type="cellIs" dxfId="7102" priority="4048" operator="equal">
      <formula>"PTO"</formula>
    </cfRule>
  </conditionalFormatting>
  <conditionalFormatting sqref="J29:W29">
    <cfRule type="cellIs" dxfId="7101" priority="4045" operator="equal">
      <formula>"OFF"</formula>
    </cfRule>
    <cfRule type="cellIs" dxfId="7100" priority="4046" operator="equal">
      <formula>"PTO"</formula>
    </cfRule>
  </conditionalFormatting>
  <conditionalFormatting sqref="J29:W29">
    <cfRule type="cellIs" dxfId="7099" priority="4043" operator="equal">
      <formula>"OFF"</formula>
    </cfRule>
    <cfRule type="cellIs" dxfId="7098" priority="4044" operator="equal">
      <formula>"PTO"</formula>
    </cfRule>
  </conditionalFormatting>
  <conditionalFormatting sqref="J29:W29">
    <cfRule type="cellIs" dxfId="7097" priority="4041" operator="equal">
      <formula>"OFF"</formula>
    </cfRule>
    <cfRule type="cellIs" dxfId="7096" priority="4042" operator="equal">
      <formula>"PTO"</formula>
    </cfRule>
  </conditionalFormatting>
  <conditionalFormatting sqref="J29:W29">
    <cfRule type="cellIs" dxfId="7095" priority="4039" operator="equal">
      <formula>"OFF"</formula>
    </cfRule>
    <cfRule type="cellIs" dxfId="7094" priority="4040" operator="equal">
      <formula>"PTO"</formula>
    </cfRule>
  </conditionalFormatting>
  <conditionalFormatting sqref="J29:W29">
    <cfRule type="cellIs" dxfId="7093" priority="4037" operator="equal">
      <formula>"OFF"</formula>
    </cfRule>
    <cfRule type="cellIs" dxfId="7092" priority="4038" operator="equal">
      <formula>"PTO"</formula>
    </cfRule>
  </conditionalFormatting>
  <conditionalFormatting sqref="J29:W29">
    <cfRule type="cellIs" dxfId="7091" priority="4035" operator="equal">
      <formula>"OFF"</formula>
    </cfRule>
    <cfRule type="cellIs" dxfId="7090" priority="4036" operator="equal">
      <formula>"PTO"</formula>
    </cfRule>
  </conditionalFormatting>
  <conditionalFormatting sqref="J29:W29">
    <cfRule type="cellIs" dxfId="7089" priority="4033" operator="equal">
      <formula>"OFF"</formula>
    </cfRule>
    <cfRule type="cellIs" dxfId="7088" priority="4034" operator="equal">
      <formula>"PTO"</formula>
    </cfRule>
  </conditionalFormatting>
  <conditionalFormatting sqref="J29:W29">
    <cfRule type="cellIs" dxfId="7087" priority="4031" operator="equal">
      <formula>"OFF"</formula>
    </cfRule>
    <cfRule type="cellIs" dxfId="7086" priority="4032" operator="equal">
      <formula>"PTO"</formula>
    </cfRule>
  </conditionalFormatting>
  <conditionalFormatting sqref="J29:W29">
    <cfRule type="cellIs" dxfId="7085" priority="4029" operator="equal">
      <formula>"OFF"</formula>
    </cfRule>
    <cfRule type="cellIs" dxfId="7084" priority="4030" operator="equal">
      <formula>"PTO"</formula>
    </cfRule>
  </conditionalFormatting>
  <conditionalFormatting sqref="J29:W29">
    <cfRule type="cellIs" dxfId="7083" priority="4027" operator="equal">
      <formula>"OFF"</formula>
    </cfRule>
    <cfRule type="cellIs" dxfId="7082" priority="4028" operator="equal">
      <formula>"PTO"</formula>
    </cfRule>
  </conditionalFormatting>
  <conditionalFormatting sqref="J29:W29">
    <cfRule type="cellIs" dxfId="7081" priority="4025" operator="equal">
      <formula>"OFF"</formula>
    </cfRule>
    <cfRule type="cellIs" dxfId="7080" priority="4026" operator="equal">
      <formula>"PTO"</formula>
    </cfRule>
  </conditionalFormatting>
  <conditionalFormatting sqref="J29:W29">
    <cfRule type="cellIs" dxfId="7079" priority="4023" operator="equal">
      <formula>"OFF"</formula>
    </cfRule>
    <cfRule type="cellIs" dxfId="7078" priority="4024" operator="equal">
      <formula>"PTO"</formula>
    </cfRule>
  </conditionalFormatting>
  <conditionalFormatting sqref="J29:W29">
    <cfRule type="cellIs" dxfId="7077" priority="4021" operator="equal">
      <formula>"OFF"</formula>
    </cfRule>
    <cfRule type="cellIs" dxfId="7076" priority="4022" operator="equal">
      <formula>"PTO"</formula>
    </cfRule>
  </conditionalFormatting>
  <conditionalFormatting sqref="J29:W29">
    <cfRule type="cellIs" dxfId="7075" priority="4019" operator="equal">
      <formula>"OFF"</formula>
    </cfRule>
    <cfRule type="cellIs" dxfId="7074" priority="4020" operator="equal">
      <formula>"PTO"</formula>
    </cfRule>
  </conditionalFormatting>
  <conditionalFormatting sqref="K29:O29 R29:V29">
    <cfRule type="cellIs" dxfId="7073" priority="4017" operator="equal">
      <formula>"OFF"</formula>
    </cfRule>
    <cfRule type="cellIs" dxfId="7072" priority="4018" operator="equal">
      <formula>"PTO"</formula>
    </cfRule>
  </conditionalFormatting>
  <conditionalFormatting sqref="K29:O29 R29:V29">
    <cfRule type="cellIs" dxfId="7071" priority="4015" operator="equal">
      <formula>"OFF"</formula>
    </cfRule>
    <cfRule type="cellIs" dxfId="7070" priority="4016" operator="equal">
      <formula>"PTO"</formula>
    </cfRule>
  </conditionalFormatting>
  <conditionalFormatting sqref="K29:O29 R29:V29">
    <cfRule type="cellIs" dxfId="7069" priority="4013" operator="equal">
      <formula>"OFF"</formula>
    </cfRule>
    <cfRule type="cellIs" dxfId="7068" priority="4014" operator="equal">
      <formula>"PTO"</formula>
    </cfRule>
  </conditionalFormatting>
  <conditionalFormatting sqref="K29:O29 R29:V29">
    <cfRule type="cellIs" dxfId="7067" priority="4011" operator="equal">
      <formula>"OFF"</formula>
    </cfRule>
    <cfRule type="cellIs" dxfId="7066" priority="4012" operator="equal">
      <formula>"PTO"</formula>
    </cfRule>
  </conditionalFormatting>
  <conditionalFormatting sqref="K29:O29 R29:V29">
    <cfRule type="cellIs" dxfId="7065" priority="4009" operator="equal">
      <formula>"OFF"</formula>
    </cfRule>
    <cfRule type="cellIs" dxfId="7064" priority="4010" operator="equal">
      <formula>"PTO"</formula>
    </cfRule>
  </conditionalFormatting>
  <conditionalFormatting sqref="K29:O29 R29:V29">
    <cfRule type="cellIs" dxfId="7063" priority="4007" operator="equal">
      <formula>"OFF"</formula>
    </cfRule>
    <cfRule type="cellIs" dxfId="7062" priority="4008" operator="equal">
      <formula>"PTO"</formula>
    </cfRule>
  </conditionalFormatting>
  <conditionalFormatting sqref="K29:O29 R29:V29">
    <cfRule type="cellIs" dxfId="7061" priority="4005" operator="equal">
      <formula>"OFF"</formula>
    </cfRule>
    <cfRule type="cellIs" dxfId="7060" priority="4006" operator="equal">
      <formula>"PTO"</formula>
    </cfRule>
  </conditionalFormatting>
  <conditionalFormatting sqref="K29:O29 R29:V29">
    <cfRule type="cellIs" dxfId="7059" priority="4003" operator="equal">
      <formula>"OFF"</formula>
    </cfRule>
    <cfRule type="cellIs" dxfId="7058" priority="4004" operator="equal">
      <formula>"PTO"</formula>
    </cfRule>
  </conditionalFormatting>
  <conditionalFormatting sqref="K29:O29 R29:V29">
    <cfRule type="cellIs" dxfId="7057" priority="4001" operator="equal">
      <formula>"OFF"</formula>
    </cfRule>
    <cfRule type="cellIs" dxfId="7056" priority="4002" operator="equal">
      <formula>"PTO"</formula>
    </cfRule>
  </conditionalFormatting>
  <conditionalFormatting sqref="K29:O29 R29:V29">
    <cfRule type="cellIs" dxfId="7055" priority="3999" operator="equal">
      <formula>"OFF"</formula>
    </cfRule>
    <cfRule type="cellIs" dxfId="7054" priority="4000" operator="equal">
      <formula>"PTO"</formula>
    </cfRule>
  </conditionalFormatting>
  <conditionalFormatting sqref="K29:O29 R29:V29">
    <cfRule type="cellIs" dxfId="7053" priority="3997" operator="equal">
      <formula>"OFF"</formula>
    </cfRule>
    <cfRule type="cellIs" dxfId="7052" priority="3998" operator="equal">
      <formula>"PTO"</formula>
    </cfRule>
  </conditionalFormatting>
  <conditionalFormatting sqref="K29:O29 R29:V29">
    <cfRule type="cellIs" dxfId="7051" priority="3995" operator="equal">
      <formula>"OFF"</formula>
    </cfRule>
    <cfRule type="cellIs" dxfId="7050" priority="3996" operator="equal">
      <formula>"PTO"</formula>
    </cfRule>
  </conditionalFormatting>
  <conditionalFormatting sqref="K29:O29 R29:V29">
    <cfRule type="cellIs" dxfId="7049" priority="3993" operator="equal">
      <formula>"OFF"</formula>
    </cfRule>
    <cfRule type="cellIs" dxfId="7048" priority="3994" operator="equal">
      <formula>"PTO"</formula>
    </cfRule>
  </conditionalFormatting>
  <conditionalFormatting sqref="K29:O29 R29:V29">
    <cfRule type="cellIs" dxfId="7047" priority="3991" operator="equal">
      <formula>"OFF"</formula>
    </cfRule>
    <cfRule type="cellIs" dxfId="7046" priority="3992" operator="equal">
      <formula>"PTO"</formula>
    </cfRule>
  </conditionalFormatting>
  <conditionalFormatting sqref="K29:O29 R29:V29">
    <cfRule type="cellIs" dxfId="7045" priority="3989" operator="equal">
      <formula>"OFF"</formula>
    </cfRule>
    <cfRule type="cellIs" dxfId="7044" priority="3990" operator="equal">
      <formula>"PTO"</formula>
    </cfRule>
  </conditionalFormatting>
  <conditionalFormatting sqref="K29:O29 R29:V29">
    <cfRule type="cellIs" dxfId="7043" priority="3987" operator="equal">
      <formula>"OFF"</formula>
    </cfRule>
    <cfRule type="cellIs" dxfId="7042" priority="3988" operator="equal">
      <formula>"PTO"</formula>
    </cfRule>
  </conditionalFormatting>
  <conditionalFormatting sqref="K29:O29 R29:V29">
    <cfRule type="cellIs" dxfId="7041" priority="3985" operator="equal">
      <formula>"OFF"</formula>
    </cfRule>
    <cfRule type="cellIs" dxfId="7040" priority="3986" operator="equal">
      <formula>"PTO"</formula>
    </cfRule>
  </conditionalFormatting>
  <conditionalFormatting sqref="K29:O29 R29:V29">
    <cfRule type="cellIs" dxfId="7039" priority="3983" operator="equal">
      <formula>"OFF"</formula>
    </cfRule>
    <cfRule type="cellIs" dxfId="7038" priority="3984" operator="equal">
      <formula>"PTO"</formula>
    </cfRule>
  </conditionalFormatting>
  <conditionalFormatting sqref="K29:O29 R29:V29">
    <cfRule type="cellIs" dxfId="7037" priority="3981" operator="equal">
      <formula>"OFF"</formula>
    </cfRule>
    <cfRule type="cellIs" dxfId="7036" priority="3982" operator="equal">
      <formula>"PTO"</formula>
    </cfRule>
  </conditionalFormatting>
  <conditionalFormatting sqref="K29:O29 R29:V29">
    <cfRule type="cellIs" dxfId="7035" priority="3979" operator="equal">
      <formula>"OFF"</formula>
    </cfRule>
    <cfRule type="cellIs" dxfId="7034" priority="3980" operator="equal">
      <formula>"PTO"</formula>
    </cfRule>
  </conditionalFormatting>
  <conditionalFormatting sqref="K29:O29 R29:V29">
    <cfRule type="cellIs" dxfId="7033" priority="3977" operator="equal">
      <formula>"OFF"</formula>
    </cfRule>
    <cfRule type="cellIs" dxfId="7032" priority="3978" operator="equal">
      <formula>"PTO"</formula>
    </cfRule>
  </conditionalFormatting>
  <conditionalFormatting sqref="K29:O29 R29:V29">
    <cfRule type="cellIs" dxfId="7031" priority="3975" operator="equal">
      <formula>"OFF"</formula>
    </cfRule>
    <cfRule type="cellIs" dxfId="7030" priority="3976" operator="equal">
      <formula>"PTO"</formula>
    </cfRule>
  </conditionalFormatting>
  <conditionalFormatting sqref="K29:O29 R29:V29">
    <cfRule type="cellIs" dxfId="7029" priority="3973" operator="equal">
      <formula>"OFF"</formula>
    </cfRule>
    <cfRule type="cellIs" dxfId="7028" priority="3974" operator="equal">
      <formula>"PTO"</formula>
    </cfRule>
  </conditionalFormatting>
  <conditionalFormatting sqref="K29:O29 R29:V29">
    <cfRule type="cellIs" dxfId="7027" priority="3971" operator="equal">
      <formula>"OFF"</formula>
    </cfRule>
    <cfRule type="cellIs" dxfId="7026" priority="3972" operator="equal">
      <formula>"PTO"</formula>
    </cfRule>
  </conditionalFormatting>
  <conditionalFormatting sqref="K29:O29 R29:V29">
    <cfRule type="cellIs" dxfId="7025" priority="3969" operator="equal">
      <formula>"OFF"</formula>
    </cfRule>
    <cfRule type="cellIs" dxfId="7024" priority="3970" operator="equal">
      <formula>"PTO"</formula>
    </cfRule>
  </conditionalFormatting>
  <conditionalFormatting sqref="M29:O29 T29:V29">
    <cfRule type="cellIs" dxfId="7023" priority="3967" operator="equal">
      <formula>"OFF"</formula>
    </cfRule>
    <cfRule type="cellIs" dxfId="7022" priority="3968" operator="equal">
      <formula>"PTO"</formula>
    </cfRule>
  </conditionalFormatting>
  <conditionalFormatting sqref="N29:O29 U29:V29">
    <cfRule type="cellIs" dxfId="7021" priority="3965" operator="equal">
      <formula>"OFF"</formula>
    </cfRule>
    <cfRule type="cellIs" dxfId="7020" priority="3966" operator="equal">
      <formula>"PTO"</formula>
    </cfRule>
  </conditionalFormatting>
  <conditionalFormatting sqref="N29:O29 U29:V29">
    <cfRule type="cellIs" dxfId="7019" priority="3963" operator="equal">
      <formula>"OFF"</formula>
    </cfRule>
    <cfRule type="cellIs" dxfId="7018" priority="3964" operator="equal">
      <formula>"PTO"</formula>
    </cfRule>
  </conditionalFormatting>
  <conditionalFormatting sqref="N29:O29 U29:V29">
    <cfRule type="cellIs" dxfId="7017" priority="3961" operator="equal">
      <formula>"OFF"</formula>
    </cfRule>
    <cfRule type="cellIs" dxfId="7016" priority="3962" operator="equal">
      <formula>"PTO"</formula>
    </cfRule>
  </conditionalFormatting>
  <conditionalFormatting sqref="N29:O29 U29:V29">
    <cfRule type="cellIs" dxfId="7015" priority="3959" operator="equal">
      <formula>"OFF"</formula>
    </cfRule>
    <cfRule type="cellIs" dxfId="7014" priority="3960" operator="equal">
      <formula>"PTO"</formula>
    </cfRule>
  </conditionalFormatting>
  <conditionalFormatting sqref="N29:O29 U29:V29">
    <cfRule type="cellIs" dxfId="7013" priority="3957" operator="equal">
      <formula>"OFF"</formula>
    </cfRule>
    <cfRule type="cellIs" dxfId="7012" priority="3958" operator="equal">
      <formula>"PTO"</formula>
    </cfRule>
  </conditionalFormatting>
  <conditionalFormatting sqref="N29:O29 U29:V29">
    <cfRule type="cellIs" dxfId="7011" priority="3955" operator="equal">
      <formula>"OFF"</formula>
    </cfRule>
    <cfRule type="cellIs" dxfId="7010" priority="3956" operator="equal">
      <formula>"PTO"</formula>
    </cfRule>
  </conditionalFormatting>
  <conditionalFormatting sqref="N29:O29 U29:V29">
    <cfRule type="cellIs" dxfId="7009" priority="3953" operator="equal">
      <formula>"OFF"</formula>
    </cfRule>
    <cfRule type="cellIs" dxfId="7008" priority="3954" operator="equal">
      <formula>"PTO"</formula>
    </cfRule>
  </conditionalFormatting>
  <conditionalFormatting sqref="N29:O29 U29:V29">
    <cfRule type="cellIs" dxfId="7007" priority="3951" operator="equal">
      <formula>"OFF"</formula>
    </cfRule>
    <cfRule type="cellIs" dxfId="7006" priority="3952" operator="equal">
      <formula>"PTO"</formula>
    </cfRule>
  </conditionalFormatting>
  <conditionalFormatting sqref="P29 W29">
    <cfRule type="cellIs" dxfId="7005" priority="3949" operator="equal">
      <formula>"OFF"</formula>
    </cfRule>
    <cfRule type="cellIs" dxfId="7004" priority="3950" operator="equal">
      <formula>"PTO"</formula>
    </cfRule>
  </conditionalFormatting>
  <conditionalFormatting sqref="P29 W29">
    <cfRule type="cellIs" dxfId="7003" priority="3947" operator="equal">
      <formula>"OFF"</formula>
    </cfRule>
    <cfRule type="cellIs" dxfId="7002" priority="3948" operator="equal">
      <formula>"PTO"</formula>
    </cfRule>
  </conditionalFormatting>
  <conditionalFormatting sqref="P29 W29">
    <cfRule type="cellIs" dxfId="7001" priority="3945" operator="equal">
      <formula>"OFF"</formula>
    </cfRule>
    <cfRule type="cellIs" dxfId="7000" priority="3946" operator="equal">
      <formula>"PTO"</formula>
    </cfRule>
  </conditionalFormatting>
  <conditionalFormatting sqref="P29 W29">
    <cfRule type="cellIs" dxfId="6999" priority="3943" operator="equal">
      <formula>"OFF"</formula>
    </cfRule>
    <cfRule type="cellIs" dxfId="6998" priority="3944" operator="equal">
      <formula>"PTO"</formula>
    </cfRule>
  </conditionalFormatting>
  <conditionalFormatting sqref="P29 W29">
    <cfRule type="cellIs" dxfId="6997" priority="3941" operator="equal">
      <formula>"OFF"</formula>
    </cfRule>
    <cfRule type="cellIs" dxfId="6996" priority="3942" operator="equal">
      <formula>"PTO"</formula>
    </cfRule>
  </conditionalFormatting>
  <conditionalFormatting sqref="P29 W29">
    <cfRule type="cellIs" dxfId="6995" priority="3939" operator="equal">
      <formula>"OFF"</formula>
    </cfRule>
    <cfRule type="cellIs" dxfId="6994" priority="3940" operator="equal">
      <formula>"PTO"</formula>
    </cfRule>
  </conditionalFormatting>
  <conditionalFormatting sqref="P29 W29">
    <cfRule type="cellIs" dxfId="6993" priority="3937" operator="equal">
      <formula>"OFF"</formula>
    </cfRule>
    <cfRule type="cellIs" dxfId="6992" priority="3938" operator="equal">
      <formula>"PTO"</formula>
    </cfRule>
  </conditionalFormatting>
  <conditionalFormatting sqref="P29 W29">
    <cfRule type="cellIs" dxfId="6991" priority="3935" operator="equal">
      <formula>"OFF"</formula>
    </cfRule>
    <cfRule type="cellIs" dxfId="6990" priority="3936" operator="equal">
      <formula>"PTO"</formula>
    </cfRule>
  </conditionalFormatting>
  <conditionalFormatting sqref="K29 R29">
    <cfRule type="cellIs" dxfId="6989" priority="3933" operator="equal">
      <formula>"OFF"</formula>
    </cfRule>
    <cfRule type="cellIs" dxfId="6988" priority="3934" operator="equal">
      <formula>"PTO"</formula>
    </cfRule>
  </conditionalFormatting>
  <conditionalFormatting sqref="K29 R29">
    <cfRule type="cellIs" dxfId="6987" priority="3931" operator="equal">
      <formula>"OFF"</formula>
    </cfRule>
    <cfRule type="cellIs" dxfId="6986" priority="3932" operator="equal">
      <formula>"PTO"</formula>
    </cfRule>
  </conditionalFormatting>
  <conditionalFormatting sqref="K29 R29">
    <cfRule type="cellIs" dxfId="6985" priority="3929" operator="equal">
      <formula>"OFF"</formula>
    </cfRule>
    <cfRule type="cellIs" dxfId="6984" priority="3930" operator="equal">
      <formula>"PTO"</formula>
    </cfRule>
  </conditionalFormatting>
  <conditionalFormatting sqref="K29 R29">
    <cfRule type="cellIs" dxfId="6983" priority="3927" operator="equal">
      <formula>"OFF"</formula>
    </cfRule>
    <cfRule type="cellIs" dxfId="6982" priority="3928" operator="equal">
      <formula>"PTO"</formula>
    </cfRule>
  </conditionalFormatting>
  <conditionalFormatting sqref="K29 R29">
    <cfRule type="cellIs" dxfId="6981" priority="3925" operator="equal">
      <formula>"OFF"</formula>
    </cfRule>
    <cfRule type="cellIs" dxfId="6980" priority="3926" operator="equal">
      <formula>"PTO"</formula>
    </cfRule>
  </conditionalFormatting>
  <conditionalFormatting sqref="K29 R29">
    <cfRule type="cellIs" dxfId="6979" priority="3923" operator="equal">
      <formula>"OFF"</formula>
    </cfRule>
    <cfRule type="cellIs" dxfId="6978" priority="3924" operator="equal">
      <formula>"PTO"</formula>
    </cfRule>
  </conditionalFormatting>
  <conditionalFormatting sqref="K29 R29">
    <cfRule type="cellIs" dxfId="6977" priority="3921" operator="equal">
      <formula>"OFF"</formula>
    </cfRule>
    <cfRule type="cellIs" dxfId="6976" priority="3922" operator="equal">
      <formula>"PTO"</formula>
    </cfRule>
  </conditionalFormatting>
  <conditionalFormatting sqref="D34:D42">
    <cfRule type="cellIs" dxfId="6975" priority="3919" operator="equal">
      <formula>"OFF"</formula>
    </cfRule>
    <cfRule type="cellIs" dxfId="6974" priority="3920" operator="equal">
      <formula>"PTO"</formula>
    </cfRule>
  </conditionalFormatting>
  <conditionalFormatting sqref="D34:D42">
    <cfRule type="cellIs" dxfId="6973" priority="3917" operator="equal">
      <formula>"OFF"</formula>
    </cfRule>
    <cfRule type="cellIs" dxfId="6972" priority="3918" operator="equal">
      <formula>"PTO"</formula>
    </cfRule>
  </conditionalFormatting>
  <conditionalFormatting sqref="D34:D42">
    <cfRule type="cellIs" dxfId="6971" priority="3915" operator="equal">
      <formula>"OFF"</formula>
    </cfRule>
    <cfRule type="cellIs" dxfId="6970" priority="3916" operator="equal">
      <formula>"PTO"</formula>
    </cfRule>
  </conditionalFormatting>
  <conditionalFormatting sqref="D34:D42">
    <cfRule type="cellIs" dxfId="6969" priority="3913" operator="equal">
      <formula>"OFF"</formula>
    </cfRule>
    <cfRule type="cellIs" dxfId="6968" priority="3914" operator="equal">
      <formula>"PTO"</formula>
    </cfRule>
  </conditionalFormatting>
  <conditionalFormatting sqref="D34:D42">
    <cfRule type="cellIs" dxfId="6967" priority="3911" operator="equal">
      <formula>"OFF"</formula>
    </cfRule>
    <cfRule type="cellIs" dxfId="6966" priority="3912" operator="equal">
      <formula>"PTO"</formula>
    </cfRule>
  </conditionalFormatting>
  <conditionalFormatting sqref="D34:D42">
    <cfRule type="cellIs" dxfId="6965" priority="3909" operator="equal">
      <formula>"OFF"</formula>
    </cfRule>
    <cfRule type="cellIs" dxfId="6964" priority="3910" operator="equal">
      <formula>"PTO"</formula>
    </cfRule>
  </conditionalFormatting>
  <conditionalFormatting sqref="D34:D42">
    <cfRule type="cellIs" dxfId="6963" priority="3907" operator="equal">
      <formula>"OFF"</formula>
    </cfRule>
    <cfRule type="cellIs" dxfId="6962" priority="3908" operator="equal">
      <formula>"PTO"</formula>
    </cfRule>
  </conditionalFormatting>
  <conditionalFormatting sqref="D34:D42">
    <cfRule type="cellIs" dxfId="6961" priority="3905" operator="equal">
      <formula>"OFF"</formula>
    </cfRule>
    <cfRule type="cellIs" dxfId="6960" priority="3906" operator="equal">
      <formula>"PTO"</formula>
    </cfRule>
  </conditionalFormatting>
  <conditionalFormatting sqref="D34:D42">
    <cfRule type="cellIs" dxfId="6959" priority="3903" operator="equal">
      <formula>"OFF"</formula>
    </cfRule>
    <cfRule type="cellIs" dxfId="6958" priority="3904" operator="equal">
      <formula>"PTO"</formula>
    </cfRule>
  </conditionalFormatting>
  <conditionalFormatting sqref="D34:D42">
    <cfRule type="cellIs" dxfId="6957" priority="3901" operator="equal">
      <formula>"OFF"</formula>
    </cfRule>
    <cfRule type="cellIs" dxfId="6956" priority="3902" operator="equal">
      <formula>"PTO"</formula>
    </cfRule>
  </conditionalFormatting>
  <conditionalFormatting sqref="D34:D42">
    <cfRule type="cellIs" dxfId="6955" priority="3899" operator="equal">
      <formula>"OFF"</formula>
    </cfRule>
    <cfRule type="cellIs" dxfId="6954" priority="3900" operator="equal">
      <formula>"PTO"</formula>
    </cfRule>
  </conditionalFormatting>
  <conditionalFormatting sqref="D34:D42">
    <cfRule type="cellIs" dxfId="6953" priority="3897" operator="equal">
      <formula>"OFF"</formula>
    </cfRule>
    <cfRule type="cellIs" dxfId="6952" priority="3898" operator="equal">
      <formula>"PTO"</formula>
    </cfRule>
  </conditionalFormatting>
  <conditionalFormatting sqref="D34:D42">
    <cfRule type="cellIs" dxfId="6951" priority="3895" operator="equal">
      <formula>"OFF"</formula>
    </cfRule>
    <cfRule type="cellIs" dxfId="6950" priority="3896" operator="equal">
      <formula>"PTO"</formula>
    </cfRule>
  </conditionalFormatting>
  <conditionalFormatting sqref="D34:D42">
    <cfRule type="cellIs" dxfId="6949" priority="3893" operator="equal">
      <formula>"OFF"</formula>
    </cfRule>
    <cfRule type="cellIs" dxfId="6948" priority="3894" operator="equal">
      <formula>"PTO"</formula>
    </cfRule>
  </conditionalFormatting>
  <conditionalFormatting sqref="D34:D42">
    <cfRule type="cellIs" dxfId="6947" priority="3891" operator="equal">
      <formula>"OFF"</formula>
    </cfRule>
    <cfRule type="cellIs" dxfId="6946" priority="3892" operator="equal">
      <formula>"PTO"</formula>
    </cfRule>
  </conditionalFormatting>
  <conditionalFormatting sqref="D34:D42">
    <cfRule type="cellIs" dxfId="6945" priority="3889" operator="equal">
      <formula>"OFF"</formula>
    </cfRule>
    <cfRule type="cellIs" dxfId="6944" priority="3890" operator="equal">
      <formula>"PTO"</formula>
    </cfRule>
  </conditionalFormatting>
  <conditionalFormatting sqref="D34:D42">
    <cfRule type="cellIs" dxfId="6943" priority="3887" operator="equal">
      <formula>"OFF"</formula>
    </cfRule>
    <cfRule type="cellIs" dxfId="6942" priority="3888" operator="equal">
      <formula>"PTO"</formula>
    </cfRule>
  </conditionalFormatting>
  <conditionalFormatting sqref="D34:D42">
    <cfRule type="cellIs" dxfId="6941" priority="3885" operator="equal">
      <formula>"OFF"</formula>
    </cfRule>
    <cfRule type="cellIs" dxfId="6940" priority="3886" operator="equal">
      <formula>"PTO"</formula>
    </cfRule>
  </conditionalFormatting>
  <conditionalFormatting sqref="D34:D42">
    <cfRule type="cellIs" dxfId="6939" priority="3883" operator="equal">
      <formula>"OFF"</formula>
    </cfRule>
    <cfRule type="cellIs" dxfId="6938" priority="3884" operator="equal">
      <formula>"PTO"</formula>
    </cfRule>
  </conditionalFormatting>
  <conditionalFormatting sqref="D34:D42">
    <cfRule type="cellIs" dxfId="6937" priority="3881" operator="equal">
      <formula>"OFF"</formula>
    </cfRule>
    <cfRule type="cellIs" dxfId="6936" priority="3882" operator="equal">
      <formula>"PTO"</formula>
    </cfRule>
  </conditionalFormatting>
  <conditionalFormatting sqref="D34:D42">
    <cfRule type="cellIs" dxfId="6935" priority="3879" operator="equal">
      <formula>"OFF"</formula>
    </cfRule>
    <cfRule type="cellIs" dxfId="6934" priority="3880" operator="equal">
      <formula>"PTO"</formula>
    </cfRule>
  </conditionalFormatting>
  <conditionalFormatting sqref="D34">
    <cfRule type="cellIs" dxfId="6933" priority="3877" operator="equal">
      <formula>"OFF"</formula>
    </cfRule>
    <cfRule type="cellIs" dxfId="6932" priority="3878" operator="equal">
      <formula>"PTO"</formula>
    </cfRule>
  </conditionalFormatting>
  <conditionalFormatting sqref="D34">
    <cfRule type="cellIs" dxfId="6931" priority="3875" operator="equal">
      <formula>"OFF"</formula>
    </cfRule>
    <cfRule type="cellIs" dxfId="6930" priority="3876" operator="equal">
      <formula>"PTO"</formula>
    </cfRule>
  </conditionalFormatting>
  <conditionalFormatting sqref="D34">
    <cfRule type="cellIs" dxfId="6929" priority="3873" operator="equal">
      <formula>"OFF"</formula>
    </cfRule>
    <cfRule type="cellIs" dxfId="6928" priority="3874" operator="equal">
      <formula>"PTO"</formula>
    </cfRule>
  </conditionalFormatting>
  <conditionalFormatting sqref="D34">
    <cfRule type="cellIs" dxfId="6927" priority="3871" operator="equal">
      <formula>"OFF"</formula>
    </cfRule>
    <cfRule type="cellIs" dxfId="6926" priority="3872" operator="equal">
      <formula>"PTO"</formula>
    </cfRule>
  </conditionalFormatting>
  <conditionalFormatting sqref="D34">
    <cfRule type="cellIs" dxfId="6925" priority="3869" operator="equal">
      <formula>"OFF"</formula>
    </cfRule>
    <cfRule type="cellIs" dxfId="6924" priority="3870" operator="equal">
      <formula>"PTO"</formula>
    </cfRule>
  </conditionalFormatting>
  <conditionalFormatting sqref="D34">
    <cfRule type="cellIs" dxfId="6923" priority="3867" operator="equal">
      <formula>"OFF"</formula>
    </cfRule>
    <cfRule type="cellIs" dxfId="6922" priority="3868" operator="equal">
      <formula>"PTO"</formula>
    </cfRule>
  </conditionalFormatting>
  <conditionalFormatting sqref="D34">
    <cfRule type="cellIs" dxfId="6921" priority="3865" operator="equal">
      <formula>"OFF"</formula>
    </cfRule>
    <cfRule type="cellIs" dxfId="6920" priority="3866" operator="equal">
      <formula>"PTO"</formula>
    </cfRule>
  </conditionalFormatting>
  <conditionalFormatting sqref="D34">
    <cfRule type="cellIs" dxfId="6919" priority="3863" operator="equal">
      <formula>"OFF"</formula>
    </cfRule>
    <cfRule type="cellIs" dxfId="6918" priority="3864" operator="equal">
      <formula>"PTO"</formula>
    </cfRule>
  </conditionalFormatting>
  <conditionalFormatting sqref="D34">
    <cfRule type="cellIs" dxfId="6917" priority="3861" operator="equal">
      <formula>"OFF"</formula>
    </cfRule>
    <cfRule type="cellIs" dxfId="6916" priority="3862" operator="equal">
      <formula>"PTO"</formula>
    </cfRule>
  </conditionalFormatting>
  <conditionalFormatting sqref="D34">
    <cfRule type="cellIs" dxfId="6915" priority="3859" operator="equal">
      <formula>"OFF"</formula>
    </cfRule>
    <cfRule type="cellIs" dxfId="6914" priority="3860" operator="equal">
      <formula>"PTO"</formula>
    </cfRule>
  </conditionalFormatting>
  <conditionalFormatting sqref="D34">
    <cfRule type="cellIs" dxfId="6913" priority="3857" operator="equal">
      <formula>"OFF"</formula>
    </cfRule>
    <cfRule type="cellIs" dxfId="6912" priority="3858" operator="equal">
      <formula>"PTO"</formula>
    </cfRule>
  </conditionalFormatting>
  <conditionalFormatting sqref="D34">
    <cfRule type="cellIs" dxfId="6911" priority="3855" operator="equal">
      <formula>"OFF"</formula>
    </cfRule>
    <cfRule type="cellIs" dxfId="6910" priority="3856" operator="equal">
      <formula>"PTO"</formula>
    </cfRule>
  </conditionalFormatting>
  <conditionalFormatting sqref="D34">
    <cfRule type="cellIs" dxfId="6909" priority="3853" operator="equal">
      <formula>"OFF"</formula>
    </cfRule>
    <cfRule type="cellIs" dxfId="6908" priority="3854" operator="equal">
      <formula>"PTO"</formula>
    </cfRule>
  </conditionalFormatting>
  <conditionalFormatting sqref="D34">
    <cfRule type="cellIs" dxfId="6907" priority="3851" operator="equal">
      <formula>"OFF"</formula>
    </cfRule>
    <cfRule type="cellIs" dxfId="6906" priority="3852" operator="equal">
      <formula>"PTO"</formula>
    </cfRule>
  </conditionalFormatting>
  <conditionalFormatting sqref="D34">
    <cfRule type="cellIs" dxfId="6905" priority="3849" operator="equal">
      <formula>"OFF"</formula>
    </cfRule>
    <cfRule type="cellIs" dxfId="6904" priority="3850" operator="equal">
      <formula>"PTO"</formula>
    </cfRule>
  </conditionalFormatting>
  <conditionalFormatting sqref="D34">
    <cfRule type="cellIs" dxfId="6903" priority="3847" operator="equal">
      <formula>"OFF"</formula>
    </cfRule>
    <cfRule type="cellIs" dxfId="6902" priority="3848" operator="equal">
      <formula>"PTO"</formula>
    </cfRule>
  </conditionalFormatting>
  <conditionalFormatting sqref="D34">
    <cfRule type="cellIs" dxfId="6901" priority="3845" operator="equal">
      <formula>"OFF"</formula>
    </cfRule>
    <cfRule type="cellIs" dxfId="6900" priority="3846" operator="equal">
      <formula>"PTO"</formula>
    </cfRule>
  </conditionalFormatting>
  <conditionalFormatting sqref="D34">
    <cfRule type="cellIs" dxfId="6899" priority="3843" operator="equal">
      <formula>"OFF"</formula>
    </cfRule>
    <cfRule type="cellIs" dxfId="6898" priority="3844" operator="equal">
      <formula>"PTO"</formula>
    </cfRule>
  </conditionalFormatting>
  <conditionalFormatting sqref="D34">
    <cfRule type="cellIs" dxfId="6897" priority="3841" operator="equal">
      <formula>"OFF"</formula>
    </cfRule>
    <cfRule type="cellIs" dxfId="6896" priority="3842" operator="equal">
      <formula>"PTO"</formula>
    </cfRule>
  </conditionalFormatting>
  <conditionalFormatting sqref="D34">
    <cfRule type="cellIs" dxfId="6895" priority="3839" operator="equal">
      <formula>"OFF"</formula>
    </cfRule>
    <cfRule type="cellIs" dxfId="6894" priority="3840" operator="equal">
      <formula>"PTO"</formula>
    </cfRule>
  </conditionalFormatting>
  <conditionalFormatting sqref="D34">
    <cfRule type="cellIs" dxfId="6893" priority="3837" operator="equal">
      <formula>"OFF"</formula>
    </cfRule>
    <cfRule type="cellIs" dxfId="6892" priority="3838" operator="equal">
      <formula>"PTO"</formula>
    </cfRule>
  </conditionalFormatting>
  <conditionalFormatting sqref="D34">
    <cfRule type="cellIs" dxfId="6891" priority="3835" operator="equal">
      <formula>"OFF"</formula>
    </cfRule>
    <cfRule type="cellIs" dxfId="6890" priority="3836" operator="equal">
      <formula>"PTO"</formula>
    </cfRule>
  </conditionalFormatting>
  <conditionalFormatting sqref="D34">
    <cfRule type="cellIs" dxfId="6889" priority="3833" operator="equal">
      <formula>"OFF"</formula>
    </cfRule>
    <cfRule type="cellIs" dxfId="6888" priority="3834" operator="equal">
      <formula>"PTO"</formula>
    </cfRule>
  </conditionalFormatting>
  <conditionalFormatting sqref="D34">
    <cfRule type="cellIs" dxfId="6887" priority="3831" operator="equal">
      <formula>"OFF"</formula>
    </cfRule>
    <cfRule type="cellIs" dxfId="6886" priority="3832" operator="equal">
      <formula>"PTO"</formula>
    </cfRule>
  </conditionalFormatting>
  <conditionalFormatting sqref="D34">
    <cfRule type="cellIs" dxfId="6885" priority="3829" operator="equal">
      <formula>"OFF"</formula>
    </cfRule>
    <cfRule type="cellIs" dxfId="6884" priority="3830" operator="equal">
      <formula>"PTO"</formula>
    </cfRule>
  </conditionalFormatting>
  <conditionalFormatting sqref="D34">
    <cfRule type="cellIs" dxfId="6883" priority="3827" operator="equal">
      <formula>"OFF"</formula>
    </cfRule>
    <cfRule type="cellIs" dxfId="6882" priority="3828" operator="equal">
      <formula>"PTO"</formula>
    </cfRule>
  </conditionalFormatting>
  <conditionalFormatting sqref="D34">
    <cfRule type="cellIs" dxfId="6881" priority="3825" operator="equal">
      <formula>"OFF"</formula>
    </cfRule>
    <cfRule type="cellIs" dxfId="6880" priority="3826" operator="equal">
      <formula>"PTO"</formula>
    </cfRule>
  </conditionalFormatting>
  <conditionalFormatting sqref="D34">
    <cfRule type="cellIs" dxfId="6879" priority="3823" operator="equal">
      <formula>"OFF"</formula>
    </cfRule>
    <cfRule type="cellIs" dxfId="6878" priority="3824" operator="equal">
      <formula>"PTO"</formula>
    </cfRule>
  </conditionalFormatting>
  <conditionalFormatting sqref="D34">
    <cfRule type="cellIs" dxfId="6877" priority="3821" operator="equal">
      <formula>"OFF"</formula>
    </cfRule>
    <cfRule type="cellIs" dxfId="6876" priority="3822" operator="equal">
      <formula>"PTO"</formula>
    </cfRule>
  </conditionalFormatting>
  <conditionalFormatting sqref="D34">
    <cfRule type="cellIs" dxfId="6875" priority="3819" operator="equal">
      <formula>"OFF"</formula>
    </cfRule>
    <cfRule type="cellIs" dxfId="6874" priority="3820" operator="equal">
      <formula>"PTO"</formula>
    </cfRule>
  </conditionalFormatting>
  <conditionalFormatting sqref="D34">
    <cfRule type="cellIs" dxfId="6873" priority="3817" operator="equal">
      <formula>"OFF"</formula>
    </cfRule>
    <cfRule type="cellIs" dxfId="6872" priority="3818" operator="equal">
      <formula>"PTO"</formula>
    </cfRule>
  </conditionalFormatting>
  <conditionalFormatting sqref="D34">
    <cfRule type="cellIs" dxfId="6871" priority="3815" operator="equal">
      <formula>"OFF"</formula>
    </cfRule>
    <cfRule type="cellIs" dxfId="6870" priority="3816" operator="equal">
      <formula>"PTO"</formula>
    </cfRule>
  </conditionalFormatting>
  <conditionalFormatting sqref="D34">
    <cfRule type="cellIs" dxfId="6869" priority="3813" operator="equal">
      <formula>"OFF"</formula>
    </cfRule>
    <cfRule type="cellIs" dxfId="6868" priority="3814" operator="equal">
      <formula>"PTO"</formula>
    </cfRule>
  </conditionalFormatting>
  <conditionalFormatting sqref="D34">
    <cfRule type="cellIs" dxfId="6867" priority="3811" operator="equal">
      <formula>"OFF"</formula>
    </cfRule>
    <cfRule type="cellIs" dxfId="6866" priority="3812" operator="equal">
      <formula>"PTO"</formula>
    </cfRule>
  </conditionalFormatting>
  <conditionalFormatting sqref="D34">
    <cfRule type="cellIs" dxfId="6865" priority="3809" operator="equal">
      <formula>"OFF"</formula>
    </cfRule>
    <cfRule type="cellIs" dxfId="6864" priority="3810" operator="equal">
      <formula>"PTO"</formula>
    </cfRule>
  </conditionalFormatting>
  <conditionalFormatting sqref="D34">
    <cfRule type="cellIs" dxfId="6863" priority="3807" operator="equal">
      <formula>"OFF"</formula>
    </cfRule>
    <cfRule type="cellIs" dxfId="6862" priority="3808" operator="equal">
      <formula>"PTO"</formula>
    </cfRule>
  </conditionalFormatting>
  <conditionalFormatting sqref="D34">
    <cfRule type="cellIs" dxfId="6861" priority="3805" operator="equal">
      <formula>"OFF"</formula>
    </cfRule>
    <cfRule type="cellIs" dxfId="6860" priority="3806" operator="equal">
      <formula>"PTO"</formula>
    </cfRule>
  </conditionalFormatting>
  <conditionalFormatting sqref="D34">
    <cfRule type="cellIs" dxfId="6859" priority="3803" operator="equal">
      <formula>"OFF"</formula>
    </cfRule>
    <cfRule type="cellIs" dxfId="6858" priority="3804" operator="equal">
      <formula>"PTO"</formula>
    </cfRule>
  </conditionalFormatting>
  <conditionalFormatting sqref="D34">
    <cfRule type="cellIs" dxfId="6857" priority="3801" operator="equal">
      <formula>"OFF"</formula>
    </cfRule>
    <cfRule type="cellIs" dxfId="6856" priority="3802" operator="equal">
      <formula>"PTO"</formula>
    </cfRule>
  </conditionalFormatting>
  <conditionalFormatting sqref="D34">
    <cfRule type="cellIs" dxfId="6855" priority="3799" operator="equal">
      <formula>"OFF"</formula>
    </cfRule>
    <cfRule type="cellIs" dxfId="6854" priority="3800" operator="equal">
      <formula>"PTO"</formula>
    </cfRule>
  </conditionalFormatting>
  <conditionalFormatting sqref="D34">
    <cfRule type="cellIs" dxfId="6853" priority="3797" operator="equal">
      <formula>"OFF"</formula>
    </cfRule>
    <cfRule type="cellIs" dxfId="6852" priority="3798" operator="equal">
      <formula>"PTO"</formula>
    </cfRule>
  </conditionalFormatting>
  <conditionalFormatting sqref="D34">
    <cfRule type="cellIs" dxfId="6851" priority="3795" operator="equal">
      <formula>"OFF"</formula>
    </cfRule>
    <cfRule type="cellIs" dxfId="6850" priority="3796" operator="equal">
      <formula>"PTO"</formula>
    </cfRule>
  </conditionalFormatting>
  <conditionalFormatting sqref="D34">
    <cfRule type="cellIs" dxfId="6849" priority="3793" operator="equal">
      <formula>"OFF"</formula>
    </cfRule>
    <cfRule type="cellIs" dxfId="6848" priority="3794" operator="equal">
      <formula>"PTO"</formula>
    </cfRule>
  </conditionalFormatting>
  <conditionalFormatting sqref="D34">
    <cfRule type="cellIs" dxfId="6847" priority="3791" operator="equal">
      <formula>"OFF"</formula>
    </cfRule>
    <cfRule type="cellIs" dxfId="6846" priority="3792" operator="equal">
      <formula>"PTO"</formula>
    </cfRule>
  </conditionalFormatting>
  <conditionalFormatting sqref="D33:D42">
    <cfRule type="cellIs" dxfId="6845" priority="3645" operator="equal">
      <formula>"OFF"</formula>
    </cfRule>
    <cfRule type="cellIs" dxfId="6844" priority="3646" operator="equal">
      <formula>"PTO"</formula>
    </cfRule>
  </conditionalFormatting>
  <conditionalFormatting sqref="D33:D42">
    <cfRule type="cellIs" dxfId="6843" priority="3643" operator="equal">
      <formula>"OFF"</formula>
    </cfRule>
    <cfRule type="cellIs" dxfId="6842" priority="3644" operator="equal">
      <formula>"PTO"</formula>
    </cfRule>
  </conditionalFormatting>
  <conditionalFormatting sqref="D33:D42">
    <cfRule type="cellIs" dxfId="6841" priority="3641" operator="equal">
      <formula>"OFF"</formula>
    </cfRule>
    <cfRule type="cellIs" dxfId="6840" priority="3642" operator="equal">
      <formula>"PTO"</formula>
    </cfRule>
  </conditionalFormatting>
  <conditionalFormatting sqref="D33:D42">
    <cfRule type="cellIs" dxfId="6839" priority="3639" operator="equal">
      <formula>"OFF"</formula>
    </cfRule>
    <cfRule type="cellIs" dxfId="6838" priority="3640" operator="equal">
      <formula>"PTO"</formula>
    </cfRule>
  </conditionalFormatting>
  <conditionalFormatting sqref="D33:D42">
    <cfRule type="cellIs" dxfId="6837" priority="3789" operator="equal">
      <formula>"OFF"</formula>
    </cfRule>
    <cfRule type="cellIs" dxfId="6836" priority="3790" operator="equal">
      <formula>"PTO"</formula>
    </cfRule>
  </conditionalFormatting>
  <conditionalFormatting sqref="D33:D42">
    <cfRule type="cellIs" dxfId="6835" priority="3783" operator="equal">
      <formula>"OFF"</formula>
    </cfRule>
    <cfRule type="cellIs" dxfId="6834" priority="3784" operator="equal">
      <formula>"PTO"</formula>
    </cfRule>
  </conditionalFormatting>
  <conditionalFormatting sqref="D33:D42">
    <cfRule type="cellIs" dxfId="6833" priority="3767" operator="equal">
      <formula>"OFF"</formula>
    </cfRule>
    <cfRule type="cellIs" dxfId="6832" priority="3768" operator="equal">
      <formula>"PTO"</formula>
    </cfRule>
  </conditionalFormatting>
  <conditionalFormatting sqref="D33:D42">
    <cfRule type="cellIs" dxfId="6831" priority="3735" operator="equal">
      <formula>"OFF"</formula>
    </cfRule>
    <cfRule type="cellIs" dxfId="6830" priority="3736" operator="equal">
      <formula>"PTO"</formula>
    </cfRule>
  </conditionalFormatting>
  <conditionalFormatting sqref="D33:D42">
    <cfRule type="cellIs" dxfId="6829" priority="3733" operator="equal">
      <formula>"OFF"</formula>
    </cfRule>
    <cfRule type="cellIs" dxfId="6828" priority="3734" operator="equal">
      <formula>"PTO"</formula>
    </cfRule>
  </conditionalFormatting>
  <conditionalFormatting sqref="D33:D42">
    <cfRule type="cellIs" dxfId="6827" priority="3787" operator="equal">
      <formula>"OFF"</formula>
    </cfRule>
    <cfRule type="cellIs" dxfId="6826" priority="3788" operator="equal">
      <formula>"PTO"</formula>
    </cfRule>
  </conditionalFormatting>
  <conditionalFormatting sqref="D33:D42">
    <cfRule type="cellIs" dxfId="6825" priority="3785" operator="equal">
      <formula>"OFF"</formula>
    </cfRule>
    <cfRule type="cellIs" dxfId="6824" priority="3786" operator="equal">
      <formula>"PTO"</formula>
    </cfRule>
  </conditionalFormatting>
  <conditionalFormatting sqref="D33:D42">
    <cfRule type="cellIs" dxfId="6823" priority="3781" operator="equal">
      <formula>"OFF"</formula>
    </cfRule>
    <cfRule type="cellIs" dxfId="6822" priority="3782" operator="equal">
      <formula>"PTO"</formula>
    </cfRule>
  </conditionalFormatting>
  <conditionalFormatting sqref="D33:D42">
    <cfRule type="cellIs" dxfId="6821" priority="3779" operator="equal">
      <formula>"OFF"</formula>
    </cfRule>
    <cfRule type="cellIs" dxfId="6820" priority="3780" operator="equal">
      <formula>"PTO"</formula>
    </cfRule>
  </conditionalFormatting>
  <conditionalFormatting sqref="D33:D42">
    <cfRule type="cellIs" dxfId="6819" priority="3777" operator="equal">
      <formula>"OFF"</formula>
    </cfRule>
    <cfRule type="cellIs" dxfId="6818" priority="3778" operator="equal">
      <formula>"PTO"</formula>
    </cfRule>
  </conditionalFormatting>
  <conditionalFormatting sqref="D33:D42">
    <cfRule type="cellIs" dxfId="6817" priority="3775" operator="equal">
      <formula>"OFF"</formula>
    </cfRule>
    <cfRule type="cellIs" dxfId="6816" priority="3776" operator="equal">
      <formula>"PTO"</formula>
    </cfRule>
  </conditionalFormatting>
  <conditionalFormatting sqref="D33:D42">
    <cfRule type="cellIs" dxfId="6815" priority="3773" operator="equal">
      <formula>"OFF"</formula>
    </cfRule>
    <cfRule type="cellIs" dxfId="6814" priority="3774" operator="equal">
      <formula>"PTO"</formula>
    </cfRule>
  </conditionalFormatting>
  <conditionalFormatting sqref="D33:D42">
    <cfRule type="cellIs" dxfId="6813" priority="3771" operator="equal">
      <formula>"OFF"</formula>
    </cfRule>
    <cfRule type="cellIs" dxfId="6812" priority="3772" operator="equal">
      <formula>"PTO"</formula>
    </cfRule>
  </conditionalFormatting>
  <conditionalFormatting sqref="D33:D42">
    <cfRule type="cellIs" dxfId="6811" priority="3769" operator="equal">
      <formula>"OFF"</formula>
    </cfRule>
    <cfRule type="cellIs" dxfId="6810" priority="3770" operator="equal">
      <formula>"PTO"</formula>
    </cfRule>
  </conditionalFormatting>
  <conditionalFormatting sqref="D33:D42">
    <cfRule type="cellIs" dxfId="6809" priority="3765" operator="equal">
      <formula>"OFF"</formula>
    </cfRule>
    <cfRule type="cellIs" dxfId="6808" priority="3766" operator="equal">
      <formula>"PTO"</formula>
    </cfRule>
  </conditionalFormatting>
  <conditionalFormatting sqref="D33:D42">
    <cfRule type="cellIs" dxfId="6807" priority="3763" operator="equal">
      <formula>"OFF"</formula>
    </cfRule>
    <cfRule type="cellIs" dxfId="6806" priority="3764" operator="equal">
      <formula>"PTO"</formula>
    </cfRule>
  </conditionalFormatting>
  <conditionalFormatting sqref="D33:D42">
    <cfRule type="cellIs" dxfId="6805" priority="3761" operator="equal">
      <formula>"OFF"</formula>
    </cfRule>
    <cfRule type="cellIs" dxfId="6804" priority="3762" operator="equal">
      <formula>"PTO"</formula>
    </cfRule>
  </conditionalFormatting>
  <conditionalFormatting sqref="D33:D42">
    <cfRule type="cellIs" dxfId="6803" priority="3759" operator="equal">
      <formula>"OFF"</formula>
    </cfRule>
    <cfRule type="cellIs" dxfId="6802" priority="3760" operator="equal">
      <formula>"PTO"</formula>
    </cfRule>
  </conditionalFormatting>
  <conditionalFormatting sqref="D33:D42">
    <cfRule type="cellIs" dxfId="6801" priority="3757" operator="equal">
      <formula>"OFF"</formula>
    </cfRule>
    <cfRule type="cellIs" dxfId="6800" priority="3758" operator="equal">
      <formula>"PTO"</formula>
    </cfRule>
  </conditionalFormatting>
  <conditionalFormatting sqref="D33:D42">
    <cfRule type="cellIs" dxfId="6799" priority="3755" operator="equal">
      <formula>"OFF"</formula>
    </cfRule>
    <cfRule type="cellIs" dxfId="6798" priority="3756" operator="equal">
      <formula>"PTO"</formula>
    </cfRule>
  </conditionalFormatting>
  <conditionalFormatting sqref="D33:D42">
    <cfRule type="cellIs" dxfId="6797" priority="3753" operator="equal">
      <formula>"OFF"</formula>
    </cfRule>
    <cfRule type="cellIs" dxfId="6796" priority="3754" operator="equal">
      <formula>"PTO"</formula>
    </cfRule>
  </conditionalFormatting>
  <conditionalFormatting sqref="D33:D42">
    <cfRule type="cellIs" dxfId="6795" priority="3751" operator="equal">
      <formula>"OFF"</formula>
    </cfRule>
    <cfRule type="cellIs" dxfId="6794" priority="3752" operator="equal">
      <formula>"PTO"</formula>
    </cfRule>
  </conditionalFormatting>
  <conditionalFormatting sqref="D33:D42">
    <cfRule type="cellIs" dxfId="6793" priority="3749" operator="equal">
      <formula>"OFF"</formula>
    </cfRule>
    <cfRule type="cellIs" dxfId="6792" priority="3750" operator="equal">
      <formula>"PTO"</formula>
    </cfRule>
  </conditionalFormatting>
  <conditionalFormatting sqref="D33:D42">
    <cfRule type="cellIs" dxfId="6791" priority="3747" operator="equal">
      <formula>"OFF"</formula>
    </cfRule>
    <cfRule type="cellIs" dxfId="6790" priority="3748" operator="equal">
      <formula>"PTO"</formula>
    </cfRule>
  </conditionalFormatting>
  <conditionalFormatting sqref="D33:D42">
    <cfRule type="cellIs" dxfId="6789" priority="3745" operator="equal">
      <formula>"OFF"</formula>
    </cfRule>
    <cfRule type="cellIs" dxfId="6788" priority="3746" operator="equal">
      <formula>"PTO"</formula>
    </cfRule>
  </conditionalFormatting>
  <conditionalFormatting sqref="D33:D42">
    <cfRule type="cellIs" dxfId="6787" priority="3743" operator="equal">
      <formula>"OFF"</formula>
    </cfRule>
    <cfRule type="cellIs" dxfId="6786" priority="3744" operator="equal">
      <formula>"PTO"</formula>
    </cfRule>
  </conditionalFormatting>
  <conditionalFormatting sqref="D33:D42">
    <cfRule type="cellIs" dxfId="6785" priority="3741" operator="equal">
      <formula>"OFF"</formula>
    </cfRule>
    <cfRule type="cellIs" dxfId="6784" priority="3742" operator="equal">
      <formula>"PTO"</formula>
    </cfRule>
  </conditionalFormatting>
  <conditionalFormatting sqref="D33:D42">
    <cfRule type="cellIs" dxfId="6783" priority="3739" operator="equal">
      <formula>"OFF"</formula>
    </cfRule>
    <cfRule type="cellIs" dxfId="6782" priority="3740" operator="equal">
      <formula>"PTO"</formula>
    </cfRule>
  </conditionalFormatting>
  <conditionalFormatting sqref="D33:D42">
    <cfRule type="cellIs" dxfId="6781" priority="3737" operator="equal">
      <formula>"OFF"</formula>
    </cfRule>
    <cfRule type="cellIs" dxfId="6780" priority="3738" operator="equal">
      <formula>"PTO"</formula>
    </cfRule>
  </conditionalFormatting>
  <conditionalFormatting sqref="D33:D42">
    <cfRule type="cellIs" dxfId="6779" priority="3731" operator="equal">
      <formula>"OFF"</formula>
    </cfRule>
    <cfRule type="cellIs" dxfId="6778" priority="3732" operator="equal">
      <formula>"PTO"</formula>
    </cfRule>
  </conditionalFormatting>
  <conditionalFormatting sqref="D33:D42">
    <cfRule type="cellIs" dxfId="6777" priority="3729" operator="equal">
      <formula>"OFF"</formula>
    </cfRule>
    <cfRule type="cellIs" dxfId="6776" priority="3730" operator="equal">
      <formula>"PTO"</formula>
    </cfRule>
  </conditionalFormatting>
  <conditionalFormatting sqref="D33:D42">
    <cfRule type="cellIs" dxfId="6775" priority="3727" operator="equal">
      <formula>"OFF"</formula>
    </cfRule>
    <cfRule type="cellIs" dxfId="6774" priority="3728" operator="equal">
      <formula>"PTO"</formula>
    </cfRule>
  </conditionalFormatting>
  <conditionalFormatting sqref="D33:D42">
    <cfRule type="cellIs" dxfId="6773" priority="3725" operator="equal">
      <formula>"OFF"</formula>
    </cfRule>
    <cfRule type="cellIs" dxfId="6772" priority="3726" operator="equal">
      <formula>"PTO"</formula>
    </cfRule>
  </conditionalFormatting>
  <conditionalFormatting sqref="D33:D42">
    <cfRule type="cellIs" dxfId="6771" priority="3723" operator="equal">
      <formula>"OFF"</formula>
    </cfRule>
    <cfRule type="cellIs" dxfId="6770" priority="3724" operator="equal">
      <formula>"PTO"</formula>
    </cfRule>
  </conditionalFormatting>
  <conditionalFormatting sqref="D33:D42">
    <cfRule type="cellIs" dxfId="6769" priority="3721" operator="equal">
      <formula>"OFF"</formula>
    </cfRule>
    <cfRule type="cellIs" dxfId="6768" priority="3722" operator="equal">
      <formula>"PTO"</formula>
    </cfRule>
  </conditionalFormatting>
  <conditionalFormatting sqref="D33:D42">
    <cfRule type="cellIs" dxfId="6767" priority="3719" operator="equal">
      <formula>"OFF"</formula>
    </cfRule>
    <cfRule type="cellIs" dxfId="6766" priority="3720" operator="equal">
      <formula>"PTO"</formula>
    </cfRule>
  </conditionalFormatting>
  <conditionalFormatting sqref="D33:D42">
    <cfRule type="cellIs" dxfId="6765" priority="3717" operator="equal">
      <formula>"OFF"</formula>
    </cfRule>
    <cfRule type="cellIs" dxfId="6764" priority="3718" operator="equal">
      <formula>"PTO"</formula>
    </cfRule>
  </conditionalFormatting>
  <conditionalFormatting sqref="D33:D42">
    <cfRule type="cellIs" dxfId="6763" priority="3715" operator="equal">
      <formula>"OFF"</formula>
    </cfRule>
    <cfRule type="cellIs" dxfId="6762" priority="3716" operator="equal">
      <formula>"PTO"</formula>
    </cfRule>
  </conditionalFormatting>
  <conditionalFormatting sqref="D33:D42">
    <cfRule type="cellIs" dxfId="6761" priority="3713" operator="equal">
      <formula>"OFF"</formula>
    </cfRule>
    <cfRule type="cellIs" dxfId="6760" priority="3714" operator="equal">
      <formula>"PTO"</formula>
    </cfRule>
  </conditionalFormatting>
  <conditionalFormatting sqref="D33:D42">
    <cfRule type="cellIs" dxfId="6759" priority="3711" operator="equal">
      <formula>"OFF"</formula>
    </cfRule>
    <cfRule type="cellIs" dxfId="6758" priority="3712" operator="equal">
      <formula>"PTO"</formula>
    </cfRule>
  </conditionalFormatting>
  <conditionalFormatting sqref="D33:D42">
    <cfRule type="cellIs" dxfId="6757" priority="3709" operator="equal">
      <formula>"OFF"</formula>
    </cfRule>
    <cfRule type="cellIs" dxfId="6756" priority="3710" operator="equal">
      <formula>"PTO"</formula>
    </cfRule>
  </conditionalFormatting>
  <conditionalFormatting sqref="D33:D42">
    <cfRule type="cellIs" dxfId="6755" priority="3707" operator="equal">
      <formula>"OFF"</formula>
    </cfRule>
    <cfRule type="cellIs" dxfId="6754" priority="3708" operator="equal">
      <formula>"PTO"</formula>
    </cfRule>
  </conditionalFormatting>
  <conditionalFormatting sqref="D33:D42">
    <cfRule type="cellIs" dxfId="6753" priority="3705" operator="equal">
      <formula>"OFF"</formula>
    </cfRule>
    <cfRule type="cellIs" dxfId="6752" priority="3706" operator="equal">
      <formula>"PTO"</formula>
    </cfRule>
  </conditionalFormatting>
  <conditionalFormatting sqref="D33:D42">
    <cfRule type="cellIs" dxfId="6751" priority="3703" operator="equal">
      <formula>"OFF"</formula>
    </cfRule>
    <cfRule type="cellIs" dxfId="6750" priority="3704" operator="equal">
      <formula>"PTO"</formula>
    </cfRule>
  </conditionalFormatting>
  <conditionalFormatting sqref="D33:D42">
    <cfRule type="cellIs" dxfId="6749" priority="3701" operator="equal">
      <formula>"OFF"</formula>
    </cfRule>
    <cfRule type="cellIs" dxfId="6748" priority="3702" operator="equal">
      <formula>"PTO"</formula>
    </cfRule>
  </conditionalFormatting>
  <conditionalFormatting sqref="D33:D42">
    <cfRule type="cellIs" dxfId="6747" priority="3699" operator="equal">
      <formula>"OFF"</formula>
    </cfRule>
    <cfRule type="cellIs" dxfId="6746" priority="3700" operator="equal">
      <formula>"PTO"</formula>
    </cfRule>
  </conditionalFormatting>
  <conditionalFormatting sqref="D33:D42">
    <cfRule type="cellIs" dxfId="6745" priority="3697" operator="equal">
      <formula>"OFF"</formula>
    </cfRule>
    <cfRule type="cellIs" dxfId="6744" priority="3698" operator="equal">
      <formula>"PTO"</formula>
    </cfRule>
  </conditionalFormatting>
  <conditionalFormatting sqref="D33:D42">
    <cfRule type="cellIs" dxfId="6743" priority="3695" operator="equal">
      <formula>"OFF"</formula>
    </cfRule>
    <cfRule type="cellIs" dxfId="6742" priority="3696" operator="equal">
      <formula>"PTO"</formula>
    </cfRule>
  </conditionalFormatting>
  <conditionalFormatting sqref="D33:D42">
    <cfRule type="cellIs" dxfId="6741" priority="3693" operator="equal">
      <formula>"OFF"</formula>
    </cfRule>
    <cfRule type="cellIs" dxfId="6740" priority="3694" operator="equal">
      <formula>"PTO"</formula>
    </cfRule>
  </conditionalFormatting>
  <conditionalFormatting sqref="D33:D42">
    <cfRule type="cellIs" dxfId="6739" priority="3691" operator="equal">
      <formula>"OFF"</formula>
    </cfRule>
    <cfRule type="cellIs" dxfId="6738" priority="3692" operator="equal">
      <formula>"PTO"</formula>
    </cfRule>
  </conditionalFormatting>
  <conditionalFormatting sqref="D33:D42">
    <cfRule type="cellIs" dxfId="6737" priority="3689" operator="equal">
      <formula>"OFF"</formula>
    </cfRule>
    <cfRule type="cellIs" dxfId="6736" priority="3690" operator="equal">
      <formula>"PTO"</formula>
    </cfRule>
  </conditionalFormatting>
  <conditionalFormatting sqref="D33:D42">
    <cfRule type="cellIs" dxfId="6735" priority="3687" operator="equal">
      <formula>"OFF"</formula>
    </cfRule>
    <cfRule type="cellIs" dxfId="6734" priority="3688" operator="equal">
      <formula>"PTO"</formula>
    </cfRule>
  </conditionalFormatting>
  <conditionalFormatting sqref="D33:D42">
    <cfRule type="cellIs" dxfId="6733" priority="3685" operator="equal">
      <formula>"OFF"</formula>
    </cfRule>
    <cfRule type="cellIs" dxfId="6732" priority="3686" operator="equal">
      <formula>"PTO"</formula>
    </cfRule>
  </conditionalFormatting>
  <conditionalFormatting sqref="D33:D42">
    <cfRule type="cellIs" dxfId="6731" priority="3683" operator="equal">
      <formula>"OFF"</formula>
    </cfRule>
    <cfRule type="cellIs" dxfId="6730" priority="3684" operator="equal">
      <formula>"PTO"</formula>
    </cfRule>
  </conditionalFormatting>
  <conditionalFormatting sqref="D33:D42">
    <cfRule type="cellIs" dxfId="6729" priority="3681" operator="equal">
      <formula>"OFF"</formula>
    </cfRule>
    <cfRule type="cellIs" dxfId="6728" priority="3682" operator="equal">
      <formula>"PTO"</formula>
    </cfRule>
  </conditionalFormatting>
  <conditionalFormatting sqref="D33:D42">
    <cfRule type="cellIs" dxfId="6727" priority="3679" operator="equal">
      <formula>"OFF"</formula>
    </cfRule>
    <cfRule type="cellIs" dxfId="6726" priority="3680" operator="equal">
      <formula>"PTO"</formula>
    </cfRule>
  </conditionalFormatting>
  <conditionalFormatting sqref="D33:D42">
    <cfRule type="cellIs" dxfId="6725" priority="3677" operator="equal">
      <formula>"OFF"</formula>
    </cfRule>
    <cfRule type="cellIs" dxfId="6724" priority="3678" operator="equal">
      <formula>"PTO"</formula>
    </cfRule>
  </conditionalFormatting>
  <conditionalFormatting sqref="D33:D42">
    <cfRule type="cellIs" dxfId="6723" priority="3675" operator="equal">
      <formula>"OFF"</formula>
    </cfRule>
    <cfRule type="cellIs" dxfId="6722" priority="3676" operator="equal">
      <formula>"PTO"</formula>
    </cfRule>
  </conditionalFormatting>
  <conditionalFormatting sqref="D33:D42">
    <cfRule type="cellIs" dxfId="6721" priority="3673" operator="equal">
      <formula>"OFF"</formula>
    </cfRule>
    <cfRule type="cellIs" dxfId="6720" priority="3674" operator="equal">
      <formula>"PTO"</formula>
    </cfRule>
  </conditionalFormatting>
  <conditionalFormatting sqref="D33:D42">
    <cfRule type="cellIs" dxfId="6719" priority="3671" operator="equal">
      <formula>"OFF"</formula>
    </cfRule>
    <cfRule type="cellIs" dxfId="6718" priority="3672" operator="equal">
      <formula>"PTO"</formula>
    </cfRule>
  </conditionalFormatting>
  <conditionalFormatting sqref="D33:D42">
    <cfRule type="cellIs" dxfId="6717" priority="3669" operator="equal">
      <formula>"OFF"</formula>
    </cfRule>
    <cfRule type="cellIs" dxfId="6716" priority="3670" operator="equal">
      <formula>"PTO"</formula>
    </cfRule>
  </conditionalFormatting>
  <conditionalFormatting sqref="D33:D42">
    <cfRule type="cellIs" dxfId="6715" priority="3667" operator="equal">
      <formula>"OFF"</formula>
    </cfRule>
    <cfRule type="cellIs" dxfId="6714" priority="3668" operator="equal">
      <formula>"PTO"</formula>
    </cfRule>
  </conditionalFormatting>
  <conditionalFormatting sqref="D33:D42">
    <cfRule type="cellIs" dxfId="6713" priority="3665" operator="equal">
      <formula>"OFF"</formula>
    </cfRule>
    <cfRule type="cellIs" dxfId="6712" priority="3666" operator="equal">
      <formula>"PTO"</formula>
    </cfRule>
  </conditionalFormatting>
  <conditionalFormatting sqref="D33:D42">
    <cfRule type="cellIs" dxfId="6711" priority="3663" operator="equal">
      <formula>"OFF"</formula>
    </cfRule>
    <cfRule type="cellIs" dxfId="6710" priority="3664" operator="equal">
      <formula>"PTO"</formula>
    </cfRule>
  </conditionalFormatting>
  <conditionalFormatting sqref="D33:D42">
    <cfRule type="cellIs" dxfId="6709" priority="3661" operator="equal">
      <formula>"OFF"</formula>
    </cfRule>
    <cfRule type="cellIs" dxfId="6708" priority="3662" operator="equal">
      <formula>"PTO"</formula>
    </cfRule>
  </conditionalFormatting>
  <conditionalFormatting sqref="D33:D42">
    <cfRule type="cellIs" dxfId="6707" priority="3659" operator="equal">
      <formula>"OFF"</formula>
    </cfRule>
    <cfRule type="cellIs" dxfId="6706" priority="3660" operator="equal">
      <formula>"PTO"</formula>
    </cfRule>
  </conditionalFormatting>
  <conditionalFormatting sqref="D33:D42">
    <cfRule type="cellIs" dxfId="6705" priority="3657" operator="equal">
      <formula>"OFF"</formula>
    </cfRule>
    <cfRule type="cellIs" dxfId="6704" priority="3658" operator="equal">
      <formula>"PTO"</formula>
    </cfRule>
  </conditionalFormatting>
  <conditionalFormatting sqref="D33:D42">
    <cfRule type="cellIs" dxfId="6703" priority="3655" operator="equal">
      <formula>"OFF"</formula>
    </cfRule>
    <cfRule type="cellIs" dxfId="6702" priority="3656" operator="equal">
      <formula>"PTO"</formula>
    </cfRule>
  </conditionalFormatting>
  <conditionalFormatting sqref="D33:D42">
    <cfRule type="cellIs" dxfId="6701" priority="3653" operator="equal">
      <formula>"OFF"</formula>
    </cfRule>
    <cfRule type="cellIs" dxfId="6700" priority="3654" operator="equal">
      <formula>"PTO"</formula>
    </cfRule>
  </conditionalFormatting>
  <conditionalFormatting sqref="D33:D42">
    <cfRule type="cellIs" dxfId="6699" priority="3651" operator="equal">
      <formula>"OFF"</formula>
    </cfRule>
    <cfRule type="cellIs" dxfId="6698" priority="3652" operator="equal">
      <formula>"PTO"</formula>
    </cfRule>
  </conditionalFormatting>
  <conditionalFormatting sqref="D33:D42">
    <cfRule type="cellIs" dxfId="6697" priority="3649" operator="equal">
      <formula>"OFF"</formula>
    </cfRule>
    <cfRule type="cellIs" dxfId="6696" priority="3650" operator="equal">
      <formula>"PTO"</formula>
    </cfRule>
  </conditionalFormatting>
  <conditionalFormatting sqref="D33:D42">
    <cfRule type="cellIs" dxfId="6695" priority="3647" operator="equal">
      <formula>"OFF"</formula>
    </cfRule>
    <cfRule type="cellIs" dxfId="6694" priority="3648" operator="equal">
      <formula>"PTO"</formula>
    </cfRule>
  </conditionalFormatting>
  <conditionalFormatting sqref="D33:D42">
    <cfRule type="cellIs" dxfId="6693" priority="3637" operator="equal">
      <formula>"OFF"</formula>
    </cfRule>
    <cfRule type="cellIs" dxfId="6692" priority="3638" operator="equal">
      <formula>"PTO"</formula>
    </cfRule>
  </conditionalFormatting>
  <conditionalFormatting sqref="D33:D42">
    <cfRule type="cellIs" dxfId="6691" priority="3635" operator="equal">
      <formula>"OFF"</formula>
    </cfRule>
    <cfRule type="cellIs" dxfId="6690" priority="3636" operator="equal">
      <formula>"PTO"</formula>
    </cfRule>
  </conditionalFormatting>
  <conditionalFormatting sqref="D33:D42">
    <cfRule type="cellIs" dxfId="6689" priority="3633" operator="equal">
      <formula>"OFF"</formula>
    </cfRule>
    <cfRule type="cellIs" dxfId="6688" priority="3634" operator="equal">
      <formula>"PTO"</formula>
    </cfRule>
  </conditionalFormatting>
  <conditionalFormatting sqref="D33:D42">
    <cfRule type="cellIs" dxfId="6687" priority="3631" operator="equal">
      <formula>"OFF"</formula>
    </cfRule>
    <cfRule type="cellIs" dxfId="6686" priority="3632" operator="equal">
      <formula>"PTO"</formula>
    </cfRule>
  </conditionalFormatting>
  <conditionalFormatting sqref="D33:D42">
    <cfRule type="cellIs" dxfId="6685" priority="3629" operator="equal">
      <formula>"OFF"</formula>
    </cfRule>
    <cfRule type="cellIs" dxfId="6684" priority="3630" operator="equal">
      <formula>"PTO"</formula>
    </cfRule>
  </conditionalFormatting>
  <conditionalFormatting sqref="D33:D42">
    <cfRule type="cellIs" dxfId="6683" priority="3627" operator="equal">
      <formula>"OFF"</formula>
    </cfRule>
    <cfRule type="cellIs" dxfId="6682" priority="3628" operator="equal">
      <formula>"PTO"</formula>
    </cfRule>
  </conditionalFormatting>
  <conditionalFormatting sqref="D33:D42">
    <cfRule type="cellIs" dxfId="6681" priority="3625" operator="equal">
      <formula>"OFF"</formula>
    </cfRule>
    <cfRule type="cellIs" dxfId="6680" priority="3626" operator="equal">
      <formula>"PTO"</formula>
    </cfRule>
  </conditionalFormatting>
  <conditionalFormatting sqref="D33:D42">
    <cfRule type="cellIs" dxfId="6679" priority="3623" operator="equal">
      <formula>"OFF"</formula>
    </cfRule>
    <cfRule type="cellIs" dxfId="6678" priority="3624" operator="equal">
      <formula>"PTO"</formula>
    </cfRule>
  </conditionalFormatting>
  <conditionalFormatting sqref="D33:D42">
    <cfRule type="cellIs" dxfId="6677" priority="3621" operator="equal">
      <formula>"OFF"</formula>
    </cfRule>
    <cfRule type="cellIs" dxfId="6676" priority="3622" operator="equal">
      <formula>"PTO"</formula>
    </cfRule>
  </conditionalFormatting>
  <conditionalFormatting sqref="B4:B5 B7:B13">
    <cfRule type="duplicateValues" dxfId="6675" priority="3620"/>
  </conditionalFormatting>
  <conditionalFormatting sqref="B6">
    <cfRule type="duplicateValues" dxfId="6674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0000"/>
  </sheetPr>
  <dimension ref="A1:CS55"/>
  <sheetViews>
    <sheetView topLeftCell="AW1" zoomScale="70" zoomScaleNormal="70" workbookViewId="0">
      <selection activeCell="BS20" sqref="BS20"/>
    </sheetView>
  </sheetViews>
  <sheetFormatPr defaultColWidth="9.28515625" defaultRowHeight="15" outlineLevelCol="1" x14ac:dyDescent="0.25"/>
  <cols>
    <col min="1" max="1" width="33.5703125" hidden="1" customWidth="1" outlineLevel="1"/>
    <col min="2" max="11" width="9.140625" hidden="1" customWidth="1" outlineLevel="1"/>
    <col min="12" max="12" width="11.28515625" hidden="1" customWidth="1" outlineLevel="1"/>
    <col min="13" max="14" width="9.140625" hidden="1" customWidth="1" outlineLevel="1"/>
    <col min="15" max="15" width="10" hidden="1" customWidth="1" outlineLevel="1"/>
    <col min="16" max="16" width="9.28515625" hidden="1" customWidth="1" outlineLevel="1"/>
    <col min="17" max="18" width="10" hidden="1" customWidth="1" outlineLevel="1"/>
    <col min="19" max="19" width="9.28515625" hidden="1" customWidth="1" outlineLevel="1"/>
    <col min="20" max="30" width="9.140625" hidden="1" customWidth="1" outlineLevel="1"/>
    <col min="31" max="31" width="11.42578125" hidden="1" customWidth="1" outlineLevel="1"/>
    <col min="32" max="32" width="9.140625" hidden="1" customWidth="1" outlineLevel="1"/>
    <col min="33" max="33" width="11.42578125" hidden="1" customWidth="1" outlineLevel="1"/>
    <col min="34" max="34" width="9.28515625" hidden="1" customWidth="1" outlineLevel="1"/>
    <col min="35" max="44" width="9.140625" hidden="1" customWidth="1" outlineLevel="1"/>
    <col min="45" max="45" width="16.7109375" hidden="1" customWidth="1" outlineLevel="1"/>
    <col min="46" max="46" width="12.42578125" hidden="1" customWidth="1" outlineLevel="1"/>
    <col min="47" max="47" width="11.140625" hidden="1" customWidth="1" outlineLevel="1"/>
    <col min="48" max="48" width="15.85546875" hidden="1" customWidth="1" outlineLevel="1"/>
    <col min="49" max="49" width="9.28515625" customWidth="1" collapsed="1"/>
    <col min="50" max="50" width="9.140625" style="9" bestFit="1" customWidth="1"/>
    <col min="51" max="51" width="11" style="9" bestFit="1" customWidth="1"/>
    <col min="52" max="52" width="5.42578125" style="9" customWidth="1"/>
    <col min="53" max="53" width="4.5703125" style="9" bestFit="1" customWidth="1"/>
    <col min="54" max="54" width="5" style="9" bestFit="1" customWidth="1"/>
    <col min="55" max="55" width="4.5703125" style="9" bestFit="1" customWidth="1"/>
    <col min="56" max="56" width="3.5703125" style="9" customWidth="1"/>
    <col min="57" max="57" width="4.28515625" style="9" bestFit="1" customWidth="1"/>
    <col min="58" max="58" width="4.5703125" style="9" bestFit="1" customWidth="1"/>
    <col min="59" max="59" width="7.7109375" style="9" bestFit="1" customWidth="1"/>
    <col min="60" max="60" width="9.140625" style="9" bestFit="1" customWidth="1"/>
    <col min="61" max="61" width="11" style="9" bestFit="1" customWidth="1"/>
    <col min="62" max="62" width="5.42578125" style="9" customWidth="1"/>
    <col min="63" max="63" width="4.5703125" style="9" bestFit="1" customWidth="1"/>
    <col min="64" max="64" width="5" style="9" bestFit="1" customWidth="1"/>
    <col min="65" max="65" width="4.5703125" style="9" bestFit="1" customWidth="1"/>
    <col min="66" max="66" width="3.5703125" style="9" customWidth="1"/>
    <col min="67" max="67" width="4.28515625" style="9" bestFit="1" customWidth="1"/>
    <col min="68" max="68" width="4.5703125" style="9" bestFit="1" customWidth="1"/>
    <col min="69" max="70" width="9.28515625" style="9" customWidth="1"/>
    <col min="71" max="71" width="9.140625" style="9" bestFit="1" customWidth="1"/>
    <col min="72" max="72" width="11.5703125" style="9" bestFit="1" customWidth="1"/>
    <col min="73" max="73" width="5.42578125" style="9" customWidth="1"/>
    <col min="74" max="74" width="4.5703125" style="9" customWidth="1"/>
    <col min="75" max="75" width="5" style="9" customWidth="1"/>
    <col min="76" max="76" width="4.5703125" style="9" customWidth="1"/>
    <col min="77" max="77" width="3.5703125" style="9" customWidth="1"/>
    <col min="78" max="78" width="4.28515625" style="9" customWidth="1"/>
    <col min="79" max="79" width="4.5703125" style="9" customWidth="1"/>
    <col min="80" max="80" width="5.42578125" style="9" customWidth="1"/>
    <col min="81" max="81" width="4.5703125" style="9" customWidth="1"/>
    <col min="82" max="82" width="5" style="9" customWidth="1"/>
    <col min="83" max="83" width="4.5703125" style="9" customWidth="1"/>
    <col min="84" max="84" width="3.5703125" style="9" customWidth="1"/>
    <col min="85" max="85" width="4.28515625" style="9" customWidth="1"/>
    <col min="86" max="86" width="4.5703125" style="9" customWidth="1"/>
    <col min="87" max="87" width="5.42578125" style="9" customWidth="1"/>
    <col min="88" max="88" width="4.5703125" style="9" customWidth="1"/>
    <col min="89" max="89" width="5" style="9" customWidth="1"/>
    <col min="90" max="90" width="4.5703125" style="9" customWidth="1"/>
    <col min="91" max="91" width="3.5703125" style="9" customWidth="1"/>
    <col min="92" max="92" width="4.28515625" style="9" customWidth="1"/>
    <col min="93" max="93" width="4.5703125" style="9" customWidth="1"/>
  </cols>
  <sheetData>
    <row r="1" spans="1:97" ht="15.75" thickBot="1" x14ac:dyDescent="0.3">
      <c r="B1" s="328" t="s">
        <v>54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T1" s="331" t="s">
        <v>55</v>
      </c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2"/>
      <c r="AI1" s="331" t="s">
        <v>56</v>
      </c>
      <c r="AJ1" s="331"/>
      <c r="AK1" s="331"/>
      <c r="AL1" s="331"/>
      <c r="AM1" s="331"/>
      <c r="AN1" s="331"/>
      <c r="AO1" s="331"/>
      <c r="AP1" s="331"/>
      <c r="AQ1" s="331"/>
      <c r="AR1" s="331"/>
      <c r="AS1" s="331"/>
      <c r="AT1" s="331"/>
      <c r="AU1" s="331"/>
      <c r="AV1" s="332"/>
      <c r="AX1" s="333" t="s">
        <v>11</v>
      </c>
      <c r="AY1" s="333"/>
      <c r="AZ1" s="333"/>
      <c r="BA1" s="333"/>
      <c r="BB1" s="333"/>
      <c r="BC1" s="333"/>
      <c r="BD1" s="333"/>
      <c r="BE1" s="333"/>
      <c r="BF1" s="334"/>
      <c r="BG1" s="164" t="s">
        <v>54</v>
      </c>
      <c r="BH1" s="335" t="s">
        <v>12</v>
      </c>
      <c r="BI1" s="333"/>
      <c r="BJ1" s="333"/>
      <c r="BK1" s="333"/>
      <c r="BL1" s="333"/>
      <c r="BM1" s="333"/>
      <c r="BN1" s="333"/>
      <c r="BO1" s="333"/>
      <c r="BP1" s="333"/>
      <c r="BQ1" s="11"/>
      <c r="BU1" s="325" t="s">
        <v>54</v>
      </c>
      <c r="BV1" s="326"/>
      <c r="BW1" s="326"/>
      <c r="BX1" s="326"/>
      <c r="BY1" s="326"/>
      <c r="BZ1" s="326"/>
      <c r="CA1" s="327"/>
      <c r="CB1" s="325" t="s">
        <v>55</v>
      </c>
      <c r="CC1" s="326"/>
      <c r="CD1" s="326"/>
      <c r="CE1" s="326"/>
      <c r="CF1" s="326"/>
      <c r="CG1" s="326"/>
      <c r="CH1" s="327"/>
      <c r="CI1" s="325" t="s">
        <v>56</v>
      </c>
      <c r="CJ1" s="326"/>
      <c r="CK1" s="326"/>
      <c r="CL1" s="326"/>
      <c r="CM1" s="326"/>
      <c r="CN1" s="326"/>
      <c r="CO1" s="327"/>
      <c r="CS1" s="27">
        <v>6</v>
      </c>
    </row>
    <row r="2" spans="1:97" x14ac:dyDescent="0.25">
      <c r="A2" s="16" t="s">
        <v>10</v>
      </c>
      <c r="B2" s="17" t="s">
        <v>52</v>
      </c>
      <c r="C2" s="17" t="s">
        <v>0</v>
      </c>
      <c r="D2" s="17" t="s">
        <v>1</v>
      </c>
      <c r="E2" s="17" t="s">
        <v>1</v>
      </c>
      <c r="F2" s="17" t="s">
        <v>2</v>
      </c>
      <c r="G2" s="18" t="s">
        <v>2</v>
      </c>
      <c r="H2" s="17" t="s">
        <v>51</v>
      </c>
      <c r="I2" s="17" t="s">
        <v>51</v>
      </c>
      <c r="J2" s="17" t="s">
        <v>4</v>
      </c>
      <c r="K2" s="17" t="s">
        <v>4</v>
      </c>
      <c r="L2" s="17" t="s">
        <v>5</v>
      </c>
      <c r="M2" s="17" t="s">
        <v>5</v>
      </c>
      <c r="N2" s="19" t="s">
        <v>6</v>
      </c>
      <c r="O2" s="15" t="s">
        <v>6</v>
      </c>
      <c r="Q2" s="14" t="s">
        <v>37</v>
      </c>
      <c r="R2" t="s">
        <v>37</v>
      </c>
      <c r="T2" s="16" t="s">
        <v>52</v>
      </c>
      <c r="U2" s="17" t="s">
        <v>0</v>
      </c>
      <c r="V2" s="17" t="s">
        <v>1</v>
      </c>
      <c r="W2" s="17" t="s">
        <v>1</v>
      </c>
      <c r="X2" s="17" t="s">
        <v>2</v>
      </c>
      <c r="Y2" s="18" t="s">
        <v>2</v>
      </c>
      <c r="Z2" s="17" t="s">
        <v>51</v>
      </c>
      <c r="AA2" s="17" t="s">
        <v>51</v>
      </c>
      <c r="AB2" s="17" t="s">
        <v>4</v>
      </c>
      <c r="AC2" s="17" t="s">
        <v>4</v>
      </c>
      <c r="AD2" s="17" t="s">
        <v>5</v>
      </c>
      <c r="AE2" s="17" t="s">
        <v>5</v>
      </c>
      <c r="AF2" s="19" t="s">
        <v>6</v>
      </c>
      <c r="AG2" s="15" t="s">
        <v>6</v>
      </c>
      <c r="AI2" s="16" t="s">
        <v>52</v>
      </c>
      <c r="AJ2" s="17" t="s">
        <v>0</v>
      </c>
      <c r="AK2" s="17" t="s">
        <v>1</v>
      </c>
      <c r="AL2" s="17" t="s">
        <v>1</v>
      </c>
      <c r="AM2" s="17" t="s">
        <v>2</v>
      </c>
      <c r="AN2" s="18" t="s">
        <v>2</v>
      </c>
      <c r="AO2" s="17" t="s">
        <v>51</v>
      </c>
      <c r="AP2" s="17" t="s">
        <v>51</v>
      </c>
      <c r="AQ2" s="17" t="s">
        <v>4</v>
      </c>
      <c r="AR2" s="17" t="s">
        <v>4</v>
      </c>
      <c r="AS2" s="17" t="s">
        <v>5</v>
      </c>
      <c r="AT2" s="17" t="s">
        <v>5</v>
      </c>
      <c r="AU2" s="19" t="s">
        <v>6</v>
      </c>
      <c r="AV2" s="15" t="s">
        <v>6</v>
      </c>
      <c r="AX2" s="49" t="s">
        <v>8</v>
      </c>
      <c r="AY2" s="49" t="s">
        <v>57</v>
      </c>
      <c r="AZ2" s="50" t="s">
        <v>0</v>
      </c>
      <c r="BA2" s="50" t="s">
        <v>1</v>
      </c>
      <c r="BB2" s="50" t="s">
        <v>2</v>
      </c>
      <c r="BC2" s="50" t="s">
        <v>3</v>
      </c>
      <c r="BD2" s="50" t="s">
        <v>4</v>
      </c>
      <c r="BE2" s="50" t="s">
        <v>5</v>
      </c>
      <c r="BF2" s="50" t="s">
        <v>6</v>
      </c>
      <c r="BH2" s="49" t="s">
        <v>8</v>
      </c>
      <c r="BI2" s="49" t="s">
        <v>57</v>
      </c>
      <c r="BJ2" s="50" t="s">
        <v>0</v>
      </c>
      <c r="BK2" s="50" t="s">
        <v>1</v>
      </c>
      <c r="BL2" s="50" t="s">
        <v>2</v>
      </c>
      <c r="BM2" s="50" t="s">
        <v>3</v>
      </c>
      <c r="BN2" s="50" t="s">
        <v>4</v>
      </c>
      <c r="BO2" s="50" t="s">
        <v>5</v>
      </c>
      <c r="BP2" s="50" t="s">
        <v>6</v>
      </c>
      <c r="BS2" s="37" t="s">
        <v>8</v>
      </c>
      <c r="BT2" s="135" t="s">
        <v>53</v>
      </c>
      <c r="BU2" s="137" t="s">
        <v>0</v>
      </c>
      <c r="BV2" s="48" t="s">
        <v>1</v>
      </c>
      <c r="BW2" s="48" t="s">
        <v>2</v>
      </c>
      <c r="BX2" s="48" t="s">
        <v>3</v>
      </c>
      <c r="BY2" s="48" t="s">
        <v>4</v>
      </c>
      <c r="BZ2" s="48" t="s">
        <v>5</v>
      </c>
      <c r="CA2" s="138" t="s">
        <v>6</v>
      </c>
      <c r="CB2" s="137" t="s">
        <v>0</v>
      </c>
      <c r="CC2" s="48" t="s">
        <v>1</v>
      </c>
      <c r="CD2" s="48" t="s">
        <v>2</v>
      </c>
      <c r="CE2" s="48" t="s">
        <v>3</v>
      </c>
      <c r="CF2" s="48" t="s">
        <v>4</v>
      </c>
      <c r="CG2" s="48" t="s">
        <v>5</v>
      </c>
      <c r="CH2" s="48" t="s">
        <v>6</v>
      </c>
      <c r="CI2" s="48" t="s">
        <v>0</v>
      </c>
      <c r="CJ2" s="48" t="s">
        <v>1</v>
      </c>
      <c r="CK2" s="48" t="s">
        <v>2</v>
      </c>
      <c r="CL2" s="48" t="s">
        <v>3</v>
      </c>
      <c r="CM2" s="48" t="s">
        <v>4</v>
      </c>
      <c r="CN2" s="48" t="s">
        <v>5</v>
      </c>
      <c r="CO2" s="138" t="s">
        <v>6</v>
      </c>
    </row>
    <row r="3" spans="1:97" ht="15.75" thickBot="1" x14ac:dyDescent="0.3">
      <c r="A3" s="20" t="str">
        <f>'Nesting Phone time'!B4</f>
        <v>Jave Lowelle Valiente Gayangos</v>
      </c>
      <c r="B3" s="12">
        <f>IFERROR(VLOOKUP(A3,'Nesting Phone time'!B:I,2,),"-")</f>
        <v>0.58333333333333337</v>
      </c>
      <c r="C3" s="23">
        <f>IFERROR(IF(B3="PTO", "PTO", IF(B3="OFF","OFF",B3 + TIME(9,0,0))),"-")</f>
        <v>0.95833333333333337</v>
      </c>
      <c r="D3" s="12" t="str">
        <f>IFERROR(VLOOKUP(A3,'Nesting Phone time'!B:I,3,),"-")</f>
        <v>OFF</v>
      </c>
      <c r="E3" s="23" t="str">
        <f>IFERROR(IF(D3="PTO", "PTO", IF(D3="OFF","OFF",D3 + TIME(9,0,0))),"-")</f>
        <v>OFF</v>
      </c>
      <c r="F3" s="12">
        <f>IFERROR(VLOOKUP(A3,'Nesting Phone time'!B:I,4,),"-")</f>
        <v>0.58333333333333337</v>
      </c>
      <c r="G3" s="23">
        <f>IFERROR(IF(F3="PTO", "PTO", IF(F3="OFF","OFF",F3 + TIME(9,0,0))),"-")</f>
        <v>0.95833333333333337</v>
      </c>
      <c r="H3" s="12">
        <f>IFERROR(VLOOKUP(A3,'Nesting Phone time'!B:I,5,),"-")</f>
        <v>0.58333333333333337</v>
      </c>
      <c r="I3" s="23">
        <f>IFERROR(IF(H3="PTO", "PTO", IF(H3="OFF","OFF",H3 + TIME(9,0,0))),"-")</f>
        <v>0.95833333333333337</v>
      </c>
      <c r="J3" s="12">
        <f>IFERROR(VLOOKUP(A3,'Nesting Phone time'!B:I,6,),"-")</f>
        <v>0.58333333333333337</v>
      </c>
      <c r="K3" s="23">
        <f>IFERROR(IF(J3="PTO", "PTO", IF(J3="OFF","OFF",J3 + TIME(9,0,0))),"-")</f>
        <v>0.95833333333333337</v>
      </c>
      <c r="L3" s="12" t="str">
        <f>IFERROR(VLOOKUP(A3,'Nesting Phone time'!B:I,7,),"-")</f>
        <v>OFF</v>
      </c>
      <c r="M3" s="23" t="str">
        <f>IFERROR(IF(L3="PTO", "PTO", IF(L3="OFF","OFF",L3 + TIME(9,0,0))),"-")</f>
        <v>OFF</v>
      </c>
      <c r="N3" s="12">
        <f>IFERROR(VLOOKUP(A3,'Nesting Phone time'!B:I,8,),"-")</f>
        <v>0.58333333333333337</v>
      </c>
      <c r="O3" s="23">
        <f>IFERROR(IF(N3="PTO", "PTO", IF(N3="OFF","OFF",N3 + TIME(9,0,0))),"-")</f>
        <v>0.95833333333333337</v>
      </c>
      <c r="Q3" s="12">
        <f>IFERROR(VLOOKUP(A3,'Nesting Phone time'!B:Y,24,),"-")</f>
        <v>0.58333333333333337</v>
      </c>
      <c r="R3" s="23">
        <f>IFERROR(IF(Q3="PTO", "PTO", IF(Q3="OFF","OFF",Q3 + TIME(9,0,0))),"-")</f>
        <v>0.95833333333333337</v>
      </c>
      <c r="T3" s="25">
        <f>IFERROR(VLOOKUP(A3,'Nesting Phone time'!$B:$J,9,),"-")</f>
        <v>0.58333333333333337</v>
      </c>
      <c r="U3" s="23">
        <f>IFERROR(IF(T3="PTO", "PTO", IF(T3="OFF","OFF",T3 + TIME(9,0,0))),"-")</f>
        <v>0.95833333333333337</v>
      </c>
      <c r="V3" s="12">
        <f>IFERROR(VLOOKUP(A3,'Nesting Phone time'!B:K,10,),"-")</f>
        <v>0.58333333333333337</v>
      </c>
      <c r="W3" s="23">
        <f t="shared" ref="W3" si="0">IFERROR(IF(V3="PTO", "PTO", IF(V3="OFF","OFF",V3 + TIME(9,0,0))),"-")</f>
        <v>0.95833333333333337</v>
      </c>
      <c r="X3" s="12">
        <f>IFERROR(VLOOKUP(A3,'Nesting Phone time'!B:L,11,),"-")</f>
        <v>0.58333333333333337</v>
      </c>
      <c r="Y3" s="23">
        <f>IFERROR(IF(X3="PTO", "PTO", IF(X3="OFF","OFF",X3 + TIME(9,0,0))),"-")</f>
        <v>0.95833333333333337</v>
      </c>
      <c r="Z3" s="12">
        <f>IFERROR(VLOOKUP(A3,'Nesting Phone time'!B:M,12,),"-")</f>
        <v>0.58333333333333337</v>
      </c>
      <c r="AA3" s="23">
        <f>IFERROR(IF(Z3="PTO", "PTO", IF(Z3="OFF","OFF",Z3 + TIME(9,0,0))),"-")</f>
        <v>0.95833333333333337</v>
      </c>
      <c r="AB3" s="12" t="str">
        <f>IFERROR(VLOOKUP(A3,'Nesting Phone time'!B:N,13,),"-")</f>
        <v>OFF</v>
      </c>
      <c r="AC3" s="23" t="str">
        <f>IFERROR(IF(AB3="PTO", "PTO", IF(AB3="OFF","OFF",AB3 + TIME(9,0,0))),"-")</f>
        <v>OFF</v>
      </c>
      <c r="AD3" s="12" t="str">
        <f>IFERROR(VLOOKUP(A3,'Nesting Phone time'!B:O,14,),"-")</f>
        <v>OFF</v>
      </c>
      <c r="AE3" s="23" t="str">
        <f>IFERROR(IF(AD3="PTO", "PTO", IF(AD3="OFF","OFF",AD3 + TIME(9,0,0))),"-")</f>
        <v>OFF</v>
      </c>
      <c r="AF3" s="21">
        <f>IFERROR(VLOOKUP(A3,'Nesting Phone time'!B:P,15,),"-")</f>
        <v>0.58333333333333337</v>
      </c>
      <c r="AG3" s="23">
        <f>IFERROR(IF(AF3="PTO", "PTO", IF(AF3="OFF","OFF",AF3 + TIME(9,0,0))),"-")</f>
        <v>0.95833333333333337</v>
      </c>
      <c r="AI3" s="25">
        <f>IFERROR(VLOOKUP(A3,'Nesting Phone time'!$B:$Q,16,),"-")</f>
        <v>0.58333333333333337</v>
      </c>
      <c r="AJ3" s="23">
        <f>IFERROR(IF(AI3="PTO", "PTO", IF(AI3="OFF","OFF",AI3 + TIME(9,0,0))),"-")</f>
        <v>0.95833333333333337</v>
      </c>
      <c r="AK3" s="12">
        <f>IFERROR(VLOOKUP(A3,'Nesting Phone time'!B:R,17,),"-")</f>
        <v>0.58333333333333337</v>
      </c>
      <c r="AL3" s="23">
        <f>IFERROR(IF(AK3="PTO", "PTO", IF(AK3="OFF","OFF",AK3 + TIME(9,0,0))),"-")</f>
        <v>0.95833333333333337</v>
      </c>
      <c r="AM3" s="12">
        <f>IFERROR(VLOOKUP(A3,'Nesting Phone time'!B:S,18,),"-")</f>
        <v>0.58333333333333337</v>
      </c>
      <c r="AN3" s="23">
        <f>IFERROR(IF(AM3="PTO", "PTO", IF(AM3="OFF","OFF",AM3 + TIME(9,0,0))),"-")</f>
        <v>0.95833333333333337</v>
      </c>
      <c r="AO3" s="12">
        <f>IFERROR(VLOOKUP(A3,'Nesting Phone time'!B:T,19,),"-")</f>
        <v>0.58333333333333337</v>
      </c>
      <c r="AP3" s="23">
        <f>IFERROR(IF(AO3="PTO", "PTO", IF(AO3="OFF","OFF",AO3 + TIME(9,0,0))),"-")</f>
        <v>0.95833333333333337</v>
      </c>
      <c r="AQ3" s="12" t="str">
        <f>IFERROR(VLOOKUP(A3,'Nesting Phone time'!B:U,20,),"-")</f>
        <v>OFF</v>
      </c>
      <c r="AR3" s="23" t="str">
        <f>IFERROR(IF(AQ3="PTO", "PTO", IF(AQ3="OFF","OFF",AQ3 + TIME(9,0,0))),"-")</f>
        <v>OFF</v>
      </c>
      <c r="AS3" s="12" t="str">
        <f>IFERROR(VLOOKUP(A3,'Nesting Phone time'!B:V,21,),"-")</f>
        <v>OFF</v>
      </c>
      <c r="AT3" s="23" t="str">
        <f>IFERROR(IF(AS3="PTO", "PTO", IF(AS3="OFF","OFF",AS3 + TIME(9,0,0))),"-")</f>
        <v>OFF</v>
      </c>
      <c r="AU3" s="21">
        <f>IFERROR(VLOOKUP(A3,'Nesting Phone time'!B:W,22,),"-")</f>
        <v>0.58333333333333337</v>
      </c>
      <c r="AV3" s="23">
        <f>IFERROR(IF(AU3="PTO", "PTO", IF(AU3="OFF","OFF",AU3 + TIME(9,0,0))),"-")</f>
        <v>0.95833333333333337</v>
      </c>
      <c r="AX3" s="30">
        <v>0</v>
      </c>
      <c r="AY3" s="10">
        <v>1</v>
      </c>
      <c r="AZ3" s="31">
        <f>(COUNTIFS($B$3:$B$12, "&lt;=" &amp; AX3, $C$3:$C$12, "&gt;" &amp; AX3))+COUNTIFS($Q$3:$Q$12, "&lt;=" &amp; AY3, $R$3:$R$12, "&gt;" &amp; AY3)</f>
        <v>0</v>
      </c>
      <c r="BA3" s="31">
        <f>(COUNTIFS($D$3:$D$12, "&lt;=" &amp; AX3, $E$3:$E$12, "&gt;" &amp; AX3))+COUNTIFS($B$3:$B$12, "&lt;=" &amp; AY3, $C$3:$C$12, "&gt;" &amp; AY3)</f>
        <v>0</v>
      </c>
      <c r="BB3" s="31">
        <f>(COUNTIFS($F$3:$F$12, "&lt;=" &amp; AX3, $G$3:$G$12, "&gt;" &amp; AX3))+COUNTIFS($D$3:$D$12, "&lt;=" &amp; AY3, $E$3:$E$12, "&gt;" &amp; AY3)</f>
        <v>0</v>
      </c>
      <c r="BC3" s="31">
        <f>(COUNTIFS($H$3:$H$12, "&lt;=" &amp; AX3, $I$3:$I$12, "&gt;" &amp; AX3))+COUNTIFS($F$3:$F$12, "&lt;=" &amp; AY3, $G$3:$G$12, "&gt;" &amp; AY3)</f>
        <v>0</v>
      </c>
      <c r="BD3" s="31">
        <f>(COUNTIFS($J$3:$J$12, "&lt;=" &amp; AX3, $K$3:$K$12, "&gt;" &amp; AX3))+COUNTIFS($H$3:$H$12, "&lt;=" &amp; AY3, $I$3:$I$12, "&gt;" &amp; AY3)</f>
        <v>0</v>
      </c>
      <c r="BE3" s="31">
        <f>(COUNTIFS($L$3:$L$12, "&lt;=" &amp; AX3, $M$3:$M$12, "&gt;" &amp; AX3))+COUNTIFS($J$3:$J$12, "&lt;=" &amp; AY3, $K$3:$K$12, "&gt;" &amp; AY3)</f>
        <v>0</v>
      </c>
      <c r="BF3" s="32">
        <f>(COUNTIFS($N$3:$N$12, "&lt;=" &amp; AX3, $O$3:$O$12, "&gt;" &amp; AX3))+COUNTIFS($L$3:$L$12, "&lt;=" &amp; AY3, $M$3:$M$12, "&gt;" &amp; AY3)</f>
        <v>0</v>
      </c>
      <c r="BH3" s="30">
        <v>0</v>
      </c>
      <c r="BI3" s="10">
        <v>1</v>
      </c>
      <c r="BJ3" s="31">
        <f>(COUNTIFS($B$13:$B$37, "&lt;=" &amp; BH3, $C$13:$C$37, "&gt;" &amp; BH3))+COUNTIFS($Q$13:$Q$37, "&lt;=" &amp; BI3, $R$13:$R$37, "&gt;" &amp; BI3)</f>
        <v>0</v>
      </c>
      <c r="BK3" s="31">
        <f>(COUNTIFS($D$13:$D$37, "&lt;=" &amp; BH3, $E$13:$E$37, "&gt;" &amp; BH3))+COUNTIFS($B$13:$B$37, "&lt;=" &amp; BI3, $C$13:$C$37, "&gt;" &amp; BI3)</f>
        <v>0</v>
      </c>
      <c r="BL3" s="31">
        <f>(COUNTIFS($F$13:$F$37, "&lt;=" &amp; BH3, $G$13:$G$37, "&gt;" &amp; BH3))+COUNTIFS($D$13:$D$37, "&lt;=" &amp; BI3, $E$13:$E$37, "&gt;" &amp; BI3)</f>
        <v>0</v>
      </c>
      <c r="BM3" s="31">
        <f>(COUNTIFS($H$13:$H$37, "&lt;=" &amp; BH3, $I$13:$I$37, "&gt;" &amp; BH3))+COUNTIFS($F$13:$F$37, "&lt;=" &amp; BI3, $G$13:$G$37, "&gt;" &amp; BI3)</f>
        <v>0</v>
      </c>
      <c r="BN3" s="31">
        <f>(COUNTIFS($J$13:$J$37, "&lt;=" &amp; BH3, $K$13:$K$37, "&gt;" &amp; BH3))+COUNTIFS($H$13:$H$37, "&lt;=" &amp; BI3, $I$13:$I$37, "&gt;" &amp; BI3)</f>
        <v>0</v>
      </c>
      <c r="BO3" s="31">
        <f>(COUNTIFS($L$13:$L$37, "&lt;=" &amp; BH3, $M$13:$M$37, "&gt;" &amp; BH3))+COUNTIFS($J$13:$J$37, "&lt;=" &amp; BI3, $K$13:$K$37, "&gt;" &amp; BI3)</f>
        <v>0</v>
      </c>
      <c r="BP3" s="32">
        <f>(COUNTIFS($N$13:$N$37, "&lt;=" &amp; BH3, $O$13:$O$37, "&gt;" &amp; BH3))+COUNTIFS($L$13:$L$37, "&lt;=" &amp; BI3, $M$13:$M$37, "&gt;" &amp; BI3)</f>
        <v>0</v>
      </c>
      <c r="BS3" s="51">
        <v>0</v>
      </c>
      <c r="BT3" s="136">
        <v>1</v>
      </c>
      <c r="BU3" s="28">
        <f>COUNTIFS(Q:Q, "&lt;=" &amp; BT3, R:R, "&gt;" &amp; BT3)+COUNTIFS(B:B, "&lt;=" &amp; BS3, C:C, "&gt;" &amp; BS3)</f>
        <v>0</v>
      </c>
      <c r="BV3" s="132">
        <f>COUNTIFS(B:B, "&lt;=" &amp; BT3, C:C, "&gt;" &amp; BT3)+COUNTIFS(D:D, "&lt;=" &amp; BS3, E:E, "&gt;" &amp; BS3)</f>
        <v>0</v>
      </c>
      <c r="BW3" s="132">
        <f>COUNTIFS(D:D, "&lt;=" &amp; BT3, E:E, "&gt;" &amp; BT3)+COUNTIFS(F:F, "&lt;=" &amp; BS3, G:G, "&gt;" &amp; BS3)</f>
        <v>0</v>
      </c>
      <c r="BX3" s="132">
        <f>COUNTIFS(F:F, "&lt;=" &amp; BT3, G:G, "&gt;" &amp; BT3)+COUNTIFS(H:H, "&lt;=" &amp; BS3, I:I, "&gt;" &amp; BS3)</f>
        <v>0</v>
      </c>
      <c r="BY3" s="132">
        <f>COUNTIFS(H:H, "&lt;=" &amp; BT3, I:I, "&gt;" &amp; BT3)+COUNTIFS(J:J, "&lt;=" &amp; BS3, K:K, "&gt;" &amp; BS3)</f>
        <v>0</v>
      </c>
      <c r="BZ3" s="132">
        <f>COUNTIFS(J:J, "&lt;=" &amp; BT3, K:K, "&gt;" &amp; BT3)+COUNTIFS(L:L, "&lt;=" &amp; BS3, M:M, "&gt;" &amp; BS3)</f>
        <v>0</v>
      </c>
      <c r="CA3" s="29">
        <f>COUNTIFS(N:N, "&lt;=" &amp; BS3, O:O, "&gt;" &amp; BS3)+COUNTIFS(L:L, "&lt;=" &amp; BT3, M:M, "&gt;" &amp; BT3)</f>
        <v>0</v>
      </c>
      <c r="CB3" s="28">
        <f t="shared" ref="CB3:CB26" si="1">COUNTIFS(T:T, "&lt;=" &amp; BS3, U:U, "&gt;" &amp; BS3)+COUNTIFS(N:N, "&lt;=" &amp; BT3, O:O, "&gt;" &amp; BT3)</f>
        <v>0</v>
      </c>
      <c r="CC3" s="132">
        <f t="shared" ref="CC3:CC26" si="2">COUNTIFS(V:V, "&lt;=" &amp; BS3, W:W, "&gt;" &amp; BS3)+COUNTIFS(T:T, "&lt;=" &amp; BT3, U:U, "&gt;" &amp; BT3)</f>
        <v>0</v>
      </c>
      <c r="CD3" s="132">
        <f t="shared" ref="CD3:CD26" si="3">COUNTIFS(X:X, "&lt;=" &amp; BS3, Y:Y, "&gt;" &amp; BS3)+COUNTIFS(V:V, "&lt;=" &amp; BT3, W:W, "&gt;" &amp; BT3)</f>
        <v>0</v>
      </c>
      <c r="CE3" s="132">
        <f t="shared" ref="CE3:CE26" si="4">COUNTIFS(Z:Z, "&lt;=" &amp; BS3, AA:AA, "&gt;" &amp; BS3)+COUNTIFS(X:X, "&lt;=" &amp; BT3, Y:Y, "&gt;" &amp; BT3)</f>
        <v>0</v>
      </c>
      <c r="CF3" s="132">
        <f t="shared" ref="CF3:CF26" si="5">COUNTIFS(AB:AB, "&lt;=" &amp; BS3, AC:AC, "&gt;" &amp; BS3)+COUNTIFS(Z:Z, "&lt;=" &amp; BT3, AA:AA, "&gt;" &amp; BT3)</f>
        <v>0</v>
      </c>
      <c r="CG3" s="132">
        <f t="shared" ref="CG3:CG26" si="6">COUNTIFS(AD:AD, "&lt;=" &amp; BS3, AE:AE, "&gt;" &amp; BS3)+COUNTIFS(AB:AB, "&lt;=" &amp; BT3, AC:AC, "&gt;" &amp; BT3)</f>
        <v>0</v>
      </c>
      <c r="CH3" s="29">
        <f t="shared" ref="CH3:CH26" si="7">COUNTIFS(AF:AF, "&lt;=" &amp; BS3, AG:AG, "&gt;" &amp; BS3)+COUNTIFS(AD:AD, "&lt;=" &amp; BT3, AE:AE, "&gt;" &amp; BT3)</f>
        <v>0</v>
      </c>
      <c r="CI3" s="28">
        <f t="shared" ref="CI3:CI26" si="8">COUNTIFS(AI:AI, "&lt;=" &amp; BS3, AJ:AJ, "&gt;" &amp; BS3)+COUNTIFS(AF:AF, "&lt;=" &amp; BT3, AG:AG, "&gt;" &amp; BT3)</f>
        <v>0</v>
      </c>
      <c r="CJ3" s="132">
        <f t="shared" ref="CJ3:CJ26" si="9">COUNTIFS(AK:AK, "&lt;=" &amp; BS3, AL:AL, "&gt;" &amp; BS3)+COUNTIFS(AI:AI, "&lt;=" &amp; BT3, AJ:AJ, "&gt;" &amp; BT3)</f>
        <v>0</v>
      </c>
      <c r="CK3" s="132">
        <f t="shared" ref="CK3:CK26" si="10">COUNTIFS(AM:AM, "&lt;=" &amp; BS3, AN:AN, "&gt;" &amp; BS3)+COUNTIFS(AK:AK, "&lt;=" &amp; BT3, AL:AL, "&gt;" &amp; BT3)</f>
        <v>0</v>
      </c>
      <c r="CL3" s="132">
        <f t="shared" ref="CL3:CL26" si="11">COUNTIFS(AO:AO, "&lt;=" &amp; BS3, AP:AP, "&gt;" &amp; BS3)+COUNTIFS(AM:AM, "&lt;=" &amp; BT3, AN:AN, "&gt;" &amp; BT3)</f>
        <v>0</v>
      </c>
      <c r="CM3" s="132">
        <f t="shared" ref="CM3:CM26" si="12">COUNTIFS(AQ:AQ, "&lt;=" &amp; BS3, AR:AR, "&gt;" &amp; BS3)+COUNTIFS(AO:AO, "&lt;=" &amp; BT3, AP:AP, "&gt;" &amp; BT3)</f>
        <v>0</v>
      </c>
      <c r="CN3" s="132">
        <f t="shared" ref="CN3:CN26" si="13">COUNTIFS(AS:AS, "&lt;=" &amp; BS3, AT:AT, "&gt;" &amp; BS3)+COUNTIFS(AQ:AQ, "&lt;=" &amp; BT3, AR:AR, "&gt;" &amp; BT3)</f>
        <v>0</v>
      </c>
      <c r="CO3" s="29">
        <f t="shared" ref="CO3:CO26" si="14">COUNTIFS(AU:AU, "&lt;=" &amp; BS3, AV:AV, "&gt;" &amp; BS3)+COUNTIFS(AS:AS, "&lt;=" &amp; BT3, AT:AT, "&gt;" &amp; BT3)</f>
        <v>0</v>
      </c>
    </row>
    <row r="4" spans="1:97" ht="15.75" thickBot="1" x14ac:dyDescent="0.3">
      <c r="A4" s="20" t="str">
        <f>'Nesting Phone time'!B5</f>
        <v>Nicka Mae De Los Reyes Porras</v>
      </c>
      <c r="B4" s="12">
        <f>IFERROR(VLOOKUP(A4,'Nesting Phone time'!B:I,2,),"-")</f>
        <v>0.58333333333333337</v>
      </c>
      <c r="C4" s="23">
        <f t="shared" ref="C4:C32" si="15">IFERROR(IF(B4="PTO", "PTO", IF(B4="OFF","OFF",B4 + TIME(9,0,0))),"-")</f>
        <v>0.95833333333333337</v>
      </c>
      <c r="D4" s="12" t="str">
        <f>IFERROR(VLOOKUP(A4,'Nesting Phone time'!B:I,3,),"-")</f>
        <v>OFF</v>
      </c>
      <c r="E4" s="23" t="str">
        <f t="shared" ref="E4:E32" si="16">IFERROR(IF(D4="PTO", "PTO", IF(D4="OFF","OFF",D4 + TIME(9,0,0))),"-")</f>
        <v>OFF</v>
      </c>
      <c r="F4" s="12">
        <f>IFERROR(VLOOKUP(A4,'Nesting Phone time'!B:I,4,),"-")</f>
        <v>0.58333333333333337</v>
      </c>
      <c r="G4" s="23">
        <f t="shared" ref="G4:G32" si="17">IFERROR(IF(F4="PTO", "PTO", IF(F4="OFF","OFF",F4 + TIME(9,0,0))),"-")</f>
        <v>0.95833333333333337</v>
      </c>
      <c r="H4" s="12">
        <f>IFERROR(VLOOKUP(A4,'Nesting Phone time'!B:I,5,),"-")</f>
        <v>0.58333333333333337</v>
      </c>
      <c r="I4" s="23">
        <f t="shared" ref="I4:I32" si="18">IFERROR(IF(H4="PTO", "PTO", IF(H4="OFF","OFF",H4 + TIME(9,0,0))),"-")</f>
        <v>0.95833333333333337</v>
      </c>
      <c r="J4" s="12">
        <f>IFERROR(VLOOKUP(A4,'Nesting Phone time'!B:I,6,),"-")</f>
        <v>0.58333333333333337</v>
      </c>
      <c r="K4" s="23">
        <f t="shared" ref="K4:K32" si="19">IFERROR(IF(J4="PTO", "PTO", IF(J4="OFF","OFF",J4 + TIME(9,0,0))),"-")</f>
        <v>0.95833333333333337</v>
      </c>
      <c r="L4" s="12" t="str">
        <f>IFERROR(VLOOKUP(A4,'Nesting Phone time'!B:I,7,),"-")</f>
        <v>OFF</v>
      </c>
      <c r="M4" s="23" t="str">
        <f t="shared" ref="M4:M32" si="20">IFERROR(IF(L4="PTO", "PTO", IF(L4="OFF","OFF",L4 + TIME(9,0,0))),"-")</f>
        <v>OFF</v>
      </c>
      <c r="N4" s="12">
        <f>IFERROR(VLOOKUP(A4,'Nesting Phone time'!B:I,8,),"-")</f>
        <v>0.58333333333333337</v>
      </c>
      <c r="O4" s="23">
        <f t="shared" ref="O4:O32" si="21">IFERROR(IF(N4="PTO", "PTO", IF(N4="OFF","OFF",N4 + TIME(9,0,0))),"-")</f>
        <v>0.95833333333333337</v>
      </c>
      <c r="Q4" s="12">
        <f>IFERROR(VLOOKUP(A4,'Nesting Phone time'!B:Y,24,),"-")</f>
        <v>0.58333333333333337</v>
      </c>
      <c r="R4" s="23">
        <f t="shared" ref="R4:R32" si="22">IFERROR(IF(Q4="PTO", "PTO", IF(Q4="OFF","OFF",Q4 + TIME(9,0,0))),"-")</f>
        <v>0.95833333333333337</v>
      </c>
      <c r="T4" s="25">
        <f>IFERROR(VLOOKUP(A4,'Nesting Phone time'!$B:$J,9,),"-")</f>
        <v>0.58333333333333337</v>
      </c>
      <c r="U4" s="23">
        <f t="shared" ref="U4:U32" si="23">IFERROR(IF(T4="PTO", "PTO", IF(T4="OFF","OFF",T4 + TIME(9,0,0))),"-")</f>
        <v>0.95833333333333337</v>
      </c>
      <c r="V4" s="12">
        <f>IFERROR(VLOOKUP(A4,'Nesting Phone time'!B:K,10,),"-")</f>
        <v>0.58333333333333337</v>
      </c>
      <c r="W4" s="23">
        <f t="shared" ref="W4:W32" si="24">IFERROR(IF(V4="PTO", "PTO", IF(V4="OFF","OFF",V4 + TIME(9,0,0))),"-")</f>
        <v>0.95833333333333337</v>
      </c>
      <c r="X4" s="12">
        <f>IFERROR(VLOOKUP(A4,'Nesting Phone time'!B:L,11,),"-")</f>
        <v>0.58333333333333337</v>
      </c>
      <c r="Y4" s="23">
        <f t="shared" ref="Y4:Y32" si="25">IFERROR(IF(X4="PTO", "PTO", IF(X4="OFF","OFF",X4 + TIME(9,0,0))),"-")</f>
        <v>0.95833333333333337</v>
      </c>
      <c r="Z4" s="12">
        <f>IFERROR(VLOOKUP(A4,'Nesting Phone time'!B:M,12,),"-")</f>
        <v>0.58333333333333337</v>
      </c>
      <c r="AA4" s="23">
        <f t="shared" ref="AA4:AA32" si="26">IFERROR(IF(Z4="PTO", "PTO", IF(Z4="OFF","OFF",Z4 + TIME(9,0,0))),"-")</f>
        <v>0.95833333333333337</v>
      </c>
      <c r="AB4" s="12" t="str">
        <f>IFERROR(VLOOKUP(A4,'Nesting Phone time'!B:N,13,),"-")</f>
        <v>OFF</v>
      </c>
      <c r="AC4" s="23" t="str">
        <f t="shared" ref="AC4:AC32" si="27">IFERROR(IF(AB4="PTO", "PTO", IF(AB4="OFF","OFF",AB4 + TIME(9,0,0))),"-")</f>
        <v>OFF</v>
      </c>
      <c r="AD4" s="12" t="str">
        <f>IFERROR(VLOOKUP(A4,'Nesting Phone time'!B:O,14,),"-")</f>
        <v>OFF</v>
      </c>
      <c r="AE4" s="23" t="str">
        <f t="shared" ref="AE4:AE32" si="28">IFERROR(IF(AD4="PTO", "PTO", IF(AD4="OFF","OFF",AD4 + TIME(9,0,0))),"-")</f>
        <v>OFF</v>
      </c>
      <c r="AF4" s="21">
        <f>IFERROR(VLOOKUP(A4,'Nesting Phone time'!B:P,15,),"-")</f>
        <v>0.58333333333333337</v>
      </c>
      <c r="AG4" s="23">
        <f t="shared" ref="AG4:AG32" si="29">IFERROR(IF(AF4="PTO", "PTO", IF(AF4="OFF","OFF",AF4 + TIME(9,0,0))),"-")</f>
        <v>0.95833333333333337</v>
      </c>
      <c r="AI4" s="25">
        <f>IFERROR(VLOOKUP(A4,'Nesting Phone time'!$B:$Q,16,),"-")</f>
        <v>0.58333333333333337</v>
      </c>
      <c r="AJ4" s="23">
        <f t="shared" ref="AJ4:AJ32" si="30">IFERROR(IF(AI4="PTO", "PTO", IF(AI4="OFF","OFF",AI4 + TIME(9,0,0))),"-")</f>
        <v>0.95833333333333337</v>
      </c>
      <c r="AK4" s="12">
        <f>IFERROR(VLOOKUP(A4,'Nesting Phone time'!B:R,17,),"-")</f>
        <v>0.58333333333333337</v>
      </c>
      <c r="AL4" s="23">
        <f t="shared" ref="AL4:AL32" si="31">IFERROR(IF(AK4="PTO", "PTO", IF(AK4="OFF","OFF",AK4 + TIME(9,0,0))),"-")</f>
        <v>0.95833333333333337</v>
      </c>
      <c r="AM4" s="12">
        <f>IFERROR(VLOOKUP(A4,'Nesting Phone time'!B:S,18,),"-")</f>
        <v>0.58333333333333337</v>
      </c>
      <c r="AN4" s="23">
        <f t="shared" ref="AN4:AN32" si="32">IFERROR(IF(AM4="PTO", "PTO", IF(AM4="OFF","OFF",AM4 + TIME(9,0,0))),"-")</f>
        <v>0.95833333333333337</v>
      </c>
      <c r="AO4" s="12">
        <f>IFERROR(VLOOKUP(A4,'Nesting Phone time'!B:T,19,),"-")</f>
        <v>0.58333333333333337</v>
      </c>
      <c r="AP4" s="23">
        <f t="shared" ref="AP4:AP32" si="33">IFERROR(IF(AO4="PTO", "PTO", IF(AO4="OFF","OFF",AO4 + TIME(9,0,0))),"-")</f>
        <v>0.95833333333333337</v>
      </c>
      <c r="AQ4" s="12" t="str">
        <f>IFERROR(VLOOKUP(A4,'Nesting Phone time'!B:U,20,),"-")</f>
        <v>OFF</v>
      </c>
      <c r="AR4" s="23" t="str">
        <f t="shared" ref="AR4:AR32" si="34">IFERROR(IF(AQ4="PTO", "PTO", IF(AQ4="OFF","OFF",AQ4 + TIME(9,0,0))),"-")</f>
        <v>OFF</v>
      </c>
      <c r="AS4" s="12" t="str">
        <f>IFERROR(VLOOKUP(A4,'Nesting Phone time'!B:V,21,),"-")</f>
        <v>OFF</v>
      </c>
      <c r="AT4" s="23" t="str">
        <f t="shared" ref="AT4:AT32" si="35">IFERROR(IF(AS4="PTO", "PTO", IF(AS4="OFF","OFF",AS4 + TIME(9,0,0))),"-")</f>
        <v>OFF</v>
      </c>
      <c r="AU4" s="21">
        <f>IFERROR(VLOOKUP(A4,'Nesting Phone time'!B:W,22,),"-")</f>
        <v>0.58333333333333337</v>
      </c>
      <c r="AV4" s="23">
        <f t="shared" ref="AV4:AV32" si="36">IFERROR(IF(AU4="PTO", "PTO", IF(AU4="OFF","OFF",AU4 + TIME(9,0,0))),"-")</f>
        <v>0.95833333333333337</v>
      </c>
      <c r="AX4" s="30">
        <v>4.1666666666666664E-2</v>
      </c>
      <c r="AY4" s="10">
        <v>1.0416666666666701</v>
      </c>
      <c r="AZ4" s="31">
        <f t="shared" ref="AZ4:AZ26" si="37">(COUNTIFS($B$3:$B$12, "&lt;=" &amp; AX4, $C$3:$C$12, "&gt;" &amp; AX4))+COUNTIFS($Q$3:$Q$12, "&lt;=" &amp; AY4, $R$3:$R$12, "&gt;" &amp; AY4)</f>
        <v>0</v>
      </c>
      <c r="BA4" s="31">
        <f t="shared" ref="BA4:BA26" si="38">(COUNTIFS($D$3:$D$12, "&lt;=" &amp; AX4, $E$3:$E$12, "&gt;" &amp; AX4))+COUNTIFS($B$3:$B$12, "&lt;=" &amp; AY4, $C$3:$C$12, "&gt;" &amp; AY4)</f>
        <v>0</v>
      </c>
      <c r="BB4" s="31">
        <f>(COUNTIFS($F$3:$F$12, "&lt;=" &amp; AX4, $G$3:$G$12, "&gt;" &amp; AX4))+COUNTIFS($D$3:$D$12, "&lt;=" &amp; AY4, $E$3:$E$12, "&gt;" &amp; AY4)</f>
        <v>0</v>
      </c>
      <c r="BC4" s="31">
        <f t="shared" ref="BC4:BC26" si="39">(COUNTIFS($H$3:$H$12, "&lt;=" &amp; AX4, $I$3:$I$12, "&gt;" &amp; AX4))+COUNTIFS($F$3:$F$12, "&lt;=" &amp; AY4, $G$3:$G$12, "&gt;" &amp; AY4)</f>
        <v>0</v>
      </c>
      <c r="BD4" s="31">
        <f t="shared" ref="BD4:BD26" si="40">(COUNTIFS($J$3:$J$12, "&lt;=" &amp; AX4, $K$3:$K$12, "&gt;" &amp; AX4))+COUNTIFS($H$3:$H$12, "&lt;=" &amp; AY4, $I$3:$I$12, "&gt;" &amp; AY4)</f>
        <v>0</v>
      </c>
      <c r="BE4" s="31">
        <f t="shared" ref="BE4:BE26" si="41">(COUNTIFS($L$3:$L$12, "&lt;=" &amp; AX4, $M$3:$M$12, "&gt;" &amp; AX4))+COUNTIFS($J$3:$J$12, "&lt;=" &amp; AY4, $K$3:$K$12, "&gt;" &amp; AY4)</f>
        <v>0</v>
      </c>
      <c r="BF4" s="32">
        <f t="shared" ref="BF4:BF26" si="42">(COUNTIFS($N$3:$N$12, "&lt;=" &amp; AX4, $O$3:$O$12, "&gt;" &amp; AX4))+COUNTIFS($L$3:$L$12, "&lt;=" &amp; AY4, $M$3:$M$12, "&gt;" &amp; AY4)</f>
        <v>0</v>
      </c>
      <c r="BH4" s="30">
        <v>4.1666666666666664E-2</v>
      </c>
      <c r="BI4" s="10">
        <v>1.0416666666666701</v>
      </c>
      <c r="BJ4" s="31">
        <f t="shared" ref="BJ4:BJ26" si="43">(COUNTIFS($B$13:$B$37, "&lt;=" &amp; BH4, $C$13:$C$37, "&gt;" &amp; BH4))+COUNTIFS($Q$13:$Q$37, "&lt;=" &amp; BI4, $R$13:$R$37, "&gt;" &amp; BI4)</f>
        <v>0</v>
      </c>
      <c r="BK4" s="31">
        <f t="shared" ref="BK4:BK26" si="44">(COUNTIFS($D$13:$D$37, "&lt;=" &amp; BH4, $E$13:$E$37, "&gt;" &amp; BH4))+COUNTIFS($B$13:$B$37, "&lt;=" &amp; BI4, $C$13:$C$37, "&gt;" &amp; BI4)</f>
        <v>0</v>
      </c>
      <c r="BL4" s="31">
        <f t="shared" ref="BL4:BL26" si="45">(COUNTIFS($F$13:$F$37, "&lt;=" &amp; BH4, $G$13:$G$37, "&gt;" &amp; BH4))+COUNTIFS($D$13:$D$37, "&lt;=" &amp; BI4, $E$13:$E$37, "&gt;" &amp; BI4)</f>
        <v>0</v>
      </c>
      <c r="BM4" s="31">
        <f t="shared" ref="BM4:BM26" si="46">(COUNTIFS($H$13:$H$37, "&lt;=" &amp; BH4, $I$13:$I$37, "&gt;" &amp; BH4))+COUNTIFS($F$13:$F$37, "&lt;=" &amp; BI4, $G$13:$G$37, "&gt;" &amp; BI4)</f>
        <v>0</v>
      </c>
      <c r="BN4" s="31">
        <f t="shared" ref="BN4:BN26" si="47">(COUNTIFS($J$13:$J$37, "&lt;=" &amp; BH4, $K$13:$K$37, "&gt;" &amp; BH4))+COUNTIFS($H$13:$H$37, "&lt;=" &amp; BI4, $I$13:$I$37, "&gt;" &amp; BI4)</f>
        <v>0</v>
      </c>
      <c r="BO4" s="31">
        <f t="shared" ref="BO4:BO26" si="48">(COUNTIFS($L$13:$L$37, "&lt;=" &amp; BH4, $M$13:$M$37, "&gt;" &amp; BH4))+COUNTIFS($J$13:$J$37, "&lt;=" &amp; BI4, $K$13:$K$37, "&gt;" &amp; BI4)</f>
        <v>0</v>
      </c>
      <c r="BP4" s="32">
        <f t="shared" ref="BP4:BP26" si="49">(COUNTIFS($N$13:$N$37, "&lt;=" &amp; BH4, $O$13:$O$37, "&gt;" &amp; BH4))+COUNTIFS($L$13:$L$37, "&lt;=" &amp; BI4, $M$13:$M$37, "&gt;" &amp; BI4)</f>
        <v>0</v>
      </c>
      <c r="BS4" s="51">
        <v>4.1666666666666664E-2</v>
      </c>
      <c r="BT4" s="136">
        <v>1.0416666666666701</v>
      </c>
      <c r="BU4" s="28">
        <f t="shared" ref="BU4:BU26" si="50">COUNTIFS(Q:Q, "&lt;=" &amp; BT4, R:R, "&gt;" &amp; BT4)+COUNTIFS(B:B, "&lt;=" &amp; BS4, C:C, "&gt;" &amp; BS4)</f>
        <v>0</v>
      </c>
      <c r="BV4" s="132">
        <f t="shared" ref="BV4:BV26" si="51">COUNTIFS(B:B, "&lt;=" &amp; BT4, C:C, "&gt;" &amp; BT4)+COUNTIFS(D:D, "&lt;=" &amp; BS4, E:E, "&gt;" &amp; BS4)</f>
        <v>0</v>
      </c>
      <c r="BW4" s="132">
        <f t="shared" ref="BW4:BW26" si="52">COUNTIFS(D:D, "&lt;=" &amp; BT4, E:E, "&gt;" &amp; BT4)+COUNTIFS(F:F, "&lt;=" &amp; BS4, G:G, "&gt;" &amp; BS4)</f>
        <v>0</v>
      </c>
      <c r="BX4" s="132">
        <f t="shared" ref="BX4:BX26" si="53">COUNTIFS(F:F, "&lt;=" &amp; BT4, G:G, "&gt;" &amp; BT4)+COUNTIFS(H:H, "&lt;=" &amp; BS4, I:I, "&gt;" &amp; BS4)</f>
        <v>0</v>
      </c>
      <c r="BY4" s="132">
        <f t="shared" ref="BY4:BY26" si="54">COUNTIFS(H:H, "&lt;=" &amp; BT4, I:I, "&gt;" &amp; BT4)+COUNTIFS(J:J, "&lt;=" &amp; BS4, K:K, "&gt;" &amp; BS4)</f>
        <v>0</v>
      </c>
      <c r="BZ4" s="132">
        <f t="shared" ref="BZ4:BZ26" si="55">COUNTIFS(J:J, "&lt;=" &amp; BT4, K:K, "&gt;" &amp; BT4)+COUNTIFS(L:L, "&lt;=" &amp; BS4, M:M, "&gt;" &amp; BS4)</f>
        <v>0</v>
      </c>
      <c r="CA4" s="29">
        <f t="shared" ref="CA4:CA26" si="56">COUNTIFS(N:N, "&lt;=" &amp; BS4, O:O, "&gt;" &amp; BS4)+COUNTIFS(L:L, "&lt;=" &amp; BT4, M:M, "&gt;" &amp; BT4)</f>
        <v>0</v>
      </c>
      <c r="CB4" s="28">
        <f t="shared" si="1"/>
        <v>0</v>
      </c>
      <c r="CC4" s="132">
        <f t="shared" si="2"/>
        <v>0</v>
      </c>
      <c r="CD4" s="132">
        <f t="shared" si="3"/>
        <v>0</v>
      </c>
      <c r="CE4" s="132">
        <f t="shared" si="4"/>
        <v>0</v>
      </c>
      <c r="CF4" s="132">
        <f t="shared" si="5"/>
        <v>0</v>
      </c>
      <c r="CG4" s="132">
        <f t="shared" si="6"/>
        <v>0</v>
      </c>
      <c r="CH4" s="29">
        <f t="shared" si="7"/>
        <v>0</v>
      </c>
      <c r="CI4" s="28">
        <f t="shared" si="8"/>
        <v>0</v>
      </c>
      <c r="CJ4" s="132">
        <f t="shared" si="9"/>
        <v>0</v>
      </c>
      <c r="CK4" s="132">
        <f t="shared" si="10"/>
        <v>0</v>
      </c>
      <c r="CL4" s="132">
        <f t="shared" si="11"/>
        <v>0</v>
      </c>
      <c r="CM4" s="132">
        <f t="shared" si="12"/>
        <v>0</v>
      </c>
      <c r="CN4" s="132">
        <f t="shared" si="13"/>
        <v>0</v>
      </c>
      <c r="CO4" s="29">
        <f t="shared" si="14"/>
        <v>0</v>
      </c>
    </row>
    <row r="5" spans="1:97" ht="15.75" thickBot="1" x14ac:dyDescent="0.3">
      <c r="A5" s="20" t="str">
        <f>'Nesting Phone time'!B6</f>
        <v>Roxan Sabido Sacay</v>
      </c>
      <c r="B5" s="12" t="str">
        <f>IFERROR(VLOOKUP(A5,'Nesting Phone time'!B:I,2,),"-")</f>
        <v>OFF</v>
      </c>
      <c r="C5" s="23" t="str">
        <f t="shared" si="15"/>
        <v>OFF</v>
      </c>
      <c r="D5" s="12" t="str">
        <f>IFERROR(VLOOKUP(A5,'Nesting Phone time'!B:I,3,),"-")</f>
        <v>OFF</v>
      </c>
      <c r="E5" s="23" t="str">
        <f t="shared" si="16"/>
        <v>OFF</v>
      </c>
      <c r="F5" s="12" t="str">
        <f>IFERROR(VLOOKUP(A5,'Nesting Phone time'!B:I,4,),"-")</f>
        <v>OFF</v>
      </c>
      <c r="G5" s="23" t="str">
        <f t="shared" si="17"/>
        <v>OFF</v>
      </c>
      <c r="H5" s="12" t="str">
        <f>IFERROR(VLOOKUP(A5,'Nesting Phone time'!B:I,5,),"-")</f>
        <v>OFF</v>
      </c>
      <c r="I5" s="23" t="str">
        <f t="shared" si="18"/>
        <v>OFF</v>
      </c>
      <c r="J5" s="12" t="str">
        <f>IFERROR(VLOOKUP(A5,'Nesting Phone time'!B:I,6,),"-")</f>
        <v>OFF</v>
      </c>
      <c r="K5" s="23" t="str">
        <f t="shared" si="19"/>
        <v>OFF</v>
      </c>
      <c r="L5" s="12" t="str">
        <f>IFERROR(VLOOKUP(A5,'Nesting Phone time'!B:I,7,),"-")</f>
        <v>OFF</v>
      </c>
      <c r="M5" s="23" t="str">
        <f t="shared" si="20"/>
        <v>OFF</v>
      </c>
      <c r="N5" s="12" t="str">
        <f>IFERROR(VLOOKUP(A5,'Nesting Phone time'!B:I,8,),"-")</f>
        <v>OFF</v>
      </c>
      <c r="O5" s="23" t="str">
        <f t="shared" si="21"/>
        <v>OFF</v>
      </c>
      <c r="Q5" s="12" t="str">
        <f>IFERROR(VLOOKUP(A5,'Nesting Phone time'!B:Y,24,),"-")</f>
        <v>OFF</v>
      </c>
      <c r="R5" s="23" t="str">
        <f t="shared" si="22"/>
        <v>OFF</v>
      </c>
      <c r="T5" s="25" t="str">
        <f>IFERROR(VLOOKUP(A5,'Nesting Phone time'!$B:$J,9,),"-")</f>
        <v>OFF</v>
      </c>
      <c r="U5" s="23" t="str">
        <f t="shared" si="23"/>
        <v>OFF</v>
      </c>
      <c r="V5" s="12" t="str">
        <f>IFERROR(VLOOKUP(A5,'Nesting Phone time'!B:K,10,),"-")</f>
        <v>OFF</v>
      </c>
      <c r="W5" s="23" t="str">
        <f t="shared" si="24"/>
        <v>OFF</v>
      </c>
      <c r="X5" s="12" t="str">
        <f>IFERROR(VLOOKUP(A5,'Nesting Phone time'!B:L,11,),"-")</f>
        <v>OFF</v>
      </c>
      <c r="Y5" s="23" t="str">
        <f t="shared" si="25"/>
        <v>OFF</v>
      </c>
      <c r="Z5" s="12" t="str">
        <f>IFERROR(VLOOKUP(A5,'Nesting Phone time'!B:M,12,),"-")</f>
        <v>OFF</v>
      </c>
      <c r="AA5" s="23" t="str">
        <f t="shared" si="26"/>
        <v>OFF</v>
      </c>
      <c r="AB5" s="12" t="str">
        <f>IFERROR(VLOOKUP(A5,'Nesting Phone time'!B:N,13,),"-")</f>
        <v>OFF</v>
      </c>
      <c r="AC5" s="23" t="str">
        <f t="shared" si="27"/>
        <v>OFF</v>
      </c>
      <c r="AD5" s="12" t="str">
        <f>IFERROR(VLOOKUP(A5,'Nesting Phone time'!B:O,14,),"-")</f>
        <v>OFF</v>
      </c>
      <c r="AE5" s="23" t="str">
        <f t="shared" si="28"/>
        <v>OFF</v>
      </c>
      <c r="AF5" s="21" t="str">
        <f>IFERROR(VLOOKUP(A5,'Nesting Phone time'!B:P,15,),"-")</f>
        <v>OFF</v>
      </c>
      <c r="AG5" s="23" t="str">
        <f t="shared" si="29"/>
        <v>OFF</v>
      </c>
      <c r="AI5" s="25" t="str">
        <f>IFERROR(VLOOKUP(A5,'Nesting Phone time'!$B:$Q,16,),"-")</f>
        <v>OFF</v>
      </c>
      <c r="AJ5" s="23" t="str">
        <f t="shared" si="30"/>
        <v>OFF</v>
      </c>
      <c r="AK5" s="12" t="str">
        <f>IFERROR(VLOOKUP(A5,'Nesting Phone time'!B:R,17,),"-")</f>
        <v>OFF</v>
      </c>
      <c r="AL5" s="23" t="str">
        <f t="shared" si="31"/>
        <v>OFF</v>
      </c>
      <c r="AM5" s="12" t="str">
        <f>IFERROR(VLOOKUP(A5,'Nesting Phone time'!B:S,18,),"-")</f>
        <v>OFF</v>
      </c>
      <c r="AN5" s="23" t="str">
        <f t="shared" si="32"/>
        <v>OFF</v>
      </c>
      <c r="AO5" s="12" t="str">
        <f>IFERROR(VLOOKUP(A5,'Nesting Phone time'!B:T,19,),"-")</f>
        <v>OFF</v>
      </c>
      <c r="AP5" s="23" t="str">
        <f t="shared" si="33"/>
        <v>OFF</v>
      </c>
      <c r="AQ5" s="12" t="str">
        <f>IFERROR(VLOOKUP(A5,'Nesting Phone time'!B:U,20,),"-")</f>
        <v>OFF</v>
      </c>
      <c r="AR5" s="23" t="str">
        <f t="shared" si="34"/>
        <v>OFF</v>
      </c>
      <c r="AS5" s="12" t="str">
        <f>IFERROR(VLOOKUP(A5,'Nesting Phone time'!B:V,21,),"-")</f>
        <v>OFF</v>
      </c>
      <c r="AT5" s="23" t="str">
        <f t="shared" si="35"/>
        <v>OFF</v>
      </c>
      <c r="AU5" s="21" t="str">
        <f>IFERROR(VLOOKUP(A5,'Nesting Phone time'!B:W,22,),"-")</f>
        <v>OFF</v>
      </c>
      <c r="AV5" s="23" t="str">
        <f t="shared" si="36"/>
        <v>OFF</v>
      </c>
      <c r="AX5" s="30">
        <v>8.3333333333333301E-2</v>
      </c>
      <c r="AY5" s="10">
        <v>1.0833333333333299</v>
      </c>
      <c r="AZ5" s="31">
        <f t="shared" si="37"/>
        <v>0</v>
      </c>
      <c r="BA5" s="31">
        <f t="shared" si="38"/>
        <v>0</v>
      </c>
      <c r="BB5" s="31">
        <f>(COUNTIFS($F$3:$F$12, "&lt;=" &amp; AX5, $G$3:$G$12, "&gt;" &amp; AX5))+COUNTIFS($D$3:$D$12, "&lt;=" &amp; AY5, $E$3:$E$12, "&gt;" &amp; AY5)</f>
        <v>0</v>
      </c>
      <c r="BC5" s="31">
        <f t="shared" si="39"/>
        <v>0</v>
      </c>
      <c r="BD5" s="31">
        <f t="shared" si="40"/>
        <v>0</v>
      </c>
      <c r="BE5" s="31">
        <f t="shared" si="41"/>
        <v>0</v>
      </c>
      <c r="BF5" s="32">
        <f t="shared" si="42"/>
        <v>0</v>
      </c>
      <c r="BH5" s="30">
        <v>8.3333333333333301E-2</v>
      </c>
      <c r="BI5" s="10">
        <v>1.0833333333333299</v>
      </c>
      <c r="BJ5" s="31">
        <f t="shared" si="43"/>
        <v>0</v>
      </c>
      <c r="BK5" s="31">
        <f t="shared" si="44"/>
        <v>0</v>
      </c>
      <c r="BL5" s="31">
        <f t="shared" si="45"/>
        <v>0</v>
      </c>
      <c r="BM5" s="31">
        <f t="shared" si="46"/>
        <v>0</v>
      </c>
      <c r="BN5" s="31">
        <f t="shared" si="47"/>
        <v>0</v>
      </c>
      <c r="BO5" s="31">
        <f t="shared" si="48"/>
        <v>0</v>
      </c>
      <c r="BP5" s="32">
        <f t="shared" si="49"/>
        <v>0</v>
      </c>
      <c r="BS5" s="51">
        <v>8.3333333333333301E-2</v>
      </c>
      <c r="BT5" s="136">
        <v>1.0833333333333299</v>
      </c>
      <c r="BU5" s="28">
        <f t="shared" si="50"/>
        <v>0</v>
      </c>
      <c r="BV5" s="132">
        <f t="shared" si="51"/>
        <v>0</v>
      </c>
      <c r="BW5" s="132">
        <f t="shared" si="52"/>
        <v>0</v>
      </c>
      <c r="BX5" s="132">
        <f t="shared" si="53"/>
        <v>0</v>
      </c>
      <c r="BY5" s="132">
        <f t="shared" si="54"/>
        <v>0</v>
      </c>
      <c r="BZ5" s="132">
        <f t="shared" si="55"/>
        <v>0</v>
      </c>
      <c r="CA5" s="29">
        <f t="shared" si="56"/>
        <v>0</v>
      </c>
      <c r="CB5" s="28">
        <f t="shared" si="1"/>
        <v>0</v>
      </c>
      <c r="CC5" s="132">
        <f t="shared" si="2"/>
        <v>0</v>
      </c>
      <c r="CD5" s="132">
        <f t="shared" si="3"/>
        <v>0</v>
      </c>
      <c r="CE5" s="132">
        <f t="shared" si="4"/>
        <v>0</v>
      </c>
      <c r="CF5" s="132">
        <f t="shared" si="5"/>
        <v>0</v>
      </c>
      <c r="CG5" s="132">
        <f t="shared" si="6"/>
        <v>0</v>
      </c>
      <c r="CH5" s="29">
        <f t="shared" si="7"/>
        <v>0</v>
      </c>
      <c r="CI5" s="28">
        <f t="shared" si="8"/>
        <v>0</v>
      </c>
      <c r="CJ5" s="132">
        <f t="shared" si="9"/>
        <v>0</v>
      </c>
      <c r="CK5" s="132">
        <f t="shared" si="10"/>
        <v>0</v>
      </c>
      <c r="CL5" s="132">
        <f t="shared" si="11"/>
        <v>0</v>
      </c>
      <c r="CM5" s="132">
        <f t="shared" si="12"/>
        <v>0</v>
      </c>
      <c r="CN5" s="132">
        <f t="shared" si="13"/>
        <v>0</v>
      </c>
      <c r="CO5" s="29">
        <f t="shared" si="14"/>
        <v>0</v>
      </c>
    </row>
    <row r="6" spans="1:97" ht="15.75" thickBot="1" x14ac:dyDescent="0.3">
      <c r="A6" s="20" t="str">
        <f>'Nesting Phone time'!B7</f>
        <v>Mikhaela Palma Detera</v>
      </c>
      <c r="B6" s="12">
        <f>IFERROR(VLOOKUP(A6,'Nesting Phone time'!B:I,2,),"-")</f>
        <v>0.58333333333333337</v>
      </c>
      <c r="C6" s="23">
        <f t="shared" si="15"/>
        <v>0.95833333333333337</v>
      </c>
      <c r="D6" s="12" t="str">
        <f>IFERROR(VLOOKUP(A6,'Nesting Phone time'!B:I,3,),"-")</f>
        <v>OFF</v>
      </c>
      <c r="E6" s="23" t="str">
        <f t="shared" si="16"/>
        <v>OFF</v>
      </c>
      <c r="F6" s="12">
        <f>IFERROR(VLOOKUP(A6,'Nesting Phone time'!B:I,4,),"-")</f>
        <v>0.58333333333333337</v>
      </c>
      <c r="G6" s="23">
        <f t="shared" si="17"/>
        <v>0.95833333333333337</v>
      </c>
      <c r="H6" s="12">
        <f>IFERROR(VLOOKUP(A6,'Nesting Phone time'!B:I,5,),"-")</f>
        <v>0.58333333333333337</v>
      </c>
      <c r="I6" s="23">
        <f t="shared" si="18"/>
        <v>0.95833333333333337</v>
      </c>
      <c r="J6" s="12">
        <f>IFERROR(VLOOKUP(A6,'Nesting Phone time'!B:I,6,),"-")</f>
        <v>0.58333333333333337</v>
      </c>
      <c r="K6" s="23">
        <f t="shared" si="19"/>
        <v>0.95833333333333337</v>
      </c>
      <c r="L6" s="12" t="str">
        <f>IFERROR(VLOOKUP(A6,'Nesting Phone time'!B:I,7,),"-")</f>
        <v>OFF</v>
      </c>
      <c r="M6" s="23" t="str">
        <f t="shared" si="20"/>
        <v>OFF</v>
      </c>
      <c r="N6" s="12">
        <f>IFERROR(VLOOKUP(A6,'Nesting Phone time'!B:I,8,),"-")</f>
        <v>0.58333333333333337</v>
      </c>
      <c r="O6" s="23">
        <f t="shared" si="21"/>
        <v>0.95833333333333337</v>
      </c>
      <c r="Q6" s="12">
        <f>IFERROR(VLOOKUP(A6,'Nesting Phone time'!B:Y,24,),"-")</f>
        <v>0.58333333333333337</v>
      </c>
      <c r="R6" s="23">
        <f t="shared" si="22"/>
        <v>0.95833333333333337</v>
      </c>
      <c r="T6" s="25">
        <f>IFERROR(VLOOKUP(A6,'Nesting Phone time'!$B:$J,9,),"-")</f>
        <v>0.58333333333333337</v>
      </c>
      <c r="U6" s="23">
        <f t="shared" si="23"/>
        <v>0.95833333333333337</v>
      </c>
      <c r="V6" s="12">
        <f>IFERROR(VLOOKUP(A6,'Nesting Phone time'!B:K,10,),"-")</f>
        <v>0.58333333333333337</v>
      </c>
      <c r="W6" s="23">
        <f t="shared" si="24"/>
        <v>0.95833333333333337</v>
      </c>
      <c r="X6" s="12">
        <f>IFERROR(VLOOKUP(A6,'Nesting Phone time'!B:L,11,),"-")</f>
        <v>0.58333333333333337</v>
      </c>
      <c r="Y6" s="23">
        <f t="shared" si="25"/>
        <v>0.95833333333333337</v>
      </c>
      <c r="Z6" s="12">
        <f>IFERROR(VLOOKUP(A6,'Nesting Phone time'!B:M,12,),"-")</f>
        <v>0.58333333333333337</v>
      </c>
      <c r="AA6" s="23">
        <f t="shared" si="26"/>
        <v>0.95833333333333337</v>
      </c>
      <c r="AB6" s="12" t="str">
        <f>IFERROR(VLOOKUP(A6,'Nesting Phone time'!B:N,13,),"-")</f>
        <v>OFF</v>
      </c>
      <c r="AC6" s="23" t="str">
        <f t="shared" si="27"/>
        <v>OFF</v>
      </c>
      <c r="AD6" s="12" t="str">
        <f>IFERROR(VLOOKUP(A6,'Nesting Phone time'!B:O,14,),"-")</f>
        <v>OFF</v>
      </c>
      <c r="AE6" s="23" t="str">
        <f t="shared" si="28"/>
        <v>OFF</v>
      </c>
      <c r="AF6" s="21">
        <f>IFERROR(VLOOKUP(A6,'Nesting Phone time'!B:P,15,),"-")</f>
        <v>0.58333333333333337</v>
      </c>
      <c r="AG6" s="23">
        <f t="shared" si="29"/>
        <v>0.95833333333333337</v>
      </c>
      <c r="AI6" s="25">
        <f>IFERROR(VLOOKUP(A6,'Nesting Phone time'!$B:$Q,16,),"-")</f>
        <v>0.58333333333333337</v>
      </c>
      <c r="AJ6" s="23">
        <f t="shared" si="30"/>
        <v>0.95833333333333337</v>
      </c>
      <c r="AK6" s="12">
        <f>IFERROR(VLOOKUP(A6,'Nesting Phone time'!B:R,17,),"-")</f>
        <v>0.58333333333333337</v>
      </c>
      <c r="AL6" s="23">
        <f t="shared" si="31"/>
        <v>0.95833333333333337</v>
      </c>
      <c r="AM6" s="12">
        <f>IFERROR(VLOOKUP(A6,'Nesting Phone time'!B:S,18,),"-")</f>
        <v>0.58333333333333337</v>
      </c>
      <c r="AN6" s="23">
        <f t="shared" si="32"/>
        <v>0.95833333333333337</v>
      </c>
      <c r="AO6" s="12">
        <f>IFERROR(VLOOKUP(A6,'Nesting Phone time'!B:T,19,),"-")</f>
        <v>0.58333333333333337</v>
      </c>
      <c r="AP6" s="23">
        <f t="shared" si="33"/>
        <v>0.95833333333333337</v>
      </c>
      <c r="AQ6" s="12" t="str">
        <f>IFERROR(VLOOKUP(A6,'Nesting Phone time'!B:U,20,),"-")</f>
        <v>OFF</v>
      </c>
      <c r="AR6" s="23" t="str">
        <f t="shared" si="34"/>
        <v>OFF</v>
      </c>
      <c r="AS6" s="12" t="str">
        <f>IFERROR(VLOOKUP(A6,'Nesting Phone time'!B:V,21,),"-")</f>
        <v>OFF</v>
      </c>
      <c r="AT6" s="23" t="str">
        <f t="shared" si="35"/>
        <v>OFF</v>
      </c>
      <c r="AU6" s="21">
        <f>IFERROR(VLOOKUP(A6,'Nesting Phone time'!B:W,22,),"-")</f>
        <v>0.58333333333333337</v>
      </c>
      <c r="AV6" s="23">
        <f t="shared" si="36"/>
        <v>0.95833333333333337</v>
      </c>
      <c r="AX6" s="30">
        <v>0.125</v>
      </c>
      <c r="AY6" s="10">
        <v>1.125</v>
      </c>
      <c r="AZ6" s="31">
        <f t="shared" si="37"/>
        <v>0</v>
      </c>
      <c r="BA6" s="31">
        <f t="shared" si="38"/>
        <v>0</v>
      </c>
      <c r="BB6" s="31">
        <f t="shared" ref="BB6:BB26" si="57">(COUNTIFS($F$3:$F$12, "&lt;=" &amp; AX6, $G$3:$G$12, "&gt;" &amp; AX6))+COUNTIFS($D$3:$D$12, "&lt;=" &amp; AY6, $E$3:$E$12, "&gt;" &amp; AY6)</f>
        <v>0</v>
      </c>
      <c r="BC6" s="31">
        <f t="shared" si="39"/>
        <v>0</v>
      </c>
      <c r="BD6" s="31">
        <f t="shared" si="40"/>
        <v>0</v>
      </c>
      <c r="BE6" s="31">
        <f>(COUNTIFS($L$3:$L$12, "&lt;=" &amp; AX6, $M$3:$M$12, "&gt;" &amp; AX6))+COUNTIFS($J$3:$J$12, "&lt;=" &amp; AY6, $K$3:$K$12, "&gt;" &amp; AY6)</f>
        <v>0</v>
      </c>
      <c r="BF6" s="32">
        <f t="shared" si="42"/>
        <v>0</v>
      </c>
      <c r="BH6" s="30">
        <v>0.125</v>
      </c>
      <c r="BI6" s="10">
        <v>1.125</v>
      </c>
      <c r="BJ6" s="31">
        <f t="shared" si="43"/>
        <v>0</v>
      </c>
      <c r="BK6" s="31">
        <f t="shared" si="44"/>
        <v>0</v>
      </c>
      <c r="BL6" s="31">
        <f t="shared" si="45"/>
        <v>0</v>
      </c>
      <c r="BM6" s="31">
        <f t="shared" si="46"/>
        <v>0</v>
      </c>
      <c r="BN6" s="31">
        <f t="shared" si="47"/>
        <v>0</v>
      </c>
      <c r="BO6" s="31">
        <f t="shared" si="48"/>
        <v>0</v>
      </c>
      <c r="BP6" s="32">
        <f t="shared" si="49"/>
        <v>0</v>
      </c>
      <c r="BS6" s="51">
        <v>0.125</v>
      </c>
      <c r="BT6" s="136">
        <v>1.125</v>
      </c>
      <c r="BU6" s="28">
        <f t="shared" si="50"/>
        <v>0</v>
      </c>
      <c r="BV6" s="132">
        <f t="shared" si="51"/>
        <v>0</v>
      </c>
      <c r="BW6" s="132">
        <f t="shared" si="52"/>
        <v>0</v>
      </c>
      <c r="BX6" s="132">
        <f t="shared" si="53"/>
        <v>0</v>
      </c>
      <c r="BY6" s="132">
        <f t="shared" si="54"/>
        <v>0</v>
      </c>
      <c r="BZ6" s="132">
        <f t="shared" si="55"/>
        <v>0</v>
      </c>
      <c r="CA6" s="29">
        <f t="shared" si="56"/>
        <v>0</v>
      </c>
      <c r="CB6" s="28">
        <f t="shared" si="1"/>
        <v>0</v>
      </c>
      <c r="CC6" s="132">
        <f t="shared" si="2"/>
        <v>0</v>
      </c>
      <c r="CD6" s="132">
        <f t="shared" si="3"/>
        <v>0</v>
      </c>
      <c r="CE6" s="132">
        <f t="shared" si="4"/>
        <v>0</v>
      </c>
      <c r="CF6" s="132">
        <f t="shared" si="5"/>
        <v>0</v>
      </c>
      <c r="CG6" s="132">
        <f t="shared" si="6"/>
        <v>0</v>
      </c>
      <c r="CH6" s="29">
        <f t="shared" si="7"/>
        <v>0</v>
      </c>
      <c r="CI6" s="28">
        <f t="shared" si="8"/>
        <v>0</v>
      </c>
      <c r="CJ6" s="132">
        <f t="shared" si="9"/>
        <v>0</v>
      </c>
      <c r="CK6" s="132">
        <f t="shared" si="10"/>
        <v>0</v>
      </c>
      <c r="CL6" s="132">
        <f t="shared" si="11"/>
        <v>0</v>
      </c>
      <c r="CM6" s="132">
        <f t="shared" si="12"/>
        <v>0</v>
      </c>
      <c r="CN6" s="132">
        <f t="shared" si="13"/>
        <v>0</v>
      </c>
      <c r="CO6" s="29">
        <f t="shared" si="14"/>
        <v>0</v>
      </c>
    </row>
    <row r="7" spans="1:97" ht="15.75" thickBot="1" x14ac:dyDescent="0.3">
      <c r="A7" s="20" t="str">
        <f>'Nesting Phone time'!B8</f>
        <v>Jenel Prieto Advincula</v>
      </c>
      <c r="B7" s="12">
        <f>IFERROR(VLOOKUP(A7,'Nesting Phone time'!B:I,2,),"-")</f>
        <v>0.58333333333333337</v>
      </c>
      <c r="C7" s="23">
        <f t="shared" si="15"/>
        <v>0.95833333333333337</v>
      </c>
      <c r="D7" s="12" t="str">
        <f>IFERROR(VLOOKUP(A7,'Nesting Phone time'!B:I,3,),"-")</f>
        <v>OFF</v>
      </c>
      <c r="E7" s="23" t="str">
        <f t="shared" si="16"/>
        <v>OFF</v>
      </c>
      <c r="F7" s="12">
        <f>IFERROR(VLOOKUP(A7,'Nesting Phone time'!B:I,4,),"-")</f>
        <v>0.58333333333333337</v>
      </c>
      <c r="G7" s="23">
        <f t="shared" si="17"/>
        <v>0.95833333333333337</v>
      </c>
      <c r="H7" s="12">
        <f>IFERROR(VLOOKUP(A7,'Nesting Phone time'!B:I,5,),"-")</f>
        <v>0.58333333333333337</v>
      </c>
      <c r="I7" s="23">
        <f t="shared" si="18"/>
        <v>0.95833333333333337</v>
      </c>
      <c r="J7" s="12">
        <f>IFERROR(VLOOKUP(A7,'Nesting Phone time'!B:I,6,),"-")</f>
        <v>0.58333333333333337</v>
      </c>
      <c r="K7" s="23">
        <f t="shared" si="19"/>
        <v>0.95833333333333337</v>
      </c>
      <c r="L7" s="12" t="str">
        <f>IFERROR(VLOOKUP(A7,'Nesting Phone time'!B:I,7,),"-")</f>
        <v>OFF</v>
      </c>
      <c r="M7" s="23" t="str">
        <f t="shared" si="20"/>
        <v>OFF</v>
      </c>
      <c r="N7" s="12">
        <f>IFERROR(VLOOKUP(A7,'Nesting Phone time'!B:I,8,),"-")</f>
        <v>0.58333333333333337</v>
      </c>
      <c r="O7" s="23">
        <f t="shared" si="21"/>
        <v>0.95833333333333337</v>
      </c>
      <c r="Q7" s="12">
        <f>IFERROR(VLOOKUP(A7,'Nesting Phone time'!B:Y,24,),"-")</f>
        <v>0.58333333333333337</v>
      </c>
      <c r="R7" s="23">
        <f t="shared" si="22"/>
        <v>0.95833333333333337</v>
      </c>
      <c r="T7" s="25">
        <f>IFERROR(VLOOKUP(A7,'Nesting Phone time'!$B:$J,9,),"-")</f>
        <v>0.58333333333333337</v>
      </c>
      <c r="U7" s="23">
        <f t="shared" si="23"/>
        <v>0.95833333333333337</v>
      </c>
      <c r="V7" s="12">
        <f>IFERROR(VLOOKUP(A7,'Nesting Phone time'!B:K,10,),"-")</f>
        <v>0.58333333333333337</v>
      </c>
      <c r="W7" s="23">
        <f t="shared" si="24"/>
        <v>0.95833333333333337</v>
      </c>
      <c r="X7" s="12">
        <f>IFERROR(VLOOKUP(A7,'Nesting Phone time'!B:L,11,),"-")</f>
        <v>0.58333333333333337</v>
      </c>
      <c r="Y7" s="23">
        <f t="shared" si="25"/>
        <v>0.95833333333333337</v>
      </c>
      <c r="Z7" s="12">
        <f>IFERROR(VLOOKUP(A7,'Nesting Phone time'!B:M,12,),"-")</f>
        <v>0.58333333333333337</v>
      </c>
      <c r="AA7" s="23">
        <f t="shared" si="26"/>
        <v>0.95833333333333337</v>
      </c>
      <c r="AB7" s="12" t="str">
        <f>IFERROR(VLOOKUP(A7,'Nesting Phone time'!B:N,13,),"-")</f>
        <v>OFF</v>
      </c>
      <c r="AC7" s="23" t="str">
        <f t="shared" si="27"/>
        <v>OFF</v>
      </c>
      <c r="AD7" s="12" t="str">
        <f>IFERROR(VLOOKUP(A7,'Nesting Phone time'!B:O,14,),"-")</f>
        <v>OFF</v>
      </c>
      <c r="AE7" s="23" t="str">
        <f t="shared" si="28"/>
        <v>OFF</v>
      </c>
      <c r="AF7" s="21">
        <f>IFERROR(VLOOKUP(A7,'Nesting Phone time'!B:P,15,),"-")</f>
        <v>0.58333333333333337</v>
      </c>
      <c r="AG7" s="23">
        <f t="shared" si="29"/>
        <v>0.95833333333333337</v>
      </c>
      <c r="AI7" s="25">
        <f>IFERROR(VLOOKUP(A7,'Nesting Phone time'!$B:$Q,16,),"-")</f>
        <v>0.58333333333333337</v>
      </c>
      <c r="AJ7" s="23">
        <f t="shared" si="30"/>
        <v>0.95833333333333337</v>
      </c>
      <c r="AK7" s="12">
        <f>IFERROR(VLOOKUP(A7,'Nesting Phone time'!B:R,17,),"-")</f>
        <v>0.58333333333333337</v>
      </c>
      <c r="AL7" s="23">
        <f t="shared" si="31"/>
        <v>0.95833333333333337</v>
      </c>
      <c r="AM7" s="12">
        <f>IFERROR(VLOOKUP(A7,'Nesting Phone time'!B:S,18,),"-")</f>
        <v>0.58333333333333337</v>
      </c>
      <c r="AN7" s="23">
        <f t="shared" si="32"/>
        <v>0.95833333333333337</v>
      </c>
      <c r="AO7" s="12">
        <f>IFERROR(VLOOKUP(A7,'Nesting Phone time'!B:T,19,),"-")</f>
        <v>0.58333333333333337</v>
      </c>
      <c r="AP7" s="23">
        <f t="shared" si="33"/>
        <v>0.95833333333333337</v>
      </c>
      <c r="AQ7" s="12" t="str">
        <f>IFERROR(VLOOKUP(A7,'Nesting Phone time'!B:U,20,),"-")</f>
        <v>OFF</v>
      </c>
      <c r="AR7" s="23" t="str">
        <f t="shared" si="34"/>
        <v>OFF</v>
      </c>
      <c r="AS7" s="12" t="str">
        <f>IFERROR(VLOOKUP(A7,'Nesting Phone time'!B:V,21,),"-")</f>
        <v>OFF</v>
      </c>
      <c r="AT7" s="23" t="str">
        <f t="shared" si="35"/>
        <v>OFF</v>
      </c>
      <c r="AU7" s="21">
        <f>IFERROR(VLOOKUP(A7,'Nesting Phone time'!B:W,22,),"-")</f>
        <v>0.58333333333333337</v>
      </c>
      <c r="AV7" s="23">
        <f t="shared" si="36"/>
        <v>0.95833333333333337</v>
      </c>
      <c r="AX7" s="30">
        <v>0.16666666666666699</v>
      </c>
      <c r="AY7" s="10">
        <v>1.1666666666666701</v>
      </c>
      <c r="AZ7" s="31">
        <f t="shared" si="37"/>
        <v>0</v>
      </c>
      <c r="BA7" s="31">
        <f t="shared" si="38"/>
        <v>0</v>
      </c>
      <c r="BB7" s="31">
        <f t="shared" si="57"/>
        <v>0</v>
      </c>
      <c r="BC7" s="31">
        <f t="shared" si="39"/>
        <v>0</v>
      </c>
      <c r="BD7" s="31">
        <f t="shared" si="40"/>
        <v>0</v>
      </c>
      <c r="BE7" s="31">
        <f>(COUNTIFS($L$3:$L$12, "&lt;=" &amp; AX7, $M$3:$M$12, "&gt;" &amp; AX7))+COUNTIFS($J$3:$J$12, "&lt;=" &amp; AY7, $K$3:$K$12, "&gt;" &amp; AY7)</f>
        <v>0</v>
      </c>
      <c r="BF7" s="32">
        <f t="shared" si="42"/>
        <v>0</v>
      </c>
      <c r="BH7" s="30">
        <v>0.16666666666666699</v>
      </c>
      <c r="BI7" s="10">
        <v>1.1666666666666601</v>
      </c>
      <c r="BJ7" s="31">
        <f t="shared" si="43"/>
        <v>0</v>
      </c>
      <c r="BK7" s="31">
        <f t="shared" si="44"/>
        <v>0</v>
      </c>
      <c r="BL7" s="31">
        <f t="shared" si="45"/>
        <v>0</v>
      </c>
      <c r="BM7" s="31">
        <f t="shared" si="46"/>
        <v>0</v>
      </c>
      <c r="BN7" s="31">
        <f t="shared" si="47"/>
        <v>0</v>
      </c>
      <c r="BO7" s="31">
        <f t="shared" si="48"/>
        <v>0</v>
      </c>
      <c r="BP7" s="32">
        <f t="shared" si="49"/>
        <v>0</v>
      </c>
      <c r="BS7" s="51">
        <v>0.16666666666666699</v>
      </c>
      <c r="BT7" s="136">
        <v>1.1666666666666701</v>
      </c>
      <c r="BU7" s="28">
        <f t="shared" si="50"/>
        <v>0</v>
      </c>
      <c r="BV7" s="132">
        <f t="shared" si="51"/>
        <v>0</v>
      </c>
      <c r="BW7" s="132">
        <f t="shared" si="52"/>
        <v>0</v>
      </c>
      <c r="BX7" s="132">
        <f t="shared" si="53"/>
        <v>0</v>
      </c>
      <c r="BY7" s="132">
        <f t="shared" si="54"/>
        <v>0</v>
      </c>
      <c r="BZ7" s="132">
        <f t="shared" si="55"/>
        <v>0</v>
      </c>
      <c r="CA7" s="29">
        <f t="shared" si="56"/>
        <v>0</v>
      </c>
      <c r="CB7" s="28">
        <f t="shared" si="1"/>
        <v>0</v>
      </c>
      <c r="CC7" s="132">
        <f t="shared" si="2"/>
        <v>0</v>
      </c>
      <c r="CD7" s="132">
        <f t="shared" si="3"/>
        <v>0</v>
      </c>
      <c r="CE7" s="132">
        <f t="shared" si="4"/>
        <v>0</v>
      </c>
      <c r="CF7" s="132">
        <f t="shared" si="5"/>
        <v>0</v>
      </c>
      <c r="CG7" s="132">
        <f t="shared" si="6"/>
        <v>0</v>
      </c>
      <c r="CH7" s="29">
        <f t="shared" si="7"/>
        <v>0</v>
      </c>
      <c r="CI7" s="28">
        <f t="shared" si="8"/>
        <v>0</v>
      </c>
      <c r="CJ7" s="132">
        <f t="shared" si="9"/>
        <v>0</v>
      </c>
      <c r="CK7" s="132">
        <f t="shared" si="10"/>
        <v>0</v>
      </c>
      <c r="CL7" s="132">
        <f t="shared" si="11"/>
        <v>0</v>
      </c>
      <c r="CM7" s="132">
        <f t="shared" si="12"/>
        <v>0</v>
      </c>
      <c r="CN7" s="132">
        <f t="shared" si="13"/>
        <v>0</v>
      </c>
      <c r="CO7" s="29">
        <f t="shared" si="14"/>
        <v>0</v>
      </c>
    </row>
    <row r="8" spans="1:97" ht="15.75" thickBot="1" x14ac:dyDescent="0.3">
      <c r="A8" s="20" t="str">
        <f>'Nesting Phone time'!B9</f>
        <v>John Federico Alfonso Tribunal Teruel</v>
      </c>
      <c r="B8" s="12">
        <f>IFERROR(VLOOKUP(A8,'Nesting Phone time'!B:I,2,),"-")</f>
        <v>0.58333333333333337</v>
      </c>
      <c r="C8" s="23">
        <f t="shared" si="15"/>
        <v>0.95833333333333337</v>
      </c>
      <c r="D8" s="12" t="str">
        <f>IFERROR(VLOOKUP(A8,'Nesting Phone time'!B:I,3,),"-")</f>
        <v>OFF</v>
      </c>
      <c r="E8" s="23" t="str">
        <f t="shared" si="16"/>
        <v>OFF</v>
      </c>
      <c r="F8" s="12">
        <f>IFERROR(VLOOKUP(A8,'Nesting Phone time'!B:I,4,),"-")</f>
        <v>0.58333333333333337</v>
      </c>
      <c r="G8" s="23">
        <f t="shared" si="17"/>
        <v>0.95833333333333337</v>
      </c>
      <c r="H8" s="12">
        <f>IFERROR(VLOOKUP(A8,'Nesting Phone time'!B:I,5,),"-")</f>
        <v>0.58333333333333337</v>
      </c>
      <c r="I8" s="23">
        <f t="shared" si="18"/>
        <v>0.95833333333333337</v>
      </c>
      <c r="J8" s="12">
        <f>IFERROR(VLOOKUP(A8,'Nesting Phone time'!B:I,6,),"-")</f>
        <v>0.58333333333333337</v>
      </c>
      <c r="K8" s="23">
        <f t="shared" si="19"/>
        <v>0.95833333333333337</v>
      </c>
      <c r="L8" s="12" t="str">
        <f>IFERROR(VLOOKUP(A8,'Nesting Phone time'!B:I,7,),"-")</f>
        <v>OFF</v>
      </c>
      <c r="M8" s="23" t="str">
        <f t="shared" si="20"/>
        <v>OFF</v>
      </c>
      <c r="N8" s="12">
        <f>IFERROR(VLOOKUP(A8,'Nesting Phone time'!B:I,8,),"-")</f>
        <v>0.58333333333333337</v>
      </c>
      <c r="O8" s="23">
        <f t="shared" si="21"/>
        <v>0.95833333333333337</v>
      </c>
      <c r="Q8" s="12">
        <f>IFERROR(VLOOKUP(A8,'Nesting Phone time'!B:Y,24,),"-")</f>
        <v>0.58333333333333337</v>
      </c>
      <c r="R8" s="23">
        <f t="shared" si="22"/>
        <v>0.95833333333333337</v>
      </c>
      <c r="T8" s="25">
        <f>IFERROR(VLOOKUP(A8,'Nesting Phone time'!$B:$J,9,),"-")</f>
        <v>0.58333333333333337</v>
      </c>
      <c r="U8" s="23">
        <f t="shared" si="23"/>
        <v>0.95833333333333337</v>
      </c>
      <c r="V8" s="12">
        <f>IFERROR(VLOOKUP(A8,'Nesting Phone time'!B:K,10,),"-")</f>
        <v>0.58333333333333337</v>
      </c>
      <c r="W8" s="23">
        <f t="shared" si="24"/>
        <v>0.95833333333333337</v>
      </c>
      <c r="X8" s="12">
        <f>IFERROR(VLOOKUP(A8,'Nesting Phone time'!B:L,11,),"-")</f>
        <v>0.58333333333333337</v>
      </c>
      <c r="Y8" s="23">
        <f t="shared" si="25"/>
        <v>0.95833333333333337</v>
      </c>
      <c r="Z8" s="12">
        <f>IFERROR(VLOOKUP(A8,'Nesting Phone time'!B:M,12,),"-")</f>
        <v>0.58333333333333337</v>
      </c>
      <c r="AA8" s="23">
        <f t="shared" si="26"/>
        <v>0.95833333333333337</v>
      </c>
      <c r="AB8" s="12" t="str">
        <f>IFERROR(VLOOKUP(A8,'Nesting Phone time'!B:N,13,),"-")</f>
        <v>OFF</v>
      </c>
      <c r="AC8" s="23" t="str">
        <f t="shared" si="27"/>
        <v>OFF</v>
      </c>
      <c r="AD8" s="12" t="str">
        <f>IFERROR(VLOOKUP(A8,'Nesting Phone time'!B:O,14,),"-")</f>
        <v>OFF</v>
      </c>
      <c r="AE8" s="23" t="str">
        <f t="shared" si="28"/>
        <v>OFF</v>
      </c>
      <c r="AF8" s="21">
        <f>IFERROR(VLOOKUP(A8,'Nesting Phone time'!B:P,15,),"-")</f>
        <v>0.58333333333333337</v>
      </c>
      <c r="AG8" s="23">
        <f t="shared" si="29"/>
        <v>0.95833333333333337</v>
      </c>
      <c r="AI8" s="25">
        <f>IFERROR(VLOOKUP(A8,'Nesting Phone time'!$B:$Q,16,),"-")</f>
        <v>0.58333333333333337</v>
      </c>
      <c r="AJ8" s="23">
        <f t="shared" si="30"/>
        <v>0.95833333333333337</v>
      </c>
      <c r="AK8" s="12">
        <f>IFERROR(VLOOKUP(A8,'Nesting Phone time'!B:R,17,),"-")</f>
        <v>0.58333333333333337</v>
      </c>
      <c r="AL8" s="23">
        <f t="shared" si="31"/>
        <v>0.95833333333333337</v>
      </c>
      <c r="AM8" s="12">
        <f>IFERROR(VLOOKUP(A8,'Nesting Phone time'!B:S,18,),"-")</f>
        <v>0.58333333333333337</v>
      </c>
      <c r="AN8" s="23">
        <f t="shared" si="32"/>
        <v>0.95833333333333337</v>
      </c>
      <c r="AO8" s="12">
        <f>IFERROR(VLOOKUP(A8,'Nesting Phone time'!B:T,19,),"-")</f>
        <v>0.58333333333333337</v>
      </c>
      <c r="AP8" s="23">
        <f t="shared" si="33"/>
        <v>0.95833333333333337</v>
      </c>
      <c r="AQ8" s="12" t="str">
        <f>IFERROR(VLOOKUP(A8,'Nesting Phone time'!B:U,20,),"-")</f>
        <v>OFF</v>
      </c>
      <c r="AR8" s="23" t="str">
        <f t="shared" si="34"/>
        <v>OFF</v>
      </c>
      <c r="AS8" s="12" t="str">
        <f>IFERROR(VLOOKUP(A8,'Nesting Phone time'!B:V,21,),"-")</f>
        <v>OFF</v>
      </c>
      <c r="AT8" s="23" t="str">
        <f t="shared" si="35"/>
        <v>OFF</v>
      </c>
      <c r="AU8" s="21">
        <f>IFERROR(VLOOKUP(A8,'Nesting Phone time'!B:W,22,),"-")</f>
        <v>0.58333333333333337</v>
      </c>
      <c r="AV8" s="23">
        <f t="shared" si="36"/>
        <v>0.95833333333333337</v>
      </c>
      <c r="AX8" s="30">
        <v>0.20833333333333301</v>
      </c>
      <c r="AY8" s="10">
        <v>1.2083333333333399</v>
      </c>
      <c r="AZ8" s="31">
        <f t="shared" si="37"/>
        <v>0</v>
      </c>
      <c r="BA8" s="31">
        <f t="shared" si="38"/>
        <v>0</v>
      </c>
      <c r="BB8" s="31">
        <f t="shared" si="57"/>
        <v>0</v>
      </c>
      <c r="BC8" s="31">
        <f t="shared" si="39"/>
        <v>0</v>
      </c>
      <c r="BD8" s="31">
        <f t="shared" si="40"/>
        <v>0</v>
      </c>
      <c r="BE8" s="31">
        <f t="shared" si="41"/>
        <v>0</v>
      </c>
      <c r="BF8" s="32">
        <f t="shared" si="42"/>
        <v>0</v>
      </c>
      <c r="BH8" s="30">
        <v>0.20833333333333301</v>
      </c>
      <c r="BI8" s="10">
        <v>1.2083333333333299</v>
      </c>
      <c r="BJ8" s="31">
        <f t="shared" si="43"/>
        <v>0</v>
      </c>
      <c r="BK8" s="31">
        <f t="shared" si="44"/>
        <v>0</v>
      </c>
      <c r="BL8" s="31">
        <f t="shared" si="45"/>
        <v>0</v>
      </c>
      <c r="BM8" s="31">
        <f t="shared" si="46"/>
        <v>0</v>
      </c>
      <c r="BN8" s="31">
        <f t="shared" si="47"/>
        <v>0</v>
      </c>
      <c r="BO8" s="31">
        <f t="shared" si="48"/>
        <v>0</v>
      </c>
      <c r="BP8" s="32">
        <f t="shared" si="49"/>
        <v>0</v>
      </c>
      <c r="BS8" s="51">
        <v>0.20833333333333334</v>
      </c>
      <c r="BT8" s="136">
        <v>1.2083333333333399</v>
      </c>
      <c r="BU8" s="28">
        <f>COUNTIFS(Q:Q, "&lt;=" &amp; BT8, R:R, "&gt;" &amp; BT8)+COUNTIFS(B:B, "&lt;=" &amp; BS8, C:C, "&gt;" &amp; BS8)</f>
        <v>0</v>
      </c>
      <c r="BV8" s="132">
        <f t="shared" si="51"/>
        <v>0</v>
      </c>
      <c r="BW8" s="132">
        <f t="shared" si="52"/>
        <v>0</v>
      </c>
      <c r="BX8" s="132">
        <f t="shared" si="53"/>
        <v>0</v>
      </c>
      <c r="BY8" s="132">
        <f t="shared" si="54"/>
        <v>0</v>
      </c>
      <c r="BZ8" s="132">
        <f t="shared" si="55"/>
        <v>0</v>
      </c>
      <c r="CA8" s="29">
        <f t="shared" si="56"/>
        <v>0</v>
      </c>
      <c r="CB8" s="28">
        <f t="shared" si="1"/>
        <v>0</v>
      </c>
      <c r="CC8" s="132">
        <f t="shared" si="2"/>
        <v>0</v>
      </c>
      <c r="CD8" s="132">
        <f t="shared" si="3"/>
        <v>0</v>
      </c>
      <c r="CE8" s="132">
        <f t="shared" si="4"/>
        <v>0</v>
      </c>
      <c r="CF8" s="132">
        <f t="shared" si="5"/>
        <v>0</v>
      </c>
      <c r="CG8" s="132">
        <f t="shared" si="6"/>
        <v>0</v>
      </c>
      <c r="CH8" s="29">
        <f t="shared" si="7"/>
        <v>0</v>
      </c>
      <c r="CI8" s="28">
        <f t="shared" si="8"/>
        <v>0</v>
      </c>
      <c r="CJ8" s="132">
        <f t="shared" si="9"/>
        <v>0</v>
      </c>
      <c r="CK8" s="132">
        <f t="shared" si="10"/>
        <v>0</v>
      </c>
      <c r="CL8" s="132">
        <f t="shared" si="11"/>
        <v>0</v>
      </c>
      <c r="CM8" s="132">
        <f t="shared" si="12"/>
        <v>0</v>
      </c>
      <c r="CN8" s="132">
        <f t="shared" si="13"/>
        <v>0</v>
      </c>
      <c r="CO8" s="29">
        <f t="shared" si="14"/>
        <v>0</v>
      </c>
    </row>
    <row r="9" spans="1:97" ht="15.75" thickBot="1" x14ac:dyDescent="0.3">
      <c r="A9" s="20" t="str">
        <f>'Nesting Phone time'!B10</f>
        <v>Jevel Von Bance Grate</v>
      </c>
      <c r="B9" s="12">
        <f>IFERROR(VLOOKUP(A9,'Nesting Phone time'!B:I,2,),"-")</f>
        <v>0.58333333333333337</v>
      </c>
      <c r="C9" s="23">
        <f t="shared" si="15"/>
        <v>0.95833333333333337</v>
      </c>
      <c r="D9" s="12" t="str">
        <f>IFERROR(VLOOKUP(A9,'Nesting Phone time'!B:I,3,),"-")</f>
        <v>OFF</v>
      </c>
      <c r="E9" s="23" t="str">
        <f t="shared" si="16"/>
        <v>OFF</v>
      </c>
      <c r="F9" s="12">
        <f>IFERROR(VLOOKUP(A9,'Nesting Phone time'!B:I,4,),"-")</f>
        <v>0.58333333333333337</v>
      </c>
      <c r="G9" s="23">
        <f t="shared" si="17"/>
        <v>0.95833333333333337</v>
      </c>
      <c r="H9" s="12">
        <f>IFERROR(VLOOKUP(A9,'Nesting Phone time'!B:I,5,),"-")</f>
        <v>0.58333333333333337</v>
      </c>
      <c r="I9" s="23">
        <f t="shared" si="18"/>
        <v>0.95833333333333337</v>
      </c>
      <c r="J9" s="12">
        <f>IFERROR(VLOOKUP(A9,'Nesting Phone time'!B:I,6,),"-")</f>
        <v>0.58333333333333337</v>
      </c>
      <c r="K9" s="23">
        <f t="shared" si="19"/>
        <v>0.95833333333333337</v>
      </c>
      <c r="L9" s="12" t="str">
        <f>IFERROR(VLOOKUP(A9,'Nesting Phone time'!B:I,7,),"-")</f>
        <v>OFF</v>
      </c>
      <c r="M9" s="23" t="str">
        <f t="shared" si="20"/>
        <v>OFF</v>
      </c>
      <c r="N9" s="12">
        <f>IFERROR(VLOOKUP(A9,'Nesting Phone time'!B:I,8,),"-")</f>
        <v>0.58333333333333337</v>
      </c>
      <c r="O9" s="23">
        <f t="shared" si="21"/>
        <v>0.95833333333333337</v>
      </c>
      <c r="Q9" s="12">
        <f>IFERROR(VLOOKUP(A9,'Nesting Phone time'!B:Y,24,),"-")</f>
        <v>0.58333333333333337</v>
      </c>
      <c r="R9" s="23">
        <f t="shared" si="22"/>
        <v>0.95833333333333337</v>
      </c>
      <c r="T9" s="25">
        <f>IFERROR(VLOOKUP(A9,'Nesting Phone time'!$B:$J,9,),"-")</f>
        <v>0.58333333333333337</v>
      </c>
      <c r="U9" s="23">
        <f t="shared" si="23"/>
        <v>0.95833333333333337</v>
      </c>
      <c r="V9" s="12">
        <f>IFERROR(VLOOKUP(A9,'Nesting Phone time'!B:K,10,),"-")</f>
        <v>0.58333333333333337</v>
      </c>
      <c r="W9" s="23">
        <f t="shared" si="24"/>
        <v>0.95833333333333337</v>
      </c>
      <c r="X9" s="12">
        <f>IFERROR(VLOOKUP(A9,'Nesting Phone time'!B:L,11,),"-")</f>
        <v>0.58333333333333337</v>
      </c>
      <c r="Y9" s="23">
        <f t="shared" si="25"/>
        <v>0.95833333333333337</v>
      </c>
      <c r="Z9" s="12">
        <f>IFERROR(VLOOKUP(A9,'Nesting Phone time'!B:M,12,),"-")</f>
        <v>0.58333333333333337</v>
      </c>
      <c r="AA9" s="23">
        <f t="shared" si="26"/>
        <v>0.95833333333333337</v>
      </c>
      <c r="AB9" s="12" t="str">
        <f>IFERROR(VLOOKUP(A9,'Nesting Phone time'!B:N,13,),"-")</f>
        <v>OFF</v>
      </c>
      <c r="AC9" s="23" t="str">
        <f t="shared" si="27"/>
        <v>OFF</v>
      </c>
      <c r="AD9" s="12" t="str">
        <f>IFERROR(VLOOKUP(A9,'Nesting Phone time'!B:O,14,),"-")</f>
        <v>OFF</v>
      </c>
      <c r="AE9" s="23" t="str">
        <f t="shared" si="28"/>
        <v>OFF</v>
      </c>
      <c r="AF9" s="21">
        <f>IFERROR(VLOOKUP(A9,'Nesting Phone time'!B:P,15,),"-")</f>
        <v>0.58333333333333337</v>
      </c>
      <c r="AG9" s="23">
        <f t="shared" si="29"/>
        <v>0.95833333333333337</v>
      </c>
      <c r="AI9" s="25">
        <f>IFERROR(VLOOKUP(A9,'Nesting Phone time'!$B:$Q,16,),"-")</f>
        <v>0.58333333333333337</v>
      </c>
      <c r="AJ9" s="23">
        <f t="shared" si="30"/>
        <v>0.95833333333333337</v>
      </c>
      <c r="AK9" s="12">
        <f>IFERROR(VLOOKUP(A9,'Nesting Phone time'!B:R,17,),"-")</f>
        <v>0.58333333333333337</v>
      </c>
      <c r="AL9" s="23">
        <f t="shared" si="31"/>
        <v>0.95833333333333337</v>
      </c>
      <c r="AM9" s="12">
        <f>IFERROR(VLOOKUP(A9,'Nesting Phone time'!B:S,18,),"-")</f>
        <v>0.58333333333333337</v>
      </c>
      <c r="AN9" s="23">
        <f t="shared" si="32"/>
        <v>0.95833333333333337</v>
      </c>
      <c r="AO9" s="12">
        <f>IFERROR(VLOOKUP(A9,'Nesting Phone time'!B:T,19,),"-")</f>
        <v>0.58333333333333337</v>
      </c>
      <c r="AP9" s="23">
        <f t="shared" si="33"/>
        <v>0.95833333333333337</v>
      </c>
      <c r="AQ9" s="12" t="str">
        <f>IFERROR(VLOOKUP(A9,'Nesting Phone time'!B:U,20,),"-")</f>
        <v>OFF</v>
      </c>
      <c r="AR9" s="23" t="str">
        <f t="shared" si="34"/>
        <v>OFF</v>
      </c>
      <c r="AS9" s="12" t="str">
        <f>IFERROR(VLOOKUP(A9,'Nesting Phone time'!B:V,21,),"-")</f>
        <v>OFF</v>
      </c>
      <c r="AT9" s="23" t="str">
        <f t="shared" si="35"/>
        <v>OFF</v>
      </c>
      <c r="AU9" s="21">
        <f>IFERROR(VLOOKUP(A9,'Nesting Phone time'!B:W,22,),"-")</f>
        <v>0.58333333333333337</v>
      </c>
      <c r="AV9" s="23">
        <f t="shared" si="36"/>
        <v>0.95833333333333337</v>
      </c>
      <c r="AX9" s="30">
        <v>0.25</v>
      </c>
      <c r="AY9" s="10">
        <v>1.25</v>
      </c>
      <c r="AZ9" s="31">
        <f t="shared" si="37"/>
        <v>0</v>
      </c>
      <c r="BA9" s="31">
        <f t="shared" si="38"/>
        <v>0</v>
      </c>
      <c r="BB9" s="31">
        <f t="shared" si="57"/>
        <v>0</v>
      </c>
      <c r="BC9" s="31">
        <f t="shared" si="39"/>
        <v>0</v>
      </c>
      <c r="BD9" s="31">
        <f t="shared" si="40"/>
        <v>0</v>
      </c>
      <c r="BE9" s="31">
        <f t="shared" si="41"/>
        <v>0</v>
      </c>
      <c r="BF9" s="32">
        <f t="shared" si="42"/>
        <v>0</v>
      </c>
      <c r="BH9" s="30">
        <v>0.25</v>
      </c>
      <c r="BI9" s="10">
        <v>1.25</v>
      </c>
      <c r="BJ9" s="31">
        <f t="shared" si="43"/>
        <v>0</v>
      </c>
      <c r="BK9" s="31">
        <f t="shared" si="44"/>
        <v>0</v>
      </c>
      <c r="BL9" s="31">
        <f t="shared" si="45"/>
        <v>0</v>
      </c>
      <c r="BM9" s="31">
        <f t="shared" si="46"/>
        <v>0</v>
      </c>
      <c r="BN9" s="31">
        <f t="shared" si="47"/>
        <v>0</v>
      </c>
      <c r="BO9" s="31">
        <f t="shared" si="48"/>
        <v>0</v>
      </c>
      <c r="BP9" s="32">
        <f t="shared" si="49"/>
        <v>0</v>
      </c>
      <c r="BS9" s="51">
        <v>0.25</v>
      </c>
      <c r="BT9" s="136">
        <v>1.25000000000001</v>
      </c>
      <c r="BU9" s="28">
        <f t="shared" si="50"/>
        <v>0</v>
      </c>
      <c r="BV9" s="132">
        <f t="shared" si="51"/>
        <v>0</v>
      </c>
      <c r="BW9" s="132">
        <f t="shared" si="52"/>
        <v>0</v>
      </c>
      <c r="BX9" s="132">
        <f t="shared" si="53"/>
        <v>0</v>
      </c>
      <c r="BY9" s="132">
        <f t="shared" si="54"/>
        <v>0</v>
      </c>
      <c r="BZ9" s="132">
        <f t="shared" si="55"/>
        <v>0</v>
      </c>
      <c r="CA9" s="29">
        <f t="shared" si="56"/>
        <v>0</v>
      </c>
      <c r="CB9" s="28">
        <f t="shared" si="1"/>
        <v>0</v>
      </c>
      <c r="CC9" s="132">
        <f t="shared" si="2"/>
        <v>0</v>
      </c>
      <c r="CD9" s="132">
        <f t="shared" si="3"/>
        <v>0</v>
      </c>
      <c r="CE9" s="132">
        <f t="shared" si="4"/>
        <v>0</v>
      </c>
      <c r="CF9" s="132">
        <f t="shared" si="5"/>
        <v>0</v>
      </c>
      <c r="CG9" s="132">
        <f t="shared" si="6"/>
        <v>0</v>
      </c>
      <c r="CH9" s="29">
        <f t="shared" si="7"/>
        <v>0</v>
      </c>
      <c r="CI9" s="28">
        <f t="shared" si="8"/>
        <v>0</v>
      </c>
      <c r="CJ9" s="132">
        <f t="shared" si="9"/>
        <v>0</v>
      </c>
      <c r="CK9" s="132">
        <f t="shared" si="10"/>
        <v>0</v>
      </c>
      <c r="CL9" s="132">
        <f t="shared" si="11"/>
        <v>0</v>
      </c>
      <c r="CM9" s="132">
        <f t="shared" si="12"/>
        <v>0</v>
      </c>
      <c r="CN9" s="132">
        <f t="shared" si="13"/>
        <v>0</v>
      </c>
      <c r="CO9" s="29">
        <f t="shared" si="14"/>
        <v>0</v>
      </c>
    </row>
    <row r="10" spans="1:97" ht="15.75" thickBot="1" x14ac:dyDescent="0.3">
      <c r="A10" s="20" t="str">
        <f>'Nesting Phone time'!B11</f>
        <v>Maxine Pabillo Duenas</v>
      </c>
      <c r="B10" s="12">
        <f>IFERROR(VLOOKUP(A10,'Nesting Phone time'!B:I,2,),"-")</f>
        <v>0.58333333333333337</v>
      </c>
      <c r="C10" s="23">
        <f t="shared" si="15"/>
        <v>0.95833333333333337</v>
      </c>
      <c r="D10" s="12" t="str">
        <f>IFERROR(VLOOKUP(A10,'Nesting Phone time'!B:I,3,),"-")</f>
        <v>OFF</v>
      </c>
      <c r="E10" s="23" t="str">
        <f t="shared" si="16"/>
        <v>OFF</v>
      </c>
      <c r="F10" s="12">
        <f>IFERROR(VLOOKUP(A10,'Nesting Phone time'!B:I,4,),"-")</f>
        <v>0.58333333333333337</v>
      </c>
      <c r="G10" s="23">
        <f t="shared" si="17"/>
        <v>0.95833333333333337</v>
      </c>
      <c r="H10" s="12">
        <f>IFERROR(VLOOKUP(A10,'Nesting Phone time'!B:I,5,),"-")</f>
        <v>0.58333333333333337</v>
      </c>
      <c r="I10" s="23">
        <f t="shared" si="18"/>
        <v>0.95833333333333337</v>
      </c>
      <c r="J10" s="12">
        <f>IFERROR(VLOOKUP(A10,'Nesting Phone time'!B:I,6,),"-")</f>
        <v>0.58333333333333337</v>
      </c>
      <c r="K10" s="23">
        <f t="shared" si="19"/>
        <v>0.95833333333333337</v>
      </c>
      <c r="L10" s="12" t="str">
        <f>IFERROR(VLOOKUP(A10,'Nesting Phone time'!B:I,7,),"-")</f>
        <v>OFF</v>
      </c>
      <c r="M10" s="23" t="str">
        <f t="shared" si="20"/>
        <v>OFF</v>
      </c>
      <c r="N10" s="12">
        <f>IFERROR(VLOOKUP(A10,'Nesting Phone time'!B:I,8,),"-")</f>
        <v>0.58333333333333337</v>
      </c>
      <c r="O10" s="23">
        <f t="shared" si="21"/>
        <v>0.95833333333333337</v>
      </c>
      <c r="Q10" s="12">
        <f>IFERROR(VLOOKUP(A10,'Nesting Phone time'!B:Y,24,),"-")</f>
        <v>0.58333333333333337</v>
      </c>
      <c r="R10" s="23">
        <f t="shared" si="22"/>
        <v>0.95833333333333337</v>
      </c>
      <c r="T10" s="25">
        <f>IFERROR(VLOOKUP(A10,'Nesting Phone time'!$B:$J,9,),"-")</f>
        <v>0.58333333333333337</v>
      </c>
      <c r="U10" s="23">
        <f t="shared" si="23"/>
        <v>0.95833333333333337</v>
      </c>
      <c r="V10" s="12">
        <f>IFERROR(VLOOKUP(A10,'Nesting Phone time'!B:K,10,),"-")</f>
        <v>0.58333333333333337</v>
      </c>
      <c r="W10" s="23">
        <f t="shared" si="24"/>
        <v>0.95833333333333337</v>
      </c>
      <c r="X10" s="12">
        <f>IFERROR(VLOOKUP(A10,'Nesting Phone time'!B:L,11,),"-")</f>
        <v>0.58333333333333337</v>
      </c>
      <c r="Y10" s="23">
        <f t="shared" si="25"/>
        <v>0.95833333333333337</v>
      </c>
      <c r="Z10" s="12">
        <f>IFERROR(VLOOKUP(A10,'Nesting Phone time'!B:M,12,),"-")</f>
        <v>0.58333333333333337</v>
      </c>
      <c r="AA10" s="23">
        <f t="shared" si="26"/>
        <v>0.95833333333333337</v>
      </c>
      <c r="AB10" s="12" t="str">
        <f>IFERROR(VLOOKUP(A10,'Nesting Phone time'!B:N,13,),"-")</f>
        <v>OFF</v>
      </c>
      <c r="AC10" s="23" t="str">
        <f t="shared" si="27"/>
        <v>OFF</v>
      </c>
      <c r="AD10" s="12" t="str">
        <f>IFERROR(VLOOKUP(A10,'Nesting Phone time'!B:O,14,),"-")</f>
        <v>OFF</v>
      </c>
      <c r="AE10" s="23" t="str">
        <f t="shared" si="28"/>
        <v>OFF</v>
      </c>
      <c r="AF10" s="21">
        <f>IFERROR(VLOOKUP(A10,'Nesting Phone time'!B:P,15,),"-")</f>
        <v>0.58333333333333337</v>
      </c>
      <c r="AG10" s="23">
        <f t="shared" si="29"/>
        <v>0.95833333333333337</v>
      </c>
      <c r="AI10" s="25">
        <f>IFERROR(VLOOKUP(A10,'Nesting Phone time'!$B:$Q,16,),"-")</f>
        <v>0.58333333333333337</v>
      </c>
      <c r="AJ10" s="23">
        <f t="shared" si="30"/>
        <v>0.95833333333333337</v>
      </c>
      <c r="AK10" s="12">
        <f>IFERROR(VLOOKUP(A10,'Nesting Phone time'!B:R,17,),"-")</f>
        <v>0.58333333333333337</v>
      </c>
      <c r="AL10" s="23">
        <f t="shared" si="31"/>
        <v>0.95833333333333337</v>
      </c>
      <c r="AM10" s="12">
        <f>IFERROR(VLOOKUP(A10,'Nesting Phone time'!B:S,18,),"-")</f>
        <v>0.58333333333333337</v>
      </c>
      <c r="AN10" s="23">
        <f t="shared" si="32"/>
        <v>0.95833333333333337</v>
      </c>
      <c r="AO10" s="12">
        <f>IFERROR(VLOOKUP(A10,'Nesting Phone time'!B:T,19,),"-")</f>
        <v>0.58333333333333337</v>
      </c>
      <c r="AP10" s="23">
        <f t="shared" si="33"/>
        <v>0.95833333333333337</v>
      </c>
      <c r="AQ10" s="12" t="str">
        <f>IFERROR(VLOOKUP(A10,'Nesting Phone time'!B:U,20,),"-")</f>
        <v>OFF</v>
      </c>
      <c r="AR10" s="23" t="str">
        <f t="shared" si="34"/>
        <v>OFF</v>
      </c>
      <c r="AS10" s="12" t="str">
        <f>IFERROR(VLOOKUP(A10,'Nesting Phone time'!B:V,21,),"-")</f>
        <v>OFF</v>
      </c>
      <c r="AT10" s="23" t="str">
        <f t="shared" si="35"/>
        <v>OFF</v>
      </c>
      <c r="AU10" s="21">
        <f>IFERROR(VLOOKUP(A10,'Nesting Phone time'!B:W,22,),"-")</f>
        <v>0.58333333333333337</v>
      </c>
      <c r="AV10" s="23">
        <f t="shared" si="36"/>
        <v>0.95833333333333337</v>
      </c>
      <c r="AX10" s="30">
        <v>0.29166666666666702</v>
      </c>
      <c r="AY10" s="10">
        <v>1.2916666666666701</v>
      </c>
      <c r="AZ10" s="31">
        <f t="shared" si="37"/>
        <v>0</v>
      </c>
      <c r="BA10" s="31">
        <f t="shared" si="38"/>
        <v>0</v>
      </c>
      <c r="BB10" s="31">
        <f t="shared" si="57"/>
        <v>0</v>
      </c>
      <c r="BC10" s="31">
        <f t="shared" si="39"/>
        <v>0</v>
      </c>
      <c r="BD10" s="31">
        <f t="shared" si="40"/>
        <v>0</v>
      </c>
      <c r="BE10" s="31">
        <f t="shared" si="41"/>
        <v>0</v>
      </c>
      <c r="BF10" s="32">
        <f t="shared" si="42"/>
        <v>0</v>
      </c>
      <c r="BH10" s="30">
        <v>0.29166666666666702</v>
      </c>
      <c r="BI10" s="10">
        <v>1.2916666666666601</v>
      </c>
      <c r="BJ10" s="31">
        <f t="shared" si="43"/>
        <v>0</v>
      </c>
      <c r="BK10" s="31">
        <f t="shared" si="44"/>
        <v>0</v>
      </c>
      <c r="BL10" s="31">
        <f t="shared" si="45"/>
        <v>0</v>
      </c>
      <c r="BM10" s="31">
        <f t="shared" si="46"/>
        <v>0</v>
      </c>
      <c r="BN10" s="31">
        <f t="shared" si="47"/>
        <v>0</v>
      </c>
      <c r="BO10" s="31">
        <f t="shared" si="48"/>
        <v>0</v>
      </c>
      <c r="BP10" s="32">
        <f t="shared" si="49"/>
        <v>0</v>
      </c>
      <c r="BS10" s="51">
        <v>0.29166666666666702</v>
      </c>
      <c r="BT10" s="136">
        <v>1.2916666666666701</v>
      </c>
      <c r="BU10" s="28">
        <f t="shared" si="50"/>
        <v>0</v>
      </c>
      <c r="BV10" s="132">
        <f t="shared" si="51"/>
        <v>0</v>
      </c>
      <c r="BW10" s="132">
        <f t="shared" si="52"/>
        <v>0</v>
      </c>
      <c r="BX10" s="132">
        <f t="shared" si="53"/>
        <v>0</v>
      </c>
      <c r="BY10" s="132">
        <f t="shared" si="54"/>
        <v>0</v>
      </c>
      <c r="BZ10" s="132">
        <f t="shared" si="55"/>
        <v>0</v>
      </c>
      <c r="CA10" s="29">
        <f t="shared" si="56"/>
        <v>0</v>
      </c>
      <c r="CB10" s="28">
        <f t="shared" si="1"/>
        <v>0</v>
      </c>
      <c r="CC10" s="132">
        <f t="shared" si="2"/>
        <v>0</v>
      </c>
      <c r="CD10" s="132">
        <f t="shared" si="3"/>
        <v>0</v>
      </c>
      <c r="CE10" s="132">
        <f t="shared" si="4"/>
        <v>0</v>
      </c>
      <c r="CF10" s="132">
        <f t="shared" si="5"/>
        <v>0</v>
      </c>
      <c r="CG10" s="132">
        <f t="shared" si="6"/>
        <v>0</v>
      </c>
      <c r="CH10" s="29">
        <f t="shared" si="7"/>
        <v>0</v>
      </c>
      <c r="CI10" s="28">
        <f t="shared" si="8"/>
        <v>0</v>
      </c>
      <c r="CJ10" s="132">
        <f t="shared" si="9"/>
        <v>0</v>
      </c>
      <c r="CK10" s="132">
        <f t="shared" si="10"/>
        <v>0</v>
      </c>
      <c r="CL10" s="132">
        <f t="shared" si="11"/>
        <v>0</v>
      </c>
      <c r="CM10" s="132">
        <f t="shared" si="12"/>
        <v>0</v>
      </c>
      <c r="CN10" s="132">
        <f t="shared" si="13"/>
        <v>0</v>
      </c>
      <c r="CO10" s="29">
        <f t="shared" si="14"/>
        <v>0</v>
      </c>
    </row>
    <row r="11" spans="1:97" ht="15.75" thickBot="1" x14ac:dyDescent="0.3">
      <c r="A11" s="20" t="str">
        <f>'Nesting Phone time'!B12</f>
        <v>Sittie Sufiyah Macaumbang Dimaampao</v>
      </c>
      <c r="B11" s="12">
        <f>IFERROR(VLOOKUP(A11,'Nesting Phone time'!B:I,2,),"-")</f>
        <v>0.58333333333333337</v>
      </c>
      <c r="C11" s="23">
        <f t="shared" si="15"/>
        <v>0.95833333333333337</v>
      </c>
      <c r="D11" s="12" t="str">
        <f>IFERROR(VLOOKUP(A11,'Nesting Phone time'!B:I,3,),"-")</f>
        <v>OFF</v>
      </c>
      <c r="E11" s="23" t="str">
        <f t="shared" si="16"/>
        <v>OFF</v>
      </c>
      <c r="F11" s="12">
        <f>IFERROR(VLOOKUP(A11,'Nesting Phone time'!B:I,4,),"-")</f>
        <v>0.58333333333333337</v>
      </c>
      <c r="G11" s="23">
        <f t="shared" si="17"/>
        <v>0.95833333333333337</v>
      </c>
      <c r="H11" s="12">
        <f>IFERROR(VLOOKUP(A11,'Nesting Phone time'!B:I,5,),"-")</f>
        <v>0.58333333333333337</v>
      </c>
      <c r="I11" s="23">
        <f t="shared" si="18"/>
        <v>0.95833333333333337</v>
      </c>
      <c r="J11" s="12">
        <f>IFERROR(VLOOKUP(A11,'Nesting Phone time'!B:I,6,),"-")</f>
        <v>0.58333333333333337</v>
      </c>
      <c r="K11" s="23">
        <f t="shared" si="19"/>
        <v>0.95833333333333337</v>
      </c>
      <c r="L11" s="12" t="str">
        <f>IFERROR(VLOOKUP(A11,'Nesting Phone time'!B:I,7,),"-")</f>
        <v>OFF</v>
      </c>
      <c r="M11" s="23" t="str">
        <f t="shared" si="20"/>
        <v>OFF</v>
      </c>
      <c r="N11" s="12">
        <f>IFERROR(VLOOKUP(A11,'Nesting Phone time'!B:I,8,),"-")</f>
        <v>0.58333333333333337</v>
      </c>
      <c r="O11" s="23">
        <f t="shared" si="21"/>
        <v>0.95833333333333337</v>
      </c>
      <c r="Q11" s="12">
        <f>IFERROR(VLOOKUP(A11,'Nesting Phone time'!B:Y,24,),"-")</f>
        <v>0.58333333333333337</v>
      </c>
      <c r="R11" s="23">
        <f t="shared" si="22"/>
        <v>0.95833333333333337</v>
      </c>
      <c r="T11" s="25">
        <f>IFERROR(VLOOKUP(A11,'Nesting Phone time'!$B:$J,9,),"-")</f>
        <v>0.58333333333333337</v>
      </c>
      <c r="U11" s="23">
        <f t="shared" si="23"/>
        <v>0.95833333333333337</v>
      </c>
      <c r="V11" s="12">
        <f>IFERROR(VLOOKUP(A11,'Nesting Phone time'!B:K,10,),"-")</f>
        <v>0.58333333333333337</v>
      </c>
      <c r="W11" s="23">
        <f t="shared" si="24"/>
        <v>0.95833333333333337</v>
      </c>
      <c r="X11" s="12">
        <f>IFERROR(VLOOKUP(A11,'Nesting Phone time'!B:L,11,),"-")</f>
        <v>0.58333333333333337</v>
      </c>
      <c r="Y11" s="23">
        <f t="shared" si="25"/>
        <v>0.95833333333333337</v>
      </c>
      <c r="Z11" s="12">
        <f>IFERROR(VLOOKUP(A11,'Nesting Phone time'!B:M,12,),"-")</f>
        <v>0.58333333333333337</v>
      </c>
      <c r="AA11" s="23">
        <f t="shared" si="26"/>
        <v>0.95833333333333337</v>
      </c>
      <c r="AB11" s="12" t="str">
        <f>IFERROR(VLOOKUP(A11,'Nesting Phone time'!B:N,13,),"-")</f>
        <v>OFF</v>
      </c>
      <c r="AC11" s="23" t="str">
        <f t="shared" si="27"/>
        <v>OFF</v>
      </c>
      <c r="AD11" s="12" t="str">
        <f>IFERROR(VLOOKUP(A11,'Nesting Phone time'!B:O,14,),"-")</f>
        <v>OFF</v>
      </c>
      <c r="AE11" s="23" t="str">
        <f t="shared" si="28"/>
        <v>OFF</v>
      </c>
      <c r="AF11" s="21">
        <f>IFERROR(VLOOKUP(A11,'Nesting Phone time'!B:P,15,),"-")</f>
        <v>0.58333333333333337</v>
      </c>
      <c r="AG11" s="23">
        <f t="shared" si="29"/>
        <v>0.95833333333333337</v>
      </c>
      <c r="AI11" s="25">
        <f>IFERROR(VLOOKUP(A11,'Nesting Phone time'!$B:$Q,16,),"-")</f>
        <v>0.58333333333333337</v>
      </c>
      <c r="AJ11" s="23">
        <f t="shared" si="30"/>
        <v>0.95833333333333337</v>
      </c>
      <c r="AK11" s="12">
        <f>IFERROR(VLOOKUP(A11,'Nesting Phone time'!B:R,17,),"-")</f>
        <v>0.58333333333333337</v>
      </c>
      <c r="AL11" s="23">
        <f t="shared" si="31"/>
        <v>0.95833333333333337</v>
      </c>
      <c r="AM11" s="12">
        <f>IFERROR(VLOOKUP(A11,'Nesting Phone time'!B:S,18,),"-")</f>
        <v>0.58333333333333337</v>
      </c>
      <c r="AN11" s="23">
        <f t="shared" si="32"/>
        <v>0.95833333333333337</v>
      </c>
      <c r="AO11" s="12">
        <f>IFERROR(VLOOKUP(A11,'Nesting Phone time'!B:T,19,),"-")</f>
        <v>0.58333333333333337</v>
      </c>
      <c r="AP11" s="23">
        <f t="shared" si="33"/>
        <v>0.95833333333333337</v>
      </c>
      <c r="AQ11" s="12" t="str">
        <f>IFERROR(VLOOKUP(A11,'Nesting Phone time'!B:U,20,),"-")</f>
        <v>OFF</v>
      </c>
      <c r="AR11" s="23" t="str">
        <f t="shared" si="34"/>
        <v>OFF</v>
      </c>
      <c r="AS11" s="12" t="str">
        <f>IFERROR(VLOOKUP(A11,'Nesting Phone time'!B:V,21,),"-")</f>
        <v>OFF</v>
      </c>
      <c r="AT11" s="23" t="str">
        <f t="shared" si="35"/>
        <v>OFF</v>
      </c>
      <c r="AU11" s="21">
        <f>IFERROR(VLOOKUP(A11,'Nesting Phone time'!B:W,22,),"-")</f>
        <v>0.58333333333333337</v>
      </c>
      <c r="AV11" s="23">
        <f t="shared" si="36"/>
        <v>0.95833333333333337</v>
      </c>
      <c r="AX11" s="30">
        <v>0.33333333333333298</v>
      </c>
      <c r="AY11" s="10">
        <v>1.3333333333333399</v>
      </c>
      <c r="AZ11" s="31">
        <f t="shared" si="37"/>
        <v>0</v>
      </c>
      <c r="BA11" s="31">
        <f t="shared" si="38"/>
        <v>0</v>
      </c>
      <c r="BB11" s="31">
        <f t="shared" si="57"/>
        <v>0</v>
      </c>
      <c r="BC11" s="31">
        <f t="shared" si="39"/>
        <v>0</v>
      </c>
      <c r="BD11" s="31">
        <f t="shared" si="40"/>
        <v>0</v>
      </c>
      <c r="BE11" s="31">
        <f t="shared" si="41"/>
        <v>0</v>
      </c>
      <c r="BF11" s="32">
        <f t="shared" si="42"/>
        <v>0</v>
      </c>
      <c r="BH11" s="30">
        <v>0.33333333333333298</v>
      </c>
      <c r="BI11" s="10">
        <v>1.3333333333333299</v>
      </c>
      <c r="BJ11" s="31">
        <f t="shared" si="43"/>
        <v>0</v>
      </c>
      <c r="BK11" s="31">
        <f t="shared" si="44"/>
        <v>0</v>
      </c>
      <c r="BL11" s="31">
        <f t="shared" si="45"/>
        <v>0</v>
      </c>
      <c r="BM11" s="31">
        <f t="shared" si="46"/>
        <v>0</v>
      </c>
      <c r="BN11" s="31">
        <f t="shared" si="47"/>
        <v>0</v>
      </c>
      <c r="BO11" s="31">
        <f t="shared" si="48"/>
        <v>0</v>
      </c>
      <c r="BP11" s="32">
        <f t="shared" si="49"/>
        <v>0</v>
      </c>
      <c r="BS11" s="51">
        <v>0.33333333333333298</v>
      </c>
      <c r="BT11" s="136">
        <v>1.3333333333333399</v>
      </c>
      <c r="BU11" s="28">
        <f t="shared" si="50"/>
        <v>0</v>
      </c>
      <c r="BV11" s="132">
        <f t="shared" si="51"/>
        <v>0</v>
      </c>
      <c r="BW11" s="132">
        <f t="shared" si="52"/>
        <v>0</v>
      </c>
      <c r="BX11" s="132">
        <f t="shared" si="53"/>
        <v>0</v>
      </c>
      <c r="BY11" s="132">
        <f t="shared" si="54"/>
        <v>0</v>
      </c>
      <c r="BZ11" s="132">
        <f t="shared" si="55"/>
        <v>0</v>
      </c>
      <c r="CA11" s="29">
        <f t="shared" si="56"/>
        <v>0</v>
      </c>
      <c r="CB11" s="28">
        <f t="shared" si="1"/>
        <v>0</v>
      </c>
      <c r="CC11" s="132">
        <f t="shared" si="2"/>
        <v>0</v>
      </c>
      <c r="CD11" s="132">
        <f t="shared" si="3"/>
        <v>0</v>
      </c>
      <c r="CE11" s="132">
        <f t="shared" si="4"/>
        <v>0</v>
      </c>
      <c r="CF11" s="132">
        <f t="shared" si="5"/>
        <v>0</v>
      </c>
      <c r="CG11" s="132">
        <f t="shared" si="6"/>
        <v>0</v>
      </c>
      <c r="CH11" s="29">
        <f t="shared" si="7"/>
        <v>0</v>
      </c>
      <c r="CI11" s="28">
        <f t="shared" si="8"/>
        <v>0</v>
      </c>
      <c r="CJ11" s="132">
        <f t="shared" si="9"/>
        <v>0</v>
      </c>
      <c r="CK11" s="132">
        <f t="shared" si="10"/>
        <v>0</v>
      </c>
      <c r="CL11" s="132">
        <f t="shared" si="11"/>
        <v>0</v>
      </c>
      <c r="CM11" s="132">
        <f t="shared" si="12"/>
        <v>0</v>
      </c>
      <c r="CN11" s="132">
        <f t="shared" si="13"/>
        <v>0</v>
      </c>
      <c r="CO11" s="29">
        <f t="shared" si="14"/>
        <v>0</v>
      </c>
    </row>
    <row r="12" spans="1:97" ht="15.75" thickBot="1" x14ac:dyDescent="0.3">
      <c r="A12" s="20" t="str">
        <f>'Nesting Phone time'!B13</f>
        <v>Ana Marie Albao</v>
      </c>
      <c r="B12" s="12">
        <f>IFERROR(VLOOKUP(A12,'Nesting Phone time'!B:I,2,),"-")</f>
        <v>0.58333333333333337</v>
      </c>
      <c r="C12" s="23">
        <f t="shared" si="15"/>
        <v>0.95833333333333337</v>
      </c>
      <c r="D12" s="12" t="str">
        <f>IFERROR(VLOOKUP(A12,'Nesting Phone time'!B:I,3,),"-")</f>
        <v>OFF</v>
      </c>
      <c r="E12" s="23" t="str">
        <f t="shared" si="16"/>
        <v>OFF</v>
      </c>
      <c r="F12" s="12">
        <f>IFERROR(VLOOKUP(A12,'Nesting Phone time'!B:I,4,),"-")</f>
        <v>0.58333333333333337</v>
      </c>
      <c r="G12" s="23">
        <f t="shared" si="17"/>
        <v>0.95833333333333337</v>
      </c>
      <c r="H12" s="12">
        <f>IFERROR(VLOOKUP(A12,'Nesting Phone time'!B:I,5,),"-")</f>
        <v>0.58333333333333337</v>
      </c>
      <c r="I12" s="23">
        <f t="shared" si="18"/>
        <v>0.95833333333333337</v>
      </c>
      <c r="J12" s="12">
        <f>IFERROR(VLOOKUP(A12,'Nesting Phone time'!B:I,6,),"-")</f>
        <v>0.58333333333333337</v>
      </c>
      <c r="K12" s="23">
        <f t="shared" si="19"/>
        <v>0.95833333333333337</v>
      </c>
      <c r="L12" s="12" t="str">
        <f>IFERROR(VLOOKUP(A12,'Nesting Phone time'!B:I,7,),"-")</f>
        <v>OFF</v>
      </c>
      <c r="M12" s="23" t="str">
        <f t="shared" si="20"/>
        <v>OFF</v>
      </c>
      <c r="N12" s="12">
        <f>IFERROR(VLOOKUP(A12,'Nesting Phone time'!B:I,8,),"-")</f>
        <v>0.58333333333333337</v>
      </c>
      <c r="O12" s="23">
        <f t="shared" si="21"/>
        <v>0.95833333333333337</v>
      </c>
      <c r="Q12" s="12">
        <f>IFERROR(VLOOKUP(A12,'Nesting Phone time'!B:Y,24,),"-")</f>
        <v>0.58333333333333337</v>
      </c>
      <c r="R12" s="23">
        <f t="shared" si="22"/>
        <v>0.95833333333333337</v>
      </c>
      <c r="T12" s="25">
        <f>IFERROR(VLOOKUP(A12,'Nesting Phone time'!$B:$J,9,),"-")</f>
        <v>0.58333333333333337</v>
      </c>
      <c r="U12" s="23">
        <f t="shared" si="23"/>
        <v>0.95833333333333337</v>
      </c>
      <c r="V12" s="12">
        <f>IFERROR(VLOOKUP(A12,'Nesting Phone time'!B:K,10,),"-")</f>
        <v>0.58333333333333337</v>
      </c>
      <c r="W12" s="23">
        <f t="shared" si="24"/>
        <v>0.95833333333333337</v>
      </c>
      <c r="X12" s="12">
        <f>IFERROR(VLOOKUP(A12,'Nesting Phone time'!B:L,11,),"-")</f>
        <v>0.58333333333333337</v>
      </c>
      <c r="Y12" s="23">
        <f t="shared" si="25"/>
        <v>0.95833333333333337</v>
      </c>
      <c r="Z12" s="12">
        <f>IFERROR(VLOOKUP(A12,'Nesting Phone time'!B:M,12,),"-")</f>
        <v>0.58333333333333337</v>
      </c>
      <c r="AA12" s="23">
        <f t="shared" si="26"/>
        <v>0.95833333333333337</v>
      </c>
      <c r="AB12" s="12" t="str">
        <f>IFERROR(VLOOKUP(A12,'Nesting Phone time'!B:N,13,),"-")</f>
        <v>OFF</v>
      </c>
      <c r="AC12" s="23" t="str">
        <f t="shared" si="27"/>
        <v>OFF</v>
      </c>
      <c r="AD12" s="12" t="str">
        <f>IFERROR(VLOOKUP(A12,'Nesting Phone time'!B:O,14,),"-")</f>
        <v>OFF</v>
      </c>
      <c r="AE12" s="23" t="str">
        <f t="shared" si="28"/>
        <v>OFF</v>
      </c>
      <c r="AF12" s="21">
        <f>IFERROR(VLOOKUP(A12,'Nesting Phone time'!B:P,15,),"-")</f>
        <v>0.58333333333333337</v>
      </c>
      <c r="AG12" s="23">
        <f t="shared" si="29"/>
        <v>0.95833333333333337</v>
      </c>
      <c r="AI12" s="25">
        <f>IFERROR(VLOOKUP(A12,'Nesting Phone time'!$B:$Q,16,),"-")</f>
        <v>0.58333333333333337</v>
      </c>
      <c r="AJ12" s="23">
        <f t="shared" si="30"/>
        <v>0.95833333333333337</v>
      </c>
      <c r="AK12" s="12">
        <f>IFERROR(VLOOKUP(A12,'Nesting Phone time'!B:R,17,),"-")</f>
        <v>0.58333333333333337</v>
      </c>
      <c r="AL12" s="23">
        <f t="shared" si="31"/>
        <v>0.95833333333333337</v>
      </c>
      <c r="AM12" s="12">
        <f>IFERROR(VLOOKUP(A12,'Nesting Phone time'!B:S,18,),"-")</f>
        <v>0.58333333333333337</v>
      </c>
      <c r="AN12" s="23">
        <f t="shared" si="32"/>
        <v>0.95833333333333337</v>
      </c>
      <c r="AO12" s="12">
        <f>IFERROR(VLOOKUP(A12,'Nesting Phone time'!B:T,19,),"-")</f>
        <v>0.58333333333333337</v>
      </c>
      <c r="AP12" s="23">
        <f t="shared" si="33"/>
        <v>0.95833333333333337</v>
      </c>
      <c r="AQ12" s="12" t="str">
        <f>IFERROR(VLOOKUP(A12,'Nesting Phone time'!B:U,20,),"-")</f>
        <v>OFF</v>
      </c>
      <c r="AR12" s="23" t="str">
        <f t="shared" si="34"/>
        <v>OFF</v>
      </c>
      <c r="AS12" s="12" t="str">
        <f>IFERROR(VLOOKUP(A12,'Nesting Phone time'!B:V,21,),"-")</f>
        <v>OFF</v>
      </c>
      <c r="AT12" s="23" t="str">
        <f t="shared" si="35"/>
        <v>OFF</v>
      </c>
      <c r="AU12" s="21">
        <f>IFERROR(VLOOKUP(A12,'Nesting Phone time'!B:W,22,),"-")</f>
        <v>0.58333333333333337</v>
      </c>
      <c r="AV12" s="23">
        <f t="shared" si="36"/>
        <v>0.95833333333333337</v>
      </c>
      <c r="AX12" s="30">
        <v>0.375</v>
      </c>
      <c r="AY12" s="10">
        <v>1.375</v>
      </c>
      <c r="AZ12" s="31">
        <f t="shared" si="37"/>
        <v>0</v>
      </c>
      <c r="BA12" s="31">
        <f t="shared" si="38"/>
        <v>0</v>
      </c>
      <c r="BB12" s="31">
        <f t="shared" si="57"/>
        <v>0</v>
      </c>
      <c r="BC12" s="31">
        <f t="shared" si="39"/>
        <v>0</v>
      </c>
      <c r="BD12" s="31">
        <f t="shared" si="40"/>
        <v>0</v>
      </c>
      <c r="BE12" s="31">
        <f t="shared" si="41"/>
        <v>0</v>
      </c>
      <c r="BF12" s="32">
        <f t="shared" si="42"/>
        <v>0</v>
      </c>
      <c r="BH12" s="30">
        <v>0.375</v>
      </c>
      <c r="BI12" s="10">
        <v>1.375</v>
      </c>
      <c r="BJ12" s="31">
        <f t="shared" si="43"/>
        <v>0</v>
      </c>
      <c r="BK12" s="31">
        <f t="shared" si="44"/>
        <v>0</v>
      </c>
      <c r="BL12" s="31">
        <f t="shared" si="45"/>
        <v>0</v>
      </c>
      <c r="BM12" s="31">
        <f t="shared" si="46"/>
        <v>0</v>
      </c>
      <c r="BN12" s="31">
        <f t="shared" si="47"/>
        <v>0</v>
      </c>
      <c r="BO12" s="31">
        <f t="shared" si="48"/>
        <v>0</v>
      </c>
      <c r="BP12" s="32">
        <f t="shared" si="49"/>
        <v>0</v>
      </c>
      <c r="BS12" s="51">
        <v>0.375</v>
      </c>
      <c r="BT12" s="136">
        <v>1.37500000000001</v>
      </c>
      <c r="BU12" s="28">
        <f t="shared" si="50"/>
        <v>0</v>
      </c>
      <c r="BV12" s="132">
        <f t="shared" si="51"/>
        <v>0</v>
      </c>
      <c r="BW12" s="132">
        <f t="shared" si="52"/>
        <v>0</v>
      </c>
      <c r="BX12" s="132">
        <f t="shared" si="53"/>
        <v>0</v>
      </c>
      <c r="BY12" s="132">
        <f t="shared" si="54"/>
        <v>0</v>
      </c>
      <c r="BZ12" s="132">
        <f t="shared" si="55"/>
        <v>0</v>
      </c>
      <c r="CA12" s="29">
        <f t="shared" si="56"/>
        <v>0</v>
      </c>
      <c r="CB12" s="28">
        <f t="shared" si="1"/>
        <v>0</v>
      </c>
      <c r="CC12" s="132">
        <f t="shared" si="2"/>
        <v>0</v>
      </c>
      <c r="CD12" s="132">
        <f t="shared" si="3"/>
        <v>0</v>
      </c>
      <c r="CE12" s="132">
        <f t="shared" si="4"/>
        <v>0</v>
      </c>
      <c r="CF12" s="132">
        <f t="shared" si="5"/>
        <v>0</v>
      </c>
      <c r="CG12" s="132">
        <f t="shared" si="6"/>
        <v>0</v>
      </c>
      <c r="CH12" s="29">
        <f t="shared" si="7"/>
        <v>0</v>
      </c>
      <c r="CI12" s="28">
        <f t="shared" si="8"/>
        <v>0</v>
      </c>
      <c r="CJ12" s="132">
        <f t="shared" si="9"/>
        <v>0</v>
      </c>
      <c r="CK12" s="132">
        <f t="shared" si="10"/>
        <v>0</v>
      </c>
      <c r="CL12" s="132">
        <f t="shared" si="11"/>
        <v>0</v>
      </c>
      <c r="CM12" s="132">
        <f t="shared" si="12"/>
        <v>0</v>
      </c>
      <c r="CN12" s="132">
        <f t="shared" si="13"/>
        <v>0</v>
      </c>
      <c r="CO12" s="29">
        <f t="shared" si="14"/>
        <v>0</v>
      </c>
    </row>
    <row r="13" spans="1:97" ht="15.75" thickBot="1" x14ac:dyDescent="0.3">
      <c r="A13" s="20">
        <f>'Nesting Phone time'!B14</f>
        <v>0</v>
      </c>
      <c r="B13" s="12" t="str">
        <f>IFERROR(VLOOKUP(A13,'Nesting Phone time'!B:I,2,),"-")</f>
        <v>-</v>
      </c>
      <c r="C13" s="23" t="str">
        <f t="shared" si="15"/>
        <v>-</v>
      </c>
      <c r="D13" s="12" t="str">
        <f>IFERROR(VLOOKUP(A13,'Nesting Phone time'!B:I,3,),"-")</f>
        <v>-</v>
      </c>
      <c r="E13" s="23" t="str">
        <f t="shared" si="16"/>
        <v>-</v>
      </c>
      <c r="F13" s="12" t="str">
        <f>IFERROR(VLOOKUP(A13,'Nesting Phone time'!B:I,4,),"-")</f>
        <v>-</v>
      </c>
      <c r="G13" s="23" t="str">
        <f t="shared" si="17"/>
        <v>-</v>
      </c>
      <c r="H13" s="12" t="str">
        <f>IFERROR(VLOOKUP(A13,'Nesting Phone time'!B:I,5,),"-")</f>
        <v>-</v>
      </c>
      <c r="I13" s="23" t="str">
        <f t="shared" si="18"/>
        <v>-</v>
      </c>
      <c r="J13" s="12" t="str">
        <f>IFERROR(VLOOKUP(A13,'Nesting Phone time'!B:I,6,),"-")</f>
        <v>-</v>
      </c>
      <c r="K13" s="23" t="str">
        <f t="shared" si="19"/>
        <v>-</v>
      </c>
      <c r="L13" s="12" t="str">
        <f>IFERROR(VLOOKUP(A13,'Nesting Phone time'!B:I,7,),"-")</f>
        <v>-</v>
      </c>
      <c r="M13" s="23" t="str">
        <f t="shared" si="20"/>
        <v>-</v>
      </c>
      <c r="N13" s="12" t="str">
        <f>IFERROR(VLOOKUP(A13,'Nesting Phone time'!B:I,8,),"-")</f>
        <v>-</v>
      </c>
      <c r="O13" s="23" t="str">
        <f t="shared" si="21"/>
        <v>-</v>
      </c>
      <c r="Q13" s="12" t="str">
        <f>IFERROR(VLOOKUP(A13,'Nesting Phone time'!B:Y,24,),"-")</f>
        <v>-</v>
      </c>
      <c r="R13" s="23" t="str">
        <f t="shared" si="22"/>
        <v>-</v>
      </c>
      <c r="T13" s="25" t="str">
        <f>IFERROR(VLOOKUP(A13,'Nesting Phone time'!$B:$J,9,),"-")</f>
        <v>-</v>
      </c>
      <c r="U13" s="23" t="str">
        <f t="shared" si="23"/>
        <v>-</v>
      </c>
      <c r="V13" s="12" t="str">
        <f>IFERROR(VLOOKUP(A13,'Nesting Phone time'!B:K,10,),"-")</f>
        <v>-</v>
      </c>
      <c r="W13" s="23" t="str">
        <f t="shared" si="24"/>
        <v>-</v>
      </c>
      <c r="X13" s="12" t="str">
        <f>IFERROR(VLOOKUP(A13,'Nesting Phone time'!B:L,11,),"-")</f>
        <v>-</v>
      </c>
      <c r="Y13" s="23" t="str">
        <f t="shared" si="25"/>
        <v>-</v>
      </c>
      <c r="Z13" s="12" t="str">
        <f>IFERROR(VLOOKUP(A13,'Nesting Phone time'!B:M,12,),"-")</f>
        <v>-</v>
      </c>
      <c r="AA13" s="23" t="str">
        <f t="shared" si="26"/>
        <v>-</v>
      </c>
      <c r="AB13" s="12" t="str">
        <f>IFERROR(VLOOKUP(A13,'Nesting Phone time'!B:N,13,),"-")</f>
        <v>-</v>
      </c>
      <c r="AC13" s="23" t="str">
        <f t="shared" si="27"/>
        <v>-</v>
      </c>
      <c r="AD13" s="12" t="str">
        <f>IFERROR(VLOOKUP(A13,'Nesting Phone time'!B:O,14,),"-")</f>
        <v>-</v>
      </c>
      <c r="AE13" s="23" t="str">
        <f t="shared" si="28"/>
        <v>-</v>
      </c>
      <c r="AF13" s="21" t="str">
        <f>IFERROR(VLOOKUP(A13,'Nesting Phone time'!B:P,15,),"-")</f>
        <v>-</v>
      </c>
      <c r="AG13" s="23" t="str">
        <f t="shared" si="29"/>
        <v>-</v>
      </c>
      <c r="AI13" s="25" t="str">
        <f>IFERROR(VLOOKUP(A13,'Nesting Phone time'!$B:$Q,16,),"-")</f>
        <v>-</v>
      </c>
      <c r="AJ13" s="23" t="str">
        <f t="shared" si="30"/>
        <v>-</v>
      </c>
      <c r="AK13" s="12" t="str">
        <f>IFERROR(VLOOKUP(A13,'Nesting Phone time'!B:R,17,),"-")</f>
        <v>-</v>
      </c>
      <c r="AL13" s="23" t="str">
        <f t="shared" si="31"/>
        <v>-</v>
      </c>
      <c r="AM13" s="12" t="str">
        <f>IFERROR(VLOOKUP(A13,'Nesting Phone time'!B:S,18,),"-")</f>
        <v>-</v>
      </c>
      <c r="AN13" s="23" t="str">
        <f t="shared" si="32"/>
        <v>-</v>
      </c>
      <c r="AO13" s="12" t="str">
        <f>IFERROR(VLOOKUP(A13,'Nesting Phone time'!B:T,19,),"-")</f>
        <v>-</v>
      </c>
      <c r="AP13" s="23" t="str">
        <f t="shared" si="33"/>
        <v>-</v>
      </c>
      <c r="AQ13" s="12" t="str">
        <f>IFERROR(VLOOKUP(A13,'Nesting Phone time'!B:U,20,),"-")</f>
        <v>-</v>
      </c>
      <c r="AR13" s="23" t="str">
        <f t="shared" si="34"/>
        <v>-</v>
      </c>
      <c r="AS13" s="12" t="str">
        <f>IFERROR(VLOOKUP(A13,'Nesting Phone time'!B:V,21,),"-")</f>
        <v>-</v>
      </c>
      <c r="AT13" s="23" t="str">
        <f t="shared" si="35"/>
        <v>-</v>
      </c>
      <c r="AU13" s="21" t="str">
        <f>IFERROR(VLOOKUP(A13,'Nesting Phone time'!B:W,22,),"-")</f>
        <v>-</v>
      </c>
      <c r="AV13" s="23" t="str">
        <f t="shared" si="36"/>
        <v>-</v>
      </c>
      <c r="AX13" s="30">
        <v>0.41666666666666702</v>
      </c>
      <c r="AY13" s="10">
        <v>1.4166666666666701</v>
      </c>
      <c r="AZ13" s="31">
        <f t="shared" si="37"/>
        <v>0</v>
      </c>
      <c r="BA13" s="31">
        <f t="shared" si="38"/>
        <v>0</v>
      </c>
      <c r="BB13" s="31">
        <f t="shared" si="57"/>
        <v>0</v>
      </c>
      <c r="BC13" s="31">
        <f t="shared" si="39"/>
        <v>0</v>
      </c>
      <c r="BD13" s="31">
        <f t="shared" si="40"/>
        <v>0</v>
      </c>
      <c r="BE13" s="31">
        <f t="shared" si="41"/>
        <v>0</v>
      </c>
      <c r="BF13" s="32">
        <f t="shared" si="42"/>
        <v>0</v>
      </c>
      <c r="BH13" s="30">
        <v>0.41666666666666702</v>
      </c>
      <c r="BI13" s="10">
        <v>1.4166666666666601</v>
      </c>
      <c r="BJ13" s="31">
        <f t="shared" si="43"/>
        <v>0</v>
      </c>
      <c r="BK13" s="31">
        <f t="shared" si="44"/>
        <v>0</v>
      </c>
      <c r="BL13" s="31">
        <f t="shared" si="45"/>
        <v>0</v>
      </c>
      <c r="BM13" s="31">
        <f t="shared" si="46"/>
        <v>0</v>
      </c>
      <c r="BN13" s="31">
        <f t="shared" si="47"/>
        <v>0</v>
      </c>
      <c r="BO13" s="31">
        <f t="shared" si="48"/>
        <v>0</v>
      </c>
      <c r="BP13" s="32">
        <f t="shared" si="49"/>
        <v>0</v>
      </c>
      <c r="BS13" s="51">
        <v>0.41666666666666702</v>
      </c>
      <c r="BT13" s="136">
        <v>1.4166666666666701</v>
      </c>
      <c r="BU13" s="28">
        <f t="shared" si="50"/>
        <v>0</v>
      </c>
      <c r="BV13" s="132">
        <f t="shared" si="51"/>
        <v>0</v>
      </c>
      <c r="BW13" s="132">
        <f t="shared" si="52"/>
        <v>0</v>
      </c>
      <c r="BX13" s="132">
        <f t="shared" si="53"/>
        <v>0</v>
      </c>
      <c r="BY13" s="132">
        <f t="shared" si="54"/>
        <v>0</v>
      </c>
      <c r="BZ13" s="132">
        <f t="shared" si="55"/>
        <v>0</v>
      </c>
      <c r="CA13" s="29">
        <f t="shared" si="56"/>
        <v>0</v>
      </c>
      <c r="CB13" s="28">
        <f t="shared" si="1"/>
        <v>0</v>
      </c>
      <c r="CC13" s="132">
        <f t="shared" si="2"/>
        <v>0</v>
      </c>
      <c r="CD13" s="132">
        <f t="shared" si="3"/>
        <v>0</v>
      </c>
      <c r="CE13" s="132">
        <f t="shared" si="4"/>
        <v>0</v>
      </c>
      <c r="CF13" s="132">
        <f t="shared" si="5"/>
        <v>0</v>
      </c>
      <c r="CG13" s="132">
        <f t="shared" si="6"/>
        <v>0</v>
      </c>
      <c r="CH13" s="29">
        <f t="shared" si="7"/>
        <v>0</v>
      </c>
      <c r="CI13" s="28">
        <f t="shared" si="8"/>
        <v>0</v>
      </c>
      <c r="CJ13" s="132">
        <f t="shared" si="9"/>
        <v>0</v>
      </c>
      <c r="CK13" s="132">
        <f t="shared" si="10"/>
        <v>0</v>
      </c>
      <c r="CL13" s="132">
        <f t="shared" si="11"/>
        <v>0</v>
      </c>
      <c r="CM13" s="132">
        <f t="shared" si="12"/>
        <v>0</v>
      </c>
      <c r="CN13" s="132">
        <f t="shared" si="13"/>
        <v>0</v>
      </c>
      <c r="CO13" s="29">
        <f t="shared" si="14"/>
        <v>0</v>
      </c>
    </row>
    <row r="14" spans="1:97" ht="15.75" thickBot="1" x14ac:dyDescent="0.3">
      <c r="A14" s="20">
        <f>'Nesting Phone time'!B15</f>
        <v>0</v>
      </c>
      <c r="B14" s="12" t="str">
        <f>IFERROR(VLOOKUP(A14,'Nesting Phone time'!B:I,2,),"-")</f>
        <v>-</v>
      </c>
      <c r="C14" s="23" t="str">
        <f t="shared" si="15"/>
        <v>-</v>
      </c>
      <c r="D14" s="12" t="str">
        <f>IFERROR(VLOOKUP(A14,'Nesting Phone time'!B:I,3,),"-")</f>
        <v>-</v>
      </c>
      <c r="E14" s="23" t="str">
        <f t="shared" si="16"/>
        <v>-</v>
      </c>
      <c r="F14" s="12" t="str">
        <f>IFERROR(VLOOKUP(A14,'Nesting Phone time'!B:I,4,),"-")</f>
        <v>-</v>
      </c>
      <c r="G14" s="23" t="str">
        <f t="shared" si="17"/>
        <v>-</v>
      </c>
      <c r="H14" s="12" t="str">
        <f>IFERROR(VLOOKUP(A14,'Nesting Phone time'!B:I,5,),"-")</f>
        <v>-</v>
      </c>
      <c r="I14" s="23" t="str">
        <f t="shared" si="18"/>
        <v>-</v>
      </c>
      <c r="J14" s="12" t="str">
        <f>IFERROR(VLOOKUP(A14,'Nesting Phone time'!B:I,6,),"-")</f>
        <v>-</v>
      </c>
      <c r="K14" s="23" t="str">
        <f t="shared" si="19"/>
        <v>-</v>
      </c>
      <c r="L14" s="12" t="str">
        <f>IFERROR(VLOOKUP(A14,'Nesting Phone time'!B:I,7,),"-")</f>
        <v>-</v>
      </c>
      <c r="M14" s="23" t="str">
        <f t="shared" si="20"/>
        <v>-</v>
      </c>
      <c r="N14" s="12" t="str">
        <f>IFERROR(VLOOKUP(A14,'Nesting Phone time'!B:I,8,),"-")</f>
        <v>-</v>
      </c>
      <c r="O14" s="23" t="str">
        <f t="shared" si="21"/>
        <v>-</v>
      </c>
      <c r="Q14" s="12" t="str">
        <f>IFERROR(VLOOKUP(A14,'Nesting Phone time'!B:Y,24,),"-")</f>
        <v>-</v>
      </c>
      <c r="R14" s="23" t="str">
        <f t="shared" si="22"/>
        <v>-</v>
      </c>
      <c r="T14" s="25" t="str">
        <f>IFERROR(VLOOKUP(A14,'Nesting Phone time'!$B:$J,9,),"-")</f>
        <v>-</v>
      </c>
      <c r="U14" s="23" t="str">
        <f t="shared" si="23"/>
        <v>-</v>
      </c>
      <c r="V14" s="12" t="str">
        <f>IFERROR(VLOOKUP(A14,'Nesting Phone time'!B:K,10,),"-")</f>
        <v>-</v>
      </c>
      <c r="W14" s="23" t="str">
        <f t="shared" si="24"/>
        <v>-</v>
      </c>
      <c r="X14" s="12" t="str">
        <f>IFERROR(VLOOKUP(A14,'Nesting Phone time'!B:L,11,),"-")</f>
        <v>-</v>
      </c>
      <c r="Y14" s="23" t="str">
        <f t="shared" si="25"/>
        <v>-</v>
      </c>
      <c r="Z14" s="12" t="str">
        <f>IFERROR(VLOOKUP(A14,'Nesting Phone time'!B:M,12,),"-")</f>
        <v>-</v>
      </c>
      <c r="AA14" s="23" t="str">
        <f t="shared" si="26"/>
        <v>-</v>
      </c>
      <c r="AB14" s="12" t="str">
        <f>IFERROR(VLOOKUP(A14,'Nesting Phone time'!B:N,13,),"-")</f>
        <v>-</v>
      </c>
      <c r="AC14" s="23" t="str">
        <f t="shared" si="27"/>
        <v>-</v>
      </c>
      <c r="AD14" s="12" t="str">
        <f>IFERROR(VLOOKUP(A14,'Nesting Phone time'!B:O,14,),"-")</f>
        <v>-</v>
      </c>
      <c r="AE14" s="23" t="str">
        <f t="shared" si="28"/>
        <v>-</v>
      </c>
      <c r="AF14" s="21" t="str">
        <f>IFERROR(VLOOKUP(A14,'Nesting Phone time'!B:P,15,),"-")</f>
        <v>-</v>
      </c>
      <c r="AG14" s="23" t="str">
        <f t="shared" si="29"/>
        <v>-</v>
      </c>
      <c r="AI14" s="25" t="str">
        <f>IFERROR(VLOOKUP(A14,'Nesting Phone time'!$B:$Q,16,),"-")</f>
        <v>-</v>
      </c>
      <c r="AJ14" s="23" t="str">
        <f t="shared" si="30"/>
        <v>-</v>
      </c>
      <c r="AK14" s="12" t="str">
        <f>IFERROR(VLOOKUP(A14,'Nesting Phone time'!B:R,17,),"-")</f>
        <v>-</v>
      </c>
      <c r="AL14" s="23" t="str">
        <f t="shared" si="31"/>
        <v>-</v>
      </c>
      <c r="AM14" s="12" t="str">
        <f>IFERROR(VLOOKUP(A14,'Nesting Phone time'!B:S,18,),"-")</f>
        <v>-</v>
      </c>
      <c r="AN14" s="23" t="str">
        <f t="shared" si="32"/>
        <v>-</v>
      </c>
      <c r="AO14" s="12" t="str">
        <f>IFERROR(VLOOKUP(A14,'Nesting Phone time'!B:T,19,),"-")</f>
        <v>-</v>
      </c>
      <c r="AP14" s="23" t="str">
        <f t="shared" si="33"/>
        <v>-</v>
      </c>
      <c r="AQ14" s="12" t="str">
        <f>IFERROR(VLOOKUP(A14,'Nesting Phone time'!B:U,20,),"-")</f>
        <v>-</v>
      </c>
      <c r="AR14" s="23" t="str">
        <f t="shared" si="34"/>
        <v>-</v>
      </c>
      <c r="AS14" s="12" t="str">
        <f>IFERROR(VLOOKUP(A14,'Nesting Phone time'!B:V,21,),"-")</f>
        <v>-</v>
      </c>
      <c r="AT14" s="23" t="str">
        <f t="shared" si="35"/>
        <v>-</v>
      </c>
      <c r="AU14" s="21" t="str">
        <f>IFERROR(VLOOKUP(A14,'Nesting Phone time'!B:W,22,),"-")</f>
        <v>-</v>
      </c>
      <c r="AV14" s="23" t="str">
        <f t="shared" si="36"/>
        <v>-</v>
      </c>
      <c r="AX14" s="30">
        <v>0.45833333333333298</v>
      </c>
      <c r="AY14" s="10">
        <v>1.4583333333333399</v>
      </c>
      <c r="AZ14" s="31">
        <f t="shared" si="37"/>
        <v>0</v>
      </c>
      <c r="BA14" s="31">
        <f t="shared" si="38"/>
        <v>0</v>
      </c>
      <c r="BB14" s="31">
        <f t="shared" si="57"/>
        <v>0</v>
      </c>
      <c r="BC14" s="31">
        <f t="shared" si="39"/>
        <v>0</v>
      </c>
      <c r="BD14" s="31">
        <f t="shared" si="40"/>
        <v>0</v>
      </c>
      <c r="BE14" s="31">
        <f t="shared" si="41"/>
        <v>0</v>
      </c>
      <c r="BF14" s="32">
        <f t="shared" si="42"/>
        <v>0</v>
      </c>
      <c r="BH14" s="30">
        <v>0.45833333333333298</v>
      </c>
      <c r="BI14" s="10">
        <v>1.4583333333333299</v>
      </c>
      <c r="BJ14" s="31">
        <f t="shared" si="43"/>
        <v>0</v>
      </c>
      <c r="BK14" s="31">
        <f t="shared" si="44"/>
        <v>0</v>
      </c>
      <c r="BL14" s="31">
        <f t="shared" si="45"/>
        <v>0</v>
      </c>
      <c r="BM14" s="31">
        <f t="shared" si="46"/>
        <v>0</v>
      </c>
      <c r="BN14" s="31">
        <f t="shared" si="47"/>
        <v>0</v>
      </c>
      <c r="BO14" s="31">
        <f t="shared" si="48"/>
        <v>0</v>
      </c>
      <c r="BP14" s="32">
        <f t="shared" si="49"/>
        <v>0</v>
      </c>
      <c r="BS14" s="51">
        <v>0.45833333333333298</v>
      </c>
      <c r="BT14" s="136">
        <v>1.4583333333333399</v>
      </c>
      <c r="BU14" s="28">
        <f t="shared" si="50"/>
        <v>0</v>
      </c>
      <c r="BV14" s="132">
        <f t="shared" si="51"/>
        <v>0</v>
      </c>
      <c r="BW14" s="132">
        <f t="shared" si="52"/>
        <v>0</v>
      </c>
      <c r="BX14" s="132">
        <f t="shared" si="53"/>
        <v>0</v>
      </c>
      <c r="BY14" s="132">
        <f t="shared" si="54"/>
        <v>0</v>
      </c>
      <c r="BZ14" s="132">
        <f t="shared" si="55"/>
        <v>0</v>
      </c>
      <c r="CA14" s="29">
        <f t="shared" si="56"/>
        <v>0</v>
      </c>
      <c r="CB14" s="28">
        <f t="shared" si="1"/>
        <v>0</v>
      </c>
      <c r="CC14" s="132">
        <f t="shared" si="2"/>
        <v>0</v>
      </c>
      <c r="CD14" s="132">
        <f t="shared" si="3"/>
        <v>0</v>
      </c>
      <c r="CE14" s="132">
        <f t="shared" si="4"/>
        <v>0</v>
      </c>
      <c r="CF14" s="132">
        <f t="shared" si="5"/>
        <v>0</v>
      </c>
      <c r="CG14" s="132">
        <f t="shared" si="6"/>
        <v>0</v>
      </c>
      <c r="CH14" s="29">
        <f t="shared" si="7"/>
        <v>0</v>
      </c>
      <c r="CI14" s="28">
        <f t="shared" si="8"/>
        <v>0</v>
      </c>
      <c r="CJ14" s="132">
        <f t="shared" si="9"/>
        <v>0</v>
      </c>
      <c r="CK14" s="132">
        <f t="shared" si="10"/>
        <v>0</v>
      </c>
      <c r="CL14" s="132">
        <f t="shared" si="11"/>
        <v>0</v>
      </c>
      <c r="CM14" s="132">
        <f t="shared" si="12"/>
        <v>0</v>
      </c>
      <c r="CN14" s="132">
        <f t="shared" si="13"/>
        <v>0</v>
      </c>
      <c r="CO14" s="29">
        <f t="shared" si="14"/>
        <v>0</v>
      </c>
    </row>
    <row r="15" spans="1:97" ht="15.75" thickBot="1" x14ac:dyDescent="0.3">
      <c r="A15" s="20">
        <f>'Nesting Phone time'!B16</f>
        <v>0</v>
      </c>
      <c r="B15" s="12" t="str">
        <f>IFERROR(VLOOKUP(A15,'Nesting Phone time'!B:I,2,),"-")</f>
        <v>-</v>
      </c>
      <c r="C15" s="23" t="str">
        <f t="shared" si="15"/>
        <v>-</v>
      </c>
      <c r="D15" s="12" t="str">
        <f>IFERROR(VLOOKUP(A15,'Nesting Phone time'!B:I,3,),"-")</f>
        <v>-</v>
      </c>
      <c r="E15" s="23" t="str">
        <f t="shared" si="16"/>
        <v>-</v>
      </c>
      <c r="F15" s="12" t="str">
        <f>IFERROR(VLOOKUP(A15,'Nesting Phone time'!B:I,4,),"-")</f>
        <v>-</v>
      </c>
      <c r="G15" s="23" t="str">
        <f t="shared" si="17"/>
        <v>-</v>
      </c>
      <c r="H15" s="12" t="str">
        <f>IFERROR(VLOOKUP(A15,'Nesting Phone time'!B:I,5,),"-")</f>
        <v>-</v>
      </c>
      <c r="I15" s="23" t="str">
        <f t="shared" si="18"/>
        <v>-</v>
      </c>
      <c r="J15" s="12" t="str">
        <f>IFERROR(VLOOKUP(A15,'Nesting Phone time'!B:I,6,),"-")</f>
        <v>-</v>
      </c>
      <c r="K15" s="23" t="str">
        <f t="shared" si="19"/>
        <v>-</v>
      </c>
      <c r="L15" s="12" t="str">
        <f>IFERROR(VLOOKUP(A15,'Nesting Phone time'!B:I,7,),"-")</f>
        <v>-</v>
      </c>
      <c r="M15" s="23" t="str">
        <f t="shared" si="20"/>
        <v>-</v>
      </c>
      <c r="N15" s="12" t="str">
        <f>IFERROR(VLOOKUP(A15,'Nesting Phone time'!B:I,8,),"-")</f>
        <v>-</v>
      </c>
      <c r="O15" s="23" t="str">
        <f t="shared" si="21"/>
        <v>-</v>
      </c>
      <c r="Q15" s="12" t="str">
        <f>IFERROR(VLOOKUP(A15,'Nesting Phone time'!B:Y,24,),"-")</f>
        <v>-</v>
      </c>
      <c r="R15" s="23" t="str">
        <f t="shared" si="22"/>
        <v>-</v>
      </c>
      <c r="T15" s="25" t="str">
        <f>IFERROR(VLOOKUP(A15,'Nesting Phone time'!$B:$J,9,),"-")</f>
        <v>-</v>
      </c>
      <c r="U15" s="23" t="str">
        <f t="shared" si="23"/>
        <v>-</v>
      </c>
      <c r="V15" s="12" t="str">
        <f>IFERROR(VLOOKUP(A15,'Nesting Phone time'!B:K,10,),"-")</f>
        <v>-</v>
      </c>
      <c r="W15" s="23" t="str">
        <f t="shared" si="24"/>
        <v>-</v>
      </c>
      <c r="X15" s="12" t="str">
        <f>IFERROR(VLOOKUP(A15,'Nesting Phone time'!B:L,11,),"-")</f>
        <v>-</v>
      </c>
      <c r="Y15" s="23" t="str">
        <f t="shared" si="25"/>
        <v>-</v>
      </c>
      <c r="Z15" s="12" t="str">
        <f>IFERROR(VLOOKUP(A15,'Nesting Phone time'!B:M,12,),"-")</f>
        <v>-</v>
      </c>
      <c r="AA15" s="23" t="str">
        <f t="shared" si="26"/>
        <v>-</v>
      </c>
      <c r="AB15" s="12" t="str">
        <f>IFERROR(VLOOKUP(A15,'Nesting Phone time'!B:N,13,),"-")</f>
        <v>-</v>
      </c>
      <c r="AC15" s="23" t="str">
        <f t="shared" si="27"/>
        <v>-</v>
      </c>
      <c r="AD15" s="12" t="str">
        <f>IFERROR(VLOOKUP(A15,'Nesting Phone time'!B:O,14,),"-")</f>
        <v>-</v>
      </c>
      <c r="AE15" s="23" t="str">
        <f t="shared" si="28"/>
        <v>-</v>
      </c>
      <c r="AF15" s="21" t="str">
        <f>IFERROR(VLOOKUP(A15,'Nesting Phone time'!B:P,15,),"-")</f>
        <v>-</v>
      </c>
      <c r="AG15" s="23" t="str">
        <f t="shared" si="29"/>
        <v>-</v>
      </c>
      <c r="AI15" s="25" t="str">
        <f>IFERROR(VLOOKUP(A15,'Nesting Phone time'!$B:$Q,16,),"-")</f>
        <v>-</v>
      </c>
      <c r="AJ15" s="23" t="str">
        <f t="shared" si="30"/>
        <v>-</v>
      </c>
      <c r="AK15" s="12" t="str">
        <f>IFERROR(VLOOKUP(A15,'Nesting Phone time'!B:R,17,),"-")</f>
        <v>-</v>
      </c>
      <c r="AL15" s="23" t="str">
        <f t="shared" si="31"/>
        <v>-</v>
      </c>
      <c r="AM15" s="12" t="str">
        <f>IFERROR(VLOOKUP(A15,'Nesting Phone time'!B:S,18,),"-")</f>
        <v>-</v>
      </c>
      <c r="AN15" s="23" t="str">
        <f t="shared" si="32"/>
        <v>-</v>
      </c>
      <c r="AO15" s="12" t="str">
        <f>IFERROR(VLOOKUP(A15,'Nesting Phone time'!B:T,19,),"-")</f>
        <v>-</v>
      </c>
      <c r="AP15" s="23" t="str">
        <f t="shared" si="33"/>
        <v>-</v>
      </c>
      <c r="AQ15" s="12" t="str">
        <f>IFERROR(VLOOKUP(A15,'Nesting Phone time'!B:U,20,),"-")</f>
        <v>-</v>
      </c>
      <c r="AR15" s="23" t="str">
        <f t="shared" si="34"/>
        <v>-</v>
      </c>
      <c r="AS15" s="12" t="str">
        <f>IFERROR(VLOOKUP(A15,'Nesting Phone time'!B:V,21,),"-")</f>
        <v>-</v>
      </c>
      <c r="AT15" s="23" t="str">
        <f t="shared" si="35"/>
        <v>-</v>
      </c>
      <c r="AU15" s="21" t="str">
        <f>IFERROR(VLOOKUP(A15,'Nesting Phone time'!B:W,22,),"-")</f>
        <v>-</v>
      </c>
      <c r="AV15" s="23" t="str">
        <f t="shared" si="36"/>
        <v>-</v>
      </c>
      <c r="AX15" s="30">
        <v>0.5</v>
      </c>
      <c r="AY15" s="10">
        <v>1.5</v>
      </c>
      <c r="AZ15" s="31">
        <f t="shared" si="37"/>
        <v>0</v>
      </c>
      <c r="BA15" s="31">
        <f t="shared" si="38"/>
        <v>0</v>
      </c>
      <c r="BB15" s="31">
        <f t="shared" si="57"/>
        <v>0</v>
      </c>
      <c r="BC15" s="31">
        <f t="shared" si="39"/>
        <v>0</v>
      </c>
      <c r="BD15" s="31">
        <f t="shared" si="40"/>
        <v>0</v>
      </c>
      <c r="BE15" s="31">
        <f t="shared" si="41"/>
        <v>0</v>
      </c>
      <c r="BF15" s="32">
        <f t="shared" si="42"/>
        <v>0</v>
      </c>
      <c r="BH15" s="30">
        <v>0.5</v>
      </c>
      <c r="BI15" s="10">
        <v>1.5</v>
      </c>
      <c r="BJ15" s="31">
        <f t="shared" si="43"/>
        <v>0</v>
      </c>
      <c r="BK15" s="31">
        <f t="shared" si="44"/>
        <v>0</v>
      </c>
      <c r="BL15" s="31">
        <f t="shared" si="45"/>
        <v>0</v>
      </c>
      <c r="BM15" s="31">
        <f t="shared" si="46"/>
        <v>0</v>
      </c>
      <c r="BN15" s="31">
        <f t="shared" si="47"/>
        <v>0</v>
      </c>
      <c r="BO15" s="31">
        <f t="shared" si="48"/>
        <v>0</v>
      </c>
      <c r="BP15" s="32">
        <f t="shared" si="49"/>
        <v>0</v>
      </c>
      <c r="BS15" s="51">
        <v>0.5</v>
      </c>
      <c r="BT15" s="136">
        <v>1.50000000000001</v>
      </c>
      <c r="BU15" s="28">
        <f t="shared" si="50"/>
        <v>0</v>
      </c>
      <c r="BV15" s="132">
        <f t="shared" si="51"/>
        <v>0</v>
      </c>
      <c r="BW15" s="132">
        <f t="shared" si="52"/>
        <v>0</v>
      </c>
      <c r="BX15" s="132">
        <f t="shared" si="53"/>
        <v>0</v>
      </c>
      <c r="BY15" s="132">
        <f t="shared" si="54"/>
        <v>0</v>
      </c>
      <c r="BZ15" s="132">
        <f t="shared" si="55"/>
        <v>0</v>
      </c>
      <c r="CA15" s="29">
        <f t="shared" si="56"/>
        <v>0</v>
      </c>
      <c r="CB15" s="28">
        <f t="shared" si="1"/>
        <v>0</v>
      </c>
      <c r="CC15" s="132">
        <f t="shared" si="2"/>
        <v>0</v>
      </c>
      <c r="CD15" s="132">
        <f t="shared" si="3"/>
        <v>0</v>
      </c>
      <c r="CE15" s="132">
        <f t="shared" si="4"/>
        <v>0</v>
      </c>
      <c r="CF15" s="132">
        <f t="shared" si="5"/>
        <v>0</v>
      </c>
      <c r="CG15" s="132">
        <f t="shared" si="6"/>
        <v>0</v>
      </c>
      <c r="CH15" s="29">
        <f t="shared" si="7"/>
        <v>0</v>
      </c>
      <c r="CI15" s="28">
        <f t="shared" si="8"/>
        <v>0</v>
      </c>
      <c r="CJ15" s="132">
        <f t="shared" si="9"/>
        <v>0</v>
      </c>
      <c r="CK15" s="132">
        <f t="shared" si="10"/>
        <v>0</v>
      </c>
      <c r="CL15" s="132">
        <f t="shared" si="11"/>
        <v>0</v>
      </c>
      <c r="CM15" s="132">
        <f t="shared" si="12"/>
        <v>0</v>
      </c>
      <c r="CN15" s="132">
        <f t="shared" si="13"/>
        <v>0</v>
      </c>
      <c r="CO15" s="29">
        <f t="shared" si="14"/>
        <v>0</v>
      </c>
    </row>
    <row r="16" spans="1:97" ht="15.75" thickBot="1" x14ac:dyDescent="0.3">
      <c r="A16" s="247">
        <f>'Nesting Phone time'!B17</f>
        <v>0</v>
      </c>
      <c r="B16" s="12" t="str">
        <f>IFERROR(VLOOKUP(A16,'Nesting Phone time'!B:I,2,),"-")</f>
        <v>-</v>
      </c>
      <c r="C16" s="23" t="str">
        <f t="shared" si="15"/>
        <v>-</v>
      </c>
      <c r="D16" s="12" t="str">
        <f>IFERROR(VLOOKUP(A16,'Nesting Phone time'!B:I,3,),"-")</f>
        <v>-</v>
      </c>
      <c r="E16" s="23" t="str">
        <f t="shared" si="16"/>
        <v>-</v>
      </c>
      <c r="F16" s="12" t="str">
        <f>IFERROR(VLOOKUP(A16,'Nesting Phone time'!B:I,4,),"-")</f>
        <v>-</v>
      </c>
      <c r="G16" s="23" t="str">
        <f t="shared" si="17"/>
        <v>-</v>
      </c>
      <c r="H16" s="12" t="str">
        <f>IFERROR(VLOOKUP(A16,'Nesting Phone time'!B:I,5,),"-")</f>
        <v>-</v>
      </c>
      <c r="I16" s="23" t="str">
        <f t="shared" si="18"/>
        <v>-</v>
      </c>
      <c r="J16" s="12" t="str">
        <f>IFERROR(VLOOKUP(A16,'Nesting Phone time'!B:I,6,),"-")</f>
        <v>-</v>
      </c>
      <c r="K16" s="23" t="str">
        <f t="shared" si="19"/>
        <v>-</v>
      </c>
      <c r="L16" s="12" t="str">
        <f>IFERROR(VLOOKUP(A16,'Nesting Phone time'!B:I,7,),"-")</f>
        <v>-</v>
      </c>
      <c r="M16" s="23" t="str">
        <f t="shared" si="20"/>
        <v>-</v>
      </c>
      <c r="N16" s="12" t="str">
        <f>IFERROR(VLOOKUP(A16,'Nesting Phone time'!B:I,8,),"-")</f>
        <v>-</v>
      </c>
      <c r="O16" s="23" t="str">
        <f t="shared" si="21"/>
        <v>-</v>
      </c>
      <c r="Q16" s="12" t="str">
        <f>IFERROR(VLOOKUP(A16,'Nesting Phone time'!B:Y,24,),"-")</f>
        <v>-</v>
      </c>
      <c r="R16" s="23" t="str">
        <f t="shared" si="22"/>
        <v>-</v>
      </c>
      <c r="T16" s="25" t="str">
        <f>IFERROR(VLOOKUP(A16,'Nesting Phone time'!$B:$J,9,),"-")</f>
        <v>-</v>
      </c>
      <c r="U16" s="23" t="str">
        <f t="shared" si="23"/>
        <v>-</v>
      </c>
      <c r="V16" s="12" t="str">
        <f>IFERROR(VLOOKUP(A16,'Nesting Phone time'!B:K,10,),"-")</f>
        <v>-</v>
      </c>
      <c r="W16" s="23" t="str">
        <f t="shared" si="24"/>
        <v>-</v>
      </c>
      <c r="X16" s="12" t="str">
        <f>IFERROR(VLOOKUP(A16,'Nesting Phone time'!B:L,11,),"-")</f>
        <v>-</v>
      </c>
      <c r="Y16" s="23" t="str">
        <f t="shared" si="25"/>
        <v>-</v>
      </c>
      <c r="Z16" s="12" t="str">
        <f>IFERROR(VLOOKUP(A16,'Nesting Phone time'!B:M,12,),"-")</f>
        <v>-</v>
      </c>
      <c r="AA16" s="23" t="str">
        <f t="shared" si="26"/>
        <v>-</v>
      </c>
      <c r="AB16" s="12" t="str">
        <f>IFERROR(VLOOKUP(A16,'Nesting Phone time'!B:N,13,),"-")</f>
        <v>-</v>
      </c>
      <c r="AC16" s="23" t="str">
        <f t="shared" si="27"/>
        <v>-</v>
      </c>
      <c r="AD16" s="12" t="str">
        <f>IFERROR(VLOOKUP(A16,'Nesting Phone time'!B:O,14,),"-")</f>
        <v>-</v>
      </c>
      <c r="AE16" s="23" t="str">
        <f t="shared" si="28"/>
        <v>-</v>
      </c>
      <c r="AF16" s="21" t="str">
        <f>IFERROR(VLOOKUP(A16,'Nesting Phone time'!B:P,15,),"-")</f>
        <v>-</v>
      </c>
      <c r="AG16" s="23" t="str">
        <f t="shared" si="29"/>
        <v>-</v>
      </c>
      <c r="AI16" s="25" t="str">
        <f>IFERROR(VLOOKUP(A16,'Nesting Phone time'!$B:$Q,16,),"-")</f>
        <v>-</v>
      </c>
      <c r="AJ16" s="23" t="str">
        <f t="shared" si="30"/>
        <v>-</v>
      </c>
      <c r="AK16" s="12" t="str">
        <f>IFERROR(VLOOKUP(A16,'Nesting Phone time'!B:R,17,),"-")</f>
        <v>-</v>
      </c>
      <c r="AL16" s="23" t="str">
        <f t="shared" si="31"/>
        <v>-</v>
      </c>
      <c r="AM16" s="12" t="str">
        <f>IFERROR(VLOOKUP(A16,'Nesting Phone time'!B:S,18,),"-")</f>
        <v>-</v>
      </c>
      <c r="AN16" s="23" t="str">
        <f t="shared" si="32"/>
        <v>-</v>
      </c>
      <c r="AO16" s="12" t="str">
        <f>IFERROR(VLOOKUP(A16,'Nesting Phone time'!B:T,19,),"-")</f>
        <v>-</v>
      </c>
      <c r="AP16" s="23" t="str">
        <f t="shared" si="33"/>
        <v>-</v>
      </c>
      <c r="AQ16" s="12" t="str">
        <f>IFERROR(VLOOKUP(A16,'Nesting Phone time'!B:U,20,),"-")</f>
        <v>-</v>
      </c>
      <c r="AR16" s="23" t="str">
        <f t="shared" si="34"/>
        <v>-</v>
      </c>
      <c r="AS16" s="12" t="str">
        <f>IFERROR(VLOOKUP(A16,'Nesting Phone time'!B:V,21,),"-")</f>
        <v>-</v>
      </c>
      <c r="AT16" s="23" t="str">
        <f t="shared" si="35"/>
        <v>-</v>
      </c>
      <c r="AU16" s="21" t="str">
        <f>IFERROR(VLOOKUP(A16,'Nesting Phone time'!B:W,22,),"-")</f>
        <v>-</v>
      </c>
      <c r="AV16" s="23" t="str">
        <f t="shared" si="36"/>
        <v>-</v>
      </c>
      <c r="AX16" s="30">
        <v>0.54166666666666696</v>
      </c>
      <c r="AY16" s="10">
        <v>1.5416666666666701</v>
      </c>
      <c r="AZ16" s="31">
        <f t="shared" si="37"/>
        <v>0</v>
      </c>
      <c r="BA16" s="31">
        <f t="shared" si="38"/>
        <v>0</v>
      </c>
      <c r="BB16" s="31">
        <f t="shared" si="57"/>
        <v>0</v>
      </c>
      <c r="BC16" s="31">
        <f t="shared" si="39"/>
        <v>0</v>
      </c>
      <c r="BD16" s="31">
        <f t="shared" si="40"/>
        <v>0</v>
      </c>
      <c r="BE16" s="31">
        <f t="shared" si="41"/>
        <v>0</v>
      </c>
      <c r="BF16" s="32">
        <f t="shared" si="42"/>
        <v>0</v>
      </c>
      <c r="BH16" s="30">
        <v>0.54166666666666696</v>
      </c>
      <c r="BI16" s="10">
        <v>1.5416666666666601</v>
      </c>
      <c r="BJ16" s="31">
        <f t="shared" si="43"/>
        <v>0</v>
      </c>
      <c r="BK16" s="31">
        <f t="shared" si="44"/>
        <v>0</v>
      </c>
      <c r="BL16" s="31">
        <f t="shared" si="45"/>
        <v>0</v>
      </c>
      <c r="BM16" s="31">
        <f t="shared" si="46"/>
        <v>0</v>
      </c>
      <c r="BN16" s="31">
        <f t="shared" si="47"/>
        <v>0</v>
      </c>
      <c r="BO16" s="31">
        <f t="shared" si="48"/>
        <v>0</v>
      </c>
      <c r="BP16" s="32">
        <f t="shared" si="49"/>
        <v>0</v>
      </c>
      <c r="BS16" s="51">
        <v>0.54166666666666696</v>
      </c>
      <c r="BT16" s="136">
        <v>1.5416666666666701</v>
      </c>
      <c r="BU16" s="28">
        <f t="shared" si="50"/>
        <v>0</v>
      </c>
      <c r="BV16" s="132">
        <f t="shared" si="51"/>
        <v>0</v>
      </c>
      <c r="BW16" s="132">
        <f t="shared" si="52"/>
        <v>0</v>
      </c>
      <c r="BX16" s="132">
        <f t="shared" si="53"/>
        <v>0</v>
      </c>
      <c r="BY16" s="132">
        <f t="shared" si="54"/>
        <v>0</v>
      </c>
      <c r="BZ16" s="132">
        <f t="shared" si="55"/>
        <v>0</v>
      </c>
      <c r="CA16" s="29">
        <f t="shared" si="56"/>
        <v>0</v>
      </c>
      <c r="CB16" s="28">
        <f t="shared" si="1"/>
        <v>0</v>
      </c>
      <c r="CC16" s="132">
        <f t="shared" si="2"/>
        <v>0</v>
      </c>
      <c r="CD16" s="132">
        <f t="shared" si="3"/>
        <v>0</v>
      </c>
      <c r="CE16" s="132">
        <f t="shared" si="4"/>
        <v>0</v>
      </c>
      <c r="CF16" s="132">
        <f t="shared" si="5"/>
        <v>0</v>
      </c>
      <c r="CG16" s="132">
        <f t="shared" si="6"/>
        <v>0</v>
      </c>
      <c r="CH16" s="29">
        <f t="shared" si="7"/>
        <v>0</v>
      </c>
      <c r="CI16" s="28">
        <f t="shared" si="8"/>
        <v>0</v>
      </c>
      <c r="CJ16" s="132">
        <f t="shared" si="9"/>
        <v>0</v>
      </c>
      <c r="CK16" s="132">
        <f t="shared" si="10"/>
        <v>0</v>
      </c>
      <c r="CL16" s="132">
        <f t="shared" si="11"/>
        <v>0</v>
      </c>
      <c r="CM16" s="132">
        <f t="shared" si="12"/>
        <v>0</v>
      </c>
      <c r="CN16" s="132">
        <f t="shared" si="13"/>
        <v>0</v>
      </c>
      <c r="CO16" s="29">
        <f t="shared" si="14"/>
        <v>0</v>
      </c>
    </row>
    <row r="17" spans="1:93" ht="15.75" thickBot="1" x14ac:dyDescent="0.3">
      <c r="A17" s="247">
        <f>'Nesting Phone time'!B18</f>
        <v>0</v>
      </c>
      <c r="B17" s="12" t="str">
        <f>IFERROR(VLOOKUP(A17,'Nesting Phone time'!B:I,2,),"-")</f>
        <v>-</v>
      </c>
      <c r="C17" s="23" t="str">
        <f t="shared" si="15"/>
        <v>-</v>
      </c>
      <c r="D17" s="12" t="str">
        <f>IFERROR(VLOOKUP(A17,'Nesting Phone time'!B:I,3,),"-")</f>
        <v>-</v>
      </c>
      <c r="E17" s="23" t="str">
        <f t="shared" si="16"/>
        <v>-</v>
      </c>
      <c r="F17" s="12" t="str">
        <f>IFERROR(VLOOKUP(A17,'Nesting Phone time'!B:I,4,),"-")</f>
        <v>-</v>
      </c>
      <c r="G17" s="23" t="str">
        <f t="shared" si="17"/>
        <v>-</v>
      </c>
      <c r="H17" s="12" t="str">
        <f>IFERROR(VLOOKUP(A17,'Nesting Phone time'!B:I,5,),"-")</f>
        <v>-</v>
      </c>
      <c r="I17" s="23" t="str">
        <f t="shared" si="18"/>
        <v>-</v>
      </c>
      <c r="J17" s="12" t="str">
        <f>IFERROR(VLOOKUP(A17,'Nesting Phone time'!B:I,6,),"-")</f>
        <v>-</v>
      </c>
      <c r="K17" s="23" t="str">
        <f t="shared" si="19"/>
        <v>-</v>
      </c>
      <c r="L17" s="12" t="str">
        <f>IFERROR(VLOOKUP(A17,'Nesting Phone time'!B:I,7,),"-")</f>
        <v>-</v>
      </c>
      <c r="M17" s="23" t="str">
        <f t="shared" si="20"/>
        <v>-</v>
      </c>
      <c r="N17" s="12" t="str">
        <f>IFERROR(VLOOKUP(A17,'Nesting Phone time'!B:I,8,),"-")</f>
        <v>-</v>
      </c>
      <c r="O17" s="23" t="str">
        <f t="shared" si="21"/>
        <v>-</v>
      </c>
      <c r="Q17" s="12" t="str">
        <f>IFERROR(VLOOKUP(A17,'Nesting Phone time'!B:Y,24,),"-")</f>
        <v>-</v>
      </c>
      <c r="R17" s="23" t="str">
        <f t="shared" si="22"/>
        <v>-</v>
      </c>
      <c r="T17" s="25" t="str">
        <f>IFERROR(VLOOKUP(A17,'Nesting Phone time'!$B:$J,9,),"-")</f>
        <v>-</v>
      </c>
      <c r="U17" s="23" t="str">
        <f t="shared" si="23"/>
        <v>-</v>
      </c>
      <c r="V17" s="12" t="str">
        <f>IFERROR(VLOOKUP(A17,'Nesting Phone time'!B:K,10,),"-")</f>
        <v>-</v>
      </c>
      <c r="W17" s="23" t="str">
        <f t="shared" si="24"/>
        <v>-</v>
      </c>
      <c r="X17" s="12" t="str">
        <f>IFERROR(VLOOKUP(A17,'Nesting Phone time'!B:L,11,),"-")</f>
        <v>-</v>
      </c>
      <c r="Y17" s="23" t="str">
        <f t="shared" si="25"/>
        <v>-</v>
      </c>
      <c r="Z17" s="12" t="str">
        <f>IFERROR(VLOOKUP(A17,'Nesting Phone time'!B:M,12,),"-")</f>
        <v>-</v>
      </c>
      <c r="AA17" s="23" t="str">
        <f t="shared" si="26"/>
        <v>-</v>
      </c>
      <c r="AB17" s="12" t="str">
        <f>IFERROR(VLOOKUP(A17,'Nesting Phone time'!B:N,13,),"-")</f>
        <v>-</v>
      </c>
      <c r="AC17" s="23" t="str">
        <f t="shared" si="27"/>
        <v>-</v>
      </c>
      <c r="AD17" s="12" t="str">
        <f>IFERROR(VLOOKUP(A17,'Nesting Phone time'!B:O,14,),"-")</f>
        <v>-</v>
      </c>
      <c r="AE17" s="23" t="str">
        <f t="shared" si="28"/>
        <v>-</v>
      </c>
      <c r="AF17" s="21" t="str">
        <f>IFERROR(VLOOKUP(A17,'Nesting Phone time'!B:P,15,),"-")</f>
        <v>-</v>
      </c>
      <c r="AG17" s="23" t="str">
        <f t="shared" si="29"/>
        <v>-</v>
      </c>
      <c r="AI17" s="25" t="str">
        <f>IFERROR(VLOOKUP(A17,'Nesting Phone time'!$B:$Q,16,),"-")</f>
        <v>-</v>
      </c>
      <c r="AJ17" s="23" t="str">
        <f t="shared" si="30"/>
        <v>-</v>
      </c>
      <c r="AK17" s="12" t="str">
        <f>IFERROR(VLOOKUP(A17,'Nesting Phone time'!B:R,17,),"-")</f>
        <v>-</v>
      </c>
      <c r="AL17" s="23" t="str">
        <f t="shared" si="31"/>
        <v>-</v>
      </c>
      <c r="AM17" s="12" t="str">
        <f>IFERROR(VLOOKUP(A17,'Nesting Phone time'!B:S,18,),"-")</f>
        <v>-</v>
      </c>
      <c r="AN17" s="23" t="str">
        <f t="shared" si="32"/>
        <v>-</v>
      </c>
      <c r="AO17" s="12" t="str">
        <f>IFERROR(VLOOKUP(A17,'Nesting Phone time'!B:T,19,),"-")</f>
        <v>-</v>
      </c>
      <c r="AP17" s="23" t="str">
        <f t="shared" si="33"/>
        <v>-</v>
      </c>
      <c r="AQ17" s="12" t="str">
        <f>IFERROR(VLOOKUP(A17,'Nesting Phone time'!B:U,20,),"-")</f>
        <v>-</v>
      </c>
      <c r="AR17" s="23" t="str">
        <f t="shared" si="34"/>
        <v>-</v>
      </c>
      <c r="AS17" s="12" t="str">
        <f>IFERROR(VLOOKUP(A17,'Nesting Phone time'!B:V,21,),"-")</f>
        <v>-</v>
      </c>
      <c r="AT17" s="23" t="str">
        <f t="shared" si="35"/>
        <v>-</v>
      </c>
      <c r="AU17" s="21" t="str">
        <f>IFERROR(VLOOKUP(A17,'Nesting Phone time'!B:W,22,),"-")</f>
        <v>-</v>
      </c>
      <c r="AV17" s="23" t="str">
        <f t="shared" si="36"/>
        <v>-</v>
      </c>
      <c r="AX17" s="30">
        <v>0.58333333333333304</v>
      </c>
      <c r="AY17" s="10">
        <v>1.5833333333333399</v>
      </c>
      <c r="AZ17" s="31">
        <f t="shared" si="37"/>
        <v>9</v>
      </c>
      <c r="BA17" s="31">
        <f t="shared" si="38"/>
        <v>0</v>
      </c>
      <c r="BB17" s="31">
        <f t="shared" si="57"/>
        <v>9</v>
      </c>
      <c r="BC17" s="31">
        <f t="shared" si="39"/>
        <v>9</v>
      </c>
      <c r="BD17" s="31">
        <f t="shared" si="40"/>
        <v>9</v>
      </c>
      <c r="BE17" s="31">
        <f t="shared" si="41"/>
        <v>0</v>
      </c>
      <c r="BF17" s="32">
        <f t="shared" si="42"/>
        <v>9</v>
      </c>
      <c r="BH17" s="30">
        <v>0.58333333333333304</v>
      </c>
      <c r="BI17" s="10">
        <v>1.5833333333333299</v>
      </c>
      <c r="BJ17" s="31">
        <f t="shared" si="43"/>
        <v>0</v>
      </c>
      <c r="BK17" s="31">
        <f t="shared" si="44"/>
        <v>0</v>
      </c>
      <c r="BL17" s="31">
        <f t="shared" si="45"/>
        <v>0</v>
      </c>
      <c r="BM17" s="31">
        <f t="shared" si="46"/>
        <v>0</v>
      </c>
      <c r="BN17" s="31">
        <f t="shared" si="47"/>
        <v>0</v>
      </c>
      <c r="BO17" s="31">
        <f t="shared" si="48"/>
        <v>0</v>
      </c>
      <c r="BP17" s="32">
        <f t="shared" si="49"/>
        <v>0</v>
      </c>
      <c r="BS17" s="51">
        <v>0.58333333333333304</v>
      </c>
      <c r="BT17" s="136">
        <v>1.5833333333333399</v>
      </c>
      <c r="BU17" s="28">
        <f t="shared" si="50"/>
        <v>9</v>
      </c>
      <c r="BV17" s="132">
        <f t="shared" si="51"/>
        <v>0</v>
      </c>
      <c r="BW17" s="132">
        <f t="shared" si="52"/>
        <v>9</v>
      </c>
      <c r="BX17" s="132">
        <f t="shared" si="53"/>
        <v>9</v>
      </c>
      <c r="BY17" s="132">
        <f t="shared" si="54"/>
        <v>9</v>
      </c>
      <c r="BZ17" s="132">
        <f t="shared" si="55"/>
        <v>0</v>
      </c>
      <c r="CA17" s="29">
        <f t="shared" si="56"/>
        <v>9</v>
      </c>
      <c r="CB17" s="28">
        <f t="shared" si="1"/>
        <v>9</v>
      </c>
      <c r="CC17" s="132">
        <f t="shared" si="2"/>
        <v>9</v>
      </c>
      <c r="CD17" s="132">
        <f t="shared" si="3"/>
        <v>9</v>
      </c>
      <c r="CE17" s="132">
        <f t="shared" si="4"/>
        <v>9</v>
      </c>
      <c r="CF17" s="132">
        <f t="shared" si="5"/>
        <v>0</v>
      </c>
      <c r="CG17" s="132">
        <f t="shared" si="6"/>
        <v>0</v>
      </c>
      <c r="CH17" s="29">
        <f t="shared" si="7"/>
        <v>9</v>
      </c>
      <c r="CI17" s="28">
        <f t="shared" si="8"/>
        <v>9</v>
      </c>
      <c r="CJ17" s="132">
        <f t="shared" si="9"/>
        <v>9</v>
      </c>
      <c r="CK17" s="132">
        <f t="shared" si="10"/>
        <v>9</v>
      </c>
      <c r="CL17" s="132">
        <f t="shared" si="11"/>
        <v>9</v>
      </c>
      <c r="CM17" s="132">
        <f t="shared" si="12"/>
        <v>0</v>
      </c>
      <c r="CN17" s="132">
        <f t="shared" si="13"/>
        <v>0</v>
      </c>
      <c r="CO17" s="29">
        <f t="shared" si="14"/>
        <v>9</v>
      </c>
    </row>
    <row r="18" spans="1:93" ht="15.75" thickBot="1" x14ac:dyDescent="0.3">
      <c r="A18" s="247">
        <f>'Nesting Phone time'!B19</f>
        <v>0</v>
      </c>
      <c r="B18" s="12" t="str">
        <f>IFERROR(VLOOKUP(A18,'Nesting Phone time'!B:I,2,),"-")</f>
        <v>-</v>
      </c>
      <c r="C18" s="23" t="str">
        <f t="shared" si="15"/>
        <v>-</v>
      </c>
      <c r="D18" s="12" t="str">
        <f>IFERROR(VLOOKUP(A18,'Nesting Phone time'!B:I,3,),"-")</f>
        <v>-</v>
      </c>
      <c r="E18" s="23" t="str">
        <f t="shared" si="16"/>
        <v>-</v>
      </c>
      <c r="F18" s="12" t="str">
        <f>IFERROR(VLOOKUP(A18,'Nesting Phone time'!B:I,4,),"-")</f>
        <v>-</v>
      </c>
      <c r="G18" s="23" t="str">
        <f t="shared" si="17"/>
        <v>-</v>
      </c>
      <c r="H18" s="12" t="str">
        <f>IFERROR(VLOOKUP(A18,'Nesting Phone time'!B:I,5,),"-")</f>
        <v>-</v>
      </c>
      <c r="I18" s="23" t="str">
        <f t="shared" si="18"/>
        <v>-</v>
      </c>
      <c r="J18" s="12" t="str">
        <f>IFERROR(VLOOKUP(A18,'Nesting Phone time'!B:I,6,),"-")</f>
        <v>-</v>
      </c>
      <c r="K18" s="23" t="str">
        <f t="shared" si="19"/>
        <v>-</v>
      </c>
      <c r="L18" s="12" t="str">
        <f>IFERROR(VLOOKUP(A18,'Nesting Phone time'!B:I,7,),"-")</f>
        <v>-</v>
      </c>
      <c r="M18" s="23" t="str">
        <f t="shared" si="20"/>
        <v>-</v>
      </c>
      <c r="N18" s="12" t="str">
        <f>IFERROR(VLOOKUP(A18,'Nesting Phone time'!B:I,8,),"-")</f>
        <v>-</v>
      </c>
      <c r="O18" s="23" t="str">
        <f t="shared" si="21"/>
        <v>-</v>
      </c>
      <c r="Q18" s="12" t="str">
        <f>IFERROR(VLOOKUP(A18,'Nesting Phone time'!B:Y,24,),"-")</f>
        <v>-</v>
      </c>
      <c r="R18" s="23" t="str">
        <f t="shared" si="22"/>
        <v>-</v>
      </c>
      <c r="T18" s="25" t="str">
        <f>IFERROR(VLOOKUP(A18,'Nesting Phone time'!$B:$J,9,),"-")</f>
        <v>-</v>
      </c>
      <c r="U18" s="23" t="str">
        <f t="shared" si="23"/>
        <v>-</v>
      </c>
      <c r="V18" s="12" t="str">
        <f>IFERROR(VLOOKUP(A18,'Nesting Phone time'!B:K,10,),"-")</f>
        <v>-</v>
      </c>
      <c r="W18" s="23" t="str">
        <f t="shared" si="24"/>
        <v>-</v>
      </c>
      <c r="X18" s="12" t="str">
        <f>IFERROR(VLOOKUP(A18,'Nesting Phone time'!B:L,11,),"-")</f>
        <v>-</v>
      </c>
      <c r="Y18" s="23" t="str">
        <f t="shared" si="25"/>
        <v>-</v>
      </c>
      <c r="Z18" s="12" t="str">
        <f>IFERROR(VLOOKUP(A18,'Nesting Phone time'!B:M,12,),"-")</f>
        <v>-</v>
      </c>
      <c r="AA18" s="23" t="str">
        <f t="shared" si="26"/>
        <v>-</v>
      </c>
      <c r="AB18" s="12" t="str">
        <f>IFERROR(VLOOKUP(A18,'Nesting Phone time'!B:N,13,),"-")</f>
        <v>-</v>
      </c>
      <c r="AC18" s="23" t="str">
        <f t="shared" si="27"/>
        <v>-</v>
      </c>
      <c r="AD18" s="12" t="str">
        <f>IFERROR(VLOOKUP(A18,'Nesting Phone time'!B:O,14,),"-")</f>
        <v>-</v>
      </c>
      <c r="AE18" s="23" t="str">
        <f t="shared" si="28"/>
        <v>-</v>
      </c>
      <c r="AF18" s="21" t="str">
        <f>IFERROR(VLOOKUP(A18,'Nesting Phone time'!B:P,15,),"-")</f>
        <v>-</v>
      </c>
      <c r="AG18" s="23" t="str">
        <f t="shared" si="29"/>
        <v>-</v>
      </c>
      <c r="AI18" s="25" t="str">
        <f>IFERROR(VLOOKUP(A18,'Nesting Phone time'!$B:$Q,16,),"-")</f>
        <v>-</v>
      </c>
      <c r="AJ18" s="23" t="str">
        <f t="shared" si="30"/>
        <v>-</v>
      </c>
      <c r="AK18" s="12" t="str">
        <f>IFERROR(VLOOKUP(A18,'Nesting Phone time'!B:R,17,),"-")</f>
        <v>-</v>
      </c>
      <c r="AL18" s="23" t="str">
        <f t="shared" si="31"/>
        <v>-</v>
      </c>
      <c r="AM18" s="12" t="str">
        <f>IFERROR(VLOOKUP(A18,'Nesting Phone time'!B:S,18,),"-")</f>
        <v>-</v>
      </c>
      <c r="AN18" s="23" t="str">
        <f t="shared" si="32"/>
        <v>-</v>
      </c>
      <c r="AO18" s="12" t="str">
        <f>IFERROR(VLOOKUP(A18,'Nesting Phone time'!B:T,19,),"-")</f>
        <v>-</v>
      </c>
      <c r="AP18" s="23" t="str">
        <f t="shared" si="33"/>
        <v>-</v>
      </c>
      <c r="AQ18" s="12" t="str">
        <f>IFERROR(VLOOKUP(A18,'Nesting Phone time'!B:U,20,),"-")</f>
        <v>-</v>
      </c>
      <c r="AR18" s="23" t="str">
        <f t="shared" si="34"/>
        <v>-</v>
      </c>
      <c r="AS18" s="12" t="str">
        <f>IFERROR(VLOOKUP(A18,'Nesting Phone time'!B:V,21,),"-")</f>
        <v>-</v>
      </c>
      <c r="AT18" s="23" t="str">
        <f t="shared" si="35"/>
        <v>-</v>
      </c>
      <c r="AU18" s="21" t="str">
        <f>IFERROR(VLOOKUP(A18,'Nesting Phone time'!B:W,22,),"-")</f>
        <v>-</v>
      </c>
      <c r="AV18" s="23" t="str">
        <f t="shared" si="36"/>
        <v>-</v>
      </c>
      <c r="AX18" s="30">
        <v>0.625</v>
      </c>
      <c r="AY18" s="10">
        <v>1.625</v>
      </c>
      <c r="AZ18" s="31">
        <f>(COUNTIFS($B$3:$B$12, "&lt;=" &amp; AX18, $C$3:$C$12, "&gt;" &amp; AX18))+COUNTIFS($Q$3:$Q$12, "&lt;=" &amp; AY18, $R$3:$R$12, "&gt;" &amp; AY18)</f>
        <v>9</v>
      </c>
      <c r="BA18" s="31">
        <f t="shared" si="38"/>
        <v>0</v>
      </c>
      <c r="BB18" s="31">
        <f t="shared" si="57"/>
        <v>9</v>
      </c>
      <c r="BC18" s="31">
        <f t="shared" si="39"/>
        <v>9</v>
      </c>
      <c r="BD18" s="31">
        <f t="shared" si="40"/>
        <v>9</v>
      </c>
      <c r="BE18" s="31">
        <f t="shared" si="41"/>
        <v>0</v>
      </c>
      <c r="BF18" s="32">
        <f t="shared" si="42"/>
        <v>9</v>
      </c>
      <c r="BH18" s="30">
        <v>0.625</v>
      </c>
      <c r="BI18" s="10">
        <v>1.625</v>
      </c>
      <c r="BJ18" s="31">
        <f t="shared" si="43"/>
        <v>0</v>
      </c>
      <c r="BK18" s="31">
        <f t="shared" si="44"/>
        <v>0</v>
      </c>
      <c r="BL18" s="31">
        <f t="shared" si="45"/>
        <v>0</v>
      </c>
      <c r="BM18" s="31">
        <f t="shared" si="46"/>
        <v>0</v>
      </c>
      <c r="BN18" s="31">
        <f t="shared" si="47"/>
        <v>0</v>
      </c>
      <c r="BO18" s="31">
        <f t="shared" si="48"/>
        <v>0</v>
      </c>
      <c r="BP18" s="32">
        <f t="shared" si="49"/>
        <v>0</v>
      </c>
      <c r="BS18" s="51">
        <v>0.625</v>
      </c>
      <c r="BT18" s="136">
        <v>1.62500000000001</v>
      </c>
      <c r="BU18" s="28">
        <f t="shared" si="50"/>
        <v>9</v>
      </c>
      <c r="BV18" s="132">
        <f t="shared" si="51"/>
        <v>0</v>
      </c>
      <c r="BW18" s="132">
        <f t="shared" si="52"/>
        <v>9</v>
      </c>
      <c r="BX18" s="132">
        <f t="shared" si="53"/>
        <v>9</v>
      </c>
      <c r="BY18" s="132">
        <f t="shared" si="54"/>
        <v>9</v>
      </c>
      <c r="BZ18" s="132">
        <f t="shared" si="55"/>
        <v>0</v>
      </c>
      <c r="CA18" s="29">
        <f t="shared" si="56"/>
        <v>9</v>
      </c>
      <c r="CB18" s="28">
        <f t="shared" si="1"/>
        <v>9</v>
      </c>
      <c r="CC18" s="132">
        <f t="shared" si="2"/>
        <v>9</v>
      </c>
      <c r="CD18" s="132">
        <f t="shared" si="3"/>
        <v>9</v>
      </c>
      <c r="CE18" s="132">
        <f t="shared" si="4"/>
        <v>9</v>
      </c>
      <c r="CF18" s="132">
        <f t="shared" si="5"/>
        <v>0</v>
      </c>
      <c r="CG18" s="132">
        <f t="shared" si="6"/>
        <v>0</v>
      </c>
      <c r="CH18" s="29">
        <f t="shared" si="7"/>
        <v>9</v>
      </c>
      <c r="CI18" s="28">
        <f t="shared" si="8"/>
        <v>9</v>
      </c>
      <c r="CJ18" s="132">
        <f t="shared" si="9"/>
        <v>9</v>
      </c>
      <c r="CK18" s="132">
        <f t="shared" si="10"/>
        <v>9</v>
      </c>
      <c r="CL18" s="132">
        <f t="shared" si="11"/>
        <v>9</v>
      </c>
      <c r="CM18" s="132">
        <f t="shared" si="12"/>
        <v>0</v>
      </c>
      <c r="CN18" s="132">
        <f t="shared" si="13"/>
        <v>0</v>
      </c>
      <c r="CO18" s="29">
        <f t="shared" si="14"/>
        <v>9</v>
      </c>
    </row>
    <row r="19" spans="1:93" ht="15.75" thickBot="1" x14ac:dyDescent="0.3">
      <c r="A19" s="247">
        <f>'Nesting Phone time'!B20</f>
        <v>0</v>
      </c>
      <c r="B19" s="12" t="str">
        <f>IFERROR(VLOOKUP(A19,'Nesting Phone time'!B:I,2,),"-")</f>
        <v>-</v>
      </c>
      <c r="C19" s="23" t="str">
        <f t="shared" si="15"/>
        <v>-</v>
      </c>
      <c r="D19" s="12" t="str">
        <f>IFERROR(VLOOKUP(A19,'Nesting Phone time'!B:I,3,),"-")</f>
        <v>-</v>
      </c>
      <c r="E19" s="23" t="str">
        <f t="shared" si="16"/>
        <v>-</v>
      </c>
      <c r="F19" s="12" t="str">
        <f>IFERROR(VLOOKUP(A19,'Nesting Phone time'!B:I,4,),"-")</f>
        <v>-</v>
      </c>
      <c r="G19" s="23" t="str">
        <f t="shared" si="17"/>
        <v>-</v>
      </c>
      <c r="H19" s="12" t="str">
        <f>IFERROR(VLOOKUP(A19,'Nesting Phone time'!B:I,5,),"-")</f>
        <v>-</v>
      </c>
      <c r="I19" s="23" t="str">
        <f t="shared" si="18"/>
        <v>-</v>
      </c>
      <c r="J19" s="12" t="str">
        <f>IFERROR(VLOOKUP(A19,'Nesting Phone time'!B:I,6,),"-")</f>
        <v>-</v>
      </c>
      <c r="K19" s="23" t="str">
        <f t="shared" si="19"/>
        <v>-</v>
      </c>
      <c r="L19" s="12" t="str">
        <f>IFERROR(VLOOKUP(A19,'Nesting Phone time'!B:I,7,),"-")</f>
        <v>-</v>
      </c>
      <c r="M19" s="23" t="str">
        <f t="shared" si="20"/>
        <v>-</v>
      </c>
      <c r="N19" s="12" t="str">
        <f>IFERROR(VLOOKUP(A19,'Nesting Phone time'!B:I,8,),"-")</f>
        <v>-</v>
      </c>
      <c r="O19" s="23" t="str">
        <f t="shared" si="21"/>
        <v>-</v>
      </c>
      <c r="Q19" s="12" t="str">
        <f>IFERROR(VLOOKUP(A19,'Nesting Phone time'!B:Y,24,),"-")</f>
        <v>-</v>
      </c>
      <c r="R19" s="23" t="str">
        <f t="shared" si="22"/>
        <v>-</v>
      </c>
      <c r="T19" s="25" t="str">
        <f>IFERROR(VLOOKUP(A19,'Nesting Phone time'!$B:$J,9,),"-")</f>
        <v>-</v>
      </c>
      <c r="U19" s="23" t="str">
        <f t="shared" si="23"/>
        <v>-</v>
      </c>
      <c r="V19" s="12" t="str">
        <f>IFERROR(VLOOKUP(A19,'Nesting Phone time'!B:K,10,),"-")</f>
        <v>-</v>
      </c>
      <c r="W19" s="23" t="str">
        <f t="shared" si="24"/>
        <v>-</v>
      </c>
      <c r="X19" s="12" t="str">
        <f>IFERROR(VLOOKUP(A19,'Nesting Phone time'!B:L,11,),"-")</f>
        <v>-</v>
      </c>
      <c r="Y19" s="23" t="str">
        <f t="shared" si="25"/>
        <v>-</v>
      </c>
      <c r="Z19" s="12" t="str">
        <f>IFERROR(VLOOKUP(A19,'Nesting Phone time'!B:M,12,),"-")</f>
        <v>-</v>
      </c>
      <c r="AA19" s="23" t="str">
        <f t="shared" si="26"/>
        <v>-</v>
      </c>
      <c r="AB19" s="12" t="str">
        <f>IFERROR(VLOOKUP(A19,'Nesting Phone time'!B:N,13,),"-")</f>
        <v>-</v>
      </c>
      <c r="AC19" s="23" t="str">
        <f t="shared" si="27"/>
        <v>-</v>
      </c>
      <c r="AD19" s="12" t="str">
        <f>IFERROR(VLOOKUP(A19,'Nesting Phone time'!B:O,14,),"-")</f>
        <v>-</v>
      </c>
      <c r="AE19" s="23" t="str">
        <f t="shared" si="28"/>
        <v>-</v>
      </c>
      <c r="AF19" s="21" t="str">
        <f>IFERROR(VLOOKUP(A19,'Nesting Phone time'!B:P,15,),"-")</f>
        <v>-</v>
      </c>
      <c r="AG19" s="23" t="str">
        <f t="shared" si="29"/>
        <v>-</v>
      </c>
      <c r="AI19" s="25" t="str">
        <f>IFERROR(VLOOKUP(A19,'Nesting Phone time'!$B:$Q,16,),"-")</f>
        <v>-</v>
      </c>
      <c r="AJ19" s="23" t="str">
        <f t="shared" si="30"/>
        <v>-</v>
      </c>
      <c r="AK19" s="12" t="str">
        <f>IFERROR(VLOOKUP(A19,'Nesting Phone time'!B:R,17,),"-")</f>
        <v>-</v>
      </c>
      <c r="AL19" s="23" t="str">
        <f t="shared" si="31"/>
        <v>-</v>
      </c>
      <c r="AM19" s="12" t="str">
        <f>IFERROR(VLOOKUP(A19,'Nesting Phone time'!B:S,18,),"-")</f>
        <v>-</v>
      </c>
      <c r="AN19" s="23" t="str">
        <f t="shared" si="32"/>
        <v>-</v>
      </c>
      <c r="AO19" s="12" t="str">
        <f>IFERROR(VLOOKUP(A19,'Nesting Phone time'!B:T,19,),"-")</f>
        <v>-</v>
      </c>
      <c r="AP19" s="23" t="str">
        <f t="shared" si="33"/>
        <v>-</v>
      </c>
      <c r="AQ19" s="12" t="str">
        <f>IFERROR(VLOOKUP(A19,'Nesting Phone time'!B:U,20,),"-")</f>
        <v>-</v>
      </c>
      <c r="AR19" s="23" t="str">
        <f t="shared" si="34"/>
        <v>-</v>
      </c>
      <c r="AS19" s="12" t="str">
        <f>IFERROR(VLOOKUP(A19,'Nesting Phone time'!B:V,21,),"-")</f>
        <v>-</v>
      </c>
      <c r="AT19" s="23" t="str">
        <f t="shared" si="35"/>
        <v>-</v>
      </c>
      <c r="AU19" s="21" t="str">
        <f>IFERROR(VLOOKUP(A19,'Nesting Phone time'!B:W,22,),"-")</f>
        <v>-</v>
      </c>
      <c r="AV19" s="23" t="str">
        <f t="shared" si="36"/>
        <v>-</v>
      </c>
      <c r="AX19" s="30">
        <v>0.66666666666666696</v>
      </c>
      <c r="AY19" s="10">
        <v>1.6666666666666701</v>
      </c>
      <c r="AZ19" s="31">
        <f t="shared" ref="AZ19:AZ21" si="58">(COUNTIFS($B$3:$B$12, "&lt;=" &amp; AX19, $C$3:$C$12, "&gt;" &amp; AX19))+COUNTIFS($Q$3:$Q$12, "&lt;=" &amp; AY19, $R$3:$R$12, "&gt;" &amp; AY19)</f>
        <v>9</v>
      </c>
      <c r="BA19" s="31">
        <f t="shared" ref="BA19:BA21" si="59">(COUNTIFS($D$3:$D$12, "&lt;=" &amp; AX19, $E$3:$E$12, "&gt;" &amp; AX19))+COUNTIFS($B$3:$B$12, "&lt;=" &amp; AY19, $C$3:$C$12, "&gt;" &amp; AY19)</f>
        <v>0</v>
      </c>
      <c r="BB19" s="31">
        <f t="shared" ref="BB19:BB21" si="60">(COUNTIFS($F$3:$F$12, "&lt;=" &amp; AX19, $G$3:$G$12, "&gt;" &amp; AX19))+COUNTIFS($D$3:$D$12, "&lt;=" &amp; AY19, $E$3:$E$12, "&gt;" &amp; AY19)</f>
        <v>9</v>
      </c>
      <c r="BC19" s="31">
        <f t="shared" ref="BC19:BC21" si="61">(COUNTIFS($H$3:$H$12, "&lt;=" &amp; AX19, $I$3:$I$12, "&gt;" &amp; AX19))+COUNTIFS($F$3:$F$12, "&lt;=" &amp; AY19, $G$3:$G$12, "&gt;" &amp; AY19)</f>
        <v>9</v>
      </c>
      <c r="BD19" s="31">
        <f t="shared" ref="BD19:BD21" si="62">(COUNTIFS($J$3:$J$12, "&lt;=" &amp; AX19, $K$3:$K$12, "&gt;" &amp; AX19))+COUNTIFS($H$3:$H$12, "&lt;=" &amp; AY19, $I$3:$I$12, "&gt;" &amp; AY19)</f>
        <v>9</v>
      </c>
      <c r="BE19" s="31">
        <f t="shared" ref="BE19:BE21" si="63">(COUNTIFS($L$3:$L$12, "&lt;=" &amp; AX19, $M$3:$M$12, "&gt;" &amp; AX19))+COUNTIFS($J$3:$J$12, "&lt;=" &amp; AY19, $K$3:$K$12, "&gt;" &amp; AY19)</f>
        <v>0</v>
      </c>
      <c r="BF19" s="32">
        <f t="shared" ref="BF19:BF21" si="64">(COUNTIFS($N$3:$N$12, "&lt;=" &amp; AX19, $O$3:$O$12, "&gt;" &amp; AX19))+COUNTIFS($L$3:$L$12, "&lt;=" &amp; AY19, $M$3:$M$12, "&gt;" &amp; AY19)</f>
        <v>9</v>
      </c>
      <c r="BH19" s="30">
        <v>0.66666666666666696</v>
      </c>
      <c r="BI19" s="10">
        <v>1.6666666666666701</v>
      </c>
      <c r="BJ19" s="31">
        <f t="shared" ref="BJ19:BJ21" si="65">(COUNTIFS($B$13:$B$37, "&lt;=" &amp; BH19, $C$13:$C$37, "&gt;" &amp; BH19))+COUNTIFS($Q$13:$Q$37, "&lt;=" &amp; BI19, $R$13:$R$37, "&gt;" &amp; BI19)</f>
        <v>0</v>
      </c>
      <c r="BK19" s="31">
        <f t="shared" ref="BK19:BK21" si="66">(COUNTIFS($D$13:$D$37, "&lt;=" &amp; BH19, $E$13:$E$37, "&gt;" &amp; BH19))+COUNTIFS($B$13:$B$37, "&lt;=" &amp; BI19, $C$13:$C$37, "&gt;" &amp; BI19)</f>
        <v>0</v>
      </c>
      <c r="BL19" s="31">
        <f t="shared" ref="BL19:BL21" si="67">(COUNTIFS($F$13:$F$37, "&lt;=" &amp; BH19, $G$13:$G$37, "&gt;" &amp; BH19))+COUNTIFS($D$13:$D$37, "&lt;=" &amp; BI19, $E$13:$E$37, "&gt;" &amp; BI19)</f>
        <v>0</v>
      </c>
      <c r="BM19" s="31">
        <f t="shared" ref="BM19:BM21" si="68">(COUNTIFS($H$13:$H$37, "&lt;=" &amp; BH19, $I$13:$I$37, "&gt;" &amp; BH19))+COUNTIFS($F$13:$F$37, "&lt;=" &amp; BI19, $G$13:$G$37, "&gt;" &amp; BI19)</f>
        <v>0</v>
      </c>
      <c r="BN19" s="31">
        <f t="shared" ref="BN19:BN21" si="69">(COUNTIFS($J$13:$J$37, "&lt;=" &amp; BH19, $K$13:$K$37, "&gt;" &amp; BH19))+COUNTIFS($H$13:$H$37, "&lt;=" &amp; BI19, $I$13:$I$37, "&gt;" &amp; BI19)</f>
        <v>0</v>
      </c>
      <c r="BO19" s="31">
        <f t="shared" ref="BO19:BO21" si="70">(COUNTIFS($L$13:$L$37, "&lt;=" &amp; BH19, $M$13:$M$37, "&gt;" &amp; BH19))+COUNTIFS($J$13:$J$37, "&lt;=" &amp; BI19, $K$13:$K$37, "&gt;" &amp; BI19)</f>
        <v>0</v>
      </c>
      <c r="BP19" s="32">
        <f t="shared" ref="BP19:BP21" si="71">(COUNTIFS($N$13:$N$37, "&lt;=" &amp; BH19, $O$13:$O$37, "&gt;" &amp; BH19))+COUNTIFS($L$13:$L$37, "&lt;=" &amp; BI19, $M$13:$M$37, "&gt;" &amp; BI19)</f>
        <v>0</v>
      </c>
      <c r="BS19" s="51">
        <v>0.66666666666666696</v>
      </c>
      <c r="BT19" s="136">
        <v>1.6666666666666801</v>
      </c>
      <c r="BU19" s="28">
        <f t="shared" si="50"/>
        <v>9</v>
      </c>
      <c r="BV19" s="132">
        <f t="shared" si="51"/>
        <v>0</v>
      </c>
      <c r="BW19" s="132">
        <f t="shared" si="52"/>
        <v>9</v>
      </c>
      <c r="BX19" s="132">
        <f t="shared" si="53"/>
        <v>9</v>
      </c>
      <c r="BY19" s="132">
        <f t="shared" si="54"/>
        <v>9</v>
      </c>
      <c r="BZ19" s="132">
        <f t="shared" si="55"/>
        <v>0</v>
      </c>
      <c r="CA19" s="29">
        <f t="shared" si="56"/>
        <v>9</v>
      </c>
      <c r="CB19" s="28">
        <f t="shared" si="1"/>
        <v>9</v>
      </c>
      <c r="CC19" s="132">
        <f t="shared" si="2"/>
        <v>9</v>
      </c>
      <c r="CD19" s="132">
        <f t="shared" si="3"/>
        <v>9</v>
      </c>
      <c r="CE19" s="132">
        <f t="shared" si="4"/>
        <v>9</v>
      </c>
      <c r="CF19" s="132">
        <f t="shared" si="5"/>
        <v>0</v>
      </c>
      <c r="CG19" s="132">
        <f t="shared" si="6"/>
        <v>0</v>
      </c>
      <c r="CH19" s="29">
        <f t="shared" si="7"/>
        <v>9</v>
      </c>
      <c r="CI19" s="28">
        <f t="shared" si="8"/>
        <v>9</v>
      </c>
      <c r="CJ19" s="132">
        <f t="shared" si="9"/>
        <v>9</v>
      </c>
      <c r="CK19" s="132">
        <f t="shared" si="10"/>
        <v>9</v>
      </c>
      <c r="CL19" s="132">
        <f t="shared" si="11"/>
        <v>9</v>
      </c>
      <c r="CM19" s="132">
        <f t="shared" si="12"/>
        <v>0</v>
      </c>
      <c r="CN19" s="132">
        <f t="shared" si="13"/>
        <v>0</v>
      </c>
      <c r="CO19" s="29">
        <f t="shared" si="14"/>
        <v>9</v>
      </c>
    </row>
    <row r="20" spans="1:93" ht="15.75" thickBot="1" x14ac:dyDescent="0.3">
      <c r="A20" s="247">
        <f>'Nesting Phone time'!B21</f>
        <v>0</v>
      </c>
      <c r="B20" s="12" t="str">
        <f>IFERROR(VLOOKUP(A20,'Nesting Phone time'!B:I,2,),"-")</f>
        <v>-</v>
      </c>
      <c r="C20" s="23" t="str">
        <f t="shared" si="15"/>
        <v>-</v>
      </c>
      <c r="D20" s="12" t="str">
        <f>IFERROR(VLOOKUP(A20,'Nesting Phone time'!B:I,3,),"-")</f>
        <v>-</v>
      </c>
      <c r="E20" s="23" t="str">
        <f t="shared" si="16"/>
        <v>-</v>
      </c>
      <c r="F20" s="12" t="str">
        <f>IFERROR(VLOOKUP(A20,'Nesting Phone time'!B:I,4,),"-")</f>
        <v>-</v>
      </c>
      <c r="G20" s="23" t="str">
        <f t="shared" si="17"/>
        <v>-</v>
      </c>
      <c r="H20" s="12" t="str">
        <f>IFERROR(VLOOKUP(A20,'Nesting Phone time'!B:I,5,),"-")</f>
        <v>-</v>
      </c>
      <c r="I20" s="23" t="str">
        <f t="shared" si="18"/>
        <v>-</v>
      </c>
      <c r="J20" s="12" t="str">
        <f>IFERROR(VLOOKUP(A20,'Nesting Phone time'!B:I,6,),"-")</f>
        <v>-</v>
      </c>
      <c r="K20" s="23" t="str">
        <f t="shared" si="19"/>
        <v>-</v>
      </c>
      <c r="L20" s="12" t="str">
        <f>IFERROR(VLOOKUP(A20,'Nesting Phone time'!B:I,7,),"-")</f>
        <v>-</v>
      </c>
      <c r="M20" s="23" t="str">
        <f t="shared" si="20"/>
        <v>-</v>
      </c>
      <c r="N20" s="12" t="str">
        <f>IFERROR(VLOOKUP(A20,'Nesting Phone time'!B:I,8,),"-")</f>
        <v>-</v>
      </c>
      <c r="O20" s="23" t="str">
        <f t="shared" si="21"/>
        <v>-</v>
      </c>
      <c r="Q20" s="12" t="str">
        <f>IFERROR(VLOOKUP(A20,'Nesting Phone time'!B:Y,24,),"-")</f>
        <v>-</v>
      </c>
      <c r="R20" s="23" t="str">
        <f t="shared" si="22"/>
        <v>-</v>
      </c>
      <c r="T20" s="25" t="str">
        <f>IFERROR(VLOOKUP(A20,'Nesting Phone time'!$B:$J,9,),"-")</f>
        <v>-</v>
      </c>
      <c r="U20" s="23" t="str">
        <f t="shared" si="23"/>
        <v>-</v>
      </c>
      <c r="V20" s="12" t="str">
        <f>IFERROR(VLOOKUP(A20,'Nesting Phone time'!B:K,10,),"-")</f>
        <v>-</v>
      </c>
      <c r="W20" s="23" t="str">
        <f t="shared" si="24"/>
        <v>-</v>
      </c>
      <c r="X20" s="12" t="str">
        <f>IFERROR(VLOOKUP(A20,'Nesting Phone time'!B:L,11,),"-")</f>
        <v>-</v>
      </c>
      <c r="Y20" s="23" t="str">
        <f t="shared" si="25"/>
        <v>-</v>
      </c>
      <c r="Z20" s="12" t="str">
        <f>IFERROR(VLOOKUP(A20,'Nesting Phone time'!B:M,12,),"-")</f>
        <v>-</v>
      </c>
      <c r="AA20" s="23" t="str">
        <f t="shared" si="26"/>
        <v>-</v>
      </c>
      <c r="AB20" s="12" t="str">
        <f>IFERROR(VLOOKUP(A20,'Nesting Phone time'!B:N,13,),"-")</f>
        <v>-</v>
      </c>
      <c r="AC20" s="23" t="str">
        <f t="shared" si="27"/>
        <v>-</v>
      </c>
      <c r="AD20" s="12" t="str">
        <f>IFERROR(VLOOKUP(A20,'Nesting Phone time'!B:O,14,),"-")</f>
        <v>-</v>
      </c>
      <c r="AE20" s="23" t="str">
        <f t="shared" si="28"/>
        <v>-</v>
      </c>
      <c r="AF20" s="21" t="str">
        <f>IFERROR(VLOOKUP(A20,'Nesting Phone time'!B:P,15,),"-")</f>
        <v>-</v>
      </c>
      <c r="AG20" s="23" t="str">
        <f t="shared" si="29"/>
        <v>-</v>
      </c>
      <c r="AI20" s="25" t="str">
        <f>IFERROR(VLOOKUP(A20,'Nesting Phone time'!$B:$Q,16,),"-")</f>
        <v>-</v>
      </c>
      <c r="AJ20" s="23" t="str">
        <f t="shared" si="30"/>
        <v>-</v>
      </c>
      <c r="AK20" s="12" t="str">
        <f>IFERROR(VLOOKUP(A20,'Nesting Phone time'!B:R,17,),"-")</f>
        <v>-</v>
      </c>
      <c r="AL20" s="23" t="str">
        <f t="shared" si="31"/>
        <v>-</v>
      </c>
      <c r="AM20" s="12" t="str">
        <f>IFERROR(VLOOKUP(A20,'Nesting Phone time'!B:S,18,),"-")</f>
        <v>-</v>
      </c>
      <c r="AN20" s="23" t="str">
        <f t="shared" si="32"/>
        <v>-</v>
      </c>
      <c r="AO20" s="12" t="str">
        <f>IFERROR(VLOOKUP(A20,'Nesting Phone time'!B:T,19,),"-")</f>
        <v>-</v>
      </c>
      <c r="AP20" s="23" t="str">
        <f t="shared" si="33"/>
        <v>-</v>
      </c>
      <c r="AQ20" s="12" t="str">
        <f>IFERROR(VLOOKUP(A20,'Nesting Phone time'!B:U,20,),"-")</f>
        <v>-</v>
      </c>
      <c r="AR20" s="23" t="str">
        <f t="shared" si="34"/>
        <v>-</v>
      </c>
      <c r="AS20" s="12" t="str">
        <f>IFERROR(VLOOKUP(A20,'Nesting Phone time'!B:V,21,),"-")</f>
        <v>-</v>
      </c>
      <c r="AT20" s="23" t="str">
        <f t="shared" si="35"/>
        <v>-</v>
      </c>
      <c r="AU20" s="21" t="str">
        <f>IFERROR(VLOOKUP(A20,'Nesting Phone time'!B:W,22,),"-")</f>
        <v>-</v>
      </c>
      <c r="AV20" s="23" t="str">
        <f t="shared" si="36"/>
        <v>-</v>
      </c>
      <c r="AX20" s="30">
        <v>0.70833333333333304</v>
      </c>
      <c r="AY20" s="10">
        <v>1.7083333333333299</v>
      </c>
      <c r="AZ20" s="31">
        <f t="shared" si="58"/>
        <v>9</v>
      </c>
      <c r="BA20" s="31">
        <f t="shared" si="59"/>
        <v>0</v>
      </c>
      <c r="BB20" s="31">
        <f t="shared" si="60"/>
        <v>9</v>
      </c>
      <c r="BC20" s="31">
        <f t="shared" si="61"/>
        <v>9</v>
      </c>
      <c r="BD20" s="31">
        <f t="shared" si="62"/>
        <v>9</v>
      </c>
      <c r="BE20" s="31">
        <f t="shared" si="63"/>
        <v>0</v>
      </c>
      <c r="BF20" s="32">
        <f t="shared" si="64"/>
        <v>9</v>
      </c>
      <c r="BH20" s="30">
        <v>0.70833333333333304</v>
      </c>
      <c r="BI20" s="10">
        <v>1.7083333333333299</v>
      </c>
      <c r="BJ20" s="31">
        <f t="shared" si="65"/>
        <v>0</v>
      </c>
      <c r="BK20" s="31">
        <f t="shared" si="66"/>
        <v>0</v>
      </c>
      <c r="BL20" s="31">
        <f t="shared" si="67"/>
        <v>0</v>
      </c>
      <c r="BM20" s="31">
        <f t="shared" si="68"/>
        <v>0</v>
      </c>
      <c r="BN20" s="31">
        <f t="shared" si="69"/>
        <v>0</v>
      </c>
      <c r="BO20" s="31">
        <f t="shared" si="70"/>
        <v>0</v>
      </c>
      <c r="BP20" s="32">
        <f t="shared" si="71"/>
        <v>0</v>
      </c>
      <c r="BS20" s="51">
        <v>0.70833333333333304</v>
      </c>
      <c r="BT20" s="136">
        <v>1.7083333333333399</v>
      </c>
      <c r="BU20" s="28">
        <f t="shared" si="50"/>
        <v>9</v>
      </c>
      <c r="BV20" s="132">
        <f t="shared" si="51"/>
        <v>0</v>
      </c>
      <c r="BW20" s="132">
        <f t="shared" si="52"/>
        <v>9</v>
      </c>
      <c r="BX20" s="132">
        <f t="shared" si="53"/>
        <v>9</v>
      </c>
      <c r="BY20" s="132">
        <f t="shared" si="54"/>
        <v>9</v>
      </c>
      <c r="BZ20" s="132">
        <f t="shared" si="55"/>
        <v>0</v>
      </c>
      <c r="CA20" s="29">
        <f t="shared" si="56"/>
        <v>9</v>
      </c>
      <c r="CB20" s="28">
        <f t="shared" si="1"/>
        <v>9</v>
      </c>
      <c r="CC20" s="132">
        <f t="shared" si="2"/>
        <v>9</v>
      </c>
      <c r="CD20" s="132">
        <f t="shared" si="3"/>
        <v>9</v>
      </c>
      <c r="CE20" s="132">
        <f t="shared" si="4"/>
        <v>9</v>
      </c>
      <c r="CF20" s="132">
        <f t="shared" si="5"/>
        <v>0</v>
      </c>
      <c r="CG20" s="132">
        <f t="shared" si="6"/>
        <v>0</v>
      </c>
      <c r="CH20" s="29">
        <f t="shared" si="7"/>
        <v>9</v>
      </c>
      <c r="CI20" s="28">
        <f t="shared" si="8"/>
        <v>9</v>
      </c>
      <c r="CJ20" s="132">
        <f t="shared" si="9"/>
        <v>9</v>
      </c>
      <c r="CK20" s="132">
        <f t="shared" si="10"/>
        <v>9</v>
      </c>
      <c r="CL20" s="132">
        <f t="shared" si="11"/>
        <v>9</v>
      </c>
      <c r="CM20" s="132">
        <f t="shared" si="12"/>
        <v>0</v>
      </c>
      <c r="CN20" s="132">
        <f t="shared" si="13"/>
        <v>0</v>
      </c>
      <c r="CO20" s="29">
        <f t="shared" si="14"/>
        <v>9</v>
      </c>
    </row>
    <row r="21" spans="1:93" ht="15.75" thickBot="1" x14ac:dyDescent="0.3">
      <c r="A21" s="247">
        <f>'Nesting Phone time'!B22</f>
        <v>0</v>
      </c>
      <c r="B21" s="12" t="str">
        <f>IFERROR(VLOOKUP(A21,'Nesting Phone time'!B:I,2,),"-")</f>
        <v>-</v>
      </c>
      <c r="C21" s="23" t="str">
        <f t="shared" si="15"/>
        <v>-</v>
      </c>
      <c r="D21" s="12" t="str">
        <f>IFERROR(VLOOKUP(A21,'Nesting Phone time'!B:I,3,),"-")</f>
        <v>-</v>
      </c>
      <c r="E21" s="23" t="str">
        <f t="shared" si="16"/>
        <v>-</v>
      </c>
      <c r="F21" s="12" t="str">
        <f>IFERROR(VLOOKUP(A21,'Nesting Phone time'!B:I,4,),"-")</f>
        <v>-</v>
      </c>
      <c r="G21" s="23" t="str">
        <f t="shared" si="17"/>
        <v>-</v>
      </c>
      <c r="H21" s="12" t="str">
        <f>IFERROR(VLOOKUP(A21,'Nesting Phone time'!B:I,5,),"-")</f>
        <v>-</v>
      </c>
      <c r="I21" s="23" t="str">
        <f t="shared" si="18"/>
        <v>-</v>
      </c>
      <c r="J21" s="12" t="str">
        <f>IFERROR(VLOOKUP(A21,'Nesting Phone time'!B:I,6,),"-")</f>
        <v>-</v>
      </c>
      <c r="K21" s="23" t="str">
        <f t="shared" si="19"/>
        <v>-</v>
      </c>
      <c r="L21" s="12" t="str">
        <f>IFERROR(VLOOKUP(A21,'Nesting Phone time'!B:I,7,),"-")</f>
        <v>-</v>
      </c>
      <c r="M21" s="23" t="str">
        <f t="shared" si="20"/>
        <v>-</v>
      </c>
      <c r="N21" s="12" t="str">
        <f>IFERROR(VLOOKUP(A21,'Nesting Phone time'!B:I,8,),"-")</f>
        <v>-</v>
      </c>
      <c r="O21" s="23" t="str">
        <f t="shared" si="21"/>
        <v>-</v>
      </c>
      <c r="Q21" s="12" t="str">
        <f>IFERROR(VLOOKUP(A21,'Nesting Phone time'!B:Y,24,),"-")</f>
        <v>-</v>
      </c>
      <c r="R21" s="23" t="str">
        <f t="shared" si="22"/>
        <v>-</v>
      </c>
      <c r="T21" s="25" t="str">
        <f>IFERROR(VLOOKUP(A21,'Nesting Phone time'!$B:$J,9,),"-")</f>
        <v>-</v>
      </c>
      <c r="U21" s="23" t="str">
        <f t="shared" si="23"/>
        <v>-</v>
      </c>
      <c r="V21" s="12" t="str">
        <f>IFERROR(VLOOKUP(A21,'Nesting Phone time'!B:K,10,),"-")</f>
        <v>-</v>
      </c>
      <c r="W21" s="23" t="str">
        <f t="shared" si="24"/>
        <v>-</v>
      </c>
      <c r="X21" s="12" t="str">
        <f>IFERROR(VLOOKUP(A21,'Nesting Phone time'!B:L,11,),"-")</f>
        <v>-</v>
      </c>
      <c r="Y21" s="23" t="str">
        <f t="shared" si="25"/>
        <v>-</v>
      </c>
      <c r="Z21" s="12" t="str">
        <f>IFERROR(VLOOKUP(A21,'Nesting Phone time'!B:M,12,),"-")</f>
        <v>-</v>
      </c>
      <c r="AA21" s="23" t="str">
        <f t="shared" si="26"/>
        <v>-</v>
      </c>
      <c r="AB21" s="12" t="str">
        <f>IFERROR(VLOOKUP(A21,'Nesting Phone time'!B:N,13,),"-")</f>
        <v>-</v>
      </c>
      <c r="AC21" s="23" t="str">
        <f t="shared" si="27"/>
        <v>-</v>
      </c>
      <c r="AD21" s="12" t="str">
        <f>IFERROR(VLOOKUP(A21,'Nesting Phone time'!B:O,14,),"-")</f>
        <v>-</v>
      </c>
      <c r="AE21" s="23" t="str">
        <f t="shared" si="28"/>
        <v>-</v>
      </c>
      <c r="AF21" s="21" t="str">
        <f>IFERROR(VLOOKUP(A21,'Nesting Phone time'!B:P,15,),"-")</f>
        <v>-</v>
      </c>
      <c r="AG21" s="23" t="str">
        <f t="shared" si="29"/>
        <v>-</v>
      </c>
      <c r="AI21" s="25" t="str">
        <f>IFERROR(VLOOKUP(A21,'Nesting Phone time'!$B:$Q,16,),"-")</f>
        <v>-</v>
      </c>
      <c r="AJ21" s="23" t="str">
        <f t="shared" si="30"/>
        <v>-</v>
      </c>
      <c r="AK21" s="12" t="str">
        <f>IFERROR(VLOOKUP(A21,'Nesting Phone time'!B:R,17,),"-")</f>
        <v>-</v>
      </c>
      <c r="AL21" s="23" t="str">
        <f t="shared" si="31"/>
        <v>-</v>
      </c>
      <c r="AM21" s="12" t="str">
        <f>IFERROR(VLOOKUP(A21,'Nesting Phone time'!B:S,18,),"-")</f>
        <v>-</v>
      </c>
      <c r="AN21" s="23" t="str">
        <f t="shared" si="32"/>
        <v>-</v>
      </c>
      <c r="AO21" s="12" t="str">
        <f>IFERROR(VLOOKUP(A21,'Nesting Phone time'!B:T,19,),"-")</f>
        <v>-</v>
      </c>
      <c r="AP21" s="23" t="str">
        <f t="shared" si="33"/>
        <v>-</v>
      </c>
      <c r="AQ21" s="12" t="str">
        <f>IFERROR(VLOOKUP(A21,'Nesting Phone time'!B:U,20,),"-")</f>
        <v>-</v>
      </c>
      <c r="AR21" s="23" t="str">
        <f t="shared" si="34"/>
        <v>-</v>
      </c>
      <c r="AS21" s="12" t="str">
        <f>IFERROR(VLOOKUP(A21,'Nesting Phone time'!B:V,21,),"-")</f>
        <v>-</v>
      </c>
      <c r="AT21" s="23" t="str">
        <f t="shared" si="35"/>
        <v>-</v>
      </c>
      <c r="AU21" s="21" t="str">
        <f>IFERROR(VLOOKUP(A21,'Nesting Phone time'!B:W,22,),"-")</f>
        <v>-</v>
      </c>
      <c r="AV21" s="23" t="str">
        <f t="shared" si="36"/>
        <v>-</v>
      </c>
      <c r="AX21" s="30">
        <v>0.75</v>
      </c>
      <c r="AY21" s="10">
        <v>1.75</v>
      </c>
      <c r="AZ21" s="31">
        <f t="shared" si="58"/>
        <v>9</v>
      </c>
      <c r="BA21" s="31">
        <f t="shared" si="59"/>
        <v>0</v>
      </c>
      <c r="BB21" s="31">
        <f t="shared" si="60"/>
        <v>9</v>
      </c>
      <c r="BC21" s="31">
        <f t="shared" si="61"/>
        <v>9</v>
      </c>
      <c r="BD21" s="31">
        <f t="shared" si="62"/>
        <v>9</v>
      </c>
      <c r="BE21" s="31">
        <f t="shared" si="63"/>
        <v>0</v>
      </c>
      <c r="BF21" s="32">
        <f t="shared" si="64"/>
        <v>9</v>
      </c>
      <c r="BH21" s="30">
        <v>0.75</v>
      </c>
      <c r="BI21" s="10">
        <v>1.75</v>
      </c>
      <c r="BJ21" s="31">
        <f t="shared" si="65"/>
        <v>0</v>
      </c>
      <c r="BK21" s="31">
        <f t="shared" si="66"/>
        <v>0</v>
      </c>
      <c r="BL21" s="31">
        <f t="shared" si="67"/>
        <v>0</v>
      </c>
      <c r="BM21" s="31">
        <f t="shared" si="68"/>
        <v>0</v>
      </c>
      <c r="BN21" s="31">
        <f t="shared" si="69"/>
        <v>0</v>
      </c>
      <c r="BO21" s="31">
        <f t="shared" si="70"/>
        <v>0</v>
      </c>
      <c r="BP21" s="32">
        <f t="shared" si="71"/>
        <v>0</v>
      </c>
      <c r="BS21" s="51">
        <v>0.75</v>
      </c>
      <c r="BT21" s="136">
        <v>1.75000000000001</v>
      </c>
      <c r="BU21" s="28">
        <f t="shared" si="50"/>
        <v>9</v>
      </c>
      <c r="BV21" s="132">
        <f t="shared" si="51"/>
        <v>0</v>
      </c>
      <c r="BW21" s="132">
        <f t="shared" si="52"/>
        <v>9</v>
      </c>
      <c r="BX21" s="132">
        <f t="shared" si="53"/>
        <v>9</v>
      </c>
      <c r="BY21" s="132">
        <f t="shared" si="54"/>
        <v>9</v>
      </c>
      <c r="BZ21" s="132">
        <f t="shared" si="55"/>
        <v>0</v>
      </c>
      <c r="CA21" s="29">
        <f t="shared" si="56"/>
        <v>9</v>
      </c>
      <c r="CB21" s="28">
        <f t="shared" si="1"/>
        <v>9</v>
      </c>
      <c r="CC21" s="132">
        <f t="shared" si="2"/>
        <v>9</v>
      </c>
      <c r="CD21" s="132">
        <f t="shared" si="3"/>
        <v>9</v>
      </c>
      <c r="CE21" s="132">
        <f t="shared" si="4"/>
        <v>9</v>
      </c>
      <c r="CF21" s="132">
        <f t="shared" si="5"/>
        <v>0</v>
      </c>
      <c r="CG21" s="132">
        <f t="shared" si="6"/>
        <v>0</v>
      </c>
      <c r="CH21" s="29">
        <f t="shared" si="7"/>
        <v>9</v>
      </c>
      <c r="CI21" s="28">
        <f t="shared" si="8"/>
        <v>9</v>
      </c>
      <c r="CJ21" s="132">
        <f t="shared" si="9"/>
        <v>9</v>
      </c>
      <c r="CK21" s="132">
        <f t="shared" si="10"/>
        <v>9</v>
      </c>
      <c r="CL21" s="132">
        <f t="shared" si="11"/>
        <v>9</v>
      </c>
      <c r="CM21" s="132">
        <f t="shared" si="12"/>
        <v>0</v>
      </c>
      <c r="CN21" s="132">
        <f t="shared" si="13"/>
        <v>0</v>
      </c>
      <c r="CO21" s="29">
        <f t="shared" si="14"/>
        <v>9</v>
      </c>
    </row>
    <row r="22" spans="1:93" ht="15.75" thickBot="1" x14ac:dyDescent="0.3">
      <c r="A22" s="247">
        <f>'Nesting Phone time'!B23</f>
        <v>0</v>
      </c>
      <c r="B22" s="12" t="str">
        <f>IFERROR(VLOOKUP(A22,'Nesting Phone time'!B:I,2,),"-")</f>
        <v>-</v>
      </c>
      <c r="C22" s="23" t="str">
        <f t="shared" si="15"/>
        <v>-</v>
      </c>
      <c r="D22" s="12" t="str">
        <f>IFERROR(VLOOKUP(A22,'Nesting Phone time'!B:I,3,),"-")</f>
        <v>-</v>
      </c>
      <c r="E22" s="23" t="str">
        <f t="shared" si="16"/>
        <v>-</v>
      </c>
      <c r="F22" s="12" t="str">
        <f>IFERROR(VLOOKUP(A22,'Nesting Phone time'!B:I,4,),"-")</f>
        <v>-</v>
      </c>
      <c r="G22" s="23" t="str">
        <f t="shared" si="17"/>
        <v>-</v>
      </c>
      <c r="H22" s="12" t="str">
        <f>IFERROR(VLOOKUP(A22,'Nesting Phone time'!B:I,5,),"-")</f>
        <v>-</v>
      </c>
      <c r="I22" s="23" t="str">
        <f t="shared" si="18"/>
        <v>-</v>
      </c>
      <c r="J22" s="12" t="str">
        <f>IFERROR(VLOOKUP(A22,'Nesting Phone time'!B:I,6,),"-")</f>
        <v>-</v>
      </c>
      <c r="K22" s="23" t="str">
        <f t="shared" si="19"/>
        <v>-</v>
      </c>
      <c r="L22" s="12" t="str">
        <f>IFERROR(VLOOKUP(A22,'Nesting Phone time'!B:I,7,),"-")</f>
        <v>-</v>
      </c>
      <c r="M22" s="23" t="str">
        <f t="shared" si="20"/>
        <v>-</v>
      </c>
      <c r="N22" s="12" t="str">
        <f>IFERROR(VLOOKUP(A22,'Nesting Phone time'!B:I,8,),"-")</f>
        <v>-</v>
      </c>
      <c r="O22" s="23" t="str">
        <f t="shared" si="21"/>
        <v>-</v>
      </c>
      <c r="Q22" s="12" t="str">
        <f>IFERROR(VLOOKUP(A22,'Nesting Phone time'!B:Y,24,),"-")</f>
        <v>-</v>
      </c>
      <c r="R22" s="23" t="str">
        <f t="shared" si="22"/>
        <v>-</v>
      </c>
      <c r="T22" s="25" t="str">
        <f>IFERROR(VLOOKUP(A22,'Nesting Phone time'!$B:$J,9,),"-")</f>
        <v>-</v>
      </c>
      <c r="U22" s="23" t="str">
        <f t="shared" si="23"/>
        <v>-</v>
      </c>
      <c r="V22" s="12" t="str">
        <f>IFERROR(VLOOKUP(A22,'Nesting Phone time'!B:K,10,),"-")</f>
        <v>-</v>
      </c>
      <c r="W22" s="23" t="str">
        <f t="shared" si="24"/>
        <v>-</v>
      </c>
      <c r="X22" s="12" t="str">
        <f>IFERROR(VLOOKUP(A22,'Nesting Phone time'!B:L,11,),"-")</f>
        <v>-</v>
      </c>
      <c r="Y22" s="23" t="str">
        <f t="shared" si="25"/>
        <v>-</v>
      </c>
      <c r="Z22" s="12" t="str">
        <f>IFERROR(VLOOKUP(A22,'Nesting Phone time'!B:M,12,),"-")</f>
        <v>-</v>
      </c>
      <c r="AA22" s="23" t="str">
        <f t="shared" si="26"/>
        <v>-</v>
      </c>
      <c r="AB22" s="12" t="str">
        <f>IFERROR(VLOOKUP(A22,'Nesting Phone time'!B:N,13,),"-")</f>
        <v>-</v>
      </c>
      <c r="AC22" s="23" t="str">
        <f t="shared" si="27"/>
        <v>-</v>
      </c>
      <c r="AD22" s="12" t="str">
        <f>IFERROR(VLOOKUP(A22,'Nesting Phone time'!B:O,14,),"-")</f>
        <v>-</v>
      </c>
      <c r="AE22" s="23" t="str">
        <f t="shared" si="28"/>
        <v>-</v>
      </c>
      <c r="AF22" s="21" t="str">
        <f>IFERROR(VLOOKUP(A22,'Nesting Phone time'!B:P,15,),"-")</f>
        <v>-</v>
      </c>
      <c r="AG22" s="23" t="str">
        <f t="shared" si="29"/>
        <v>-</v>
      </c>
      <c r="AI22" s="25" t="str">
        <f>IFERROR(VLOOKUP(A22,'Nesting Phone time'!$B:$Q,16,),"-")</f>
        <v>-</v>
      </c>
      <c r="AJ22" s="23" t="str">
        <f t="shared" si="30"/>
        <v>-</v>
      </c>
      <c r="AK22" s="12" t="str">
        <f>IFERROR(VLOOKUP(A22,'Nesting Phone time'!B:R,17,),"-")</f>
        <v>-</v>
      </c>
      <c r="AL22" s="23" t="str">
        <f t="shared" si="31"/>
        <v>-</v>
      </c>
      <c r="AM22" s="12" t="str">
        <f>IFERROR(VLOOKUP(A22,'Nesting Phone time'!B:S,18,),"-")</f>
        <v>-</v>
      </c>
      <c r="AN22" s="23" t="str">
        <f t="shared" si="32"/>
        <v>-</v>
      </c>
      <c r="AO22" s="12" t="str">
        <f>IFERROR(VLOOKUP(A22,'Nesting Phone time'!B:T,19,),"-")</f>
        <v>-</v>
      </c>
      <c r="AP22" s="23" t="str">
        <f t="shared" si="33"/>
        <v>-</v>
      </c>
      <c r="AQ22" s="12" t="str">
        <f>IFERROR(VLOOKUP(A22,'Nesting Phone time'!B:U,20,),"-")</f>
        <v>-</v>
      </c>
      <c r="AR22" s="23" t="str">
        <f t="shared" si="34"/>
        <v>-</v>
      </c>
      <c r="AS22" s="12" t="str">
        <f>IFERROR(VLOOKUP(A22,'Nesting Phone time'!B:V,21,),"-")</f>
        <v>-</v>
      </c>
      <c r="AT22" s="23" t="str">
        <f t="shared" si="35"/>
        <v>-</v>
      </c>
      <c r="AU22" s="21" t="str">
        <f>IFERROR(VLOOKUP(A22,'Nesting Phone time'!B:W,22,),"-")</f>
        <v>-</v>
      </c>
      <c r="AV22" s="23" t="str">
        <f t="shared" si="36"/>
        <v>-</v>
      </c>
      <c r="AX22" s="30">
        <v>0.79166666666666696</v>
      </c>
      <c r="AY22" s="10">
        <v>1.7916666666666701</v>
      </c>
      <c r="AZ22" s="31">
        <f t="shared" si="37"/>
        <v>9</v>
      </c>
      <c r="BA22" s="31">
        <f t="shared" si="38"/>
        <v>0</v>
      </c>
      <c r="BB22" s="31">
        <f t="shared" si="57"/>
        <v>9</v>
      </c>
      <c r="BC22" s="31">
        <f t="shared" si="39"/>
        <v>9</v>
      </c>
      <c r="BD22" s="31">
        <f t="shared" si="40"/>
        <v>9</v>
      </c>
      <c r="BE22" s="31">
        <f t="shared" si="41"/>
        <v>0</v>
      </c>
      <c r="BF22" s="32">
        <f t="shared" si="42"/>
        <v>9</v>
      </c>
      <c r="BH22" s="30">
        <v>0.79166666666666696</v>
      </c>
      <c r="BI22" s="10">
        <v>1.7916666666666601</v>
      </c>
      <c r="BJ22" s="31">
        <f t="shared" si="43"/>
        <v>0</v>
      </c>
      <c r="BK22" s="31">
        <f t="shared" si="44"/>
        <v>0</v>
      </c>
      <c r="BL22" s="31">
        <f t="shared" si="45"/>
        <v>0</v>
      </c>
      <c r="BM22" s="31">
        <f t="shared" si="46"/>
        <v>0</v>
      </c>
      <c r="BN22" s="31">
        <f t="shared" si="47"/>
        <v>0</v>
      </c>
      <c r="BO22" s="31">
        <f t="shared" si="48"/>
        <v>0</v>
      </c>
      <c r="BP22" s="32">
        <f t="shared" si="49"/>
        <v>0</v>
      </c>
      <c r="BS22" s="51">
        <v>0.79166666666666696</v>
      </c>
      <c r="BT22" s="136">
        <v>1.7916666666666701</v>
      </c>
      <c r="BU22" s="28">
        <f t="shared" si="50"/>
        <v>9</v>
      </c>
      <c r="BV22" s="132">
        <f t="shared" si="51"/>
        <v>0</v>
      </c>
      <c r="BW22" s="132">
        <f t="shared" si="52"/>
        <v>9</v>
      </c>
      <c r="BX22" s="132">
        <f t="shared" si="53"/>
        <v>9</v>
      </c>
      <c r="BY22" s="132">
        <f t="shared" si="54"/>
        <v>9</v>
      </c>
      <c r="BZ22" s="132">
        <f t="shared" si="55"/>
        <v>0</v>
      </c>
      <c r="CA22" s="29">
        <f t="shared" si="56"/>
        <v>9</v>
      </c>
      <c r="CB22" s="28">
        <f t="shared" si="1"/>
        <v>9</v>
      </c>
      <c r="CC22" s="132">
        <f t="shared" si="2"/>
        <v>9</v>
      </c>
      <c r="CD22" s="132">
        <f t="shared" si="3"/>
        <v>9</v>
      </c>
      <c r="CE22" s="132">
        <f t="shared" si="4"/>
        <v>9</v>
      </c>
      <c r="CF22" s="132">
        <f t="shared" si="5"/>
        <v>0</v>
      </c>
      <c r="CG22" s="132">
        <f t="shared" si="6"/>
        <v>0</v>
      </c>
      <c r="CH22" s="29">
        <f t="shared" si="7"/>
        <v>9</v>
      </c>
      <c r="CI22" s="28">
        <f t="shared" si="8"/>
        <v>9</v>
      </c>
      <c r="CJ22" s="132">
        <f t="shared" si="9"/>
        <v>9</v>
      </c>
      <c r="CK22" s="132">
        <f t="shared" si="10"/>
        <v>9</v>
      </c>
      <c r="CL22" s="132">
        <f t="shared" si="11"/>
        <v>9</v>
      </c>
      <c r="CM22" s="132">
        <f t="shared" si="12"/>
        <v>0</v>
      </c>
      <c r="CN22" s="132">
        <f t="shared" si="13"/>
        <v>0</v>
      </c>
      <c r="CO22" s="29">
        <f t="shared" si="14"/>
        <v>9</v>
      </c>
    </row>
    <row r="23" spans="1:93" ht="15.75" thickBot="1" x14ac:dyDescent="0.3">
      <c r="A23" s="247">
        <f>'Nesting Phone time'!B24</f>
        <v>0</v>
      </c>
      <c r="B23" s="12" t="str">
        <f>IFERROR(VLOOKUP(A23,'Nesting Phone time'!B:I,2,),"-")</f>
        <v>-</v>
      </c>
      <c r="C23" s="23" t="str">
        <f t="shared" si="15"/>
        <v>-</v>
      </c>
      <c r="D23" s="12" t="str">
        <f>IFERROR(VLOOKUP(A23,'Nesting Phone time'!B:I,3,),"-")</f>
        <v>-</v>
      </c>
      <c r="E23" s="23" t="str">
        <f t="shared" si="16"/>
        <v>-</v>
      </c>
      <c r="F23" s="12" t="str">
        <f>IFERROR(VLOOKUP(A23,'Nesting Phone time'!B:I,4,),"-")</f>
        <v>-</v>
      </c>
      <c r="G23" s="23" t="str">
        <f t="shared" si="17"/>
        <v>-</v>
      </c>
      <c r="H23" s="12" t="str">
        <f>IFERROR(VLOOKUP(A23,'Nesting Phone time'!B:I,5,),"-")</f>
        <v>-</v>
      </c>
      <c r="I23" s="23" t="str">
        <f t="shared" si="18"/>
        <v>-</v>
      </c>
      <c r="J23" s="12" t="str">
        <f>IFERROR(VLOOKUP(A23,'Nesting Phone time'!B:I,6,),"-")</f>
        <v>-</v>
      </c>
      <c r="K23" s="23" t="str">
        <f t="shared" si="19"/>
        <v>-</v>
      </c>
      <c r="L23" s="12" t="str">
        <f>IFERROR(VLOOKUP(A23,'Nesting Phone time'!B:I,7,),"-")</f>
        <v>-</v>
      </c>
      <c r="M23" s="23" t="str">
        <f t="shared" si="20"/>
        <v>-</v>
      </c>
      <c r="N23" s="12" t="str">
        <f>IFERROR(VLOOKUP(A23,'Nesting Phone time'!B:I,8,),"-")</f>
        <v>-</v>
      </c>
      <c r="O23" s="23" t="str">
        <f t="shared" si="21"/>
        <v>-</v>
      </c>
      <c r="Q23" s="12" t="str">
        <f>IFERROR(VLOOKUP(A23,'Nesting Phone time'!B:Y,24,),"-")</f>
        <v>-</v>
      </c>
      <c r="R23" s="23" t="str">
        <f t="shared" si="22"/>
        <v>-</v>
      </c>
      <c r="T23" s="25" t="str">
        <f>IFERROR(VLOOKUP(A23,'Nesting Phone time'!$B:$J,9,),"-")</f>
        <v>-</v>
      </c>
      <c r="U23" s="23" t="str">
        <f t="shared" si="23"/>
        <v>-</v>
      </c>
      <c r="V23" s="12" t="str">
        <f>IFERROR(VLOOKUP(A23,'Nesting Phone time'!B:K,10,),"-")</f>
        <v>-</v>
      </c>
      <c r="W23" s="23" t="str">
        <f t="shared" si="24"/>
        <v>-</v>
      </c>
      <c r="X23" s="12" t="str">
        <f>IFERROR(VLOOKUP(A23,'Nesting Phone time'!B:L,11,),"-")</f>
        <v>-</v>
      </c>
      <c r="Y23" s="23" t="str">
        <f t="shared" si="25"/>
        <v>-</v>
      </c>
      <c r="Z23" s="12" t="str">
        <f>IFERROR(VLOOKUP(A23,'Nesting Phone time'!B:M,12,),"-")</f>
        <v>-</v>
      </c>
      <c r="AA23" s="23" t="str">
        <f t="shared" si="26"/>
        <v>-</v>
      </c>
      <c r="AB23" s="12" t="str">
        <f>IFERROR(VLOOKUP(A23,'Nesting Phone time'!B:N,13,),"-")</f>
        <v>-</v>
      </c>
      <c r="AC23" s="23" t="str">
        <f t="shared" si="27"/>
        <v>-</v>
      </c>
      <c r="AD23" s="12" t="str">
        <f>IFERROR(VLOOKUP(A23,'Nesting Phone time'!B:O,14,),"-")</f>
        <v>-</v>
      </c>
      <c r="AE23" s="23" t="str">
        <f t="shared" si="28"/>
        <v>-</v>
      </c>
      <c r="AF23" s="21" t="str">
        <f>IFERROR(VLOOKUP(A23,'Nesting Phone time'!B:P,15,),"-")</f>
        <v>-</v>
      </c>
      <c r="AG23" s="23" t="str">
        <f t="shared" si="29"/>
        <v>-</v>
      </c>
      <c r="AI23" s="25" t="str">
        <f>IFERROR(VLOOKUP(A23,'Nesting Phone time'!$B:$Q,16,),"-")</f>
        <v>-</v>
      </c>
      <c r="AJ23" s="23" t="str">
        <f t="shared" si="30"/>
        <v>-</v>
      </c>
      <c r="AK23" s="12" t="str">
        <f>IFERROR(VLOOKUP(A23,'Nesting Phone time'!B:R,17,),"-")</f>
        <v>-</v>
      </c>
      <c r="AL23" s="23" t="str">
        <f t="shared" si="31"/>
        <v>-</v>
      </c>
      <c r="AM23" s="12" t="str">
        <f>IFERROR(VLOOKUP(A23,'Nesting Phone time'!B:S,18,),"-")</f>
        <v>-</v>
      </c>
      <c r="AN23" s="23" t="str">
        <f t="shared" si="32"/>
        <v>-</v>
      </c>
      <c r="AO23" s="12" t="str">
        <f>IFERROR(VLOOKUP(A23,'Nesting Phone time'!B:T,19,),"-")</f>
        <v>-</v>
      </c>
      <c r="AP23" s="23" t="str">
        <f t="shared" si="33"/>
        <v>-</v>
      </c>
      <c r="AQ23" s="12" t="str">
        <f>IFERROR(VLOOKUP(A23,'Nesting Phone time'!B:U,20,),"-")</f>
        <v>-</v>
      </c>
      <c r="AR23" s="23" t="str">
        <f t="shared" si="34"/>
        <v>-</v>
      </c>
      <c r="AS23" s="12" t="str">
        <f>IFERROR(VLOOKUP(A23,'Nesting Phone time'!B:V,21,),"-")</f>
        <v>-</v>
      </c>
      <c r="AT23" s="23" t="str">
        <f t="shared" si="35"/>
        <v>-</v>
      </c>
      <c r="AU23" s="21" t="str">
        <f>IFERROR(VLOOKUP(A23,'Nesting Phone time'!B:W,22,),"-")</f>
        <v>-</v>
      </c>
      <c r="AV23" s="23" t="str">
        <f t="shared" si="36"/>
        <v>-</v>
      </c>
      <c r="AX23" s="30">
        <v>0.83333333333333304</v>
      </c>
      <c r="AY23" s="10">
        <v>1.8333333333333399</v>
      </c>
      <c r="AZ23" s="31">
        <f t="shared" si="37"/>
        <v>9</v>
      </c>
      <c r="BA23" s="31">
        <f t="shared" si="38"/>
        <v>0</v>
      </c>
      <c r="BB23" s="31">
        <f t="shared" si="57"/>
        <v>9</v>
      </c>
      <c r="BC23" s="31">
        <f t="shared" si="39"/>
        <v>9</v>
      </c>
      <c r="BD23" s="31">
        <f t="shared" si="40"/>
        <v>9</v>
      </c>
      <c r="BE23" s="31">
        <f t="shared" si="41"/>
        <v>0</v>
      </c>
      <c r="BF23" s="32">
        <f t="shared" si="42"/>
        <v>9</v>
      </c>
      <c r="BH23" s="30">
        <v>0.83333333333333304</v>
      </c>
      <c r="BI23" s="10">
        <v>1.8333333333333299</v>
      </c>
      <c r="BJ23" s="31">
        <f t="shared" si="43"/>
        <v>0</v>
      </c>
      <c r="BK23" s="31">
        <f t="shared" si="44"/>
        <v>0</v>
      </c>
      <c r="BL23" s="31">
        <f t="shared" si="45"/>
        <v>0</v>
      </c>
      <c r="BM23" s="31">
        <f t="shared" si="46"/>
        <v>0</v>
      </c>
      <c r="BN23" s="31">
        <f t="shared" si="47"/>
        <v>0</v>
      </c>
      <c r="BO23" s="31">
        <f t="shared" si="48"/>
        <v>0</v>
      </c>
      <c r="BP23" s="32">
        <f t="shared" si="49"/>
        <v>0</v>
      </c>
      <c r="BS23" s="51">
        <v>0.83333333333333304</v>
      </c>
      <c r="BT23" s="136">
        <v>1.8333333333333399</v>
      </c>
      <c r="BU23" s="28">
        <f t="shared" si="50"/>
        <v>9</v>
      </c>
      <c r="BV23" s="132">
        <f t="shared" si="51"/>
        <v>0</v>
      </c>
      <c r="BW23" s="132">
        <f t="shared" si="52"/>
        <v>9</v>
      </c>
      <c r="BX23" s="132">
        <f t="shared" si="53"/>
        <v>9</v>
      </c>
      <c r="BY23" s="132">
        <f t="shared" si="54"/>
        <v>9</v>
      </c>
      <c r="BZ23" s="132">
        <f t="shared" si="55"/>
        <v>0</v>
      </c>
      <c r="CA23" s="29">
        <f t="shared" si="56"/>
        <v>9</v>
      </c>
      <c r="CB23" s="28">
        <f t="shared" si="1"/>
        <v>9</v>
      </c>
      <c r="CC23" s="132">
        <f t="shared" si="2"/>
        <v>9</v>
      </c>
      <c r="CD23" s="132">
        <f t="shared" si="3"/>
        <v>9</v>
      </c>
      <c r="CE23" s="132">
        <f t="shared" si="4"/>
        <v>9</v>
      </c>
      <c r="CF23" s="132">
        <f t="shared" si="5"/>
        <v>0</v>
      </c>
      <c r="CG23" s="132">
        <f t="shared" si="6"/>
        <v>0</v>
      </c>
      <c r="CH23" s="29">
        <f t="shared" si="7"/>
        <v>9</v>
      </c>
      <c r="CI23" s="28">
        <f t="shared" si="8"/>
        <v>9</v>
      </c>
      <c r="CJ23" s="132">
        <f t="shared" si="9"/>
        <v>9</v>
      </c>
      <c r="CK23" s="132">
        <f t="shared" si="10"/>
        <v>9</v>
      </c>
      <c r="CL23" s="132">
        <f t="shared" si="11"/>
        <v>9</v>
      </c>
      <c r="CM23" s="132">
        <f t="shared" si="12"/>
        <v>0</v>
      </c>
      <c r="CN23" s="132">
        <f t="shared" si="13"/>
        <v>0</v>
      </c>
      <c r="CO23" s="29">
        <f t="shared" si="14"/>
        <v>9</v>
      </c>
    </row>
    <row r="24" spans="1:93" ht="15.75" thickBot="1" x14ac:dyDescent="0.3">
      <c r="A24" s="247">
        <f>'Nesting Phone time'!B25</f>
        <v>0</v>
      </c>
      <c r="B24" s="12" t="str">
        <f>IFERROR(VLOOKUP(A24,'Nesting Phone time'!B:I,2,),"-")</f>
        <v>-</v>
      </c>
      <c r="C24" s="23" t="str">
        <f t="shared" si="15"/>
        <v>-</v>
      </c>
      <c r="D24" s="12" t="str">
        <f>IFERROR(VLOOKUP(A24,'Nesting Phone time'!B:I,3,),"-")</f>
        <v>-</v>
      </c>
      <c r="E24" s="23" t="str">
        <f t="shared" si="16"/>
        <v>-</v>
      </c>
      <c r="F24" s="12" t="str">
        <f>IFERROR(VLOOKUP(A24,'Nesting Phone time'!B:I,4,),"-")</f>
        <v>-</v>
      </c>
      <c r="G24" s="23" t="str">
        <f t="shared" si="17"/>
        <v>-</v>
      </c>
      <c r="H24" s="12" t="str">
        <f>IFERROR(VLOOKUP(A24,'Nesting Phone time'!B:I,5,),"-")</f>
        <v>-</v>
      </c>
      <c r="I24" s="23" t="str">
        <f t="shared" si="18"/>
        <v>-</v>
      </c>
      <c r="J24" s="12" t="str">
        <f>IFERROR(VLOOKUP(A24,'Nesting Phone time'!B:I,6,),"-")</f>
        <v>-</v>
      </c>
      <c r="K24" s="23" t="str">
        <f t="shared" si="19"/>
        <v>-</v>
      </c>
      <c r="L24" s="12" t="str">
        <f>IFERROR(VLOOKUP(A24,'Nesting Phone time'!B:I,7,),"-")</f>
        <v>-</v>
      </c>
      <c r="M24" s="23" t="str">
        <f t="shared" si="20"/>
        <v>-</v>
      </c>
      <c r="N24" s="12" t="str">
        <f>IFERROR(VLOOKUP(A24,'Nesting Phone time'!B:I,8,),"-")</f>
        <v>-</v>
      </c>
      <c r="O24" s="23" t="str">
        <f t="shared" si="21"/>
        <v>-</v>
      </c>
      <c r="Q24" s="12" t="str">
        <f>IFERROR(VLOOKUP(A24,'Nesting Phone time'!B:Y,24,),"-")</f>
        <v>-</v>
      </c>
      <c r="R24" s="23" t="str">
        <f t="shared" si="22"/>
        <v>-</v>
      </c>
      <c r="T24" s="25" t="str">
        <f>IFERROR(VLOOKUP(A24,'Nesting Phone time'!$B:$J,9,),"-")</f>
        <v>-</v>
      </c>
      <c r="U24" s="23" t="str">
        <f t="shared" si="23"/>
        <v>-</v>
      </c>
      <c r="V24" s="12" t="str">
        <f>IFERROR(VLOOKUP(A24,'Nesting Phone time'!B:K,10,),"-")</f>
        <v>-</v>
      </c>
      <c r="W24" s="23" t="str">
        <f t="shared" si="24"/>
        <v>-</v>
      </c>
      <c r="X24" s="12" t="str">
        <f>IFERROR(VLOOKUP(A24,'Nesting Phone time'!B:L,11,),"-")</f>
        <v>-</v>
      </c>
      <c r="Y24" s="23" t="str">
        <f t="shared" si="25"/>
        <v>-</v>
      </c>
      <c r="Z24" s="12" t="str">
        <f>IFERROR(VLOOKUP(A24,'Nesting Phone time'!B:M,12,),"-")</f>
        <v>-</v>
      </c>
      <c r="AA24" s="23" t="str">
        <f t="shared" si="26"/>
        <v>-</v>
      </c>
      <c r="AB24" s="12" t="str">
        <f>IFERROR(VLOOKUP(A24,'Nesting Phone time'!B:N,13,),"-")</f>
        <v>-</v>
      </c>
      <c r="AC24" s="23" t="str">
        <f t="shared" si="27"/>
        <v>-</v>
      </c>
      <c r="AD24" s="12" t="str">
        <f>IFERROR(VLOOKUP(A24,'Nesting Phone time'!B:O,14,),"-")</f>
        <v>-</v>
      </c>
      <c r="AE24" s="23" t="str">
        <f t="shared" si="28"/>
        <v>-</v>
      </c>
      <c r="AF24" s="21" t="str">
        <f>IFERROR(VLOOKUP(A24,'Nesting Phone time'!B:P,15,),"-")</f>
        <v>-</v>
      </c>
      <c r="AG24" s="23" t="str">
        <f t="shared" si="29"/>
        <v>-</v>
      </c>
      <c r="AI24" s="25" t="str">
        <f>IFERROR(VLOOKUP(A24,'Nesting Phone time'!$B:$Q,16,),"-")</f>
        <v>-</v>
      </c>
      <c r="AJ24" s="23" t="str">
        <f t="shared" si="30"/>
        <v>-</v>
      </c>
      <c r="AK24" s="12" t="str">
        <f>IFERROR(VLOOKUP(A24,'Nesting Phone time'!B:R,17,),"-")</f>
        <v>-</v>
      </c>
      <c r="AL24" s="23" t="str">
        <f t="shared" si="31"/>
        <v>-</v>
      </c>
      <c r="AM24" s="12" t="str">
        <f>IFERROR(VLOOKUP(A24,'Nesting Phone time'!B:S,18,),"-")</f>
        <v>-</v>
      </c>
      <c r="AN24" s="23" t="str">
        <f t="shared" si="32"/>
        <v>-</v>
      </c>
      <c r="AO24" s="12" t="str">
        <f>IFERROR(VLOOKUP(A24,'Nesting Phone time'!B:T,19,),"-")</f>
        <v>-</v>
      </c>
      <c r="AP24" s="23" t="str">
        <f t="shared" si="33"/>
        <v>-</v>
      </c>
      <c r="AQ24" s="12" t="str">
        <f>IFERROR(VLOOKUP(A24,'Nesting Phone time'!B:U,20,),"-")</f>
        <v>-</v>
      </c>
      <c r="AR24" s="23" t="str">
        <f t="shared" si="34"/>
        <v>-</v>
      </c>
      <c r="AS24" s="12" t="str">
        <f>IFERROR(VLOOKUP(A24,'Nesting Phone time'!B:V,21,),"-")</f>
        <v>-</v>
      </c>
      <c r="AT24" s="23" t="str">
        <f t="shared" si="35"/>
        <v>-</v>
      </c>
      <c r="AU24" s="21" t="str">
        <f>IFERROR(VLOOKUP(A24,'Nesting Phone time'!B:W,22,),"-")</f>
        <v>-</v>
      </c>
      <c r="AV24" s="23" t="str">
        <f t="shared" si="36"/>
        <v>-</v>
      </c>
      <c r="AX24" s="30">
        <v>0.875</v>
      </c>
      <c r="AY24" s="10">
        <v>1.875</v>
      </c>
      <c r="AZ24" s="31">
        <f t="shared" si="37"/>
        <v>9</v>
      </c>
      <c r="BA24" s="31">
        <f t="shared" si="38"/>
        <v>0</v>
      </c>
      <c r="BB24" s="31">
        <f t="shared" si="57"/>
        <v>9</v>
      </c>
      <c r="BC24" s="31">
        <f t="shared" si="39"/>
        <v>9</v>
      </c>
      <c r="BD24" s="31">
        <f t="shared" si="40"/>
        <v>9</v>
      </c>
      <c r="BE24" s="31">
        <f t="shared" si="41"/>
        <v>0</v>
      </c>
      <c r="BF24" s="32">
        <f t="shared" si="42"/>
        <v>9</v>
      </c>
      <c r="BH24" s="30">
        <v>0.875</v>
      </c>
      <c r="BI24" s="10">
        <v>1.875</v>
      </c>
      <c r="BJ24" s="31">
        <f t="shared" si="43"/>
        <v>0</v>
      </c>
      <c r="BK24" s="31">
        <f t="shared" si="44"/>
        <v>0</v>
      </c>
      <c r="BL24" s="31">
        <f t="shared" si="45"/>
        <v>0</v>
      </c>
      <c r="BM24" s="31">
        <f t="shared" si="46"/>
        <v>0</v>
      </c>
      <c r="BN24" s="31">
        <f t="shared" si="47"/>
        <v>0</v>
      </c>
      <c r="BO24" s="31">
        <f t="shared" si="48"/>
        <v>0</v>
      </c>
      <c r="BP24" s="32">
        <f t="shared" si="49"/>
        <v>0</v>
      </c>
      <c r="BS24" s="51">
        <v>0.875</v>
      </c>
      <c r="BT24" s="136">
        <v>1.87500000000001</v>
      </c>
      <c r="BU24" s="28">
        <f t="shared" si="50"/>
        <v>9</v>
      </c>
      <c r="BV24" s="132">
        <f t="shared" si="51"/>
        <v>0</v>
      </c>
      <c r="BW24" s="132">
        <f t="shared" si="52"/>
        <v>9</v>
      </c>
      <c r="BX24" s="132">
        <f t="shared" si="53"/>
        <v>9</v>
      </c>
      <c r="BY24" s="132">
        <f t="shared" si="54"/>
        <v>9</v>
      </c>
      <c r="BZ24" s="132">
        <f t="shared" si="55"/>
        <v>0</v>
      </c>
      <c r="CA24" s="29">
        <f t="shared" si="56"/>
        <v>9</v>
      </c>
      <c r="CB24" s="28">
        <f t="shared" si="1"/>
        <v>9</v>
      </c>
      <c r="CC24" s="132">
        <f t="shared" si="2"/>
        <v>9</v>
      </c>
      <c r="CD24" s="132">
        <f t="shared" si="3"/>
        <v>9</v>
      </c>
      <c r="CE24" s="132">
        <f t="shared" si="4"/>
        <v>9</v>
      </c>
      <c r="CF24" s="132">
        <f t="shared" si="5"/>
        <v>0</v>
      </c>
      <c r="CG24" s="132">
        <f t="shared" si="6"/>
        <v>0</v>
      </c>
      <c r="CH24" s="29">
        <f t="shared" si="7"/>
        <v>9</v>
      </c>
      <c r="CI24" s="28">
        <f t="shared" si="8"/>
        <v>9</v>
      </c>
      <c r="CJ24" s="132">
        <f t="shared" si="9"/>
        <v>9</v>
      </c>
      <c r="CK24" s="132">
        <f t="shared" si="10"/>
        <v>9</v>
      </c>
      <c r="CL24" s="132">
        <f t="shared" si="11"/>
        <v>9</v>
      </c>
      <c r="CM24" s="132">
        <f t="shared" si="12"/>
        <v>0</v>
      </c>
      <c r="CN24" s="132">
        <f t="shared" si="13"/>
        <v>0</v>
      </c>
      <c r="CO24" s="29">
        <f t="shared" si="14"/>
        <v>9</v>
      </c>
    </row>
    <row r="25" spans="1:93" ht="15.75" thickBot="1" x14ac:dyDescent="0.3">
      <c r="A25" s="247">
        <f>'Nesting Phone time'!B26</f>
        <v>0</v>
      </c>
      <c r="B25" s="12" t="str">
        <f>IFERROR(VLOOKUP(A25,'Nesting Phone time'!B:I,2,),"-")</f>
        <v>-</v>
      </c>
      <c r="C25" s="23" t="str">
        <f t="shared" si="15"/>
        <v>-</v>
      </c>
      <c r="D25" s="12" t="str">
        <f>IFERROR(VLOOKUP(A25,'Nesting Phone time'!B:I,3,),"-")</f>
        <v>-</v>
      </c>
      <c r="E25" s="23" t="str">
        <f t="shared" si="16"/>
        <v>-</v>
      </c>
      <c r="F25" s="12" t="str">
        <f>IFERROR(VLOOKUP(A25,'Nesting Phone time'!B:I,4,),"-")</f>
        <v>-</v>
      </c>
      <c r="G25" s="23" t="str">
        <f t="shared" si="17"/>
        <v>-</v>
      </c>
      <c r="H25" s="12" t="str">
        <f>IFERROR(VLOOKUP(A25,'Nesting Phone time'!B:I,5,),"-")</f>
        <v>-</v>
      </c>
      <c r="I25" s="23" t="str">
        <f t="shared" si="18"/>
        <v>-</v>
      </c>
      <c r="J25" s="12" t="str">
        <f>IFERROR(VLOOKUP(A25,'Nesting Phone time'!B:I,6,),"-")</f>
        <v>-</v>
      </c>
      <c r="K25" s="23" t="str">
        <f t="shared" si="19"/>
        <v>-</v>
      </c>
      <c r="L25" s="12" t="str">
        <f>IFERROR(VLOOKUP(A25,'Nesting Phone time'!B:I,7,),"-")</f>
        <v>-</v>
      </c>
      <c r="M25" s="23" t="str">
        <f t="shared" si="20"/>
        <v>-</v>
      </c>
      <c r="N25" s="12" t="str">
        <f>IFERROR(VLOOKUP(A25,'Nesting Phone time'!B:I,8,),"-")</f>
        <v>-</v>
      </c>
      <c r="O25" s="23" t="str">
        <f t="shared" si="21"/>
        <v>-</v>
      </c>
      <c r="Q25" s="12" t="str">
        <f>IFERROR(VLOOKUP(A25,'Nesting Phone time'!B:Y,24,),"-")</f>
        <v>-</v>
      </c>
      <c r="R25" s="23" t="str">
        <f t="shared" si="22"/>
        <v>-</v>
      </c>
      <c r="T25" s="25" t="str">
        <f>IFERROR(VLOOKUP(A25,'Nesting Phone time'!$B:$J,9,),"-")</f>
        <v>-</v>
      </c>
      <c r="U25" s="23" t="str">
        <f t="shared" si="23"/>
        <v>-</v>
      </c>
      <c r="V25" s="12" t="str">
        <f>IFERROR(VLOOKUP(A25,'Nesting Phone time'!B:K,10,),"-")</f>
        <v>-</v>
      </c>
      <c r="W25" s="23" t="str">
        <f t="shared" si="24"/>
        <v>-</v>
      </c>
      <c r="X25" s="12" t="str">
        <f>IFERROR(VLOOKUP(A25,'Nesting Phone time'!B:L,11,),"-")</f>
        <v>-</v>
      </c>
      <c r="Y25" s="23" t="str">
        <f t="shared" si="25"/>
        <v>-</v>
      </c>
      <c r="Z25" s="12" t="str">
        <f>IFERROR(VLOOKUP(A25,'Nesting Phone time'!B:M,12,),"-")</f>
        <v>-</v>
      </c>
      <c r="AA25" s="23" t="str">
        <f t="shared" si="26"/>
        <v>-</v>
      </c>
      <c r="AB25" s="12" t="str">
        <f>IFERROR(VLOOKUP(A25,'Nesting Phone time'!B:N,13,),"-")</f>
        <v>-</v>
      </c>
      <c r="AC25" s="23" t="str">
        <f t="shared" si="27"/>
        <v>-</v>
      </c>
      <c r="AD25" s="12" t="str">
        <f>IFERROR(VLOOKUP(A25,'Nesting Phone time'!B:O,14,),"-")</f>
        <v>-</v>
      </c>
      <c r="AE25" s="23" t="str">
        <f t="shared" si="28"/>
        <v>-</v>
      </c>
      <c r="AF25" s="21" t="str">
        <f>IFERROR(VLOOKUP(A25,'Nesting Phone time'!B:P,15,),"-")</f>
        <v>-</v>
      </c>
      <c r="AG25" s="23" t="str">
        <f t="shared" si="29"/>
        <v>-</v>
      </c>
      <c r="AI25" s="25" t="str">
        <f>IFERROR(VLOOKUP(A25,'Nesting Phone time'!$B:$Q,16,),"-")</f>
        <v>-</v>
      </c>
      <c r="AJ25" s="23" t="str">
        <f t="shared" si="30"/>
        <v>-</v>
      </c>
      <c r="AK25" s="12" t="str">
        <f>IFERROR(VLOOKUP(A25,'Nesting Phone time'!B:R,17,),"-")</f>
        <v>-</v>
      </c>
      <c r="AL25" s="23" t="str">
        <f t="shared" si="31"/>
        <v>-</v>
      </c>
      <c r="AM25" s="12" t="str">
        <f>IFERROR(VLOOKUP(A25,'Nesting Phone time'!B:S,18,),"-")</f>
        <v>-</v>
      </c>
      <c r="AN25" s="23" t="str">
        <f t="shared" si="32"/>
        <v>-</v>
      </c>
      <c r="AO25" s="12" t="str">
        <f>IFERROR(VLOOKUP(A25,'Nesting Phone time'!B:T,19,),"-")</f>
        <v>-</v>
      </c>
      <c r="AP25" s="23" t="str">
        <f t="shared" si="33"/>
        <v>-</v>
      </c>
      <c r="AQ25" s="12" t="str">
        <f>IFERROR(VLOOKUP(A25,'Nesting Phone time'!B:U,20,),"-")</f>
        <v>-</v>
      </c>
      <c r="AR25" s="23" t="str">
        <f t="shared" si="34"/>
        <v>-</v>
      </c>
      <c r="AS25" s="12" t="str">
        <f>IFERROR(VLOOKUP(A25,'Nesting Phone time'!B:V,21,),"-")</f>
        <v>-</v>
      </c>
      <c r="AT25" s="23" t="str">
        <f t="shared" si="35"/>
        <v>-</v>
      </c>
      <c r="AU25" s="21" t="str">
        <f>IFERROR(VLOOKUP(A25,'Nesting Phone time'!B:W,22,),"-")</f>
        <v>-</v>
      </c>
      <c r="AV25" s="23" t="str">
        <f t="shared" si="36"/>
        <v>-</v>
      </c>
      <c r="AX25" s="30">
        <v>0.91666666666666696</v>
      </c>
      <c r="AY25" s="10">
        <v>1.9166666666666701</v>
      </c>
      <c r="AZ25" s="31">
        <f t="shared" si="37"/>
        <v>9</v>
      </c>
      <c r="BA25" s="31">
        <f t="shared" si="38"/>
        <v>0</v>
      </c>
      <c r="BB25" s="31">
        <f t="shared" si="57"/>
        <v>9</v>
      </c>
      <c r="BC25" s="31">
        <f t="shared" si="39"/>
        <v>9</v>
      </c>
      <c r="BD25" s="31">
        <f t="shared" si="40"/>
        <v>9</v>
      </c>
      <c r="BE25" s="31">
        <f t="shared" si="41"/>
        <v>0</v>
      </c>
      <c r="BF25" s="32">
        <f t="shared" si="42"/>
        <v>9</v>
      </c>
      <c r="BH25" s="30">
        <v>0.91666666666666696</v>
      </c>
      <c r="BI25" s="10">
        <v>1.9166666666666601</v>
      </c>
      <c r="BJ25" s="31">
        <f t="shared" si="43"/>
        <v>0</v>
      </c>
      <c r="BK25" s="31">
        <f t="shared" si="44"/>
        <v>0</v>
      </c>
      <c r="BL25" s="31">
        <f t="shared" si="45"/>
        <v>0</v>
      </c>
      <c r="BM25" s="31">
        <f t="shared" si="46"/>
        <v>0</v>
      </c>
      <c r="BN25" s="31">
        <f t="shared" si="47"/>
        <v>0</v>
      </c>
      <c r="BO25" s="31">
        <f t="shared" si="48"/>
        <v>0</v>
      </c>
      <c r="BP25" s="32">
        <f t="shared" si="49"/>
        <v>0</v>
      </c>
      <c r="BS25" s="51">
        <v>0.91666666666666696</v>
      </c>
      <c r="BT25" s="136">
        <v>1.9166666666666701</v>
      </c>
      <c r="BU25" s="28">
        <f t="shared" si="50"/>
        <v>9</v>
      </c>
      <c r="BV25" s="132">
        <f t="shared" si="51"/>
        <v>0</v>
      </c>
      <c r="BW25" s="132">
        <f t="shared" si="52"/>
        <v>9</v>
      </c>
      <c r="BX25" s="132">
        <f t="shared" si="53"/>
        <v>9</v>
      </c>
      <c r="BY25" s="132">
        <f t="shared" si="54"/>
        <v>9</v>
      </c>
      <c r="BZ25" s="132">
        <f t="shared" si="55"/>
        <v>0</v>
      </c>
      <c r="CA25" s="29">
        <f t="shared" si="56"/>
        <v>9</v>
      </c>
      <c r="CB25" s="28">
        <f t="shared" si="1"/>
        <v>9</v>
      </c>
      <c r="CC25" s="132">
        <f t="shared" si="2"/>
        <v>9</v>
      </c>
      <c r="CD25" s="132">
        <f t="shared" si="3"/>
        <v>9</v>
      </c>
      <c r="CE25" s="132">
        <f t="shared" si="4"/>
        <v>9</v>
      </c>
      <c r="CF25" s="132">
        <f t="shared" si="5"/>
        <v>0</v>
      </c>
      <c r="CG25" s="132">
        <f t="shared" si="6"/>
        <v>0</v>
      </c>
      <c r="CH25" s="29">
        <f t="shared" si="7"/>
        <v>9</v>
      </c>
      <c r="CI25" s="28">
        <f t="shared" si="8"/>
        <v>9</v>
      </c>
      <c r="CJ25" s="132">
        <f t="shared" si="9"/>
        <v>9</v>
      </c>
      <c r="CK25" s="132">
        <f t="shared" si="10"/>
        <v>9</v>
      </c>
      <c r="CL25" s="132">
        <f t="shared" si="11"/>
        <v>9</v>
      </c>
      <c r="CM25" s="132">
        <f t="shared" si="12"/>
        <v>0</v>
      </c>
      <c r="CN25" s="132">
        <f t="shared" si="13"/>
        <v>0</v>
      </c>
      <c r="CO25" s="29">
        <f t="shared" si="14"/>
        <v>9</v>
      </c>
    </row>
    <row r="26" spans="1:93" ht="15.75" thickBot="1" x14ac:dyDescent="0.3">
      <c r="A26" s="247">
        <f>'Nesting Phone time'!B27</f>
        <v>0</v>
      </c>
      <c r="B26" s="12" t="str">
        <f>IFERROR(VLOOKUP(A26,'Nesting Phone time'!B:I,2,),"-")</f>
        <v>-</v>
      </c>
      <c r="C26" s="23" t="str">
        <f t="shared" si="15"/>
        <v>-</v>
      </c>
      <c r="D26" s="12" t="str">
        <f>IFERROR(VLOOKUP(A26,'Nesting Phone time'!B:I,3,),"-")</f>
        <v>-</v>
      </c>
      <c r="E26" s="23" t="str">
        <f t="shared" si="16"/>
        <v>-</v>
      </c>
      <c r="F26" s="12" t="str">
        <f>IFERROR(VLOOKUP(A26,'Nesting Phone time'!B:I,4,),"-")</f>
        <v>-</v>
      </c>
      <c r="G26" s="23" t="str">
        <f t="shared" si="17"/>
        <v>-</v>
      </c>
      <c r="H26" s="12" t="str">
        <f>IFERROR(VLOOKUP(A26,'Nesting Phone time'!B:I,5,),"-")</f>
        <v>-</v>
      </c>
      <c r="I26" s="23" t="str">
        <f t="shared" si="18"/>
        <v>-</v>
      </c>
      <c r="J26" s="12" t="str">
        <f>IFERROR(VLOOKUP(A26,'Nesting Phone time'!B:I,6,),"-")</f>
        <v>-</v>
      </c>
      <c r="K26" s="23" t="str">
        <f t="shared" si="19"/>
        <v>-</v>
      </c>
      <c r="L26" s="12" t="str">
        <f>IFERROR(VLOOKUP(A26,'Nesting Phone time'!B:I,7,),"-")</f>
        <v>-</v>
      </c>
      <c r="M26" s="23" t="str">
        <f t="shared" si="20"/>
        <v>-</v>
      </c>
      <c r="N26" s="12" t="str">
        <f>IFERROR(VLOOKUP(A26,'Nesting Phone time'!B:I,8,),"-")</f>
        <v>-</v>
      </c>
      <c r="O26" s="23" t="str">
        <f t="shared" si="21"/>
        <v>-</v>
      </c>
      <c r="Q26" s="12" t="str">
        <f>IFERROR(VLOOKUP(A26,'Nesting Phone time'!B:Y,24,),"-")</f>
        <v>-</v>
      </c>
      <c r="R26" s="23" t="str">
        <f t="shared" si="22"/>
        <v>-</v>
      </c>
      <c r="T26" s="25" t="str">
        <f>IFERROR(VLOOKUP(A26,'Nesting Phone time'!$B:$J,9,),"-")</f>
        <v>-</v>
      </c>
      <c r="U26" s="23" t="str">
        <f t="shared" si="23"/>
        <v>-</v>
      </c>
      <c r="V26" s="12" t="str">
        <f>IFERROR(VLOOKUP(A26,'Nesting Phone time'!B:K,10,),"-")</f>
        <v>-</v>
      </c>
      <c r="W26" s="23" t="str">
        <f t="shared" si="24"/>
        <v>-</v>
      </c>
      <c r="X26" s="12" t="str">
        <f>IFERROR(VLOOKUP(A26,'Nesting Phone time'!B:L,11,),"-")</f>
        <v>-</v>
      </c>
      <c r="Y26" s="23" t="str">
        <f t="shared" si="25"/>
        <v>-</v>
      </c>
      <c r="Z26" s="12" t="str">
        <f>IFERROR(VLOOKUP(A26,'Nesting Phone time'!B:M,12,),"-")</f>
        <v>-</v>
      </c>
      <c r="AA26" s="23" t="str">
        <f t="shared" si="26"/>
        <v>-</v>
      </c>
      <c r="AB26" s="12" t="str">
        <f>IFERROR(VLOOKUP(A26,'Nesting Phone time'!B:N,13,),"-")</f>
        <v>-</v>
      </c>
      <c r="AC26" s="23" t="str">
        <f t="shared" si="27"/>
        <v>-</v>
      </c>
      <c r="AD26" s="12" t="str">
        <f>IFERROR(VLOOKUP(A26,'Nesting Phone time'!B:O,14,),"-")</f>
        <v>-</v>
      </c>
      <c r="AE26" s="23" t="str">
        <f t="shared" si="28"/>
        <v>-</v>
      </c>
      <c r="AF26" s="21" t="str">
        <f>IFERROR(VLOOKUP(A26,'Nesting Phone time'!B:P,15,),"-")</f>
        <v>-</v>
      </c>
      <c r="AG26" s="23" t="str">
        <f t="shared" si="29"/>
        <v>-</v>
      </c>
      <c r="AI26" s="25" t="str">
        <f>IFERROR(VLOOKUP(A26,'Nesting Phone time'!$B:$Q,16,),"-")</f>
        <v>-</v>
      </c>
      <c r="AJ26" s="23" t="str">
        <f t="shared" si="30"/>
        <v>-</v>
      </c>
      <c r="AK26" s="12" t="str">
        <f>IFERROR(VLOOKUP(A26,'Nesting Phone time'!B:R,17,),"-")</f>
        <v>-</v>
      </c>
      <c r="AL26" s="23" t="str">
        <f t="shared" si="31"/>
        <v>-</v>
      </c>
      <c r="AM26" s="12" t="str">
        <f>IFERROR(VLOOKUP(A26,'Nesting Phone time'!B:S,18,),"-")</f>
        <v>-</v>
      </c>
      <c r="AN26" s="23" t="str">
        <f t="shared" si="32"/>
        <v>-</v>
      </c>
      <c r="AO26" s="12" t="str">
        <f>IFERROR(VLOOKUP(A26,'Nesting Phone time'!B:T,19,),"-")</f>
        <v>-</v>
      </c>
      <c r="AP26" s="23" t="str">
        <f t="shared" si="33"/>
        <v>-</v>
      </c>
      <c r="AQ26" s="12" t="str">
        <f>IFERROR(VLOOKUP(A26,'Nesting Phone time'!B:U,20,),"-")</f>
        <v>-</v>
      </c>
      <c r="AR26" s="23" t="str">
        <f t="shared" si="34"/>
        <v>-</v>
      </c>
      <c r="AS26" s="12" t="str">
        <f>IFERROR(VLOOKUP(A26,'Nesting Phone time'!B:V,21,),"-")</f>
        <v>-</v>
      </c>
      <c r="AT26" s="23" t="str">
        <f t="shared" si="35"/>
        <v>-</v>
      </c>
      <c r="AU26" s="21" t="str">
        <f>IFERROR(VLOOKUP(A26,'Nesting Phone time'!B:W,22,),"-")</f>
        <v>-</v>
      </c>
      <c r="AV26" s="23" t="str">
        <f t="shared" si="36"/>
        <v>-</v>
      </c>
      <c r="AX26" s="33">
        <v>0.95833333333333304</v>
      </c>
      <c r="AY26" s="34">
        <v>1.9583333333333399</v>
      </c>
      <c r="AZ26" s="35">
        <f t="shared" si="37"/>
        <v>0</v>
      </c>
      <c r="BA26" s="35">
        <f t="shared" si="38"/>
        <v>0</v>
      </c>
      <c r="BB26" s="35">
        <f t="shared" si="57"/>
        <v>0</v>
      </c>
      <c r="BC26" s="35">
        <f t="shared" si="39"/>
        <v>0</v>
      </c>
      <c r="BD26" s="35">
        <f t="shared" si="40"/>
        <v>0</v>
      </c>
      <c r="BE26" s="35">
        <f t="shared" si="41"/>
        <v>0</v>
      </c>
      <c r="BF26" s="36">
        <f t="shared" si="42"/>
        <v>0</v>
      </c>
      <c r="BH26" s="33">
        <v>0.95833333333333304</v>
      </c>
      <c r="BI26" s="34">
        <v>1.9583333333333299</v>
      </c>
      <c r="BJ26" s="35">
        <f t="shared" si="43"/>
        <v>0</v>
      </c>
      <c r="BK26" s="35">
        <f t="shared" si="44"/>
        <v>0</v>
      </c>
      <c r="BL26" s="35">
        <f t="shared" si="45"/>
        <v>0</v>
      </c>
      <c r="BM26" s="35">
        <f t="shared" si="46"/>
        <v>0</v>
      </c>
      <c r="BN26" s="35">
        <f t="shared" si="47"/>
        <v>0</v>
      </c>
      <c r="BO26" s="35">
        <f t="shared" si="48"/>
        <v>0</v>
      </c>
      <c r="BP26" s="36">
        <f t="shared" si="49"/>
        <v>0</v>
      </c>
      <c r="BS26" s="51">
        <v>0.95833333333333304</v>
      </c>
      <c r="BT26" s="136">
        <v>1.9583333333333399</v>
      </c>
      <c r="BU26" s="67">
        <f t="shared" si="50"/>
        <v>0</v>
      </c>
      <c r="BV26" s="68">
        <f t="shared" si="51"/>
        <v>0</v>
      </c>
      <c r="BW26" s="68">
        <f t="shared" si="52"/>
        <v>0</v>
      </c>
      <c r="BX26" s="68">
        <f t="shared" si="53"/>
        <v>0</v>
      </c>
      <c r="BY26" s="68">
        <f t="shared" si="54"/>
        <v>0</v>
      </c>
      <c r="BZ26" s="68">
        <f t="shared" si="55"/>
        <v>0</v>
      </c>
      <c r="CA26" s="69">
        <f t="shared" si="56"/>
        <v>0</v>
      </c>
      <c r="CB26" s="67">
        <f t="shared" si="1"/>
        <v>0</v>
      </c>
      <c r="CC26" s="68">
        <f t="shared" si="2"/>
        <v>0</v>
      </c>
      <c r="CD26" s="68">
        <f t="shared" si="3"/>
        <v>0</v>
      </c>
      <c r="CE26" s="68">
        <f t="shared" si="4"/>
        <v>0</v>
      </c>
      <c r="CF26" s="68">
        <f t="shared" si="5"/>
        <v>0</v>
      </c>
      <c r="CG26" s="68">
        <f t="shared" si="6"/>
        <v>0</v>
      </c>
      <c r="CH26" s="69">
        <f t="shared" si="7"/>
        <v>0</v>
      </c>
      <c r="CI26" s="67">
        <f t="shared" si="8"/>
        <v>0</v>
      </c>
      <c r="CJ26" s="68">
        <f t="shared" si="9"/>
        <v>0</v>
      </c>
      <c r="CK26" s="68">
        <f t="shared" si="10"/>
        <v>0</v>
      </c>
      <c r="CL26" s="68">
        <f t="shared" si="11"/>
        <v>0</v>
      </c>
      <c r="CM26" s="68">
        <f t="shared" si="12"/>
        <v>0</v>
      </c>
      <c r="CN26" s="68">
        <f t="shared" si="13"/>
        <v>0</v>
      </c>
      <c r="CO26" s="69">
        <f t="shared" si="14"/>
        <v>0</v>
      </c>
    </row>
    <row r="27" spans="1:93" ht="15.75" thickBot="1" x14ac:dyDescent="0.3">
      <c r="A27" s="247">
        <f>'Nesting Phone time'!B28</f>
        <v>0</v>
      </c>
      <c r="B27" s="12" t="str">
        <f>IFERROR(VLOOKUP(A27,'Nesting Phone time'!B:I,2,),"-")</f>
        <v>-</v>
      </c>
      <c r="C27" s="23" t="str">
        <f t="shared" si="15"/>
        <v>-</v>
      </c>
      <c r="D27" s="12" t="str">
        <f>IFERROR(VLOOKUP(A27,'Nesting Phone time'!B:I,3,),"-")</f>
        <v>-</v>
      </c>
      <c r="E27" s="23" t="str">
        <f t="shared" si="16"/>
        <v>-</v>
      </c>
      <c r="F27" s="12" t="str">
        <f>IFERROR(VLOOKUP(A27,'Nesting Phone time'!B:I,4,),"-")</f>
        <v>-</v>
      </c>
      <c r="G27" s="23" t="str">
        <f t="shared" si="17"/>
        <v>-</v>
      </c>
      <c r="H27" s="12" t="str">
        <f>IFERROR(VLOOKUP(A27,'Nesting Phone time'!B:I,5,),"-")</f>
        <v>-</v>
      </c>
      <c r="I27" s="23" t="str">
        <f t="shared" si="18"/>
        <v>-</v>
      </c>
      <c r="J27" s="12" t="str">
        <f>IFERROR(VLOOKUP(A27,'Nesting Phone time'!B:I,6,),"-")</f>
        <v>-</v>
      </c>
      <c r="K27" s="23" t="str">
        <f t="shared" si="19"/>
        <v>-</v>
      </c>
      <c r="L27" s="12" t="str">
        <f>IFERROR(VLOOKUP(A27,'Nesting Phone time'!B:I,7,),"-")</f>
        <v>-</v>
      </c>
      <c r="M27" s="23" t="str">
        <f t="shared" si="20"/>
        <v>-</v>
      </c>
      <c r="N27" s="12" t="str">
        <f>IFERROR(VLOOKUP(A27,'Nesting Phone time'!B:I,8,),"-")</f>
        <v>-</v>
      </c>
      <c r="O27" s="23" t="str">
        <f t="shared" si="21"/>
        <v>-</v>
      </c>
      <c r="Q27" s="12" t="str">
        <f>IFERROR(VLOOKUP(A27,'Nesting Phone time'!B:Y,24,),"-")</f>
        <v>-</v>
      </c>
      <c r="R27" s="23" t="str">
        <f t="shared" si="22"/>
        <v>-</v>
      </c>
      <c r="T27" s="25" t="str">
        <f>IFERROR(VLOOKUP(A27,'Nesting Phone time'!$B:$J,9,),"-")</f>
        <v>-</v>
      </c>
      <c r="U27" s="23" t="str">
        <f t="shared" si="23"/>
        <v>-</v>
      </c>
      <c r="V27" s="12" t="str">
        <f>IFERROR(VLOOKUP(A27,'Nesting Phone time'!B:K,10,),"-")</f>
        <v>-</v>
      </c>
      <c r="W27" s="23" t="str">
        <f t="shared" si="24"/>
        <v>-</v>
      </c>
      <c r="X27" s="12" t="str">
        <f>IFERROR(VLOOKUP(A27,'Nesting Phone time'!B:L,11,),"-")</f>
        <v>-</v>
      </c>
      <c r="Y27" s="23" t="str">
        <f t="shared" si="25"/>
        <v>-</v>
      </c>
      <c r="Z27" s="12" t="str">
        <f>IFERROR(VLOOKUP(A27,'Nesting Phone time'!B:M,12,),"-")</f>
        <v>-</v>
      </c>
      <c r="AA27" s="23" t="str">
        <f t="shared" si="26"/>
        <v>-</v>
      </c>
      <c r="AB27" s="12" t="str">
        <f>IFERROR(VLOOKUP(A27,'Nesting Phone time'!B:N,13,),"-")</f>
        <v>-</v>
      </c>
      <c r="AC27" s="23" t="str">
        <f t="shared" si="27"/>
        <v>-</v>
      </c>
      <c r="AD27" s="12" t="str">
        <f>IFERROR(VLOOKUP(A27,'Nesting Phone time'!B:O,14,),"-")</f>
        <v>-</v>
      </c>
      <c r="AE27" s="23" t="str">
        <f t="shared" si="28"/>
        <v>-</v>
      </c>
      <c r="AF27" s="21" t="str">
        <f>IFERROR(VLOOKUP(A27,'Nesting Phone time'!B:P,15,),"-")</f>
        <v>-</v>
      </c>
      <c r="AG27" s="23" t="str">
        <f t="shared" si="29"/>
        <v>-</v>
      </c>
      <c r="AI27" s="25" t="str">
        <f>IFERROR(VLOOKUP(A27,'Nesting Phone time'!$B:$Q,16,),"-")</f>
        <v>-</v>
      </c>
      <c r="AJ27" s="23" t="str">
        <f t="shared" si="30"/>
        <v>-</v>
      </c>
      <c r="AK27" s="12" t="str">
        <f>IFERROR(VLOOKUP(A27,'Nesting Phone time'!B:R,17,),"-")</f>
        <v>-</v>
      </c>
      <c r="AL27" s="23" t="str">
        <f t="shared" si="31"/>
        <v>-</v>
      </c>
      <c r="AM27" s="12" t="str">
        <f>IFERROR(VLOOKUP(A27,'Nesting Phone time'!B:S,18,),"-")</f>
        <v>-</v>
      </c>
      <c r="AN27" s="23" t="str">
        <f t="shared" si="32"/>
        <v>-</v>
      </c>
      <c r="AO27" s="12" t="str">
        <f>IFERROR(VLOOKUP(A27,'Nesting Phone time'!B:T,19,),"-")</f>
        <v>-</v>
      </c>
      <c r="AP27" s="23" t="str">
        <f t="shared" si="33"/>
        <v>-</v>
      </c>
      <c r="AQ27" s="12" t="str">
        <f>IFERROR(VLOOKUP(A27,'Nesting Phone time'!B:U,20,),"-")</f>
        <v>-</v>
      </c>
      <c r="AR27" s="23" t="str">
        <f t="shared" si="34"/>
        <v>-</v>
      </c>
      <c r="AS27" s="12" t="str">
        <f>IFERROR(VLOOKUP(A27,'Nesting Phone time'!B:V,21,),"-")</f>
        <v>-</v>
      </c>
      <c r="AT27" s="23" t="str">
        <f t="shared" si="35"/>
        <v>-</v>
      </c>
      <c r="AU27" s="21" t="str">
        <f>IFERROR(VLOOKUP(A27,'Nesting Phone time'!B:W,22,),"-")</f>
        <v>-</v>
      </c>
      <c r="AV27" s="23" t="str">
        <f t="shared" si="36"/>
        <v>-</v>
      </c>
      <c r="BH27" s="10"/>
      <c r="BI27" s="10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</row>
    <row r="28" spans="1:93" ht="15.75" thickBot="1" x14ac:dyDescent="0.3">
      <c r="A28" s="247">
        <f>'Nesting Phone time'!B29</f>
        <v>0</v>
      </c>
      <c r="B28" s="12" t="str">
        <f>IFERROR(VLOOKUP(A28,'Nesting Phone time'!B:I,2,),"-")</f>
        <v>-</v>
      </c>
      <c r="C28" s="23" t="str">
        <f t="shared" si="15"/>
        <v>-</v>
      </c>
      <c r="D28" s="12" t="str">
        <f>IFERROR(VLOOKUP(A28,'Nesting Phone time'!B:I,3,),"-")</f>
        <v>-</v>
      </c>
      <c r="E28" s="23" t="str">
        <f t="shared" si="16"/>
        <v>-</v>
      </c>
      <c r="F28" s="12" t="str">
        <f>IFERROR(VLOOKUP(A28,'Nesting Phone time'!B:I,4,),"-")</f>
        <v>-</v>
      </c>
      <c r="G28" s="23" t="str">
        <f t="shared" si="17"/>
        <v>-</v>
      </c>
      <c r="H28" s="12" t="str">
        <f>IFERROR(VLOOKUP(A28,'Nesting Phone time'!B:I,5,),"-")</f>
        <v>-</v>
      </c>
      <c r="I28" s="23" t="str">
        <f t="shared" si="18"/>
        <v>-</v>
      </c>
      <c r="J28" s="12" t="str">
        <f>IFERROR(VLOOKUP(A28,'Nesting Phone time'!B:I,6,),"-")</f>
        <v>-</v>
      </c>
      <c r="K28" s="23" t="str">
        <f t="shared" si="19"/>
        <v>-</v>
      </c>
      <c r="L28" s="12" t="str">
        <f>IFERROR(VLOOKUP(A28,'Nesting Phone time'!B:I,7,),"-")</f>
        <v>-</v>
      </c>
      <c r="M28" s="23" t="str">
        <f t="shared" si="20"/>
        <v>-</v>
      </c>
      <c r="N28" s="12" t="str">
        <f>IFERROR(VLOOKUP(A28,'Nesting Phone time'!B:I,8,),"-")</f>
        <v>-</v>
      </c>
      <c r="O28" s="23" t="str">
        <f t="shared" si="21"/>
        <v>-</v>
      </c>
      <c r="Q28" s="12" t="str">
        <f>IFERROR(VLOOKUP(A28,'Nesting Phone time'!B:Y,24,),"-")</f>
        <v>-</v>
      </c>
      <c r="R28" s="23" t="str">
        <f t="shared" si="22"/>
        <v>-</v>
      </c>
      <c r="T28" s="25" t="str">
        <f>IFERROR(VLOOKUP(A28,'Nesting Phone time'!$B:$J,9,),"-")</f>
        <v>-</v>
      </c>
      <c r="U28" s="23" t="str">
        <f t="shared" si="23"/>
        <v>-</v>
      </c>
      <c r="V28" s="12" t="str">
        <f>IFERROR(VLOOKUP(A28,'Nesting Phone time'!B:K,10,),"-")</f>
        <v>-</v>
      </c>
      <c r="W28" s="23" t="str">
        <f t="shared" si="24"/>
        <v>-</v>
      </c>
      <c r="X28" s="12" t="str">
        <f>IFERROR(VLOOKUP(A28,'Nesting Phone time'!B:L,11,),"-")</f>
        <v>-</v>
      </c>
      <c r="Y28" s="23" t="str">
        <f t="shared" si="25"/>
        <v>-</v>
      </c>
      <c r="Z28" s="12" t="str">
        <f>IFERROR(VLOOKUP(A28,'Nesting Phone time'!B:M,12,),"-")</f>
        <v>-</v>
      </c>
      <c r="AA28" s="23" t="str">
        <f t="shared" si="26"/>
        <v>-</v>
      </c>
      <c r="AB28" s="12" t="str">
        <f>IFERROR(VLOOKUP(A28,'Nesting Phone time'!B:N,13,),"-")</f>
        <v>-</v>
      </c>
      <c r="AC28" s="23" t="str">
        <f t="shared" si="27"/>
        <v>-</v>
      </c>
      <c r="AD28" s="12" t="str">
        <f>IFERROR(VLOOKUP(A28,'Nesting Phone time'!B:O,14,),"-")</f>
        <v>-</v>
      </c>
      <c r="AE28" s="23" t="str">
        <f t="shared" si="28"/>
        <v>-</v>
      </c>
      <c r="AF28" s="21" t="str">
        <f>IFERROR(VLOOKUP(A28,'Nesting Phone time'!B:P,15,),"-")</f>
        <v>-</v>
      </c>
      <c r="AG28" s="23" t="str">
        <f t="shared" si="29"/>
        <v>-</v>
      </c>
      <c r="AI28" s="25" t="str">
        <f>IFERROR(VLOOKUP(A28,'Nesting Phone time'!$B:$Q,16,),"-")</f>
        <v>-</v>
      </c>
      <c r="AJ28" s="23" t="str">
        <f t="shared" si="30"/>
        <v>-</v>
      </c>
      <c r="AK28" s="12" t="str">
        <f>IFERROR(VLOOKUP(A28,'Nesting Phone time'!B:R,17,),"-")</f>
        <v>-</v>
      </c>
      <c r="AL28" s="23" t="str">
        <f t="shared" si="31"/>
        <v>-</v>
      </c>
      <c r="AM28" s="12" t="str">
        <f>IFERROR(VLOOKUP(A28,'Nesting Phone time'!B:S,18,),"-")</f>
        <v>-</v>
      </c>
      <c r="AN28" s="23" t="str">
        <f t="shared" si="32"/>
        <v>-</v>
      </c>
      <c r="AO28" s="12" t="str">
        <f>IFERROR(VLOOKUP(A28,'Nesting Phone time'!B:T,19,),"-")</f>
        <v>-</v>
      </c>
      <c r="AP28" s="23" t="str">
        <f t="shared" si="33"/>
        <v>-</v>
      </c>
      <c r="AQ28" s="12" t="str">
        <f>IFERROR(VLOOKUP(A28,'Nesting Phone time'!B:U,20,),"-")</f>
        <v>-</v>
      </c>
      <c r="AR28" s="23" t="str">
        <f t="shared" si="34"/>
        <v>-</v>
      </c>
      <c r="AS28" s="12" t="str">
        <f>IFERROR(VLOOKUP(A28,'Nesting Phone time'!B:V,21,),"-")</f>
        <v>-</v>
      </c>
      <c r="AT28" s="23" t="str">
        <f t="shared" si="35"/>
        <v>-</v>
      </c>
      <c r="AU28" s="21" t="str">
        <f>IFERROR(VLOOKUP(A28,'Nesting Phone time'!B:W,22,),"-")</f>
        <v>-</v>
      </c>
      <c r="AV28" s="23" t="str">
        <f t="shared" si="36"/>
        <v>-</v>
      </c>
      <c r="AX28" s="10"/>
      <c r="BH28" s="10"/>
    </row>
    <row r="29" spans="1:93" ht="15.75" thickBot="1" x14ac:dyDescent="0.3">
      <c r="A29" s="247">
        <f>'Nesting Phone time'!B30</f>
        <v>0</v>
      </c>
      <c r="B29" s="12" t="str">
        <f>IFERROR(VLOOKUP(A29,'Nesting Phone time'!B:I,2,),"-")</f>
        <v>-</v>
      </c>
      <c r="C29" s="23" t="str">
        <f t="shared" si="15"/>
        <v>-</v>
      </c>
      <c r="D29" s="12" t="str">
        <f>IFERROR(VLOOKUP(A29,'Nesting Phone time'!B:I,3,),"-")</f>
        <v>-</v>
      </c>
      <c r="E29" s="23" t="str">
        <f t="shared" si="16"/>
        <v>-</v>
      </c>
      <c r="F29" s="12" t="str">
        <f>IFERROR(VLOOKUP(A29,'Nesting Phone time'!B:I,4,),"-")</f>
        <v>-</v>
      </c>
      <c r="G29" s="23" t="str">
        <f t="shared" si="17"/>
        <v>-</v>
      </c>
      <c r="H29" s="12" t="str">
        <f>IFERROR(VLOOKUP(A29,'Nesting Phone time'!B:I,5,),"-")</f>
        <v>-</v>
      </c>
      <c r="I29" s="23" t="str">
        <f t="shared" si="18"/>
        <v>-</v>
      </c>
      <c r="J29" s="12" t="str">
        <f>IFERROR(VLOOKUP(A29,'Nesting Phone time'!B:I,6,),"-")</f>
        <v>-</v>
      </c>
      <c r="K29" s="23" t="str">
        <f t="shared" si="19"/>
        <v>-</v>
      </c>
      <c r="L29" s="12" t="str">
        <f>IFERROR(VLOOKUP(A29,'Nesting Phone time'!B:I,7,),"-")</f>
        <v>-</v>
      </c>
      <c r="M29" s="23" t="str">
        <f t="shared" si="20"/>
        <v>-</v>
      </c>
      <c r="N29" s="12" t="str">
        <f>IFERROR(VLOOKUP(A29,'Nesting Phone time'!B:I,8,),"-")</f>
        <v>-</v>
      </c>
      <c r="O29" s="23" t="str">
        <f t="shared" si="21"/>
        <v>-</v>
      </c>
      <c r="Q29" s="12" t="str">
        <f>IFERROR(VLOOKUP(A29,'Nesting Phone time'!B:Y,24,),"-")</f>
        <v>-</v>
      </c>
      <c r="R29" s="23" t="str">
        <f t="shared" si="22"/>
        <v>-</v>
      </c>
      <c r="T29" s="25" t="str">
        <f>IFERROR(VLOOKUP(A29,'Nesting Phone time'!$B:$J,9,),"-")</f>
        <v>-</v>
      </c>
      <c r="U29" s="23" t="str">
        <f t="shared" si="23"/>
        <v>-</v>
      </c>
      <c r="V29" s="12" t="str">
        <f>IFERROR(VLOOKUP(A29,'Nesting Phone time'!B:K,10,),"-")</f>
        <v>-</v>
      </c>
      <c r="W29" s="23" t="str">
        <f t="shared" si="24"/>
        <v>-</v>
      </c>
      <c r="X29" s="12" t="str">
        <f>IFERROR(VLOOKUP(A29,'Nesting Phone time'!B:L,11,),"-")</f>
        <v>-</v>
      </c>
      <c r="Y29" s="23" t="str">
        <f t="shared" si="25"/>
        <v>-</v>
      </c>
      <c r="Z29" s="12" t="str">
        <f>IFERROR(VLOOKUP(A29,'Nesting Phone time'!B:M,12,),"-")</f>
        <v>-</v>
      </c>
      <c r="AA29" s="23" t="str">
        <f t="shared" si="26"/>
        <v>-</v>
      </c>
      <c r="AB29" s="12" t="str">
        <f>IFERROR(VLOOKUP(A29,'Nesting Phone time'!B:N,13,),"-")</f>
        <v>-</v>
      </c>
      <c r="AC29" s="23" t="str">
        <f t="shared" si="27"/>
        <v>-</v>
      </c>
      <c r="AD29" s="12" t="str">
        <f>IFERROR(VLOOKUP(A29,'Nesting Phone time'!B:O,14,),"-")</f>
        <v>-</v>
      </c>
      <c r="AE29" s="23" t="str">
        <f t="shared" si="28"/>
        <v>-</v>
      </c>
      <c r="AF29" s="21" t="str">
        <f>IFERROR(VLOOKUP(A29,'Nesting Phone time'!B:P,15,),"-")</f>
        <v>-</v>
      </c>
      <c r="AG29" s="23" t="str">
        <f t="shared" si="29"/>
        <v>-</v>
      </c>
      <c r="AI29" s="25" t="str">
        <f>IFERROR(VLOOKUP(A29,'Nesting Phone time'!$B:$Q,16,),"-")</f>
        <v>-</v>
      </c>
      <c r="AJ29" s="23" t="str">
        <f t="shared" si="30"/>
        <v>-</v>
      </c>
      <c r="AK29" s="12" t="str">
        <f>IFERROR(VLOOKUP(A29,'Nesting Phone time'!B:R,17,),"-")</f>
        <v>-</v>
      </c>
      <c r="AL29" s="23" t="str">
        <f t="shared" si="31"/>
        <v>-</v>
      </c>
      <c r="AM29" s="12" t="str">
        <f>IFERROR(VLOOKUP(A29,'Nesting Phone time'!B:S,18,),"-")</f>
        <v>-</v>
      </c>
      <c r="AN29" s="23" t="str">
        <f t="shared" si="32"/>
        <v>-</v>
      </c>
      <c r="AO29" s="12" t="str">
        <f>IFERROR(VLOOKUP(A29,'Nesting Phone time'!B:T,19,),"-")</f>
        <v>-</v>
      </c>
      <c r="AP29" s="23" t="str">
        <f t="shared" si="33"/>
        <v>-</v>
      </c>
      <c r="AQ29" s="12" t="str">
        <f>IFERROR(VLOOKUP(A29,'Nesting Phone time'!B:U,20,),"-")</f>
        <v>-</v>
      </c>
      <c r="AR29" s="23" t="str">
        <f t="shared" si="34"/>
        <v>-</v>
      </c>
      <c r="AS29" s="12" t="str">
        <f>IFERROR(VLOOKUP(A29,'Nesting Phone time'!B:V,21,),"-")</f>
        <v>-</v>
      </c>
      <c r="AT29" s="23" t="str">
        <f t="shared" si="35"/>
        <v>-</v>
      </c>
      <c r="AU29" s="21" t="str">
        <f>IFERROR(VLOOKUP(A29,'Nesting Phone time'!B:W,22,),"-")</f>
        <v>-</v>
      </c>
      <c r="AV29" s="23" t="str">
        <f t="shared" si="36"/>
        <v>-</v>
      </c>
      <c r="AX29" s="10"/>
      <c r="BH29" s="10"/>
    </row>
    <row r="30" spans="1:93" ht="15.75" thickBot="1" x14ac:dyDescent="0.3">
      <c r="A30" s="247">
        <f>'Nesting Phone time'!B31</f>
        <v>0</v>
      </c>
      <c r="B30" s="12" t="str">
        <f>IFERROR(VLOOKUP(A30,'Nesting Phone time'!B:I,2,),"-")</f>
        <v>-</v>
      </c>
      <c r="C30" s="23" t="str">
        <f t="shared" si="15"/>
        <v>-</v>
      </c>
      <c r="D30" s="12" t="str">
        <f>IFERROR(VLOOKUP(A30,'Nesting Phone time'!B:I,3,),"-")</f>
        <v>-</v>
      </c>
      <c r="E30" s="23" t="str">
        <f t="shared" si="16"/>
        <v>-</v>
      </c>
      <c r="F30" s="12" t="str">
        <f>IFERROR(VLOOKUP(A30,'Nesting Phone time'!B:I,4,),"-")</f>
        <v>-</v>
      </c>
      <c r="G30" s="23" t="str">
        <f t="shared" si="17"/>
        <v>-</v>
      </c>
      <c r="H30" s="12" t="str">
        <f>IFERROR(VLOOKUP(A30,'Nesting Phone time'!B:I,5,),"-")</f>
        <v>-</v>
      </c>
      <c r="I30" s="23" t="str">
        <f t="shared" si="18"/>
        <v>-</v>
      </c>
      <c r="J30" s="12" t="str">
        <f>IFERROR(VLOOKUP(A30,'Nesting Phone time'!B:I,6,),"-")</f>
        <v>-</v>
      </c>
      <c r="K30" s="23" t="str">
        <f t="shared" si="19"/>
        <v>-</v>
      </c>
      <c r="L30" s="12" t="str">
        <f>IFERROR(VLOOKUP(A30,'Nesting Phone time'!B:I,7,),"-")</f>
        <v>-</v>
      </c>
      <c r="M30" s="23" t="str">
        <f t="shared" si="20"/>
        <v>-</v>
      </c>
      <c r="N30" s="12" t="str">
        <f>IFERROR(VLOOKUP(A30,'Nesting Phone time'!B:I,8,),"-")</f>
        <v>-</v>
      </c>
      <c r="O30" s="23" t="str">
        <f t="shared" si="21"/>
        <v>-</v>
      </c>
      <c r="Q30" s="12" t="str">
        <f>IFERROR(VLOOKUP(A30,'Nesting Phone time'!B:Y,24,),"-")</f>
        <v>-</v>
      </c>
      <c r="R30" s="23" t="str">
        <f t="shared" si="22"/>
        <v>-</v>
      </c>
      <c r="T30" s="25" t="str">
        <f>IFERROR(VLOOKUP(A30,'Nesting Phone time'!$B:$J,9,),"-")</f>
        <v>-</v>
      </c>
      <c r="U30" s="23" t="str">
        <f t="shared" si="23"/>
        <v>-</v>
      </c>
      <c r="V30" s="12" t="str">
        <f>IFERROR(VLOOKUP(A30,'Nesting Phone time'!B:K,10,),"-")</f>
        <v>-</v>
      </c>
      <c r="W30" s="23" t="str">
        <f t="shared" si="24"/>
        <v>-</v>
      </c>
      <c r="X30" s="12" t="str">
        <f>IFERROR(VLOOKUP(A30,'Nesting Phone time'!B:L,11,),"-")</f>
        <v>-</v>
      </c>
      <c r="Y30" s="23" t="str">
        <f t="shared" si="25"/>
        <v>-</v>
      </c>
      <c r="Z30" s="12" t="str">
        <f>IFERROR(VLOOKUP(A30,'Nesting Phone time'!B:M,12,),"-")</f>
        <v>-</v>
      </c>
      <c r="AA30" s="23" t="str">
        <f t="shared" si="26"/>
        <v>-</v>
      </c>
      <c r="AB30" s="12" t="str">
        <f>IFERROR(VLOOKUP(A30,'Nesting Phone time'!B:N,13,),"-")</f>
        <v>-</v>
      </c>
      <c r="AC30" s="23" t="str">
        <f t="shared" si="27"/>
        <v>-</v>
      </c>
      <c r="AD30" s="12" t="str">
        <f>IFERROR(VLOOKUP(A30,'Nesting Phone time'!B:O,14,),"-")</f>
        <v>-</v>
      </c>
      <c r="AE30" s="23" t="str">
        <f t="shared" si="28"/>
        <v>-</v>
      </c>
      <c r="AF30" s="21" t="str">
        <f>IFERROR(VLOOKUP(A30,'Nesting Phone time'!B:P,15,),"-")</f>
        <v>-</v>
      </c>
      <c r="AG30" s="23" t="str">
        <f t="shared" si="29"/>
        <v>-</v>
      </c>
      <c r="AI30" s="25" t="str">
        <f>IFERROR(VLOOKUP(A30,'Nesting Phone time'!$B:$Q,16,),"-")</f>
        <v>-</v>
      </c>
      <c r="AJ30" s="23" t="str">
        <f t="shared" si="30"/>
        <v>-</v>
      </c>
      <c r="AK30" s="12" t="str">
        <f>IFERROR(VLOOKUP(A30,'Nesting Phone time'!B:R,17,),"-")</f>
        <v>-</v>
      </c>
      <c r="AL30" s="23" t="str">
        <f t="shared" si="31"/>
        <v>-</v>
      </c>
      <c r="AM30" s="12" t="str">
        <f>IFERROR(VLOOKUP(A30,'Nesting Phone time'!B:S,18,),"-")</f>
        <v>-</v>
      </c>
      <c r="AN30" s="23" t="str">
        <f t="shared" si="32"/>
        <v>-</v>
      </c>
      <c r="AO30" s="12" t="str">
        <f>IFERROR(VLOOKUP(A30,'Nesting Phone time'!B:T,19,),"-")</f>
        <v>-</v>
      </c>
      <c r="AP30" s="23" t="str">
        <f t="shared" si="33"/>
        <v>-</v>
      </c>
      <c r="AQ30" s="12" t="str">
        <f>IFERROR(VLOOKUP(A30,'Nesting Phone time'!B:U,20,),"-")</f>
        <v>-</v>
      </c>
      <c r="AR30" s="23" t="str">
        <f t="shared" si="34"/>
        <v>-</v>
      </c>
      <c r="AS30" s="12" t="str">
        <f>IFERROR(VLOOKUP(A30,'Nesting Phone time'!B:V,21,),"-")</f>
        <v>-</v>
      </c>
      <c r="AT30" s="23" t="str">
        <f t="shared" si="35"/>
        <v>-</v>
      </c>
      <c r="AU30" s="21" t="str">
        <f>IFERROR(VLOOKUP(A30,'Nesting Phone time'!B:W,22,),"-")</f>
        <v>-</v>
      </c>
      <c r="AV30" s="23" t="str">
        <f t="shared" si="36"/>
        <v>-</v>
      </c>
      <c r="AX30" s="10"/>
    </row>
    <row r="31" spans="1:93" ht="15.75" thickBot="1" x14ac:dyDescent="0.3">
      <c r="A31" s="247">
        <f>'Nesting Phone time'!B32</f>
        <v>0</v>
      </c>
      <c r="B31" s="12" t="str">
        <f>IFERROR(VLOOKUP(A31,'Nesting Phone time'!B:I,2,),"-")</f>
        <v>-</v>
      </c>
      <c r="C31" s="23" t="str">
        <f t="shared" si="15"/>
        <v>-</v>
      </c>
      <c r="D31" s="12" t="str">
        <f>IFERROR(VLOOKUP(A31,'Nesting Phone time'!B:I,3,),"-")</f>
        <v>-</v>
      </c>
      <c r="E31" s="23" t="str">
        <f t="shared" si="16"/>
        <v>-</v>
      </c>
      <c r="F31" s="12" t="str">
        <f>IFERROR(VLOOKUP(A31,'Nesting Phone time'!B:I,4,),"-")</f>
        <v>-</v>
      </c>
      <c r="G31" s="23" t="str">
        <f t="shared" si="17"/>
        <v>-</v>
      </c>
      <c r="H31" s="12" t="str">
        <f>IFERROR(VLOOKUP(A31,'Nesting Phone time'!B:I,5,),"-")</f>
        <v>-</v>
      </c>
      <c r="I31" s="23" t="str">
        <f t="shared" si="18"/>
        <v>-</v>
      </c>
      <c r="J31" s="12" t="str">
        <f>IFERROR(VLOOKUP(A31,'Nesting Phone time'!B:I,6,),"-")</f>
        <v>-</v>
      </c>
      <c r="K31" s="23" t="str">
        <f t="shared" si="19"/>
        <v>-</v>
      </c>
      <c r="L31" s="12" t="str">
        <f>IFERROR(VLOOKUP(A31,'Nesting Phone time'!B:I,7,),"-")</f>
        <v>-</v>
      </c>
      <c r="M31" s="23" t="str">
        <f t="shared" si="20"/>
        <v>-</v>
      </c>
      <c r="N31" s="12" t="str">
        <f>IFERROR(VLOOKUP(A31,'Nesting Phone time'!B:I,8,),"-")</f>
        <v>-</v>
      </c>
      <c r="O31" s="23" t="str">
        <f t="shared" si="21"/>
        <v>-</v>
      </c>
      <c r="Q31" s="12" t="str">
        <f>IFERROR(VLOOKUP(A31,'Nesting Phone time'!B:Y,24,),"-")</f>
        <v>-</v>
      </c>
      <c r="R31" s="23" t="str">
        <f t="shared" si="22"/>
        <v>-</v>
      </c>
      <c r="T31" s="25" t="str">
        <f>IFERROR(VLOOKUP(A31,'Nesting Phone time'!$B:$J,9,),"-")</f>
        <v>-</v>
      </c>
      <c r="U31" s="23" t="str">
        <f t="shared" si="23"/>
        <v>-</v>
      </c>
      <c r="V31" s="12" t="str">
        <f>IFERROR(VLOOKUP(A31,'Nesting Phone time'!B:K,10,),"-")</f>
        <v>-</v>
      </c>
      <c r="W31" s="23" t="str">
        <f t="shared" si="24"/>
        <v>-</v>
      </c>
      <c r="X31" s="12" t="str">
        <f>IFERROR(VLOOKUP(A31,'Nesting Phone time'!B:L,11,),"-")</f>
        <v>-</v>
      </c>
      <c r="Y31" s="23" t="str">
        <f t="shared" si="25"/>
        <v>-</v>
      </c>
      <c r="Z31" s="12" t="str">
        <f>IFERROR(VLOOKUP(A31,'Nesting Phone time'!B:M,12,),"-")</f>
        <v>-</v>
      </c>
      <c r="AA31" s="23" t="str">
        <f t="shared" si="26"/>
        <v>-</v>
      </c>
      <c r="AB31" s="12" t="str">
        <f>IFERROR(VLOOKUP(A31,'Nesting Phone time'!B:N,13,),"-")</f>
        <v>-</v>
      </c>
      <c r="AC31" s="23" t="str">
        <f t="shared" si="27"/>
        <v>-</v>
      </c>
      <c r="AD31" s="12" t="str">
        <f>IFERROR(VLOOKUP(A31,'Nesting Phone time'!B:O,14,),"-")</f>
        <v>-</v>
      </c>
      <c r="AE31" s="23" t="str">
        <f t="shared" si="28"/>
        <v>-</v>
      </c>
      <c r="AF31" s="21" t="str">
        <f>IFERROR(VLOOKUP(A31,'Nesting Phone time'!B:P,15,),"-")</f>
        <v>-</v>
      </c>
      <c r="AG31" s="23" t="str">
        <f t="shared" si="29"/>
        <v>-</v>
      </c>
      <c r="AI31" s="25" t="str">
        <f>IFERROR(VLOOKUP(A31,'Nesting Phone time'!$B:$Q,16,),"-")</f>
        <v>-</v>
      </c>
      <c r="AJ31" s="23" t="str">
        <f t="shared" si="30"/>
        <v>-</v>
      </c>
      <c r="AK31" s="12" t="str">
        <f>IFERROR(VLOOKUP(A31,'Nesting Phone time'!B:R,17,),"-")</f>
        <v>-</v>
      </c>
      <c r="AL31" s="23" t="str">
        <f t="shared" si="31"/>
        <v>-</v>
      </c>
      <c r="AM31" s="12" t="str">
        <f>IFERROR(VLOOKUP(A31,'Nesting Phone time'!B:S,18,),"-")</f>
        <v>-</v>
      </c>
      <c r="AN31" s="23" t="str">
        <f t="shared" si="32"/>
        <v>-</v>
      </c>
      <c r="AO31" s="12" t="str">
        <f>IFERROR(VLOOKUP(A31,'Nesting Phone time'!B:T,19,),"-")</f>
        <v>-</v>
      </c>
      <c r="AP31" s="23" t="str">
        <f t="shared" si="33"/>
        <v>-</v>
      </c>
      <c r="AQ31" s="12" t="str">
        <f>IFERROR(VLOOKUP(A31,'Nesting Phone time'!B:U,20,),"-")</f>
        <v>-</v>
      </c>
      <c r="AR31" s="23" t="str">
        <f t="shared" si="34"/>
        <v>-</v>
      </c>
      <c r="AS31" s="12" t="str">
        <f>IFERROR(VLOOKUP(A31,'Nesting Phone time'!B:V,21,),"-")</f>
        <v>-</v>
      </c>
      <c r="AT31" s="23" t="str">
        <f t="shared" si="35"/>
        <v>-</v>
      </c>
      <c r="AU31" s="21" t="str">
        <f>IFERROR(VLOOKUP(A31,'Nesting Phone time'!B:W,22,),"-")</f>
        <v>-</v>
      </c>
      <c r="AV31" s="23" t="str">
        <f t="shared" si="36"/>
        <v>-</v>
      </c>
      <c r="AX31" s="10"/>
    </row>
    <row r="32" spans="1:93" ht="15.75" thickBot="1" x14ac:dyDescent="0.3">
      <c r="A32" s="247">
        <f>'Nesting Phone time'!B33</f>
        <v>0</v>
      </c>
      <c r="B32" s="12" t="str">
        <f>IFERROR(VLOOKUP(A32,'Nesting Phone time'!B:I,2,),"-")</f>
        <v>-</v>
      </c>
      <c r="C32" s="23" t="str">
        <f t="shared" si="15"/>
        <v>-</v>
      </c>
      <c r="D32" s="12" t="str">
        <f>IFERROR(VLOOKUP(A32,'Nesting Phone time'!B:I,3,),"-")</f>
        <v>-</v>
      </c>
      <c r="E32" s="23" t="str">
        <f t="shared" si="16"/>
        <v>-</v>
      </c>
      <c r="F32" s="12" t="str">
        <f>IFERROR(VLOOKUP(A32,'Nesting Phone time'!B:I,4,),"-")</f>
        <v>-</v>
      </c>
      <c r="G32" s="23" t="str">
        <f t="shared" si="17"/>
        <v>-</v>
      </c>
      <c r="H32" s="12" t="str">
        <f>IFERROR(VLOOKUP(A32,'Nesting Phone time'!B:I,5,),"-")</f>
        <v>-</v>
      </c>
      <c r="I32" s="23" t="str">
        <f t="shared" si="18"/>
        <v>-</v>
      </c>
      <c r="J32" s="12" t="str">
        <f>IFERROR(VLOOKUP(A32,'Nesting Phone time'!B:I,6,),"-")</f>
        <v>-</v>
      </c>
      <c r="K32" s="23" t="str">
        <f t="shared" si="19"/>
        <v>-</v>
      </c>
      <c r="L32" s="12" t="str">
        <f>IFERROR(VLOOKUP(A32,'Nesting Phone time'!B:I,7,),"-")</f>
        <v>-</v>
      </c>
      <c r="M32" s="23" t="str">
        <f t="shared" si="20"/>
        <v>-</v>
      </c>
      <c r="N32" s="12" t="str">
        <f>IFERROR(VLOOKUP(A32,'Nesting Phone time'!B:I,8,),"-")</f>
        <v>-</v>
      </c>
      <c r="O32" s="23" t="str">
        <f t="shared" si="21"/>
        <v>-</v>
      </c>
      <c r="Q32" s="12" t="str">
        <f>IFERROR(VLOOKUP(A32,'Nesting Phone time'!B:Y,24,),"-")</f>
        <v>-</v>
      </c>
      <c r="R32" s="23" t="str">
        <f t="shared" si="22"/>
        <v>-</v>
      </c>
      <c r="T32" s="25" t="str">
        <f>IFERROR(VLOOKUP(A32,'Nesting Phone time'!$B:$J,9,),"-")</f>
        <v>-</v>
      </c>
      <c r="U32" s="23" t="str">
        <f t="shared" si="23"/>
        <v>-</v>
      </c>
      <c r="V32" s="12" t="str">
        <f>IFERROR(VLOOKUP(A32,'Nesting Phone time'!B:K,10,),"-")</f>
        <v>-</v>
      </c>
      <c r="W32" s="23" t="str">
        <f t="shared" si="24"/>
        <v>-</v>
      </c>
      <c r="X32" s="12" t="str">
        <f>IFERROR(VLOOKUP(A32,'Nesting Phone time'!B:L,11,),"-")</f>
        <v>-</v>
      </c>
      <c r="Y32" s="23" t="str">
        <f t="shared" si="25"/>
        <v>-</v>
      </c>
      <c r="Z32" s="12" t="str">
        <f>IFERROR(VLOOKUP(A32,'Nesting Phone time'!B:M,12,),"-")</f>
        <v>-</v>
      </c>
      <c r="AA32" s="23" t="str">
        <f t="shared" si="26"/>
        <v>-</v>
      </c>
      <c r="AB32" s="12" t="str">
        <f>IFERROR(VLOOKUP(A32,'Nesting Phone time'!B:N,13,),"-")</f>
        <v>-</v>
      </c>
      <c r="AC32" s="23" t="str">
        <f t="shared" si="27"/>
        <v>-</v>
      </c>
      <c r="AD32" s="12" t="str">
        <f>IFERROR(VLOOKUP(A32,'Nesting Phone time'!B:O,14,),"-")</f>
        <v>-</v>
      </c>
      <c r="AE32" s="23" t="str">
        <f t="shared" si="28"/>
        <v>-</v>
      </c>
      <c r="AF32" s="21" t="str">
        <f>IFERROR(VLOOKUP(A32,'Nesting Phone time'!B:P,15,),"-")</f>
        <v>-</v>
      </c>
      <c r="AG32" s="23" t="str">
        <f t="shared" si="29"/>
        <v>-</v>
      </c>
      <c r="AI32" s="25" t="str">
        <f>IFERROR(VLOOKUP(A32,'Nesting Phone time'!$B:$Q,16,),"-")</f>
        <v>-</v>
      </c>
      <c r="AJ32" s="23" t="str">
        <f t="shared" si="30"/>
        <v>-</v>
      </c>
      <c r="AK32" s="12" t="str">
        <f>IFERROR(VLOOKUP(A32,'Nesting Phone time'!B:R,17,),"-")</f>
        <v>-</v>
      </c>
      <c r="AL32" s="23" t="str">
        <f t="shared" si="31"/>
        <v>-</v>
      </c>
      <c r="AM32" s="12" t="str">
        <f>IFERROR(VLOOKUP(A32,'Nesting Phone time'!B:S,18,),"-")</f>
        <v>-</v>
      </c>
      <c r="AN32" s="23" t="str">
        <f t="shared" si="32"/>
        <v>-</v>
      </c>
      <c r="AO32" s="12" t="str">
        <f>IFERROR(VLOOKUP(A32,'Nesting Phone time'!B:T,19,),"-")</f>
        <v>-</v>
      </c>
      <c r="AP32" s="23" t="str">
        <f t="shared" si="33"/>
        <v>-</v>
      </c>
      <c r="AQ32" s="12" t="str">
        <f>IFERROR(VLOOKUP(A32,'Nesting Phone time'!B:U,20,),"-")</f>
        <v>-</v>
      </c>
      <c r="AR32" s="23" t="str">
        <f t="shared" si="34"/>
        <v>-</v>
      </c>
      <c r="AS32" s="12" t="str">
        <f>IFERROR(VLOOKUP(A32,'Nesting Phone time'!B:V,21,),"-")</f>
        <v>-</v>
      </c>
      <c r="AT32" s="23" t="str">
        <f t="shared" si="35"/>
        <v>-</v>
      </c>
      <c r="AU32" s="21" t="str">
        <f>IFERROR(VLOOKUP(A32,'Nesting Phone time'!B:W,22,),"-")</f>
        <v>-</v>
      </c>
      <c r="AV32" s="23" t="str">
        <f t="shared" si="36"/>
        <v>-</v>
      </c>
      <c r="AX32" s="10"/>
    </row>
    <row r="33" spans="1:48" ht="15.75" thickBot="1" x14ac:dyDescent="0.3">
      <c r="A33" s="247">
        <f>'Nesting Phone time'!B34</f>
        <v>0</v>
      </c>
      <c r="B33" s="12" t="str">
        <f>IFERROR(VLOOKUP(A33,'Nesting Phone time'!B:I,2,),"-")</f>
        <v>-</v>
      </c>
      <c r="C33" s="23" t="str">
        <f t="shared" ref="C33:C41" si="72">IFERROR(IF(B33="PTO", "PTO", IF(B33="OFF","OFF",B33 + TIME(9,0,0))),"-")</f>
        <v>-</v>
      </c>
      <c r="D33" s="12" t="str">
        <f>IFERROR(VLOOKUP(A33,'Nesting Phone time'!B:I,3,),"-")</f>
        <v>-</v>
      </c>
      <c r="E33" s="23" t="str">
        <f t="shared" ref="E33:E41" si="73">IFERROR(IF(D33="PTO", "PTO", IF(D33="OFF","OFF",D33 + TIME(9,0,0))),"-")</f>
        <v>-</v>
      </c>
      <c r="F33" s="12" t="str">
        <f>IFERROR(VLOOKUP(A33,'Nesting Phone time'!B:I,4,),"-")</f>
        <v>-</v>
      </c>
      <c r="G33" s="23" t="str">
        <f t="shared" ref="G33:G41" si="74">IFERROR(IF(F33="PTO", "PTO", IF(F33="OFF","OFF",F33 + TIME(9,0,0))),"-")</f>
        <v>-</v>
      </c>
      <c r="H33" s="12" t="str">
        <f>IFERROR(VLOOKUP(A33,'Nesting Phone time'!B:I,5,),"-")</f>
        <v>-</v>
      </c>
      <c r="I33" s="23" t="str">
        <f t="shared" ref="I33:I41" si="75">IFERROR(IF(H33="PTO", "PTO", IF(H33="OFF","OFF",H33 + TIME(9,0,0))),"-")</f>
        <v>-</v>
      </c>
      <c r="J33" s="12" t="str">
        <f>IFERROR(VLOOKUP(A33,'Nesting Phone time'!B:I,6,),"-")</f>
        <v>-</v>
      </c>
      <c r="K33" s="23" t="str">
        <f t="shared" ref="K33:K41" si="76">IFERROR(IF(J33="PTO", "PTO", IF(J33="OFF","OFF",J33 + TIME(9,0,0))),"-")</f>
        <v>-</v>
      </c>
      <c r="L33" s="12" t="str">
        <f>IFERROR(VLOOKUP(A33,'Nesting Phone time'!B:I,7,),"-")</f>
        <v>-</v>
      </c>
      <c r="M33" s="23" t="str">
        <f t="shared" ref="M33:M41" si="77">IFERROR(IF(L33="PTO", "PTO", IF(L33="OFF","OFF",L33 + TIME(9,0,0))),"-")</f>
        <v>-</v>
      </c>
      <c r="N33" s="12" t="str">
        <f>IFERROR(VLOOKUP(A33,'Nesting Phone time'!B:I,8,),"-")</f>
        <v>-</v>
      </c>
      <c r="O33" s="23" t="str">
        <f t="shared" ref="O33:O41" si="78">IFERROR(IF(N33="PTO", "PTO", IF(N33="OFF","OFF",N33 + TIME(9,0,0))),"-")</f>
        <v>-</v>
      </c>
      <c r="Q33" s="12" t="str">
        <f>IFERROR(VLOOKUP(A33,'Nesting Phone time'!B:Y,24,),"-")</f>
        <v>-</v>
      </c>
      <c r="R33" s="23" t="str">
        <f t="shared" ref="R33:R41" si="79">IFERROR(IF(Q33="PTO", "PTO", IF(Q33="OFF","OFF",Q33 + TIME(9,0,0))),"-")</f>
        <v>-</v>
      </c>
      <c r="T33" s="25" t="str">
        <f>IFERROR(VLOOKUP(A33,'Nesting Phone time'!$B:$J,9,),"-")</f>
        <v>-</v>
      </c>
      <c r="U33" s="23" t="str">
        <f t="shared" ref="U33:U41" si="80">IFERROR(IF(T33="PTO", "PTO", IF(T33="OFF","OFF",T33 + TIME(9,0,0))),"-")</f>
        <v>-</v>
      </c>
      <c r="V33" s="12" t="str">
        <f>IFERROR(VLOOKUP(A33,'Nesting Phone time'!B:K,10,),"-")</f>
        <v>-</v>
      </c>
      <c r="W33" s="23" t="str">
        <f t="shared" ref="W33:W41" si="81">IFERROR(IF(V33="PTO", "PTO", IF(V33="OFF","OFF",V33 + TIME(9,0,0))),"-")</f>
        <v>-</v>
      </c>
      <c r="X33" s="12" t="str">
        <f>IFERROR(VLOOKUP(A33,'Nesting Phone time'!B:L,11,),"-")</f>
        <v>-</v>
      </c>
      <c r="Y33" s="23" t="str">
        <f t="shared" ref="Y33:Y41" si="82">IFERROR(IF(X33="PTO", "PTO", IF(X33="OFF","OFF",X33 + TIME(9,0,0))),"-")</f>
        <v>-</v>
      </c>
      <c r="Z33" s="12" t="str">
        <f>IFERROR(VLOOKUP(A33,'Nesting Phone time'!B:M,12,),"-")</f>
        <v>-</v>
      </c>
      <c r="AA33" s="23" t="str">
        <f t="shared" ref="AA33:AA41" si="83">IFERROR(IF(Z33="PTO", "PTO", IF(Z33="OFF","OFF",Z33 + TIME(9,0,0))),"-")</f>
        <v>-</v>
      </c>
      <c r="AB33" s="12" t="str">
        <f>IFERROR(VLOOKUP(A33,'Nesting Phone time'!B:N,13,),"-")</f>
        <v>-</v>
      </c>
      <c r="AC33" s="23" t="str">
        <f t="shared" ref="AC33:AC41" si="84">IFERROR(IF(AB33="PTO", "PTO", IF(AB33="OFF","OFF",AB33 + TIME(9,0,0))),"-")</f>
        <v>-</v>
      </c>
      <c r="AD33" s="12" t="str">
        <f>IFERROR(VLOOKUP(A33,'Nesting Phone time'!B:O,14,),"-")</f>
        <v>-</v>
      </c>
      <c r="AE33" s="23" t="str">
        <f t="shared" ref="AE33:AE41" si="85">IFERROR(IF(AD33="PTO", "PTO", IF(AD33="OFF","OFF",AD33 + TIME(9,0,0))),"-")</f>
        <v>-</v>
      </c>
      <c r="AF33" s="21" t="str">
        <f>IFERROR(VLOOKUP(A33,'Nesting Phone time'!B:P,15,),"-")</f>
        <v>-</v>
      </c>
      <c r="AG33" s="23" t="str">
        <f t="shared" ref="AG33:AG41" si="86">IFERROR(IF(AF33="PTO", "PTO", IF(AF33="OFF","OFF",AF33 + TIME(9,0,0))),"-")</f>
        <v>-</v>
      </c>
      <c r="AI33" s="25" t="str">
        <f>IFERROR(VLOOKUP(A33,'Nesting Phone time'!$B:$Q,16,),"-")</f>
        <v>-</v>
      </c>
      <c r="AJ33" s="23" t="str">
        <f t="shared" ref="AJ33:AJ41" si="87">IFERROR(IF(AI33="PTO", "PTO", IF(AI33="OFF","OFF",AI33 + TIME(9,0,0))),"-")</f>
        <v>-</v>
      </c>
      <c r="AK33" s="12" t="str">
        <f>IFERROR(VLOOKUP(A33,'Nesting Phone time'!B:R,17,),"-")</f>
        <v>-</v>
      </c>
      <c r="AL33" s="23" t="str">
        <f t="shared" ref="AL33:AL41" si="88">IFERROR(IF(AK33="PTO", "PTO", IF(AK33="OFF","OFF",AK33 + TIME(9,0,0))),"-")</f>
        <v>-</v>
      </c>
      <c r="AM33" s="12" t="str">
        <f>IFERROR(VLOOKUP(A33,'Nesting Phone time'!B:S,18,),"-")</f>
        <v>-</v>
      </c>
      <c r="AN33" s="23" t="str">
        <f t="shared" ref="AN33:AN41" si="89">IFERROR(IF(AM33="PTO", "PTO", IF(AM33="OFF","OFF",AM33 + TIME(9,0,0))),"-")</f>
        <v>-</v>
      </c>
      <c r="AO33" s="12" t="str">
        <f>IFERROR(VLOOKUP(A33,'Nesting Phone time'!B:T,19,),"-")</f>
        <v>-</v>
      </c>
      <c r="AP33" s="23" t="str">
        <f t="shared" ref="AP33:AP41" si="90">IFERROR(IF(AO33="PTO", "PTO", IF(AO33="OFF","OFF",AO33 + TIME(9,0,0))),"-")</f>
        <v>-</v>
      </c>
      <c r="AQ33" s="12" t="str">
        <f>IFERROR(VLOOKUP(A33,'Nesting Phone time'!B:U,20,),"-")</f>
        <v>-</v>
      </c>
      <c r="AR33" s="23" t="str">
        <f t="shared" ref="AR33:AR41" si="91">IFERROR(IF(AQ33="PTO", "PTO", IF(AQ33="OFF","OFF",AQ33 + TIME(9,0,0))),"-")</f>
        <v>-</v>
      </c>
      <c r="AS33" s="12" t="str">
        <f>IFERROR(VLOOKUP(A33,'Nesting Phone time'!B:V,21,),"-")</f>
        <v>-</v>
      </c>
      <c r="AT33" s="23" t="str">
        <f t="shared" ref="AT33:AT41" si="92">IFERROR(IF(AS33="PTO", "PTO", IF(AS33="OFF","OFF",AS33 + TIME(9,0,0))),"-")</f>
        <v>-</v>
      </c>
      <c r="AU33" s="21" t="str">
        <f>IFERROR(VLOOKUP(A33,'Nesting Phone time'!B:W,22,),"-")</f>
        <v>-</v>
      </c>
      <c r="AV33" s="23" t="str">
        <f t="shared" ref="AV33:AV41" si="93">IFERROR(IF(AU33="PTO", "PTO", IF(AU33="OFF","OFF",AU33 + TIME(9,0,0))),"-")</f>
        <v>-</v>
      </c>
    </row>
    <row r="34" spans="1:48" ht="15.75" thickBot="1" x14ac:dyDescent="0.3">
      <c r="A34" s="247">
        <f>'Nesting Phone time'!B35</f>
        <v>0</v>
      </c>
      <c r="B34" s="12" t="str">
        <f>IFERROR(VLOOKUP(A34,'Nesting Phone time'!B:I,2,),"-")</f>
        <v>-</v>
      </c>
      <c r="C34" s="23" t="str">
        <f t="shared" si="72"/>
        <v>-</v>
      </c>
      <c r="D34" s="12" t="str">
        <f>IFERROR(VLOOKUP(A34,'Nesting Phone time'!B:I,3,),"-")</f>
        <v>-</v>
      </c>
      <c r="E34" s="23" t="str">
        <f t="shared" si="73"/>
        <v>-</v>
      </c>
      <c r="F34" s="12" t="str">
        <f>IFERROR(VLOOKUP(A34,'Nesting Phone time'!B:I,4,),"-")</f>
        <v>-</v>
      </c>
      <c r="G34" s="23" t="str">
        <f t="shared" si="74"/>
        <v>-</v>
      </c>
      <c r="H34" s="12" t="str">
        <f>IFERROR(VLOOKUP(A34,'Nesting Phone time'!B:I,5,),"-")</f>
        <v>-</v>
      </c>
      <c r="I34" s="23" t="str">
        <f t="shared" si="75"/>
        <v>-</v>
      </c>
      <c r="J34" s="12" t="str">
        <f>IFERROR(VLOOKUP(A34,'Nesting Phone time'!B:I,6,),"-")</f>
        <v>-</v>
      </c>
      <c r="K34" s="23" t="str">
        <f t="shared" si="76"/>
        <v>-</v>
      </c>
      <c r="L34" s="12" t="str">
        <f>IFERROR(VLOOKUP(A34,'Nesting Phone time'!B:I,7,),"-")</f>
        <v>-</v>
      </c>
      <c r="M34" s="23" t="str">
        <f t="shared" si="77"/>
        <v>-</v>
      </c>
      <c r="N34" s="12" t="str">
        <f>IFERROR(VLOOKUP(A34,'Nesting Phone time'!B:I,8,),"-")</f>
        <v>-</v>
      </c>
      <c r="O34" s="23" t="str">
        <f t="shared" si="78"/>
        <v>-</v>
      </c>
      <c r="Q34" s="12" t="str">
        <f>IFERROR(VLOOKUP(A34,'Nesting Phone time'!B:Y,24,),"-")</f>
        <v>-</v>
      </c>
      <c r="R34" s="23" t="str">
        <f t="shared" si="79"/>
        <v>-</v>
      </c>
      <c r="T34" s="25" t="str">
        <f>IFERROR(VLOOKUP(A34,'Nesting Phone time'!$B:$J,9,),"-")</f>
        <v>-</v>
      </c>
      <c r="U34" s="23" t="str">
        <f t="shared" si="80"/>
        <v>-</v>
      </c>
      <c r="V34" s="12" t="str">
        <f>IFERROR(VLOOKUP(A34,'Nesting Phone time'!B:K,10,),"-")</f>
        <v>-</v>
      </c>
      <c r="W34" s="23" t="str">
        <f t="shared" si="81"/>
        <v>-</v>
      </c>
      <c r="X34" s="12" t="str">
        <f>IFERROR(VLOOKUP(A34,'Nesting Phone time'!B:L,11,),"-")</f>
        <v>-</v>
      </c>
      <c r="Y34" s="23" t="str">
        <f t="shared" si="82"/>
        <v>-</v>
      </c>
      <c r="Z34" s="12" t="str">
        <f>IFERROR(VLOOKUP(A34,'Nesting Phone time'!B:M,12,),"-")</f>
        <v>-</v>
      </c>
      <c r="AA34" s="23" t="str">
        <f t="shared" si="83"/>
        <v>-</v>
      </c>
      <c r="AB34" s="12" t="str">
        <f>IFERROR(VLOOKUP(A34,'Nesting Phone time'!B:N,13,),"-")</f>
        <v>-</v>
      </c>
      <c r="AC34" s="23" t="str">
        <f t="shared" si="84"/>
        <v>-</v>
      </c>
      <c r="AD34" s="12" t="str">
        <f>IFERROR(VLOOKUP(A34,'Nesting Phone time'!B:O,14,),"-")</f>
        <v>-</v>
      </c>
      <c r="AE34" s="23" t="str">
        <f t="shared" si="85"/>
        <v>-</v>
      </c>
      <c r="AF34" s="21" t="str">
        <f>IFERROR(VLOOKUP(A34,'Nesting Phone time'!B:P,15,),"-")</f>
        <v>-</v>
      </c>
      <c r="AG34" s="23" t="str">
        <f t="shared" si="86"/>
        <v>-</v>
      </c>
      <c r="AI34" s="25" t="str">
        <f>IFERROR(VLOOKUP(A34,'Nesting Phone time'!$B:$Q,16,),"-")</f>
        <v>-</v>
      </c>
      <c r="AJ34" s="23" t="str">
        <f t="shared" si="87"/>
        <v>-</v>
      </c>
      <c r="AK34" s="12" t="str">
        <f>IFERROR(VLOOKUP(A34,'Nesting Phone time'!B:R,17,),"-")</f>
        <v>-</v>
      </c>
      <c r="AL34" s="23" t="str">
        <f t="shared" si="88"/>
        <v>-</v>
      </c>
      <c r="AM34" s="12" t="str">
        <f>IFERROR(VLOOKUP(A34,'Nesting Phone time'!B:S,18,),"-")</f>
        <v>-</v>
      </c>
      <c r="AN34" s="23" t="str">
        <f t="shared" si="89"/>
        <v>-</v>
      </c>
      <c r="AO34" s="12" t="str">
        <f>IFERROR(VLOOKUP(A34,'Nesting Phone time'!B:T,19,),"-")</f>
        <v>-</v>
      </c>
      <c r="AP34" s="23" t="str">
        <f t="shared" si="90"/>
        <v>-</v>
      </c>
      <c r="AQ34" s="12" t="str">
        <f>IFERROR(VLOOKUP(A34,'Nesting Phone time'!B:U,20,),"-")</f>
        <v>-</v>
      </c>
      <c r="AR34" s="23" t="str">
        <f t="shared" si="91"/>
        <v>-</v>
      </c>
      <c r="AS34" s="12" t="str">
        <f>IFERROR(VLOOKUP(A34,'Nesting Phone time'!B:V,21,),"-")</f>
        <v>-</v>
      </c>
      <c r="AT34" s="23" t="str">
        <f t="shared" si="92"/>
        <v>-</v>
      </c>
      <c r="AU34" s="21" t="str">
        <f>IFERROR(VLOOKUP(A34,'Nesting Phone time'!B:W,22,),"-")</f>
        <v>-</v>
      </c>
      <c r="AV34" s="23" t="str">
        <f t="shared" si="93"/>
        <v>-</v>
      </c>
    </row>
    <row r="35" spans="1:48" ht="15.75" thickBot="1" x14ac:dyDescent="0.3">
      <c r="A35" s="247">
        <f>'Nesting Phone time'!B36</f>
        <v>0</v>
      </c>
      <c r="B35" s="12" t="str">
        <f>IFERROR(VLOOKUP(A35,'Nesting Phone time'!B:I,2,),"-")</f>
        <v>-</v>
      </c>
      <c r="C35" s="23" t="str">
        <f t="shared" si="72"/>
        <v>-</v>
      </c>
      <c r="D35" s="12" t="str">
        <f>IFERROR(VLOOKUP(A35,'Nesting Phone time'!B:I,3,),"-")</f>
        <v>-</v>
      </c>
      <c r="E35" s="23" t="str">
        <f t="shared" si="73"/>
        <v>-</v>
      </c>
      <c r="F35" s="12" t="str">
        <f>IFERROR(VLOOKUP(A35,'Nesting Phone time'!B:I,4,),"-")</f>
        <v>-</v>
      </c>
      <c r="G35" s="23" t="str">
        <f t="shared" si="74"/>
        <v>-</v>
      </c>
      <c r="H35" s="12" t="str">
        <f>IFERROR(VLOOKUP(A35,'Nesting Phone time'!B:I,5,),"-")</f>
        <v>-</v>
      </c>
      <c r="I35" s="23" t="str">
        <f t="shared" si="75"/>
        <v>-</v>
      </c>
      <c r="J35" s="12" t="str">
        <f>IFERROR(VLOOKUP(A35,'Nesting Phone time'!B:I,6,),"-")</f>
        <v>-</v>
      </c>
      <c r="K35" s="23" t="str">
        <f t="shared" si="76"/>
        <v>-</v>
      </c>
      <c r="L35" s="12" t="str">
        <f>IFERROR(VLOOKUP(A35,'Nesting Phone time'!B:I,7,),"-")</f>
        <v>-</v>
      </c>
      <c r="M35" s="23" t="str">
        <f t="shared" si="77"/>
        <v>-</v>
      </c>
      <c r="N35" s="12" t="str">
        <f>IFERROR(VLOOKUP(A35,'Nesting Phone time'!B:I,8,),"-")</f>
        <v>-</v>
      </c>
      <c r="O35" s="23" t="str">
        <f t="shared" si="78"/>
        <v>-</v>
      </c>
      <c r="Q35" s="12" t="str">
        <f>IFERROR(VLOOKUP(A35,'Nesting Phone time'!B:Y,24,),"-")</f>
        <v>-</v>
      </c>
      <c r="R35" s="23" t="str">
        <f t="shared" si="79"/>
        <v>-</v>
      </c>
      <c r="T35" s="25" t="str">
        <f>IFERROR(VLOOKUP(A35,'Nesting Phone time'!$B:$J,9,),"-")</f>
        <v>-</v>
      </c>
      <c r="U35" s="23" t="str">
        <f t="shared" si="80"/>
        <v>-</v>
      </c>
      <c r="V35" s="12" t="str">
        <f>IFERROR(VLOOKUP(A35,'Nesting Phone time'!B:K,10,),"-")</f>
        <v>-</v>
      </c>
      <c r="W35" s="23" t="str">
        <f t="shared" si="81"/>
        <v>-</v>
      </c>
      <c r="X35" s="12" t="str">
        <f>IFERROR(VLOOKUP(A35,'Nesting Phone time'!B:L,11,),"-")</f>
        <v>-</v>
      </c>
      <c r="Y35" s="23" t="str">
        <f t="shared" si="82"/>
        <v>-</v>
      </c>
      <c r="Z35" s="12" t="str">
        <f>IFERROR(VLOOKUP(A35,'Nesting Phone time'!B:M,12,),"-")</f>
        <v>-</v>
      </c>
      <c r="AA35" s="23" t="str">
        <f t="shared" si="83"/>
        <v>-</v>
      </c>
      <c r="AB35" s="12" t="str">
        <f>IFERROR(VLOOKUP(A35,'Nesting Phone time'!B:N,13,),"-")</f>
        <v>-</v>
      </c>
      <c r="AC35" s="23" t="str">
        <f t="shared" si="84"/>
        <v>-</v>
      </c>
      <c r="AD35" s="12" t="str">
        <f>IFERROR(VLOOKUP(A35,'Nesting Phone time'!B:O,14,),"-")</f>
        <v>-</v>
      </c>
      <c r="AE35" s="23" t="str">
        <f t="shared" si="85"/>
        <v>-</v>
      </c>
      <c r="AF35" s="21" t="str">
        <f>IFERROR(VLOOKUP(A35,'Nesting Phone time'!B:P,15,),"-")</f>
        <v>-</v>
      </c>
      <c r="AG35" s="23" t="str">
        <f t="shared" si="86"/>
        <v>-</v>
      </c>
      <c r="AI35" s="25" t="str">
        <f>IFERROR(VLOOKUP(A35,'Nesting Phone time'!$B:$Q,16,),"-")</f>
        <v>-</v>
      </c>
      <c r="AJ35" s="23" t="str">
        <f t="shared" si="87"/>
        <v>-</v>
      </c>
      <c r="AK35" s="12" t="str">
        <f>IFERROR(VLOOKUP(A35,'Nesting Phone time'!B:R,17,),"-")</f>
        <v>-</v>
      </c>
      <c r="AL35" s="23" t="str">
        <f t="shared" si="88"/>
        <v>-</v>
      </c>
      <c r="AM35" s="12" t="str">
        <f>IFERROR(VLOOKUP(A35,'Nesting Phone time'!B:S,18,),"-")</f>
        <v>-</v>
      </c>
      <c r="AN35" s="23" t="str">
        <f t="shared" si="89"/>
        <v>-</v>
      </c>
      <c r="AO35" s="12" t="str">
        <f>IFERROR(VLOOKUP(A35,'Nesting Phone time'!B:T,19,),"-")</f>
        <v>-</v>
      </c>
      <c r="AP35" s="23" t="str">
        <f t="shared" si="90"/>
        <v>-</v>
      </c>
      <c r="AQ35" s="12" t="str">
        <f>IFERROR(VLOOKUP(A35,'Nesting Phone time'!B:U,20,),"-")</f>
        <v>-</v>
      </c>
      <c r="AR35" s="23" t="str">
        <f t="shared" si="91"/>
        <v>-</v>
      </c>
      <c r="AS35" s="12" t="str">
        <f>IFERROR(VLOOKUP(A35,'Nesting Phone time'!B:V,21,),"-")</f>
        <v>-</v>
      </c>
      <c r="AT35" s="23" t="str">
        <f t="shared" si="92"/>
        <v>-</v>
      </c>
      <c r="AU35" s="21" t="str">
        <f>IFERROR(VLOOKUP(A35,'Nesting Phone time'!B:W,22,),"-")</f>
        <v>-</v>
      </c>
      <c r="AV35" s="23" t="str">
        <f t="shared" si="93"/>
        <v>-</v>
      </c>
    </row>
    <row r="36" spans="1:48" customFormat="1" ht="15.75" thickBot="1" x14ac:dyDescent="0.3">
      <c r="A36" s="247">
        <f>'Nesting Phone time'!B37</f>
        <v>0</v>
      </c>
      <c r="B36" s="12" t="str">
        <f>IFERROR(VLOOKUP(A36,'Nesting Phone time'!B:I,2,),"-")</f>
        <v>-</v>
      </c>
      <c r="C36" s="23" t="str">
        <f t="shared" si="72"/>
        <v>-</v>
      </c>
      <c r="D36" s="12" t="str">
        <f>IFERROR(VLOOKUP(A36,'Nesting Phone time'!B:I,3,),"-")</f>
        <v>-</v>
      </c>
      <c r="E36" s="23" t="str">
        <f t="shared" si="73"/>
        <v>-</v>
      </c>
      <c r="F36" s="12" t="str">
        <f>IFERROR(VLOOKUP(A36,'Nesting Phone time'!B:I,4,),"-")</f>
        <v>-</v>
      </c>
      <c r="G36" s="23" t="str">
        <f t="shared" si="74"/>
        <v>-</v>
      </c>
      <c r="H36" s="12" t="str">
        <f>IFERROR(VLOOKUP(A36,'Nesting Phone time'!B:I,5,),"-")</f>
        <v>-</v>
      </c>
      <c r="I36" s="23" t="str">
        <f t="shared" si="75"/>
        <v>-</v>
      </c>
      <c r="J36" s="12" t="str">
        <f>IFERROR(VLOOKUP(A36,'Nesting Phone time'!B:I,6,),"-")</f>
        <v>-</v>
      </c>
      <c r="K36" s="23" t="str">
        <f t="shared" si="76"/>
        <v>-</v>
      </c>
      <c r="L36" s="12" t="str">
        <f>IFERROR(VLOOKUP(A36,'Nesting Phone time'!B:I,7,),"-")</f>
        <v>-</v>
      </c>
      <c r="M36" s="23" t="str">
        <f t="shared" si="77"/>
        <v>-</v>
      </c>
      <c r="N36" s="12" t="str">
        <f>IFERROR(VLOOKUP(A36,'Nesting Phone time'!B:I,8,),"-")</f>
        <v>-</v>
      </c>
      <c r="O36" s="23" t="str">
        <f t="shared" si="78"/>
        <v>-</v>
      </c>
      <c r="Q36" s="12" t="str">
        <f>IFERROR(VLOOKUP(A36,'Nesting Phone time'!B:Y,24,),"-")</f>
        <v>-</v>
      </c>
      <c r="R36" s="23" t="str">
        <f t="shared" si="79"/>
        <v>-</v>
      </c>
      <c r="T36" s="25" t="str">
        <f>IFERROR(VLOOKUP(A36,'Nesting Phone time'!$B:$J,9,),"-")</f>
        <v>-</v>
      </c>
      <c r="U36" s="23" t="str">
        <f t="shared" si="80"/>
        <v>-</v>
      </c>
      <c r="V36" s="12" t="str">
        <f>IFERROR(VLOOKUP(A36,'Nesting Phone time'!B:K,10,),"-")</f>
        <v>-</v>
      </c>
      <c r="W36" s="23" t="str">
        <f t="shared" si="81"/>
        <v>-</v>
      </c>
      <c r="X36" s="12" t="str">
        <f>IFERROR(VLOOKUP(A36,'Nesting Phone time'!B:L,11,),"-")</f>
        <v>-</v>
      </c>
      <c r="Y36" s="23" t="str">
        <f t="shared" si="82"/>
        <v>-</v>
      </c>
      <c r="Z36" s="12" t="str">
        <f>IFERROR(VLOOKUP(A36,'Nesting Phone time'!B:M,12,),"-")</f>
        <v>-</v>
      </c>
      <c r="AA36" s="23" t="str">
        <f t="shared" si="83"/>
        <v>-</v>
      </c>
      <c r="AB36" s="12" t="str">
        <f>IFERROR(VLOOKUP(A36,'Nesting Phone time'!B:N,13,),"-")</f>
        <v>-</v>
      </c>
      <c r="AC36" s="23" t="str">
        <f t="shared" si="84"/>
        <v>-</v>
      </c>
      <c r="AD36" s="12" t="str">
        <f>IFERROR(VLOOKUP(A36,'Nesting Phone time'!B:O,14,),"-")</f>
        <v>-</v>
      </c>
      <c r="AE36" s="23" t="str">
        <f t="shared" si="85"/>
        <v>-</v>
      </c>
      <c r="AF36" s="21" t="str">
        <f>IFERROR(VLOOKUP(A36,'Nesting Phone time'!B:P,15,),"-")</f>
        <v>-</v>
      </c>
      <c r="AG36" s="23" t="str">
        <f t="shared" si="86"/>
        <v>-</v>
      </c>
      <c r="AI36" s="25" t="str">
        <f>IFERROR(VLOOKUP(A36,'Nesting Phone time'!$B:$Q,16,),"-")</f>
        <v>-</v>
      </c>
      <c r="AJ36" s="23" t="str">
        <f t="shared" si="87"/>
        <v>-</v>
      </c>
      <c r="AK36" s="12" t="str">
        <f>IFERROR(VLOOKUP(A36,'Nesting Phone time'!B:R,17,),"-")</f>
        <v>-</v>
      </c>
      <c r="AL36" s="23" t="str">
        <f t="shared" si="88"/>
        <v>-</v>
      </c>
      <c r="AM36" s="12" t="str">
        <f>IFERROR(VLOOKUP(A36,'Nesting Phone time'!B:S,18,),"-")</f>
        <v>-</v>
      </c>
      <c r="AN36" s="23" t="str">
        <f t="shared" si="89"/>
        <v>-</v>
      </c>
      <c r="AO36" s="12" t="str">
        <f>IFERROR(VLOOKUP(A36,'Nesting Phone time'!B:T,19,),"-")</f>
        <v>-</v>
      </c>
      <c r="AP36" s="23" t="str">
        <f t="shared" si="90"/>
        <v>-</v>
      </c>
      <c r="AQ36" s="12" t="str">
        <f>IFERROR(VLOOKUP(A36,'Nesting Phone time'!B:U,20,),"-")</f>
        <v>-</v>
      </c>
      <c r="AR36" s="23" t="str">
        <f t="shared" si="91"/>
        <v>-</v>
      </c>
      <c r="AS36" s="12" t="str">
        <f>IFERROR(VLOOKUP(A36,'Nesting Phone time'!B:V,21,),"-")</f>
        <v>-</v>
      </c>
      <c r="AT36" s="23" t="str">
        <f t="shared" si="92"/>
        <v>-</v>
      </c>
      <c r="AU36" s="21" t="str">
        <f>IFERROR(VLOOKUP(A36,'Nesting Phone time'!B:W,22,),"-")</f>
        <v>-</v>
      </c>
      <c r="AV36" s="23" t="str">
        <f t="shared" si="93"/>
        <v>-</v>
      </c>
    </row>
    <row r="37" spans="1:48" ht="15.75" thickBot="1" x14ac:dyDescent="0.3">
      <c r="A37" s="20">
        <f>'Nesting Phone time'!B38</f>
        <v>0</v>
      </c>
      <c r="B37" s="12" t="str">
        <f>IFERROR(VLOOKUP(A37,'Nesting Phone time'!B:I,2,),"-")</f>
        <v>-</v>
      </c>
      <c r="C37" s="23" t="str">
        <f t="shared" si="72"/>
        <v>-</v>
      </c>
      <c r="D37" s="12" t="str">
        <f>IFERROR(VLOOKUP(A37,'Nesting Phone time'!B:I,3,),"-")</f>
        <v>-</v>
      </c>
      <c r="E37" s="23" t="str">
        <f t="shared" si="73"/>
        <v>-</v>
      </c>
      <c r="F37" s="12" t="str">
        <f>IFERROR(VLOOKUP(A37,'Nesting Phone time'!B:I,4,),"-")</f>
        <v>-</v>
      </c>
      <c r="G37" s="23" t="str">
        <f t="shared" si="74"/>
        <v>-</v>
      </c>
      <c r="H37" s="12" t="str">
        <f>IFERROR(VLOOKUP(A37,'Nesting Phone time'!B:I,5,),"-")</f>
        <v>-</v>
      </c>
      <c r="I37" s="23" t="str">
        <f t="shared" si="75"/>
        <v>-</v>
      </c>
      <c r="J37" s="12" t="str">
        <f>IFERROR(VLOOKUP(A37,'Nesting Phone time'!B:I,6,),"-")</f>
        <v>-</v>
      </c>
      <c r="K37" s="23" t="str">
        <f t="shared" si="76"/>
        <v>-</v>
      </c>
      <c r="L37" s="12" t="str">
        <f>IFERROR(VLOOKUP(A37,'Nesting Phone time'!B:I,7,),"-")</f>
        <v>-</v>
      </c>
      <c r="M37" s="23" t="str">
        <f t="shared" si="77"/>
        <v>-</v>
      </c>
      <c r="N37" s="12" t="str">
        <f>IFERROR(VLOOKUP(A37,'Nesting Phone time'!B:I,8,),"-")</f>
        <v>-</v>
      </c>
      <c r="O37" s="23" t="str">
        <f t="shared" si="78"/>
        <v>-</v>
      </c>
      <c r="Q37" s="12" t="str">
        <f>IFERROR(VLOOKUP(A37,'Nesting Phone time'!B:Y,24,),"-")</f>
        <v>-</v>
      </c>
      <c r="R37" s="23" t="str">
        <f t="shared" si="79"/>
        <v>-</v>
      </c>
      <c r="T37" s="25" t="str">
        <f>IFERROR(VLOOKUP(A37,'Nesting Phone time'!$B:$J,9,),"-")</f>
        <v>-</v>
      </c>
      <c r="U37" s="23" t="str">
        <f t="shared" si="80"/>
        <v>-</v>
      </c>
      <c r="V37" s="12" t="str">
        <f>IFERROR(VLOOKUP(A37,'Nesting Phone time'!B:K,10,),"-")</f>
        <v>-</v>
      </c>
      <c r="W37" s="23" t="str">
        <f t="shared" si="81"/>
        <v>-</v>
      </c>
      <c r="X37" s="12" t="str">
        <f>IFERROR(VLOOKUP(A37,'Nesting Phone time'!B:L,11,),"-")</f>
        <v>-</v>
      </c>
      <c r="Y37" s="23" t="str">
        <f t="shared" si="82"/>
        <v>-</v>
      </c>
      <c r="Z37" s="12" t="str">
        <f>IFERROR(VLOOKUP(A37,'Nesting Phone time'!B:M,12,),"-")</f>
        <v>-</v>
      </c>
      <c r="AA37" s="23" t="str">
        <f t="shared" si="83"/>
        <v>-</v>
      </c>
      <c r="AB37" s="12" t="str">
        <f>IFERROR(VLOOKUP(A37,'Nesting Phone time'!B:N,13,),"-")</f>
        <v>-</v>
      </c>
      <c r="AC37" s="23" t="str">
        <f t="shared" si="84"/>
        <v>-</v>
      </c>
      <c r="AD37" s="12" t="str">
        <f>IFERROR(VLOOKUP(A37,'Nesting Phone time'!B:O,14,),"-")</f>
        <v>-</v>
      </c>
      <c r="AE37" s="23" t="str">
        <f t="shared" si="85"/>
        <v>-</v>
      </c>
      <c r="AF37" s="12" t="str">
        <f>IFERROR(VLOOKUP(A37,'Nesting Phone time'!B:P,15,),"-")</f>
        <v>-</v>
      </c>
      <c r="AG37" s="23" t="str">
        <f t="shared" si="86"/>
        <v>-</v>
      </c>
      <c r="AI37" s="25" t="str">
        <f>IFERROR(VLOOKUP(A37,'Nesting Phone time'!$B:$Q,16,),"-")</f>
        <v>-</v>
      </c>
      <c r="AJ37" s="23" t="str">
        <f t="shared" si="87"/>
        <v>-</v>
      </c>
      <c r="AK37" s="12" t="str">
        <f>IFERROR(VLOOKUP(A37,'Nesting Phone time'!B:R,17,),"-")</f>
        <v>-</v>
      </c>
      <c r="AL37" s="23" t="str">
        <f t="shared" si="88"/>
        <v>-</v>
      </c>
      <c r="AM37" s="12" t="str">
        <f>IFERROR(VLOOKUP(A37,'Nesting Phone time'!B:S,18,),"-")</f>
        <v>-</v>
      </c>
      <c r="AN37" s="23" t="str">
        <f t="shared" si="89"/>
        <v>-</v>
      </c>
      <c r="AO37" s="12" t="str">
        <f>IFERROR(VLOOKUP(A37,'Nesting Phone time'!B:T,19,),"-")</f>
        <v>-</v>
      </c>
      <c r="AP37" s="23" t="str">
        <f t="shared" si="90"/>
        <v>-</v>
      </c>
      <c r="AQ37" s="12" t="str">
        <f>IFERROR(VLOOKUP(A37,'Nesting Phone time'!B:U,20,),"-")</f>
        <v>-</v>
      </c>
      <c r="AR37" s="23" t="str">
        <f t="shared" si="91"/>
        <v>-</v>
      </c>
      <c r="AS37" s="12" t="str">
        <f>IFERROR(VLOOKUP(A37,'Nesting Phone time'!B:V,21,),"-")</f>
        <v>-</v>
      </c>
      <c r="AT37" s="23" t="str">
        <f t="shared" si="92"/>
        <v>-</v>
      </c>
      <c r="AU37" s="21" t="str">
        <f>IFERROR(VLOOKUP(A37,'Nesting Phone time'!B:W,22,),"-")</f>
        <v>-</v>
      </c>
      <c r="AV37" s="23" t="str">
        <f t="shared" si="93"/>
        <v>-</v>
      </c>
    </row>
    <row r="38" spans="1:48" ht="15.75" thickBot="1" x14ac:dyDescent="0.3">
      <c r="A38" s="20">
        <f>'Nesting Phone time'!B39</f>
        <v>0</v>
      </c>
      <c r="B38" s="12" t="str">
        <f>IFERROR(VLOOKUP(A38,'Nesting Phone time'!B:I,2,),"-")</f>
        <v>-</v>
      </c>
      <c r="C38" s="23" t="str">
        <f t="shared" si="72"/>
        <v>-</v>
      </c>
      <c r="D38" s="12" t="str">
        <f>IFERROR(VLOOKUP(A38,'Nesting Phone time'!B:I,3,),"-")</f>
        <v>-</v>
      </c>
      <c r="E38" s="23" t="str">
        <f t="shared" si="73"/>
        <v>-</v>
      </c>
      <c r="F38" s="12" t="str">
        <f>IFERROR(VLOOKUP(A38,'Nesting Phone time'!B:I,4,),"-")</f>
        <v>-</v>
      </c>
      <c r="G38" s="23" t="str">
        <f t="shared" si="74"/>
        <v>-</v>
      </c>
      <c r="H38" s="12" t="str">
        <f>IFERROR(VLOOKUP(A38,'Nesting Phone time'!B:I,5,),"-")</f>
        <v>-</v>
      </c>
      <c r="I38" s="23" t="str">
        <f t="shared" si="75"/>
        <v>-</v>
      </c>
      <c r="J38" s="12" t="str">
        <f>IFERROR(VLOOKUP(A38,'Nesting Phone time'!B:I,6,),"-")</f>
        <v>-</v>
      </c>
      <c r="K38" s="23" t="str">
        <f t="shared" si="76"/>
        <v>-</v>
      </c>
      <c r="L38" s="12" t="str">
        <f>IFERROR(VLOOKUP(A38,'Nesting Phone time'!B:I,7,),"-")</f>
        <v>-</v>
      </c>
      <c r="M38" s="23" t="str">
        <f t="shared" si="77"/>
        <v>-</v>
      </c>
      <c r="N38" s="12" t="str">
        <f>IFERROR(VLOOKUP(A38,'Nesting Phone time'!B:I,8,),"-")</f>
        <v>-</v>
      </c>
      <c r="O38" s="23" t="str">
        <f t="shared" si="78"/>
        <v>-</v>
      </c>
      <c r="Q38" s="12" t="str">
        <f>IFERROR(VLOOKUP(A38,'Nesting Phone time'!B:Y,24,),"-")</f>
        <v>-</v>
      </c>
      <c r="R38" s="23" t="str">
        <f t="shared" si="79"/>
        <v>-</v>
      </c>
      <c r="T38" s="25" t="str">
        <f>IFERROR(VLOOKUP(A38,'Nesting Phone time'!$B:$J,9,),"-")</f>
        <v>-</v>
      </c>
      <c r="U38" s="23" t="str">
        <f t="shared" si="80"/>
        <v>-</v>
      </c>
      <c r="V38" s="12" t="str">
        <f>IFERROR(VLOOKUP(A38,'Nesting Phone time'!B:K,10,),"-")</f>
        <v>-</v>
      </c>
      <c r="W38" s="23" t="str">
        <f t="shared" si="81"/>
        <v>-</v>
      </c>
      <c r="X38" s="12" t="str">
        <f>IFERROR(VLOOKUP(A38,'Nesting Phone time'!B:L,11,),"-")</f>
        <v>-</v>
      </c>
      <c r="Y38" s="23" t="str">
        <f t="shared" si="82"/>
        <v>-</v>
      </c>
      <c r="Z38" s="12" t="str">
        <f>IFERROR(VLOOKUP(A38,'Nesting Phone time'!B:M,12,),"-")</f>
        <v>-</v>
      </c>
      <c r="AA38" s="23" t="str">
        <f t="shared" si="83"/>
        <v>-</v>
      </c>
      <c r="AB38" s="12" t="str">
        <f>IFERROR(VLOOKUP(A38,'Nesting Phone time'!B:N,13,),"-")</f>
        <v>-</v>
      </c>
      <c r="AC38" s="23" t="str">
        <f t="shared" si="84"/>
        <v>-</v>
      </c>
      <c r="AD38" s="12" t="str">
        <f>IFERROR(VLOOKUP(A38,'Nesting Phone time'!B:O,14,),"-")</f>
        <v>-</v>
      </c>
      <c r="AE38" s="23" t="str">
        <f t="shared" si="85"/>
        <v>-</v>
      </c>
      <c r="AF38" s="12" t="str">
        <f>IFERROR(VLOOKUP(A38,'Nesting Phone time'!B:P,15,),"-")</f>
        <v>-</v>
      </c>
      <c r="AG38" s="23" t="str">
        <f t="shared" si="86"/>
        <v>-</v>
      </c>
      <c r="AI38" s="25" t="str">
        <f>IFERROR(VLOOKUP(A38,'Nesting Phone time'!$B:$Q,16,),"-")</f>
        <v>-</v>
      </c>
      <c r="AJ38" s="23" t="str">
        <f t="shared" si="87"/>
        <v>-</v>
      </c>
      <c r="AK38" s="12" t="str">
        <f>IFERROR(VLOOKUP(A38,'Nesting Phone time'!B:R,17,),"-")</f>
        <v>-</v>
      </c>
      <c r="AL38" s="23" t="str">
        <f t="shared" si="88"/>
        <v>-</v>
      </c>
      <c r="AM38" s="12" t="str">
        <f>IFERROR(VLOOKUP(A38,'Nesting Phone time'!B:S,18,),"-")</f>
        <v>-</v>
      </c>
      <c r="AN38" s="23" t="str">
        <f t="shared" si="89"/>
        <v>-</v>
      </c>
      <c r="AO38" s="12" t="str">
        <f>IFERROR(VLOOKUP(A38,'Nesting Phone time'!B:T,19,),"-")</f>
        <v>-</v>
      </c>
      <c r="AP38" s="23" t="str">
        <f t="shared" si="90"/>
        <v>-</v>
      </c>
      <c r="AQ38" s="12" t="str">
        <f>IFERROR(VLOOKUP(A38,'Nesting Phone time'!B:U,20,),"-")</f>
        <v>-</v>
      </c>
      <c r="AR38" s="23" t="str">
        <f t="shared" si="91"/>
        <v>-</v>
      </c>
      <c r="AS38" s="12" t="str">
        <f>IFERROR(VLOOKUP(A38,'Nesting Phone time'!B:V,21,),"-")</f>
        <v>-</v>
      </c>
      <c r="AT38" s="23" t="str">
        <f t="shared" si="92"/>
        <v>-</v>
      </c>
      <c r="AU38" s="21" t="str">
        <f>IFERROR(VLOOKUP(A38,'Nesting Phone time'!B:W,22,),"-")</f>
        <v>-</v>
      </c>
      <c r="AV38" s="23" t="str">
        <f t="shared" si="93"/>
        <v>-</v>
      </c>
    </row>
    <row r="39" spans="1:48" ht="15.75" thickBot="1" x14ac:dyDescent="0.3">
      <c r="A39" s="20">
        <f>'Nesting Phone time'!B40</f>
        <v>0</v>
      </c>
      <c r="B39" s="12" t="str">
        <f>IFERROR(VLOOKUP(A39,'Nesting Phone time'!B:I,2,),"-")</f>
        <v>-</v>
      </c>
      <c r="C39" s="23" t="str">
        <f t="shared" si="72"/>
        <v>-</v>
      </c>
      <c r="D39" s="12" t="str">
        <f>IFERROR(VLOOKUP(A39,'Nesting Phone time'!B:I,3,),"-")</f>
        <v>-</v>
      </c>
      <c r="E39" s="23" t="str">
        <f t="shared" si="73"/>
        <v>-</v>
      </c>
      <c r="F39" s="12" t="str">
        <f>IFERROR(VLOOKUP(A39,'Nesting Phone time'!B:I,4,),"-")</f>
        <v>-</v>
      </c>
      <c r="G39" s="23" t="str">
        <f t="shared" si="74"/>
        <v>-</v>
      </c>
      <c r="H39" s="12" t="str">
        <f>IFERROR(VLOOKUP(A39,'Nesting Phone time'!B:I,5,),"-")</f>
        <v>-</v>
      </c>
      <c r="I39" s="23" t="str">
        <f t="shared" si="75"/>
        <v>-</v>
      </c>
      <c r="J39" s="12" t="str">
        <f>IFERROR(VLOOKUP(A39,'Nesting Phone time'!B:I,6,),"-")</f>
        <v>-</v>
      </c>
      <c r="K39" s="23" t="str">
        <f t="shared" si="76"/>
        <v>-</v>
      </c>
      <c r="L39" s="12" t="str">
        <f>IFERROR(VLOOKUP(A39,'Nesting Phone time'!B:I,7,),"-")</f>
        <v>-</v>
      </c>
      <c r="M39" s="23" t="str">
        <f t="shared" si="77"/>
        <v>-</v>
      </c>
      <c r="N39" s="12" t="str">
        <f>IFERROR(VLOOKUP(A39,'Nesting Phone time'!B:I,8,),"-")</f>
        <v>-</v>
      </c>
      <c r="O39" s="23" t="str">
        <f t="shared" si="78"/>
        <v>-</v>
      </c>
      <c r="Q39" s="12" t="str">
        <f>IFERROR(VLOOKUP(A39,'Nesting Phone time'!B:Y,24,),"-")</f>
        <v>-</v>
      </c>
      <c r="R39" s="23" t="str">
        <f t="shared" si="79"/>
        <v>-</v>
      </c>
      <c r="T39" s="25" t="str">
        <f>IFERROR(VLOOKUP(A39,'Nesting Phone time'!$B:$J,9,),"-")</f>
        <v>-</v>
      </c>
      <c r="U39" s="23" t="str">
        <f t="shared" si="80"/>
        <v>-</v>
      </c>
      <c r="V39" s="12" t="str">
        <f>IFERROR(VLOOKUP(A39,'Nesting Phone time'!B:K,10,),"-")</f>
        <v>-</v>
      </c>
      <c r="W39" s="23" t="str">
        <f t="shared" si="81"/>
        <v>-</v>
      </c>
      <c r="X39" s="12" t="str">
        <f>IFERROR(VLOOKUP(A39,'Nesting Phone time'!B:L,11,),"-")</f>
        <v>-</v>
      </c>
      <c r="Y39" s="23" t="str">
        <f t="shared" si="82"/>
        <v>-</v>
      </c>
      <c r="Z39" s="12" t="str">
        <f>IFERROR(VLOOKUP(A39,'Nesting Phone time'!B:M,12,),"-")</f>
        <v>-</v>
      </c>
      <c r="AA39" s="23" t="str">
        <f t="shared" si="83"/>
        <v>-</v>
      </c>
      <c r="AB39" s="12" t="str">
        <f>IFERROR(VLOOKUP(A39,'Nesting Phone time'!B:N,13,),"-")</f>
        <v>-</v>
      </c>
      <c r="AC39" s="23" t="str">
        <f t="shared" si="84"/>
        <v>-</v>
      </c>
      <c r="AD39" s="12" t="str">
        <f>IFERROR(VLOOKUP(A39,'Nesting Phone time'!B:O,14,),"-")</f>
        <v>-</v>
      </c>
      <c r="AE39" s="23" t="str">
        <f t="shared" si="85"/>
        <v>-</v>
      </c>
      <c r="AF39" s="12" t="str">
        <f>IFERROR(VLOOKUP(A39,'Nesting Phone time'!B:P,15,),"-")</f>
        <v>-</v>
      </c>
      <c r="AG39" s="23" t="str">
        <f t="shared" si="86"/>
        <v>-</v>
      </c>
      <c r="AI39" s="25" t="str">
        <f>IFERROR(VLOOKUP(A39,'Nesting Phone time'!$B:$Q,16,),"-")</f>
        <v>-</v>
      </c>
      <c r="AJ39" s="23" t="str">
        <f t="shared" si="87"/>
        <v>-</v>
      </c>
      <c r="AK39" s="12" t="str">
        <f>IFERROR(VLOOKUP(A39,'Nesting Phone time'!B:R,17,),"-")</f>
        <v>-</v>
      </c>
      <c r="AL39" s="23" t="str">
        <f t="shared" si="88"/>
        <v>-</v>
      </c>
      <c r="AM39" s="12" t="str">
        <f>IFERROR(VLOOKUP(A39,'Nesting Phone time'!B:S,18,),"-")</f>
        <v>-</v>
      </c>
      <c r="AN39" s="23" t="str">
        <f t="shared" si="89"/>
        <v>-</v>
      </c>
      <c r="AO39" s="12" t="str">
        <f>IFERROR(VLOOKUP(A39,'Nesting Phone time'!B:T,19,),"-")</f>
        <v>-</v>
      </c>
      <c r="AP39" s="23" t="str">
        <f t="shared" si="90"/>
        <v>-</v>
      </c>
      <c r="AQ39" s="12" t="str">
        <f>IFERROR(VLOOKUP(A39,'Nesting Phone time'!B:U,20,),"-")</f>
        <v>-</v>
      </c>
      <c r="AR39" s="23" t="str">
        <f t="shared" si="91"/>
        <v>-</v>
      </c>
      <c r="AS39" s="12" t="str">
        <f>IFERROR(VLOOKUP(A39,'Nesting Phone time'!B:V,21,),"-")</f>
        <v>-</v>
      </c>
      <c r="AT39" s="23" t="str">
        <f t="shared" si="92"/>
        <v>-</v>
      </c>
      <c r="AU39" s="21" t="str">
        <f>IFERROR(VLOOKUP(A39,'Nesting Phone time'!B:W,22,),"-")</f>
        <v>-</v>
      </c>
      <c r="AV39" s="23" t="str">
        <f t="shared" si="93"/>
        <v>-</v>
      </c>
    </row>
    <row r="40" spans="1:48" ht="15.75" thickBot="1" x14ac:dyDescent="0.3">
      <c r="A40" s="20">
        <f>'Nesting Phone time'!B41</f>
        <v>0</v>
      </c>
      <c r="B40" s="12" t="str">
        <f>IFERROR(VLOOKUP(A40,'Nesting Phone time'!B:I,2,),"-")</f>
        <v>-</v>
      </c>
      <c r="C40" s="23" t="str">
        <f t="shared" si="72"/>
        <v>-</v>
      </c>
      <c r="D40" s="12" t="str">
        <f>IFERROR(VLOOKUP(A40,'Nesting Phone time'!B:I,3,),"-")</f>
        <v>-</v>
      </c>
      <c r="E40" s="23" t="str">
        <f t="shared" si="73"/>
        <v>-</v>
      </c>
      <c r="F40" s="12" t="str">
        <f>IFERROR(VLOOKUP(A40,'Nesting Phone time'!B:I,4,),"-")</f>
        <v>-</v>
      </c>
      <c r="G40" s="23" t="str">
        <f t="shared" si="74"/>
        <v>-</v>
      </c>
      <c r="H40" s="12" t="str">
        <f>IFERROR(VLOOKUP(A40,'Nesting Phone time'!B:I,5,),"-")</f>
        <v>-</v>
      </c>
      <c r="I40" s="23" t="str">
        <f t="shared" si="75"/>
        <v>-</v>
      </c>
      <c r="J40" s="12" t="str">
        <f>IFERROR(VLOOKUP(A40,'Nesting Phone time'!B:I,6,),"-")</f>
        <v>-</v>
      </c>
      <c r="K40" s="23" t="str">
        <f t="shared" si="76"/>
        <v>-</v>
      </c>
      <c r="L40" s="12" t="str">
        <f>IFERROR(VLOOKUP(A40,'Nesting Phone time'!B:I,7,),"-")</f>
        <v>-</v>
      </c>
      <c r="M40" s="23" t="str">
        <f t="shared" si="77"/>
        <v>-</v>
      </c>
      <c r="N40" s="12" t="str">
        <f>IFERROR(VLOOKUP(A40,'Nesting Phone time'!B:I,8,),"-")</f>
        <v>-</v>
      </c>
      <c r="O40" s="23" t="str">
        <f t="shared" si="78"/>
        <v>-</v>
      </c>
      <c r="Q40" s="12" t="str">
        <f>IFERROR(VLOOKUP(A40,'Nesting Phone time'!B:Y,24,),"-")</f>
        <v>-</v>
      </c>
      <c r="R40" s="23" t="str">
        <f t="shared" si="79"/>
        <v>-</v>
      </c>
      <c r="T40" s="25" t="str">
        <f>IFERROR(VLOOKUP(A40,'Nesting Phone time'!$B:$J,9,),"-")</f>
        <v>-</v>
      </c>
      <c r="U40" s="23" t="str">
        <f t="shared" si="80"/>
        <v>-</v>
      </c>
      <c r="V40" s="12" t="str">
        <f>IFERROR(VLOOKUP(A40,'Nesting Phone time'!B:K,10,),"-")</f>
        <v>-</v>
      </c>
      <c r="W40" s="23" t="str">
        <f t="shared" si="81"/>
        <v>-</v>
      </c>
      <c r="X40" s="12" t="str">
        <f>IFERROR(VLOOKUP(A40,'Nesting Phone time'!B:L,11,),"-")</f>
        <v>-</v>
      </c>
      <c r="Y40" s="23" t="str">
        <f t="shared" si="82"/>
        <v>-</v>
      </c>
      <c r="Z40" s="12" t="str">
        <f>IFERROR(VLOOKUP(A40,'Nesting Phone time'!B:M,12,),"-")</f>
        <v>-</v>
      </c>
      <c r="AA40" s="23" t="str">
        <f t="shared" si="83"/>
        <v>-</v>
      </c>
      <c r="AB40" s="12" t="str">
        <f>IFERROR(VLOOKUP(A40,'Nesting Phone time'!B:N,13,),"-")</f>
        <v>-</v>
      </c>
      <c r="AC40" s="23" t="str">
        <f t="shared" si="84"/>
        <v>-</v>
      </c>
      <c r="AD40" s="12" t="str">
        <f>IFERROR(VLOOKUP(A40,'Nesting Phone time'!B:O,14,),"-")</f>
        <v>-</v>
      </c>
      <c r="AE40" s="23" t="str">
        <f t="shared" si="85"/>
        <v>-</v>
      </c>
      <c r="AF40" s="12" t="str">
        <f>IFERROR(VLOOKUP(A40,'Nesting Phone time'!B:P,15,),"-")</f>
        <v>-</v>
      </c>
      <c r="AG40" s="23" t="str">
        <f t="shared" si="86"/>
        <v>-</v>
      </c>
      <c r="AI40" s="25" t="str">
        <f>IFERROR(VLOOKUP(A40,'Nesting Phone time'!$B:$Q,16,),"-")</f>
        <v>-</v>
      </c>
      <c r="AJ40" s="23" t="str">
        <f t="shared" si="87"/>
        <v>-</v>
      </c>
      <c r="AK40" s="12" t="str">
        <f>IFERROR(VLOOKUP(A40,'Nesting Phone time'!B:R,17,),"-")</f>
        <v>-</v>
      </c>
      <c r="AL40" s="23" t="str">
        <f t="shared" si="88"/>
        <v>-</v>
      </c>
      <c r="AM40" s="12" t="str">
        <f>IFERROR(VLOOKUP(A40,'Nesting Phone time'!B:S,18,),"-")</f>
        <v>-</v>
      </c>
      <c r="AN40" s="23" t="str">
        <f t="shared" si="89"/>
        <v>-</v>
      </c>
      <c r="AO40" s="12" t="str">
        <f>IFERROR(VLOOKUP(A40,'Nesting Phone time'!B:T,19,),"-")</f>
        <v>-</v>
      </c>
      <c r="AP40" s="23" t="str">
        <f t="shared" si="90"/>
        <v>-</v>
      </c>
      <c r="AQ40" s="12" t="str">
        <f>IFERROR(VLOOKUP(A40,'Nesting Phone time'!B:U,20,),"-")</f>
        <v>-</v>
      </c>
      <c r="AR40" s="23" t="str">
        <f t="shared" si="91"/>
        <v>-</v>
      </c>
      <c r="AS40" s="12" t="str">
        <f>IFERROR(VLOOKUP(A40,'Nesting Phone time'!B:V,21,),"-")</f>
        <v>-</v>
      </c>
      <c r="AT40" s="23" t="str">
        <f t="shared" si="92"/>
        <v>-</v>
      </c>
      <c r="AU40" s="21" t="str">
        <f>IFERROR(VLOOKUP(A40,'Nesting Phone time'!B:W,22,),"-")</f>
        <v>-</v>
      </c>
      <c r="AV40" s="23" t="str">
        <f t="shared" si="93"/>
        <v>-</v>
      </c>
    </row>
    <row r="41" spans="1:48" ht="15.75" thickBot="1" x14ac:dyDescent="0.3">
      <c r="A41" s="20">
        <f>'Nesting Phone time'!B42</f>
        <v>0</v>
      </c>
      <c r="B41" s="12" t="str">
        <f>IFERROR(VLOOKUP(A41,'Nesting Phone time'!B:I,2,),"-")</f>
        <v>-</v>
      </c>
      <c r="C41" s="23" t="str">
        <f t="shared" si="72"/>
        <v>-</v>
      </c>
      <c r="D41" s="12" t="str">
        <f>IFERROR(VLOOKUP(A41,'Nesting Phone time'!B:I,3,),"-")</f>
        <v>-</v>
      </c>
      <c r="E41" s="23" t="str">
        <f t="shared" si="73"/>
        <v>-</v>
      </c>
      <c r="F41" s="12" t="str">
        <f>IFERROR(VLOOKUP(A41,'Nesting Phone time'!B:I,4,),"-")</f>
        <v>-</v>
      </c>
      <c r="G41" s="23" t="str">
        <f t="shared" si="74"/>
        <v>-</v>
      </c>
      <c r="H41" s="12" t="str">
        <f>IFERROR(VLOOKUP(A41,'Nesting Phone time'!B:I,5,),"-")</f>
        <v>-</v>
      </c>
      <c r="I41" s="23" t="str">
        <f t="shared" si="75"/>
        <v>-</v>
      </c>
      <c r="J41" s="12" t="str">
        <f>IFERROR(VLOOKUP(A41,'Nesting Phone time'!B:I,6,),"-")</f>
        <v>-</v>
      </c>
      <c r="K41" s="23" t="str">
        <f t="shared" si="76"/>
        <v>-</v>
      </c>
      <c r="L41" s="12" t="str">
        <f>IFERROR(VLOOKUP(A41,'Nesting Phone time'!B:I,7,),"-")</f>
        <v>-</v>
      </c>
      <c r="M41" s="23" t="str">
        <f t="shared" si="77"/>
        <v>-</v>
      </c>
      <c r="N41" s="12" t="str">
        <f>IFERROR(VLOOKUP(A41,'Nesting Phone time'!B:I,8,),"-")</f>
        <v>-</v>
      </c>
      <c r="O41" s="23" t="str">
        <f t="shared" si="78"/>
        <v>-</v>
      </c>
      <c r="Q41" s="12" t="str">
        <f>IFERROR(VLOOKUP(A41,'Nesting Phone time'!B:Y,24,),"-")</f>
        <v>-</v>
      </c>
      <c r="R41" s="23" t="str">
        <f t="shared" si="79"/>
        <v>-</v>
      </c>
      <c r="T41" s="25" t="str">
        <f>IFERROR(VLOOKUP(A41,'Nesting Phone time'!$B:$J,9,),"-")</f>
        <v>-</v>
      </c>
      <c r="U41" s="23" t="str">
        <f t="shared" si="80"/>
        <v>-</v>
      </c>
      <c r="V41" s="12" t="str">
        <f>IFERROR(VLOOKUP(A41,'Nesting Phone time'!B:K,10,),"-")</f>
        <v>-</v>
      </c>
      <c r="W41" s="23" t="str">
        <f t="shared" si="81"/>
        <v>-</v>
      </c>
      <c r="X41" s="12" t="str">
        <f>IFERROR(VLOOKUP(A41,'Nesting Phone time'!B:L,11,),"-")</f>
        <v>-</v>
      </c>
      <c r="Y41" s="23" t="str">
        <f t="shared" si="82"/>
        <v>-</v>
      </c>
      <c r="Z41" s="12" t="str">
        <f>IFERROR(VLOOKUP(A41,'Nesting Phone time'!B:M,12,),"-")</f>
        <v>-</v>
      </c>
      <c r="AA41" s="23" t="str">
        <f t="shared" si="83"/>
        <v>-</v>
      </c>
      <c r="AB41" s="12" t="str">
        <f>IFERROR(VLOOKUP(A41,'Nesting Phone time'!B:N,13,),"-")</f>
        <v>-</v>
      </c>
      <c r="AC41" s="23" t="str">
        <f t="shared" si="84"/>
        <v>-</v>
      </c>
      <c r="AD41" s="12" t="str">
        <f>IFERROR(VLOOKUP(A41,'Nesting Phone time'!B:O,14,),"-")</f>
        <v>-</v>
      </c>
      <c r="AE41" s="23" t="str">
        <f t="shared" si="85"/>
        <v>-</v>
      </c>
      <c r="AF41" s="12" t="str">
        <f>IFERROR(VLOOKUP(A41,'Nesting Phone time'!B:P,15,),"-")</f>
        <v>-</v>
      </c>
      <c r="AG41" s="23" t="str">
        <f t="shared" si="86"/>
        <v>-</v>
      </c>
      <c r="AI41" s="25" t="str">
        <f>IFERROR(VLOOKUP(A41,'Nesting Phone time'!$B:$Q,16,),"-")</f>
        <v>-</v>
      </c>
      <c r="AJ41" s="23" t="str">
        <f t="shared" si="87"/>
        <v>-</v>
      </c>
      <c r="AK41" s="12" t="str">
        <f>IFERROR(VLOOKUP(A41,'Nesting Phone time'!B:R,17,),"-")</f>
        <v>-</v>
      </c>
      <c r="AL41" s="23" t="str">
        <f t="shared" si="88"/>
        <v>-</v>
      </c>
      <c r="AM41" s="12" t="str">
        <f>IFERROR(VLOOKUP(A41,'Nesting Phone time'!B:S,18,),"-")</f>
        <v>-</v>
      </c>
      <c r="AN41" s="23" t="str">
        <f t="shared" si="89"/>
        <v>-</v>
      </c>
      <c r="AO41" s="12" t="str">
        <f>IFERROR(VLOOKUP(A41,'Nesting Phone time'!B:T,19,),"-")</f>
        <v>-</v>
      </c>
      <c r="AP41" s="23" t="str">
        <f t="shared" si="90"/>
        <v>-</v>
      </c>
      <c r="AQ41" s="12" t="str">
        <f>IFERROR(VLOOKUP(A41,'Nesting Phone time'!B:U,20,),"-")</f>
        <v>-</v>
      </c>
      <c r="AR41" s="23" t="str">
        <f t="shared" si="91"/>
        <v>-</v>
      </c>
      <c r="AS41" s="12" t="str">
        <f>IFERROR(VLOOKUP(A41,'Nesting Phone time'!B:V,21,),"-")</f>
        <v>-</v>
      </c>
      <c r="AT41" s="23" t="str">
        <f t="shared" si="92"/>
        <v>-</v>
      </c>
      <c r="AU41" s="21" t="str">
        <f>IFERROR(VLOOKUP(A41,'Nesting Phone time'!B:W,22,),"-")</f>
        <v>-</v>
      </c>
      <c r="AV41" s="23" t="str">
        <f t="shared" si="93"/>
        <v>-</v>
      </c>
    </row>
    <row r="42" spans="1:48" ht="15.75" thickBot="1" x14ac:dyDescent="0.3">
      <c r="A42" s="20"/>
      <c r="B42" s="12"/>
      <c r="C42" s="23"/>
      <c r="D42" s="12"/>
      <c r="E42" s="23"/>
      <c r="F42" s="12"/>
      <c r="G42" s="23"/>
      <c r="H42" s="12"/>
      <c r="I42" s="23"/>
      <c r="J42" s="12"/>
      <c r="K42" s="23"/>
      <c r="L42" s="12"/>
      <c r="M42" s="23"/>
      <c r="N42" s="12"/>
      <c r="O42" s="23"/>
      <c r="Q42" s="12"/>
      <c r="R42" s="23"/>
      <c r="T42" s="25"/>
      <c r="U42" s="23"/>
      <c r="V42" s="12"/>
      <c r="W42" s="23"/>
      <c r="X42" s="12"/>
      <c r="Y42" s="23"/>
      <c r="Z42" s="12"/>
      <c r="AA42" s="23"/>
      <c r="AB42" s="12"/>
      <c r="AC42" s="23"/>
      <c r="AD42" s="12"/>
      <c r="AE42" s="23"/>
      <c r="AF42" s="12"/>
      <c r="AG42" s="23"/>
      <c r="AI42" s="25"/>
      <c r="AJ42" s="23"/>
      <c r="AK42" s="12"/>
      <c r="AL42" s="23"/>
      <c r="AM42" s="12"/>
      <c r="AN42" s="23"/>
      <c r="AO42" s="12"/>
      <c r="AP42" s="23"/>
      <c r="AQ42" s="12"/>
      <c r="AR42" s="23"/>
      <c r="AS42" s="12"/>
      <c r="AT42" s="23"/>
      <c r="AU42" s="21"/>
      <c r="AV42" s="23"/>
    </row>
    <row r="43" spans="1:48" ht="15.75" thickBot="1" x14ac:dyDescent="0.3">
      <c r="A43" s="20"/>
      <c r="B43" s="12"/>
      <c r="C43" s="23"/>
      <c r="D43" s="12"/>
      <c r="E43" s="23"/>
      <c r="F43" s="12"/>
      <c r="G43" s="23"/>
      <c r="H43" s="12"/>
      <c r="I43" s="23"/>
      <c r="J43" s="12"/>
      <c r="K43" s="23"/>
      <c r="L43" s="12"/>
      <c r="M43" s="23"/>
      <c r="N43" s="12"/>
      <c r="O43" s="23"/>
      <c r="Q43" s="12"/>
      <c r="R43" s="23"/>
      <c r="T43" s="25"/>
      <c r="U43" s="23"/>
      <c r="V43" s="12"/>
      <c r="W43" s="23"/>
      <c r="X43" s="12"/>
      <c r="Y43" s="23"/>
      <c r="Z43" s="12"/>
      <c r="AA43" s="23"/>
      <c r="AB43" s="12"/>
      <c r="AC43" s="23"/>
      <c r="AD43" s="12"/>
      <c r="AE43" s="23"/>
      <c r="AF43" s="12"/>
      <c r="AG43" s="23"/>
      <c r="AI43" s="25"/>
      <c r="AJ43" s="23"/>
      <c r="AK43" s="12"/>
      <c r="AL43" s="23"/>
      <c r="AM43" s="12"/>
      <c r="AN43" s="23"/>
      <c r="AO43" s="12"/>
      <c r="AP43" s="23"/>
      <c r="AQ43" s="12"/>
      <c r="AR43" s="23"/>
      <c r="AS43" s="12"/>
      <c r="AT43" s="23"/>
      <c r="AU43" s="21"/>
      <c r="AV43" s="23"/>
    </row>
    <row r="44" spans="1:48" ht="15.75" thickBot="1" x14ac:dyDescent="0.3">
      <c r="A44" s="258"/>
      <c r="B44" s="12"/>
      <c r="C44" s="23"/>
      <c r="D44" s="12"/>
      <c r="E44" s="23"/>
      <c r="F44" s="12"/>
      <c r="G44" s="23"/>
      <c r="H44" s="12"/>
      <c r="I44" s="23"/>
      <c r="J44" s="12"/>
      <c r="K44" s="23"/>
      <c r="L44" s="12"/>
      <c r="M44" s="23"/>
      <c r="N44" s="12"/>
      <c r="O44" s="23"/>
      <c r="Q44" s="12"/>
      <c r="R44" s="23"/>
      <c r="T44" s="25"/>
      <c r="U44" s="23"/>
      <c r="V44" s="12"/>
      <c r="W44" s="23"/>
      <c r="X44" s="12"/>
      <c r="Y44" s="23"/>
      <c r="Z44" s="12"/>
      <c r="AA44" s="23"/>
      <c r="AB44" s="12"/>
      <c r="AC44" s="23"/>
      <c r="AD44" s="12"/>
      <c r="AE44" s="23"/>
      <c r="AF44" s="12"/>
      <c r="AG44" s="23"/>
      <c r="AI44" s="25"/>
      <c r="AJ44" s="23"/>
      <c r="AK44" s="12"/>
      <c r="AL44" s="23"/>
      <c r="AM44" s="12"/>
      <c r="AN44" s="23"/>
      <c r="AO44" s="12"/>
      <c r="AP44" s="23"/>
      <c r="AQ44" s="12"/>
      <c r="AR44" s="23"/>
      <c r="AS44" s="12"/>
      <c r="AT44" s="23"/>
      <c r="AU44" s="21"/>
      <c r="AV44" s="23"/>
    </row>
    <row r="45" spans="1:48" ht="15.75" thickBot="1" x14ac:dyDescent="0.3">
      <c r="A45" s="20"/>
      <c r="B45" s="12"/>
      <c r="C45" s="23"/>
      <c r="D45" s="12"/>
      <c r="E45" s="23"/>
      <c r="F45" s="12"/>
      <c r="G45" s="23"/>
      <c r="H45" s="12"/>
      <c r="I45" s="23"/>
      <c r="J45" s="12"/>
      <c r="K45" s="23"/>
      <c r="L45" s="12"/>
      <c r="M45" s="23"/>
      <c r="N45" s="12"/>
      <c r="O45" s="23"/>
      <c r="Q45" s="12"/>
      <c r="R45" s="23"/>
      <c r="T45" s="25"/>
      <c r="U45" s="23"/>
      <c r="V45" s="12"/>
      <c r="W45" s="23"/>
      <c r="X45" s="12"/>
      <c r="Y45" s="23"/>
      <c r="Z45" s="12"/>
      <c r="AA45" s="23"/>
      <c r="AB45" s="12"/>
      <c r="AC45" s="23"/>
      <c r="AD45" s="12"/>
      <c r="AE45" s="23"/>
      <c r="AF45" s="12"/>
      <c r="AG45" s="23"/>
      <c r="AI45" s="25"/>
      <c r="AJ45" s="23"/>
      <c r="AK45" s="12"/>
      <c r="AL45" s="23"/>
      <c r="AM45" s="12"/>
      <c r="AN45" s="23"/>
      <c r="AO45" s="12"/>
      <c r="AP45" s="23"/>
      <c r="AQ45" s="12"/>
      <c r="AR45" s="23"/>
      <c r="AS45" s="12"/>
      <c r="AT45" s="23"/>
      <c r="AU45" s="21"/>
      <c r="AV45" s="23"/>
    </row>
    <row r="46" spans="1:48" ht="15.75" thickBot="1" x14ac:dyDescent="0.3">
      <c r="A46" s="20"/>
      <c r="B46" s="12"/>
      <c r="C46" s="23"/>
      <c r="D46" s="12"/>
      <c r="E46" s="23"/>
      <c r="F46" s="12"/>
      <c r="G46" s="23"/>
      <c r="H46" s="12"/>
      <c r="I46" s="23"/>
      <c r="J46" s="12"/>
      <c r="K46" s="23"/>
      <c r="L46" s="12"/>
      <c r="M46" s="23"/>
      <c r="N46" s="12"/>
      <c r="O46" s="23"/>
      <c r="Q46" s="12"/>
      <c r="R46" s="23"/>
      <c r="T46" s="25"/>
      <c r="U46" s="23"/>
      <c r="V46" s="12"/>
      <c r="W46" s="23"/>
      <c r="X46" s="12"/>
      <c r="Y46" s="23"/>
      <c r="Z46" s="12"/>
      <c r="AA46" s="23"/>
      <c r="AB46" s="12"/>
      <c r="AC46" s="23"/>
      <c r="AD46" s="12"/>
      <c r="AE46" s="23"/>
      <c r="AF46" s="12"/>
      <c r="AG46" s="23"/>
      <c r="AI46" s="25"/>
      <c r="AJ46" s="23"/>
      <c r="AK46" s="12"/>
      <c r="AL46" s="23"/>
      <c r="AM46" s="12"/>
      <c r="AN46" s="23"/>
      <c r="AO46" s="12"/>
      <c r="AP46" s="23"/>
      <c r="AQ46" s="12"/>
      <c r="AR46" s="23"/>
      <c r="AS46" s="12"/>
      <c r="AT46" s="23"/>
      <c r="AU46" s="21"/>
      <c r="AV46" s="23"/>
    </row>
    <row r="47" spans="1:48" ht="15.75" thickBot="1" x14ac:dyDescent="0.3">
      <c r="A47" s="20"/>
      <c r="B47" s="12"/>
      <c r="C47" s="23"/>
      <c r="D47" s="12"/>
      <c r="E47" s="23"/>
      <c r="F47" s="12"/>
      <c r="G47" s="23"/>
      <c r="H47" s="12"/>
      <c r="I47" s="23"/>
      <c r="J47" s="12"/>
      <c r="K47" s="23"/>
      <c r="L47" s="12"/>
      <c r="M47" s="23"/>
      <c r="N47" s="12"/>
      <c r="O47" s="23"/>
      <c r="Q47" s="12"/>
      <c r="R47" s="23"/>
      <c r="T47" s="25"/>
      <c r="U47" s="23"/>
      <c r="V47" s="12"/>
      <c r="W47" s="23"/>
      <c r="X47" s="12"/>
      <c r="Y47" s="23"/>
      <c r="Z47" s="12"/>
      <c r="AA47" s="23"/>
      <c r="AB47" s="12"/>
      <c r="AC47" s="23"/>
      <c r="AD47" s="12"/>
      <c r="AE47" s="23"/>
      <c r="AF47" s="12"/>
      <c r="AG47" s="23"/>
      <c r="AI47" s="25"/>
      <c r="AJ47" s="23"/>
      <c r="AK47" s="12"/>
      <c r="AL47" s="23"/>
      <c r="AM47" s="12"/>
      <c r="AN47" s="23"/>
      <c r="AO47" s="12"/>
      <c r="AP47" s="23"/>
      <c r="AQ47" s="12"/>
      <c r="AR47" s="23"/>
      <c r="AS47" s="12"/>
      <c r="AT47" s="23"/>
      <c r="AU47" s="21"/>
      <c r="AV47" s="23"/>
    </row>
    <row r="48" spans="1:48" ht="15.75" thickBot="1" x14ac:dyDescent="0.3">
      <c r="A48" s="20"/>
      <c r="B48" s="12"/>
      <c r="C48" s="23"/>
      <c r="D48" s="12"/>
      <c r="E48" s="23"/>
      <c r="F48" s="12"/>
      <c r="G48" s="23"/>
      <c r="H48" s="12"/>
      <c r="I48" s="23"/>
      <c r="J48" s="12"/>
      <c r="K48" s="23"/>
      <c r="L48" s="12"/>
      <c r="M48" s="23"/>
      <c r="N48" s="12"/>
      <c r="O48" s="23"/>
      <c r="Q48" s="12"/>
      <c r="R48" s="23"/>
      <c r="T48" s="25"/>
      <c r="U48" s="23"/>
      <c r="V48" s="12"/>
      <c r="W48" s="23"/>
      <c r="X48" s="12"/>
      <c r="Y48" s="23"/>
      <c r="Z48" s="12"/>
      <c r="AA48" s="23"/>
      <c r="AB48" s="12"/>
      <c r="AC48" s="23"/>
      <c r="AD48" s="12"/>
      <c r="AE48" s="23"/>
      <c r="AF48" s="12"/>
      <c r="AG48" s="23"/>
      <c r="AI48" s="25"/>
      <c r="AJ48" s="23"/>
      <c r="AK48" s="12"/>
      <c r="AL48" s="23"/>
      <c r="AM48" s="12"/>
      <c r="AN48" s="23"/>
      <c r="AO48" s="12"/>
      <c r="AP48" s="23"/>
      <c r="AQ48" s="12"/>
      <c r="AR48" s="23"/>
      <c r="AS48" s="12"/>
      <c r="AT48" s="23"/>
      <c r="AU48" s="21"/>
      <c r="AV48" s="23"/>
    </row>
    <row r="49" spans="1:48" ht="15.75" thickBot="1" x14ac:dyDescent="0.3">
      <c r="A49" s="20"/>
      <c r="B49" s="12"/>
      <c r="C49" s="23"/>
      <c r="D49" s="12"/>
      <c r="E49" s="23"/>
      <c r="F49" s="12"/>
      <c r="G49" s="23"/>
      <c r="H49" s="12"/>
      <c r="I49" s="23"/>
      <c r="J49" s="12"/>
      <c r="K49" s="23"/>
      <c r="L49" s="12"/>
      <c r="M49" s="23"/>
      <c r="N49" s="12"/>
      <c r="O49" s="23"/>
      <c r="Q49" s="12"/>
      <c r="R49" s="23"/>
      <c r="T49" s="25"/>
      <c r="U49" s="23"/>
      <c r="V49" s="12"/>
      <c r="W49" s="23"/>
      <c r="X49" s="12"/>
      <c r="Y49" s="23"/>
      <c r="Z49" s="12"/>
      <c r="AA49" s="23"/>
      <c r="AB49" s="12"/>
      <c r="AC49" s="23"/>
      <c r="AD49" s="12"/>
      <c r="AE49" s="23"/>
      <c r="AF49" s="12"/>
      <c r="AG49" s="23"/>
      <c r="AI49" s="25"/>
      <c r="AJ49" s="23"/>
      <c r="AK49" s="12"/>
      <c r="AL49" s="23"/>
      <c r="AM49" s="12"/>
      <c r="AN49" s="23"/>
      <c r="AO49" s="12"/>
      <c r="AP49" s="23"/>
      <c r="AQ49" s="12"/>
      <c r="AR49" s="23"/>
      <c r="AS49" s="12"/>
      <c r="AT49" s="23"/>
      <c r="AU49" s="21"/>
      <c r="AV49" s="23"/>
    </row>
    <row r="50" spans="1:48" ht="15.75" thickBot="1" x14ac:dyDescent="0.3">
      <c r="A50" s="20"/>
      <c r="B50" s="12"/>
      <c r="C50" s="23"/>
      <c r="D50" s="12"/>
      <c r="E50" s="23"/>
      <c r="F50" s="12"/>
      <c r="G50" s="23"/>
      <c r="H50" s="12"/>
      <c r="I50" s="23"/>
      <c r="J50" s="12"/>
      <c r="K50" s="23"/>
      <c r="L50" s="12"/>
      <c r="M50" s="23"/>
      <c r="N50" s="12"/>
      <c r="O50" s="23"/>
      <c r="Q50" s="12"/>
      <c r="R50" s="23"/>
      <c r="T50" s="25"/>
      <c r="U50" s="23"/>
      <c r="V50" s="12"/>
      <c r="W50" s="23"/>
      <c r="X50" s="12"/>
      <c r="Y50" s="23"/>
      <c r="Z50" s="12"/>
      <c r="AA50" s="23"/>
      <c r="AB50" s="12"/>
      <c r="AC50" s="23"/>
      <c r="AD50" s="12"/>
      <c r="AE50" s="23"/>
      <c r="AF50" s="12"/>
      <c r="AG50" s="23"/>
      <c r="AI50" s="25"/>
      <c r="AJ50" s="23"/>
      <c r="AK50" s="12"/>
      <c r="AL50" s="23"/>
      <c r="AM50" s="12"/>
      <c r="AN50" s="23"/>
      <c r="AO50" s="12"/>
      <c r="AP50" s="23"/>
      <c r="AQ50" s="12"/>
      <c r="AR50" s="23"/>
      <c r="AS50" s="12"/>
      <c r="AT50" s="23"/>
      <c r="AU50" s="21"/>
      <c r="AV50" s="23"/>
    </row>
    <row r="51" spans="1:48" ht="15.75" thickBot="1" x14ac:dyDescent="0.3">
      <c r="A51" s="20"/>
      <c r="B51" s="12"/>
      <c r="C51" s="23"/>
      <c r="D51" s="12"/>
      <c r="E51" s="23"/>
      <c r="F51" s="12"/>
      <c r="G51" s="23"/>
      <c r="H51" s="12"/>
      <c r="I51" s="23"/>
      <c r="J51" s="12"/>
      <c r="K51" s="23"/>
      <c r="L51" s="12"/>
      <c r="M51" s="23"/>
      <c r="N51" s="12"/>
      <c r="O51" s="23"/>
      <c r="Q51" s="12"/>
      <c r="R51" s="23"/>
      <c r="T51" s="25"/>
      <c r="U51" s="23"/>
      <c r="V51" s="12"/>
      <c r="W51" s="23"/>
      <c r="X51" s="12"/>
      <c r="Y51" s="23"/>
      <c r="Z51" s="12"/>
      <c r="AA51" s="23"/>
      <c r="AB51" s="12"/>
      <c r="AC51" s="23"/>
      <c r="AD51" s="12"/>
      <c r="AE51" s="23"/>
      <c r="AF51" s="12"/>
      <c r="AG51" s="23"/>
      <c r="AI51" s="25"/>
      <c r="AJ51" s="23"/>
      <c r="AK51" s="12"/>
      <c r="AL51" s="23"/>
      <c r="AM51" s="12"/>
      <c r="AN51" s="23"/>
      <c r="AO51" s="12"/>
      <c r="AP51" s="23"/>
      <c r="AQ51" s="12"/>
      <c r="AR51" s="23"/>
      <c r="AS51" s="12"/>
      <c r="AT51" s="23"/>
      <c r="AU51" s="21"/>
      <c r="AV51" s="23"/>
    </row>
    <row r="52" spans="1:48" ht="15.75" thickBot="1" x14ac:dyDescent="0.3">
      <c r="A52" s="20"/>
      <c r="B52" s="12"/>
      <c r="C52" s="23"/>
      <c r="D52" s="12"/>
      <c r="E52" s="23"/>
      <c r="F52" s="12"/>
      <c r="G52" s="23"/>
      <c r="H52" s="12"/>
      <c r="I52" s="23"/>
      <c r="J52" s="12"/>
      <c r="K52" s="23"/>
      <c r="L52" s="12"/>
      <c r="M52" s="23"/>
      <c r="N52" s="12"/>
      <c r="O52" s="23"/>
      <c r="Q52" s="12"/>
      <c r="R52" s="23"/>
      <c r="T52" s="25"/>
      <c r="U52" s="23"/>
      <c r="V52" s="12"/>
      <c r="W52" s="23"/>
      <c r="X52" s="12"/>
      <c r="Y52" s="23"/>
      <c r="Z52" s="12"/>
      <c r="AA52" s="23"/>
      <c r="AB52" s="12"/>
      <c r="AC52" s="23"/>
      <c r="AD52" s="12"/>
      <c r="AE52" s="23"/>
      <c r="AF52" s="12"/>
      <c r="AG52" s="23"/>
      <c r="AI52" s="25"/>
      <c r="AJ52" s="23"/>
      <c r="AK52" s="12"/>
      <c r="AL52" s="23"/>
      <c r="AM52" s="12"/>
      <c r="AN52" s="23"/>
      <c r="AO52" s="12"/>
      <c r="AP52" s="23"/>
      <c r="AQ52" s="12"/>
      <c r="AR52" s="23"/>
      <c r="AS52" s="12"/>
      <c r="AT52" s="23"/>
      <c r="AU52" s="21"/>
      <c r="AV52" s="23"/>
    </row>
    <row r="53" spans="1:48" ht="15.75" thickBot="1" x14ac:dyDescent="0.3">
      <c r="A53" s="20"/>
      <c r="B53" s="12"/>
      <c r="C53" s="23"/>
      <c r="D53" s="12"/>
      <c r="E53" s="23"/>
      <c r="F53" s="12"/>
      <c r="G53" s="23"/>
      <c r="H53" s="12"/>
      <c r="I53" s="23"/>
      <c r="J53" s="12"/>
      <c r="K53" s="23"/>
      <c r="L53" s="12"/>
      <c r="M53" s="23"/>
      <c r="N53" s="12"/>
      <c r="O53" s="23"/>
      <c r="Q53" s="12"/>
      <c r="R53" s="23"/>
      <c r="T53" s="25"/>
      <c r="U53" s="23"/>
      <c r="V53" s="12"/>
      <c r="W53" s="23"/>
      <c r="X53" s="12"/>
      <c r="Y53" s="23"/>
      <c r="Z53" s="12"/>
      <c r="AA53" s="23"/>
      <c r="AB53" s="12"/>
      <c r="AC53" s="23"/>
      <c r="AD53" s="12"/>
      <c r="AE53" s="23"/>
      <c r="AF53" s="12"/>
      <c r="AG53" s="23"/>
      <c r="AI53" s="25"/>
      <c r="AJ53" s="23"/>
      <c r="AK53" s="12"/>
      <c r="AL53" s="23"/>
      <c r="AM53" s="12"/>
      <c r="AN53" s="23"/>
      <c r="AO53" s="12"/>
      <c r="AP53" s="23"/>
      <c r="AQ53" s="12"/>
      <c r="AR53" s="23"/>
      <c r="AS53" s="12"/>
      <c r="AT53" s="23"/>
      <c r="AU53" s="21"/>
      <c r="AV53" s="23"/>
    </row>
    <row r="54" spans="1:48" ht="15.75" thickBot="1" x14ac:dyDescent="0.3">
      <c r="A54" s="20"/>
      <c r="B54" s="12"/>
      <c r="C54" s="23"/>
      <c r="D54" s="12"/>
      <c r="E54" s="23"/>
      <c r="F54" s="12"/>
      <c r="G54" s="23"/>
      <c r="H54" s="12"/>
      <c r="I54" s="23"/>
      <c r="J54" s="12"/>
      <c r="K54" s="23"/>
      <c r="L54" s="12"/>
      <c r="M54" s="23"/>
      <c r="N54" s="12"/>
      <c r="O54" s="23"/>
      <c r="Q54" s="12"/>
      <c r="R54" s="23"/>
      <c r="T54" s="25"/>
      <c r="U54" s="23"/>
      <c r="V54" s="12"/>
      <c r="W54" s="23"/>
      <c r="X54" s="12"/>
      <c r="Y54" s="23"/>
      <c r="Z54" s="12"/>
      <c r="AA54" s="23"/>
      <c r="AB54" s="12"/>
      <c r="AC54" s="23"/>
      <c r="AD54" s="12"/>
      <c r="AE54" s="23"/>
      <c r="AF54" s="21"/>
      <c r="AG54" s="23"/>
      <c r="AI54" s="25"/>
      <c r="AJ54" s="23"/>
      <c r="AK54" s="12"/>
      <c r="AL54" s="23"/>
      <c r="AM54" s="12"/>
      <c r="AN54" s="23"/>
      <c r="AO54" s="12"/>
      <c r="AP54" s="23"/>
      <c r="AQ54" s="12"/>
      <c r="AR54" s="23"/>
      <c r="AS54" s="12"/>
      <c r="AT54" s="23"/>
      <c r="AU54" s="21"/>
      <c r="AV54" s="23"/>
    </row>
    <row r="55" spans="1:48" ht="15.75" thickBot="1" x14ac:dyDescent="0.3">
      <c r="A55" s="20">
        <f>'Nesting Phone time'!B56</f>
        <v>0</v>
      </c>
      <c r="B55" s="12"/>
      <c r="C55" s="23"/>
      <c r="D55" s="12"/>
      <c r="E55" s="23"/>
      <c r="F55" s="12"/>
      <c r="G55" s="23"/>
      <c r="H55" s="12"/>
      <c r="I55" s="23"/>
      <c r="J55" s="12"/>
      <c r="K55" s="23"/>
      <c r="L55" s="12"/>
      <c r="M55" s="23"/>
      <c r="N55" s="12"/>
      <c r="O55" s="23"/>
      <c r="Q55" s="12"/>
      <c r="R55" s="23"/>
      <c r="T55" s="25"/>
      <c r="U55" s="23"/>
      <c r="V55" s="12"/>
      <c r="W55" s="23"/>
      <c r="X55" s="12"/>
      <c r="Y55" s="23"/>
      <c r="Z55" s="12"/>
      <c r="AA55" s="23"/>
      <c r="AB55" s="12"/>
      <c r="AC55" s="23"/>
      <c r="AD55" s="12"/>
      <c r="AE55" s="23"/>
      <c r="AF55" s="21"/>
      <c r="AG55" s="23"/>
      <c r="AI55" s="25"/>
      <c r="AJ55" s="23"/>
      <c r="AK55" s="12"/>
      <c r="AL55" s="23"/>
      <c r="AM55" s="12"/>
      <c r="AN55" s="23"/>
      <c r="AO55" s="12"/>
      <c r="AP55" s="23"/>
      <c r="AQ55" s="12"/>
      <c r="AR55" s="23"/>
      <c r="AS55" s="12"/>
      <c r="AT55" s="23"/>
      <c r="AU55" s="21"/>
      <c r="AV55" s="23"/>
    </row>
  </sheetData>
  <mergeCells count="8">
    <mergeCell ref="CB1:CH1"/>
    <mergeCell ref="CI1:CO1"/>
    <mergeCell ref="B1:O1"/>
    <mergeCell ref="T1:AG1"/>
    <mergeCell ref="AI1:AV1"/>
    <mergeCell ref="AX1:BF1"/>
    <mergeCell ref="BH1:BP1"/>
    <mergeCell ref="BU1:CA1"/>
  </mergeCells>
  <conditionalFormatting sqref="B3:O55">
    <cfRule type="cellIs" dxfId="6673" priority="811" operator="equal">
      <formula>"OFF"</formula>
    </cfRule>
    <cfRule type="cellIs" dxfId="6672" priority="812" operator="equal">
      <formula>"PTO"</formula>
    </cfRule>
    <cfRule type="cellIs" dxfId="6671" priority="813" operator="equal">
      <formula>"A"</formula>
    </cfRule>
  </conditionalFormatting>
  <conditionalFormatting sqref="Q3:R55">
    <cfRule type="cellIs" dxfId="6670" priority="1001" operator="equal">
      <formula>"OFF"</formula>
    </cfRule>
    <cfRule type="cellIs" dxfId="6669" priority="1002" operator="equal">
      <formula>"PTO"</formula>
    </cfRule>
    <cfRule type="cellIs" dxfId="6668" priority="1003" operator="equal">
      <formula>"A"</formula>
    </cfRule>
  </conditionalFormatting>
  <conditionalFormatting sqref="T54:AG55 AD3:AD36 AF3:AF36 T3:T53 V3:V53 Z3:Z53 AB3:AB53 X3:X53">
    <cfRule type="cellIs" dxfId="6667" priority="787" operator="equal">
      <formula>"OFF"</formula>
    </cfRule>
    <cfRule type="cellIs" dxfId="6666" priority="788" operator="equal">
      <formula>"PTO"</formula>
    </cfRule>
    <cfRule type="cellIs" dxfId="6665" priority="789" operator="equal">
      <formula>"A"</formula>
    </cfRule>
  </conditionalFormatting>
  <conditionalFormatting sqref="AI54:AV55 AI3:AI15 AK3:AK15 AM3:AM15 AO3:AO15 AQ3:AQ15 AS3:AS15 AU3:AU15 AU17:AU53 AS17:AS53 AQ17:AQ53 AO17:AO53 AM17:AM53 AK17:AK53 AI17:AI53">
    <cfRule type="cellIs" dxfId="6664" priority="931" operator="equal">
      <formula>"OFF"</formula>
    </cfRule>
    <cfRule type="cellIs" dxfId="6663" priority="932" operator="equal">
      <formula>"PTO"</formula>
    </cfRule>
    <cfRule type="cellIs" dxfId="6662" priority="933" operator="equal">
      <formula>"A"</formula>
    </cfRule>
  </conditionalFormatting>
  <conditionalFormatting sqref="BU3:CO26">
    <cfRule type="cellIs" dxfId="6661" priority="1173" operator="greaterThanOrEqual">
      <formula>5</formula>
    </cfRule>
    <cfRule type="cellIs" dxfId="6660" priority="1174" operator="lessThanOrEqual">
      <formula>1</formula>
    </cfRule>
  </conditionalFormatting>
  <conditionalFormatting sqref="AD37:AD53">
    <cfRule type="cellIs" dxfId="6659" priority="631" operator="equal">
      <formula>"OFF"</formula>
    </cfRule>
    <cfRule type="cellIs" dxfId="6658" priority="632" operator="equal">
      <formula>"PTO"</formula>
    </cfRule>
    <cfRule type="cellIs" dxfId="6657" priority="633" operator="equal">
      <formula>"A"</formula>
    </cfRule>
  </conditionalFormatting>
  <conditionalFormatting sqref="AF37:AF53">
    <cfRule type="cellIs" dxfId="6656" priority="628" operator="equal">
      <formula>"OFF"</formula>
    </cfRule>
    <cfRule type="cellIs" dxfId="6655" priority="629" operator="equal">
      <formula>"PTO"</formula>
    </cfRule>
    <cfRule type="cellIs" dxfId="6654" priority="630" operator="equal">
      <formula>"A"</formula>
    </cfRule>
  </conditionalFormatting>
  <conditionalFormatting sqref="U3:U53">
    <cfRule type="cellIs" dxfId="6653" priority="601" operator="equal">
      <formula>"OFF"</formula>
    </cfRule>
    <cfRule type="cellIs" dxfId="6652" priority="602" operator="equal">
      <formula>"PTO"</formula>
    </cfRule>
    <cfRule type="cellIs" dxfId="6651" priority="603" operator="equal">
      <formula>"A"</formula>
    </cfRule>
  </conditionalFormatting>
  <conditionalFormatting sqref="W51:W53 W3:W15">
    <cfRule type="cellIs" dxfId="6650" priority="598" operator="equal">
      <formula>"OFF"</formula>
    </cfRule>
    <cfRule type="cellIs" dxfId="6649" priority="599" operator="equal">
      <formula>"PTO"</formula>
    </cfRule>
    <cfRule type="cellIs" dxfId="6648" priority="600" operator="equal">
      <formula>"A"</formula>
    </cfRule>
  </conditionalFormatting>
  <conditionalFormatting sqref="Y51:Y53 Y3:Y15">
    <cfRule type="cellIs" dxfId="6647" priority="595" operator="equal">
      <formula>"OFF"</formula>
    </cfRule>
    <cfRule type="cellIs" dxfId="6646" priority="596" operator="equal">
      <formula>"PTO"</formula>
    </cfRule>
    <cfRule type="cellIs" dxfId="6645" priority="597" operator="equal">
      <formula>"A"</formula>
    </cfRule>
  </conditionalFormatting>
  <conditionalFormatting sqref="AA51:AA53 AA3:AA15">
    <cfRule type="cellIs" dxfId="6644" priority="592" operator="equal">
      <formula>"OFF"</formula>
    </cfRule>
    <cfRule type="cellIs" dxfId="6643" priority="593" operator="equal">
      <formula>"PTO"</formula>
    </cfRule>
    <cfRule type="cellIs" dxfId="6642" priority="594" operator="equal">
      <formula>"A"</formula>
    </cfRule>
  </conditionalFormatting>
  <conditionalFormatting sqref="AC51:AC53 AC3:AC15">
    <cfRule type="cellIs" dxfId="6641" priority="589" operator="equal">
      <formula>"OFF"</formula>
    </cfRule>
    <cfRule type="cellIs" dxfId="6640" priority="590" operator="equal">
      <formula>"PTO"</formula>
    </cfRule>
    <cfRule type="cellIs" dxfId="6639" priority="591" operator="equal">
      <formula>"A"</formula>
    </cfRule>
  </conditionalFormatting>
  <conditionalFormatting sqref="AE51:AE53 AE3:AE15">
    <cfRule type="cellIs" dxfId="6638" priority="586" operator="equal">
      <formula>"OFF"</formula>
    </cfRule>
    <cfRule type="cellIs" dxfId="6637" priority="587" operator="equal">
      <formula>"PTO"</formula>
    </cfRule>
    <cfRule type="cellIs" dxfId="6636" priority="588" operator="equal">
      <formula>"A"</formula>
    </cfRule>
  </conditionalFormatting>
  <conditionalFormatting sqref="AG51:AG53 AG3:AG15">
    <cfRule type="cellIs" dxfId="6635" priority="583" operator="equal">
      <formula>"OFF"</formula>
    </cfRule>
    <cfRule type="cellIs" dxfId="6634" priority="584" operator="equal">
      <formula>"PTO"</formula>
    </cfRule>
    <cfRule type="cellIs" dxfId="6633" priority="585" operator="equal">
      <formula>"A"</formula>
    </cfRule>
  </conditionalFormatting>
  <conditionalFormatting sqref="AJ3:AJ15 AJ37:AJ53">
    <cfRule type="cellIs" dxfId="6632" priority="580" operator="equal">
      <formula>"OFF"</formula>
    </cfRule>
    <cfRule type="cellIs" dxfId="6631" priority="581" operator="equal">
      <formula>"PTO"</formula>
    </cfRule>
    <cfRule type="cellIs" dxfId="6630" priority="582" operator="equal">
      <formula>"A"</formula>
    </cfRule>
  </conditionalFormatting>
  <conditionalFormatting sqref="AL51:AL53 AL3:AL15 AL17:AL36">
    <cfRule type="cellIs" dxfId="6629" priority="577" operator="equal">
      <formula>"OFF"</formula>
    </cfRule>
    <cfRule type="cellIs" dxfId="6628" priority="578" operator="equal">
      <formula>"PTO"</formula>
    </cfRule>
    <cfRule type="cellIs" dxfId="6627" priority="579" operator="equal">
      <formula>"A"</formula>
    </cfRule>
  </conditionalFormatting>
  <conditionalFormatting sqref="AN51:AN53 AN3:AN15">
    <cfRule type="cellIs" dxfId="6626" priority="574" operator="equal">
      <formula>"OFF"</formula>
    </cfRule>
    <cfRule type="cellIs" dxfId="6625" priority="575" operator="equal">
      <formula>"PTO"</formula>
    </cfRule>
    <cfRule type="cellIs" dxfId="6624" priority="576" operator="equal">
      <formula>"A"</formula>
    </cfRule>
  </conditionalFormatting>
  <conditionalFormatting sqref="AP3:AP14 AP51:AP53">
    <cfRule type="cellIs" dxfId="6623" priority="571" operator="equal">
      <formula>"OFF"</formula>
    </cfRule>
    <cfRule type="cellIs" dxfId="6622" priority="572" operator="equal">
      <formula>"PTO"</formula>
    </cfRule>
    <cfRule type="cellIs" dxfId="6621" priority="573" operator="equal">
      <formula>"A"</formula>
    </cfRule>
  </conditionalFormatting>
  <conditionalFormatting sqref="AR3:AR14 AR51:AR53">
    <cfRule type="cellIs" dxfId="6620" priority="568" operator="equal">
      <formula>"OFF"</formula>
    </cfRule>
    <cfRule type="cellIs" dxfId="6619" priority="569" operator="equal">
      <formula>"PTO"</formula>
    </cfRule>
    <cfRule type="cellIs" dxfId="6618" priority="570" operator="equal">
      <formula>"A"</formula>
    </cfRule>
  </conditionalFormatting>
  <conditionalFormatting sqref="AT3:AT14 AT51:AT53">
    <cfRule type="cellIs" dxfId="6617" priority="565" operator="equal">
      <formula>"OFF"</formula>
    </cfRule>
    <cfRule type="cellIs" dxfId="6616" priority="566" operator="equal">
      <formula>"PTO"</formula>
    </cfRule>
    <cfRule type="cellIs" dxfId="6615" priority="567" operator="equal">
      <formula>"A"</formula>
    </cfRule>
  </conditionalFormatting>
  <conditionalFormatting sqref="AV3:AV14 AV51:AV53">
    <cfRule type="cellIs" dxfId="6614" priority="562" operator="equal">
      <formula>"OFF"</formula>
    </cfRule>
    <cfRule type="cellIs" dxfId="6613" priority="563" operator="equal">
      <formula>"PTO"</formula>
    </cfRule>
    <cfRule type="cellIs" dxfId="6612" priority="564" operator="equal">
      <formula>"A"</formula>
    </cfRule>
  </conditionalFormatting>
  <conditionalFormatting sqref="W37:W50">
    <cfRule type="cellIs" dxfId="6611" priority="211" operator="equal">
      <formula>"OFF"</formula>
    </cfRule>
    <cfRule type="cellIs" dxfId="6610" priority="212" operator="equal">
      <formula>"PTO"</formula>
    </cfRule>
    <cfRule type="cellIs" dxfId="6609" priority="213" operator="equal">
      <formula>"A"</formula>
    </cfRule>
  </conditionalFormatting>
  <conditionalFormatting sqref="Y37:Y50">
    <cfRule type="cellIs" dxfId="6608" priority="208" operator="equal">
      <formula>"OFF"</formula>
    </cfRule>
    <cfRule type="cellIs" dxfId="6607" priority="209" operator="equal">
      <formula>"PTO"</formula>
    </cfRule>
    <cfRule type="cellIs" dxfId="6606" priority="210" operator="equal">
      <formula>"A"</formula>
    </cfRule>
  </conditionalFormatting>
  <conditionalFormatting sqref="AA37:AA50">
    <cfRule type="cellIs" dxfId="6605" priority="205" operator="equal">
      <formula>"OFF"</formula>
    </cfRule>
    <cfRule type="cellIs" dxfId="6604" priority="206" operator="equal">
      <formula>"PTO"</formula>
    </cfRule>
    <cfRule type="cellIs" dxfId="6603" priority="207" operator="equal">
      <formula>"A"</formula>
    </cfRule>
  </conditionalFormatting>
  <conditionalFormatting sqref="AC37:AC50">
    <cfRule type="cellIs" dxfId="6602" priority="202" operator="equal">
      <formula>"OFF"</formula>
    </cfRule>
    <cfRule type="cellIs" dxfId="6601" priority="203" operator="equal">
      <formula>"PTO"</formula>
    </cfRule>
    <cfRule type="cellIs" dxfId="6600" priority="204" operator="equal">
      <formula>"A"</formula>
    </cfRule>
  </conditionalFormatting>
  <conditionalFormatting sqref="AE37:AE50">
    <cfRule type="cellIs" dxfId="6599" priority="199" operator="equal">
      <formula>"OFF"</formula>
    </cfRule>
    <cfRule type="cellIs" dxfId="6598" priority="200" operator="equal">
      <formula>"PTO"</formula>
    </cfRule>
    <cfRule type="cellIs" dxfId="6597" priority="201" operator="equal">
      <formula>"A"</formula>
    </cfRule>
  </conditionalFormatting>
  <conditionalFormatting sqref="AG37:AG50">
    <cfRule type="cellIs" dxfId="6596" priority="196" operator="equal">
      <formula>"OFF"</formula>
    </cfRule>
    <cfRule type="cellIs" dxfId="6595" priority="197" operator="equal">
      <formula>"PTO"</formula>
    </cfRule>
    <cfRule type="cellIs" dxfId="6594" priority="198" operator="equal">
      <formula>"A"</formula>
    </cfRule>
  </conditionalFormatting>
  <conditionalFormatting sqref="AL37:AL50">
    <cfRule type="cellIs" dxfId="6593" priority="193" operator="equal">
      <formula>"OFF"</formula>
    </cfRule>
    <cfRule type="cellIs" dxfId="6592" priority="194" operator="equal">
      <formula>"PTO"</formula>
    </cfRule>
    <cfRule type="cellIs" dxfId="6591" priority="195" operator="equal">
      <formula>"A"</formula>
    </cfRule>
  </conditionalFormatting>
  <conditionalFormatting sqref="AN37:AN50">
    <cfRule type="cellIs" dxfId="6590" priority="190" operator="equal">
      <formula>"OFF"</formula>
    </cfRule>
    <cfRule type="cellIs" dxfId="6589" priority="191" operator="equal">
      <formula>"PTO"</formula>
    </cfRule>
    <cfRule type="cellIs" dxfId="6588" priority="192" operator="equal">
      <formula>"A"</formula>
    </cfRule>
  </conditionalFormatting>
  <conditionalFormatting sqref="AP37:AP50">
    <cfRule type="cellIs" dxfId="6587" priority="187" operator="equal">
      <formula>"OFF"</formula>
    </cfRule>
    <cfRule type="cellIs" dxfId="6586" priority="188" operator="equal">
      <formula>"PTO"</formula>
    </cfRule>
    <cfRule type="cellIs" dxfId="6585" priority="189" operator="equal">
      <formula>"A"</formula>
    </cfRule>
  </conditionalFormatting>
  <conditionalFormatting sqref="AR37:AR50">
    <cfRule type="cellIs" dxfId="6584" priority="184" operator="equal">
      <formula>"OFF"</formula>
    </cfRule>
    <cfRule type="cellIs" dxfId="6583" priority="185" operator="equal">
      <formula>"PTO"</formula>
    </cfRule>
    <cfRule type="cellIs" dxfId="6582" priority="186" operator="equal">
      <formula>"A"</formula>
    </cfRule>
  </conditionalFormatting>
  <conditionalFormatting sqref="AT37:AT50">
    <cfRule type="cellIs" dxfId="6581" priority="181" operator="equal">
      <formula>"OFF"</formula>
    </cfRule>
    <cfRule type="cellIs" dxfId="6580" priority="182" operator="equal">
      <formula>"PTO"</formula>
    </cfRule>
    <cfRule type="cellIs" dxfId="6579" priority="183" operator="equal">
      <formula>"A"</formula>
    </cfRule>
  </conditionalFormatting>
  <conditionalFormatting sqref="AV37:AV50">
    <cfRule type="cellIs" dxfId="6578" priority="178" operator="equal">
      <formula>"OFF"</formula>
    </cfRule>
    <cfRule type="cellIs" dxfId="6577" priority="179" operator="equal">
      <formula>"PTO"</formula>
    </cfRule>
    <cfRule type="cellIs" dxfId="6576" priority="180" operator="equal">
      <formula>"A"</formula>
    </cfRule>
  </conditionalFormatting>
  <conditionalFormatting sqref="AV15">
    <cfRule type="cellIs" dxfId="6575" priority="97" operator="equal">
      <formula>"OFF"</formula>
    </cfRule>
    <cfRule type="cellIs" dxfId="6574" priority="98" operator="equal">
      <formula>"PTO"</formula>
    </cfRule>
    <cfRule type="cellIs" dxfId="6573" priority="99" operator="equal">
      <formula>"A"</formula>
    </cfRule>
  </conditionalFormatting>
  <conditionalFormatting sqref="W16:W36">
    <cfRule type="cellIs" dxfId="6572" priority="94" operator="equal">
      <formula>"OFF"</formula>
    </cfRule>
    <cfRule type="cellIs" dxfId="6571" priority="95" operator="equal">
      <formula>"PTO"</formula>
    </cfRule>
    <cfRule type="cellIs" dxfId="6570" priority="96" operator="equal">
      <formula>"A"</formula>
    </cfRule>
  </conditionalFormatting>
  <conditionalFormatting sqref="Y16:Y36">
    <cfRule type="cellIs" dxfId="6569" priority="91" operator="equal">
      <formula>"OFF"</formula>
    </cfRule>
    <cfRule type="cellIs" dxfId="6568" priority="92" operator="equal">
      <formula>"PTO"</formula>
    </cfRule>
    <cfRule type="cellIs" dxfId="6567" priority="93" operator="equal">
      <formula>"A"</formula>
    </cfRule>
  </conditionalFormatting>
  <conditionalFormatting sqref="AA16:AA36">
    <cfRule type="cellIs" dxfId="6566" priority="88" operator="equal">
      <formula>"OFF"</formula>
    </cfRule>
    <cfRule type="cellIs" dxfId="6565" priority="89" operator="equal">
      <formula>"PTO"</formula>
    </cfRule>
    <cfRule type="cellIs" dxfId="6564" priority="90" operator="equal">
      <formula>"A"</formula>
    </cfRule>
  </conditionalFormatting>
  <conditionalFormatting sqref="AC16:AC36">
    <cfRule type="cellIs" dxfId="6563" priority="85" operator="equal">
      <formula>"OFF"</formula>
    </cfRule>
    <cfRule type="cellIs" dxfId="6562" priority="86" operator="equal">
      <formula>"PTO"</formula>
    </cfRule>
    <cfRule type="cellIs" dxfId="6561" priority="87" operator="equal">
      <formula>"A"</formula>
    </cfRule>
  </conditionalFormatting>
  <conditionalFormatting sqref="AE16:AE36">
    <cfRule type="cellIs" dxfId="6560" priority="82" operator="equal">
      <formula>"OFF"</formula>
    </cfRule>
    <cfRule type="cellIs" dxfId="6559" priority="83" operator="equal">
      <formula>"PTO"</formula>
    </cfRule>
    <cfRule type="cellIs" dxfId="6558" priority="84" operator="equal">
      <formula>"A"</formula>
    </cfRule>
  </conditionalFormatting>
  <conditionalFormatting sqref="AG16:AG36">
    <cfRule type="cellIs" dxfId="6557" priority="79" operator="equal">
      <formula>"OFF"</formula>
    </cfRule>
    <cfRule type="cellIs" dxfId="6556" priority="80" operator="equal">
      <formula>"PTO"</formula>
    </cfRule>
    <cfRule type="cellIs" dxfId="6555" priority="81" operator="equal">
      <formula>"A"</formula>
    </cfRule>
  </conditionalFormatting>
  <conditionalFormatting sqref="AL17:AL36">
    <cfRule type="cellIs" dxfId="6554" priority="76" operator="equal">
      <formula>"OFF"</formula>
    </cfRule>
    <cfRule type="cellIs" dxfId="6553" priority="77" operator="equal">
      <formula>"PTO"</formula>
    </cfRule>
    <cfRule type="cellIs" dxfId="6552" priority="78" operator="equal">
      <formula>"A"</formula>
    </cfRule>
  </conditionalFormatting>
  <conditionalFormatting sqref="AN17:AN36">
    <cfRule type="cellIs" dxfId="6551" priority="61" operator="equal">
      <formula>"OFF"</formula>
    </cfRule>
    <cfRule type="cellIs" dxfId="6550" priority="62" operator="equal">
      <formula>"PTO"</formula>
    </cfRule>
    <cfRule type="cellIs" dxfId="6549" priority="63" operator="equal">
      <formula>"A"</formula>
    </cfRule>
  </conditionalFormatting>
  <conditionalFormatting sqref="AP15">
    <cfRule type="cellIs" dxfId="6548" priority="55" operator="equal">
      <formula>"OFF"</formula>
    </cfRule>
    <cfRule type="cellIs" dxfId="6547" priority="56" operator="equal">
      <formula>"PTO"</formula>
    </cfRule>
    <cfRule type="cellIs" dxfId="6546" priority="57" operator="equal">
      <formula>"A"</formula>
    </cfRule>
  </conditionalFormatting>
  <conditionalFormatting sqref="AP17:AP36">
    <cfRule type="cellIs" dxfId="6545" priority="52" operator="equal">
      <formula>"OFF"</formula>
    </cfRule>
    <cfRule type="cellIs" dxfId="6544" priority="53" operator="equal">
      <formula>"PTO"</formula>
    </cfRule>
    <cfRule type="cellIs" dxfId="6543" priority="54" operator="equal">
      <formula>"A"</formula>
    </cfRule>
  </conditionalFormatting>
  <conditionalFormatting sqref="AR15">
    <cfRule type="cellIs" dxfId="6542" priority="49" operator="equal">
      <formula>"OFF"</formula>
    </cfRule>
    <cfRule type="cellIs" dxfId="6541" priority="50" operator="equal">
      <formula>"PTO"</formula>
    </cfRule>
    <cfRule type="cellIs" dxfId="6540" priority="51" operator="equal">
      <formula>"A"</formula>
    </cfRule>
  </conditionalFormatting>
  <conditionalFormatting sqref="AR17:AR36">
    <cfRule type="cellIs" dxfId="6539" priority="46" operator="equal">
      <formula>"OFF"</formula>
    </cfRule>
    <cfRule type="cellIs" dxfId="6538" priority="47" operator="equal">
      <formula>"PTO"</formula>
    </cfRule>
    <cfRule type="cellIs" dxfId="6537" priority="48" operator="equal">
      <formula>"A"</formula>
    </cfRule>
  </conditionalFormatting>
  <conditionalFormatting sqref="AT15">
    <cfRule type="cellIs" dxfId="6536" priority="43" operator="equal">
      <formula>"OFF"</formula>
    </cfRule>
    <cfRule type="cellIs" dxfId="6535" priority="44" operator="equal">
      <formula>"PTO"</formula>
    </cfRule>
    <cfRule type="cellIs" dxfId="6534" priority="45" operator="equal">
      <formula>"A"</formula>
    </cfRule>
  </conditionalFormatting>
  <conditionalFormatting sqref="AT17:AT36">
    <cfRule type="cellIs" dxfId="6533" priority="40" operator="equal">
      <formula>"OFF"</formula>
    </cfRule>
    <cfRule type="cellIs" dxfId="6532" priority="41" operator="equal">
      <formula>"PTO"</formula>
    </cfRule>
    <cfRule type="cellIs" dxfId="6531" priority="42" operator="equal">
      <formula>"A"</formula>
    </cfRule>
  </conditionalFormatting>
  <conditionalFormatting sqref="AV16:AV36">
    <cfRule type="cellIs" dxfId="6530" priority="37" operator="equal">
      <formula>"OFF"</formula>
    </cfRule>
    <cfRule type="cellIs" dxfId="6529" priority="38" operator="equal">
      <formula>"PTO"</formula>
    </cfRule>
    <cfRule type="cellIs" dxfId="6528" priority="39" operator="equal">
      <formula>"A"</formula>
    </cfRule>
  </conditionalFormatting>
  <conditionalFormatting sqref="AU16 AS16 AQ16 AO16 AM16 AK16 AI16">
    <cfRule type="cellIs" dxfId="6527" priority="34" operator="equal">
      <formula>"OFF"</formula>
    </cfRule>
    <cfRule type="cellIs" dxfId="6526" priority="35" operator="equal">
      <formula>"PTO"</formula>
    </cfRule>
    <cfRule type="cellIs" dxfId="6525" priority="36" operator="equal">
      <formula>"A"</formula>
    </cfRule>
  </conditionalFormatting>
  <conditionalFormatting sqref="AL16">
    <cfRule type="cellIs" dxfId="6524" priority="28" operator="equal">
      <formula>"OFF"</formula>
    </cfRule>
    <cfRule type="cellIs" dxfId="6523" priority="29" operator="equal">
      <formula>"PTO"</formula>
    </cfRule>
    <cfRule type="cellIs" dxfId="6522" priority="30" operator="equal">
      <formula>"A"</formula>
    </cfRule>
  </conditionalFormatting>
  <conditionalFormatting sqref="AL16">
    <cfRule type="cellIs" dxfId="6521" priority="25" operator="equal">
      <formula>"OFF"</formula>
    </cfRule>
    <cfRule type="cellIs" dxfId="6520" priority="26" operator="equal">
      <formula>"PTO"</formula>
    </cfRule>
    <cfRule type="cellIs" dxfId="6519" priority="27" operator="equal">
      <formula>"A"</formula>
    </cfRule>
  </conditionalFormatting>
  <conditionalFormatting sqref="AN16">
    <cfRule type="cellIs" dxfId="6518" priority="22" operator="equal">
      <formula>"OFF"</formula>
    </cfRule>
    <cfRule type="cellIs" dxfId="6517" priority="23" operator="equal">
      <formula>"PTO"</formula>
    </cfRule>
    <cfRule type="cellIs" dxfId="6516" priority="24" operator="equal">
      <formula>"A"</formula>
    </cfRule>
  </conditionalFormatting>
  <conditionalFormatting sqref="AP16">
    <cfRule type="cellIs" dxfId="6515" priority="19" operator="equal">
      <formula>"OFF"</formula>
    </cfRule>
    <cfRule type="cellIs" dxfId="6514" priority="20" operator="equal">
      <formula>"PTO"</formula>
    </cfRule>
    <cfRule type="cellIs" dxfId="6513" priority="21" operator="equal">
      <formula>"A"</formula>
    </cfRule>
  </conditionalFormatting>
  <conditionalFormatting sqref="AR16">
    <cfRule type="cellIs" dxfId="6512" priority="16" operator="equal">
      <formula>"OFF"</formula>
    </cfRule>
    <cfRule type="cellIs" dxfId="6511" priority="17" operator="equal">
      <formula>"PTO"</formula>
    </cfRule>
    <cfRule type="cellIs" dxfId="6510" priority="18" operator="equal">
      <formula>"A"</formula>
    </cfRule>
  </conditionalFormatting>
  <conditionalFormatting sqref="AT16">
    <cfRule type="cellIs" dxfId="6509" priority="13" operator="equal">
      <formula>"OFF"</formula>
    </cfRule>
    <cfRule type="cellIs" dxfId="6508" priority="14" operator="equal">
      <formula>"PTO"</formula>
    </cfRule>
    <cfRule type="cellIs" dxfId="6507" priority="15" operator="equal">
      <formula>"A"</formula>
    </cfRule>
  </conditionalFormatting>
  <conditionalFormatting sqref="AJ30:AJ36">
    <cfRule type="cellIs" dxfId="6506" priority="4" operator="equal">
      <formula>"OFF"</formula>
    </cfRule>
    <cfRule type="cellIs" dxfId="6505" priority="5" operator="equal">
      <formula>"PTO"</formula>
    </cfRule>
    <cfRule type="cellIs" dxfId="6504" priority="6" operator="equal">
      <formula>"A"</formula>
    </cfRule>
  </conditionalFormatting>
  <conditionalFormatting sqref="AJ30:AJ36">
    <cfRule type="cellIs" dxfId="6503" priority="7" operator="equal">
      <formula>"OFF"</formula>
    </cfRule>
    <cfRule type="cellIs" dxfId="6502" priority="8" operator="equal">
      <formula>"PTO"</formula>
    </cfRule>
    <cfRule type="cellIs" dxfId="6501" priority="9" operator="equal">
      <formula>"A"</formula>
    </cfRule>
  </conditionalFormatting>
  <conditionalFormatting sqref="AJ16:AJ29">
    <cfRule type="cellIs" dxfId="6500" priority="1" operator="equal">
      <formula>"OFF"</formula>
    </cfRule>
    <cfRule type="cellIs" dxfId="6499" priority="2" operator="equal">
      <formula>"PTO"</formula>
    </cfRule>
    <cfRule type="cellIs" dxfId="6498" priority="3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S123"/>
  <sheetViews>
    <sheetView topLeftCell="AW1" zoomScale="70" zoomScaleNormal="70" workbookViewId="0">
      <selection activeCell="AW1" sqref="AW1"/>
    </sheetView>
  </sheetViews>
  <sheetFormatPr defaultColWidth="9.28515625" defaultRowHeight="15" outlineLevelCol="1" x14ac:dyDescent="0.25"/>
  <cols>
    <col min="1" max="1" width="33.42578125" hidden="1" customWidth="1" outlineLevel="1"/>
    <col min="2" max="2" width="13" hidden="1" customWidth="1" outlineLevel="1"/>
    <col min="3" max="12" width="9.140625" hidden="1" customWidth="1" outlineLevel="1"/>
    <col min="13" max="13" width="11.42578125" hidden="1" customWidth="1" outlineLevel="1"/>
    <col min="14" max="14" width="9.140625" hidden="1" customWidth="1" outlineLevel="1"/>
    <col min="15" max="15" width="11.42578125" hidden="1" customWidth="1" outlineLevel="1"/>
    <col min="16" max="16" width="9.28515625" hidden="1" customWidth="1" outlineLevel="1"/>
    <col min="17" max="17" width="9.140625" hidden="1" customWidth="1" outlineLevel="1"/>
    <col min="18" max="18" width="10" hidden="1" customWidth="1" outlineLevel="1"/>
    <col min="19" max="19" width="9.28515625" hidden="1" customWidth="1" outlineLevel="1"/>
    <col min="20" max="33" width="9.140625" hidden="1" customWidth="1" outlineLevel="1"/>
    <col min="34" max="34" width="9.28515625" hidden="1" customWidth="1" outlineLevel="1"/>
    <col min="35" max="45" width="9.140625" hidden="1" customWidth="1" outlineLevel="1"/>
    <col min="46" max="46" width="10.85546875" hidden="1" customWidth="1" outlineLevel="1"/>
    <col min="47" max="47" width="9.140625" hidden="1" customWidth="1" outlineLevel="1"/>
    <col min="48" max="48" width="11" hidden="1" customWidth="1" outlineLevel="1"/>
    <col min="49" max="49" width="9.28515625" customWidth="1" collapsed="1"/>
    <col min="50" max="50" width="9.42578125" style="9" customWidth="1"/>
    <col min="51" max="51" width="11" style="9" customWidth="1"/>
    <col min="52" max="52" width="5.42578125" style="9" customWidth="1"/>
    <col min="53" max="53" width="4.5703125" style="9" customWidth="1"/>
    <col min="54" max="54" width="5" style="9" customWidth="1"/>
    <col min="55" max="55" width="4.5703125" style="9" customWidth="1"/>
    <col min="56" max="56" width="3.5703125" style="9" customWidth="1"/>
    <col min="57" max="57" width="4.28515625" style="9" customWidth="1"/>
    <col min="58" max="58" width="4.5703125" style="9" customWidth="1"/>
    <col min="59" max="59" width="10.42578125" style="9" customWidth="1"/>
    <col min="60" max="60" width="10" style="9" customWidth="1"/>
    <col min="61" max="61" width="11" style="9" customWidth="1"/>
    <col min="62" max="62" width="5.42578125" style="9" customWidth="1"/>
    <col min="63" max="63" width="4.5703125" style="9" customWidth="1"/>
    <col min="64" max="64" width="5" style="9" customWidth="1"/>
    <col min="65" max="65" width="4.5703125" style="9" customWidth="1"/>
    <col min="66" max="66" width="3.5703125" style="9" customWidth="1"/>
    <col min="67" max="67" width="4.28515625" style="9" customWidth="1"/>
    <col min="68" max="68" width="4.5703125" style="9" customWidth="1"/>
    <col min="69" max="70" width="9.28515625" style="9" customWidth="1"/>
    <col min="71" max="71" width="11.7109375" style="9" customWidth="1"/>
    <col min="72" max="72" width="11.5703125" style="9" hidden="1" customWidth="1"/>
    <col min="73" max="80" width="5.7109375" style="9" customWidth="1"/>
    <col min="81" max="81" width="5" style="9" customWidth="1"/>
    <col min="82" max="93" width="5.7109375" style="9" customWidth="1"/>
    <col min="97" max="97" width="2.5703125" bestFit="1" customWidth="1"/>
  </cols>
  <sheetData>
    <row r="1" spans="1:97" ht="15.75" thickBot="1" x14ac:dyDescent="0.3">
      <c r="B1" s="328" t="s">
        <v>54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T1" s="331" t="s">
        <v>55</v>
      </c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2"/>
      <c r="AI1" s="331" t="s">
        <v>56</v>
      </c>
      <c r="AJ1" s="331"/>
      <c r="AK1" s="331"/>
      <c r="AL1" s="331"/>
      <c r="AM1" s="331"/>
      <c r="AN1" s="331"/>
      <c r="AO1" s="331"/>
      <c r="AP1" s="331"/>
      <c r="AQ1" s="331"/>
      <c r="AR1" s="331"/>
      <c r="AS1" s="331"/>
      <c r="AT1" s="331"/>
      <c r="AU1" s="331"/>
      <c r="AV1" s="332"/>
      <c r="AX1" s="336" t="s">
        <v>11</v>
      </c>
      <c r="AY1" s="337"/>
      <c r="AZ1" s="337"/>
      <c r="BA1" s="337"/>
      <c r="BB1" s="337"/>
      <c r="BC1" s="337"/>
      <c r="BD1" s="337"/>
      <c r="BE1" s="337"/>
      <c r="BF1" s="338"/>
      <c r="BG1" s="105" t="s">
        <v>54</v>
      </c>
      <c r="BH1" s="339" t="s">
        <v>12</v>
      </c>
      <c r="BI1" s="340"/>
      <c r="BJ1" s="340"/>
      <c r="BK1" s="340"/>
      <c r="BL1" s="340"/>
      <c r="BM1" s="340"/>
      <c r="BN1" s="340"/>
      <c r="BO1" s="340"/>
      <c r="BP1" s="341"/>
      <c r="BQ1" s="11"/>
      <c r="BS1" s="42"/>
      <c r="BT1" s="42"/>
      <c r="BU1" s="342" t="str">
        <f>'Nesting Phone time'!C1</f>
        <v>WEEK BEGINNING 0427</v>
      </c>
      <c r="BV1" s="343"/>
      <c r="BW1" s="343"/>
      <c r="BX1" s="343"/>
      <c r="BY1" s="343"/>
      <c r="BZ1" s="343"/>
      <c r="CA1" s="344"/>
      <c r="CB1" s="311" t="str">
        <f>'Agent Sched'!J1</f>
        <v>WEEK BEGINNING 0504</v>
      </c>
      <c r="CC1" s="312"/>
      <c r="CD1" s="312"/>
      <c r="CE1" s="312"/>
      <c r="CF1" s="312"/>
      <c r="CG1" s="312"/>
      <c r="CH1" s="313"/>
      <c r="CI1" s="311" t="str">
        <f>'Agent Sched'!Q1</f>
        <v>WEEK BEGINNING 0511</v>
      </c>
      <c r="CJ1" s="312"/>
      <c r="CK1" s="312"/>
      <c r="CL1" s="312"/>
      <c r="CM1" s="312"/>
      <c r="CN1" s="312"/>
      <c r="CO1" s="313"/>
      <c r="CS1" s="27">
        <v>6</v>
      </c>
    </row>
    <row r="2" spans="1:97" ht="15.75" thickBot="1" x14ac:dyDescent="0.3">
      <c r="A2" s="16" t="s">
        <v>10</v>
      </c>
      <c r="B2" s="17" t="s">
        <v>52</v>
      </c>
      <c r="C2" s="17" t="s">
        <v>0</v>
      </c>
      <c r="D2" s="17" t="s">
        <v>1</v>
      </c>
      <c r="E2" s="17" t="s">
        <v>1</v>
      </c>
      <c r="F2" s="17" t="s">
        <v>2</v>
      </c>
      <c r="G2" s="18" t="s">
        <v>2</v>
      </c>
      <c r="H2" s="17" t="s">
        <v>51</v>
      </c>
      <c r="I2" s="17" t="s">
        <v>51</v>
      </c>
      <c r="J2" s="17" t="s">
        <v>4</v>
      </c>
      <c r="K2" s="17" t="s">
        <v>4</v>
      </c>
      <c r="L2" s="17" t="s">
        <v>5</v>
      </c>
      <c r="M2" s="17" t="s">
        <v>5</v>
      </c>
      <c r="N2" s="19" t="s">
        <v>6</v>
      </c>
      <c r="O2" s="15" t="s">
        <v>6</v>
      </c>
      <c r="Q2" s="14" t="s">
        <v>37</v>
      </c>
      <c r="R2" t="s">
        <v>37</v>
      </c>
      <c r="T2" s="16" t="s">
        <v>52</v>
      </c>
      <c r="U2" s="17" t="s">
        <v>0</v>
      </c>
      <c r="V2" s="17" t="s">
        <v>1</v>
      </c>
      <c r="W2" s="17" t="s">
        <v>1</v>
      </c>
      <c r="X2" s="17" t="s">
        <v>2</v>
      </c>
      <c r="Y2" s="18" t="s">
        <v>2</v>
      </c>
      <c r="Z2" s="17" t="s">
        <v>51</v>
      </c>
      <c r="AA2" s="17" t="s">
        <v>51</v>
      </c>
      <c r="AB2" s="17" t="s">
        <v>4</v>
      </c>
      <c r="AC2" s="17" t="s">
        <v>4</v>
      </c>
      <c r="AD2" s="17" t="s">
        <v>5</v>
      </c>
      <c r="AE2" s="17" t="s">
        <v>5</v>
      </c>
      <c r="AF2" s="19" t="s">
        <v>6</v>
      </c>
      <c r="AG2" s="15" t="s">
        <v>6</v>
      </c>
      <c r="AI2" s="16" t="s">
        <v>52</v>
      </c>
      <c r="AJ2" s="17" t="s">
        <v>0</v>
      </c>
      <c r="AK2" s="17" t="s">
        <v>1</v>
      </c>
      <c r="AL2" s="17" t="s">
        <v>1</v>
      </c>
      <c r="AM2" s="17" t="s">
        <v>2</v>
      </c>
      <c r="AN2" s="18" t="s">
        <v>2</v>
      </c>
      <c r="AO2" s="17" t="s">
        <v>51</v>
      </c>
      <c r="AP2" s="17" t="s">
        <v>51</v>
      </c>
      <c r="AQ2" s="17" t="s">
        <v>4</v>
      </c>
      <c r="AR2" s="17" t="s">
        <v>4</v>
      </c>
      <c r="AS2" s="17" t="s">
        <v>5</v>
      </c>
      <c r="AT2" s="17" t="s">
        <v>5</v>
      </c>
      <c r="AU2" s="19" t="s">
        <v>6</v>
      </c>
      <c r="AV2" s="15" t="s">
        <v>6</v>
      </c>
      <c r="AX2" s="61" t="s">
        <v>8</v>
      </c>
      <c r="AY2" s="59" t="s">
        <v>57</v>
      </c>
      <c r="AZ2" s="60" t="s">
        <v>0</v>
      </c>
      <c r="BA2" s="60" t="s">
        <v>1</v>
      </c>
      <c r="BB2" s="60" t="s">
        <v>2</v>
      </c>
      <c r="BC2" s="60" t="s">
        <v>3</v>
      </c>
      <c r="BD2" s="60" t="s">
        <v>4</v>
      </c>
      <c r="BE2" s="60" t="s">
        <v>5</v>
      </c>
      <c r="BF2" s="62" t="s">
        <v>6</v>
      </c>
      <c r="BH2" s="63" t="s">
        <v>8</v>
      </c>
      <c r="BI2" s="64" t="s">
        <v>57</v>
      </c>
      <c r="BJ2" s="65" t="s">
        <v>0</v>
      </c>
      <c r="BK2" s="65" t="s">
        <v>1</v>
      </c>
      <c r="BL2" s="65" t="s">
        <v>2</v>
      </c>
      <c r="BM2" s="65" t="s">
        <v>3</v>
      </c>
      <c r="BN2" s="65" t="s">
        <v>4</v>
      </c>
      <c r="BO2" s="65" t="s">
        <v>5</v>
      </c>
      <c r="BP2" s="66" t="s">
        <v>6</v>
      </c>
      <c r="BS2" s="43" t="s">
        <v>8</v>
      </c>
      <c r="BT2" s="44" t="s">
        <v>53</v>
      </c>
      <c r="BU2" s="144" t="s">
        <v>0</v>
      </c>
      <c r="BV2" s="145" t="s">
        <v>1</v>
      </c>
      <c r="BW2" s="145" t="s">
        <v>2</v>
      </c>
      <c r="BX2" s="145" t="s">
        <v>3</v>
      </c>
      <c r="BY2" s="145" t="s">
        <v>4</v>
      </c>
      <c r="BZ2" s="145" t="s">
        <v>5</v>
      </c>
      <c r="CA2" s="146" t="s">
        <v>6</v>
      </c>
      <c r="CB2" s="47" t="s">
        <v>0</v>
      </c>
      <c r="CC2" s="45" t="s">
        <v>1</v>
      </c>
      <c r="CD2" s="45" t="s">
        <v>2</v>
      </c>
      <c r="CE2" s="45" t="s">
        <v>3</v>
      </c>
      <c r="CF2" s="45" t="s">
        <v>4</v>
      </c>
      <c r="CG2" s="45" t="s">
        <v>5</v>
      </c>
      <c r="CH2" s="46" t="s">
        <v>6</v>
      </c>
      <c r="CI2" s="47" t="s">
        <v>0</v>
      </c>
      <c r="CJ2" s="45" t="s">
        <v>1</v>
      </c>
      <c r="CK2" s="45" t="s">
        <v>2</v>
      </c>
      <c r="CL2" s="45" t="s">
        <v>3</v>
      </c>
      <c r="CM2" s="45" t="s">
        <v>4</v>
      </c>
      <c r="CN2" s="194" t="s">
        <v>5</v>
      </c>
      <c r="CO2" s="208" t="s">
        <v>6</v>
      </c>
    </row>
    <row r="3" spans="1:97" x14ac:dyDescent="0.25">
      <c r="A3" s="20" t="str">
        <f>'Agent Sched'!B4</f>
        <v>Shenna Mae Pudadera</v>
      </c>
      <c r="B3" s="12">
        <f>IFERROR(VLOOKUP(A3,'Agent Sched'!$B:$C,2,),"-")</f>
        <v>0.375</v>
      </c>
      <c r="C3" s="13">
        <f>IFERROR(IF(B3="PTO","PTO",IF(B3="OFF","OFF", B3 + TIME(9,0,0))),"-")</f>
        <v>0.75</v>
      </c>
      <c r="D3" s="12">
        <f>IFERROR(VLOOKUP(A3,'Agent Sched'!B:D,3,),"-")</f>
        <v>0.375</v>
      </c>
      <c r="E3" s="13">
        <f>IFERROR(IF(D3="PTO","PTO",IF(D3="OFF","OFF", D3 + TIME(9,0,0))),"-")</f>
        <v>0.75</v>
      </c>
      <c r="F3" s="12">
        <f>IFERROR(VLOOKUP(A3,'Agent Sched'!B:E,4,),"-")</f>
        <v>0.375</v>
      </c>
      <c r="G3" s="13">
        <f>IFERROR(IF(F3="PTO","PTO",IF(F3="OFF","OFF", F3 + TIME(9,0,0))),"-")</f>
        <v>0.75</v>
      </c>
      <c r="H3" s="12" t="str">
        <f>IFERROR(VLOOKUP(A3,'Agent Sched'!B:F,5,),"-")</f>
        <v>OFF</v>
      </c>
      <c r="I3" s="13" t="str">
        <f>IFERROR(IF(H3="PTO","PTO",IF(H3="OFF","OFF", H3 + TIME(9,0,0))),"-")</f>
        <v>OFF</v>
      </c>
      <c r="J3" s="12" t="str">
        <f>IFERROR(VLOOKUP(A3,'Agent Sched'!B:G,6,),"-")</f>
        <v>OFF</v>
      </c>
      <c r="K3" s="13" t="str">
        <f>IFERROR(IF(J3="PTO","PTO",IF(J3="OFF","OFF", J3 + TIME(9,0,0))),"-")</f>
        <v>OFF</v>
      </c>
      <c r="L3" s="12">
        <f>IFERROR(VLOOKUP(A3,'Agent Sched'!B:H,7,),"-")</f>
        <v>0.375</v>
      </c>
      <c r="M3" s="13">
        <f>IFERROR(IF(L3="PTO","PTO",IF(L3="OFF","OFF", L3 + TIME(9,0,0))),"-")</f>
        <v>0.75</v>
      </c>
      <c r="N3" s="21">
        <f>IFERROR(VLOOKUP(A3,'Agent Sched'!B:I,8,),"-")</f>
        <v>0.375</v>
      </c>
      <c r="O3" s="13">
        <f>IFERROR(IF(N3="PTO","PTO",IF(N3="OFF","OFF", N3 + TIME(9,0,0))),"-")</f>
        <v>0.75</v>
      </c>
      <c r="Q3" s="12">
        <f>VLOOKUP(A3,'Agent Sched'!B:Y,24,)</f>
        <v>0.375</v>
      </c>
      <c r="R3" s="13">
        <f>IFERROR(IF(Q3="PTO","PTO",IF(Q3="OFF","OFF", Q3 + TIME(9,0,0))),"-")</f>
        <v>0.75</v>
      </c>
      <c r="T3" s="25" t="str">
        <f>VLOOKUP(A3,'Agent Sched'!$B:$J,9,)</f>
        <v>OFF</v>
      </c>
      <c r="U3" s="13" t="str">
        <f>IFERROR(IF(T3="PTO","PTO",IF(T3="OFF","OFF", T3 + TIME(9,0,0))),"-")</f>
        <v>OFF</v>
      </c>
      <c r="V3" s="12">
        <f>VLOOKUP(A3,'Agent Sched'!B:K,10,)</f>
        <v>0.375</v>
      </c>
      <c r="W3" s="13">
        <f>IFERROR(IF(V3="PTO","PTO",IF(V3="OFF","OFF", V3 + TIME(9,0,0))),"-")</f>
        <v>0.75</v>
      </c>
      <c r="X3" s="12">
        <f>VLOOKUP(A3,'Agent Sched'!B:L,11,)</f>
        <v>0.375</v>
      </c>
      <c r="Y3" s="13">
        <f>IFERROR(IF(X3="PTO","PTO",IF(X3="OFF","OFF", X3 + TIME(9,0,0))),"-")</f>
        <v>0.75</v>
      </c>
      <c r="Z3" s="12">
        <f>VLOOKUP(A3,'Agent Sched'!B:M,12,)</f>
        <v>0.375</v>
      </c>
      <c r="AA3" s="13">
        <f>IFERROR(IF(Z3="PTO","PTO",IF(Z3="OFF","OFF", Z3 + TIME(9,0,0))),"-")</f>
        <v>0.75</v>
      </c>
      <c r="AB3" s="12">
        <f>VLOOKUP(A3,'Agent Sched'!B:N,13,)</f>
        <v>0.375</v>
      </c>
      <c r="AC3" s="13">
        <f>IFERROR(IF(AB3="PTO","PTO",IF(AB3="OFF","OFF", AB3 + TIME(9,0,0))),"-")</f>
        <v>0.75</v>
      </c>
      <c r="AD3" s="12">
        <f>VLOOKUP(A3,'Agent Sched'!B:O,14,)</f>
        <v>0.375</v>
      </c>
      <c r="AE3" s="13">
        <f>IFERROR(IF(AD3="PTO","PTO",IF(AD3="OFF","OFF", AD3 + TIME(9,0,0))),"-")</f>
        <v>0.75</v>
      </c>
      <c r="AF3" s="21" t="str">
        <f>VLOOKUP(A3,'Agent Sched'!B:P,15,)</f>
        <v>OFF</v>
      </c>
      <c r="AG3" s="13" t="str">
        <f>IFERROR(IF(AF3="PTO","PTO",IF(AF3="OFF","OFF", AF3 + TIME(9,0,0))),"-")</f>
        <v>OFF</v>
      </c>
      <c r="AI3" s="25" t="str">
        <f>VLOOKUP(A3,'Agent Sched'!$B:$Q,16,)</f>
        <v>OFF</v>
      </c>
      <c r="AJ3" s="13" t="str">
        <f>IFERROR(IF(AI3="PTO","PTO",IF(AI3="OFF","OFF", AI3 + TIME(9,0,0))),"-")</f>
        <v>OFF</v>
      </c>
      <c r="AK3" s="12">
        <f>VLOOKUP(A3,'Agent Sched'!B:R,17,)</f>
        <v>0.375</v>
      </c>
      <c r="AL3" s="13">
        <f>IFERROR(IF(AK3="PTO","PTO",IF(AK3="OFF","OFF", AK3 + TIME(9,0,0))),"-")</f>
        <v>0.75</v>
      </c>
      <c r="AM3" s="12">
        <f>VLOOKUP(A3,'Agent Sched'!B:S,18,)</f>
        <v>0.375</v>
      </c>
      <c r="AN3" s="13">
        <f>IFERROR(IF(AM3="PTO","PTO",IF(AM3="OFF","OFF", AM3 + TIME(9,0,0))),"-")</f>
        <v>0.75</v>
      </c>
      <c r="AO3" s="12">
        <f>VLOOKUP(A3,'Agent Sched'!B:T,19,)</f>
        <v>0.375</v>
      </c>
      <c r="AP3" s="13">
        <f>IFERROR(IF(AO3="PTO","PTO",IF(AO3="OFF","OFF", AO3 + TIME(9,0,0))),"-")</f>
        <v>0.75</v>
      </c>
      <c r="AQ3" s="12">
        <f>VLOOKUP(A3,'Agent Sched'!B:U,20,)</f>
        <v>0.375</v>
      </c>
      <c r="AR3" s="13">
        <f>IFERROR(IF(AQ3="PTO","PTO",IF(AQ3="OFF","OFF", AQ3 + TIME(9,0,0))),"-")</f>
        <v>0.75</v>
      </c>
      <c r="AS3" s="12">
        <f>VLOOKUP(A3,'Agent Sched'!B:V,21,)</f>
        <v>0.375</v>
      </c>
      <c r="AT3" s="13">
        <f>IFERROR(IF(AS3="PTO","PTO",IF(AS3="OFF","OFF", AS3 + TIME(9,0,0))),"-")</f>
        <v>0.75</v>
      </c>
      <c r="AU3" s="21" t="str">
        <f>VLOOKUP(A3,'Agent Sched'!B:W,22,)</f>
        <v>OFF</v>
      </c>
      <c r="AV3" s="13" t="str">
        <f>IFERROR(IF(AU3="PTO","PTO",IF(AU3="OFF","OFF", AU3 + TIME(9,0,0))),"-")</f>
        <v>OFF</v>
      </c>
      <c r="AX3" s="30">
        <v>0</v>
      </c>
      <c r="AY3" s="10">
        <v>1</v>
      </c>
      <c r="AZ3" s="31">
        <f>'Pavia Staffing'!AZ3</f>
        <v>0</v>
      </c>
      <c r="BA3" s="31">
        <f>'Pavia Staffing'!BA3</f>
        <v>0</v>
      </c>
      <c r="BB3" s="31">
        <f>'Pavia Staffing'!BB3</f>
        <v>0</v>
      </c>
      <c r="BC3" s="31">
        <f>'Pavia Staffing'!BC3</f>
        <v>0</v>
      </c>
      <c r="BD3" s="31">
        <f>'Pavia Staffing'!BD3</f>
        <v>0</v>
      </c>
      <c r="BE3" s="31">
        <f>'Pavia Staffing'!BE3</f>
        <v>0</v>
      </c>
      <c r="BF3" s="32">
        <f>'Pavia Staffing'!BF3</f>
        <v>0</v>
      </c>
      <c r="BH3" s="30">
        <v>0</v>
      </c>
      <c r="BI3" s="10">
        <v>1</v>
      </c>
      <c r="BJ3" s="31">
        <f t="shared" ref="BJ3" si="0">(COUNTIFS($B$23:$B$35, "&lt;=" &amp; BH3, $C$23:$C$35, "&gt;" &amp; BH3))+COUNTIFS($Q$23:$Q$35, "&lt;=" &amp; BI3, $R$23:$R$35, "&gt;" &amp; BI3)</f>
        <v>0</v>
      </c>
      <c r="BK3" s="31">
        <f t="shared" ref="BK3:BK26" si="1">(COUNTIFS($B$23:$B$35, "&lt;=" &amp; BI3, $C$23:$C$35, "&gt;" &amp; BI3))+COUNTIFS($Q$23:$Q$35, "&lt;=" &amp; BJ3, $R$23:$R$35, "&gt;" &amp; BJ3)</f>
        <v>0</v>
      </c>
      <c r="BL3" s="31">
        <f t="shared" ref="BL3:BL26" si="2">(COUNTIFS($B$23:$B$35, "&lt;=" &amp; BJ3, $C$23:$C$35, "&gt;" &amp; BJ3))+COUNTIFS($Q$23:$Q$35, "&lt;=" &amp; BK3, $R$23:$R$35, "&gt;" &amp; BK3)</f>
        <v>0</v>
      </c>
      <c r="BM3" s="31">
        <f t="shared" ref="BM3:BM26" si="3">(COUNTIFS($B$23:$B$35, "&lt;=" &amp; BK3, $C$23:$C$35, "&gt;" &amp; BK3))+COUNTIFS($Q$23:$Q$35, "&lt;=" &amp; BL3, $R$23:$R$35, "&gt;" &amp; BL3)</f>
        <v>0</v>
      </c>
      <c r="BN3" s="31">
        <f t="shared" ref="BN3:BN26" si="4">(COUNTIFS($B$23:$B$35, "&lt;=" &amp; BL3, $C$23:$C$35, "&gt;" &amp; BL3))+COUNTIFS($Q$23:$Q$35, "&lt;=" &amp; BM3, $R$23:$R$35, "&gt;" &amp; BM3)</f>
        <v>0</v>
      </c>
      <c r="BO3" s="31">
        <f t="shared" ref="BO3:BO26" si="5">(COUNTIFS($B$23:$B$35, "&lt;=" &amp; BM3, $C$23:$C$35, "&gt;" &amp; BM3))+COUNTIFS($Q$23:$Q$35, "&lt;=" &amp; BN3, $R$23:$R$35, "&gt;" &amp; BN3)</f>
        <v>0</v>
      </c>
      <c r="BP3" s="32">
        <f t="shared" ref="BP3:BP26" si="6">(COUNTIFS($B$23:$B$35, "&lt;=" &amp; BN3, $C$23:$C$35, "&gt;" &amp; BN3))+COUNTIFS($Q$23:$Q$35, "&lt;=" &amp; BO3, $R$23:$R$35, "&gt;" &amp; BO3)</f>
        <v>0</v>
      </c>
      <c r="BS3" s="38">
        <v>0</v>
      </c>
      <c r="BT3" s="136">
        <v>1</v>
      </c>
      <c r="BU3" s="140">
        <f>'Total Staffing'!BU3-'Pavia Staffing'!BU3</f>
        <v>12</v>
      </c>
      <c r="BV3" s="141">
        <f>'Total Staffing'!BV3-'Pavia Staffing'!BV3</f>
        <v>12</v>
      </c>
      <c r="BW3" s="141">
        <f>'Total Staffing'!BW3-'Pavia Staffing'!BW3</f>
        <v>12</v>
      </c>
      <c r="BX3" s="141">
        <f>'Total Staffing'!BX3-'Pavia Staffing'!BX3</f>
        <v>12</v>
      </c>
      <c r="BY3" s="141">
        <f>'Total Staffing'!BY3-'Pavia Staffing'!BY3</f>
        <v>1</v>
      </c>
      <c r="BZ3" s="141">
        <f>'Total Staffing'!BZ3-'Pavia Staffing'!BZ3</f>
        <v>12</v>
      </c>
      <c r="CA3" s="142">
        <f>'Total Staffing'!CA3-'Pavia Staffing'!CA3</f>
        <v>1</v>
      </c>
      <c r="CB3" s="140">
        <f>'Total Staffing'!CB3-'Pavia Staffing'!CB3</f>
        <v>13</v>
      </c>
      <c r="CC3" s="141">
        <f>'Total Staffing'!CC3-'Pavia Staffing'!CC3</f>
        <v>12</v>
      </c>
      <c r="CD3" s="141">
        <f>'Total Staffing'!CD3-'Pavia Staffing'!CD3</f>
        <v>13</v>
      </c>
      <c r="CE3" s="141">
        <f>'Total Staffing'!CE3-'Pavia Staffing'!CE3</f>
        <v>13</v>
      </c>
      <c r="CF3" s="141">
        <f>'Total Staffing'!CF3-'Pavia Staffing'!CF3</f>
        <v>13</v>
      </c>
      <c r="CG3" s="141">
        <f>'Total Staffing'!CG3-'Pavia Staffing'!CG3</f>
        <v>0</v>
      </c>
      <c r="CH3" s="142">
        <f>'Total Staffing'!CH3-'Pavia Staffing'!CH3</f>
        <v>1</v>
      </c>
      <c r="CI3" s="140">
        <f>'Total Staffing'!CI3-'Pavia Staffing'!CI3</f>
        <v>13</v>
      </c>
      <c r="CJ3" s="141">
        <f>'Total Staffing'!CJ3-'Pavia Staffing'!CJ3</f>
        <v>12</v>
      </c>
      <c r="CK3" s="141">
        <f>'Total Staffing'!CK3-'Pavia Staffing'!CK3</f>
        <v>13</v>
      </c>
      <c r="CL3" s="141">
        <f>'Total Staffing'!CL3-'Pavia Staffing'!CL3</f>
        <v>13</v>
      </c>
      <c r="CM3" s="141">
        <f>'Total Staffing'!CM3-'Pavia Staffing'!CM3</f>
        <v>13</v>
      </c>
      <c r="CN3" s="141">
        <f>'Total Staffing'!CN3-'Pavia Staffing'!CN3</f>
        <v>0</v>
      </c>
      <c r="CO3" s="142">
        <f>'Total Staffing'!CO3-'Pavia Staffing'!CO3</f>
        <v>1</v>
      </c>
    </row>
    <row r="4" spans="1:97" x14ac:dyDescent="0.25">
      <c r="A4" s="20" t="str">
        <f>'Agent Sched'!B5</f>
        <v>Riva Joy Orario</v>
      </c>
      <c r="B4" s="12">
        <f>IFERROR(VLOOKUP(A4,'Agent Sched'!$B:$C,2,),"-")</f>
        <v>0.375</v>
      </c>
      <c r="C4" s="13">
        <f t="shared" ref="C4:C67" si="7">IFERROR(IF(B4="PTO","PTO",IF(B4="OFF","OFF", B4 + TIME(9,0,0))),"-")</f>
        <v>0.75</v>
      </c>
      <c r="D4" s="12">
        <f>IFERROR(VLOOKUP(A4,'Agent Sched'!B:D,3,),"-")</f>
        <v>0.375</v>
      </c>
      <c r="E4" s="13">
        <f t="shared" ref="E4:E67" si="8">IFERROR(IF(D4="PTO","PTO",IF(D4="OFF","OFF", D4 + TIME(9,0,0))),"-")</f>
        <v>0.75</v>
      </c>
      <c r="F4" s="12">
        <f>IFERROR(VLOOKUP(A4,'Agent Sched'!B:E,4,),"-")</f>
        <v>0.375</v>
      </c>
      <c r="G4" s="13">
        <f t="shared" ref="G4:G67" si="9">IFERROR(IF(F4="PTO","PTO",IF(F4="OFF","OFF", F4 + TIME(9,0,0))),"-")</f>
        <v>0.75</v>
      </c>
      <c r="H4" s="12" t="str">
        <f>IFERROR(VLOOKUP(A4,'Agent Sched'!B:F,5,),"-")</f>
        <v>OFF</v>
      </c>
      <c r="I4" s="13" t="str">
        <f t="shared" ref="I4:I67" si="10">IFERROR(IF(H4="PTO","PTO",IF(H4="OFF","OFF", H4 + TIME(9,0,0))),"-")</f>
        <v>OFF</v>
      </c>
      <c r="J4" s="12" t="str">
        <f>IFERROR(VLOOKUP(A4,'Agent Sched'!B:G,6,),"-")</f>
        <v>OFF</v>
      </c>
      <c r="K4" s="13" t="str">
        <f t="shared" ref="K4:K67" si="11">IFERROR(IF(J4="PTO","PTO",IF(J4="OFF","OFF", J4 + TIME(9,0,0))),"-")</f>
        <v>OFF</v>
      </c>
      <c r="L4" s="12">
        <f>IFERROR(VLOOKUP(A4,'Agent Sched'!B:H,7,),"-")</f>
        <v>0.375</v>
      </c>
      <c r="M4" s="13">
        <f t="shared" ref="M4:M67" si="12">IFERROR(IF(L4="PTO","PTO",IF(L4="OFF","OFF", L4 + TIME(9,0,0))),"-")</f>
        <v>0.75</v>
      </c>
      <c r="N4" s="21">
        <f>IFERROR(VLOOKUP(A4,'Agent Sched'!B:I,8,),"-")</f>
        <v>0.375</v>
      </c>
      <c r="O4" s="13">
        <f t="shared" ref="O4:O67" si="13">IFERROR(IF(N4="PTO","PTO",IF(N4="OFF","OFF", N4 + TIME(9,0,0))),"-")</f>
        <v>0.75</v>
      </c>
      <c r="Q4" s="12">
        <f>VLOOKUP(A4,'Agent Sched'!B:Y,24,)</f>
        <v>0.375</v>
      </c>
      <c r="R4" s="13">
        <f t="shared" ref="R4:R67" si="14">IFERROR(IF(Q4="PTO","PTO",IF(Q4="OFF","OFF", Q4 + TIME(9,0,0))),"-")</f>
        <v>0.75</v>
      </c>
      <c r="T4" s="25" t="str">
        <f>VLOOKUP(A4,'Agent Sched'!$B:$J,9,)</f>
        <v>OFF</v>
      </c>
      <c r="U4" s="13" t="str">
        <f t="shared" ref="U4:U67" si="15">IFERROR(IF(T4="PTO","PTO",IF(T4="OFF","OFF", T4 + TIME(9,0,0))),"-")</f>
        <v>OFF</v>
      </c>
      <c r="V4" s="12">
        <f>VLOOKUP(A4,'Agent Sched'!B:K,10,)</f>
        <v>0.375</v>
      </c>
      <c r="W4" s="13">
        <f t="shared" ref="W4:W67" si="16">IFERROR(IF(V4="PTO","PTO",IF(V4="OFF","OFF", V4 + TIME(9,0,0))),"-")</f>
        <v>0.75</v>
      </c>
      <c r="X4" s="12">
        <f>VLOOKUP(A4,'Agent Sched'!B:L,11,)</f>
        <v>0.375</v>
      </c>
      <c r="Y4" s="13">
        <f t="shared" ref="Y4:Y67" si="17">IFERROR(IF(X4="PTO","PTO",IF(X4="OFF","OFF", X4 + TIME(9,0,0))),"-")</f>
        <v>0.75</v>
      </c>
      <c r="Z4" s="12">
        <f>VLOOKUP(A4,'Agent Sched'!B:M,12,)</f>
        <v>0.375</v>
      </c>
      <c r="AA4" s="13">
        <f t="shared" ref="AA4:AA67" si="18">IFERROR(IF(Z4="PTO","PTO",IF(Z4="OFF","OFF", Z4 + TIME(9,0,0))),"-")</f>
        <v>0.75</v>
      </c>
      <c r="AB4" s="12">
        <f>VLOOKUP(A4,'Agent Sched'!B:N,13,)</f>
        <v>0.375</v>
      </c>
      <c r="AC4" s="13">
        <f t="shared" ref="AC4:AC67" si="19">IFERROR(IF(AB4="PTO","PTO",IF(AB4="OFF","OFF", AB4 + TIME(9,0,0))),"-")</f>
        <v>0.75</v>
      </c>
      <c r="AD4" s="12">
        <f>VLOOKUP(A4,'Agent Sched'!B:O,14,)</f>
        <v>0.375</v>
      </c>
      <c r="AE4" s="13">
        <f t="shared" ref="AE4:AE67" si="20">IFERROR(IF(AD4="PTO","PTO",IF(AD4="OFF","OFF", AD4 + TIME(9,0,0))),"-")</f>
        <v>0.75</v>
      </c>
      <c r="AF4" s="21" t="str">
        <f>VLOOKUP(A4,'Agent Sched'!B:P,15,)</f>
        <v>OFF</v>
      </c>
      <c r="AG4" s="13" t="str">
        <f t="shared" ref="AG4:AG67" si="21">IFERROR(IF(AF4="PTO","PTO",IF(AF4="OFF","OFF", AF4 + TIME(9,0,0))),"-")</f>
        <v>OFF</v>
      </c>
      <c r="AI4" s="25" t="str">
        <f>VLOOKUP(A4,'Agent Sched'!$B:$Q,16,)</f>
        <v>OFF</v>
      </c>
      <c r="AJ4" s="13" t="str">
        <f t="shared" ref="AJ4:AJ67" si="22">IFERROR(IF(AI4="PTO","PTO",IF(AI4="OFF","OFF", AI4 + TIME(9,0,0))),"-")</f>
        <v>OFF</v>
      </c>
      <c r="AK4" s="12">
        <f>VLOOKUP(A4,'Agent Sched'!B:R,17,)</f>
        <v>0.375</v>
      </c>
      <c r="AL4" s="13">
        <f t="shared" ref="AL4:AL67" si="23">IFERROR(IF(AK4="PTO","PTO",IF(AK4="OFF","OFF", AK4 + TIME(9,0,0))),"-")</f>
        <v>0.75</v>
      </c>
      <c r="AM4" s="12">
        <f>VLOOKUP(A4,'Agent Sched'!B:S,18,)</f>
        <v>0.375</v>
      </c>
      <c r="AN4" s="13">
        <f t="shared" ref="AN4:AN67" si="24">IFERROR(IF(AM4="PTO","PTO",IF(AM4="OFF","OFF", AM4 + TIME(9,0,0))),"-")</f>
        <v>0.75</v>
      </c>
      <c r="AO4" s="12">
        <f>VLOOKUP(A4,'Agent Sched'!B:T,19,)</f>
        <v>0.375</v>
      </c>
      <c r="AP4" s="13">
        <f t="shared" ref="AP4:AP67" si="25">IFERROR(IF(AO4="PTO","PTO",IF(AO4="OFF","OFF", AO4 + TIME(9,0,0))),"-")</f>
        <v>0.75</v>
      </c>
      <c r="AQ4" s="12">
        <f>VLOOKUP(A4,'Agent Sched'!B:U,20,)</f>
        <v>0.375</v>
      </c>
      <c r="AR4" s="13">
        <f t="shared" ref="AR4:AR67" si="26">IFERROR(IF(AQ4="PTO","PTO",IF(AQ4="OFF","OFF", AQ4 + TIME(9,0,0))),"-")</f>
        <v>0.75</v>
      </c>
      <c r="AS4" s="12">
        <f>VLOOKUP(A4,'Agent Sched'!B:V,21,)</f>
        <v>0.375</v>
      </c>
      <c r="AT4" s="13">
        <f t="shared" ref="AT4:AT67" si="27">IFERROR(IF(AS4="PTO","PTO",IF(AS4="OFF","OFF", AS4 + TIME(9,0,0))),"-")</f>
        <v>0.75</v>
      </c>
      <c r="AU4" s="21" t="str">
        <f>VLOOKUP(A4,'Agent Sched'!B:W,22,)</f>
        <v>OFF</v>
      </c>
      <c r="AV4" s="13" t="str">
        <f t="shared" ref="AV4:AV67" si="28">IFERROR(IF(AU4="PTO","PTO",IF(AU4="OFF","OFF", AU4 + TIME(9,0,0))),"-")</f>
        <v>OFF</v>
      </c>
      <c r="AX4" s="30">
        <v>4.1666666666666664E-2</v>
      </c>
      <c r="AY4" s="10">
        <v>1.0416666666666701</v>
      </c>
      <c r="AZ4" s="31">
        <f>'Pavia Staffing'!AZ4</f>
        <v>0</v>
      </c>
      <c r="BA4" s="31">
        <f>'Pavia Staffing'!BA4</f>
        <v>0</v>
      </c>
      <c r="BB4" s="31">
        <f>'Pavia Staffing'!BB4</f>
        <v>0</v>
      </c>
      <c r="BC4" s="31">
        <f>'Pavia Staffing'!BC4</f>
        <v>0</v>
      </c>
      <c r="BD4" s="31">
        <f>'Pavia Staffing'!BD4</f>
        <v>0</v>
      </c>
      <c r="BE4" s="31">
        <f>'Pavia Staffing'!BE4</f>
        <v>0</v>
      </c>
      <c r="BF4" s="32">
        <f>'Pavia Staffing'!BF4</f>
        <v>0</v>
      </c>
      <c r="BH4" s="30">
        <v>4.1666666666666664E-2</v>
      </c>
      <c r="BI4" s="10">
        <v>1.0416666666666701</v>
      </c>
      <c r="BJ4" s="31">
        <f t="shared" ref="BJ4:BJ26" si="29">(COUNTIFS($B$23:$B$35, "&lt;=" &amp; BH4, $C$23:$C$35, "&gt;" &amp; BH4))+COUNTIFS($Q$23:$Q$35, "&lt;=" &amp; BI4, $R$23:$R$35, "&gt;" &amp; BI4)</f>
        <v>0</v>
      </c>
      <c r="BK4" s="31">
        <f t="shared" si="1"/>
        <v>0</v>
      </c>
      <c r="BL4" s="31">
        <f t="shared" si="2"/>
        <v>0</v>
      </c>
      <c r="BM4" s="31">
        <f t="shared" si="3"/>
        <v>0</v>
      </c>
      <c r="BN4" s="31">
        <f t="shared" si="4"/>
        <v>0</v>
      </c>
      <c r="BO4" s="31">
        <f t="shared" si="5"/>
        <v>0</v>
      </c>
      <c r="BP4" s="32">
        <f t="shared" si="6"/>
        <v>0</v>
      </c>
      <c r="BS4" s="38">
        <v>4.1666666666666664E-2</v>
      </c>
      <c r="BT4" s="136">
        <v>1.0416666666666701</v>
      </c>
      <c r="BU4" s="53">
        <f>'Total Staffing'!BU4-'Pavia Staffing'!BU4</f>
        <v>0</v>
      </c>
      <c r="BV4" s="139">
        <f>'Total Staffing'!BV4-'Pavia Staffing'!BV4</f>
        <v>0</v>
      </c>
      <c r="BW4" s="139">
        <f>'Total Staffing'!BW4-'Pavia Staffing'!BW4</f>
        <v>0</v>
      </c>
      <c r="BX4" s="139">
        <f>'Total Staffing'!BX4-'Pavia Staffing'!BX4</f>
        <v>0</v>
      </c>
      <c r="BY4" s="139">
        <f>'Total Staffing'!BY4-'Pavia Staffing'!BY4</f>
        <v>0</v>
      </c>
      <c r="BZ4" s="139">
        <f>'Total Staffing'!BZ4-'Pavia Staffing'!BZ4</f>
        <v>0</v>
      </c>
      <c r="CA4" s="52">
        <f>'Total Staffing'!CA4-'Pavia Staffing'!CA4</f>
        <v>0</v>
      </c>
      <c r="CB4" s="53">
        <f>'Total Staffing'!CB4-'Pavia Staffing'!CB4</f>
        <v>0</v>
      </c>
      <c r="CC4" s="139">
        <f>'Total Staffing'!CC4-'Pavia Staffing'!CC4</f>
        <v>0</v>
      </c>
      <c r="CD4" s="139">
        <f>'Total Staffing'!CD4-'Pavia Staffing'!CD4</f>
        <v>0</v>
      </c>
      <c r="CE4" s="139">
        <f>'Total Staffing'!CE4-'Pavia Staffing'!CE4</f>
        <v>0</v>
      </c>
      <c r="CF4" s="139">
        <f>'Total Staffing'!CF4-'Pavia Staffing'!CF4</f>
        <v>0</v>
      </c>
      <c r="CG4" s="139">
        <f>'Total Staffing'!CG4-'Pavia Staffing'!CG4</f>
        <v>0</v>
      </c>
      <c r="CH4" s="52">
        <f>'Total Staffing'!CH4-'Pavia Staffing'!CH4</f>
        <v>0</v>
      </c>
      <c r="CI4" s="53">
        <f>'Total Staffing'!CI4-'Pavia Staffing'!CI4</f>
        <v>0</v>
      </c>
      <c r="CJ4" s="139">
        <f>'Total Staffing'!CJ4-'Pavia Staffing'!CJ4</f>
        <v>0</v>
      </c>
      <c r="CK4" s="139">
        <f>'Total Staffing'!CK4-'Pavia Staffing'!CK4</f>
        <v>0</v>
      </c>
      <c r="CL4" s="139">
        <f>'Total Staffing'!CL4-'Pavia Staffing'!CL4</f>
        <v>0</v>
      </c>
      <c r="CM4" s="139">
        <f>'Total Staffing'!CM4-'Pavia Staffing'!CM4</f>
        <v>0</v>
      </c>
      <c r="CN4" s="139">
        <f>'Total Staffing'!CN4-'Pavia Staffing'!CN4</f>
        <v>0</v>
      </c>
      <c r="CO4" s="52">
        <f>'Total Staffing'!CO4-'Pavia Staffing'!CO4</f>
        <v>0</v>
      </c>
    </row>
    <row r="5" spans="1:97" x14ac:dyDescent="0.25">
      <c r="A5" s="20" t="str">
        <f>'Agent Sched'!B6</f>
        <v>Eliza Grace Cortez</v>
      </c>
      <c r="B5" s="12">
        <f>IFERROR(VLOOKUP(A5,'Agent Sched'!$B:$C,2,),"-")</f>
        <v>0.375</v>
      </c>
      <c r="C5" s="13">
        <f t="shared" si="7"/>
        <v>0.75</v>
      </c>
      <c r="D5" s="12">
        <f>IFERROR(VLOOKUP(A5,'Agent Sched'!B:D,3,),"-")</f>
        <v>0.375</v>
      </c>
      <c r="E5" s="13">
        <f t="shared" si="8"/>
        <v>0.75</v>
      </c>
      <c r="F5" s="12">
        <f>IFERROR(VLOOKUP(A5,'Agent Sched'!B:E,4,),"-")</f>
        <v>0.375</v>
      </c>
      <c r="G5" s="13">
        <f t="shared" si="9"/>
        <v>0.75</v>
      </c>
      <c r="H5" s="12" t="str">
        <f>IFERROR(VLOOKUP(A5,'Agent Sched'!B:F,5,),"-")</f>
        <v>OFF</v>
      </c>
      <c r="I5" s="13" t="str">
        <f t="shared" si="10"/>
        <v>OFF</v>
      </c>
      <c r="J5" s="12" t="str">
        <f>IFERROR(VLOOKUP(A5,'Agent Sched'!B:G,6,),"-")</f>
        <v>OFF</v>
      </c>
      <c r="K5" s="13" t="str">
        <f t="shared" si="11"/>
        <v>OFF</v>
      </c>
      <c r="L5" s="12">
        <f>IFERROR(VLOOKUP(A5,'Agent Sched'!B:H,7,),"-")</f>
        <v>0.375</v>
      </c>
      <c r="M5" s="13">
        <f t="shared" si="12"/>
        <v>0.75</v>
      </c>
      <c r="N5" s="21">
        <f>IFERROR(VLOOKUP(A5,'Agent Sched'!B:I,8,),"-")</f>
        <v>0.375</v>
      </c>
      <c r="O5" s="13">
        <f t="shared" si="13"/>
        <v>0.75</v>
      </c>
      <c r="Q5" s="12">
        <f>VLOOKUP(A5,'Agent Sched'!B:Y,24,)</f>
        <v>0.375</v>
      </c>
      <c r="R5" s="13">
        <f t="shared" si="14"/>
        <v>0.75</v>
      </c>
      <c r="T5" s="25" t="str">
        <f>VLOOKUP(A5,'Agent Sched'!$B:$J,9,)</f>
        <v>OFF</v>
      </c>
      <c r="U5" s="13" t="str">
        <f t="shared" si="15"/>
        <v>OFF</v>
      </c>
      <c r="V5" s="12">
        <f>VLOOKUP(A5,'Agent Sched'!B:K,10,)</f>
        <v>0.375</v>
      </c>
      <c r="W5" s="13">
        <f t="shared" si="16"/>
        <v>0.75</v>
      </c>
      <c r="X5" s="12">
        <f>VLOOKUP(A5,'Agent Sched'!B:L,11,)</f>
        <v>0.375</v>
      </c>
      <c r="Y5" s="13">
        <f t="shared" si="17"/>
        <v>0.75</v>
      </c>
      <c r="Z5" s="12">
        <f>VLOOKUP(A5,'Agent Sched'!B:M,12,)</f>
        <v>0.375</v>
      </c>
      <c r="AA5" s="13">
        <f t="shared" si="18"/>
        <v>0.75</v>
      </c>
      <c r="AB5" s="12">
        <f>VLOOKUP(A5,'Agent Sched'!B:N,13,)</f>
        <v>0.375</v>
      </c>
      <c r="AC5" s="13">
        <f t="shared" si="19"/>
        <v>0.75</v>
      </c>
      <c r="AD5" s="12">
        <f>VLOOKUP(A5,'Agent Sched'!B:O,14,)</f>
        <v>0.375</v>
      </c>
      <c r="AE5" s="13">
        <f t="shared" si="20"/>
        <v>0.75</v>
      </c>
      <c r="AF5" s="21" t="str">
        <f>VLOOKUP(A5,'Agent Sched'!B:P,15,)</f>
        <v>OFF</v>
      </c>
      <c r="AG5" s="13" t="str">
        <f t="shared" si="21"/>
        <v>OFF</v>
      </c>
      <c r="AI5" s="25" t="str">
        <f>VLOOKUP(A5,'Agent Sched'!$B:$Q,16,)</f>
        <v>OFF</v>
      </c>
      <c r="AJ5" s="13" t="str">
        <f t="shared" si="22"/>
        <v>OFF</v>
      </c>
      <c r="AK5" s="12">
        <f>VLOOKUP(A5,'Agent Sched'!B:R,17,)</f>
        <v>0.375</v>
      </c>
      <c r="AL5" s="13">
        <f t="shared" si="23"/>
        <v>0.75</v>
      </c>
      <c r="AM5" s="12">
        <f>VLOOKUP(A5,'Agent Sched'!B:S,18,)</f>
        <v>0.375</v>
      </c>
      <c r="AN5" s="13">
        <f t="shared" si="24"/>
        <v>0.75</v>
      </c>
      <c r="AO5" s="12">
        <f>VLOOKUP(A5,'Agent Sched'!B:T,19,)</f>
        <v>0.375</v>
      </c>
      <c r="AP5" s="13">
        <f t="shared" si="25"/>
        <v>0.75</v>
      </c>
      <c r="AQ5" s="12">
        <f>VLOOKUP(A5,'Agent Sched'!B:U,20,)</f>
        <v>0.375</v>
      </c>
      <c r="AR5" s="13">
        <f t="shared" si="26"/>
        <v>0.75</v>
      </c>
      <c r="AS5" s="12">
        <f>VLOOKUP(A5,'Agent Sched'!B:V,21,)</f>
        <v>0.375</v>
      </c>
      <c r="AT5" s="13">
        <f t="shared" si="27"/>
        <v>0.75</v>
      </c>
      <c r="AU5" s="21" t="str">
        <f>VLOOKUP(A5,'Agent Sched'!B:W,22,)</f>
        <v>OFF</v>
      </c>
      <c r="AV5" s="13" t="str">
        <f t="shared" si="28"/>
        <v>OFF</v>
      </c>
      <c r="AX5" s="30">
        <v>8.3333333333333301E-2</v>
      </c>
      <c r="AY5" s="10">
        <v>1.0833333333333299</v>
      </c>
      <c r="AZ5" s="31">
        <f>'Pavia Staffing'!AZ5</f>
        <v>0</v>
      </c>
      <c r="BA5" s="31">
        <f>'Pavia Staffing'!BA5</f>
        <v>0</v>
      </c>
      <c r="BB5" s="31">
        <f>'Pavia Staffing'!BB5</f>
        <v>0</v>
      </c>
      <c r="BC5" s="31">
        <f>'Pavia Staffing'!BC5</f>
        <v>0</v>
      </c>
      <c r="BD5" s="31">
        <f>'Pavia Staffing'!BD5</f>
        <v>0</v>
      </c>
      <c r="BE5" s="31">
        <f>'Pavia Staffing'!BE5</f>
        <v>0</v>
      </c>
      <c r="BF5" s="32">
        <f>'Pavia Staffing'!BF5</f>
        <v>0</v>
      </c>
      <c r="BH5" s="30">
        <v>8.3333333333333301E-2</v>
      </c>
      <c r="BI5" s="10">
        <v>1.0833333333333299</v>
      </c>
      <c r="BJ5" s="31">
        <f t="shared" si="29"/>
        <v>0</v>
      </c>
      <c r="BK5" s="31">
        <f t="shared" si="1"/>
        <v>0</v>
      </c>
      <c r="BL5" s="31">
        <f t="shared" si="2"/>
        <v>0</v>
      </c>
      <c r="BM5" s="31">
        <f t="shared" si="3"/>
        <v>0</v>
      </c>
      <c r="BN5" s="31">
        <f t="shared" si="4"/>
        <v>0</v>
      </c>
      <c r="BO5" s="31">
        <f t="shared" si="5"/>
        <v>0</v>
      </c>
      <c r="BP5" s="32">
        <f t="shared" si="6"/>
        <v>0</v>
      </c>
      <c r="BS5" s="38">
        <v>8.3333333333333301E-2</v>
      </c>
      <c r="BT5" s="136">
        <v>1.0833333333333299</v>
      </c>
      <c r="BU5" s="53">
        <f>'Total Staffing'!BU5-'Pavia Staffing'!BU5</f>
        <v>0</v>
      </c>
      <c r="BV5" s="139">
        <f>'Total Staffing'!BV5-'Pavia Staffing'!BV5</f>
        <v>0</v>
      </c>
      <c r="BW5" s="139">
        <f>'Total Staffing'!BW5-'Pavia Staffing'!BW5</f>
        <v>0</v>
      </c>
      <c r="BX5" s="139">
        <f>'Total Staffing'!BX5-'Pavia Staffing'!BX5</f>
        <v>0</v>
      </c>
      <c r="BY5" s="139">
        <f>'Total Staffing'!BY5-'Pavia Staffing'!BY5</f>
        <v>0</v>
      </c>
      <c r="BZ5" s="139">
        <f>'Total Staffing'!BZ5-'Pavia Staffing'!BZ5</f>
        <v>0</v>
      </c>
      <c r="CA5" s="52">
        <f>'Total Staffing'!CA5-'Pavia Staffing'!CA5</f>
        <v>0</v>
      </c>
      <c r="CB5" s="53">
        <f>'Total Staffing'!CB5-'Pavia Staffing'!CB5</f>
        <v>0</v>
      </c>
      <c r="CC5" s="139">
        <f>'Total Staffing'!CC5-'Pavia Staffing'!CC5</f>
        <v>0</v>
      </c>
      <c r="CD5" s="139">
        <f>'Total Staffing'!CD5-'Pavia Staffing'!CD5</f>
        <v>0</v>
      </c>
      <c r="CE5" s="139">
        <f>'Total Staffing'!CE5-'Pavia Staffing'!CE5</f>
        <v>0</v>
      </c>
      <c r="CF5" s="139">
        <f>'Total Staffing'!CF5-'Pavia Staffing'!CF5</f>
        <v>0</v>
      </c>
      <c r="CG5" s="139">
        <f>'Total Staffing'!CG5-'Pavia Staffing'!CG5</f>
        <v>0</v>
      </c>
      <c r="CH5" s="52">
        <f>'Total Staffing'!CH5-'Pavia Staffing'!CH5</f>
        <v>0</v>
      </c>
      <c r="CI5" s="53">
        <f>'Total Staffing'!CI5-'Pavia Staffing'!CI5</f>
        <v>0</v>
      </c>
      <c r="CJ5" s="139">
        <f>'Total Staffing'!CJ5-'Pavia Staffing'!CJ5</f>
        <v>0</v>
      </c>
      <c r="CK5" s="139">
        <f>'Total Staffing'!CK5-'Pavia Staffing'!CK5</f>
        <v>0</v>
      </c>
      <c r="CL5" s="139">
        <f>'Total Staffing'!CL5-'Pavia Staffing'!CL5</f>
        <v>0</v>
      </c>
      <c r="CM5" s="139">
        <f>'Total Staffing'!CM5-'Pavia Staffing'!CM5</f>
        <v>0</v>
      </c>
      <c r="CN5" s="139">
        <f>'Total Staffing'!CN5-'Pavia Staffing'!CN5</f>
        <v>0</v>
      </c>
      <c r="CO5" s="52">
        <f>'Total Staffing'!CO5-'Pavia Staffing'!CO5</f>
        <v>0</v>
      </c>
    </row>
    <row r="6" spans="1:97" x14ac:dyDescent="0.25">
      <c r="A6" s="20" t="str">
        <f>'Agent Sched'!B7</f>
        <v>Emmanuel Togle</v>
      </c>
      <c r="B6" s="12">
        <f>IFERROR(VLOOKUP(A6,'Agent Sched'!$B:$C,2,),"-")</f>
        <v>0.375</v>
      </c>
      <c r="C6" s="13">
        <f t="shared" si="7"/>
        <v>0.75</v>
      </c>
      <c r="D6" s="12">
        <f>IFERROR(VLOOKUP(A6,'Agent Sched'!B:D,3,),"-")</f>
        <v>0.375</v>
      </c>
      <c r="E6" s="13">
        <f t="shared" si="8"/>
        <v>0.75</v>
      </c>
      <c r="F6" s="12">
        <f>IFERROR(VLOOKUP(A6,'Agent Sched'!B:E,4,),"-")</f>
        <v>0.375</v>
      </c>
      <c r="G6" s="13">
        <f t="shared" si="9"/>
        <v>0.75</v>
      </c>
      <c r="H6" s="12" t="str">
        <f>IFERROR(VLOOKUP(A6,'Agent Sched'!B:F,5,),"-")</f>
        <v>OFF</v>
      </c>
      <c r="I6" s="13" t="str">
        <f t="shared" si="10"/>
        <v>OFF</v>
      </c>
      <c r="J6" s="12" t="str">
        <f>IFERROR(VLOOKUP(A6,'Agent Sched'!B:G,6,),"-")</f>
        <v>OFF</v>
      </c>
      <c r="K6" s="13" t="str">
        <f t="shared" si="11"/>
        <v>OFF</v>
      </c>
      <c r="L6" s="12">
        <f>IFERROR(VLOOKUP(A6,'Agent Sched'!B:H,7,),"-")</f>
        <v>0.375</v>
      </c>
      <c r="M6" s="13">
        <f t="shared" si="12"/>
        <v>0.75</v>
      </c>
      <c r="N6" s="21">
        <f>IFERROR(VLOOKUP(A6,'Agent Sched'!B:I,8,),"-")</f>
        <v>0.375</v>
      </c>
      <c r="O6" s="13">
        <f t="shared" si="13"/>
        <v>0.75</v>
      </c>
      <c r="Q6" s="12">
        <f>VLOOKUP(A6,'Agent Sched'!B:Y,24,)</f>
        <v>0.375</v>
      </c>
      <c r="R6" s="13">
        <f t="shared" si="14"/>
        <v>0.75</v>
      </c>
      <c r="T6" s="25" t="str">
        <f>VLOOKUP(A6,'Agent Sched'!$B:$J,9,)</f>
        <v>OFF</v>
      </c>
      <c r="U6" s="13" t="str">
        <f t="shared" si="15"/>
        <v>OFF</v>
      </c>
      <c r="V6" s="12">
        <f>VLOOKUP(A6,'Agent Sched'!B:K,10,)</f>
        <v>0.375</v>
      </c>
      <c r="W6" s="13">
        <f t="shared" si="16"/>
        <v>0.75</v>
      </c>
      <c r="X6" s="12">
        <f>VLOOKUP(A6,'Agent Sched'!B:L,11,)</f>
        <v>0.375</v>
      </c>
      <c r="Y6" s="13">
        <f t="shared" si="17"/>
        <v>0.75</v>
      </c>
      <c r="Z6" s="12">
        <f>VLOOKUP(A6,'Agent Sched'!B:M,12,)</f>
        <v>0.375</v>
      </c>
      <c r="AA6" s="13">
        <f t="shared" si="18"/>
        <v>0.75</v>
      </c>
      <c r="AB6" s="12">
        <f>VLOOKUP(A6,'Agent Sched'!B:N,13,)</f>
        <v>0.375</v>
      </c>
      <c r="AC6" s="13">
        <f t="shared" si="19"/>
        <v>0.75</v>
      </c>
      <c r="AD6" s="12">
        <f>VLOOKUP(A6,'Agent Sched'!B:O,14,)</f>
        <v>0.375</v>
      </c>
      <c r="AE6" s="13">
        <f t="shared" si="20"/>
        <v>0.75</v>
      </c>
      <c r="AF6" s="21" t="str">
        <f>VLOOKUP(A6,'Agent Sched'!B:P,15,)</f>
        <v>OFF</v>
      </c>
      <c r="AG6" s="13" t="str">
        <f t="shared" si="21"/>
        <v>OFF</v>
      </c>
      <c r="AI6" s="25" t="str">
        <f>VLOOKUP(A6,'Agent Sched'!$B:$Q,16,)</f>
        <v>OFF</v>
      </c>
      <c r="AJ6" s="13" t="str">
        <f t="shared" si="22"/>
        <v>OFF</v>
      </c>
      <c r="AK6" s="12">
        <f>VLOOKUP(A6,'Agent Sched'!B:R,17,)</f>
        <v>0.375</v>
      </c>
      <c r="AL6" s="13">
        <f t="shared" si="23"/>
        <v>0.75</v>
      </c>
      <c r="AM6" s="12">
        <f>VLOOKUP(A6,'Agent Sched'!B:S,18,)</f>
        <v>0.375</v>
      </c>
      <c r="AN6" s="13">
        <f t="shared" si="24"/>
        <v>0.75</v>
      </c>
      <c r="AO6" s="12">
        <f>VLOOKUP(A6,'Agent Sched'!B:T,19,)</f>
        <v>0.375</v>
      </c>
      <c r="AP6" s="13">
        <f t="shared" si="25"/>
        <v>0.75</v>
      </c>
      <c r="AQ6" s="12">
        <f>VLOOKUP(A6,'Agent Sched'!B:U,20,)</f>
        <v>0.375</v>
      </c>
      <c r="AR6" s="13">
        <f t="shared" si="26"/>
        <v>0.75</v>
      </c>
      <c r="AS6" s="12">
        <f>VLOOKUP(A6,'Agent Sched'!B:V,21,)</f>
        <v>0.375</v>
      </c>
      <c r="AT6" s="13">
        <f t="shared" si="27"/>
        <v>0.75</v>
      </c>
      <c r="AU6" s="21" t="str">
        <f>VLOOKUP(A6,'Agent Sched'!B:W,22,)</f>
        <v>OFF</v>
      </c>
      <c r="AV6" s="13" t="str">
        <f t="shared" si="28"/>
        <v>OFF</v>
      </c>
      <c r="AX6" s="30">
        <v>0.125</v>
      </c>
      <c r="AY6" s="10">
        <v>1.125</v>
      </c>
      <c r="AZ6" s="31">
        <f>'Pavia Staffing'!AZ6</f>
        <v>0</v>
      </c>
      <c r="BA6" s="31">
        <f>'Pavia Staffing'!BA6</f>
        <v>0</v>
      </c>
      <c r="BB6" s="31">
        <f>'Pavia Staffing'!BB6</f>
        <v>0</v>
      </c>
      <c r="BC6" s="31">
        <f>'Pavia Staffing'!BC6</f>
        <v>0</v>
      </c>
      <c r="BD6" s="31">
        <f>'Pavia Staffing'!BD6</f>
        <v>0</v>
      </c>
      <c r="BE6" s="31">
        <f>'Pavia Staffing'!BE6</f>
        <v>0</v>
      </c>
      <c r="BF6" s="32">
        <f>'Pavia Staffing'!BF6</f>
        <v>0</v>
      </c>
      <c r="BH6" s="30">
        <v>0.125</v>
      </c>
      <c r="BI6" s="10">
        <v>1.125</v>
      </c>
      <c r="BJ6" s="31">
        <f t="shared" si="29"/>
        <v>0</v>
      </c>
      <c r="BK6" s="31">
        <f t="shared" si="1"/>
        <v>0</v>
      </c>
      <c r="BL6" s="31">
        <f t="shared" si="2"/>
        <v>0</v>
      </c>
      <c r="BM6" s="31">
        <f t="shared" si="3"/>
        <v>0</v>
      </c>
      <c r="BN6" s="31">
        <f t="shared" si="4"/>
        <v>0</v>
      </c>
      <c r="BO6" s="31">
        <f t="shared" si="5"/>
        <v>0</v>
      </c>
      <c r="BP6" s="32">
        <f t="shared" si="6"/>
        <v>0</v>
      </c>
      <c r="BS6" s="38">
        <v>0.125</v>
      </c>
      <c r="BT6" s="136">
        <v>1.125</v>
      </c>
      <c r="BU6" s="53">
        <f>'Total Staffing'!BU6-'Pavia Staffing'!BU6</f>
        <v>0</v>
      </c>
      <c r="BV6" s="139">
        <f>'Total Staffing'!BV6-'Pavia Staffing'!BV6</f>
        <v>0</v>
      </c>
      <c r="BW6" s="139">
        <f>'Total Staffing'!BW6-'Pavia Staffing'!BW6</f>
        <v>0</v>
      </c>
      <c r="BX6" s="139">
        <f>'Total Staffing'!BX6-'Pavia Staffing'!BX6</f>
        <v>0</v>
      </c>
      <c r="BY6" s="139">
        <f>'Total Staffing'!BY6-'Pavia Staffing'!BY6</f>
        <v>0</v>
      </c>
      <c r="BZ6" s="139">
        <f>'Total Staffing'!BZ6-'Pavia Staffing'!BZ6</f>
        <v>0</v>
      </c>
      <c r="CA6" s="52">
        <f>'Total Staffing'!CA6-'Pavia Staffing'!CA6</f>
        <v>0</v>
      </c>
      <c r="CB6" s="53">
        <f>'Total Staffing'!CB6-'Pavia Staffing'!CB6</f>
        <v>0</v>
      </c>
      <c r="CC6" s="139">
        <f>'Total Staffing'!CC6-'Pavia Staffing'!CC6</f>
        <v>0</v>
      </c>
      <c r="CD6" s="139">
        <f>'Total Staffing'!CD6-'Pavia Staffing'!CD6</f>
        <v>0</v>
      </c>
      <c r="CE6" s="139">
        <f>'Total Staffing'!CE6-'Pavia Staffing'!CE6</f>
        <v>0</v>
      </c>
      <c r="CF6" s="139">
        <f>'Total Staffing'!CF6-'Pavia Staffing'!CF6</f>
        <v>0</v>
      </c>
      <c r="CG6" s="139">
        <f>'Total Staffing'!CG6-'Pavia Staffing'!CG6</f>
        <v>0</v>
      </c>
      <c r="CH6" s="52">
        <f>'Total Staffing'!CH6-'Pavia Staffing'!CH6</f>
        <v>0</v>
      </c>
      <c r="CI6" s="53">
        <f>'Total Staffing'!CI6-'Pavia Staffing'!CI6</f>
        <v>0</v>
      </c>
      <c r="CJ6" s="139">
        <f>'Total Staffing'!CJ6-'Pavia Staffing'!CJ6</f>
        <v>0</v>
      </c>
      <c r="CK6" s="139">
        <f>'Total Staffing'!CK6-'Pavia Staffing'!CK6</f>
        <v>0</v>
      </c>
      <c r="CL6" s="139">
        <f>'Total Staffing'!CL6-'Pavia Staffing'!CL6</f>
        <v>0</v>
      </c>
      <c r="CM6" s="139">
        <f>'Total Staffing'!CM6-'Pavia Staffing'!CM6</f>
        <v>0</v>
      </c>
      <c r="CN6" s="139">
        <f>'Total Staffing'!CN6-'Pavia Staffing'!CN6</f>
        <v>0</v>
      </c>
      <c r="CO6" s="52">
        <f>'Total Staffing'!CO6-'Pavia Staffing'!CO6</f>
        <v>0</v>
      </c>
    </row>
    <row r="7" spans="1:97" x14ac:dyDescent="0.25">
      <c r="A7" s="20" t="str">
        <f>'Agent Sched'!B8</f>
        <v>Tommy Harold Jamandron</v>
      </c>
      <c r="B7" s="12">
        <f>IFERROR(VLOOKUP(A7,'Agent Sched'!$B:$C,2,),"-")</f>
        <v>0.375</v>
      </c>
      <c r="C7" s="13">
        <f t="shared" si="7"/>
        <v>0.75</v>
      </c>
      <c r="D7" s="12">
        <f>IFERROR(VLOOKUP(A7,'Agent Sched'!B:D,3,),"-")</f>
        <v>0.375</v>
      </c>
      <c r="E7" s="13">
        <f t="shared" si="8"/>
        <v>0.75</v>
      </c>
      <c r="F7" s="12">
        <f>IFERROR(VLOOKUP(A7,'Agent Sched'!B:E,4,),"-")</f>
        <v>0.375</v>
      </c>
      <c r="G7" s="13">
        <f t="shared" si="9"/>
        <v>0.75</v>
      </c>
      <c r="H7" s="12" t="str">
        <f>IFERROR(VLOOKUP(A7,'Agent Sched'!B:F,5,),"-")</f>
        <v>OFF</v>
      </c>
      <c r="I7" s="13" t="str">
        <f t="shared" si="10"/>
        <v>OFF</v>
      </c>
      <c r="J7" s="12" t="str">
        <f>IFERROR(VLOOKUP(A7,'Agent Sched'!B:G,6,),"-")</f>
        <v>OFF</v>
      </c>
      <c r="K7" s="13" t="str">
        <f t="shared" si="11"/>
        <v>OFF</v>
      </c>
      <c r="L7" s="12">
        <f>IFERROR(VLOOKUP(A7,'Agent Sched'!B:H,7,),"-")</f>
        <v>0.375</v>
      </c>
      <c r="M7" s="13">
        <f t="shared" si="12"/>
        <v>0.75</v>
      </c>
      <c r="N7" s="21">
        <f>IFERROR(VLOOKUP(A7,'Agent Sched'!B:I,8,),"-")</f>
        <v>0.375</v>
      </c>
      <c r="O7" s="13">
        <f t="shared" si="13"/>
        <v>0.75</v>
      </c>
      <c r="Q7" s="12">
        <f>VLOOKUP(A7,'Agent Sched'!B:Y,24,)</f>
        <v>0.375</v>
      </c>
      <c r="R7" s="13">
        <f t="shared" si="14"/>
        <v>0.75</v>
      </c>
      <c r="T7" s="25" t="str">
        <f>VLOOKUP(A7,'Agent Sched'!$B:$J,9,)</f>
        <v>OFF</v>
      </c>
      <c r="U7" s="13" t="str">
        <f t="shared" si="15"/>
        <v>OFF</v>
      </c>
      <c r="V7" s="12">
        <f>VLOOKUP(A7,'Agent Sched'!B:K,10,)</f>
        <v>0.375</v>
      </c>
      <c r="W7" s="13">
        <f t="shared" si="16"/>
        <v>0.75</v>
      </c>
      <c r="X7" s="12">
        <f>VLOOKUP(A7,'Agent Sched'!B:L,11,)</f>
        <v>0.375</v>
      </c>
      <c r="Y7" s="13">
        <f t="shared" si="17"/>
        <v>0.75</v>
      </c>
      <c r="Z7" s="12">
        <f>VLOOKUP(A7,'Agent Sched'!B:M,12,)</f>
        <v>0.375</v>
      </c>
      <c r="AA7" s="13">
        <f t="shared" si="18"/>
        <v>0.75</v>
      </c>
      <c r="AB7" s="12">
        <f>VLOOKUP(A7,'Agent Sched'!B:N,13,)</f>
        <v>0.375</v>
      </c>
      <c r="AC7" s="13">
        <f t="shared" si="19"/>
        <v>0.75</v>
      </c>
      <c r="AD7" s="12">
        <f>VLOOKUP(A7,'Agent Sched'!B:O,14,)</f>
        <v>0.375</v>
      </c>
      <c r="AE7" s="13">
        <f t="shared" si="20"/>
        <v>0.75</v>
      </c>
      <c r="AF7" s="21" t="str">
        <f>VLOOKUP(A7,'Agent Sched'!B:P,15,)</f>
        <v>OFF</v>
      </c>
      <c r="AG7" s="13" t="str">
        <f t="shared" si="21"/>
        <v>OFF</v>
      </c>
      <c r="AI7" s="25" t="str">
        <f>VLOOKUP(A7,'Agent Sched'!$B:$Q,16,)</f>
        <v>OFF</v>
      </c>
      <c r="AJ7" s="13" t="str">
        <f t="shared" si="22"/>
        <v>OFF</v>
      </c>
      <c r="AK7" s="12">
        <f>VLOOKUP(A7,'Agent Sched'!B:R,17,)</f>
        <v>0.375</v>
      </c>
      <c r="AL7" s="13">
        <f t="shared" si="23"/>
        <v>0.75</v>
      </c>
      <c r="AM7" s="12">
        <f>VLOOKUP(A7,'Agent Sched'!B:S,18,)</f>
        <v>0.375</v>
      </c>
      <c r="AN7" s="13">
        <f t="shared" si="24"/>
        <v>0.75</v>
      </c>
      <c r="AO7" s="12">
        <f>VLOOKUP(A7,'Agent Sched'!B:T,19,)</f>
        <v>0.375</v>
      </c>
      <c r="AP7" s="13">
        <f t="shared" si="25"/>
        <v>0.75</v>
      </c>
      <c r="AQ7" s="12">
        <f>VLOOKUP(A7,'Agent Sched'!B:U,20,)</f>
        <v>0.375</v>
      </c>
      <c r="AR7" s="13">
        <f t="shared" si="26"/>
        <v>0.75</v>
      </c>
      <c r="AS7" s="12">
        <f>VLOOKUP(A7,'Agent Sched'!B:V,21,)</f>
        <v>0.375</v>
      </c>
      <c r="AT7" s="13">
        <f t="shared" si="27"/>
        <v>0.75</v>
      </c>
      <c r="AU7" s="21" t="str">
        <f>VLOOKUP(A7,'Agent Sched'!B:W,22,)</f>
        <v>OFF</v>
      </c>
      <c r="AV7" s="13" t="str">
        <f t="shared" si="28"/>
        <v>OFF</v>
      </c>
      <c r="AX7" s="30">
        <v>0.16666666666666699</v>
      </c>
      <c r="AY7" s="10">
        <v>1.1666666666666701</v>
      </c>
      <c r="AZ7" s="31">
        <f>'Pavia Staffing'!AZ7</f>
        <v>0</v>
      </c>
      <c r="BA7" s="31">
        <f>'Pavia Staffing'!BA7</f>
        <v>0</v>
      </c>
      <c r="BB7" s="31">
        <f>'Pavia Staffing'!BB7</f>
        <v>0</v>
      </c>
      <c r="BC7" s="31">
        <f>'Pavia Staffing'!BC7</f>
        <v>0</v>
      </c>
      <c r="BD7" s="31">
        <f>'Pavia Staffing'!BD7</f>
        <v>0</v>
      </c>
      <c r="BE7" s="31">
        <f>'Pavia Staffing'!BE7</f>
        <v>0</v>
      </c>
      <c r="BF7" s="32">
        <f>'Pavia Staffing'!BF7</f>
        <v>0</v>
      </c>
      <c r="BH7" s="30">
        <v>0.16666666666666699</v>
      </c>
      <c r="BI7" s="10">
        <v>1.1666666666666601</v>
      </c>
      <c r="BJ7" s="31">
        <f t="shared" si="29"/>
        <v>0</v>
      </c>
      <c r="BK7" s="31">
        <f t="shared" si="1"/>
        <v>0</v>
      </c>
      <c r="BL7" s="31">
        <f t="shared" si="2"/>
        <v>0</v>
      </c>
      <c r="BM7" s="31">
        <f t="shared" si="3"/>
        <v>0</v>
      </c>
      <c r="BN7" s="31">
        <f t="shared" si="4"/>
        <v>0</v>
      </c>
      <c r="BO7" s="31">
        <f t="shared" si="5"/>
        <v>0</v>
      </c>
      <c r="BP7" s="32">
        <f t="shared" si="6"/>
        <v>0</v>
      </c>
      <c r="BS7" s="38">
        <v>0.16666666666666699</v>
      </c>
      <c r="BT7" s="136">
        <v>1.1666666666666701</v>
      </c>
      <c r="BU7" s="53">
        <f>'Total Staffing'!BU7-'Pavia Staffing'!BU7</f>
        <v>0</v>
      </c>
      <c r="BV7" s="139">
        <f>'Total Staffing'!BV7-'Pavia Staffing'!BV7</f>
        <v>0</v>
      </c>
      <c r="BW7" s="139">
        <f>'Total Staffing'!BW7-'Pavia Staffing'!BW7</f>
        <v>0</v>
      </c>
      <c r="BX7" s="139">
        <f>'Total Staffing'!BX7-'Pavia Staffing'!BX7</f>
        <v>0</v>
      </c>
      <c r="BY7" s="139">
        <f>'Total Staffing'!BY7-'Pavia Staffing'!BY7</f>
        <v>0</v>
      </c>
      <c r="BZ7" s="139">
        <f>'Total Staffing'!BZ7-'Pavia Staffing'!BZ7</f>
        <v>0</v>
      </c>
      <c r="CA7" s="52">
        <f>'Total Staffing'!CA7-'Pavia Staffing'!CA7</f>
        <v>0</v>
      </c>
      <c r="CB7" s="53">
        <f>'Total Staffing'!CB7-'Pavia Staffing'!CB7</f>
        <v>0</v>
      </c>
      <c r="CC7" s="139">
        <f>'Total Staffing'!CC7-'Pavia Staffing'!CC7</f>
        <v>0</v>
      </c>
      <c r="CD7" s="139">
        <f>'Total Staffing'!CD7-'Pavia Staffing'!CD7</f>
        <v>0</v>
      </c>
      <c r="CE7" s="139">
        <f>'Total Staffing'!CE7-'Pavia Staffing'!CE7</f>
        <v>0</v>
      </c>
      <c r="CF7" s="139">
        <f>'Total Staffing'!CF7-'Pavia Staffing'!CF7</f>
        <v>0</v>
      </c>
      <c r="CG7" s="139">
        <f>'Total Staffing'!CG7-'Pavia Staffing'!CG7</f>
        <v>0</v>
      </c>
      <c r="CH7" s="52">
        <f>'Total Staffing'!CH7-'Pavia Staffing'!CH7</f>
        <v>0</v>
      </c>
      <c r="CI7" s="53">
        <f>'Total Staffing'!CI7-'Pavia Staffing'!CI7</f>
        <v>0</v>
      </c>
      <c r="CJ7" s="139">
        <f>'Total Staffing'!CJ7-'Pavia Staffing'!CJ7</f>
        <v>0</v>
      </c>
      <c r="CK7" s="139">
        <f>'Total Staffing'!CK7-'Pavia Staffing'!CK7</f>
        <v>0</v>
      </c>
      <c r="CL7" s="139">
        <f>'Total Staffing'!CL7-'Pavia Staffing'!CL7</f>
        <v>0</v>
      </c>
      <c r="CM7" s="139">
        <f>'Total Staffing'!CM7-'Pavia Staffing'!CM7</f>
        <v>0</v>
      </c>
      <c r="CN7" s="139">
        <f>'Total Staffing'!CN7-'Pavia Staffing'!CN7</f>
        <v>0</v>
      </c>
      <c r="CO7" s="52">
        <f>'Total Staffing'!CO7-'Pavia Staffing'!CO7</f>
        <v>0</v>
      </c>
    </row>
    <row r="8" spans="1:97" x14ac:dyDescent="0.25">
      <c r="A8" s="20" t="str">
        <f>'Agent Sched'!B9</f>
        <v>Yron Angelo Llanda</v>
      </c>
      <c r="B8" s="12">
        <f>IFERROR(VLOOKUP(A8,'Agent Sched'!$B:$C,2,),"-")</f>
        <v>0.375</v>
      </c>
      <c r="C8" s="13">
        <f t="shared" si="7"/>
        <v>0.75</v>
      </c>
      <c r="D8" s="12">
        <f>IFERROR(VLOOKUP(A8,'Agent Sched'!B:D,3,),"-")</f>
        <v>0.375</v>
      </c>
      <c r="E8" s="13">
        <f t="shared" si="8"/>
        <v>0.75</v>
      </c>
      <c r="F8" s="12">
        <f>IFERROR(VLOOKUP(A8,'Agent Sched'!B:E,4,),"-")</f>
        <v>0.375</v>
      </c>
      <c r="G8" s="13">
        <f t="shared" si="9"/>
        <v>0.75</v>
      </c>
      <c r="H8" s="12" t="str">
        <f>IFERROR(VLOOKUP(A8,'Agent Sched'!B:F,5,),"-")</f>
        <v>OFF</v>
      </c>
      <c r="I8" s="13" t="str">
        <f t="shared" si="10"/>
        <v>OFF</v>
      </c>
      <c r="J8" s="12" t="str">
        <f>IFERROR(VLOOKUP(A8,'Agent Sched'!B:G,6,),"-")</f>
        <v>OFF</v>
      </c>
      <c r="K8" s="13" t="str">
        <f t="shared" si="11"/>
        <v>OFF</v>
      </c>
      <c r="L8" s="12">
        <f>IFERROR(VLOOKUP(A8,'Agent Sched'!B:H,7,),"-")</f>
        <v>0.375</v>
      </c>
      <c r="M8" s="13">
        <f t="shared" si="12"/>
        <v>0.75</v>
      </c>
      <c r="N8" s="21">
        <f>IFERROR(VLOOKUP(A8,'Agent Sched'!B:I,8,),"-")</f>
        <v>0.375</v>
      </c>
      <c r="O8" s="13">
        <f t="shared" si="13"/>
        <v>0.75</v>
      </c>
      <c r="Q8" s="12">
        <f>VLOOKUP(A8,'Agent Sched'!B:Y,24,)</f>
        <v>0.375</v>
      </c>
      <c r="R8" s="13">
        <f t="shared" si="14"/>
        <v>0.75</v>
      </c>
      <c r="T8" s="25" t="str">
        <f>VLOOKUP(A8,'Agent Sched'!$B:$J,9,)</f>
        <v>OFF</v>
      </c>
      <c r="U8" s="13" t="str">
        <f t="shared" si="15"/>
        <v>OFF</v>
      </c>
      <c r="V8" s="12">
        <f>VLOOKUP(A8,'Agent Sched'!B:K,10,)</f>
        <v>0.375</v>
      </c>
      <c r="W8" s="13">
        <f t="shared" si="16"/>
        <v>0.75</v>
      </c>
      <c r="X8" s="12">
        <f>VLOOKUP(A8,'Agent Sched'!B:L,11,)</f>
        <v>0.375</v>
      </c>
      <c r="Y8" s="13">
        <f t="shared" si="17"/>
        <v>0.75</v>
      </c>
      <c r="Z8" s="12">
        <f>VLOOKUP(A8,'Agent Sched'!B:M,12,)</f>
        <v>0.375</v>
      </c>
      <c r="AA8" s="13">
        <f t="shared" si="18"/>
        <v>0.75</v>
      </c>
      <c r="AB8" s="12">
        <f>VLOOKUP(A8,'Agent Sched'!B:N,13,)</f>
        <v>0.375</v>
      </c>
      <c r="AC8" s="13">
        <f t="shared" si="19"/>
        <v>0.75</v>
      </c>
      <c r="AD8" s="12">
        <f>VLOOKUP(A8,'Agent Sched'!B:O,14,)</f>
        <v>0.375</v>
      </c>
      <c r="AE8" s="13">
        <f t="shared" si="20"/>
        <v>0.75</v>
      </c>
      <c r="AF8" s="21" t="str">
        <f>VLOOKUP(A8,'Agent Sched'!B:P,15,)</f>
        <v>OFF</v>
      </c>
      <c r="AG8" s="13" t="str">
        <f t="shared" si="21"/>
        <v>OFF</v>
      </c>
      <c r="AI8" s="25" t="str">
        <f>VLOOKUP(A8,'Agent Sched'!$B:$Q,16,)</f>
        <v>OFF</v>
      </c>
      <c r="AJ8" s="13" t="str">
        <f t="shared" si="22"/>
        <v>OFF</v>
      </c>
      <c r="AK8" s="12">
        <f>VLOOKUP(A8,'Agent Sched'!B:R,17,)</f>
        <v>0.375</v>
      </c>
      <c r="AL8" s="13">
        <f t="shared" si="23"/>
        <v>0.75</v>
      </c>
      <c r="AM8" s="12">
        <f>VLOOKUP(A8,'Agent Sched'!B:S,18,)</f>
        <v>0.375</v>
      </c>
      <c r="AN8" s="13">
        <f t="shared" si="24"/>
        <v>0.75</v>
      </c>
      <c r="AO8" s="12">
        <f>VLOOKUP(A8,'Agent Sched'!B:T,19,)</f>
        <v>0.375</v>
      </c>
      <c r="AP8" s="13">
        <f t="shared" si="25"/>
        <v>0.75</v>
      </c>
      <c r="AQ8" s="12">
        <f>VLOOKUP(A8,'Agent Sched'!B:U,20,)</f>
        <v>0.375</v>
      </c>
      <c r="AR8" s="13">
        <f t="shared" si="26"/>
        <v>0.75</v>
      </c>
      <c r="AS8" s="12">
        <f>VLOOKUP(A8,'Agent Sched'!B:V,21,)</f>
        <v>0.375</v>
      </c>
      <c r="AT8" s="13">
        <f t="shared" si="27"/>
        <v>0.75</v>
      </c>
      <c r="AU8" s="21" t="str">
        <f>VLOOKUP(A8,'Agent Sched'!B:W,22,)</f>
        <v>OFF</v>
      </c>
      <c r="AV8" s="13" t="str">
        <f t="shared" si="28"/>
        <v>OFF</v>
      </c>
      <c r="AX8" s="30">
        <v>0.20833333333333301</v>
      </c>
      <c r="AY8" s="10">
        <v>1.2083333333333399</v>
      </c>
      <c r="AZ8" s="31">
        <f>'Pavia Staffing'!AZ8</f>
        <v>0</v>
      </c>
      <c r="BA8" s="31">
        <f>'Pavia Staffing'!BA8</f>
        <v>0</v>
      </c>
      <c r="BB8" s="31">
        <f>'Pavia Staffing'!BB8</f>
        <v>0</v>
      </c>
      <c r="BC8" s="31">
        <f>'Pavia Staffing'!BC8</f>
        <v>0</v>
      </c>
      <c r="BD8" s="31">
        <f>'Pavia Staffing'!BD8</f>
        <v>0</v>
      </c>
      <c r="BE8" s="31">
        <f>'Pavia Staffing'!BE8</f>
        <v>0</v>
      </c>
      <c r="BF8" s="32">
        <f>'Pavia Staffing'!BF8</f>
        <v>0</v>
      </c>
      <c r="BH8" s="30">
        <v>0.20833333333333301</v>
      </c>
      <c r="BI8" s="10">
        <v>1.2083333333333299</v>
      </c>
      <c r="BJ8" s="31">
        <f t="shared" si="29"/>
        <v>0</v>
      </c>
      <c r="BK8" s="31">
        <f t="shared" si="1"/>
        <v>0</v>
      </c>
      <c r="BL8" s="31">
        <f t="shared" si="2"/>
        <v>0</v>
      </c>
      <c r="BM8" s="31">
        <f t="shared" si="3"/>
        <v>0</v>
      </c>
      <c r="BN8" s="31">
        <f t="shared" si="4"/>
        <v>0</v>
      </c>
      <c r="BO8" s="31">
        <f t="shared" si="5"/>
        <v>0</v>
      </c>
      <c r="BP8" s="32">
        <f t="shared" si="6"/>
        <v>0</v>
      </c>
      <c r="BS8" s="38">
        <v>0.20833333333333301</v>
      </c>
      <c r="BT8" s="136">
        <v>1.2083333333333399</v>
      </c>
      <c r="BU8" s="53">
        <f>'Total Staffing'!BU8-'Pavia Staffing'!BU8</f>
        <v>0</v>
      </c>
      <c r="BV8" s="139">
        <f>'Total Staffing'!BV8-'Pavia Staffing'!BV8</f>
        <v>0</v>
      </c>
      <c r="BW8" s="139">
        <f>'Total Staffing'!BW8-'Pavia Staffing'!BW8</f>
        <v>0</v>
      </c>
      <c r="BX8" s="139">
        <f>'Total Staffing'!BX8-'Pavia Staffing'!BX8</f>
        <v>0</v>
      </c>
      <c r="BY8" s="139">
        <f>'Total Staffing'!BY8-'Pavia Staffing'!BY8</f>
        <v>0</v>
      </c>
      <c r="BZ8" s="139">
        <f>'Total Staffing'!BZ8-'Pavia Staffing'!BZ8</f>
        <v>0</v>
      </c>
      <c r="CA8" s="52">
        <f>'Total Staffing'!CA8-'Pavia Staffing'!CA8</f>
        <v>0</v>
      </c>
      <c r="CB8" s="53">
        <f>'Total Staffing'!CB8-'Pavia Staffing'!CB8</f>
        <v>0</v>
      </c>
      <c r="CC8" s="139">
        <f>'Total Staffing'!CC8-'Pavia Staffing'!CC8</f>
        <v>0</v>
      </c>
      <c r="CD8" s="139">
        <f>'Total Staffing'!CD8-'Pavia Staffing'!CD8</f>
        <v>0</v>
      </c>
      <c r="CE8" s="139">
        <f>'Total Staffing'!CE8-'Pavia Staffing'!CE8</f>
        <v>0</v>
      </c>
      <c r="CF8" s="139">
        <f>'Total Staffing'!CF8-'Pavia Staffing'!CF8</f>
        <v>0</v>
      </c>
      <c r="CG8" s="139">
        <f>'Total Staffing'!CG8-'Pavia Staffing'!CG8</f>
        <v>0</v>
      </c>
      <c r="CH8" s="52">
        <f>'Total Staffing'!CH8-'Pavia Staffing'!CH8</f>
        <v>0</v>
      </c>
      <c r="CI8" s="53">
        <f>'Total Staffing'!CI8-'Pavia Staffing'!CI8</f>
        <v>0</v>
      </c>
      <c r="CJ8" s="139">
        <f>'Total Staffing'!CJ8-'Pavia Staffing'!CJ8</f>
        <v>0</v>
      </c>
      <c r="CK8" s="139">
        <f>'Total Staffing'!CK8-'Pavia Staffing'!CK8</f>
        <v>0</v>
      </c>
      <c r="CL8" s="139">
        <f>'Total Staffing'!CL8-'Pavia Staffing'!CL8</f>
        <v>0</v>
      </c>
      <c r="CM8" s="139">
        <f>'Total Staffing'!CM8-'Pavia Staffing'!CM8</f>
        <v>0</v>
      </c>
      <c r="CN8" s="139">
        <f>'Total Staffing'!CN8-'Pavia Staffing'!CN8</f>
        <v>0</v>
      </c>
      <c r="CO8" s="52">
        <f>'Total Staffing'!CO8-'Pavia Staffing'!CO8</f>
        <v>0</v>
      </c>
    </row>
    <row r="9" spans="1:97" x14ac:dyDescent="0.25">
      <c r="A9" s="20" t="str">
        <f>'Agent Sched'!B10</f>
        <v>Annje,Libo-on,Jardinaso</v>
      </c>
      <c r="B9" s="12">
        <f>IFERROR(VLOOKUP(A9,'Agent Sched'!$B:$C,2,),"-")</f>
        <v>0.375</v>
      </c>
      <c r="C9" s="13">
        <f t="shared" si="7"/>
        <v>0.75</v>
      </c>
      <c r="D9" s="12">
        <f>IFERROR(VLOOKUP(A9,'Agent Sched'!B:D,3,),"-")</f>
        <v>0.375</v>
      </c>
      <c r="E9" s="13">
        <f t="shared" si="8"/>
        <v>0.75</v>
      </c>
      <c r="F9" s="12">
        <f>IFERROR(VLOOKUP(A9,'Agent Sched'!B:E,4,),"-")</f>
        <v>0.375</v>
      </c>
      <c r="G9" s="13">
        <f t="shared" si="9"/>
        <v>0.75</v>
      </c>
      <c r="H9" s="12" t="str">
        <f>IFERROR(VLOOKUP(A9,'Agent Sched'!B:F,5,),"-")</f>
        <v>OFF</v>
      </c>
      <c r="I9" s="13" t="str">
        <f t="shared" si="10"/>
        <v>OFF</v>
      </c>
      <c r="J9" s="12" t="str">
        <f>IFERROR(VLOOKUP(A9,'Agent Sched'!B:G,6,),"-")</f>
        <v>OFF</v>
      </c>
      <c r="K9" s="13" t="str">
        <f t="shared" si="11"/>
        <v>OFF</v>
      </c>
      <c r="L9" s="12">
        <f>IFERROR(VLOOKUP(A9,'Agent Sched'!B:H,7,),"-")</f>
        <v>0.375</v>
      </c>
      <c r="M9" s="13">
        <f t="shared" si="12"/>
        <v>0.75</v>
      </c>
      <c r="N9" s="21">
        <f>IFERROR(VLOOKUP(A9,'Agent Sched'!B:I,8,),"-")</f>
        <v>0.375</v>
      </c>
      <c r="O9" s="13">
        <f t="shared" si="13"/>
        <v>0.75</v>
      </c>
      <c r="Q9" s="12">
        <f>VLOOKUP(A9,'Agent Sched'!B:Y,24,)</f>
        <v>0.375</v>
      </c>
      <c r="R9" s="13">
        <f t="shared" si="14"/>
        <v>0.75</v>
      </c>
      <c r="T9" s="25" t="str">
        <f>VLOOKUP(A9,'Agent Sched'!$B:$J,9,)</f>
        <v>OFF</v>
      </c>
      <c r="U9" s="13" t="str">
        <f t="shared" si="15"/>
        <v>OFF</v>
      </c>
      <c r="V9" s="12">
        <f>VLOOKUP(A9,'Agent Sched'!B:K,10,)</f>
        <v>0.375</v>
      </c>
      <c r="W9" s="13">
        <f t="shared" si="16"/>
        <v>0.75</v>
      </c>
      <c r="X9" s="12">
        <f>VLOOKUP(A9,'Agent Sched'!B:L,11,)</f>
        <v>0.375</v>
      </c>
      <c r="Y9" s="13">
        <f t="shared" si="17"/>
        <v>0.75</v>
      </c>
      <c r="Z9" s="12">
        <f>VLOOKUP(A9,'Agent Sched'!B:M,12,)</f>
        <v>0.375</v>
      </c>
      <c r="AA9" s="13">
        <f t="shared" si="18"/>
        <v>0.75</v>
      </c>
      <c r="AB9" s="12">
        <f>VLOOKUP(A9,'Agent Sched'!B:N,13,)</f>
        <v>0.375</v>
      </c>
      <c r="AC9" s="13">
        <f t="shared" si="19"/>
        <v>0.75</v>
      </c>
      <c r="AD9" s="12">
        <f>VLOOKUP(A9,'Agent Sched'!B:O,14,)</f>
        <v>0.375</v>
      </c>
      <c r="AE9" s="13">
        <f t="shared" si="20"/>
        <v>0.75</v>
      </c>
      <c r="AF9" s="21" t="str">
        <f>VLOOKUP(A9,'Agent Sched'!B:P,15,)</f>
        <v>OFF</v>
      </c>
      <c r="AG9" s="13" t="str">
        <f t="shared" si="21"/>
        <v>OFF</v>
      </c>
      <c r="AI9" s="25" t="str">
        <f>VLOOKUP(A9,'Agent Sched'!$B:$Q,16,)</f>
        <v>OFF</v>
      </c>
      <c r="AJ9" s="13" t="str">
        <f t="shared" si="22"/>
        <v>OFF</v>
      </c>
      <c r="AK9" s="12">
        <f>VLOOKUP(A9,'Agent Sched'!B:R,17,)</f>
        <v>0.375</v>
      </c>
      <c r="AL9" s="13">
        <f t="shared" si="23"/>
        <v>0.75</v>
      </c>
      <c r="AM9" s="12">
        <f>VLOOKUP(A9,'Agent Sched'!B:S,18,)</f>
        <v>0.375</v>
      </c>
      <c r="AN9" s="13">
        <f t="shared" si="24"/>
        <v>0.75</v>
      </c>
      <c r="AO9" s="12">
        <f>VLOOKUP(A9,'Agent Sched'!B:T,19,)</f>
        <v>0.375</v>
      </c>
      <c r="AP9" s="13">
        <f t="shared" si="25"/>
        <v>0.75</v>
      </c>
      <c r="AQ9" s="12">
        <f>VLOOKUP(A9,'Agent Sched'!B:U,20,)</f>
        <v>0.375</v>
      </c>
      <c r="AR9" s="13">
        <f t="shared" si="26"/>
        <v>0.75</v>
      </c>
      <c r="AS9" s="12">
        <f>VLOOKUP(A9,'Agent Sched'!B:V,21,)</f>
        <v>0.375</v>
      </c>
      <c r="AT9" s="13">
        <f t="shared" si="27"/>
        <v>0.75</v>
      </c>
      <c r="AU9" s="21" t="str">
        <f>VLOOKUP(A9,'Agent Sched'!B:W,22,)</f>
        <v>OFF</v>
      </c>
      <c r="AV9" s="13" t="str">
        <f t="shared" si="28"/>
        <v>OFF</v>
      </c>
      <c r="AX9" s="30">
        <v>0.25</v>
      </c>
      <c r="AY9" s="10">
        <v>1.25</v>
      </c>
      <c r="AZ9" s="31">
        <f>'Pavia Staffing'!AZ9</f>
        <v>0</v>
      </c>
      <c r="BA9" s="31">
        <f>'Pavia Staffing'!BA9</f>
        <v>0</v>
      </c>
      <c r="BB9" s="31">
        <f>'Pavia Staffing'!BB9</f>
        <v>0</v>
      </c>
      <c r="BC9" s="31">
        <f>'Pavia Staffing'!BC9</f>
        <v>0</v>
      </c>
      <c r="BD9" s="31">
        <f>'Pavia Staffing'!BD9</f>
        <v>0</v>
      </c>
      <c r="BE9" s="31">
        <f>'Pavia Staffing'!BE9</f>
        <v>0</v>
      </c>
      <c r="BF9" s="32">
        <f>'Pavia Staffing'!BF9</f>
        <v>0</v>
      </c>
      <c r="BH9" s="30">
        <v>0.25</v>
      </c>
      <c r="BI9" s="10">
        <v>1.25</v>
      </c>
      <c r="BJ9" s="31">
        <f t="shared" si="29"/>
        <v>0</v>
      </c>
      <c r="BK9" s="31">
        <f t="shared" si="1"/>
        <v>0</v>
      </c>
      <c r="BL9" s="31">
        <f t="shared" si="2"/>
        <v>0</v>
      </c>
      <c r="BM9" s="31">
        <f t="shared" si="3"/>
        <v>0</v>
      </c>
      <c r="BN9" s="31">
        <f t="shared" si="4"/>
        <v>0</v>
      </c>
      <c r="BO9" s="31">
        <f t="shared" si="5"/>
        <v>0</v>
      </c>
      <c r="BP9" s="32">
        <f t="shared" si="6"/>
        <v>0</v>
      </c>
      <c r="BS9" s="38">
        <v>0.25</v>
      </c>
      <c r="BT9" s="136">
        <v>1.25000000000001</v>
      </c>
      <c r="BU9" s="53">
        <f>'Total Staffing'!BU9-'Pavia Staffing'!BU9</f>
        <v>0</v>
      </c>
      <c r="BV9" s="139">
        <f>'Total Staffing'!BV9-'Pavia Staffing'!BV9</f>
        <v>0</v>
      </c>
      <c r="BW9" s="139">
        <f>'Total Staffing'!BW9-'Pavia Staffing'!BW9</f>
        <v>0</v>
      </c>
      <c r="BX9" s="139">
        <f>'Total Staffing'!BX9-'Pavia Staffing'!BX9</f>
        <v>0</v>
      </c>
      <c r="BY9" s="139">
        <f>'Total Staffing'!BY9-'Pavia Staffing'!BY9</f>
        <v>0</v>
      </c>
      <c r="BZ9" s="139">
        <f>'Total Staffing'!BZ9-'Pavia Staffing'!BZ9</f>
        <v>0</v>
      </c>
      <c r="CA9" s="52">
        <f>'Total Staffing'!CA9-'Pavia Staffing'!CA9</f>
        <v>0</v>
      </c>
      <c r="CB9" s="53">
        <f>'Total Staffing'!CB9-'Pavia Staffing'!CB9</f>
        <v>0</v>
      </c>
      <c r="CC9" s="139">
        <f>'Total Staffing'!CC9-'Pavia Staffing'!CC9</f>
        <v>0</v>
      </c>
      <c r="CD9" s="139">
        <f>'Total Staffing'!CD9-'Pavia Staffing'!CD9</f>
        <v>0</v>
      </c>
      <c r="CE9" s="139">
        <f>'Total Staffing'!CE9-'Pavia Staffing'!CE9</f>
        <v>0</v>
      </c>
      <c r="CF9" s="139">
        <f>'Total Staffing'!CF9-'Pavia Staffing'!CF9</f>
        <v>0</v>
      </c>
      <c r="CG9" s="139">
        <f>'Total Staffing'!CG9-'Pavia Staffing'!CG9</f>
        <v>0</v>
      </c>
      <c r="CH9" s="52">
        <f>'Total Staffing'!CH9-'Pavia Staffing'!CH9</f>
        <v>0</v>
      </c>
      <c r="CI9" s="53">
        <f>'Total Staffing'!CI9-'Pavia Staffing'!CI9</f>
        <v>0</v>
      </c>
      <c r="CJ9" s="139">
        <f>'Total Staffing'!CJ9-'Pavia Staffing'!CJ9</f>
        <v>0</v>
      </c>
      <c r="CK9" s="139">
        <f>'Total Staffing'!CK9-'Pavia Staffing'!CK9</f>
        <v>0</v>
      </c>
      <c r="CL9" s="139">
        <f>'Total Staffing'!CL9-'Pavia Staffing'!CL9</f>
        <v>0</v>
      </c>
      <c r="CM9" s="139">
        <f>'Total Staffing'!CM9-'Pavia Staffing'!CM9</f>
        <v>0</v>
      </c>
      <c r="CN9" s="139">
        <f>'Total Staffing'!CN9-'Pavia Staffing'!CN9</f>
        <v>0</v>
      </c>
      <c r="CO9" s="52">
        <f>'Total Staffing'!CO9-'Pavia Staffing'!CO9</f>
        <v>0</v>
      </c>
    </row>
    <row r="10" spans="1:97" x14ac:dyDescent="0.25">
      <c r="A10" s="20" t="str">
        <f>'Agent Sched'!B11</f>
        <v>Jovito Gadian</v>
      </c>
      <c r="B10" s="12">
        <f>IFERROR(VLOOKUP(A10,'Agent Sched'!$B:$C,2,),"-")</f>
        <v>0.375</v>
      </c>
      <c r="C10" s="13">
        <f t="shared" si="7"/>
        <v>0.75</v>
      </c>
      <c r="D10" s="12">
        <f>IFERROR(VLOOKUP(A10,'Agent Sched'!B:D,3,),"-")</f>
        <v>0.375</v>
      </c>
      <c r="E10" s="13">
        <f t="shared" si="8"/>
        <v>0.75</v>
      </c>
      <c r="F10" s="12">
        <f>IFERROR(VLOOKUP(A10,'Agent Sched'!B:E,4,),"-")</f>
        <v>0.375</v>
      </c>
      <c r="G10" s="13">
        <f t="shared" si="9"/>
        <v>0.75</v>
      </c>
      <c r="H10" s="12" t="str">
        <f>IFERROR(VLOOKUP(A10,'Agent Sched'!B:F,5,),"-")</f>
        <v>OFF</v>
      </c>
      <c r="I10" s="13" t="str">
        <f t="shared" si="10"/>
        <v>OFF</v>
      </c>
      <c r="J10" s="12" t="str">
        <f>IFERROR(VLOOKUP(A10,'Agent Sched'!B:G,6,),"-")</f>
        <v>OFF</v>
      </c>
      <c r="K10" s="13" t="str">
        <f t="shared" si="11"/>
        <v>OFF</v>
      </c>
      <c r="L10" s="12">
        <f>IFERROR(VLOOKUP(A10,'Agent Sched'!B:H,7,),"-")</f>
        <v>0.375</v>
      </c>
      <c r="M10" s="13">
        <f t="shared" si="12"/>
        <v>0.75</v>
      </c>
      <c r="N10" s="21">
        <f>IFERROR(VLOOKUP(A10,'Agent Sched'!B:I,8,),"-")</f>
        <v>0.375</v>
      </c>
      <c r="O10" s="13">
        <f t="shared" si="13"/>
        <v>0.75</v>
      </c>
      <c r="Q10" s="12">
        <f>VLOOKUP(A10,'Agent Sched'!B:Y,24,)</f>
        <v>0.375</v>
      </c>
      <c r="R10" s="13">
        <f t="shared" si="14"/>
        <v>0.75</v>
      </c>
      <c r="T10" s="25" t="str">
        <f>VLOOKUP(A10,'Agent Sched'!$B:$J,9,)</f>
        <v>OFF</v>
      </c>
      <c r="U10" s="13" t="str">
        <f t="shared" si="15"/>
        <v>OFF</v>
      </c>
      <c r="V10" s="12">
        <f>VLOOKUP(A10,'Agent Sched'!B:K,10,)</f>
        <v>0.375</v>
      </c>
      <c r="W10" s="13">
        <f t="shared" si="16"/>
        <v>0.75</v>
      </c>
      <c r="X10" s="12">
        <f>VLOOKUP(A10,'Agent Sched'!B:L,11,)</f>
        <v>0.375</v>
      </c>
      <c r="Y10" s="13">
        <f t="shared" si="17"/>
        <v>0.75</v>
      </c>
      <c r="Z10" s="12">
        <f>VLOOKUP(A10,'Agent Sched'!B:M,12,)</f>
        <v>0.375</v>
      </c>
      <c r="AA10" s="13">
        <f t="shared" si="18"/>
        <v>0.75</v>
      </c>
      <c r="AB10" s="12">
        <f>VLOOKUP(A10,'Agent Sched'!B:N,13,)</f>
        <v>0.375</v>
      </c>
      <c r="AC10" s="13">
        <f t="shared" si="19"/>
        <v>0.75</v>
      </c>
      <c r="AD10" s="12">
        <f>VLOOKUP(A10,'Agent Sched'!B:O,14,)</f>
        <v>0.375</v>
      </c>
      <c r="AE10" s="13">
        <f t="shared" si="20"/>
        <v>0.75</v>
      </c>
      <c r="AF10" s="21" t="str">
        <f>VLOOKUP(A10,'Agent Sched'!B:P,15,)</f>
        <v>OFF</v>
      </c>
      <c r="AG10" s="13" t="str">
        <f t="shared" si="21"/>
        <v>OFF</v>
      </c>
      <c r="AI10" s="25" t="str">
        <f>VLOOKUP(A10,'Agent Sched'!$B:$Q,16,)</f>
        <v>OFF</v>
      </c>
      <c r="AJ10" s="13" t="str">
        <f t="shared" si="22"/>
        <v>OFF</v>
      </c>
      <c r="AK10" s="12">
        <f>VLOOKUP(A10,'Agent Sched'!B:R,17,)</f>
        <v>0.375</v>
      </c>
      <c r="AL10" s="13">
        <f t="shared" si="23"/>
        <v>0.75</v>
      </c>
      <c r="AM10" s="12">
        <f>VLOOKUP(A10,'Agent Sched'!B:S,18,)</f>
        <v>0.375</v>
      </c>
      <c r="AN10" s="13">
        <f t="shared" si="24"/>
        <v>0.75</v>
      </c>
      <c r="AO10" s="12">
        <f>VLOOKUP(A10,'Agent Sched'!B:T,19,)</f>
        <v>0.375</v>
      </c>
      <c r="AP10" s="13">
        <f t="shared" si="25"/>
        <v>0.75</v>
      </c>
      <c r="AQ10" s="12">
        <f>VLOOKUP(A10,'Agent Sched'!B:U,20,)</f>
        <v>0.375</v>
      </c>
      <c r="AR10" s="13">
        <f t="shared" si="26"/>
        <v>0.75</v>
      </c>
      <c r="AS10" s="12">
        <f>VLOOKUP(A10,'Agent Sched'!B:V,21,)</f>
        <v>0.375</v>
      </c>
      <c r="AT10" s="13">
        <f t="shared" si="27"/>
        <v>0.75</v>
      </c>
      <c r="AU10" s="21" t="str">
        <f>VLOOKUP(A10,'Agent Sched'!B:W,22,)</f>
        <v>OFF</v>
      </c>
      <c r="AV10" s="13" t="str">
        <f t="shared" si="28"/>
        <v>OFF</v>
      </c>
      <c r="AX10" s="30">
        <v>0.29166666666666702</v>
      </c>
      <c r="AY10" s="10">
        <v>1.2916666666666701</v>
      </c>
      <c r="AZ10" s="31">
        <f>'Pavia Staffing'!AZ10</f>
        <v>0</v>
      </c>
      <c r="BA10" s="31">
        <f>'Pavia Staffing'!BA10</f>
        <v>0</v>
      </c>
      <c r="BB10" s="31">
        <f>'Pavia Staffing'!BB10</f>
        <v>0</v>
      </c>
      <c r="BC10" s="31">
        <f>'Pavia Staffing'!BC10</f>
        <v>0</v>
      </c>
      <c r="BD10" s="31">
        <f>'Pavia Staffing'!BD10</f>
        <v>0</v>
      </c>
      <c r="BE10" s="31">
        <f>'Pavia Staffing'!BE10</f>
        <v>0</v>
      </c>
      <c r="BF10" s="32">
        <f>'Pavia Staffing'!BF10</f>
        <v>0</v>
      </c>
      <c r="BH10" s="30">
        <v>0.29166666666666702</v>
      </c>
      <c r="BI10" s="10">
        <v>1.2916666666666601</v>
      </c>
      <c r="BJ10" s="31">
        <f t="shared" si="29"/>
        <v>0</v>
      </c>
      <c r="BK10" s="31">
        <f t="shared" si="1"/>
        <v>0</v>
      </c>
      <c r="BL10" s="31">
        <f t="shared" si="2"/>
        <v>0</v>
      </c>
      <c r="BM10" s="31">
        <f t="shared" si="3"/>
        <v>0</v>
      </c>
      <c r="BN10" s="31">
        <f t="shared" si="4"/>
        <v>0</v>
      </c>
      <c r="BO10" s="31">
        <f t="shared" si="5"/>
        <v>0</v>
      </c>
      <c r="BP10" s="32">
        <f t="shared" si="6"/>
        <v>0</v>
      </c>
      <c r="BS10" s="38">
        <v>0.29166666666666702</v>
      </c>
      <c r="BT10" s="136">
        <v>1.2916666666666701</v>
      </c>
      <c r="BU10" s="53">
        <f>'Total Staffing'!BU10-'Pavia Staffing'!BU10</f>
        <v>0</v>
      </c>
      <c r="BV10" s="139">
        <f>'Total Staffing'!BV10-'Pavia Staffing'!BV10</f>
        <v>0</v>
      </c>
      <c r="BW10" s="139">
        <f>'Total Staffing'!BW10-'Pavia Staffing'!BW10</f>
        <v>0</v>
      </c>
      <c r="BX10" s="139">
        <f>'Total Staffing'!BX10-'Pavia Staffing'!BX10</f>
        <v>0</v>
      </c>
      <c r="BY10" s="139">
        <f>'Total Staffing'!BY10-'Pavia Staffing'!BY10</f>
        <v>0</v>
      </c>
      <c r="BZ10" s="139">
        <f>'Total Staffing'!BZ10-'Pavia Staffing'!BZ10</f>
        <v>0</v>
      </c>
      <c r="CA10" s="52">
        <f>'Total Staffing'!CA10-'Pavia Staffing'!CA10</f>
        <v>0</v>
      </c>
      <c r="CB10" s="53">
        <f>'Total Staffing'!CB10-'Pavia Staffing'!CB10</f>
        <v>0</v>
      </c>
      <c r="CC10" s="139">
        <f>'Total Staffing'!CC10-'Pavia Staffing'!CC10</f>
        <v>0</v>
      </c>
      <c r="CD10" s="139">
        <f>'Total Staffing'!CD10-'Pavia Staffing'!CD10</f>
        <v>0</v>
      </c>
      <c r="CE10" s="139">
        <f>'Total Staffing'!CE10-'Pavia Staffing'!CE10</f>
        <v>0</v>
      </c>
      <c r="CF10" s="139">
        <f>'Total Staffing'!CF10-'Pavia Staffing'!CF10</f>
        <v>0</v>
      </c>
      <c r="CG10" s="139">
        <f>'Total Staffing'!CG10-'Pavia Staffing'!CG10</f>
        <v>0</v>
      </c>
      <c r="CH10" s="52">
        <f>'Total Staffing'!CH10-'Pavia Staffing'!CH10</f>
        <v>0</v>
      </c>
      <c r="CI10" s="53">
        <f>'Total Staffing'!CI10-'Pavia Staffing'!CI10</f>
        <v>0</v>
      </c>
      <c r="CJ10" s="139">
        <f>'Total Staffing'!CJ10-'Pavia Staffing'!CJ10</f>
        <v>0</v>
      </c>
      <c r="CK10" s="139">
        <f>'Total Staffing'!CK10-'Pavia Staffing'!CK10</f>
        <v>0</v>
      </c>
      <c r="CL10" s="139">
        <f>'Total Staffing'!CL10-'Pavia Staffing'!CL10</f>
        <v>0</v>
      </c>
      <c r="CM10" s="139">
        <f>'Total Staffing'!CM10-'Pavia Staffing'!CM10</f>
        <v>0</v>
      </c>
      <c r="CN10" s="139">
        <f>'Total Staffing'!CN10-'Pavia Staffing'!CN10</f>
        <v>0</v>
      </c>
      <c r="CO10" s="52">
        <f>'Total Staffing'!CO10-'Pavia Staffing'!CO10</f>
        <v>0</v>
      </c>
    </row>
    <row r="11" spans="1:97" x14ac:dyDescent="0.25">
      <c r="A11" s="20" t="str">
        <f>'Agent Sched'!B12</f>
        <v>Trisha Ann Japitana</v>
      </c>
      <c r="B11" s="12">
        <f>IFERROR(VLOOKUP(A11,'Agent Sched'!$B:$C,2,),"-")</f>
        <v>0.375</v>
      </c>
      <c r="C11" s="13">
        <f t="shared" si="7"/>
        <v>0.75</v>
      </c>
      <c r="D11" s="12">
        <f>IFERROR(VLOOKUP(A11,'Agent Sched'!B:D,3,),"-")</f>
        <v>0.375</v>
      </c>
      <c r="E11" s="13">
        <f t="shared" si="8"/>
        <v>0.75</v>
      </c>
      <c r="F11" s="12">
        <f>IFERROR(VLOOKUP(A11,'Agent Sched'!B:E,4,),"-")</f>
        <v>0.375</v>
      </c>
      <c r="G11" s="13">
        <f t="shared" si="9"/>
        <v>0.75</v>
      </c>
      <c r="H11" s="12" t="str">
        <f>IFERROR(VLOOKUP(A11,'Agent Sched'!B:F,5,),"-")</f>
        <v>OFF</v>
      </c>
      <c r="I11" s="13" t="str">
        <f t="shared" si="10"/>
        <v>OFF</v>
      </c>
      <c r="J11" s="12" t="str">
        <f>IFERROR(VLOOKUP(A11,'Agent Sched'!B:G,6,),"-")</f>
        <v>OFF</v>
      </c>
      <c r="K11" s="13" t="str">
        <f t="shared" si="11"/>
        <v>OFF</v>
      </c>
      <c r="L11" s="12">
        <f>IFERROR(VLOOKUP(A11,'Agent Sched'!B:H,7,),"-")</f>
        <v>0.375</v>
      </c>
      <c r="M11" s="13">
        <f t="shared" si="12"/>
        <v>0.75</v>
      </c>
      <c r="N11" s="21">
        <f>IFERROR(VLOOKUP(A11,'Agent Sched'!B:I,8,),"-")</f>
        <v>0.375</v>
      </c>
      <c r="O11" s="13">
        <f t="shared" si="13"/>
        <v>0.75</v>
      </c>
      <c r="Q11" s="12">
        <f>VLOOKUP(A11,'Agent Sched'!B:Y,24,)</f>
        <v>0.375</v>
      </c>
      <c r="R11" s="13">
        <f t="shared" si="14"/>
        <v>0.75</v>
      </c>
      <c r="T11" s="25" t="str">
        <f>VLOOKUP(A11,'Agent Sched'!$B:$J,9,)</f>
        <v>OFF</v>
      </c>
      <c r="U11" s="13" t="str">
        <f t="shared" si="15"/>
        <v>OFF</v>
      </c>
      <c r="V11" s="12">
        <f>VLOOKUP(A11,'Agent Sched'!B:K,10,)</f>
        <v>0.375</v>
      </c>
      <c r="W11" s="13">
        <f t="shared" si="16"/>
        <v>0.75</v>
      </c>
      <c r="X11" s="12">
        <f>VLOOKUP(A11,'Agent Sched'!B:L,11,)</f>
        <v>0.375</v>
      </c>
      <c r="Y11" s="13">
        <f t="shared" si="17"/>
        <v>0.75</v>
      </c>
      <c r="Z11" s="12">
        <f>VLOOKUP(A11,'Agent Sched'!B:M,12,)</f>
        <v>0.375</v>
      </c>
      <c r="AA11" s="13">
        <f t="shared" si="18"/>
        <v>0.75</v>
      </c>
      <c r="AB11" s="12">
        <f>VLOOKUP(A11,'Agent Sched'!B:N,13,)</f>
        <v>0.375</v>
      </c>
      <c r="AC11" s="13">
        <f t="shared" si="19"/>
        <v>0.75</v>
      </c>
      <c r="AD11" s="12">
        <f>VLOOKUP(A11,'Agent Sched'!B:O,14,)</f>
        <v>0.375</v>
      </c>
      <c r="AE11" s="13">
        <f t="shared" si="20"/>
        <v>0.75</v>
      </c>
      <c r="AF11" s="21" t="str">
        <f>VLOOKUP(A11,'Agent Sched'!B:P,15,)</f>
        <v>OFF</v>
      </c>
      <c r="AG11" s="13" t="str">
        <f t="shared" si="21"/>
        <v>OFF</v>
      </c>
      <c r="AI11" s="25" t="str">
        <f>VLOOKUP(A11,'Agent Sched'!$B:$Q,16,)</f>
        <v>OFF</v>
      </c>
      <c r="AJ11" s="13" t="str">
        <f t="shared" si="22"/>
        <v>OFF</v>
      </c>
      <c r="AK11" s="12">
        <f>VLOOKUP(A11,'Agent Sched'!B:R,17,)</f>
        <v>0.375</v>
      </c>
      <c r="AL11" s="13">
        <f t="shared" si="23"/>
        <v>0.75</v>
      </c>
      <c r="AM11" s="12">
        <f>VLOOKUP(A11,'Agent Sched'!B:S,18,)</f>
        <v>0.375</v>
      </c>
      <c r="AN11" s="13">
        <f t="shared" si="24"/>
        <v>0.75</v>
      </c>
      <c r="AO11" s="12">
        <f>VLOOKUP(A11,'Agent Sched'!B:T,19,)</f>
        <v>0.375</v>
      </c>
      <c r="AP11" s="13">
        <f t="shared" si="25"/>
        <v>0.75</v>
      </c>
      <c r="AQ11" s="12">
        <f>VLOOKUP(A11,'Agent Sched'!B:U,20,)</f>
        <v>0.375</v>
      </c>
      <c r="AR11" s="13">
        <f t="shared" si="26"/>
        <v>0.75</v>
      </c>
      <c r="AS11" s="12">
        <f>VLOOKUP(A11,'Agent Sched'!B:V,21,)</f>
        <v>0.375</v>
      </c>
      <c r="AT11" s="13">
        <f t="shared" si="27"/>
        <v>0.75</v>
      </c>
      <c r="AU11" s="21" t="str">
        <f>VLOOKUP(A11,'Agent Sched'!B:W,22,)</f>
        <v>OFF</v>
      </c>
      <c r="AV11" s="13" t="str">
        <f t="shared" si="28"/>
        <v>OFF</v>
      </c>
      <c r="AX11" s="30">
        <v>0.33333333333333298</v>
      </c>
      <c r="AY11" s="10">
        <v>1.3333333333333399</v>
      </c>
      <c r="AZ11" s="31">
        <f>'Pavia Staffing'!AZ11</f>
        <v>0</v>
      </c>
      <c r="BA11" s="31">
        <f>'Pavia Staffing'!BA11</f>
        <v>0</v>
      </c>
      <c r="BB11" s="31">
        <f>'Pavia Staffing'!BB11</f>
        <v>0</v>
      </c>
      <c r="BC11" s="31">
        <f>'Pavia Staffing'!BC11</f>
        <v>0</v>
      </c>
      <c r="BD11" s="31">
        <f>'Pavia Staffing'!BD11</f>
        <v>0</v>
      </c>
      <c r="BE11" s="31">
        <f>'Pavia Staffing'!BE11</f>
        <v>0</v>
      </c>
      <c r="BF11" s="32">
        <f>'Pavia Staffing'!BF11</f>
        <v>0</v>
      </c>
      <c r="BH11" s="30">
        <v>0.33333333333333298</v>
      </c>
      <c r="BI11" s="10">
        <v>1.3333333333333299</v>
      </c>
      <c r="BJ11" s="31">
        <f t="shared" si="29"/>
        <v>0</v>
      </c>
      <c r="BK11" s="31">
        <f t="shared" si="1"/>
        <v>0</v>
      </c>
      <c r="BL11" s="31">
        <f t="shared" si="2"/>
        <v>0</v>
      </c>
      <c r="BM11" s="31">
        <f t="shared" si="3"/>
        <v>0</v>
      </c>
      <c r="BN11" s="31">
        <f t="shared" si="4"/>
        <v>0</v>
      </c>
      <c r="BO11" s="31">
        <f t="shared" si="5"/>
        <v>0</v>
      </c>
      <c r="BP11" s="32">
        <f t="shared" si="6"/>
        <v>0</v>
      </c>
      <c r="BS11" s="38">
        <v>0.33333333333333298</v>
      </c>
      <c r="BT11" s="136">
        <v>1.3333333333333399</v>
      </c>
      <c r="BU11" s="53">
        <f>'Total Staffing'!BU11-'Pavia Staffing'!BU11</f>
        <v>0</v>
      </c>
      <c r="BV11" s="139">
        <f>'Total Staffing'!BV11-'Pavia Staffing'!BV11</f>
        <v>0</v>
      </c>
      <c r="BW11" s="139">
        <f>'Total Staffing'!BW11-'Pavia Staffing'!BW11</f>
        <v>0</v>
      </c>
      <c r="BX11" s="139">
        <f>'Total Staffing'!BX11-'Pavia Staffing'!BX11</f>
        <v>0</v>
      </c>
      <c r="BY11" s="139">
        <f>'Total Staffing'!BY11-'Pavia Staffing'!BY11</f>
        <v>0</v>
      </c>
      <c r="BZ11" s="139">
        <f>'Total Staffing'!BZ11-'Pavia Staffing'!BZ11</f>
        <v>0</v>
      </c>
      <c r="CA11" s="52">
        <f>'Total Staffing'!CA11-'Pavia Staffing'!CA11</f>
        <v>0</v>
      </c>
      <c r="CB11" s="53">
        <f>'Total Staffing'!CB11-'Pavia Staffing'!CB11</f>
        <v>0</v>
      </c>
      <c r="CC11" s="139">
        <f>'Total Staffing'!CC11-'Pavia Staffing'!CC11</f>
        <v>0</v>
      </c>
      <c r="CD11" s="139">
        <f>'Total Staffing'!CD11-'Pavia Staffing'!CD11</f>
        <v>0</v>
      </c>
      <c r="CE11" s="139">
        <f>'Total Staffing'!CE11-'Pavia Staffing'!CE11</f>
        <v>0</v>
      </c>
      <c r="CF11" s="139">
        <f>'Total Staffing'!CF11-'Pavia Staffing'!CF11</f>
        <v>0</v>
      </c>
      <c r="CG11" s="139">
        <f>'Total Staffing'!CG11-'Pavia Staffing'!CG11</f>
        <v>0</v>
      </c>
      <c r="CH11" s="52">
        <f>'Total Staffing'!CH11-'Pavia Staffing'!CH11</f>
        <v>0</v>
      </c>
      <c r="CI11" s="53">
        <f>'Total Staffing'!CI11-'Pavia Staffing'!CI11</f>
        <v>0</v>
      </c>
      <c r="CJ11" s="139">
        <f>'Total Staffing'!CJ11-'Pavia Staffing'!CJ11</f>
        <v>0</v>
      </c>
      <c r="CK11" s="139">
        <f>'Total Staffing'!CK11-'Pavia Staffing'!CK11</f>
        <v>0</v>
      </c>
      <c r="CL11" s="139">
        <f>'Total Staffing'!CL11-'Pavia Staffing'!CL11</f>
        <v>0</v>
      </c>
      <c r="CM11" s="139">
        <f>'Total Staffing'!CM11-'Pavia Staffing'!CM11</f>
        <v>0</v>
      </c>
      <c r="CN11" s="139">
        <f>'Total Staffing'!CN11-'Pavia Staffing'!CN11</f>
        <v>0</v>
      </c>
      <c r="CO11" s="52">
        <f>'Total Staffing'!CO11-'Pavia Staffing'!CO11</f>
        <v>0</v>
      </c>
    </row>
    <row r="12" spans="1:97" x14ac:dyDescent="0.25">
      <c r="A12" s="20" t="str">
        <f>'Agent Sched'!B13</f>
        <v>Reslyn Candao</v>
      </c>
      <c r="B12" s="12">
        <f>IFERROR(VLOOKUP(A12,'Agent Sched'!$B:$C,2,),"-")</f>
        <v>0.375</v>
      </c>
      <c r="C12" s="13">
        <f t="shared" si="7"/>
        <v>0.75</v>
      </c>
      <c r="D12" s="12">
        <f>IFERROR(VLOOKUP(A12,'Agent Sched'!B:D,3,),"-")</f>
        <v>0.375</v>
      </c>
      <c r="E12" s="13">
        <f t="shared" si="8"/>
        <v>0.75</v>
      </c>
      <c r="F12" s="12">
        <f>IFERROR(VLOOKUP(A12,'Agent Sched'!B:E,4,),"-")</f>
        <v>0.375</v>
      </c>
      <c r="G12" s="13">
        <f t="shared" si="9"/>
        <v>0.75</v>
      </c>
      <c r="H12" s="12" t="str">
        <f>IFERROR(VLOOKUP(A12,'Agent Sched'!B:F,5,),"-")</f>
        <v>OFF</v>
      </c>
      <c r="I12" s="13" t="str">
        <f t="shared" si="10"/>
        <v>OFF</v>
      </c>
      <c r="J12" s="12" t="str">
        <f>IFERROR(VLOOKUP(A12,'Agent Sched'!B:G,6,),"-")</f>
        <v>OFF</v>
      </c>
      <c r="K12" s="13" t="str">
        <f t="shared" si="11"/>
        <v>OFF</v>
      </c>
      <c r="L12" s="12">
        <f>IFERROR(VLOOKUP(A12,'Agent Sched'!B:H,7,),"-")</f>
        <v>0.375</v>
      </c>
      <c r="M12" s="13">
        <f t="shared" si="12"/>
        <v>0.75</v>
      </c>
      <c r="N12" s="21">
        <f>IFERROR(VLOOKUP(A12,'Agent Sched'!B:I,8,),"-")</f>
        <v>0.375</v>
      </c>
      <c r="O12" s="13">
        <f t="shared" si="13"/>
        <v>0.75</v>
      </c>
      <c r="Q12" s="12">
        <f>VLOOKUP(A12,'Agent Sched'!B:Y,24,)</f>
        <v>0.375</v>
      </c>
      <c r="R12" s="13">
        <f t="shared" si="14"/>
        <v>0.75</v>
      </c>
      <c r="T12" s="25" t="str">
        <f>VLOOKUP(A12,'Agent Sched'!$B:$J,9,)</f>
        <v>OFF</v>
      </c>
      <c r="U12" s="13" t="str">
        <f t="shared" si="15"/>
        <v>OFF</v>
      </c>
      <c r="V12" s="12">
        <f>VLOOKUP(A12,'Agent Sched'!B:K,10,)</f>
        <v>0.375</v>
      </c>
      <c r="W12" s="13">
        <f t="shared" si="16"/>
        <v>0.75</v>
      </c>
      <c r="X12" s="12">
        <f>VLOOKUP(A12,'Agent Sched'!B:L,11,)</f>
        <v>0.375</v>
      </c>
      <c r="Y12" s="13">
        <f t="shared" si="17"/>
        <v>0.75</v>
      </c>
      <c r="Z12" s="12">
        <f>VLOOKUP(A12,'Agent Sched'!B:M,12,)</f>
        <v>0.375</v>
      </c>
      <c r="AA12" s="13">
        <f t="shared" si="18"/>
        <v>0.75</v>
      </c>
      <c r="AB12" s="12">
        <f>VLOOKUP(A12,'Agent Sched'!B:N,13,)</f>
        <v>0.375</v>
      </c>
      <c r="AC12" s="13">
        <f t="shared" si="19"/>
        <v>0.75</v>
      </c>
      <c r="AD12" s="12">
        <f>VLOOKUP(A12,'Agent Sched'!B:O,14,)</f>
        <v>0.375</v>
      </c>
      <c r="AE12" s="13">
        <f t="shared" si="20"/>
        <v>0.75</v>
      </c>
      <c r="AF12" s="21" t="str">
        <f>VLOOKUP(A12,'Agent Sched'!B:P,15,)</f>
        <v>OFF</v>
      </c>
      <c r="AG12" s="13" t="str">
        <f t="shared" si="21"/>
        <v>OFF</v>
      </c>
      <c r="AI12" s="25" t="str">
        <f>VLOOKUP(A12,'Agent Sched'!$B:$Q,16,)</f>
        <v>OFF</v>
      </c>
      <c r="AJ12" s="13" t="str">
        <f t="shared" si="22"/>
        <v>OFF</v>
      </c>
      <c r="AK12" s="12">
        <f>VLOOKUP(A12,'Agent Sched'!B:R,17,)</f>
        <v>0.375</v>
      </c>
      <c r="AL12" s="13">
        <f t="shared" si="23"/>
        <v>0.75</v>
      </c>
      <c r="AM12" s="12">
        <f>VLOOKUP(A12,'Agent Sched'!B:S,18,)</f>
        <v>0.375</v>
      </c>
      <c r="AN12" s="13">
        <f t="shared" si="24"/>
        <v>0.75</v>
      </c>
      <c r="AO12" s="12">
        <f>VLOOKUP(A12,'Agent Sched'!B:T,19,)</f>
        <v>0.375</v>
      </c>
      <c r="AP12" s="13">
        <f t="shared" si="25"/>
        <v>0.75</v>
      </c>
      <c r="AQ12" s="12">
        <f>VLOOKUP(A12,'Agent Sched'!B:U,20,)</f>
        <v>0.375</v>
      </c>
      <c r="AR12" s="13">
        <f t="shared" si="26"/>
        <v>0.75</v>
      </c>
      <c r="AS12" s="12">
        <f>VLOOKUP(A12,'Agent Sched'!B:V,21,)</f>
        <v>0.375</v>
      </c>
      <c r="AT12" s="13">
        <f t="shared" si="27"/>
        <v>0.75</v>
      </c>
      <c r="AU12" s="21" t="str">
        <f>VLOOKUP(A12,'Agent Sched'!B:W,22,)</f>
        <v>OFF</v>
      </c>
      <c r="AV12" s="13" t="str">
        <f t="shared" si="28"/>
        <v>OFF</v>
      </c>
      <c r="AX12" s="30">
        <v>0.375</v>
      </c>
      <c r="AY12" s="10">
        <v>1.375</v>
      </c>
      <c r="AZ12" s="31">
        <f>'Pavia Staffing'!AZ12</f>
        <v>10</v>
      </c>
      <c r="BA12" s="31">
        <f>'Pavia Staffing'!BA12</f>
        <v>0</v>
      </c>
      <c r="BB12" s="31">
        <f>'Pavia Staffing'!BB12</f>
        <v>0</v>
      </c>
      <c r="BC12" s="31">
        <f>'Pavia Staffing'!BC12</f>
        <v>10</v>
      </c>
      <c r="BD12" s="31">
        <f>'Pavia Staffing'!BD12</f>
        <v>10</v>
      </c>
      <c r="BE12" s="31">
        <f>'Pavia Staffing'!BE12</f>
        <v>10</v>
      </c>
      <c r="BF12" s="32">
        <f>'Pavia Staffing'!BF12</f>
        <v>10</v>
      </c>
      <c r="BH12" s="30">
        <v>0.375</v>
      </c>
      <c r="BI12" s="10">
        <v>1.375</v>
      </c>
      <c r="BJ12" s="31">
        <f t="shared" si="29"/>
        <v>13</v>
      </c>
      <c r="BK12" s="31">
        <f t="shared" si="1"/>
        <v>0</v>
      </c>
      <c r="BL12" s="31">
        <f t="shared" si="2"/>
        <v>0</v>
      </c>
      <c r="BM12" s="31">
        <f t="shared" si="3"/>
        <v>0</v>
      </c>
      <c r="BN12" s="31">
        <f t="shared" si="4"/>
        <v>0</v>
      </c>
      <c r="BO12" s="31">
        <f t="shared" si="5"/>
        <v>0</v>
      </c>
      <c r="BP12" s="32">
        <f t="shared" si="6"/>
        <v>0</v>
      </c>
      <c r="BS12" s="38">
        <v>0.375</v>
      </c>
      <c r="BT12" s="136">
        <v>1.37500000000001</v>
      </c>
      <c r="BU12" s="53">
        <f>'Total Staffing'!BU12-'Pavia Staffing'!BU12</f>
        <v>38</v>
      </c>
      <c r="BV12" s="139">
        <f>'Total Staffing'!BV12-'Pavia Staffing'!BV12</f>
        <v>37</v>
      </c>
      <c r="BW12" s="139">
        <f>'Total Staffing'!BW12-'Pavia Staffing'!BW12</f>
        <v>37</v>
      </c>
      <c r="BX12" s="139">
        <f>'Total Staffing'!BX12-'Pavia Staffing'!BX12</f>
        <v>20</v>
      </c>
      <c r="BY12" s="139">
        <f>'Total Staffing'!BY12-'Pavia Staffing'!BY12</f>
        <v>20</v>
      </c>
      <c r="BZ12" s="139">
        <f>'Total Staffing'!BZ12-'Pavia Staffing'!BZ12</f>
        <v>19</v>
      </c>
      <c r="CA12" s="52">
        <f>'Total Staffing'!CA12-'Pavia Staffing'!CA12</f>
        <v>19</v>
      </c>
      <c r="CB12" s="53">
        <f>'Total Staffing'!CB12-'Pavia Staffing'!CB12</f>
        <v>20</v>
      </c>
      <c r="CC12" s="139">
        <f>'Total Staffing'!CC12-'Pavia Staffing'!CC12</f>
        <v>37</v>
      </c>
      <c r="CD12" s="139">
        <f>'Total Staffing'!CD12-'Pavia Staffing'!CD12</f>
        <v>37</v>
      </c>
      <c r="CE12" s="139">
        <f>'Total Staffing'!CE12-'Pavia Staffing'!CE12</f>
        <v>38</v>
      </c>
      <c r="CF12" s="139">
        <f>'Total Staffing'!CF12-'Pavia Staffing'!CF12</f>
        <v>38</v>
      </c>
      <c r="CG12" s="139">
        <f>'Total Staffing'!CG12-'Pavia Staffing'!CG12</f>
        <v>19</v>
      </c>
      <c r="CH12" s="52">
        <f>'Total Staffing'!CH12-'Pavia Staffing'!CH12</f>
        <v>1</v>
      </c>
      <c r="CI12" s="53">
        <f>'Total Staffing'!CI12-'Pavia Staffing'!CI12</f>
        <v>20</v>
      </c>
      <c r="CJ12" s="139">
        <f>'Total Staffing'!CJ12-'Pavia Staffing'!CJ12</f>
        <v>37</v>
      </c>
      <c r="CK12" s="139">
        <f>'Total Staffing'!CK12-'Pavia Staffing'!CK12</f>
        <v>37</v>
      </c>
      <c r="CL12" s="139">
        <f>'Total Staffing'!CL12-'Pavia Staffing'!CL12</f>
        <v>38</v>
      </c>
      <c r="CM12" s="139">
        <f>'Total Staffing'!CM12-'Pavia Staffing'!CM12</f>
        <v>38</v>
      </c>
      <c r="CN12" s="139">
        <f>'Total Staffing'!CN12-'Pavia Staffing'!CN12</f>
        <v>19</v>
      </c>
      <c r="CO12" s="52">
        <f>'Total Staffing'!CO12-'Pavia Staffing'!CO12</f>
        <v>1</v>
      </c>
    </row>
    <row r="13" spans="1:97" x14ac:dyDescent="0.25">
      <c r="A13" s="20" t="str">
        <f>'Agent Sched'!B14</f>
        <v>Rosally Maquirang Poblacion</v>
      </c>
      <c r="B13" s="12">
        <f>IFERROR(VLOOKUP(A13,'Agent Sched'!$B:$C,2,),"-")</f>
        <v>0.375</v>
      </c>
      <c r="C13" s="13">
        <f t="shared" si="7"/>
        <v>0.75</v>
      </c>
      <c r="D13" s="12">
        <f>IFERROR(VLOOKUP(A13,'Agent Sched'!B:D,3,),"-")</f>
        <v>0.375</v>
      </c>
      <c r="E13" s="13">
        <f t="shared" si="8"/>
        <v>0.75</v>
      </c>
      <c r="F13" s="12">
        <f>IFERROR(VLOOKUP(A13,'Agent Sched'!B:E,4,),"-")</f>
        <v>0.375</v>
      </c>
      <c r="G13" s="13">
        <f t="shared" si="9"/>
        <v>0.75</v>
      </c>
      <c r="H13" s="12" t="str">
        <f>IFERROR(VLOOKUP(A13,'Agent Sched'!B:F,5,),"-")</f>
        <v>OFF</v>
      </c>
      <c r="I13" s="13" t="str">
        <f t="shared" si="10"/>
        <v>OFF</v>
      </c>
      <c r="J13" s="12" t="str">
        <f>IFERROR(VLOOKUP(A13,'Agent Sched'!B:G,6,),"-")</f>
        <v>OFF</v>
      </c>
      <c r="K13" s="13" t="str">
        <f t="shared" si="11"/>
        <v>OFF</v>
      </c>
      <c r="L13" s="12">
        <f>IFERROR(VLOOKUP(A13,'Agent Sched'!B:H,7,),"-")</f>
        <v>0.375</v>
      </c>
      <c r="M13" s="13">
        <f t="shared" si="12"/>
        <v>0.75</v>
      </c>
      <c r="N13" s="21">
        <f>IFERROR(VLOOKUP(A13,'Agent Sched'!B:I,8,),"-")</f>
        <v>0.375</v>
      </c>
      <c r="O13" s="13">
        <f t="shared" si="13"/>
        <v>0.75</v>
      </c>
      <c r="Q13" s="12">
        <f>VLOOKUP(A13,'Agent Sched'!B:Y,24,)</f>
        <v>0.375</v>
      </c>
      <c r="R13" s="13">
        <f t="shared" si="14"/>
        <v>0.75</v>
      </c>
      <c r="T13" s="25" t="str">
        <f>VLOOKUP(A13,'Agent Sched'!$B:$J,9,)</f>
        <v>OFF</v>
      </c>
      <c r="U13" s="13" t="str">
        <f t="shared" si="15"/>
        <v>OFF</v>
      </c>
      <c r="V13" s="12">
        <f>VLOOKUP(A13,'Agent Sched'!B:K,10,)</f>
        <v>0.375</v>
      </c>
      <c r="W13" s="13">
        <f t="shared" si="16"/>
        <v>0.75</v>
      </c>
      <c r="X13" s="12">
        <f>VLOOKUP(A13,'Agent Sched'!B:L,11,)</f>
        <v>0.375</v>
      </c>
      <c r="Y13" s="13">
        <f t="shared" si="17"/>
        <v>0.75</v>
      </c>
      <c r="Z13" s="12">
        <f>VLOOKUP(A13,'Agent Sched'!B:M,12,)</f>
        <v>0.375</v>
      </c>
      <c r="AA13" s="13">
        <f t="shared" si="18"/>
        <v>0.75</v>
      </c>
      <c r="AB13" s="12">
        <f>VLOOKUP(A13,'Agent Sched'!B:N,13,)</f>
        <v>0.375</v>
      </c>
      <c r="AC13" s="13">
        <f t="shared" si="19"/>
        <v>0.75</v>
      </c>
      <c r="AD13" s="12">
        <f>VLOOKUP(A13,'Agent Sched'!B:O,14,)</f>
        <v>0.375</v>
      </c>
      <c r="AE13" s="13">
        <f t="shared" si="20"/>
        <v>0.75</v>
      </c>
      <c r="AF13" s="21" t="str">
        <f>VLOOKUP(A13,'Agent Sched'!B:P,15,)</f>
        <v>OFF</v>
      </c>
      <c r="AG13" s="13" t="str">
        <f t="shared" si="21"/>
        <v>OFF</v>
      </c>
      <c r="AI13" s="25" t="str">
        <f>VLOOKUP(A13,'Agent Sched'!$B:$Q,16,)</f>
        <v>OFF</v>
      </c>
      <c r="AJ13" s="13" t="str">
        <f t="shared" si="22"/>
        <v>OFF</v>
      </c>
      <c r="AK13" s="12">
        <f>VLOOKUP(A13,'Agent Sched'!B:R,17,)</f>
        <v>0.375</v>
      </c>
      <c r="AL13" s="13">
        <f t="shared" si="23"/>
        <v>0.75</v>
      </c>
      <c r="AM13" s="12">
        <f>VLOOKUP(A13,'Agent Sched'!B:S,18,)</f>
        <v>0.375</v>
      </c>
      <c r="AN13" s="13">
        <f t="shared" si="24"/>
        <v>0.75</v>
      </c>
      <c r="AO13" s="12">
        <f>VLOOKUP(A13,'Agent Sched'!B:T,19,)</f>
        <v>0.375</v>
      </c>
      <c r="AP13" s="13">
        <f t="shared" si="25"/>
        <v>0.75</v>
      </c>
      <c r="AQ13" s="12">
        <f>VLOOKUP(A13,'Agent Sched'!B:U,20,)</f>
        <v>0.375</v>
      </c>
      <c r="AR13" s="13">
        <f t="shared" si="26"/>
        <v>0.75</v>
      </c>
      <c r="AS13" s="12">
        <f>VLOOKUP(A13,'Agent Sched'!B:V,21,)</f>
        <v>0.375</v>
      </c>
      <c r="AT13" s="13">
        <f t="shared" si="27"/>
        <v>0.75</v>
      </c>
      <c r="AU13" s="21" t="str">
        <f>VLOOKUP(A13,'Agent Sched'!B:W,22,)</f>
        <v>OFF</v>
      </c>
      <c r="AV13" s="13" t="str">
        <f t="shared" si="28"/>
        <v>OFF</v>
      </c>
      <c r="AX13" s="30">
        <v>0.41666666666666702</v>
      </c>
      <c r="AY13" s="10">
        <v>1.4166666666666701</v>
      </c>
      <c r="AZ13" s="31">
        <f>'Pavia Staffing'!AZ13</f>
        <v>10</v>
      </c>
      <c r="BA13" s="31">
        <f>'Pavia Staffing'!BA13</f>
        <v>0</v>
      </c>
      <c r="BB13" s="31">
        <f>'Pavia Staffing'!BB13</f>
        <v>0</v>
      </c>
      <c r="BC13" s="31">
        <f>'Pavia Staffing'!BC13</f>
        <v>10</v>
      </c>
      <c r="BD13" s="31">
        <f>'Pavia Staffing'!BD13</f>
        <v>10</v>
      </c>
      <c r="BE13" s="31">
        <f>'Pavia Staffing'!BE13</f>
        <v>10</v>
      </c>
      <c r="BF13" s="32">
        <f>'Pavia Staffing'!BF13</f>
        <v>10</v>
      </c>
      <c r="BH13" s="30">
        <v>0.41666666666666702</v>
      </c>
      <c r="BI13" s="10">
        <v>1.4166666666666601</v>
      </c>
      <c r="BJ13" s="31">
        <f t="shared" si="29"/>
        <v>13</v>
      </c>
      <c r="BK13" s="31">
        <f t="shared" si="1"/>
        <v>0</v>
      </c>
      <c r="BL13" s="31">
        <f t="shared" si="2"/>
        <v>0</v>
      </c>
      <c r="BM13" s="31">
        <f t="shared" si="3"/>
        <v>0</v>
      </c>
      <c r="BN13" s="31">
        <f t="shared" si="4"/>
        <v>0</v>
      </c>
      <c r="BO13" s="31">
        <f t="shared" si="5"/>
        <v>0</v>
      </c>
      <c r="BP13" s="32">
        <f t="shared" si="6"/>
        <v>0</v>
      </c>
      <c r="BS13" s="38">
        <v>0.41666666666666702</v>
      </c>
      <c r="BT13" s="136">
        <v>1.4166666666666701</v>
      </c>
      <c r="BU13" s="53">
        <f>'Total Staffing'!BU13-'Pavia Staffing'!BU13</f>
        <v>75</v>
      </c>
      <c r="BV13" s="139">
        <f>'Total Staffing'!BV13-'Pavia Staffing'!BV13</f>
        <v>37</v>
      </c>
      <c r="BW13" s="139">
        <f>'Total Staffing'!BW13-'Pavia Staffing'!BW13</f>
        <v>37</v>
      </c>
      <c r="BX13" s="139">
        <f>'Total Staffing'!BX13-'Pavia Staffing'!BX13</f>
        <v>57</v>
      </c>
      <c r="BY13" s="139">
        <f>'Total Staffing'!BY13-'Pavia Staffing'!BY13</f>
        <v>57</v>
      </c>
      <c r="BZ13" s="139">
        <f>'Total Staffing'!BZ13-'Pavia Staffing'!BZ13</f>
        <v>56</v>
      </c>
      <c r="CA13" s="52">
        <f>'Total Staffing'!CA13-'Pavia Staffing'!CA13</f>
        <v>56</v>
      </c>
      <c r="CB13" s="53">
        <f>'Total Staffing'!CB13-'Pavia Staffing'!CB13</f>
        <v>57</v>
      </c>
      <c r="CC13" s="139">
        <f>'Total Staffing'!CC13-'Pavia Staffing'!CC13</f>
        <v>37</v>
      </c>
      <c r="CD13" s="139">
        <f>'Total Staffing'!CD13-'Pavia Staffing'!CD13</f>
        <v>37</v>
      </c>
      <c r="CE13" s="139">
        <f>'Total Staffing'!CE13-'Pavia Staffing'!CE13</f>
        <v>75</v>
      </c>
      <c r="CF13" s="139">
        <f>'Total Staffing'!CF13-'Pavia Staffing'!CF13</f>
        <v>75</v>
      </c>
      <c r="CG13" s="139">
        <f>'Total Staffing'!CG13-'Pavia Staffing'!CG13</f>
        <v>56</v>
      </c>
      <c r="CH13" s="52">
        <f>'Total Staffing'!CH13-'Pavia Staffing'!CH13</f>
        <v>38</v>
      </c>
      <c r="CI13" s="53">
        <f>'Total Staffing'!CI13-'Pavia Staffing'!CI13</f>
        <v>57</v>
      </c>
      <c r="CJ13" s="139">
        <f>'Total Staffing'!CJ13-'Pavia Staffing'!CJ13</f>
        <v>37</v>
      </c>
      <c r="CK13" s="139">
        <f>'Total Staffing'!CK13-'Pavia Staffing'!CK13</f>
        <v>37</v>
      </c>
      <c r="CL13" s="139">
        <f>'Total Staffing'!CL13-'Pavia Staffing'!CL13</f>
        <v>75</v>
      </c>
      <c r="CM13" s="139">
        <f>'Total Staffing'!CM13-'Pavia Staffing'!CM13</f>
        <v>75</v>
      </c>
      <c r="CN13" s="139">
        <f>'Total Staffing'!CN13-'Pavia Staffing'!CN13</f>
        <v>56</v>
      </c>
      <c r="CO13" s="52">
        <f>'Total Staffing'!CO13-'Pavia Staffing'!CO13</f>
        <v>38</v>
      </c>
    </row>
    <row r="14" spans="1:97" x14ac:dyDescent="0.25">
      <c r="A14" s="20" t="str">
        <f>'Agent Sched'!B15</f>
        <v>Mary Jay Canag Cantomayor</v>
      </c>
      <c r="B14" s="12">
        <f>IFERROR(VLOOKUP(A14,'Agent Sched'!$B:$C,2,),"-")</f>
        <v>0.375</v>
      </c>
      <c r="C14" s="13">
        <f t="shared" si="7"/>
        <v>0.75</v>
      </c>
      <c r="D14" s="12">
        <f>IFERROR(VLOOKUP(A14,'Agent Sched'!B:D,3,),"-")</f>
        <v>0.375</v>
      </c>
      <c r="E14" s="13">
        <f t="shared" si="8"/>
        <v>0.75</v>
      </c>
      <c r="F14" s="12">
        <f>IFERROR(VLOOKUP(A14,'Agent Sched'!B:E,4,),"-")</f>
        <v>0.375</v>
      </c>
      <c r="G14" s="13">
        <f t="shared" si="9"/>
        <v>0.75</v>
      </c>
      <c r="H14" s="12" t="str">
        <f>IFERROR(VLOOKUP(A14,'Agent Sched'!B:F,5,),"-")</f>
        <v>OFF</v>
      </c>
      <c r="I14" s="13" t="str">
        <f t="shared" si="10"/>
        <v>OFF</v>
      </c>
      <c r="J14" s="12" t="str">
        <f>IFERROR(VLOOKUP(A14,'Agent Sched'!B:G,6,),"-")</f>
        <v>OFF</v>
      </c>
      <c r="K14" s="13" t="str">
        <f t="shared" si="11"/>
        <v>OFF</v>
      </c>
      <c r="L14" s="12">
        <f>IFERROR(VLOOKUP(A14,'Agent Sched'!B:H,7,),"-")</f>
        <v>0.375</v>
      </c>
      <c r="M14" s="13">
        <f t="shared" si="12"/>
        <v>0.75</v>
      </c>
      <c r="N14" s="21">
        <f>IFERROR(VLOOKUP(A14,'Agent Sched'!B:I,8,),"-")</f>
        <v>0.375</v>
      </c>
      <c r="O14" s="13">
        <f t="shared" si="13"/>
        <v>0.75</v>
      </c>
      <c r="Q14" s="12">
        <f>VLOOKUP(A14,'Agent Sched'!B:Y,24,)</f>
        <v>0.375</v>
      </c>
      <c r="R14" s="13">
        <f t="shared" si="14"/>
        <v>0.75</v>
      </c>
      <c r="T14" s="25" t="str">
        <f>VLOOKUP(A14,'Agent Sched'!$B:$J,9,)</f>
        <v>OFF</v>
      </c>
      <c r="U14" s="13" t="str">
        <f t="shared" si="15"/>
        <v>OFF</v>
      </c>
      <c r="V14" s="12">
        <f>VLOOKUP(A14,'Agent Sched'!B:K,10,)</f>
        <v>0.375</v>
      </c>
      <c r="W14" s="13">
        <f t="shared" si="16"/>
        <v>0.75</v>
      </c>
      <c r="X14" s="12">
        <f>VLOOKUP(A14,'Agent Sched'!B:L,11,)</f>
        <v>0.375</v>
      </c>
      <c r="Y14" s="13">
        <f t="shared" si="17"/>
        <v>0.75</v>
      </c>
      <c r="Z14" s="12">
        <f>VLOOKUP(A14,'Agent Sched'!B:M,12,)</f>
        <v>0.375</v>
      </c>
      <c r="AA14" s="13">
        <f t="shared" si="18"/>
        <v>0.75</v>
      </c>
      <c r="AB14" s="12">
        <f>VLOOKUP(A14,'Agent Sched'!B:N,13,)</f>
        <v>0.375</v>
      </c>
      <c r="AC14" s="13">
        <f t="shared" si="19"/>
        <v>0.75</v>
      </c>
      <c r="AD14" s="12">
        <f>VLOOKUP(A14,'Agent Sched'!B:O,14,)</f>
        <v>0.375</v>
      </c>
      <c r="AE14" s="13">
        <f t="shared" si="20"/>
        <v>0.75</v>
      </c>
      <c r="AF14" s="21" t="str">
        <f>VLOOKUP(A14,'Agent Sched'!B:P,15,)</f>
        <v>OFF</v>
      </c>
      <c r="AG14" s="13" t="str">
        <f t="shared" si="21"/>
        <v>OFF</v>
      </c>
      <c r="AI14" s="25" t="str">
        <f>VLOOKUP(A14,'Agent Sched'!$B:$Q,16,)</f>
        <v>OFF</v>
      </c>
      <c r="AJ14" s="13" t="str">
        <f t="shared" si="22"/>
        <v>OFF</v>
      </c>
      <c r="AK14" s="12">
        <f>VLOOKUP(A14,'Agent Sched'!B:R,17,)</f>
        <v>0.375</v>
      </c>
      <c r="AL14" s="13">
        <f t="shared" si="23"/>
        <v>0.75</v>
      </c>
      <c r="AM14" s="12">
        <f>VLOOKUP(A14,'Agent Sched'!B:S,18,)</f>
        <v>0.375</v>
      </c>
      <c r="AN14" s="13">
        <f t="shared" si="24"/>
        <v>0.75</v>
      </c>
      <c r="AO14" s="12">
        <f>VLOOKUP(A14,'Agent Sched'!B:T,19,)</f>
        <v>0.375</v>
      </c>
      <c r="AP14" s="13">
        <f t="shared" si="25"/>
        <v>0.75</v>
      </c>
      <c r="AQ14" s="12">
        <f>VLOOKUP(A14,'Agent Sched'!B:U,20,)</f>
        <v>0.375</v>
      </c>
      <c r="AR14" s="13">
        <f t="shared" si="26"/>
        <v>0.75</v>
      </c>
      <c r="AS14" s="12">
        <f>VLOOKUP(A14,'Agent Sched'!B:V,21,)</f>
        <v>0.375</v>
      </c>
      <c r="AT14" s="13">
        <f t="shared" si="27"/>
        <v>0.75</v>
      </c>
      <c r="AU14" s="21" t="str">
        <f>VLOOKUP(A14,'Agent Sched'!B:W,22,)</f>
        <v>OFF</v>
      </c>
      <c r="AV14" s="13" t="str">
        <f t="shared" si="28"/>
        <v>OFF</v>
      </c>
      <c r="AX14" s="30">
        <v>0.45833333333333298</v>
      </c>
      <c r="AY14" s="10">
        <v>1.4583333333333399</v>
      </c>
      <c r="AZ14" s="31">
        <f>'Pavia Staffing'!AZ14</f>
        <v>10</v>
      </c>
      <c r="BA14" s="31">
        <f>'Pavia Staffing'!BA14</f>
        <v>0</v>
      </c>
      <c r="BB14" s="31">
        <f>'Pavia Staffing'!BB14</f>
        <v>0</v>
      </c>
      <c r="BC14" s="31">
        <f>'Pavia Staffing'!BC14</f>
        <v>10</v>
      </c>
      <c r="BD14" s="31">
        <f>'Pavia Staffing'!BD14</f>
        <v>10</v>
      </c>
      <c r="BE14" s="31">
        <f>'Pavia Staffing'!BE14</f>
        <v>10</v>
      </c>
      <c r="BF14" s="32">
        <f>'Pavia Staffing'!BF14</f>
        <v>10</v>
      </c>
      <c r="BH14" s="30">
        <v>0.45833333333333298</v>
      </c>
      <c r="BI14" s="10">
        <v>1.4583333333333299</v>
      </c>
      <c r="BJ14" s="31">
        <f t="shared" si="29"/>
        <v>13</v>
      </c>
      <c r="BK14" s="31">
        <f t="shared" si="1"/>
        <v>0</v>
      </c>
      <c r="BL14" s="31">
        <f t="shared" si="2"/>
        <v>0</v>
      </c>
      <c r="BM14" s="31">
        <f t="shared" si="3"/>
        <v>0</v>
      </c>
      <c r="BN14" s="31">
        <f t="shared" si="4"/>
        <v>0</v>
      </c>
      <c r="BO14" s="31">
        <f t="shared" si="5"/>
        <v>0</v>
      </c>
      <c r="BP14" s="32">
        <f t="shared" si="6"/>
        <v>0</v>
      </c>
      <c r="BS14" s="38">
        <v>0.45833333333333298</v>
      </c>
      <c r="BT14" s="136">
        <v>1.4583333333333399</v>
      </c>
      <c r="BU14" s="53">
        <f>'Total Staffing'!BU14-'Pavia Staffing'!BU14</f>
        <v>75</v>
      </c>
      <c r="BV14" s="139">
        <f>'Total Staffing'!BV14-'Pavia Staffing'!BV14</f>
        <v>37</v>
      </c>
      <c r="BW14" s="139">
        <f>'Total Staffing'!BW14-'Pavia Staffing'!BW14</f>
        <v>37</v>
      </c>
      <c r="BX14" s="139">
        <f>'Total Staffing'!BX14-'Pavia Staffing'!BX14</f>
        <v>57</v>
      </c>
      <c r="BY14" s="139">
        <f>'Total Staffing'!BY14-'Pavia Staffing'!BY14</f>
        <v>57</v>
      </c>
      <c r="BZ14" s="139">
        <f>'Total Staffing'!BZ14-'Pavia Staffing'!BZ14</f>
        <v>56</v>
      </c>
      <c r="CA14" s="52">
        <f>'Total Staffing'!CA14-'Pavia Staffing'!CA14</f>
        <v>56</v>
      </c>
      <c r="CB14" s="53">
        <f>'Total Staffing'!CB14-'Pavia Staffing'!CB14</f>
        <v>57</v>
      </c>
      <c r="CC14" s="139">
        <f>'Total Staffing'!CC14-'Pavia Staffing'!CC14</f>
        <v>37</v>
      </c>
      <c r="CD14" s="139">
        <f>'Total Staffing'!CD14-'Pavia Staffing'!CD14</f>
        <v>37</v>
      </c>
      <c r="CE14" s="139">
        <f>'Total Staffing'!CE14-'Pavia Staffing'!CE14</f>
        <v>75</v>
      </c>
      <c r="CF14" s="139">
        <f>'Total Staffing'!CF14-'Pavia Staffing'!CF14</f>
        <v>75</v>
      </c>
      <c r="CG14" s="139">
        <f>'Total Staffing'!CG14-'Pavia Staffing'!CG14</f>
        <v>56</v>
      </c>
      <c r="CH14" s="52">
        <f>'Total Staffing'!CH14-'Pavia Staffing'!CH14</f>
        <v>38</v>
      </c>
      <c r="CI14" s="53">
        <f>'Total Staffing'!CI14-'Pavia Staffing'!CI14</f>
        <v>57</v>
      </c>
      <c r="CJ14" s="139">
        <f>'Total Staffing'!CJ14-'Pavia Staffing'!CJ14</f>
        <v>37</v>
      </c>
      <c r="CK14" s="139">
        <f>'Total Staffing'!CK14-'Pavia Staffing'!CK14</f>
        <v>37</v>
      </c>
      <c r="CL14" s="139">
        <f>'Total Staffing'!CL14-'Pavia Staffing'!CL14</f>
        <v>75</v>
      </c>
      <c r="CM14" s="139">
        <f>'Total Staffing'!CM14-'Pavia Staffing'!CM14</f>
        <v>75</v>
      </c>
      <c r="CN14" s="139">
        <f>'Total Staffing'!CN14-'Pavia Staffing'!CN14</f>
        <v>56</v>
      </c>
      <c r="CO14" s="52">
        <f>'Total Staffing'!CO14-'Pavia Staffing'!CO14</f>
        <v>38</v>
      </c>
    </row>
    <row r="15" spans="1:97" x14ac:dyDescent="0.25">
      <c r="A15" s="20" t="str">
        <f>'Agent Sched'!B16</f>
        <v>Jackielyn,Cabanas,Faro</v>
      </c>
      <c r="B15" s="12">
        <f>IFERROR(VLOOKUP(A15,'Agent Sched'!$B:$C,2,),"-")</f>
        <v>0.375</v>
      </c>
      <c r="C15" s="13">
        <f t="shared" si="7"/>
        <v>0.75</v>
      </c>
      <c r="D15" s="12">
        <f>IFERROR(VLOOKUP(A15,'Agent Sched'!B:D,3,),"-")</f>
        <v>0.375</v>
      </c>
      <c r="E15" s="13">
        <f t="shared" si="8"/>
        <v>0.75</v>
      </c>
      <c r="F15" s="12">
        <f>IFERROR(VLOOKUP(A15,'Agent Sched'!B:E,4,),"-")</f>
        <v>0.375</v>
      </c>
      <c r="G15" s="13">
        <f t="shared" si="9"/>
        <v>0.75</v>
      </c>
      <c r="H15" s="12" t="str">
        <f>IFERROR(VLOOKUP(A15,'Agent Sched'!B:F,5,),"-")</f>
        <v>OFF</v>
      </c>
      <c r="I15" s="13" t="str">
        <f t="shared" si="10"/>
        <v>OFF</v>
      </c>
      <c r="J15" s="12" t="str">
        <f>IFERROR(VLOOKUP(A15,'Agent Sched'!B:G,6,),"-")</f>
        <v>OFF</v>
      </c>
      <c r="K15" s="13" t="str">
        <f t="shared" si="11"/>
        <v>OFF</v>
      </c>
      <c r="L15" s="12">
        <f>IFERROR(VLOOKUP(A15,'Agent Sched'!B:H,7,),"-")</f>
        <v>0.375</v>
      </c>
      <c r="M15" s="13">
        <f t="shared" si="12"/>
        <v>0.75</v>
      </c>
      <c r="N15" s="21">
        <f>IFERROR(VLOOKUP(A15,'Agent Sched'!B:I,8,),"-")</f>
        <v>0.375</v>
      </c>
      <c r="O15" s="13">
        <f t="shared" si="13"/>
        <v>0.75</v>
      </c>
      <c r="Q15" s="12">
        <f>VLOOKUP(A15,'Agent Sched'!B:Y,24,)</f>
        <v>0.375</v>
      </c>
      <c r="R15" s="13">
        <f t="shared" si="14"/>
        <v>0.75</v>
      </c>
      <c r="T15" s="25" t="str">
        <f>VLOOKUP(A15,'Agent Sched'!$B:$J,9,)</f>
        <v>OFF</v>
      </c>
      <c r="U15" s="13" t="str">
        <f t="shared" si="15"/>
        <v>OFF</v>
      </c>
      <c r="V15" s="12">
        <f>VLOOKUP(A15,'Agent Sched'!B:K,10,)</f>
        <v>0.375</v>
      </c>
      <c r="W15" s="13">
        <f t="shared" si="16"/>
        <v>0.75</v>
      </c>
      <c r="X15" s="12">
        <f>VLOOKUP(A15,'Agent Sched'!B:L,11,)</f>
        <v>0.375</v>
      </c>
      <c r="Y15" s="13">
        <f t="shared" si="17"/>
        <v>0.75</v>
      </c>
      <c r="Z15" s="12">
        <f>VLOOKUP(A15,'Agent Sched'!B:M,12,)</f>
        <v>0.375</v>
      </c>
      <c r="AA15" s="13">
        <f t="shared" si="18"/>
        <v>0.75</v>
      </c>
      <c r="AB15" s="12">
        <f>VLOOKUP(A15,'Agent Sched'!B:N,13,)</f>
        <v>0.375</v>
      </c>
      <c r="AC15" s="13">
        <f t="shared" si="19"/>
        <v>0.75</v>
      </c>
      <c r="AD15" s="12">
        <f>VLOOKUP(A15,'Agent Sched'!B:O,14,)</f>
        <v>0.375</v>
      </c>
      <c r="AE15" s="13">
        <f t="shared" si="20"/>
        <v>0.75</v>
      </c>
      <c r="AF15" s="21" t="str">
        <f>VLOOKUP(A15,'Agent Sched'!B:P,15,)</f>
        <v>OFF</v>
      </c>
      <c r="AG15" s="13" t="str">
        <f t="shared" si="21"/>
        <v>OFF</v>
      </c>
      <c r="AI15" s="25" t="str">
        <f>VLOOKUP(A15,'Agent Sched'!$B:$Q,16,)</f>
        <v>OFF</v>
      </c>
      <c r="AJ15" s="13" t="str">
        <f t="shared" si="22"/>
        <v>OFF</v>
      </c>
      <c r="AK15" s="12">
        <f>VLOOKUP(A15,'Agent Sched'!B:R,17,)</f>
        <v>0.375</v>
      </c>
      <c r="AL15" s="13">
        <f t="shared" si="23"/>
        <v>0.75</v>
      </c>
      <c r="AM15" s="12">
        <f>VLOOKUP(A15,'Agent Sched'!B:S,18,)</f>
        <v>0.375</v>
      </c>
      <c r="AN15" s="13">
        <f t="shared" si="24"/>
        <v>0.75</v>
      </c>
      <c r="AO15" s="12">
        <f>VLOOKUP(A15,'Agent Sched'!B:T,19,)</f>
        <v>0.375</v>
      </c>
      <c r="AP15" s="13">
        <f t="shared" si="25"/>
        <v>0.75</v>
      </c>
      <c r="AQ15" s="12">
        <f>VLOOKUP(A15,'Agent Sched'!B:U,20,)</f>
        <v>0.375</v>
      </c>
      <c r="AR15" s="13">
        <f t="shared" si="26"/>
        <v>0.75</v>
      </c>
      <c r="AS15" s="12">
        <f>VLOOKUP(A15,'Agent Sched'!B:V,21,)</f>
        <v>0.375</v>
      </c>
      <c r="AT15" s="13">
        <f t="shared" si="27"/>
        <v>0.75</v>
      </c>
      <c r="AU15" s="21" t="str">
        <f>VLOOKUP(A15,'Agent Sched'!B:W,22,)</f>
        <v>OFF</v>
      </c>
      <c r="AV15" s="13" t="str">
        <f t="shared" si="28"/>
        <v>OFF</v>
      </c>
      <c r="AX15" s="30">
        <v>0.5</v>
      </c>
      <c r="AY15" s="10">
        <v>1.5</v>
      </c>
      <c r="AZ15" s="31">
        <f>'Pavia Staffing'!AZ15</f>
        <v>10</v>
      </c>
      <c r="BA15" s="31">
        <f>'Pavia Staffing'!BA15</f>
        <v>0</v>
      </c>
      <c r="BB15" s="31">
        <f>'Pavia Staffing'!BB15</f>
        <v>0</v>
      </c>
      <c r="BC15" s="31">
        <f>'Pavia Staffing'!BC15</f>
        <v>10</v>
      </c>
      <c r="BD15" s="31">
        <f>'Pavia Staffing'!BD15</f>
        <v>10</v>
      </c>
      <c r="BE15" s="31">
        <f>'Pavia Staffing'!BE15</f>
        <v>10</v>
      </c>
      <c r="BF15" s="32">
        <f>'Pavia Staffing'!BF15</f>
        <v>10</v>
      </c>
      <c r="BH15" s="30">
        <v>0.5</v>
      </c>
      <c r="BI15" s="10">
        <v>1.5</v>
      </c>
      <c r="BJ15" s="31">
        <f t="shared" si="29"/>
        <v>13</v>
      </c>
      <c r="BK15" s="31">
        <f t="shared" si="1"/>
        <v>0</v>
      </c>
      <c r="BL15" s="31">
        <f t="shared" si="2"/>
        <v>0</v>
      </c>
      <c r="BM15" s="31">
        <f t="shared" si="3"/>
        <v>0</v>
      </c>
      <c r="BN15" s="31">
        <f t="shared" si="4"/>
        <v>0</v>
      </c>
      <c r="BO15" s="31">
        <f t="shared" si="5"/>
        <v>0</v>
      </c>
      <c r="BP15" s="32">
        <f t="shared" si="6"/>
        <v>0</v>
      </c>
      <c r="BS15" s="38">
        <v>0.5</v>
      </c>
      <c r="BT15" s="136">
        <v>1.50000000000001</v>
      </c>
      <c r="BU15" s="53">
        <f>'Total Staffing'!BU15-'Pavia Staffing'!BU15</f>
        <v>87</v>
      </c>
      <c r="BV15" s="139">
        <f>'Total Staffing'!BV15-'Pavia Staffing'!BV15</f>
        <v>37</v>
      </c>
      <c r="BW15" s="139">
        <f>'Total Staffing'!BW15-'Pavia Staffing'!BW15</f>
        <v>49</v>
      </c>
      <c r="BX15" s="139">
        <f>'Total Staffing'!BX15-'Pavia Staffing'!BX15</f>
        <v>69</v>
      </c>
      <c r="BY15" s="139">
        <f>'Total Staffing'!BY15-'Pavia Staffing'!BY15</f>
        <v>57</v>
      </c>
      <c r="BZ15" s="139">
        <f>'Total Staffing'!BZ15-'Pavia Staffing'!BZ15</f>
        <v>68</v>
      </c>
      <c r="CA15" s="52">
        <f>'Total Staffing'!CA15-'Pavia Staffing'!CA15</f>
        <v>68</v>
      </c>
      <c r="CB15" s="53">
        <f>'Total Staffing'!CB15-'Pavia Staffing'!CB15</f>
        <v>69</v>
      </c>
      <c r="CC15" s="139">
        <f>'Total Staffing'!CC15-'Pavia Staffing'!CC15</f>
        <v>49</v>
      </c>
      <c r="CD15" s="139">
        <f>'Total Staffing'!CD15-'Pavia Staffing'!CD15</f>
        <v>49</v>
      </c>
      <c r="CE15" s="139">
        <f>'Total Staffing'!CE15-'Pavia Staffing'!CE15</f>
        <v>75</v>
      </c>
      <c r="CF15" s="139">
        <f>'Total Staffing'!CF15-'Pavia Staffing'!CF15</f>
        <v>75</v>
      </c>
      <c r="CG15" s="139">
        <f>'Total Staffing'!CG15-'Pavia Staffing'!CG15</f>
        <v>68</v>
      </c>
      <c r="CH15" s="52">
        <f>'Total Staffing'!CH15-'Pavia Staffing'!CH15</f>
        <v>50</v>
      </c>
      <c r="CI15" s="53">
        <f>'Total Staffing'!CI15-'Pavia Staffing'!CI15</f>
        <v>69</v>
      </c>
      <c r="CJ15" s="139">
        <f>'Total Staffing'!CJ15-'Pavia Staffing'!CJ15</f>
        <v>49</v>
      </c>
      <c r="CK15" s="139">
        <f>'Total Staffing'!CK15-'Pavia Staffing'!CK15</f>
        <v>49</v>
      </c>
      <c r="CL15" s="139">
        <f>'Total Staffing'!CL15-'Pavia Staffing'!CL15</f>
        <v>75</v>
      </c>
      <c r="CM15" s="139">
        <f>'Total Staffing'!CM15-'Pavia Staffing'!CM15</f>
        <v>75</v>
      </c>
      <c r="CN15" s="139">
        <f>'Total Staffing'!CN15-'Pavia Staffing'!CN15</f>
        <v>68</v>
      </c>
      <c r="CO15" s="52">
        <f>'Total Staffing'!CO15-'Pavia Staffing'!CO15</f>
        <v>50</v>
      </c>
    </row>
    <row r="16" spans="1:97" x14ac:dyDescent="0.25">
      <c r="A16" s="20" t="str">
        <f>'Agent Sched'!B17</f>
        <v>Perey Joy  Torino</v>
      </c>
      <c r="B16" s="12">
        <f>IFERROR(VLOOKUP(A16,'Agent Sched'!$B:$C,2,),"-")</f>
        <v>0.375</v>
      </c>
      <c r="C16" s="13">
        <f t="shared" si="7"/>
        <v>0.75</v>
      </c>
      <c r="D16" s="12">
        <f>IFERROR(VLOOKUP(A16,'Agent Sched'!B:D,3,),"-")</f>
        <v>0.375</v>
      </c>
      <c r="E16" s="13">
        <f t="shared" si="8"/>
        <v>0.75</v>
      </c>
      <c r="F16" s="12">
        <f>IFERROR(VLOOKUP(A16,'Agent Sched'!B:E,4,),"-")</f>
        <v>0.375</v>
      </c>
      <c r="G16" s="13">
        <f t="shared" si="9"/>
        <v>0.75</v>
      </c>
      <c r="H16" s="12" t="str">
        <f>IFERROR(VLOOKUP(A16,'Agent Sched'!B:F,5,),"-")</f>
        <v>OFF</v>
      </c>
      <c r="I16" s="13" t="str">
        <f t="shared" si="10"/>
        <v>OFF</v>
      </c>
      <c r="J16" s="12" t="str">
        <f>IFERROR(VLOOKUP(A16,'Agent Sched'!B:G,6,),"-")</f>
        <v>OFF</v>
      </c>
      <c r="K16" s="13" t="str">
        <f t="shared" si="11"/>
        <v>OFF</v>
      </c>
      <c r="L16" s="12">
        <f>IFERROR(VLOOKUP(A16,'Agent Sched'!B:H,7,),"-")</f>
        <v>0.375</v>
      </c>
      <c r="M16" s="13">
        <f t="shared" si="12"/>
        <v>0.75</v>
      </c>
      <c r="N16" s="21">
        <f>IFERROR(VLOOKUP(A16,'Agent Sched'!B:I,8,),"-")</f>
        <v>0.375</v>
      </c>
      <c r="O16" s="13">
        <f t="shared" si="13"/>
        <v>0.75</v>
      </c>
      <c r="Q16" s="12">
        <f>VLOOKUP(A16,'Agent Sched'!B:Y,24,)</f>
        <v>0.375</v>
      </c>
      <c r="R16" s="13">
        <f t="shared" si="14"/>
        <v>0.75</v>
      </c>
      <c r="T16" s="25" t="str">
        <f>VLOOKUP(A16,'Agent Sched'!$B:$J,9,)</f>
        <v>OFF</v>
      </c>
      <c r="U16" s="13" t="str">
        <f t="shared" si="15"/>
        <v>OFF</v>
      </c>
      <c r="V16" s="12">
        <f>VLOOKUP(A16,'Agent Sched'!B:K,10,)</f>
        <v>0.375</v>
      </c>
      <c r="W16" s="13">
        <f t="shared" si="16"/>
        <v>0.75</v>
      </c>
      <c r="X16" s="12">
        <f>VLOOKUP(A16,'Agent Sched'!B:L,11,)</f>
        <v>0.375</v>
      </c>
      <c r="Y16" s="13">
        <f t="shared" si="17"/>
        <v>0.75</v>
      </c>
      <c r="Z16" s="12">
        <f>VLOOKUP(A16,'Agent Sched'!B:M,12,)</f>
        <v>0.375</v>
      </c>
      <c r="AA16" s="13">
        <f t="shared" si="18"/>
        <v>0.75</v>
      </c>
      <c r="AB16" s="12">
        <f>VLOOKUP(A16,'Agent Sched'!B:N,13,)</f>
        <v>0.375</v>
      </c>
      <c r="AC16" s="13">
        <f t="shared" si="19"/>
        <v>0.75</v>
      </c>
      <c r="AD16" s="12">
        <f>VLOOKUP(A16,'Agent Sched'!B:O,14,)</f>
        <v>0.375</v>
      </c>
      <c r="AE16" s="13">
        <f t="shared" si="20"/>
        <v>0.75</v>
      </c>
      <c r="AF16" s="21" t="str">
        <f>VLOOKUP(A16,'Agent Sched'!B:P,15,)</f>
        <v>OFF</v>
      </c>
      <c r="AG16" s="13" t="str">
        <f t="shared" si="21"/>
        <v>OFF</v>
      </c>
      <c r="AI16" s="25" t="str">
        <f>VLOOKUP(A16,'Agent Sched'!$B:$Q,16,)</f>
        <v>OFF</v>
      </c>
      <c r="AJ16" s="13" t="str">
        <f t="shared" si="22"/>
        <v>OFF</v>
      </c>
      <c r="AK16" s="12">
        <f>VLOOKUP(A16,'Agent Sched'!B:R,17,)</f>
        <v>0.375</v>
      </c>
      <c r="AL16" s="13">
        <f t="shared" si="23"/>
        <v>0.75</v>
      </c>
      <c r="AM16" s="12">
        <f>VLOOKUP(A16,'Agent Sched'!B:S,18,)</f>
        <v>0.375</v>
      </c>
      <c r="AN16" s="13">
        <f t="shared" si="24"/>
        <v>0.75</v>
      </c>
      <c r="AO16" s="12">
        <f>VLOOKUP(A16,'Agent Sched'!B:T,19,)</f>
        <v>0.375</v>
      </c>
      <c r="AP16" s="13">
        <f t="shared" si="25"/>
        <v>0.75</v>
      </c>
      <c r="AQ16" s="12">
        <f>VLOOKUP(A16,'Agent Sched'!B:U,20,)</f>
        <v>0.375</v>
      </c>
      <c r="AR16" s="13">
        <f t="shared" si="26"/>
        <v>0.75</v>
      </c>
      <c r="AS16" s="12">
        <f>VLOOKUP(A16,'Agent Sched'!B:V,21,)</f>
        <v>0.375</v>
      </c>
      <c r="AT16" s="13">
        <f t="shared" si="27"/>
        <v>0.75</v>
      </c>
      <c r="AU16" s="21" t="str">
        <f>VLOOKUP(A16,'Agent Sched'!B:W,22,)</f>
        <v>OFF</v>
      </c>
      <c r="AV16" s="13" t="str">
        <f t="shared" si="28"/>
        <v>OFF</v>
      </c>
      <c r="AX16" s="30">
        <v>0.54166666666666696</v>
      </c>
      <c r="AY16" s="10">
        <v>1.5416666666666701</v>
      </c>
      <c r="AZ16" s="31">
        <f>'Pavia Staffing'!AZ16</f>
        <v>10</v>
      </c>
      <c r="BA16" s="31">
        <f>'Pavia Staffing'!BA16</f>
        <v>0</v>
      </c>
      <c r="BB16" s="31">
        <f>'Pavia Staffing'!BB16</f>
        <v>0</v>
      </c>
      <c r="BC16" s="31">
        <f>'Pavia Staffing'!BC16</f>
        <v>10</v>
      </c>
      <c r="BD16" s="31">
        <f>'Pavia Staffing'!BD16</f>
        <v>10</v>
      </c>
      <c r="BE16" s="31">
        <f>'Pavia Staffing'!BE16</f>
        <v>10</v>
      </c>
      <c r="BF16" s="32">
        <f>'Pavia Staffing'!BF16</f>
        <v>10</v>
      </c>
      <c r="BH16" s="30">
        <v>0.54166666666666696</v>
      </c>
      <c r="BI16" s="10">
        <v>1.5416666666666601</v>
      </c>
      <c r="BJ16" s="31">
        <f t="shared" si="29"/>
        <v>13</v>
      </c>
      <c r="BK16" s="31">
        <f t="shared" si="1"/>
        <v>0</v>
      </c>
      <c r="BL16" s="31">
        <f t="shared" si="2"/>
        <v>0</v>
      </c>
      <c r="BM16" s="31">
        <f t="shared" si="3"/>
        <v>0</v>
      </c>
      <c r="BN16" s="31">
        <f t="shared" si="4"/>
        <v>0</v>
      </c>
      <c r="BO16" s="31">
        <f t="shared" si="5"/>
        <v>0</v>
      </c>
      <c r="BP16" s="32">
        <f t="shared" si="6"/>
        <v>0</v>
      </c>
      <c r="BS16" s="38">
        <v>0.54166666666666696</v>
      </c>
      <c r="BT16" s="136">
        <v>1.5416666666666701</v>
      </c>
      <c r="BU16" s="53">
        <f>'Total Staffing'!BU16-'Pavia Staffing'!BU16</f>
        <v>87</v>
      </c>
      <c r="BV16" s="139">
        <f>'Total Staffing'!BV16-'Pavia Staffing'!BV16</f>
        <v>37</v>
      </c>
      <c r="BW16" s="139">
        <f>'Total Staffing'!BW16-'Pavia Staffing'!BW16</f>
        <v>49</v>
      </c>
      <c r="BX16" s="139">
        <f>'Total Staffing'!BX16-'Pavia Staffing'!BX16</f>
        <v>69</v>
      </c>
      <c r="BY16" s="139">
        <f>'Total Staffing'!BY16-'Pavia Staffing'!BY16</f>
        <v>57</v>
      </c>
      <c r="BZ16" s="139">
        <f>'Total Staffing'!BZ16-'Pavia Staffing'!BZ16</f>
        <v>68</v>
      </c>
      <c r="CA16" s="52">
        <f>'Total Staffing'!CA16-'Pavia Staffing'!CA16</f>
        <v>68</v>
      </c>
      <c r="CB16" s="53">
        <f>'Total Staffing'!CB16-'Pavia Staffing'!CB16</f>
        <v>69</v>
      </c>
      <c r="CC16" s="139">
        <f>'Total Staffing'!CC16-'Pavia Staffing'!CC16</f>
        <v>49</v>
      </c>
      <c r="CD16" s="139">
        <f>'Total Staffing'!CD16-'Pavia Staffing'!CD16</f>
        <v>49</v>
      </c>
      <c r="CE16" s="139">
        <f>'Total Staffing'!CE16-'Pavia Staffing'!CE16</f>
        <v>75</v>
      </c>
      <c r="CF16" s="139">
        <f>'Total Staffing'!CF16-'Pavia Staffing'!CF16</f>
        <v>75</v>
      </c>
      <c r="CG16" s="139">
        <f>'Total Staffing'!CG16-'Pavia Staffing'!CG16</f>
        <v>68</v>
      </c>
      <c r="CH16" s="52">
        <f>'Total Staffing'!CH16-'Pavia Staffing'!CH16</f>
        <v>50</v>
      </c>
      <c r="CI16" s="53">
        <f>'Total Staffing'!CI16-'Pavia Staffing'!CI16</f>
        <v>69</v>
      </c>
      <c r="CJ16" s="139">
        <f>'Total Staffing'!CJ16-'Pavia Staffing'!CJ16</f>
        <v>49</v>
      </c>
      <c r="CK16" s="139">
        <f>'Total Staffing'!CK16-'Pavia Staffing'!CK16</f>
        <v>49</v>
      </c>
      <c r="CL16" s="139">
        <f>'Total Staffing'!CL16-'Pavia Staffing'!CL16</f>
        <v>75</v>
      </c>
      <c r="CM16" s="139">
        <f>'Total Staffing'!CM16-'Pavia Staffing'!CM16</f>
        <v>75</v>
      </c>
      <c r="CN16" s="139">
        <f>'Total Staffing'!CN16-'Pavia Staffing'!CN16</f>
        <v>68</v>
      </c>
      <c r="CO16" s="52">
        <f>'Total Staffing'!CO16-'Pavia Staffing'!CO16</f>
        <v>50</v>
      </c>
    </row>
    <row r="17" spans="1:93" x14ac:dyDescent="0.25">
      <c r="A17" s="20" t="str">
        <f>'Agent Sched'!B18</f>
        <v>Ma. Lobell Trestiza</v>
      </c>
      <c r="B17" s="12">
        <f>IFERROR(VLOOKUP(A17,'Agent Sched'!$B:$C,2,),"-")</f>
        <v>0.375</v>
      </c>
      <c r="C17" s="13">
        <f t="shared" si="7"/>
        <v>0.75</v>
      </c>
      <c r="D17" s="12">
        <f>IFERROR(VLOOKUP(A17,'Agent Sched'!B:D,3,),"-")</f>
        <v>0.375</v>
      </c>
      <c r="E17" s="13">
        <f t="shared" si="8"/>
        <v>0.75</v>
      </c>
      <c r="F17" s="12">
        <f>IFERROR(VLOOKUP(A17,'Agent Sched'!B:E,4,),"-")</f>
        <v>0.375</v>
      </c>
      <c r="G17" s="13">
        <f t="shared" si="9"/>
        <v>0.75</v>
      </c>
      <c r="H17" s="12" t="str">
        <f>IFERROR(VLOOKUP(A17,'Agent Sched'!B:F,5,),"-")</f>
        <v>OFF</v>
      </c>
      <c r="I17" s="13" t="str">
        <f t="shared" si="10"/>
        <v>OFF</v>
      </c>
      <c r="J17" s="12" t="str">
        <f>IFERROR(VLOOKUP(A17,'Agent Sched'!B:G,6,),"-")</f>
        <v>OFF</v>
      </c>
      <c r="K17" s="13" t="str">
        <f t="shared" si="11"/>
        <v>OFF</v>
      </c>
      <c r="L17" s="12">
        <f>IFERROR(VLOOKUP(A17,'Agent Sched'!B:H,7,),"-")</f>
        <v>0.375</v>
      </c>
      <c r="M17" s="13">
        <f t="shared" si="12"/>
        <v>0.75</v>
      </c>
      <c r="N17" s="21">
        <f>IFERROR(VLOOKUP(A17,'Agent Sched'!B:I,8,),"-")</f>
        <v>0.375</v>
      </c>
      <c r="O17" s="13">
        <f t="shared" si="13"/>
        <v>0.75</v>
      </c>
      <c r="Q17" s="12">
        <f>VLOOKUP(A17,'Agent Sched'!B:Y,24,)</f>
        <v>0.375</v>
      </c>
      <c r="R17" s="13">
        <f t="shared" si="14"/>
        <v>0.75</v>
      </c>
      <c r="T17" s="25" t="str">
        <f>VLOOKUP(A17,'Agent Sched'!$B:$J,9,)</f>
        <v>OFF</v>
      </c>
      <c r="U17" s="13" t="str">
        <f t="shared" si="15"/>
        <v>OFF</v>
      </c>
      <c r="V17" s="12">
        <f>VLOOKUP(A17,'Agent Sched'!B:K,10,)</f>
        <v>0.375</v>
      </c>
      <c r="W17" s="13">
        <f t="shared" si="16"/>
        <v>0.75</v>
      </c>
      <c r="X17" s="12">
        <f>VLOOKUP(A17,'Agent Sched'!B:L,11,)</f>
        <v>0.375</v>
      </c>
      <c r="Y17" s="13">
        <f t="shared" si="17"/>
        <v>0.75</v>
      </c>
      <c r="Z17" s="12">
        <f>VLOOKUP(A17,'Agent Sched'!B:M,12,)</f>
        <v>0.375</v>
      </c>
      <c r="AA17" s="13">
        <f t="shared" si="18"/>
        <v>0.75</v>
      </c>
      <c r="AB17" s="12">
        <f>VLOOKUP(A17,'Agent Sched'!B:N,13,)</f>
        <v>0.375</v>
      </c>
      <c r="AC17" s="13">
        <f t="shared" si="19"/>
        <v>0.75</v>
      </c>
      <c r="AD17" s="12">
        <f>VLOOKUP(A17,'Agent Sched'!B:O,14,)</f>
        <v>0.375</v>
      </c>
      <c r="AE17" s="13">
        <f t="shared" si="20"/>
        <v>0.75</v>
      </c>
      <c r="AF17" s="21" t="str">
        <f>VLOOKUP(A17,'Agent Sched'!B:P,15,)</f>
        <v>OFF</v>
      </c>
      <c r="AG17" s="13" t="str">
        <f t="shared" si="21"/>
        <v>OFF</v>
      </c>
      <c r="AI17" s="25" t="str">
        <f>VLOOKUP(A17,'Agent Sched'!$B:$Q,16,)</f>
        <v>OFF</v>
      </c>
      <c r="AJ17" s="13" t="str">
        <f t="shared" si="22"/>
        <v>OFF</v>
      </c>
      <c r="AK17" s="12">
        <f>VLOOKUP(A17,'Agent Sched'!B:R,17,)</f>
        <v>0.375</v>
      </c>
      <c r="AL17" s="13">
        <f t="shared" si="23"/>
        <v>0.75</v>
      </c>
      <c r="AM17" s="12">
        <f>VLOOKUP(A17,'Agent Sched'!B:S,18,)</f>
        <v>0.375</v>
      </c>
      <c r="AN17" s="13">
        <f t="shared" si="24"/>
        <v>0.75</v>
      </c>
      <c r="AO17" s="12">
        <f>VLOOKUP(A17,'Agent Sched'!B:T,19,)</f>
        <v>0.375</v>
      </c>
      <c r="AP17" s="13">
        <f t="shared" si="25"/>
        <v>0.75</v>
      </c>
      <c r="AQ17" s="12">
        <f>VLOOKUP(A17,'Agent Sched'!B:U,20,)</f>
        <v>0.375</v>
      </c>
      <c r="AR17" s="13">
        <f t="shared" si="26"/>
        <v>0.75</v>
      </c>
      <c r="AS17" s="12">
        <f>VLOOKUP(A17,'Agent Sched'!B:V,21,)</f>
        <v>0.375</v>
      </c>
      <c r="AT17" s="13">
        <f t="shared" si="27"/>
        <v>0.75</v>
      </c>
      <c r="AU17" s="21" t="str">
        <f>VLOOKUP(A17,'Agent Sched'!B:W,22,)</f>
        <v>OFF</v>
      </c>
      <c r="AV17" s="13" t="str">
        <f t="shared" si="28"/>
        <v>OFF</v>
      </c>
      <c r="AX17" s="30">
        <v>0.58333333333333304</v>
      </c>
      <c r="AY17" s="10">
        <v>1.5833333333333399</v>
      </c>
      <c r="AZ17" s="31">
        <f>'Pavia Staffing'!AZ17</f>
        <v>10</v>
      </c>
      <c r="BA17" s="31">
        <f>'Pavia Staffing'!BA17</f>
        <v>0</v>
      </c>
      <c r="BB17" s="31">
        <f>'Pavia Staffing'!BB17</f>
        <v>0</v>
      </c>
      <c r="BC17" s="31">
        <f>'Pavia Staffing'!BC17</f>
        <v>10</v>
      </c>
      <c r="BD17" s="31">
        <f>'Pavia Staffing'!BD17</f>
        <v>10</v>
      </c>
      <c r="BE17" s="31">
        <f>'Pavia Staffing'!BE17</f>
        <v>10</v>
      </c>
      <c r="BF17" s="32">
        <f>'Pavia Staffing'!BF17</f>
        <v>10</v>
      </c>
      <c r="BH17" s="30">
        <v>0.58333333333333304</v>
      </c>
      <c r="BI17" s="10">
        <v>1.5833333333333299</v>
      </c>
      <c r="BJ17" s="31">
        <f t="shared" si="29"/>
        <v>13</v>
      </c>
      <c r="BK17" s="31">
        <f t="shared" si="1"/>
        <v>0</v>
      </c>
      <c r="BL17" s="31">
        <f t="shared" si="2"/>
        <v>0</v>
      </c>
      <c r="BM17" s="31">
        <f t="shared" si="3"/>
        <v>0</v>
      </c>
      <c r="BN17" s="31">
        <f t="shared" si="4"/>
        <v>0</v>
      </c>
      <c r="BO17" s="31">
        <f t="shared" si="5"/>
        <v>0</v>
      </c>
      <c r="BP17" s="32">
        <f t="shared" si="6"/>
        <v>0</v>
      </c>
      <c r="BS17" s="38">
        <v>0.58333333333333304</v>
      </c>
      <c r="BT17" s="136">
        <v>1.5833333333333399</v>
      </c>
      <c r="BU17" s="53">
        <f>'Total Staffing'!BU17-'Pavia Staffing'!BU17</f>
        <v>97</v>
      </c>
      <c r="BV17" s="139">
        <f>'Total Staffing'!BV17-'Pavia Staffing'!BV17</f>
        <v>38</v>
      </c>
      <c r="BW17" s="139">
        <f>'Total Staffing'!BW17-'Pavia Staffing'!BW17</f>
        <v>59</v>
      </c>
      <c r="BX17" s="139">
        <f>'Total Staffing'!BX17-'Pavia Staffing'!BX17</f>
        <v>79</v>
      </c>
      <c r="BY17" s="139">
        <f>'Total Staffing'!BY17-'Pavia Staffing'!BY17</f>
        <v>67</v>
      </c>
      <c r="BZ17" s="139">
        <f>'Total Staffing'!BZ17-'Pavia Staffing'!BZ17</f>
        <v>68</v>
      </c>
      <c r="CA17" s="52">
        <f>'Total Staffing'!CA17-'Pavia Staffing'!CA17</f>
        <v>77</v>
      </c>
      <c r="CB17" s="53">
        <f>'Total Staffing'!CB17-'Pavia Staffing'!CB17</f>
        <v>79</v>
      </c>
      <c r="CC17" s="139">
        <f>'Total Staffing'!CC17-'Pavia Staffing'!CC17</f>
        <v>59</v>
      </c>
      <c r="CD17" s="139">
        <f>'Total Staffing'!CD17-'Pavia Staffing'!CD17</f>
        <v>59</v>
      </c>
      <c r="CE17" s="139">
        <f>'Total Staffing'!CE17-'Pavia Staffing'!CE17</f>
        <v>85</v>
      </c>
      <c r="CF17" s="139">
        <f>'Total Staffing'!CF17-'Pavia Staffing'!CF17</f>
        <v>76</v>
      </c>
      <c r="CG17" s="139">
        <f>'Total Staffing'!CG17-'Pavia Staffing'!CG17</f>
        <v>68</v>
      </c>
      <c r="CH17" s="52">
        <f>'Total Staffing'!CH17-'Pavia Staffing'!CH17</f>
        <v>59</v>
      </c>
      <c r="CI17" s="53">
        <f>'Total Staffing'!CI17-'Pavia Staffing'!CI17</f>
        <v>79</v>
      </c>
      <c r="CJ17" s="139">
        <f>'Total Staffing'!CJ17-'Pavia Staffing'!CJ17</f>
        <v>59</v>
      </c>
      <c r="CK17" s="139">
        <f>'Total Staffing'!CK17-'Pavia Staffing'!CK17</f>
        <v>59</v>
      </c>
      <c r="CL17" s="139">
        <f>'Total Staffing'!CL17-'Pavia Staffing'!CL17</f>
        <v>85</v>
      </c>
      <c r="CM17" s="139">
        <f>'Total Staffing'!CM17-'Pavia Staffing'!CM17</f>
        <v>76</v>
      </c>
      <c r="CN17" s="139">
        <f>'Total Staffing'!CN17-'Pavia Staffing'!CN17</f>
        <v>68</v>
      </c>
      <c r="CO17" s="52">
        <f>'Total Staffing'!CO17-'Pavia Staffing'!CO17</f>
        <v>59</v>
      </c>
    </row>
    <row r="18" spans="1:93" x14ac:dyDescent="0.25">
      <c r="A18" s="20" t="str">
        <f>'Agent Sched'!B19</f>
        <v>Rosevel Nagales</v>
      </c>
      <c r="B18" s="12">
        <f>IFERROR(VLOOKUP(A18,'Agent Sched'!$B:$C,2,),"-")</f>
        <v>0.375</v>
      </c>
      <c r="C18" s="13">
        <f t="shared" si="7"/>
        <v>0.75</v>
      </c>
      <c r="D18" s="12">
        <f>IFERROR(VLOOKUP(A18,'Agent Sched'!B:D,3,),"-")</f>
        <v>0.375</v>
      </c>
      <c r="E18" s="13">
        <f t="shared" si="8"/>
        <v>0.75</v>
      </c>
      <c r="F18" s="12">
        <f>IFERROR(VLOOKUP(A18,'Agent Sched'!B:E,4,),"-")</f>
        <v>0.375</v>
      </c>
      <c r="G18" s="13">
        <f t="shared" si="9"/>
        <v>0.75</v>
      </c>
      <c r="H18" s="12" t="str">
        <f>IFERROR(VLOOKUP(A18,'Agent Sched'!B:F,5,),"-")</f>
        <v>OFF</v>
      </c>
      <c r="I18" s="13" t="str">
        <f t="shared" si="10"/>
        <v>OFF</v>
      </c>
      <c r="J18" s="12" t="str">
        <f>IFERROR(VLOOKUP(A18,'Agent Sched'!B:G,6,),"-")</f>
        <v>OFF</v>
      </c>
      <c r="K18" s="13" t="str">
        <f t="shared" si="11"/>
        <v>OFF</v>
      </c>
      <c r="L18" s="12">
        <f>IFERROR(VLOOKUP(A18,'Agent Sched'!B:H,7,),"-")</f>
        <v>0.375</v>
      </c>
      <c r="M18" s="13">
        <f t="shared" si="12"/>
        <v>0.75</v>
      </c>
      <c r="N18" s="21">
        <f>IFERROR(VLOOKUP(A18,'Agent Sched'!B:I,8,),"-")</f>
        <v>0.375</v>
      </c>
      <c r="O18" s="13">
        <f t="shared" si="13"/>
        <v>0.75</v>
      </c>
      <c r="Q18" s="12">
        <f>VLOOKUP(A18,'Agent Sched'!B:Y,24,)</f>
        <v>0.375</v>
      </c>
      <c r="R18" s="13">
        <f t="shared" si="14"/>
        <v>0.75</v>
      </c>
      <c r="T18" s="25" t="str">
        <f>VLOOKUP(A18,'Agent Sched'!$B:$J,9,)</f>
        <v>OFF</v>
      </c>
      <c r="U18" s="13" t="str">
        <f t="shared" si="15"/>
        <v>OFF</v>
      </c>
      <c r="V18" s="12">
        <f>VLOOKUP(A18,'Agent Sched'!B:K,10,)</f>
        <v>0.375</v>
      </c>
      <c r="W18" s="13">
        <f t="shared" si="16"/>
        <v>0.75</v>
      </c>
      <c r="X18" s="12">
        <f>VLOOKUP(A18,'Agent Sched'!B:L,11,)</f>
        <v>0.375</v>
      </c>
      <c r="Y18" s="13">
        <f t="shared" si="17"/>
        <v>0.75</v>
      </c>
      <c r="Z18" s="12">
        <f>VLOOKUP(A18,'Agent Sched'!B:M,12,)</f>
        <v>0.375</v>
      </c>
      <c r="AA18" s="13">
        <f t="shared" si="18"/>
        <v>0.75</v>
      </c>
      <c r="AB18" s="12">
        <f>VLOOKUP(A18,'Agent Sched'!B:N,13,)</f>
        <v>0.375</v>
      </c>
      <c r="AC18" s="13">
        <f t="shared" si="19"/>
        <v>0.75</v>
      </c>
      <c r="AD18" s="12">
        <f>VLOOKUP(A18,'Agent Sched'!B:O,14,)</f>
        <v>0.375</v>
      </c>
      <c r="AE18" s="13">
        <f t="shared" si="20"/>
        <v>0.75</v>
      </c>
      <c r="AF18" s="21" t="str">
        <f>VLOOKUP(A18,'Agent Sched'!B:P,15,)</f>
        <v>OFF</v>
      </c>
      <c r="AG18" s="13" t="str">
        <f t="shared" si="21"/>
        <v>OFF</v>
      </c>
      <c r="AI18" s="25" t="str">
        <f>VLOOKUP(A18,'Agent Sched'!$B:$Q,16,)</f>
        <v>OFF</v>
      </c>
      <c r="AJ18" s="13" t="str">
        <f t="shared" si="22"/>
        <v>OFF</v>
      </c>
      <c r="AK18" s="12">
        <f>VLOOKUP(A18,'Agent Sched'!B:R,17,)</f>
        <v>0.375</v>
      </c>
      <c r="AL18" s="13">
        <f t="shared" si="23"/>
        <v>0.75</v>
      </c>
      <c r="AM18" s="12">
        <f>VLOOKUP(A18,'Agent Sched'!B:S,18,)</f>
        <v>0.375</v>
      </c>
      <c r="AN18" s="13">
        <f t="shared" si="24"/>
        <v>0.75</v>
      </c>
      <c r="AO18" s="12">
        <f>VLOOKUP(A18,'Agent Sched'!B:T,19,)</f>
        <v>0.375</v>
      </c>
      <c r="AP18" s="13">
        <f t="shared" si="25"/>
        <v>0.75</v>
      </c>
      <c r="AQ18" s="12">
        <f>VLOOKUP(A18,'Agent Sched'!B:U,20,)</f>
        <v>0.375</v>
      </c>
      <c r="AR18" s="13">
        <f t="shared" si="26"/>
        <v>0.75</v>
      </c>
      <c r="AS18" s="12">
        <f>VLOOKUP(A18,'Agent Sched'!B:V,21,)</f>
        <v>0.375</v>
      </c>
      <c r="AT18" s="13">
        <f t="shared" si="27"/>
        <v>0.75</v>
      </c>
      <c r="AU18" s="21" t="str">
        <f>VLOOKUP(A18,'Agent Sched'!B:W,22,)</f>
        <v>OFF</v>
      </c>
      <c r="AV18" s="13" t="str">
        <f t="shared" si="28"/>
        <v>OFF</v>
      </c>
      <c r="AX18" s="30">
        <v>0.625</v>
      </c>
      <c r="AY18" s="10">
        <v>1.625</v>
      </c>
      <c r="AZ18" s="31">
        <f>'Pavia Staffing'!AZ18</f>
        <v>10</v>
      </c>
      <c r="BA18" s="31">
        <f>'Pavia Staffing'!BA18</f>
        <v>0</v>
      </c>
      <c r="BB18" s="31">
        <f>'Pavia Staffing'!BB18</f>
        <v>0</v>
      </c>
      <c r="BC18" s="31">
        <f>'Pavia Staffing'!BC18</f>
        <v>10</v>
      </c>
      <c r="BD18" s="31">
        <f>'Pavia Staffing'!BD18</f>
        <v>10</v>
      </c>
      <c r="BE18" s="31">
        <f>'Pavia Staffing'!BE18</f>
        <v>10</v>
      </c>
      <c r="BF18" s="32">
        <f>'Pavia Staffing'!BF18</f>
        <v>10</v>
      </c>
      <c r="BH18" s="30">
        <v>0.625</v>
      </c>
      <c r="BI18" s="10">
        <v>1.625</v>
      </c>
      <c r="BJ18" s="31">
        <f t="shared" si="29"/>
        <v>13</v>
      </c>
      <c r="BK18" s="31">
        <f t="shared" si="1"/>
        <v>0</v>
      </c>
      <c r="BL18" s="31">
        <f t="shared" si="2"/>
        <v>0</v>
      </c>
      <c r="BM18" s="31">
        <f t="shared" si="3"/>
        <v>0</v>
      </c>
      <c r="BN18" s="31">
        <f t="shared" si="4"/>
        <v>0</v>
      </c>
      <c r="BO18" s="31">
        <f t="shared" si="5"/>
        <v>0</v>
      </c>
      <c r="BP18" s="32">
        <f t="shared" si="6"/>
        <v>0</v>
      </c>
      <c r="BS18" s="38">
        <v>0.625</v>
      </c>
      <c r="BT18" s="136">
        <v>1.62500000000001</v>
      </c>
      <c r="BU18" s="53">
        <f>'Total Staffing'!BU18-'Pavia Staffing'!BU18</f>
        <v>111</v>
      </c>
      <c r="BV18" s="139">
        <f>'Total Staffing'!BV18-'Pavia Staffing'!BV18</f>
        <v>52</v>
      </c>
      <c r="BW18" s="139">
        <f>'Total Staffing'!BW18-'Pavia Staffing'!BW18</f>
        <v>59</v>
      </c>
      <c r="BX18" s="139">
        <f>'Total Staffing'!BX18-'Pavia Staffing'!BX18</f>
        <v>93</v>
      </c>
      <c r="BY18" s="139">
        <f>'Total Staffing'!BY18-'Pavia Staffing'!BY18</f>
        <v>81</v>
      </c>
      <c r="BZ18" s="139">
        <f>'Total Staffing'!BZ18-'Pavia Staffing'!BZ18</f>
        <v>82</v>
      </c>
      <c r="CA18" s="52">
        <f>'Total Staffing'!CA18-'Pavia Staffing'!CA18</f>
        <v>77</v>
      </c>
      <c r="CB18" s="53">
        <f>'Total Staffing'!CB18-'Pavia Staffing'!CB18</f>
        <v>79</v>
      </c>
      <c r="CC18" s="139">
        <f>'Total Staffing'!CC18-'Pavia Staffing'!CC18</f>
        <v>73</v>
      </c>
      <c r="CD18" s="139">
        <f>'Total Staffing'!CD18-'Pavia Staffing'!CD18</f>
        <v>73</v>
      </c>
      <c r="CE18" s="139">
        <f>'Total Staffing'!CE18-'Pavia Staffing'!CE18</f>
        <v>99</v>
      </c>
      <c r="CF18" s="139">
        <f>'Total Staffing'!CF18-'Pavia Staffing'!CF18</f>
        <v>90</v>
      </c>
      <c r="CG18" s="139">
        <f>'Total Staffing'!CG18-'Pavia Staffing'!CG18</f>
        <v>82</v>
      </c>
      <c r="CH18" s="52">
        <f>'Total Staffing'!CH18-'Pavia Staffing'!CH18</f>
        <v>59</v>
      </c>
      <c r="CI18" s="53">
        <f>'Total Staffing'!CI18-'Pavia Staffing'!CI18</f>
        <v>79</v>
      </c>
      <c r="CJ18" s="139">
        <f>'Total Staffing'!CJ18-'Pavia Staffing'!CJ18</f>
        <v>73</v>
      </c>
      <c r="CK18" s="139">
        <f>'Total Staffing'!CK18-'Pavia Staffing'!CK18</f>
        <v>73</v>
      </c>
      <c r="CL18" s="139">
        <f>'Total Staffing'!CL18-'Pavia Staffing'!CL18</f>
        <v>99</v>
      </c>
      <c r="CM18" s="139">
        <f>'Total Staffing'!CM18-'Pavia Staffing'!CM18</f>
        <v>90</v>
      </c>
      <c r="CN18" s="139">
        <f>'Total Staffing'!CN18-'Pavia Staffing'!CN18</f>
        <v>82</v>
      </c>
      <c r="CO18" s="52">
        <f>'Total Staffing'!CO18-'Pavia Staffing'!CO18</f>
        <v>59</v>
      </c>
    </row>
    <row r="19" spans="1:93" x14ac:dyDescent="0.25">
      <c r="A19" s="20" t="str">
        <f>'Agent Sched'!B20</f>
        <v>Johannah Salay</v>
      </c>
      <c r="B19" s="12">
        <f>IFERROR(VLOOKUP(A19,'Agent Sched'!$B:$C,2,),"-")</f>
        <v>0.375</v>
      </c>
      <c r="C19" s="13">
        <f t="shared" si="7"/>
        <v>0.75</v>
      </c>
      <c r="D19" s="12">
        <f>IFERROR(VLOOKUP(A19,'Agent Sched'!B:D,3,),"-")</f>
        <v>0.375</v>
      </c>
      <c r="E19" s="13">
        <f t="shared" si="8"/>
        <v>0.75</v>
      </c>
      <c r="F19" s="12">
        <f>IFERROR(VLOOKUP(A19,'Agent Sched'!B:E,4,),"-")</f>
        <v>0.375</v>
      </c>
      <c r="G19" s="13">
        <f t="shared" si="9"/>
        <v>0.75</v>
      </c>
      <c r="H19" s="12" t="str">
        <f>IFERROR(VLOOKUP(A19,'Agent Sched'!B:F,5,),"-")</f>
        <v>OFF</v>
      </c>
      <c r="I19" s="13" t="str">
        <f t="shared" si="10"/>
        <v>OFF</v>
      </c>
      <c r="J19" s="12" t="str">
        <f>IFERROR(VLOOKUP(A19,'Agent Sched'!B:G,6,),"-")</f>
        <v>OFF</v>
      </c>
      <c r="K19" s="13" t="str">
        <f t="shared" si="11"/>
        <v>OFF</v>
      </c>
      <c r="L19" s="12">
        <f>IFERROR(VLOOKUP(A19,'Agent Sched'!B:H,7,),"-")</f>
        <v>0.375</v>
      </c>
      <c r="M19" s="13">
        <f t="shared" si="12"/>
        <v>0.75</v>
      </c>
      <c r="N19" s="21">
        <f>IFERROR(VLOOKUP(A19,'Agent Sched'!B:I,8,),"-")</f>
        <v>0.375</v>
      </c>
      <c r="O19" s="13">
        <f t="shared" si="13"/>
        <v>0.75</v>
      </c>
      <c r="Q19" s="12">
        <f>VLOOKUP(A19,'Agent Sched'!B:Y,24,)</f>
        <v>0.375</v>
      </c>
      <c r="R19" s="13">
        <f t="shared" si="14"/>
        <v>0.75</v>
      </c>
      <c r="T19" s="25" t="str">
        <f>VLOOKUP(A19,'Agent Sched'!$B:$J,9,)</f>
        <v>OFF</v>
      </c>
      <c r="U19" s="13" t="str">
        <f t="shared" si="15"/>
        <v>OFF</v>
      </c>
      <c r="V19" s="12">
        <f>VLOOKUP(A19,'Agent Sched'!B:K,10,)</f>
        <v>0.375</v>
      </c>
      <c r="W19" s="13">
        <f t="shared" si="16"/>
        <v>0.75</v>
      </c>
      <c r="X19" s="12">
        <f>VLOOKUP(A19,'Agent Sched'!B:L,11,)</f>
        <v>0.375</v>
      </c>
      <c r="Y19" s="13">
        <f t="shared" si="17"/>
        <v>0.75</v>
      </c>
      <c r="Z19" s="12">
        <f>VLOOKUP(A19,'Agent Sched'!B:M,12,)</f>
        <v>0.375</v>
      </c>
      <c r="AA19" s="13">
        <f t="shared" si="18"/>
        <v>0.75</v>
      </c>
      <c r="AB19" s="12">
        <f>VLOOKUP(A19,'Agent Sched'!B:N,13,)</f>
        <v>0.375</v>
      </c>
      <c r="AC19" s="13">
        <f t="shared" si="19"/>
        <v>0.75</v>
      </c>
      <c r="AD19" s="12">
        <f>VLOOKUP(A19,'Agent Sched'!B:O,14,)</f>
        <v>0.375</v>
      </c>
      <c r="AE19" s="13">
        <f t="shared" si="20"/>
        <v>0.75</v>
      </c>
      <c r="AF19" s="21" t="str">
        <f>VLOOKUP(A19,'Agent Sched'!B:P,15,)</f>
        <v>OFF</v>
      </c>
      <c r="AG19" s="13" t="str">
        <f t="shared" si="21"/>
        <v>OFF</v>
      </c>
      <c r="AI19" s="25" t="str">
        <f>VLOOKUP(A19,'Agent Sched'!$B:$Q,16,)</f>
        <v>OFF</v>
      </c>
      <c r="AJ19" s="13" t="str">
        <f t="shared" si="22"/>
        <v>OFF</v>
      </c>
      <c r="AK19" s="12">
        <f>VLOOKUP(A19,'Agent Sched'!B:R,17,)</f>
        <v>0.375</v>
      </c>
      <c r="AL19" s="13">
        <f t="shared" si="23"/>
        <v>0.75</v>
      </c>
      <c r="AM19" s="12">
        <f>VLOOKUP(A19,'Agent Sched'!B:S,18,)</f>
        <v>0.375</v>
      </c>
      <c r="AN19" s="13">
        <f t="shared" si="24"/>
        <v>0.75</v>
      </c>
      <c r="AO19" s="12">
        <f>VLOOKUP(A19,'Agent Sched'!B:T,19,)</f>
        <v>0.375</v>
      </c>
      <c r="AP19" s="13">
        <f t="shared" si="25"/>
        <v>0.75</v>
      </c>
      <c r="AQ19" s="12">
        <f>VLOOKUP(A19,'Agent Sched'!B:U,20,)</f>
        <v>0.375</v>
      </c>
      <c r="AR19" s="13">
        <f t="shared" si="26"/>
        <v>0.75</v>
      </c>
      <c r="AS19" s="12">
        <f>VLOOKUP(A19,'Agent Sched'!B:V,21,)</f>
        <v>0.375</v>
      </c>
      <c r="AT19" s="13">
        <f t="shared" si="27"/>
        <v>0.75</v>
      </c>
      <c r="AU19" s="21" t="str">
        <f>VLOOKUP(A19,'Agent Sched'!B:W,22,)</f>
        <v>OFF</v>
      </c>
      <c r="AV19" s="13" t="str">
        <f t="shared" si="28"/>
        <v>OFF</v>
      </c>
      <c r="AX19" s="30">
        <v>0.66666666666666696</v>
      </c>
      <c r="AY19" s="10">
        <v>1.6666666666666701</v>
      </c>
      <c r="AZ19" s="31">
        <f>'Pavia Staffing'!AZ19</f>
        <v>10</v>
      </c>
      <c r="BA19" s="31">
        <f>'Pavia Staffing'!BA19</f>
        <v>0</v>
      </c>
      <c r="BB19" s="31">
        <f>'Pavia Staffing'!BB19</f>
        <v>0</v>
      </c>
      <c r="BC19" s="31">
        <f>'Pavia Staffing'!BC19</f>
        <v>10</v>
      </c>
      <c r="BD19" s="31">
        <f>'Pavia Staffing'!BD19</f>
        <v>10</v>
      </c>
      <c r="BE19" s="31">
        <f>'Pavia Staffing'!BE19</f>
        <v>10</v>
      </c>
      <c r="BF19" s="32">
        <f>'Pavia Staffing'!BF19</f>
        <v>10</v>
      </c>
      <c r="BH19" s="30">
        <v>0.66666666666666696</v>
      </c>
      <c r="BI19" s="10">
        <v>1.6666666666666601</v>
      </c>
      <c r="BJ19" s="31">
        <f t="shared" si="29"/>
        <v>13</v>
      </c>
      <c r="BK19" s="31">
        <f t="shared" si="1"/>
        <v>0</v>
      </c>
      <c r="BL19" s="31">
        <f t="shared" si="2"/>
        <v>0</v>
      </c>
      <c r="BM19" s="31">
        <f t="shared" si="3"/>
        <v>0</v>
      </c>
      <c r="BN19" s="31">
        <f t="shared" si="4"/>
        <v>0</v>
      </c>
      <c r="BO19" s="31">
        <f t="shared" si="5"/>
        <v>0</v>
      </c>
      <c r="BP19" s="32">
        <f t="shared" si="6"/>
        <v>0</v>
      </c>
      <c r="BS19" s="38">
        <v>0.66666666666666696</v>
      </c>
      <c r="BT19" s="136">
        <v>1.6666666666666701</v>
      </c>
      <c r="BU19" s="53">
        <f>'Total Staffing'!BU19-'Pavia Staffing'!BU19</f>
        <v>123</v>
      </c>
      <c r="BV19" s="139">
        <f>'Total Staffing'!BV19-'Pavia Staffing'!BV19</f>
        <v>64</v>
      </c>
      <c r="BW19" s="139">
        <f>'Total Staffing'!BW19-'Pavia Staffing'!BW19</f>
        <v>71</v>
      </c>
      <c r="BX19" s="139">
        <f>'Total Staffing'!BX19-'Pavia Staffing'!BX19</f>
        <v>94</v>
      </c>
      <c r="BY19" s="139">
        <f>'Total Staffing'!BY19-'Pavia Staffing'!BY19</f>
        <v>93</v>
      </c>
      <c r="BZ19" s="139">
        <f>'Total Staffing'!BZ19-'Pavia Staffing'!BZ19</f>
        <v>83</v>
      </c>
      <c r="CA19" s="52">
        <f>'Total Staffing'!CA19-'Pavia Staffing'!CA19</f>
        <v>90</v>
      </c>
      <c r="CB19" s="53">
        <f>'Total Staffing'!CB19-'Pavia Staffing'!CB19</f>
        <v>91</v>
      </c>
      <c r="CC19" s="139">
        <f>'Total Staffing'!CC19-'Pavia Staffing'!CC19</f>
        <v>86</v>
      </c>
      <c r="CD19" s="139">
        <f>'Total Staffing'!CD19-'Pavia Staffing'!CD19</f>
        <v>86</v>
      </c>
      <c r="CE19" s="139">
        <f>'Total Staffing'!CE19-'Pavia Staffing'!CE19</f>
        <v>112</v>
      </c>
      <c r="CF19" s="139">
        <f>'Total Staffing'!CF19-'Pavia Staffing'!CF19</f>
        <v>90</v>
      </c>
      <c r="CG19" s="139">
        <f>'Total Staffing'!CG19-'Pavia Staffing'!CG19</f>
        <v>83</v>
      </c>
      <c r="CH19" s="52">
        <f>'Total Staffing'!CH19-'Pavia Staffing'!CH19</f>
        <v>72</v>
      </c>
      <c r="CI19" s="53">
        <f>'Total Staffing'!CI19-'Pavia Staffing'!CI19</f>
        <v>91</v>
      </c>
      <c r="CJ19" s="139">
        <f>'Total Staffing'!CJ19-'Pavia Staffing'!CJ19</f>
        <v>86</v>
      </c>
      <c r="CK19" s="139">
        <f>'Total Staffing'!CK19-'Pavia Staffing'!CK19</f>
        <v>86</v>
      </c>
      <c r="CL19" s="139">
        <f>'Total Staffing'!CL19-'Pavia Staffing'!CL19</f>
        <v>112</v>
      </c>
      <c r="CM19" s="139">
        <f>'Total Staffing'!CM19-'Pavia Staffing'!CM19</f>
        <v>90</v>
      </c>
      <c r="CN19" s="139">
        <f>'Total Staffing'!CN19-'Pavia Staffing'!CN19</f>
        <v>83</v>
      </c>
      <c r="CO19" s="52">
        <f>'Total Staffing'!CO19-'Pavia Staffing'!CO19</f>
        <v>72</v>
      </c>
    </row>
    <row r="20" spans="1:93" x14ac:dyDescent="0.25">
      <c r="A20" s="20" t="str">
        <f>'Agent Sched'!B21</f>
        <v>Emilie Cabaluna Gentroles</v>
      </c>
      <c r="B20" s="12">
        <f>IFERROR(VLOOKUP(A20,'Agent Sched'!$B:$C,2,),"-")</f>
        <v>0.375</v>
      </c>
      <c r="C20" s="13">
        <f t="shared" si="7"/>
        <v>0.75</v>
      </c>
      <c r="D20" s="12">
        <f>IFERROR(VLOOKUP(A20,'Agent Sched'!B:D,3,),"-")</f>
        <v>0.375</v>
      </c>
      <c r="E20" s="13">
        <f t="shared" si="8"/>
        <v>0.75</v>
      </c>
      <c r="F20" s="12">
        <f>IFERROR(VLOOKUP(A20,'Agent Sched'!B:E,4,),"-")</f>
        <v>0.375</v>
      </c>
      <c r="G20" s="13">
        <f t="shared" si="9"/>
        <v>0.75</v>
      </c>
      <c r="H20" s="12" t="str">
        <f>IFERROR(VLOOKUP(A20,'Agent Sched'!B:F,5,),"-")</f>
        <v>OFF</v>
      </c>
      <c r="I20" s="13" t="str">
        <f t="shared" si="10"/>
        <v>OFF</v>
      </c>
      <c r="J20" s="12" t="str">
        <f>IFERROR(VLOOKUP(A20,'Agent Sched'!B:G,6,),"-")</f>
        <v>OFF</v>
      </c>
      <c r="K20" s="13" t="str">
        <f t="shared" si="11"/>
        <v>OFF</v>
      </c>
      <c r="L20" s="12">
        <f>IFERROR(VLOOKUP(A20,'Agent Sched'!B:H,7,),"-")</f>
        <v>0.375</v>
      </c>
      <c r="M20" s="13">
        <f t="shared" si="12"/>
        <v>0.75</v>
      </c>
      <c r="N20" s="21">
        <f>IFERROR(VLOOKUP(A20,'Agent Sched'!B:I,8,),"-")</f>
        <v>0.375</v>
      </c>
      <c r="O20" s="13">
        <f t="shared" si="13"/>
        <v>0.75</v>
      </c>
      <c r="Q20" s="12">
        <f>VLOOKUP(A20,'Agent Sched'!B:Y,24,)</f>
        <v>0.375</v>
      </c>
      <c r="R20" s="13">
        <f t="shared" si="14"/>
        <v>0.75</v>
      </c>
      <c r="T20" s="25" t="str">
        <f>VLOOKUP(A20,'Agent Sched'!$B:$J,9,)</f>
        <v>OFF</v>
      </c>
      <c r="U20" s="13" t="str">
        <f t="shared" si="15"/>
        <v>OFF</v>
      </c>
      <c r="V20" s="12">
        <f>VLOOKUP(A20,'Agent Sched'!B:K,10,)</f>
        <v>0.375</v>
      </c>
      <c r="W20" s="13">
        <f t="shared" si="16"/>
        <v>0.75</v>
      </c>
      <c r="X20" s="12">
        <f>VLOOKUP(A20,'Agent Sched'!B:L,11,)</f>
        <v>0.375</v>
      </c>
      <c r="Y20" s="13">
        <f t="shared" si="17"/>
        <v>0.75</v>
      </c>
      <c r="Z20" s="12">
        <f>VLOOKUP(A20,'Agent Sched'!B:M,12,)</f>
        <v>0.375</v>
      </c>
      <c r="AA20" s="13">
        <f t="shared" si="18"/>
        <v>0.75</v>
      </c>
      <c r="AB20" s="12">
        <f>VLOOKUP(A20,'Agent Sched'!B:N,13,)</f>
        <v>0.375</v>
      </c>
      <c r="AC20" s="13">
        <f t="shared" si="19"/>
        <v>0.75</v>
      </c>
      <c r="AD20" s="12">
        <f>VLOOKUP(A20,'Agent Sched'!B:O,14,)</f>
        <v>0.375</v>
      </c>
      <c r="AE20" s="13">
        <f t="shared" si="20"/>
        <v>0.75</v>
      </c>
      <c r="AF20" s="21" t="str">
        <f>VLOOKUP(A20,'Agent Sched'!B:P,15,)</f>
        <v>OFF</v>
      </c>
      <c r="AG20" s="13" t="str">
        <f t="shared" si="21"/>
        <v>OFF</v>
      </c>
      <c r="AI20" s="25" t="str">
        <f>VLOOKUP(A20,'Agent Sched'!$B:$Q,16,)</f>
        <v>OFF</v>
      </c>
      <c r="AJ20" s="13" t="str">
        <f t="shared" si="22"/>
        <v>OFF</v>
      </c>
      <c r="AK20" s="12">
        <f>VLOOKUP(A20,'Agent Sched'!B:R,17,)</f>
        <v>0.375</v>
      </c>
      <c r="AL20" s="13">
        <f t="shared" si="23"/>
        <v>0.75</v>
      </c>
      <c r="AM20" s="12">
        <f>VLOOKUP(A20,'Agent Sched'!B:S,18,)</f>
        <v>0.375</v>
      </c>
      <c r="AN20" s="13">
        <f t="shared" si="24"/>
        <v>0.75</v>
      </c>
      <c r="AO20" s="12">
        <f>VLOOKUP(A20,'Agent Sched'!B:T,19,)</f>
        <v>0.375</v>
      </c>
      <c r="AP20" s="13">
        <f t="shared" si="25"/>
        <v>0.75</v>
      </c>
      <c r="AQ20" s="12">
        <f>VLOOKUP(A20,'Agent Sched'!B:U,20,)</f>
        <v>0.375</v>
      </c>
      <c r="AR20" s="13">
        <f t="shared" si="26"/>
        <v>0.75</v>
      </c>
      <c r="AS20" s="12">
        <f>VLOOKUP(A20,'Agent Sched'!B:V,21,)</f>
        <v>0.375</v>
      </c>
      <c r="AT20" s="13">
        <f t="shared" si="27"/>
        <v>0.75</v>
      </c>
      <c r="AU20" s="21" t="str">
        <f>VLOOKUP(A20,'Agent Sched'!B:W,22,)</f>
        <v>OFF</v>
      </c>
      <c r="AV20" s="13" t="str">
        <f t="shared" si="28"/>
        <v>OFF</v>
      </c>
      <c r="AX20" s="30">
        <v>0.70833333333333304</v>
      </c>
      <c r="AY20" s="10">
        <v>1.7083333333333399</v>
      </c>
      <c r="AZ20" s="31">
        <f>'Pavia Staffing'!AZ20</f>
        <v>10</v>
      </c>
      <c r="BA20" s="31">
        <f>'Pavia Staffing'!BA20</f>
        <v>0</v>
      </c>
      <c r="BB20" s="31">
        <f>'Pavia Staffing'!BB20</f>
        <v>0</v>
      </c>
      <c r="BC20" s="31">
        <f>'Pavia Staffing'!BC20</f>
        <v>10</v>
      </c>
      <c r="BD20" s="31">
        <f>'Pavia Staffing'!BD20</f>
        <v>10</v>
      </c>
      <c r="BE20" s="31">
        <f>'Pavia Staffing'!BE20</f>
        <v>10</v>
      </c>
      <c r="BF20" s="32">
        <f>'Pavia Staffing'!BF20</f>
        <v>10</v>
      </c>
      <c r="BH20" s="30">
        <v>0.70833333333333304</v>
      </c>
      <c r="BI20" s="10">
        <v>1.7083333333333299</v>
      </c>
      <c r="BJ20" s="31">
        <f t="shared" si="29"/>
        <v>13</v>
      </c>
      <c r="BK20" s="31">
        <f t="shared" si="1"/>
        <v>0</v>
      </c>
      <c r="BL20" s="31">
        <f t="shared" si="2"/>
        <v>0</v>
      </c>
      <c r="BM20" s="31">
        <f t="shared" si="3"/>
        <v>0</v>
      </c>
      <c r="BN20" s="31">
        <f t="shared" si="4"/>
        <v>0</v>
      </c>
      <c r="BO20" s="31">
        <f t="shared" si="5"/>
        <v>0</v>
      </c>
      <c r="BP20" s="32">
        <f t="shared" si="6"/>
        <v>0</v>
      </c>
      <c r="BS20" s="38">
        <v>0.70833333333333304</v>
      </c>
      <c r="BT20" s="136">
        <v>1.7083333333333399</v>
      </c>
      <c r="BU20" s="53">
        <f>'Total Staffing'!BU20-'Pavia Staffing'!BU20</f>
        <v>123</v>
      </c>
      <c r="BV20" s="139">
        <f>'Total Staffing'!BV20-'Pavia Staffing'!BV20</f>
        <v>64</v>
      </c>
      <c r="BW20" s="139">
        <f>'Total Staffing'!BW20-'Pavia Staffing'!BW20</f>
        <v>71</v>
      </c>
      <c r="BX20" s="139">
        <f>'Total Staffing'!BX20-'Pavia Staffing'!BX20</f>
        <v>94</v>
      </c>
      <c r="BY20" s="139">
        <f>'Total Staffing'!BY20-'Pavia Staffing'!BY20</f>
        <v>93</v>
      </c>
      <c r="BZ20" s="139">
        <f>'Total Staffing'!BZ20-'Pavia Staffing'!BZ20</f>
        <v>83</v>
      </c>
      <c r="CA20" s="52">
        <f>'Total Staffing'!CA20-'Pavia Staffing'!CA20</f>
        <v>90</v>
      </c>
      <c r="CB20" s="53">
        <f>'Total Staffing'!CB20-'Pavia Staffing'!CB20</f>
        <v>91</v>
      </c>
      <c r="CC20" s="139">
        <f>'Total Staffing'!CC20-'Pavia Staffing'!CC20</f>
        <v>86</v>
      </c>
      <c r="CD20" s="139">
        <f>'Total Staffing'!CD20-'Pavia Staffing'!CD20</f>
        <v>86</v>
      </c>
      <c r="CE20" s="139">
        <f>'Total Staffing'!CE20-'Pavia Staffing'!CE20</f>
        <v>112</v>
      </c>
      <c r="CF20" s="139">
        <f>'Total Staffing'!CF20-'Pavia Staffing'!CF20</f>
        <v>90</v>
      </c>
      <c r="CG20" s="139">
        <f>'Total Staffing'!CG20-'Pavia Staffing'!CG20</f>
        <v>83</v>
      </c>
      <c r="CH20" s="52">
        <f>'Total Staffing'!CH20-'Pavia Staffing'!CH20</f>
        <v>72</v>
      </c>
      <c r="CI20" s="53">
        <f>'Total Staffing'!CI20-'Pavia Staffing'!CI20</f>
        <v>91</v>
      </c>
      <c r="CJ20" s="139">
        <f>'Total Staffing'!CJ20-'Pavia Staffing'!CJ20</f>
        <v>86</v>
      </c>
      <c r="CK20" s="139">
        <f>'Total Staffing'!CK20-'Pavia Staffing'!CK20</f>
        <v>86</v>
      </c>
      <c r="CL20" s="139">
        <f>'Total Staffing'!CL20-'Pavia Staffing'!CL20</f>
        <v>112</v>
      </c>
      <c r="CM20" s="139">
        <f>'Total Staffing'!CM20-'Pavia Staffing'!CM20</f>
        <v>90</v>
      </c>
      <c r="CN20" s="139">
        <f>'Total Staffing'!CN20-'Pavia Staffing'!CN20</f>
        <v>83</v>
      </c>
      <c r="CO20" s="52">
        <f>'Total Staffing'!CO20-'Pavia Staffing'!CO20</f>
        <v>72</v>
      </c>
    </row>
    <row r="21" spans="1:93" x14ac:dyDescent="0.25">
      <c r="A21" s="20" t="str">
        <f>'Agent Sched'!B22</f>
        <v>Romel,Concepcion,Resente</v>
      </c>
      <c r="B21" s="12">
        <f>IFERROR(VLOOKUP(A21,'Agent Sched'!$B:$C,2,),"-")</f>
        <v>0.375</v>
      </c>
      <c r="C21" s="13">
        <f t="shared" si="7"/>
        <v>0.75</v>
      </c>
      <c r="D21" s="12">
        <f>IFERROR(VLOOKUP(A21,'Agent Sched'!B:D,3,),"-")</f>
        <v>0.375</v>
      </c>
      <c r="E21" s="13">
        <f t="shared" si="8"/>
        <v>0.75</v>
      </c>
      <c r="F21" s="12">
        <f>IFERROR(VLOOKUP(A21,'Agent Sched'!B:E,4,),"-")</f>
        <v>0.375</v>
      </c>
      <c r="G21" s="13">
        <f t="shared" si="9"/>
        <v>0.75</v>
      </c>
      <c r="H21" s="12">
        <f>IFERROR(VLOOKUP(A21,'Agent Sched'!B:F,5,),"-")</f>
        <v>0.375</v>
      </c>
      <c r="I21" s="13">
        <f t="shared" si="10"/>
        <v>0.75</v>
      </c>
      <c r="J21" s="12">
        <f>IFERROR(VLOOKUP(A21,'Agent Sched'!B:G,6,),"-")</f>
        <v>0.375</v>
      </c>
      <c r="K21" s="13">
        <f t="shared" si="11"/>
        <v>0.75</v>
      </c>
      <c r="L21" s="12" t="str">
        <f>IFERROR(VLOOKUP(A21,'Agent Sched'!B:H,7,),"-")</f>
        <v>OFF</v>
      </c>
      <c r="M21" s="13" t="str">
        <f t="shared" si="12"/>
        <v>OFF</v>
      </c>
      <c r="N21" s="21" t="str">
        <f>IFERROR(VLOOKUP(A21,'Agent Sched'!B:I,8,),"-")</f>
        <v>OFF</v>
      </c>
      <c r="O21" s="13" t="str">
        <f t="shared" si="13"/>
        <v>OFF</v>
      </c>
      <c r="Q21" s="12" t="str">
        <f>VLOOKUP(A21,'Agent Sched'!B:Y,24,)</f>
        <v>OFF</v>
      </c>
      <c r="R21" s="13" t="str">
        <f t="shared" si="14"/>
        <v>OFF</v>
      </c>
      <c r="T21" s="25">
        <f>VLOOKUP(A21,'Agent Sched'!$B:$J,9,)</f>
        <v>0.375</v>
      </c>
      <c r="U21" s="13">
        <f t="shared" si="15"/>
        <v>0.75</v>
      </c>
      <c r="V21" s="12">
        <f>VLOOKUP(A21,'Agent Sched'!B:K,10,)</f>
        <v>0.375</v>
      </c>
      <c r="W21" s="13">
        <f t="shared" si="16"/>
        <v>0.75</v>
      </c>
      <c r="X21" s="12">
        <f>VLOOKUP(A21,'Agent Sched'!B:L,11,)</f>
        <v>0.375</v>
      </c>
      <c r="Y21" s="13">
        <f t="shared" si="17"/>
        <v>0.75</v>
      </c>
      <c r="Z21" s="12">
        <f>VLOOKUP(A21,'Agent Sched'!B:M,12,)</f>
        <v>0.375</v>
      </c>
      <c r="AA21" s="13">
        <f t="shared" si="18"/>
        <v>0.75</v>
      </c>
      <c r="AB21" s="12">
        <f>VLOOKUP(A21,'Agent Sched'!B:N,13,)</f>
        <v>0.375</v>
      </c>
      <c r="AC21" s="13">
        <f t="shared" si="19"/>
        <v>0.75</v>
      </c>
      <c r="AD21" s="12" t="str">
        <f>VLOOKUP(A21,'Agent Sched'!B:O,14,)</f>
        <v>OFF</v>
      </c>
      <c r="AE21" s="13" t="str">
        <f t="shared" si="20"/>
        <v>OFF</v>
      </c>
      <c r="AF21" s="21" t="str">
        <f>VLOOKUP(A21,'Agent Sched'!B:P,15,)</f>
        <v>OFF</v>
      </c>
      <c r="AG21" s="13" t="str">
        <f t="shared" si="21"/>
        <v>OFF</v>
      </c>
      <c r="AI21" s="25">
        <f>VLOOKUP(A21,'Agent Sched'!$B:$Q,16,)</f>
        <v>0.375</v>
      </c>
      <c r="AJ21" s="13">
        <f t="shared" si="22"/>
        <v>0.75</v>
      </c>
      <c r="AK21" s="12">
        <f>VLOOKUP(A21,'Agent Sched'!B:R,17,)</f>
        <v>0.375</v>
      </c>
      <c r="AL21" s="13">
        <f t="shared" si="23"/>
        <v>0.75</v>
      </c>
      <c r="AM21" s="12">
        <f>VLOOKUP(A21,'Agent Sched'!B:S,18,)</f>
        <v>0.375</v>
      </c>
      <c r="AN21" s="13">
        <f t="shared" si="24"/>
        <v>0.75</v>
      </c>
      <c r="AO21" s="12">
        <f>VLOOKUP(A21,'Agent Sched'!B:T,19,)</f>
        <v>0.375</v>
      </c>
      <c r="AP21" s="13">
        <f t="shared" si="25"/>
        <v>0.75</v>
      </c>
      <c r="AQ21" s="12">
        <f>VLOOKUP(A21,'Agent Sched'!B:U,20,)</f>
        <v>0.375</v>
      </c>
      <c r="AR21" s="13">
        <f t="shared" si="26"/>
        <v>0.75</v>
      </c>
      <c r="AS21" s="12" t="str">
        <f>VLOOKUP(A21,'Agent Sched'!B:V,21,)</f>
        <v>OFF</v>
      </c>
      <c r="AT21" s="13" t="str">
        <f t="shared" si="27"/>
        <v>OFF</v>
      </c>
      <c r="AU21" s="21" t="str">
        <f>VLOOKUP(A21,'Agent Sched'!B:W,22,)</f>
        <v>OFF</v>
      </c>
      <c r="AV21" s="13" t="str">
        <f t="shared" si="28"/>
        <v>OFF</v>
      </c>
      <c r="AX21" s="30">
        <v>0.75</v>
      </c>
      <c r="AY21" s="10">
        <v>1.75</v>
      </c>
      <c r="AZ21" s="31">
        <f>'Pavia Staffing'!AZ21</f>
        <v>0</v>
      </c>
      <c r="BA21" s="31">
        <f>'Pavia Staffing'!BA21</f>
        <v>0</v>
      </c>
      <c r="BB21" s="31">
        <f>'Pavia Staffing'!BB21</f>
        <v>0</v>
      </c>
      <c r="BC21" s="31">
        <f>'Pavia Staffing'!BC21</f>
        <v>0</v>
      </c>
      <c r="BD21" s="31">
        <f>'Pavia Staffing'!BD21</f>
        <v>0</v>
      </c>
      <c r="BE21" s="31">
        <f>'Pavia Staffing'!BE21</f>
        <v>0</v>
      </c>
      <c r="BF21" s="32">
        <f>'Pavia Staffing'!BF21</f>
        <v>0</v>
      </c>
      <c r="BH21" s="30">
        <v>0.75</v>
      </c>
      <c r="BI21" s="10">
        <v>1.75</v>
      </c>
      <c r="BJ21" s="31">
        <f t="shared" si="29"/>
        <v>0</v>
      </c>
      <c r="BK21" s="31">
        <f t="shared" si="1"/>
        <v>0</v>
      </c>
      <c r="BL21" s="31">
        <f t="shared" si="2"/>
        <v>0</v>
      </c>
      <c r="BM21" s="31">
        <f t="shared" si="3"/>
        <v>0</v>
      </c>
      <c r="BN21" s="31">
        <f t="shared" si="4"/>
        <v>0</v>
      </c>
      <c r="BO21" s="31">
        <f t="shared" si="5"/>
        <v>0</v>
      </c>
      <c r="BP21" s="32">
        <f t="shared" si="6"/>
        <v>0</v>
      </c>
      <c r="BS21" s="38">
        <v>0.75</v>
      </c>
      <c r="BT21" s="136">
        <v>1.75000000000001</v>
      </c>
      <c r="BU21" s="53">
        <f>'Total Staffing'!BU21-'Pavia Staffing'!BU21</f>
        <v>85</v>
      </c>
      <c r="BV21" s="139">
        <f>'Total Staffing'!BV21-'Pavia Staffing'!BV21</f>
        <v>27</v>
      </c>
      <c r="BW21" s="139">
        <f>'Total Staffing'!BW21-'Pavia Staffing'!BW21</f>
        <v>34</v>
      </c>
      <c r="BX21" s="139">
        <f>'Total Staffing'!BX21-'Pavia Staffing'!BX21</f>
        <v>74</v>
      </c>
      <c r="BY21" s="139">
        <f>'Total Staffing'!BY21-'Pavia Staffing'!BY21</f>
        <v>73</v>
      </c>
      <c r="BZ21" s="139">
        <f>'Total Staffing'!BZ21-'Pavia Staffing'!BZ21</f>
        <v>64</v>
      </c>
      <c r="CA21" s="52">
        <f>'Total Staffing'!CA21-'Pavia Staffing'!CA21</f>
        <v>71</v>
      </c>
      <c r="CB21" s="53">
        <f>'Total Staffing'!CB21-'Pavia Staffing'!CB21</f>
        <v>71</v>
      </c>
      <c r="CC21" s="139">
        <f>'Total Staffing'!CC21-'Pavia Staffing'!CC21</f>
        <v>49</v>
      </c>
      <c r="CD21" s="139">
        <f>'Total Staffing'!CD21-'Pavia Staffing'!CD21</f>
        <v>49</v>
      </c>
      <c r="CE21" s="139">
        <f>'Total Staffing'!CE21-'Pavia Staffing'!CE21</f>
        <v>74</v>
      </c>
      <c r="CF21" s="139">
        <f>'Total Staffing'!CF21-'Pavia Staffing'!CF21</f>
        <v>52</v>
      </c>
      <c r="CG21" s="139">
        <f>'Total Staffing'!CG21-'Pavia Staffing'!CG21</f>
        <v>64</v>
      </c>
      <c r="CH21" s="52">
        <f>'Total Staffing'!CH21-'Pavia Staffing'!CH21</f>
        <v>71</v>
      </c>
      <c r="CI21" s="53">
        <f>'Total Staffing'!CI21-'Pavia Staffing'!CI21</f>
        <v>71</v>
      </c>
      <c r="CJ21" s="139">
        <f>'Total Staffing'!CJ21-'Pavia Staffing'!CJ21</f>
        <v>49</v>
      </c>
      <c r="CK21" s="139">
        <f>'Total Staffing'!CK21-'Pavia Staffing'!CK21</f>
        <v>49</v>
      </c>
      <c r="CL21" s="139">
        <f>'Total Staffing'!CL21-'Pavia Staffing'!CL21</f>
        <v>74</v>
      </c>
      <c r="CM21" s="139">
        <f>'Total Staffing'!CM21-'Pavia Staffing'!CM21</f>
        <v>52</v>
      </c>
      <c r="CN21" s="139">
        <f>'Total Staffing'!CN21-'Pavia Staffing'!CN21</f>
        <v>64</v>
      </c>
      <c r="CO21" s="52">
        <f>'Total Staffing'!CO21-'Pavia Staffing'!CO21</f>
        <v>71</v>
      </c>
    </row>
    <row r="22" spans="1:93" x14ac:dyDescent="0.25">
      <c r="A22" s="20" t="str">
        <f>'Agent Sched'!B23</f>
        <v>Irene,Vasquez,Sarabia</v>
      </c>
      <c r="B22" s="12">
        <f>IFERROR(VLOOKUP(A22,'Agent Sched'!$B:$C,2,),"-")</f>
        <v>0.375</v>
      </c>
      <c r="C22" s="13">
        <f t="shared" si="7"/>
        <v>0.75</v>
      </c>
      <c r="D22" s="12">
        <f>IFERROR(VLOOKUP(A22,'Agent Sched'!B:D,3,),"-")</f>
        <v>0.375</v>
      </c>
      <c r="E22" s="13">
        <f t="shared" si="8"/>
        <v>0.75</v>
      </c>
      <c r="F22" s="12">
        <f>IFERROR(VLOOKUP(A22,'Agent Sched'!B:E,4,),"-")</f>
        <v>0.375</v>
      </c>
      <c r="G22" s="13">
        <f t="shared" si="9"/>
        <v>0.75</v>
      </c>
      <c r="H22" s="12">
        <f>IFERROR(VLOOKUP(A22,'Agent Sched'!B:F,5,),"-")</f>
        <v>0.375</v>
      </c>
      <c r="I22" s="13">
        <f t="shared" si="10"/>
        <v>0.75</v>
      </c>
      <c r="J22" s="12">
        <f>IFERROR(VLOOKUP(A22,'Agent Sched'!B:G,6,),"-")</f>
        <v>0.375</v>
      </c>
      <c r="K22" s="13">
        <f t="shared" si="11"/>
        <v>0.75</v>
      </c>
      <c r="L22" s="12" t="str">
        <f>IFERROR(VLOOKUP(A22,'Agent Sched'!B:H,7,),"-")</f>
        <v>OFF</v>
      </c>
      <c r="M22" s="13" t="str">
        <f t="shared" si="12"/>
        <v>OFF</v>
      </c>
      <c r="N22" s="21" t="str">
        <f>IFERROR(VLOOKUP(A22,'Agent Sched'!B:I,8,),"-")</f>
        <v>OFF</v>
      </c>
      <c r="O22" s="13" t="str">
        <f t="shared" si="13"/>
        <v>OFF</v>
      </c>
      <c r="Q22" s="12" t="str">
        <f>VLOOKUP(A22,'Agent Sched'!B:Y,24,)</f>
        <v>OFF</v>
      </c>
      <c r="R22" s="13" t="str">
        <f t="shared" si="14"/>
        <v>OFF</v>
      </c>
      <c r="T22" s="25">
        <f>VLOOKUP(A22,'Agent Sched'!$B:$J,9,)</f>
        <v>0.375</v>
      </c>
      <c r="U22" s="13">
        <f t="shared" si="15"/>
        <v>0.75</v>
      </c>
      <c r="V22" s="12">
        <f>VLOOKUP(A22,'Agent Sched'!B:K,10,)</f>
        <v>0.375</v>
      </c>
      <c r="W22" s="13">
        <f t="shared" si="16"/>
        <v>0.75</v>
      </c>
      <c r="X22" s="12">
        <f>VLOOKUP(A22,'Agent Sched'!B:L,11,)</f>
        <v>0.375</v>
      </c>
      <c r="Y22" s="13">
        <f t="shared" si="17"/>
        <v>0.75</v>
      </c>
      <c r="Z22" s="12">
        <f>VLOOKUP(A22,'Agent Sched'!B:M,12,)</f>
        <v>0.375</v>
      </c>
      <c r="AA22" s="13">
        <f t="shared" si="18"/>
        <v>0.75</v>
      </c>
      <c r="AB22" s="12">
        <f>VLOOKUP(A22,'Agent Sched'!B:N,13,)</f>
        <v>0.375</v>
      </c>
      <c r="AC22" s="13">
        <f t="shared" si="19"/>
        <v>0.75</v>
      </c>
      <c r="AD22" s="12" t="str">
        <f>VLOOKUP(A22,'Agent Sched'!B:O,14,)</f>
        <v>OFF</v>
      </c>
      <c r="AE22" s="13" t="str">
        <f t="shared" si="20"/>
        <v>OFF</v>
      </c>
      <c r="AF22" s="21" t="str">
        <f>VLOOKUP(A22,'Agent Sched'!B:P,15,)</f>
        <v>OFF</v>
      </c>
      <c r="AG22" s="13" t="str">
        <f t="shared" si="21"/>
        <v>OFF</v>
      </c>
      <c r="AI22" s="25">
        <f>VLOOKUP(A22,'Agent Sched'!$B:$Q,16,)</f>
        <v>0.375</v>
      </c>
      <c r="AJ22" s="13">
        <f t="shared" si="22"/>
        <v>0.75</v>
      </c>
      <c r="AK22" s="12">
        <f>VLOOKUP(A22,'Agent Sched'!B:R,17,)</f>
        <v>0.375</v>
      </c>
      <c r="AL22" s="13">
        <f t="shared" si="23"/>
        <v>0.75</v>
      </c>
      <c r="AM22" s="12">
        <f>VLOOKUP(A22,'Agent Sched'!B:S,18,)</f>
        <v>0.375</v>
      </c>
      <c r="AN22" s="13">
        <f t="shared" si="24"/>
        <v>0.75</v>
      </c>
      <c r="AO22" s="12">
        <f>VLOOKUP(A22,'Agent Sched'!B:T,19,)</f>
        <v>0.375</v>
      </c>
      <c r="AP22" s="13">
        <f t="shared" si="25"/>
        <v>0.75</v>
      </c>
      <c r="AQ22" s="12">
        <f>VLOOKUP(A22,'Agent Sched'!B:U,20,)</f>
        <v>0.375</v>
      </c>
      <c r="AR22" s="13">
        <f t="shared" si="26"/>
        <v>0.75</v>
      </c>
      <c r="AS22" s="12" t="str">
        <f>VLOOKUP(A22,'Agent Sched'!B:V,21,)</f>
        <v>OFF</v>
      </c>
      <c r="AT22" s="13" t="str">
        <f t="shared" si="27"/>
        <v>OFF</v>
      </c>
      <c r="AU22" s="21" t="str">
        <f>VLOOKUP(A22,'Agent Sched'!B:W,22,)</f>
        <v>OFF</v>
      </c>
      <c r="AV22" s="13" t="str">
        <f t="shared" si="28"/>
        <v>OFF</v>
      </c>
      <c r="AX22" s="30">
        <v>0.79166666666666696</v>
      </c>
      <c r="AY22" s="10">
        <v>1.7916666666666701</v>
      </c>
      <c r="AZ22" s="31">
        <f>'Pavia Staffing'!AZ22</f>
        <v>0</v>
      </c>
      <c r="BA22" s="31">
        <f>'Pavia Staffing'!BA22</f>
        <v>0</v>
      </c>
      <c r="BB22" s="31">
        <f>'Pavia Staffing'!BB22</f>
        <v>0</v>
      </c>
      <c r="BC22" s="31">
        <f>'Pavia Staffing'!BC22</f>
        <v>0</v>
      </c>
      <c r="BD22" s="31">
        <f>'Pavia Staffing'!BD22</f>
        <v>0</v>
      </c>
      <c r="BE22" s="31">
        <f>'Pavia Staffing'!BE22</f>
        <v>0</v>
      </c>
      <c r="BF22" s="32">
        <f>'Pavia Staffing'!BF22</f>
        <v>0</v>
      </c>
      <c r="BH22" s="30">
        <v>0.79166666666666696</v>
      </c>
      <c r="BI22" s="10">
        <v>1.7916666666666601</v>
      </c>
      <c r="BJ22" s="31">
        <f t="shared" si="29"/>
        <v>0</v>
      </c>
      <c r="BK22" s="31">
        <f t="shared" si="1"/>
        <v>0</v>
      </c>
      <c r="BL22" s="31">
        <f t="shared" si="2"/>
        <v>0</v>
      </c>
      <c r="BM22" s="31">
        <f t="shared" si="3"/>
        <v>0</v>
      </c>
      <c r="BN22" s="31">
        <f t="shared" si="4"/>
        <v>0</v>
      </c>
      <c r="BO22" s="31">
        <f t="shared" si="5"/>
        <v>0</v>
      </c>
      <c r="BP22" s="32">
        <f t="shared" si="6"/>
        <v>0</v>
      </c>
      <c r="BS22" s="38">
        <v>0.79166666666666696</v>
      </c>
      <c r="BT22" s="136">
        <v>1.7916666666666701</v>
      </c>
      <c r="BU22" s="53">
        <f>'Total Staffing'!BU22-'Pavia Staffing'!BU22</f>
        <v>48</v>
      </c>
      <c r="BV22" s="139">
        <f>'Total Staffing'!BV22-'Pavia Staffing'!BV22</f>
        <v>27</v>
      </c>
      <c r="BW22" s="139">
        <f>'Total Staffing'!BW22-'Pavia Staffing'!BW22</f>
        <v>34</v>
      </c>
      <c r="BX22" s="139">
        <f>'Total Staffing'!BX22-'Pavia Staffing'!BX22</f>
        <v>37</v>
      </c>
      <c r="BY22" s="139">
        <f>'Total Staffing'!BY22-'Pavia Staffing'!BY22</f>
        <v>36</v>
      </c>
      <c r="BZ22" s="139">
        <f>'Total Staffing'!BZ22-'Pavia Staffing'!BZ22</f>
        <v>27</v>
      </c>
      <c r="CA22" s="52">
        <f>'Total Staffing'!CA22-'Pavia Staffing'!CA22</f>
        <v>34</v>
      </c>
      <c r="CB22" s="53">
        <f>'Total Staffing'!CB22-'Pavia Staffing'!CB22</f>
        <v>34</v>
      </c>
      <c r="CC22" s="139">
        <f>'Total Staffing'!CC22-'Pavia Staffing'!CC22</f>
        <v>49</v>
      </c>
      <c r="CD22" s="139">
        <f>'Total Staffing'!CD22-'Pavia Staffing'!CD22</f>
        <v>49</v>
      </c>
      <c r="CE22" s="139">
        <f>'Total Staffing'!CE22-'Pavia Staffing'!CE22</f>
        <v>37</v>
      </c>
      <c r="CF22" s="139">
        <f>'Total Staffing'!CF22-'Pavia Staffing'!CF22</f>
        <v>15</v>
      </c>
      <c r="CG22" s="139">
        <f>'Total Staffing'!CG22-'Pavia Staffing'!CG22</f>
        <v>27</v>
      </c>
      <c r="CH22" s="52">
        <f>'Total Staffing'!CH22-'Pavia Staffing'!CH22</f>
        <v>34</v>
      </c>
      <c r="CI22" s="53">
        <f>'Total Staffing'!CI22-'Pavia Staffing'!CI22</f>
        <v>34</v>
      </c>
      <c r="CJ22" s="139">
        <f>'Total Staffing'!CJ22-'Pavia Staffing'!CJ22</f>
        <v>49</v>
      </c>
      <c r="CK22" s="139">
        <f>'Total Staffing'!CK22-'Pavia Staffing'!CK22</f>
        <v>49</v>
      </c>
      <c r="CL22" s="139">
        <f>'Total Staffing'!CL22-'Pavia Staffing'!CL22</f>
        <v>37</v>
      </c>
      <c r="CM22" s="139">
        <f>'Total Staffing'!CM22-'Pavia Staffing'!CM22</f>
        <v>15</v>
      </c>
      <c r="CN22" s="139">
        <f>'Total Staffing'!CN22-'Pavia Staffing'!CN22</f>
        <v>27</v>
      </c>
      <c r="CO22" s="52">
        <f>'Total Staffing'!CO22-'Pavia Staffing'!CO22</f>
        <v>34</v>
      </c>
    </row>
    <row r="23" spans="1:93" x14ac:dyDescent="0.25">
      <c r="A23" s="20" t="str">
        <f>'Agent Sched'!B24</f>
        <v>Mark Gil Apil Villagracia</v>
      </c>
      <c r="B23" s="12">
        <f>IFERROR(VLOOKUP(A23,'Agent Sched'!$B:$C,2,),"-")</f>
        <v>0.375</v>
      </c>
      <c r="C23" s="13">
        <f t="shared" si="7"/>
        <v>0.75</v>
      </c>
      <c r="D23" s="12">
        <f>IFERROR(VLOOKUP(A23,'Agent Sched'!B:D,3,),"-")</f>
        <v>0.375</v>
      </c>
      <c r="E23" s="13">
        <f t="shared" si="8"/>
        <v>0.75</v>
      </c>
      <c r="F23" s="12">
        <f>IFERROR(VLOOKUP(A23,'Agent Sched'!B:E,4,),"-")</f>
        <v>0.375</v>
      </c>
      <c r="G23" s="13">
        <f t="shared" si="9"/>
        <v>0.75</v>
      </c>
      <c r="H23" s="12">
        <f>IFERROR(VLOOKUP(A23,'Agent Sched'!B:F,5,),"-")</f>
        <v>0.375</v>
      </c>
      <c r="I23" s="13">
        <f t="shared" si="10"/>
        <v>0.75</v>
      </c>
      <c r="J23" s="12">
        <f>IFERROR(VLOOKUP(A23,'Agent Sched'!B:G,6,),"-")</f>
        <v>0.375</v>
      </c>
      <c r="K23" s="13">
        <f t="shared" si="11"/>
        <v>0.75</v>
      </c>
      <c r="L23" s="12" t="str">
        <f>IFERROR(VLOOKUP(A23,'Agent Sched'!B:H,7,),"-")</f>
        <v>OFF</v>
      </c>
      <c r="M23" s="13" t="str">
        <f t="shared" si="12"/>
        <v>OFF</v>
      </c>
      <c r="N23" s="21" t="str">
        <f>IFERROR(VLOOKUP(A23,'Agent Sched'!B:I,8,),"-")</f>
        <v>OFF</v>
      </c>
      <c r="O23" s="13" t="str">
        <f t="shared" si="13"/>
        <v>OFF</v>
      </c>
      <c r="Q23" s="12" t="str">
        <f>VLOOKUP(A23,'Agent Sched'!B:Y,24,)</f>
        <v>OFF</v>
      </c>
      <c r="R23" s="13" t="str">
        <f t="shared" si="14"/>
        <v>OFF</v>
      </c>
      <c r="T23" s="25">
        <f>VLOOKUP(A23,'Agent Sched'!$B:$J,9,)</f>
        <v>0.375</v>
      </c>
      <c r="U23" s="13">
        <f t="shared" si="15"/>
        <v>0.75</v>
      </c>
      <c r="V23" s="12">
        <f>VLOOKUP(A23,'Agent Sched'!B:K,10,)</f>
        <v>0.375</v>
      </c>
      <c r="W23" s="13">
        <f t="shared" si="16"/>
        <v>0.75</v>
      </c>
      <c r="X23" s="12">
        <f>VLOOKUP(A23,'Agent Sched'!B:L,11,)</f>
        <v>0.375</v>
      </c>
      <c r="Y23" s="13">
        <f t="shared" si="17"/>
        <v>0.75</v>
      </c>
      <c r="Z23" s="12">
        <f>VLOOKUP(A23,'Agent Sched'!B:M,12,)</f>
        <v>0.375</v>
      </c>
      <c r="AA23" s="13">
        <f t="shared" si="18"/>
        <v>0.75</v>
      </c>
      <c r="AB23" s="12">
        <f>VLOOKUP(A23,'Agent Sched'!B:N,13,)</f>
        <v>0.375</v>
      </c>
      <c r="AC23" s="13">
        <f t="shared" si="19"/>
        <v>0.75</v>
      </c>
      <c r="AD23" s="12" t="str">
        <f>VLOOKUP(A23,'Agent Sched'!B:O,14,)</f>
        <v>OFF</v>
      </c>
      <c r="AE23" s="13" t="str">
        <f t="shared" si="20"/>
        <v>OFF</v>
      </c>
      <c r="AF23" s="21" t="str">
        <f>VLOOKUP(A23,'Agent Sched'!B:P,15,)</f>
        <v>OFF</v>
      </c>
      <c r="AG23" s="13" t="str">
        <f t="shared" si="21"/>
        <v>OFF</v>
      </c>
      <c r="AI23" s="25">
        <f>VLOOKUP(A23,'Agent Sched'!$B:$Q,16,)</f>
        <v>0.375</v>
      </c>
      <c r="AJ23" s="13">
        <f t="shared" si="22"/>
        <v>0.75</v>
      </c>
      <c r="AK23" s="12">
        <f>VLOOKUP(A23,'Agent Sched'!B:R,17,)</f>
        <v>0.375</v>
      </c>
      <c r="AL23" s="13">
        <f t="shared" si="23"/>
        <v>0.75</v>
      </c>
      <c r="AM23" s="12">
        <f>VLOOKUP(A23,'Agent Sched'!B:S,18,)</f>
        <v>0.375</v>
      </c>
      <c r="AN23" s="13">
        <f t="shared" si="24"/>
        <v>0.75</v>
      </c>
      <c r="AO23" s="12">
        <f>VLOOKUP(A23,'Agent Sched'!B:T,19,)</f>
        <v>0.375</v>
      </c>
      <c r="AP23" s="13">
        <f t="shared" si="25"/>
        <v>0.75</v>
      </c>
      <c r="AQ23" s="12">
        <f>VLOOKUP(A23,'Agent Sched'!B:U,20,)</f>
        <v>0.375</v>
      </c>
      <c r="AR23" s="13">
        <f t="shared" si="26"/>
        <v>0.75</v>
      </c>
      <c r="AS23" s="12" t="str">
        <f>VLOOKUP(A23,'Agent Sched'!B:V,21,)</f>
        <v>OFF</v>
      </c>
      <c r="AT23" s="13" t="str">
        <f t="shared" si="27"/>
        <v>OFF</v>
      </c>
      <c r="AU23" s="21" t="str">
        <f>VLOOKUP(A23,'Agent Sched'!B:W,22,)</f>
        <v>OFF</v>
      </c>
      <c r="AV23" s="13" t="str">
        <f t="shared" si="28"/>
        <v>OFF</v>
      </c>
      <c r="AX23" s="30">
        <v>0.83333333333333304</v>
      </c>
      <c r="AY23" s="10">
        <v>1.8333333333333399</v>
      </c>
      <c r="AZ23" s="31">
        <f>'Pavia Staffing'!AZ23</f>
        <v>0</v>
      </c>
      <c r="BA23" s="31">
        <f>'Pavia Staffing'!BA23</f>
        <v>0</v>
      </c>
      <c r="BB23" s="31">
        <f>'Pavia Staffing'!BB23</f>
        <v>0</v>
      </c>
      <c r="BC23" s="31">
        <f>'Pavia Staffing'!BC23</f>
        <v>0</v>
      </c>
      <c r="BD23" s="31">
        <f>'Pavia Staffing'!BD23</f>
        <v>0</v>
      </c>
      <c r="BE23" s="31">
        <f>'Pavia Staffing'!BE23</f>
        <v>0</v>
      </c>
      <c r="BF23" s="32">
        <f>'Pavia Staffing'!BF23</f>
        <v>0</v>
      </c>
      <c r="BH23" s="30">
        <v>0.83333333333333304</v>
      </c>
      <c r="BI23" s="10">
        <v>1.8333333333333299</v>
      </c>
      <c r="BJ23" s="31">
        <f t="shared" si="29"/>
        <v>0</v>
      </c>
      <c r="BK23" s="31">
        <f t="shared" si="1"/>
        <v>0</v>
      </c>
      <c r="BL23" s="31">
        <f t="shared" si="2"/>
        <v>0</v>
      </c>
      <c r="BM23" s="31">
        <f t="shared" si="3"/>
        <v>0</v>
      </c>
      <c r="BN23" s="31">
        <f t="shared" si="4"/>
        <v>0</v>
      </c>
      <c r="BO23" s="31">
        <f t="shared" si="5"/>
        <v>0</v>
      </c>
      <c r="BP23" s="32">
        <f t="shared" si="6"/>
        <v>0</v>
      </c>
      <c r="BS23" s="38">
        <v>0.83333333333333304</v>
      </c>
      <c r="BT23" s="136">
        <v>1.8333333333333399</v>
      </c>
      <c r="BU23" s="53">
        <f>'Total Staffing'!BU23-'Pavia Staffing'!BU23</f>
        <v>48</v>
      </c>
      <c r="BV23" s="139">
        <f>'Total Staffing'!BV23-'Pavia Staffing'!BV23</f>
        <v>27</v>
      </c>
      <c r="BW23" s="139">
        <f>'Total Staffing'!BW23-'Pavia Staffing'!BW23</f>
        <v>34</v>
      </c>
      <c r="BX23" s="139">
        <f>'Total Staffing'!BX23-'Pavia Staffing'!BX23</f>
        <v>37</v>
      </c>
      <c r="BY23" s="139">
        <f>'Total Staffing'!BY23-'Pavia Staffing'!BY23</f>
        <v>36</v>
      </c>
      <c r="BZ23" s="139">
        <f>'Total Staffing'!BZ23-'Pavia Staffing'!BZ23</f>
        <v>27</v>
      </c>
      <c r="CA23" s="52">
        <f>'Total Staffing'!CA23-'Pavia Staffing'!CA23</f>
        <v>34</v>
      </c>
      <c r="CB23" s="53">
        <f>'Total Staffing'!CB23-'Pavia Staffing'!CB23</f>
        <v>34</v>
      </c>
      <c r="CC23" s="139">
        <f>'Total Staffing'!CC23-'Pavia Staffing'!CC23</f>
        <v>49</v>
      </c>
      <c r="CD23" s="139">
        <f>'Total Staffing'!CD23-'Pavia Staffing'!CD23</f>
        <v>49</v>
      </c>
      <c r="CE23" s="139">
        <f>'Total Staffing'!CE23-'Pavia Staffing'!CE23</f>
        <v>37</v>
      </c>
      <c r="CF23" s="139">
        <f>'Total Staffing'!CF23-'Pavia Staffing'!CF23</f>
        <v>15</v>
      </c>
      <c r="CG23" s="139">
        <f>'Total Staffing'!CG23-'Pavia Staffing'!CG23</f>
        <v>27</v>
      </c>
      <c r="CH23" s="52">
        <f>'Total Staffing'!CH23-'Pavia Staffing'!CH23</f>
        <v>34</v>
      </c>
      <c r="CI23" s="53">
        <f>'Total Staffing'!CI23-'Pavia Staffing'!CI23</f>
        <v>34</v>
      </c>
      <c r="CJ23" s="139">
        <f>'Total Staffing'!CJ23-'Pavia Staffing'!CJ23</f>
        <v>49</v>
      </c>
      <c r="CK23" s="139">
        <f>'Total Staffing'!CK23-'Pavia Staffing'!CK23</f>
        <v>49</v>
      </c>
      <c r="CL23" s="139">
        <f>'Total Staffing'!CL23-'Pavia Staffing'!CL23</f>
        <v>37</v>
      </c>
      <c r="CM23" s="139">
        <f>'Total Staffing'!CM23-'Pavia Staffing'!CM23</f>
        <v>15</v>
      </c>
      <c r="CN23" s="139">
        <f>'Total Staffing'!CN23-'Pavia Staffing'!CN23</f>
        <v>27</v>
      </c>
      <c r="CO23" s="52">
        <f>'Total Staffing'!CO23-'Pavia Staffing'!CO23</f>
        <v>34</v>
      </c>
    </row>
    <row r="24" spans="1:93" x14ac:dyDescent="0.25">
      <c r="A24" s="20" t="str">
        <f>'Agent Sched'!B25</f>
        <v>Ma Reslie,Estrellanes,Begaso</v>
      </c>
      <c r="B24" s="12">
        <f>IFERROR(VLOOKUP(A24,'Agent Sched'!$B:$C,2,),"-")</f>
        <v>0.375</v>
      </c>
      <c r="C24" s="13">
        <f t="shared" si="7"/>
        <v>0.75</v>
      </c>
      <c r="D24" s="12">
        <f>IFERROR(VLOOKUP(A24,'Agent Sched'!B:D,3,),"-")</f>
        <v>0.375</v>
      </c>
      <c r="E24" s="13">
        <f t="shared" si="8"/>
        <v>0.75</v>
      </c>
      <c r="F24" s="12">
        <f>IFERROR(VLOOKUP(A24,'Agent Sched'!B:E,4,),"-")</f>
        <v>0.375</v>
      </c>
      <c r="G24" s="13">
        <f t="shared" si="9"/>
        <v>0.75</v>
      </c>
      <c r="H24" s="12">
        <f>IFERROR(VLOOKUP(A24,'Agent Sched'!B:F,5,),"-")</f>
        <v>0.375</v>
      </c>
      <c r="I24" s="13">
        <f t="shared" si="10"/>
        <v>0.75</v>
      </c>
      <c r="J24" s="12">
        <f>IFERROR(VLOOKUP(A24,'Agent Sched'!B:G,6,),"-")</f>
        <v>0.375</v>
      </c>
      <c r="K24" s="13">
        <f t="shared" si="11"/>
        <v>0.75</v>
      </c>
      <c r="L24" s="12" t="str">
        <f>IFERROR(VLOOKUP(A24,'Agent Sched'!B:H,7,),"-")</f>
        <v>OFF</v>
      </c>
      <c r="M24" s="13" t="str">
        <f t="shared" si="12"/>
        <v>OFF</v>
      </c>
      <c r="N24" s="21" t="str">
        <f>IFERROR(VLOOKUP(A24,'Agent Sched'!B:I,8,),"-")</f>
        <v>OFF</v>
      </c>
      <c r="O24" s="13" t="str">
        <f t="shared" si="13"/>
        <v>OFF</v>
      </c>
      <c r="Q24" s="12" t="str">
        <f>VLOOKUP(A24,'Agent Sched'!B:Y,24,)</f>
        <v>OFF</v>
      </c>
      <c r="R24" s="13" t="str">
        <f t="shared" si="14"/>
        <v>OFF</v>
      </c>
      <c r="T24" s="25">
        <f>VLOOKUP(A24,'Agent Sched'!$B:$J,9,)</f>
        <v>0.375</v>
      </c>
      <c r="U24" s="13">
        <f t="shared" si="15"/>
        <v>0.75</v>
      </c>
      <c r="V24" s="12">
        <f>VLOOKUP(A24,'Agent Sched'!B:K,10,)</f>
        <v>0.375</v>
      </c>
      <c r="W24" s="13">
        <f t="shared" si="16"/>
        <v>0.75</v>
      </c>
      <c r="X24" s="12">
        <f>VLOOKUP(A24,'Agent Sched'!B:L,11,)</f>
        <v>0.375</v>
      </c>
      <c r="Y24" s="13">
        <f t="shared" si="17"/>
        <v>0.75</v>
      </c>
      <c r="Z24" s="12">
        <f>VLOOKUP(A24,'Agent Sched'!B:M,12,)</f>
        <v>0.375</v>
      </c>
      <c r="AA24" s="13">
        <f t="shared" si="18"/>
        <v>0.75</v>
      </c>
      <c r="AB24" s="12">
        <f>VLOOKUP(A24,'Agent Sched'!B:N,13,)</f>
        <v>0.375</v>
      </c>
      <c r="AC24" s="13">
        <f t="shared" si="19"/>
        <v>0.75</v>
      </c>
      <c r="AD24" s="12" t="str">
        <f>VLOOKUP(A24,'Agent Sched'!B:O,14,)</f>
        <v>OFF</v>
      </c>
      <c r="AE24" s="13" t="str">
        <f t="shared" si="20"/>
        <v>OFF</v>
      </c>
      <c r="AF24" s="21" t="str">
        <f>VLOOKUP(A24,'Agent Sched'!B:P,15,)</f>
        <v>OFF</v>
      </c>
      <c r="AG24" s="13" t="str">
        <f t="shared" si="21"/>
        <v>OFF</v>
      </c>
      <c r="AI24" s="25">
        <f>VLOOKUP(A24,'Agent Sched'!$B:$Q,16,)</f>
        <v>0.375</v>
      </c>
      <c r="AJ24" s="13">
        <f t="shared" si="22"/>
        <v>0.75</v>
      </c>
      <c r="AK24" s="12">
        <f>VLOOKUP(A24,'Agent Sched'!B:R,17,)</f>
        <v>0.375</v>
      </c>
      <c r="AL24" s="13">
        <f t="shared" si="23"/>
        <v>0.75</v>
      </c>
      <c r="AM24" s="12">
        <f>VLOOKUP(A24,'Agent Sched'!B:S,18,)</f>
        <v>0.375</v>
      </c>
      <c r="AN24" s="13">
        <f t="shared" si="24"/>
        <v>0.75</v>
      </c>
      <c r="AO24" s="12">
        <f>VLOOKUP(A24,'Agent Sched'!B:T,19,)</f>
        <v>0.375</v>
      </c>
      <c r="AP24" s="13">
        <f t="shared" si="25"/>
        <v>0.75</v>
      </c>
      <c r="AQ24" s="12">
        <f>VLOOKUP(A24,'Agent Sched'!B:U,20,)</f>
        <v>0.375</v>
      </c>
      <c r="AR24" s="13">
        <f t="shared" si="26"/>
        <v>0.75</v>
      </c>
      <c r="AS24" s="12" t="str">
        <f>VLOOKUP(A24,'Agent Sched'!B:V,21,)</f>
        <v>OFF</v>
      </c>
      <c r="AT24" s="13" t="str">
        <f t="shared" si="27"/>
        <v>OFF</v>
      </c>
      <c r="AU24" s="21" t="str">
        <f>VLOOKUP(A24,'Agent Sched'!B:W,22,)</f>
        <v>OFF</v>
      </c>
      <c r="AV24" s="13" t="str">
        <f t="shared" si="28"/>
        <v>OFF</v>
      </c>
      <c r="AX24" s="30">
        <v>0.875</v>
      </c>
      <c r="AY24" s="10">
        <v>1.875</v>
      </c>
      <c r="AZ24" s="31">
        <f>'Pavia Staffing'!AZ24</f>
        <v>0</v>
      </c>
      <c r="BA24" s="31">
        <f>'Pavia Staffing'!BA24</f>
        <v>0</v>
      </c>
      <c r="BB24" s="31">
        <f>'Pavia Staffing'!BB24</f>
        <v>0</v>
      </c>
      <c r="BC24" s="31">
        <f>'Pavia Staffing'!BC24</f>
        <v>0</v>
      </c>
      <c r="BD24" s="31">
        <f>'Pavia Staffing'!BD24</f>
        <v>0</v>
      </c>
      <c r="BE24" s="31">
        <f>'Pavia Staffing'!BE24</f>
        <v>0</v>
      </c>
      <c r="BF24" s="32">
        <f>'Pavia Staffing'!BF24</f>
        <v>0</v>
      </c>
      <c r="BH24" s="30">
        <v>0.875</v>
      </c>
      <c r="BI24" s="10">
        <v>1.875</v>
      </c>
      <c r="BJ24" s="31">
        <f t="shared" si="29"/>
        <v>0</v>
      </c>
      <c r="BK24" s="31">
        <f t="shared" si="1"/>
        <v>0</v>
      </c>
      <c r="BL24" s="31">
        <f t="shared" si="2"/>
        <v>0</v>
      </c>
      <c r="BM24" s="31">
        <f t="shared" si="3"/>
        <v>0</v>
      </c>
      <c r="BN24" s="31">
        <f t="shared" si="4"/>
        <v>0</v>
      </c>
      <c r="BO24" s="31">
        <f t="shared" si="5"/>
        <v>0</v>
      </c>
      <c r="BP24" s="32">
        <f t="shared" si="6"/>
        <v>0</v>
      </c>
      <c r="BS24" s="38">
        <v>0.875</v>
      </c>
      <c r="BT24" s="136">
        <v>1.87500000000001</v>
      </c>
      <c r="BU24" s="53">
        <f>'Total Staffing'!BU24-'Pavia Staffing'!BU24</f>
        <v>36</v>
      </c>
      <c r="BV24" s="139">
        <f>'Total Staffing'!BV24-'Pavia Staffing'!BV24</f>
        <v>27</v>
      </c>
      <c r="BW24" s="139">
        <f>'Total Staffing'!BW24-'Pavia Staffing'!BW24</f>
        <v>22</v>
      </c>
      <c r="BX24" s="139">
        <f>'Total Staffing'!BX24-'Pavia Staffing'!BX24</f>
        <v>25</v>
      </c>
      <c r="BY24" s="139">
        <f>'Total Staffing'!BY24-'Pavia Staffing'!BY24</f>
        <v>36</v>
      </c>
      <c r="BZ24" s="139">
        <f>'Total Staffing'!BZ24-'Pavia Staffing'!BZ24</f>
        <v>15</v>
      </c>
      <c r="CA24" s="52">
        <f>'Total Staffing'!CA24-'Pavia Staffing'!CA24</f>
        <v>22</v>
      </c>
      <c r="CB24" s="53">
        <f>'Total Staffing'!CB24-'Pavia Staffing'!CB24</f>
        <v>22</v>
      </c>
      <c r="CC24" s="139">
        <f>'Total Staffing'!CC24-'Pavia Staffing'!CC24</f>
        <v>37</v>
      </c>
      <c r="CD24" s="139">
        <f>'Total Staffing'!CD24-'Pavia Staffing'!CD24</f>
        <v>37</v>
      </c>
      <c r="CE24" s="139">
        <f>'Total Staffing'!CE24-'Pavia Staffing'!CE24</f>
        <v>37</v>
      </c>
      <c r="CF24" s="139">
        <f>'Total Staffing'!CF24-'Pavia Staffing'!CF24</f>
        <v>15</v>
      </c>
      <c r="CG24" s="139">
        <f>'Total Staffing'!CG24-'Pavia Staffing'!CG24</f>
        <v>15</v>
      </c>
      <c r="CH24" s="52">
        <f>'Total Staffing'!CH24-'Pavia Staffing'!CH24</f>
        <v>22</v>
      </c>
      <c r="CI24" s="53">
        <f>'Total Staffing'!CI24-'Pavia Staffing'!CI24</f>
        <v>22</v>
      </c>
      <c r="CJ24" s="139">
        <f>'Total Staffing'!CJ24-'Pavia Staffing'!CJ24</f>
        <v>37</v>
      </c>
      <c r="CK24" s="139">
        <f>'Total Staffing'!CK24-'Pavia Staffing'!CK24</f>
        <v>37</v>
      </c>
      <c r="CL24" s="139">
        <f>'Total Staffing'!CL24-'Pavia Staffing'!CL24</f>
        <v>37</v>
      </c>
      <c r="CM24" s="139">
        <f>'Total Staffing'!CM24-'Pavia Staffing'!CM24</f>
        <v>15</v>
      </c>
      <c r="CN24" s="139">
        <f>'Total Staffing'!CN24-'Pavia Staffing'!CN24</f>
        <v>15</v>
      </c>
      <c r="CO24" s="52">
        <f>'Total Staffing'!CO24-'Pavia Staffing'!CO24</f>
        <v>22</v>
      </c>
    </row>
    <row r="25" spans="1:93" x14ac:dyDescent="0.25">
      <c r="A25" s="20" t="str">
        <f>'Agent Sched'!B26</f>
        <v>Verlyn Rose,Aurora,Villaram</v>
      </c>
      <c r="B25" s="12">
        <f>IFERROR(VLOOKUP(A25,'Agent Sched'!$B:$C,2,),"-")</f>
        <v>0.375</v>
      </c>
      <c r="C25" s="13">
        <f t="shared" si="7"/>
        <v>0.75</v>
      </c>
      <c r="D25" s="12">
        <f>IFERROR(VLOOKUP(A25,'Agent Sched'!B:D,3,),"-")</f>
        <v>0.375</v>
      </c>
      <c r="E25" s="13">
        <f t="shared" si="8"/>
        <v>0.75</v>
      </c>
      <c r="F25" s="12">
        <f>IFERROR(VLOOKUP(A25,'Agent Sched'!B:E,4,),"-")</f>
        <v>0.375</v>
      </c>
      <c r="G25" s="13">
        <f t="shared" si="9"/>
        <v>0.75</v>
      </c>
      <c r="H25" s="12">
        <f>IFERROR(VLOOKUP(A25,'Agent Sched'!B:F,5,),"-")</f>
        <v>0.375</v>
      </c>
      <c r="I25" s="13">
        <f t="shared" si="10"/>
        <v>0.75</v>
      </c>
      <c r="J25" s="12">
        <f>IFERROR(VLOOKUP(A25,'Agent Sched'!B:G,6,),"-")</f>
        <v>0.375</v>
      </c>
      <c r="K25" s="13">
        <f t="shared" si="11"/>
        <v>0.75</v>
      </c>
      <c r="L25" s="12" t="str">
        <f>IFERROR(VLOOKUP(A25,'Agent Sched'!B:H,7,),"-")</f>
        <v>OFF</v>
      </c>
      <c r="M25" s="13" t="str">
        <f t="shared" si="12"/>
        <v>OFF</v>
      </c>
      <c r="N25" s="21" t="str">
        <f>IFERROR(VLOOKUP(A25,'Agent Sched'!B:I,8,),"-")</f>
        <v>OFF</v>
      </c>
      <c r="O25" s="13" t="str">
        <f t="shared" si="13"/>
        <v>OFF</v>
      </c>
      <c r="Q25" s="12" t="str">
        <f>VLOOKUP(A25,'Agent Sched'!B:Y,24,)</f>
        <v>OFF</v>
      </c>
      <c r="R25" s="13" t="str">
        <f t="shared" si="14"/>
        <v>OFF</v>
      </c>
      <c r="T25" s="25">
        <f>VLOOKUP(A25,'Agent Sched'!$B:$J,9,)</f>
        <v>0.375</v>
      </c>
      <c r="U25" s="13">
        <f t="shared" si="15"/>
        <v>0.75</v>
      </c>
      <c r="V25" s="12">
        <f>VLOOKUP(A25,'Agent Sched'!B:K,10,)</f>
        <v>0.375</v>
      </c>
      <c r="W25" s="13">
        <f t="shared" si="16"/>
        <v>0.75</v>
      </c>
      <c r="X25" s="12">
        <f>VLOOKUP(A25,'Agent Sched'!B:L,11,)</f>
        <v>0.375</v>
      </c>
      <c r="Y25" s="13">
        <f t="shared" si="17"/>
        <v>0.75</v>
      </c>
      <c r="Z25" s="12">
        <f>VLOOKUP(A25,'Agent Sched'!B:M,12,)</f>
        <v>0.375</v>
      </c>
      <c r="AA25" s="13">
        <f t="shared" si="18"/>
        <v>0.75</v>
      </c>
      <c r="AB25" s="12">
        <f>VLOOKUP(A25,'Agent Sched'!B:N,13,)</f>
        <v>0.375</v>
      </c>
      <c r="AC25" s="13">
        <f t="shared" si="19"/>
        <v>0.75</v>
      </c>
      <c r="AD25" s="12" t="str">
        <f>VLOOKUP(A25,'Agent Sched'!B:O,14,)</f>
        <v>OFF</v>
      </c>
      <c r="AE25" s="13" t="str">
        <f t="shared" si="20"/>
        <v>OFF</v>
      </c>
      <c r="AF25" s="21" t="str">
        <f>VLOOKUP(A25,'Agent Sched'!B:P,15,)</f>
        <v>OFF</v>
      </c>
      <c r="AG25" s="13" t="str">
        <f t="shared" si="21"/>
        <v>OFF</v>
      </c>
      <c r="AI25" s="25">
        <f>VLOOKUP(A25,'Agent Sched'!$B:$Q,16,)</f>
        <v>0.375</v>
      </c>
      <c r="AJ25" s="13">
        <f t="shared" si="22"/>
        <v>0.75</v>
      </c>
      <c r="AK25" s="12">
        <f>VLOOKUP(A25,'Agent Sched'!B:R,17,)</f>
        <v>0.375</v>
      </c>
      <c r="AL25" s="13">
        <f t="shared" si="23"/>
        <v>0.75</v>
      </c>
      <c r="AM25" s="12">
        <f>VLOOKUP(A25,'Agent Sched'!B:S,18,)</f>
        <v>0.375</v>
      </c>
      <c r="AN25" s="13">
        <f t="shared" si="24"/>
        <v>0.75</v>
      </c>
      <c r="AO25" s="12">
        <f>VLOOKUP(A25,'Agent Sched'!B:T,19,)</f>
        <v>0.375</v>
      </c>
      <c r="AP25" s="13">
        <f t="shared" si="25"/>
        <v>0.75</v>
      </c>
      <c r="AQ25" s="12">
        <f>VLOOKUP(A25,'Agent Sched'!B:U,20,)</f>
        <v>0.375</v>
      </c>
      <c r="AR25" s="13">
        <f t="shared" si="26"/>
        <v>0.75</v>
      </c>
      <c r="AS25" s="12" t="str">
        <f>VLOOKUP(A25,'Agent Sched'!B:V,21,)</f>
        <v>OFF</v>
      </c>
      <c r="AT25" s="13" t="str">
        <f t="shared" si="27"/>
        <v>OFF</v>
      </c>
      <c r="AU25" s="21" t="str">
        <f>VLOOKUP(A25,'Agent Sched'!B:W,22,)</f>
        <v>OFF</v>
      </c>
      <c r="AV25" s="13" t="str">
        <f t="shared" si="28"/>
        <v>OFF</v>
      </c>
      <c r="AX25" s="30">
        <v>0.91666666666666696</v>
      </c>
      <c r="AY25" s="10">
        <v>1.9166666666666701</v>
      </c>
      <c r="AZ25" s="31">
        <f>'Pavia Staffing'!AZ25</f>
        <v>0</v>
      </c>
      <c r="BA25" s="31">
        <f>'Pavia Staffing'!BA25</f>
        <v>0</v>
      </c>
      <c r="BB25" s="31">
        <f>'Pavia Staffing'!BB25</f>
        <v>0</v>
      </c>
      <c r="BC25" s="31">
        <f>'Pavia Staffing'!BC25</f>
        <v>0</v>
      </c>
      <c r="BD25" s="31">
        <f>'Pavia Staffing'!BD25</f>
        <v>0</v>
      </c>
      <c r="BE25" s="31">
        <f>'Pavia Staffing'!BE25</f>
        <v>0</v>
      </c>
      <c r="BF25" s="32">
        <f>'Pavia Staffing'!BF25</f>
        <v>0</v>
      </c>
      <c r="BH25" s="30">
        <v>0.91666666666666696</v>
      </c>
      <c r="BI25" s="10">
        <v>1.9166666666666601</v>
      </c>
      <c r="BJ25" s="31">
        <f t="shared" si="29"/>
        <v>0</v>
      </c>
      <c r="BK25" s="31">
        <f t="shared" si="1"/>
        <v>0</v>
      </c>
      <c r="BL25" s="31">
        <f t="shared" si="2"/>
        <v>0</v>
      </c>
      <c r="BM25" s="31">
        <f t="shared" si="3"/>
        <v>0</v>
      </c>
      <c r="BN25" s="31">
        <f t="shared" si="4"/>
        <v>0</v>
      </c>
      <c r="BO25" s="31">
        <f t="shared" si="5"/>
        <v>0</v>
      </c>
      <c r="BP25" s="32">
        <f t="shared" si="6"/>
        <v>0</v>
      </c>
      <c r="BS25" s="38">
        <v>0.91666666666666696</v>
      </c>
      <c r="BT25" s="136">
        <v>1.9166666666666701</v>
      </c>
      <c r="BU25" s="53">
        <f>'Total Staffing'!BU25-'Pavia Staffing'!BU25</f>
        <v>36</v>
      </c>
      <c r="BV25" s="139">
        <f>'Total Staffing'!BV25-'Pavia Staffing'!BV25</f>
        <v>27</v>
      </c>
      <c r="BW25" s="139">
        <f>'Total Staffing'!BW25-'Pavia Staffing'!BW25</f>
        <v>22</v>
      </c>
      <c r="BX25" s="139">
        <f>'Total Staffing'!BX25-'Pavia Staffing'!BX25</f>
        <v>25</v>
      </c>
      <c r="BY25" s="139">
        <f>'Total Staffing'!BY25-'Pavia Staffing'!BY25</f>
        <v>36</v>
      </c>
      <c r="BZ25" s="139">
        <f>'Total Staffing'!BZ25-'Pavia Staffing'!BZ25</f>
        <v>15</v>
      </c>
      <c r="CA25" s="52">
        <f>'Total Staffing'!CA25-'Pavia Staffing'!CA25</f>
        <v>22</v>
      </c>
      <c r="CB25" s="53">
        <f>'Total Staffing'!CB25-'Pavia Staffing'!CB25</f>
        <v>22</v>
      </c>
      <c r="CC25" s="139">
        <f>'Total Staffing'!CC25-'Pavia Staffing'!CC25</f>
        <v>37</v>
      </c>
      <c r="CD25" s="139">
        <f>'Total Staffing'!CD25-'Pavia Staffing'!CD25</f>
        <v>37</v>
      </c>
      <c r="CE25" s="139">
        <f>'Total Staffing'!CE25-'Pavia Staffing'!CE25</f>
        <v>37</v>
      </c>
      <c r="CF25" s="139">
        <f>'Total Staffing'!CF25-'Pavia Staffing'!CF25</f>
        <v>15</v>
      </c>
      <c r="CG25" s="139">
        <f>'Total Staffing'!CG25-'Pavia Staffing'!CG25</f>
        <v>15</v>
      </c>
      <c r="CH25" s="52">
        <f>'Total Staffing'!CH25-'Pavia Staffing'!CH25</f>
        <v>22</v>
      </c>
      <c r="CI25" s="53">
        <f>'Total Staffing'!CI25-'Pavia Staffing'!CI25</f>
        <v>22</v>
      </c>
      <c r="CJ25" s="139">
        <f>'Total Staffing'!CJ25-'Pavia Staffing'!CJ25</f>
        <v>37</v>
      </c>
      <c r="CK25" s="139">
        <f>'Total Staffing'!CK25-'Pavia Staffing'!CK25</f>
        <v>37</v>
      </c>
      <c r="CL25" s="139">
        <f>'Total Staffing'!CL25-'Pavia Staffing'!CL25</f>
        <v>37</v>
      </c>
      <c r="CM25" s="139">
        <f>'Total Staffing'!CM25-'Pavia Staffing'!CM25</f>
        <v>15</v>
      </c>
      <c r="CN25" s="139">
        <f>'Total Staffing'!CN25-'Pavia Staffing'!CN25</f>
        <v>15</v>
      </c>
      <c r="CO25" s="52">
        <f>'Total Staffing'!CO25-'Pavia Staffing'!CO25</f>
        <v>22</v>
      </c>
    </row>
    <row r="26" spans="1:93" ht="15.75" thickBot="1" x14ac:dyDescent="0.3">
      <c r="A26" s="20" t="str">
        <f>'Agent Sched'!B27</f>
        <v>Jelyn Zarate</v>
      </c>
      <c r="B26" s="12">
        <f>IFERROR(VLOOKUP(A26,'Agent Sched'!$B:$C,2,),"-")</f>
        <v>0.375</v>
      </c>
      <c r="C26" s="13">
        <f t="shared" si="7"/>
        <v>0.75</v>
      </c>
      <c r="D26" s="12">
        <f>IFERROR(VLOOKUP(A26,'Agent Sched'!B:D,3,),"-")</f>
        <v>0.375</v>
      </c>
      <c r="E26" s="13">
        <f t="shared" si="8"/>
        <v>0.75</v>
      </c>
      <c r="F26" s="12">
        <f>IFERROR(VLOOKUP(A26,'Agent Sched'!B:E,4,),"-")</f>
        <v>0.375</v>
      </c>
      <c r="G26" s="13">
        <f t="shared" si="9"/>
        <v>0.75</v>
      </c>
      <c r="H26" s="12">
        <f>IFERROR(VLOOKUP(A26,'Agent Sched'!B:F,5,),"-")</f>
        <v>0.375</v>
      </c>
      <c r="I26" s="13">
        <f t="shared" si="10"/>
        <v>0.75</v>
      </c>
      <c r="J26" s="12">
        <f>IFERROR(VLOOKUP(A26,'Agent Sched'!B:G,6,),"-")</f>
        <v>0.375</v>
      </c>
      <c r="K26" s="13">
        <f t="shared" si="11"/>
        <v>0.75</v>
      </c>
      <c r="L26" s="12" t="str">
        <f>IFERROR(VLOOKUP(A26,'Agent Sched'!B:H,7,),"-")</f>
        <v>OFF</v>
      </c>
      <c r="M26" s="13" t="str">
        <f t="shared" si="12"/>
        <v>OFF</v>
      </c>
      <c r="N26" s="21" t="str">
        <f>IFERROR(VLOOKUP(A26,'Agent Sched'!B:I,8,),"-")</f>
        <v>OFF</v>
      </c>
      <c r="O26" s="13" t="str">
        <f t="shared" si="13"/>
        <v>OFF</v>
      </c>
      <c r="Q26" s="12" t="str">
        <f>VLOOKUP(A26,'Agent Sched'!B:Y,24,)</f>
        <v>OFF</v>
      </c>
      <c r="R26" s="13" t="str">
        <f t="shared" si="14"/>
        <v>OFF</v>
      </c>
      <c r="T26" s="25">
        <f>VLOOKUP(A26,'Agent Sched'!$B:$J,9,)</f>
        <v>0.375</v>
      </c>
      <c r="U26" s="13">
        <f t="shared" si="15"/>
        <v>0.75</v>
      </c>
      <c r="V26" s="12">
        <f>VLOOKUP(A26,'Agent Sched'!B:K,10,)</f>
        <v>0.375</v>
      </c>
      <c r="W26" s="13">
        <f t="shared" si="16"/>
        <v>0.75</v>
      </c>
      <c r="X26" s="12">
        <f>VLOOKUP(A26,'Agent Sched'!B:L,11,)</f>
        <v>0.375</v>
      </c>
      <c r="Y26" s="13">
        <f t="shared" si="17"/>
        <v>0.75</v>
      </c>
      <c r="Z26" s="12">
        <f>VLOOKUP(A26,'Agent Sched'!B:M,12,)</f>
        <v>0.375</v>
      </c>
      <c r="AA26" s="13">
        <f t="shared" si="18"/>
        <v>0.75</v>
      </c>
      <c r="AB26" s="12">
        <f>VLOOKUP(A26,'Agent Sched'!B:N,13,)</f>
        <v>0.375</v>
      </c>
      <c r="AC26" s="13">
        <f t="shared" si="19"/>
        <v>0.75</v>
      </c>
      <c r="AD26" s="12" t="str">
        <f>VLOOKUP(A26,'Agent Sched'!B:O,14,)</f>
        <v>OFF</v>
      </c>
      <c r="AE26" s="13" t="str">
        <f t="shared" si="20"/>
        <v>OFF</v>
      </c>
      <c r="AF26" s="21" t="str">
        <f>VLOOKUP(A26,'Agent Sched'!B:P,15,)</f>
        <v>OFF</v>
      </c>
      <c r="AG26" s="13" t="str">
        <f t="shared" si="21"/>
        <v>OFF</v>
      </c>
      <c r="AI26" s="25">
        <f>VLOOKUP(A26,'Agent Sched'!$B:$Q,16,)</f>
        <v>0.375</v>
      </c>
      <c r="AJ26" s="13">
        <f t="shared" si="22"/>
        <v>0.75</v>
      </c>
      <c r="AK26" s="12">
        <f>VLOOKUP(A26,'Agent Sched'!B:R,17,)</f>
        <v>0.375</v>
      </c>
      <c r="AL26" s="13">
        <f t="shared" si="23"/>
        <v>0.75</v>
      </c>
      <c r="AM26" s="12">
        <f>VLOOKUP(A26,'Agent Sched'!B:S,18,)</f>
        <v>0.375</v>
      </c>
      <c r="AN26" s="13">
        <f t="shared" si="24"/>
        <v>0.75</v>
      </c>
      <c r="AO26" s="12">
        <f>VLOOKUP(A26,'Agent Sched'!B:T,19,)</f>
        <v>0.375</v>
      </c>
      <c r="AP26" s="13">
        <f t="shared" si="25"/>
        <v>0.75</v>
      </c>
      <c r="AQ26" s="12">
        <f>VLOOKUP(A26,'Agent Sched'!B:U,20,)</f>
        <v>0.375</v>
      </c>
      <c r="AR26" s="13">
        <f t="shared" si="26"/>
        <v>0.75</v>
      </c>
      <c r="AS26" s="12" t="str">
        <f>VLOOKUP(A26,'Agent Sched'!B:V,21,)</f>
        <v>OFF</v>
      </c>
      <c r="AT26" s="13" t="str">
        <f t="shared" si="27"/>
        <v>OFF</v>
      </c>
      <c r="AU26" s="21" t="str">
        <f>VLOOKUP(A26,'Agent Sched'!B:W,22,)</f>
        <v>OFF</v>
      </c>
      <c r="AV26" s="13" t="str">
        <f t="shared" si="28"/>
        <v>OFF</v>
      </c>
      <c r="AX26" s="33">
        <v>0.95833333333333304</v>
      </c>
      <c r="AY26" s="34">
        <v>1.9583333333333399</v>
      </c>
      <c r="AZ26" s="35">
        <f>'Pavia Staffing'!AZ26</f>
        <v>0</v>
      </c>
      <c r="BA26" s="35">
        <f>'Pavia Staffing'!BA26</f>
        <v>0</v>
      </c>
      <c r="BB26" s="35">
        <f>'Pavia Staffing'!BB26</f>
        <v>0</v>
      </c>
      <c r="BC26" s="35">
        <f>'Pavia Staffing'!BC26</f>
        <v>0</v>
      </c>
      <c r="BD26" s="35">
        <f>'Pavia Staffing'!BD26</f>
        <v>0</v>
      </c>
      <c r="BE26" s="35">
        <f>'Pavia Staffing'!BE26</f>
        <v>0</v>
      </c>
      <c r="BF26" s="36">
        <f>'Pavia Staffing'!BF26</f>
        <v>0</v>
      </c>
      <c r="BH26" s="33">
        <v>0.95833333333333304</v>
      </c>
      <c r="BI26" s="34">
        <v>1.9583333333333299</v>
      </c>
      <c r="BJ26" s="35">
        <f t="shared" si="29"/>
        <v>0</v>
      </c>
      <c r="BK26" s="35">
        <f t="shared" si="1"/>
        <v>0</v>
      </c>
      <c r="BL26" s="35">
        <f t="shared" si="2"/>
        <v>0</v>
      </c>
      <c r="BM26" s="35">
        <f t="shared" si="3"/>
        <v>0</v>
      </c>
      <c r="BN26" s="35">
        <f t="shared" si="4"/>
        <v>0</v>
      </c>
      <c r="BO26" s="35">
        <f t="shared" si="5"/>
        <v>0</v>
      </c>
      <c r="BP26" s="36">
        <f t="shared" si="6"/>
        <v>0</v>
      </c>
      <c r="BS26" s="40">
        <v>0.95833333333333304</v>
      </c>
      <c r="BT26" s="143">
        <v>1.9583333333333399</v>
      </c>
      <c r="BU26" s="56">
        <f>'Total Staffing'!BU26-'Pavia Staffing'!BU26</f>
        <v>26</v>
      </c>
      <c r="BV26" s="54">
        <f>'Total Staffing'!BV26-'Pavia Staffing'!BV26</f>
        <v>26</v>
      </c>
      <c r="BW26" s="54">
        <f>'Total Staffing'!BW26-'Pavia Staffing'!BW26</f>
        <v>12</v>
      </c>
      <c r="BX26" s="54">
        <f>'Total Staffing'!BX26-'Pavia Staffing'!BX26</f>
        <v>15</v>
      </c>
      <c r="BY26" s="54">
        <f>'Total Staffing'!BY26-'Pavia Staffing'!BY26</f>
        <v>26</v>
      </c>
      <c r="BZ26" s="54">
        <f>'Total Staffing'!BZ26-'Pavia Staffing'!BZ26</f>
        <v>15</v>
      </c>
      <c r="CA26" s="55">
        <f>'Total Staffing'!CA26-'Pavia Staffing'!CA26</f>
        <v>13</v>
      </c>
      <c r="CB26" s="56">
        <f>'Total Staffing'!CB26-'Pavia Staffing'!CB26</f>
        <v>12</v>
      </c>
      <c r="CC26" s="54">
        <f>'Total Staffing'!CC26-'Pavia Staffing'!CC26</f>
        <v>27</v>
      </c>
      <c r="CD26" s="54">
        <f>'Total Staffing'!CD26-'Pavia Staffing'!CD26</f>
        <v>27</v>
      </c>
      <c r="CE26" s="54">
        <f>'Total Staffing'!CE26-'Pavia Staffing'!CE26</f>
        <v>27</v>
      </c>
      <c r="CF26" s="54">
        <f>'Total Staffing'!CF26-'Pavia Staffing'!CF26</f>
        <v>14</v>
      </c>
      <c r="CG26" s="54">
        <f>'Total Staffing'!CG26-'Pavia Staffing'!CG26</f>
        <v>15</v>
      </c>
      <c r="CH26" s="55">
        <f>'Total Staffing'!CH26-'Pavia Staffing'!CH26</f>
        <v>13</v>
      </c>
      <c r="CI26" s="56">
        <f>'Total Staffing'!CI26-'Pavia Staffing'!CI26</f>
        <v>12</v>
      </c>
      <c r="CJ26" s="54">
        <f>'Total Staffing'!CJ26-'Pavia Staffing'!CJ26</f>
        <v>27</v>
      </c>
      <c r="CK26" s="54">
        <f>'Total Staffing'!CK26-'Pavia Staffing'!CK26</f>
        <v>27</v>
      </c>
      <c r="CL26" s="54">
        <f>'Total Staffing'!CL26-'Pavia Staffing'!CL26</f>
        <v>27</v>
      </c>
      <c r="CM26" s="54">
        <f>'Total Staffing'!CM26-'Pavia Staffing'!CM26</f>
        <v>14</v>
      </c>
      <c r="CN26" s="54">
        <f>'Total Staffing'!CN26-'Pavia Staffing'!CN26</f>
        <v>15</v>
      </c>
      <c r="CO26" s="55">
        <f>'Total Staffing'!CO26-'Pavia Staffing'!CO26</f>
        <v>13</v>
      </c>
    </row>
    <row r="27" spans="1:93" x14ac:dyDescent="0.25">
      <c r="A27" s="20" t="str">
        <f>'Agent Sched'!B28</f>
        <v>Gabriel Philip Delfin</v>
      </c>
      <c r="B27" s="12">
        <f>IFERROR(VLOOKUP(A27,'Agent Sched'!$B:$C,2,),"-")</f>
        <v>0.375</v>
      </c>
      <c r="C27" s="13">
        <f t="shared" si="7"/>
        <v>0.75</v>
      </c>
      <c r="D27" s="12">
        <f>IFERROR(VLOOKUP(A27,'Agent Sched'!B:D,3,),"-")</f>
        <v>0.375</v>
      </c>
      <c r="E27" s="13">
        <f t="shared" si="8"/>
        <v>0.75</v>
      </c>
      <c r="F27" s="12">
        <f>IFERROR(VLOOKUP(A27,'Agent Sched'!B:E,4,),"-")</f>
        <v>0.375</v>
      </c>
      <c r="G27" s="13">
        <f t="shared" si="9"/>
        <v>0.75</v>
      </c>
      <c r="H27" s="12">
        <f>IFERROR(VLOOKUP(A27,'Agent Sched'!B:F,5,),"-")</f>
        <v>0.375</v>
      </c>
      <c r="I27" s="13">
        <f t="shared" si="10"/>
        <v>0.75</v>
      </c>
      <c r="J27" s="12">
        <f>IFERROR(VLOOKUP(A27,'Agent Sched'!B:G,6,),"-")</f>
        <v>0.375</v>
      </c>
      <c r="K27" s="13">
        <f t="shared" si="11"/>
        <v>0.75</v>
      </c>
      <c r="L27" s="12" t="str">
        <f>IFERROR(VLOOKUP(A27,'Agent Sched'!B:H,7,),"-")</f>
        <v>OFF</v>
      </c>
      <c r="M27" s="13" t="str">
        <f t="shared" si="12"/>
        <v>OFF</v>
      </c>
      <c r="N27" s="21" t="str">
        <f>IFERROR(VLOOKUP(A27,'Agent Sched'!B:I,8,),"-")</f>
        <v>OFF</v>
      </c>
      <c r="O27" s="13" t="str">
        <f t="shared" si="13"/>
        <v>OFF</v>
      </c>
      <c r="Q27" s="12" t="str">
        <f>VLOOKUP(A27,'Agent Sched'!B:Y,24,)</f>
        <v>OFF</v>
      </c>
      <c r="R27" s="13" t="str">
        <f t="shared" si="14"/>
        <v>OFF</v>
      </c>
      <c r="T27" s="25">
        <f>VLOOKUP(A27,'Agent Sched'!$B:$J,9,)</f>
        <v>0.375</v>
      </c>
      <c r="U27" s="13">
        <f t="shared" si="15"/>
        <v>0.75</v>
      </c>
      <c r="V27" s="12">
        <f>VLOOKUP(A27,'Agent Sched'!B:K,10,)</f>
        <v>0.375</v>
      </c>
      <c r="W27" s="13">
        <f t="shared" si="16"/>
        <v>0.75</v>
      </c>
      <c r="X27" s="12">
        <f>VLOOKUP(A27,'Agent Sched'!B:L,11,)</f>
        <v>0.375</v>
      </c>
      <c r="Y27" s="13">
        <f t="shared" si="17"/>
        <v>0.75</v>
      </c>
      <c r="Z27" s="12">
        <f>VLOOKUP(A27,'Agent Sched'!B:M,12,)</f>
        <v>0.375</v>
      </c>
      <c r="AA27" s="13">
        <f t="shared" si="18"/>
        <v>0.75</v>
      </c>
      <c r="AB27" s="12">
        <f>VLOOKUP(A27,'Agent Sched'!B:N,13,)</f>
        <v>0.375</v>
      </c>
      <c r="AC27" s="13">
        <f t="shared" si="19"/>
        <v>0.75</v>
      </c>
      <c r="AD27" s="12" t="str">
        <f>VLOOKUP(A27,'Agent Sched'!B:O,14,)</f>
        <v>OFF</v>
      </c>
      <c r="AE27" s="13" t="str">
        <f t="shared" si="20"/>
        <v>OFF</v>
      </c>
      <c r="AF27" s="21" t="str">
        <f>VLOOKUP(A27,'Agent Sched'!B:P,15,)</f>
        <v>OFF</v>
      </c>
      <c r="AG27" s="13" t="str">
        <f t="shared" si="21"/>
        <v>OFF</v>
      </c>
      <c r="AI27" s="25">
        <f>VLOOKUP(A27,'Agent Sched'!$B:$Q,16,)</f>
        <v>0.375</v>
      </c>
      <c r="AJ27" s="13">
        <f t="shared" si="22"/>
        <v>0.75</v>
      </c>
      <c r="AK27" s="12">
        <f>VLOOKUP(A27,'Agent Sched'!B:R,17,)</f>
        <v>0.375</v>
      </c>
      <c r="AL27" s="13">
        <f t="shared" si="23"/>
        <v>0.75</v>
      </c>
      <c r="AM27" s="12">
        <f>VLOOKUP(A27,'Agent Sched'!B:S,18,)</f>
        <v>0.375</v>
      </c>
      <c r="AN27" s="13">
        <f t="shared" si="24"/>
        <v>0.75</v>
      </c>
      <c r="AO27" s="12">
        <f>VLOOKUP(A27,'Agent Sched'!B:T,19,)</f>
        <v>0.375</v>
      </c>
      <c r="AP27" s="13">
        <f t="shared" si="25"/>
        <v>0.75</v>
      </c>
      <c r="AQ27" s="12">
        <f>VLOOKUP(A27,'Agent Sched'!B:U,20,)</f>
        <v>0.375</v>
      </c>
      <c r="AR27" s="13">
        <f t="shared" si="26"/>
        <v>0.75</v>
      </c>
      <c r="AS27" s="12" t="str">
        <f>VLOOKUP(A27,'Agent Sched'!B:V,21,)</f>
        <v>OFF</v>
      </c>
      <c r="AT27" s="13" t="str">
        <f t="shared" si="27"/>
        <v>OFF</v>
      </c>
      <c r="AU27" s="21" t="str">
        <f>VLOOKUP(A27,'Agent Sched'!B:W,22,)</f>
        <v>OFF</v>
      </c>
      <c r="AV27" s="13" t="str">
        <f t="shared" si="28"/>
        <v>OFF</v>
      </c>
      <c r="BH27" s="10"/>
      <c r="BI27" s="10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</row>
    <row r="28" spans="1:93" x14ac:dyDescent="0.25">
      <c r="A28" s="20" t="str">
        <f>'Agent Sched'!B29</f>
        <v>Charlotte,Selirio,Escalona</v>
      </c>
      <c r="B28" s="12">
        <f>IFERROR(VLOOKUP(A28,'Agent Sched'!$B:$C,2,),"-")</f>
        <v>0.375</v>
      </c>
      <c r="C28" s="13">
        <f t="shared" si="7"/>
        <v>0.75</v>
      </c>
      <c r="D28" s="12">
        <f>IFERROR(VLOOKUP(A28,'Agent Sched'!B:D,3,),"-")</f>
        <v>0.375</v>
      </c>
      <c r="E28" s="13">
        <f t="shared" si="8"/>
        <v>0.75</v>
      </c>
      <c r="F28" s="12">
        <f>IFERROR(VLOOKUP(A28,'Agent Sched'!B:E,4,),"-")</f>
        <v>0.375</v>
      </c>
      <c r="G28" s="13">
        <f t="shared" si="9"/>
        <v>0.75</v>
      </c>
      <c r="H28" s="12">
        <f>IFERROR(VLOOKUP(A28,'Agent Sched'!B:F,5,),"-")</f>
        <v>0.375</v>
      </c>
      <c r="I28" s="13">
        <f t="shared" si="10"/>
        <v>0.75</v>
      </c>
      <c r="J28" s="12">
        <f>IFERROR(VLOOKUP(A28,'Agent Sched'!B:G,6,),"-")</f>
        <v>0.375</v>
      </c>
      <c r="K28" s="13">
        <f t="shared" si="11"/>
        <v>0.75</v>
      </c>
      <c r="L28" s="12" t="str">
        <f>IFERROR(VLOOKUP(A28,'Agent Sched'!B:H,7,),"-")</f>
        <v>OFF</v>
      </c>
      <c r="M28" s="13" t="str">
        <f t="shared" si="12"/>
        <v>OFF</v>
      </c>
      <c r="N28" s="21" t="str">
        <f>IFERROR(VLOOKUP(A28,'Agent Sched'!B:I,8,),"-")</f>
        <v>OFF</v>
      </c>
      <c r="O28" s="13" t="str">
        <f t="shared" si="13"/>
        <v>OFF</v>
      </c>
      <c r="Q28" s="12" t="str">
        <f>VLOOKUP(A28,'Agent Sched'!B:Y,24,)</f>
        <v>OFF</v>
      </c>
      <c r="R28" s="13" t="str">
        <f t="shared" si="14"/>
        <v>OFF</v>
      </c>
      <c r="T28" s="25">
        <f>VLOOKUP(A28,'Agent Sched'!$B:$J,9,)</f>
        <v>0.375</v>
      </c>
      <c r="U28" s="13">
        <f t="shared" si="15"/>
        <v>0.75</v>
      </c>
      <c r="V28" s="12">
        <f>VLOOKUP(A28,'Agent Sched'!B:K,10,)</f>
        <v>0.375</v>
      </c>
      <c r="W28" s="13">
        <f t="shared" si="16"/>
        <v>0.75</v>
      </c>
      <c r="X28" s="12">
        <f>VLOOKUP(A28,'Agent Sched'!B:L,11,)</f>
        <v>0.375</v>
      </c>
      <c r="Y28" s="13">
        <f t="shared" si="17"/>
        <v>0.75</v>
      </c>
      <c r="Z28" s="12">
        <f>VLOOKUP(A28,'Agent Sched'!B:M,12,)</f>
        <v>0.375</v>
      </c>
      <c r="AA28" s="13">
        <f t="shared" si="18"/>
        <v>0.75</v>
      </c>
      <c r="AB28" s="12">
        <f>VLOOKUP(A28,'Agent Sched'!B:N,13,)</f>
        <v>0.375</v>
      </c>
      <c r="AC28" s="13">
        <f t="shared" si="19"/>
        <v>0.75</v>
      </c>
      <c r="AD28" s="12" t="str">
        <f>VLOOKUP(A28,'Agent Sched'!B:O,14,)</f>
        <v>OFF</v>
      </c>
      <c r="AE28" s="13" t="str">
        <f t="shared" si="20"/>
        <v>OFF</v>
      </c>
      <c r="AF28" s="21" t="str">
        <f>VLOOKUP(A28,'Agent Sched'!B:P,15,)</f>
        <v>OFF</v>
      </c>
      <c r="AG28" s="13" t="str">
        <f t="shared" si="21"/>
        <v>OFF</v>
      </c>
      <c r="AI28" s="25">
        <f>VLOOKUP(A28,'Agent Sched'!$B:$Q,16,)</f>
        <v>0.375</v>
      </c>
      <c r="AJ28" s="13">
        <f t="shared" si="22"/>
        <v>0.75</v>
      </c>
      <c r="AK28" s="12">
        <f>VLOOKUP(A28,'Agent Sched'!B:R,17,)</f>
        <v>0.375</v>
      </c>
      <c r="AL28" s="13">
        <f t="shared" si="23"/>
        <v>0.75</v>
      </c>
      <c r="AM28" s="12">
        <f>VLOOKUP(A28,'Agent Sched'!B:S,18,)</f>
        <v>0.375</v>
      </c>
      <c r="AN28" s="13">
        <f t="shared" si="24"/>
        <v>0.75</v>
      </c>
      <c r="AO28" s="12">
        <f>VLOOKUP(A28,'Agent Sched'!B:T,19,)</f>
        <v>0.375</v>
      </c>
      <c r="AP28" s="13">
        <f t="shared" si="25"/>
        <v>0.75</v>
      </c>
      <c r="AQ28" s="12">
        <f>VLOOKUP(A28,'Agent Sched'!B:U,20,)</f>
        <v>0.375</v>
      </c>
      <c r="AR28" s="13">
        <f t="shared" si="26"/>
        <v>0.75</v>
      </c>
      <c r="AS28" s="12" t="str">
        <f>VLOOKUP(A28,'Agent Sched'!B:V,21,)</f>
        <v>OFF</v>
      </c>
      <c r="AT28" s="13" t="str">
        <f t="shared" si="27"/>
        <v>OFF</v>
      </c>
      <c r="AU28" s="21" t="str">
        <f>VLOOKUP(A28,'Agent Sched'!B:W,22,)</f>
        <v>OFF</v>
      </c>
      <c r="AV28" s="13" t="str">
        <f t="shared" si="28"/>
        <v>OFF</v>
      </c>
      <c r="AX28" s="10"/>
      <c r="BH28" s="10"/>
      <c r="CA28" s="31"/>
      <c r="CH28" s="31"/>
      <c r="CO28" s="31"/>
    </row>
    <row r="29" spans="1:93" x14ac:dyDescent="0.25">
      <c r="A29" s="20" t="str">
        <f>'Agent Sched'!B30</f>
        <v>Frank Lina,Sey,Ituriaga</v>
      </c>
      <c r="B29" s="12">
        <f>IFERROR(VLOOKUP(A29,'Agent Sched'!$B:$C,2,),"-")</f>
        <v>0.375</v>
      </c>
      <c r="C29" s="13">
        <f t="shared" si="7"/>
        <v>0.75</v>
      </c>
      <c r="D29" s="12">
        <f>IFERROR(VLOOKUP(A29,'Agent Sched'!B:D,3,),"-")</f>
        <v>0.375</v>
      </c>
      <c r="E29" s="13">
        <f t="shared" si="8"/>
        <v>0.75</v>
      </c>
      <c r="F29" s="12">
        <f>IFERROR(VLOOKUP(A29,'Agent Sched'!B:E,4,),"-")</f>
        <v>0.375</v>
      </c>
      <c r="G29" s="13">
        <f t="shared" si="9"/>
        <v>0.75</v>
      </c>
      <c r="H29" s="12">
        <f>IFERROR(VLOOKUP(A29,'Agent Sched'!B:F,5,),"-")</f>
        <v>0.375</v>
      </c>
      <c r="I29" s="13">
        <f t="shared" si="10"/>
        <v>0.75</v>
      </c>
      <c r="J29" s="12">
        <f>IFERROR(VLOOKUP(A29,'Agent Sched'!B:G,6,),"-")</f>
        <v>0.375</v>
      </c>
      <c r="K29" s="13">
        <f t="shared" si="11"/>
        <v>0.75</v>
      </c>
      <c r="L29" s="12" t="str">
        <f>IFERROR(VLOOKUP(A29,'Agent Sched'!B:H,7,),"-")</f>
        <v>OFF</v>
      </c>
      <c r="M29" s="13" t="str">
        <f t="shared" si="12"/>
        <v>OFF</v>
      </c>
      <c r="N29" s="21" t="str">
        <f>IFERROR(VLOOKUP(A29,'Agent Sched'!B:I,8,),"-")</f>
        <v>OFF</v>
      </c>
      <c r="O29" s="13" t="str">
        <f t="shared" si="13"/>
        <v>OFF</v>
      </c>
      <c r="Q29" s="12" t="str">
        <f>VLOOKUP(A29,'Agent Sched'!B:Y,24,)</f>
        <v>OFF</v>
      </c>
      <c r="R29" s="13" t="str">
        <f t="shared" si="14"/>
        <v>OFF</v>
      </c>
      <c r="T29" s="25">
        <f>VLOOKUP(A29,'Agent Sched'!$B:$J,9,)</f>
        <v>0.375</v>
      </c>
      <c r="U29" s="13">
        <f t="shared" si="15"/>
        <v>0.75</v>
      </c>
      <c r="V29" s="12">
        <f>VLOOKUP(A29,'Agent Sched'!B:K,10,)</f>
        <v>0.375</v>
      </c>
      <c r="W29" s="13">
        <f t="shared" si="16"/>
        <v>0.75</v>
      </c>
      <c r="X29" s="12">
        <f>VLOOKUP(A29,'Agent Sched'!B:L,11,)</f>
        <v>0.375</v>
      </c>
      <c r="Y29" s="13">
        <f t="shared" si="17"/>
        <v>0.75</v>
      </c>
      <c r="Z29" s="12">
        <f>VLOOKUP(A29,'Agent Sched'!B:M,12,)</f>
        <v>0.375</v>
      </c>
      <c r="AA29" s="13">
        <f t="shared" si="18"/>
        <v>0.75</v>
      </c>
      <c r="AB29" s="12">
        <f>VLOOKUP(A29,'Agent Sched'!B:N,13,)</f>
        <v>0.375</v>
      </c>
      <c r="AC29" s="13">
        <f t="shared" si="19"/>
        <v>0.75</v>
      </c>
      <c r="AD29" s="12" t="str">
        <f>VLOOKUP(A29,'Agent Sched'!B:O,14,)</f>
        <v>OFF</v>
      </c>
      <c r="AE29" s="13" t="str">
        <f t="shared" si="20"/>
        <v>OFF</v>
      </c>
      <c r="AF29" s="21" t="str">
        <f>VLOOKUP(A29,'Agent Sched'!B:P,15,)</f>
        <v>OFF</v>
      </c>
      <c r="AG29" s="13" t="str">
        <f t="shared" si="21"/>
        <v>OFF</v>
      </c>
      <c r="AI29" s="25">
        <f>VLOOKUP(A29,'Agent Sched'!$B:$Q,16,)</f>
        <v>0.375</v>
      </c>
      <c r="AJ29" s="13">
        <f t="shared" si="22"/>
        <v>0.75</v>
      </c>
      <c r="AK29" s="12">
        <f>VLOOKUP(A29,'Agent Sched'!B:R,17,)</f>
        <v>0.375</v>
      </c>
      <c r="AL29" s="13">
        <f t="shared" si="23"/>
        <v>0.75</v>
      </c>
      <c r="AM29" s="12">
        <f>VLOOKUP(A29,'Agent Sched'!B:S,18,)</f>
        <v>0.375</v>
      </c>
      <c r="AN29" s="13">
        <f t="shared" si="24"/>
        <v>0.75</v>
      </c>
      <c r="AO29" s="12">
        <f>VLOOKUP(A29,'Agent Sched'!B:T,19,)</f>
        <v>0.375</v>
      </c>
      <c r="AP29" s="13">
        <f t="shared" si="25"/>
        <v>0.75</v>
      </c>
      <c r="AQ29" s="12">
        <f>VLOOKUP(A29,'Agent Sched'!B:U,20,)</f>
        <v>0.375</v>
      </c>
      <c r="AR29" s="13">
        <f t="shared" si="26"/>
        <v>0.75</v>
      </c>
      <c r="AS29" s="12" t="str">
        <f>VLOOKUP(A29,'Agent Sched'!B:V,21,)</f>
        <v>OFF</v>
      </c>
      <c r="AT29" s="13" t="str">
        <f t="shared" si="27"/>
        <v>OFF</v>
      </c>
      <c r="AU29" s="21" t="str">
        <f>VLOOKUP(A29,'Agent Sched'!B:W,22,)</f>
        <v>OFF</v>
      </c>
      <c r="AV29" s="13" t="str">
        <f t="shared" si="28"/>
        <v>OFF</v>
      </c>
      <c r="AX29" s="10"/>
      <c r="BH29" s="10"/>
    </row>
    <row r="30" spans="1:93" x14ac:dyDescent="0.25">
      <c r="A30" s="20" t="str">
        <f>'Agent Sched'!B31</f>
        <v>Ma. Eva Karina Remandaban</v>
      </c>
      <c r="B30" s="12">
        <f>IFERROR(VLOOKUP(A30,'Agent Sched'!$B:$C,2,),"-")</f>
        <v>0.375</v>
      </c>
      <c r="C30" s="13">
        <f t="shared" si="7"/>
        <v>0.75</v>
      </c>
      <c r="D30" s="12">
        <f>IFERROR(VLOOKUP(A30,'Agent Sched'!B:D,3,),"-")</f>
        <v>0.375</v>
      </c>
      <c r="E30" s="13">
        <f t="shared" si="8"/>
        <v>0.75</v>
      </c>
      <c r="F30" s="12">
        <f>IFERROR(VLOOKUP(A30,'Agent Sched'!B:E,4,),"-")</f>
        <v>0.375</v>
      </c>
      <c r="G30" s="13">
        <f t="shared" si="9"/>
        <v>0.75</v>
      </c>
      <c r="H30" s="12">
        <f>IFERROR(VLOOKUP(A30,'Agent Sched'!B:F,5,),"-")</f>
        <v>0.375</v>
      </c>
      <c r="I30" s="13">
        <f t="shared" si="10"/>
        <v>0.75</v>
      </c>
      <c r="J30" s="12">
        <f>IFERROR(VLOOKUP(A30,'Agent Sched'!B:G,6,),"-")</f>
        <v>0.375</v>
      </c>
      <c r="K30" s="13">
        <f t="shared" si="11"/>
        <v>0.75</v>
      </c>
      <c r="L30" s="12" t="str">
        <f>IFERROR(VLOOKUP(A30,'Agent Sched'!B:H,7,),"-")</f>
        <v>OFF</v>
      </c>
      <c r="M30" s="13" t="str">
        <f t="shared" si="12"/>
        <v>OFF</v>
      </c>
      <c r="N30" s="21" t="str">
        <f>IFERROR(VLOOKUP(A30,'Agent Sched'!B:I,8,),"-")</f>
        <v>OFF</v>
      </c>
      <c r="O30" s="13" t="str">
        <f t="shared" si="13"/>
        <v>OFF</v>
      </c>
      <c r="Q30" s="12" t="str">
        <f>VLOOKUP(A30,'Agent Sched'!B:Y,24,)</f>
        <v>OFF</v>
      </c>
      <c r="R30" s="13" t="str">
        <f t="shared" si="14"/>
        <v>OFF</v>
      </c>
      <c r="T30" s="25">
        <f>VLOOKUP(A30,'Agent Sched'!$B:$J,9,)</f>
        <v>0.375</v>
      </c>
      <c r="U30" s="13">
        <f t="shared" si="15"/>
        <v>0.75</v>
      </c>
      <c r="V30" s="12">
        <f>VLOOKUP(A30,'Agent Sched'!B:K,10,)</f>
        <v>0.375</v>
      </c>
      <c r="W30" s="13">
        <f t="shared" si="16"/>
        <v>0.75</v>
      </c>
      <c r="X30" s="12">
        <f>VLOOKUP(A30,'Agent Sched'!B:L,11,)</f>
        <v>0.375</v>
      </c>
      <c r="Y30" s="13">
        <f t="shared" si="17"/>
        <v>0.75</v>
      </c>
      <c r="Z30" s="12">
        <f>VLOOKUP(A30,'Agent Sched'!B:M,12,)</f>
        <v>0.375</v>
      </c>
      <c r="AA30" s="13">
        <f t="shared" si="18"/>
        <v>0.75</v>
      </c>
      <c r="AB30" s="12">
        <f>VLOOKUP(A30,'Agent Sched'!B:N,13,)</f>
        <v>0.375</v>
      </c>
      <c r="AC30" s="13">
        <f t="shared" si="19"/>
        <v>0.75</v>
      </c>
      <c r="AD30" s="12" t="str">
        <f>VLOOKUP(A30,'Agent Sched'!B:O,14,)</f>
        <v>OFF</v>
      </c>
      <c r="AE30" s="13" t="str">
        <f t="shared" si="20"/>
        <v>OFF</v>
      </c>
      <c r="AF30" s="21" t="str">
        <f>VLOOKUP(A30,'Agent Sched'!B:P,15,)</f>
        <v>OFF</v>
      </c>
      <c r="AG30" s="13" t="str">
        <f t="shared" si="21"/>
        <v>OFF</v>
      </c>
      <c r="AI30" s="25">
        <f>VLOOKUP(A30,'Agent Sched'!$B:$Q,16,)</f>
        <v>0.375</v>
      </c>
      <c r="AJ30" s="13">
        <f t="shared" si="22"/>
        <v>0.75</v>
      </c>
      <c r="AK30" s="12">
        <f>VLOOKUP(A30,'Agent Sched'!B:R,17,)</f>
        <v>0.375</v>
      </c>
      <c r="AL30" s="13">
        <f t="shared" si="23"/>
        <v>0.75</v>
      </c>
      <c r="AM30" s="12">
        <f>VLOOKUP(A30,'Agent Sched'!B:S,18,)</f>
        <v>0.375</v>
      </c>
      <c r="AN30" s="13">
        <f t="shared" si="24"/>
        <v>0.75</v>
      </c>
      <c r="AO30" s="12">
        <f>VLOOKUP(A30,'Agent Sched'!B:T,19,)</f>
        <v>0.375</v>
      </c>
      <c r="AP30" s="13">
        <f t="shared" si="25"/>
        <v>0.75</v>
      </c>
      <c r="AQ30" s="12">
        <f>VLOOKUP(A30,'Agent Sched'!B:U,20,)</f>
        <v>0.375</v>
      </c>
      <c r="AR30" s="13">
        <f t="shared" si="26"/>
        <v>0.75</v>
      </c>
      <c r="AS30" s="12" t="str">
        <f>VLOOKUP(A30,'Agent Sched'!B:V,21,)</f>
        <v>OFF</v>
      </c>
      <c r="AT30" s="13" t="str">
        <f t="shared" si="27"/>
        <v>OFF</v>
      </c>
      <c r="AU30" s="21" t="str">
        <f>VLOOKUP(A30,'Agent Sched'!B:W,22,)</f>
        <v>OFF</v>
      </c>
      <c r="AV30" s="13" t="str">
        <f t="shared" si="28"/>
        <v>OFF</v>
      </c>
      <c r="AX30" s="10"/>
    </row>
    <row r="31" spans="1:93" x14ac:dyDescent="0.25">
      <c r="A31" s="20" t="str">
        <f>'Agent Sched'!B32</f>
        <v>Carmen Mae Huyong</v>
      </c>
      <c r="B31" s="12">
        <f>IFERROR(VLOOKUP(A31,'Agent Sched'!$B:$C,2,),"-")</f>
        <v>0.375</v>
      </c>
      <c r="C31" s="13">
        <f t="shared" si="7"/>
        <v>0.75</v>
      </c>
      <c r="D31" s="12">
        <f>IFERROR(VLOOKUP(A31,'Agent Sched'!B:D,3,),"-")</f>
        <v>0.375</v>
      </c>
      <c r="E31" s="13">
        <f t="shared" si="8"/>
        <v>0.75</v>
      </c>
      <c r="F31" s="12">
        <f>IFERROR(VLOOKUP(A31,'Agent Sched'!B:E,4,),"-")</f>
        <v>0.375</v>
      </c>
      <c r="G31" s="13">
        <f t="shared" si="9"/>
        <v>0.75</v>
      </c>
      <c r="H31" s="12">
        <f>IFERROR(VLOOKUP(A31,'Agent Sched'!B:F,5,),"-")</f>
        <v>0.375</v>
      </c>
      <c r="I31" s="13">
        <f t="shared" si="10"/>
        <v>0.75</v>
      </c>
      <c r="J31" s="12">
        <f>IFERROR(VLOOKUP(A31,'Agent Sched'!B:G,6,),"-")</f>
        <v>0.375</v>
      </c>
      <c r="K31" s="13">
        <f t="shared" si="11"/>
        <v>0.75</v>
      </c>
      <c r="L31" s="12" t="str">
        <f>IFERROR(VLOOKUP(A31,'Agent Sched'!B:H,7,),"-")</f>
        <v>OFF</v>
      </c>
      <c r="M31" s="13" t="str">
        <f t="shared" si="12"/>
        <v>OFF</v>
      </c>
      <c r="N31" s="21" t="str">
        <f>IFERROR(VLOOKUP(A31,'Agent Sched'!B:I,8,),"-")</f>
        <v>OFF</v>
      </c>
      <c r="O31" s="13" t="str">
        <f t="shared" si="13"/>
        <v>OFF</v>
      </c>
      <c r="Q31" s="12" t="str">
        <f>VLOOKUP(A31,'Agent Sched'!B:Y,24,)</f>
        <v>OFF</v>
      </c>
      <c r="R31" s="13" t="str">
        <f t="shared" si="14"/>
        <v>OFF</v>
      </c>
      <c r="T31" s="25">
        <f>VLOOKUP(A31,'Agent Sched'!$B:$J,9,)</f>
        <v>0.375</v>
      </c>
      <c r="U31" s="13">
        <f t="shared" si="15"/>
        <v>0.75</v>
      </c>
      <c r="V31" s="12">
        <f>VLOOKUP(A31,'Agent Sched'!B:K,10,)</f>
        <v>0.375</v>
      </c>
      <c r="W31" s="13">
        <f t="shared" si="16"/>
        <v>0.75</v>
      </c>
      <c r="X31" s="12">
        <f>VLOOKUP(A31,'Agent Sched'!B:L,11,)</f>
        <v>0.375</v>
      </c>
      <c r="Y31" s="13">
        <f t="shared" si="17"/>
        <v>0.75</v>
      </c>
      <c r="Z31" s="12">
        <f>VLOOKUP(A31,'Agent Sched'!B:M,12,)</f>
        <v>0.375</v>
      </c>
      <c r="AA31" s="13">
        <f t="shared" si="18"/>
        <v>0.75</v>
      </c>
      <c r="AB31" s="12">
        <f>VLOOKUP(A31,'Agent Sched'!B:N,13,)</f>
        <v>0.375</v>
      </c>
      <c r="AC31" s="13">
        <f t="shared" si="19"/>
        <v>0.75</v>
      </c>
      <c r="AD31" s="12" t="str">
        <f>VLOOKUP(A31,'Agent Sched'!B:O,14,)</f>
        <v>OFF</v>
      </c>
      <c r="AE31" s="13" t="str">
        <f t="shared" si="20"/>
        <v>OFF</v>
      </c>
      <c r="AF31" s="21" t="str">
        <f>VLOOKUP(A31,'Agent Sched'!B:P,15,)</f>
        <v>OFF</v>
      </c>
      <c r="AG31" s="13" t="str">
        <f t="shared" si="21"/>
        <v>OFF</v>
      </c>
      <c r="AI31" s="25">
        <f>VLOOKUP(A31,'Agent Sched'!$B:$Q,16,)</f>
        <v>0.375</v>
      </c>
      <c r="AJ31" s="13">
        <f t="shared" si="22"/>
        <v>0.75</v>
      </c>
      <c r="AK31" s="12">
        <f>VLOOKUP(A31,'Agent Sched'!B:R,17,)</f>
        <v>0.375</v>
      </c>
      <c r="AL31" s="13">
        <f t="shared" si="23"/>
        <v>0.75</v>
      </c>
      <c r="AM31" s="12">
        <f>VLOOKUP(A31,'Agent Sched'!B:S,18,)</f>
        <v>0.375</v>
      </c>
      <c r="AN31" s="13">
        <f t="shared" si="24"/>
        <v>0.75</v>
      </c>
      <c r="AO31" s="12">
        <f>VLOOKUP(A31,'Agent Sched'!B:T,19,)</f>
        <v>0.375</v>
      </c>
      <c r="AP31" s="13">
        <f t="shared" si="25"/>
        <v>0.75</v>
      </c>
      <c r="AQ31" s="12">
        <f>VLOOKUP(A31,'Agent Sched'!B:U,20,)</f>
        <v>0.375</v>
      </c>
      <c r="AR31" s="13">
        <f t="shared" si="26"/>
        <v>0.75</v>
      </c>
      <c r="AS31" s="12" t="str">
        <f>VLOOKUP(A31,'Agent Sched'!B:V,21,)</f>
        <v>OFF</v>
      </c>
      <c r="AT31" s="13" t="str">
        <f t="shared" si="27"/>
        <v>OFF</v>
      </c>
      <c r="AU31" s="21" t="str">
        <f>VLOOKUP(A31,'Agent Sched'!B:W,22,)</f>
        <v>OFF</v>
      </c>
      <c r="AV31" s="13" t="str">
        <f t="shared" si="28"/>
        <v>OFF</v>
      </c>
      <c r="AX31" s="10"/>
    </row>
    <row r="32" spans="1:93" x14ac:dyDescent="0.25">
      <c r="A32" s="20" t="str">
        <f>'Agent Sched'!B33</f>
        <v>Ednel Alagon</v>
      </c>
      <c r="B32" s="12">
        <f>IFERROR(VLOOKUP(A32,'Agent Sched'!$B:$C,2,),"-")</f>
        <v>0.375</v>
      </c>
      <c r="C32" s="13">
        <f t="shared" si="7"/>
        <v>0.75</v>
      </c>
      <c r="D32" s="12">
        <f>IFERROR(VLOOKUP(A32,'Agent Sched'!B:D,3,),"-")</f>
        <v>0.375</v>
      </c>
      <c r="E32" s="13">
        <f t="shared" si="8"/>
        <v>0.75</v>
      </c>
      <c r="F32" s="12">
        <f>IFERROR(VLOOKUP(A32,'Agent Sched'!B:E,4,),"-")</f>
        <v>0.375</v>
      </c>
      <c r="G32" s="13">
        <f t="shared" si="9"/>
        <v>0.75</v>
      </c>
      <c r="H32" s="12">
        <f>IFERROR(VLOOKUP(A32,'Agent Sched'!B:F,5,),"-")</f>
        <v>0.375</v>
      </c>
      <c r="I32" s="13">
        <f t="shared" si="10"/>
        <v>0.75</v>
      </c>
      <c r="J32" s="12">
        <f>IFERROR(VLOOKUP(A32,'Agent Sched'!B:G,6,),"-")</f>
        <v>0.375</v>
      </c>
      <c r="K32" s="13">
        <f t="shared" si="11"/>
        <v>0.75</v>
      </c>
      <c r="L32" s="12" t="str">
        <f>IFERROR(VLOOKUP(A32,'Agent Sched'!B:H,7,),"-")</f>
        <v>OFF</v>
      </c>
      <c r="M32" s="13" t="str">
        <f t="shared" si="12"/>
        <v>OFF</v>
      </c>
      <c r="N32" s="21" t="str">
        <f>IFERROR(VLOOKUP(A32,'Agent Sched'!B:I,8,),"-")</f>
        <v>OFF</v>
      </c>
      <c r="O32" s="13" t="str">
        <f t="shared" si="13"/>
        <v>OFF</v>
      </c>
      <c r="Q32" s="12" t="str">
        <f>VLOOKUP(A32,'Agent Sched'!B:Y,24,)</f>
        <v>OFF</v>
      </c>
      <c r="R32" s="13" t="str">
        <f t="shared" si="14"/>
        <v>OFF</v>
      </c>
      <c r="T32" s="25">
        <f>VLOOKUP(A32,'Agent Sched'!$B:$J,9,)</f>
        <v>0.375</v>
      </c>
      <c r="U32" s="13">
        <f t="shared" si="15"/>
        <v>0.75</v>
      </c>
      <c r="V32" s="12">
        <f>VLOOKUP(A32,'Agent Sched'!B:K,10,)</f>
        <v>0.375</v>
      </c>
      <c r="W32" s="13">
        <f t="shared" si="16"/>
        <v>0.75</v>
      </c>
      <c r="X32" s="12">
        <f>VLOOKUP(A32,'Agent Sched'!B:L,11,)</f>
        <v>0.375</v>
      </c>
      <c r="Y32" s="13">
        <f t="shared" si="17"/>
        <v>0.75</v>
      </c>
      <c r="Z32" s="12">
        <f>VLOOKUP(A32,'Agent Sched'!B:M,12,)</f>
        <v>0.375</v>
      </c>
      <c r="AA32" s="13">
        <f t="shared" si="18"/>
        <v>0.75</v>
      </c>
      <c r="AB32" s="12">
        <f>VLOOKUP(A32,'Agent Sched'!B:N,13,)</f>
        <v>0.375</v>
      </c>
      <c r="AC32" s="13">
        <f t="shared" si="19"/>
        <v>0.75</v>
      </c>
      <c r="AD32" s="12" t="str">
        <f>VLOOKUP(A32,'Agent Sched'!B:O,14,)</f>
        <v>OFF</v>
      </c>
      <c r="AE32" s="13" t="str">
        <f t="shared" si="20"/>
        <v>OFF</v>
      </c>
      <c r="AF32" s="21" t="str">
        <f>VLOOKUP(A32,'Agent Sched'!B:P,15,)</f>
        <v>OFF</v>
      </c>
      <c r="AG32" s="13" t="str">
        <f t="shared" si="21"/>
        <v>OFF</v>
      </c>
      <c r="AI32" s="25">
        <f>VLOOKUP(A32,'Agent Sched'!$B:$Q,16,)</f>
        <v>0.375</v>
      </c>
      <c r="AJ32" s="13">
        <f t="shared" si="22"/>
        <v>0.75</v>
      </c>
      <c r="AK32" s="12">
        <f>VLOOKUP(A32,'Agent Sched'!B:R,17,)</f>
        <v>0.375</v>
      </c>
      <c r="AL32" s="13">
        <f t="shared" si="23"/>
        <v>0.75</v>
      </c>
      <c r="AM32" s="12">
        <f>VLOOKUP(A32,'Agent Sched'!B:S,18,)</f>
        <v>0.375</v>
      </c>
      <c r="AN32" s="13">
        <f t="shared" si="24"/>
        <v>0.75</v>
      </c>
      <c r="AO32" s="12">
        <f>VLOOKUP(A32,'Agent Sched'!B:T,19,)</f>
        <v>0.375</v>
      </c>
      <c r="AP32" s="13">
        <f t="shared" si="25"/>
        <v>0.75</v>
      </c>
      <c r="AQ32" s="12">
        <f>VLOOKUP(A32,'Agent Sched'!B:U,20,)</f>
        <v>0.375</v>
      </c>
      <c r="AR32" s="13">
        <f t="shared" si="26"/>
        <v>0.75</v>
      </c>
      <c r="AS32" s="12" t="str">
        <f>VLOOKUP(A32,'Agent Sched'!B:V,21,)</f>
        <v>OFF</v>
      </c>
      <c r="AT32" s="13" t="str">
        <f t="shared" si="27"/>
        <v>OFF</v>
      </c>
      <c r="AU32" s="21" t="str">
        <f>VLOOKUP(A32,'Agent Sched'!B:W,22,)</f>
        <v>OFF</v>
      </c>
      <c r="AV32" s="13" t="str">
        <f t="shared" si="28"/>
        <v>OFF</v>
      </c>
      <c r="AX32" s="10"/>
    </row>
    <row r="33" spans="1:48" x14ac:dyDescent="0.25">
      <c r="A33" s="20" t="str">
        <f>'Agent Sched'!B34</f>
        <v>Bryll Malones</v>
      </c>
      <c r="B33" s="12">
        <f>IFERROR(VLOOKUP(A33,'Agent Sched'!$B:$C,2,),"-")</f>
        <v>0.375</v>
      </c>
      <c r="C33" s="13">
        <f t="shared" si="7"/>
        <v>0.75</v>
      </c>
      <c r="D33" s="12">
        <f>IFERROR(VLOOKUP(A33,'Agent Sched'!B:D,3,),"-")</f>
        <v>0.375</v>
      </c>
      <c r="E33" s="13">
        <f t="shared" si="8"/>
        <v>0.75</v>
      </c>
      <c r="F33" s="12">
        <f>IFERROR(VLOOKUP(A33,'Agent Sched'!B:E,4,),"-")</f>
        <v>0.375</v>
      </c>
      <c r="G33" s="13">
        <f t="shared" si="9"/>
        <v>0.75</v>
      </c>
      <c r="H33" s="12">
        <f>IFERROR(VLOOKUP(A33,'Agent Sched'!B:F,5,),"-")</f>
        <v>0.375</v>
      </c>
      <c r="I33" s="13">
        <f t="shared" si="10"/>
        <v>0.75</v>
      </c>
      <c r="J33" s="12">
        <f>IFERROR(VLOOKUP(A33,'Agent Sched'!B:G,6,),"-")</f>
        <v>0.375</v>
      </c>
      <c r="K33" s="13">
        <f t="shared" si="11"/>
        <v>0.75</v>
      </c>
      <c r="L33" s="12" t="str">
        <f>IFERROR(VLOOKUP(A33,'Agent Sched'!B:H,7,),"-")</f>
        <v>OFF</v>
      </c>
      <c r="M33" s="13" t="str">
        <f t="shared" si="12"/>
        <v>OFF</v>
      </c>
      <c r="N33" s="21" t="str">
        <f>IFERROR(VLOOKUP(A33,'Agent Sched'!B:I,8,),"-")</f>
        <v>OFF</v>
      </c>
      <c r="O33" s="13" t="str">
        <f t="shared" si="13"/>
        <v>OFF</v>
      </c>
      <c r="Q33" s="12" t="str">
        <f>VLOOKUP(A33,'Agent Sched'!B:Y,24,)</f>
        <v>OFF</v>
      </c>
      <c r="R33" s="13" t="str">
        <f t="shared" si="14"/>
        <v>OFF</v>
      </c>
      <c r="T33" s="25">
        <f>VLOOKUP(A33,'Agent Sched'!$B:$J,9,)</f>
        <v>0.375</v>
      </c>
      <c r="U33" s="13">
        <f t="shared" si="15"/>
        <v>0.75</v>
      </c>
      <c r="V33" s="12">
        <f>VLOOKUP(A33,'Agent Sched'!B:K,10,)</f>
        <v>0.375</v>
      </c>
      <c r="W33" s="13">
        <f t="shared" si="16"/>
        <v>0.75</v>
      </c>
      <c r="X33" s="12">
        <f>VLOOKUP(A33,'Agent Sched'!B:L,11,)</f>
        <v>0.375</v>
      </c>
      <c r="Y33" s="13">
        <f t="shared" si="17"/>
        <v>0.75</v>
      </c>
      <c r="Z33" s="12">
        <f>VLOOKUP(A33,'Agent Sched'!B:M,12,)</f>
        <v>0.375</v>
      </c>
      <c r="AA33" s="13">
        <f t="shared" si="18"/>
        <v>0.75</v>
      </c>
      <c r="AB33" s="12">
        <f>VLOOKUP(A33,'Agent Sched'!B:N,13,)</f>
        <v>0.375</v>
      </c>
      <c r="AC33" s="13">
        <f t="shared" si="19"/>
        <v>0.75</v>
      </c>
      <c r="AD33" s="12" t="str">
        <f>VLOOKUP(A33,'Agent Sched'!B:O,14,)</f>
        <v>OFF</v>
      </c>
      <c r="AE33" s="13" t="str">
        <f t="shared" si="20"/>
        <v>OFF</v>
      </c>
      <c r="AF33" s="21" t="str">
        <f>VLOOKUP(A33,'Agent Sched'!B:P,15,)</f>
        <v>OFF</v>
      </c>
      <c r="AG33" s="13" t="str">
        <f t="shared" si="21"/>
        <v>OFF</v>
      </c>
      <c r="AI33" s="25">
        <f>VLOOKUP(A33,'Agent Sched'!$B:$Q,16,)</f>
        <v>0.375</v>
      </c>
      <c r="AJ33" s="13">
        <f t="shared" si="22"/>
        <v>0.75</v>
      </c>
      <c r="AK33" s="12">
        <f>VLOOKUP(A33,'Agent Sched'!B:R,17,)</f>
        <v>0.375</v>
      </c>
      <c r="AL33" s="13">
        <f t="shared" si="23"/>
        <v>0.75</v>
      </c>
      <c r="AM33" s="12">
        <f>VLOOKUP(A33,'Agent Sched'!B:S,18,)</f>
        <v>0.375</v>
      </c>
      <c r="AN33" s="13">
        <f t="shared" si="24"/>
        <v>0.75</v>
      </c>
      <c r="AO33" s="12">
        <f>VLOOKUP(A33,'Agent Sched'!B:T,19,)</f>
        <v>0.375</v>
      </c>
      <c r="AP33" s="13">
        <f t="shared" si="25"/>
        <v>0.75</v>
      </c>
      <c r="AQ33" s="12">
        <f>VLOOKUP(A33,'Agent Sched'!B:U,20,)</f>
        <v>0.375</v>
      </c>
      <c r="AR33" s="13">
        <f t="shared" si="26"/>
        <v>0.75</v>
      </c>
      <c r="AS33" s="12" t="str">
        <f>VLOOKUP(A33,'Agent Sched'!B:V,21,)</f>
        <v>OFF</v>
      </c>
      <c r="AT33" s="13" t="str">
        <f t="shared" si="27"/>
        <v>OFF</v>
      </c>
      <c r="AU33" s="21" t="str">
        <f>VLOOKUP(A33,'Agent Sched'!B:W,22,)</f>
        <v>OFF</v>
      </c>
      <c r="AV33" s="13" t="str">
        <f t="shared" si="28"/>
        <v>OFF</v>
      </c>
    </row>
    <row r="34" spans="1:48" x14ac:dyDescent="0.25">
      <c r="A34" s="20" t="str">
        <f>'Agent Sched'!B35</f>
        <v>Lea May Orense</v>
      </c>
      <c r="B34" s="12">
        <f>IFERROR(VLOOKUP(A34,'Agent Sched'!$B:$C,2,),"-")</f>
        <v>0.375</v>
      </c>
      <c r="C34" s="13">
        <f t="shared" si="7"/>
        <v>0.75</v>
      </c>
      <c r="D34" s="12">
        <f>IFERROR(VLOOKUP(A34,'Agent Sched'!B:D,3,),"-")</f>
        <v>0.375</v>
      </c>
      <c r="E34" s="13">
        <f t="shared" si="8"/>
        <v>0.75</v>
      </c>
      <c r="F34" s="12">
        <f>IFERROR(VLOOKUP(A34,'Agent Sched'!B:E,4,),"-")</f>
        <v>0.375</v>
      </c>
      <c r="G34" s="13">
        <f t="shared" si="9"/>
        <v>0.75</v>
      </c>
      <c r="H34" s="12">
        <f>IFERROR(VLOOKUP(A34,'Agent Sched'!B:F,5,),"-")</f>
        <v>0.375</v>
      </c>
      <c r="I34" s="13">
        <f t="shared" si="10"/>
        <v>0.75</v>
      </c>
      <c r="J34" s="12">
        <f>IFERROR(VLOOKUP(A34,'Agent Sched'!B:G,6,),"-")</f>
        <v>0.375</v>
      </c>
      <c r="K34" s="13">
        <f t="shared" si="11"/>
        <v>0.75</v>
      </c>
      <c r="L34" s="12" t="str">
        <f>IFERROR(VLOOKUP(A34,'Agent Sched'!B:H,7,),"-")</f>
        <v>OFF</v>
      </c>
      <c r="M34" s="13" t="str">
        <f t="shared" si="12"/>
        <v>OFF</v>
      </c>
      <c r="N34" s="21" t="str">
        <f>IFERROR(VLOOKUP(A34,'Agent Sched'!B:I,8,),"-")</f>
        <v>OFF</v>
      </c>
      <c r="O34" s="13" t="str">
        <f t="shared" si="13"/>
        <v>OFF</v>
      </c>
      <c r="Q34" s="12" t="str">
        <f>VLOOKUP(A34,'Agent Sched'!B:Y,24,)</f>
        <v>OFF</v>
      </c>
      <c r="R34" s="13" t="str">
        <f t="shared" si="14"/>
        <v>OFF</v>
      </c>
      <c r="T34" s="25">
        <f>VLOOKUP(A34,'Agent Sched'!$B:$J,9,)</f>
        <v>0.375</v>
      </c>
      <c r="U34" s="13">
        <f t="shared" si="15"/>
        <v>0.75</v>
      </c>
      <c r="V34" s="12">
        <f>VLOOKUP(A34,'Agent Sched'!B:K,10,)</f>
        <v>0.375</v>
      </c>
      <c r="W34" s="13">
        <f t="shared" si="16"/>
        <v>0.75</v>
      </c>
      <c r="X34" s="12">
        <f>VLOOKUP(A34,'Agent Sched'!B:L,11,)</f>
        <v>0.375</v>
      </c>
      <c r="Y34" s="13">
        <f t="shared" si="17"/>
        <v>0.75</v>
      </c>
      <c r="Z34" s="12">
        <f>VLOOKUP(A34,'Agent Sched'!B:M,12,)</f>
        <v>0.375</v>
      </c>
      <c r="AA34" s="13">
        <f t="shared" si="18"/>
        <v>0.75</v>
      </c>
      <c r="AB34" s="12">
        <f>VLOOKUP(A34,'Agent Sched'!B:N,13,)</f>
        <v>0.375</v>
      </c>
      <c r="AC34" s="13">
        <f t="shared" si="19"/>
        <v>0.75</v>
      </c>
      <c r="AD34" s="12" t="str">
        <f>VLOOKUP(A34,'Agent Sched'!B:O,14,)</f>
        <v>OFF</v>
      </c>
      <c r="AE34" s="13" t="str">
        <f t="shared" si="20"/>
        <v>OFF</v>
      </c>
      <c r="AF34" s="21" t="str">
        <f>VLOOKUP(A34,'Agent Sched'!B:P,15,)</f>
        <v>OFF</v>
      </c>
      <c r="AG34" s="13" t="str">
        <f t="shared" si="21"/>
        <v>OFF</v>
      </c>
      <c r="AI34" s="25">
        <f>VLOOKUP(A34,'Agent Sched'!$B:$Q,16,)</f>
        <v>0.375</v>
      </c>
      <c r="AJ34" s="13">
        <f t="shared" si="22"/>
        <v>0.75</v>
      </c>
      <c r="AK34" s="12">
        <f>VLOOKUP(A34,'Agent Sched'!B:R,17,)</f>
        <v>0.375</v>
      </c>
      <c r="AL34" s="13">
        <f t="shared" si="23"/>
        <v>0.75</v>
      </c>
      <c r="AM34" s="12">
        <f>VLOOKUP(A34,'Agent Sched'!B:S,18,)</f>
        <v>0.375</v>
      </c>
      <c r="AN34" s="13">
        <f t="shared" si="24"/>
        <v>0.75</v>
      </c>
      <c r="AO34" s="12">
        <f>VLOOKUP(A34,'Agent Sched'!B:T,19,)</f>
        <v>0.375</v>
      </c>
      <c r="AP34" s="13">
        <f t="shared" si="25"/>
        <v>0.75</v>
      </c>
      <c r="AQ34" s="12">
        <f>VLOOKUP(A34,'Agent Sched'!B:U,20,)</f>
        <v>0.375</v>
      </c>
      <c r="AR34" s="13">
        <f t="shared" si="26"/>
        <v>0.75</v>
      </c>
      <c r="AS34" s="12" t="str">
        <f>VLOOKUP(A34,'Agent Sched'!B:V,21,)</f>
        <v>OFF</v>
      </c>
      <c r="AT34" s="13" t="str">
        <f t="shared" si="27"/>
        <v>OFF</v>
      </c>
      <c r="AU34" s="21" t="str">
        <f>VLOOKUP(A34,'Agent Sched'!B:W,22,)</f>
        <v>OFF</v>
      </c>
      <c r="AV34" s="13" t="str">
        <f t="shared" si="28"/>
        <v>OFF</v>
      </c>
    </row>
    <row r="35" spans="1:48" x14ac:dyDescent="0.25">
      <c r="A35" s="20" t="str">
        <f>'Agent Sched'!B36</f>
        <v>Karen kay Grijalvo</v>
      </c>
      <c r="B35" s="12">
        <f>IFERROR(VLOOKUP(A35,'Agent Sched'!$B:$C,2,),"-")</f>
        <v>0.375</v>
      </c>
      <c r="C35" s="13">
        <f t="shared" si="7"/>
        <v>0.75</v>
      </c>
      <c r="D35" s="12">
        <f>IFERROR(VLOOKUP(A35,'Agent Sched'!B:D,3,),"-")</f>
        <v>0.375</v>
      </c>
      <c r="E35" s="13">
        <f t="shared" si="8"/>
        <v>0.75</v>
      </c>
      <c r="F35" s="12">
        <f>IFERROR(VLOOKUP(A35,'Agent Sched'!B:E,4,),"-")</f>
        <v>0.375</v>
      </c>
      <c r="G35" s="13">
        <f t="shared" si="9"/>
        <v>0.75</v>
      </c>
      <c r="H35" s="12">
        <f>IFERROR(VLOOKUP(A35,'Agent Sched'!B:F,5,),"-")</f>
        <v>0.375</v>
      </c>
      <c r="I35" s="13">
        <f t="shared" si="10"/>
        <v>0.75</v>
      </c>
      <c r="J35" s="12">
        <f>IFERROR(VLOOKUP(A35,'Agent Sched'!B:G,6,),"-")</f>
        <v>0.375</v>
      </c>
      <c r="K35" s="13">
        <f t="shared" si="11"/>
        <v>0.75</v>
      </c>
      <c r="L35" s="12" t="str">
        <f>IFERROR(VLOOKUP(A35,'Agent Sched'!B:H,7,),"-")</f>
        <v>OFF</v>
      </c>
      <c r="M35" s="13" t="str">
        <f t="shared" si="12"/>
        <v>OFF</v>
      </c>
      <c r="N35" s="21" t="str">
        <f>IFERROR(VLOOKUP(A35,'Agent Sched'!B:I,8,),"-")</f>
        <v>OFF</v>
      </c>
      <c r="O35" s="13" t="str">
        <f t="shared" si="13"/>
        <v>OFF</v>
      </c>
      <c r="Q35" s="12" t="str">
        <f>VLOOKUP(A35,'Agent Sched'!B:Y,24,)</f>
        <v>OFF</v>
      </c>
      <c r="R35" s="13" t="str">
        <f t="shared" si="14"/>
        <v>OFF</v>
      </c>
      <c r="T35" s="25">
        <f>VLOOKUP(A35,'Agent Sched'!$B:$J,9,)</f>
        <v>0.375</v>
      </c>
      <c r="U35" s="13">
        <f t="shared" si="15"/>
        <v>0.75</v>
      </c>
      <c r="V35" s="12">
        <f>VLOOKUP(A35,'Agent Sched'!B:K,10,)</f>
        <v>0.375</v>
      </c>
      <c r="W35" s="13">
        <f t="shared" si="16"/>
        <v>0.75</v>
      </c>
      <c r="X35" s="12">
        <f>VLOOKUP(A35,'Agent Sched'!B:L,11,)</f>
        <v>0.375</v>
      </c>
      <c r="Y35" s="13">
        <f t="shared" si="17"/>
        <v>0.75</v>
      </c>
      <c r="Z35" s="12">
        <f>VLOOKUP(A35,'Agent Sched'!B:M,12,)</f>
        <v>0.375</v>
      </c>
      <c r="AA35" s="13">
        <f t="shared" si="18"/>
        <v>0.75</v>
      </c>
      <c r="AB35" s="12">
        <f>VLOOKUP(A35,'Agent Sched'!B:N,13,)</f>
        <v>0.375</v>
      </c>
      <c r="AC35" s="13">
        <f t="shared" si="19"/>
        <v>0.75</v>
      </c>
      <c r="AD35" s="12" t="str">
        <f>VLOOKUP(A35,'Agent Sched'!B:O,14,)</f>
        <v>OFF</v>
      </c>
      <c r="AE35" s="13" t="str">
        <f t="shared" si="20"/>
        <v>OFF</v>
      </c>
      <c r="AF35" s="21" t="str">
        <f>VLOOKUP(A35,'Agent Sched'!B:P,15,)</f>
        <v>OFF</v>
      </c>
      <c r="AG35" s="13" t="str">
        <f t="shared" si="21"/>
        <v>OFF</v>
      </c>
      <c r="AI35" s="25">
        <f>VLOOKUP(A35,'Agent Sched'!$B:$Q,16,)</f>
        <v>0.375</v>
      </c>
      <c r="AJ35" s="13">
        <f t="shared" si="22"/>
        <v>0.75</v>
      </c>
      <c r="AK35" s="12">
        <f>VLOOKUP(A35,'Agent Sched'!B:R,17,)</f>
        <v>0.375</v>
      </c>
      <c r="AL35" s="13">
        <f t="shared" si="23"/>
        <v>0.75</v>
      </c>
      <c r="AM35" s="12">
        <f>VLOOKUP(A35,'Agent Sched'!B:S,18,)</f>
        <v>0.375</v>
      </c>
      <c r="AN35" s="13">
        <f t="shared" si="24"/>
        <v>0.75</v>
      </c>
      <c r="AO35" s="12">
        <f>VLOOKUP(A35,'Agent Sched'!B:T,19,)</f>
        <v>0.375</v>
      </c>
      <c r="AP35" s="13">
        <f t="shared" si="25"/>
        <v>0.75</v>
      </c>
      <c r="AQ35" s="12">
        <f>VLOOKUP(A35,'Agent Sched'!B:U,20,)</f>
        <v>0.375</v>
      </c>
      <c r="AR35" s="13">
        <f t="shared" si="26"/>
        <v>0.75</v>
      </c>
      <c r="AS35" s="12" t="str">
        <f>VLOOKUP(A35,'Agent Sched'!B:V,21,)</f>
        <v>OFF</v>
      </c>
      <c r="AT35" s="13" t="str">
        <f t="shared" si="27"/>
        <v>OFF</v>
      </c>
      <c r="AU35" s="21" t="str">
        <f>VLOOKUP(A35,'Agent Sched'!B:W,22,)</f>
        <v>OFF</v>
      </c>
      <c r="AV35" s="13" t="str">
        <f t="shared" si="28"/>
        <v>OFF</v>
      </c>
    </row>
    <row r="36" spans="1:48" x14ac:dyDescent="0.25">
      <c r="A36" s="20" t="str">
        <f>'Agent Sched'!B37</f>
        <v>Glennes Tolato</v>
      </c>
      <c r="B36" s="12">
        <f>IFERROR(VLOOKUP(A36,'Agent Sched'!$B:$C,2,),"-")</f>
        <v>0.375</v>
      </c>
      <c r="C36" s="13">
        <f t="shared" si="7"/>
        <v>0.75</v>
      </c>
      <c r="D36" s="12">
        <f>IFERROR(VLOOKUP(A36,'Agent Sched'!B:D,3,),"-")</f>
        <v>0.375</v>
      </c>
      <c r="E36" s="13">
        <f t="shared" si="8"/>
        <v>0.75</v>
      </c>
      <c r="F36" s="12">
        <f>IFERROR(VLOOKUP(A36,'Agent Sched'!B:E,4,),"-")</f>
        <v>0.375</v>
      </c>
      <c r="G36" s="13">
        <f t="shared" si="9"/>
        <v>0.75</v>
      </c>
      <c r="H36" s="12">
        <f>IFERROR(VLOOKUP(A36,'Agent Sched'!B:F,5,),"-")</f>
        <v>0.375</v>
      </c>
      <c r="I36" s="13">
        <f t="shared" si="10"/>
        <v>0.75</v>
      </c>
      <c r="J36" s="12">
        <f>IFERROR(VLOOKUP(A36,'Agent Sched'!B:G,6,),"-")</f>
        <v>0.375</v>
      </c>
      <c r="K36" s="13">
        <f t="shared" si="11"/>
        <v>0.75</v>
      </c>
      <c r="L36" s="12" t="str">
        <f>IFERROR(VLOOKUP(A36,'Agent Sched'!B:H,7,),"-")</f>
        <v>OFF</v>
      </c>
      <c r="M36" s="13" t="str">
        <f t="shared" si="12"/>
        <v>OFF</v>
      </c>
      <c r="N36" s="21" t="str">
        <f>IFERROR(VLOOKUP(A36,'Agent Sched'!B:I,8,),"-")</f>
        <v>OFF</v>
      </c>
      <c r="O36" s="13" t="str">
        <f t="shared" si="13"/>
        <v>OFF</v>
      </c>
      <c r="Q36" s="12" t="str">
        <f>VLOOKUP(A36,'Agent Sched'!B:Y,24,)</f>
        <v>OFF</v>
      </c>
      <c r="R36" s="13" t="str">
        <f t="shared" si="14"/>
        <v>OFF</v>
      </c>
      <c r="T36" s="25">
        <f>VLOOKUP(A36,'Agent Sched'!$B:$J,9,)</f>
        <v>0.375</v>
      </c>
      <c r="U36" s="13">
        <f t="shared" si="15"/>
        <v>0.75</v>
      </c>
      <c r="V36" s="12">
        <f>VLOOKUP(A36,'Agent Sched'!B:K,10,)</f>
        <v>0.375</v>
      </c>
      <c r="W36" s="13">
        <f t="shared" si="16"/>
        <v>0.75</v>
      </c>
      <c r="X36" s="12">
        <f>VLOOKUP(A36,'Agent Sched'!B:L,11,)</f>
        <v>0.375</v>
      </c>
      <c r="Y36" s="13">
        <f t="shared" si="17"/>
        <v>0.75</v>
      </c>
      <c r="Z36" s="12">
        <f>VLOOKUP(A36,'Agent Sched'!B:M,12,)</f>
        <v>0.375</v>
      </c>
      <c r="AA36" s="13">
        <f t="shared" si="18"/>
        <v>0.75</v>
      </c>
      <c r="AB36" s="12">
        <f>VLOOKUP(A36,'Agent Sched'!B:N,13,)</f>
        <v>0.375</v>
      </c>
      <c r="AC36" s="13">
        <f t="shared" si="19"/>
        <v>0.75</v>
      </c>
      <c r="AD36" s="12" t="str">
        <f>VLOOKUP(A36,'Agent Sched'!B:O,14,)</f>
        <v>OFF</v>
      </c>
      <c r="AE36" s="13" t="str">
        <f t="shared" si="20"/>
        <v>OFF</v>
      </c>
      <c r="AF36" s="21" t="str">
        <f>VLOOKUP(A36,'Agent Sched'!B:P,15,)</f>
        <v>OFF</v>
      </c>
      <c r="AG36" s="13" t="str">
        <f t="shared" si="21"/>
        <v>OFF</v>
      </c>
      <c r="AI36" s="25">
        <f>VLOOKUP(A36,'Agent Sched'!$B:$Q,16,)</f>
        <v>0.375</v>
      </c>
      <c r="AJ36" s="13">
        <f t="shared" si="22"/>
        <v>0.75</v>
      </c>
      <c r="AK36" s="12">
        <f>VLOOKUP(A36,'Agent Sched'!B:R,17,)</f>
        <v>0.375</v>
      </c>
      <c r="AL36" s="13">
        <f t="shared" si="23"/>
        <v>0.75</v>
      </c>
      <c r="AM36" s="12">
        <f>VLOOKUP(A36,'Agent Sched'!B:S,18,)</f>
        <v>0.375</v>
      </c>
      <c r="AN36" s="13">
        <f t="shared" si="24"/>
        <v>0.75</v>
      </c>
      <c r="AO36" s="12">
        <f>VLOOKUP(A36,'Agent Sched'!B:T,19,)</f>
        <v>0.375</v>
      </c>
      <c r="AP36" s="13">
        <f t="shared" si="25"/>
        <v>0.75</v>
      </c>
      <c r="AQ36" s="12">
        <f>VLOOKUP(A36,'Agent Sched'!B:U,20,)</f>
        <v>0.375</v>
      </c>
      <c r="AR36" s="13">
        <f t="shared" si="26"/>
        <v>0.75</v>
      </c>
      <c r="AS36" s="12" t="str">
        <f>VLOOKUP(A36,'Agent Sched'!B:V,21,)</f>
        <v>OFF</v>
      </c>
      <c r="AT36" s="13" t="str">
        <f t="shared" si="27"/>
        <v>OFF</v>
      </c>
      <c r="AU36" s="21" t="str">
        <f>VLOOKUP(A36,'Agent Sched'!B:W,22,)</f>
        <v>OFF</v>
      </c>
      <c r="AV36" s="13" t="str">
        <f t="shared" si="28"/>
        <v>OFF</v>
      </c>
    </row>
    <row r="37" spans="1:48" x14ac:dyDescent="0.25">
      <c r="A37" s="20" t="str">
        <f>'Agent Sched'!B38</f>
        <v>Michael Launio</v>
      </c>
      <c r="B37" s="12">
        <f>IFERROR(VLOOKUP(A37,'Agent Sched'!$B:$C,2,),"-")</f>
        <v>0.375</v>
      </c>
      <c r="C37" s="13">
        <f t="shared" si="7"/>
        <v>0.75</v>
      </c>
      <c r="D37" s="12">
        <f>IFERROR(VLOOKUP(A37,'Agent Sched'!B:D,3,),"-")</f>
        <v>0.375</v>
      </c>
      <c r="E37" s="13">
        <f t="shared" si="8"/>
        <v>0.75</v>
      </c>
      <c r="F37" s="12">
        <f>IFERROR(VLOOKUP(A37,'Agent Sched'!B:E,4,),"-")</f>
        <v>0.375</v>
      </c>
      <c r="G37" s="13">
        <f t="shared" si="9"/>
        <v>0.75</v>
      </c>
      <c r="H37" s="12">
        <f>IFERROR(VLOOKUP(A37,'Agent Sched'!B:F,5,),"-")</f>
        <v>0.375</v>
      </c>
      <c r="I37" s="13">
        <f t="shared" si="10"/>
        <v>0.75</v>
      </c>
      <c r="J37" s="12">
        <f>IFERROR(VLOOKUP(A37,'Agent Sched'!B:G,6,),"-")</f>
        <v>0.375</v>
      </c>
      <c r="K37" s="13">
        <f t="shared" si="11"/>
        <v>0.75</v>
      </c>
      <c r="L37" s="12" t="str">
        <f>IFERROR(VLOOKUP(A37,'Agent Sched'!B:H,7,),"-")</f>
        <v>OFF</v>
      </c>
      <c r="M37" s="13" t="str">
        <f t="shared" si="12"/>
        <v>OFF</v>
      </c>
      <c r="N37" s="21" t="str">
        <f>IFERROR(VLOOKUP(A37,'Agent Sched'!B:I,8,),"-")</f>
        <v>OFF</v>
      </c>
      <c r="O37" s="13" t="str">
        <f t="shared" si="13"/>
        <v>OFF</v>
      </c>
      <c r="Q37" s="12" t="str">
        <f>VLOOKUP(A37,'Agent Sched'!B:Y,24,)</f>
        <v>OFF</v>
      </c>
      <c r="R37" s="13" t="str">
        <f t="shared" si="14"/>
        <v>OFF</v>
      </c>
      <c r="T37" s="25">
        <f>VLOOKUP(A37,'Agent Sched'!$B:$J,9,)</f>
        <v>0.375</v>
      </c>
      <c r="U37" s="13">
        <f t="shared" si="15"/>
        <v>0.75</v>
      </c>
      <c r="V37" s="12">
        <f>VLOOKUP(A37,'Agent Sched'!B:K,10,)</f>
        <v>0.375</v>
      </c>
      <c r="W37" s="13">
        <f t="shared" si="16"/>
        <v>0.75</v>
      </c>
      <c r="X37" s="12">
        <f>VLOOKUP(A37,'Agent Sched'!B:L,11,)</f>
        <v>0.375</v>
      </c>
      <c r="Y37" s="13">
        <f t="shared" si="17"/>
        <v>0.75</v>
      </c>
      <c r="Z37" s="12">
        <f>VLOOKUP(A37,'Agent Sched'!B:M,12,)</f>
        <v>0.375</v>
      </c>
      <c r="AA37" s="13">
        <f t="shared" si="18"/>
        <v>0.75</v>
      </c>
      <c r="AB37" s="12">
        <f>VLOOKUP(A37,'Agent Sched'!B:N,13,)</f>
        <v>0.375</v>
      </c>
      <c r="AC37" s="13">
        <f t="shared" si="19"/>
        <v>0.75</v>
      </c>
      <c r="AD37" s="12" t="str">
        <f>VLOOKUP(A37,'Agent Sched'!B:O,14,)</f>
        <v>OFF</v>
      </c>
      <c r="AE37" s="13" t="str">
        <f t="shared" si="20"/>
        <v>OFF</v>
      </c>
      <c r="AF37" s="21" t="str">
        <f>VLOOKUP(A37,'Agent Sched'!B:P,15,)</f>
        <v>OFF</v>
      </c>
      <c r="AG37" s="13" t="str">
        <f t="shared" si="21"/>
        <v>OFF</v>
      </c>
      <c r="AI37" s="25">
        <f>VLOOKUP(A37,'Agent Sched'!$B:$Q,16,)</f>
        <v>0.375</v>
      </c>
      <c r="AJ37" s="13">
        <f t="shared" si="22"/>
        <v>0.75</v>
      </c>
      <c r="AK37" s="12">
        <f>VLOOKUP(A37,'Agent Sched'!B:R,17,)</f>
        <v>0.375</v>
      </c>
      <c r="AL37" s="13">
        <f t="shared" si="23"/>
        <v>0.75</v>
      </c>
      <c r="AM37" s="12">
        <f>VLOOKUP(A37,'Agent Sched'!B:S,18,)</f>
        <v>0.375</v>
      </c>
      <c r="AN37" s="13">
        <f t="shared" si="24"/>
        <v>0.75</v>
      </c>
      <c r="AO37" s="12">
        <f>VLOOKUP(A37,'Agent Sched'!B:T,19,)</f>
        <v>0.375</v>
      </c>
      <c r="AP37" s="13">
        <f t="shared" si="25"/>
        <v>0.75</v>
      </c>
      <c r="AQ37" s="12">
        <f>VLOOKUP(A37,'Agent Sched'!B:U,20,)</f>
        <v>0.375</v>
      </c>
      <c r="AR37" s="13">
        <f t="shared" si="26"/>
        <v>0.75</v>
      </c>
      <c r="AS37" s="12" t="str">
        <f>VLOOKUP(A37,'Agent Sched'!B:V,21,)</f>
        <v>OFF</v>
      </c>
      <c r="AT37" s="13" t="str">
        <f t="shared" si="27"/>
        <v>OFF</v>
      </c>
      <c r="AU37" s="21" t="str">
        <f>VLOOKUP(A37,'Agent Sched'!B:W,22,)</f>
        <v>OFF</v>
      </c>
      <c r="AV37" s="13" t="str">
        <f t="shared" si="28"/>
        <v>OFF</v>
      </c>
    </row>
    <row r="38" spans="1:48" x14ac:dyDescent="0.25">
      <c r="A38" s="20" t="str">
        <f>'Agent Sched'!B39</f>
        <v>Ma Joanne Girado Garcia</v>
      </c>
      <c r="B38" s="12">
        <f>IFERROR(VLOOKUP(A38,'Agent Sched'!$B:$C,2,),"-")</f>
        <v>0.375</v>
      </c>
      <c r="C38" s="13">
        <f t="shared" si="7"/>
        <v>0.75</v>
      </c>
      <c r="D38" s="12">
        <f>IFERROR(VLOOKUP(A38,'Agent Sched'!B:D,3,),"-")</f>
        <v>0.375</v>
      </c>
      <c r="E38" s="13">
        <f t="shared" si="8"/>
        <v>0.75</v>
      </c>
      <c r="F38" s="12">
        <f>IFERROR(VLOOKUP(A38,'Agent Sched'!B:E,4,),"-")</f>
        <v>0.375</v>
      </c>
      <c r="G38" s="13">
        <f t="shared" si="9"/>
        <v>0.75</v>
      </c>
      <c r="H38" s="12">
        <f>IFERROR(VLOOKUP(A38,'Agent Sched'!B:F,5,),"-")</f>
        <v>0.375</v>
      </c>
      <c r="I38" s="13">
        <f t="shared" si="10"/>
        <v>0.75</v>
      </c>
      <c r="J38" s="12">
        <f>IFERROR(VLOOKUP(A38,'Agent Sched'!B:G,6,),"-")</f>
        <v>0.375</v>
      </c>
      <c r="K38" s="13">
        <f t="shared" si="11"/>
        <v>0.75</v>
      </c>
      <c r="L38" s="12" t="str">
        <f>IFERROR(VLOOKUP(A38,'Agent Sched'!B:H,7,),"-")</f>
        <v>OFF</v>
      </c>
      <c r="M38" s="13" t="str">
        <f t="shared" si="12"/>
        <v>OFF</v>
      </c>
      <c r="N38" s="21" t="str">
        <f>IFERROR(VLOOKUP(A38,'Agent Sched'!B:I,8,),"-")</f>
        <v>OFF</v>
      </c>
      <c r="O38" s="13" t="str">
        <f t="shared" si="13"/>
        <v>OFF</v>
      </c>
      <c r="Q38" s="12" t="str">
        <f>VLOOKUP(A38,'Agent Sched'!B:Y,24,)</f>
        <v>OFF</v>
      </c>
      <c r="R38" s="13" t="str">
        <f t="shared" si="14"/>
        <v>OFF</v>
      </c>
      <c r="T38" s="25">
        <f>VLOOKUP(A38,'Agent Sched'!$B:$J,9,)</f>
        <v>0.375</v>
      </c>
      <c r="U38" s="13">
        <f t="shared" si="15"/>
        <v>0.75</v>
      </c>
      <c r="V38" s="12">
        <f>VLOOKUP(A38,'Agent Sched'!B:K,10,)</f>
        <v>0.375</v>
      </c>
      <c r="W38" s="13">
        <f t="shared" si="16"/>
        <v>0.75</v>
      </c>
      <c r="X38" s="12">
        <f>VLOOKUP(A38,'Agent Sched'!B:L,11,)</f>
        <v>0.375</v>
      </c>
      <c r="Y38" s="13">
        <f t="shared" si="17"/>
        <v>0.75</v>
      </c>
      <c r="Z38" s="12">
        <f>VLOOKUP(A38,'Agent Sched'!B:M,12,)</f>
        <v>0.375</v>
      </c>
      <c r="AA38" s="13">
        <f t="shared" si="18"/>
        <v>0.75</v>
      </c>
      <c r="AB38" s="12">
        <f>VLOOKUP(A38,'Agent Sched'!B:N,13,)</f>
        <v>0.375</v>
      </c>
      <c r="AC38" s="13">
        <f t="shared" si="19"/>
        <v>0.75</v>
      </c>
      <c r="AD38" s="12" t="str">
        <f>VLOOKUP(A38,'Agent Sched'!B:O,14,)</f>
        <v>OFF</v>
      </c>
      <c r="AE38" s="13" t="str">
        <f t="shared" si="20"/>
        <v>OFF</v>
      </c>
      <c r="AF38" s="21" t="str">
        <f>VLOOKUP(A38,'Agent Sched'!B:P,15,)</f>
        <v>OFF</v>
      </c>
      <c r="AG38" s="13" t="str">
        <f t="shared" si="21"/>
        <v>OFF</v>
      </c>
      <c r="AI38" s="25">
        <f>VLOOKUP(A38,'Agent Sched'!$B:$Q,16,)</f>
        <v>0.375</v>
      </c>
      <c r="AJ38" s="13">
        <f t="shared" si="22"/>
        <v>0.75</v>
      </c>
      <c r="AK38" s="12">
        <f>VLOOKUP(A38,'Agent Sched'!B:R,17,)</f>
        <v>0.375</v>
      </c>
      <c r="AL38" s="13">
        <f t="shared" si="23"/>
        <v>0.75</v>
      </c>
      <c r="AM38" s="12">
        <f>VLOOKUP(A38,'Agent Sched'!B:S,18,)</f>
        <v>0.375</v>
      </c>
      <c r="AN38" s="13">
        <f t="shared" si="24"/>
        <v>0.75</v>
      </c>
      <c r="AO38" s="12">
        <f>VLOOKUP(A38,'Agent Sched'!B:T,19,)</f>
        <v>0.375</v>
      </c>
      <c r="AP38" s="13">
        <f t="shared" si="25"/>
        <v>0.75</v>
      </c>
      <c r="AQ38" s="12">
        <f>VLOOKUP(A38,'Agent Sched'!B:U,20,)</f>
        <v>0.375</v>
      </c>
      <c r="AR38" s="13">
        <f t="shared" si="26"/>
        <v>0.75</v>
      </c>
      <c r="AS38" s="12" t="str">
        <f>VLOOKUP(A38,'Agent Sched'!B:V,21,)</f>
        <v>OFF</v>
      </c>
      <c r="AT38" s="13" t="str">
        <f t="shared" si="27"/>
        <v>OFF</v>
      </c>
      <c r="AU38" s="21" t="str">
        <f>VLOOKUP(A38,'Agent Sched'!B:W,22,)</f>
        <v>OFF</v>
      </c>
      <c r="AV38" s="13" t="str">
        <f t="shared" si="28"/>
        <v>OFF</v>
      </c>
    </row>
    <row r="39" spans="1:48" x14ac:dyDescent="0.25">
      <c r="A39" s="20">
        <f>'Agent Sched'!B40</f>
        <v>0</v>
      </c>
      <c r="B39" s="12" t="str">
        <f>IFERROR(VLOOKUP(A39,'Agent Sched'!$B:$C,2,),"-")</f>
        <v>-</v>
      </c>
      <c r="C39" s="13" t="str">
        <f t="shared" si="7"/>
        <v>-</v>
      </c>
      <c r="D39" s="12" t="str">
        <f>IFERROR(VLOOKUP(A39,'Agent Sched'!B:D,3,),"-")</f>
        <v>-</v>
      </c>
      <c r="E39" s="13" t="str">
        <f t="shared" si="8"/>
        <v>-</v>
      </c>
      <c r="F39" s="12" t="str">
        <f>IFERROR(VLOOKUP(A39,'Agent Sched'!B:E,4,),"-")</f>
        <v>-</v>
      </c>
      <c r="G39" s="13" t="str">
        <f t="shared" si="9"/>
        <v>-</v>
      </c>
      <c r="H39" s="12" t="str">
        <f>IFERROR(VLOOKUP(A39,'Agent Sched'!B:F,5,),"-")</f>
        <v>-</v>
      </c>
      <c r="I39" s="13" t="str">
        <f t="shared" si="10"/>
        <v>-</v>
      </c>
      <c r="J39" s="12" t="str">
        <f>IFERROR(VLOOKUP(A39,'Agent Sched'!B:G,6,),"-")</f>
        <v>-</v>
      </c>
      <c r="K39" s="13" t="str">
        <f t="shared" si="11"/>
        <v>-</v>
      </c>
      <c r="L39" s="12" t="str">
        <f>IFERROR(VLOOKUP(A39,'Agent Sched'!B:H,7,),"-")</f>
        <v>-</v>
      </c>
      <c r="M39" s="13" t="str">
        <f t="shared" si="12"/>
        <v>-</v>
      </c>
      <c r="N39" s="21" t="str">
        <f>IFERROR(VLOOKUP(A39,'Agent Sched'!B:I,8,),"-")</f>
        <v>-</v>
      </c>
      <c r="O39" s="13" t="str">
        <f t="shared" si="13"/>
        <v>-</v>
      </c>
      <c r="Q39" s="12" t="e">
        <f>VLOOKUP(A39,'Agent Sched'!B:Y,24,)</f>
        <v>#N/A</v>
      </c>
      <c r="R39" s="13" t="str">
        <f t="shared" si="14"/>
        <v>-</v>
      </c>
      <c r="T39" s="25" t="e">
        <f>VLOOKUP(A39,'Agent Sched'!$B:$J,9,)</f>
        <v>#N/A</v>
      </c>
      <c r="U39" s="13" t="str">
        <f t="shared" si="15"/>
        <v>-</v>
      </c>
      <c r="V39" s="12" t="e">
        <f>VLOOKUP(A39,'Agent Sched'!B:K,10,)</f>
        <v>#N/A</v>
      </c>
      <c r="W39" s="13" t="str">
        <f t="shared" si="16"/>
        <v>-</v>
      </c>
      <c r="X39" s="12" t="e">
        <f>VLOOKUP(A39,'Agent Sched'!B:L,11,)</f>
        <v>#N/A</v>
      </c>
      <c r="Y39" s="13" t="str">
        <f t="shared" si="17"/>
        <v>-</v>
      </c>
      <c r="Z39" s="12" t="e">
        <f>VLOOKUP(A39,'Agent Sched'!B:M,12,)</f>
        <v>#N/A</v>
      </c>
      <c r="AA39" s="13" t="str">
        <f t="shared" si="18"/>
        <v>-</v>
      </c>
      <c r="AB39" s="12" t="e">
        <f>VLOOKUP(A39,'Agent Sched'!B:N,13,)</f>
        <v>#N/A</v>
      </c>
      <c r="AC39" s="13" t="str">
        <f t="shared" si="19"/>
        <v>-</v>
      </c>
      <c r="AD39" s="12" t="e">
        <f>VLOOKUP(A39,'Agent Sched'!B:O,14,)</f>
        <v>#N/A</v>
      </c>
      <c r="AE39" s="13" t="str">
        <f t="shared" si="20"/>
        <v>-</v>
      </c>
      <c r="AF39" s="21" t="e">
        <f>VLOOKUP(A39,'Agent Sched'!B:P,15,)</f>
        <v>#N/A</v>
      </c>
      <c r="AG39" s="13" t="str">
        <f t="shared" si="21"/>
        <v>-</v>
      </c>
      <c r="AI39" s="25" t="e">
        <f>VLOOKUP(A39,'Agent Sched'!$B:$Q,16,)</f>
        <v>#N/A</v>
      </c>
      <c r="AJ39" s="13" t="str">
        <f t="shared" si="22"/>
        <v>-</v>
      </c>
      <c r="AK39" s="12" t="e">
        <f>VLOOKUP(A39,'Agent Sched'!B:R,17,)</f>
        <v>#N/A</v>
      </c>
      <c r="AL39" s="13" t="str">
        <f t="shared" si="23"/>
        <v>-</v>
      </c>
      <c r="AM39" s="12" t="e">
        <f>VLOOKUP(A39,'Agent Sched'!B:S,18,)</f>
        <v>#N/A</v>
      </c>
      <c r="AN39" s="13" t="str">
        <f t="shared" si="24"/>
        <v>-</v>
      </c>
      <c r="AO39" s="12" t="e">
        <f>VLOOKUP(A39,'Agent Sched'!B:T,19,)</f>
        <v>#N/A</v>
      </c>
      <c r="AP39" s="13" t="str">
        <f t="shared" si="25"/>
        <v>-</v>
      </c>
      <c r="AQ39" s="12" t="e">
        <f>VLOOKUP(A39,'Agent Sched'!B:U,20,)</f>
        <v>#N/A</v>
      </c>
      <c r="AR39" s="13" t="str">
        <f t="shared" si="26"/>
        <v>-</v>
      </c>
      <c r="AS39" s="12" t="e">
        <f>VLOOKUP(A39,'Agent Sched'!B:V,21,)</f>
        <v>#N/A</v>
      </c>
      <c r="AT39" s="13" t="str">
        <f t="shared" si="27"/>
        <v>-</v>
      </c>
      <c r="AU39" s="21" t="e">
        <f>VLOOKUP(A39,'Agent Sched'!B:W,22,)</f>
        <v>#N/A</v>
      </c>
      <c r="AV39" s="13" t="str">
        <f t="shared" si="28"/>
        <v>-</v>
      </c>
    </row>
    <row r="40" spans="1:48" x14ac:dyDescent="0.25">
      <c r="A40" s="20" t="str">
        <f>'Agent Sched'!B41</f>
        <v>Lemarie Garcia  Aldaba</v>
      </c>
      <c r="B40" s="12">
        <f>IFERROR(VLOOKUP(A40,'Agent Sched'!$B:$C,2,),"-")</f>
        <v>0.5</v>
      </c>
      <c r="C40" s="13">
        <f t="shared" si="7"/>
        <v>0.875</v>
      </c>
      <c r="D40" s="12" t="str">
        <f>IFERROR(VLOOKUP(A40,'Agent Sched'!B:D,3,),"-")</f>
        <v>OFF</v>
      </c>
      <c r="E40" s="13" t="str">
        <f t="shared" si="8"/>
        <v>OFF</v>
      </c>
      <c r="F40" s="12">
        <f>IFERROR(VLOOKUP(A40,'Agent Sched'!B:E,4,),"-")</f>
        <v>0.5</v>
      </c>
      <c r="G40" s="13">
        <f t="shared" si="9"/>
        <v>0.875</v>
      </c>
      <c r="H40" s="12">
        <f>IFERROR(VLOOKUP(A40,'Agent Sched'!B:F,5,),"-")</f>
        <v>0.5</v>
      </c>
      <c r="I40" s="13">
        <f t="shared" si="10"/>
        <v>0.875</v>
      </c>
      <c r="J40" s="12" t="str">
        <f>IFERROR(VLOOKUP(A40,'Agent Sched'!B:G,6,),"-")</f>
        <v>OFF</v>
      </c>
      <c r="K40" s="13" t="str">
        <f t="shared" si="11"/>
        <v>OFF</v>
      </c>
      <c r="L40" s="12">
        <f>IFERROR(VLOOKUP(A40,'Agent Sched'!B:H,7,),"-")</f>
        <v>0.5</v>
      </c>
      <c r="M40" s="13">
        <f t="shared" si="12"/>
        <v>0.875</v>
      </c>
      <c r="N40" s="21">
        <f>IFERROR(VLOOKUP(A40,'Agent Sched'!B:I,8,),"-")</f>
        <v>0.5</v>
      </c>
      <c r="O40" s="13">
        <f t="shared" si="13"/>
        <v>0.875</v>
      </c>
      <c r="Q40" s="12">
        <f>VLOOKUP(A40,'Agent Sched'!B:Y,24,)</f>
        <v>0.5</v>
      </c>
      <c r="R40" s="13">
        <f t="shared" si="14"/>
        <v>0.875</v>
      </c>
      <c r="T40" s="25">
        <f>VLOOKUP(A40,'Agent Sched'!$B:$J,9,)</f>
        <v>0.5</v>
      </c>
      <c r="U40" s="13">
        <f t="shared" si="15"/>
        <v>0.875</v>
      </c>
      <c r="V40" s="12">
        <f>VLOOKUP(A40,'Agent Sched'!B:K,10,)</f>
        <v>0.5</v>
      </c>
      <c r="W40" s="13">
        <f t="shared" si="16"/>
        <v>0.875</v>
      </c>
      <c r="X40" s="12">
        <f>VLOOKUP(A40,'Agent Sched'!B:L,11,)</f>
        <v>0.5</v>
      </c>
      <c r="Y40" s="13">
        <f t="shared" si="17"/>
        <v>0.875</v>
      </c>
      <c r="Z40" s="12" t="str">
        <f>VLOOKUP(A40,'Agent Sched'!B:M,12,)</f>
        <v>OFF</v>
      </c>
      <c r="AA40" s="13" t="str">
        <f t="shared" si="18"/>
        <v>OFF</v>
      </c>
      <c r="AB40" s="12" t="str">
        <f>VLOOKUP(A40,'Agent Sched'!B:N,13,)</f>
        <v>OFF</v>
      </c>
      <c r="AC40" s="13" t="str">
        <f t="shared" si="19"/>
        <v>OFF</v>
      </c>
      <c r="AD40" s="12">
        <f>VLOOKUP(A40,'Agent Sched'!B:O,14,)</f>
        <v>0.5</v>
      </c>
      <c r="AE40" s="13">
        <f t="shared" si="20"/>
        <v>0.875</v>
      </c>
      <c r="AF40" s="21">
        <f>VLOOKUP(A40,'Agent Sched'!B:P,15,)</f>
        <v>0.5</v>
      </c>
      <c r="AG40" s="13">
        <f t="shared" si="21"/>
        <v>0.875</v>
      </c>
      <c r="AI40" s="25">
        <f>VLOOKUP(A40,'Agent Sched'!$B:$Q,16,)</f>
        <v>0.5</v>
      </c>
      <c r="AJ40" s="13">
        <f t="shared" si="22"/>
        <v>0.875</v>
      </c>
      <c r="AK40" s="12">
        <f>VLOOKUP(A40,'Agent Sched'!B:R,17,)</f>
        <v>0.5</v>
      </c>
      <c r="AL40" s="13">
        <f t="shared" si="23"/>
        <v>0.875</v>
      </c>
      <c r="AM40" s="12">
        <f>VLOOKUP(A40,'Agent Sched'!B:S,18,)</f>
        <v>0.5</v>
      </c>
      <c r="AN40" s="13">
        <f t="shared" si="24"/>
        <v>0.875</v>
      </c>
      <c r="AO40" s="12" t="str">
        <f>VLOOKUP(A40,'Agent Sched'!B:T,19,)</f>
        <v>OFF</v>
      </c>
      <c r="AP40" s="13" t="str">
        <f t="shared" si="25"/>
        <v>OFF</v>
      </c>
      <c r="AQ40" s="12" t="str">
        <f>VLOOKUP(A40,'Agent Sched'!B:U,20,)</f>
        <v>OFF</v>
      </c>
      <c r="AR40" s="13" t="str">
        <f t="shared" si="26"/>
        <v>OFF</v>
      </c>
      <c r="AS40" s="12">
        <f>VLOOKUP(A40,'Agent Sched'!B:V,21,)</f>
        <v>0.5</v>
      </c>
      <c r="AT40" s="13">
        <f t="shared" si="27"/>
        <v>0.875</v>
      </c>
      <c r="AU40" s="21">
        <f>VLOOKUP(A40,'Agent Sched'!B:W,22,)</f>
        <v>0.5</v>
      </c>
      <c r="AV40" s="13">
        <f t="shared" si="28"/>
        <v>0.875</v>
      </c>
    </row>
    <row r="41" spans="1:48" x14ac:dyDescent="0.25">
      <c r="A41" s="20" t="str">
        <f>'Agent Sched'!B42</f>
        <v>John Casper Villegas</v>
      </c>
      <c r="B41" s="12" t="str">
        <f>IFERROR(VLOOKUP(A41,'Agent Sched'!$B:$C,2,),"-")</f>
        <v>OFF</v>
      </c>
      <c r="C41" s="13" t="str">
        <f t="shared" si="7"/>
        <v>OFF</v>
      </c>
      <c r="D41" s="12" t="str">
        <f>IFERROR(VLOOKUP(A41,'Agent Sched'!B:D,3,),"-")</f>
        <v>OFF</v>
      </c>
      <c r="E41" s="13" t="str">
        <f t="shared" si="8"/>
        <v>OFF</v>
      </c>
      <c r="F41" s="12" t="str">
        <f>IFERROR(VLOOKUP(A41,'Agent Sched'!B:E,4,),"-")</f>
        <v>OFF</v>
      </c>
      <c r="G41" s="13" t="str">
        <f t="shared" si="9"/>
        <v>OFF</v>
      </c>
      <c r="H41" s="12" t="str">
        <f>IFERROR(VLOOKUP(A41,'Agent Sched'!B:F,5,),"-")</f>
        <v>OFF</v>
      </c>
      <c r="I41" s="13" t="str">
        <f t="shared" si="10"/>
        <v>OFF</v>
      </c>
      <c r="J41" s="12" t="str">
        <f>IFERROR(VLOOKUP(A41,'Agent Sched'!B:G,6,),"-")</f>
        <v>OFF</v>
      </c>
      <c r="K41" s="13" t="str">
        <f t="shared" si="11"/>
        <v>OFF</v>
      </c>
      <c r="L41" s="12" t="str">
        <f>IFERROR(VLOOKUP(A41,'Agent Sched'!B:H,7,),"-")</f>
        <v>OFF</v>
      </c>
      <c r="M41" s="13" t="str">
        <f t="shared" si="12"/>
        <v>OFF</v>
      </c>
      <c r="N41" s="21" t="str">
        <f>IFERROR(VLOOKUP(A41,'Agent Sched'!B:I,8,),"-")</f>
        <v>OFF</v>
      </c>
      <c r="O41" s="13" t="str">
        <f t="shared" si="13"/>
        <v>OFF</v>
      </c>
      <c r="Q41" s="12" t="str">
        <f>VLOOKUP(A41,'Agent Sched'!B:Y,24,)</f>
        <v>OFF</v>
      </c>
      <c r="R41" s="13" t="str">
        <f t="shared" si="14"/>
        <v>OFF</v>
      </c>
      <c r="T41" s="25" t="str">
        <f>VLOOKUP(A41,'Agent Sched'!$B:$J,9,)</f>
        <v>OFF</v>
      </c>
      <c r="U41" s="13" t="str">
        <f t="shared" si="15"/>
        <v>OFF</v>
      </c>
      <c r="V41" s="12" t="str">
        <f>VLOOKUP(A41,'Agent Sched'!B:K,10,)</f>
        <v>OFF</v>
      </c>
      <c r="W41" s="13" t="str">
        <f t="shared" si="16"/>
        <v>OFF</v>
      </c>
      <c r="X41" s="12" t="str">
        <f>VLOOKUP(A41,'Agent Sched'!B:L,11,)</f>
        <v>OFF</v>
      </c>
      <c r="Y41" s="13" t="str">
        <f t="shared" si="17"/>
        <v>OFF</v>
      </c>
      <c r="Z41" s="12" t="str">
        <f>VLOOKUP(A41,'Agent Sched'!B:M,12,)</f>
        <v>OFF</v>
      </c>
      <c r="AA41" s="13" t="str">
        <f t="shared" si="18"/>
        <v>OFF</v>
      </c>
      <c r="AB41" s="12" t="str">
        <f>VLOOKUP(A41,'Agent Sched'!B:N,13,)</f>
        <v>OFF</v>
      </c>
      <c r="AC41" s="13" t="str">
        <f t="shared" si="19"/>
        <v>OFF</v>
      </c>
      <c r="AD41" s="12" t="str">
        <f>VLOOKUP(A41,'Agent Sched'!B:O,14,)</f>
        <v>OFF</v>
      </c>
      <c r="AE41" s="13" t="str">
        <f t="shared" si="20"/>
        <v>OFF</v>
      </c>
      <c r="AF41" s="21" t="str">
        <f>VLOOKUP(A41,'Agent Sched'!B:P,15,)</f>
        <v>OFF</v>
      </c>
      <c r="AG41" s="13" t="str">
        <f t="shared" si="21"/>
        <v>OFF</v>
      </c>
      <c r="AI41" s="25" t="str">
        <f>VLOOKUP(A41,'Agent Sched'!$B:$Q,16,)</f>
        <v>OFF</v>
      </c>
      <c r="AJ41" s="13" t="str">
        <f t="shared" si="22"/>
        <v>OFF</v>
      </c>
      <c r="AK41" s="12" t="str">
        <f>VLOOKUP(A41,'Agent Sched'!B:R,17,)</f>
        <v>OFF</v>
      </c>
      <c r="AL41" s="13" t="str">
        <f t="shared" si="23"/>
        <v>OFF</v>
      </c>
      <c r="AM41" s="12" t="str">
        <f>VLOOKUP(A41,'Agent Sched'!B:S,18,)</f>
        <v>OFF</v>
      </c>
      <c r="AN41" s="13" t="str">
        <f t="shared" si="24"/>
        <v>OFF</v>
      </c>
      <c r="AO41" s="12" t="str">
        <f>VLOOKUP(A41,'Agent Sched'!B:T,19,)</f>
        <v>OFF</v>
      </c>
      <c r="AP41" s="13" t="str">
        <f t="shared" si="25"/>
        <v>OFF</v>
      </c>
      <c r="AQ41" s="12" t="str">
        <f>VLOOKUP(A41,'Agent Sched'!B:U,20,)</f>
        <v>OFF</v>
      </c>
      <c r="AR41" s="13" t="str">
        <f t="shared" si="26"/>
        <v>OFF</v>
      </c>
      <c r="AS41" s="12" t="str">
        <f>VLOOKUP(A41,'Agent Sched'!B:V,21,)</f>
        <v>OFF</v>
      </c>
      <c r="AT41" s="13" t="str">
        <f t="shared" si="27"/>
        <v>OFF</v>
      </c>
      <c r="AU41" s="21" t="str">
        <f>VLOOKUP(A41,'Agent Sched'!B:W,22,)</f>
        <v>OFF</v>
      </c>
      <c r="AV41" s="13" t="str">
        <f t="shared" si="28"/>
        <v>OFF</v>
      </c>
    </row>
    <row r="42" spans="1:48" x14ac:dyDescent="0.25">
      <c r="A42" s="20" t="str">
        <f>'Agent Sched'!B43</f>
        <v>Kyla Tacuyan</v>
      </c>
      <c r="B42" s="12">
        <f>IFERROR(VLOOKUP(A42,'Agent Sched'!$B:$C,2,),"-")</f>
        <v>0.5</v>
      </c>
      <c r="C42" s="13">
        <f t="shared" si="7"/>
        <v>0.875</v>
      </c>
      <c r="D42" s="12" t="str">
        <f>IFERROR(VLOOKUP(A42,'Agent Sched'!B:D,3,),"-")</f>
        <v>OFF</v>
      </c>
      <c r="E42" s="13" t="str">
        <f t="shared" si="8"/>
        <v>OFF</v>
      </c>
      <c r="F42" s="12">
        <f>IFERROR(VLOOKUP(A42,'Agent Sched'!B:E,4,),"-")</f>
        <v>0.5</v>
      </c>
      <c r="G42" s="13">
        <f t="shared" si="9"/>
        <v>0.875</v>
      </c>
      <c r="H42" s="12">
        <f>IFERROR(VLOOKUP(A42,'Agent Sched'!B:F,5,),"-")</f>
        <v>0.5</v>
      </c>
      <c r="I42" s="13">
        <f t="shared" si="10"/>
        <v>0.875</v>
      </c>
      <c r="J42" s="12" t="str">
        <f>IFERROR(VLOOKUP(A42,'Agent Sched'!B:G,6,),"-")</f>
        <v>OFF</v>
      </c>
      <c r="K42" s="13" t="str">
        <f t="shared" si="11"/>
        <v>OFF</v>
      </c>
      <c r="L42" s="12">
        <f>IFERROR(VLOOKUP(A42,'Agent Sched'!B:H,7,),"-")</f>
        <v>0.5</v>
      </c>
      <c r="M42" s="13">
        <f t="shared" si="12"/>
        <v>0.875</v>
      </c>
      <c r="N42" s="21">
        <f>IFERROR(VLOOKUP(A42,'Agent Sched'!B:I,8,),"-")</f>
        <v>0.5</v>
      </c>
      <c r="O42" s="13">
        <f t="shared" si="13"/>
        <v>0.875</v>
      </c>
      <c r="Q42" s="12">
        <f>VLOOKUP(A42,'Agent Sched'!B:Y,24,)</f>
        <v>0.5</v>
      </c>
      <c r="R42" s="13">
        <f t="shared" si="14"/>
        <v>0.875</v>
      </c>
      <c r="T42" s="25">
        <f>VLOOKUP(A42,'Agent Sched'!$B:$J,9,)</f>
        <v>0.5</v>
      </c>
      <c r="U42" s="13">
        <f t="shared" si="15"/>
        <v>0.875</v>
      </c>
      <c r="V42" s="12">
        <f>VLOOKUP(A42,'Agent Sched'!B:K,10,)</f>
        <v>0.5</v>
      </c>
      <c r="W42" s="13">
        <f t="shared" si="16"/>
        <v>0.875</v>
      </c>
      <c r="X42" s="12">
        <f>VLOOKUP(A42,'Agent Sched'!B:L,11,)</f>
        <v>0.5</v>
      </c>
      <c r="Y42" s="13">
        <f t="shared" si="17"/>
        <v>0.875</v>
      </c>
      <c r="Z42" s="12" t="str">
        <f>VLOOKUP(A42,'Agent Sched'!B:M,12,)</f>
        <v>OFF</v>
      </c>
      <c r="AA42" s="13" t="str">
        <f t="shared" si="18"/>
        <v>OFF</v>
      </c>
      <c r="AB42" s="12" t="str">
        <f>VLOOKUP(A42,'Agent Sched'!B:N,13,)</f>
        <v>OFF</v>
      </c>
      <c r="AC42" s="13" t="str">
        <f t="shared" si="19"/>
        <v>OFF</v>
      </c>
      <c r="AD42" s="12">
        <f>VLOOKUP(A42,'Agent Sched'!B:O,14,)</f>
        <v>0.5</v>
      </c>
      <c r="AE42" s="13">
        <f t="shared" si="20"/>
        <v>0.875</v>
      </c>
      <c r="AF42" s="21">
        <f>VLOOKUP(A42,'Agent Sched'!B:P,15,)</f>
        <v>0.5</v>
      </c>
      <c r="AG42" s="13">
        <f t="shared" si="21"/>
        <v>0.875</v>
      </c>
      <c r="AI42" s="25">
        <f>VLOOKUP(A42,'Agent Sched'!$B:$Q,16,)</f>
        <v>0.5</v>
      </c>
      <c r="AJ42" s="13">
        <f t="shared" si="22"/>
        <v>0.875</v>
      </c>
      <c r="AK42" s="12">
        <f>VLOOKUP(A42,'Agent Sched'!B:R,17,)</f>
        <v>0.5</v>
      </c>
      <c r="AL42" s="13">
        <f t="shared" si="23"/>
        <v>0.875</v>
      </c>
      <c r="AM42" s="12">
        <f>VLOOKUP(A42,'Agent Sched'!B:S,18,)</f>
        <v>0.5</v>
      </c>
      <c r="AN42" s="13">
        <f t="shared" si="24"/>
        <v>0.875</v>
      </c>
      <c r="AO42" s="12" t="str">
        <f>VLOOKUP(A42,'Agent Sched'!B:T,19,)</f>
        <v>OFF</v>
      </c>
      <c r="AP42" s="13" t="str">
        <f t="shared" si="25"/>
        <v>OFF</v>
      </c>
      <c r="AQ42" s="12" t="str">
        <f>VLOOKUP(A42,'Agent Sched'!B:U,20,)</f>
        <v>OFF</v>
      </c>
      <c r="AR42" s="13" t="str">
        <f t="shared" si="26"/>
        <v>OFF</v>
      </c>
      <c r="AS42" s="12">
        <f>VLOOKUP(A42,'Agent Sched'!B:V,21,)</f>
        <v>0.5</v>
      </c>
      <c r="AT42" s="13">
        <f t="shared" si="27"/>
        <v>0.875</v>
      </c>
      <c r="AU42" s="21">
        <f>VLOOKUP(A42,'Agent Sched'!B:W,22,)</f>
        <v>0.5</v>
      </c>
      <c r="AV42" s="13">
        <f t="shared" si="28"/>
        <v>0.875</v>
      </c>
    </row>
    <row r="43" spans="1:48" x14ac:dyDescent="0.25">
      <c r="A43" s="20" t="str">
        <f>'Agent Sched'!B44</f>
        <v>Albert Cerdaña</v>
      </c>
      <c r="B43" s="12" t="str">
        <f>IFERROR(VLOOKUP(A43,'Agent Sched'!$B:$C,2,),"-")</f>
        <v>OFF</v>
      </c>
      <c r="C43" s="13" t="str">
        <f t="shared" si="7"/>
        <v>OFF</v>
      </c>
      <c r="D43" s="12" t="str">
        <f>IFERROR(VLOOKUP(A43,'Agent Sched'!B:D,3,),"-")</f>
        <v>OFF</v>
      </c>
      <c r="E43" s="13" t="str">
        <f t="shared" si="8"/>
        <v>OFF</v>
      </c>
      <c r="F43" s="12" t="str">
        <f>IFERROR(VLOOKUP(A43,'Agent Sched'!B:E,4,),"-")</f>
        <v>OFF</v>
      </c>
      <c r="G43" s="13" t="str">
        <f t="shared" si="9"/>
        <v>OFF</v>
      </c>
      <c r="H43" s="12" t="str">
        <f>IFERROR(VLOOKUP(A43,'Agent Sched'!B:F,5,),"-")</f>
        <v>OFF</v>
      </c>
      <c r="I43" s="13" t="str">
        <f t="shared" si="10"/>
        <v>OFF</v>
      </c>
      <c r="J43" s="12" t="str">
        <f>IFERROR(VLOOKUP(A43,'Agent Sched'!B:G,6,),"-")</f>
        <v>OFF</v>
      </c>
      <c r="K43" s="13" t="str">
        <f t="shared" si="11"/>
        <v>OFF</v>
      </c>
      <c r="L43" s="12" t="str">
        <f>IFERROR(VLOOKUP(A43,'Agent Sched'!B:H,7,),"-")</f>
        <v>OFF</v>
      </c>
      <c r="M43" s="13" t="str">
        <f t="shared" si="12"/>
        <v>OFF</v>
      </c>
      <c r="N43" s="21" t="str">
        <f>IFERROR(VLOOKUP(A43,'Agent Sched'!B:I,8,),"-")</f>
        <v>OFF</v>
      </c>
      <c r="O43" s="13" t="str">
        <f t="shared" si="13"/>
        <v>OFF</v>
      </c>
      <c r="Q43" s="12" t="str">
        <f>VLOOKUP(A43,'Agent Sched'!B:Y,24,)</f>
        <v>OFF</v>
      </c>
      <c r="R43" s="13" t="str">
        <f t="shared" si="14"/>
        <v>OFF</v>
      </c>
      <c r="T43" s="25" t="str">
        <f>VLOOKUP(A43,'Agent Sched'!$B:$J,9,)</f>
        <v>OFF</v>
      </c>
      <c r="U43" s="13" t="str">
        <f t="shared" si="15"/>
        <v>OFF</v>
      </c>
      <c r="V43" s="12" t="str">
        <f>VLOOKUP(A43,'Agent Sched'!B:K,10,)</f>
        <v>OFF</v>
      </c>
      <c r="W43" s="13" t="str">
        <f t="shared" si="16"/>
        <v>OFF</v>
      </c>
      <c r="X43" s="12" t="str">
        <f>VLOOKUP(A43,'Agent Sched'!B:L,11,)</f>
        <v>OFF</v>
      </c>
      <c r="Y43" s="13" t="str">
        <f t="shared" si="17"/>
        <v>OFF</v>
      </c>
      <c r="Z43" s="12" t="str">
        <f>VLOOKUP(A43,'Agent Sched'!B:M,12,)</f>
        <v>OFF</v>
      </c>
      <c r="AA43" s="13" t="str">
        <f t="shared" si="18"/>
        <v>OFF</v>
      </c>
      <c r="AB43" s="12" t="str">
        <f>VLOOKUP(A43,'Agent Sched'!B:N,13,)</f>
        <v>OFF</v>
      </c>
      <c r="AC43" s="13" t="str">
        <f t="shared" si="19"/>
        <v>OFF</v>
      </c>
      <c r="AD43" s="12" t="str">
        <f>VLOOKUP(A43,'Agent Sched'!B:O,14,)</f>
        <v>OFF</v>
      </c>
      <c r="AE43" s="13" t="str">
        <f t="shared" si="20"/>
        <v>OFF</v>
      </c>
      <c r="AF43" s="21" t="str">
        <f>VLOOKUP(A43,'Agent Sched'!B:P,15,)</f>
        <v>OFF</v>
      </c>
      <c r="AG43" s="13" t="str">
        <f t="shared" si="21"/>
        <v>OFF</v>
      </c>
      <c r="AI43" s="25" t="str">
        <f>VLOOKUP(A43,'Agent Sched'!$B:$Q,16,)</f>
        <v>OFF</v>
      </c>
      <c r="AJ43" s="13" t="str">
        <f t="shared" si="22"/>
        <v>OFF</v>
      </c>
      <c r="AK43" s="12" t="str">
        <f>VLOOKUP(A43,'Agent Sched'!B:R,17,)</f>
        <v>OFF</v>
      </c>
      <c r="AL43" s="13" t="str">
        <f t="shared" si="23"/>
        <v>OFF</v>
      </c>
      <c r="AM43" s="12" t="str">
        <f>VLOOKUP(A43,'Agent Sched'!B:S,18,)</f>
        <v>OFF</v>
      </c>
      <c r="AN43" s="13" t="str">
        <f t="shared" si="24"/>
        <v>OFF</v>
      </c>
      <c r="AO43" s="12" t="str">
        <f>VLOOKUP(A43,'Agent Sched'!B:T,19,)</f>
        <v>OFF</v>
      </c>
      <c r="AP43" s="13" t="str">
        <f t="shared" si="25"/>
        <v>OFF</v>
      </c>
      <c r="AQ43" s="12" t="str">
        <f>VLOOKUP(A43,'Agent Sched'!B:U,20,)</f>
        <v>OFF</v>
      </c>
      <c r="AR43" s="13" t="str">
        <f t="shared" si="26"/>
        <v>OFF</v>
      </c>
      <c r="AS43" s="12" t="str">
        <f>VLOOKUP(A43,'Agent Sched'!B:V,21,)</f>
        <v>OFF</v>
      </c>
      <c r="AT43" s="13" t="str">
        <f t="shared" si="27"/>
        <v>OFF</v>
      </c>
      <c r="AU43" s="21" t="str">
        <f>VLOOKUP(A43,'Agent Sched'!B:W,22,)</f>
        <v>OFF</v>
      </c>
      <c r="AV43" s="13" t="str">
        <f t="shared" si="28"/>
        <v>OFF</v>
      </c>
    </row>
    <row r="44" spans="1:48" x14ac:dyDescent="0.25">
      <c r="A44" s="20" t="str">
        <f>'Agent Sched'!B45</f>
        <v>Cassey Mhae Aniversario</v>
      </c>
      <c r="B44" s="12">
        <f>IFERROR(VLOOKUP(A44,'Agent Sched'!$B:$C,2,),"-")</f>
        <v>0.5</v>
      </c>
      <c r="C44" s="13">
        <f t="shared" si="7"/>
        <v>0.875</v>
      </c>
      <c r="D44" s="12" t="str">
        <f>IFERROR(VLOOKUP(A44,'Agent Sched'!B:D,3,),"-")</f>
        <v>OFF</v>
      </c>
      <c r="E44" s="13" t="str">
        <f t="shared" si="8"/>
        <v>OFF</v>
      </c>
      <c r="F44" s="12">
        <f>IFERROR(VLOOKUP(A44,'Agent Sched'!B:E,4,),"-")</f>
        <v>0.5</v>
      </c>
      <c r="G44" s="13">
        <f t="shared" si="9"/>
        <v>0.875</v>
      </c>
      <c r="H44" s="12">
        <f>IFERROR(VLOOKUP(A44,'Agent Sched'!B:F,5,),"-")</f>
        <v>0.5</v>
      </c>
      <c r="I44" s="13">
        <f t="shared" si="10"/>
        <v>0.875</v>
      </c>
      <c r="J44" s="12" t="str">
        <f>IFERROR(VLOOKUP(A44,'Agent Sched'!B:G,6,),"-")</f>
        <v>OFF</v>
      </c>
      <c r="K44" s="13" t="str">
        <f t="shared" si="11"/>
        <v>OFF</v>
      </c>
      <c r="L44" s="12">
        <f>IFERROR(VLOOKUP(A44,'Agent Sched'!B:H,7,),"-")</f>
        <v>0.5</v>
      </c>
      <c r="M44" s="13">
        <f t="shared" si="12"/>
        <v>0.875</v>
      </c>
      <c r="N44" s="21">
        <f>IFERROR(VLOOKUP(A44,'Agent Sched'!B:I,8,),"-")</f>
        <v>0.5</v>
      </c>
      <c r="O44" s="13">
        <f t="shared" si="13"/>
        <v>0.875</v>
      </c>
      <c r="Q44" s="12">
        <f>VLOOKUP(A44,'Agent Sched'!B:Y,24,)</f>
        <v>0.5</v>
      </c>
      <c r="R44" s="13">
        <f t="shared" si="14"/>
        <v>0.875</v>
      </c>
      <c r="T44" s="25">
        <f>VLOOKUP(A44,'Agent Sched'!$B:$J,9,)</f>
        <v>0.5</v>
      </c>
      <c r="U44" s="13">
        <f t="shared" si="15"/>
        <v>0.875</v>
      </c>
      <c r="V44" s="12">
        <f>VLOOKUP(A44,'Agent Sched'!B:K,10,)</f>
        <v>0.5</v>
      </c>
      <c r="W44" s="13">
        <f t="shared" si="16"/>
        <v>0.875</v>
      </c>
      <c r="X44" s="12">
        <f>VLOOKUP(A44,'Agent Sched'!B:L,11,)</f>
        <v>0.5</v>
      </c>
      <c r="Y44" s="13">
        <f t="shared" si="17"/>
        <v>0.875</v>
      </c>
      <c r="Z44" s="12" t="str">
        <f>VLOOKUP(A44,'Agent Sched'!B:M,12,)</f>
        <v>OFF</v>
      </c>
      <c r="AA44" s="13" t="str">
        <f t="shared" si="18"/>
        <v>OFF</v>
      </c>
      <c r="AB44" s="12" t="str">
        <f>VLOOKUP(A44,'Agent Sched'!B:N,13,)</f>
        <v>OFF</v>
      </c>
      <c r="AC44" s="13" t="str">
        <f t="shared" si="19"/>
        <v>OFF</v>
      </c>
      <c r="AD44" s="12">
        <f>VLOOKUP(A44,'Agent Sched'!B:O,14,)</f>
        <v>0.5</v>
      </c>
      <c r="AE44" s="13">
        <f t="shared" si="20"/>
        <v>0.875</v>
      </c>
      <c r="AF44" s="21">
        <f>VLOOKUP(A44,'Agent Sched'!B:P,15,)</f>
        <v>0.5</v>
      </c>
      <c r="AG44" s="13">
        <f t="shared" si="21"/>
        <v>0.875</v>
      </c>
      <c r="AI44" s="25">
        <f>VLOOKUP(A44,'Agent Sched'!$B:$Q,16,)</f>
        <v>0.5</v>
      </c>
      <c r="AJ44" s="13">
        <f t="shared" si="22"/>
        <v>0.875</v>
      </c>
      <c r="AK44" s="12">
        <f>VLOOKUP(A44,'Agent Sched'!B:R,17,)</f>
        <v>0.5</v>
      </c>
      <c r="AL44" s="13">
        <f t="shared" si="23"/>
        <v>0.875</v>
      </c>
      <c r="AM44" s="12">
        <f>VLOOKUP(A44,'Agent Sched'!B:S,18,)</f>
        <v>0.5</v>
      </c>
      <c r="AN44" s="13">
        <f t="shared" si="24"/>
        <v>0.875</v>
      </c>
      <c r="AO44" s="12" t="str">
        <f>VLOOKUP(A44,'Agent Sched'!B:T,19,)</f>
        <v>OFF</v>
      </c>
      <c r="AP44" s="13" t="str">
        <f t="shared" si="25"/>
        <v>OFF</v>
      </c>
      <c r="AQ44" s="12" t="str">
        <f>VLOOKUP(A44,'Agent Sched'!B:U,20,)</f>
        <v>OFF</v>
      </c>
      <c r="AR44" s="13" t="str">
        <f t="shared" si="26"/>
        <v>OFF</v>
      </c>
      <c r="AS44" s="12">
        <f>VLOOKUP(A44,'Agent Sched'!B:V,21,)</f>
        <v>0.5</v>
      </c>
      <c r="AT44" s="13">
        <f t="shared" si="27"/>
        <v>0.875</v>
      </c>
      <c r="AU44" s="21">
        <f>VLOOKUP(A44,'Agent Sched'!B:W,22,)</f>
        <v>0.5</v>
      </c>
      <c r="AV44" s="13">
        <f t="shared" si="28"/>
        <v>0.875</v>
      </c>
    </row>
    <row r="45" spans="1:48" x14ac:dyDescent="0.25">
      <c r="A45" s="20" t="str">
        <f>'Agent Sched'!B46</f>
        <v>Ruby Ann Besin</v>
      </c>
      <c r="B45" s="12">
        <f>IFERROR(VLOOKUP(A45,'Agent Sched'!$B:$C,2,),"-")</f>
        <v>0.5</v>
      </c>
      <c r="C45" s="13">
        <f t="shared" si="7"/>
        <v>0.875</v>
      </c>
      <c r="D45" s="12" t="str">
        <f>IFERROR(VLOOKUP(A45,'Agent Sched'!B:D,3,),"-")</f>
        <v>OFF</v>
      </c>
      <c r="E45" s="13" t="str">
        <f t="shared" si="8"/>
        <v>OFF</v>
      </c>
      <c r="F45" s="12">
        <f>IFERROR(VLOOKUP(A45,'Agent Sched'!B:E,4,),"-")</f>
        <v>0.5</v>
      </c>
      <c r="G45" s="13">
        <f t="shared" si="9"/>
        <v>0.875</v>
      </c>
      <c r="H45" s="12">
        <f>IFERROR(VLOOKUP(A45,'Agent Sched'!B:F,5,),"-")</f>
        <v>0.5</v>
      </c>
      <c r="I45" s="13">
        <f t="shared" si="10"/>
        <v>0.875</v>
      </c>
      <c r="J45" s="12" t="str">
        <f>IFERROR(VLOOKUP(A45,'Agent Sched'!B:G,6,),"-")</f>
        <v>OFF</v>
      </c>
      <c r="K45" s="13" t="str">
        <f t="shared" si="11"/>
        <v>OFF</v>
      </c>
      <c r="L45" s="12">
        <f>IFERROR(VLOOKUP(A45,'Agent Sched'!B:H,7,),"-")</f>
        <v>0.5</v>
      </c>
      <c r="M45" s="13">
        <f t="shared" si="12"/>
        <v>0.875</v>
      </c>
      <c r="N45" s="21">
        <f>IFERROR(VLOOKUP(A45,'Agent Sched'!B:I,8,),"-")</f>
        <v>0.5</v>
      </c>
      <c r="O45" s="13">
        <f t="shared" si="13"/>
        <v>0.875</v>
      </c>
      <c r="Q45" s="12">
        <f>VLOOKUP(A45,'Agent Sched'!B:Y,24,)</f>
        <v>0.5</v>
      </c>
      <c r="R45" s="13">
        <f t="shared" si="14"/>
        <v>0.875</v>
      </c>
      <c r="T45" s="25">
        <f>VLOOKUP(A45,'Agent Sched'!$B:$J,9,)</f>
        <v>0.5</v>
      </c>
      <c r="U45" s="13">
        <f t="shared" si="15"/>
        <v>0.875</v>
      </c>
      <c r="V45" s="12">
        <f>VLOOKUP(A45,'Agent Sched'!B:K,10,)</f>
        <v>0.5</v>
      </c>
      <c r="W45" s="13">
        <f t="shared" si="16"/>
        <v>0.875</v>
      </c>
      <c r="X45" s="12">
        <f>VLOOKUP(A45,'Agent Sched'!B:L,11,)</f>
        <v>0.5</v>
      </c>
      <c r="Y45" s="13">
        <f t="shared" si="17"/>
        <v>0.875</v>
      </c>
      <c r="Z45" s="12" t="str">
        <f>VLOOKUP(A45,'Agent Sched'!B:M,12,)</f>
        <v>OFF</v>
      </c>
      <c r="AA45" s="13" t="str">
        <f t="shared" si="18"/>
        <v>OFF</v>
      </c>
      <c r="AB45" s="12" t="str">
        <f>VLOOKUP(A45,'Agent Sched'!B:N,13,)</f>
        <v>OFF</v>
      </c>
      <c r="AC45" s="13" t="str">
        <f t="shared" si="19"/>
        <v>OFF</v>
      </c>
      <c r="AD45" s="12">
        <f>VLOOKUP(A45,'Agent Sched'!B:O,14,)</f>
        <v>0.5</v>
      </c>
      <c r="AE45" s="13">
        <f t="shared" si="20"/>
        <v>0.875</v>
      </c>
      <c r="AF45" s="21">
        <f>VLOOKUP(A45,'Agent Sched'!B:P,15,)</f>
        <v>0.5</v>
      </c>
      <c r="AG45" s="13">
        <f t="shared" si="21"/>
        <v>0.875</v>
      </c>
      <c r="AI45" s="25">
        <f>VLOOKUP(A45,'Agent Sched'!$B:$Q,16,)</f>
        <v>0.5</v>
      </c>
      <c r="AJ45" s="13">
        <f t="shared" si="22"/>
        <v>0.875</v>
      </c>
      <c r="AK45" s="12">
        <f>VLOOKUP(A45,'Agent Sched'!B:R,17,)</f>
        <v>0.5</v>
      </c>
      <c r="AL45" s="13">
        <f t="shared" si="23"/>
        <v>0.875</v>
      </c>
      <c r="AM45" s="12">
        <f>VLOOKUP(A45,'Agent Sched'!B:S,18,)</f>
        <v>0.5</v>
      </c>
      <c r="AN45" s="13">
        <f t="shared" si="24"/>
        <v>0.875</v>
      </c>
      <c r="AO45" s="12" t="str">
        <f>VLOOKUP(A45,'Agent Sched'!B:T,19,)</f>
        <v>OFF</v>
      </c>
      <c r="AP45" s="13" t="str">
        <f t="shared" si="25"/>
        <v>OFF</v>
      </c>
      <c r="AQ45" s="12" t="str">
        <f>VLOOKUP(A45,'Agent Sched'!B:U,20,)</f>
        <v>OFF</v>
      </c>
      <c r="AR45" s="13" t="str">
        <f t="shared" si="26"/>
        <v>OFF</v>
      </c>
      <c r="AS45" s="12">
        <f>VLOOKUP(A45,'Agent Sched'!B:V,21,)</f>
        <v>0.5</v>
      </c>
      <c r="AT45" s="13">
        <f t="shared" si="27"/>
        <v>0.875</v>
      </c>
      <c r="AU45" s="21">
        <f>VLOOKUP(A45,'Agent Sched'!B:W,22,)</f>
        <v>0.5</v>
      </c>
      <c r="AV45" s="13">
        <f t="shared" si="28"/>
        <v>0.875</v>
      </c>
    </row>
    <row r="46" spans="1:48" x14ac:dyDescent="0.25">
      <c r="A46" s="20" t="str">
        <f>'Agent Sched'!B47</f>
        <v>Yunus Ali Sangki</v>
      </c>
      <c r="B46" s="12">
        <f>IFERROR(VLOOKUP(A46,'Agent Sched'!$B:$C,2,),"-")</f>
        <v>0.5</v>
      </c>
      <c r="C46" s="13">
        <f t="shared" si="7"/>
        <v>0.875</v>
      </c>
      <c r="D46" s="12" t="str">
        <f>IFERROR(VLOOKUP(A46,'Agent Sched'!B:D,3,),"-")</f>
        <v>OFF</v>
      </c>
      <c r="E46" s="13" t="str">
        <f t="shared" si="8"/>
        <v>OFF</v>
      </c>
      <c r="F46" s="12">
        <f>IFERROR(VLOOKUP(A46,'Agent Sched'!B:E,4,),"-")</f>
        <v>0.5</v>
      </c>
      <c r="G46" s="13">
        <f t="shared" si="9"/>
        <v>0.875</v>
      </c>
      <c r="H46" s="12">
        <f>IFERROR(VLOOKUP(A46,'Agent Sched'!B:F,5,),"-")</f>
        <v>0.5</v>
      </c>
      <c r="I46" s="13">
        <f t="shared" si="10"/>
        <v>0.875</v>
      </c>
      <c r="J46" s="12" t="str">
        <f>IFERROR(VLOOKUP(A46,'Agent Sched'!B:G,6,),"-")</f>
        <v>OFF</v>
      </c>
      <c r="K46" s="13" t="str">
        <f t="shared" si="11"/>
        <v>OFF</v>
      </c>
      <c r="L46" s="12">
        <f>IFERROR(VLOOKUP(A46,'Agent Sched'!B:H,7,),"-")</f>
        <v>0.5</v>
      </c>
      <c r="M46" s="13">
        <f t="shared" si="12"/>
        <v>0.875</v>
      </c>
      <c r="N46" s="21">
        <f>IFERROR(VLOOKUP(A46,'Agent Sched'!B:I,8,),"-")</f>
        <v>0.5</v>
      </c>
      <c r="O46" s="13">
        <f t="shared" si="13"/>
        <v>0.875</v>
      </c>
      <c r="Q46" s="12">
        <f>VLOOKUP(A46,'Agent Sched'!B:Y,24,)</f>
        <v>0.5</v>
      </c>
      <c r="R46" s="13">
        <f t="shared" si="14"/>
        <v>0.875</v>
      </c>
      <c r="T46" s="25">
        <f>VLOOKUP(A46,'Agent Sched'!$B:$J,9,)</f>
        <v>0.5</v>
      </c>
      <c r="U46" s="13">
        <f t="shared" si="15"/>
        <v>0.875</v>
      </c>
      <c r="V46" s="12">
        <f>VLOOKUP(A46,'Agent Sched'!B:K,10,)</f>
        <v>0.5</v>
      </c>
      <c r="W46" s="13">
        <f t="shared" si="16"/>
        <v>0.875</v>
      </c>
      <c r="X46" s="12">
        <f>VLOOKUP(A46,'Agent Sched'!B:L,11,)</f>
        <v>0.5</v>
      </c>
      <c r="Y46" s="13">
        <f t="shared" si="17"/>
        <v>0.875</v>
      </c>
      <c r="Z46" s="12" t="str">
        <f>VLOOKUP(A46,'Agent Sched'!B:M,12,)</f>
        <v>OFF</v>
      </c>
      <c r="AA46" s="13" t="str">
        <f t="shared" si="18"/>
        <v>OFF</v>
      </c>
      <c r="AB46" s="12" t="str">
        <f>VLOOKUP(A46,'Agent Sched'!B:N,13,)</f>
        <v>OFF</v>
      </c>
      <c r="AC46" s="13" t="str">
        <f t="shared" si="19"/>
        <v>OFF</v>
      </c>
      <c r="AD46" s="12">
        <f>VLOOKUP(A46,'Agent Sched'!B:O,14,)</f>
        <v>0.5</v>
      </c>
      <c r="AE46" s="13">
        <f t="shared" si="20"/>
        <v>0.875</v>
      </c>
      <c r="AF46" s="21">
        <f>VLOOKUP(A46,'Agent Sched'!B:P,15,)</f>
        <v>0.5</v>
      </c>
      <c r="AG46" s="13">
        <f t="shared" si="21"/>
        <v>0.875</v>
      </c>
      <c r="AI46" s="25">
        <f>VLOOKUP(A46,'Agent Sched'!$B:$Q,16,)</f>
        <v>0.5</v>
      </c>
      <c r="AJ46" s="13">
        <f t="shared" si="22"/>
        <v>0.875</v>
      </c>
      <c r="AK46" s="12">
        <f>VLOOKUP(A46,'Agent Sched'!B:R,17,)</f>
        <v>0.5</v>
      </c>
      <c r="AL46" s="13">
        <f t="shared" si="23"/>
        <v>0.875</v>
      </c>
      <c r="AM46" s="12">
        <f>VLOOKUP(A46,'Agent Sched'!B:S,18,)</f>
        <v>0.5</v>
      </c>
      <c r="AN46" s="13">
        <f t="shared" si="24"/>
        <v>0.875</v>
      </c>
      <c r="AO46" s="12" t="str">
        <f>VLOOKUP(A46,'Agent Sched'!B:T,19,)</f>
        <v>OFF</v>
      </c>
      <c r="AP46" s="13" t="str">
        <f t="shared" si="25"/>
        <v>OFF</v>
      </c>
      <c r="AQ46" s="12" t="str">
        <f>VLOOKUP(A46,'Agent Sched'!B:U,20,)</f>
        <v>OFF</v>
      </c>
      <c r="AR46" s="13" t="str">
        <f t="shared" si="26"/>
        <v>OFF</v>
      </c>
      <c r="AS46" s="12">
        <f>VLOOKUP(A46,'Agent Sched'!B:V,21,)</f>
        <v>0.5</v>
      </c>
      <c r="AT46" s="13">
        <f t="shared" si="27"/>
        <v>0.875</v>
      </c>
      <c r="AU46" s="21">
        <f>VLOOKUP(A46,'Agent Sched'!B:W,22,)</f>
        <v>0.5</v>
      </c>
      <c r="AV46" s="13">
        <f t="shared" si="28"/>
        <v>0.875</v>
      </c>
    </row>
    <row r="47" spans="1:48" x14ac:dyDescent="0.25">
      <c r="A47" s="20" t="str">
        <f>'Agent Sched'!B48</f>
        <v>Khervin Campos</v>
      </c>
      <c r="B47" s="12">
        <f>IFERROR(VLOOKUP(A47,'Agent Sched'!$B:$C,2,),"-")</f>
        <v>0.5</v>
      </c>
      <c r="C47" s="13">
        <f t="shared" si="7"/>
        <v>0.875</v>
      </c>
      <c r="D47" s="12" t="str">
        <f>IFERROR(VLOOKUP(A47,'Agent Sched'!B:D,3,),"-")</f>
        <v>OFF</v>
      </c>
      <c r="E47" s="13" t="str">
        <f t="shared" si="8"/>
        <v>OFF</v>
      </c>
      <c r="F47" s="12">
        <f>IFERROR(VLOOKUP(A47,'Agent Sched'!B:E,4,),"-")</f>
        <v>0.5</v>
      </c>
      <c r="G47" s="13">
        <f t="shared" si="9"/>
        <v>0.875</v>
      </c>
      <c r="H47" s="12">
        <f>IFERROR(VLOOKUP(A47,'Agent Sched'!B:F,5,),"-")</f>
        <v>0.5</v>
      </c>
      <c r="I47" s="13">
        <f t="shared" si="10"/>
        <v>0.875</v>
      </c>
      <c r="J47" s="12" t="str">
        <f>IFERROR(VLOOKUP(A47,'Agent Sched'!B:G,6,),"-")</f>
        <v>OFF</v>
      </c>
      <c r="K47" s="13" t="str">
        <f t="shared" si="11"/>
        <v>OFF</v>
      </c>
      <c r="L47" s="12">
        <f>IFERROR(VLOOKUP(A47,'Agent Sched'!B:H,7,),"-")</f>
        <v>0.5</v>
      </c>
      <c r="M47" s="13">
        <f t="shared" si="12"/>
        <v>0.875</v>
      </c>
      <c r="N47" s="21">
        <f>IFERROR(VLOOKUP(A47,'Agent Sched'!B:I,8,),"-")</f>
        <v>0.5</v>
      </c>
      <c r="O47" s="13">
        <f t="shared" si="13"/>
        <v>0.875</v>
      </c>
      <c r="Q47" s="12">
        <f>VLOOKUP(A47,'Agent Sched'!B:Y,24,)</f>
        <v>0.5</v>
      </c>
      <c r="R47" s="13">
        <f t="shared" si="14"/>
        <v>0.875</v>
      </c>
      <c r="T47" s="25">
        <f>VLOOKUP(A47,'Agent Sched'!$B:$J,9,)</f>
        <v>0.5</v>
      </c>
      <c r="U47" s="13">
        <f t="shared" si="15"/>
        <v>0.875</v>
      </c>
      <c r="V47" s="12">
        <f>VLOOKUP(A47,'Agent Sched'!B:K,10,)</f>
        <v>0.5</v>
      </c>
      <c r="W47" s="13">
        <f t="shared" si="16"/>
        <v>0.875</v>
      </c>
      <c r="X47" s="12">
        <f>VLOOKUP(A47,'Agent Sched'!B:L,11,)</f>
        <v>0.5</v>
      </c>
      <c r="Y47" s="13">
        <f t="shared" si="17"/>
        <v>0.875</v>
      </c>
      <c r="Z47" s="12" t="str">
        <f>VLOOKUP(A47,'Agent Sched'!B:M,12,)</f>
        <v>OFF</v>
      </c>
      <c r="AA47" s="13" t="str">
        <f t="shared" si="18"/>
        <v>OFF</v>
      </c>
      <c r="AB47" s="12" t="str">
        <f>VLOOKUP(A47,'Agent Sched'!B:N,13,)</f>
        <v>OFF</v>
      </c>
      <c r="AC47" s="13" t="str">
        <f t="shared" si="19"/>
        <v>OFF</v>
      </c>
      <c r="AD47" s="12">
        <f>VLOOKUP(A47,'Agent Sched'!B:O,14,)</f>
        <v>0.5</v>
      </c>
      <c r="AE47" s="13">
        <f t="shared" si="20"/>
        <v>0.875</v>
      </c>
      <c r="AF47" s="21">
        <f>VLOOKUP(A47,'Agent Sched'!B:P,15,)</f>
        <v>0.5</v>
      </c>
      <c r="AG47" s="13">
        <f t="shared" si="21"/>
        <v>0.875</v>
      </c>
      <c r="AI47" s="25">
        <f>VLOOKUP(A47,'Agent Sched'!$B:$Q,16,)</f>
        <v>0.5</v>
      </c>
      <c r="AJ47" s="13">
        <f t="shared" si="22"/>
        <v>0.875</v>
      </c>
      <c r="AK47" s="12">
        <f>VLOOKUP(A47,'Agent Sched'!B:R,17,)</f>
        <v>0.5</v>
      </c>
      <c r="AL47" s="13">
        <f t="shared" si="23"/>
        <v>0.875</v>
      </c>
      <c r="AM47" s="12">
        <f>VLOOKUP(A47,'Agent Sched'!B:S,18,)</f>
        <v>0.5</v>
      </c>
      <c r="AN47" s="13">
        <f t="shared" si="24"/>
        <v>0.875</v>
      </c>
      <c r="AO47" s="12" t="str">
        <f>VLOOKUP(A47,'Agent Sched'!B:T,19,)</f>
        <v>OFF</v>
      </c>
      <c r="AP47" s="13" t="str">
        <f t="shared" si="25"/>
        <v>OFF</v>
      </c>
      <c r="AQ47" s="12" t="str">
        <f>VLOOKUP(A47,'Agent Sched'!B:U,20,)</f>
        <v>OFF</v>
      </c>
      <c r="AR47" s="13" t="str">
        <f t="shared" si="26"/>
        <v>OFF</v>
      </c>
      <c r="AS47" s="12">
        <f>VLOOKUP(A47,'Agent Sched'!B:V,21,)</f>
        <v>0.5</v>
      </c>
      <c r="AT47" s="13">
        <f t="shared" si="27"/>
        <v>0.875</v>
      </c>
      <c r="AU47" s="21">
        <f>VLOOKUP(A47,'Agent Sched'!B:W,22,)</f>
        <v>0.5</v>
      </c>
      <c r="AV47" s="13">
        <f t="shared" si="28"/>
        <v>0.875</v>
      </c>
    </row>
    <row r="48" spans="1:48" x14ac:dyDescent="0.25">
      <c r="A48" s="20" t="str">
        <f>'Agent Sched'!B49</f>
        <v>Catherine Mae Alingasa</v>
      </c>
      <c r="B48" s="12">
        <f>IFERROR(VLOOKUP(A48,'Agent Sched'!$B:$C,2,),"-")</f>
        <v>0.5</v>
      </c>
      <c r="C48" s="13">
        <f t="shared" si="7"/>
        <v>0.875</v>
      </c>
      <c r="D48" s="12" t="str">
        <f>IFERROR(VLOOKUP(A48,'Agent Sched'!B:D,3,),"-")</f>
        <v>OFF</v>
      </c>
      <c r="E48" s="13" t="str">
        <f t="shared" si="8"/>
        <v>OFF</v>
      </c>
      <c r="F48" s="12">
        <f>IFERROR(VLOOKUP(A48,'Agent Sched'!B:E,4,),"-")</f>
        <v>0.5</v>
      </c>
      <c r="G48" s="13">
        <f t="shared" si="9"/>
        <v>0.875</v>
      </c>
      <c r="H48" s="12">
        <f>IFERROR(VLOOKUP(A48,'Agent Sched'!B:F,5,),"-")</f>
        <v>0.5</v>
      </c>
      <c r="I48" s="13">
        <f t="shared" si="10"/>
        <v>0.875</v>
      </c>
      <c r="J48" s="12" t="str">
        <f>IFERROR(VLOOKUP(A48,'Agent Sched'!B:G,6,),"-")</f>
        <v>OFF</v>
      </c>
      <c r="K48" s="13" t="str">
        <f t="shared" si="11"/>
        <v>OFF</v>
      </c>
      <c r="L48" s="12">
        <f>IFERROR(VLOOKUP(A48,'Agent Sched'!B:H,7,),"-")</f>
        <v>0.5</v>
      </c>
      <c r="M48" s="13">
        <f t="shared" si="12"/>
        <v>0.875</v>
      </c>
      <c r="N48" s="21">
        <f>IFERROR(VLOOKUP(A48,'Agent Sched'!B:I,8,),"-")</f>
        <v>0.5</v>
      </c>
      <c r="O48" s="13">
        <f t="shared" si="13"/>
        <v>0.875</v>
      </c>
      <c r="Q48" s="12">
        <f>VLOOKUP(A48,'Agent Sched'!B:Y,24,)</f>
        <v>0.5</v>
      </c>
      <c r="R48" s="13">
        <f t="shared" si="14"/>
        <v>0.875</v>
      </c>
      <c r="T48" s="25">
        <f>VLOOKUP(A48,'Agent Sched'!$B:$J,9,)</f>
        <v>0.5</v>
      </c>
      <c r="U48" s="13">
        <f t="shared" si="15"/>
        <v>0.875</v>
      </c>
      <c r="V48" s="12">
        <f>VLOOKUP(A48,'Agent Sched'!B:K,10,)</f>
        <v>0.5</v>
      </c>
      <c r="W48" s="13">
        <f t="shared" si="16"/>
        <v>0.875</v>
      </c>
      <c r="X48" s="12">
        <f>VLOOKUP(A48,'Agent Sched'!B:L,11,)</f>
        <v>0.5</v>
      </c>
      <c r="Y48" s="13">
        <f t="shared" si="17"/>
        <v>0.875</v>
      </c>
      <c r="Z48" s="12" t="str">
        <f>VLOOKUP(A48,'Agent Sched'!B:M,12,)</f>
        <v>OFF</v>
      </c>
      <c r="AA48" s="13" t="str">
        <f t="shared" si="18"/>
        <v>OFF</v>
      </c>
      <c r="AB48" s="12" t="str">
        <f>VLOOKUP(A48,'Agent Sched'!B:N,13,)</f>
        <v>OFF</v>
      </c>
      <c r="AC48" s="13" t="str">
        <f t="shared" si="19"/>
        <v>OFF</v>
      </c>
      <c r="AD48" s="12">
        <f>VLOOKUP(A48,'Agent Sched'!B:O,14,)</f>
        <v>0.5</v>
      </c>
      <c r="AE48" s="13">
        <f t="shared" si="20"/>
        <v>0.875</v>
      </c>
      <c r="AF48" s="21">
        <f>VLOOKUP(A48,'Agent Sched'!B:P,15,)</f>
        <v>0.5</v>
      </c>
      <c r="AG48" s="13">
        <f t="shared" si="21"/>
        <v>0.875</v>
      </c>
      <c r="AI48" s="25">
        <f>VLOOKUP(A48,'Agent Sched'!$B:$Q,16,)</f>
        <v>0.5</v>
      </c>
      <c r="AJ48" s="13">
        <f t="shared" si="22"/>
        <v>0.875</v>
      </c>
      <c r="AK48" s="12">
        <f>VLOOKUP(A48,'Agent Sched'!B:R,17,)</f>
        <v>0.5</v>
      </c>
      <c r="AL48" s="13">
        <f t="shared" si="23"/>
        <v>0.875</v>
      </c>
      <c r="AM48" s="12">
        <f>VLOOKUP(A48,'Agent Sched'!B:S,18,)</f>
        <v>0.5</v>
      </c>
      <c r="AN48" s="13">
        <f t="shared" si="24"/>
        <v>0.875</v>
      </c>
      <c r="AO48" s="12" t="str">
        <f>VLOOKUP(A48,'Agent Sched'!B:T,19,)</f>
        <v>OFF</v>
      </c>
      <c r="AP48" s="13" t="str">
        <f t="shared" si="25"/>
        <v>OFF</v>
      </c>
      <c r="AQ48" s="12" t="str">
        <f>VLOOKUP(A48,'Agent Sched'!B:U,20,)</f>
        <v>OFF</v>
      </c>
      <c r="AR48" s="13" t="str">
        <f t="shared" si="26"/>
        <v>OFF</v>
      </c>
      <c r="AS48" s="12">
        <f>VLOOKUP(A48,'Agent Sched'!B:V,21,)</f>
        <v>0.5</v>
      </c>
      <c r="AT48" s="13">
        <f t="shared" si="27"/>
        <v>0.875</v>
      </c>
      <c r="AU48" s="21">
        <f>VLOOKUP(A48,'Agent Sched'!B:W,22,)</f>
        <v>0.5</v>
      </c>
      <c r="AV48" s="13">
        <f t="shared" si="28"/>
        <v>0.875</v>
      </c>
    </row>
    <row r="49" spans="1:48" x14ac:dyDescent="0.25">
      <c r="A49" s="20" t="str">
        <f>'Agent Sched'!B50</f>
        <v>Anna Marie Netura</v>
      </c>
      <c r="B49" s="12">
        <f>IFERROR(VLOOKUP(A49,'Agent Sched'!$B:$C,2,),"-")</f>
        <v>0.5</v>
      </c>
      <c r="C49" s="13">
        <f t="shared" si="7"/>
        <v>0.875</v>
      </c>
      <c r="D49" s="12" t="str">
        <f>IFERROR(VLOOKUP(A49,'Agent Sched'!B:D,3,),"-")</f>
        <v>OFF</v>
      </c>
      <c r="E49" s="13" t="str">
        <f t="shared" si="8"/>
        <v>OFF</v>
      </c>
      <c r="F49" s="12">
        <f>IFERROR(VLOOKUP(A49,'Agent Sched'!B:E,4,),"-")</f>
        <v>0.5</v>
      </c>
      <c r="G49" s="13">
        <f t="shared" si="9"/>
        <v>0.875</v>
      </c>
      <c r="H49" s="12">
        <f>IFERROR(VLOOKUP(A49,'Agent Sched'!B:F,5,),"-")</f>
        <v>0.5</v>
      </c>
      <c r="I49" s="13">
        <f t="shared" si="10"/>
        <v>0.875</v>
      </c>
      <c r="J49" s="12" t="str">
        <f>IFERROR(VLOOKUP(A49,'Agent Sched'!B:G,6,),"-")</f>
        <v>OFF</v>
      </c>
      <c r="K49" s="13" t="str">
        <f t="shared" si="11"/>
        <v>OFF</v>
      </c>
      <c r="L49" s="12">
        <f>IFERROR(VLOOKUP(A49,'Agent Sched'!B:H,7,),"-")</f>
        <v>0.5</v>
      </c>
      <c r="M49" s="13">
        <f t="shared" si="12"/>
        <v>0.875</v>
      </c>
      <c r="N49" s="21">
        <f>IFERROR(VLOOKUP(A49,'Agent Sched'!B:I,8,),"-")</f>
        <v>0.5</v>
      </c>
      <c r="O49" s="13">
        <f t="shared" si="13"/>
        <v>0.875</v>
      </c>
      <c r="Q49" s="12">
        <f>VLOOKUP(A49,'Agent Sched'!B:Y,24,)</f>
        <v>0.5</v>
      </c>
      <c r="R49" s="13">
        <f t="shared" si="14"/>
        <v>0.875</v>
      </c>
      <c r="T49" s="25">
        <f>VLOOKUP(A49,'Agent Sched'!$B:$J,9,)</f>
        <v>0.5</v>
      </c>
      <c r="U49" s="13">
        <f t="shared" si="15"/>
        <v>0.875</v>
      </c>
      <c r="V49" s="12">
        <f>VLOOKUP(A49,'Agent Sched'!B:K,10,)</f>
        <v>0.5</v>
      </c>
      <c r="W49" s="13">
        <f t="shared" si="16"/>
        <v>0.875</v>
      </c>
      <c r="X49" s="12">
        <f>VLOOKUP(A49,'Agent Sched'!B:L,11,)</f>
        <v>0.5</v>
      </c>
      <c r="Y49" s="13">
        <f t="shared" si="17"/>
        <v>0.875</v>
      </c>
      <c r="Z49" s="12" t="str">
        <f>VLOOKUP(A49,'Agent Sched'!B:M,12,)</f>
        <v>OFF</v>
      </c>
      <c r="AA49" s="13" t="str">
        <f t="shared" si="18"/>
        <v>OFF</v>
      </c>
      <c r="AB49" s="12" t="str">
        <f>VLOOKUP(A49,'Agent Sched'!B:N,13,)</f>
        <v>OFF</v>
      </c>
      <c r="AC49" s="13" t="str">
        <f t="shared" si="19"/>
        <v>OFF</v>
      </c>
      <c r="AD49" s="12">
        <f>VLOOKUP(A49,'Agent Sched'!B:O,14,)</f>
        <v>0.5</v>
      </c>
      <c r="AE49" s="13">
        <f t="shared" si="20"/>
        <v>0.875</v>
      </c>
      <c r="AF49" s="21">
        <f>VLOOKUP(A49,'Agent Sched'!B:P,15,)</f>
        <v>0.5</v>
      </c>
      <c r="AG49" s="13">
        <f t="shared" si="21"/>
        <v>0.875</v>
      </c>
      <c r="AI49" s="25">
        <f>VLOOKUP(A49,'Agent Sched'!$B:$Q,16,)</f>
        <v>0.5</v>
      </c>
      <c r="AJ49" s="13">
        <f t="shared" si="22"/>
        <v>0.875</v>
      </c>
      <c r="AK49" s="12">
        <f>VLOOKUP(A49,'Agent Sched'!B:R,17,)</f>
        <v>0.5</v>
      </c>
      <c r="AL49" s="13">
        <f t="shared" si="23"/>
        <v>0.875</v>
      </c>
      <c r="AM49" s="12">
        <f>VLOOKUP(A49,'Agent Sched'!B:S,18,)</f>
        <v>0.5</v>
      </c>
      <c r="AN49" s="13">
        <f t="shared" si="24"/>
        <v>0.875</v>
      </c>
      <c r="AO49" s="12" t="str">
        <f>VLOOKUP(A49,'Agent Sched'!B:T,19,)</f>
        <v>OFF</v>
      </c>
      <c r="AP49" s="13" t="str">
        <f t="shared" si="25"/>
        <v>OFF</v>
      </c>
      <c r="AQ49" s="12" t="str">
        <f>VLOOKUP(A49,'Agent Sched'!B:U,20,)</f>
        <v>OFF</v>
      </c>
      <c r="AR49" s="13" t="str">
        <f t="shared" si="26"/>
        <v>OFF</v>
      </c>
      <c r="AS49" s="12">
        <f>VLOOKUP(A49,'Agent Sched'!B:V,21,)</f>
        <v>0.5</v>
      </c>
      <c r="AT49" s="13">
        <f t="shared" si="27"/>
        <v>0.875</v>
      </c>
      <c r="AU49" s="21">
        <f>VLOOKUP(A49,'Agent Sched'!B:W,22,)</f>
        <v>0.5</v>
      </c>
      <c r="AV49" s="13">
        <f t="shared" si="28"/>
        <v>0.875</v>
      </c>
    </row>
    <row r="50" spans="1:48" x14ac:dyDescent="0.25">
      <c r="A50" s="20" t="str">
        <f>'Agent Sched'!B51</f>
        <v>Mary Joy Posadas</v>
      </c>
      <c r="B50" s="12">
        <f>IFERROR(VLOOKUP(A50,'Agent Sched'!$B:$C,2,),"-")</f>
        <v>0.5</v>
      </c>
      <c r="C50" s="13">
        <f t="shared" si="7"/>
        <v>0.875</v>
      </c>
      <c r="D50" s="12" t="str">
        <f>IFERROR(VLOOKUP(A50,'Agent Sched'!B:D,3,),"-")</f>
        <v>OFF</v>
      </c>
      <c r="E50" s="13" t="str">
        <f t="shared" si="8"/>
        <v>OFF</v>
      </c>
      <c r="F50" s="12">
        <f>IFERROR(VLOOKUP(A50,'Agent Sched'!B:E,4,),"-")</f>
        <v>0.5</v>
      </c>
      <c r="G50" s="13">
        <f t="shared" si="9"/>
        <v>0.875</v>
      </c>
      <c r="H50" s="12">
        <f>IFERROR(VLOOKUP(A50,'Agent Sched'!B:F,5,),"-")</f>
        <v>0.5</v>
      </c>
      <c r="I50" s="13">
        <f t="shared" si="10"/>
        <v>0.875</v>
      </c>
      <c r="J50" s="12" t="str">
        <f>IFERROR(VLOOKUP(A50,'Agent Sched'!B:G,6,),"-")</f>
        <v>OFF</v>
      </c>
      <c r="K50" s="13" t="str">
        <f t="shared" si="11"/>
        <v>OFF</v>
      </c>
      <c r="L50" s="12">
        <f>IFERROR(VLOOKUP(A50,'Agent Sched'!B:H,7,),"-")</f>
        <v>0.5</v>
      </c>
      <c r="M50" s="13">
        <f t="shared" si="12"/>
        <v>0.875</v>
      </c>
      <c r="N50" s="21">
        <f>IFERROR(VLOOKUP(A50,'Agent Sched'!B:I,8,),"-")</f>
        <v>0.5</v>
      </c>
      <c r="O50" s="13">
        <f t="shared" si="13"/>
        <v>0.875</v>
      </c>
      <c r="Q50" s="12">
        <f>VLOOKUP(A50,'Agent Sched'!B:Y,24,)</f>
        <v>0.5</v>
      </c>
      <c r="R50" s="13">
        <f t="shared" si="14"/>
        <v>0.875</v>
      </c>
      <c r="T50" s="25">
        <f>VLOOKUP(A50,'Agent Sched'!$B:$J,9,)</f>
        <v>0.5</v>
      </c>
      <c r="U50" s="13">
        <f t="shared" si="15"/>
        <v>0.875</v>
      </c>
      <c r="V50" s="12">
        <f>VLOOKUP(A50,'Agent Sched'!B:K,10,)</f>
        <v>0.5</v>
      </c>
      <c r="W50" s="13">
        <f t="shared" si="16"/>
        <v>0.875</v>
      </c>
      <c r="X50" s="12">
        <f>VLOOKUP(A50,'Agent Sched'!B:L,11,)</f>
        <v>0.5</v>
      </c>
      <c r="Y50" s="13">
        <f t="shared" si="17"/>
        <v>0.875</v>
      </c>
      <c r="Z50" s="12" t="str">
        <f>VLOOKUP(A50,'Agent Sched'!B:M,12,)</f>
        <v>OFF</v>
      </c>
      <c r="AA50" s="13" t="str">
        <f t="shared" si="18"/>
        <v>OFF</v>
      </c>
      <c r="AB50" s="12" t="str">
        <f>VLOOKUP(A50,'Agent Sched'!B:N,13,)</f>
        <v>OFF</v>
      </c>
      <c r="AC50" s="13" t="str">
        <f t="shared" si="19"/>
        <v>OFF</v>
      </c>
      <c r="AD50" s="12">
        <f>VLOOKUP(A50,'Agent Sched'!B:O,14,)</f>
        <v>0.5</v>
      </c>
      <c r="AE50" s="13">
        <f t="shared" si="20"/>
        <v>0.875</v>
      </c>
      <c r="AF50" s="21">
        <f>VLOOKUP(A50,'Agent Sched'!B:P,15,)</f>
        <v>0.5</v>
      </c>
      <c r="AG50" s="13">
        <f t="shared" si="21"/>
        <v>0.875</v>
      </c>
      <c r="AI50" s="25">
        <f>VLOOKUP(A50,'Agent Sched'!$B:$Q,16,)</f>
        <v>0.5</v>
      </c>
      <c r="AJ50" s="13">
        <f t="shared" si="22"/>
        <v>0.875</v>
      </c>
      <c r="AK50" s="12">
        <f>VLOOKUP(A50,'Agent Sched'!B:R,17,)</f>
        <v>0.5</v>
      </c>
      <c r="AL50" s="13">
        <f t="shared" si="23"/>
        <v>0.875</v>
      </c>
      <c r="AM50" s="12">
        <f>VLOOKUP(A50,'Agent Sched'!B:S,18,)</f>
        <v>0.5</v>
      </c>
      <c r="AN50" s="13">
        <f t="shared" si="24"/>
        <v>0.875</v>
      </c>
      <c r="AO50" s="12" t="str">
        <f>VLOOKUP(A50,'Agent Sched'!B:T,19,)</f>
        <v>OFF</v>
      </c>
      <c r="AP50" s="13" t="str">
        <f t="shared" si="25"/>
        <v>OFF</v>
      </c>
      <c r="AQ50" s="12" t="str">
        <f>VLOOKUP(A50,'Agent Sched'!B:U,20,)</f>
        <v>OFF</v>
      </c>
      <c r="AR50" s="13" t="str">
        <f t="shared" si="26"/>
        <v>OFF</v>
      </c>
      <c r="AS50" s="12">
        <f>VLOOKUP(A50,'Agent Sched'!B:V,21,)</f>
        <v>0.5</v>
      </c>
      <c r="AT50" s="13">
        <f t="shared" si="27"/>
        <v>0.875</v>
      </c>
      <c r="AU50" s="21">
        <f>VLOOKUP(A50,'Agent Sched'!B:W,22,)</f>
        <v>0.5</v>
      </c>
      <c r="AV50" s="13">
        <f t="shared" si="28"/>
        <v>0.875</v>
      </c>
    </row>
    <row r="51" spans="1:48" x14ac:dyDescent="0.25">
      <c r="A51" s="20" t="str">
        <f>'Agent Sched'!B52</f>
        <v>Earl Jesri Siva</v>
      </c>
      <c r="B51" s="12">
        <f>IFERROR(VLOOKUP(A51,'Agent Sched'!$B:$C,2,),"-")</f>
        <v>0.5</v>
      </c>
      <c r="C51" s="13">
        <f t="shared" si="7"/>
        <v>0.875</v>
      </c>
      <c r="D51" s="12" t="str">
        <f>IFERROR(VLOOKUP(A51,'Agent Sched'!B:D,3,),"-")</f>
        <v>OFF</v>
      </c>
      <c r="E51" s="13" t="str">
        <f t="shared" si="8"/>
        <v>OFF</v>
      </c>
      <c r="F51" s="12">
        <f>IFERROR(VLOOKUP(A51,'Agent Sched'!B:E,4,),"-")</f>
        <v>0.5</v>
      </c>
      <c r="G51" s="13">
        <f t="shared" si="9"/>
        <v>0.875</v>
      </c>
      <c r="H51" s="12">
        <f>IFERROR(VLOOKUP(A51,'Agent Sched'!B:F,5,),"-")</f>
        <v>0.5</v>
      </c>
      <c r="I51" s="13">
        <f t="shared" si="10"/>
        <v>0.875</v>
      </c>
      <c r="J51" s="12" t="str">
        <f>IFERROR(VLOOKUP(A51,'Agent Sched'!B:G,6,),"-")</f>
        <v>OFF</v>
      </c>
      <c r="K51" s="13" t="str">
        <f t="shared" si="11"/>
        <v>OFF</v>
      </c>
      <c r="L51" s="12">
        <f>IFERROR(VLOOKUP(A51,'Agent Sched'!B:H,7,),"-")</f>
        <v>0.5</v>
      </c>
      <c r="M51" s="13">
        <f t="shared" si="12"/>
        <v>0.875</v>
      </c>
      <c r="N51" s="21">
        <f>IFERROR(VLOOKUP(A51,'Agent Sched'!B:I,8,),"-")</f>
        <v>0.5</v>
      </c>
      <c r="O51" s="13">
        <f t="shared" si="13"/>
        <v>0.875</v>
      </c>
      <c r="Q51" s="12">
        <f>VLOOKUP(A51,'Agent Sched'!B:Y,24,)</f>
        <v>0.5</v>
      </c>
      <c r="R51" s="13">
        <f t="shared" si="14"/>
        <v>0.875</v>
      </c>
      <c r="T51" s="25">
        <f>VLOOKUP(A51,'Agent Sched'!$B:$J,9,)</f>
        <v>0.5</v>
      </c>
      <c r="U51" s="13">
        <f t="shared" si="15"/>
        <v>0.875</v>
      </c>
      <c r="V51" s="12">
        <f>VLOOKUP(A51,'Agent Sched'!B:K,10,)</f>
        <v>0.5</v>
      </c>
      <c r="W51" s="13">
        <f t="shared" si="16"/>
        <v>0.875</v>
      </c>
      <c r="X51" s="12">
        <f>VLOOKUP(A51,'Agent Sched'!B:L,11,)</f>
        <v>0.5</v>
      </c>
      <c r="Y51" s="13">
        <f t="shared" si="17"/>
        <v>0.875</v>
      </c>
      <c r="Z51" s="12" t="str">
        <f>VLOOKUP(A51,'Agent Sched'!B:M,12,)</f>
        <v>OFF</v>
      </c>
      <c r="AA51" s="13" t="str">
        <f t="shared" si="18"/>
        <v>OFF</v>
      </c>
      <c r="AB51" s="12" t="str">
        <f>VLOOKUP(A51,'Agent Sched'!B:N,13,)</f>
        <v>OFF</v>
      </c>
      <c r="AC51" s="13" t="str">
        <f t="shared" si="19"/>
        <v>OFF</v>
      </c>
      <c r="AD51" s="12">
        <f>VLOOKUP(A51,'Agent Sched'!B:O,14,)</f>
        <v>0.5</v>
      </c>
      <c r="AE51" s="13">
        <f t="shared" si="20"/>
        <v>0.875</v>
      </c>
      <c r="AF51" s="21">
        <f>VLOOKUP(A51,'Agent Sched'!B:P,15,)</f>
        <v>0.5</v>
      </c>
      <c r="AG51" s="13">
        <f t="shared" si="21"/>
        <v>0.875</v>
      </c>
      <c r="AI51" s="25">
        <f>VLOOKUP(A51,'Agent Sched'!$B:$Q,16,)</f>
        <v>0.5</v>
      </c>
      <c r="AJ51" s="13">
        <f t="shared" si="22"/>
        <v>0.875</v>
      </c>
      <c r="AK51" s="12">
        <f>VLOOKUP(A51,'Agent Sched'!B:R,17,)</f>
        <v>0.5</v>
      </c>
      <c r="AL51" s="13">
        <f t="shared" si="23"/>
        <v>0.875</v>
      </c>
      <c r="AM51" s="12">
        <f>VLOOKUP(A51,'Agent Sched'!B:S,18,)</f>
        <v>0.5</v>
      </c>
      <c r="AN51" s="13">
        <f t="shared" si="24"/>
        <v>0.875</v>
      </c>
      <c r="AO51" s="12" t="str">
        <f>VLOOKUP(A51,'Agent Sched'!B:T,19,)</f>
        <v>OFF</v>
      </c>
      <c r="AP51" s="13" t="str">
        <f t="shared" si="25"/>
        <v>OFF</v>
      </c>
      <c r="AQ51" s="12" t="str">
        <f>VLOOKUP(A51,'Agent Sched'!B:U,20,)</f>
        <v>OFF</v>
      </c>
      <c r="AR51" s="13" t="str">
        <f t="shared" si="26"/>
        <v>OFF</v>
      </c>
      <c r="AS51" s="12">
        <f>VLOOKUP(A51,'Agent Sched'!B:V,21,)</f>
        <v>0.5</v>
      </c>
      <c r="AT51" s="13">
        <f t="shared" si="27"/>
        <v>0.875</v>
      </c>
      <c r="AU51" s="21">
        <f>VLOOKUP(A51,'Agent Sched'!B:W,22,)</f>
        <v>0.5</v>
      </c>
      <c r="AV51" s="13">
        <f t="shared" si="28"/>
        <v>0.875</v>
      </c>
    </row>
    <row r="52" spans="1:48" x14ac:dyDescent="0.25">
      <c r="A52" s="20" t="str">
        <f>'Agent Sched'!B53</f>
        <v>John Risky Fundal</v>
      </c>
      <c r="B52" s="12">
        <f>IFERROR(VLOOKUP(A52,'Agent Sched'!$B:$C,2,),"-")</f>
        <v>0.5</v>
      </c>
      <c r="C52" s="13">
        <f t="shared" si="7"/>
        <v>0.875</v>
      </c>
      <c r="D52" s="12" t="str">
        <f>IFERROR(VLOOKUP(A52,'Agent Sched'!B:D,3,),"-")</f>
        <v>OFF</v>
      </c>
      <c r="E52" s="13" t="str">
        <f t="shared" si="8"/>
        <v>OFF</v>
      </c>
      <c r="F52" s="12">
        <f>IFERROR(VLOOKUP(A52,'Agent Sched'!B:E,4,),"-")</f>
        <v>0.5</v>
      </c>
      <c r="G52" s="13">
        <f t="shared" si="9"/>
        <v>0.875</v>
      </c>
      <c r="H52" s="12">
        <f>IFERROR(VLOOKUP(A52,'Agent Sched'!B:F,5,),"-")</f>
        <v>0.5</v>
      </c>
      <c r="I52" s="13">
        <f t="shared" si="10"/>
        <v>0.875</v>
      </c>
      <c r="J52" s="12" t="str">
        <f>IFERROR(VLOOKUP(A52,'Agent Sched'!B:G,6,),"-")</f>
        <v>OFF</v>
      </c>
      <c r="K52" s="13" t="str">
        <f t="shared" si="11"/>
        <v>OFF</v>
      </c>
      <c r="L52" s="12">
        <f>IFERROR(VLOOKUP(A52,'Agent Sched'!B:H,7,),"-")</f>
        <v>0.5</v>
      </c>
      <c r="M52" s="13">
        <f t="shared" si="12"/>
        <v>0.875</v>
      </c>
      <c r="N52" s="21">
        <f>IFERROR(VLOOKUP(A52,'Agent Sched'!B:I,8,),"-")</f>
        <v>0.5</v>
      </c>
      <c r="O52" s="13">
        <f t="shared" si="13"/>
        <v>0.875</v>
      </c>
      <c r="Q52" s="12">
        <f>VLOOKUP(A52,'Agent Sched'!B:Y,24,)</f>
        <v>0.5</v>
      </c>
      <c r="R52" s="13">
        <f t="shared" si="14"/>
        <v>0.875</v>
      </c>
      <c r="T52" s="25">
        <f>VLOOKUP(A52,'Agent Sched'!$B:$J,9,)</f>
        <v>0.5</v>
      </c>
      <c r="U52" s="13">
        <f t="shared" si="15"/>
        <v>0.875</v>
      </c>
      <c r="V52" s="12">
        <f>VLOOKUP(A52,'Agent Sched'!B:K,10,)</f>
        <v>0.5</v>
      </c>
      <c r="W52" s="13">
        <f t="shared" si="16"/>
        <v>0.875</v>
      </c>
      <c r="X52" s="12">
        <f>VLOOKUP(A52,'Agent Sched'!B:L,11,)</f>
        <v>0.5</v>
      </c>
      <c r="Y52" s="13">
        <f t="shared" si="17"/>
        <v>0.875</v>
      </c>
      <c r="Z52" s="12" t="str">
        <f>VLOOKUP(A52,'Agent Sched'!B:M,12,)</f>
        <v>OFF</v>
      </c>
      <c r="AA52" s="13" t="str">
        <f t="shared" si="18"/>
        <v>OFF</v>
      </c>
      <c r="AB52" s="12" t="str">
        <f>VLOOKUP(A52,'Agent Sched'!B:N,13,)</f>
        <v>OFF</v>
      </c>
      <c r="AC52" s="13" t="str">
        <f t="shared" si="19"/>
        <v>OFF</v>
      </c>
      <c r="AD52" s="12">
        <f>VLOOKUP(A52,'Agent Sched'!B:O,14,)</f>
        <v>0.5</v>
      </c>
      <c r="AE52" s="13">
        <f t="shared" si="20"/>
        <v>0.875</v>
      </c>
      <c r="AF52" s="21">
        <f>VLOOKUP(A52,'Agent Sched'!B:P,15,)</f>
        <v>0.5</v>
      </c>
      <c r="AG52" s="13">
        <f t="shared" si="21"/>
        <v>0.875</v>
      </c>
      <c r="AI52" s="25">
        <f>VLOOKUP(A52,'Agent Sched'!$B:$Q,16,)</f>
        <v>0.5</v>
      </c>
      <c r="AJ52" s="13">
        <f t="shared" si="22"/>
        <v>0.875</v>
      </c>
      <c r="AK52" s="12">
        <f>VLOOKUP(A52,'Agent Sched'!B:R,17,)</f>
        <v>0.5</v>
      </c>
      <c r="AL52" s="13">
        <f t="shared" si="23"/>
        <v>0.875</v>
      </c>
      <c r="AM52" s="12">
        <f>VLOOKUP(A52,'Agent Sched'!B:S,18,)</f>
        <v>0.5</v>
      </c>
      <c r="AN52" s="13">
        <f t="shared" si="24"/>
        <v>0.875</v>
      </c>
      <c r="AO52" s="12" t="str">
        <f>VLOOKUP(A52,'Agent Sched'!B:T,19,)</f>
        <v>OFF</v>
      </c>
      <c r="AP52" s="13" t="str">
        <f t="shared" si="25"/>
        <v>OFF</v>
      </c>
      <c r="AQ52" s="12" t="str">
        <f>VLOOKUP(A52,'Agent Sched'!B:U,20,)</f>
        <v>OFF</v>
      </c>
      <c r="AR52" s="13" t="str">
        <f t="shared" si="26"/>
        <v>OFF</v>
      </c>
      <c r="AS52" s="12">
        <f>VLOOKUP(A52,'Agent Sched'!B:V,21,)</f>
        <v>0.5</v>
      </c>
      <c r="AT52" s="13">
        <f t="shared" si="27"/>
        <v>0.875</v>
      </c>
      <c r="AU52" s="21">
        <f>VLOOKUP(A52,'Agent Sched'!B:W,22,)</f>
        <v>0.5</v>
      </c>
      <c r="AV52" s="13">
        <f t="shared" si="28"/>
        <v>0.875</v>
      </c>
    </row>
    <row r="53" spans="1:48" x14ac:dyDescent="0.25">
      <c r="A53" s="20" t="str">
        <f>'Agent Sched'!B54</f>
        <v>Hecel Isaac</v>
      </c>
      <c r="B53" s="12">
        <f>IFERROR(VLOOKUP(A53,'Agent Sched'!$B:$C,2,),"-")</f>
        <v>0.5</v>
      </c>
      <c r="C53" s="13">
        <f t="shared" si="7"/>
        <v>0.875</v>
      </c>
      <c r="D53" s="12" t="str">
        <f>IFERROR(VLOOKUP(A53,'Agent Sched'!B:D,3,),"-")</f>
        <v>OFF</v>
      </c>
      <c r="E53" s="13" t="str">
        <f t="shared" si="8"/>
        <v>OFF</v>
      </c>
      <c r="F53" s="12">
        <f>IFERROR(VLOOKUP(A53,'Agent Sched'!B:E,4,),"-")</f>
        <v>0.5</v>
      </c>
      <c r="G53" s="13">
        <f t="shared" si="9"/>
        <v>0.875</v>
      </c>
      <c r="H53" s="12">
        <f>IFERROR(VLOOKUP(A53,'Agent Sched'!B:F,5,),"-")</f>
        <v>0.5</v>
      </c>
      <c r="I53" s="13">
        <f t="shared" si="10"/>
        <v>0.875</v>
      </c>
      <c r="J53" s="12" t="str">
        <f>IFERROR(VLOOKUP(A53,'Agent Sched'!B:G,6,),"-")</f>
        <v>OFF</v>
      </c>
      <c r="K53" s="13" t="str">
        <f t="shared" si="11"/>
        <v>OFF</v>
      </c>
      <c r="L53" s="12">
        <f>IFERROR(VLOOKUP(A53,'Agent Sched'!B:H,7,),"-")</f>
        <v>0.5</v>
      </c>
      <c r="M53" s="13">
        <f t="shared" si="12"/>
        <v>0.875</v>
      </c>
      <c r="N53" s="21">
        <f>IFERROR(VLOOKUP(A53,'Agent Sched'!B:I,8,),"-")</f>
        <v>0.5</v>
      </c>
      <c r="O53" s="13">
        <f t="shared" si="13"/>
        <v>0.875</v>
      </c>
      <c r="Q53" s="12">
        <f>VLOOKUP(A53,'Agent Sched'!B:Y,24,)</f>
        <v>0.5</v>
      </c>
      <c r="R53" s="13">
        <f t="shared" si="14"/>
        <v>0.875</v>
      </c>
      <c r="T53" s="25">
        <f>VLOOKUP(A53,'Agent Sched'!$B:$J,9,)</f>
        <v>0.5</v>
      </c>
      <c r="U53" s="13">
        <f t="shared" si="15"/>
        <v>0.875</v>
      </c>
      <c r="V53" s="12">
        <f>VLOOKUP(A53,'Agent Sched'!B:K,10,)</f>
        <v>0.5</v>
      </c>
      <c r="W53" s="13">
        <f t="shared" si="16"/>
        <v>0.875</v>
      </c>
      <c r="X53" s="12">
        <f>VLOOKUP(A53,'Agent Sched'!B:L,11,)</f>
        <v>0.5</v>
      </c>
      <c r="Y53" s="13">
        <f t="shared" si="17"/>
        <v>0.875</v>
      </c>
      <c r="Z53" s="12" t="str">
        <f>VLOOKUP(A53,'Agent Sched'!B:M,12,)</f>
        <v>OFF</v>
      </c>
      <c r="AA53" s="13" t="str">
        <f t="shared" si="18"/>
        <v>OFF</v>
      </c>
      <c r="AB53" s="12" t="str">
        <f>VLOOKUP(A53,'Agent Sched'!B:N,13,)</f>
        <v>OFF</v>
      </c>
      <c r="AC53" s="13" t="str">
        <f t="shared" si="19"/>
        <v>OFF</v>
      </c>
      <c r="AD53" s="12">
        <f>VLOOKUP(A53,'Agent Sched'!B:O,14,)</f>
        <v>0.5</v>
      </c>
      <c r="AE53" s="13">
        <f t="shared" si="20"/>
        <v>0.875</v>
      </c>
      <c r="AF53" s="21">
        <f>VLOOKUP(A53,'Agent Sched'!B:P,15,)</f>
        <v>0.5</v>
      </c>
      <c r="AG53" s="13">
        <f t="shared" si="21"/>
        <v>0.875</v>
      </c>
      <c r="AI53" s="25">
        <f>VLOOKUP(A53,'Agent Sched'!$B:$Q,16,)</f>
        <v>0.5</v>
      </c>
      <c r="AJ53" s="13">
        <f t="shared" si="22"/>
        <v>0.875</v>
      </c>
      <c r="AK53" s="12">
        <f>VLOOKUP(A53,'Agent Sched'!B:R,17,)</f>
        <v>0.5</v>
      </c>
      <c r="AL53" s="13">
        <f t="shared" si="23"/>
        <v>0.875</v>
      </c>
      <c r="AM53" s="12">
        <f>VLOOKUP(A53,'Agent Sched'!B:S,18,)</f>
        <v>0.5</v>
      </c>
      <c r="AN53" s="13">
        <f t="shared" si="24"/>
        <v>0.875</v>
      </c>
      <c r="AO53" s="12" t="str">
        <f>VLOOKUP(A53,'Agent Sched'!B:T,19,)</f>
        <v>OFF</v>
      </c>
      <c r="AP53" s="13" t="str">
        <f t="shared" si="25"/>
        <v>OFF</v>
      </c>
      <c r="AQ53" s="12" t="str">
        <f>VLOOKUP(A53,'Agent Sched'!B:U,20,)</f>
        <v>OFF</v>
      </c>
      <c r="AR53" s="13" t="str">
        <f t="shared" si="26"/>
        <v>OFF</v>
      </c>
      <c r="AS53" s="12">
        <f>VLOOKUP(A53,'Agent Sched'!B:V,21,)</f>
        <v>0.5</v>
      </c>
      <c r="AT53" s="13">
        <f t="shared" si="27"/>
        <v>0.875</v>
      </c>
      <c r="AU53" s="21">
        <f>VLOOKUP(A53,'Agent Sched'!B:W,22,)</f>
        <v>0.5</v>
      </c>
      <c r="AV53" s="13">
        <f t="shared" si="28"/>
        <v>0.875</v>
      </c>
    </row>
    <row r="54" spans="1:48" x14ac:dyDescent="0.25">
      <c r="A54" s="20" t="str">
        <f>'Agent Sched'!B55</f>
        <v>Mark Gofher,Tumamao,Estanes</v>
      </c>
      <c r="B54" s="12">
        <f>IFERROR(VLOOKUP(A54,'Agent Sched'!$B:$C,2,),"-")</f>
        <v>0.41666666666666669</v>
      </c>
      <c r="C54" s="13">
        <f t="shared" si="7"/>
        <v>0.79166666666666674</v>
      </c>
      <c r="D54" s="12" t="str">
        <f>IFERROR(VLOOKUP(A54,'Agent Sched'!B:D,3,),"-")</f>
        <v>OFF</v>
      </c>
      <c r="E54" s="13" t="str">
        <f t="shared" si="8"/>
        <v>OFF</v>
      </c>
      <c r="F54" s="12" t="str">
        <f>IFERROR(VLOOKUP(A54,'Agent Sched'!B:E,4,),"-")</f>
        <v>OFF</v>
      </c>
      <c r="G54" s="13" t="str">
        <f t="shared" si="9"/>
        <v>OFF</v>
      </c>
      <c r="H54" s="12">
        <f>IFERROR(VLOOKUP(A54,'Agent Sched'!B:F,5,),"-")</f>
        <v>0.41666666666666669</v>
      </c>
      <c r="I54" s="13">
        <f t="shared" si="10"/>
        <v>0.79166666666666674</v>
      </c>
      <c r="J54" s="12">
        <f>IFERROR(VLOOKUP(A54,'Agent Sched'!B:G,6,),"-")</f>
        <v>0.41666666666666669</v>
      </c>
      <c r="K54" s="13">
        <f t="shared" si="11"/>
        <v>0.79166666666666674</v>
      </c>
      <c r="L54" s="12">
        <f>IFERROR(VLOOKUP(A54,'Agent Sched'!B:H,7,),"-")</f>
        <v>0.41666666666666669</v>
      </c>
      <c r="M54" s="13">
        <f t="shared" si="12"/>
        <v>0.79166666666666674</v>
      </c>
      <c r="N54" s="21">
        <f>IFERROR(VLOOKUP(A54,'Agent Sched'!B:I,8,),"-")</f>
        <v>0.41666666666666669</v>
      </c>
      <c r="O54" s="13">
        <f t="shared" si="13"/>
        <v>0.79166666666666674</v>
      </c>
      <c r="Q54" s="12">
        <f>VLOOKUP(A54,'Agent Sched'!B:Y,24,)</f>
        <v>0.41666666666666669</v>
      </c>
      <c r="R54" s="13">
        <f t="shared" si="14"/>
        <v>0.79166666666666674</v>
      </c>
      <c r="T54" s="25">
        <f>VLOOKUP(A54,'Agent Sched'!$B:$J,9,)</f>
        <v>0.41666666666666669</v>
      </c>
      <c r="U54" s="13">
        <f t="shared" si="15"/>
        <v>0.79166666666666674</v>
      </c>
      <c r="V54" s="12" t="str">
        <f>VLOOKUP(A54,'Agent Sched'!B:K,10,)</f>
        <v>OFF</v>
      </c>
      <c r="W54" s="13" t="str">
        <f t="shared" si="16"/>
        <v>OFF</v>
      </c>
      <c r="X54" s="12" t="str">
        <f>VLOOKUP(A54,'Agent Sched'!B:L,11,)</f>
        <v>OFF</v>
      </c>
      <c r="Y54" s="13" t="str">
        <f t="shared" si="17"/>
        <v>OFF</v>
      </c>
      <c r="Z54" s="12">
        <f>VLOOKUP(A54,'Agent Sched'!B:M,12,)</f>
        <v>0.41666666666666669</v>
      </c>
      <c r="AA54" s="13">
        <f t="shared" si="18"/>
        <v>0.79166666666666674</v>
      </c>
      <c r="AB54" s="12">
        <f>VLOOKUP(A54,'Agent Sched'!B:N,13,)</f>
        <v>0.41666666666666669</v>
      </c>
      <c r="AC54" s="13">
        <f t="shared" si="19"/>
        <v>0.79166666666666674</v>
      </c>
      <c r="AD54" s="12">
        <f>VLOOKUP(A54,'Agent Sched'!B:O,14,)</f>
        <v>0.41666666666666669</v>
      </c>
      <c r="AE54" s="13">
        <f t="shared" si="20"/>
        <v>0.79166666666666674</v>
      </c>
      <c r="AF54" s="21">
        <f>VLOOKUP(A54,'Agent Sched'!B:P,15,)</f>
        <v>0.41666666666666669</v>
      </c>
      <c r="AG54" s="13">
        <f t="shared" si="21"/>
        <v>0.79166666666666674</v>
      </c>
      <c r="AI54" s="25">
        <f>VLOOKUP(A54,'Agent Sched'!$B:$Q,16,)</f>
        <v>0.41666666666666669</v>
      </c>
      <c r="AJ54" s="13">
        <f t="shared" si="22"/>
        <v>0.79166666666666674</v>
      </c>
      <c r="AK54" s="12" t="str">
        <f>VLOOKUP(A54,'Agent Sched'!B:R,17,)</f>
        <v>OFF</v>
      </c>
      <c r="AL54" s="13" t="str">
        <f t="shared" si="23"/>
        <v>OFF</v>
      </c>
      <c r="AM54" s="12" t="str">
        <f>VLOOKUP(A54,'Agent Sched'!B:S,18,)</f>
        <v>OFF</v>
      </c>
      <c r="AN54" s="13" t="str">
        <f t="shared" si="24"/>
        <v>OFF</v>
      </c>
      <c r="AO54" s="12">
        <f>VLOOKUP(A54,'Agent Sched'!B:T,19,)</f>
        <v>0.41666666666666669</v>
      </c>
      <c r="AP54" s="13">
        <f t="shared" si="25"/>
        <v>0.79166666666666674</v>
      </c>
      <c r="AQ54" s="12">
        <f>VLOOKUP(A54,'Agent Sched'!B:U,20,)</f>
        <v>0.41666666666666669</v>
      </c>
      <c r="AR54" s="13">
        <f t="shared" si="26"/>
        <v>0.79166666666666674</v>
      </c>
      <c r="AS54" s="12">
        <f>VLOOKUP(A54,'Agent Sched'!B:V,21,)</f>
        <v>0.41666666666666669</v>
      </c>
      <c r="AT54" s="13">
        <f t="shared" si="27"/>
        <v>0.79166666666666674</v>
      </c>
      <c r="AU54" s="21">
        <f>VLOOKUP(A54,'Agent Sched'!B:W,22,)</f>
        <v>0.41666666666666669</v>
      </c>
      <c r="AV54" s="13">
        <f t="shared" si="28"/>
        <v>0.79166666666666674</v>
      </c>
    </row>
    <row r="55" spans="1:48" x14ac:dyDescent="0.25">
      <c r="A55" s="20" t="str">
        <f>'Agent Sched'!B56</f>
        <v>Ariel,Marquez,Ulgado</v>
      </c>
      <c r="B55" s="12">
        <f>IFERROR(VLOOKUP(A55,'Agent Sched'!$B:$C,2,),"-")</f>
        <v>0.41666666666666669</v>
      </c>
      <c r="C55" s="13">
        <f t="shared" si="7"/>
        <v>0.79166666666666674</v>
      </c>
      <c r="D55" s="12" t="str">
        <f>IFERROR(VLOOKUP(A55,'Agent Sched'!B:D,3,),"-")</f>
        <v>OFF</v>
      </c>
      <c r="E55" s="13" t="str">
        <f t="shared" si="8"/>
        <v>OFF</v>
      </c>
      <c r="F55" s="12" t="str">
        <f>IFERROR(VLOOKUP(A55,'Agent Sched'!B:E,4,),"-")</f>
        <v>OFF</v>
      </c>
      <c r="G55" s="13" t="str">
        <f t="shared" si="9"/>
        <v>OFF</v>
      </c>
      <c r="H55" s="12">
        <f>IFERROR(VLOOKUP(A55,'Agent Sched'!B:F,5,),"-")</f>
        <v>0.41666666666666669</v>
      </c>
      <c r="I55" s="13">
        <f t="shared" si="10"/>
        <v>0.79166666666666674</v>
      </c>
      <c r="J55" s="12">
        <f>IFERROR(VLOOKUP(A55,'Agent Sched'!B:G,6,),"-")</f>
        <v>0.41666666666666669</v>
      </c>
      <c r="K55" s="13">
        <f t="shared" si="11"/>
        <v>0.79166666666666674</v>
      </c>
      <c r="L55" s="12">
        <f>IFERROR(VLOOKUP(A55,'Agent Sched'!B:H,7,),"-")</f>
        <v>0.41666666666666669</v>
      </c>
      <c r="M55" s="13">
        <f t="shared" si="12"/>
        <v>0.79166666666666674</v>
      </c>
      <c r="N55" s="21">
        <f>IFERROR(VLOOKUP(A55,'Agent Sched'!B:I,8,),"-")</f>
        <v>0.41666666666666669</v>
      </c>
      <c r="O55" s="13">
        <f t="shared" si="13"/>
        <v>0.79166666666666674</v>
      </c>
      <c r="Q55" s="12">
        <f>VLOOKUP(A55,'Agent Sched'!B:Y,24,)</f>
        <v>0.41666666666666669</v>
      </c>
      <c r="R55" s="13">
        <f t="shared" si="14"/>
        <v>0.79166666666666674</v>
      </c>
      <c r="T55" s="25">
        <f>VLOOKUP(A55,'Agent Sched'!$B:$J,9,)</f>
        <v>0.41666666666666669</v>
      </c>
      <c r="U55" s="13">
        <f t="shared" si="15"/>
        <v>0.79166666666666674</v>
      </c>
      <c r="V55" s="12" t="str">
        <f>VLOOKUP(A55,'Agent Sched'!B:K,10,)</f>
        <v>OFF</v>
      </c>
      <c r="W55" s="13" t="str">
        <f t="shared" si="16"/>
        <v>OFF</v>
      </c>
      <c r="X55" s="12" t="str">
        <f>VLOOKUP(A55,'Agent Sched'!B:L,11,)</f>
        <v>OFF</v>
      </c>
      <c r="Y55" s="13" t="str">
        <f t="shared" si="17"/>
        <v>OFF</v>
      </c>
      <c r="Z55" s="12">
        <f>VLOOKUP(A55,'Agent Sched'!B:M,12,)</f>
        <v>0.41666666666666669</v>
      </c>
      <c r="AA55" s="13">
        <f t="shared" si="18"/>
        <v>0.79166666666666674</v>
      </c>
      <c r="AB55" s="12">
        <f>VLOOKUP(A55,'Agent Sched'!B:N,13,)</f>
        <v>0.41666666666666669</v>
      </c>
      <c r="AC55" s="13">
        <f t="shared" si="19"/>
        <v>0.79166666666666674</v>
      </c>
      <c r="AD55" s="12">
        <f>VLOOKUP(A55,'Agent Sched'!B:O,14,)</f>
        <v>0.41666666666666669</v>
      </c>
      <c r="AE55" s="13">
        <f t="shared" si="20"/>
        <v>0.79166666666666674</v>
      </c>
      <c r="AF55" s="21">
        <f>VLOOKUP(A55,'Agent Sched'!B:P,15,)</f>
        <v>0.41666666666666669</v>
      </c>
      <c r="AG55" s="13">
        <f t="shared" si="21"/>
        <v>0.79166666666666674</v>
      </c>
      <c r="AI55" s="25">
        <f>VLOOKUP(A55,'Agent Sched'!$B:$Q,16,)</f>
        <v>0.41666666666666669</v>
      </c>
      <c r="AJ55" s="13">
        <f t="shared" si="22"/>
        <v>0.79166666666666674</v>
      </c>
      <c r="AK55" s="12" t="str">
        <f>VLOOKUP(A55,'Agent Sched'!B:R,17,)</f>
        <v>OFF</v>
      </c>
      <c r="AL55" s="13" t="str">
        <f t="shared" si="23"/>
        <v>OFF</v>
      </c>
      <c r="AM55" s="12" t="str">
        <f>VLOOKUP(A55,'Agent Sched'!B:S,18,)</f>
        <v>OFF</v>
      </c>
      <c r="AN55" s="13" t="str">
        <f t="shared" si="24"/>
        <v>OFF</v>
      </c>
      <c r="AO55" s="12">
        <f>VLOOKUP(A55,'Agent Sched'!B:T,19,)</f>
        <v>0.41666666666666669</v>
      </c>
      <c r="AP55" s="13">
        <f t="shared" si="25"/>
        <v>0.79166666666666674</v>
      </c>
      <c r="AQ55" s="12">
        <f>VLOOKUP(A55,'Agent Sched'!B:U,20,)</f>
        <v>0.41666666666666669</v>
      </c>
      <c r="AR55" s="13">
        <f t="shared" si="26"/>
        <v>0.79166666666666674</v>
      </c>
      <c r="AS55" s="12">
        <f>VLOOKUP(A55,'Agent Sched'!B:V,21,)</f>
        <v>0.41666666666666669</v>
      </c>
      <c r="AT55" s="13">
        <f t="shared" si="27"/>
        <v>0.79166666666666674</v>
      </c>
      <c r="AU55" s="21">
        <f>VLOOKUP(A55,'Agent Sched'!B:W,22,)</f>
        <v>0.41666666666666669</v>
      </c>
      <c r="AV55" s="13">
        <f t="shared" si="28"/>
        <v>0.79166666666666674</v>
      </c>
    </row>
    <row r="56" spans="1:48" x14ac:dyDescent="0.25">
      <c r="A56" s="20" t="str">
        <f>'Agent Sched'!B57</f>
        <v>Marilyn De Mesa</v>
      </c>
      <c r="B56" s="12">
        <f>IFERROR(VLOOKUP(A56,'Agent Sched'!$B:$C,2,),"-")</f>
        <v>0.41666666666666669</v>
      </c>
      <c r="C56" s="13">
        <f t="shared" si="7"/>
        <v>0.79166666666666674</v>
      </c>
      <c r="D56" s="12" t="str">
        <f>IFERROR(VLOOKUP(A56,'Agent Sched'!B:D,3,),"-")</f>
        <v>OFF</v>
      </c>
      <c r="E56" s="13" t="str">
        <f t="shared" si="8"/>
        <v>OFF</v>
      </c>
      <c r="F56" s="12" t="str">
        <f>IFERROR(VLOOKUP(A56,'Agent Sched'!B:E,4,),"-")</f>
        <v>OFF</v>
      </c>
      <c r="G56" s="13" t="str">
        <f t="shared" si="9"/>
        <v>OFF</v>
      </c>
      <c r="H56" s="12">
        <f>IFERROR(VLOOKUP(A56,'Agent Sched'!B:F,5,),"-")</f>
        <v>0.41666666666666669</v>
      </c>
      <c r="I56" s="13">
        <f t="shared" si="10"/>
        <v>0.79166666666666674</v>
      </c>
      <c r="J56" s="12">
        <f>IFERROR(VLOOKUP(A56,'Agent Sched'!B:G,6,),"-")</f>
        <v>0.41666666666666669</v>
      </c>
      <c r="K56" s="13">
        <f t="shared" si="11"/>
        <v>0.79166666666666674</v>
      </c>
      <c r="L56" s="12">
        <f>IFERROR(VLOOKUP(A56,'Agent Sched'!B:H,7,),"-")</f>
        <v>0.41666666666666669</v>
      </c>
      <c r="M56" s="13">
        <f t="shared" si="12"/>
        <v>0.79166666666666674</v>
      </c>
      <c r="N56" s="21">
        <f>IFERROR(VLOOKUP(A56,'Agent Sched'!B:I,8,),"-")</f>
        <v>0.41666666666666669</v>
      </c>
      <c r="O56" s="13">
        <f t="shared" si="13"/>
        <v>0.79166666666666674</v>
      </c>
      <c r="Q56" s="12">
        <f>VLOOKUP(A56,'Agent Sched'!B:Y,24,)</f>
        <v>0.41666666666666669</v>
      </c>
      <c r="R56" s="13">
        <f t="shared" si="14"/>
        <v>0.79166666666666674</v>
      </c>
      <c r="T56" s="25">
        <f>VLOOKUP(A56,'Agent Sched'!$B:$J,9,)</f>
        <v>0.41666666666666669</v>
      </c>
      <c r="U56" s="13">
        <f t="shared" si="15"/>
        <v>0.79166666666666674</v>
      </c>
      <c r="V56" s="12" t="str">
        <f>VLOOKUP(A56,'Agent Sched'!B:K,10,)</f>
        <v>OFF</v>
      </c>
      <c r="W56" s="13" t="str">
        <f t="shared" si="16"/>
        <v>OFF</v>
      </c>
      <c r="X56" s="12" t="str">
        <f>VLOOKUP(A56,'Agent Sched'!B:L,11,)</f>
        <v>OFF</v>
      </c>
      <c r="Y56" s="13" t="str">
        <f t="shared" si="17"/>
        <v>OFF</v>
      </c>
      <c r="Z56" s="12">
        <f>VLOOKUP(A56,'Agent Sched'!B:M,12,)</f>
        <v>0.41666666666666669</v>
      </c>
      <c r="AA56" s="13">
        <f t="shared" si="18"/>
        <v>0.79166666666666674</v>
      </c>
      <c r="AB56" s="12">
        <f>VLOOKUP(A56,'Agent Sched'!B:N,13,)</f>
        <v>0.41666666666666669</v>
      </c>
      <c r="AC56" s="13">
        <f t="shared" si="19"/>
        <v>0.79166666666666674</v>
      </c>
      <c r="AD56" s="12">
        <f>VLOOKUP(A56,'Agent Sched'!B:O,14,)</f>
        <v>0.41666666666666669</v>
      </c>
      <c r="AE56" s="13">
        <f t="shared" si="20"/>
        <v>0.79166666666666674</v>
      </c>
      <c r="AF56" s="21">
        <f>VLOOKUP(A56,'Agent Sched'!B:P,15,)</f>
        <v>0.41666666666666669</v>
      </c>
      <c r="AG56" s="13">
        <f t="shared" si="21"/>
        <v>0.79166666666666674</v>
      </c>
      <c r="AI56" s="25">
        <f>VLOOKUP(A56,'Agent Sched'!$B:$Q,16,)</f>
        <v>0.41666666666666669</v>
      </c>
      <c r="AJ56" s="13">
        <f t="shared" si="22"/>
        <v>0.79166666666666674</v>
      </c>
      <c r="AK56" s="12" t="str">
        <f>VLOOKUP(A56,'Agent Sched'!B:R,17,)</f>
        <v>OFF</v>
      </c>
      <c r="AL56" s="13" t="str">
        <f t="shared" si="23"/>
        <v>OFF</v>
      </c>
      <c r="AM56" s="12" t="str">
        <f>VLOOKUP(A56,'Agent Sched'!B:S,18,)</f>
        <v>OFF</v>
      </c>
      <c r="AN56" s="13" t="str">
        <f t="shared" si="24"/>
        <v>OFF</v>
      </c>
      <c r="AO56" s="12">
        <f>VLOOKUP(A56,'Agent Sched'!B:T,19,)</f>
        <v>0.41666666666666669</v>
      </c>
      <c r="AP56" s="13">
        <f t="shared" si="25"/>
        <v>0.79166666666666674</v>
      </c>
      <c r="AQ56" s="12">
        <f>VLOOKUP(A56,'Agent Sched'!B:U,20,)</f>
        <v>0.41666666666666669</v>
      </c>
      <c r="AR56" s="13">
        <f t="shared" si="26"/>
        <v>0.79166666666666674</v>
      </c>
      <c r="AS56" s="12">
        <f>VLOOKUP(A56,'Agent Sched'!B:V,21,)</f>
        <v>0.41666666666666669</v>
      </c>
      <c r="AT56" s="13">
        <f t="shared" si="27"/>
        <v>0.79166666666666674</v>
      </c>
      <c r="AU56" s="21">
        <f>VLOOKUP(A56,'Agent Sched'!B:W,22,)</f>
        <v>0.41666666666666669</v>
      </c>
      <c r="AV56" s="13">
        <f t="shared" si="28"/>
        <v>0.79166666666666674</v>
      </c>
    </row>
    <row r="57" spans="1:48" x14ac:dyDescent="0.25">
      <c r="A57" s="20" t="str">
        <f>'Agent Sched'!B58</f>
        <v>Marilyn Gargar</v>
      </c>
      <c r="B57" s="12">
        <f>IFERROR(VLOOKUP(A57,'Agent Sched'!$B:$C,2,),"-")</f>
        <v>0.41666666666666669</v>
      </c>
      <c r="C57" s="13">
        <f t="shared" si="7"/>
        <v>0.79166666666666674</v>
      </c>
      <c r="D57" s="12" t="str">
        <f>IFERROR(VLOOKUP(A57,'Agent Sched'!B:D,3,),"-")</f>
        <v>OFF</v>
      </c>
      <c r="E57" s="13" t="str">
        <f t="shared" si="8"/>
        <v>OFF</v>
      </c>
      <c r="F57" s="12" t="str">
        <f>IFERROR(VLOOKUP(A57,'Agent Sched'!B:E,4,),"-")</f>
        <v>OFF</v>
      </c>
      <c r="G57" s="13" t="str">
        <f t="shared" si="9"/>
        <v>OFF</v>
      </c>
      <c r="H57" s="12">
        <f>IFERROR(VLOOKUP(A57,'Agent Sched'!B:F,5,),"-")</f>
        <v>0.41666666666666669</v>
      </c>
      <c r="I57" s="13">
        <f t="shared" si="10"/>
        <v>0.79166666666666674</v>
      </c>
      <c r="J57" s="12">
        <f>IFERROR(VLOOKUP(A57,'Agent Sched'!B:G,6,),"-")</f>
        <v>0.41666666666666669</v>
      </c>
      <c r="K57" s="13">
        <f t="shared" si="11"/>
        <v>0.79166666666666674</v>
      </c>
      <c r="L57" s="12">
        <f>IFERROR(VLOOKUP(A57,'Agent Sched'!B:H,7,),"-")</f>
        <v>0.41666666666666669</v>
      </c>
      <c r="M57" s="13">
        <f t="shared" si="12"/>
        <v>0.79166666666666674</v>
      </c>
      <c r="N57" s="21">
        <f>IFERROR(VLOOKUP(A57,'Agent Sched'!B:I,8,),"-")</f>
        <v>0.41666666666666669</v>
      </c>
      <c r="O57" s="13">
        <f t="shared" si="13"/>
        <v>0.79166666666666674</v>
      </c>
      <c r="Q57" s="12">
        <f>VLOOKUP(A57,'Agent Sched'!B:Y,24,)</f>
        <v>0.41666666666666669</v>
      </c>
      <c r="R57" s="13">
        <f t="shared" si="14"/>
        <v>0.79166666666666674</v>
      </c>
      <c r="T57" s="25">
        <f>VLOOKUP(A57,'Agent Sched'!$B:$J,9,)</f>
        <v>0.41666666666666669</v>
      </c>
      <c r="U57" s="13">
        <f t="shared" si="15"/>
        <v>0.79166666666666674</v>
      </c>
      <c r="V57" s="12" t="str">
        <f>VLOOKUP(A57,'Agent Sched'!B:K,10,)</f>
        <v>OFF</v>
      </c>
      <c r="W57" s="13" t="str">
        <f t="shared" si="16"/>
        <v>OFF</v>
      </c>
      <c r="X57" s="12" t="str">
        <f>VLOOKUP(A57,'Agent Sched'!B:L,11,)</f>
        <v>OFF</v>
      </c>
      <c r="Y57" s="13" t="str">
        <f t="shared" si="17"/>
        <v>OFF</v>
      </c>
      <c r="Z57" s="12">
        <f>VLOOKUP(A57,'Agent Sched'!B:M,12,)</f>
        <v>0.41666666666666669</v>
      </c>
      <c r="AA57" s="13">
        <f t="shared" si="18"/>
        <v>0.79166666666666674</v>
      </c>
      <c r="AB57" s="12">
        <f>VLOOKUP(A57,'Agent Sched'!B:N,13,)</f>
        <v>0.41666666666666669</v>
      </c>
      <c r="AC57" s="13">
        <f t="shared" si="19"/>
        <v>0.79166666666666674</v>
      </c>
      <c r="AD57" s="12">
        <f>VLOOKUP(A57,'Agent Sched'!B:O,14,)</f>
        <v>0.41666666666666669</v>
      </c>
      <c r="AE57" s="13">
        <f t="shared" si="20"/>
        <v>0.79166666666666674</v>
      </c>
      <c r="AF57" s="21">
        <f>VLOOKUP(A57,'Agent Sched'!B:P,15,)</f>
        <v>0.41666666666666669</v>
      </c>
      <c r="AG57" s="13">
        <f t="shared" si="21"/>
        <v>0.79166666666666674</v>
      </c>
      <c r="AI57" s="25">
        <f>VLOOKUP(A57,'Agent Sched'!$B:$Q,16,)</f>
        <v>0.41666666666666669</v>
      </c>
      <c r="AJ57" s="13">
        <f t="shared" si="22"/>
        <v>0.79166666666666674</v>
      </c>
      <c r="AK57" s="12" t="str">
        <f>VLOOKUP(A57,'Agent Sched'!B:R,17,)</f>
        <v>OFF</v>
      </c>
      <c r="AL57" s="13" t="str">
        <f t="shared" si="23"/>
        <v>OFF</v>
      </c>
      <c r="AM57" s="12" t="str">
        <f>VLOOKUP(A57,'Agent Sched'!B:S,18,)</f>
        <v>OFF</v>
      </c>
      <c r="AN57" s="13" t="str">
        <f t="shared" si="24"/>
        <v>OFF</v>
      </c>
      <c r="AO57" s="12">
        <f>VLOOKUP(A57,'Agent Sched'!B:T,19,)</f>
        <v>0.41666666666666669</v>
      </c>
      <c r="AP57" s="13">
        <f t="shared" si="25"/>
        <v>0.79166666666666674</v>
      </c>
      <c r="AQ57" s="12">
        <f>VLOOKUP(A57,'Agent Sched'!B:U,20,)</f>
        <v>0.41666666666666669</v>
      </c>
      <c r="AR57" s="13">
        <f t="shared" si="26"/>
        <v>0.79166666666666674</v>
      </c>
      <c r="AS57" s="12">
        <f>VLOOKUP(A57,'Agent Sched'!B:V,21,)</f>
        <v>0.41666666666666669</v>
      </c>
      <c r="AT57" s="13">
        <f t="shared" si="27"/>
        <v>0.79166666666666674</v>
      </c>
      <c r="AU57" s="21">
        <f>VLOOKUP(A57,'Agent Sched'!B:W,22,)</f>
        <v>0.41666666666666669</v>
      </c>
      <c r="AV57" s="13">
        <f t="shared" si="28"/>
        <v>0.79166666666666674</v>
      </c>
    </row>
    <row r="58" spans="1:48" x14ac:dyDescent="0.25">
      <c r="A58" s="20" t="str">
        <f>'Agent Sched'!B59</f>
        <v>Marc Arthur Torres</v>
      </c>
      <c r="B58" s="12">
        <f>IFERROR(VLOOKUP(A58,'Agent Sched'!$B:$C,2,),"-")</f>
        <v>0.41666666666666669</v>
      </c>
      <c r="C58" s="13">
        <f t="shared" si="7"/>
        <v>0.79166666666666674</v>
      </c>
      <c r="D58" s="12" t="str">
        <f>IFERROR(VLOOKUP(A58,'Agent Sched'!B:D,3,),"-")</f>
        <v>OFF</v>
      </c>
      <c r="E58" s="13" t="str">
        <f t="shared" si="8"/>
        <v>OFF</v>
      </c>
      <c r="F58" s="12" t="str">
        <f>IFERROR(VLOOKUP(A58,'Agent Sched'!B:E,4,),"-")</f>
        <v>OFF</v>
      </c>
      <c r="G58" s="13" t="str">
        <f t="shared" si="9"/>
        <v>OFF</v>
      </c>
      <c r="H58" s="12">
        <f>IFERROR(VLOOKUP(A58,'Agent Sched'!B:F,5,),"-")</f>
        <v>0.41666666666666669</v>
      </c>
      <c r="I58" s="13">
        <f t="shared" si="10"/>
        <v>0.79166666666666674</v>
      </c>
      <c r="J58" s="12">
        <f>IFERROR(VLOOKUP(A58,'Agent Sched'!B:G,6,),"-")</f>
        <v>0.41666666666666669</v>
      </c>
      <c r="K58" s="13">
        <f t="shared" si="11"/>
        <v>0.79166666666666674</v>
      </c>
      <c r="L58" s="12">
        <f>IFERROR(VLOOKUP(A58,'Agent Sched'!B:H,7,),"-")</f>
        <v>0.41666666666666669</v>
      </c>
      <c r="M58" s="13">
        <f t="shared" si="12"/>
        <v>0.79166666666666674</v>
      </c>
      <c r="N58" s="21">
        <f>IFERROR(VLOOKUP(A58,'Agent Sched'!B:I,8,),"-")</f>
        <v>0.41666666666666669</v>
      </c>
      <c r="O58" s="13">
        <f t="shared" si="13"/>
        <v>0.79166666666666674</v>
      </c>
      <c r="Q58" s="12">
        <f>VLOOKUP(A58,'Agent Sched'!B:Y,24,)</f>
        <v>0.41666666666666669</v>
      </c>
      <c r="R58" s="13">
        <f t="shared" si="14"/>
        <v>0.79166666666666674</v>
      </c>
      <c r="T58" s="25">
        <f>VLOOKUP(A58,'Agent Sched'!$B:$J,9,)</f>
        <v>0.41666666666666669</v>
      </c>
      <c r="U58" s="13">
        <f t="shared" si="15"/>
        <v>0.79166666666666674</v>
      </c>
      <c r="V58" s="12" t="str">
        <f>VLOOKUP(A58,'Agent Sched'!B:K,10,)</f>
        <v>OFF</v>
      </c>
      <c r="W58" s="13" t="str">
        <f t="shared" si="16"/>
        <v>OFF</v>
      </c>
      <c r="X58" s="12" t="str">
        <f>VLOOKUP(A58,'Agent Sched'!B:L,11,)</f>
        <v>OFF</v>
      </c>
      <c r="Y58" s="13" t="str">
        <f t="shared" si="17"/>
        <v>OFF</v>
      </c>
      <c r="Z58" s="12">
        <f>VLOOKUP(A58,'Agent Sched'!B:M,12,)</f>
        <v>0.41666666666666669</v>
      </c>
      <c r="AA58" s="13">
        <f t="shared" si="18"/>
        <v>0.79166666666666674</v>
      </c>
      <c r="AB58" s="12">
        <f>VLOOKUP(A58,'Agent Sched'!B:N,13,)</f>
        <v>0.41666666666666669</v>
      </c>
      <c r="AC58" s="13">
        <f t="shared" si="19"/>
        <v>0.79166666666666674</v>
      </c>
      <c r="AD58" s="12">
        <f>VLOOKUP(A58,'Agent Sched'!B:O,14,)</f>
        <v>0.41666666666666669</v>
      </c>
      <c r="AE58" s="13">
        <f t="shared" si="20"/>
        <v>0.79166666666666674</v>
      </c>
      <c r="AF58" s="21">
        <f>VLOOKUP(A58,'Agent Sched'!B:P,15,)</f>
        <v>0.41666666666666669</v>
      </c>
      <c r="AG58" s="13">
        <f t="shared" si="21"/>
        <v>0.79166666666666674</v>
      </c>
      <c r="AI58" s="25">
        <f>VLOOKUP(A58,'Agent Sched'!$B:$Q,16,)</f>
        <v>0.41666666666666669</v>
      </c>
      <c r="AJ58" s="13">
        <f t="shared" si="22"/>
        <v>0.79166666666666674</v>
      </c>
      <c r="AK58" s="12" t="str">
        <f>VLOOKUP(A58,'Agent Sched'!B:R,17,)</f>
        <v>OFF</v>
      </c>
      <c r="AL58" s="13" t="str">
        <f t="shared" si="23"/>
        <v>OFF</v>
      </c>
      <c r="AM58" s="12" t="str">
        <f>VLOOKUP(A58,'Agent Sched'!B:S,18,)</f>
        <v>OFF</v>
      </c>
      <c r="AN58" s="13" t="str">
        <f t="shared" si="24"/>
        <v>OFF</v>
      </c>
      <c r="AO58" s="12">
        <f>VLOOKUP(A58,'Agent Sched'!B:T,19,)</f>
        <v>0.41666666666666669</v>
      </c>
      <c r="AP58" s="13">
        <f t="shared" si="25"/>
        <v>0.79166666666666674</v>
      </c>
      <c r="AQ58" s="12">
        <f>VLOOKUP(A58,'Agent Sched'!B:U,20,)</f>
        <v>0.41666666666666669</v>
      </c>
      <c r="AR58" s="13">
        <f t="shared" si="26"/>
        <v>0.79166666666666674</v>
      </c>
      <c r="AS58" s="12">
        <f>VLOOKUP(A58,'Agent Sched'!B:V,21,)</f>
        <v>0.41666666666666669</v>
      </c>
      <c r="AT58" s="13">
        <f t="shared" si="27"/>
        <v>0.79166666666666674</v>
      </c>
      <c r="AU58" s="21">
        <f>VLOOKUP(A58,'Agent Sched'!B:W,22,)</f>
        <v>0.41666666666666669</v>
      </c>
      <c r="AV58" s="13">
        <f t="shared" si="28"/>
        <v>0.79166666666666674</v>
      </c>
    </row>
    <row r="59" spans="1:48" x14ac:dyDescent="0.25">
      <c r="A59" s="20" t="str">
        <f>'Agent Sched'!B60</f>
        <v>Mary Jane Vea</v>
      </c>
      <c r="B59" s="12">
        <f>IFERROR(VLOOKUP(A59,'Agent Sched'!$B:$C,2,),"-")</f>
        <v>0.41666666666666669</v>
      </c>
      <c r="C59" s="13">
        <f t="shared" si="7"/>
        <v>0.79166666666666674</v>
      </c>
      <c r="D59" s="12" t="str">
        <f>IFERROR(VLOOKUP(A59,'Agent Sched'!B:D,3,),"-")</f>
        <v>OFF</v>
      </c>
      <c r="E59" s="13" t="str">
        <f t="shared" si="8"/>
        <v>OFF</v>
      </c>
      <c r="F59" s="12" t="str">
        <f>IFERROR(VLOOKUP(A59,'Agent Sched'!B:E,4,),"-")</f>
        <v>OFF</v>
      </c>
      <c r="G59" s="13" t="str">
        <f t="shared" si="9"/>
        <v>OFF</v>
      </c>
      <c r="H59" s="12">
        <f>IFERROR(VLOOKUP(A59,'Agent Sched'!B:F,5,),"-")</f>
        <v>0.41666666666666669</v>
      </c>
      <c r="I59" s="13">
        <f t="shared" si="10"/>
        <v>0.79166666666666674</v>
      </c>
      <c r="J59" s="12">
        <f>IFERROR(VLOOKUP(A59,'Agent Sched'!B:G,6,),"-")</f>
        <v>0.41666666666666669</v>
      </c>
      <c r="K59" s="13">
        <f t="shared" si="11"/>
        <v>0.79166666666666674</v>
      </c>
      <c r="L59" s="12">
        <f>IFERROR(VLOOKUP(A59,'Agent Sched'!B:H,7,),"-")</f>
        <v>0.41666666666666669</v>
      </c>
      <c r="M59" s="13">
        <f t="shared" si="12"/>
        <v>0.79166666666666674</v>
      </c>
      <c r="N59" s="21">
        <f>IFERROR(VLOOKUP(A59,'Agent Sched'!B:I,8,),"-")</f>
        <v>0.41666666666666669</v>
      </c>
      <c r="O59" s="13">
        <f t="shared" si="13"/>
        <v>0.79166666666666674</v>
      </c>
      <c r="Q59" s="12">
        <f>VLOOKUP(A59,'Agent Sched'!B:Y,24,)</f>
        <v>0.41666666666666669</v>
      </c>
      <c r="R59" s="13">
        <f t="shared" si="14"/>
        <v>0.79166666666666674</v>
      </c>
      <c r="T59" s="25">
        <f>VLOOKUP(A59,'Agent Sched'!$B:$J,9,)</f>
        <v>0.41666666666666669</v>
      </c>
      <c r="U59" s="13">
        <f t="shared" si="15"/>
        <v>0.79166666666666674</v>
      </c>
      <c r="V59" s="12" t="str">
        <f>VLOOKUP(A59,'Agent Sched'!B:K,10,)</f>
        <v>OFF</v>
      </c>
      <c r="W59" s="13" t="str">
        <f t="shared" si="16"/>
        <v>OFF</v>
      </c>
      <c r="X59" s="12" t="str">
        <f>VLOOKUP(A59,'Agent Sched'!B:L,11,)</f>
        <v>OFF</v>
      </c>
      <c r="Y59" s="13" t="str">
        <f t="shared" si="17"/>
        <v>OFF</v>
      </c>
      <c r="Z59" s="12">
        <f>VLOOKUP(A59,'Agent Sched'!B:M,12,)</f>
        <v>0.41666666666666669</v>
      </c>
      <c r="AA59" s="13">
        <f t="shared" si="18"/>
        <v>0.79166666666666674</v>
      </c>
      <c r="AB59" s="12">
        <f>VLOOKUP(A59,'Agent Sched'!B:N,13,)</f>
        <v>0.41666666666666669</v>
      </c>
      <c r="AC59" s="13">
        <f t="shared" si="19"/>
        <v>0.79166666666666674</v>
      </c>
      <c r="AD59" s="12">
        <f>VLOOKUP(A59,'Agent Sched'!B:O,14,)</f>
        <v>0.41666666666666669</v>
      </c>
      <c r="AE59" s="13">
        <f t="shared" si="20"/>
        <v>0.79166666666666674</v>
      </c>
      <c r="AF59" s="21">
        <f>VLOOKUP(A59,'Agent Sched'!B:P,15,)</f>
        <v>0.41666666666666669</v>
      </c>
      <c r="AG59" s="13">
        <f t="shared" si="21"/>
        <v>0.79166666666666674</v>
      </c>
      <c r="AI59" s="25">
        <f>VLOOKUP(A59,'Agent Sched'!$B:$Q,16,)</f>
        <v>0.41666666666666669</v>
      </c>
      <c r="AJ59" s="13">
        <f t="shared" si="22"/>
        <v>0.79166666666666674</v>
      </c>
      <c r="AK59" s="12" t="str">
        <f>VLOOKUP(A59,'Agent Sched'!B:R,17,)</f>
        <v>OFF</v>
      </c>
      <c r="AL59" s="13" t="str">
        <f t="shared" si="23"/>
        <v>OFF</v>
      </c>
      <c r="AM59" s="12" t="str">
        <f>VLOOKUP(A59,'Agent Sched'!B:S,18,)</f>
        <v>OFF</v>
      </c>
      <c r="AN59" s="13" t="str">
        <f t="shared" si="24"/>
        <v>OFF</v>
      </c>
      <c r="AO59" s="12">
        <f>VLOOKUP(A59,'Agent Sched'!B:T,19,)</f>
        <v>0.41666666666666669</v>
      </c>
      <c r="AP59" s="13">
        <f t="shared" si="25"/>
        <v>0.79166666666666674</v>
      </c>
      <c r="AQ59" s="12">
        <f>VLOOKUP(A59,'Agent Sched'!B:U,20,)</f>
        <v>0.41666666666666669</v>
      </c>
      <c r="AR59" s="13">
        <f t="shared" si="26"/>
        <v>0.79166666666666674</v>
      </c>
      <c r="AS59" s="12">
        <f>VLOOKUP(A59,'Agent Sched'!B:V,21,)</f>
        <v>0.41666666666666669</v>
      </c>
      <c r="AT59" s="13">
        <f t="shared" si="27"/>
        <v>0.79166666666666674</v>
      </c>
      <c r="AU59" s="21">
        <f>VLOOKUP(A59,'Agent Sched'!B:W,22,)</f>
        <v>0.41666666666666669</v>
      </c>
      <c r="AV59" s="13">
        <f t="shared" si="28"/>
        <v>0.79166666666666674</v>
      </c>
    </row>
    <row r="60" spans="1:48" x14ac:dyDescent="0.25">
      <c r="A60" s="20" t="str">
        <f>'Agent Sched'!B61</f>
        <v>Mary Chris Demafiles</v>
      </c>
      <c r="B60" s="12">
        <f>IFERROR(VLOOKUP(A60,'Agent Sched'!$B:$C,2,),"-")</f>
        <v>0.41666666666666669</v>
      </c>
      <c r="C60" s="13">
        <f t="shared" si="7"/>
        <v>0.79166666666666674</v>
      </c>
      <c r="D60" s="12" t="str">
        <f>IFERROR(VLOOKUP(A60,'Agent Sched'!B:D,3,),"-")</f>
        <v>OFF</v>
      </c>
      <c r="E60" s="13" t="str">
        <f t="shared" si="8"/>
        <v>OFF</v>
      </c>
      <c r="F60" s="12" t="str">
        <f>IFERROR(VLOOKUP(A60,'Agent Sched'!B:E,4,),"-")</f>
        <v>OFF</v>
      </c>
      <c r="G60" s="13" t="str">
        <f t="shared" si="9"/>
        <v>OFF</v>
      </c>
      <c r="H60" s="12">
        <f>IFERROR(VLOOKUP(A60,'Agent Sched'!B:F,5,),"-")</f>
        <v>0.41666666666666669</v>
      </c>
      <c r="I60" s="13">
        <f t="shared" si="10"/>
        <v>0.79166666666666674</v>
      </c>
      <c r="J60" s="12">
        <f>IFERROR(VLOOKUP(A60,'Agent Sched'!B:G,6,),"-")</f>
        <v>0.41666666666666669</v>
      </c>
      <c r="K60" s="13">
        <f t="shared" si="11"/>
        <v>0.79166666666666674</v>
      </c>
      <c r="L60" s="12">
        <f>IFERROR(VLOOKUP(A60,'Agent Sched'!B:H,7,),"-")</f>
        <v>0.41666666666666669</v>
      </c>
      <c r="M60" s="13">
        <f t="shared" si="12"/>
        <v>0.79166666666666674</v>
      </c>
      <c r="N60" s="21">
        <f>IFERROR(VLOOKUP(A60,'Agent Sched'!B:I,8,),"-")</f>
        <v>0.41666666666666669</v>
      </c>
      <c r="O60" s="13">
        <f t="shared" si="13"/>
        <v>0.79166666666666674</v>
      </c>
      <c r="Q60" s="12">
        <f>VLOOKUP(A60,'Agent Sched'!B:Y,24,)</f>
        <v>0.41666666666666669</v>
      </c>
      <c r="R60" s="13">
        <f t="shared" si="14"/>
        <v>0.79166666666666674</v>
      </c>
      <c r="T60" s="25">
        <f>VLOOKUP(A60,'Agent Sched'!$B:$J,9,)</f>
        <v>0.41666666666666669</v>
      </c>
      <c r="U60" s="13">
        <f t="shared" si="15"/>
        <v>0.79166666666666674</v>
      </c>
      <c r="V60" s="12" t="str">
        <f>VLOOKUP(A60,'Agent Sched'!B:K,10,)</f>
        <v>OFF</v>
      </c>
      <c r="W60" s="13" t="str">
        <f t="shared" si="16"/>
        <v>OFF</v>
      </c>
      <c r="X60" s="12" t="str">
        <f>VLOOKUP(A60,'Agent Sched'!B:L,11,)</f>
        <v>OFF</v>
      </c>
      <c r="Y60" s="13" t="str">
        <f t="shared" si="17"/>
        <v>OFF</v>
      </c>
      <c r="Z60" s="12">
        <f>VLOOKUP(A60,'Agent Sched'!B:M,12,)</f>
        <v>0.41666666666666669</v>
      </c>
      <c r="AA60" s="13">
        <f t="shared" si="18"/>
        <v>0.79166666666666674</v>
      </c>
      <c r="AB60" s="12">
        <f>VLOOKUP(A60,'Agent Sched'!B:N,13,)</f>
        <v>0.41666666666666669</v>
      </c>
      <c r="AC60" s="13">
        <f t="shared" si="19"/>
        <v>0.79166666666666674</v>
      </c>
      <c r="AD60" s="12">
        <f>VLOOKUP(A60,'Agent Sched'!B:O,14,)</f>
        <v>0.41666666666666669</v>
      </c>
      <c r="AE60" s="13">
        <f t="shared" si="20"/>
        <v>0.79166666666666674</v>
      </c>
      <c r="AF60" s="21">
        <f>VLOOKUP(A60,'Agent Sched'!B:P,15,)</f>
        <v>0.41666666666666669</v>
      </c>
      <c r="AG60" s="13">
        <f t="shared" si="21"/>
        <v>0.79166666666666674</v>
      </c>
      <c r="AI60" s="25">
        <f>VLOOKUP(A60,'Agent Sched'!$B:$Q,16,)</f>
        <v>0.41666666666666669</v>
      </c>
      <c r="AJ60" s="13">
        <f t="shared" si="22"/>
        <v>0.79166666666666674</v>
      </c>
      <c r="AK60" s="12" t="str">
        <f>VLOOKUP(A60,'Agent Sched'!B:R,17,)</f>
        <v>OFF</v>
      </c>
      <c r="AL60" s="13" t="str">
        <f t="shared" si="23"/>
        <v>OFF</v>
      </c>
      <c r="AM60" s="12" t="str">
        <f>VLOOKUP(A60,'Agent Sched'!B:S,18,)</f>
        <v>OFF</v>
      </c>
      <c r="AN60" s="13" t="str">
        <f t="shared" si="24"/>
        <v>OFF</v>
      </c>
      <c r="AO60" s="12">
        <f>VLOOKUP(A60,'Agent Sched'!B:T,19,)</f>
        <v>0.41666666666666669</v>
      </c>
      <c r="AP60" s="13">
        <f t="shared" si="25"/>
        <v>0.79166666666666674</v>
      </c>
      <c r="AQ60" s="12">
        <f>VLOOKUP(A60,'Agent Sched'!B:U,20,)</f>
        <v>0.41666666666666669</v>
      </c>
      <c r="AR60" s="13">
        <f t="shared" si="26"/>
        <v>0.79166666666666674</v>
      </c>
      <c r="AS60" s="12">
        <f>VLOOKUP(A60,'Agent Sched'!B:V,21,)</f>
        <v>0.41666666666666669</v>
      </c>
      <c r="AT60" s="13">
        <f t="shared" si="27"/>
        <v>0.79166666666666674</v>
      </c>
      <c r="AU60" s="21">
        <f>VLOOKUP(A60,'Agent Sched'!B:W,22,)</f>
        <v>0.41666666666666669</v>
      </c>
      <c r="AV60" s="13">
        <f t="shared" si="28"/>
        <v>0.79166666666666674</v>
      </c>
    </row>
    <row r="61" spans="1:48" x14ac:dyDescent="0.25">
      <c r="A61" s="20" t="str">
        <f>'Agent Sched'!B62</f>
        <v>Stephanie Ancheta</v>
      </c>
      <c r="B61" s="12">
        <f>IFERROR(VLOOKUP(A61,'Agent Sched'!$B:$C,2,),"-")</f>
        <v>0.41666666666666669</v>
      </c>
      <c r="C61" s="13">
        <f t="shared" si="7"/>
        <v>0.79166666666666674</v>
      </c>
      <c r="D61" s="12" t="str">
        <f>IFERROR(VLOOKUP(A61,'Agent Sched'!B:D,3,),"-")</f>
        <v>OFF</v>
      </c>
      <c r="E61" s="13" t="str">
        <f t="shared" si="8"/>
        <v>OFF</v>
      </c>
      <c r="F61" s="12" t="str">
        <f>IFERROR(VLOOKUP(A61,'Agent Sched'!B:E,4,),"-")</f>
        <v>OFF</v>
      </c>
      <c r="G61" s="13" t="str">
        <f t="shared" si="9"/>
        <v>OFF</v>
      </c>
      <c r="H61" s="12">
        <f>IFERROR(VLOOKUP(A61,'Agent Sched'!B:F,5,),"-")</f>
        <v>0.41666666666666669</v>
      </c>
      <c r="I61" s="13">
        <f t="shared" si="10"/>
        <v>0.79166666666666674</v>
      </c>
      <c r="J61" s="12">
        <f>IFERROR(VLOOKUP(A61,'Agent Sched'!B:G,6,),"-")</f>
        <v>0.41666666666666669</v>
      </c>
      <c r="K61" s="13">
        <f t="shared" si="11"/>
        <v>0.79166666666666674</v>
      </c>
      <c r="L61" s="12">
        <f>IFERROR(VLOOKUP(A61,'Agent Sched'!B:H,7,),"-")</f>
        <v>0.41666666666666669</v>
      </c>
      <c r="M61" s="13">
        <f t="shared" si="12"/>
        <v>0.79166666666666674</v>
      </c>
      <c r="N61" s="21">
        <f>IFERROR(VLOOKUP(A61,'Agent Sched'!B:I,8,),"-")</f>
        <v>0.41666666666666669</v>
      </c>
      <c r="O61" s="13">
        <f t="shared" si="13"/>
        <v>0.79166666666666674</v>
      </c>
      <c r="Q61" s="12">
        <f>VLOOKUP(A61,'Agent Sched'!B:Y,24,)</f>
        <v>0.41666666666666669</v>
      </c>
      <c r="R61" s="13">
        <f t="shared" si="14"/>
        <v>0.79166666666666674</v>
      </c>
      <c r="T61" s="25">
        <f>VLOOKUP(A61,'Agent Sched'!$B:$J,9,)</f>
        <v>0.41666666666666669</v>
      </c>
      <c r="U61" s="13">
        <f t="shared" si="15"/>
        <v>0.79166666666666674</v>
      </c>
      <c r="V61" s="12" t="str">
        <f>VLOOKUP(A61,'Agent Sched'!B:K,10,)</f>
        <v>OFF</v>
      </c>
      <c r="W61" s="13" t="str">
        <f t="shared" si="16"/>
        <v>OFF</v>
      </c>
      <c r="X61" s="12" t="str">
        <f>VLOOKUP(A61,'Agent Sched'!B:L,11,)</f>
        <v>OFF</v>
      </c>
      <c r="Y61" s="13" t="str">
        <f t="shared" si="17"/>
        <v>OFF</v>
      </c>
      <c r="Z61" s="12">
        <f>VLOOKUP(A61,'Agent Sched'!B:M,12,)</f>
        <v>0.41666666666666669</v>
      </c>
      <c r="AA61" s="13">
        <f t="shared" si="18"/>
        <v>0.79166666666666674</v>
      </c>
      <c r="AB61" s="12">
        <f>VLOOKUP(A61,'Agent Sched'!B:N,13,)</f>
        <v>0.41666666666666669</v>
      </c>
      <c r="AC61" s="13">
        <f t="shared" si="19"/>
        <v>0.79166666666666674</v>
      </c>
      <c r="AD61" s="12">
        <f>VLOOKUP(A61,'Agent Sched'!B:O,14,)</f>
        <v>0.41666666666666669</v>
      </c>
      <c r="AE61" s="13">
        <f t="shared" si="20"/>
        <v>0.79166666666666674</v>
      </c>
      <c r="AF61" s="21">
        <f>VLOOKUP(A61,'Agent Sched'!B:P,15,)</f>
        <v>0.41666666666666669</v>
      </c>
      <c r="AG61" s="13">
        <f t="shared" si="21"/>
        <v>0.79166666666666674</v>
      </c>
      <c r="AI61" s="25">
        <f>VLOOKUP(A61,'Agent Sched'!$B:$Q,16,)</f>
        <v>0.41666666666666669</v>
      </c>
      <c r="AJ61" s="13">
        <f t="shared" si="22"/>
        <v>0.79166666666666674</v>
      </c>
      <c r="AK61" s="12" t="str">
        <f>VLOOKUP(A61,'Agent Sched'!B:R,17,)</f>
        <v>OFF</v>
      </c>
      <c r="AL61" s="13" t="str">
        <f t="shared" si="23"/>
        <v>OFF</v>
      </c>
      <c r="AM61" s="12" t="str">
        <f>VLOOKUP(A61,'Agent Sched'!B:S,18,)</f>
        <v>OFF</v>
      </c>
      <c r="AN61" s="13" t="str">
        <f t="shared" si="24"/>
        <v>OFF</v>
      </c>
      <c r="AO61" s="12">
        <f>VLOOKUP(A61,'Agent Sched'!B:T,19,)</f>
        <v>0.41666666666666669</v>
      </c>
      <c r="AP61" s="13">
        <f t="shared" si="25"/>
        <v>0.79166666666666674</v>
      </c>
      <c r="AQ61" s="12">
        <f>VLOOKUP(A61,'Agent Sched'!B:U,20,)</f>
        <v>0.41666666666666669</v>
      </c>
      <c r="AR61" s="13">
        <f t="shared" si="26"/>
        <v>0.79166666666666674</v>
      </c>
      <c r="AS61" s="12">
        <f>VLOOKUP(A61,'Agent Sched'!B:V,21,)</f>
        <v>0.41666666666666669</v>
      </c>
      <c r="AT61" s="13">
        <f t="shared" si="27"/>
        <v>0.79166666666666674</v>
      </c>
      <c r="AU61" s="21">
        <f>VLOOKUP(A61,'Agent Sched'!B:W,22,)</f>
        <v>0.41666666666666669</v>
      </c>
      <c r="AV61" s="13">
        <f t="shared" si="28"/>
        <v>0.79166666666666674</v>
      </c>
    </row>
    <row r="62" spans="1:48" x14ac:dyDescent="0.25">
      <c r="A62" s="20" t="str">
        <f>'Agent Sched'!B63</f>
        <v>Eunice Jael Ruedas</v>
      </c>
      <c r="B62" s="12">
        <f>IFERROR(VLOOKUP(A62,'Agent Sched'!$B:$C,2,),"-")</f>
        <v>0.41666666666666669</v>
      </c>
      <c r="C62" s="13">
        <f t="shared" si="7"/>
        <v>0.79166666666666674</v>
      </c>
      <c r="D62" s="12" t="str">
        <f>IFERROR(VLOOKUP(A62,'Agent Sched'!B:D,3,),"-")</f>
        <v>OFF</v>
      </c>
      <c r="E62" s="13" t="str">
        <f t="shared" si="8"/>
        <v>OFF</v>
      </c>
      <c r="F62" s="12" t="str">
        <f>IFERROR(VLOOKUP(A62,'Agent Sched'!B:E,4,),"-")</f>
        <v>OFF</v>
      </c>
      <c r="G62" s="13" t="str">
        <f t="shared" si="9"/>
        <v>OFF</v>
      </c>
      <c r="H62" s="12">
        <f>IFERROR(VLOOKUP(A62,'Agent Sched'!B:F,5,),"-")</f>
        <v>0.41666666666666669</v>
      </c>
      <c r="I62" s="13">
        <f t="shared" si="10"/>
        <v>0.79166666666666674</v>
      </c>
      <c r="J62" s="12">
        <f>IFERROR(VLOOKUP(A62,'Agent Sched'!B:G,6,),"-")</f>
        <v>0.41666666666666669</v>
      </c>
      <c r="K62" s="13">
        <f t="shared" si="11"/>
        <v>0.79166666666666674</v>
      </c>
      <c r="L62" s="12">
        <f>IFERROR(VLOOKUP(A62,'Agent Sched'!B:H,7,),"-")</f>
        <v>0.41666666666666669</v>
      </c>
      <c r="M62" s="13">
        <f t="shared" si="12"/>
        <v>0.79166666666666674</v>
      </c>
      <c r="N62" s="21">
        <f>IFERROR(VLOOKUP(A62,'Agent Sched'!B:I,8,),"-")</f>
        <v>0.41666666666666669</v>
      </c>
      <c r="O62" s="13">
        <f t="shared" si="13"/>
        <v>0.79166666666666674</v>
      </c>
      <c r="Q62" s="12">
        <f>VLOOKUP(A62,'Agent Sched'!B:Y,24,)</f>
        <v>0.41666666666666669</v>
      </c>
      <c r="R62" s="13">
        <f t="shared" si="14"/>
        <v>0.79166666666666674</v>
      </c>
      <c r="T62" s="25">
        <f>VLOOKUP(A62,'Agent Sched'!$B:$J,9,)</f>
        <v>0.41666666666666669</v>
      </c>
      <c r="U62" s="13">
        <f t="shared" si="15"/>
        <v>0.79166666666666674</v>
      </c>
      <c r="V62" s="12" t="str">
        <f>VLOOKUP(A62,'Agent Sched'!B:K,10,)</f>
        <v>OFF</v>
      </c>
      <c r="W62" s="13" t="str">
        <f t="shared" si="16"/>
        <v>OFF</v>
      </c>
      <c r="X62" s="12" t="str">
        <f>VLOOKUP(A62,'Agent Sched'!B:L,11,)</f>
        <v>OFF</v>
      </c>
      <c r="Y62" s="13" t="str">
        <f t="shared" si="17"/>
        <v>OFF</v>
      </c>
      <c r="Z62" s="12">
        <f>VLOOKUP(A62,'Agent Sched'!B:M,12,)</f>
        <v>0.41666666666666669</v>
      </c>
      <c r="AA62" s="13">
        <f t="shared" si="18"/>
        <v>0.79166666666666674</v>
      </c>
      <c r="AB62" s="12">
        <f>VLOOKUP(A62,'Agent Sched'!B:N,13,)</f>
        <v>0.41666666666666669</v>
      </c>
      <c r="AC62" s="13">
        <f t="shared" si="19"/>
        <v>0.79166666666666674</v>
      </c>
      <c r="AD62" s="12">
        <f>VLOOKUP(A62,'Agent Sched'!B:O,14,)</f>
        <v>0.41666666666666669</v>
      </c>
      <c r="AE62" s="13">
        <f t="shared" si="20"/>
        <v>0.79166666666666674</v>
      </c>
      <c r="AF62" s="21">
        <f>VLOOKUP(A62,'Agent Sched'!B:P,15,)</f>
        <v>0.41666666666666669</v>
      </c>
      <c r="AG62" s="13">
        <f t="shared" si="21"/>
        <v>0.79166666666666674</v>
      </c>
      <c r="AI62" s="25">
        <f>VLOOKUP(A62,'Agent Sched'!$B:$Q,16,)</f>
        <v>0.41666666666666669</v>
      </c>
      <c r="AJ62" s="13">
        <f t="shared" si="22"/>
        <v>0.79166666666666674</v>
      </c>
      <c r="AK62" s="12" t="str">
        <f>VLOOKUP(A62,'Agent Sched'!B:R,17,)</f>
        <v>OFF</v>
      </c>
      <c r="AL62" s="13" t="str">
        <f t="shared" si="23"/>
        <v>OFF</v>
      </c>
      <c r="AM62" s="12" t="str">
        <f>VLOOKUP(A62,'Agent Sched'!B:S,18,)</f>
        <v>OFF</v>
      </c>
      <c r="AN62" s="13" t="str">
        <f t="shared" si="24"/>
        <v>OFF</v>
      </c>
      <c r="AO62" s="12">
        <f>VLOOKUP(A62,'Agent Sched'!B:T,19,)</f>
        <v>0.41666666666666669</v>
      </c>
      <c r="AP62" s="13">
        <f t="shared" si="25"/>
        <v>0.79166666666666674</v>
      </c>
      <c r="AQ62" s="12">
        <f>VLOOKUP(A62,'Agent Sched'!B:U,20,)</f>
        <v>0.41666666666666669</v>
      </c>
      <c r="AR62" s="13">
        <f t="shared" si="26"/>
        <v>0.79166666666666674</v>
      </c>
      <c r="AS62" s="12">
        <f>VLOOKUP(A62,'Agent Sched'!B:V,21,)</f>
        <v>0.41666666666666669</v>
      </c>
      <c r="AT62" s="13">
        <f t="shared" si="27"/>
        <v>0.79166666666666674</v>
      </c>
      <c r="AU62" s="21">
        <f>VLOOKUP(A62,'Agent Sched'!B:W,22,)</f>
        <v>0.41666666666666669</v>
      </c>
      <c r="AV62" s="13">
        <f t="shared" si="28"/>
        <v>0.79166666666666674</v>
      </c>
    </row>
    <row r="63" spans="1:48" x14ac:dyDescent="0.25">
      <c r="A63" s="20" t="str">
        <f>'Agent Sched'!B64</f>
        <v>Marnie David</v>
      </c>
      <c r="B63" s="12">
        <f>IFERROR(VLOOKUP(A63,'Agent Sched'!$B:$C,2,),"-")</f>
        <v>0.41666666666666669</v>
      </c>
      <c r="C63" s="13">
        <f t="shared" si="7"/>
        <v>0.79166666666666674</v>
      </c>
      <c r="D63" s="12" t="str">
        <f>IFERROR(VLOOKUP(A63,'Agent Sched'!B:D,3,),"-")</f>
        <v>OFF</v>
      </c>
      <c r="E63" s="13" t="str">
        <f t="shared" si="8"/>
        <v>OFF</v>
      </c>
      <c r="F63" s="12" t="str">
        <f>IFERROR(VLOOKUP(A63,'Agent Sched'!B:E,4,),"-")</f>
        <v>OFF</v>
      </c>
      <c r="G63" s="13" t="str">
        <f t="shared" si="9"/>
        <v>OFF</v>
      </c>
      <c r="H63" s="12">
        <f>IFERROR(VLOOKUP(A63,'Agent Sched'!B:F,5,),"-")</f>
        <v>0.41666666666666669</v>
      </c>
      <c r="I63" s="13">
        <f t="shared" si="10"/>
        <v>0.79166666666666674</v>
      </c>
      <c r="J63" s="12">
        <f>IFERROR(VLOOKUP(A63,'Agent Sched'!B:G,6,),"-")</f>
        <v>0.41666666666666669</v>
      </c>
      <c r="K63" s="13">
        <f t="shared" si="11"/>
        <v>0.79166666666666674</v>
      </c>
      <c r="L63" s="12">
        <f>IFERROR(VLOOKUP(A63,'Agent Sched'!B:H,7,),"-")</f>
        <v>0.41666666666666669</v>
      </c>
      <c r="M63" s="13">
        <f t="shared" si="12"/>
        <v>0.79166666666666674</v>
      </c>
      <c r="N63" s="21">
        <f>IFERROR(VLOOKUP(A63,'Agent Sched'!B:I,8,),"-")</f>
        <v>0.41666666666666669</v>
      </c>
      <c r="O63" s="13">
        <f t="shared" si="13"/>
        <v>0.79166666666666674</v>
      </c>
      <c r="Q63" s="12">
        <f>VLOOKUP(A63,'Agent Sched'!B:Y,24,)</f>
        <v>0.41666666666666669</v>
      </c>
      <c r="R63" s="13">
        <f t="shared" si="14"/>
        <v>0.79166666666666674</v>
      </c>
      <c r="T63" s="25">
        <f>VLOOKUP(A63,'Agent Sched'!$B:$J,9,)</f>
        <v>0.41666666666666669</v>
      </c>
      <c r="U63" s="13">
        <f t="shared" si="15"/>
        <v>0.79166666666666674</v>
      </c>
      <c r="V63" s="12" t="str">
        <f>VLOOKUP(A63,'Agent Sched'!B:K,10,)</f>
        <v>OFF</v>
      </c>
      <c r="W63" s="13" t="str">
        <f t="shared" si="16"/>
        <v>OFF</v>
      </c>
      <c r="X63" s="12" t="str">
        <f>VLOOKUP(A63,'Agent Sched'!B:L,11,)</f>
        <v>OFF</v>
      </c>
      <c r="Y63" s="13" t="str">
        <f t="shared" si="17"/>
        <v>OFF</v>
      </c>
      <c r="Z63" s="12">
        <f>VLOOKUP(A63,'Agent Sched'!B:M,12,)</f>
        <v>0.41666666666666669</v>
      </c>
      <c r="AA63" s="13">
        <f t="shared" si="18"/>
        <v>0.79166666666666674</v>
      </c>
      <c r="AB63" s="12">
        <f>VLOOKUP(A63,'Agent Sched'!B:N,13,)</f>
        <v>0.41666666666666669</v>
      </c>
      <c r="AC63" s="13">
        <f t="shared" si="19"/>
        <v>0.79166666666666674</v>
      </c>
      <c r="AD63" s="12">
        <f>VLOOKUP(A63,'Agent Sched'!B:O,14,)</f>
        <v>0.41666666666666669</v>
      </c>
      <c r="AE63" s="13">
        <f t="shared" si="20"/>
        <v>0.79166666666666674</v>
      </c>
      <c r="AF63" s="21">
        <f>VLOOKUP(A63,'Agent Sched'!B:P,15,)</f>
        <v>0.41666666666666669</v>
      </c>
      <c r="AG63" s="13">
        <f t="shared" si="21"/>
        <v>0.79166666666666674</v>
      </c>
      <c r="AI63" s="25">
        <f>VLOOKUP(A63,'Agent Sched'!$B:$Q,16,)</f>
        <v>0.41666666666666669</v>
      </c>
      <c r="AJ63" s="13">
        <f t="shared" si="22"/>
        <v>0.79166666666666674</v>
      </c>
      <c r="AK63" s="12" t="str">
        <f>VLOOKUP(A63,'Agent Sched'!B:R,17,)</f>
        <v>OFF</v>
      </c>
      <c r="AL63" s="13" t="str">
        <f t="shared" si="23"/>
        <v>OFF</v>
      </c>
      <c r="AM63" s="12" t="str">
        <f>VLOOKUP(A63,'Agent Sched'!B:S,18,)</f>
        <v>OFF</v>
      </c>
      <c r="AN63" s="13" t="str">
        <f t="shared" si="24"/>
        <v>OFF</v>
      </c>
      <c r="AO63" s="12">
        <f>VLOOKUP(A63,'Agent Sched'!B:T,19,)</f>
        <v>0.41666666666666669</v>
      </c>
      <c r="AP63" s="13">
        <f t="shared" si="25"/>
        <v>0.79166666666666674</v>
      </c>
      <c r="AQ63" s="12">
        <f>VLOOKUP(A63,'Agent Sched'!B:U,20,)</f>
        <v>0.41666666666666669</v>
      </c>
      <c r="AR63" s="13">
        <f t="shared" si="26"/>
        <v>0.79166666666666674</v>
      </c>
      <c r="AS63" s="12">
        <f>VLOOKUP(A63,'Agent Sched'!B:V,21,)</f>
        <v>0.41666666666666669</v>
      </c>
      <c r="AT63" s="13">
        <f t="shared" si="27"/>
        <v>0.79166666666666674</v>
      </c>
      <c r="AU63" s="21">
        <f>VLOOKUP(A63,'Agent Sched'!B:W,22,)</f>
        <v>0.41666666666666669</v>
      </c>
      <c r="AV63" s="13">
        <f t="shared" si="28"/>
        <v>0.79166666666666674</v>
      </c>
    </row>
    <row r="64" spans="1:48" x14ac:dyDescent="0.25">
      <c r="A64" s="20" t="str">
        <f>'Agent Sched'!B65</f>
        <v>Marilyn Victorino</v>
      </c>
      <c r="B64" s="12">
        <f>IFERROR(VLOOKUP(A64,'Agent Sched'!$B:$C,2,),"-")</f>
        <v>0.41666666666666669</v>
      </c>
      <c r="C64" s="13">
        <f t="shared" si="7"/>
        <v>0.79166666666666674</v>
      </c>
      <c r="D64" s="12" t="str">
        <f>IFERROR(VLOOKUP(A64,'Agent Sched'!B:D,3,),"-")</f>
        <v>OFF</v>
      </c>
      <c r="E64" s="13" t="str">
        <f t="shared" si="8"/>
        <v>OFF</v>
      </c>
      <c r="F64" s="12" t="str">
        <f>IFERROR(VLOOKUP(A64,'Agent Sched'!B:E,4,),"-")</f>
        <v>OFF</v>
      </c>
      <c r="G64" s="13" t="str">
        <f t="shared" si="9"/>
        <v>OFF</v>
      </c>
      <c r="H64" s="12">
        <f>IFERROR(VLOOKUP(A64,'Agent Sched'!B:F,5,),"-")</f>
        <v>0.41666666666666669</v>
      </c>
      <c r="I64" s="13">
        <f t="shared" si="10"/>
        <v>0.79166666666666674</v>
      </c>
      <c r="J64" s="12">
        <f>IFERROR(VLOOKUP(A64,'Agent Sched'!B:G,6,),"-")</f>
        <v>0.41666666666666669</v>
      </c>
      <c r="K64" s="13">
        <f t="shared" si="11"/>
        <v>0.79166666666666674</v>
      </c>
      <c r="L64" s="12">
        <f>IFERROR(VLOOKUP(A64,'Agent Sched'!B:H,7,),"-")</f>
        <v>0.41666666666666669</v>
      </c>
      <c r="M64" s="13">
        <f t="shared" si="12"/>
        <v>0.79166666666666674</v>
      </c>
      <c r="N64" s="21">
        <f>IFERROR(VLOOKUP(A64,'Agent Sched'!B:I,8,),"-")</f>
        <v>0.41666666666666669</v>
      </c>
      <c r="O64" s="13">
        <f t="shared" si="13"/>
        <v>0.79166666666666674</v>
      </c>
      <c r="Q64" s="12">
        <f>VLOOKUP(A64,'Agent Sched'!B:Y,24,)</f>
        <v>0.41666666666666669</v>
      </c>
      <c r="R64" s="13">
        <f t="shared" si="14"/>
        <v>0.79166666666666674</v>
      </c>
      <c r="T64" s="25">
        <f>VLOOKUP(A64,'Agent Sched'!$B:$J,9,)</f>
        <v>0.41666666666666669</v>
      </c>
      <c r="U64" s="13">
        <f t="shared" si="15"/>
        <v>0.79166666666666674</v>
      </c>
      <c r="V64" s="12" t="str">
        <f>VLOOKUP(A64,'Agent Sched'!B:K,10,)</f>
        <v>OFF</v>
      </c>
      <c r="W64" s="13" t="str">
        <f t="shared" si="16"/>
        <v>OFF</v>
      </c>
      <c r="X64" s="12" t="str">
        <f>VLOOKUP(A64,'Agent Sched'!B:L,11,)</f>
        <v>OFF</v>
      </c>
      <c r="Y64" s="13" t="str">
        <f t="shared" si="17"/>
        <v>OFF</v>
      </c>
      <c r="Z64" s="12">
        <f>VLOOKUP(A64,'Agent Sched'!B:M,12,)</f>
        <v>0.41666666666666669</v>
      </c>
      <c r="AA64" s="13">
        <f t="shared" si="18"/>
        <v>0.79166666666666674</v>
      </c>
      <c r="AB64" s="12">
        <f>VLOOKUP(A64,'Agent Sched'!B:N,13,)</f>
        <v>0.41666666666666669</v>
      </c>
      <c r="AC64" s="13">
        <f t="shared" si="19"/>
        <v>0.79166666666666674</v>
      </c>
      <c r="AD64" s="12">
        <f>VLOOKUP(A64,'Agent Sched'!B:O,14,)</f>
        <v>0.41666666666666669</v>
      </c>
      <c r="AE64" s="13">
        <f t="shared" si="20"/>
        <v>0.79166666666666674</v>
      </c>
      <c r="AF64" s="21">
        <f>VLOOKUP(A64,'Agent Sched'!B:P,15,)</f>
        <v>0.41666666666666669</v>
      </c>
      <c r="AG64" s="13">
        <f t="shared" si="21"/>
        <v>0.79166666666666674</v>
      </c>
      <c r="AI64" s="25">
        <f>VLOOKUP(A64,'Agent Sched'!$B:$Q,16,)</f>
        <v>0.41666666666666669</v>
      </c>
      <c r="AJ64" s="13">
        <f t="shared" si="22"/>
        <v>0.79166666666666674</v>
      </c>
      <c r="AK64" s="12" t="str">
        <f>VLOOKUP(A64,'Agent Sched'!B:R,17,)</f>
        <v>OFF</v>
      </c>
      <c r="AL64" s="13" t="str">
        <f t="shared" si="23"/>
        <v>OFF</v>
      </c>
      <c r="AM64" s="12" t="str">
        <f>VLOOKUP(A64,'Agent Sched'!B:S,18,)</f>
        <v>OFF</v>
      </c>
      <c r="AN64" s="13" t="str">
        <f t="shared" si="24"/>
        <v>OFF</v>
      </c>
      <c r="AO64" s="12">
        <f>VLOOKUP(A64,'Agent Sched'!B:T,19,)</f>
        <v>0.41666666666666669</v>
      </c>
      <c r="AP64" s="13">
        <f t="shared" si="25"/>
        <v>0.79166666666666674</v>
      </c>
      <c r="AQ64" s="12">
        <f>VLOOKUP(A64,'Agent Sched'!B:U,20,)</f>
        <v>0.41666666666666669</v>
      </c>
      <c r="AR64" s="13">
        <f t="shared" si="26"/>
        <v>0.79166666666666674</v>
      </c>
      <c r="AS64" s="12">
        <f>VLOOKUP(A64,'Agent Sched'!B:V,21,)</f>
        <v>0.41666666666666669</v>
      </c>
      <c r="AT64" s="13">
        <f t="shared" si="27"/>
        <v>0.79166666666666674</v>
      </c>
      <c r="AU64" s="21">
        <f>VLOOKUP(A64,'Agent Sched'!B:W,22,)</f>
        <v>0.41666666666666669</v>
      </c>
      <c r="AV64" s="13">
        <f t="shared" si="28"/>
        <v>0.79166666666666674</v>
      </c>
    </row>
    <row r="65" spans="1:48" x14ac:dyDescent="0.25">
      <c r="A65" s="20" t="str">
        <f>'Agent Sched'!B66</f>
        <v>Rufino Cateron</v>
      </c>
      <c r="B65" s="12">
        <f>IFERROR(VLOOKUP(A65,'Agent Sched'!$B:$C,2,),"-")</f>
        <v>0.41666666666666669</v>
      </c>
      <c r="C65" s="13">
        <f t="shared" si="7"/>
        <v>0.79166666666666674</v>
      </c>
      <c r="D65" s="12" t="str">
        <f>IFERROR(VLOOKUP(A65,'Agent Sched'!B:D,3,),"-")</f>
        <v>OFF</v>
      </c>
      <c r="E65" s="13" t="str">
        <f t="shared" si="8"/>
        <v>OFF</v>
      </c>
      <c r="F65" s="12" t="str">
        <f>IFERROR(VLOOKUP(A65,'Agent Sched'!B:E,4,),"-")</f>
        <v>OFF</v>
      </c>
      <c r="G65" s="13" t="str">
        <f t="shared" si="9"/>
        <v>OFF</v>
      </c>
      <c r="H65" s="12">
        <f>IFERROR(VLOOKUP(A65,'Agent Sched'!B:F,5,),"-")</f>
        <v>0.41666666666666669</v>
      </c>
      <c r="I65" s="13">
        <f t="shared" si="10"/>
        <v>0.79166666666666674</v>
      </c>
      <c r="J65" s="12">
        <f>IFERROR(VLOOKUP(A65,'Agent Sched'!B:G,6,),"-")</f>
        <v>0.41666666666666669</v>
      </c>
      <c r="K65" s="13">
        <f t="shared" si="11"/>
        <v>0.79166666666666674</v>
      </c>
      <c r="L65" s="12">
        <f>IFERROR(VLOOKUP(A65,'Agent Sched'!B:H,7,),"-")</f>
        <v>0.41666666666666669</v>
      </c>
      <c r="M65" s="13">
        <f t="shared" si="12"/>
        <v>0.79166666666666674</v>
      </c>
      <c r="N65" s="21">
        <f>IFERROR(VLOOKUP(A65,'Agent Sched'!B:I,8,),"-")</f>
        <v>0.41666666666666669</v>
      </c>
      <c r="O65" s="13">
        <f t="shared" si="13"/>
        <v>0.79166666666666674</v>
      </c>
      <c r="Q65" s="12">
        <f>VLOOKUP(A65,'Agent Sched'!B:Y,24,)</f>
        <v>0.41666666666666669</v>
      </c>
      <c r="R65" s="13">
        <f t="shared" si="14"/>
        <v>0.79166666666666674</v>
      </c>
      <c r="T65" s="25">
        <f>VLOOKUP(A65,'Agent Sched'!$B:$J,9,)</f>
        <v>0.41666666666666669</v>
      </c>
      <c r="U65" s="13">
        <f t="shared" si="15"/>
        <v>0.79166666666666674</v>
      </c>
      <c r="V65" s="12" t="str">
        <f>VLOOKUP(A65,'Agent Sched'!B:K,10,)</f>
        <v>OFF</v>
      </c>
      <c r="W65" s="13" t="str">
        <f t="shared" si="16"/>
        <v>OFF</v>
      </c>
      <c r="X65" s="12" t="str">
        <f>VLOOKUP(A65,'Agent Sched'!B:L,11,)</f>
        <v>OFF</v>
      </c>
      <c r="Y65" s="13" t="str">
        <f t="shared" si="17"/>
        <v>OFF</v>
      </c>
      <c r="Z65" s="12">
        <f>VLOOKUP(A65,'Agent Sched'!B:M,12,)</f>
        <v>0.41666666666666669</v>
      </c>
      <c r="AA65" s="13">
        <f t="shared" si="18"/>
        <v>0.79166666666666674</v>
      </c>
      <c r="AB65" s="12">
        <f>VLOOKUP(A65,'Agent Sched'!B:N,13,)</f>
        <v>0.41666666666666669</v>
      </c>
      <c r="AC65" s="13">
        <f t="shared" si="19"/>
        <v>0.79166666666666674</v>
      </c>
      <c r="AD65" s="12">
        <f>VLOOKUP(A65,'Agent Sched'!B:O,14,)</f>
        <v>0.41666666666666669</v>
      </c>
      <c r="AE65" s="13">
        <f t="shared" si="20"/>
        <v>0.79166666666666674</v>
      </c>
      <c r="AF65" s="21">
        <f>VLOOKUP(A65,'Agent Sched'!B:P,15,)</f>
        <v>0.41666666666666669</v>
      </c>
      <c r="AG65" s="13">
        <f t="shared" si="21"/>
        <v>0.79166666666666674</v>
      </c>
      <c r="AI65" s="25">
        <f>VLOOKUP(A65,'Agent Sched'!$B:$Q,16,)</f>
        <v>0.41666666666666669</v>
      </c>
      <c r="AJ65" s="13">
        <f t="shared" si="22"/>
        <v>0.79166666666666674</v>
      </c>
      <c r="AK65" s="12" t="str">
        <f>VLOOKUP(A65,'Agent Sched'!B:R,17,)</f>
        <v>OFF</v>
      </c>
      <c r="AL65" s="13" t="str">
        <f t="shared" si="23"/>
        <v>OFF</v>
      </c>
      <c r="AM65" s="12" t="str">
        <f>VLOOKUP(A65,'Agent Sched'!B:S,18,)</f>
        <v>OFF</v>
      </c>
      <c r="AN65" s="13" t="str">
        <f t="shared" si="24"/>
        <v>OFF</v>
      </c>
      <c r="AO65" s="12">
        <f>VLOOKUP(A65,'Agent Sched'!B:T,19,)</f>
        <v>0.41666666666666669</v>
      </c>
      <c r="AP65" s="13">
        <f t="shared" si="25"/>
        <v>0.79166666666666674</v>
      </c>
      <c r="AQ65" s="12">
        <f>VLOOKUP(A65,'Agent Sched'!B:U,20,)</f>
        <v>0.41666666666666669</v>
      </c>
      <c r="AR65" s="13">
        <f t="shared" si="26"/>
        <v>0.79166666666666674</v>
      </c>
      <c r="AS65" s="12">
        <f>VLOOKUP(A65,'Agent Sched'!B:V,21,)</f>
        <v>0.41666666666666669</v>
      </c>
      <c r="AT65" s="13">
        <f t="shared" si="27"/>
        <v>0.79166666666666674</v>
      </c>
      <c r="AU65" s="21">
        <f>VLOOKUP(A65,'Agent Sched'!B:W,22,)</f>
        <v>0.41666666666666669</v>
      </c>
      <c r="AV65" s="13">
        <f t="shared" si="28"/>
        <v>0.79166666666666674</v>
      </c>
    </row>
    <row r="66" spans="1:48" x14ac:dyDescent="0.25">
      <c r="A66" s="20" t="str">
        <f>'Agent Sched'!B67</f>
        <v>Valerie San Vicente</v>
      </c>
      <c r="B66" s="12">
        <f>IFERROR(VLOOKUP(A66,'Agent Sched'!$B:$C,2,),"-")</f>
        <v>0.41666666666666669</v>
      </c>
      <c r="C66" s="13">
        <f t="shared" si="7"/>
        <v>0.79166666666666674</v>
      </c>
      <c r="D66" s="12" t="str">
        <f>IFERROR(VLOOKUP(A66,'Agent Sched'!B:D,3,),"-")</f>
        <v>OFF</v>
      </c>
      <c r="E66" s="13" t="str">
        <f t="shared" si="8"/>
        <v>OFF</v>
      </c>
      <c r="F66" s="12" t="str">
        <f>IFERROR(VLOOKUP(A66,'Agent Sched'!B:E,4,),"-")</f>
        <v>OFF</v>
      </c>
      <c r="G66" s="13" t="str">
        <f t="shared" si="9"/>
        <v>OFF</v>
      </c>
      <c r="H66" s="12">
        <f>IFERROR(VLOOKUP(A66,'Agent Sched'!B:F,5,),"-")</f>
        <v>0.41666666666666669</v>
      </c>
      <c r="I66" s="13">
        <f t="shared" si="10"/>
        <v>0.79166666666666674</v>
      </c>
      <c r="J66" s="12">
        <f>IFERROR(VLOOKUP(A66,'Agent Sched'!B:G,6,),"-")</f>
        <v>0.41666666666666669</v>
      </c>
      <c r="K66" s="13">
        <f t="shared" si="11"/>
        <v>0.79166666666666674</v>
      </c>
      <c r="L66" s="12">
        <f>IFERROR(VLOOKUP(A66,'Agent Sched'!B:H,7,),"-")</f>
        <v>0.41666666666666669</v>
      </c>
      <c r="M66" s="13">
        <f t="shared" si="12"/>
        <v>0.79166666666666674</v>
      </c>
      <c r="N66" s="21">
        <f>IFERROR(VLOOKUP(A66,'Agent Sched'!B:I,8,),"-")</f>
        <v>0.41666666666666669</v>
      </c>
      <c r="O66" s="13">
        <f t="shared" si="13"/>
        <v>0.79166666666666674</v>
      </c>
      <c r="Q66" s="12">
        <f>VLOOKUP(A66,'Agent Sched'!B:Y,24,)</f>
        <v>0.41666666666666669</v>
      </c>
      <c r="R66" s="13">
        <f t="shared" si="14"/>
        <v>0.79166666666666674</v>
      </c>
      <c r="T66" s="25">
        <f>VLOOKUP(A66,'Agent Sched'!$B:$J,9,)</f>
        <v>0.41666666666666669</v>
      </c>
      <c r="U66" s="13">
        <f t="shared" si="15"/>
        <v>0.79166666666666674</v>
      </c>
      <c r="V66" s="12" t="str">
        <f>VLOOKUP(A66,'Agent Sched'!B:K,10,)</f>
        <v>OFF</v>
      </c>
      <c r="W66" s="13" t="str">
        <f t="shared" si="16"/>
        <v>OFF</v>
      </c>
      <c r="X66" s="12" t="str">
        <f>VLOOKUP(A66,'Agent Sched'!B:L,11,)</f>
        <v>OFF</v>
      </c>
      <c r="Y66" s="13" t="str">
        <f t="shared" si="17"/>
        <v>OFF</v>
      </c>
      <c r="Z66" s="12">
        <f>VLOOKUP(A66,'Agent Sched'!B:M,12,)</f>
        <v>0.41666666666666669</v>
      </c>
      <c r="AA66" s="13">
        <f t="shared" si="18"/>
        <v>0.79166666666666674</v>
      </c>
      <c r="AB66" s="12">
        <f>VLOOKUP(A66,'Agent Sched'!B:N,13,)</f>
        <v>0.41666666666666669</v>
      </c>
      <c r="AC66" s="13">
        <f t="shared" si="19"/>
        <v>0.79166666666666674</v>
      </c>
      <c r="AD66" s="12">
        <f>VLOOKUP(A66,'Agent Sched'!B:O,14,)</f>
        <v>0.41666666666666669</v>
      </c>
      <c r="AE66" s="13">
        <f t="shared" si="20"/>
        <v>0.79166666666666674</v>
      </c>
      <c r="AF66" s="21">
        <f>VLOOKUP(A66,'Agent Sched'!B:P,15,)</f>
        <v>0.41666666666666669</v>
      </c>
      <c r="AG66" s="13">
        <f t="shared" si="21"/>
        <v>0.79166666666666674</v>
      </c>
      <c r="AI66" s="25">
        <f>VLOOKUP(A66,'Agent Sched'!$B:$Q,16,)</f>
        <v>0.41666666666666669</v>
      </c>
      <c r="AJ66" s="13">
        <f t="shared" si="22"/>
        <v>0.79166666666666674</v>
      </c>
      <c r="AK66" s="12" t="str">
        <f>VLOOKUP(A66,'Agent Sched'!B:R,17,)</f>
        <v>OFF</v>
      </c>
      <c r="AL66" s="13" t="str">
        <f t="shared" si="23"/>
        <v>OFF</v>
      </c>
      <c r="AM66" s="12" t="str">
        <f>VLOOKUP(A66,'Agent Sched'!B:S,18,)</f>
        <v>OFF</v>
      </c>
      <c r="AN66" s="13" t="str">
        <f t="shared" si="24"/>
        <v>OFF</v>
      </c>
      <c r="AO66" s="12">
        <f>VLOOKUP(A66,'Agent Sched'!B:T,19,)</f>
        <v>0.41666666666666669</v>
      </c>
      <c r="AP66" s="13">
        <f t="shared" si="25"/>
        <v>0.79166666666666674</v>
      </c>
      <c r="AQ66" s="12">
        <f>VLOOKUP(A66,'Agent Sched'!B:U,20,)</f>
        <v>0.41666666666666669</v>
      </c>
      <c r="AR66" s="13">
        <f t="shared" si="26"/>
        <v>0.79166666666666674</v>
      </c>
      <c r="AS66" s="12">
        <f>VLOOKUP(A66,'Agent Sched'!B:V,21,)</f>
        <v>0.41666666666666669</v>
      </c>
      <c r="AT66" s="13">
        <f t="shared" si="27"/>
        <v>0.79166666666666674</v>
      </c>
      <c r="AU66" s="21">
        <f>VLOOKUP(A66,'Agent Sched'!B:W,22,)</f>
        <v>0.41666666666666669</v>
      </c>
      <c r="AV66" s="13">
        <f t="shared" si="28"/>
        <v>0.79166666666666674</v>
      </c>
    </row>
    <row r="67" spans="1:48" x14ac:dyDescent="0.25">
      <c r="A67" s="20" t="str">
        <f>'Agent Sched'!B68</f>
        <v>Mary Anne Sermonia</v>
      </c>
      <c r="B67" s="12">
        <f>IFERROR(VLOOKUP(A67,'Agent Sched'!$B:$C,2,),"-")</f>
        <v>0.41666666666666669</v>
      </c>
      <c r="C67" s="13">
        <f t="shared" si="7"/>
        <v>0.79166666666666674</v>
      </c>
      <c r="D67" s="12" t="str">
        <f>IFERROR(VLOOKUP(A67,'Agent Sched'!B:D,3,),"-")</f>
        <v>OFF</v>
      </c>
      <c r="E67" s="13" t="str">
        <f t="shared" si="8"/>
        <v>OFF</v>
      </c>
      <c r="F67" s="12" t="str">
        <f>IFERROR(VLOOKUP(A67,'Agent Sched'!B:E,4,),"-")</f>
        <v>OFF</v>
      </c>
      <c r="G67" s="13" t="str">
        <f t="shared" si="9"/>
        <v>OFF</v>
      </c>
      <c r="H67" s="12">
        <f>IFERROR(VLOOKUP(A67,'Agent Sched'!B:F,5,),"-")</f>
        <v>0.41666666666666669</v>
      </c>
      <c r="I67" s="13">
        <f t="shared" si="10"/>
        <v>0.79166666666666674</v>
      </c>
      <c r="J67" s="12">
        <f>IFERROR(VLOOKUP(A67,'Agent Sched'!B:G,6,),"-")</f>
        <v>0.41666666666666669</v>
      </c>
      <c r="K67" s="13">
        <f t="shared" si="11"/>
        <v>0.79166666666666674</v>
      </c>
      <c r="L67" s="12">
        <f>IFERROR(VLOOKUP(A67,'Agent Sched'!B:H,7,),"-")</f>
        <v>0.41666666666666669</v>
      </c>
      <c r="M67" s="13">
        <f t="shared" si="12"/>
        <v>0.79166666666666674</v>
      </c>
      <c r="N67" s="21">
        <f>IFERROR(VLOOKUP(A67,'Agent Sched'!B:I,8,),"-")</f>
        <v>0.41666666666666669</v>
      </c>
      <c r="O67" s="13">
        <f t="shared" si="13"/>
        <v>0.79166666666666674</v>
      </c>
      <c r="Q67" s="12">
        <f>VLOOKUP(A67,'Agent Sched'!B:Y,24,)</f>
        <v>0.41666666666666669</v>
      </c>
      <c r="R67" s="13">
        <f t="shared" si="14"/>
        <v>0.79166666666666674</v>
      </c>
      <c r="T67" s="25">
        <f>VLOOKUP(A67,'Agent Sched'!$B:$J,9,)</f>
        <v>0.41666666666666669</v>
      </c>
      <c r="U67" s="13">
        <f t="shared" si="15"/>
        <v>0.79166666666666674</v>
      </c>
      <c r="V67" s="12" t="str">
        <f>VLOOKUP(A67,'Agent Sched'!B:K,10,)</f>
        <v>OFF</v>
      </c>
      <c r="W67" s="13" t="str">
        <f t="shared" si="16"/>
        <v>OFF</v>
      </c>
      <c r="X67" s="12" t="str">
        <f>VLOOKUP(A67,'Agent Sched'!B:L,11,)</f>
        <v>OFF</v>
      </c>
      <c r="Y67" s="13" t="str">
        <f t="shared" si="17"/>
        <v>OFF</v>
      </c>
      <c r="Z67" s="12">
        <f>VLOOKUP(A67,'Agent Sched'!B:M,12,)</f>
        <v>0.41666666666666669</v>
      </c>
      <c r="AA67" s="13">
        <f t="shared" si="18"/>
        <v>0.79166666666666674</v>
      </c>
      <c r="AB67" s="12">
        <f>VLOOKUP(A67,'Agent Sched'!B:N,13,)</f>
        <v>0.41666666666666669</v>
      </c>
      <c r="AC67" s="13">
        <f t="shared" si="19"/>
        <v>0.79166666666666674</v>
      </c>
      <c r="AD67" s="12">
        <f>VLOOKUP(A67,'Agent Sched'!B:O,14,)</f>
        <v>0.41666666666666669</v>
      </c>
      <c r="AE67" s="13">
        <f t="shared" si="20"/>
        <v>0.79166666666666674</v>
      </c>
      <c r="AF67" s="21">
        <f>VLOOKUP(A67,'Agent Sched'!B:P,15,)</f>
        <v>0.41666666666666669</v>
      </c>
      <c r="AG67" s="13">
        <f t="shared" si="21"/>
        <v>0.79166666666666674</v>
      </c>
      <c r="AI67" s="25">
        <f>VLOOKUP(A67,'Agent Sched'!$B:$Q,16,)</f>
        <v>0.41666666666666669</v>
      </c>
      <c r="AJ67" s="13">
        <f t="shared" si="22"/>
        <v>0.79166666666666674</v>
      </c>
      <c r="AK67" s="12" t="str">
        <f>VLOOKUP(A67,'Agent Sched'!B:R,17,)</f>
        <v>OFF</v>
      </c>
      <c r="AL67" s="13" t="str">
        <f t="shared" si="23"/>
        <v>OFF</v>
      </c>
      <c r="AM67" s="12" t="str">
        <f>VLOOKUP(A67,'Agent Sched'!B:S,18,)</f>
        <v>OFF</v>
      </c>
      <c r="AN67" s="13" t="str">
        <f t="shared" si="24"/>
        <v>OFF</v>
      </c>
      <c r="AO67" s="12">
        <f>VLOOKUP(A67,'Agent Sched'!B:T,19,)</f>
        <v>0.41666666666666669</v>
      </c>
      <c r="AP67" s="13">
        <f t="shared" si="25"/>
        <v>0.79166666666666674</v>
      </c>
      <c r="AQ67" s="12">
        <f>VLOOKUP(A67,'Agent Sched'!B:U,20,)</f>
        <v>0.41666666666666669</v>
      </c>
      <c r="AR67" s="13">
        <f t="shared" si="26"/>
        <v>0.79166666666666674</v>
      </c>
      <c r="AS67" s="12">
        <f>VLOOKUP(A67,'Agent Sched'!B:V,21,)</f>
        <v>0.41666666666666669</v>
      </c>
      <c r="AT67" s="13">
        <f t="shared" si="27"/>
        <v>0.79166666666666674</v>
      </c>
      <c r="AU67" s="21">
        <f>VLOOKUP(A67,'Agent Sched'!B:W,22,)</f>
        <v>0.41666666666666669</v>
      </c>
      <c r="AV67" s="13">
        <f t="shared" si="28"/>
        <v>0.79166666666666674</v>
      </c>
    </row>
    <row r="68" spans="1:48" x14ac:dyDescent="0.25">
      <c r="A68" s="20" t="str">
        <f>'Agent Sched'!B69</f>
        <v>Vhart Galagnao</v>
      </c>
      <c r="B68" s="12">
        <f>IFERROR(VLOOKUP(A68,'Agent Sched'!$B:$C,2,),"-")</f>
        <v>0.41666666666666669</v>
      </c>
      <c r="C68" s="13">
        <f t="shared" ref="C68:C103" si="30">IFERROR(IF(B68="PTO","PTO",IF(B68="OFF","OFF", B68 + TIME(9,0,0))),"-")</f>
        <v>0.79166666666666674</v>
      </c>
      <c r="D68" s="12" t="str">
        <f>IFERROR(VLOOKUP(A68,'Agent Sched'!B:D,3,),"-")</f>
        <v>OFF</v>
      </c>
      <c r="E68" s="13" t="str">
        <f t="shared" ref="E68:E103" si="31">IFERROR(IF(D68="PTO","PTO",IF(D68="OFF","OFF", D68 + TIME(9,0,0))),"-")</f>
        <v>OFF</v>
      </c>
      <c r="F68" s="12" t="str">
        <f>IFERROR(VLOOKUP(A68,'Agent Sched'!B:E,4,),"-")</f>
        <v>OFF</v>
      </c>
      <c r="G68" s="13" t="str">
        <f t="shared" ref="G68:G103" si="32">IFERROR(IF(F68="PTO","PTO",IF(F68="OFF","OFF", F68 + TIME(9,0,0))),"-")</f>
        <v>OFF</v>
      </c>
      <c r="H68" s="12">
        <f>IFERROR(VLOOKUP(A68,'Agent Sched'!B:F,5,),"-")</f>
        <v>0.41666666666666669</v>
      </c>
      <c r="I68" s="13">
        <f t="shared" ref="I68:I103" si="33">IFERROR(IF(H68="PTO","PTO",IF(H68="OFF","OFF", H68 + TIME(9,0,0))),"-")</f>
        <v>0.79166666666666674</v>
      </c>
      <c r="J68" s="12">
        <f>IFERROR(VLOOKUP(A68,'Agent Sched'!B:G,6,),"-")</f>
        <v>0.41666666666666669</v>
      </c>
      <c r="K68" s="13">
        <f t="shared" ref="K68:K103" si="34">IFERROR(IF(J68="PTO","PTO",IF(J68="OFF","OFF", J68 + TIME(9,0,0))),"-")</f>
        <v>0.79166666666666674</v>
      </c>
      <c r="L68" s="12">
        <f>IFERROR(VLOOKUP(A68,'Agent Sched'!B:H,7,),"-")</f>
        <v>0.41666666666666669</v>
      </c>
      <c r="M68" s="13">
        <f t="shared" ref="M68:M103" si="35">IFERROR(IF(L68="PTO","PTO",IF(L68="OFF","OFF", L68 + TIME(9,0,0))),"-")</f>
        <v>0.79166666666666674</v>
      </c>
      <c r="N68" s="21">
        <f>IFERROR(VLOOKUP(A68,'Agent Sched'!B:I,8,),"-")</f>
        <v>0.41666666666666669</v>
      </c>
      <c r="O68" s="13">
        <f t="shared" ref="O68:O103" si="36">IFERROR(IF(N68="PTO","PTO",IF(N68="OFF","OFF", N68 + TIME(9,0,0))),"-")</f>
        <v>0.79166666666666674</v>
      </c>
      <c r="Q68" s="12">
        <f>VLOOKUP(A68,'Agent Sched'!B:Y,24,)</f>
        <v>0.41666666666666669</v>
      </c>
      <c r="R68" s="13">
        <f t="shared" ref="R68:R103" si="37">IFERROR(IF(Q68="PTO","PTO",IF(Q68="OFF","OFF", Q68 + TIME(9,0,0))),"-")</f>
        <v>0.79166666666666674</v>
      </c>
      <c r="T68" s="25">
        <f>VLOOKUP(A68,'Agent Sched'!$B:$J,9,)</f>
        <v>0.41666666666666669</v>
      </c>
      <c r="U68" s="13">
        <f t="shared" ref="U68:U103" si="38">IFERROR(IF(T68="PTO","PTO",IF(T68="OFF","OFF", T68 + TIME(9,0,0))),"-")</f>
        <v>0.79166666666666674</v>
      </c>
      <c r="V68" s="12" t="str">
        <f>VLOOKUP(A68,'Agent Sched'!B:K,10,)</f>
        <v>OFF</v>
      </c>
      <c r="W68" s="13" t="str">
        <f t="shared" ref="W68:W103" si="39">IFERROR(IF(V68="PTO","PTO",IF(V68="OFF","OFF", V68 + TIME(9,0,0))),"-")</f>
        <v>OFF</v>
      </c>
      <c r="X68" s="12" t="str">
        <f>VLOOKUP(A68,'Agent Sched'!B:L,11,)</f>
        <v>OFF</v>
      </c>
      <c r="Y68" s="13" t="str">
        <f t="shared" ref="Y68:Y103" si="40">IFERROR(IF(X68="PTO","PTO",IF(X68="OFF","OFF", X68 + TIME(9,0,0))),"-")</f>
        <v>OFF</v>
      </c>
      <c r="Z68" s="12">
        <f>VLOOKUP(A68,'Agent Sched'!B:M,12,)</f>
        <v>0.41666666666666669</v>
      </c>
      <c r="AA68" s="13">
        <f t="shared" ref="AA68:AA103" si="41">IFERROR(IF(Z68="PTO","PTO",IF(Z68="OFF","OFF", Z68 + TIME(9,0,0))),"-")</f>
        <v>0.79166666666666674</v>
      </c>
      <c r="AB68" s="12">
        <f>VLOOKUP(A68,'Agent Sched'!B:N,13,)</f>
        <v>0.41666666666666669</v>
      </c>
      <c r="AC68" s="13">
        <f t="shared" ref="AC68:AC103" si="42">IFERROR(IF(AB68="PTO","PTO",IF(AB68="OFF","OFF", AB68 + TIME(9,0,0))),"-")</f>
        <v>0.79166666666666674</v>
      </c>
      <c r="AD68" s="12">
        <f>VLOOKUP(A68,'Agent Sched'!B:O,14,)</f>
        <v>0.41666666666666669</v>
      </c>
      <c r="AE68" s="13">
        <f t="shared" ref="AE68:AE103" si="43">IFERROR(IF(AD68="PTO","PTO",IF(AD68="OFF","OFF", AD68 + TIME(9,0,0))),"-")</f>
        <v>0.79166666666666674</v>
      </c>
      <c r="AF68" s="21">
        <f>VLOOKUP(A68,'Agent Sched'!B:P,15,)</f>
        <v>0.41666666666666669</v>
      </c>
      <c r="AG68" s="13">
        <f t="shared" ref="AG68:AG103" si="44">IFERROR(IF(AF68="PTO","PTO",IF(AF68="OFF","OFF", AF68 + TIME(9,0,0))),"-")</f>
        <v>0.79166666666666674</v>
      </c>
      <c r="AI68" s="25">
        <f>VLOOKUP(A68,'Agent Sched'!$B:$Q,16,)</f>
        <v>0.41666666666666669</v>
      </c>
      <c r="AJ68" s="13">
        <f t="shared" ref="AJ68:AJ103" si="45">IFERROR(IF(AI68="PTO","PTO",IF(AI68="OFF","OFF", AI68 + TIME(9,0,0))),"-")</f>
        <v>0.79166666666666674</v>
      </c>
      <c r="AK68" s="12" t="str">
        <f>VLOOKUP(A68,'Agent Sched'!B:R,17,)</f>
        <v>OFF</v>
      </c>
      <c r="AL68" s="13" t="str">
        <f t="shared" ref="AL68:AL103" si="46">IFERROR(IF(AK68="PTO","PTO",IF(AK68="OFF","OFF", AK68 + TIME(9,0,0))),"-")</f>
        <v>OFF</v>
      </c>
      <c r="AM68" s="12" t="str">
        <f>VLOOKUP(A68,'Agent Sched'!B:S,18,)</f>
        <v>OFF</v>
      </c>
      <c r="AN68" s="13" t="str">
        <f t="shared" ref="AN68:AN103" si="47">IFERROR(IF(AM68="PTO","PTO",IF(AM68="OFF","OFF", AM68 + TIME(9,0,0))),"-")</f>
        <v>OFF</v>
      </c>
      <c r="AO68" s="12">
        <f>VLOOKUP(A68,'Agent Sched'!B:T,19,)</f>
        <v>0.41666666666666669</v>
      </c>
      <c r="AP68" s="13">
        <f t="shared" ref="AP68:AP103" si="48">IFERROR(IF(AO68="PTO","PTO",IF(AO68="OFF","OFF", AO68 + TIME(9,0,0))),"-")</f>
        <v>0.79166666666666674</v>
      </c>
      <c r="AQ68" s="12">
        <f>VLOOKUP(A68,'Agent Sched'!B:U,20,)</f>
        <v>0.41666666666666669</v>
      </c>
      <c r="AR68" s="13">
        <f t="shared" ref="AR68:AR103" si="49">IFERROR(IF(AQ68="PTO","PTO",IF(AQ68="OFF","OFF", AQ68 + TIME(9,0,0))),"-")</f>
        <v>0.79166666666666674</v>
      </c>
      <c r="AS68" s="12">
        <f>VLOOKUP(A68,'Agent Sched'!B:V,21,)</f>
        <v>0.41666666666666669</v>
      </c>
      <c r="AT68" s="13">
        <f t="shared" ref="AT68:AT103" si="50">IFERROR(IF(AS68="PTO","PTO",IF(AS68="OFF","OFF", AS68 + TIME(9,0,0))),"-")</f>
        <v>0.79166666666666674</v>
      </c>
      <c r="AU68" s="21">
        <f>VLOOKUP(A68,'Agent Sched'!B:W,22,)</f>
        <v>0.41666666666666669</v>
      </c>
      <c r="AV68" s="13">
        <f t="shared" ref="AV68:AV103" si="51">IFERROR(IF(AU68="PTO","PTO",IF(AU68="OFF","OFF", AU68 + TIME(9,0,0))),"-")</f>
        <v>0.79166666666666674</v>
      </c>
    </row>
    <row r="69" spans="1:48" x14ac:dyDescent="0.25">
      <c r="A69" s="20" t="str">
        <f>'Agent Sched'!B70</f>
        <v>Rizel De Guzman</v>
      </c>
      <c r="B69" s="12">
        <f>IFERROR(VLOOKUP(A69,'Agent Sched'!$B:$C,2,),"-")</f>
        <v>0.41666666666666669</v>
      </c>
      <c r="C69" s="13">
        <f t="shared" si="30"/>
        <v>0.79166666666666674</v>
      </c>
      <c r="D69" s="12" t="str">
        <f>IFERROR(VLOOKUP(A69,'Agent Sched'!B:D,3,),"-")</f>
        <v>OFF</v>
      </c>
      <c r="E69" s="13" t="str">
        <f t="shared" si="31"/>
        <v>OFF</v>
      </c>
      <c r="F69" s="12" t="str">
        <f>IFERROR(VLOOKUP(A69,'Agent Sched'!B:E,4,),"-")</f>
        <v>OFF</v>
      </c>
      <c r="G69" s="13" t="str">
        <f t="shared" si="32"/>
        <v>OFF</v>
      </c>
      <c r="H69" s="12">
        <f>IFERROR(VLOOKUP(A69,'Agent Sched'!B:F,5,),"-")</f>
        <v>0.41666666666666669</v>
      </c>
      <c r="I69" s="13">
        <f t="shared" si="33"/>
        <v>0.79166666666666674</v>
      </c>
      <c r="J69" s="12">
        <f>IFERROR(VLOOKUP(A69,'Agent Sched'!B:G,6,),"-")</f>
        <v>0.41666666666666669</v>
      </c>
      <c r="K69" s="13">
        <f t="shared" si="34"/>
        <v>0.79166666666666674</v>
      </c>
      <c r="L69" s="12">
        <f>IFERROR(VLOOKUP(A69,'Agent Sched'!B:H,7,),"-")</f>
        <v>0.41666666666666669</v>
      </c>
      <c r="M69" s="13">
        <f t="shared" si="35"/>
        <v>0.79166666666666674</v>
      </c>
      <c r="N69" s="21">
        <f>IFERROR(VLOOKUP(A69,'Agent Sched'!B:I,8,),"-")</f>
        <v>0.41666666666666669</v>
      </c>
      <c r="O69" s="13">
        <f t="shared" si="36"/>
        <v>0.79166666666666674</v>
      </c>
      <c r="Q69" s="12">
        <f>VLOOKUP(A69,'Agent Sched'!B:Y,24,)</f>
        <v>0.41666666666666669</v>
      </c>
      <c r="R69" s="13">
        <f t="shared" si="37"/>
        <v>0.79166666666666674</v>
      </c>
      <c r="T69" s="25">
        <f>VLOOKUP(A69,'Agent Sched'!$B:$J,9,)</f>
        <v>0.41666666666666669</v>
      </c>
      <c r="U69" s="13">
        <f t="shared" si="38"/>
        <v>0.79166666666666674</v>
      </c>
      <c r="V69" s="12" t="str">
        <f>VLOOKUP(A69,'Agent Sched'!B:K,10,)</f>
        <v>OFF</v>
      </c>
      <c r="W69" s="13" t="str">
        <f t="shared" si="39"/>
        <v>OFF</v>
      </c>
      <c r="X69" s="12" t="str">
        <f>VLOOKUP(A69,'Agent Sched'!B:L,11,)</f>
        <v>OFF</v>
      </c>
      <c r="Y69" s="13" t="str">
        <f t="shared" si="40"/>
        <v>OFF</v>
      </c>
      <c r="Z69" s="12">
        <f>VLOOKUP(A69,'Agent Sched'!B:M,12,)</f>
        <v>0.41666666666666669</v>
      </c>
      <c r="AA69" s="13">
        <f t="shared" si="41"/>
        <v>0.79166666666666674</v>
      </c>
      <c r="AB69" s="12">
        <f>VLOOKUP(A69,'Agent Sched'!B:N,13,)</f>
        <v>0.41666666666666669</v>
      </c>
      <c r="AC69" s="13">
        <f t="shared" si="42"/>
        <v>0.79166666666666674</v>
      </c>
      <c r="AD69" s="12">
        <f>VLOOKUP(A69,'Agent Sched'!B:O,14,)</f>
        <v>0.41666666666666669</v>
      </c>
      <c r="AE69" s="13">
        <f t="shared" si="43"/>
        <v>0.79166666666666674</v>
      </c>
      <c r="AF69" s="21">
        <f>VLOOKUP(A69,'Agent Sched'!B:P,15,)</f>
        <v>0.41666666666666669</v>
      </c>
      <c r="AG69" s="13">
        <f t="shared" si="44"/>
        <v>0.79166666666666674</v>
      </c>
      <c r="AI69" s="25">
        <f>VLOOKUP(A69,'Agent Sched'!$B:$Q,16,)</f>
        <v>0.41666666666666669</v>
      </c>
      <c r="AJ69" s="13">
        <f t="shared" si="45"/>
        <v>0.79166666666666674</v>
      </c>
      <c r="AK69" s="12" t="str">
        <f>VLOOKUP(A69,'Agent Sched'!B:R,17,)</f>
        <v>OFF</v>
      </c>
      <c r="AL69" s="13" t="str">
        <f t="shared" si="46"/>
        <v>OFF</v>
      </c>
      <c r="AM69" s="12" t="str">
        <f>VLOOKUP(A69,'Agent Sched'!B:S,18,)</f>
        <v>OFF</v>
      </c>
      <c r="AN69" s="13" t="str">
        <f t="shared" si="47"/>
        <v>OFF</v>
      </c>
      <c r="AO69" s="12">
        <f>VLOOKUP(A69,'Agent Sched'!B:T,19,)</f>
        <v>0.41666666666666669</v>
      </c>
      <c r="AP69" s="13">
        <f t="shared" si="48"/>
        <v>0.79166666666666674</v>
      </c>
      <c r="AQ69" s="12">
        <f>VLOOKUP(A69,'Agent Sched'!B:U,20,)</f>
        <v>0.41666666666666669</v>
      </c>
      <c r="AR69" s="13">
        <f t="shared" si="49"/>
        <v>0.79166666666666674</v>
      </c>
      <c r="AS69" s="12">
        <f>VLOOKUP(A69,'Agent Sched'!B:V,21,)</f>
        <v>0.41666666666666669</v>
      </c>
      <c r="AT69" s="13">
        <f t="shared" si="50"/>
        <v>0.79166666666666674</v>
      </c>
      <c r="AU69" s="21">
        <f>VLOOKUP(A69,'Agent Sched'!B:W,22,)</f>
        <v>0.41666666666666669</v>
      </c>
      <c r="AV69" s="13">
        <f t="shared" si="51"/>
        <v>0.79166666666666674</v>
      </c>
    </row>
    <row r="70" spans="1:48" x14ac:dyDescent="0.25">
      <c r="A70" s="20" t="str">
        <f>'Agent Sched'!B71</f>
        <v>Christopher Tolentino</v>
      </c>
      <c r="B70" s="12">
        <f>IFERROR(VLOOKUP(A70,'Agent Sched'!$B:$C,2,),"-")</f>
        <v>0.41666666666666669</v>
      </c>
      <c r="C70" s="13">
        <f t="shared" si="30"/>
        <v>0.79166666666666674</v>
      </c>
      <c r="D70" s="12" t="str">
        <f>IFERROR(VLOOKUP(A70,'Agent Sched'!B:D,3,),"-")</f>
        <v>OFF</v>
      </c>
      <c r="E70" s="13" t="str">
        <f t="shared" si="31"/>
        <v>OFF</v>
      </c>
      <c r="F70" s="12" t="str">
        <f>IFERROR(VLOOKUP(A70,'Agent Sched'!B:E,4,),"-")</f>
        <v>OFF</v>
      </c>
      <c r="G70" s="13" t="str">
        <f t="shared" si="32"/>
        <v>OFF</v>
      </c>
      <c r="H70" s="12">
        <f>IFERROR(VLOOKUP(A70,'Agent Sched'!B:F,5,),"-")</f>
        <v>0.41666666666666669</v>
      </c>
      <c r="I70" s="13">
        <f t="shared" si="33"/>
        <v>0.79166666666666674</v>
      </c>
      <c r="J70" s="12">
        <f>IFERROR(VLOOKUP(A70,'Agent Sched'!B:G,6,),"-")</f>
        <v>0.41666666666666669</v>
      </c>
      <c r="K70" s="13">
        <f t="shared" si="34"/>
        <v>0.79166666666666674</v>
      </c>
      <c r="L70" s="12">
        <f>IFERROR(VLOOKUP(A70,'Agent Sched'!B:H,7,),"-")</f>
        <v>0.41666666666666669</v>
      </c>
      <c r="M70" s="13">
        <f t="shared" si="35"/>
        <v>0.79166666666666674</v>
      </c>
      <c r="N70" s="21">
        <f>IFERROR(VLOOKUP(A70,'Agent Sched'!B:I,8,),"-")</f>
        <v>0.41666666666666669</v>
      </c>
      <c r="O70" s="13">
        <f t="shared" si="36"/>
        <v>0.79166666666666674</v>
      </c>
      <c r="Q70" s="12">
        <f>VLOOKUP(A70,'Agent Sched'!B:Y,24,)</f>
        <v>0.41666666666666669</v>
      </c>
      <c r="R70" s="13">
        <f t="shared" si="37"/>
        <v>0.79166666666666674</v>
      </c>
      <c r="T70" s="25">
        <f>VLOOKUP(A70,'Agent Sched'!$B:$J,9,)</f>
        <v>0.41666666666666669</v>
      </c>
      <c r="U70" s="13">
        <f t="shared" si="38"/>
        <v>0.79166666666666674</v>
      </c>
      <c r="V70" s="12" t="str">
        <f>VLOOKUP(A70,'Agent Sched'!B:K,10,)</f>
        <v>OFF</v>
      </c>
      <c r="W70" s="13" t="str">
        <f t="shared" si="39"/>
        <v>OFF</v>
      </c>
      <c r="X70" s="12" t="str">
        <f>VLOOKUP(A70,'Agent Sched'!B:L,11,)</f>
        <v>OFF</v>
      </c>
      <c r="Y70" s="13" t="str">
        <f t="shared" si="40"/>
        <v>OFF</v>
      </c>
      <c r="Z70" s="12">
        <f>VLOOKUP(A70,'Agent Sched'!B:M,12,)</f>
        <v>0.41666666666666669</v>
      </c>
      <c r="AA70" s="13">
        <f t="shared" si="41"/>
        <v>0.79166666666666674</v>
      </c>
      <c r="AB70" s="12">
        <f>VLOOKUP(A70,'Agent Sched'!B:N,13,)</f>
        <v>0.41666666666666669</v>
      </c>
      <c r="AC70" s="13">
        <f t="shared" si="42"/>
        <v>0.79166666666666674</v>
      </c>
      <c r="AD70" s="12">
        <f>VLOOKUP(A70,'Agent Sched'!B:O,14,)</f>
        <v>0.41666666666666669</v>
      </c>
      <c r="AE70" s="13">
        <f t="shared" si="43"/>
        <v>0.79166666666666674</v>
      </c>
      <c r="AF70" s="21">
        <f>VLOOKUP(A70,'Agent Sched'!B:P,15,)</f>
        <v>0.41666666666666669</v>
      </c>
      <c r="AG70" s="13">
        <f t="shared" si="44"/>
        <v>0.79166666666666674</v>
      </c>
      <c r="AI70" s="25">
        <f>VLOOKUP(A70,'Agent Sched'!$B:$Q,16,)</f>
        <v>0.41666666666666669</v>
      </c>
      <c r="AJ70" s="13">
        <f t="shared" si="45"/>
        <v>0.79166666666666674</v>
      </c>
      <c r="AK70" s="12" t="str">
        <f>VLOOKUP(A70,'Agent Sched'!B:R,17,)</f>
        <v>OFF</v>
      </c>
      <c r="AL70" s="13" t="str">
        <f t="shared" si="46"/>
        <v>OFF</v>
      </c>
      <c r="AM70" s="12" t="str">
        <f>VLOOKUP(A70,'Agent Sched'!B:S,18,)</f>
        <v>OFF</v>
      </c>
      <c r="AN70" s="13" t="str">
        <f t="shared" si="47"/>
        <v>OFF</v>
      </c>
      <c r="AO70" s="12">
        <f>VLOOKUP(A70,'Agent Sched'!B:T,19,)</f>
        <v>0.41666666666666669</v>
      </c>
      <c r="AP70" s="13">
        <f t="shared" si="48"/>
        <v>0.79166666666666674</v>
      </c>
      <c r="AQ70" s="12">
        <f>VLOOKUP(A70,'Agent Sched'!B:U,20,)</f>
        <v>0.41666666666666669</v>
      </c>
      <c r="AR70" s="13">
        <f t="shared" si="49"/>
        <v>0.79166666666666674</v>
      </c>
      <c r="AS70" s="12">
        <f>VLOOKUP(A70,'Agent Sched'!B:V,21,)</f>
        <v>0.41666666666666669</v>
      </c>
      <c r="AT70" s="13">
        <f t="shared" si="50"/>
        <v>0.79166666666666674</v>
      </c>
      <c r="AU70" s="21">
        <f>VLOOKUP(A70,'Agent Sched'!B:W,22,)</f>
        <v>0.41666666666666669</v>
      </c>
      <c r="AV70" s="13">
        <f t="shared" si="51"/>
        <v>0.79166666666666674</v>
      </c>
    </row>
    <row r="71" spans="1:48" x14ac:dyDescent="0.25">
      <c r="A71" s="20" t="str">
        <f>'Agent Sched'!B72</f>
        <v>Conrado Abricanan</v>
      </c>
      <c r="B71" s="12" t="str">
        <f>IFERROR(VLOOKUP(A71,'Agent Sched'!$B:$C,2,),"-")</f>
        <v>OFF</v>
      </c>
      <c r="C71" s="13" t="str">
        <f t="shared" si="30"/>
        <v>OFF</v>
      </c>
      <c r="D71" s="12" t="str">
        <f>IFERROR(VLOOKUP(A71,'Agent Sched'!B:D,3,),"-")</f>
        <v>OFF</v>
      </c>
      <c r="E71" s="13" t="str">
        <f t="shared" si="31"/>
        <v>OFF</v>
      </c>
      <c r="F71" s="12" t="str">
        <f>IFERROR(VLOOKUP(A71,'Agent Sched'!B:E,4,),"-")</f>
        <v>OFF</v>
      </c>
      <c r="G71" s="13" t="str">
        <f t="shared" si="32"/>
        <v>OFF</v>
      </c>
      <c r="H71" s="12" t="str">
        <f>IFERROR(VLOOKUP(A71,'Agent Sched'!B:F,5,),"-")</f>
        <v>OFF</v>
      </c>
      <c r="I71" s="13" t="str">
        <f t="shared" si="33"/>
        <v>OFF</v>
      </c>
      <c r="J71" s="12" t="str">
        <f>IFERROR(VLOOKUP(A71,'Agent Sched'!B:G,6,),"-")</f>
        <v>OFF</v>
      </c>
      <c r="K71" s="13" t="str">
        <f t="shared" si="34"/>
        <v>OFF</v>
      </c>
      <c r="L71" s="12" t="str">
        <f>IFERROR(VLOOKUP(A71,'Agent Sched'!B:H,7,),"-")</f>
        <v>OFF</v>
      </c>
      <c r="M71" s="13" t="str">
        <f t="shared" si="35"/>
        <v>OFF</v>
      </c>
      <c r="N71" s="21" t="str">
        <f>IFERROR(VLOOKUP(A71,'Agent Sched'!B:I,8,),"-")</f>
        <v>OFF</v>
      </c>
      <c r="O71" s="13" t="str">
        <f t="shared" si="36"/>
        <v>OFF</v>
      </c>
      <c r="Q71" s="12" t="str">
        <f>VLOOKUP(A71,'Agent Sched'!B:Y,24,)</f>
        <v>OFF</v>
      </c>
      <c r="R71" s="13" t="str">
        <f t="shared" si="37"/>
        <v>OFF</v>
      </c>
      <c r="T71" s="25" t="str">
        <f>VLOOKUP(A71,'Agent Sched'!$B:$J,9,)</f>
        <v>OFF</v>
      </c>
      <c r="U71" s="13" t="str">
        <f t="shared" si="38"/>
        <v>OFF</v>
      </c>
      <c r="V71" s="12" t="str">
        <f>VLOOKUP(A71,'Agent Sched'!B:K,10,)</f>
        <v>OFF</v>
      </c>
      <c r="W71" s="13" t="str">
        <f t="shared" si="39"/>
        <v>OFF</v>
      </c>
      <c r="X71" s="12" t="str">
        <f>VLOOKUP(A71,'Agent Sched'!B:L,11,)</f>
        <v>OFF</v>
      </c>
      <c r="Y71" s="13" t="str">
        <f t="shared" si="40"/>
        <v>OFF</v>
      </c>
      <c r="Z71" s="12" t="str">
        <f>VLOOKUP(A71,'Agent Sched'!B:M,12,)</f>
        <v>OFF</v>
      </c>
      <c r="AA71" s="13" t="str">
        <f t="shared" si="41"/>
        <v>OFF</v>
      </c>
      <c r="AB71" s="12" t="str">
        <f>VLOOKUP(A71,'Agent Sched'!B:N,13,)</f>
        <v>OFF</v>
      </c>
      <c r="AC71" s="13" t="str">
        <f t="shared" si="42"/>
        <v>OFF</v>
      </c>
      <c r="AD71" s="12" t="str">
        <f>VLOOKUP(A71,'Agent Sched'!B:O,14,)</f>
        <v>OFF</v>
      </c>
      <c r="AE71" s="13" t="str">
        <f t="shared" si="43"/>
        <v>OFF</v>
      </c>
      <c r="AF71" s="21" t="str">
        <f>VLOOKUP(A71,'Agent Sched'!B:P,15,)</f>
        <v>OFF</v>
      </c>
      <c r="AG71" s="13" t="str">
        <f t="shared" si="44"/>
        <v>OFF</v>
      </c>
      <c r="AI71" s="25" t="str">
        <f>VLOOKUP(A71,'Agent Sched'!$B:$Q,16,)</f>
        <v>OFF</v>
      </c>
      <c r="AJ71" s="13" t="str">
        <f t="shared" si="45"/>
        <v>OFF</v>
      </c>
      <c r="AK71" s="12" t="str">
        <f>VLOOKUP(A71,'Agent Sched'!B:R,17,)</f>
        <v>OFF</v>
      </c>
      <c r="AL71" s="13" t="str">
        <f t="shared" si="46"/>
        <v>OFF</v>
      </c>
      <c r="AM71" s="12" t="str">
        <f>VLOOKUP(A71,'Agent Sched'!B:S,18,)</f>
        <v>OFF</v>
      </c>
      <c r="AN71" s="13" t="str">
        <f t="shared" si="47"/>
        <v>OFF</v>
      </c>
      <c r="AO71" s="12" t="str">
        <f>VLOOKUP(A71,'Agent Sched'!B:T,19,)</f>
        <v>OFF</v>
      </c>
      <c r="AP71" s="13" t="str">
        <f t="shared" si="48"/>
        <v>OFF</v>
      </c>
      <c r="AQ71" s="12" t="str">
        <f>VLOOKUP(A71,'Agent Sched'!B:U,20,)</f>
        <v>OFF</v>
      </c>
      <c r="AR71" s="13" t="str">
        <f t="shared" si="49"/>
        <v>OFF</v>
      </c>
      <c r="AS71" s="12" t="str">
        <f>VLOOKUP(A71,'Agent Sched'!B:V,21,)</f>
        <v>OFF</v>
      </c>
      <c r="AT71" s="13" t="str">
        <f t="shared" si="50"/>
        <v>OFF</v>
      </c>
      <c r="AU71" s="21" t="str">
        <f>VLOOKUP(A71,'Agent Sched'!B:W,22,)</f>
        <v>OFF</v>
      </c>
      <c r="AV71" s="13" t="str">
        <f t="shared" si="51"/>
        <v>OFF</v>
      </c>
    </row>
    <row r="72" spans="1:48" x14ac:dyDescent="0.25">
      <c r="A72" s="20" t="str">
        <f>'Agent Sched'!B73</f>
        <v>Camalludin Mikunug</v>
      </c>
      <c r="B72" s="12">
        <f>IFERROR(VLOOKUP(A72,'Agent Sched'!$B:$C,2,),"-")</f>
        <v>0.41666666666666669</v>
      </c>
      <c r="C72" s="13">
        <f t="shared" si="30"/>
        <v>0.79166666666666674</v>
      </c>
      <c r="D72" s="12" t="str">
        <f>IFERROR(VLOOKUP(A72,'Agent Sched'!B:D,3,),"-")</f>
        <v>OFF</v>
      </c>
      <c r="E72" s="13" t="str">
        <f t="shared" si="31"/>
        <v>OFF</v>
      </c>
      <c r="F72" s="12" t="str">
        <f>IFERROR(VLOOKUP(A72,'Agent Sched'!B:E,4,),"-")</f>
        <v>OFF</v>
      </c>
      <c r="G72" s="13" t="str">
        <f t="shared" si="32"/>
        <v>OFF</v>
      </c>
      <c r="H72" s="12">
        <f>IFERROR(VLOOKUP(A72,'Agent Sched'!B:F,5,),"-")</f>
        <v>0.41666666666666669</v>
      </c>
      <c r="I72" s="13">
        <f t="shared" si="33"/>
        <v>0.79166666666666674</v>
      </c>
      <c r="J72" s="12">
        <f>IFERROR(VLOOKUP(A72,'Agent Sched'!B:G,6,),"-")</f>
        <v>0.41666666666666669</v>
      </c>
      <c r="K72" s="13">
        <f t="shared" si="34"/>
        <v>0.79166666666666674</v>
      </c>
      <c r="L72" s="12">
        <f>IFERROR(VLOOKUP(A72,'Agent Sched'!B:H,7,),"-")</f>
        <v>0.41666666666666669</v>
      </c>
      <c r="M72" s="13">
        <f t="shared" si="35"/>
        <v>0.79166666666666674</v>
      </c>
      <c r="N72" s="21">
        <f>IFERROR(VLOOKUP(A72,'Agent Sched'!B:I,8,),"-")</f>
        <v>0.41666666666666669</v>
      </c>
      <c r="O72" s="13">
        <f t="shared" si="36"/>
        <v>0.79166666666666674</v>
      </c>
      <c r="Q72" s="12">
        <f>VLOOKUP(A72,'Agent Sched'!B:Y,24,)</f>
        <v>0.41666666666666669</v>
      </c>
      <c r="R72" s="13">
        <f t="shared" si="37"/>
        <v>0.79166666666666674</v>
      </c>
      <c r="T72" s="25">
        <f>VLOOKUP(A72,'Agent Sched'!$B:$J,9,)</f>
        <v>0.41666666666666669</v>
      </c>
      <c r="U72" s="13">
        <f t="shared" si="38"/>
        <v>0.79166666666666674</v>
      </c>
      <c r="V72" s="12" t="str">
        <f>VLOOKUP(A72,'Agent Sched'!B:K,10,)</f>
        <v>OFF</v>
      </c>
      <c r="W72" s="13" t="str">
        <f t="shared" si="39"/>
        <v>OFF</v>
      </c>
      <c r="X72" s="12" t="str">
        <f>VLOOKUP(A72,'Agent Sched'!B:L,11,)</f>
        <v>OFF</v>
      </c>
      <c r="Y72" s="13" t="str">
        <f t="shared" si="40"/>
        <v>OFF</v>
      </c>
      <c r="Z72" s="12">
        <f>VLOOKUP(A72,'Agent Sched'!B:M,12,)</f>
        <v>0.41666666666666669</v>
      </c>
      <c r="AA72" s="13">
        <f t="shared" si="41"/>
        <v>0.79166666666666674</v>
      </c>
      <c r="AB72" s="12">
        <f>VLOOKUP(A72,'Agent Sched'!B:N,13,)</f>
        <v>0.41666666666666669</v>
      </c>
      <c r="AC72" s="13">
        <f t="shared" si="42"/>
        <v>0.79166666666666674</v>
      </c>
      <c r="AD72" s="12">
        <f>VLOOKUP(A72,'Agent Sched'!B:O,14,)</f>
        <v>0.41666666666666669</v>
      </c>
      <c r="AE72" s="13">
        <f t="shared" si="43"/>
        <v>0.79166666666666674</v>
      </c>
      <c r="AF72" s="21">
        <f>VLOOKUP(A72,'Agent Sched'!B:P,15,)</f>
        <v>0.41666666666666669</v>
      </c>
      <c r="AG72" s="13">
        <f t="shared" si="44"/>
        <v>0.79166666666666674</v>
      </c>
      <c r="AI72" s="25">
        <f>VLOOKUP(A72,'Agent Sched'!$B:$Q,16,)</f>
        <v>0.41666666666666669</v>
      </c>
      <c r="AJ72" s="13">
        <f t="shared" si="45"/>
        <v>0.79166666666666674</v>
      </c>
      <c r="AK72" s="12" t="str">
        <f>VLOOKUP(A72,'Agent Sched'!B:R,17,)</f>
        <v>OFF</v>
      </c>
      <c r="AL72" s="13" t="str">
        <f t="shared" si="46"/>
        <v>OFF</v>
      </c>
      <c r="AM72" s="12" t="str">
        <f>VLOOKUP(A72,'Agent Sched'!B:S,18,)</f>
        <v>OFF</v>
      </c>
      <c r="AN72" s="13" t="str">
        <f t="shared" si="47"/>
        <v>OFF</v>
      </c>
      <c r="AO72" s="12">
        <f>VLOOKUP(A72,'Agent Sched'!B:T,19,)</f>
        <v>0.41666666666666669</v>
      </c>
      <c r="AP72" s="13">
        <f t="shared" si="48"/>
        <v>0.79166666666666674</v>
      </c>
      <c r="AQ72" s="12">
        <f>VLOOKUP(A72,'Agent Sched'!B:U,20,)</f>
        <v>0.41666666666666669</v>
      </c>
      <c r="AR72" s="13">
        <f t="shared" si="49"/>
        <v>0.79166666666666674</v>
      </c>
      <c r="AS72" s="12">
        <f>VLOOKUP(A72,'Agent Sched'!B:V,21,)</f>
        <v>0.41666666666666669</v>
      </c>
      <c r="AT72" s="13">
        <f t="shared" si="50"/>
        <v>0.79166666666666674</v>
      </c>
      <c r="AU72" s="21">
        <f>VLOOKUP(A72,'Agent Sched'!B:W,22,)</f>
        <v>0.41666666666666669</v>
      </c>
      <c r="AV72" s="13">
        <f t="shared" si="51"/>
        <v>0.79166666666666674</v>
      </c>
    </row>
    <row r="73" spans="1:48" x14ac:dyDescent="0.25">
      <c r="A73" s="20" t="str">
        <f>'Agent Sched'!B74</f>
        <v>Marjorie Naval</v>
      </c>
      <c r="B73" s="12">
        <f>IFERROR(VLOOKUP(A73,'Agent Sched'!$B:$C,2,),"-")</f>
        <v>0.41666666666666669</v>
      </c>
      <c r="C73" s="13">
        <f t="shared" si="30"/>
        <v>0.79166666666666674</v>
      </c>
      <c r="D73" s="12" t="str">
        <f>IFERROR(VLOOKUP(A73,'Agent Sched'!B:D,3,),"-")</f>
        <v>OFF</v>
      </c>
      <c r="E73" s="13" t="str">
        <f t="shared" si="31"/>
        <v>OFF</v>
      </c>
      <c r="F73" s="12" t="str">
        <f>IFERROR(VLOOKUP(A73,'Agent Sched'!B:E,4,),"-")</f>
        <v>OFF</v>
      </c>
      <c r="G73" s="13" t="str">
        <f t="shared" si="32"/>
        <v>OFF</v>
      </c>
      <c r="H73" s="12">
        <f>IFERROR(VLOOKUP(A73,'Agent Sched'!B:F,5,),"-")</f>
        <v>0.41666666666666669</v>
      </c>
      <c r="I73" s="13">
        <f t="shared" si="33"/>
        <v>0.79166666666666674</v>
      </c>
      <c r="J73" s="12">
        <f>IFERROR(VLOOKUP(A73,'Agent Sched'!B:G,6,),"-")</f>
        <v>0.41666666666666669</v>
      </c>
      <c r="K73" s="13">
        <f t="shared" si="34"/>
        <v>0.79166666666666674</v>
      </c>
      <c r="L73" s="12">
        <f>IFERROR(VLOOKUP(A73,'Agent Sched'!B:H,7,),"-")</f>
        <v>0.41666666666666669</v>
      </c>
      <c r="M73" s="13">
        <f t="shared" si="35"/>
        <v>0.79166666666666674</v>
      </c>
      <c r="N73" s="21">
        <f>IFERROR(VLOOKUP(A73,'Agent Sched'!B:I,8,),"-")</f>
        <v>0.41666666666666669</v>
      </c>
      <c r="O73" s="13">
        <f t="shared" si="36"/>
        <v>0.79166666666666674</v>
      </c>
      <c r="Q73" s="12">
        <f>VLOOKUP(A73,'Agent Sched'!B:Y,24,)</f>
        <v>0.41666666666666669</v>
      </c>
      <c r="R73" s="13">
        <f t="shared" si="37"/>
        <v>0.79166666666666674</v>
      </c>
      <c r="T73" s="25">
        <f>VLOOKUP(A73,'Agent Sched'!$B:$J,9,)</f>
        <v>0.41666666666666669</v>
      </c>
      <c r="U73" s="13">
        <f t="shared" si="38"/>
        <v>0.79166666666666674</v>
      </c>
      <c r="V73" s="12" t="str">
        <f>VLOOKUP(A73,'Agent Sched'!B:K,10,)</f>
        <v>OFF</v>
      </c>
      <c r="W73" s="13" t="str">
        <f t="shared" si="39"/>
        <v>OFF</v>
      </c>
      <c r="X73" s="12" t="str">
        <f>VLOOKUP(A73,'Agent Sched'!B:L,11,)</f>
        <v>OFF</v>
      </c>
      <c r="Y73" s="13" t="str">
        <f t="shared" si="40"/>
        <v>OFF</v>
      </c>
      <c r="Z73" s="12">
        <f>VLOOKUP(A73,'Agent Sched'!B:M,12,)</f>
        <v>0.41666666666666669</v>
      </c>
      <c r="AA73" s="13">
        <f t="shared" si="41"/>
        <v>0.79166666666666674</v>
      </c>
      <c r="AB73" s="12">
        <f>VLOOKUP(A73,'Agent Sched'!B:N,13,)</f>
        <v>0.41666666666666669</v>
      </c>
      <c r="AC73" s="13">
        <f t="shared" si="42"/>
        <v>0.79166666666666674</v>
      </c>
      <c r="AD73" s="12">
        <f>VLOOKUP(A73,'Agent Sched'!B:O,14,)</f>
        <v>0.41666666666666669</v>
      </c>
      <c r="AE73" s="13">
        <f t="shared" si="43"/>
        <v>0.79166666666666674</v>
      </c>
      <c r="AF73" s="21">
        <f>VLOOKUP(A73,'Agent Sched'!B:P,15,)</f>
        <v>0.41666666666666669</v>
      </c>
      <c r="AG73" s="13">
        <f t="shared" si="44"/>
        <v>0.79166666666666674</v>
      </c>
      <c r="AI73" s="25">
        <f>VLOOKUP(A73,'Agent Sched'!$B:$Q,16,)</f>
        <v>0.41666666666666669</v>
      </c>
      <c r="AJ73" s="13">
        <f t="shared" si="45"/>
        <v>0.79166666666666674</v>
      </c>
      <c r="AK73" s="12" t="str">
        <f>VLOOKUP(A73,'Agent Sched'!B:R,17,)</f>
        <v>OFF</v>
      </c>
      <c r="AL73" s="13" t="str">
        <f t="shared" si="46"/>
        <v>OFF</v>
      </c>
      <c r="AM73" s="12" t="str">
        <f>VLOOKUP(A73,'Agent Sched'!B:S,18,)</f>
        <v>OFF</v>
      </c>
      <c r="AN73" s="13" t="str">
        <f t="shared" si="47"/>
        <v>OFF</v>
      </c>
      <c r="AO73" s="12">
        <f>VLOOKUP(A73,'Agent Sched'!B:T,19,)</f>
        <v>0.41666666666666669</v>
      </c>
      <c r="AP73" s="13">
        <f t="shared" si="48"/>
        <v>0.79166666666666674</v>
      </c>
      <c r="AQ73" s="12">
        <f>VLOOKUP(A73,'Agent Sched'!B:U,20,)</f>
        <v>0.41666666666666669</v>
      </c>
      <c r="AR73" s="13">
        <f t="shared" si="49"/>
        <v>0.79166666666666674</v>
      </c>
      <c r="AS73" s="12">
        <f>VLOOKUP(A73,'Agent Sched'!B:V,21,)</f>
        <v>0.41666666666666669</v>
      </c>
      <c r="AT73" s="13">
        <f t="shared" si="50"/>
        <v>0.79166666666666674</v>
      </c>
      <c r="AU73" s="21">
        <f>VLOOKUP(A73,'Agent Sched'!B:W,22,)</f>
        <v>0.41666666666666669</v>
      </c>
      <c r="AV73" s="13">
        <f t="shared" si="51"/>
        <v>0.79166666666666674</v>
      </c>
    </row>
    <row r="74" spans="1:48" x14ac:dyDescent="0.25">
      <c r="A74" s="20" t="str">
        <f>'Agent Sched'!B75</f>
        <v>Winchell Ann Galotera</v>
      </c>
      <c r="B74" s="12">
        <f>IFERROR(VLOOKUP(A74,'Agent Sched'!$B:$C,2,),"-")</f>
        <v>0.41666666666666669</v>
      </c>
      <c r="C74" s="13">
        <f t="shared" si="30"/>
        <v>0.79166666666666674</v>
      </c>
      <c r="D74" s="12" t="str">
        <f>IFERROR(VLOOKUP(A74,'Agent Sched'!B:D,3,),"-")</f>
        <v>OFF</v>
      </c>
      <c r="E74" s="13" t="str">
        <f t="shared" si="31"/>
        <v>OFF</v>
      </c>
      <c r="F74" s="12" t="str">
        <f>IFERROR(VLOOKUP(A74,'Agent Sched'!B:E,4,),"-")</f>
        <v>OFF</v>
      </c>
      <c r="G74" s="13" t="str">
        <f t="shared" si="32"/>
        <v>OFF</v>
      </c>
      <c r="H74" s="12">
        <f>IFERROR(VLOOKUP(A74,'Agent Sched'!B:F,5,),"-")</f>
        <v>0.41666666666666669</v>
      </c>
      <c r="I74" s="13">
        <f t="shared" si="33"/>
        <v>0.79166666666666674</v>
      </c>
      <c r="J74" s="12">
        <f>IFERROR(VLOOKUP(A74,'Agent Sched'!B:G,6,),"-")</f>
        <v>0.41666666666666669</v>
      </c>
      <c r="K74" s="13">
        <f t="shared" si="34"/>
        <v>0.79166666666666674</v>
      </c>
      <c r="L74" s="12">
        <f>IFERROR(VLOOKUP(A74,'Agent Sched'!B:H,7,),"-")</f>
        <v>0.41666666666666669</v>
      </c>
      <c r="M74" s="13">
        <f t="shared" si="35"/>
        <v>0.79166666666666674</v>
      </c>
      <c r="N74" s="21">
        <f>IFERROR(VLOOKUP(A74,'Agent Sched'!B:I,8,),"-")</f>
        <v>0.41666666666666669</v>
      </c>
      <c r="O74" s="13">
        <f t="shared" si="36"/>
        <v>0.79166666666666674</v>
      </c>
      <c r="Q74" s="12">
        <f>VLOOKUP(A74,'Agent Sched'!B:Y,24,)</f>
        <v>0.41666666666666669</v>
      </c>
      <c r="R74" s="13">
        <f t="shared" si="37"/>
        <v>0.79166666666666674</v>
      </c>
      <c r="T74" s="25">
        <f>VLOOKUP(A74,'Agent Sched'!$B:$J,9,)</f>
        <v>0.41666666666666669</v>
      </c>
      <c r="U74" s="13">
        <f t="shared" si="38"/>
        <v>0.79166666666666674</v>
      </c>
      <c r="V74" s="12" t="str">
        <f>VLOOKUP(A74,'Agent Sched'!B:K,10,)</f>
        <v>OFF</v>
      </c>
      <c r="W74" s="13" t="str">
        <f t="shared" si="39"/>
        <v>OFF</v>
      </c>
      <c r="X74" s="12" t="str">
        <f>VLOOKUP(A74,'Agent Sched'!B:L,11,)</f>
        <v>OFF</v>
      </c>
      <c r="Y74" s="13" t="str">
        <f t="shared" si="40"/>
        <v>OFF</v>
      </c>
      <c r="Z74" s="12">
        <f>VLOOKUP(A74,'Agent Sched'!B:M,12,)</f>
        <v>0.41666666666666669</v>
      </c>
      <c r="AA74" s="13">
        <f t="shared" si="41"/>
        <v>0.79166666666666674</v>
      </c>
      <c r="AB74" s="12">
        <f>VLOOKUP(A74,'Agent Sched'!B:N,13,)</f>
        <v>0.41666666666666669</v>
      </c>
      <c r="AC74" s="13">
        <f t="shared" si="42"/>
        <v>0.79166666666666674</v>
      </c>
      <c r="AD74" s="12">
        <f>VLOOKUP(A74,'Agent Sched'!B:O,14,)</f>
        <v>0.41666666666666669</v>
      </c>
      <c r="AE74" s="13">
        <f t="shared" si="43"/>
        <v>0.79166666666666674</v>
      </c>
      <c r="AF74" s="21">
        <f>VLOOKUP(A74,'Agent Sched'!B:P,15,)</f>
        <v>0.41666666666666669</v>
      </c>
      <c r="AG74" s="13">
        <f t="shared" si="44"/>
        <v>0.79166666666666674</v>
      </c>
      <c r="AI74" s="25">
        <f>VLOOKUP(A74,'Agent Sched'!$B:$Q,16,)</f>
        <v>0.41666666666666669</v>
      </c>
      <c r="AJ74" s="13">
        <f t="shared" si="45"/>
        <v>0.79166666666666674</v>
      </c>
      <c r="AK74" s="12" t="str">
        <f>VLOOKUP(A74,'Agent Sched'!B:R,17,)</f>
        <v>OFF</v>
      </c>
      <c r="AL74" s="13" t="str">
        <f t="shared" si="46"/>
        <v>OFF</v>
      </c>
      <c r="AM74" s="12" t="str">
        <f>VLOOKUP(A74,'Agent Sched'!B:S,18,)</f>
        <v>OFF</v>
      </c>
      <c r="AN74" s="13" t="str">
        <f t="shared" si="47"/>
        <v>OFF</v>
      </c>
      <c r="AO74" s="12">
        <f>VLOOKUP(A74,'Agent Sched'!B:T,19,)</f>
        <v>0.41666666666666669</v>
      </c>
      <c r="AP74" s="13">
        <f t="shared" si="48"/>
        <v>0.79166666666666674</v>
      </c>
      <c r="AQ74" s="12">
        <f>VLOOKUP(A74,'Agent Sched'!B:U,20,)</f>
        <v>0.41666666666666669</v>
      </c>
      <c r="AR74" s="13">
        <f t="shared" si="49"/>
        <v>0.79166666666666674</v>
      </c>
      <c r="AS74" s="12">
        <f>VLOOKUP(A74,'Agent Sched'!B:V,21,)</f>
        <v>0.41666666666666669</v>
      </c>
      <c r="AT74" s="13">
        <f t="shared" si="50"/>
        <v>0.79166666666666674</v>
      </c>
      <c r="AU74" s="21">
        <f>VLOOKUP(A74,'Agent Sched'!B:W,22,)</f>
        <v>0.41666666666666669</v>
      </c>
      <c r="AV74" s="13">
        <f t="shared" si="51"/>
        <v>0.79166666666666674</v>
      </c>
    </row>
    <row r="75" spans="1:48" x14ac:dyDescent="0.25">
      <c r="A75" s="20" t="str">
        <f>'Agent Sched'!B76</f>
        <v>Ma Lourdes Logronio</v>
      </c>
      <c r="B75" s="12">
        <f>IFERROR(VLOOKUP(A75,'Agent Sched'!$B:$C,2,),"-")</f>
        <v>0.41666666666666669</v>
      </c>
      <c r="C75" s="13">
        <f t="shared" si="30"/>
        <v>0.79166666666666674</v>
      </c>
      <c r="D75" s="12" t="str">
        <f>IFERROR(VLOOKUP(A75,'Agent Sched'!B:D,3,),"-")</f>
        <v>OFF</v>
      </c>
      <c r="E75" s="13" t="str">
        <f t="shared" si="31"/>
        <v>OFF</v>
      </c>
      <c r="F75" s="12" t="str">
        <f>IFERROR(VLOOKUP(A75,'Agent Sched'!B:E,4,),"-")</f>
        <v>OFF</v>
      </c>
      <c r="G75" s="13" t="str">
        <f t="shared" si="32"/>
        <v>OFF</v>
      </c>
      <c r="H75" s="12">
        <f>IFERROR(VLOOKUP(A75,'Agent Sched'!B:F,5,),"-")</f>
        <v>0.41666666666666669</v>
      </c>
      <c r="I75" s="13">
        <f t="shared" si="33"/>
        <v>0.79166666666666674</v>
      </c>
      <c r="J75" s="12">
        <f>IFERROR(VLOOKUP(A75,'Agent Sched'!B:G,6,),"-")</f>
        <v>0.41666666666666669</v>
      </c>
      <c r="K75" s="13">
        <f t="shared" si="34"/>
        <v>0.79166666666666674</v>
      </c>
      <c r="L75" s="12">
        <f>IFERROR(VLOOKUP(A75,'Agent Sched'!B:H,7,),"-")</f>
        <v>0.41666666666666669</v>
      </c>
      <c r="M75" s="13">
        <f t="shared" si="35"/>
        <v>0.79166666666666674</v>
      </c>
      <c r="N75" s="21">
        <f>IFERROR(VLOOKUP(A75,'Agent Sched'!B:I,8,),"-")</f>
        <v>0.41666666666666669</v>
      </c>
      <c r="O75" s="13">
        <f t="shared" si="36"/>
        <v>0.79166666666666674</v>
      </c>
      <c r="Q75" s="12">
        <f>VLOOKUP(A75,'Agent Sched'!B:Y,24,)</f>
        <v>0.41666666666666669</v>
      </c>
      <c r="R75" s="13">
        <f t="shared" si="37"/>
        <v>0.79166666666666674</v>
      </c>
      <c r="T75" s="25">
        <f>VLOOKUP(A75,'Agent Sched'!$B:$J,9,)</f>
        <v>0.41666666666666669</v>
      </c>
      <c r="U75" s="13">
        <f t="shared" si="38"/>
        <v>0.79166666666666674</v>
      </c>
      <c r="V75" s="12" t="str">
        <f>VLOOKUP(A75,'Agent Sched'!B:K,10,)</f>
        <v>OFF</v>
      </c>
      <c r="W75" s="13" t="str">
        <f t="shared" si="39"/>
        <v>OFF</v>
      </c>
      <c r="X75" s="12" t="str">
        <f>VLOOKUP(A75,'Agent Sched'!B:L,11,)</f>
        <v>OFF</v>
      </c>
      <c r="Y75" s="13" t="str">
        <f t="shared" si="40"/>
        <v>OFF</v>
      </c>
      <c r="Z75" s="12">
        <f>VLOOKUP(A75,'Agent Sched'!B:M,12,)</f>
        <v>0.41666666666666669</v>
      </c>
      <c r="AA75" s="13">
        <f t="shared" si="41"/>
        <v>0.79166666666666674</v>
      </c>
      <c r="AB75" s="12">
        <f>VLOOKUP(A75,'Agent Sched'!B:N,13,)</f>
        <v>0.41666666666666669</v>
      </c>
      <c r="AC75" s="13">
        <f t="shared" si="42"/>
        <v>0.79166666666666674</v>
      </c>
      <c r="AD75" s="12">
        <f>VLOOKUP(A75,'Agent Sched'!B:O,14,)</f>
        <v>0.41666666666666669</v>
      </c>
      <c r="AE75" s="13">
        <f t="shared" si="43"/>
        <v>0.79166666666666674</v>
      </c>
      <c r="AF75" s="21">
        <f>VLOOKUP(A75,'Agent Sched'!B:P,15,)</f>
        <v>0.41666666666666669</v>
      </c>
      <c r="AG75" s="13">
        <f t="shared" si="44"/>
        <v>0.79166666666666674</v>
      </c>
      <c r="AI75" s="25">
        <f>VLOOKUP(A75,'Agent Sched'!$B:$Q,16,)</f>
        <v>0.41666666666666669</v>
      </c>
      <c r="AJ75" s="13">
        <f t="shared" si="45"/>
        <v>0.79166666666666674</v>
      </c>
      <c r="AK75" s="12" t="str">
        <f>VLOOKUP(A75,'Agent Sched'!B:R,17,)</f>
        <v>OFF</v>
      </c>
      <c r="AL75" s="13" t="str">
        <f t="shared" si="46"/>
        <v>OFF</v>
      </c>
      <c r="AM75" s="12" t="str">
        <f>VLOOKUP(A75,'Agent Sched'!B:S,18,)</f>
        <v>OFF</v>
      </c>
      <c r="AN75" s="13" t="str">
        <f t="shared" si="47"/>
        <v>OFF</v>
      </c>
      <c r="AO75" s="12">
        <f>VLOOKUP(A75,'Agent Sched'!B:T,19,)</f>
        <v>0.41666666666666669</v>
      </c>
      <c r="AP75" s="13">
        <f t="shared" si="48"/>
        <v>0.79166666666666674</v>
      </c>
      <c r="AQ75" s="12">
        <f>VLOOKUP(A75,'Agent Sched'!B:U,20,)</f>
        <v>0.41666666666666669</v>
      </c>
      <c r="AR75" s="13">
        <f t="shared" si="49"/>
        <v>0.79166666666666674</v>
      </c>
      <c r="AS75" s="12">
        <f>VLOOKUP(A75,'Agent Sched'!B:V,21,)</f>
        <v>0.41666666666666669</v>
      </c>
      <c r="AT75" s="13">
        <f t="shared" si="50"/>
        <v>0.79166666666666674</v>
      </c>
      <c r="AU75" s="21">
        <f>VLOOKUP(A75,'Agent Sched'!B:W,22,)</f>
        <v>0.41666666666666669</v>
      </c>
      <c r="AV75" s="13">
        <f t="shared" si="51"/>
        <v>0.79166666666666674</v>
      </c>
    </row>
    <row r="76" spans="1:48" x14ac:dyDescent="0.25">
      <c r="A76" s="20" t="str">
        <f>'Agent Sched'!B77</f>
        <v>Guilliane Lee Cantillas</v>
      </c>
      <c r="B76" s="12">
        <f>IFERROR(VLOOKUP(A76,'Agent Sched'!$B:$C,2,),"-")</f>
        <v>0.41666666666666669</v>
      </c>
      <c r="C76" s="13">
        <f t="shared" si="30"/>
        <v>0.79166666666666674</v>
      </c>
      <c r="D76" s="12" t="str">
        <f>IFERROR(VLOOKUP(A76,'Agent Sched'!B:D,3,),"-")</f>
        <v>OFF</v>
      </c>
      <c r="E76" s="13" t="str">
        <f t="shared" si="31"/>
        <v>OFF</v>
      </c>
      <c r="F76" s="12" t="str">
        <f>IFERROR(VLOOKUP(A76,'Agent Sched'!B:E,4,),"-")</f>
        <v>OFF</v>
      </c>
      <c r="G76" s="13" t="str">
        <f t="shared" si="32"/>
        <v>OFF</v>
      </c>
      <c r="H76" s="12">
        <f>IFERROR(VLOOKUP(A76,'Agent Sched'!B:F,5,),"-")</f>
        <v>0.41666666666666669</v>
      </c>
      <c r="I76" s="13">
        <f t="shared" si="33"/>
        <v>0.79166666666666674</v>
      </c>
      <c r="J76" s="12">
        <f>IFERROR(VLOOKUP(A76,'Agent Sched'!B:G,6,),"-")</f>
        <v>0.41666666666666669</v>
      </c>
      <c r="K76" s="13">
        <f t="shared" si="34"/>
        <v>0.79166666666666674</v>
      </c>
      <c r="L76" s="12">
        <f>IFERROR(VLOOKUP(A76,'Agent Sched'!B:H,7,),"-")</f>
        <v>0.41666666666666669</v>
      </c>
      <c r="M76" s="13">
        <f t="shared" si="35"/>
        <v>0.79166666666666674</v>
      </c>
      <c r="N76" s="21">
        <f>IFERROR(VLOOKUP(A76,'Agent Sched'!B:I,8,),"-")</f>
        <v>0.41666666666666669</v>
      </c>
      <c r="O76" s="13">
        <f t="shared" si="36"/>
        <v>0.79166666666666674</v>
      </c>
      <c r="Q76" s="12">
        <f>VLOOKUP(A76,'Agent Sched'!B:Y,24,)</f>
        <v>0.41666666666666669</v>
      </c>
      <c r="R76" s="13">
        <f t="shared" si="37"/>
        <v>0.79166666666666674</v>
      </c>
      <c r="T76" s="25">
        <f>VLOOKUP(A76,'Agent Sched'!$B:$J,9,)</f>
        <v>0.41666666666666669</v>
      </c>
      <c r="U76" s="13">
        <f t="shared" si="38"/>
        <v>0.79166666666666674</v>
      </c>
      <c r="V76" s="12" t="str">
        <f>VLOOKUP(A76,'Agent Sched'!B:K,10,)</f>
        <v>OFF</v>
      </c>
      <c r="W76" s="13" t="str">
        <f t="shared" si="39"/>
        <v>OFF</v>
      </c>
      <c r="X76" s="12" t="str">
        <f>VLOOKUP(A76,'Agent Sched'!B:L,11,)</f>
        <v>OFF</v>
      </c>
      <c r="Y76" s="13" t="str">
        <f t="shared" si="40"/>
        <v>OFF</v>
      </c>
      <c r="Z76" s="12">
        <f>VLOOKUP(A76,'Agent Sched'!B:M,12,)</f>
        <v>0.41666666666666669</v>
      </c>
      <c r="AA76" s="13">
        <f t="shared" si="41"/>
        <v>0.79166666666666674</v>
      </c>
      <c r="AB76" s="12">
        <f>VLOOKUP(A76,'Agent Sched'!B:N,13,)</f>
        <v>0.41666666666666669</v>
      </c>
      <c r="AC76" s="13">
        <f t="shared" si="42"/>
        <v>0.79166666666666674</v>
      </c>
      <c r="AD76" s="12">
        <f>VLOOKUP(A76,'Agent Sched'!B:O,14,)</f>
        <v>0.41666666666666669</v>
      </c>
      <c r="AE76" s="13">
        <f t="shared" si="43"/>
        <v>0.79166666666666674</v>
      </c>
      <c r="AF76" s="21">
        <f>VLOOKUP(A76,'Agent Sched'!B:P,15,)</f>
        <v>0.41666666666666669</v>
      </c>
      <c r="AG76" s="13">
        <f t="shared" si="44"/>
        <v>0.79166666666666674</v>
      </c>
      <c r="AI76" s="25">
        <f>VLOOKUP(A76,'Agent Sched'!$B:$Q,16,)</f>
        <v>0.41666666666666669</v>
      </c>
      <c r="AJ76" s="13">
        <f t="shared" si="45"/>
        <v>0.79166666666666674</v>
      </c>
      <c r="AK76" s="12" t="str">
        <f>VLOOKUP(A76,'Agent Sched'!B:R,17,)</f>
        <v>OFF</v>
      </c>
      <c r="AL76" s="13" t="str">
        <f t="shared" si="46"/>
        <v>OFF</v>
      </c>
      <c r="AM76" s="12" t="str">
        <f>VLOOKUP(A76,'Agent Sched'!B:S,18,)</f>
        <v>OFF</v>
      </c>
      <c r="AN76" s="13" t="str">
        <f t="shared" si="47"/>
        <v>OFF</v>
      </c>
      <c r="AO76" s="12">
        <f>VLOOKUP(A76,'Agent Sched'!B:T,19,)</f>
        <v>0.41666666666666669</v>
      </c>
      <c r="AP76" s="13">
        <f t="shared" si="48"/>
        <v>0.79166666666666674</v>
      </c>
      <c r="AQ76" s="12">
        <f>VLOOKUP(A76,'Agent Sched'!B:U,20,)</f>
        <v>0.41666666666666669</v>
      </c>
      <c r="AR76" s="13">
        <f t="shared" si="49"/>
        <v>0.79166666666666674</v>
      </c>
      <c r="AS76" s="12">
        <f>VLOOKUP(A76,'Agent Sched'!B:V,21,)</f>
        <v>0.41666666666666669</v>
      </c>
      <c r="AT76" s="13">
        <f t="shared" si="50"/>
        <v>0.79166666666666674</v>
      </c>
      <c r="AU76" s="21">
        <f>VLOOKUP(A76,'Agent Sched'!B:W,22,)</f>
        <v>0.41666666666666669</v>
      </c>
      <c r="AV76" s="13">
        <f t="shared" si="51"/>
        <v>0.79166666666666674</v>
      </c>
    </row>
    <row r="77" spans="1:48" x14ac:dyDescent="0.25">
      <c r="A77" s="20" t="str">
        <f>'Agent Sched'!B78</f>
        <v>Angelo Llobrera</v>
      </c>
      <c r="B77" s="12">
        <f>IFERROR(VLOOKUP(A77,'Agent Sched'!$B:$C,2,),"-")</f>
        <v>0.41666666666666669</v>
      </c>
      <c r="C77" s="13">
        <f t="shared" si="30"/>
        <v>0.79166666666666674</v>
      </c>
      <c r="D77" s="12" t="str">
        <f>IFERROR(VLOOKUP(A77,'Agent Sched'!B:D,3,),"-")</f>
        <v>OFF</v>
      </c>
      <c r="E77" s="13" t="str">
        <f t="shared" si="31"/>
        <v>OFF</v>
      </c>
      <c r="F77" s="12" t="str">
        <f>IFERROR(VLOOKUP(A77,'Agent Sched'!B:E,4,),"-")</f>
        <v>OFF</v>
      </c>
      <c r="G77" s="13" t="str">
        <f t="shared" si="32"/>
        <v>OFF</v>
      </c>
      <c r="H77" s="12">
        <f>IFERROR(VLOOKUP(A77,'Agent Sched'!B:F,5,),"-")</f>
        <v>0.41666666666666669</v>
      </c>
      <c r="I77" s="13">
        <f t="shared" si="33"/>
        <v>0.79166666666666674</v>
      </c>
      <c r="J77" s="12">
        <f>IFERROR(VLOOKUP(A77,'Agent Sched'!B:G,6,),"-")</f>
        <v>0.41666666666666669</v>
      </c>
      <c r="K77" s="13">
        <f t="shared" si="34"/>
        <v>0.79166666666666674</v>
      </c>
      <c r="L77" s="12">
        <f>IFERROR(VLOOKUP(A77,'Agent Sched'!B:H,7,),"-")</f>
        <v>0.41666666666666669</v>
      </c>
      <c r="M77" s="13">
        <f t="shared" si="35"/>
        <v>0.79166666666666674</v>
      </c>
      <c r="N77" s="21">
        <f>IFERROR(VLOOKUP(A77,'Agent Sched'!B:I,8,),"-")</f>
        <v>0.41666666666666669</v>
      </c>
      <c r="O77" s="13">
        <f t="shared" si="36"/>
        <v>0.79166666666666674</v>
      </c>
      <c r="Q77" s="12">
        <f>VLOOKUP(A77,'Agent Sched'!B:Y,24,)</f>
        <v>0.41666666666666669</v>
      </c>
      <c r="R77" s="13">
        <f t="shared" si="37"/>
        <v>0.79166666666666674</v>
      </c>
      <c r="T77" s="25">
        <f>VLOOKUP(A77,'Agent Sched'!$B:$J,9,)</f>
        <v>0.41666666666666669</v>
      </c>
      <c r="U77" s="13">
        <f t="shared" si="38"/>
        <v>0.79166666666666674</v>
      </c>
      <c r="V77" s="12" t="str">
        <f>VLOOKUP(A77,'Agent Sched'!B:K,10,)</f>
        <v>OFF</v>
      </c>
      <c r="W77" s="13" t="str">
        <f t="shared" si="39"/>
        <v>OFF</v>
      </c>
      <c r="X77" s="12" t="str">
        <f>VLOOKUP(A77,'Agent Sched'!B:L,11,)</f>
        <v>OFF</v>
      </c>
      <c r="Y77" s="13" t="str">
        <f t="shared" si="40"/>
        <v>OFF</v>
      </c>
      <c r="Z77" s="12">
        <f>VLOOKUP(A77,'Agent Sched'!B:M,12,)</f>
        <v>0.41666666666666669</v>
      </c>
      <c r="AA77" s="13">
        <f t="shared" si="41"/>
        <v>0.79166666666666674</v>
      </c>
      <c r="AB77" s="12">
        <f>VLOOKUP(A77,'Agent Sched'!B:N,13,)</f>
        <v>0.41666666666666669</v>
      </c>
      <c r="AC77" s="13">
        <f t="shared" si="42"/>
        <v>0.79166666666666674</v>
      </c>
      <c r="AD77" s="12">
        <f>VLOOKUP(A77,'Agent Sched'!B:O,14,)</f>
        <v>0.41666666666666669</v>
      </c>
      <c r="AE77" s="13">
        <f t="shared" si="43"/>
        <v>0.79166666666666674</v>
      </c>
      <c r="AF77" s="21">
        <f>VLOOKUP(A77,'Agent Sched'!B:P,15,)</f>
        <v>0.41666666666666669</v>
      </c>
      <c r="AG77" s="13">
        <f t="shared" si="44"/>
        <v>0.79166666666666674</v>
      </c>
      <c r="AI77" s="25">
        <f>VLOOKUP(A77,'Agent Sched'!$B:$Q,16,)</f>
        <v>0.41666666666666669</v>
      </c>
      <c r="AJ77" s="13">
        <f t="shared" si="45"/>
        <v>0.79166666666666674</v>
      </c>
      <c r="AK77" s="12" t="str">
        <f>VLOOKUP(A77,'Agent Sched'!B:R,17,)</f>
        <v>OFF</v>
      </c>
      <c r="AL77" s="13" t="str">
        <f t="shared" si="46"/>
        <v>OFF</v>
      </c>
      <c r="AM77" s="12" t="str">
        <f>VLOOKUP(A77,'Agent Sched'!B:S,18,)</f>
        <v>OFF</v>
      </c>
      <c r="AN77" s="13" t="str">
        <f t="shared" si="47"/>
        <v>OFF</v>
      </c>
      <c r="AO77" s="12">
        <f>VLOOKUP(A77,'Agent Sched'!B:T,19,)</f>
        <v>0.41666666666666669</v>
      </c>
      <c r="AP77" s="13">
        <f t="shared" si="48"/>
        <v>0.79166666666666674</v>
      </c>
      <c r="AQ77" s="12">
        <f>VLOOKUP(A77,'Agent Sched'!B:U,20,)</f>
        <v>0.41666666666666669</v>
      </c>
      <c r="AR77" s="13">
        <f t="shared" si="49"/>
        <v>0.79166666666666674</v>
      </c>
      <c r="AS77" s="12">
        <f>VLOOKUP(A77,'Agent Sched'!B:V,21,)</f>
        <v>0.41666666666666669</v>
      </c>
      <c r="AT77" s="13">
        <f t="shared" si="50"/>
        <v>0.79166666666666674</v>
      </c>
      <c r="AU77" s="21">
        <f>VLOOKUP(A77,'Agent Sched'!B:W,22,)</f>
        <v>0.41666666666666669</v>
      </c>
      <c r="AV77" s="13">
        <f t="shared" si="51"/>
        <v>0.79166666666666674</v>
      </c>
    </row>
    <row r="78" spans="1:48" x14ac:dyDescent="0.25">
      <c r="A78" s="20" t="str">
        <f>'Agent Sched'!B79</f>
        <v>Darryl Mitzi Subong</v>
      </c>
      <c r="B78" s="12">
        <f>IFERROR(VLOOKUP(A78,'Agent Sched'!$B:$C,2,),"-")</f>
        <v>0.41666666666666669</v>
      </c>
      <c r="C78" s="13">
        <f t="shared" si="30"/>
        <v>0.79166666666666674</v>
      </c>
      <c r="D78" s="12" t="str">
        <f>IFERROR(VLOOKUP(A78,'Agent Sched'!B:D,3,),"-")</f>
        <v>OFF</v>
      </c>
      <c r="E78" s="13" t="str">
        <f t="shared" si="31"/>
        <v>OFF</v>
      </c>
      <c r="F78" s="12" t="str">
        <f>IFERROR(VLOOKUP(A78,'Agent Sched'!B:E,4,),"-")</f>
        <v>OFF</v>
      </c>
      <c r="G78" s="13" t="str">
        <f t="shared" si="32"/>
        <v>OFF</v>
      </c>
      <c r="H78" s="12">
        <f>IFERROR(VLOOKUP(A78,'Agent Sched'!B:F,5,),"-")</f>
        <v>0.41666666666666669</v>
      </c>
      <c r="I78" s="13">
        <f t="shared" si="33"/>
        <v>0.79166666666666674</v>
      </c>
      <c r="J78" s="12">
        <f>IFERROR(VLOOKUP(A78,'Agent Sched'!B:G,6,),"-")</f>
        <v>0.41666666666666669</v>
      </c>
      <c r="K78" s="13">
        <f t="shared" si="34"/>
        <v>0.79166666666666674</v>
      </c>
      <c r="L78" s="12">
        <f>IFERROR(VLOOKUP(A78,'Agent Sched'!B:H,7,),"-")</f>
        <v>0.41666666666666669</v>
      </c>
      <c r="M78" s="13">
        <f t="shared" si="35"/>
        <v>0.79166666666666674</v>
      </c>
      <c r="N78" s="21">
        <f>IFERROR(VLOOKUP(A78,'Agent Sched'!B:I,8,),"-")</f>
        <v>0.41666666666666669</v>
      </c>
      <c r="O78" s="13">
        <f t="shared" si="36"/>
        <v>0.79166666666666674</v>
      </c>
      <c r="Q78" s="12">
        <f>VLOOKUP(A78,'Agent Sched'!B:Y,24,)</f>
        <v>0.41666666666666669</v>
      </c>
      <c r="R78" s="13">
        <f t="shared" si="37"/>
        <v>0.79166666666666674</v>
      </c>
      <c r="T78" s="25">
        <f>VLOOKUP(A78,'Agent Sched'!$B:$J,9,)</f>
        <v>0.41666666666666669</v>
      </c>
      <c r="U78" s="13">
        <f t="shared" si="38"/>
        <v>0.79166666666666674</v>
      </c>
      <c r="V78" s="12" t="str">
        <f>VLOOKUP(A78,'Agent Sched'!B:K,10,)</f>
        <v>OFF</v>
      </c>
      <c r="W78" s="13" t="str">
        <f t="shared" si="39"/>
        <v>OFF</v>
      </c>
      <c r="X78" s="12" t="str">
        <f>VLOOKUP(A78,'Agent Sched'!B:L,11,)</f>
        <v>OFF</v>
      </c>
      <c r="Y78" s="13" t="str">
        <f t="shared" si="40"/>
        <v>OFF</v>
      </c>
      <c r="Z78" s="12">
        <f>VLOOKUP(A78,'Agent Sched'!B:M,12,)</f>
        <v>0.41666666666666669</v>
      </c>
      <c r="AA78" s="13">
        <f t="shared" si="41"/>
        <v>0.79166666666666674</v>
      </c>
      <c r="AB78" s="12">
        <f>VLOOKUP(A78,'Agent Sched'!B:N,13,)</f>
        <v>0.41666666666666669</v>
      </c>
      <c r="AC78" s="13">
        <f t="shared" si="42"/>
        <v>0.79166666666666674</v>
      </c>
      <c r="AD78" s="12">
        <f>VLOOKUP(A78,'Agent Sched'!B:O,14,)</f>
        <v>0.41666666666666669</v>
      </c>
      <c r="AE78" s="13">
        <f t="shared" si="43"/>
        <v>0.79166666666666674</v>
      </c>
      <c r="AF78" s="21">
        <f>VLOOKUP(A78,'Agent Sched'!B:P,15,)</f>
        <v>0.41666666666666669</v>
      </c>
      <c r="AG78" s="13">
        <f t="shared" si="44"/>
        <v>0.79166666666666674</v>
      </c>
      <c r="AI78" s="25">
        <f>VLOOKUP(A78,'Agent Sched'!$B:$Q,16,)</f>
        <v>0.41666666666666669</v>
      </c>
      <c r="AJ78" s="13">
        <f t="shared" si="45"/>
        <v>0.79166666666666674</v>
      </c>
      <c r="AK78" s="12" t="str">
        <f>VLOOKUP(A78,'Agent Sched'!B:R,17,)</f>
        <v>OFF</v>
      </c>
      <c r="AL78" s="13" t="str">
        <f t="shared" si="46"/>
        <v>OFF</v>
      </c>
      <c r="AM78" s="12" t="str">
        <f>VLOOKUP(A78,'Agent Sched'!B:S,18,)</f>
        <v>OFF</v>
      </c>
      <c r="AN78" s="13" t="str">
        <f t="shared" si="47"/>
        <v>OFF</v>
      </c>
      <c r="AO78" s="12">
        <f>VLOOKUP(A78,'Agent Sched'!B:T,19,)</f>
        <v>0.41666666666666669</v>
      </c>
      <c r="AP78" s="13">
        <f t="shared" si="48"/>
        <v>0.79166666666666674</v>
      </c>
      <c r="AQ78" s="12">
        <f>VLOOKUP(A78,'Agent Sched'!B:U,20,)</f>
        <v>0.41666666666666669</v>
      </c>
      <c r="AR78" s="13">
        <f t="shared" si="49"/>
        <v>0.79166666666666674</v>
      </c>
      <c r="AS78" s="12">
        <f>VLOOKUP(A78,'Agent Sched'!B:V,21,)</f>
        <v>0.41666666666666669</v>
      </c>
      <c r="AT78" s="13">
        <f t="shared" si="50"/>
        <v>0.79166666666666674</v>
      </c>
      <c r="AU78" s="21">
        <f>VLOOKUP(A78,'Agent Sched'!B:W,22,)</f>
        <v>0.41666666666666669</v>
      </c>
      <c r="AV78" s="13">
        <f t="shared" si="51"/>
        <v>0.79166666666666674</v>
      </c>
    </row>
    <row r="79" spans="1:48" x14ac:dyDescent="0.25">
      <c r="A79" s="20" t="str">
        <f>'Agent Sched'!B80</f>
        <v>Glen Kenedy Samson</v>
      </c>
      <c r="B79" s="12">
        <f>IFERROR(VLOOKUP(A79,'Agent Sched'!$B:$C,2,),"-")</f>
        <v>0.41666666666666669</v>
      </c>
      <c r="C79" s="13">
        <f t="shared" si="30"/>
        <v>0.79166666666666674</v>
      </c>
      <c r="D79" s="12" t="str">
        <f>IFERROR(VLOOKUP(A79,'Agent Sched'!B:D,3,),"-")</f>
        <v>OFF</v>
      </c>
      <c r="E79" s="13" t="str">
        <f t="shared" si="31"/>
        <v>OFF</v>
      </c>
      <c r="F79" s="12" t="str">
        <f>IFERROR(VLOOKUP(A79,'Agent Sched'!B:E,4,),"-")</f>
        <v>OFF</v>
      </c>
      <c r="G79" s="13" t="str">
        <f t="shared" si="32"/>
        <v>OFF</v>
      </c>
      <c r="H79" s="12">
        <f>IFERROR(VLOOKUP(A79,'Agent Sched'!B:F,5,),"-")</f>
        <v>0.41666666666666669</v>
      </c>
      <c r="I79" s="13">
        <f t="shared" si="33"/>
        <v>0.79166666666666674</v>
      </c>
      <c r="J79" s="12">
        <f>IFERROR(VLOOKUP(A79,'Agent Sched'!B:G,6,),"-")</f>
        <v>0.41666666666666669</v>
      </c>
      <c r="K79" s="13">
        <f t="shared" si="34"/>
        <v>0.79166666666666674</v>
      </c>
      <c r="L79" s="12">
        <f>IFERROR(VLOOKUP(A79,'Agent Sched'!B:H,7,),"-")</f>
        <v>0.41666666666666669</v>
      </c>
      <c r="M79" s="13">
        <f t="shared" si="35"/>
        <v>0.79166666666666674</v>
      </c>
      <c r="N79" s="21">
        <f>IFERROR(VLOOKUP(A79,'Agent Sched'!B:I,8,),"-")</f>
        <v>0.41666666666666669</v>
      </c>
      <c r="O79" s="13">
        <f t="shared" si="36"/>
        <v>0.79166666666666674</v>
      </c>
      <c r="Q79" s="12">
        <f>VLOOKUP(A79,'Agent Sched'!B:Y,24,)</f>
        <v>0.41666666666666669</v>
      </c>
      <c r="R79" s="13">
        <f t="shared" si="37"/>
        <v>0.79166666666666674</v>
      </c>
      <c r="T79" s="25">
        <f>VLOOKUP(A79,'Agent Sched'!$B:$J,9,)</f>
        <v>0.41666666666666669</v>
      </c>
      <c r="U79" s="13">
        <f t="shared" si="38"/>
        <v>0.79166666666666674</v>
      </c>
      <c r="V79" s="12" t="str">
        <f>VLOOKUP(A79,'Agent Sched'!B:K,10,)</f>
        <v>OFF</v>
      </c>
      <c r="W79" s="13" t="str">
        <f t="shared" si="39"/>
        <v>OFF</v>
      </c>
      <c r="X79" s="12" t="str">
        <f>VLOOKUP(A79,'Agent Sched'!B:L,11,)</f>
        <v>OFF</v>
      </c>
      <c r="Y79" s="13" t="str">
        <f t="shared" si="40"/>
        <v>OFF</v>
      </c>
      <c r="Z79" s="12">
        <f>VLOOKUP(A79,'Agent Sched'!B:M,12,)</f>
        <v>0.41666666666666669</v>
      </c>
      <c r="AA79" s="13">
        <f t="shared" si="41"/>
        <v>0.79166666666666674</v>
      </c>
      <c r="AB79" s="12">
        <f>VLOOKUP(A79,'Agent Sched'!B:N,13,)</f>
        <v>0.41666666666666669</v>
      </c>
      <c r="AC79" s="13">
        <f t="shared" si="42"/>
        <v>0.79166666666666674</v>
      </c>
      <c r="AD79" s="12">
        <f>VLOOKUP(A79,'Agent Sched'!B:O,14,)</f>
        <v>0.41666666666666669</v>
      </c>
      <c r="AE79" s="13">
        <f t="shared" si="43"/>
        <v>0.79166666666666674</v>
      </c>
      <c r="AF79" s="21">
        <f>VLOOKUP(A79,'Agent Sched'!B:P,15,)</f>
        <v>0.41666666666666669</v>
      </c>
      <c r="AG79" s="13">
        <f t="shared" si="44"/>
        <v>0.79166666666666674</v>
      </c>
      <c r="AI79" s="25">
        <f>VLOOKUP(A79,'Agent Sched'!$B:$Q,16,)</f>
        <v>0.41666666666666669</v>
      </c>
      <c r="AJ79" s="13">
        <f t="shared" si="45"/>
        <v>0.79166666666666674</v>
      </c>
      <c r="AK79" s="12" t="str">
        <f>VLOOKUP(A79,'Agent Sched'!B:R,17,)</f>
        <v>OFF</v>
      </c>
      <c r="AL79" s="13" t="str">
        <f t="shared" si="46"/>
        <v>OFF</v>
      </c>
      <c r="AM79" s="12" t="str">
        <f>VLOOKUP(A79,'Agent Sched'!B:S,18,)</f>
        <v>OFF</v>
      </c>
      <c r="AN79" s="13" t="str">
        <f t="shared" si="47"/>
        <v>OFF</v>
      </c>
      <c r="AO79" s="12">
        <f>VLOOKUP(A79,'Agent Sched'!B:T,19,)</f>
        <v>0.41666666666666669</v>
      </c>
      <c r="AP79" s="13">
        <f t="shared" si="48"/>
        <v>0.79166666666666674</v>
      </c>
      <c r="AQ79" s="12">
        <f>VLOOKUP(A79,'Agent Sched'!B:U,20,)</f>
        <v>0.41666666666666669</v>
      </c>
      <c r="AR79" s="13">
        <f t="shared" si="49"/>
        <v>0.79166666666666674</v>
      </c>
      <c r="AS79" s="12">
        <f>VLOOKUP(A79,'Agent Sched'!B:V,21,)</f>
        <v>0.41666666666666669</v>
      </c>
      <c r="AT79" s="13">
        <f t="shared" si="50"/>
        <v>0.79166666666666674</v>
      </c>
      <c r="AU79" s="21">
        <f>VLOOKUP(A79,'Agent Sched'!B:W,22,)</f>
        <v>0.41666666666666669</v>
      </c>
      <c r="AV79" s="13">
        <f t="shared" si="51"/>
        <v>0.79166666666666674</v>
      </c>
    </row>
    <row r="80" spans="1:48" x14ac:dyDescent="0.25">
      <c r="A80" s="20" t="str">
        <f>'Agent Sched'!B81</f>
        <v>Jacqueline Valdez</v>
      </c>
      <c r="B80" s="12">
        <f>IFERROR(VLOOKUP(A80,'Agent Sched'!$B:$C,2,),"-")</f>
        <v>0.41666666666666669</v>
      </c>
      <c r="C80" s="13">
        <f t="shared" si="30"/>
        <v>0.79166666666666674</v>
      </c>
      <c r="D80" s="12" t="str">
        <f>IFERROR(VLOOKUP(A80,'Agent Sched'!B:D,3,),"-")</f>
        <v>OFF</v>
      </c>
      <c r="E80" s="13" t="str">
        <f t="shared" si="31"/>
        <v>OFF</v>
      </c>
      <c r="F80" s="12" t="str">
        <f>IFERROR(VLOOKUP(A80,'Agent Sched'!B:E,4,),"-")</f>
        <v>OFF</v>
      </c>
      <c r="G80" s="13" t="str">
        <f t="shared" si="32"/>
        <v>OFF</v>
      </c>
      <c r="H80" s="12">
        <f>IFERROR(VLOOKUP(A80,'Agent Sched'!B:F,5,),"-")</f>
        <v>0.41666666666666669</v>
      </c>
      <c r="I80" s="13">
        <f t="shared" si="33"/>
        <v>0.79166666666666674</v>
      </c>
      <c r="J80" s="12">
        <f>IFERROR(VLOOKUP(A80,'Agent Sched'!B:G,6,),"-")</f>
        <v>0.41666666666666669</v>
      </c>
      <c r="K80" s="13">
        <f t="shared" si="34"/>
        <v>0.79166666666666674</v>
      </c>
      <c r="L80" s="12">
        <f>IFERROR(VLOOKUP(A80,'Agent Sched'!B:H,7,),"-")</f>
        <v>0.41666666666666669</v>
      </c>
      <c r="M80" s="13">
        <f t="shared" si="35"/>
        <v>0.79166666666666674</v>
      </c>
      <c r="N80" s="21">
        <f>IFERROR(VLOOKUP(A80,'Agent Sched'!B:I,8,),"-")</f>
        <v>0.41666666666666669</v>
      </c>
      <c r="O80" s="13">
        <f t="shared" si="36"/>
        <v>0.79166666666666674</v>
      </c>
      <c r="Q80" s="12">
        <f>VLOOKUP(A80,'Agent Sched'!B:Y,24,)</f>
        <v>0.41666666666666669</v>
      </c>
      <c r="R80" s="13">
        <f t="shared" si="37"/>
        <v>0.79166666666666674</v>
      </c>
      <c r="T80" s="25">
        <f>VLOOKUP(A80,'Agent Sched'!$B:$J,9,)</f>
        <v>0.41666666666666669</v>
      </c>
      <c r="U80" s="13">
        <f t="shared" si="38"/>
        <v>0.79166666666666674</v>
      </c>
      <c r="V80" s="12" t="str">
        <f>VLOOKUP(A80,'Agent Sched'!B:K,10,)</f>
        <v>OFF</v>
      </c>
      <c r="W80" s="13" t="str">
        <f t="shared" si="39"/>
        <v>OFF</v>
      </c>
      <c r="X80" s="12" t="str">
        <f>VLOOKUP(A80,'Agent Sched'!B:L,11,)</f>
        <v>OFF</v>
      </c>
      <c r="Y80" s="13" t="str">
        <f t="shared" si="40"/>
        <v>OFF</v>
      </c>
      <c r="Z80" s="12">
        <f>VLOOKUP(A80,'Agent Sched'!B:M,12,)</f>
        <v>0.41666666666666669</v>
      </c>
      <c r="AA80" s="13">
        <f t="shared" si="41"/>
        <v>0.79166666666666674</v>
      </c>
      <c r="AB80" s="12">
        <f>VLOOKUP(A80,'Agent Sched'!B:N,13,)</f>
        <v>0.41666666666666669</v>
      </c>
      <c r="AC80" s="13">
        <f t="shared" si="42"/>
        <v>0.79166666666666674</v>
      </c>
      <c r="AD80" s="12">
        <f>VLOOKUP(A80,'Agent Sched'!B:O,14,)</f>
        <v>0.41666666666666669</v>
      </c>
      <c r="AE80" s="13">
        <f t="shared" si="43"/>
        <v>0.79166666666666674</v>
      </c>
      <c r="AF80" s="21">
        <f>VLOOKUP(A80,'Agent Sched'!B:P,15,)</f>
        <v>0.41666666666666669</v>
      </c>
      <c r="AG80" s="13">
        <f t="shared" si="44"/>
        <v>0.79166666666666674</v>
      </c>
      <c r="AI80" s="25">
        <f>VLOOKUP(A80,'Agent Sched'!$B:$Q,16,)</f>
        <v>0.41666666666666669</v>
      </c>
      <c r="AJ80" s="13">
        <f t="shared" si="45"/>
        <v>0.79166666666666674</v>
      </c>
      <c r="AK80" s="12" t="str">
        <f>VLOOKUP(A80,'Agent Sched'!B:R,17,)</f>
        <v>OFF</v>
      </c>
      <c r="AL80" s="13" t="str">
        <f t="shared" si="46"/>
        <v>OFF</v>
      </c>
      <c r="AM80" s="12" t="str">
        <f>VLOOKUP(A80,'Agent Sched'!B:S,18,)</f>
        <v>OFF</v>
      </c>
      <c r="AN80" s="13" t="str">
        <f t="shared" si="47"/>
        <v>OFF</v>
      </c>
      <c r="AO80" s="12">
        <f>VLOOKUP(A80,'Agent Sched'!B:T,19,)</f>
        <v>0.41666666666666669</v>
      </c>
      <c r="AP80" s="13">
        <f t="shared" si="48"/>
        <v>0.79166666666666674</v>
      </c>
      <c r="AQ80" s="12">
        <f>VLOOKUP(A80,'Agent Sched'!B:U,20,)</f>
        <v>0.41666666666666669</v>
      </c>
      <c r="AR80" s="13">
        <f t="shared" si="49"/>
        <v>0.79166666666666674</v>
      </c>
      <c r="AS80" s="12">
        <f>VLOOKUP(A80,'Agent Sched'!B:V,21,)</f>
        <v>0.41666666666666669</v>
      </c>
      <c r="AT80" s="13">
        <f t="shared" si="50"/>
        <v>0.79166666666666674</v>
      </c>
      <c r="AU80" s="21">
        <f>VLOOKUP(A80,'Agent Sched'!B:W,22,)</f>
        <v>0.41666666666666669</v>
      </c>
      <c r="AV80" s="13">
        <f t="shared" si="51"/>
        <v>0.79166666666666674</v>
      </c>
    </row>
    <row r="81" spans="1:48" x14ac:dyDescent="0.25">
      <c r="A81" s="20" t="str">
        <f>'Agent Sched'!B82</f>
        <v>Joshua Catipunan</v>
      </c>
      <c r="B81" s="12">
        <f>IFERROR(VLOOKUP(A81,'Agent Sched'!$B:$C,2,),"-")</f>
        <v>0.41666666666666669</v>
      </c>
      <c r="C81" s="13">
        <f t="shared" si="30"/>
        <v>0.79166666666666674</v>
      </c>
      <c r="D81" s="12" t="str">
        <f>IFERROR(VLOOKUP(A81,'Agent Sched'!B:D,3,),"-")</f>
        <v>OFF</v>
      </c>
      <c r="E81" s="13" t="str">
        <f t="shared" si="31"/>
        <v>OFF</v>
      </c>
      <c r="F81" s="12" t="str">
        <f>IFERROR(VLOOKUP(A81,'Agent Sched'!B:E,4,),"-")</f>
        <v>OFF</v>
      </c>
      <c r="G81" s="13" t="str">
        <f t="shared" si="32"/>
        <v>OFF</v>
      </c>
      <c r="H81" s="12">
        <f>IFERROR(VLOOKUP(A81,'Agent Sched'!B:F,5,),"-")</f>
        <v>0.41666666666666669</v>
      </c>
      <c r="I81" s="13">
        <f t="shared" si="33"/>
        <v>0.79166666666666674</v>
      </c>
      <c r="J81" s="12">
        <f>IFERROR(VLOOKUP(A81,'Agent Sched'!B:G,6,),"-")</f>
        <v>0.41666666666666669</v>
      </c>
      <c r="K81" s="13">
        <f t="shared" si="34"/>
        <v>0.79166666666666674</v>
      </c>
      <c r="L81" s="12">
        <f>IFERROR(VLOOKUP(A81,'Agent Sched'!B:H,7,),"-")</f>
        <v>0.41666666666666669</v>
      </c>
      <c r="M81" s="13">
        <f t="shared" si="35"/>
        <v>0.79166666666666674</v>
      </c>
      <c r="N81" s="21">
        <f>IFERROR(VLOOKUP(A81,'Agent Sched'!B:I,8,),"-")</f>
        <v>0.41666666666666669</v>
      </c>
      <c r="O81" s="13">
        <f t="shared" si="36"/>
        <v>0.79166666666666674</v>
      </c>
      <c r="Q81" s="12">
        <f>VLOOKUP(A81,'Agent Sched'!B:Y,24,)</f>
        <v>0.41666666666666669</v>
      </c>
      <c r="R81" s="13">
        <f t="shared" si="37"/>
        <v>0.79166666666666674</v>
      </c>
      <c r="T81" s="25">
        <f>VLOOKUP(A81,'Agent Sched'!$B:$J,9,)</f>
        <v>0.41666666666666669</v>
      </c>
      <c r="U81" s="13">
        <f t="shared" si="38"/>
        <v>0.79166666666666674</v>
      </c>
      <c r="V81" s="12" t="str">
        <f>VLOOKUP(A81,'Agent Sched'!B:K,10,)</f>
        <v>OFF</v>
      </c>
      <c r="W81" s="13" t="str">
        <f t="shared" si="39"/>
        <v>OFF</v>
      </c>
      <c r="X81" s="12" t="str">
        <f>VLOOKUP(A81,'Agent Sched'!B:L,11,)</f>
        <v>OFF</v>
      </c>
      <c r="Y81" s="13" t="str">
        <f t="shared" si="40"/>
        <v>OFF</v>
      </c>
      <c r="Z81" s="12">
        <f>VLOOKUP(A81,'Agent Sched'!B:M,12,)</f>
        <v>0.41666666666666669</v>
      </c>
      <c r="AA81" s="13">
        <f t="shared" si="41"/>
        <v>0.79166666666666674</v>
      </c>
      <c r="AB81" s="12">
        <f>VLOOKUP(A81,'Agent Sched'!B:N,13,)</f>
        <v>0.41666666666666669</v>
      </c>
      <c r="AC81" s="13">
        <f t="shared" si="42"/>
        <v>0.79166666666666674</v>
      </c>
      <c r="AD81" s="12">
        <f>VLOOKUP(A81,'Agent Sched'!B:O,14,)</f>
        <v>0.41666666666666669</v>
      </c>
      <c r="AE81" s="13">
        <f t="shared" si="43"/>
        <v>0.79166666666666674</v>
      </c>
      <c r="AF81" s="21">
        <f>VLOOKUP(A81,'Agent Sched'!B:P,15,)</f>
        <v>0.41666666666666669</v>
      </c>
      <c r="AG81" s="13">
        <f t="shared" si="44"/>
        <v>0.79166666666666674</v>
      </c>
      <c r="AI81" s="25">
        <f>VLOOKUP(A81,'Agent Sched'!$B:$Q,16,)</f>
        <v>0.41666666666666669</v>
      </c>
      <c r="AJ81" s="13">
        <f t="shared" si="45"/>
        <v>0.79166666666666674</v>
      </c>
      <c r="AK81" s="12" t="str">
        <f>VLOOKUP(A81,'Agent Sched'!B:R,17,)</f>
        <v>OFF</v>
      </c>
      <c r="AL81" s="13" t="str">
        <f t="shared" si="46"/>
        <v>OFF</v>
      </c>
      <c r="AM81" s="12" t="str">
        <f>VLOOKUP(A81,'Agent Sched'!B:S,18,)</f>
        <v>OFF</v>
      </c>
      <c r="AN81" s="13" t="str">
        <f t="shared" si="47"/>
        <v>OFF</v>
      </c>
      <c r="AO81" s="12">
        <f>VLOOKUP(A81,'Agent Sched'!B:T,19,)</f>
        <v>0.41666666666666669</v>
      </c>
      <c r="AP81" s="13">
        <f t="shared" si="48"/>
        <v>0.79166666666666674</v>
      </c>
      <c r="AQ81" s="12">
        <f>VLOOKUP(A81,'Agent Sched'!B:U,20,)</f>
        <v>0.41666666666666669</v>
      </c>
      <c r="AR81" s="13">
        <f t="shared" si="49"/>
        <v>0.79166666666666674</v>
      </c>
      <c r="AS81" s="12">
        <f>VLOOKUP(A81,'Agent Sched'!B:V,21,)</f>
        <v>0.41666666666666669</v>
      </c>
      <c r="AT81" s="13">
        <f t="shared" si="50"/>
        <v>0.79166666666666674</v>
      </c>
      <c r="AU81" s="21">
        <f>VLOOKUP(A81,'Agent Sched'!B:W,22,)</f>
        <v>0.41666666666666669</v>
      </c>
      <c r="AV81" s="13">
        <f t="shared" si="51"/>
        <v>0.79166666666666674</v>
      </c>
    </row>
    <row r="82" spans="1:48" x14ac:dyDescent="0.25">
      <c r="A82" s="20" t="str">
        <f>'Agent Sched'!B83</f>
        <v>William Vinluan</v>
      </c>
      <c r="B82" s="12">
        <f>IFERROR(VLOOKUP(A82,'Agent Sched'!$B:$C,2,),"-")</f>
        <v>0.41666666666666669</v>
      </c>
      <c r="C82" s="13">
        <f t="shared" si="30"/>
        <v>0.79166666666666674</v>
      </c>
      <c r="D82" s="12" t="str">
        <f>IFERROR(VLOOKUP(A82,'Agent Sched'!B:D,3,),"-")</f>
        <v>OFF</v>
      </c>
      <c r="E82" s="13" t="str">
        <f t="shared" si="31"/>
        <v>OFF</v>
      </c>
      <c r="F82" s="12" t="str">
        <f>IFERROR(VLOOKUP(A82,'Agent Sched'!B:E,4,),"-")</f>
        <v>OFF</v>
      </c>
      <c r="G82" s="13" t="str">
        <f t="shared" si="32"/>
        <v>OFF</v>
      </c>
      <c r="H82" s="12">
        <f>IFERROR(VLOOKUP(A82,'Agent Sched'!B:F,5,),"-")</f>
        <v>0.41666666666666669</v>
      </c>
      <c r="I82" s="13">
        <f t="shared" si="33"/>
        <v>0.79166666666666674</v>
      </c>
      <c r="J82" s="12">
        <f>IFERROR(VLOOKUP(A82,'Agent Sched'!B:G,6,),"-")</f>
        <v>0.41666666666666669</v>
      </c>
      <c r="K82" s="13">
        <f t="shared" si="34"/>
        <v>0.79166666666666674</v>
      </c>
      <c r="L82" s="12">
        <f>IFERROR(VLOOKUP(A82,'Agent Sched'!B:H,7,),"-")</f>
        <v>0.41666666666666669</v>
      </c>
      <c r="M82" s="13">
        <f t="shared" si="35"/>
        <v>0.79166666666666674</v>
      </c>
      <c r="N82" s="21">
        <f>IFERROR(VLOOKUP(A82,'Agent Sched'!B:I,8,),"-")</f>
        <v>0.41666666666666669</v>
      </c>
      <c r="O82" s="13">
        <f t="shared" si="36"/>
        <v>0.79166666666666674</v>
      </c>
      <c r="Q82" s="12">
        <f>VLOOKUP(A82,'Agent Sched'!B:Y,24,)</f>
        <v>0.41666666666666669</v>
      </c>
      <c r="R82" s="13">
        <f t="shared" si="37"/>
        <v>0.79166666666666674</v>
      </c>
      <c r="T82" s="25">
        <f>VLOOKUP(A82,'Agent Sched'!$B:$J,9,)</f>
        <v>0.41666666666666669</v>
      </c>
      <c r="U82" s="13">
        <f t="shared" si="38"/>
        <v>0.79166666666666674</v>
      </c>
      <c r="V82" s="12" t="str">
        <f>VLOOKUP(A82,'Agent Sched'!B:K,10,)</f>
        <v>OFF</v>
      </c>
      <c r="W82" s="13" t="str">
        <f t="shared" si="39"/>
        <v>OFF</v>
      </c>
      <c r="X82" s="12" t="str">
        <f>VLOOKUP(A82,'Agent Sched'!B:L,11,)</f>
        <v>OFF</v>
      </c>
      <c r="Y82" s="13" t="str">
        <f t="shared" si="40"/>
        <v>OFF</v>
      </c>
      <c r="Z82" s="12">
        <f>VLOOKUP(A82,'Agent Sched'!B:M,12,)</f>
        <v>0.41666666666666669</v>
      </c>
      <c r="AA82" s="13">
        <f t="shared" si="41"/>
        <v>0.79166666666666674</v>
      </c>
      <c r="AB82" s="12">
        <f>VLOOKUP(A82,'Agent Sched'!B:N,13,)</f>
        <v>0.41666666666666669</v>
      </c>
      <c r="AC82" s="13">
        <f t="shared" si="42"/>
        <v>0.79166666666666674</v>
      </c>
      <c r="AD82" s="12">
        <f>VLOOKUP(A82,'Agent Sched'!B:O,14,)</f>
        <v>0.41666666666666669</v>
      </c>
      <c r="AE82" s="13">
        <f t="shared" si="43"/>
        <v>0.79166666666666674</v>
      </c>
      <c r="AF82" s="21">
        <f>VLOOKUP(A82,'Agent Sched'!B:P,15,)</f>
        <v>0.41666666666666669</v>
      </c>
      <c r="AG82" s="13">
        <f t="shared" si="44"/>
        <v>0.79166666666666674</v>
      </c>
      <c r="AI82" s="25">
        <f>VLOOKUP(A82,'Agent Sched'!$B:$Q,16,)</f>
        <v>0.41666666666666669</v>
      </c>
      <c r="AJ82" s="13">
        <f t="shared" si="45"/>
        <v>0.79166666666666674</v>
      </c>
      <c r="AK82" s="12" t="str">
        <f>VLOOKUP(A82,'Agent Sched'!B:R,17,)</f>
        <v>OFF</v>
      </c>
      <c r="AL82" s="13" t="str">
        <f t="shared" si="46"/>
        <v>OFF</v>
      </c>
      <c r="AM82" s="12" t="str">
        <f>VLOOKUP(A82,'Agent Sched'!B:S,18,)</f>
        <v>OFF</v>
      </c>
      <c r="AN82" s="13" t="str">
        <f t="shared" si="47"/>
        <v>OFF</v>
      </c>
      <c r="AO82" s="12">
        <f>VLOOKUP(A82,'Agent Sched'!B:T,19,)</f>
        <v>0.41666666666666669</v>
      </c>
      <c r="AP82" s="13">
        <f t="shared" si="48"/>
        <v>0.79166666666666674</v>
      </c>
      <c r="AQ82" s="12">
        <f>VLOOKUP(A82,'Agent Sched'!B:U,20,)</f>
        <v>0.41666666666666669</v>
      </c>
      <c r="AR82" s="13">
        <f t="shared" si="49"/>
        <v>0.79166666666666674</v>
      </c>
      <c r="AS82" s="12">
        <f>VLOOKUP(A82,'Agent Sched'!B:V,21,)</f>
        <v>0.41666666666666669</v>
      </c>
      <c r="AT82" s="13">
        <f t="shared" si="50"/>
        <v>0.79166666666666674</v>
      </c>
      <c r="AU82" s="21">
        <f>VLOOKUP(A82,'Agent Sched'!B:W,22,)</f>
        <v>0.41666666666666669</v>
      </c>
      <c r="AV82" s="13">
        <f t="shared" si="51"/>
        <v>0.79166666666666674</v>
      </c>
    </row>
    <row r="83" spans="1:48" x14ac:dyDescent="0.25">
      <c r="A83" s="20" t="str">
        <f>'Agent Sched'!B84</f>
        <v>Jovie Cervano</v>
      </c>
      <c r="B83" s="12">
        <f>IFERROR(VLOOKUP(A83,'Agent Sched'!$B:$C,2,),"-")</f>
        <v>0.41666666666666669</v>
      </c>
      <c r="C83" s="13">
        <f t="shared" si="30"/>
        <v>0.79166666666666674</v>
      </c>
      <c r="D83" s="12" t="str">
        <f>IFERROR(VLOOKUP(A83,'Agent Sched'!B:D,3,),"-")</f>
        <v>OFF</v>
      </c>
      <c r="E83" s="13" t="str">
        <f t="shared" si="31"/>
        <v>OFF</v>
      </c>
      <c r="F83" s="12" t="str">
        <f>IFERROR(VLOOKUP(A83,'Agent Sched'!B:E,4,),"-")</f>
        <v>OFF</v>
      </c>
      <c r="G83" s="13" t="str">
        <f t="shared" si="32"/>
        <v>OFF</v>
      </c>
      <c r="H83" s="12">
        <f>IFERROR(VLOOKUP(A83,'Agent Sched'!B:F,5,),"-")</f>
        <v>0.41666666666666669</v>
      </c>
      <c r="I83" s="13">
        <f t="shared" si="33"/>
        <v>0.79166666666666674</v>
      </c>
      <c r="J83" s="12">
        <f>IFERROR(VLOOKUP(A83,'Agent Sched'!B:G,6,),"-")</f>
        <v>0.41666666666666669</v>
      </c>
      <c r="K83" s="13">
        <f t="shared" si="34"/>
        <v>0.79166666666666674</v>
      </c>
      <c r="L83" s="12">
        <f>IFERROR(VLOOKUP(A83,'Agent Sched'!B:H,7,),"-")</f>
        <v>0.41666666666666669</v>
      </c>
      <c r="M83" s="13">
        <f t="shared" si="35"/>
        <v>0.79166666666666674</v>
      </c>
      <c r="N83" s="21">
        <f>IFERROR(VLOOKUP(A83,'Agent Sched'!B:I,8,),"-")</f>
        <v>0.41666666666666669</v>
      </c>
      <c r="O83" s="13">
        <f t="shared" si="36"/>
        <v>0.79166666666666674</v>
      </c>
      <c r="Q83" s="12">
        <f>VLOOKUP(A83,'Agent Sched'!B:Y,24,)</f>
        <v>0.41666666666666669</v>
      </c>
      <c r="R83" s="13">
        <f t="shared" si="37"/>
        <v>0.79166666666666674</v>
      </c>
      <c r="T83" s="25">
        <f>VLOOKUP(A83,'Agent Sched'!$B:$J,9,)</f>
        <v>0.41666666666666669</v>
      </c>
      <c r="U83" s="13">
        <f t="shared" si="38"/>
        <v>0.79166666666666674</v>
      </c>
      <c r="V83" s="12" t="str">
        <f>VLOOKUP(A83,'Agent Sched'!B:K,10,)</f>
        <v>OFF</v>
      </c>
      <c r="W83" s="13" t="str">
        <f t="shared" si="39"/>
        <v>OFF</v>
      </c>
      <c r="X83" s="12" t="str">
        <f>VLOOKUP(A83,'Agent Sched'!B:L,11,)</f>
        <v>OFF</v>
      </c>
      <c r="Y83" s="13" t="str">
        <f t="shared" si="40"/>
        <v>OFF</v>
      </c>
      <c r="Z83" s="12">
        <f>VLOOKUP(A83,'Agent Sched'!B:M,12,)</f>
        <v>0.41666666666666669</v>
      </c>
      <c r="AA83" s="13">
        <f t="shared" si="41"/>
        <v>0.79166666666666674</v>
      </c>
      <c r="AB83" s="12">
        <f>VLOOKUP(A83,'Agent Sched'!B:N,13,)</f>
        <v>0.41666666666666669</v>
      </c>
      <c r="AC83" s="13">
        <f t="shared" si="42"/>
        <v>0.79166666666666674</v>
      </c>
      <c r="AD83" s="12">
        <f>VLOOKUP(A83,'Agent Sched'!B:O,14,)</f>
        <v>0.41666666666666669</v>
      </c>
      <c r="AE83" s="13">
        <f t="shared" si="43"/>
        <v>0.79166666666666674</v>
      </c>
      <c r="AF83" s="21">
        <f>VLOOKUP(A83,'Agent Sched'!B:P,15,)</f>
        <v>0.41666666666666669</v>
      </c>
      <c r="AG83" s="13">
        <f t="shared" si="44"/>
        <v>0.79166666666666674</v>
      </c>
      <c r="AI83" s="25">
        <f>VLOOKUP(A83,'Agent Sched'!$B:$Q,16,)</f>
        <v>0.41666666666666669</v>
      </c>
      <c r="AJ83" s="13">
        <f t="shared" si="45"/>
        <v>0.79166666666666674</v>
      </c>
      <c r="AK83" s="12" t="str">
        <f>VLOOKUP(A83,'Agent Sched'!B:R,17,)</f>
        <v>OFF</v>
      </c>
      <c r="AL83" s="13" t="str">
        <f t="shared" si="46"/>
        <v>OFF</v>
      </c>
      <c r="AM83" s="12" t="str">
        <f>VLOOKUP(A83,'Agent Sched'!B:S,18,)</f>
        <v>OFF</v>
      </c>
      <c r="AN83" s="13" t="str">
        <f t="shared" si="47"/>
        <v>OFF</v>
      </c>
      <c r="AO83" s="12">
        <f>VLOOKUP(A83,'Agent Sched'!B:T,19,)</f>
        <v>0.41666666666666669</v>
      </c>
      <c r="AP83" s="13">
        <f t="shared" si="48"/>
        <v>0.79166666666666674</v>
      </c>
      <c r="AQ83" s="12">
        <f>VLOOKUP(A83,'Agent Sched'!B:U,20,)</f>
        <v>0.41666666666666669</v>
      </c>
      <c r="AR83" s="13">
        <f t="shared" si="49"/>
        <v>0.79166666666666674</v>
      </c>
      <c r="AS83" s="12">
        <f>VLOOKUP(A83,'Agent Sched'!B:V,21,)</f>
        <v>0.41666666666666669</v>
      </c>
      <c r="AT83" s="13">
        <f t="shared" si="50"/>
        <v>0.79166666666666674</v>
      </c>
      <c r="AU83" s="21">
        <f>VLOOKUP(A83,'Agent Sched'!B:W,22,)</f>
        <v>0.41666666666666669</v>
      </c>
      <c r="AV83" s="13">
        <f t="shared" si="51"/>
        <v>0.79166666666666674</v>
      </c>
    </row>
    <row r="84" spans="1:48" x14ac:dyDescent="0.25">
      <c r="A84" s="20" t="str">
        <f>'Agent Sched'!B85</f>
        <v>Karren Rafallo</v>
      </c>
      <c r="B84" s="12">
        <f>IFERROR(VLOOKUP(A84,'Agent Sched'!$B:$C,2,),"-")</f>
        <v>0.41666666666666669</v>
      </c>
      <c r="C84" s="13">
        <f t="shared" si="30"/>
        <v>0.79166666666666674</v>
      </c>
      <c r="D84" s="12" t="str">
        <f>IFERROR(VLOOKUP(A84,'Agent Sched'!B:D,3,),"-")</f>
        <v>OFF</v>
      </c>
      <c r="E84" s="13" t="str">
        <f t="shared" si="31"/>
        <v>OFF</v>
      </c>
      <c r="F84" s="12" t="str">
        <f>IFERROR(VLOOKUP(A84,'Agent Sched'!B:E,4,),"-")</f>
        <v>OFF</v>
      </c>
      <c r="G84" s="13" t="str">
        <f t="shared" si="32"/>
        <v>OFF</v>
      </c>
      <c r="H84" s="12">
        <f>IFERROR(VLOOKUP(A84,'Agent Sched'!B:F,5,),"-")</f>
        <v>0.41666666666666669</v>
      </c>
      <c r="I84" s="13">
        <f t="shared" si="33"/>
        <v>0.79166666666666674</v>
      </c>
      <c r="J84" s="12">
        <f>IFERROR(VLOOKUP(A84,'Agent Sched'!B:G,6,),"-")</f>
        <v>0.41666666666666669</v>
      </c>
      <c r="K84" s="13">
        <f t="shared" si="34"/>
        <v>0.79166666666666674</v>
      </c>
      <c r="L84" s="12">
        <f>IFERROR(VLOOKUP(A84,'Agent Sched'!B:H,7,),"-")</f>
        <v>0.41666666666666669</v>
      </c>
      <c r="M84" s="13">
        <f t="shared" si="35"/>
        <v>0.79166666666666674</v>
      </c>
      <c r="N84" s="21">
        <f>IFERROR(VLOOKUP(A84,'Agent Sched'!B:I,8,),"-")</f>
        <v>0.41666666666666669</v>
      </c>
      <c r="O84" s="13">
        <f t="shared" si="36"/>
        <v>0.79166666666666674</v>
      </c>
      <c r="Q84" s="12">
        <f>VLOOKUP(A84,'Agent Sched'!B:Y,24,)</f>
        <v>0.41666666666666669</v>
      </c>
      <c r="R84" s="13">
        <f t="shared" si="37"/>
        <v>0.79166666666666674</v>
      </c>
      <c r="T84" s="25">
        <f>VLOOKUP(A84,'Agent Sched'!$B:$J,9,)</f>
        <v>0.41666666666666669</v>
      </c>
      <c r="U84" s="13">
        <f t="shared" si="38"/>
        <v>0.79166666666666674</v>
      </c>
      <c r="V84" s="12" t="str">
        <f>VLOOKUP(A84,'Agent Sched'!B:K,10,)</f>
        <v>OFF</v>
      </c>
      <c r="W84" s="13" t="str">
        <f t="shared" si="39"/>
        <v>OFF</v>
      </c>
      <c r="X84" s="12" t="str">
        <f>VLOOKUP(A84,'Agent Sched'!B:L,11,)</f>
        <v>OFF</v>
      </c>
      <c r="Y84" s="13" t="str">
        <f t="shared" si="40"/>
        <v>OFF</v>
      </c>
      <c r="Z84" s="12">
        <f>VLOOKUP(A84,'Agent Sched'!B:M,12,)</f>
        <v>0.41666666666666669</v>
      </c>
      <c r="AA84" s="13">
        <f t="shared" si="41"/>
        <v>0.79166666666666674</v>
      </c>
      <c r="AB84" s="12">
        <f>VLOOKUP(A84,'Agent Sched'!B:N,13,)</f>
        <v>0.41666666666666669</v>
      </c>
      <c r="AC84" s="13">
        <f t="shared" si="42"/>
        <v>0.79166666666666674</v>
      </c>
      <c r="AD84" s="12">
        <f>VLOOKUP(A84,'Agent Sched'!B:O,14,)</f>
        <v>0.41666666666666669</v>
      </c>
      <c r="AE84" s="13">
        <f t="shared" si="43"/>
        <v>0.79166666666666674</v>
      </c>
      <c r="AF84" s="21">
        <f>VLOOKUP(A84,'Agent Sched'!B:P,15,)</f>
        <v>0.41666666666666669</v>
      </c>
      <c r="AG84" s="13">
        <f t="shared" si="44"/>
        <v>0.79166666666666674</v>
      </c>
      <c r="AI84" s="25">
        <f>VLOOKUP(A84,'Agent Sched'!$B:$Q,16,)</f>
        <v>0.41666666666666669</v>
      </c>
      <c r="AJ84" s="13">
        <f t="shared" si="45"/>
        <v>0.79166666666666674</v>
      </c>
      <c r="AK84" s="12" t="str">
        <f>VLOOKUP(A84,'Agent Sched'!B:R,17,)</f>
        <v>OFF</v>
      </c>
      <c r="AL84" s="13" t="str">
        <f t="shared" si="46"/>
        <v>OFF</v>
      </c>
      <c r="AM84" s="12" t="str">
        <f>VLOOKUP(A84,'Agent Sched'!B:S,18,)</f>
        <v>OFF</v>
      </c>
      <c r="AN84" s="13" t="str">
        <f t="shared" si="47"/>
        <v>OFF</v>
      </c>
      <c r="AO84" s="12">
        <f>VLOOKUP(A84,'Agent Sched'!B:T,19,)</f>
        <v>0.41666666666666669</v>
      </c>
      <c r="AP84" s="13">
        <f t="shared" si="48"/>
        <v>0.79166666666666674</v>
      </c>
      <c r="AQ84" s="12">
        <f>VLOOKUP(A84,'Agent Sched'!B:U,20,)</f>
        <v>0.41666666666666669</v>
      </c>
      <c r="AR84" s="13">
        <f t="shared" si="49"/>
        <v>0.79166666666666674</v>
      </c>
      <c r="AS84" s="12">
        <f>VLOOKUP(A84,'Agent Sched'!B:V,21,)</f>
        <v>0.41666666666666669</v>
      </c>
      <c r="AT84" s="13">
        <f t="shared" si="50"/>
        <v>0.79166666666666674</v>
      </c>
      <c r="AU84" s="21">
        <f>VLOOKUP(A84,'Agent Sched'!B:W,22,)</f>
        <v>0.41666666666666669</v>
      </c>
      <c r="AV84" s="13">
        <f t="shared" si="51"/>
        <v>0.79166666666666674</v>
      </c>
    </row>
    <row r="85" spans="1:48" x14ac:dyDescent="0.25">
      <c r="A85" s="20" t="str">
        <f>'Agent Sched'!B86</f>
        <v>Abigail Zyra Lorzano</v>
      </c>
      <c r="B85" s="12">
        <f>IFERROR(VLOOKUP(A85,'Agent Sched'!$B:$C,2,),"-")</f>
        <v>0.41666666666666669</v>
      </c>
      <c r="C85" s="13">
        <f t="shared" si="30"/>
        <v>0.79166666666666674</v>
      </c>
      <c r="D85" s="12" t="str">
        <f>IFERROR(VLOOKUP(A85,'Agent Sched'!B:D,3,),"-")</f>
        <v>OFF</v>
      </c>
      <c r="E85" s="13" t="str">
        <f t="shared" si="31"/>
        <v>OFF</v>
      </c>
      <c r="F85" s="12" t="str">
        <f>IFERROR(VLOOKUP(A85,'Agent Sched'!B:E,4,),"-")</f>
        <v>OFF</v>
      </c>
      <c r="G85" s="13" t="str">
        <f t="shared" si="32"/>
        <v>OFF</v>
      </c>
      <c r="H85" s="12">
        <f>IFERROR(VLOOKUP(A85,'Agent Sched'!B:F,5,),"-")</f>
        <v>0.41666666666666669</v>
      </c>
      <c r="I85" s="13">
        <f t="shared" si="33"/>
        <v>0.79166666666666674</v>
      </c>
      <c r="J85" s="12">
        <f>IFERROR(VLOOKUP(A85,'Agent Sched'!B:G,6,),"-")</f>
        <v>0.41666666666666669</v>
      </c>
      <c r="K85" s="13">
        <f t="shared" si="34"/>
        <v>0.79166666666666674</v>
      </c>
      <c r="L85" s="12">
        <f>IFERROR(VLOOKUP(A85,'Agent Sched'!B:H,7,),"-")</f>
        <v>0.41666666666666669</v>
      </c>
      <c r="M85" s="13">
        <f t="shared" si="35"/>
        <v>0.79166666666666674</v>
      </c>
      <c r="N85" s="21">
        <f>IFERROR(VLOOKUP(A85,'Agent Sched'!B:I,8,),"-")</f>
        <v>0.41666666666666669</v>
      </c>
      <c r="O85" s="13">
        <f t="shared" si="36"/>
        <v>0.79166666666666674</v>
      </c>
      <c r="Q85" s="12">
        <f>VLOOKUP(A85,'Agent Sched'!B:Y,24,)</f>
        <v>0.41666666666666669</v>
      </c>
      <c r="R85" s="13">
        <f t="shared" si="37"/>
        <v>0.79166666666666674</v>
      </c>
      <c r="T85" s="25">
        <f>VLOOKUP(A85,'Agent Sched'!$B:$J,9,)</f>
        <v>0.41666666666666669</v>
      </c>
      <c r="U85" s="13">
        <f t="shared" si="38"/>
        <v>0.79166666666666674</v>
      </c>
      <c r="V85" s="12" t="str">
        <f>VLOOKUP(A85,'Agent Sched'!B:K,10,)</f>
        <v>OFF</v>
      </c>
      <c r="W85" s="13" t="str">
        <f t="shared" si="39"/>
        <v>OFF</v>
      </c>
      <c r="X85" s="12" t="str">
        <f>VLOOKUP(A85,'Agent Sched'!B:L,11,)</f>
        <v>OFF</v>
      </c>
      <c r="Y85" s="13" t="str">
        <f t="shared" si="40"/>
        <v>OFF</v>
      </c>
      <c r="Z85" s="12">
        <f>VLOOKUP(A85,'Agent Sched'!B:M,12,)</f>
        <v>0.41666666666666669</v>
      </c>
      <c r="AA85" s="13">
        <f t="shared" si="41"/>
        <v>0.79166666666666674</v>
      </c>
      <c r="AB85" s="12">
        <f>VLOOKUP(A85,'Agent Sched'!B:N,13,)</f>
        <v>0.41666666666666669</v>
      </c>
      <c r="AC85" s="13">
        <f t="shared" si="42"/>
        <v>0.79166666666666674</v>
      </c>
      <c r="AD85" s="12">
        <f>VLOOKUP(A85,'Agent Sched'!B:O,14,)</f>
        <v>0.41666666666666669</v>
      </c>
      <c r="AE85" s="13">
        <f t="shared" si="43"/>
        <v>0.79166666666666674</v>
      </c>
      <c r="AF85" s="21">
        <f>VLOOKUP(A85,'Agent Sched'!B:P,15,)</f>
        <v>0.41666666666666669</v>
      </c>
      <c r="AG85" s="13">
        <f t="shared" si="44"/>
        <v>0.79166666666666674</v>
      </c>
      <c r="AI85" s="25">
        <f>VLOOKUP(A85,'Agent Sched'!$B:$Q,16,)</f>
        <v>0.41666666666666669</v>
      </c>
      <c r="AJ85" s="13">
        <f t="shared" si="45"/>
        <v>0.79166666666666674</v>
      </c>
      <c r="AK85" s="12" t="str">
        <f>VLOOKUP(A85,'Agent Sched'!B:R,17,)</f>
        <v>OFF</v>
      </c>
      <c r="AL85" s="13" t="str">
        <f t="shared" si="46"/>
        <v>OFF</v>
      </c>
      <c r="AM85" s="12" t="str">
        <f>VLOOKUP(A85,'Agent Sched'!B:S,18,)</f>
        <v>OFF</v>
      </c>
      <c r="AN85" s="13" t="str">
        <f t="shared" si="47"/>
        <v>OFF</v>
      </c>
      <c r="AO85" s="12">
        <f>VLOOKUP(A85,'Agent Sched'!B:T,19,)</f>
        <v>0.41666666666666669</v>
      </c>
      <c r="AP85" s="13">
        <f t="shared" si="48"/>
        <v>0.79166666666666674</v>
      </c>
      <c r="AQ85" s="12">
        <f>VLOOKUP(A85,'Agent Sched'!B:U,20,)</f>
        <v>0.41666666666666669</v>
      </c>
      <c r="AR85" s="13">
        <f t="shared" si="49"/>
        <v>0.79166666666666674</v>
      </c>
      <c r="AS85" s="12">
        <f>VLOOKUP(A85,'Agent Sched'!B:V,21,)</f>
        <v>0.41666666666666669</v>
      </c>
      <c r="AT85" s="13">
        <f t="shared" si="50"/>
        <v>0.79166666666666674</v>
      </c>
      <c r="AU85" s="21">
        <f>VLOOKUP(A85,'Agent Sched'!B:W,22,)</f>
        <v>0.41666666666666669</v>
      </c>
      <c r="AV85" s="13">
        <f t="shared" si="51"/>
        <v>0.79166666666666674</v>
      </c>
    </row>
    <row r="86" spans="1:48" x14ac:dyDescent="0.25">
      <c r="A86" s="20" t="str">
        <f>'Agent Sched'!B87</f>
        <v>Angel Lacanaria</v>
      </c>
      <c r="B86" s="12">
        <f>IFERROR(VLOOKUP(A86,'Agent Sched'!$B:$C,2,),"-")</f>
        <v>0.41666666666666669</v>
      </c>
      <c r="C86" s="13">
        <f t="shared" si="30"/>
        <v>0.79166666666666674</v>
      </c>
      <c r="D86" s="12" t="str">
        <f>IFERROR(VLOOKUP(A86,'Agent Sched'!B:D,3,),"-")</f>
        <v>OFF</v>
      </c>
      <c r="E86" s="13" t="str">
        <f t="shared" si="31"/>
        <v>OFF</v>
      </c>
      <c r="F86" s="12" t="str">
        <f>IFERROR(VLOOKUP(A86,'Agent Sched'!B:E,4,),"-")</f>
        <v>OFF</v>
      </c>
      <c r="G86" s="13" t="str">
        <f t="shared" si="32"/>
        <v>OFF</v>
      </c>
      <c r="H86" s="12">
        <f>IFERROR(VLOOKUP(A86,'Agent Sched'!B:F,5,),"-")</f>
        <v>0.41666666666666669</v>
      </c>
      <c r="I86" s="13">
        <f t="shared" si="33"/>
        <v>0.79166666666666674</v>
      </c>
      <c r="J86" s="12">
        <f>IFERROR(VLOOKUP(A86,'Agent Sched'!B:G,6,),"-")</f>
        <v>0.41666666666666669</v>
      </c>
      <c r="K86" s="13">
        <f t="shared" si="34"/>
        <v>0.79166666666666674</v>
      </c>
      <c r="L86" s="12">
        <f>IFERROR(VLOOKUP(A86,'Agent Sched'!B:H,7,),"-")</f>
        <v>0.41666666666666669</v>
      </c>
      <c r="M86" s="13">
        <f t="shared" si="35"/>
        <v>0.79166666666666674</v>
      </c>
      <c r="N86" s="21">
        <f>IFERROR(VLOOKUP(A86,'Agent Sched'!B:I,8,),"-")</f>
        <v>0.41666666666666669</v>
      </c>
      <c r="O86" s="13">
        <f t="shared" si="36"/>
        <v>0.79166666666666674</v>
      </c>
      <c r="Q86" s="12">
        <f>VLOOKUP(A86,'Agent Sched'!B:Y,24,)</f>
        <v>0.41666666666666669</v>
      </c>
      <c r="R86" s="13">
        <f t="shared" si="37"/>
        <v>0.79166666666666674</v>
      </c>
      <c r="T86" s="25">
        <f>VLOOKUP(A86,'Agent Sched'!$B:$J,9,)</f>
        <v>0.41666666666666669</v>
      </c>
      <c r="U86" s="13">
        <f t="shared" si="38"/>
        <v>0.79166666666666674</v>
      </c>
      <c r="V86" s="12" t="str">
        <f>VLOOKUP(A86,'Agent Sched'!B:K,10,)</f>
        <v>OFF</v>
      </c>
      <c r="W86" s="13" t="str">
        <f t="shared" si="39"/>
        <v>OFF</v>
      </c>
      <c r="X86" s="12" t="str">
        <f>VLOOKUP(A86,'Agent Sched'!B:L,11,)</f>
        <v>OFF</v>
      </c>
      <c r="Y86" s="13" t="str">
        <f t="shared" si="40"/>
        <v>OFF</v>
      </c>
      <c r="Z86" s="12">
        <f>VLOOKUP(A86,'Agent Sched'!B:M,12,)</f>
        <v>0.41666666666666669</v>
      </c>
      <c r="AA86" s="13">
        <f t="shared" si="41"/>
        <v>0.79166666666666674</v>
      </c>
      <c r="AB86" s="12">
        <f>VLOOKUP(A86,'Agent Sched'!B:N,13,)</f>
        <v>0.41666666666666669</v>
      </c>
      <c r="AC86" s="13">
        <f t="shared" si="42"/>
        <v>0.79166666666666674</v>
      </c>
      <c r="AD86" s="12">
        <f>VLOOKUP(A86,'Agent Sched'!B:O,14,)</f>
        <v>0.41666666666666669</v>
      </c>
      <c r="AE86" s="13">
        <f t="shared" si="43"/>
        <v>0.79166666666666674</v>
      </c>
      <c r="AF86" s="21">
        <f>VLOOKUP(A86,'Agent Sched'!B:P,15,)</f>
        <v>0.41666666666666669</v>
      </c>
      <c r="AG86" s="13">
        <f t="shared" si="44"/>
        <v>0.79166666666666674</v>
      </c>
      <c r="AI86" s="25">
        <f>VLOOKUP(A86,'Agent Sched'!$B:$Q,16,)</f>
        <v>0.41666666666666669</v>
      </c>
      <c r="AJ86" s="13">
        <f t="shared" si="45"/>
        <v>0.79166666666666674</v>
      </c>
      <c r="AK86" s="12" t="str">
        <f>VLOOKUP(A86,'Agent Sched'!B:R,17,)</f>
        <v>OFF</v>
      </c>
      <c r="AL86" s="13" t="str">
        <f t="shared" si="46"/>
        <v>OFF</v>
      </c>
      <c r="AM86" s="12" t="str">
        <f>VLOOKUP(A86,'Agent Sched'!B:S,18,)</f>
        <v>OFF</v>
      </c>
      <c r="AN86" s="13" t="str">
        <f t="shared" si="47"/>
        <v>OFF</v>
      </c>
      <c r="AO86" s="12">
        <f>VLOOKUP(A86,'Agent Sched'!B:T,19,)</f>
        <v>0.41666666666666669</v>
      </c>
      <c r="AP86" s="13">
        <f t="shared" si="48"/>
        <v>0.79166666666666674</v>
      </c>
      <c r="AQ86" s="12">
        <f>VLOOKUP(A86,'Agent Sched'!B:U,20,)</f>
        <v>0.41666666666666669</v>
      </c>
      <c r="AR86" s="13">
        <f t="shared" si="49"/>
        <v>0.79166666666666674</v>
      </c>
      <c r="AS86" s="12">
        <f>VLOOKUP(A86,'Agent Sched'!B:V,21,)</f>
        <v>0.41666666666666669</v>
      </c>
      <c r="AT86" s="13">
        <f t="shared" si="50"/>
        <v>0.79166666666666674</v>
      </c>
      <c r="AU86" s="21">
        <f>VLOOKUP(A86,'Agent Sched'!B:W,22,)</f>
        <v>0.41666666666666669</v>
      </c>
      <c r="AV86" s="13">
        <f t="shared" si="51"/>
        <v>0.79166666666666674</v>
      </c>
    </row>
    <row r="87" spans="1:48" x14ac:dyDescent="0.25">
      <c r="A87" s="20" t="str">
        <f>'Agent Sched'!B88</f>
        <v>Rochel Cortez</v>
      </c>
      <c r="B87" s="12">
        <f>IFERROR(VLOOKUP(A87,'Agent Sched'!$B:$C,2,),"-")</f>
        <v>0.41666666666666669</v>
      </c>
      <c r="C87" s="13">
        <f t="shared" si="30"/>
        <v>0.79166666666666674</v>
      </c>
      <c r="D87" s="12" t="str">
        <f>IFERROR(VLOOKUP(A87,'Agent Sched'!B:D,3,),"-")</f>
        <v>OFF</v>
      </c>
      <c r="E87" s="13" t="str">
        <f t="shared" si="31"/>
        <v>OFF</v>
      </c>
      <c r="F87" s="12" t="str">
        <f>IFERROR(VLOOKUP(A87,'Agent Sched'!B:E,4,),"-")</f>
        <v>OFF</v>
      </c>
      <c r="G87" s="13" t="str">
        <f t="shared" si="32"/>
        <v>OFF</v>
      </c>
      <c r="H87" s="12">
        <f>IFERROR(VLOOKUP(A87,'Agent Sched'!B:F,5,),"-")</f>
        <v>0.41666666666666669</v>
      </c>
      <c r="I87" s="13">
        <f t="shared" si="33"/>
        <v>0.79166666666666674</v>
      </c>
      <c r="J87" s="12">
        <f>IFERROR(VLOOKUP(A87,'Agent Sched'!B:G,6,),"-")</f>
        <v>0.41666666666666669</v>
      </c>
      <c r="K87" s="13">
        <f t="shared" si="34"/>
        <v>0.79166666666666674</v>
      </c>
      <c r="L87" s="12">
        <f>IFERROR(VLOOKUP(A87,'Agent Sched'!B:H,7,),"-")</f>
        <v>0.41666666666666669</v>
      </c>
      <c r="M87" s="13">
        <f t="shared" si="35"/>
        <v>0.79166666666666674</v>
      </c>
      <c r="N87" s="21">
        <f>IFERROR(VLOOKUP(A87,'Agent Sched'!B:I,8,),"-")</f>
        <v>0.41666666666666669</v>
      </c>
      <c r="O87" s="13">
        <f t="shared" si="36"/>
        <v>0.79166666666666674</v>
      </c>
      <c r="Q87" s="12">
        <f>VLOOKUP(A87,'Agent Sched'!B:Y,24,)</f>
        <v>0.41666666666666669</v>
      </c>
      <c r="R87" s="13">
        <f t="shared" si="37"/>
        <v>0.79166666666666674</v>
      </c>
      <c r="T87" s="25">
        <f>VLOOKUP(A87,'Agent Sched'!$B:$J,9,)</f>
        <v>0.41666666666666669</v>
      </c>
      <c r="U87" s="13">
        <f t="shared" si="38"/>
        <v>0.79166666666666674</v>
      </c>
      <c r="V87" s="12" t="str">
        <f>VLOOKUP(A87,'Agent Sched'!B:K,10,)</f>
        <v>OFF</v>
      </c>
      <c r="W87" s="13" t="str">
        <f t="shared" si="39"/>
        <v>OFF</v>
      </c>
      <c r="X87" s="12" t="str">
        <f>VLOOKUP(A87,'Agent Sched'!B:L,11,)</f>
        <v>OFF</v>
      </c>
      <c r="Y87" s="13" t="str">
        <f t="shared" si="40"/>
        <v>OFF</v>
      </c>
      <c r="Z87" s="12">
        <f>VLOOKUP(A87,'Agent Sched'!B:M,12,)</f>
        <v>0.41666666666666669</v>
      </c>
      <c r="AA87" s="13">
        <f t="shared" si="41"/>
        <v>0.79166666666666674</v>
      </c>
      <c r="AB87" s="12">
        <f>VLOOKUP(A87,'Agent Sched'!B:N,13,)</f>
        <v>0.41666666666666669</v>
      </c>
      <c r="AC87" s="13">
        <f t="shared" si="42"/>
        <v>0.79166666666666674</v>
      </c>
      <c r="AD87" s="12">
        <f>VLOOKUP(A87,'Agent Sched'!B:O,14,)</f>
        <v>0.41666666666666669</v>
      </c>
      <c r="AE87" s="13">
        <f t="shared" si="43"/>
        <v>0.79166666666666674</v>
      </c>
      <c r="AF87" s="21">
        <f>VLOOKUP(A87,'Agent Sched'!B:P,15,)</f>
        <v>0.41666666666666669</v>
      </c>
      <c r="AG87" s="13">
        <f t="shared" si="44"/>
        <v>0.79166666666666674</v>
      </c>
      <c r="AI87" s="25">
        <f>VLOOKUP(A87,'Agent Sched'!$B:$Q,16,)</f>
        <v>0.41666666666666669</v>
      </c>
      <c r="AJ87" s="13">
        <f t="shared" si="45"/>
        <v>0.79166666666666674</v>
      </c>
      <c r="AK87" s="12" t="str">
        <f>VLOOKUP(A87,'Agent Sched'!B:R,17,)</f>
        <v>OFF</v>
      </c>
      <c r="AL87" s="13" t="str">
        <f t="shared" si="46"/>
        <v>OFF</v>
      </c>
      <c r="AM87" s="12" t="str">
        <f>VLOOKUP(A87,'Agent Sched'!B:S,18,)</f>
        <v>OFF</v>
      </c>
      <c r="AN87" s="13" t="str">
        <f t="shared" si="47"/>
        <v>OFF</v>
      </c>
      <c r="AO87" s="12">
        <f>VLOOKUP(A87,'Agent Sched'!B:T,19,)</f>
        <v>0.41666666666666669</v>
      </c>
      <c r="AP87" s="13">
        <f t="shared" si="48"/>
        <v>0.79166666666666674</v>
      </c>
      <c r="AQ87" s="12">
        <f>VLOOKUP(A87,'Agent Sched'!B:U,20,)</f>
        <v>0.41666666666666669</v>
      </c>
      <c r="AR87" s="13">
        <f t="shared" si="49"/>
        <v>0.79166666666666674</v>
      </c>
      <c r="AS87" s="12">
        <f>VLOOKUP(A87,'Agent Sched'!B:V,21,)</f>
        <v>0.41666666666666669</v>
      </c>
      <c r="AT87" s="13">
        <f t="shared" si="50"/>
        <v>0.79166666666666674</v>
      </c>
      <c r="AU87" s="21">
        <f>VLOOKUP(A87,'Agent Sched'!B:W,22,)</f>
        <v>0.41666666666666669</v>
      </c>
      <c r="AV87" s="13">
        <f t="shared" si="51"/>
        <v>0.79166666666666674</v>
      </c>
    </row>
    <row r="88" spans="1:48" x14ac:dyDescent="0.25">
      <c r="A88" s="20" t="str">
        <f>'Agent Sched'!B89</f>
        <v>Rodney Marzan</v>
      </c>
      <c r="B88" s="12">
        <f>IFERROR(VLOOKUP(A88,'Agent Sched'!$B:$C,2,),"-")</f>
        <v>0.41666666666666669</v>
      </c>
      <c r="C88" s="13">
        <f t="shared" si="30"/>
        <v>0.79166666666666674</v>
      </c>
      <c r="D88" s="12" t="str">
        <f>IFERROR(VLOOKUP(A88,'Agent Sched'!B:D,3,),"-")</f>
        <v>OFF</v>
      </c>
      <c r="E88" s="13" t="str">
        <f t="shared" si="31"/>
        <v>OFF</v>
      </c>
      <c r="F88" s="12" t="str">
        <f>IFERROR(VLOOKUP(A88,'Agent Sched'!B:E,4,),"-")</f>
        <v>OFF</v>
      </c>
      <c r="G88" s="13" t="str">
        <f t="shared" si="32"/>
        <v>OFF</v>
      </c>
      <c r="H88" s="12">
        <f>IFERROR(VLOOKUP(A88,'Agent Sched'!B:F,5,),"-")</f>
        <v>0.41666666666666669</v>
      </c>
      <c r="I88" s="13">
        <f t="shared" si="33"/>
        <v>0.79166666666666674</v>
      </c>
      <c r="J88" s="12">
        <f>IFERROR(VLOOKUP(A88,'Agent Sched'!B:G,6,),"-")</f>
        <v>0.41666666666666669</v>
      </c>
      <c r="K88" s="13">
        <f t="shared" si="34"/>
        <v>0.79166666666666674</v>
      </c>
      <c r="L88" s="12">
        <f>IFERROR(VLOOKUP(A88,'Agent Sched'!B:H,7,),"-")</f>
        <v>0.41666666666666669</v>
      </c>
      <c r="M88" s="13">
        <f t="shared" si="35"/>
        <v>0.79166666666666674</v>
      </c>
      <c r="N88" s="21">
        <f>IFERROR(VLOOKUP(A88,'Agent Sched'!B:I,8,),"-")</f>
        <v>0.41666666666666669</v>
      </c>
      <c r="O88" s="13">
        <f t="shared" si="36"/>
        <v>0.79166666666666674</v>
      </c>
      <c r="Q88" s="12">
        <f>VLOOKUP(A88,'Agent Sched'!B:Y,24,)</f>
        <v>0.41666666666666669</v>
      </c>
      <c r="R88" s="13">
        <f t="shared" si="37"/>
        <v>0.79166666666666674</v>
      </c>
      <c r="T88" s="25">
        <f>VLOOKUP(A88,'Agent Sched'!$B:$J,9,)</f>
        <v>0.41666666666666669</v>
      </c>
      <c r="U88" s="13">
        <f t="shared" si="38"/>
        <v>0.79166666666666674</v>
      </c>
      <c r="V88" s="12" t="str">
        <f>VLOOKUP(A88,'Agent Sched'!B:K,10,)</f>
        <v>OFF</v>
      </c>
      <c r="W88" s="13" t="str">
        <f t="shared" si="39"/>
        <v>OFF</v>
      </c>
      <c r="X88" s="12" t="str">
        <f>VLOOKUP(A88,'Agent Sched'!B:L,11,)</f>
        <v>OFF</v>
      </c>
      <c r="Y88" s="13" t="str">
        <f t="shared" si="40"/>
        <v>OFF</v>
      </c>
      <c r="Z88" s="12">
        <f>VLOOKUP(A88,'Agent Sched'!B:M,12,)</f>
        <v>0.41666666666666669</v>
      </c>
      <c r="AA88" s="13">
        <f t="shared" si="41"/>
        <v>0.79166666666666674</v>
      </c>
      <c r="AB88" s="12">
        <f>VLOOKUP(A88,'Agent Sched'!B:N,13,)</f>
        <v>0.41666666666666669</v>
      </c>
      <c r="AC88" s="13">
        <f t="shared" si="42"/>
        <v>0.79166666666666674</v>
      </c>
      <c r="AD88" s="12">
        <f>VLOOKUP(A88,'Agent Sched'!B:O,14,)</f>
        <v>0.41666666666666669</v>
      </c>
      <c r="AE88" s="13">
        <f t="shared" si="43"/>
        <v>0.79166666666666674</v>
      </c>
      <c r="AF88" s="21">
        <f>VLOOKUP(A88,'Agent Sched'!B:P,15,)</f>
        <v>0.41666666666666669</v>
      </c>
      <c r="AG88" s="13">
        <f t="shared" si="44"/>
        <v>0.79166666666666674</v>
      </c>
      <c r="AI88" s="25">
        <f>VLOOKUP(A88,'Agent Sched'!$B:$Q,16,)</f>
        <v>0.41666666666666669</v>
      </c>
      <c r="AJ88" s="13">
        <f t="shared" si="45"/>
        <v>0.79166666666666674</v>
      </c>
      <c r="AK88" s="12" t="str">
        <f>VLOOKUP(A88,'Agent Sched'!B:R,17,)</f>
        <v>OFF</v>
      </c>
      <c r="AL88" s="13" t="str">
        <f t="shared" si="46"/>
        <v>OFF</v>
      </c>
      <c r="AM88" s="12" t="str">
        <f>VLOOKUP(A88,'Agent Sched'!B:S,18,)</f>
        <v>OFF</v>
      </c>
      <c r="AN88" s="13" t="str">
        <f t="shared" si="47"/>
        <v>OFF</v>
      </c>
      <c r="AO88" s="12">
        <f>VLOOKUP(A88,'Agent Sched'!B:T,19,)</f>
        <v>0.41666666666666669</v>
      </c>
      <c r="AP88" s="13">
        <f t="shared" si="48"/>
        <v>0.79166666666666674</v>
      </c>
      <c r="AQ88" s="12">
        <f>VLOOKUP(A88,'Agent Sched'!B:U,20,)</f>
        <v>0.41666666666666669</v>
      </c>
      <c r="AR88" s="13">
        <f t="shared" si="49"/>
        <v>0.79166666666666674</v>
      </c>
      <c r="AS88" s="12">
        <f>VLOOKUP(A88,'Agent Sched'!B:V,21,)</f>
        <v>0.41666666666666669</v>
      </c>
      <c r="AT88" s="13">
        <f t="shared" si="50"/>
        <v>0.79166666666666674</v>
      </c>
      <c r="AU88" s="21">
        <f>VLOOKUP(A88,'Agent Sched'!B:W,22,)</f>
        <v>0.41666666666666669</v>
      </c>
      <c r="AV88" s="13">
        <f t="shared" si="51"/>
        <v>0.79166666666666674</v>
      </c>
    </row>
    <row r="89" spans="1:48" x14ac:dyDescent="0.25">
      <c r="A89" s="20" t="str">
        <f>'Agent Sched'!B90</f>
        <v>Wallen Simbahan</v>
      </c>
      <c r="B89" s="12">
        <f>IFERROR(VLOOKUP(A89,'Agent Sched'!$B:$C,2,),"-")</f>
        <v>0.41666666666666669</v>
      </c>
      <c r="C89" s="13">
        <f t="shared" si="30"/>
        <v>0.79166666666666674</v>
      </c>
      <c r="D89" s="12" t="str">
        <f>IFERROR(VLOOKUP(A89,'Agent Sched'!B:D,3,),"-")</f>
        <v>OFF</v>
      </c>
      <c r="E89" s="13" t="str">
        <f t="shared" si="31"/>
        <v>OFF</v>
      </c>
      <c r="F89" s="12" t="str">
        <f>IFERROR(VLOOKUP(A89,'Agent Sched'!B:E,4,),"-")</f>
        <v>OFF</v>
      </c>
      <c r="G89" s="13" t="str">
        <f t="shared" si="32"/>
        <v>OFF</v>
      </c>
      <c r="H89" s="12">
        <f>IFERROR(VLOOKUP(A89,'Agent Sched'!B:F,5,),"-")</f>
        <v>0.41666666666666669</v>
      </c>
      <c r="I89" s="13">
        <f t="shared" si="33"/>
        <v>0.79166666666666674</v>
      </c>
      <c r="J89" s="12">
        <f>IFERROR(VLOOKUP(A89,'Agent Sched'!B:G,6,),"-")</f>
        <v>0.41666666666666669</v>
      </c>
      <c r="K89" s="13">
        <f t="shared" si="34"/>
        <v>0.79166666666666674</v>
      </c>
      <c r="L89" s="12">
        <f>IFERROR(VLOOKUP(A89,'Agent Sched'!B:H,7,),"-")</f>
        <v>0.41666666666666669</v>
      </c>
      <c r="M89" s="13">
        <f t="shared" si="35"/>
        <v>0.79166666666666674</v>
      </c>
      <c r="N89" s="21">
        <f>IFERROR(VLOOKUP(A89,'Agent Sched'!B:I,8,),"-")</f>
        <v>0.41666666666666669</v>
      </c>
      <c r="O89" s="13">
        <f t="shared" si="36"/>
        <v>0.79166666666666674</v>
      </c>
      <c r="Q89" s="12">
        <f>VLOOKUP(A89,'Agent Sched'!B:Y,24,)</f>
        <v>0.41666666666666669</v>
      </c>
      <c r="R89" s="13">
        <f t="shared" si="37"/>
        <v>0.79166666666666674</v>
      </c>
      <c r="T89" s="25">
        <f>VLOOKUP(A89,'Agent Sched'!$B:$J,9,)</f>
        <v>0.41666666666666669</v>
      </c>
      <c r="U89" s="13">
        <f t="shared" si="38"/>
        <v>0.79166666666666674</v>
      </c>
      <c r="V89" s="12" t="str">
        <f>VLOOKUP(A89,'Agent Sched'!B:K,10,)</f>
        <v>OFF</v>
      </c>
      <c r="W89" s="13" t="str">
        <f t="shared" si="39"/>
        <v>OFF</v>
      </c>
      <c r="X89" s="12" t="str">
        <f>VLOOKUP(A89,'Agent Sched'!B:L,11,)</f>
        <v>OFF</v>
      </c>
      <c r="Y89" s="13" t="str">
        <f t="shared" si="40"/>
        <v>OFF</v>
      </c>
      <c r="Z89" s="12">
        <f>VLOOKUP(A89,'Agent Sched'!B:M,12,)</f>
        <v>0.41666666666666669</v>
      </c>
      <c r="AA89" s="13">
        <f t="shared" si="41"/>
        <v>0.79166666666666674</v>
      </c>
      <c r="AB89" s="12">
        <f>VLOOKUP(A89,'Agent Sched'!B:N,13,)</f>
        <v>0.41666666666666669</v>
      </c>
      <c r="AC89" s="13">
        <f t="shared" si="42"/>
        <v>0.79166666666666674</v>
      </c>
      <c r="AD89" s="12">
        <f>VLOOKUP(A89,'Agent Sched'!B:O,14,)</f>
        <v>0.41666666666666669</v>
      </c>
      <c r="AE89" s="13">
        <f t="shared" si="43"/>
        <v>0.79166666666666674</v>
      </c>
      <c r="AF89" s="21">
        <f>VLOOKUP(A89,'Agent Sched'!B:P,15,)</f>
        <v>0.41666666666666669</v>
      </c>
      <c r="AG89" s="13">
        <f t="shared" si="44"/>
        <v>0.79166666666666674</v>
      </c>
      <c r="AI89" s="25">
        <f>VLOOKUP(A89,'Agent Sched'!$B:$Q,16,)</f>
        <v>0.41666666666666669</v>
      </c>
      <c r="AJ89" s="13">
        <f t="shared" si="45"/>
        <v>0.79166666666666674</v>
      </c>
      <c r="AK89" s="12" t="str">
        <f>VLOOKUP(A89,'Agent Sched'!B:R,17,)</f>
        <v>OFF</v>
      </c>
      <c r="AL89" s="13" t="str">
        <f t="shared" si="46"/>
        <v>OFF</v>
      </c>
      <c r="AM89" s="12" t="str">
        <f>VLOOKUP(A89,'Agent Sched'!B:S,18,)</f>
        <v>OFF</v>
      </c>
      <c r="AN89" s="13" t="str">
        <f t="shared" si="47"/>
        <v>OFF</v>
      </c>
      <c r="AO89" s="12">
        <f>VLOOKUP(A89,'Agent Sched'!B:T,19,)</f>
        <v>0.41666666666666669</v>
      </c>
      <c r="AP89" s="13">
        <f t="shared" si="48"/>
        <v>0.79166666666666674</v>
      </c>
      <c r="AQ89" s="12">
        <f>VLOOKUP(A89,'Agent Sched'!B:U,20,)</f>
        <v>0.41666666666666669</v>
      </c>
      <c r="AR89" s="13">
        <f t="shared" si="49"/>
        <v>0.79166666666666674</v>
      </c>
      <c r="AS89" s="12">
        <f>VLOOKUP(A89,'Agent Sched'!B:V,21,)</f>
        <v>0.41666666666666669</v>
      </c>
      <c r="AT89" s="13">
        <f t="shared" si="50"/>
        <v>0.79166666666666674</v>
      </c>
      <c r="AU89" s="21">
        <f>VLOOKUP(A89,'Agent Sched'!B:W,22,)</f>
        <v>0.41666666666666669</v>
      </c>
      <c r="AV89" s="13">
        <f t="shared" si="51"/>
        <v>0.79166666666666674</v>
      </c>
    </row>
    <row r="90" spans="1:48" x14ac:dyDescent="0.25">
      <c r="A90" s="20" t="str">
        <f>'Agent Sched'!B91</f>
        <v>Kathleene Faye Villarin</v>
      </c>
      <c r="B90" s="12">
        <f>IFERROR(VLOOKUP(A90,'Agent Sched'!$B:$C,2,),"-")</f>
        <v>0.66666666666666663</v>
      </c>
      <c r="C90" s="13">
        <f t="shared" si="30"/>
        <v>1.0416666666666665</v>
      </c>
      <c r="D90" s="12">
        <f>IFERROR(VLOOKUP(A90,'Agent Sched'!B:D,3,),"-")</f>
        <v>0.66666666666666663</v>
      </c>
      <c r="E90" s="13">
        <f t="shared" si="31"/>
        <v>1.0416666666666665</v>
      </c>
      <c r="F90" s="12">
        <f>IFERROR(VLOOKUP(A90,'Agent Sched'!B:E,4,),"-")</f>
        <v>0.66666666666666663</v>
      </c>
      <c r="G90" s="13">
        <f t="shared" si="32"/>
        <v>1.0416666666666665</v>
      </c>
      <c r="H90" s="12" t="str">
        <f>IFERROR(VLOOKUP(A90,'Agent Sched'!B:F,5,),"-")</f>
        <v>OFF</v>
      </c>
      <c r="I90" s="13" t="str">
        <f t="shared" si="33"/>
        <v>OFF</v>
      </c>
      <c r="J90" s="12">
        <f>IFERROR(VLOOKUP(A90,'Agent Sched'!B:G,6,),"-")</f>
        <v>0.66666666666666663</v>
      </c>
      <c r="K90" s="13">
        <f t="shared" si="34"/>
        <v>1.0416666666666665</v>
      </c>
      <c r="L90" s="12" t="str">
        <f>IFERROR(VLOOKUP(A90,'Agent Sched'!B:H,7,),"-")</f>
        <v>OFF</v>
      </c>
      <c r="M90" s="13" t="str">
        <f t="shared" si="35"/>
        <v>OFF</v>
      </c>
      <c r="N90" s="21">
        <f>IFERROR(VLOOKUP(A90,'Agent Sched'!B:I,8,),"-")</f>
        <v>0.66666666666666663</v>
      </c>
      <c r="O90" s="13">
        <f t="shared" si="36"/>
        <v>1.0416666666666665</v>
      </c>
      <c r="Q90" s="12">
        <f>VLOOKUP(A90,'Agent Sched'!B:Y,24,)</f>
        <v>0.66666666666666663</v>
      </c>
      <c r="R90" s="13">
        <f t="shared" si="37"/>
        <v>1.0416666666666665</v>
      </c>
      <c r="T90" s="25">
        <f>VLOOKUP(A90,'Agent Sched'!$B:$J,9,)</f>
        <v>0.66666666666666663</v>
      </c>
      <c r="U90" s="13">
        <f t="shared" si="38"/>
        <v>1.0416666666666665</v>
      </c>
      <c r="V90" s="12">
        <f>VLOOKUP(A90,'Agent Sched'!B:K,10,)</f>
        <v>0.66666666666666663</v>
      </c>
      <c r="W90" s="13">
        <f t="shared" si="39"/>
        <v>1.0416666666666665</v>
      </c>
      <c r="X90" s="12">
        <f>VLOOKUP(A90,'Agent Sched'!B:L,11,)</f>
        <v>0.66666666666666663</v>
      </c>
      <c r="Y90" s="13">
        <f t="shared" si="40"/>
        <v>1.0416666666666665</v>
      </c>
      <c r="Z90" s="12">
        <f>VLOOKUP(A90,'Agent Sched'!B:M,12,)</f>
        <v>0.66666666666666663</v>
      </c>
      <c r="AA90" s="13">
        <f t="shared" si="41"/>
        <v>1.0416666666666665</v>
      </c>
      <c r="AB90" s="12" t="str">
        <f>VLOOKUP(A90,'Agent Sched'!B:N,13,)</f>
        <v>OFF</v>
      </c>
      <c r="AC90" s="13" t="str">
        <f t="shared" si="42"/>
        <v>OFF</v>
      </c>
      <c r="AD90" s="12" t="str">
        <f>VLOOKUP(A90,'Agent Sched'!B:O,14,)</f>
        <v>OFF</v>
      </c>
      <c r="AE90" s="13" t="str">
        <f t="shared" si="43"/>
        <v>OFF</v>
      </c>
      <c r="AF90" s="21">
        <f>VLOOKUP(A90,'Agent Sched'!B:P,15,)</f>
        <v>0.66666666666666663</v>
      </c>
      <c r="AG90" s="13">
        <f t="shared" si="44"/>
        <v>1.0416666666666665</v>
      </c>
      <c r="AI90" s="25">
        <f>VLOOKUP(A90,'Agent Sched'!$B:$Q,16,)</f>
        <v>0.66666666666666663</v>
      </c>
      <c r="AJ90" s="13">
        <f t="shared" si="45"/>
        <v>1.0416666666666665</v>
      </c>
      <c r="AK90" s="12">
        <f>VLOOKUP(A90,'Agent Sched'!B:R,17,)</f>
        <v>0.66666666666666663</v>
      </c>
      <c r="AL90" s="13">
        <f t="shared" si="46"/>
        <v>1.0416666666666665</v>
      </c>
      <c r="AM90" s="12">
        <f>VLOOKUP(A90,'Agent Sched'!B:S,18,)</f>
        <v>0.66666666666666663</v>
      </c>
      <c r="AN90" s="13">
        <f t="shared" si="47"/>
        <v>1.0416666666666665</v>
      </c>
      <c r="AO90" s="12">
        <f>VLOOKUP(A90,'Agent Sched'!B:T,19,)</f>
        <v>0.66666666666666663</v>
      </c>
      <c r="AP90" s="13">
        <f t="shared" si="48"/>
        <v>1.0416666666666665</v>
      </c>
      <c r="AQ90" s="12" t="str">
        <f>VLOOKUP(A90,'Agent Sched'!B:U,20,)</f>
        <v>OFF</v>
      </c>
      <c r="AR90" s="13" t="str">
        <f t="shared" si="49"/>
        <v>OFF</v>
      </c>
      <c r="AS90" s="12" t="str">
        <f>VLOOKUP(A90,'Agent Sched'!B:V,21,)</f>
        <v>OFF</v>
      </c>
      <c r="AT90" s="13" t="str">
        <f t="shared" si="50"/>
        <v>OFF</v>
      </c>
      <c r="AU90" s="21">
        <f>VLOOKUP(A90,'Agent Sched'!B:W,22,)</f>
        <v>0.66666666666666663</v>
      </c>
      <c r="AV90" s="13">
        <f t="shared" si="51"/>
        <v>1.0416666666666665</v>
      </c>
    </row>
    <row r="91" spans="1:48" x14ac:dyDescent="0.25">
      <c r="A91" s="20" t="str">
        <f>'Agent Sched'!B92</f>
        <v>Rencel Jan Hortillosa</v>
      </c>
      <c r="B91" s="12">
        <f>IFERROR(VLOOKUP(A91,'Agent Sched'!$B:$C,2,),"-")</f>
        <v>0.66666666666666663</v>
      </c>
      <c r="C91" s="13">
        <f t="shared" si="30"/>
        <v>1.0416666666666665</v>
      </c>
      <c r="D91" s="12">
        <f>IFERROR(VLOOKUP(A91,'Agent Sched'!B:D,3,),"-")</f>
        <v>0.66666666666666663</v>
      </c>
      <c r="E91" s="13">
        <f t="shared" si="31"/>
        <v>1.0416666666666665</v>
      </c>
      <c r="F91" s="12">
        <f>IFERROR(VLOOKUP(A91,'Agent Sched'!B:E,4,),"-")</f>
        <v>0.66666666666666663</v>
      </c>
      <c r="G91" s="13">
        <f t="shared" si="32"/>
        <v>1.0416666666666665</v>
      </c>
      <c r="H91" s="12" t="str">
        <f>IFERROR(VLOOKUP(A91,'Agent Sched'!B:F,5,),"-")</f>
        <v>OFF</v>
      </c>
      <c r="I91" s="13" t="str">
        <f t="shared" si="33"/>
        <v>OFF</v>
      </c>
      <c r="J91" s="12">
        <f>IFERROR(VLOOKUP(A91,'Agent Sched'!B:G,6,),"-")</f>
        <v>0.66666666666666663</v>
      </c>
      <c r="K91" s="13">
        <f t="shared" si="34"/>
        <v>1.0416666666666665</v>
      </c>
      <c r="L91" s="12" t="str">
        <f>IFERROR(VLOOKUP(A91,'Agent Sched'!B:H,7,),"-")</f>
        <v>OFF</v>
      </c>
      <c r="M91" s="13" t="str">
        <f t="shared" si="35"/>
        <v>OFF</v>
      </c>
      <c r="N91" s="21">
        <f>IFERROR(VLOOKUP(A91,'Agent Sched'!B:I,8,),"-")</f>
        <v>0.66666666666666663</v>
      </c>
      <c r="O91" s="13">
        <f t="shared" si="36"/>
        <v>1.0416666666666665</v>
      </c>
      <c r="Q91" s="12">
        <f>VLOOKUP(A91,'Agent Sched'!B:Y,24,)</f>
        <v>0.66666666666666663</v>
      </c>
      <c r="R91" s="13">
        <f t="shared" si="37"/>
        <v>1.0416666666666665</v>
      </c>
      <c r="T91" s="25">
        <f>VLOOKUP(A91,'Agent Sched'!$B:$J,9,)</f>
        <v>0.66666666666666663</v>
      </c>
      <c r="U91" s="13">
        <f t="shared" si="38"/>
        <v>1.0416666666666665</v>
      </c>
      <c r="V91" s="12">
        <f>VLOOKUP(A91,'Agent Sched'!B:K,10,)</f>
        <v>0.66666666666666663</v>
      </c>
      <c r="W91" s="13">
        <f t="shared" si="39"/>
        <v>1.0416666666666665</v>
      </c>
      <c r="X91" s="12">
        <f>VLOOKUP(A91,'Agent Sched'!B:L,11,)</f>
        <v>0.66666666666666663</v>
      </c>
      <c r="Y91" s="13">
        <f t="shared" si="40"/>
        <v>1.0416666666666665</v>
      </c>
      <c r="Z91" s="12">
        <f>VLOOKUP(A91,'Agent Sched'!B:M,12,)</f>
        <v>0.66666666666666663</v>
      </c>
      <c r="AA91" s="13">
        <f t="shared" si="41"/>
        <v>1.0416666666666665</v>
      </c>
      <c r="AB91" s="12" t="str">
        <f>VLOOKUP(A91,'Agent Sched'!B:N,13,)</f>
        <v>OFF</v>
      </c>
      <c r="AC91" s="13" t="str">
        <f t="shared" si="42"/>
        <v>OFF</v>
      </c>
      <c r="AD91" s="12" t="str">
        <f>VLOOKUP(A91,'Agent Sched'!B:O,14,)</f>
        <v>OFF</v>
      </c>
      <c r="AE91" s="13" t="str">
        <f t="shared" si="43"/>
        <v>OFF</v>
      </c>
      <c r="AF91" s="21">
        <f>VLOOKUP(A91,'Agent Sched'!B:P,15,)</f>
        <v>0.66666666666666663</v>
      </c>
      <c r="AG91" s="13">
        <f t="shared" si="44"/>
        <v>1.0416666666666665</v>
      </c>
      <c r="AI91" s="25">
        <f>VLOOKUP(A91,'Agent Sched'!$B:$Q,16,)</f>
        <v>0.66666666666666663</v>
      </c>
      <c r="AJ91" s="13">
        <f t="shared" si="45"/>
        <v>1.0416666666666665</v>
      </c>
      <c r="AK91" s="12">
        <f>VLOOKUP(A91,'Agent Sched'!B:R,17,)</f>
        <v>0.66666666666666663</v>
      </c>
      <c r="AL91" s="13">
        <f t="shared" si="46"/>
        <v>1.0416666666666665</v>
      </c>
      <c r="AM91" s="12">
        <f>VLOOKUP(A91,'Agent Sched'!B:S,18,)</f>
        <v>0.66666666666666663</v>
      </c>
      <c r="AN91" s="13">
        <f t="shared" si="47"/>
        <v>1.0416666666666665</v>
      </c>
      <c r="AO91" s="12">
        <f>VLOOKUP(A91,'Agent Sched'!B:T,19,)</f>
        <v>0.66666666666666663</v>
      </c>
      <c r="AP91" s="13">
        <f t="shared" si="48"/>
        <v>1.0416666666666665</v>
      </c>
      <c r="AQ91" s="12" t="str">
        <f>VLOOKUP(A91,'Agent Sched'!B:U,20,)</f>
        <v>OFF</v>
      </c>
      <c r="AR91" s="13" t="str">
        <f t="shared" si="49"/>
        <v>OFF</v>
      </c>
      <c r="AS91" s="12" t="str">
        <f>VLOOKUP(A91,'Agent Sched'!B:V,21,)</f>
        <v>OFF</v>
      </c>
      <c r="AT91" s="13" t="str">
        <f t="shared" si="50"/>
        <v>OFF</v>
      </c>
      <c r="AU91" s="21">
        <f>VLOOKUP(A91,'Agent Sched'!B:W,22,)</f>
        <v>0.66666666666666663</v>
      </c>
      <c r="AV91" s="13">
        <f t="shared" si="51"/>
        <v>1.0416666666666665</v>
      </c>
    </row>
    <row r="92" spans="1:48" x14ac:dyDescent="0.25">
      <c r="A92" s="20" t="str">
        <f>'Agent Sched'!B93</f>
        <v>Fiona Joice Padilla</v>
      </c>
      <c r="B92" s="12">
        <f>IFERROR(VLOOKUP(A92,'Agent Sched'!$B:$C,2,),"-")</f>
        <v>0.66666666666666663</v>
      </c>
      <c r="C92" s="13">
        <f t="shared" si="30"/>
        <v>1.0416666666666665</v>
      </c>
      <c r="D92" s="12">
        <f>IFERROR(VLOOKUP(A92,'Agent Sched'!B:D,3,),"-")</f>
        <v>0.66666666666666663</v>
      </c>
      <c r="E92" s="13">
        <f t="shared" si="31"/>
        <v>1.0416666666666665</v>
      </c>
      <c r="F92" s="12">
        <f>IFERROR(VLOOKUP(A92,'Agent Sched'!B:E,4,),"-")</f>
        <v>0.66666666666666663</v>
      </c>
      <c r="G92" s="13">
        <f t="shared" si="32"/>
        <v>1.0416666666666665</v>
      </c>
      <c r="H92" s="12" t="str">
        <f>IFERROR(VLOOKUP(A92,'Agent Sched'!B:F,5,),"-")</f>
        <v>OFF</v>
      </c>
      <c r="I92" s="13" t="str">
        <f t="shared" si="33"/>
        <v>OFF</v>
      </c>
      <c r="J92" s="12">
        <f>IFERROR(VLOOKUP(A92,'Agent Sched'!B:G,6,),"-")</f>
        <v>0.66666666666666663</v>
      </c>
      <c r="K92" s="13">
        <f t="shared" si="34"/>
        <v>1.0416666666666665</v>
      </c>
      <c r="L92" s="12" t="str">
        <f>IFERROR(VLOOKUP(A92,'Agent Sched'!B:H,7,),"-")</f>
        <v>OFF</v>
      </c>
      <c r="M92" s="13" t="str">
        <f t="shared" si="35"/>
        <v>OFF</v>
      </c>
      <c r="N92" s="21">
        <f>IFERROR(VLOOKUP(A92,'Agent Sched'!B:I,8,),"-")</f>
        <v>0.66666666666666663</v>
      </c>
      <c r="O92" s="13">
        <f t="shared" si="36"/>
        <v>1.0416666666666665</v>
      </c>
      <c r="Q92" s="12">
        <f>VLOOKUP(A92,'Agent Sched'!B:Y,24,)</f>
        <v>0.66666666666666663</v>
      </c>
      <c r="R92" s="13">
        <f t="shared" si="37"/>
        <v>1.0416666666666665</v>
      </c>
      <c r="T92" s="25">
        <f>VLOOKUP(A92,'Agent Sched'!$B:$J,9,)</f>
        <v>0.66666666666666663</v>
      </c>
      <c r="U92" s="13">
        <f t="shared" si="38"/>
        <v>1.0416666666666665</v>
      </c>
      <c r="V92" s="12">
        <f>VLOOKUP(A92,'Agent Sched'!B:K,10,)</f>
        <v>0.66666666666666663</v>
      </c>
      <c r="W92" s="13">
        <f t="shared" si="39"/>
        <v>1.0416666666666665</v>
      </c>
      <c r="X92" s="12">
        <f>VLOOKUP(A92,'Agent Sched'!B:L,11,)</f>
        <v>0.66666666666666663</v>
      </c>
      <c r="Y92" s="13">
        <f t="shared" si="40"/>
        <v>1.0416666666666665</v>
      </c>
      <c r="Z92" s="12">
        <f>VLOOKUP(A92,'Agent Sched'!B:M,12,)</f>
        <v>0.66666666666666663</v>
      </c>
      <c r="AA92" s="13">
        <f t="shared" si="41"/>
        <v>1.0416666666666665</v>
      </c>
      <c r="AB92" s="12" t="str">
        <f>VLOOKUP(A92,'Agent Sched'!B:N,13,)</f>
        <v>OFF</v>
      </c>
      <c r="AC92" s="13" t="str">
        <f t="shared" si="42"/>
        <v>OFF</v>
      </c>
      <c r="AD92" s="12" t="str">
        <f>VLOOKUP(A92,'Agent Sched'!B:O,14,)</f>
        <v>OFF</v>
      </c>
      <c r="AE92" s="13" t="str">
        <f t="shared" si="43"/>
        <v>OFF</v>
      </c>
      <c r="AF92" s="21">
        <f>VLOOKUP(A92,'Agent Sched'!B:P,15,)</f>
        <v>0.66666666666666663</v>
      </c>
      <c r="AG92" s="13">
        <f t="shared" si="44"/>
        <v>1.0416666666666665</v>
      </c>
      <c r="AI92" s="25">
        <f>VLOOKUP(A92,'Agent Sched'!$B:$Q,16,)</f>
        <v>0.66666666666666663</v>
      </c>
      <c r="AJ92" s="13">
        <f t="shared" si="45"/>
        <v>1.0416666666666665</v>
      </c>
      <c r="AK92" s="12">
        <f>VLOOKUP(A92,'Agent Sched'!B:R,17,)</f>
        <v>0.66666666666666663</v>
      </c>
      <c r="AL92" s="13">
        <f t="shared" si="46"/>
        <v>1.0416666666666665</v>
      </c>
      <c r="AM92" s="12">
        <f>VLOOKUP(A92,'Agent Sched'!B:S,18,)</f>
        <v>0.66666666666666663</v>
      </c>
      <c r="AN92" s="13">
        <f t="shared" si="47"/>
        <v>1.0416666666666665</v>
      </c>
      <c r="AO92" s="12">
        <f>VLOOKUP(A92,'Agent Sched'!B:T,19,)</f>
        <v>0.66666666666666663</v>
      </c>
      <c r="AP92" s="13">
        <f t="shared" si="48"/>
        <v>1.0416666666666665</v>
      </c>
      <c r="AQ92" s="12" t="str">
        <f>VLOOKUP(A92,'Agent Sched'!B:U,20,)</f>
        <v>OFF</v>
      </c>
      <c r="AR92" s="13" t="str">
        <f t="shared" si="49"/>
        <v>OFF</v>
      </c>
      <c r="AS92" s="12" t="str">
        <f>VLOOKUP(A92,'Agent Sched'!B:V,21,)</f>
        <v>OFF</v>
      </c>
      <c r="AT92" s="13" t="str">
        <f t="shared" si="50"/>
        <v>OFF</v>
      </c>
      <c r="AU92" s="21">
        <f>VLOOKUP(A92,'Agent Sched'!B:W,22,)</f>
        <v>0.66666666666666663</v>
      </c>
      <c r="AV92" s="13">
        <f t="shared" si="51"/>
        <v>1.0416666666666665</v>
      </c>
    </row>
    <row r="93" spans="1:48" x14ac:dyDescent="0.25">
      <c r="A93" s="20" t="str">
        <f>'Agent Sched'!B94</f>
        <v>John Vincent Tio</v>
      </c>
      <c r="B93" s="12">
        <f>IFERROR(VLOOKUP(A93,'Agent Sched'!$B:$C,2,),"-")</f>
        <v>0.66666666666666663</v>
      </c>
      <c r="C93" s="13">
        <f t="shared" si="30"/>
        <v>1.0416666666666665</v>
      </c>
      <c r="D93" s="12">
        <f>IFERROR(VLOOKUP(A93,'Agent Sched'!B:D,3,),"-")</f>
        <v>0.66666666666666663</v>
      </c>
      <c r="E93" s="13">
        <f t="shared" si="31"/>
        <v>1.0416666666666665</v>
      </c>
      <c r="F93" s="12">
        <f>IFERROR(VLOOKUP(A93,'Agent Sched'!B:E,4,),"-")</f>
        <v>0.66666666666666663</v>
      </c>
      <c r="G93" s="13">
        <f t="shared" si="32"/>
        <v>1.0416666666666665</v>
      </c>
      <c r="H93" s="12" t="str">
        <f>IFERROR(VLOOKUP(A93,'Agent Sched'!B:F,5,),"-")</f>
        <v>OFF</v>
      </c>
      <c r="I93" s="13" t="str">
        <f t="shared" si="33"/>
        <v>OFF</v>
      </c>
      <c r="J93" s="12">
        <f>IFERROR(VLOOKUP(A93,'Agent Sched'!B:G,6,),"-")</f>
        <v>0.66666666666666663</v>
      </c>
      <c r="K93" s="13">
        <f t="shared" si="34"/>
        <v>1.0416666666666665</v>
      </c>
      <c r="L93" s="12" t="str">
        <f>IFERROR(VLOOKUP(A93,'Agent Sched'!B:H,7,),"-")</f>
        <v>OFF</v>
      </c>
      <c r="M93" s="13" t="str">
        <f t="shared" si="35"/>
        <v>OFF</v>
      </c>
      <c r="N93" s="21">
        <f>IFERROR(VLOOKUP(A93,'Agent Sched'!B:I,8,),"-")</f>
        <v>0.66666666666666663</v>
      </c>
      <c r="O93" s="13">
        <f t="shared" si="36"/>
        <v>1.0416666666666665</v>
      </c>
      <c r="Q93" s="12">
        <f>VLOOKUP(A93,'Agent Sched'!B:Y,24,)</f>
        <v>0.66666666666666663</v>
      </c>
      <c r="R93" s="13">
        <f t="shared" si="37"/>
        <v>1.0416666666666665</v>
      </c>
      <c r="T93" s="25">
        <f>VLOOKUP(A93,'Agent Sched'!$B:$J,9,)</f>
        <v>0.66666666666666663</v>
      </c>
      <c r="U93" s="13">
        <f t="shared" si="38"/>
        <v>1.0416666666666665</v>
      </c>
      <c r="V93" s="12">
        <f>VLOOKUP(A93,'Agent Sched'!B:K,10,)</f>
        <v>0.66666666666666663</v>
      </c>
      <c r="W93" s="13">
        <f t="shared" si="39"/>
        <v>1.0416666666666665</v>
      </c>
      <c r="X93" s="12">
        <f>VLOOKUP(A93,'Agent Sched'!B:L,11,)</f>
        <v>0.66666666666666663</v>
      </c>
      <c r="Y93" s="13">
        <f t="shared" si="40"/>
        <v>1.0416666666666665</v>
      </c>
      <c r="Z93" s="12">
        <f>VLOOKUP(A93,'Agent Sched'!B:M,12,)</f>
        <v>0.66666666666666663</v>
      </c>
      <c r="AA93" s="13">
        <f t="shared" si="41"/>
        <v>1.0416666666666665</v>
      </c>
      <c r="AB93" s="12" t="str">
        <f>VLOOKUP(A93,'Agent Sched'!B:N,13,)</f>
        <v>OFF</v>
      </c>
      <c r="AC93" s="13" t="str">
        <f t="shared" si="42"/>
        <v>OFF</v>
      </c>
      <c r="AD93" s="12" t="str">
        <f>VLOOKUP(A93,'Agent Sched'!B:O,14,)</f>
        <v>OFF</v>
      </c>
      <c r="AE93" s="13" t="str">
        <f t="shared" si="43"/>
        <v>OFF</v>
      </c>
      <c r="AF93" s="21">
        <f>VLOOKUP(A93,'Agent Sched'!B:P,15,)</f>
        <v>0.66666666666666663</v>
      </c>
      <c r="AG93" s="13">
        <f t="shared" si="44"/>
        <v>1.0416666666666665</v>
      </c>
      <c r="AI93" s="25">
        <f>VLOOKUP(A93,'Agent Sched'!$B:$Q,16,)</f>
        <v>0.66666666666666663</v>
      </c>
      <c r="AJ93" s="13">
        <f t="shared" si="45"/>
        <v>1.0416666666666665</v>
      </c>
      <c r="AK93" s="12">
        <f>VLOOKUP(A93,'Agent Sched'!B:R,17,)</f>
        <v>0.66666666666666663</v>
      </c>
      <c r="AL93" s="13">
        <f t="shared" si="46"/>
        <v>1.0416666666666665</v>
      </c>
      <c r="AM93" s="12">
        <f>VLOOKUP(A93,'Agent Sched'!B:S,18,)</f>
        <v>0.66666666666666663</v>
      </c>
      <c r="AN93" s="13">
        <f t="shared" si="47"/>
        <v>1.0416666666666665</v>
      </c>
      <c r="AO93" s="12">
        <f>VLOOKUP(A93,'Agent Sched'!B:T,19,)</f>
        <v>0.66666666666666663</v>
      </c>
      <c r="AP93" s="13">
        <f t="shared" si="48"/>
        <v>1.0416666666666665</v>
      </c>
      <c r="AQ93" s="12" t="str">
        <f>VLOOKUP(A93,'Agent Sched'!B:U,20,)</f>
        <v>OFF</v>
      </c>
      <c r="AR93" s="13" t="str">
        <f t="shared" si="49"/>
        <v>OFF</v>
      </c>
      <c r="AS93" s="12" t="str">
        <f>VLOOKUP(A93,'Agent Sched'!B:V,21,)</f>
        <v>OFF</v>
      </c>
      <c r="AT93" s="13" t="str">
        <f t="shared" si="50"/>
        <v>OFF</v>
      </c>
      <c r="AU93" s="21">
        <f>VLOOKUP(A93,'Agent Sched'!B:W,22,)</f>
        <v>0.66666666666666663</v>
      </c>
      <c r="AV93" s="13">
        <f t="shared" si="51"/>
        <v>1.0416666666666665</v>
      </c>
    </row>
    <row r="94" spans="1:48" x14ac:dyDescent="0.25">
      <c r="A94" s="20" t="str">
        <f>'Agent Sched'!B95</f>
        <v>Christine Jessa Barillo</v>
      </c>
      <c r="B94" s="12">
        <f>IFERROR(VLOOKUP(A94,'Agent Sched'!$B:$C,2,),"-")</f>
        <v>0.66666666666666663</v>
      </c>
      <c r="C94" s="13">
        <f t="shared" si="30"/>
        <v>1.0416666666666665</v>
      </c>
      <c r="D94" s="12">
        <f>IFERROR(VLOOKUP(A94,'Agent Sched'!B:D,3,),"-")</f>
        <v>0.66666666666666663</v>
      </c>
      <c r="E94" s="13">
        <f t="shared" si="31"/>
        <v>1.0416666666666665</v>
      </c>
      <c r="F94" s="12">
        <f>IFERROR(VLOOKUP(A94,'Agent Sched'!B:E,4,),"-")</f>
        <v>0.66666666666666663</v>
      </c>
      <c r="G94" s="13">
        <f t="shared" si="32"/>
        <v>1.0416666666666665</v>
      </c>
      <c r="H94" s="12" t="str">
        <f>IFERROR(VLOOKUP(A94,'Agent Sched'!B:F,5,),"-")</f>
        <v>OFF</v>
      </c>
      <c r="I94" s="13" t="str">
        <f t="shared" si="33"/>
        <v>OFF</v>
      </c>
      <c r="J94" s="12">
        <f>IFERROR(VLOOKUP(A94,'Agent Sched'!B:G,6,),"-")</f>
        <v>0.66666666666666663</v>
      </c>
      <c r="K94" s="13">
        <f t="shared" si="34"/>
        <v>1.0416666666666665</v>
      </c>
      <c r="L94" s="12" t="str">
        <f>IFERROR(VLOOKUP(A94,'Agent Sched'!B:H,7,),"-")</f>
        <v>OFF</v>
      </c>
      <c r="M94" s="13" t="str">
        <f t="shared" si="35"/>
        <v>OFF</v>
      </c>
      <c r="N94" s="21">
        <f>IFERROR(VLOOKUP(A94,'Agent Sched'!B:I,8,),"-")</f>
        <v>0.66666666666666663</v>
      </c>
      <c r="O94" s="13">
        <f t="shared" si="36"/>
        <v>1.0416666666666665</v>
      </c>
      <c r="Q94" s="12">
        <f>VLOOKUP(A94,'Agent Sched'!B:Y,24,)</f>
        <v>0.66666666666666663</v>
      </c>
      <c r="R94" s="13">
        <f t="shared" si="37"/>
        <v>1.0416666666666665</v>
      </c>
      <c r="T94" s="25">
        <f>VLOOKUP(A94,'Agent Sched'!$B:$J,9,)</f>
        <v>0.66666666666666663</v>
      </c>
      <c r="U94" s="13">
        <f t="shared" si="38"/>
        <v>1.0416666666666665</v>
      </c>
      <c r="V94" s="12">
        <f>VLOOKUP(A94,'Agent Sched'!B:K,10,)</f>
        <v>0.66666666666666663</v>
      </c>
      <c r="W94" s="13">
        <f t="shared" si="39"/>
        <v>1.0416666666666665</v>
      </c>
      <c r="X94" s="12">
        <f>VLOOKUP(A94,'Agent Sched'!B:L,11,)</f>
        <v>0.66666666666666663</v>
      </c>
      <c r="Y94" s="13">
        <f t="shared" si="40"/>
        <v>1.0416666666666665</v>
      </c>
      <c r="Z94" s="12">
        <f>VLOOKUP(A94,'Agent Sched'!B:M,12,)</f>
        <v>0.66666666666666663</v>
      </c>
      <c r="AA94" s="13">
        <f t="shared" si="41"/>
        <v>1.0416666666666665</v>
      </c>
      <c r="AB94" s="12" t="str">
        <f>VLOOKUP(A94,'Agent Sched'!B:N,13,)</f>
        <v>OFF</v>
      </c>
      <c r="AC94" s="13" t="str">
        <f t="shared" si="42"/>
        <v>OFF</v>
      </c>
      <c r="AD94" s="12" t="str">
        <f>VLOOKUP(A94,'Agent Sched'!B:O,14,)</f>
        <v>OFF</v>
      </c>
      <c r="AE94" s="13" t="str">
        <f t="shared" si="43"/>
        <v>OFF</v>
      </c>
      <c r="AF94" s="21">
        <f>VLOOKUP(A94,'Agent Sched'!B:P,15,)</f>
        <v>0.66666666666666663</v>
      </c>
      <c r="AG94" s="13">
        <f t="shared" si="44"/>
        <v>1.0416666666666665</v>
      </c>
      <c r="AI94" s="25">
        <f>VLOOKUP(A94,'Agent Sched'!$B:$Q,16,)</f>
        <v>0.66666666666666663</v>
      </c>
      <c r="AJ94" s="13">
        <f t="shared" si="45"/>
        <v>1.0416666666666665</v>
      </c>
      <c r="AK94" s="12">
        <f>VLOOKUP(A94,'Agent Sched'!B:R,17,)</f>
        <v>0.66666666666666663</v>
      </c>
      <c r="AL94" s="13">
        <f t="shared" si="46"/>
        <v>1.0416666666666665</v>
      </c>
      <c r="AM94" s="12">
        <f>VLOOKUP(A94,'Agent Sched'!B:S,18,)</f>
        <v>0.66666666666666663</v>
      </c>
      <c r="AN94" s="13">
        <f t="shared" si="47"/>
        <v>1.0416666666666665</v>
      </c>
      <c r="AO94" s="12">
        <f>VLOOKUP(A94,'Agent Sched'!B:T,19,)</f>
        <v>0.66666666666666663</v>
      </c>
      <c r="AP94" s="13">
        <f t="shared" si="48"/>
        <v>1.0416666666666665</v>
      </c>
      <c r="AQ94" s="12" t="str">
        <f>VLOOKUP(A94,'Agent Sched'!B:U,20,)</f>
        <v>OFF</v>
      </c>
      <c r="AR94" s="13" t="str">
        <f t="shared" si="49"/>
        <v>OFF</v>
      </c>
      <c r="AS94" s="12" t="str">
        <f>VLOOKUP(A94,'Agent Sched'!B:V,21,)</f>
        <v>OFF</v>
      </c>
      <c r="AT94" s="13" t="str">
        <f t="shared" si="50"/>
        <v>OFF</v>
      </c>
      <c r="AU94" s="21">
        <f>VLOOKUP(A94,'Agent Sched'!B:W,22,)</f>
        <v>0.66666666666666663</v>
      </c>
      <c r="AV94" s="13">
        <f t="shared" si="51"/>
        <v>1.0416666666666665</v>
      </c>
    </row>
    <row r="95" spans="1:48" x14ac:dyDescent="0.25">
      <c r="A95" s="20" t="str">
        <f>'Agent Sched'!B96</f>
        <v>Erika Teodore</v>
      </c>
      <c r="B95" s="12">
        <f>IFERROR(VLOOKUP(A95,'Agent Sched'!$B:$C,2,),"-")</f>
        <v>0.66666666666666663</v>
      </c>
      <c r="C95" s="13">
        <f t="shared" si="30"/>
        <v>1.0416666666666665</v>
      </c>
      <c r="D95" s="12">
        <f>IFERROR(VLOOKUP(A95,'Agent Sched'!B:D,3,),"-")</f>
        <v>0.66666666666666663</v>
      </c>
      <c r="E95" s="13">
        <f t="shared" si="31"/>
        <v>1.0416666666666665</v>
      </c>
      <c r="F95" s="12">
        <f>IFERROR(VLOOKUP(A95,'Agent Sched'!B:E,4,),"-")</f>
        <v>0.66666666666666663</v>
      </c>
      <c r="G95" s="13">
        <f t="shared" si="32"/>
        <v>1.0416666666666665</v>
      </c>
      <c r="H95" s="12" t="str">
        <f>IFERROR(VLOOKUP(A95,'Agent Sched'!B:F,5,),"-")</f>
        <v>OFF</v>
      </c>
      <c r="I95" s="13" t="str">
        <f t="shared" si="33"/>
        <v>OFF</v>
      </c>
      <c r="J95" s="12">
        <f>IFERROR(VLOOKUP(A95,'Agent Sched'!B:G,6,),"-")</f>
        <v>0.66666666666666663</v>
      </c>
      <c r="K95" s="13">
        <f t="shared" si="34"/>
        <v>1.0416666666666665</v>
      </c>
      <c r="L95" s="12" t="str">
        <f>IFERROR(VLOOKUP(A95,'Agent Sched'!B:H,7,),"-")</f>
        <v>OFF</v>
      </c>
      <c r="M95" s="13" t="str">
        <f t="shared" si="35"/>
        <v>OFF</v>
      </c>
      <c r="N95" s="21">
        <f>IFERROR(VLOOKUP(A95,'Agent Sched'!B:I,8,),"-")</f>
        <v>0.66666666666666663</v>
      </c>
      <c r="O95" s="13">
        <f t="shared" si="36"/>
        <v>1.0416666666666665</v>
      </c>
      <c r="Q95" s="12">
        <f>VLOOKUP(A95,'Agent Sched'!B:Y,24,)</f>
        <v>0.66666666666666663</v>
      </c>
      <c r="R95" s="13">
        <f t="shared" si="37"/>
        <v>1.0416666666666665</v>
      </c>
      <c r="T95" s="25">
        <f>VLOOKUP(A95,'Agent Sched'!$B:$J,9,)</f>
        <v>0.66666666666666663</v>
      </c>
      <c r="U95" s="13">
        <f t="shared" si="38"/>
        <v>1.0416666666666665</v>
      </c>
      <c r="V95" s="12">
        <f>VLOOKUP(A95,'Agent Sched'!B:K,10,)</f>
        <v>0.66666666666666663</v>
      </c>
      <c r="W95" s="13">
        <f t="shared" si="39"/>
        <v>1.0416666666666665</v>
      </c>
      <c r="X95" s="12">
        <f>VLOOKUP(A95,'Agent Sched'!B:L,11,)</f>
        <v>0.66666666666666663</v>
      </c>
      <c r="Y95" s="13">
        <f t="shared" si="40"/>
        <v>1.0416666666666665</v>
      </c>
      <c r="Z95" s="12">
        <f>VLOOKUP(A95,'Agent Sched'!B:M,12,)</f>
        <v>0.66666666666666663</v>
      </c>
      <c r="AA95" s="13">
        <f t="shared" si="41"/>
        <v>1.0416666666666665</v>
      </c>
      <c r="AB95" s="12" t="str">
        <f>VLOOKUP(A95,'Agent Sched'!B:N,13,)</f>
        <v>OFF</v>
      </c>
      <c r="AC95" s="13" t="str">
        <f t="shared" si="42"/>
        <v>OFF</v>
      </c>
      <c r="AD95" s="12" t="str">
        <f>VLOOKUP(A95,'Agent Sched'!B:O,14,)</f>
        <v>OFF</v>
      </c>
      <c r="AE95" s="13" t="str">
        <f t="shared" si="43"/>
        <v>OFF</v>
      </c>
      <c r="AF95" s="21">
        <f>VLOOKUP(A95,'Agent Sched'!B:P,15,)</f>
        <v>0.66666666666666663</v>
      </c>
      <c r="AG95" s="13">
        <f t="shared" si="44"/>
        <v>1.0416666666666665</v>
      </c>
      <c r="AI95" s="25">
        <f>VLOOKUP(A95,'Agent Sched'!$B:$Q,16,)</f>
        <v>0.66666666666666663</v>
      </c>
      <c r="AJ95" s="13">
        <f t="shared" si="45"/>
        <v>1.0416666666666665</v>
      </c>
      <c r="AK95" s="12">
        <f>VLOOKUP(A95,'Agent Sched'!B:R,17,)</f>
        <v>0.66666666666666663</v>
      </c>
      <c r="AL95" s="13">
        <f t="shared" si="46"/>
        <v>1.0416666666666665</v>
      </c>
      <c r="AM95" s="12">
        <f>VLOOKUP(A95,'Agent Sched'!B:S,18,)</f>
        <v>0.66666666666666663</v>
      </c>
      <c r="AN95" s="13">
        <f t="shared" si="47"/>
        <v>1.0416666666666665</v>
      </c>
      <c r="AO95" s="12">
        <f>VLOOKUP(A95,'Agent Sched'!B:T,19,)</f>
        <v>0.66666666666666663</v>
      </c>
      <c r="AP95" s="13">
        <f t="shared" si="48"/>
        <v>1.0416666666666665</v>
      </c>
      <c r="AQ95" s="12" t="str">
        <f>VLOOKUP(A95,'Agent Sched'!B:U,20,)</f>
        <v>OFF</v>
      </c>
      <c r="AR95" s="13" t="str">
        <f t="shared" si="49"/>
        <v>OFF</v>
      </c>
      <c r="AS95" s="12" t="str">
        <f>VLOOKUP(A95,'Agent Sched'!B:V,21,)</f>
        <v>OFF</v>
      </c>
      <c r="AT95" s="13" t="str">
        <f t="shared" si="50"/>
        <v>OFF</v>
      </c>
      <c r="AU95" s="21">
        <f>VLOOKUP(A95,'Agent Sched'!B:W,22,)</f>
        <v>0.66666666666666663</v>
      </c>
      <c r="AV95" s="13">
        <f t="shared" si="51"/>
        <v>1.0416666666666665</v>
      </c>
    </row>
    <row r="96" spans="1:48" x14ac:dyDescent="0.25">
      <c r="A96" s="20" t="str">
        <f>'Agent Sched'!B97</f>
        <v>Ella Mae Alvarez</v>
      </c>
      <c r="B96" s="12">
        <f>IFERROR(VLOOKUP(A96,'Agent Sched'!$B:$C,2,),"-")</f>
        <v>0.66666666666666663</v>
      </c>
      <c r="C96" s="13">
        <f t="shared" si="30"/>
        <v>1.0416666666666665</v>
      </c>
      <c r="D96" s="12">
        <f>IFERROR(VLOOKUP(A96,'Agent Sched'!B:D,3,),"-")</f>
        <v>0.66666666666666663</v>
      </c>
      <c r="E96" s="13">
        <f t="shared" si="31"/>
        <v>1.0416666666666665</v>
      </c>
      <c r="F96" s="12">
        <f>IFERROR(VLOOKUP(A96,'Agent Sched'!B:E,4,),"-")</f>
        <v>0.66666666666666663</v>
      </c>
      <c r="G96" s="13">
        <f t="shared" si="32"/>
        <v>1.0416666666666665</v>
      </c>
      <c r="H96" s="12" t="str">
        <f>IFERROR(VLOOKUP(A96,'Agent Sched'!B:F,5,),"-")</f>
        <v>OFF</v>
      </c>
      <c r="I96" s="13" t="str">
        <f t="shared" si="33"/>
        <v>OFF</v>
      </c>
      <c r="J96" s="12">
        <f>IFERROR(VLOOKUP(A96,'Agent Sched'!B:G,6,),"-")</f>
        <v>0.66666666666666663</v>
      </c>
      <c r="K96" s="13">
        <f t="shared" si="34"/>
        <v>1.0416666666666665</v>
      </c>
      <c r="L96" s="12" t="str">
        <f>IFERROR(VLOOKUP(A96,'Agent Sched'!B:H,7,),"-")</f>
        <v>OFF</v>
      </c>
      <c r="M96" s="13" t="str">
        <f t="shared" si="35"/>
        <v>OFF</v>
      </c>
      <c r="N96" s="21">
        <f>IFERROR(VLOOKUP(A96,'Agent Sched'!B:I,8,),"-")</f>
        <v>0.66666666666666663</v>
      </c>
      <c r="O96" s="13">
        <f t="shared" si="36"/>
        <v>1.0416666666666665</v>
      </c>
      <c r="Q96" s="12">
        <f>VLOOKUP(A96,'Agent Sched'!B:Y,24,)</f>
        <v>0.66666666666666663</v>
      </c>
      <c r="R96" s="13">
        <f t="shared" si="37"/>
        <v>1.0416666666666665</v>
      </c>
      <c r="T96" s="25">
        <f>VLOOKUP(A96,'Agent Sched'!$B:$J,9,)</f>
        <v>0.66666666666666663</v>
      </c>
      <c r="U96" s="13">
        <f t="shared" si="38"/>
        <v>1.0416666666666665</v>
      </c>
      <c r="V96" s="12">
        <f>VLOOKUP(A96,'Agent Sched'!B:K,10,)</f>
        <v>0.66666666666666663</v>
      </c>
      <c r="W96" s="13">
        <f t="shared" si="39"/>
        <v>1.0416666666666665</v>
      </c>
      <c r="X96" s="12">
        <f>VLOOKUP(A96,'Agent Sched'!B:L,11,)</f>
        <v>0.66666666666666663</v>
      </c>
      <c r="Y96" s="13">
        <f t="shared" si="40"/>
        <v>1.0416666666666665</v>
      </c>
      <c r="Z96" s="12">
        <f>VLOOKUP(A96,'Agent Sched'!B:M,12,)</f>
        <v>0.66666666666666663</v>
      </c>
      <c r="AA96" s="13">
        <f t="shared" si="41"/>
        <v>1.0416666666666665</v>
      </c>
      <c r="AB96" s="12" t="str">
        <f>VLOOKUP(A96,'Agent Sched'!B:N,13,)</f>
        <v>OFF</v>
      </c>
      <c r="AC96" s="13" t="str">
        <f t="shared" si="42"/>
        <v>OFF</v>
      </c>
      <c r="AD96" s="12" t="str">
        <f>VLOOKUP(A96,'Agent Sched'!B:O,14,)</f>
        <v>OFF</v>
      </c>
      <c r="AE96" s="13" t="str">
        <f t="shared" si="43"/>
        <v>OFF</v>
      </c>
      <c r="AF96" s="21">
        <f>VLOOKUP(A96,'Agent Sched'!B:P,15,)</f>
        <v>0.66666666666666663</v>
      </c>
      <c r="AG96" s="13">
        <f t="shared" si="44"/>
        <v>1.0416666666666665</v>
      </c>
      <c r="AI96" s="25">
        <f>VLOOKUP(A96,'Agent Sched'!$B:$Q,16,)</f>
        <v>0.66666666666666663</v>
      </c>
      <c r="AJ96" s="13">
        <f t="shared" si="45"/>
        <v>1.0416666666666665</v>
      </c>
      <c r="AK96" s="12">
        <f>VLOOKUP(A96,'Agent Sched'!B:R,17,)</f>
        <v>0.66666666666666663</v>
      </c>
      <c r="AL96" s="13">
        <f t="shared" si="46"/>
        <v>1.0416666666666665</v>
      </c>
      <c r="AM96" s="12">
        <f>VLOOKUP(A96,'Agent Sched'!B:S,18,)</f>
        <v>0.66666666666666663</v>
      </c>
      <c r="AN96" s="13">
        <f t="shared" si="47"/>
        <v>1.0416666666666665</v>
      </c>
      <c r="AO96" s="12">
        <f>VLOOKUP(A96,'Agent Sched'!B:T,19,)</f>
        <v>0.66666666666666663</v>
      </c>
      <c r="AP96" s="13">
        <f t="shared" si="48"/>
        <v>1.0416666666666665</v>
      </c>
      <c r="AQ96" s="12" t="str">
        <f>VLOOKUP(A96,'Agent Sched'!B:U,20,)</f>
        <v>OFF</v>
      </c>
      <c r="AR96" s="13" t="str">
        <f t="shared" si="49"/>
        <v>OFF</v>
      </c>
      <c r="AS96" s="12" t="str">
        <f>VLOOKUP(A96,'Agent Sched'!B:V,21,)</f>
        <v>OFF</v>
      </c>
      <c r="AT96" s="13" t="str">
        <f t="shared" si="50"/>
        <v>OFF</v>
      </c>
      <c r="AU96" s="21">
        <f>VLOOKUP(A96,'Agent Sched'!B:W,22,)</f>
        <v>0.66666666666666663</v>
      </c>
      <c r="AV96" s="13">
        <f t="shared" si="51"/>
        <v>1.0416666666666665</v>
      </c>
    </row>
    <row r="97" spans="1:48" x14ac:dyDescent="0.25">
      <c r="A97" s="20" t="str">
        <f>'Agent Sched'!B98</f>
        <v>Jared  Geduspan</v>
      </c>
      <c r="B97" s="12">
        <f>IFERROR(VLOOKUP(A97,'Agent Sched'!$B:$C,2,),"-")</f>
        <v>0.66666666666666663</v>
      </c>
      <c r="C97" s="13">
        <f t="shared" si="30"/>
        <v>1.0416666666666665</v>
      </c>
      <c r="D97" s="12">
        <f>IFERROR(VLOOKUP(A97,'Agent Sched'!B:D,3,),"-")</f>
        <v>0.66666666666666663</v>
      </c>
      <c r="E97" s="13">
        <f t="shared" si="31"/>
        <v>1.0416666666666665</v>
      </c>
      <c r="F97" s="12">
        <f>IFERROR(VLOOKUP(A97,'Agent Sched'!B:E,4,),"-")</f>
        <v>0.66666666666666663</v>
      </c>
      <c r="G97" s="13">
        <f t="shared" si="32"/>
        <v>1.0416666666666665</v>
      </c>
      <c r="H97" s="12" t="str">
        <f>IFERROR(VLOOKUP(A97,'Agent Sched'!B:F,5,),"-")</f>
        <v>OFF</v>
      </c>
      <c r="I97" s="13" t="str">
        <f t="shared" si="33"/>
        <v>OFF</v>
      </c>
      <c r="J97" s="12">
        <f>IFERROR(VLOOKUP(A97,'Agent Sched'!B:G,6,),"-")</f>
        <v>0.66666666666666663</v>
      </c>
      <c r="K97" s="13">
        <f t="shared" si="34"/>
        <v>1.0416666666666665</v>
      </c>
      <c r="L97" s="12" t="str">
        <f>IFERROR(VLOOKUP(A97,'Agent Sched'!B:H,7,),"-")</f>
        <v>OFF</v>
      </c>
      <c r="M97" s="13" t="str">
        <f t="shared" si="35"/>
        <v>OFF</v>
      </c>
      <c r="N97" s="21">
        <f>IFERROR(VLOOKUP(A97,'Agent Sched'!B:I,8,),"-")</f>
        <v>0.66666666666666663</v>
      </c>
      <c r="O97" s="13">
        <f t="shared" si="36"/>
        <v>1.0416666666666665</v>
      </c>
      <c r="Q97" s="12">
        <f>VLOOKUP(A97,'Agent Sched'!B:Y,24,)</f>
        <v>0.66666666666666663</v>
      </c>
      <c r="R97" s="13">
        <f t="shared" si="37"/>
        <v>1.0416666666666665</v>
      </c>
      <c r="T97" s="25">
        <f>VLOOKUP(A97,'Agent Sched'!$B:$J,9,)</f>
        <v>0.66666666666666663</v>
      </c>
      <c r="U97" s="13">
        <f t="shared" si="38"/>
        <v>1.0416666666666665</v>
      </c>
      <c r="V97" s="12">
        <f>VLOOKUP(A97,'Agent Sched'!B:K,10,)</f>
        <v>0.66666666666666663</v>
      </c>
      <c r="W97" s="13">
        <f t="shared" si="39"/>
        <v>1.0416666666666665</v>
      </c>
      <c r="X97" s="12">
        <f>VLOOKUP(A97,'Agent Sched'!B:L,11,)</f>
        <v>0.66666666666666663</v>
      </c>
      <c r="Y97" s="13">
        <f t="shared" si="40"/>
        <v>1.0416666666666665</v>
      </c>
      <c r="Z97" s="12">
        <f>VLOOKUP(A97,'Agent Sched'!B:M,12,)</f>
        <v>0.66666666666666663</v>
      </c>
      <c r="AA97" s="13">
        <f t="shared" si="41"/>
        <v>1.0416666666666665</v>
      </c>
      <c r="AB97" s="12" t="str">
        <f>VLOOKUP(A97,'Agent Sched'!B:N,13,)</f>
        <v>OFF</v>
      </c>
      <c r="AC97" s="13" t="str">
        <f t="shared" si="42"/>
        <v>OFF</v>
      </c>
      <c r="AD97" s="12" t="str">
        <f>VLOOKUP(A97,'Agent Sched'!B:O,14,)</f>
        <v>OFF</v>
      </c>
      <c r="AE97" s="13" t="str">
        <f t="shared" si="43"/>
        <v>OFF</v>
      </c>
      <c r="AF97" s="21">
        <f>VLOOKUP(A97,'Agent Sched'!B:P,15,)</f>
        <v>0.66666666666666663</v>
      </c>
      <c r="AG97" s="13">
        <f t="shared" si="44"/>
        <v>1.0416666666666665</v>
      </c>
      <c r="AI97" s="25">
        <f>VLOOKUP(A97,'Agent Sched'!$B:$Q,16,)</f>
        <v>0.66666666666666663</v>
      </c>
      <c r="AJ97" s="13">
        <f t="shared" si="45"/>
        <v>1.0416666666666665</v>
      </c>
      <c r="AK97" s="12">
        <f>VLOOKUP(A97,'Agent Sched'!B:R,17,)</f>
        <v>0.66666666666666663</v>
      </c>
      <c r="AL97" s="13">
        <f t="shared" si="46"/>
        <v>1.0416666666666665</v>
      </c>
      <c r="AM97" s="12">
        <f>VLOOKUP(A97,'Agent Sched'!B:S,18,)</f>
        <v>0.66666666666666663</v>
      </c>
      <c r="AN97" s="13">
        <f t="shared" si="47"/>
        <v>1.0416666666666665</v>
      </c>
      <c r="AO97" s="12">
        <f>VLOOKUP(A97,'Agent Sched'!B:T,19,)</f>
        <v>0.66666666666666663</v>
      </c>
      <c r="AP97" s="13">
        <f t="shared" si="48"/>
        <v>1.0416666666666665</v>
      </c>
      <c r="AQ97" s="12" t="str">
        <f>VLOOKUP(A97,'Agent Sched'!B:U,20,)</f>
        <v>OFF</v>
      </c>
      <c r="AR97" s="13" t="str">
        <f t="shared" si="49"/>
        <v>OFF</v>
      </c>
      <c r="AS97" s="12" t="str">
        <f>VLOOKUP(A97,'Agent Sched'!B:V,21,)</f>
        <v>OFF</v>
      </c>
      <c r="AT97" s="13" t="str">
        <f t="shared" si="50"/>
        <v>OFF</v>
      </c>
      <c r="AU97" s="21">
        <f>VLOOKUP(A97,'Agent Sched'!B:W,22,)</f>
        <v>0.66666666666666663</v>
      </c>
      <c r="AV97" s="13">
        <f t="shared" si="51"/>
        <v>1.0416666666666665</v>
      </c>
    </row>
    <row r="98" spans="1:48" x14ac:dyDescent="0.25">
      <c r="A98" s="20" t="str">
        <f>'Agent Sched'!B99</f>
        <v>Jaudian Kenneth Ian</v>
      </c>
      <c r="B98" s="12">
        <f>IFERROR(VLOOKUP(A98,'Agent Sched'!$B:$C,2,),"-")</f>
        <v>0.66666666666666663</v>
      </c>
      <c r="C98" s="13">
        <f t="shared" si="30"/>
        <v>1.0416666666666665</v>
      </c>
      <c r="D98" s="12">
        <f>IFERROR(VLOOKUP(A98,'Agent Sched'!B:D,3,),"-")</f>
        <v>0.66666666666666663</v>
      </c>
      <c r="E98" s="13">
        <f t="shared" si="31"/>
        <v>1.0416666666666665</v>
      </c>
      <c r="F98" s="12">
        <f>IFERROR(VLOOKUP(A98,'Agent Sched'!B:E,4,),"-")</f>
        <v>0.66666666666666663</v>
      </c>
      <c r="G98" s="13">
        <f t="shared" si="32"/>
        <v>1.0416666666666665</v>
      </c>
      <c r="H98" s="12" t="str">
        <f>IFERROR(VLOOKUP(A98,'Agent Sched'!B:F,5,),"-")</f>
        <v>OFF</v>
      </c>
      <c r="I98" s="13" t="str">
        <f t="shared" si="33"/>
        <v>OFF</v>
      </c>
      <c r="J98" s="12">
        <f>IFERROR(VLOOKUP(A98,'Agent Sched'!B:G,6,),"-")</f>
        <v>0.66666666666666663</v>
      </c>
      <c r="K98" s="13">
        <f t="shared" si="34"/>
        <v>1.0416666666666665</v>
      </c>
      <c r="L98" s="12" t="str">
        <f>IFERROR(VLOOKUP(A98,'Agent Sched'!B:H,7,),"-")</f>
        <v>OFF</v>
      </c>
      <c r="M98" s="13" t="str">
        <f t="shared" si="35"/>
        <v>OFF</v>
      </c>
      <c r="N98" s="21">
        <f>IFERROR(VLOOKUP(A98,'Agent Sched'!B:I,8,),"-")</f>
        <v>0.66666666666666663</v>
      </c>
      <c r="O98" s="13">
        <f t="shared" si="36"/>
        <v>1.0416666666666665</v>
      </c>
      <c r="Q98" s="12">
        <f>VLOOKUP(A98,'Agent Sched'!B:Y,24,)</f>
        <v>0.66666666666666663</v>
      </c>
      <c r="R98" s="13">
        <f t="shared" si="37"/>
        <v>1.0416666666666665</v>
      </c>
      <c r="T98" s="25">
        <f>VLOOKUP(A98,'Agent Sched'!$B:$J,9,)</f>
        <v>0.66666666666666663</v>
      </c>
      <c r="U98" s="13">
        <f t="shared" si="38"/>
        <v>1.0416666666666665</v>
      </c>
      <c r="V98" s="12">
        <f>VLOOKUP(A98,'Agent Sched'!B:K,10,)</f>
        <v>0.66666666666666663</v>
      </c>
      <c r="W98" s="13">
        <f t="shared" si="39"/>
        <v>1.0416666666666665</v>
      </c>
      <c r="X98" s="12">
        <f>VLOOKUP(A98,'Agent Sched'!B:L,11,)</f>
        <v>0.66666666666666663</v>
      </c>
      <c r="Y98" s="13">
        <f t="shared" si="40"/>
        <v>1.0416666666666665</v>
      </c>
      <c r="Z98" s="12">
        <f>VLOOKUP(A98,'Agent Sched'!B:M,12,)</f>
        <v>0.66666666666666663</v>
      </c>
      <c r="AA98" s="13">
        <f t="shared" si="41"/>
        <v>1.0416666666666665</v>
      </c>
      <c r="AB98" s="12" t="str">
        <f>VLOOKUP(A98,'Agent Sched'!B:N,13,)</f>
        <v>OFF</v>
      </c>
      <c r="AC98" s="13" t="str">
        <f t="shared" si="42"/>
        <v>OFF</v>
      </c>
      <c r="AD98" s="12" t="str">
        <f>VLOOKUP(A98,'Agent Sched'!B:O,14,)</f>
        <v>OFF</v>
      </c>
      <c r="AE98" s="13" t="str">
        <f t="shared" si="43"/>
        <v>OFF</v>
      </c>
      <c r="AF98" s="21">
        <f>VLOOKUP(A98,'Agent Sched'!B:P,15,)</f>
        <v>0.66666666666666663</v>
      </c>
      <c r="AG98" s="13">
        <f t="shared" si="44"/>
        <v>1.0416666666666665</v>
      </c>
      <c r="AI98" s="25">
        <f>VLOOKUP(A98,'Agent Sched'!$B:$Q,16,)</f>
        <v>0.66666666666666663</v>
      </c>
      <c r="AJ98" s="13">
        <f t="shared" si="45"/>
        <v>1.0416666666666665</v>
      </c>
      <c r="AK98" s="12">
        <f>VLOOKUP(A98,'Agent Sched'!B:R,17,)</f>
        <v>0.66666666666666663</v>
      </c>
      <c r="AL98" s="13">
        <f t="shared" si="46"/>
        <v>1.0416666666666665</v>
      </c>
      <c r="AM98" s="12">
        <f>VLOOKUP(A98,'Agent Sched'!B:S,18,)</f>
        <v>0.66666666666666663</v>
      </c>
      <c r="AN98" s="13">
        <f t="shared" si="47"/>
        <v>1.0416666666666665</v>
      </c>
      <c r="AO98" s="12">
        <f>VLOOKUP(A98,'Agent Sched'!B:T,19,)</f>
        <v>0.66666666666666663</v>
      </c>
      <c r="AP98" s="13">
        <f t="shared" si="48"/>
        <v>1.0416666666666665</v>
      </c>
      <c r="AQ98" s="12" t="str">
        <f>VLOOKUP(A98,'Agent Sched'!B:U,20,)</f>
        <v>OFF</v>
      </c>
      <c r="AR98" s="13" t="str">
        <f t="shared" si="49"/>
        <v>OFF</v>
      </c>
      <c r="AS98" s="12" t="str">
        <f>VLOOKUP(A98,'Agent Sched'!B:V,21,)</f>
        <v>OFF</v>
      </c>
      <c r="AT98" s="13" t="str">
        <f t="shared" si="50"/>
        <v>OFF</v>
      </c>
      <c r="AU98" s="21">
        <f>VLOOKUP(A98,'Agent Sched'!B:W,22,)</f>
        <v>0.66666666666666663</v>
      </c>
      <c r="AV98" s="13">
        <f t="shared" si="51"/>
        <v>1.0416666666666665</v>
      </c>
    </row>
    <row r="99" spans="1:48" x14ac:dyDescent="0.25">
      <c r="A99" s="20" t="str">
        <f>'Agent Sched'!B100</f>
        <v>Regina Angelica Duguran</v>
      </c>
      <c r="B99" s="12">
        <f>IFERROR(VLOOKUP(A99,'Agent Sched'!$B:$C,2,),"-")</f>
        <v>0.66666666666666663</v>
      </c>
      <c r="C99" s="13">
        <f t="shared" si="30"/>
        <v>1.0416666666666665</v>
      </c>
      <c r="D99" s="12">
        <f>IFERROR(VLOOKUP(A99,'Agent Sched'!B:D,3,),"-")</f>
        <v>0.66666666666666663</v>
      </c>
      <c r="E99" s="13">
        <f t="shared" si="31"/>
        <v>1.0416666666666665</v>
      </c>
      <c r="F99" s="12">
        <f>IFERROR(VLOOKUP(A99,'Agent Sched'!B:E,4,),"-")</f>
        <v>0.66666666666666663</v>
      </c>
      <c r="G99" s="13">
        <f t="shared" si="32"/>
        <v>1.0416666666666665</v>
      </c>
      <c r="H99" s="12" t="str">
        <f>IFERROR(VLOOKUP(A99,'Agent Sched'!B:F,5,),"-")</f>
        <v>OFF</v>
      </c>
      <c r="I99" s="13" t="str">
        <f t="shared" si="33"/>
        <v>OFF</v>
      </c>
      <c r="J99" s="12">
        <f>IFERROR(VLOOKUP(A99,'Agent Sched'!B:G,6,),"-")</f>
        <v>0.66666666666666663</v>
      </c>
      <c r="K99" s="13">
        <f t="shared" si="34"/>
        <v>1.0416666666666665</v>
      </c>
      <c r="L99" s="12" t="str">
        <f>IFERROR(VLOOKUP(A99,'Agent Sched'!B:H,7,),"-")</f>
        <v>OFF</v>
      </c>
      <c r="M99" s="13" t="str">
        <f t="shared" si="35"/>
        <v>OFF</v>
      </c>
      <c r="N99" s="21">
        <f>IFERROR(VLOOKUP(A99,'Agent Sched'!B:I,8,),"-")</f>
        <v>0.66666666666666663</v>
      </c>
      <c r="O99" s="13">
        <f t="shared" si="36"/>
        <v>1.0416666666666665</v>
      </c>
      <c r="Q99" s="12">
        <f>VLOOKUP(A99,'Agent Sched'!B:Y,24,)</f>
        <v>0.66666666666666663</v>
      </c>
      <c r="R99" s="13">
        <f t="shared" si="37"/>
        <v>1.0416666666666665</v>
      </c>
      <c r="T99" s="25">
        <f>VLOOKUP(A99,'Agent Sched'!$B:$J,9,)</f>
        <v>0.66666666666666663</v>
      </c>
      <c r="U99" s="13">
        <f t="shared" si="38"/>
        <v>1.0416666666666665</v>
      </c>
      <c r="V99" s="12">
        <f>VLOOKUP(A99,'Agent Sched'!B:K,10,)</f>
        <v>0.66666666666666663</v>
      </c>
      <c r="W99" s="13">
        <f t="shared" si="39"/>
        <v>1.0416666666666665</v>
      </c>
      <c r="X99" s="12">
        <f>VLOOKUP(A99,'Agent Sched'!B:L,11,)</f>
        <v>0.66666666666666663</v>
      </c>
      <c r="Y99" s="13">
        <f t="shared" si="40"/>
        <v>1.0416666666666665</v>
      </c>
      <c r="Z99" s="12">
        <f>VLOOKUP(A99,'Agent Sched'!B:M,12,)</f>
        <v>0.66666666666666663</v>
      </c>
      <c r="AA99" s="13">
        <f t="shared" si="41"/>
        <v>1.0416666666666665</v>
      </c>
      <c r="AB99" s="12" t="str">
        <f>VLOOKUP(A99,'Agent Sched'!B:N,13,)</f>
        <v>OFF</v>
      </c>
      <c r="AC99" s="13" t="str">
        <f t="shared" si="42"/>
        <v>OFF</v>
      </c>
      <c r="AD99" s="12" t="str">
        <f>VLOOKUP(A99,'Agent Sched'!B:O,14,)</f>
        <v>OFF</v>
      </c>
      <c r="AE99" s="13" t="str">
        <f t="shared" si="43"/>
        <v>OFF</v>
      </c>
      <c r="AF99" s="21">
        <f>VLOOKUP(A99,'Agent Sched'!B:P,15,)</f>
        <v>0.66666666666666663</v>
      </c>
      <c r="AG99" s="13">
        <f t="shared" si="44"/>
        <v>1.0416666666666665</v>
      </c>
      <c r="AI99" s="25">
        <f>VLOOKUP(A99,'Agent Sched'!$B:$Q,16,)</f>
        <v>0.66666666666666663</v>
      </c>
      <c r="AJ99" s="13">
        <f t="shared" si="45"/>
        <v>1.0416666666666665</v>
      </c>
      <c r="AK99" s="12">
        <f>VLOOKUP(A99,'Agent Sched'!B:R,17,)</f>
        <v>0.66666666666666663</v>
      </c>
      <c r="AL99" s="13">
        <f t="shared" si="46"/>
        <v>1.0416666666666665</v>
      </c>
      <c r="AM99" s="12">
        <f>VLOOKUP(A99,'Agent Sched'!B:S,18,)</f>
        <v>0.66666666666666663</v>
      </c>
      <c r="AN99" s="13">
        <f t="shared" si="47"/>
        <v>1.0416666666666665</v>
      </c>
      <c r="AO99" s="12">
        <f>VLOOKUP(A99,'Agent Sched'!B:T,19,)</f>
        <v>0.66666666666666663</v>
      </c>
      <c r="AP99" s="13">
        <f t="shared" si="48"/>
        <v>1.0416666666666665</v>
      </c>
      <c r="AQ99" s="12" t="str">
        <f>VLOOKUP(A99,'Agent Sched'!B:U,20,)</f>
        <v>OFF</v>
      </c>
      <c r="AR99" s="13" t="str">
        <f t="shared" si="49"/>
        <v>OFF</v>
      </c>
      <c r="AS99" s="12" t="str">
        <f>VLOOKUP(A99,'Agent Sched'!B:V,21,)</f>
        <v>OFF</v>
      </c>
      <c r="AT99" s="13" t="str">
        <f t="shared" si="50"/>
        <v>OFF</v>
      </c>
      <c r="AU99" s="21">
        <f>VLOOKUP(A99,'Agent Sched'!B:W,22,)</f>
        <v>0.66666666666666663</v>
      </c>
      <c r="AV99" s="13">
        <f t="shared" si="51"/>
        <v>1.0416666666666665</v>
      </c>
    </row>
    <row r="100" spans="1:48" x14ac:dyDescent="0.25">
      <c r="A100" s="20" t="str">
        <f>'Agent Sched'!B101</f>
        <v>Annie Lyn  Dormido</v>
      </c>
      <c r="B100" s="12" t="str">
        <f>IFERROR(VLOOKUP(A100,'Agent Sched'!$B:$C,2,),"-")</f>
        <v>OFF</v>
      </c>
      <c r="C100" s="13" t="str">
        <f t="shared" si="30"/>
        <v>OFF</v>
      </c>
      <c r="D100" s="12" t="str">
        <f>IFERROR(VLOOKUP(A100,'Agent Sched'!B:D,3,),"-")</f>
        <v>OFF</v>
      </c>
      <c r="E100" s="13" t="str">
        <f t="shared" si="31"/>
        <v>OFF</v>
      </c>
      <c r="F100" s="12" t="str">
        <f>IFERROR(VLOOKUP(A100,'Agent Sched'!B:E,4,),"-")</f>
        <v>OFF</v>
      </c>
      <c r="G100" s="13" t="str">
        <f t="shared" si="32"/>
        <v>OFF</v>
      </c>
      <c r="H100" s="12">
        <f>IFERROR(VLOOKUP(A100,'Agent Sched'!B:F,5,),"-")</f>
        <v>0.66666666666666663</v>
      </c>
      <c r="I100" s="13">
        <f t="shared" si="33"/>
        <v>1.0416666666666665</v>
      </c>
      <c r="J100" s="12" t="str">
        <f>IFERROR(VLOOKUP(A100,'Agent Sched'!B:G,6,),"-")</f>
        <v>OFF</v>
      </c>
      <c r="K100" s="13" t="str">
        <f t="shared" si="34"/>
        <v>OFF</v>
      </c>
      <c r="L100" s="12">
        <f>IFERROR(VLOOKUP(A100,'Agent Sched'!B:H,7,),"-")</f>
        <v>0.66666666666666663</v>
      </c>
      <c r="M100" s="13">
        <f t="shared" si="35"/>
        <v>1.0416666666666665</v>
      </c>
      <c r="N100" s="21">
        <f>IFERROR(VLOOKUP(A100,'Agent Sched'!B:I,8,),"-")</f>
        <v>0.66666666666666663</v>
      </c>
      <c r="O100" s="13">
        <f t="shared" si="36"/>
        <v>1.0416666666666665</v>
      </c>
      <c r="Q100" s="12" t="str">
        <f>VLOOKUP(A100,'Agent Sched'!B:Y,24,)</f>
        <v>OFF</v>
      </c>
      <c r="R100" s="13" t="str">
        <f t="shared" si="37"/>
        <v>OFF</v>
      </c>
      <c r="T100" s="25" t="str">
        <f>VLOOKUP(A100,'Agent Sched'!$B:$J,9,)</f>
        <v>OFF</v>
      </c>
      <c r="U100" s="13" t="str">
        <f t="shared" si="38"/>
        <v>OFF</v>
      </c>
      <c r="V100" s="12">
        <f>VLOOKUP(A100,'Agent Sched'!B:K,10,)</f>
        <v>0.66666666666666663</v>
      </c>
      <c r="W100" s="13">
        <f t="shared" si="39"/>
        <v>1.0416666666666665</v>
      </c>
      <c r="X100" s="12">
        <f>VLOOKUP(A100,'Agent Sched'!B:L,11,)</f>
        <v>0.66666666666666663</v>
      </c>
      <c r="Y100" s="13">
        <f t="shared" si="40"/>
        <v>1.0416666666666665</v>
      </c>
      <c r="Z100" s="12">
        <f>VLOOKUP(A100,'Agent Sched'!B:M,12,)</f>
        <v>0.66666666666666663</v>
      </c>
      <c r="AA100" s="13">
        <f t="shared" si="41"/>
        <v>1.0416666666666665</v>
      </c>
      <c r="AB100" s="12" t="str">
        <f>VLOOKUP(A100,'Agent Sched'!B:N,13,)</f>
        <v>OFF</v>
      </c>
      <c r="AC100" s="13" t="str">
        <f t="shared" si="42"/>
        <v>OFF</v>
      </c>
      <c r="AD100" s="12">
        <f>VLOOKUP(A100,'Agent Sched'!B:O,14,)</f>
        <v>0.66666666666666663</v>
      </c>
      <c r="AE100" s="13">
        <f t="shared" si="43"/>
        <v>1.0416666666666665</v>
      </c>
      <c r="AF100" s="21">
        <f>VLOOKUP(A100,'Agent Sched'!B:P,15,)</f>
        <v>0.66666666666666663</v>
      </c>
      <c r="AG100" s="13">
        <f t="shared" si="44"/>
        <v>1.0416666666666665</v>
      </c>
      <c r="AI100" s="25" t="str">
        <f>VLOOKUP(A100,'Agent Sched'!$B:$Q,16,)</f>
        <v>OFF</v>
      </c>
      <c r="AJ100" s="13" t="str">
        <f t="shared" si="45"/>
        <v>OFF</v>
      </c>
      <c r="AK100" s="12">
        <f>VLOOKUP(A100,'Agent Sched'!B:R,17,)</f>
        <v>0.66666666666666663</v>
      </c>
      <c r="AL100" s="13">
        <f t="shared" si="46"/>
        <v>1.0416666666666665</v>
      </c>
      <c r="AM100" s="12">
        <f>VLOOKUP(A100,'Agent Sched'!B:S,18,)</f>
        <v>0.66666666666666663</v>
      </c>
      <c r="AN100" s="13">
        <f t="shared" si="47"/>
        <v>1.0416666666666665</v>
      </c>
      <c r="AO100" s="12">
        <f>VLOOKUP(A100,'Agent Sched'!B:T,19,)</f>
        <v>0.66666666666666663</v>
      </c>
      <c r="AP100" s="13">
        <f t="shared" si="48"/>
        <v>1.0416666666666665</v>
      </c>
      <c r="AQ100" s="12" t="str">
        <f>VLOOKUP(A100,'Agent Sched'!B:U,20,)</f>
        <v>OFF</v>
      </c>
      <c r="AR100" s="13" t="str">
        <f t="shared" si="49"/>
        <v>OFF</v>
      </c>
      <c r="AS100" s="12">
        <f>VLOOKUP(A100,'Agent Sched'!B:V,21,)</f>
        <v>0.66666666666666663</v>
      </c>
      <c r="AT100" s="13">
        <f t="shared" si="50"/>
        <v>1.0416666666666665</v>
      </c>
      <c r="AU100" s="21">
        <f>VLOOKUP(A100,'Agent Sched'!B:W,22,)</f>
        <v>0.66666666666666663</v>
      </c>
      <c r="AV100" s="13">
        <f t="shared" si="51"/>
        <v>1.0416666666666665</v>
      </c>
    </row>
    <row r="101" spans="1:48" x14ac:dyDescent="0.25">
      <c r="A101" s="20" t="str">
        <f>'Agent Sched'!B102</f>
        <v>Lolette Annie Escobido</v>
      </c>
      <c r="B101" s="12">
        <f>IFERROR(VLOOKUP(A101,'Agent Sched'!$B:$C,2,),"-")</f>
        <v>0.66666666666666663</v>
      </c>
      <c r="C101" s="13">
        <f t="shared" si="30"/>
        <v>1.0416666666666665</v>
      </c>
      <c r="D101" s="12">
        <f>IFERROR(VLOOKUP(A101,'Agent Sched'!B:D,3,),"-")</f>
        <v>0.66666666666666663</v>
      </c>
      <c r="E101" s="13">
        <f t="shared" si="31"/>
        <v>1.0416666666666665</v>
      </c>
      <c r="F101" s="12">
        <f>IFERROR(VLOOKUP(A101,'Agent Sched'!B:E,4,),"-")</f>
        <v>0.66666666666666663</v>
      </c>
      <c r="G101" s="13">
        <f t="shared" si="32"/>
        <v>1.0416666666666665</v>
      </c>
      <c r="H101" s="12" t="str">
        <f>IFERROR(VLOOKUP(A101,'Agent Sched'!B:F,5,),"-")</f>
        <v>OFF</v>
      </c>
      <c r="I101" s="13" t="str">
        <f t="shared" si="33"/>
        <v>OFF</v>
      </c>
      <c r="J101" s="12">
        <f>IFERROR(VLOOKUP(A101,'Agent Sched'!B:G,6,),"-")</f>
        <v>0.66666666666666663</v>
      </c>
      <c r="K101" s="13">
        <f t="shared" si="34"/>
        <v>1.0416666666666665</v>
      </c>
      <c r="L101" s="12" t="str">
        <f>IFERROR(VLOOKUP(A101,'Agent Sched'!B:H,7,),"-")</f>
        <v>OFF</v>
      </c>
      <c r="M101" s="13" t="str">
        <f t="shared" si="35"/>
        <v>OFF</v>
      </c>
      <c r="N101" s="21">
        <f>IFERROR(VLOOKUP(A101,'Agent Sched'!B:I,8,),"-")</f>
        <v>0.66666666666666663</v>
      </c>
      <c r="O101" s="13">
        <f t="shared" si="36"/>
        <v>1.0416666666666665</v>
      </c>
      <c r="Q101" s="12">
        <f>VLOOKUP(A101,'Agent Sched'!B:Y,24,)</f>
        <v>0.66666666666666663</v>
      </c>
      <c r="R101" s="13">
        <f t="shared" si="37"/>
        <v>1.0416666666666665</v>
      </c>
      <c r="T101" s="25">
        <f>VLOOKUP(A101,'Agent Sched'!$B:$J,9,)</f>
        <v>0.66666666666666663</v>
      </c>
      <c r="U101" s="13">
        <f t="shared" si="38"/>
        <v>1.0416666666666665</v>
      </c>
      <c r="V101" s="12">
        <f>VLOOKUP(A101,'Agent Sched'!B:K,10,)</f>
        <v>0.66666666666666663</v>
      </c>
      <c r="W101" s="13">
        <f t="shared" si="39"/>
        <v>1.0416666666666665</v>
      </c>
      <c r="X101" s="12">
        <f>VLOOKUP(A101,'Agent Sched'!B:L,11,)</f>
        <v>0.66666666666666663</v>
      </c>
      <c r="Y101" s="13">
        <f t="shared" si="40"/>
        <v>1.0416666666666665</v>
      </c>
      <c r="Z101" s="12">
        <f>VLOOKUP(A101,'Agent Sched'!B:M,12,)</f>
        <v>0.66666666666666663</v>
      </c>
      <c r="AA101" s="13">
        <f t="shared" si="41"/>
        <v>1.0416666666666665</v>
      </c>
      <c r="AB101" s="12" t="str">
        <f>VLOOKUP(A101,'Agent Sched'!B:N,13,)</f>
        <v>OFF</v>
      </c>
      <c r="AC101" s="13" t="str">
        <f t="shared" si="42"/>
        <v>OFF</v>
      </c>
      <c r="AD101" s="12" t="str">
        <f>VLOOKUP(A101,'Agent Sched'!B:O,14,)</f>
        <v>OFF</v>
      </c>
      <c r="AE101" s="13" t="str">
        <f t="shared" si="43"/>
        <v>OFF</v>
      </c>
      <c r="AF101" s="21">
        <f>VLOOKUP(A101,'Agent Sched'!B:P,15,)</f>
        <v>0.66666666666666663</v>
      </c>
      <c r="AG101" s="13">
        <f t="shared" si="44"/>
        <v>1.0416666666666665</v>
      </c>
      <c r="AI101" s="25">
        <f>VLOOKUP(A101,'Agent Sched'!$B:$Q,16,)</f>
        <v>0.66666666666666663</v>
      </c>
      <c r="AJ101" s="13">
        <f t="shared" si="45"/>
        <v>1.0416666666666665</v>
      </c>
      <c r="AK101" s="12">
        <f>VLOOKUP(A101,'Agent Sched'!B:R,17,)</f>
        <v>0.66666666666666663</v>
      </c>
      <c r="AL101" s="13">
        <f t="shared" si="46"/>
        <v>1.0416666666666665</v>
      </c>
      <c r="AM101" s="12">
        <f>VLOOKUP(A101,'Agent Sched'!B:S,18,)</f>
        <v>0.66666666666666663</v>
      </c>
      <c r="AN101" s="13">
        <f t="shared" si="47"/>
        <v>1.0416666666666665</v>
      </c>
      <c r="AO101" s="12">
        <f>VLOOKUP(A101,'Agent Sched'!B:T,19,)</f>
        <v>0.66666666666666663</v>
      </c>
      <c r="AP101" s="13">
        <f t="shared" si="48"/>
        <v>1.0416666666666665</v>
      </c>
      <c r="AQ101" s="12" t="str">
        <f>VLOOKUP(A101,'Agent Sched'!B:U,20,)</f>
        <v>OFF</v>
      </c>
      <c r="AR101" s="13" t="str">
        <f t="shared" si="49"/>
        <v>OFF</v>
      </c>
      <c r="AS101" s="12" t="str">
        <f>VLOOKUP(A101,'Agent Sched'!B:V,21,)</f>
        <v>OFF</v>
      </c>
      <c r="AT101" s="13" t="str">
        <f t="shared" si="50"/>
        <v>OFF</v>
      </c>
      <c r="AU101" s="21">
        <f>VLOOKUP(A101,'Agent Sched'!B:W,22,)</f>
        <v>0.66666666666666663</v>
      </c>
      <c r="AV101" s="13">
        <f t="shared" si="51"/>
        <v>1.0416666666666665</v>
      </c>
    </row>
    <row r="102" spans="1:48" x14ac:dyDescent="0.25">
      <c r="A102" s="20" t="str">
        <f>'Agent Sched'!B103</f>
        <v>Delia de la Torre</v>
      </c>
      <c r="B102" s="12">
        <f>IFERROR(VLOOKUP(A102,'Agent Sched'!$B:$C,2,),"-")</f>
        <v>0.66666666666666663</v>
      </c>
      <c r="C102" s="13">
        <f t="shared" si="30"/>
        <v>1.0416666666666665</v>
      </c>
      <c r="D102" s="12">
        <f>IFERROR(VLOOKUP(A102,'Agent Sched'!B:D,3,),"-")</f>
        <v>0.66666666666666663</v>
      </c>
      <c r="E102" s="13">
        <f t="shared" si="31"/>
        <v>1.0416666666666665</v>
      </c>
      <c r="F102" s="12">
        <f>IFERROR(VLOOKUP(A102,'Agent Sched'!B:E,4,),"-")</f>
        <v>0.66666666666666663</v>
      </c>
      <c r="G102" s="13">
        <f t="shared" si="32"/>
        <v>1.0416666666666665</v>
      </c>
      <c r="H102" s="12" t="str">
        <f>IFERROR(VLOOKUP(A102,'Agent Sched'!B:F,5,),"-")</f>
        <v>OFF</v>
      </c>
      <c r="I102" s="13" t="str">
        <f t="shared" si="33"/>
        <v>OFF</v>
      </c>
      <c r="J102" s="12">
        <f>IFERROR(VLOOKUP(A102,'Agent Sched'!B:G,6,),"-")</f>
        <v>0.66666666666666663</v>
      </c>
      <c r="K102" s="13">
        <f t="shared" si="34"/>
        <v>1.0416666666666665</v>
      </c>
      <c r="L102" s="12" t="str">
        <f>IFERROR(VLOOKUP(A102,'Agent Sched'!B:H,7,),"-")</f>
        <v>OFF</v>
      </c>
      <c r="M102" s="13" t="str">
        <f t="shared" si="35"/>
        <v>OFF</v>
      </c>
      <c r="N102" s="21">
        <f>IFERROR(VLOOKUP(A102,'Agent Sched'!B:I,8,),"-")</f>
        <v>0.66666666666666663</v>
      </c>
      <c r="O102" s="13">
        <f t="shared" si="36"/>
        <v>1.0416666666666665</v>
      </c>
      <c r="Q102" s="12">
        <f>VLOOKUP(A102,'Agent Sched'!B:Y,24,)</f>
        <v>0.66666666666666663</v>
      </c>
      <c r="R102" s="13">
        <f t="shared" si="37"/>
        <v>1.0416666666666665</v>
      </c>
      <c r="T102" s="25">
        <f>VLOOKUP(A102,'Agent Sched'!$B:$J,9,)</f>
        <v>0.66666666666666663</v>
      </c>
      <c r="U102" s="13">
        <f t="shared" si="38"/>
        <v>1.0416666666666665</v>
      </c>
      <c r="V102" s="12">
        <f>VLOOKUP(A102,'Agent Sched'!B:K,10,)</f>
        <v>0.66666666666666663</v>
      </c>
      <c r="W102" s="13">
        <f t="shared" si="39"/>
        <v>1.0416666666666665</v>
      </c>
      <c r="X102" s="12">
        <f>VLOOKUP(A102,'Agent Sched'!B:L,11,)</f>
        <v>0.66666666666666663</v>
      </c>
      <c r="Y102" s="13">
        <f t="shared" si="40"/>
        <v>1.0416666666666665</v>
      </c>
      <c r="Z102" s="12">
        <f>VLOOKUP(A102,'Agent Sched'!B:M,12,)</f>
        <v>0.66666666666666663</v>
      </c>
      <c r="AA102" s="13">
        <f t="shared" si="41"/>
        <v>1.0416666666666665</v>
      </c>
      <c r="AB102" s="12" t="str">
        <f>VLOOKUP(A102,'Agent Sched'!B:N,13,)</f>
        <v>OFF</v>
      </c>
      <c r="AC102" s="13" t="str">
        <f t="shared" si="42"/>
        <v>OFF</v>
      </c>
      <c r="AD102" s="12" t="str">
        <f>VLOOKUP(A102,'Agent Sched'!B:O,14,)</f>
        <v>OFF</v>
      </c>
      <c r="AE102" s="13" t="str">
        <f t="shared" si="43"/>
        <v>OFF</v>
      </c>
      <c r="AF102" s="21">
        <f>VLOOKUP(A102,'Agent Sched'!B:P,15,)</f>
        <v>0.66666666666666663</v>
      </c>
      <c r="AG102" s="13">
        <f t="shared" si="44"/>
        <v>1.0416666666666665</v>
      </c>
      <c r="AI102" s="25">
        <f>VLOOKUP(A102,'Agent Sched'!$B:$Q,16,)</f>
        <v>0.66666666666666663</v>
      </c>
      <c r="AJ102" s="13">
        <f t="shared" si="45"/>
        <v>1.0416666666666665</v>
      </c>
      <c r="AK102" s="12">
        <f>VLOOKUP(A102,'Agent Sched'!B:R,17,)</f>
        <v>0.66666666666666663</v>
      </c>
      <c r="AL102" s="13">
        <f t="shared" si="46"/>
        <v>1.0416666666666665</v>
      </c>
      <c r="AM102" s="12">
        <f>VLOOKUP(A102,'Agent Sched'!B:S,18,)</f>
        <v>0.66666666666666663</v>
      </c>
      <c r="AN102" s="13">
        <f t="shared" si="47"/>
        <v>1.0416666666666665</v>
      </c>
      <c r="AO102" s="12">
        <f>VLOOKUP(A102,'Agent Sched'!B:T,19,)</f>
        <v>0.66666666666666663</v>
      </c>
      <c r="AP102" s="13">
        <f t="shared" si="48"/>
        <v>1.0416666666666665</v>
      </c>
      <c r="AQ102" s="12" t="str">
        <f>VLOOKUP(A102,'Agent Sched'!B:U,20,)</f>
        <v>OFF</v>
      </c>
      <c r="AR102" s="13" t="str">
        <f t="shared" si="49"/>
        <v>OFF</v>
      </c>
      <c r="AS102" s="12" t="str">
        <f>VLOOKUP(A102,'Agent Sched'!B:V,21,)</f>
        <v>OFF</v>
      </c>
      <c r="AT102" s="13" t="str">
        <f t="shared" si="50"/>
        <v>OFF</v>
      </c>
      <c r="AU102" s="21">
        <f>VLOOKUP(A102,'Agent Sched'!B:W,22,)</f>
        <v>0.66666666666666663</v>
      </c>
      <c r="AV102" s="13">
        <f t="shared" si="51"/>
        <v>1.0416666666666665</v>
      </c>
    </row>
    <row r="103" spans="1:48" x14ac:dyDescent="0.25">
      <c r="A103" s="20" t="str">
        <f>'Agent Sched'!B104</f>
        <v>Giline Javellana</v>
      </c>
      <c r="B103" s="12">
        <f>IFERROR(VLOOKUP(A103,'Agent Sched'!$B:$C,2,),"-")</f>
        <v>0.625</v>
      </c>
      <c r="C103" s="13">
        <f t="shared" si="30"/>
        <v>1</v>
      </c>
      <c r="D103" s="12">
        <f>IFERROR(VLOOKUP(A103,'Agent Sched'!B:D,3,),"-")</f>
        <v>0.625</v>
      </c>
      <c r="E103" s="13">
        <f t="shared" si="31"/>
        <v>1</v>
      </c>
      <c r="F103" s="12" t="str">
        <f>IFERROR(VLOOKUP(A103,'Agent Sched'!B:E,4,),"-")</f>
        <v>OFF</v>
      </c>
      <c r="G103" s="13" t="str">
        <f t="shared" si="32"/>
        <v>OFF</v>
      </c>
      <c r="H103" s="12">
        <f>IFERROR(VLOOKUP(A103,'Agent Sched'!B:F,5,),"-")</f>
        <v>0.625</v>
      </c>
      <c r="I103" s="13">
        <f t="shared" si="33"/>
        <v>1</v>
      </c>
      <c r="J103" s="12">
        <f>IFERROR(VLOOKUP(A103,'Agent Sched'!B:G,6,),"-")</f>
        <v>0.625</v>
      </c>
      <c r="K103" s="13">
        <f t="shared" si="34"/>
        <v>1</v>
      </c>
      <c r="L103" s="12">
        <f>IFERROR(VLOOKUP(A103,'Agent Sched'!B:H,7,),"-")</f>
        <v>0.625</v>
      </c>
      <c r="M103" s="13">
        <f t="shared" si="35"/>
        <v>1</v>
      </c>
      <c r="N103" s="21" t="str">
        <f>IFERROR(VLOOKUP(A103,'Agent Sched'!B:I,8,),"-")</f>
        <v>OFF</v>
      </c>
      <c r="O103" s="13" t="str">
        <f t="shared" si="36"/>
        <v>OFF</v>
      </c>
      <c r="Q103" s="12">
        <f>VLOOKUP(A103,'Agent Sched'!B:Y,24,)</f>
        <v>0.625</v>
      </c>
      <c r="R103" s="13">
        <f t="shared" si="37"/>
        <v>1</v>
      </c>
      <c r="T103" s="25" t="str">
        <f>VLOOKUP(A103,'Agent Sched'!$B:$J,9,)</f>
        <v>OFF</v>
      </c>
      <c r="U103" s="13" t="str">
        <f t="shared" si="38"/>
        <v>OFF</v>
      </c>
      <c r="V103" s="12">
        <f>VLOOKUP(A103,'Agent Sched'!B:K,10,)</f>
        <v>0.625</v>
      </c>
      <c r="W103" s="13">
        <f t="shared" si="39"/>
        <v>1</v>
      </c>
      <c r="X103" s="12">
        <f>VLOOKUP(A103,'Agent Sched'!B:L,11,)</f>
        <v>0.625</v>
      </c>
      <c r="Y103" s="13">
        <f t="shared" si="40"/>
        <v>1</v>
      </c>
      <c r="Z103" s="12">
        <f>VLOOKUP(A103,'Agent Sched'!B:M,12,)</f>
        <v>0.625</v>
      </c>
      <c r="AA103" s="13">
        <f t="shared" si="41"/>
        <v>1</v>
      </c>
      <c r="AB103" s="12">
        <f>VLOOKUP(A103,'Agent Sched'!B:N,13,)</f>
        <v>0.625</v>
      </c>
      <c r="AC103" s="13">
        <f t="shared" si="42"/>
        <v>1</v>
      </c>
      <c r="AD103" s="12">
        <f>VLOOKUP(A103,'Agent Sched'!B:O,14,)</f>
        <v>0.625</v>
      </c>
      <c r="AE103" s="13">
        <f t="shared" si="43"/>
        <v>1</v>
      </c>
      <c r="AF103" s="21" t="str">
        <f>VLOOKUP(A103,'Agent Sched'!B:P,15,)</f>
        <v>OFF</v>
      </c>
      <c r="AG103" s="13" t="str">
        <f t="shared" si="44"/>
        <v>OFF</v>
      </c>
      <c r="AI103" s="25" t="str">
        <f>VLOOKUP(A103,'Agent Sched'!$B:$Q,16,)</f>
        <v>OFF</v>
      </c>
      <c r="AJ103" s="13" t="str">
        <f t="shared" si="45"/>
        <v>OFF</v>
      </c>
      <c r="AK103" s="12">
        <f>VLOOKUP(A103,'Agent Sched'!B:R,17,)</f>
        <v>0.625</v>
      </c>
      <c r="AL103" s="13">
        <f t="shared" si="46"/>
        <v>1</v>
      </c>
      <c r="AM103" s="12">
        <f>VLOOKUP(A103,'Agent Sched'!B:S,18,)</f>
        <v>0.625</v>
      </c>
      <c r="AN103" s="13">
        <f t="shared" si="47"/>
        <v>1</v>
      </c>
      <c r="AO103" s="12">
        <f>VLOOKUP(A103,'Agent Sched'!B:T,19,)</f>
        <v>0.625</v>
      </c>
      <c r="AP103" s="13">
        <f t="shared" si="48"/>
        <v>1</v>
      </c>
      <c r="AQ103" s="12">
        <f>VLOOKUP(A103,'Agent Sched'!B:U,20,)</f>
        <v>0.625</v>
      </c>
      <c r="AR103" s="13">
        <f t="shared" si="49"/>
        <v>1</v>
      </c>
      <c r="AS103" s="12">
        <f>VLOOKUP(A103,'Agent Sched'!B:V,21,)</f>
        <v>0.625</v>
      </c>
      <c r="AT103" s="13">
        <f t="shared" si="50"/>
        <v>1</v>
      </c>
      <c r="AU103" s="21" t="str">
        <f>VLOOKUP(A103,'Agent Sched'!B:W,22,)</f>
        <v>OFF</v>
      </c>
      <c r="AV103" s="13" t="str">
        <f t="shared" si="51"/>
        <v>OFF</v>
      </c>
    </row>
    <row r="104" spans="1:48" ht="15.75" thickBot="1" x14ac:dyDescent="0.3">
      <c r="A104" s="20"/>
      <c r="B104" s="12"/>
      <c r="C104" s="13"/>
      <c r="D104" s="12"/>
      <c r="E104" s="13"/>
      <c r="F104" s="12"/>
      <c r="G104" s="13"/>
      <c r="H104" s="12"/>
      <c r="I104" s="13"/>
      <c r="J104" s="12"/>
      <c r="K104" s="13"/>
      <c r="L104" s="12"/>
      <c r="M104" s="13"/>
      <c r="N104" s="21"/>
      <c r="O104" s="13"/>
      <c r="Q104" s="12"/>
      <c r="R104" s="13"/>
      <c r="T104" s="26"/>
      <c r="U104" s="13"/>
      <c r="V104" s="22"/>
      <c r="W104" s="13"/>
      <c r="X104" s="22"/>
      <c r="Y104" s="13"/>
      <c r="Z104" s="22"/>
      <c r="AA104" s="13"/>
      <c r="AB104" s="22"/>
      <c r="AC104" s="13"/>
      <c r="AD104" s="22"/>
      <c r="AE104" s="13"/>
      <c r="AF104" s="24"/>
      <c r="AG104" s="13"/>
      <c r="AI104" s="26"/>
      <c r="AJ104" s="13"/>
      <c r="AK104" s="22"/>
      <c r="AL104" s="13"/>
      <c r="AM104" s="22"/>
      <c r="AN104" s="13"/>
      <c r="AO104" s="22"/>
      <c r="AP104" s="13"/>
      <c r="AQ104" s="22"/>
      <c r="AR104" s="13"/>
      <c r="AS104" s="22"/>
      <c r="AT104" s="13"/>
      <c r="AU104" s="24"/>
      <c r="AV104" s="13"/>
    </row>
    <row r="105" spans="1:48" ht="15.75" thickBot="1" x14ac:dyDescent="0.3">
      <c r="A105" s="20"/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21"/>
      <c r="O105" s="13"/>
      <c r="Q105" s="12"/>
      <c r="R105" s="13"/>
      <c r="T105" s="26"/>
      <c r="U105" s="13"/>
      <c r="V105" s="22"/>
      <c r="W105" s="13"/>
      <c r="X105" s="22"/>
      <c r="Y105" s="13"/>
      <c r="Z105" s="22"/>
      <c r="AA105" s="13"/>
      <c r="AB105" s="22"/>
      <c r="AC105" s="13"/>
      <c r="AD105" s="22"/>
      <c r="AE105" s="13"/>
      <c r="AF105" s="24"/>
      <c r="AG105" s="13"/>
      <c r="AI105" s="26"/>
      <c r="AJ105" s="13"/>
      <c r="AK105" s="22"/>
      <c r="AL105" s="13"/>
      <c r="AM105" s="22"/>
      <c r="AN105" s="13"/>
      <c r="AO105" s="22"/>
      <c r="AP105" s="13"/>
      <c r="AQ105" s="22"/>
      <c r="AR105" s="13"/>
      <c r="AS105" s="22"/>
      <c r="AT105" s="13"/>
      <c r="AU105" s="24"/>
      <c r="AV105" s="13"/>
    </row>
    <row r="106" spans="1:48" ht="15.75" thickBot="1" x14ac:dyDescent="0.3">
      <c r="A106" s="20"/>
      <c r="B106" s="12"/>
      <c r="C106" s="13"/>
      <c r="D106" s="12"/>
      <c r="E106" s="13"/>
      <c r="F106" s="12"/>
      <c r="G106" s="13"/>
      <c r="H106" s="12"/>
      <c r="I106" s="13"/>
      <c r="J106" s="12"/>
      <c r="K106" s="13"/>
      <c r="L106" s="12"/>
      <c r="M106" s="13"/>
      <c r="N106" s="21"/>
      <c r="O106" s="13"/>
      <c r="Q106" s="12"/>
      <c r="R106" s="13"/>
      <c r="T106" s="26"/>
      <c r="U106" s="13"/>
      <c r="V106" s="22"/>
      <c r="W106" s="13"/>
      <c r="X106" s="22"/>
      <c r="Y106" s="13"/>
      <c r="Z106" s="22"/>
      <c r="AA106" s="13"/>
      <c r="AB106" s="22"/>
      <c r="AC106" s="13"/>
      <c r="AD106" s="22"/>
      <c r="AE106" s="13"/>
      <c r="AF106" s="24"/>
      <c r="AG106" s="13"/>
      <c r="AI106" s="26"/>
      <c r="AJ106" s="13"/>
      <c r="AK106" s="22"/>
      <c r="AL106" s="13"/>
      <c r="AM106" s="22"/>
      <c r="AN106" s="13"/>
      <c r="AO106" s="22"/>
      <c r="AP106" s="13"/>
      <c r="AQ106" s="22"/>
      <c r="AR106" s="13"/>
      <c r="AS106" s="22"/>
      <c r="AT106" s="13"/>
      <c r="AU106" s="24"/>
      <c r="AV106" s="13"/>
    </row>
    <row r="107" spans="1:48" ht="15.75" thickBot="1" x14ac:dyDescent="0.3">
      <c r="A107" s="20"/>
      <c r="B107" s="12"/>
      <c r="C107" s="13"/>
      <c r="D107" s="12"/>
      <c r="E107" s="13"/>
      <c r="F107" s="12"/>
      <c r="G107" s="13"/>
      <c r="H107" s="12"/>
      <c r="I107" s="13"/>
      <c r="J107" s="12"/>
      <c r="K107" s="13"/>
      <c r="L107" s="12"/>
      <c r="M107" s="13"/>
      <c r="N107" s="21"/>
      <c r="O107" s="13"/>
      <c r="Q107" s="12"/>
      <c r="R107" s="13"/>
      <c r="T107" s="26"/>
      <c r="U107" s="13"/>
      <c r="V107" s="22"/>
      <c r="W107" s="13"/>
      <c r="X107" s="22"/>
      <c r="Y107" s="13"/>
      <c r="Z107" s="22"/>
      <c r="AA107" s="13"/>
      <c r="AB107" s="22"/>
      <c r="AC107" s="13"/>
      <c r="AD107" s="22"/>
      <c r="AE107" s="13"/>
      <c r="AF107" s="24"/>
      <c r="AG107" s="13"/>
      <c r="AI107" s="26"/>
      <c r="AJ107" s="13"/>
      <c r="AK107" s="22"/>
      <c r="AL107" s="13"/>
      <c r="AM107" s="22"/>
      <c r="AN107" s="13"/>
      <c r="AO107" s="22"/>
      <c r="AP107" s="13"/>
      <c r="AQ107" s="22"/>
      <c r="AR107" s="13"/>
      <c r="AS107" s="22"/>
      <c r="AT107" s="13"/>
      <c r="AU107" s="24"/>
      <c r="AV107" s="13"/>
    </row>
    <row r="108" spans="1:48" ht="15.75" thickBot="1" x14ac:dyDescent="0.3">
      <c r="A108" s="20"/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21"/>
      <c r="O108" s="13"/>
      <c r="Q108" s="12"/>
      <c r="R108" s="13"/>
      <c r="T108" s="26"/>
      <c r="U108" s="13"/>
      <c r="V108" s="22"/>
      <c r="W108" s="13"/>
      <c r="X108" s="22"/>
      <c r="Y108" s="13"/>
      <c r="Z108" s="22"/>
      <c r="AA108" s="13"/>
      <c r="AB108" s="22"/>
      <c r="AC108" s="13"/>
      <c r="AD108" s="22"/>
      <c r="AE108" s="13"/>
      <c r="AF108" s="24"/>
      <c r="AG108" s="13"/>
      <c r="AI108" s="26"/>
      <c r="AJ108" s="13"/>
      <c r="AK108" s="22"/>
      <c r="AL108" s="13"/>
      <c r="AM108" s="22"/>
      <c r="AN108" s="13"/>
      <c r="AO108" s="22"/>
      <c r="AP108" s="13"/>
      <c r="AQ108" s="22"/>
      <c r="AR108" s="13"/>
      <c r="AS108" s="22"/>
      <c r="AT108" s="13"/>
      <c r="AU108" s="24"/>
      <c r="AV108" s="13"/>
    </row>
    <row r="109" spans="1:48" ht="15.75" thickBot="1" x14ac:dyDescent="0.3">
      <c r="A109" s="20"/>
      <c r="B109" s="12"/>
      <c r="C109" s="13"/>
      <c r="D109" s="12"/>
      <c r="E109" s="13"/>
      <c r="F109" s="12"/>
      <c r="G109" s="13"/>
      <c r="H109" s="12"/>
      <c r="I109" s="13"/>
      <c r="J109" s="12"/>
      <c r="K109" s="13"/>
      <c r="L109" s="12"/>
      <c r="M109" s="13"/>
      <c r="N109" s="21"/>
      <c r="O109" s="13"/>
      <c r="Q109" s="12"/>
      <c r="R109" s="13"/>
      <c r="T109" s="26"/>
      <c r="U109" s="13"/>
      <c r="V109" s="22"/>
      <c r="W109" s="13"/>
      <c r="X109" s="22"/>
      <c r="Y109" s="13"/>
      <c r="Z109" s="22"/>
      <c r="AA109" s="13"/>
      <c r="AB109" s="22"/>
      <c r="AC109" s="13"/>
      <c r="AD109" s="22"/>
      <c r="AE109" s="13"/>
      <c r="AF109" s="24"/>
      <c r="AG109" s="13"/>
      <c r="AI109" s="26"/>
      <c r="AJ109" s="13"/>
      <c r="AK109" s="22"/>
      <c r="AL109" s="13"/>
      <c r="AM109" s="22"/>
      <c r="AN109" s="13"/>
      <c r="AO109" s="22"/>
      <c r="AP109" s="13"/>
      <c r="AQ109" s="22"/>
      <c r="AR109" s="13"/>
      <c r="AS109" s="22"/>
      <c r="AT109" s="13"/>
      <c r="AU109" s="24"/>
      <c r="AV109" s="13"/>
    </row>
    <row r="110" spans="1:48" ht="15.75" thickBot="1" x14ac:dyDescent="0.3">
      <c r="A110" s="20"/>
      <c r="B110" s="12"/>
      <c r="C110" s="13"/>
      <c r="D110" s="12"/>
      <c r="E110" s="13"/>
      <c r="F110" s="12"/>
      <c r="G110" s="13"/>
      <c r="H110" s="12"/>
      <c r="I110" s="13"/>
      <c r="J110" s="12"/>
      <c r="K110" s="13"/>
      <c r="L110" s="12"/>
      <c r="M110" s="13"/>
      <c r="N110" s="21"/>
      <c r="O110" s="13"/>
      <c r="Q110" s="12"/>
      <c r="R110" s="13"/>
      <c r="T110" s="26"/>
      <c r="U110" s="13"/>
      <c r="V110" s="22"/>
      <c r="W110" s="13"/>
      <c r="X110" s="22"/>
      <c r="Y110" s="13"/>
      <c r="Z110" s="22"/>
      <c r="AA110" s="13"/>
      <c r="AB110" s="22"/>
      <c r="AC110" s="13"/>
      <c r="AD110" s="22"/>
      <c r="AE110" s="13"/>
      <c r="AF110" s="24"/>
      <c r="AG110" s="13"/>
      <c r="AI110" s="26"/>
      <c r="AJ110" s="13"/>
      <c r="AK110" s="22"/>
      <c r="AL110" s="13"/>
      <c r="AM110" s="22"/>
      <c r="AN110" s="13"/>
      <c r="AO110" s="22"/>
      <c r="AP110" s="13"/>
      <c r="AQ110" s="22"/>
      <c r="AR110" s="13"/>
      <c r="AS110" s="22"/>
      <c r="AT110" s="13"/>
      <c r="AU110" s="24"/>
      <c r="AV110" s="13"/>
    </row>
    <row r="111" spans="1:48" ht="15.75" thickBot="1" x14ac:dyDescent="0.3">
      <c r="A111" s="20"/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21"/>
      <c r="O111" s="13"/>
      <c r="Q111" s="12"/>
      <c r="R111" s="13"/>
      <c r="T111" s="26"/>
      <c r="U111" s="13"/>
      <c r="V111" s="22"/>
      <c r="W111" s="13"/>
      <c r="X111" s="22"/>
      <c r="Y111" s="13"/>
      <c r="Z111" s="22"/>
      <c r="AA111" s="13"/>
      <c r="AB111" s="22"/>
      <c r="AC111" s="13"/>
      <c r="AD111" s="22"/>
      <c r="AE111" s="13"/>
      <c r="AF111" s="24"/>
      <c r="AG111" s="13"/>
      <c r="AI111" s="26"/>
      <c r="AJ111" s="13"/>
      <c r="AK111" s="22"/>
      <c r="AL111" s="13"/>
      <c r="AM111" s="22"/>
      <c r="AN111" s="13"/>
      <c r="AO111" s="22"/>
      <c r="AP111" s="13"/>
      <c r="AQ111" s="22"/>
      <c r="AR111" s="13"/>
      <c r="AS111" s="22"/>
      <c r="AT111" s="13"/>
      <c r="AU111" s="24"/>
      <c r="AV111" s="13"/>
    </row>
    <row r="112" spans="1:48" ht="15.75" thickBot="1" x14ac:dyDescent="0.3">
      <c r="A112" s="20"/>
      <c r="B112" s="12"/>
      <c r="C112" s="13"/>
      <c r="D112" s="12"/>
      <c r="E112" s="13"/>
      <c r="F112" s="12"/>
      <c r="G112" s="13"/>
      <c r="H112" s="12"/>
      <c r="I112" s="13"/>
      <c r="J112" s="12"/>
      <c r="K112" s="13"/>
      <c r="L112" s="12"/>
      <c r="M112" s="13"/>
      <c r="N112" s="21"/>
      <c r="O112" s="13"/>
      <c r="Q112" s="12"/>
      <c r="R112" s="13"/>
      <c r="T112" s="26"/>
      <c r="U112" s="13"/>
      <c r="V112" s="22"/>
      <c r="W112" s="13"/>
      <c r="X112" s="22"/>
      <c r="Y112" s="13"/>
      <c r="Z112" s="22"/>
      <c r="AA112" s="13"/>
      <c r="AB112" s="22"/>
      <c r="AC112" s="13"/>
      <c r="AD112" s="22"/>
      <c r="AE112" s="13"/>
      <c r="AF112" s="24"/>
      <c r="AG112" s="13"/>
      <c r="AI112" s="26"/>
      <c r="AJ112" s="13"/>
      <c r="AK112" s="22"/>
      <c r="AL112" s="13"/>
      <c r="AM112" s="22"/>
      <c r="AN112" s="13"/>
      <c r="AO112" s="22"/>
      <c r="AP112" s="13"/>
      <c r="AQ112" s="22"/>
      <c r="AR112" s="13"/>
      <c r="AS112" s="22"/>
      <c r="AT112" s="13"/>
      <c r="AU112" s="24"/>
      <c r="AV112" s="13"/>
    </row>
    <row r="113" spans="1:48" ht="15.75" thickBot="1" x14ac:dyDescent="0.3">
      <c r="A113" s="20"/>
      <c r="B113" s="12"/>
      <c r="C113" s="13"/>
      <c r="D113" s="12"/>
      <c r="E113" s="13"/>
      <c r="F113" s="12"/>
      <c r="G113" s="13"/>
      <c r="H113" s="12"/>
      <c r="I113" s="13"/>
      <c r="J113" s="12"/>
      <c r="K113" s="13"/>
      <c r="L113" s="12"/>
      <c r="M113" s="13"/>
      <c r="N113" s="21"/>
      <c r="O113" s="13"/>
      <c r="Q113" s="12"/>
      <c r="R113" s="13"/>
      <c r="T113" s="26"/>
      <c r="U113" s="13"/>
      <c r="V113" s="22"/>
      <c r="W113" s="13"/>
      <c r="X113" s="22"/>
      <c r="Y113" s="13"/>
      <c r="Z113" s="22"/>
      <c r="AA113" s="13"/>
      <c r="AB113" s="22"/>
      <c r="AC113" s="13"/>
      <c r="AD113" s="22"/>
      <c r="AE113" s="13"/>
      <c r="AF113" s="24"/>
      <c r="AG113" s="13"/>
      <c r="AI113" s="26"/>
      <c r="AJ113" s="13"/>
      <c r="AK113" s="22"/>
      <c r="AL113" s="13"/>
      <c r="AM113" s="22"/>
      <c r="AN113" s="13"/>
      <c r="AO113" s="22"/>
      <c r="AP113" s="13"/>
      <c r="AQ113" s="22"/>
      <c r="AR113" s="13"/>
      <c r="AS113" s="22"/>
      <c r="AT113" s="13"/>
      <c r="AU113" s="24"/>
      <c r="AV113" s="13"/>
    </row>
    <row r="114" spans="1:48" ht="15.75" thickBot="1" x14ac:dyDescent="0.3">
      <c r="A114" s="20"/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21"/>
      <c r="O114" s="13"/>
      <c r="Q114" s="12"/>
      <c r="R114" s="13"/>
      <c r="T114" s="26"/>
      <c r="U114" s="13"/>
      <c r="V114" s="22"/>
      <c r="W114" s="13"/>
      <c r="X114" s="22"/>
      <c r="Y114" s="13"/>
      <c r="Z114" s="22"/>
      <c r="AA114" s="13"/>
      <c r="AB114" s="22"/>
      <c r="AC114" s="13"/>
      <c r="AD114" s="22"/>
      <c r="AE114" s="13"/>
      <c r="AF114" s="24"/>
      <c r="AG114" s="13"/>
      <c r="AI114" s="26"/>
      <c r="AJ114" s="13"/>
      <c r="AK114" s="22"/>
      <c r="AL114" s="13"/>
      <c r="AM114" s="22"/>
      <c r="AN114" s="13"/>
      <c r="AO114" s="22"/>
      <c r="AP114" s="13"/>
      <c r="AQ114" s="22"/>
      <c r="AR114" s="13"/>
      <c r="AS114" s="22"/>
      <c r="AT114" s="13"/>
      <c r="AU114" s="24"/>
      <c r="AV114" s="13"/>
    </row>
    <row r="115" spans="1:48" ht="15.75" thickBot="1" x14ac:dyDescent="0.3">
      <c r="A115" s="20"/>
      <c r="B115" s="12"/>
      <c r="C115" s="13"/>
      <c r="D115" s="12"/>
      <c r="E115" s="13"/>
      <c r="F115" s="12"/>
      <c r="G115" s="13"/>
      <c r="H115" s="12"/>
      <c r="I115" s="13"/>
      <c r="J115" s="12"/>
      <c r="K115" s="13"/>
      <c r="L115" s="12"/>
      <c r="M115" s="13"/>
      <c r="N115" s="21"/>
      <c r="O115" s="13"/>
      <c r="Q115" s="12"/>
      <c r="R115" s="13"/>
      <c r="T115" s="26"/>
      <c r="U115" s="13"/>
      <c r="V115" s="22"/>
      <c r="W115" s="13"/>
      <c r="X115" s="22"/>
      <c r="Y115" s="13"/>
      <c r="Z115" s="22"/>
      <c r="AA115" s="13"/>
      <c r="AB115" s="22"/>
      <c r="AC115" s="13"/>
      <c r="AD115" s="22"/>
      <c r="AE115" s="13"/>
      <c r="AF115" s="24"/>
      <c r="AG115" s="13"/>
      <c r="AI115" s="26"/>
      <c r="AJ115" s="13"/>
      <c r="AK115" s="22"/>
      <c r="AL115" s="13"/>
      <c r="AM115" s="22"/>
      <c r="AN115" s="13"/>
      <c r="AO115" s="22"/>
      <c r="AP115" s="13"/>
      <c r="AQ115" s="22"/>
      <c r="AR115" s="13"/>
      <c r="AS115" s="22"/>
      <c r="AT115" s="13"/>
      <c r="AU115" s="24"/>
      <c r="AV115" s="13"/>
    </row>
    <row r="116" spans="1:48" ht="15.75" thickBot="1" x14ac:dyDescent="0.3">
      <c r="A116" s="20"/>
      <c r="B116" s="12"/>
      <c r="C116" s="13"/>
      <c r="D116" s="12"/>
      <c r="E116" s="13"/>
      <c r="F116" s="12"/>
      <c r="G116" s="13"/>
      <c r="H116" s="12"/>
      <c r="I116" s="13"/>
      <c r="J116" s="12"/>
      <c r="K116" s="13"/>
      <c r="L116" s="12"/>
      <c r="M116" s="13"/>
      <c r="N116" s="21"/>
      <c r="O116" s="13"/>
      <c r="Q116" s="12"/>
      <c r="R116" s="13"/>
      <c r="T116" s="26"/>
      <c r="U116" s="13"/>
      <c r="V116" s="22"/>
      <c r="W116" s="13"/>
      <c r="X116" s="22"/>
      <c r="Y116" s="13"/>
      <c r="Z116" s="22"/>
      <c r="AA116" s="13"/>
      <c r="AB116" s="22"/>
      <c r="AC116" s="13"/>
      <c r="AD116" s="22"/>
      <c r="AE116" s="13"/>
      <c r="AF116" s="24"/>
      <c r="AG116" s="13"/>
      <c r="AI116" s="26"/>
      <c r="AJ116" s="13"/>
      <c r="AK116" s="22"/>
      <c r="AL116" s="13"/>
      <c r="AM116" s="22"/>
      <c r="AN116" s="13"/>
      <c r="AO116" s="22"/>
      <c r="AP116" s="13"/>
      <c r="AQ116" s="22"/>
      <c r="AR116" s="13"/>
      <c r="AS116" s="22"/>
      <c r="AT116" s="13"/>
      <c r="AU116" s="24"/>
      <c r="AV116" s="13"/>
    </row>
    <row r="117" spans="1:48" ht="15.75" thickBot="1" x14ac:dyDescent="0.3">
      <c r="A117" s="20"/>
      <c r="B117" s="12"/>
      <c r="C117" s="13"/>
      <c r="D117" s="12"/>
      <c r="E117" s="13"/>
      <c r="F117" s="12"/>
      <c r="G117" s="13"/>
      <c r="H117" s="12"/>
      <c r="I117" s="13"/>
      <c r="J117" s="12"/>
      <c r="K117" s="13"/>
      <c r="L117" s="12"/>
      <c r="M117" s="13"/>
      <c r="N117" s="21"/>
      <c r="O117" s="13"/>
      <c r="Q117" s="12"/>
      <c r="R117" s="13"/>
      <c r="T117" s="26"/>
      <c r="U117" s="13"/>
      <c r="V117" s="22"/>
      <c r="W117" s="13"/>
      <c r="X117" s="22"/>
      <c r="Y117" s="13"/>
      <c r="Z117" s="22"/>
      <c r="AA117" s="13"/>
      <c r="AB117" s="22"/>
      <c r="AC117" s="13"/>
      <c r="AD117" s="22"/>
      <c r="AE117" s="13"/>
      <c r="AF117" s="24"/>
      <c r="AG117" s="13"/>
      <c r="AI117" s="26"/>
      <c r="AJ117" s="13"/>
      <c r="AK117" s="22"/>
      <c r="AL117" s="13"/>
      <c r="AM117" s="22"/>
      <c r="AN117" s="13"/>
      <c r="AO117" s="22"/>
      <c r="AP117" s="13"/>
      <c r="AQ117" s="22"/>
      <c r="AR117" s="13"/>
      <c r="AS117" s="22"/>
      <c r="AT117" s="13"/>
      <c r="AU117" s="24"/>
      <c r="AV117" s="13"/>
    </row>
    <row r="118" spans="1:48" ht="15.75" thickBot="1" x14ac:dyDescent="0.3">
      <c r="A118" s="20"/>
      <c r="B118" s="12"/>
      <c r="C118" s="13"/>
      <c r="D118" s="12"/>
      <c r="E118" s="13"/>
      <c r="F118" s="12"/>
      <c r="G118" s="13"/>
      <c r="H118" s="12"/>
      <c r="I118" s="13"/>
      <c r="J118" s="12"/>
      <c r="K118" s="13"/>
      <c r="L118" s="12"/>
      <c r="M118" s="13"/>
      <c r="N118" s="21"/>
      <c r="O118" s="13"/>
      <c r="Q118" s="12"/>
      <c r="R118" s="13"/>
      <c r="T118" s="26"/>
      <c r="U118" s="13"/>
      <c r="V118" s="22"/>
      <c r="W118" s="13"/>
      <c r="X118" s="22"/>
      <c r="Y118" s="13"/>
      <c r="Z118" s="22"/>
      <c r="AA118" s="13"/>
      <c r="AB118" s="22"/>
      <c r="AC118" s="13"/>
      <c r="AD118" s="22"/>
      <c r="AE118" s="13"/>
      <c r="AF118" s="24"/>
      <c r="AG118" s="13"/>
      <c r="AI118" s="26"/>
      <c r="AJ118" s="13"/>
      <c r="AK118" s="22"/>
      <c r="AL118" s="13"/>
      <c r="AM118" s="22"/>
      <c r="AN118" s="13"/>
      <c r="AO118" s="22"/>
      <c r="AP118" s="13"/>
      <c r="AQ118" s="22"/>
      <c r="AR118" s="13"/>
      <c r="AS118" s="22"/>
      <c r="AT118" s="13"/>
      <c r="AU118" s="24"/>
      <c r="AV118" s="13"/>
    </row>
    <row r="119" spans="1:48" ht="15.75" thickBot="1" x14ac:dyDescent="0.3">
      <c r="A119" s="20"/>
      <c r="B119" s="12"/>
      <c r="C119" s="13"/>
      <c r="D119" s="12"/>
      <c r="E119" s="13"/>
      <c r="F119" s="12"/>
      <c r="G119" s="13"/>
      <c r="H119" s="12"/>
      <c r="I119" s="13"/>
      <c r="J119" s="12"/>
      <c r="K119" s="13"/>
      <c r="L119" s="12"/>
      <c r="M119" s="13"/>
      <c r="N119" s="21"/>
      <c r="O119" s="13"/>
      <c r="Q119" s="12"/>
      <c r="R119" s="13"/>
      <c r="T119" s="26"/>
      <c r="U119" s="13"/>
      <c r="V119" s="22"/>
      <c r="W119" s="13"/>
      <c r="X119" s="22"/>
      <c r="Y119" s="13"/>
      <c r="Z119" s="22"/>
      <c r="AA119" s="13"/>
      <c r="AB119" s="22"/>
      <c r="AC119" s="13"/>
      <c r="AD119" s="22"/>
      <c r="AE119" s="13"/>
      <c r="AF119" s="24"/>
      <c r="AG119" s="13"/>
      <c r="AI119" s="26"/>
      <c r="AJ119" s="13"/>
      <c r="AK119" s="22"/>
      <c r="AL119" s="13"/>
      <c r="AM119" s="22"/>
      <c r="AN119" s="13"/>
      <c r="AO119" s="22"/>
      <c r="AP119" s="13"/>
      <c r="AQ119" s="22"/>
      <c r="AR119" s="13"/>
      <c r="AS119" s="22"/>
      <c r="AT119" s="13"/>
      <c r="AU119" s="24"/>
      <c r="AV119" s="13"/>
    </row>
    <row r="120" spans="1:48" ht="15.75" thickBot="1" x14ac:dyDescent="0.3">
      <c r="A120" s="20"/>
      <c r="B120" s="12"/>
      <c r="C120" s="13"/>
      <c r="D120" s="12"/>
      <c r="E120" s="13"/>
      <c r="F120" s="12"/>
      <c r="G120" s="13"/>
      <c r="H120" s="12"/>
      <c r="I120" s="13"/>
      <c r="J120" s="12"/>
      <c r="K120" s="13"/>
      <c r="L120" s="12"/>
      <c r="M120" s="13"/>
      <c r="N120" s="21"/>
      <c r="O120" s="13"/>
      <c r="Q120" s="12"/>
      <c r="R120" s="13"/>
      <c r="T120" s="26"/>
      <c r="U120" s="13"/>
      <c r="V120" s="22"/>
      <c r="W120" s="13"/>
      <c r="X120" s="22"/>
      <c r="Y120" s="13"/>
      <c r="Z120" s="22"/>
      <c r="AA120" s="13"/>
      <c r="AB120" s="22"/>
      <c r="AC120" s="13"/>
      <c r="AD120" s="22"/>
      <c r="AE120" s="13"/>
      <c r="AF120" s="24"/>
      <c r="AG120" s="13"/>
      <c r="AI120" s="26"/>
      <c r="AJ120" s="13"/>
      <c r="AK120" s="22"/>
      <c r="AL120" s="13"/>
      <c r="AM120" s="22"/>
      <c r="AN120" s="13"/>
      <c r="AO120" s="22"/>
      <c r="AP120" s="13"/>
      <c r="AQ120" s="22"/>
      <c r="AR120" s="13"/>
      <c r="AS120" s="22"/>
      <c r="AT120" s="13"/>
      <c r="AU120" s="24"/>
      <c r="AV120" s="13"/>
    </row>
    <row r="121" spans="1:48" ht="15.75" thickBot="1" x14ac:dyDescent="0.3">
      <c r="A121" s="20"/>
      <c r="B121" s="12"/>
      <c r="C121" s="13"/>
      <c r="D121" s="12"/>
      <c r="E121" s="13"/>
      <c r="F121" s="12"/>
      <c r="G121" s="13"/>
      <c r="H121" s="12"/>
      <c r="I121" s="13"/>
      <c r="J121" s="12"/>
      <c r="K121" s="13"/>
      <c r="L121" s="12"/>
      <c r="M121" s="13"/>
      <c r="N121" s="21"/>
      <c r="O121" s="13"/>
      <c r="Q121" s="12"/>
      <c r="R121" s="13"/>
      <c r="T121" s="26"/>
      <c r="U121" s="13"/>
      <c r="V121" s="22"/>
      <c r="W121" s="13"/>
      <c r="X121" s="22"/>
      <c r="Y121" s="13"/>
      <c r="Z121" s="22"/>
      <c r="AA121" s="13"/>
      <c r="AB121" s="22"/>
      <c r="AC121" s="13"/>
      <c r="AD121" s="22"/>
      <c r="AE121" s="13"/>
      <c r="AF121" s="24"/>
      <c r="AG121" s="13"/>
      <c r="AI121" s="26"/>
      <c r="AJ121" s="13"/>
      <c r="AK121" s="22"/>
      <c r="AL121" s="13"/>
      <c r="AM121" s="22"/>
      <c r="AN121" s="13"/>
      <c r="AO121" s="22"/>
      <c r="AP121" s="13"/>
      <c r="AQ121" s="22"/>
      <c r="AR121" s="13"/>
      <c r="AS121" s="22"/>
      <c r="AT121" s="13"/>
      <c r="AU121" s="24"/>
      <c r="AV121" s="13"/>
    </row>
    <row r="122" spans="1:48" ht="15.75" thickBot="1" x14ac:dyDescent="0.3">
      <c r="A122" s="20"/>
      <c r="B122" s="12"/>
      <c r="C122" s="13"/>
      <c r="D122" s="12"/>
      <c r="E122" s="13"/>
      <c r="F122" s="12"/>
      <c r="G122" s="13"/>
      <c r="H122" s="12"/>
      <c r="I122" s="13"/>
      <c r="J122" s="12"/>
      <c r="K122" s="13"/>
      <c r="L122" s="12"/>
      <c r="M122" s="13"/>
      <c r="N122" s="21"/>
      <c r="O122" s="13"/>
      <c r="Q122" s="12"/>
      <c r="R122" s="13"/>
      <c r="T122" s="26"/>
      <c r="U122" s="13"/>
      <c r="V122" s="22"/>
      <c r="W122" s="13"/>
      <c r="X122" s="22"/>
      <c r="Y122" s="13"/>
      <c r="Z122" s="22"/>
      <c r="AA122" s="13"/>
      <c r="AB122" s="22"/>
      <c r="AC122" s="13"/>
      <c r="AD122" s="22"/>
      <c r="AE122" s="13"/>
      <c r="AF122" s="24"/>
      <c r="AG122" s="13"/>
      <c r="AI122" s="26"/>
      <c r="AJ122" s="13"/>
      <c r="AK122" s="22"/>
      <c r="AL122" s="13"/>
      <c r="AM122" s="22"/>
      <c r="AN122" s="13"/>
      <c r="AO122" s="22"/>
      <c r="AP122" s="13"/>
      <c r="AQ122" s="22"/>
      <c r="AR122" s="13"/>
      <c r="AS122" s="22"/>
      <c r="AT122" s="13"/>
      <c r="AU122" s="24"/>
      <c r="AV122" s="13"/>
    </row>
    <row r="123" spans="1:48" x14ac:dyDescent="0.25">
      <c r="A123" s="20"/>
    </row>
  </sheetData>
  <mergeCells count="8">
    <mergeCell ref="CB1:CH1"/>
    <mergeCell ref="CI1:CO1"/>
    <mergeCell ref="B1:O1"/>
    <mergeCell ref="T1:AG1"/>
    <mergeCell ref="AI1:AV1"/>
    <mergeCell ref="AX1:BF1"/>
    <mergeCell ref="BH1:BP1"/>
    <mergeCell ref="BU1:CA1"/>
  </mergeCells>
  <conditionalFormatting sqref="B3:O122">
    <cfRule type="cellIs" dxfId="6497" priority="10" operator="equal">
      <formula>"OFF"</formula>
    </cfRule>
    <cfRule type="cellIs" dxfId="6496" priority="11" operator="equal">
      <formula>"PTO"</formula>
    </cfRule>
    <cfRule type="cellIs" dxfId="6495" priority="12" operator="equal">
      <formula>"A"</formula>
    </cfRule>
  </conditionalFormatting>
  <conditionalFormatting sqref="Q3:R122">
    <cfRule type="cellIs" dxfId="6494" priority="7" operator="equal">
      <formula>"OFF"</formula>
    </cfRule>
    <cfRule type="cellIs" dxfId="6493" priority="8" operator="equal">
      <formula>"PTO"</formula>
    </cfRule>
    <cfRule type="cellIs" dxfId="6492" priority="9" operator="equal">
      <formula>"A"</formula>
    </cfRule>
  </conditionalFormatting>
  <conditionalFormatting sqref="T3:AG122">
    <cfRule type="cellIs" dxfId="6491" priority="4" operator="equal">
      <formula>"OFF"</formula>
    </cfRule>
    <cfRule type="cellIs" dxfId="6490" priority="5" operator="equal">
      <formula>"PTO"</formula>
    </cfRule>
    <cfRule type="cellIs" dxfId="6489" priority="6" operator="equal">
      <formula>"A"</formula>
    </cfRule>
  </conditionalFormatting>
  <conditionalFormatting sqref="AI3:AV122">
    <cfRule type="cellIs" dxfId="6488" priority="1" operator="equal">
      <formula>"OFF"</formula>
    </cfRule>
    <cfRule type="cellIs" dxfId="6487" priority="2" operator="equal">
      <formula>"PTO"</formula>
    </cfRule>
    <cfRule type="cellIs" dxfId="6486" priority="3" operator="equal">
      <formula>"A"</formula>
    </cfRule>
  </conditionalFormatting>
  <conditionalFormatting sqref="BU3:CO26">
    <cfRule type="cellIs" dxfId="6485" priority="13" operator="greaterThanOrEqual">
      <formula>5</formula>
    </cfRule>
    <cfRule type="cellIs" dxfId="6484" priority="14" operator="lessThanOrEqual">
      <formula>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S73"/>
  <sheetViews>
    <sheetView topLeftCell="AW1" zoomScale="70" zoomScaleNormal="70" workbookViewId="0">
      <selection activeCell="AW1" sqref="AW1"/>
    </sheetView>
  </sheetViews>
  <sheetFormatPr defaultColWidth="9.28515625" defaultRowHeight="15" outlineLevelCol="1" x14ac:dyDescent="0.25"/>
  <cols>
    <col min="1" max="1" width="33.5703125" hidden="1" customWidth="1" outlineLevel="1"/>
    <col min="2" max="11" width="9.140625" hidden="1" customWidth="1" outlineLevel="1"/>
    <col min="12" max="12" width="10.85546875" hidden="1" customWidth="1" outlineLevel="1"/>
    <col min="13" max="14" width="9.140625" hidden="1" customWidth="1" outlineLevel="1"/>
    <col min="15" max="15" width="10" hidden="1" customWidth="1" outlineLevel="1"/>
    <col min="16" max="16" width="9.28515625" hidden="1" customWidth="1" outlineLevel="1"/>
    <col min="17" max="18" width="10" hidden="1" customWidth="1" outlineLevel="1"/>
    <col min="19" max="19" width="9.28515625" hidden="1" customWidth="1" outlineLevel="1"/>
    <col min="20" max="30" width="9.140625" hidden="1" customWidth="1" outlineLevel="1"/>
    <col min="31" max="31" width="11.42578125" hidden="1" customWidth="1" outlineLevel="1"/>
    <col min="32" max="32" width="9.140625" hidden="1" customWidth="1" outlineLevel="1"/>
    <col min="33" max="33" width="11.42578125" hidden="1" customWidth="1" outlineLevel="1"/>
    <col min="34" max="34" width="9.28515625" hidden="1" customWidth="1" outlineLevel="1"/>
    <col min="35" max="44" width="9.140625" hidden="1" customWidth="1" outlineLevel="1"/>
    <col min="45" max="45" width="16.7109375" hidden="1" customWidth="1" outlineLevel="1"/>
    <col min="46" max="46" width="12.42578125" hidden="1" customWidth="1" outlineLevel="1"/>
    <col min="47" max="47" width="11.140625" hidden="1" customWidth="1" outlineLevel="1"/>
    <col min="48" max="48" width="15.85546875" hidden="1" customWidth="1" outlineLevel="1"/>
    <col min="49" max="49" width="9.28515625" customWidth="1" collapsed="1"/>
    <col min="50" max="50" width="9.140625" style="9" bestFit="1" customWidth="1"/>
    <col min="51" max="51" width="11" style="9" bestFit="1" customWidth="1"/>
    <col min="52" max="52" width="5.42578125" style="9" customWidth="1"/>
    <col min="53" max="53" width="4.5703125" style="9" bestFit="1" customWidth="1"/>
    <col min="54" max="54" width="5" style="9" bestFit="1" customWidth="1"/>
    <col min="55" max="55" width="4.5703125" style="9" bestFit="1" customWidth="1"/>
    <col min="56" max="56" width="3.5703125" style="9" customWidth="1"/>
    <col min="57" max="57" width="4.28515625" style="9" bestFit="1" customWidth="1"/>
    <col min="58" max="58" width="4.5703125" style="9" bestFit="1" customWidth="1"/>
    <col min="59" max="59" width="10.140625" style="9" customWidth="1"/>
    <col min="60" max="60" width="9.140625" style="9" bestFit="1" customWidth="1"/>
    <col min="61" max="61" width="11" style="9" bestFit="1" customWidth="1"/>
    <col min="62" max="62" width="5.42578125" style="9" customWidth="1"/>
    <col min="63" max="63" width="4.5703125" style="9" bestFit="1" customWidth="1"/>
    <col min="64" max="64" width="5" style="9" bestFit="1" customWidth="1"/>
    <col min="65" max="65" width="4.5703125" style="9" bestFit="1" customWidth="1"/>
    <col min="66" max="66" width="3.5703125" style="9" customWidth="1"/>
    <col min="67" max="67" width="4.28515625" style="9" bestFit="1" customWidth="1"/>
    <col min="68" max="68" width="4.5703125" style="9" bestFit="1" customWidth="1"/>
    <col min="69" max="70" width="9.28515625" style="9" customWidth="1"/>
    <col min="71" max="71" width="9.140625" style="9" bestFit="1" customWidth="1"/>
    <col min="72" max="72" width="11.5703125" style="9" hidden="1" customWidth="1"/>
    <col min="73" max="93" width="5.7109375" style="9" customWidth="1"/>
  </cols>
  <sheetData>
    <row r="1" spans="1:97" ht="15.75" thickBot="1" x14ac:dyDescent="0.3">
      <c r="B1" s="328" t="s">
        <v>54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T1" s="331" t="s">
        <v>55</v>
      </c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2"/>
      <c r="AI1" s="331" t="s">
        <v>56</v>
      </c>
      <c r="AJ1" s="331"/>
      <c r="AK1" s="331"/>
      <c r="AL1" s="331"/>
      <c r="AM1" s="331"/>
      <c r="AN1" s="331"/>
      <c r="AO1" s="331"/>
      <c r="AP1" s="331"/>
      <c r="AQ1" s="331"/>
      <c r="AR1" s="331"/>
      <c r="AS1" s="331"/>
      <c r="AT1" s="331"/>
      <c r="AU1" s="331"/>
      <c r="AV1" s="332"/>
      <c r="AX1" s="333" t="s">
        <v>11</v>
      </c>
      <c r="AY1" s="333"/>
      <c r="AZ1" s="333"/>
      <c r="BA1" s="333"/>
      <c r="BB1" s="333"/>
      <c r="BC1" s="333"/>
      <c r="BD1" s="333"/>
      <c r="BE1" s="333"/>
      <c r="BF1" s="333"/>
      <c r="BG1" s="163" t="s">
        <v>54</v>
      </c>
      <c r="BH1" s="333" t="s">
        <v>12</v>
      </c>
      <c r="BI1" s="333"/>
      <c r="BJ1" s="333"/>
      <c r="BK1" s="333"/>
      <c r="BL1" s="333"/>
      <c r="BM1" s="333"/>
      <c r="BN1" s="333"/>
      <c r="BO1" s="333"/>
      <c r="BP1" s="333"/>
      <c r="BQ1" s="11"/>
      <c r="BU1" s="325" t="s">
        <v>54</v>
      </c>
      <c r="BV1" s="326"/>
      <c r="BW1" s="326"/>
      <c r="BX1" s="326"/>
      <c r="BY1" s="326"/>
      <c r="BZ1" s="326"/>
      <c r="CA1" s="327"/>
      <c r="CB1" s="325" t="s">
        <v>55</v>
      </c>
      <c r="CC1" s="326"/>
      <c r="CD1" s="326"/>
      <c r="CE1" s="326"/>
      <c r="CF1" s="326"/>
      <c r="CG1" s="326"/>
      <c r="CH1" s="327"/>
      <c r="CI1" s="325" t="s">
        <v>56</v>
      </c>
      <c r="CJ1" s="326"/>
      <c r="CK1" s="326"/>
      <c r="CL1" s="326"/>
      <c r="CM1" s="326"/>
      <c r="CN1" s="326"/>
      <c r="CO1" s="327"/>
      <c r="CS1" s="27">
        <v>6</v>
      </c>
    </row>
    <row r="2" spans="1:97" ht="14.45" customHeight="1" x14ac:dyDescent="0.25">
      <c r="A2" s="16" t="s">
        <v>10</v>
      </c>
      <c r="B2" s="17" t="s">
        <v>52</v>
      </c>
      <c r="C2" s="17" t="s">
        <v>0</v>
      </c>
      <c r="D2" s="17" t="s">
        <v>1</v>
      </c>
      <c r="E2" s="17" t="s">
        <v>1</v>
      </c>
      <c r="F2" s="17" t="s">
        <v>2</v>
      </c>
      <c r="G2" s="18" t="s">
        <v>2</v>
      </c>
      <c r="H2" s="17" t="s">
        <v>51</v>
      </c>
      <c r="I2" s="17" t="s">
        <v>51</v>
      </c>
      <c r="J2" s="17" t="s">
        <v>4</v>
      </c>
      <c r="K2" s="17" t="s">
        <v>4</v>
      </c>
      <c r="L2" s="17" t="s">
        <v>5</v>
      </c>
      <c r="M2" s="17" t="s">
        <v>5</v>
      </c>
      <c r="N2" s="19" t="s">
        <v>6</v>
      </c>
      <c r="O2" s="15" t="s">
        <v>6</v>
      </c>
      <c r="Q2" s="14" t="s">
        <v>37</v>
      </c>
      <c r="R2" t="s">
        <v>37</v>
      </c>
      <c r="T2" s="16" t="s">
        <v>52</v>
      </c>
      <c r="U2" s="17" t="s">
        <v>0</v>
      </c>
      <c r="V2" s="17" t="s">
        <v>1</v>
      </c>
      <c r="W2" s="17" t="s">
        <v>1</v>
      </c>
      <c r="X2" s="17" t="s">
        <v>2</v>
      </c>
      <c r="Y2" s="18" t="s">
        <v>2</v>
      </c>
      <c r="Z2" s="17" t="s">
        <v>51</v>
      </c>
      <c r="AA2" s="17" t="s">
        <v>51</v>
      </c>
      <c r="AB2" s="17" t="s">
        <v>4</v>
      </c>
      <c r="AC2" s="17" t="s">
        <v>4</v>
      </c>
      <c r="AD2" s="17" t="s">
        <v>5</v>
      </c>
      <c r="AE2" s="17" t="s">
        <v>5</v>
      </c>
      <c r="AF2" s="19" t="s">
        <v>6</v>
      </c>
      <c r="AG2" s="15" t="s">
        <v>6</v>
      </c>
      <c r="AI2" s="16" t="s">
        <v>52</v>
      </c>
      <c r="AJ2" s="17" t="s">
        <v>0</v>
      </c>
      <c r="AK2" s="17" t="s">
        <v>1</v>
      </c>
      <c r="AL2" s="17" t="s">
        <v>1</v>
      </c>
      <c r="AM2" s="17" t="s">
        <v>2</v>
      </c>
      <c r="AN2" s="18" t="s">
        <v>2</v>
      </c>
      <c r="AO2" s="17" t="s">
        <v>51</v>
      </c>
      <c r="AP2" s="17" t="s">
        <v>51</v>
      </c>
      <c r="AQ2" s="17" t="s">
        <v>4</v>
      </c>
      <c r="AR2" s="17" t="s">
        <v>4</v>
      </c>
      <c r="AS2" s="17" t="s">
        <v>5</v>
      </c>
      <c r="AT2" s="17" t="s">
        <v>5</v>
      </c>
      <c r="AU2" s="19" t="s">
        <v>6</v>
      </c>
      <c r="AV2" s="15" t="s">
        <v>6</v>
      </c>
      <c r="AX2" s="49" t="s">
        <v>8</v>
      </c>
      <c r="AY2" s="49" t="s">
        <v>57</v>
      </c>
      <c r="AZ2" s="50" t="s">
        <v>0</v>
      </c>
      <c r="BA2" s="50" t="s">
        <v>1</v>
      </c>
      <c r="BB2" s="50" t="s">
        <v>2</v>
      </c>
      <c r="BC2" s="50" t="s">
        <v>3</v>
      </c>
      <c r="BD2" s="50" t="s">
        <v>4</v>
      </c>
      <c r="BE2" s="50" t="s">
        <v>5</v>
      </c>
      <c r="BF2" s="50" t="s">
        <v>6</v>
      </c>
      <c r="BH2" s="49" t="s">
        <v>8</v>
      </c>
      <c r="BI2" s="49" t="s">
        <v>57</v>
      </c>
      <c r="BJ2" s="50" t="s">
        <v>0</v>
      </c>
      <c r="BK2" s="50" t="s">
        <v>1</v>
      </c>
      <c r="BL2" s="50" t="s">
        <v>2</v>
      </c>
      <c r="BM2" s="50" t="s">
        <v>3</v>
      </c>
      <c r="BN2" s="50" t="s">
        <v>4</v>
      </c>
      <c r="BO2" s="50" t="s">
        <v>5</v>
      </c>
      <c r="BP2" s="50" t="s">
        <v>6</v>
      </c>
      <c r="BS2" s="37" t="s">
        <v>8</v>
      </c>
      <c r="BT2" s="37" t="s">
        <v>53</v>
      </c>
      <c r="BU2" s="48" t="s">
        <v>0</v>
      </c>
      <c r="BV2" s="48" t="s">
        <v>1</v>
      </c>
      <c r="BW2" s="48" t="s">
        <v>2</v>
      </c>
      <c r="BX2" s="48" t="s">
        <v>3</v>
      </c>
      <c r="BY2" s="48" t="s">
        <v>4</v>
      </c>
      <c r="BZ2" s="48" t="s">
        <v>5</v>
      </c>
      <c r="CA2" s="48" t="s">
        <v>6</v>
      </c>
      <c r="CB2" s="48" t="s">
        <v>0</v>
      </c>
      <c r="CC2" s="48" t="s">
        <v>1</v>
      </c>
      <c r="CD2" s="48" t="s">
        <v>2</v>
      </c>
      <c r="CE2" s="48" t="s">
        <v>3</v>
      </c>
      <c r="CF2" s="48" t="s">
        <v>4</v>
      </c>
      <c r="CG2" s="48" t="s">
        <v>5</v>
      </c>
      <c r="CH2" s="48" t="s">
        <v>6</v>
      </c>
      <c r="CI2" s="48" t="s">
        <v>0</v>
      </c>
      <c r="CJ2" s="48" t="s">
        <v>1</v>
      </c>
      <c r="CK2" s="48" t="s">
        <v>2</v>
      </c>
      <c r="CL2" s="48" t="s">
        <v>3</v>
      </c>
      <c r="CM2" s="48" t="s">
        <v>4</v>
      </c>
      <c r="CN2" s="48" t="s">
        <v>5</v>
      </c>
      <c r="CO2" s="48" t="s">
        <v>6</v>
      </c>
    </row>
    <row r="3" spans="1:97" ht="14.45" customHeight="1" thickBot="1" x14ac:dyDescent="0.3">
      <c r="A3" s="20" t="str">
        <f>Pavia!B4</f>
        <v>Ann Dominique Ilustre Abada</v>
      </c>
      <c r="B3" s="12">
        <f>IFERROR(VLOOKUP(A3,Pavia!B:I,2,),"-")</f>
        <v>0.375</v>
      </c>
      <c r="C3" s="23">
        <f t="shared" ref="C3" si="0">IFERROR(IF(B3="PTO", "PTO", IF(B3="OFF","OFF",B3 + TIME(9,0,0))),"-")</f>
        <v>0.75</v>
      </c>
      <c r="D3" s="12" t="str">
        <f>IFERROR(VLOOKUP(A3,Pavia!B:I,3,),"-")</f>
        <v>OFF</v>
      </c>
      <c r="E3" s="23" t="str">
        <f>IFERROR(IF(D3="PTO", "PTO", IF(D3="OFF","OFF",D3 + TIME(9,0,0))),"-")</f>
        <v>OFF</v>
      </c>
      <c r="F3" s="12" t="str">
        <f>IFERROR(VLOOKUP(A3,Pavia!B:I,4,),"-")</f>
        <v>OFF</v>
      </c>
      <c r="G3" s="23" t="str">
        <f>IFERROR(IF(F3="PTO", "PTO", IF(F3="OFF","OFF",F3 + TIME(9,0,0))),"-")</f>
        <v>OFF</v>
      </c>
      <c r="H3" s="12">
        <f>IFERROR(VLOOKUP(A3,Pavia!B:I,5,),"-")</f>
        <v>0.375</v>
      </c>
      <c r="I3" s="23">
        <f>IFERROR(IF(H3="PTO", "PTO", IF(H3="OFF","OFF",H3 + TIME(9,0,0))),"-")</f>
        <v>0.75</v>
      </c>
      <c r="J3" s="12">
        <f>IFERROR(VLOOKUP(A3,Pavia!B:I,6,),"-")</f>
        <v>0.375</v>
      </c>
      <c r="K3" s="23">
        <f>IFERROR(IF(J3="PTO", "PTO", IF(J3="OFF","OFF",J3 + TIME(9,0,0))),"-")</f>
        <v>0.75</v>
      </c>
      <c r="L3" s="12">
        <f>IFERROR(VLOOKUP(A3,Pavia!B:I,7,),"-")</f>
        <v>0.375</v>
      </c>
      <c r="M3" s="23">
        <f>IFERROR(IF(L3="PTO", "PTO", IF(L3="OFF","OFF",L3 + TIME(9,0,0))),"-")</f>
        <v>0.75</v>
      </c>
      <c r="N3" s="12">
        <f>IFERROR(VLOOKUP(A3,Pavia!B:I,8,),"-")</f>
        <v>0.375</v>
      </c>
      <c r="O3" s="23">
        <f>IFERROR(IF(N3="PTO", "PTO", IF(N3="OFF","OFF",N3 + TIME(9,0,0))),"-")</f>
        <v>0.75</v>
      </c>
      <c r="Q3" s="12">
        <f>IFERROR(VLOOKUP(A3,Pavia!B:Y,24,),"-")</f>
        <v>0.375</v>
      </c>
      <c r="R3" s="23">
        <f>IFERROR(IF(Q3="PTO", "PTO", IF(Q3="OFF","OFF",Q3 + TIME(9,0,0))),"-")</f>
        <v>0.75</v>
      </c>
      <c r="T3" s="25">
        <f>IFERROR(VLOOKUP(A3,Pavia!$B:$J,9,),"-")</f>
        <v>0.375</v>
      </c>
      <c r="U3" s="23">
        <f>IFERROR(IF(T3="PTO", "PTO", IF(T3="OFF","OFF",T3 + TIME(9,0,0))),"-")</f>
        <v>0.75</v>
      </c>
      <c r="V3" s="12" t="str">
        <f>IFERROR(VLOOKUP(A3,Pavia!B:K,10,),"-")</f>
        <v>OFF</v>
      </c>
      <c r="W3" s="23" t="str">
        <f>IFERROR(IF(V3="PTO", "PTO", IF(V3="OFF","OFF",V3 + TIME(9,0,0))),"-")</f>
        <v>OFF</v>
      </c>
      <c r="X3" s="12" t="str">
        <f>IFERROR(VLOOKUP(A3,Pavia!B:L,11,),"-")</f>
        <v>OFF</v>
      </c>
      <c r="Y3" s="23" t="str">
        <f>IFERROR(IF(X3="PTO", "PTO", IF(X3="OFF","OFF",X3 + TIME(9,0,0))),"-")</f>
        <v>OFF</v>
      </c>
      <c r="Z3" s="12">
        <f>IFERROR(VLOOKUP(A3,Pavia!B:M,12,),"-")</f>
        <v>0.375</v>
      </c>
      <c r="AA3" s="23">
        <f>IFERROR(IF(Z3="PTO", "PTO", IF(Z3="OFF","OFF",Z3 + TIME(9,0,0))),"-")</f>
        <v>0.75</v>
      </c>
      <c r="AB3" s="12">
        <f>IFERROR(VLOOKUP(A3,Pavia!B:N,13,),"-")</f>
        <v>0.375</v>
      </c>
      <c r="AC3" s="23">
        <f>IFERROR(IF(AB3="PTO", "PTO", IF(AB3="OFF","OFF",AB3 + TIME(9,0,0))),"-")</f>
        <v>0.75</v>
      </c>
      <c r="AD3" s="12">
        <f>IFERROR(VLOOKUP(A3,Pavia!B:O,14,),"-")</f>
        <v>0.375</v>
      </c>
      <c r="AE3" s="23">
        <f>IFERROR(IF(AD3="PTO", "PTO", IF(AD3="OFF","OFF",AD3 + TIME(9,0,0))),"-")</f>
        <v>0.75</v>
      </c>
      <c r="AF3" s="21">
        <f>IFERROR(VLOOKUP(A3,Pavia!B:P,15,),"-")</f>
        <v>0.375</v>
      </c>
      <c r="AG3" s="23">
        <f>IFERROR(IF(AF3="PTO", "PTO", IF(AF3="OFF","OFF",AF3 + TIME(9,0,0))),"-")</f>
        <v>0.75</v>
      </c>
      <c r="AI3" s="25">
        <f>IFERROR(VLOOKUP(A3,Pavia!$B:$Q,16,),"-")</f>
        <v>0.375</v>
      </c>
      <c r="AJ3" s="23">
        <f>IFERROR(IF(AI3="PTO", "PTO", IF(AI3="OFF","OFF",AI3 + TIME(9,0,0))),"-")</f>
        <v>0.75</v>
      </c>
      <c r="AK3" s="12" t="str">
        <f>IFERROR(VLOOKUP(A3,Pavia!B:R,17,),"-")</f>
        <v>OFF</v>
      </c>
      <c r="AL3" s="23" t="str">
        <f>IFERROR(IF(AK3="PTO", "PTO", IF(AK3="OFF","OFF",AK3 + TIME(9,0,0))),"-")</f>
        <v>OFF</v>
      </c>
      <c r="AM3" s="12" t="str">
        <f>IFERROR(VLOOKUP(A3,Pavia!B:S,18,),"-")</f>
        <v>OFF</v>
      </c>
      <c r="AN3" s="23" t="str">
        <f>IFERROR(IF(AM3="PTO", "PTO", IF(AM3="OFF","OFF",AM3 + TIME(9,0,0))),"-")</f>
        <v>OFF</v>
      </c>
      <c r="AO3" s="12">
        <f>IFERROR(VLOOKUP(A3,Pavia!B:T,19,),"-")</f>
        <v>0.375</v>
      </c>
      <c r="AP3" s="23">
        <f>IFERROR(IF(AO3="PTO", "PTO", IF(AO3="OFF","OFF",AO3 + TIME(9,0,0))),"-")</f>
        <v>0.75</v>
      </c>
      <c r="AQ3" s="12">
        <f>IFERROR(VLOOKUP(A3,Pavia!B:U,20,),"-")</f>
        <v>0.375</v>
      </c>
      <c r="AR3" s="23">
        <f>IFERROR(IF(AQ3="PTO", "PTO", IF(AQ3="OFF","OFF",AQ3 + TIME(9,0,0))),"-")</f>
        <v>0.75</v>
      </c>
      <c r="AS3" s="12">
        <f>IFERROR(VLOOKUP(A3,Pavia!B:V,21,),"-")</f>
        <v>0.375</v>
      </c>
      <c r="AT3" s="23">
        <f>IFERROR(IF(AS3="PTO", "PTO", IF(AS3="OFF","OFF",AS3 + TIME(9,0,0))),"-")</f>
        <v>0.75</v>
      </c>
      <c r="AU3" s="21">
        <f>IFERROR(VLOOKUP(A3,Pavia!B:W,22,),"-")</f>
        <v>0.375</v>
      </c>
      <c r="AV3" s="23">
        <f>IFERROR(IF(AU3="PTO", "PTO", IF(AU3="OFF","OFF",AU3 + TIME(9,0,0))),"-")</f>
        <v>0.75</v>
      </c>
      <c r="AX3" s="30">
        <v>0</v>
      </c>
      <c r="AY3" s="10">
        <v>1</v>
      </c>
      <c r="AZ3" s="31">
        <f>(COUNTIFS($B$3:$B$12, "&lt;=" &amp; AX3, $C$3:$C$12, "&gt;" &amp; AX3))+COUNTIFS($Q$3:$Q$12, "&lt;=" &amp; AY3, $R$3:$R$12, "&gt;" &amp; AY3)</f>
        <v>0</v>
      </c>
      <c r="BA3" s="31">
        <f>(COUNTIFS($D$3:$D$12, "&lt;=" &amp; AX3, $E$3:$E$12, "&gt;" &amp; AX3))+COUNTIFS($B$3:$B$12, "&lt;=" &amp; AY3, $C$3:$C$12, "&gt;" &amp; AY3)</f>
        <v>0</v>
      </c>
      <c r="BB3" s="31">
        <f>(COUNTIFS($F$3:$F$12, "&lt;=" &amp; AX3, $G$3:$G$12, "&gt;" &amp; AX3))+COUNTIFS($D$3:$D$12, "&lt;=" &amp; AY3, $E$3:$E$12, "&gt;" &amp; AY3)</f>
        <v>0</v>
      </c>
      <c r="BC3" s="31">
        <f>(COUNTIFS($H$3:$H$12, "&lt;=" &amp; AX3, $I$3:$I$12, "&gt;" &amp; AX3))+COUNTIFS($F$3:$F$12, "&lt;=" &amp; AY3, $G$3:$G$12, "&gt;" &amp; AY3)</f>
        <v>0</v>
      </c>
      <c r="BD3" s="31">
        <f>(COUNTIFS($J$3:$J$12, "&lt;=" &amp; AX3, $K$3:$K$12, "&gt;" &amp; AX3))+COUNTIFS($H$3:$H$12, "&lt;=" &amp; AY3, $I$3:$I$12, "&gt;" &amp; AY3)</f>
        <v>0</v>
      </c>
      <c r="BE3" s="31">
        <f>(COUNTIFS($L$3:$L$12, "&lt;=" &amp; AX3, $M$3:$M$12, "&gt;" &amp; AX3))+COUNTIFS($J$3:$J$12, "&lt;=" &amp; AY3, $K$3:$K$12, "&gt;" &amp; AY3)</f>
        <v>0</v>
      </c>
      <c r="BF3" s="32">
        <f>(COUNTIFS($N$3:$N$12, "&lt;=" &amp; AX3, $O$3:$O$12, "&gt;" &amp; AX3))+COUNTIFS($L$3:$L$12, "&lt;=" &amp; AY3, $M$3:$M$12, "&gt;" &amp; AY3)</f>
        <v>0</v>
      </c>
      <c r="BH3" s="30">
        <v>0</v>
      </c>
      <c r="BI3" s="10">
        <v>1</v>
      </c>
      <c r="BJ3" s="31">
        <f>(COUNTIFS($B$13:$B$37, "&lt;=" &amp; BH3, $C$13:$C$37, "&gt;" &amp; BH3))+COUNTIFS($Q$13:$Q$37, "&lt;=" &amp; BI3, $R$13:$R$37, "&gt;" &amp; BI3)</f>
        <v>0</v>
      </c>
      <c r="BK3" s="31">
        <f>(COUNTIFS($D$13:$D$37, "&lt;=" &amp; BH3, $E$13:$E$37, "&gt;" &amp; BH3))+COUNTIFS($B$13:$B$37, "&lt;=" &amp; BI3, $C$13:$C$37, "&gt;" &amp; BI3)</f>
        <v>9</v>
      </c>
      <c r="BL3" s="31">
        <f>(COUNTIFS($F$13:$F$37, "&lt;=" &amp; BH3, $G$13:$G$37, "&gt;" &amp; BH3))+COUNTIFS($D$13:$D$37, "&lt;=" &amp; BI3, $E$13:$E$37, "&gt;" &amp; BI3)</f>
        <v>9</v>
      </c>
      <c r="BM3" s="31">
        <f>(COUNTIFS($H$13:$H$37, "&lt;=" &amp; BH3, $I$13:$I$37, "&gt;" &amp; BH3))+COUNTIFS($F$13:$F$37, "&lt;=" &amp; BI3, $G$13:$G$37, "&gt;" &amp; BI3)</f>
        <v>1</v>
      </c>
      <c r="BN3" s="31">
        <f>(COUNTIFS($J$13:$J$37, "&lt;=" &amp; BH3, $K$13:$K$37, "&gt;" &amp; BH3))+COUNTIFS($H$13:$H$37, "&lt;=" &amp; BI3, $I$13:$I$37, "&gt;" &amp; BI3)</f>
        <v>8</v>
      </c>
      <c r="BO3" s="31">
        <f>(COUNTIFS($L$13:$L$37, "&lt;=" &amp; BH3, $M$13:$M$37, "&gt;" &amp; BH3))+COUNTIFS($J$13:$J$37, "&lt;=" &amp; BI3, $K$13:$K$37, "&gt;" &amp; BI3)</f>
        <v>8</v>
      </c>
      <c r="BP3" s="32">
        <f>(COUNTIFS($N$13:$N$37, "&lt;=" &amp; BH3, $O$13:$O$37, "&gt;" &amp; BH3))+COUNTIFS($L$13:$L$37, "&lt;=" &amp; BI3, $M$13:$M$37, "&gt;" &amp; BI3)</f>
        <v>1</v>
      </c>
      <c r="BS3" s="51">
        <v>0</v>
      </c>
      <c r="BT3" s="51">
        <v>1</v>
      </c>
      <c r="BU3" s="9">
        <f>COUNTIFS(Q:Q, "&lt;=" &amp; BT3, R:R, "&gt;" &amp; BT3)+COUNTIFS(B:B, "&lt;=" &amp; BS3, C:C, "&gt;" &amp; BS3)</f>
        <v>11</v>
      </c>
      <c r="BV3" s="9">
        <f>COUNTIFS(B:B, "&lt;=" &amp; BT3, C:C, "&gt;" &amp; BT3)+COUNTIFS(D:D, "&lt;=" &amp; BS3, E:E, "&gt;" &amp; BS3)</f>
        <v>23</v>
      </c>
      <c r="BW3" s="9">
        <f>COUNTIFS(D:D, "&lt;=" &amp; BT3, E:E, "&gt;" &amp; BT3)+COUNTIFS(F:F, "&lt;=" &amp; BS3, G:G, "&gt;" &amp; BS3)</f>
        <v>24</v>
      </c>
      <c r="BX3" s="9">
        <f>COUNTIFS(F:F, "&lt;=" &amp; BT3, G:G, "&gt;" &amp; BT3)+COUNTIFS(H:H, "&lt;=" &amp; BS3, I:I, "&gt;" &amp; BS3)</f>
        <v>12</v>
      </c>
      <c r="BY3" s="9">
        <f>COUNTIFS(H:H, "&lt;=" &amp; BT3, I:I, "&gt;" &amp; BT3)+COUNTIFS(J:J, "&lt;=" &amp; BS3, K:K, "&gt;" &amp; BS3)</f>
        <v>19</v>
      </c>
      <c r="BZ3" s="9">
        <f>COUNTIFS(J:J, "&lt;=" &amp; BT3, K:K, "&gt;" &amp; BT3)+COUNTIFS(L:L, "&lt;=" &amp; BS3, M:M, "&gt;" &amp; BS3)</f>
        <v>17</v>
      </c>
      <c r="CA3" s="29">
        <f>COUNTIFS(N:N, "&lt;=" &amp; BS3, O:O, "&gt;" &amp; BS3)+COUNTIFS(L:L, "&lt;=" &amp; BT3, M:M, "&gt;" &amp; BT3)</f>
        <v>9</v>
      </c>
      <c r="CB3" s="28">
        <f>COUNTIFS(T:T, "&lt;=" &amp; BS3, U:U, "&gt;" &amp; BS3)+COUNTIFS(N:N, "&lt;=" &amp; BT3, O:O, "&gt;" &amp; BT3)</f>
        <v>21</v>
      </c>
      <c r="CC3" s="9">
        <f>COUNTIFS(V:V, "&lt;=" &amp; BS3, W:W, "&gt;" &amp; BS3)+COUNTIFS(T:T, "&lt;=" &amp; BT3, U:U, "&gt;" &amp; BT3)</f>
        <v>23</v>
      </c>
      <c r="CD3" s="9">
        <f>COUNTIFS(X:X, "&lt;=" &amp; BS3, Y:Y, "&gt;" &amp; BS3)+COUNTIFS(V:V, "&lt;=" &amp; BT3, W:W, "&gt;" &amp; BT3)</f>
        <v>25</v>
      </c>
      <c r="CE3" s="9">
        <f>COUNTIFS(Z:Z, "&lt;=" &amp; BS3, AA:AA, "&gt;" &amp; BS3)+COUNTIFS(X:X, "&lt;=" &amp; BT3, Y:Y, "&gt;" &amp; BT3)</f>
        <v>22</v>
      </c>
      <c r="CF3" s="9">
        <f>COUNTIFS(AB:AB, "&lt;=" &amp; BS3, AC:AC, "&gt;" &amp; BS3)+COUNTIFS(Z:Z, "&lt;=" &amp; BT3, AA:AA, "&gt;" &amp; BT3)</f>
        <v>18</v>
      </c>
      <c r="CG3" s="9">
        <f>COUNTIFS(AD:AD, "&lt;=" &amp; BS3, AE:AE, "&gt;" &amp; BS3)+COUNTIFS(AB:AB, "&lt;=" &amp; BT3, AC:AC, "&gt;" &amp; BT3)</f>
        <v>7</v>
      </c>
      <c r="CH3" s="29">
        <f>COUNTIFS(AF:AF, "&lt;=" &amp; BS3, AG:AG, "&gt;" &amp; BS3)+COUNTIFS(AD:AD, "&lt;=" &amp; BT3, AE:AE, "&gt;" &amp; BT3)</f>
        <v>9</v>
      </c>
      <c r="CI3" s="28">
        <f>COUNTIFS(AI:AI, "&lt;=" &amp; BS3, AJ:AJ, "&gt;" &amp; BS3)+COUNTIFS(AF:AF, "&lt;=" &amp; BT3, AG:AG, "&gt;" &amp; BT3)</f>
        <v>21</v>
      </c>
      <c r="CJ3" s="9">
        <f>COUNTIFS(AK:AK, "&lt;=" &amp; BS3, AL:AL, "&gt;" &amp; BS3)+COUNTIFS(AI:AI, "&lt;=" &amp; BT3, AJ:AJ, "&gt;" &amp; BT3)</f>
        <v>23</v>
      </c>
      <c r="CK3" s="9">
        <f>COUNTIFS(AM:AM, "&lt;=" &amp; BS3, AN:AN, "&gt;" &amp; BS3)+COUNTIFS(AK:AK, "&lt;=" &amp; BT3, AL:AL, "&gt;" &amp; BT3)</f>
        <v>25</v>
      </c>
      <c r="CL3" s="9">
        <f>COUNTIFS(AO:AO, "&lt;=" &amp; BS3, AP:AP, "&gt;" &amp; BS3)+COUNTIFS(AM:AM, "&lt;=" &amp; BT3, AN:AN, "&gt;" &amp; BT3)</f>
        <v>22</v>
      </c>
      <c r="CM3" s="9">
        <f>COUNTIFS(AQ:AQ, "&lt;=" &amp; BS3, AR:AR, "&gt;" &amp; BS3)+COUNTIFS(AO:AO, "&lt;=" &amp; BT3, AP:AP, "&gt;" &amp; BT3)</f>
        <v>18</v>
      </c>
      <c r="CN3" s="9">
        <f>COUNTIFS(AS:AS, "&lt;=" &amp; BS3, AT:AT, "&gt;" &amp; BS3)+COUNTIFS(AQ:AQ, "&lt;=" &amp; BT3, AR:AR, "&gt;" &amp; BT3)</f>
        <v>7</v>
      </c>
      <c r="CO3" s="29">
        <f>COUNTIFS(AU:AU, "&lt;=" &amp; BS3, AV:AV, "&gt;" &amp; BS3)+COUNTIFS(AS:AS, "&lt;=" &amp; BT3, AT:AT, "&gt;" &amp; BT3)</f>
        <v>9</v>
      </c>
    </row>
    <row r="4" spans="1:97" ht="14.45" customHeight="1" thickBot="1" x14ac:dyDescent="0.3">
      <c r="A4" s="20" t="str">
        <f>Pavia!B5</f>
        <v>Aya Banderado</v>
      </c>
      <c r="B4" s="12">
        <f>IFERROR(VLOOKUP(A4,Pavia!B:I,2,),"-")</f>
        <v>0.375</v>
      </c>
      <c r="C4" s="23">
        <f t="shared" ref="C4:C66" si="1">IFERROR(IF(B4="PTO", "PTO", IF(B4="OFF","OFF",B4 + TIME(9,0,0))),"-")</f>
        <v>0.75</v>
      </c>
      <c r="D4" s="12" t="str">
        <f>IFERROR(VLOOKUP(A4,Pavia!B:I,3,),"-")</f>
        <v>OFF</v>
      </c>
      <c r="E4" s="23" t="str">
        <f t="shared" ref="E4:E66" si="2">IFERROR(IF(D4="PTO", "PTO", IF(D4="OFF","OFF",D4 + TIME(9,0,0))),"-")</f>
        <v>OFF</v>
      </c>
      <c r="F4" s="12" t="str">
        <f>IFERROR(VLOOKUP(A4,Pavia!B:I,4,),"-")</f>
        <v>OFF</v>
      </c>
      <c r="G4" s="23" t="str">
        <f t="shared" ref="G4:G66" si="3">IFERROR(IF(F4="PTO", "PTO", IF(F4="OFF","OFF",F4 + TIME(9,0,0))),"-")</f>
        <v>OFF</v>
      </c>
      <c r="H4" s="12">
        <f>IFERROR(VLOOKUP(A4,Pavia!B:I,5,),"-")</f>
        <v>0.375</v>
      </c>
      <c r="I4" s="23">
        <f t="shared" ref="I4:I66" si="4">IFERROR(IF(H4="PTO", "PTO", IF(H4="OFF","OFF",H4 + TIME(9,0,0))),"-")</f>
        <v>0.75</v>
      </c>
      <c r="J4" s="12">
        <f>IFERROR(VLOOKUP(A4,Pavia!B:I,6,),"-")</f>
        <v>0.375</v>
      </c>
      <c r="K4" s="23">
        <f t="shared" ref="K4:K66" si="5">IFERROR(IF(J4="PTO", "PTO", IF(J4="OFF","OFF",J4 + TIME(9,0,0))),"-")</f>
        <v>0.75</v>
      </c>
      <c r="L4" s="12">
        <f>IFERROR(VLOOKUP(A4,Pavia!B:I,7,),"-")</f>
        <v>0.375</v>
      </c>
      <c r="M4" s="23">
        <f t="shared" ref="M4:M66" si="6">IFERROR(IF(L4="PTO", "PTO", IF(L4="OFF","OFF",L4 + TIME(9,0,0))),"-")</f>
        <v>0.75</v>
      </c>
      <c r="N4" s="12">
        <f>IFERROR(VLOOKUP(A4,Pavia!B:I,8,),"-")</f>
        <v>0.375</v>
      </c>
      <c r="O4" s="23">
        <f t="shared" ref="O4:O66" si="7">IFERROR(IF(N4="PTO", "PTO", IF(N4="OFF","OFF",N4 + TIME(9,0,0))),"-")</f>
        <v>0.75</v>
      </c>
      <c r="Q4" s="12">
        <f>IFERROR(VLOOKUP(A4,Pavia!B:Y,24,),"-")</f>
        <v>0.375</v>
      </c>
      <c r="R4" s="23">
        <f t="shared" ref="R4:R66" si="8">IFERROR(IF(Q4="PTO", "PTO", IF(Q4="OFF","OFF",Q4 + TIME(9,0,0))),"-")</f>
        <v>0.75</v>
      </c>
      <c r="T4" s="25">
        <f>IFERROR(VLOOKUP(A4,Pavia!$B:$J,9,),"-")</f>
        <v>0.375</v>
      </c>
      <c r="U4" s="23">
        <f t="shared" ref="U4:U66" si="9">IFERROR(IF(T4="PTO", "PTO", IF(T4="OFF","OFF",T4 + TIME(9,0,0))),"-")</f>
        <v>0.75</v>
      </c>
      <c r="V4" s="12" t="str">
        <f>IFERROR(VLOOKUP(A4,Pavia!B:K,10,),"-")</f>
        <v>OFF</v>
      </c>
      <c r="W4" s="23" t="str">
        <f t="shared" ref="W4:W66" si="10">IFERROR(IF(V4="PTO", "PTO", IF(V4="OFF","OFF",V4 + TIME(9,0,0))),"-")</f>
        <v>OFF</v>
      </c>
      <c r="X4" s="12" t="str">
        <f>IFERROR(VLOOKUP(A4,Pavia!B:L,11,),"-")</f>
        <v>OFF</v>
      </c>
      <c r="Y4" s="23" t="str">
        <f t="shared" ref="Y4:Y66" si="11">IFERROR(IF(X4="PTO", "PTO", IF(X4="OFF","OFF",X4 + TIME(9,0,0))),"-")</f>
        <v>OFF</v>
      </c>
      <c r="Z4" s="12">
        <f>IFERROR(VLOOKUP(A4,Pavia!B:M,12,),"-")</f>
        <v>0.375</v>
      </c>
      <c r="AA4" s="23">
        <f t="shared" ref="AA4:AA66" si="12">IFERROR(IF(Z4="PTO", "PTO", IF(Z4="OFF","OFF",Z4 + TIME(9,0,0))),"-")</f>
        <v>0.75</v>
      </c>
      <c r="AB4" s="12">
        <f>IFERROR(VLOOKUP(A4,Pavia!B:N,13,),"-")</f>
        <v>0.375</v>
      </c>
      <c r="AC4" s="23">
        <f t="shared" ref="AC4:AC66" si="13">IFERROR(IF(AB4="PTO", "PTO", IF(AB4="OFF","OFF",AB4 + TIME(9,0,0))),"-")</f>
        <v>0.75</v>
      </c>
      <c r="AD4" s="12">
        <f>IFERROR(VLOOKUP(A4,Pavia!B:O,14,),"-")</f>
        <v>0.375</v>
      </c>
      <c r="AE4" s="23">
        <f t="shared" ref="AE4:AE66" si="14">IFERROR(IF(AD4="PTO", "PTO", IF(AD4="OFF","OFF",AD4 + TIME(9,0,0))),"-")</f>
        <v>0.75</v>
      </c>
      <c r="AF4" s="21">
        <f>IFERROR(VLOOKUP(A4,Pavia!B:P,15,),"-")</f>
        <v>0.375</v>
      </c>
      <c r="AG4" s="23">
        <f t="shared" ref="AG4:AG66" si="15">IFERROR(IF(AF4="PTO", "PTO", IF(AF4="OFF","OFF",AF4 + TIME(9,0,0))),"-")</f>
        <v>0.75</v>
      </c>
      <c r="AI4" s="25">
        <f>IFERROR(VLOOKUP(A4,Pavia!$B:$Q,16,),"-")</f>
        <v>0.375</v>
      </c>
      <c r="AJ4" s="23">
        <f t="shared" ref="AJ4:AJ66" si="16">IFERROR(IF(AI4="PTO", "PTO", IF(AI4="OFF","OFF",AI4 + TIME(9,0,0))),"-")</f>
        <v>0.75</v>
      </c>
      <c r="AK4" s="12" t="str">
        <f>IFERROR(VLOOKUP(A4,Pavia!B:R,17,),"-")</f>
        <v>OFF</v>
      </c>
      <c r="AL4" s="23" t="str">
        <f t="shared" ref="AL4:AL66" si="17">IFERROR(IF(AK4="PTO", "PTO", IF(AK4="OFF","OFF",AK4 + TIME(9,0,0))),"-")</f>
        <v>OFF</v>
      </c>
      <c r="AM4" s="12" t="str">
        <f>IFERROR(VLOOKUP(A4,Pavia!B:S,18,),"-")</f>
        <v>OFF</v>
      </c>
      <c r="AN4" s="23" t="str">
        <f t="shared" ref="AN4:AN66" si="18">IFERROR(IF(AM4="PTO", "PTO", IF(AM4="OFF","OFF",AM4 + TIME(9,0,0))),"-")</f>
        <v>OFF</v>
      </c>
      <c r="AO4" s="12">
        <f>IFERROR(VLOOKUP(A4,Pavia!B:T,19,),"-")</f>
        <v>0.375</v>
      </c>
      <c r="AP4" s="23">
        <f t="shared" ref="AP4:AP66" si="19">IFERROR(IF(AO4="PTO", "PTO", IF(AO4="OFF","OFF",AO4 + TIME(9,0,0))),"-")</f>
        <v>0.75</v>
      </c>
      <c r="AQ4" s="12">
        <f>IFERROR(VLOOKUP(A4,Pavia!B:U,20,),"-")</f>
        <v>0.375</v>
      </c>
      <c r="AR4" s="23">
        <f t="shared" ref="AR4:AR66" si="20">IFERROR(IF(AQ4="PTO", "PTO", IF(AQ4="OFF","OFF",AQ4 + TIME(9,0,0))),"-")</f>
        <v>0.75</v>
      </c>
      <c r="AS4" s="12">
        <f>IFERROR(VLOOKUP(A4,Pavia!B:V,21,),"-")</f>
        <v>0.375</v>
      </c>
      <c r="AT4" s="23">
        <f t="shared" ref="AT4:AT66" si="21">IFERROR(IF(AS4="PTO", "PTO", IF(AS4="OFF","OFF",AS4 + TIME(9,0,0))),"-")</f>
        <v>0.75</v>
      </c>
      <c r="AU4" s="21">
        <f>IFERROR(VLOOKUP(A4,Pavia!B:W,22,),"-")</f>
        <v>0.375</v>
      </c>
      <c r="AV4" s="23">
        <f t="shared" ref="AV4:AV66" si="22">IFERROR(IF(AU4="PTO", "PTO", IF(AU4="OFF","OFF",AU4 + TIME(9,0,0))),"-")</f>
        <v>0.75</v>
      </c>
      <c r="AX4" s="30">
        <v>4.1666666666666664E-2</v>
      </c>
      <c r="AY4" s="10">
        <v>1.0416666666666701</v>
      </c>
      <c r="AZ4" s="31">
        <f t="shared" ref="AZ4:AZ26" si="23">(COUNTIFS($B$3:$B$12, "&lt;=" &amp; AX4, $C$3:$C$12, "&gt;" &amp; AX4))+COUNTIFS($Q$3:$Q$12, "&lt;=" &amp; AY4, $R$3:$R$12, "&gt;" &amp; AY4)</f>
        <v>0</v>
      </c>
      <c r="BA4" s="31">
        <f t="shared" ref="BA4:BA26" si="24">(COUNTIFS($D$3:$D$12, "&lt;=" &amp; AX4, $E$3:$E$12, "&gt;" &amp; AX4))+COUNTIFS($B$3:$B$12, "&lt;=" &amp; AY4, $C$3:$C$12, "&gt;" &amp; AY4)</f>
        <v>0</v>
      </c>
      <c r="BB4" s="31">
        <f>(COUNTIFS($F$3:$F$12, "&lt;=" &amp; AX4, $G$3:$G$12, "&gt;" &amp; AX4))+COUNTIFS($D$3:$D$12, "&lt;=" &amp; AY4, $E$3:$E$12, "&gt;" &amp; AY4)</f>
        <v>0</v>
      </c>
      <c r="BC4" s="31">
        <f t="shared" ref="BC4:BC26" si="25">(COUNTIFS($H$3:$H$12, "&lt;=" &amp; AX4, $I$3:$I$12, "&gt;" &amp; AX4))+COUNTIFS($F$3:$F$12, "&lt;=" &amp; AY4, $G$3:$G$12, "&gt;" &amp; AY4)</f>
        <v>0</v>
      </c>
      <c r="BD4" s="31">
        <f t="shared" ref="BD4:BD26" si="26">(COUNTIFS($J$3:$J$12, "&lt;=" &amp; AX4, $K$3:$K$12, "&gt;" &amp; AX4))+COUNTIFS($H$3:$H$12, "&lt;=" &amp; AY4, $I$3:$I$12, "&gt;" &amp; AY4)</f>
        <v>0</v>
      </c>
      <c r="BE4" s="31">
        <f t="shared" ref="BE4:BE26" si="27">(COUNTIFS($L$3:$L$12, "&lt;=" &amp; AX4, $M$3:$M$12, "&gt;" &amp; AX4))+COUNTIFS($J$3:$J$12, "&lt;=" &amp; AY4, $K$3:$K$12, "&gt;" &amp; AY4)</f>
        <v>0</v>
      </c>
      <c r="BF4" s="32">
        <f t="shared" ref="BF4:BF26" si="28">(COUNTIFS($N$3:$N$12, "&lt;=" &amp; AX4, $O$3:$O$12, "&gt;" &amp; AX4))+COUNTIFS($L$3:$L$12, "&lt;=" &amp; AY4, $M$3:$M$12, "&gt;" &amp; AY4)</f>
        <v>0</v>
      </c>
      <c r="BH4" s="30">
        <v>4.1666666666666664E-2</v>
      </c>
      <c r="BI4" s="10">
        <v>1.0416666666666701</v>
      </c>
      <c r="BJ4" s="31">
        <f t="shared" ref="BJ4:BJ26" si="29">(COUNTIFS($B$13:$B$37, "&lt;=" &amp; BH4, $C$13:$C$37, "&gt;" &amp; BH4))+COUNTIFS($Q$13:$Q$37, "&lt;=" &amp; BI4, $R$13:$R$37, "&gt;" &amp; BI4)</f>
        <v>0</v>
      </c>
      <c r="BK4" s="31">
        <f t="shared" ref="BK4:BK26" si="30">(COUNTIFS($D$13:$D$37, "&lt;=" &amp; BH4, $E$13:$E$37, "&gt;" &amp; BH4))+COUNTIFS($B$13:$B$37, "&lt;=" &amp; BI4, $C$13:$C$37, "&gt;" &amp; BI4)</f>
        <v>0</v>
      </c>
      <c r="BL4" s="31">
        <f t="shared" ref="BL4:BL26" si="31">(COUNTIFS($F$13:$F$37, "&lt;=" &amp; BH4, $G$13:$G$37, "&gt;" &amp; BH4))+COUNTIFS($D$13:$D$37, "&lt;=" &amp; BI4, $E$13:$E$37, "&gt;" &amp; BI4)</f>
        <v>0</v>
      </c>
      <c r="BM4" s="31">
        <f t="shared" ref="BM4:BM26" si="32">(COUNTIFS($H$13:$H$37, "&lt;=" &amp; BH4, $I$13:$I$37, "&gt;" &amp; BH4))+COUNTIFS($F$13:$F$37, "&lt;=" &amp; BI4, $G$13:$G$37, "&gt;" &amp; BI4)</f>
        <v>0</v>
      </c>
      <c r="BN4" s="31">
        <f t="shared" ref="BN4:BN26" si="33">(COUNTIFS($J$13:$J$37, "&lt;=" &amp; BH4, $K$13:$K$37, "&gt;" &amp; BH4))+COUNTIFS($H$13:$H$37, "&lt;=" &amp; BI4, $I$13:$I$37, "&gt;" &amp; BI4)</f>
        <v>0</v>
      </c>
      <c r="BO4" s="31">
        <f t="shared" ref="BO4:BO26" si="34">(COUNTIFS($L$13:$L$37, "&lt;=" &amp; BH4, $M$13:$M$37, "&gt;" &amp; BH4))+COUNTIFS($J$13:$J$37, "&lt;=" &amp; BI4, $K$13:$K$37, "&gt;" &amp; BI4)</f>
        <v>0</v>
      </c>
      <c r="BP4" s="32">
        <f t="shared" ref="BP4:BP26" si="35">(COUNTIFS($N$13:$N$37, "&lt;=" &amp; BH4, $O$13:$O$37, "&gt;" &amp; BH4))+COUNTIFS($L$13:$L$37, "&lt;=" &amp; BI4, $M$13:$M$37, "&gt;" &amp; BI4)</f>
        <v>0</v>
      </c>
      <c r="BS4" s="51">
        <v>4.1666666666666664E-2</v>
      </c>
      <c r="BT4" s="51">
        <v>1.0416666666666701</v>
      </c>
      <c r="BU4" s="9">
        <f t="shared" ref="BU4:BU26" si="36">COUNTIFS(Q:Q, "&lt;=" &amp; BT4, R:R, "&gt;" &amp; BT4)+COUNTIFS(B:B, "&lt;=" &amp; BS4, C:C, "&gt;" &amp; BS4)</f>
        <v>11</v>
      </c>
      <c r="BV4" s="9">
        <f t="shared" ref="BV4:BV26" si="37">COUNTIFS(B:B, "&lt;=" &amp; BT4, C:C, "&gt;" &amp; BT4)+COUNTIFS(D:D, "&lt;=" &amp; BS4, E:E, "&gt;" &amp; BS4)</f>
        <v>13</v>
      </c>
      <c r="BW4" s="9">
        <f t="shared" ref="BW4:BW26" si="38">COUNTIFS(D:D, "&lt;=" &amp; BT4, E:E, "&gt;" &amp; BT4)+COUNTIFS(F:F, "&lt;=" &amp; BS4, G:G, "&gt;" &amp; BS4)</f>
        <v>14</v>
      </c>
      <c r="BX4" s="9">
        <f t="shared" ref="BX4:BX26" si="39">COUNTIFS(F:F, "&lt;=" &amp; BT4, G:G, "&gt;" &amp; BT4)+COUNTIFS(H:H, "&lt;=" &amp; BS4, I:I, "&gt;" &amp; BS4)</f>
        <v>11</v>
      </c>
      <c r="BY4" s="9">
        <f t="shared" ref="BY4:BY26" si="40">COUNTIFS(H:H, "&lt;=" &amp; BT4, I:I, "&gt;" &amp; BT4)+COUNTIFS(J:J, "&lt;=" &amp; BS4, K:K, "&gt;" &amp; BS4)</f>
        <v>10</v>
      </c>
      <c r="BZ4" s="9">
        <f t="shared" ref="BZ4:BZ26" si="41">COUNTIFS(J:J, "&lt;=" &amp; BT4, K:K, "&gt;" &amp; BT4)+COUNTIFS(L:L, "&lt;=" &amp; BS4, M:M, "&gt;" &amp; BS4)</f>
        <v>8</v>
      </c>
      <c r="CA4" s="29">
        <f t="shared" ref="CA4:CA26" si="42">COUNTIFS(N:N, "&lt;=" &amp; BS4, O:O, "&gt;" &amp; BS4)+COUNTIFS(L:L, "&lt;=" &amp; BT4, M:M, "&gt;" &amp; BT4)</f>
        <v>8</v>
      </c>
      <c r="CB4" s="28">
        <f t="shared" ref="CB4:CB26" si="43">COUNTIFS(T:T, "&lt;=" &amp; BS4, U:U, "&gt;" &amp; BS4)+COUNTIFS(N:N, "&lt;=" &amp; BT4, O:O, "&gt;" &amp; BT4)</f>
        <v>11</v>
      </c>
      <c r="CC4" s="9">
        <f t="shared" ref="CC4:CC26" si="44">COUNTIFS(V:V, "&lt;=" &amp; BS4, W:W, "&gt;" &amp; BS4)+COUNTIFS(T:T, "&lt;=" &amp; BT4, U:U, "&gt;" &amp; BT4)</f>
        <v>13</v>
      </c>
      <c r="CD4" s="9">
        <f t="shared" ref="CD4:CD26" si="45">COUNTIFS(X:X, "&lt;=" &amp; BS4, Y:Y, "&gt;" &amp; BS4)+COUNTIFS(V:V, "&lt;=" &amp; BT4, W:W, "&gt;" &amp; BT4)</f>
        <v>15</v>
      </c>
      <c r="CE4" s="9">
        <f t="shared" ref="CE4:CE26" si="46">COUNTIFS(Z:Z, "&lt;=" &amp; BS4, AA:AA, "&gt;" &amp; BS4)+COUNTIFS(X:X, "&lt;=" &amp; BT4, Y:Y, "&gt;" &amp; BT4)</f>
        <v>12</v>
      </c>
      <c r="CF4" s="9">
        <f t="shared" ref="CF4:CF26" si="47">COUNTIFS(AB:AB, "&lt;=" &amp; BS4, AC:AC, "&gt;" &amp; BS4)+COUNTIFS(Z:Z, "&lt;=" &amp; BT4, AA:AA, "&gt;" &amp; BT4)</f>
        <v>9</v>
      </c>
      <c r="CG4" s="9">
        <f t="shared" ref="CG4:CG26" si="48">COUNTIFS(AD:AD, "&lt;=" &amp; BS4, AE:AE, "&gt;" &amp; BS4)+COUNTIFS(AB:AB, "&lt;=" &amp; BT4, AC:AC, "&gt;" &amp; BT4)</f>
        <v>7</v>
      </c>
      <c r="CH4" s="29">
        <f t="shared" ref="CH4:CH26" si="49">COUNTIFS(AF:AF, "&lt;=" &amp; BS4, AG:AG, "&gt;" &amp; BS4)+COUNTIFS(AD:AD, "&lt;=" &amp; BT4, AE:AE, "&gt;" &amp; BT4)</f>
        <v>8</v>
      </c>
      <c r="CI4" s="28">
        <f t="shared" ref="CI4:CI26" si="50">COUNTIFS(AI:AI, "&lt;=" &amp; BS4, AJ:AJ, "&gt;" &amp; BS4)+COUNTIFS(AF:AF, "&lt;=" &amp; BT4, AG:AG, "&gt;" &amp; BT4)</f>
        <v>11</v>
      </c>
      <c r="CJ4" s="9">
        <f t="shared" ref="CJ4:CJ26" si="51">COUNTIFS(AK:AK, "&lt;=" &amp; BS4, AL:AL, "&gt;" &amp; BS4)+COUNTIFS(AI:AI, "&lt;=" &amp; BT4, AJ:AJ, "&gt;" &amp; BT4)</f>
        <v>13</v>
      </c>
      <c r="CK4" s="9">
        <f t="shared" ref="CK4:CK26" si="52">COUNTIFS(AM:AM, "&lt;=" &amp; BS4, AN:AN, "&gt;" &amp; BS4)+COUNTIFS(AK:AK, "&lt;=" &amp; BT4, AL:AL, "&gt;" &amp; BT4)</f>
        <v>15</v>
      </c>
      <c r="CL4" s="9">
        <f t="shared" ref="CL4:CL26" si="53">COUNTIFS(AO:AO, "&lt;=" &amp; BS4, AP:AP, "&gt;" &amp; BS4)+COUNTIFS(AM:AM, "&lt;=" &amp; BT4, AN:AN, "&gt;" &amp; BT4)</f>
        <v>12</v>
      </c>
      <c r="CM4" s="9">
        <f t="shared" ref="CM4:CM26" si="54">COUNTIFS(AQ:AQ, "&lt;=" &amp; BS4, AR:AR, "&gt;" &amp; BS4)+COUNTIFS(AO:AO, "&lt;=" &amp; BT4, AP:AP, "&gt;" &amp; BT4)</f>
        <v>9</v>
      </c>
      <c r="CN4" s="9">
        <f t="shared" ref="CN4:CN26" si="55">COUNTIFS(AS:AS, "&lt;=" &amp; BS4, AT:AT, "&gt;" &amp; BS4)+COUNTIFS(AQ:AQ, "&lt;=" &amp; BT4, AR:AR, "&gt;" &amp; BT4)</f>
        <v>7</v>
      </c>
      <c r="CO4" s="29">
        <f t="shared" ref="CO4:CO26" si="56">COUNTIFS(AU:AU, "&lt;=" &amp; BS4, AV:AV, "&gt;" &amp; BS4)+COUNTIFS(AS:AS, "&lt;=" &amp; BT4, AT:AT, "&gt;" &amp; BT4)</f>
        <v>8</v>
      </c>
    </row>
    <row r="5" spans="1:97" ht="14.45" customHeight="1" thickBot="1" x14ac:dyDescent="0.3">
      <c r="A5" s="20" t="str">
        <f>Pavia!B6</f>
        <v>Edrine Aaron Verdejo</v>
      </c>
      <c r="B5" s="12">
        <f>IFERROR(VLOOKUP(A5,Pavia!B:I,2,),"-")</f>
        <v>0.375</v>
      </c>
      <c r="C5" s="23">
        <f t="shared" si="1"/>
        <v>0.75</v>
      </c>
      <c r="D5" s="12" t="str">
        <f>IFERROR(VLOOKUP(A5,Pavia!B:I,3,),"-")</f>
        <v>OFF</v>
      </c>
      <c r="E5" s="23" t="str">
        <f t="shared" si="2"/>
        <v>OFF</v>
      </c>
      <c r="F5" s="12" t="str">
        <f>IFERROR(VLOOKUP(A5,Pavia!B:I,4,),"-")</f>
        <v>OFF</v>
      </c>
      <c r="G5" s="23" t="str">
        <f t="shared" si="3"/>
        <v>OFF</v>
      </c>
      <c r="H5" s="12">
        <f>IFERROR(VLOOKUP(A5,Pavia!B:I,5,),"-")</f>
        <v>0.375</v>
      </c>
      <c r="I5" s="23">
        <f t="shared" si="4"/>
        <v>0.75</v>
      </c>
      <c r="J5" s="12">
        <f>IFERROR(VLOOKUP(A5,Pavia!B:I,6,),"-")</f>
        <v>0.375</v>
      </c>
      <c r="K5" s="23">
        <f t="shared" si="5"/>
        <v>0.75</v>
      </c>
      <c r="L5" s="12">
        <f>IFERROR(VLOOKUP(A5,Pavia!B:I,7,),"-")</f>
        <v>0.375</v>
      </c>
      <c r="M5" s="23">
        <f t="shared" si="6"/>
        <v>0.75</v>
      </c>
      <c r="N5" s="12">
        <f>IFERROR(VLOOKUP(A5,Pavia!B:I,8,),"-")</f>
        <v>0.375</v>
      </c>
      <c r="O5" s="23">
        <f t="shared" si="7"/>
        <v>0.75</v>
      </c>
      <c r="Q5" s="12">
        <f>IFERROR(VLOOKUP(A5,Pavia!B:Y,24,),"-")</f>
        <v>0.375</v>
      </c>
      <c r="R5" s="23">
        <f t="shared" si="8"/>
        <v>0.75</v>
      </c>
      <c r="T5" s="25">
        <f>IFERROR(VLOOKUP(A5,Pavia!$B:$J,9,),"-")</f>
        <v>0.375</v>
      </c>
      <c r="U5" s="23">
        <f t="shared" si="9"/>
        <v>0.75</v>
      </c>
      <c r="V5" s="12" t="str">
        <f>IFERROR(VLOOKUP(A5,Pavia!B:K,10,),"-")</f>
        <v>OFF</v>
      </c>
      <c r="W5" s="23" t="str">
        <f t="shared" si="10"/>
        <v>OFF</v>
      </c>
      <c r="X5" s="12" t="str">
        <f>IFERROR(VLOOKUP(A5,Pavia!B:L,11,),"-")</f>
        <v>OFF</v>
      </c>
      <c r="Y5" s="23" t="str">
        <f t="shared" si="11"/>
        <v>OFF</v>
      </c>
      <c r="Z5" s="12">
        <f>IFERROR(VLOOKUP(A5,Pavia!B:M,12,),"-")</f>
        <v>0.375</v>
      </c>
      <c r="AA5" s="23">
        <f t="shared" si="12"/>
        <v>0.75</v>
      </c>
      <c r="AB5" s="12">
        <f>IFERROR(VLOOKUP(A5,Pavia!B:N,13,),"-")</f>
        <v>0.375</v>
      </c>
      <c r="AC5" s="23">
        <f t="shared" si="13"/>
        <v>0.75</v>
      </c>
      <c r="AD5" s="12">
        <f>IFERROR(VLOOKUP(A5,Pavia!B:O,14,),"-")</f>
        <v>0.375</v>
      </c>
      <c r="AE5" s="23">
        <f t="shared" si="14"/>
        <v>0.75</v>
      </c>
      <c r="AF5" s="21">
        <f>IFERROR(VLOOKUP(A5,Pavia!B:P,15,),"-")</f>
        <v>0.375</v>
      </c>
      <c r="AG5" s="23">
        <f t="shared" si="15"/>
        <v>0.75</v>
      </c>
      <c r="AI5" s="25">
        <f>IFERROR(VLOOKUP(A5,Pavia!$B:$Q,16,),"-")</f>
        <v>0.375</v>
      </c>
      <c r="AJ5" s="23">
        <f t="shared" si="16"/>
        <v>0.75</v>
      </c>
      <c r="AK5" s="12" t="str">
        <f>IFERROR(VLOOKUP(A5,Pavia!B:R,17,),"-")</f>
        <v>OFF</v>
      </c>
      <c r="AL5" s="23" t="str">
        <f t="shared" si="17"/>
        <v>OFF</v>
      </c>
      <c r="AM5" s="12" t="str">
        <f>IFERROR(VLOOKUP(A5,Pavia!B:S,18,),"-")</f>
        <v>OFF</v>
      </c>
      <c r="AN5" s="23" t="str">
        <f t="shared" si="18"/>
        <v>OFF</v>
      </c>
      <c r="AO5" s="12">
        <f>IFERROR(VLOOKUP(A5,Pavia!B:T,19,),"-")</f>
        <v>0.375</v>
      </c>
      <c r="AP5" s="23">
        <f t="shared" si="19"/>
        <v>0.75</v>
      </c>
      <c r="AQ5" s="12">
        <f>IFERROR(VLOOKUP(A5,Pavia!B:U,20,),"-")</f>
        <v>0.375</v>
      </c>
      <c r="AR5" s="23">
        <f t="shared" si="20"/>
        <v>0.75</v>
      </c>
      <c r="AS5" s="12">
        <f>IFERROR(VLOOKUP(A5,Pavia!B:V,21,),"-")</f>
        <v>0.375</v>
      </c>
      <c r="AT5" s="23">
        <f t="shared" si="21"/>
        <v>0.75</v>
      </c>
      <c r="AU5" s="21">
        <f>IFERROR(VLOOKUP(A5,Pavia!B:W,22,),"-")</f>
        <v>0.375</v>
      </c>
      <c r="AV5" s="23">
        <f t="shared" si="22"/>
        <v>0.75</v>
      </c>
      <c r="AX5" s="30">
        <v>8.3333333333333301E-2</v>
      </c>
      <c r="AY5" s="10">
        <v>1.0833333333333299</v>
      </c>
      <c r="AZ5" s="31">
        <f t="shared" si="23"/>
        <v>0</v>
      </c>
      <c r="BA5" s="31">
        <f t="shared" si="24"/>
        <v>0</v>
      </c>
      <c r="BB5" s="31">
        <f>(COUNTIFS($F$3:$F$12, "&lt;=" &amp; AX5, $G$3:$G$12, "&gt;" &amp; AX5))+COUNTIFS($D$3:$D$12, "&lt;=" &amp; AY5, $E$3:$E$12, "&gt;" &amp; AY5)</f>
        <v>0</v>
      </c>
      <c r="BC5" s="31">
        <f t="shared" si="25"/>
        <v>0</v>
      </c>
      <c r="BD5" s="31">
        <f t="shared" si="26"/>
        <v>0</v>
      </c>
      <c r="BE5" s="31">
        <f t="shared" si="27"/>
        <v>0</v>
      </c>
      <c r="BF5" s="32">
        <f t="shared" si="28"/>
        <v>0</v>
      </c>
      <c r="BH5" s="30">
        <v>8.3333333333333301E-2</v>
      </c>
      <c r="BI5" s="10">
        <v>1.0833333333333299</v>
      </c>
      <c r="BJ5" s="31">
        <f t="shared" si="29"/>
        <v>0</v>
      </c>
      <c r="BK5" s="31">
        <f t="shared" si="30"/>
        <v>0</v>
      </c>
      <c r="BL5" s="31">
        <f t="shared" si="31"/>
        <v>0</v>
      </c>
      <c r="BM5" s="31">
        <f t="shared" si="32"/>
        <v>0</v>
      </c>
      <c r="BN5" s="31">
        <f t="shared" si="33"/>
        <v>0</v>
      </c>
      <c r="BO5" s="31">
        <f t="shared" si="34"/>
        <v>0</v>
      </c>
      <c r="BP5" s="32">
        <f t="shared" si="35"/>
        <v>0</v>
      </c>
      <c r="BS5" s="51">
        <v>8.3333333333333301E-2</v>
      </c>
      <c r="BT5" s="51">
        <v>1.0833333333333299</v>
      </c>
      <c r="BU5" s="9">
        <f t="shared" si="36"/>
        <v>11</v>
      </c>
      <c r="BV5" s="9">
        <f t="shared" si="37"/>
        <v>13</v>
      </c>
      <c r="BW5" s="9">
        <f t="shared" si="38"/>
        <v>14</v>
      </c>
      <c r="BX5" s="9">
        <f t="shared" si="39"/>
        <v>11</v>
      </c>
      <c r="BY5" s="9">
        <f t="shared" si="40"/>
        <v>10</v>
      </c>
      <c r="BZ5" s="9">
        <f t="shared" si="41"/>
        <v>8</v>
      </c>
      <c r="CA5" s="29">
        <f t="shared" si="42"/>
        <v>8</v>
      </c>
      <c r="CB5" s="28">
        <f t="shared" si="43"/>
        <v>11</v>
      </c>
      <c r="CC5" s="9">
        <f t="shared" si="44"/>
        <v>13</v>
      </c>
      <c r="CD5" s="9">
        <f t="shared" si="45"/>
        <v>15</v>
      </c>
      <c r="CE5" s="9">
        <f t="shared" si="46"/>
        <v>12</v>
      </c>
      <c r="CF5" s="9">
        <f t="shared" si="47"/>
        <v>9</v>
      </c>
      <c r="CG5" s="9">
        <f t="shared" si="48"/>
        <v>7</v>
      </c>
      <c r="CH5" s="29">
        <f t="shared" si="49"/>
        <v>8</v>
      </c>
      <c r="CI5" s="28">
        <f t="shared" si="50"/>
        <v>11</v>
      </c>
      <c r="CJ5" s="9">
        <f t="shared" si="51"/>
        <v>13</v>
      </c>
      <c r="CK5" s="9">
        <f t="shared" si="52"/>
        <v>15</v>
      </c>
      <c r="CL5" s="9">
        <f t="shared" si="53"/>
        <v>12</v>
      </c>
      <c r="CM5" s="9">
        <f t="shared" si="54"/>
        <v>9</v>
      </c>
      <c r="CN5" s="9">
        <f t="shared" si="55"/>
        <v>7</v>
      </c>
      <c r="CO5" s="29">
        <f t="shared" si="56"/>
        <v>8</v>
      </c>
    </row>
    <row r="6" spans="1:97" ht="14.45" customHeight="1" thickBot="1" x14ac:dyDescent="0.3">
      <c r="A6" s="20" t="str">
        <f>Pavia!B7</f>
        <v>Kent Gil</v>
      </c>
      <c r="B6" s="12">
        <f>IFERROR(VLOOKUP(A6,Pavia!B:I,2,),"-")</f>
        <v>0.375</v>
      </c>
      <c r="C6" s="23">
        <f t="shared" si="1"/>
        <v>0.75</v>
      </c>
      <c r="D6" s="12" t="str">
        <f>IFERROR(VLOOKUP(A6,Pavia!B:I,3,),"-")</f>
        <v>OFF</v>
      </c>
      <c r="E6" s="23" t="str">
        <f t="shared" si="2"/>
        <v>OFF</v>
      </c>
      <c r="F6" s="12" t="str">
        <f>IFERROR(VLOOKUP(A6,Pavia!B:I,4,),"-")</f>
        <v>OFF</v>
      </c>
      <c r="G6" s="23" t="str">
        <f t="shared" si="3"/>
        <v>OFF</v>
      </c>
      <c r="H6" s="12">
        <f>IFERROR(VLOOKUP(A6,Pavia!B:I,5,),"-")</f>
        <v>0.375</v>
      </c>
      <c r="I6" s="23">
        <f t="shared" si="4"/>
        <v>0.75</v>
      </c>
      <c r="J6" s="12">
        <f>IFERROR(VLOOKUP(A6,Pavia!B:I,6,),"-")</f>
        <v>0.375</v>
      </c>
      <c r="K6" s="23">
        <f t="shared" si="5"/>
        <v>0.75</v>
      </c>
      <c r="L6" s="12">
        <f>IFERROR(VLOOKUP(A6,Pavia!B:I,7,),"-")</f>
        <v>0.375</v>
      </c>
      <c r="M6" s="23">
        <f t="shared" si="6"/>
        <v>0.75</v>
      </c>
      <c r="N6" s="12">
        <f>IFERROR(VLOOKUP(A6,Pavia!B:I,8,),"-")</f>
        <v>0.375</v>
      </c>
      <c r="O6" s="23">
        <f t="shared" si="7"/>
        <v>0.75</v>
      </c>
      <c r="Q6" s="12">
        <f>IFERROR(VLOOKUP(A6,Pavia!B:Y,24,),"-")</f>
        <v>0.375</v>
      </c>
      <c r="R6" s="23">
        <f t="shared" si="8"/>
        <v>0.75</v>
      </c>
      <c r="T6" s="25">
        <f>IFERROR(VLOOKUP(A6,Pavia!$B:$J,9,),"-")</f>
        <v>0.375</v>
      </c>
      <c r="U6" s="23">
        <f t="shared" si="9"/>
        <v>0.75</v>
      </c>
      <c r="V6" s="12" t="str">
        <f>IFERROR(VLOOKUP(A6,Pavia!B:K,10,),"-")</f>
        <v>OFF</v>
      </c>
      <c r="W6" s="23" t="str">
        <f t="shared" si="10"/>
        <v>OFF</v>
      </c>
      <c r="X6" s="12" t="str">
        <f>IFERROR(VLOOKUP(A6,Pavia!B:L,11,),"-")</f>
        <v>OFF</v>
      </c>
      <c r="Y6" s="23" t="str">
        <f t="shared" si="11"/>
        <v>OFF</v>
      </c>
      <c r="Z6" s="12">
        <f>IFERROR(VLOOKUP(A6,Pavia!B:M,12,),"-")</f>
        <v>0.375</v>
      </c>
      <c r="AA6" s="23">
        <f t="shared" si="12"/>
        <v>0.75</v>
      </c>
      <c r="AB6" s="12">
        <f>IFERROR(VLOOKUP(A6,Pavia!B:N,13,),"-")</f>
        <v>0.375</v>
      </c>
      <c r="AC6" s="23">
        <f t="shared" si="13"/>
        <v>0.75</v>
      </c>
      <c r="AD6" s="12">
        <f>IFERROR(VLOOKUP(A6,Pavia!B:O,14,),"-")</f>
        <v>0.375</v>
      </c>
      <c r="AE6" s="23">
        <f t="shared" si="14"/>
        <v>0.75</v>
      </c>
      <c r="AF6" s="21">
        <f>IFERROR(VLOOKUP(A6,Pavia!B:P,15,),"-")</f>
        <v>0.375</v>
      </c>
      <c r="AG6" s="23">
        <f t="shared" si="15"/>
        <v>0.75</v>
      </c>
      <c r="AI6" s="25">
        <f>IFERROR(VLOOKUP(A6,Pavia!$B:$Q,16,),"-")</f>
        <v>0.375</v>
      </c>
      <c r="AJ6" s="23">
        <f t="shared" si="16"/>
        <v>0.75</v>
      </c>
      <c r="AK6" s="12" t="str">
        <f>IFERROR(VLOOKUP(A6,Pavia!B:R,17,),"-")</f>
        <v>OFF</v>
      </c>
      <c r="AL6" s="23" t="str">
        <f t="shared" si="17"/>
        <v>OFF</v>
      </c>
      <c r="AM6" s="12" t="str">
        <f>IFERROR(VLOOKUP(A6,Pavia!B:S,18,),"-")</f>
        <v>OFF</v>
      </c>
      <c r="AN6" s="23" t="str">
        <f t="shared" si="18"/>
        <v>OFF</v>
      </c>
      <c r="AO6" s="12">
        <f>IFERROR(VLOOKUP(A6,Pavia!B:T,19,),"-")</f>
        <v>0.375</v>
      </c>
      <c r="AP6" s="23">
        <f t="shared" si="19"/>
        <v>0.75</v>
      </c>
      <c r="AQ6" s="12">
        <f>IFERROR(VLOOKUP(A6,Pavia!B:U,20,),"-")</f>
        <v>0.375</v>
      </c>
      <c r="AR6" s="23">
        <f t="shared" si="20"/>
        <v>0.75</v>
      </c>
      <c r="AS6" s="12">
        <f>IFERROR(VLOOKUP(A6,Pavia!B:V,21,),"-")</f>
        <v>0.375</v>
      </c>
      <c r="AT6" s="23">
        <f t="shared" si="21"/>
        <v>0.75</v>
      </c>
      <c r="AU6" s="21">
        <f>IFERROR(VLOOKUP(A6,Pavia!B:W,22,),"-")</f>
        <v>0.375</v>
      </c>
      <c r="AV6" s="23">
        <f t="shared" si="22"/>
        <v>0.75</v>
      </c>
      <c r="AX6" s="30">
        <v>0.125</v>
      </c>
      <c r="AY6" s="10">
        <v>1.125</v>
      </c>
      <c r="AZ6" s="31">
        <f t="shared" si="23"/>
        <v>0</v>
      </c>
      <c r="BA6" s="31">
        <f t="shared" si="24"/>
        <v>0</v>
      </c>
      <c r="BB6" s="31">
        <f t="shared" ref="BB6:BB26" si="57">(COUNTIFS($F$3:$F$12, "&lt;=" &amp; AX6, $G$3:$G$12, "&gt;" &amp; AX6))+COUNTIFS($D$3:$D$12, "&lt;=" &amp; AY6, $E$3:$E$12, "&gt;" &amp; AY6)</f>
        <v>0</v>
      </c>
      <c r="BC6" s="31">
        <f t="shared" si="25"/>
        <v>0</v>
      </c>
      <c r="BD6" s="31">
        <f t="shared" si="26"/>
        <v>0</v>
      </c>
      <c r="BE6" s="31">
        <f>(COUNTIFS($L$3:$L$12, "&lt;=" &amp; AX6, $M$3:$M$12, "&gt;" &amp; AX6))+COUNTIFS($J$3:$J$12, "&lt;=" &amp; AY6, $K$3:$K$12, "&gt;" &amp; AY6)</f>
        <v>0</v>
      </c>
      <c r="BF6" s="32">
        <f t="shared" si="28"/>
        <v>0</v>
      </c>
      <c r="BH6" s="30">
        <v>0.125</v>
      </c>
      <c r="BI6" s="10">
        <v>1.125</v>
      </c>
      <c r="BJ6" s="31">
        <f t="shared" si="29"/>
        <v>0</v>
      </c>
      <c r="BK6" s="31">
        <f t="shared" si="30"/>
        <v>0</v>
      </c>
      <c r="BL6" s="31">
        <f t="shared" si="31"/>
        <v>0</v>
      </c>
      <c r="BM6" s="31">
        <f t="shared" si="32"/>
        <v>0</v>
      </c>
      <c r="BN6" s="31">
        <f t="shared" si="33"/>
        <v>0</v>
      </c>
      <c r="BO6" s="31">
        <f t="shared" si="34"/>
        <v>0</v>
      </c>
      <c r="BP6" s="32">
        <f t="shared" si="35"/>
        <v>0</v>
      </c>
      <c r="BS6" s="51">
        <v>0.125</v>
      </c>
      <c r="BT6" s="51">
        <v>1.125</v>
      </c>
      <c r="BU6" s="9">
        <f t="shared" si="36"/>
        <v>11</v>
      </c>
      <c r="BV6" s="9">
        <f t="shared" si="37"/>
        <v>13</v>
      </c>
      <c r="BW6" s="9">
        <f t="shared" si="38"/>
        <v>14</v>
      </c>
      <c r="BX6" s="9">
        <f t="shared" si="39"/>
        <v>11</v>
      </c>
      <c r="BY6" s="9">
        <f t="shared" si="40"/>
        <v>10</v>
      </c>
      <c r="BZ6" s="9">
        <f t="shared" si="41"/>
        <v>8</v>
      </c>
      <c r="CA6" s="29">
        <f t="shared" si="42"/>
        <v>8</v>
      </c>
      <c r="CB6" s="28">
        <f t="shared" si="43"/>
        <v>11</v>
      </c>
      <c r="CC6" s="9">
        <f t="shared" si="44"/>
        <v>13</v>
      </c>
      <c r="CD6" s="9">
        <f t="shared" si="45"/>
        <v>15</v>
      </c>
      <c r="CE6" s="9">
        <f t="shared" si="46"/>
        <v>12</v>
      </c>
      <c r="CF6" s="9">
        <f t="shared" si="47"/>
        <v>9</v>
      </c>
      <c r="CG6" s="9">
        <f t="shared" si="48"/>
        <v>7</v>
      </c>
      <c r="CH6" s="29">
        <f t="shared" si="49"/>
        <v>8</v>
      </c>
      <c r="CI6" s="28">
        <f t="shared" si="50"/>
        <v>11</v>
      </c>
      <c r="CJ6" s="9">
        <f t="shared" si="51"/>
        <v>13</v>
      </c>
      <c r="CK6" s="9">
        <f t="shared" si="52"/>
        <v>15</v>
      </c>
      <c r="CL6" s="9">
        <f t="shared" si="53"/>
        <v>12</v>
      </c>
      <c r="CM6" s="9">
        <f t="shared" si="54"/>
        <v>9</v>
      </c>
      <c r="CN6" s="9">
        <f t="shared" si="55"/>
        <v>7</v>
      </c>
      <c r="CO6" s="29">
        <f t="shared" si="56"/>
        <v>8</v>
      </c>
    </row>
    <row r="7" spans="1:97" ht="14.45" customHeight="1" thickBot="1" x14ac:dyDescent="0.3">
      <c r="A7" s="20" t="str">
        <f>Pavia!B8</f>
        <v>Tim Justine Jover</v>
      </c>
      <c r="B7" s="12">
        <f>IFERROR(VLOOKUP(A7,Pavia!B:I,2,),"-")</f>
        <v>0.375</v>
      </c>
      <c r="C7" s="23">
        <f t="shared" si="1"/>
        <v>0.75</v>
      </c>
      <c r="D7" s="12" t="str">
        <f>IFERROR(VLOOKUP(A7,Pavia!B:I,3,),"-")</f>
        <v>OFF</v>
      </c>
      <c r="E7" s="23" t="str">
        <f t="shared" si="2"/>
        <v>OFF</v>
      </c>
      <c r="F7" s="12" t="str">
        <f>IFERROR(VLOOKUP(A7,Pavia!B:I,4,),"-")</f>
        <v>OFF</v>
      </c>
      <c r="G7" s="23" t="str">
        <f t="shared" si="3"/>
        <v>OFF</v>
      </c>
      <c r="H7" s="12">
        <f>IFERROR(VLOOKUP(A7,Pavia!B:I,5,),"-")</f>
        <v>0.375</v>
      </c>
      <c r="I7" s="23">
        <f t="shared" si="4"/>
        <v>0.75</v>
      </c>
      <c r="J7" s="12">
        <f>IFERROR(VLOOKUP(A7,Pavia!B:I,6,),"-")</f>
        <v>0.375</v>
      </c>
      <c r="K7" s="23">
        <f t="shared" si="5"/>
        <v>0.75</v>
      </c>
      <c r="L7" s="12">
        <f>IFERROR(VLOOKUP(A7,Pavia!B:I,7,),"-")</f>
        <v>0.375</v>
      </c>
      <c r="M7" s="23">
        <f t="shared" si="6"/>
        <v>0.75</v>
      </c>
      <c r="N7" s="12">
        <f>IFERROR(VLOOKUP(A7,Pavia!B:I,8,),"-")</f>
        <v>0.375</v>
      </c>
      <c r="O7" s="23">
        <f t="shared" si="7"/>
        <v>0.75</v>
      </c>
      <c r="Q7" s="12">
        <f>IFERROR(VLOOKUP(A7,Pavia!B:Y,24,),"-")</f>
        <v>0.375</v>
      </c>
      <c r="R7" s="23">
        <f t="shared" si="8"/>
        <v>0.75</v>
      </c>
      <c r="T7" s="25">
        <f>IFERROR(VLOOKUP(A7,Pavia!$B:$J,9,),"-")</f>
        <v>0.375</v>
      </c>
      <c r="U7" s="23">
        <f t="shared" si="9"/>
        <v>0.75</v>
      </c>
      <c r="V7" s="12" t="str">
        <f>IFERROR(VLOOKUP(A7,Pavia!B:K,10,),"-")</f>
        <v>OFF</v>
      </c>
      <c r="W7" s="23" t="str">
        <f t="shared" si="10"/>
        <v>OFF</v>
      </c>
      <c r="X7" s="12" t="str">
        <f>IFERROR(VLOOKUP(A7,Pavia!B:L,11,),"-")</f>
        <v>OFF</v>
      </c>
      <c r="Y7" s="23" t="str">
        <f t="shared" si="11"/>
        <v>OFF</v>
      </c>
      <c r="Z7" s="12">
        <f>IFERROR(VLOOKUP(A7,Pavia!B:M,12,),"-")</f>
        <v>0.375</v>
      </c>
      <c r="AA7" s="23">
        <f t="shared" si="12"/>
        <v>0.75</v>
      </c>
      <c r="AB7" s="12">
        <f>IFERROR(VLOOKUP(A7,Pavia!B:N,13,),"-")</f>
        <v>0.375</v>
      </c>
      <c r="AC7" s="23">
        <f t="shared" si="13"/>
        <v>0.75</v>
      </c>
      <c r="AD7" s="12">
        <f>IFERROR(VLOOKUP(A7,Pavia!B:O,14,),"-")</f>
        <v>0.375</v>
      </c>
      <c r="AE7" s="23">
        <f t="shared" si="14"/>
        <v>0.75</v>
      </c>
      <c r="AF7" s="21">
        <f>IFERROR(VLOOKUP(A7,Pavia!B:P,15,),"-")</f>
        <v>0.375</v>
      </c>
      <c r="AG7" s="23">
        <f t="shared" si="15"/>
        <v>0.75</v>
      </c>
      <c r="AI7" s="25">
        <f>IFERROR(VLOOKUP(A7,Pavia!$B:$Q,16,),"-")</f>
        <v>0.375</v>
      </c>
      <c r="AJ7" s="23">
        <f t="shared" si="16"/>
        <v>0.75</v>
      </c>
      <c r="AK7" s="12" t="str">
        <f>IFERROR(VLOOKUP(A7,Pavia!B:R,17,),"-")</f>
        <v>OFF</v>
      </c>
      <c r="AL7" s="23" t="str">
        <f t="shared" si="17"/>
        <v>OFF</v>
      </c>
      <c r="AM7" s="12" t="str">
        <f>IFERROR(VLOOKUP(A7,Pavia!B:S,18,),"-")</f>
        <v>OFF</v>
      </c>
      <c r="AN7" s="23" t="str">
        <f t="shared" si="18"/>
        <v>OFF</v>
      </c>
      <c r="AO7" s="12">
        <f>IFERROR(VLOOKUP(A7,Pavia!B:T,19,),"-")</f>
        <v>0.375</v>
      </c>
      <c r="AP7" s="23">
        <f t="shared" si="19"/>
        <v>0.75</v>
      </c>
      <c r="AQ7" s="12">
        <f>IFERROR(VLOOKUP(A7,Pavia!B:U,20,),"-")</f>
        <v>0.375</v>
      </c>
      <c r="AR7" s="23">
        <f t="shared" si="20"/>
        <v>0.75</v>
      </c>
      <c r="AS7" s="12">
        <f>IFERROR(VLOOKUP(A7,Pavia!B:V,21,),"-")</f>
        <v>0.375</v>
      </c>
      <c r="AT7" s="23">
        <f t="shared" si="21"/>
        <v>0.75</v>
      </c>
      <c r="AU7" s="21">
        <f>IFERROR(VLOOKUP(A7,Pavia!B:W,22,),"-")</f>
        <v>0.375</v>
      </c>
      <c r="AV7" s="23">
        <f t="shared" si="22"/>
        <v>0.75</v>
      </c>
      <c r="AX7" s="30">
        <v>0.16666666666666699</v>
      </c>
      <c r="AY7" s="10">
        <v>1.1666666666666701</v>
      </c>
      <c r="AZ7" s="31">
        <f t="shared" si="23"/>
        <v>0</v>
      </c>
      <c r="BA7" s="31">
        <f t="shared" si="24"/>
        <v>0</v>
      </c>
      <c r="BB7" s="31">
        <f t="shared" si="57"/>
        <v>0</v>
      </c>
      <c r="BC7" s="31">
        <f t="shared" si="25"/>
        <v>0</v>
      </c>
      <c r="BD7" s="31">
        <f t="shared" si="26"/>
        <v>0</v>
      </c>
      <c r="BE7" s="31">
        <f>(COUNTIFS($L$3:$L$12, "&lt;=" &amp; AX7, $M$3:$M$12, "&gt;" &amp; AX7))+COUNTIFS($J$3:$J$12, "&lt;=" &amp; AY7, $K$3:$K$12, "&gt;" &amp; AY7)</f>
        <v>0</v>
      </c>
      <c r="BF7" s="32">
        <f t="shared" si="28"/>
        <v>0</v>
      </c>
      <c r="BH7" s="30">
        <v>0.16666666666666699</v>
      </c>
      <c r="BI7" s="10">
        <v>1.1666666666666601</v>
      </c>
      <c r="BJ7" s="31">
        <f t="shared" si="29"/>
        <v>0</v>
      </c>
      <c r="BK7" s="31">
        <f t="shared" si="30"/>
        <v>0</v>
      </c>
      <c r="BL7" s="31">
        <f t="shared" si="31"/>
        <v>0</v>
      </c>
      <c r="BM7" s="31">
        <f t="shared" si="32"/>
        <v>0</v>
      </c>
      <c r="BN7" s="31">
        <f t="shared" si="33"/>
        <v>0</v>
      </c>
      <c r="BO7" s="31">
        <f t="shared" si="34"/>
        <v>0</v>
      </c>
      <c r="BP7" s="32">
        <f t="shared" si="35"/>
        <v>0</v>
      </c>
      <c r="BS7" s="51">
        <v>0.16666666666666699</v>
      </c>
      <c r="BT7" s="51">
        <v>1.1666666666666701</v>
      </c>
      <c r="BU7" s="9">
        <f t="shared" si="36"/>
        <v>11</v>
      </c>
      <c r="BV7" s="9">
        <f t="shared" si="37"/>
        <v>13</v>
      </c>
      <c r="BW7" s="9">
        <f t="shared" si="38"/>
        <v>14</v>
      </c>
      <c r="BX7" s="9">
        <f t="shared" si="39"/>
        <v>11</v>
      </c>
      <c r="BY7" s="9">
        <f t="shared" si="40"/>
        <v>10</v>
      </c>
      <c r="BZ7" s="9">
        <f t="shared" si="41"/>
        <v>8</v>
      </c>
      <c r="CA7" s="29">
        <f t="shared" si="42"/>
        <v>8</v>
      </c>
      <c r="CB7" s="28">
        <f t="shared" si="43"/>
        <v>11</v>
      </c>
      <c r="CC7" s="9">
        <f t="shared" si="44"/>
        <v>13</v>
      </c>
      <c r="CD7" s="9">
        <f t="shared" si="45"/>
        <v>15</v>
      </c>
      <c r="CE7" s="9">
        <f t="shared" si="46"/>
        <v>12</v>
      </c>
      <c r="CF7" s="9">
        <f t="shared" si="47"/>
        <v>9</v>
      </c>
      <c r="CG7" s="9">
        <f t="shared" si="48"/>
        <v>7</v>
      </c>
      <c r="CH7" s="29">
        <f t="shared" si="49"/>
        <v>8</v>
      </c>
      <c r="CI7" s="28">
        <f t="shared" si="50"/>
        <v>11</v>
      </c>
      <c r="CJ7" s="9">
        <f t="shared" si="51"/>
        <v>13</v>
      </c>
      <c r="CK7" s="9">
        <f t="shared" si="52"/>
        <v>15</v>
      </c>
      <c r="CL7" s="9">
        <f t="shared" si="53"/>
        <v>12</v>
      </c>
      <c r="CM7" s="9">
        <f t="shared" si="54"/>
        <v>9</v>
      </c>
      <c r="CN7" s="9">
        <f t="shared" si="55"/>
        <v>7</v>
      </c>
      <c r="CO7" s="29">
        <f t="shared" si="56"/>
        <v>8</v>
      </c>
    </row>
    <row r="8" spans="1:97" ht="14.45" customHeight="1" thickBot="1" x14ac:dyDescent="0.3">
      <c r="A8" s="20" t="str">
        <f>Pavia!B9</f>
        <v>Allyzza Mae Ibañez</v>
      </c>
      <c r="B8" s="12">
        <f>IFERROR(VLOOKUP(A8,Pavia!B:I,2,),"-")</f>
        <v>0.375</v>
      </c>
      <c r="C8" s="23">
        <f t="shared" si="1"/>
        <v>0.75</v>
      </c>
      <c r="D8" s="12" t="str">
        <f>IFERROR(VLOOKUP(A8,Pavia!B:I,3,),"-")</f>
        <v>OFF</v>
      </c>
      <c r="E8" s="23" t="str">
        <f t="shared" si="2"/>
        <v>OFF</v>
      </c>
      <c r="F8" s="12" t="str">
        <f>IFERROR(VLOOKUP(A8,Pavia!B:I,4,),"-")</f>
        <v>OFF</v>
      </c>
      <c r="G8" s="23" t="str">
        <f t="shared" si="3"/>
        <v>OFF</v>
      </c>
      <c r="H8" s="12">
        <f>IFERROR(VLOOKUP(A8,Pavia!B:I,5,),"-")</f>
        <v>0.375</v>
      </c>
      <c r="I8" s="23">
        <f t="shared" si="4"/>
        <v>0.75</v>
      </c>
      <c r="J8" s="12">
        <f>IFERROR(VLOOKUP(A8,Pavia!B:I,6,),"-")</f>
        <v>0.375</v>
      </c>
      <c r="K8" s="23">
        <f t="shared" si="5"/>
        <v>0.75</v>
      </c>
      <c r="L8" s="12">
        <f>IFERROR(VLOOKUP(A8,Pavia!B:I,7,),"-")</f>
        <v>0.375</v>
      </c>
      <c r="M8" s="23">
        <f t="shared" si="6"/>
        <v>0.75</v>
      </c>
      <c r="N8" s="12">
        <f>IFERROR(VLOOKUP(A8,Pavia!B:I,8,),"-")</f>
        <v>0.375</v>
      </c>
      <c r="O8" s="23">
        <f t="shared" si="7"/>
        <v>0.75</v>
      </c>
      <c r="Q8" s="12">
        <f>IFERROR(VLOOKUP(A8,Pavia!B:Y,24,),"-")</f>
        <v>0.375</v>
      </c>
      <c r="R8" s="23">
        <f t="shared" si="8"/>
        <v>0.75</v>
      </c>
      <c r="T8" s="25">
        <f>IFERROR(VLOOKUP(A8,Pavia!$B:$J,9,),"-")</f>
        <v>0.375</v>
      </c>
      <c r="U8" s="23">
        <f t="shared" si="9"/>
        <v>0.75</v>
      </c>
      <c r="V8" s="12" t="str">
        <f>IFERROR(VLOOKUP(A8,Pavia!B:K,10,),"-")</f>
        <v>OFF</v>
      </c>
      <c r="W8" s="23" t="str">
        <f t="shared" si="10"/>
        <v>OFF</v>
      </c>
      <c r="X8" s="12" t="str">
        <f>IFERROR(VLOOKUP(A8,Pavia!B:L,11,),"-")</f>
        <v>OFF</v>
      </c>
      <c r="Y8" s="23" t="str">
        <f t="shared" si="11"/>
        <v>OFF</v>
      </c>
      <c r="Z8" s="12">
        <f>IFERROR(VLOOKUP(A8,Pavia!B:M,12,),"-")</f>
        <v>0.375</v>
      </c>
      <c r="AA8" s="23">
        <f t="shared" si="12"/>
        <v>0.75</v>
      </c>
      <c r="AB8" s="12">
        <f>IFERROR(VLOOKUP(A8,Pavia!B:N,13,),"-")</f>
        <v>0.375</v>
      </c>
      <c r="AC8" s="23">
        <f t="shared" si="13"/>
        <v>0.75</v>
      </c>
      <c r="AD8" s="12">
        <f>IFERROR(VLOOKUP(A8,Pavia!B:O,14,),"-")</f>
        <v>0.375</v>
      </c>
      <c r="AE8" s="23">
        <f t="shared" si="14"/>
        <v>0.75</v>
      </c>
      <c r="AF8" s="21">
        <f>IFERROR(VLOOKUP(A8,Pavia!B:P,15,),"-")</f>
        <v>0.375</v>
      </c>
      <c r="AG8" s="23">
        <f t="shared" si="15"/>
        <v>0.75</v>
      </c>
      <c r="AI8" s="25">
        <f>IFERROR(VLOOKUP(A8,Pavia!$B:$Q,16,),"-")</f>
        <v>0.375</v>
      </c>
      <c r="AJ8" s="23">
        <f t="shared" si="16"/>
        <v>0.75</v>
      </c>
      <c r="AK8" s="12" t="str">
        <f>IFERROR(VLOOKUP(A8,Pavia!B:R,17,),"-")</f>
        <v>OFF</v>
      </c>
      <c r="AL8" s="23" t="str">
        <f t="shared" si="17"/>
        <v>OFF</v>
      </c>
      <c r="AM8" s="12" t="str">
        <f>IFERROR(VLOOKUP(A8,Pavia!B:S,18,),"-")</f>
        <v>OFF</v>
      </c>
      <c r="AN8" s="23" t="str">
        <f t="shared" si="18"/>
        <v>OFF</v>
      </c>
      <c r="AO8" s="12">
        <f>IFERROR(VLOOKUP(A8,Pavia!B:T,19,),"-")</f>
        <v>0.375</v>
      </c>
      <c r="AP8" s="23">
        <f t="shared" si="19"/>
        <v>0.75</v>
      </c>
      <c r="AQ8" s="12">
        <f>IFERROR(VLOOKUP(A8,Pavia!B:U,20,),"-")</f>
        <v>0.375</v>
      </c>
      <c r="AR8" s="23">
        <f t="shared" si="20"/>
        <v>0.75</v>
      </c>
      <c r="AS8" s="12">
        <f>IFERROR(VLOOKUP(A8,Pavia!B:V,21,),"-")</f>
        <v>0.375</v>
      </c>
      <c r="AT8" s="23">
        <f t="shared" si="21"/>
        <v>0.75</v>
      </c>
      <c r="AU8" s="21">
        <f>IFERROR(VLOOKUP(A8,Pavia!B:W,22,),"-")</f>
        <v>0.375</v>
      </c>
      <c r="AV8" s="23">
        <f t="shared" si="22"/>
        <v>0.75</v>
      </c>
      <c r="AX8" s="30">
        <v>0.20833333333333301</v>
      </c>
      <c r="AY8" s="10">
        <v>1.2083333333333399</v>
      </c>
      <c r="AZ8" s="31">
        <f t="shared" si="23"/>
        <v>0</v>
      </c>
      <c r="BA8" s="31">
        <f t="shared" si="24"/>
        <v>0</v>
      </c>
      <c r="BB8" s="31">
        <f t="shared" si="57"/>
        <v>0</v>
      </c>
      <c r="BC8" s="31">
        <f t="shared" si="25"/>
        <v>0</v>
      </c>
      <c r="BD8" s="31">
        <f t="shared" si="26"/>
        <v>0</v>
      </c>
      <c r="BE8" s="31">
        <f t="shared" si="27"/>
        <v>0</v>
      </c>
      <c r="BF8" s="32">
        <f t="shared" si="28"/>
        <v>0</v>
      </c>
      <c r="BH8" s="30">
        <v>0.20833333333333301</v>
      </c>
      <c r="BI8" s="10">
        <v>1.2083333333333299</v>
      </c>
      <c r="BJ8" s="31">
        <f t="shared" si="29"/>
        <v>0</v>
      </c>
      <c r="BK8" s="31">
        <f t="shared" si="30"/>
        <v>0</v>
      </c>
      <c r="BL8" s="31">
        <f t="shared" si="31"/>
        <v>0</v>
      </c>
      <c r="BM8" s="31">
        <f t="shared" si="32"/>
        <v>0</v>
      </c>
      <c r="BN8" s="31">
        <f t="shared" si="33"/>
        <v>0</v>
      </c>
      <c r="BO8" s="31">
        <f t="shared" si="34"/>
        <v>0</v>
      </c>
      <c r="BP8" s="32">
        <f t="shared" si="35"/>
        <v>0</v>
      </c>
      <c r="BS8" s="51">
        <v>0.20833333333333334</v>
      </c>
      <c r="BT8" s="51">
        <v>1.2083333333333399</v>
      </c>
      <c r="BU8" s="9">
        <f t="shared" si="36"/>
        <v>11</v>
      </c>
      <c r="BV8" s="9">
        <f t="shared" si="37"/>
        <v>13</v>
      </c>
      <c r="BW8" s="9">
        <f t="shared" si="38"/>
        <v>14</v>
      </c>
      <c r="BX8" s="9">
        <f t="shared" si="39"/>
        <v>11</v>
      </c>
      <c r="BY8" s="9">
        <f t="shared" si="40"/>
        <v>10</v>
      </c>
      <c r="BZ8" s="9">
        <f t="shared" si="41"/>
        <v>8</v>
      </c>
      <c r="CA8" s="29">
        <f t="shared" si="42"/>
        <v>8</v>
      </c>
      <c r="CB8" s="28">
        <f t="shared" si="43"/>
        <v>11</v>
      </c>
      <c r="CC8" s="9">
        <f t="shared" si="44"/>
        <v>13</v>
      </c>
      <c r="CD8" s="9">
        <f t="shared" si="45"/>
        <v>15</v>
      </c>
      <c r="CE8" s="9">
        <f t="shared" si="46"/>
        <v>12</v>
      </c>
      <c r="CF8" s="9">
        <f t="shared" si="47"/>
        <v>9</v>
      </c>
      <c r="CG8" s="9">
        <f t="shared" si="48"/>
        <v>7</v>
      </c>
      <c r="CH8" s="29">
        <f t="shared" si="49"/>
        <v>8</v>
      </c>
      <c r="CI8" s="28">
        <f t="shared" si="50"/>
        <v>11</v>
      </c>
      <c r="CJ8" s="9">
        <f t="shared" si="51"/>
        <v>13</v>
      </c>
      <c r="CK8" s="9">
        <f t="shared" si="52"/>
        <v>15</v>
      </c>
      <c r="CL8" s="9">
        <f t="shared" si="53"/>
        <v>12</v>
      </c>
      <c r="CM8" s="9">
        <f t="shared" si="54"/>
        <v>9</v>
      </c>
      <c r="CN8" s="9">
        <f t="shared" si="55"/>
        <v>7</v>
      </c>
      <c r="CO8" s="29">
        <f t="shared" si="56"/>
        <v>8</v>
      </c>
    </row>
    <row r="9" spans="1:97" ht="14.45" customHeight="1" thickBot="1" x14ac:dyDescent="0.3">
      <c r="A9" s="20" t="str">
        <f>Pavia!B10</f>
        <v>John Paul Rando</v>
      </c>
      <c r="B9" s="12">
        <f>IFERROR(VLOOKUP(A9,Pavia!B:I,2,),"-")</f>
        <v>0.375</v>
      </c>
      <c r="C9" s="23">
        <f t="shared" si="1"/>
        <v>0.75</v>
      </c>
      <c r="D9" s="12" t="str">
        <f>IFERROR(VLOOKUP(A9,Pavia!B:I,3,),"-")</f>
        <v>OFF</v>
      </c>
      <c r="E9" s="23" t="str">
        <f t="shared" si="2"/>
        <v>OFF</v>
      </c>
      <c r="F9" s="12" t="str">
        <f>IFERROR(VLOOKUP(A9,Pavia!B:I,4,),"-")</f>
        <v>OFF</v>
      </c>
      <c r="G9" s="23" t="str">
        <f t="shared" si="3"/>
        <v>OFF</v>
      </c>
      <c r="H9" s="12">
        <f>IFERROR(VLOOKUP(A9,Pavia!B:I,5,),"-")</f>
        <v>0.375</v>
      </c>
      <c r="I9" s="23">
        <f t="shared" si="4"/>
        <v>0.75</v>
      </c>
      <c r="J9" s="12">
        <f>IFERROR(VLOOKUP(A9,Pavia!B:I,6,),"-")</f>
        <v>0.375</v>
      </c>
      <c r="K9" s="23">
        <f t="shared" si="5"/>
        <v>0.75</v>
      </c>
      <c r="L9" s="12">
        <f>IFERROR(VLOOKUP(A9,Pavia!B:I,7,),"-")</f>
        <v>0.375</v>
      </c>
      <c r="M9" s="23">
        <f t="shared" si="6"/>
        <v>0.75</v>
      </c>
      <c r="N9" s="12">
        <f>IFERROR(VLOOKUP(A9,Pavia!B:I,8,),"-")</f>
        <v>0.375</v>
      </c>
      <c r="O9" s="23">
        <f t="shared" si="7"/>
        <v>0.75</v>
      </c>
      <c r="Q9" s="12">
        <f>IFERROR(VLOOKUP(A9,Pavia!B:Y,24,),"-")</f>
        <v>0.375</v>
      </c>
      <c r="R9" s="23">
        <f t="shared" si="8"/>
        <v>0.75</v>
      </c>
      <c r="T9" s="25">
        <f>IFERROR(VLOOKUP(A9,Pavia!$B:$J,9,),"-")</f>
        <v>0.375</v>
      </c>
      <c r="U9" s="23">
        <f t="shared" si="9"/>
        <v>0.75</v>
      </c>
      <c r="V9" s="12" t="str">
        <f>IFERROR(VLOOKUP(A9,Pavia!B:K,10,),"-")</f>
        <v>OFF</v>
      </c>
      <c r="W9" s="23" t="str">
        <f t="shared" si="10"/>
        <v>OFF</v>
      </c>
      <c r="X9" s="12" t="str">
        <f>IFERROR(VLOOKUP(A9,Pavia!B:L,11,),"-")</f>
        <v>OFF</v>
      </c>
      <c r="Y9" s="23" t="str">
        <f t="shared" si="11"/>
        <v>OFF</v>
      </c>
      <c r="Z9" s="12">
        <f>IFERROR(VLOOKUP(A9,Pavia!B:M,12,),"-")</f>
        <v>0.375</v>
      </c>
      <c r="AA9" s="23">
        <f t="shared" si="12"/>
        <v>0.75</v>
      </c>
      <c r="AB9" s="12">
        <f>IFERROR(VLOOKUP(A9,Pavia!B:N,13,),"-")</f>
        <v>0.375</v>
      </c>
      <c r="AC9" s="23">
        <f t="shared" si="13"/>
        <v>0.75</v>
      </c>
      <c r="AD9" s="12">
        <f>IFERROR(VLOOKUP(A9,Pavia!B:O,14,),"-")</f>
        <v>0.375</v>
      </c>
      <c r="AE9" s="23">
        <f t="shared" si="14"/>
        <v>0.75</v>
      </c>
      <c r="AF9" s="21">
        <f>IFERROR(VLOOKUP(A9,Pavia!B:P,15,),"-")</f>
        <v>0.375</v>
      </c>
      <c r="AG9" s="23">
        <f t="shared" si="15"/>
        <v>0.75</v>
      </c>
      <c r="AI9" s="25">
        <f>IFERROR(VLOOKUP(A9,Pavia!$B:$Q,16,),"-")</f>
        <v>0.375</v>
      </c>
      <c r="AJ9" s="23">
        <f t="shared" si="16"/>
        <v>0.75</v>
      </c>
      <c r="AK9" s="12" t="str">
        <f>IFERROR(VLOOKUP(A9,Pavia!B:R,17,),"-")</f>
        <v>OFF</v>
      </c>
      <c r="AL9" s="23" t="str">
        <f t="shared" si="17"/>
        <v>OFF</v>
      </c>
      <c r="AM9" s="12" t="str">
        <f>IFERROR(VLOOKUP(A9,Pavia!B:S,18,),"-")</f>
        <v>OFF</v>
      </c>
      <c r="AN9" s="23" t="str">
        <f t="shared" si="18"/>
        <v>OFF</v>
      </c>
      <c r="AO9" s="12">
        <f>IFERROR(VLOOKUP(A9,Pavia!B:T,19,),"-")</f>
        <v>0.375</v>
      </c>
      <c r="AP9" s="23">
        <f t="shared" si="19"/>
        <v>0.75</v>
      </c>
      <c r="AQ9" s="12">
        <f>IFERROR(VLOOKUP(A9,Pavia!B:U,20,),"-")</f>
        <v>0.375</v>
      </c>
      <c r="AR9" s="23">
        <f t="shared" si="20"/>
        <v>0.75</v>
      </c>
      <c r="AS9" s="12">
        <f>IFERROR(VLOOKUP(A9,Pavia!B:V,21,),"-")</f>
        <v>0.375</v>
      </c>
      <c r="AT9" s="23">
        <f t="shared" si="21"/>
        <v>0.75</v>
      </c>
      <c r="AU9" s="21">
        <f>IFERROR(VLOOKUP(A9,Pavia!B:W,22,),"-")</f>
        <v>0.375</v>
      </c>
      <c r="AV9" s="23">
        <f t="shared" si="22"/>
        <v>0.75</v>
      </c>
      <c r="AX9" s="30">
        <v>0.25</v>
      </c>
      <c r="AY9" s="10">
        <v>1.25</v>
      </c>
      <c r="AZ9" s="31">
        <f t="shared" si="23"/>
        <v>0</v>
      </c>
      <c r="BA9" s="31">
        <f t="shared" si="24"/>
        <v>0</v>
      </c>
      <c r="BB9" s="31">
        <f t="shared" si="57"/>
        <v>0</v>
      </c>
      <c r="BC9" s="31">
        <f t="shared" si="25"/>
        <v>0</v>
      </c>
      <c r="BD9" s="31">
        <f t="shared" si="26"/>
        <v>0</v>
      </c>
      <c r="BE9" s="31">
        <f t="shared" si="27"/>
        <v>0</v>
      </c>
      <c r="BF9" s="32">
        <f t="shared" si="28"/>
        <v>0</v>
      </c>
      <c r="BH9" s="30">
        <v>0.25</v>
      </c>
      <c r="BI9" s="10">
        <v>1.25</v>
      </c>
      <c r="BJ9" s="31">
        <f t="shared" si="29"/>
        <v>0</v>
      </c>
      <c r="BK9" s="31">
        <f t="shared" si="30"/>
        <v>0</v>
      </c>
      <c r="BL9" s="31">
        <f t="shared" si="31"/>
        <v>0</v>
      </c>
      <c r="BM9" s="31">
        <f t="shared" si="32"/>
        <v>0</v>
      </c>
      <c r="BN9" s="31">
        <f t="shared" si="33"/>
        <v>0</v>
      </c>
      <c r="BO9" s="31">
        <f t="shared" si="34"/>
        <v>0</v>
      </c>
      <c r="BP9" s="32">
        <f t="shared" si="35"/>
        <v>0</v>
      </c>
      <c r="BS9" s="51">
        <v>0.25</v>
      </c>
      <c r="BT9" s="51">
        <v>1.25000000000001</v>
      </c>
      <c r="BU9" s="9">
        <f t="shared" si="36"/>
        <v>0</v>
      </c>
      <c r="BV9" s="9">
        <f t="shared" si="37"/>
        <v>0</v>
      </c>
      <c r="BW9" s="9">
        <f t="shared" si="38"/>
        <v>0</v>
      </c>
      <c r="BX9" s="9">
        <f t="shared" si="39"/>
        <v>0</v>
      </c>
      <c r="BY9" s="9">
        <f t="shared" si="40"/>
        <v>0</v>
      </c>
      <c r="BZ9" s="9">
        <f t="shared" si="41"/>
        <v>0</v>
      </c>
      <c r="CA9" s="29">
        <f t="shared" si="42"/>
        <v>0</v>
      </c>
      <c r="CB9" s="28">
        <f t="shared" si="43"/>
        <v>0</v>
      </c>
      <c r="CC9" s="9">
        <f t="shared" si="44"/>
        <v>0</v>
      </c>
      <c r="CD9" s="9">
        <f t="shared" si="45"/>
        <v>0</v>
      </c>
      <c r="CE9" s="9">
        <f t="shared" si="46"/>
        <v>0</v>
      </c>
      <c r="CF9" s="9">
        <f t="shared" si="47"/>
        <v>0</v>
      </c>
      <c r="CG9" s="9">
        <f t="shared" si="48"/>
        <v>0</v>
      </c>
      <c r="CH9" s="29">
        <f t="shared" si="49"/>
        <v>0</v>
      </c>
      <c r="CI9" s="28">
        <f t="shared" si="50"/>
        <v>0</v>
      </c>
      <c r="CJ9" s="9">
        <f t="shared" si="51"/>
        <v>0</v>
      </c>
      <c r="CK9" s="9">
        <f t="shared" si="52"/>
        <v>0</v>
      </c>
      <c r="CL9" s="9">
        <f t="shared" si="53"/>
        <v>0</v>
      </c>
      <c r="CM9" s="9">
        <f t="shared" si="54"/>
        <v>0</v>
      </c>
      <c r="CN9" s="9">
        <f t="shared" si="55"/>
        <v>0</v>
      </c>
      <c r="CO9" s="29">
        <f t="shared" si="56"/>
        <v>0</v>
      </c>
    </row>
    <row r="10" spans="1:97" ht="14.45" customHeight="1" thickBot="1" x14ac:dyDescent="0.3">
      <c r="A10" s="20" t="str">
        <f>Pavia!B11</f>
        <v>Edamie Fajardo</v>
      </c>
      <c r="B10" s="12">
        <f>IFERROR(VLOOKUP(A10,Pavia!B:I,2,),"-")</f>
        <v>0.375</v>
      </c>
      <c r="C10" s="23">
        <f t="shared" si="1"/>
        <v>0.75</v>
      </c>
      <c r="D10" s="12" t="str">
        <f>IFERROR(VLOOKUP(A10,Pavia!B:I,3,),"-")</f>
        <v>OFF</v>
      </c>
      <c r="E10" s="23" t="str">
        <f t="shared" si="2"/>
        <v>OFF</v>
      </c>
      <c r="F10" s="12" t="str">
        <f>IFERROR(VLOOKUP(A10,Pavia!B:I,4,),"-")</f>
        <v>OFF</v>
      </c>
      <c r="G10" s="23" t="str">
        <f t="shared" si="3"/>
        <v>OFF</v>
      </c>
      <c r="H10" s="12">
        <f>IFERROR(VLOOKUP(A10,Pavia!B:I,5,),"-")</f>
        <v>0.375</v>
      </c>
      <c r="I10" s="23">
        <f t="shared" si="4"/>
        <v>0.75</v>
      </c>
      <c r="J10" s="12">
        <f>IFERROR(VLOOKUP(A10,Pavia!B:I,6,),"-")</f>
        <v>0.375</v>
      </c>
      <c r="K10" s="23">
        <f t="shared" si="5"/>
        <v>0.75</v>
      </c>
      <c r="L10" s="12">
        <f>IFERROR(VLOOKUP(A10,Pavia!B:I,7,),"-")</f>
        <v>0.375</v>
      </c>
      <c r="M10" s="23">
        <f t="shared" si="6"/>
        <v>0.75</v>
      </c>
      <c r="N10" s="12">
        <f>IFERROR(VLOOKUP(A10,Pavia!B:I,8,),"-")</f>
        <v>0.375</v>
      </c>
      <c r="O10" s="23">
        <f t="shared" si="7"/>
        <v>0.75</v>
      </c>
      <c r="Q10" s="12">
        <f>IFERROR(VLOOKUP(A10,Pavia!B:Y,24,),"-")</f>
        <v>0.375</v>
      </c>
      <c r="R10" s="23">
        <f t="shared" si="8"/>
        <v>0.75</v>
      </c>
      <c r="T10" s="25">
        <f>IFERROR(VLOOKUP(A10,Pavia!$B:$J,9,),"-")</f>
        <v>0.375</v>
      </c>
      <c r="U10" s="23">
        <f t="shared" si="9"/>
        <v>0.75</v>
      </c>
      <c r="V10" s="12" t="str">
        <f>IFERROR(VLOOKUP(A10,Pavia!B:K,10,),"-")</f>
        <v>OFF</v>
      </c>
      <c r="W10" s="23" t="str">
        <f t="shared" si="10"/>
        <v>OFF</v>
      </c>
      <c r="X10" s="12" t="str">
        <f>IFERROR(VLOOKUP(A10,Pavia!B:L,11,),"-")</f>
        <v>OFF</v>
      </c>
      <c r="Y10" s="23" t="str">
        <f t="shared" si="11"/>
        <v>OFF</v>
      </c>
      <c r="Z10" s="12">
        <f>IFERROR(VLOOKUP(A10,Pavia!B:M,12,),"-")</f>
        <v>0.375</v>
      </c>
      <c r="AA10" s="23">
        <f t="shared" si="12"/>
        <v>0.75</v>
      </c>
      <c r="AB10" s="12">
        <f>IFERROR(VLOOKUP(A10,Pavia!B:N,13,),"-")</f>
        <v>0.375</v>
      </c>
      <c r="AC10" s="23">
        <f t="shared" si="13"/>
        <v>0.75</v>
      </c>
      <c r="AD10" s="12">
        <f>IFERROR(VLOOKUP(A10,Pavia!B:O,14,),"-")</f>
        <v>0.375</v>
      </c>
      <c r="AE10" s="23">
        <f t="shared" si="14"/>
        <v>0.75</v>
      </c>
      <c r="AF10" s="21">
        <f>IFERROR(VLOOKUP(A10,Pavia!B:P,15,),"-")</f>
        <v>0.375</v>
      </c>
      <c r="AG10" s="23">
        <f t="shared" si="15"/>
        <v>0.75</v>
      </c>
      <c r="AI10" s="25">
        <f>IFERROR(VLOOKUP(A10,Pavia!$B:$Q,16,),"-")</f>
        <v>0.375</v>
      </c>
      <c r="AJ10" s="23">
        <f t="shared" si="16"/>
        <v>0.75</v>
      </c>
      <c r="AK10" s="12" t="str">
        <f>IFERROR(VLOOKUP(A10,Pavia!B:R,17,),"-")</f>
        <v>OFF</v>
      </c>
      <c r="AL10" s="23" t="str">
        <f t="shared" si="17"/>
        <v>OFF</v>
      </c>
      <c r="AM10" s="12" t="str">
        <f>IFERROR(VLOOKUP(A10,Pavia!B:S,18,),"-")</f>
        <v>OFF</v>
      </c>
      <c r="AN10" s="23" t="str">
        <f t="shared" si="18"/>
        <v>OFF</v>
      </c>
      <c r="AO10" s="12">
        <f>IFERROR(VLOOKUP(A10,Pavia!B:T,19,),"-")</f>
        <v>0.375</v>
      </c>
      <c r="AP10" s="23">
        <f t="shared" si="19"/>
        <v>0.75</v>
      </c>
      <c r="AQ10" s="12">
        <f>IFERROR(VLOOKUP(A10,Pavia!B:U,20,),"-")</f>
        <v>0.375</v>
      </c>
      <c r="AR10" s="23">
        <f t="shared" si="20"/>
        <v>0.75</v>
      </c>
      <c r="AS10" s="12">
        <f>IFERROR(VLOOKUP(A10,Pavia!B:V,21,),"-")</f>
        <v>0.375</v>
      </c>
      <c r="AT10" s="23">
        <f t="shared" si="21"/>
        <v>0.75</v>
      </c>
      <c r="AU10" s="21">
        <f>IFERROR(VLOOKUP(A10,Pavia!B:W,22,),"-")</f>
        <v>0.375</v>
      </c>
      <c r="AV10" s="23">
        <f t="shared" si="22"/>
        <v>0.75</v>
      </c>
      <c r="AX10" s="30">
        <v>0.29166666666666702</v>
      </c>
      <c r="AY10" s="10">
        <v>1.2916666666666701</v>
      </c>
      <c r="AZ10" s="31">
        <f t="shared" si="23"/>
        <v>0</v>
      </c>
      <c r="BA10" s="31">
        <f t="shared" si="24"/>
        <v>0</v>
      </c>
      <c r="BB10" s="31">
        <f t="shared" si="57"/>
        <v>0</v>
      </c>
      <c r="BC10" s="31">
        <f t="shared" si="25"/>
        <v>0</v>
      </c>
      <c r="BD10" s="31">
        <f t="shared" si="26"/>
        <v>0</v>
      </c>
      <c r="BE10" s="31">
        <f t="shared" si="27"/>
        <v>0</v>
      </c>
      <c r="BF10" s="32">
        <f t="shared" si="28"/>
        <v>0</v>
      </c>
      <c r="BH10" s="30">
        <v>0.29166666666666702</v>
      </c>
      <c r="BI10" s="10">
        <v>1.2916666666666601</v>
      </c>
      <c r="BJ10" s="31">
        <f t="shared" si="29"/>
        <v>0</v>
      </c>
      <c r="BK10" s="31">
        <f t="shared" si="30"/>
        <v>0</v>
      </c>
      <c r="BL10" s="31">
        <f t="shared" si="31"/>
        <v>0</v>
      </c>
      <c r="BM10" s="31">
        <f t="shared" si="32"/>
        <v>0</v>
      </c>
      <c r="BN10" s="31">
        <f t="shared" si="33"/>
        <v>0</v>
      </c>
      <c r="BO10" s="31">
        <f t="shared" si="34"/>
        <v>0</v>
      </c>
      <c r="BP10" s="32">
        <f t="shared" si="35"/>
        <v>0</v>
      </c>
      <c r="BS10" s="51">
        <v>0.29166666666666702</v>
      </c>
      <c r="BT10" s="51">
        <v>1.2916666666666701</v>
      </c>
      <c r="BU10" s="9">
        <f t="shared" si="36"/>
        <v>0</v>
      </c>
      <c r="BV10" s="9">
        <f t="shared" si="37"/>
        <v>0</v>
      </c>
      <c r="BW10" s="9">
        <f t="shared" si="38"/>
        <v>0</v>
      </c>
      <c r="BX10" s="9">
        <f t="shared" si="39"/>
        <v>0</v>
      </c>
      <c r="BY10" s="9">
        <f t="shared" si="40"/>
        <v>0</v>
      </c>
      <c r="BZ10" s="9">
        <f t="shared" si="41"/>
        <v>0</v>
      </c>
      <c r="CA10" s="29">
        <f t="shared" si="42"/>
        <v>0</v>
      </c>
      <c r="CB10" s="28">
        <f t="shared" si="43"/>
        <v>0</v>
      </c>
      <c r="CC10" s="9">
        <f t="shared" si="44"/>
        <v>0</v>
      </c>
      <c r="CD10" s="9">
        <f t="shared" si="45"/>
        <v>0</v>
      </c>
      <c r="CE10" s="9">
        <f t="shared" si="46"/>
        <v>0</v>
      </c>
      <c r="CF10" s="9">
        <f t="shared" si="47"/>
        <v>0</v>
      </c>
      <c r="CG10" s="9">
        <f t="shared" si="48"/>
        <v>0</v>
      </c>
      <c r="CH10" s="29">
        <f t="shared" si="49"/>
        <v>0</v>
      </c>
      <c r="CI10" s="28">
        <f t="shared" si="50"/>
        <v>0</v>
      </c>
      <c r="CJ10" s="9">
        <f t="shared" si="51"/>
        <v>0</v>
      </c>
      <c r="CK10" s="9">
        <f t="shared" si="52"/>
        <v>0</v>
      </c>
      <c r="CL10" s="9">
        <f t="shared" si="53"/>
        <v>0</v>
      </c>
      <c r="CM10" s="9">
        <f t="shared" si="54"/>
        <v>0</v>
      </c>
      <c r="CN10" s="9">
        <f t="shared" si="55"/>
        <v>0</v>
      </c>
      <c r="CO10" s="29">
        <f t="shared" si="56"/>
        <v>0</v>
      </c>
    </row>
    <row r="11" spans="1:97" ht="14.45" customHeight="1" thickBot="1" x14ac:dyDescent="0.3">
      <c r="A11" s="20" t="str">
        <f>Pavia!B12</f>
        <v>Francis Venise Armenton</v>
      </c>
      <c r="B11" s="12">
        <f>IFERROR(VLOOKUP(A11,Pavia!B:I,2,),"-")</f>
        <v>0.375</v>
      </c>
      <c r="C11" s="23">
        <f t="shared" si="1"/>
        <v>0.75</v>
      </c>
      <c r="D11" s="12" t="str">
        <f>IFERROR(VLOOKUP(A11,Pavia!B:I,3,),"-")</f>
        <v>OFF</v>
      </c>
      <c r="E11" s="23" t="str">
        <f t="shared" si="2"/>
        <v>OFF</v>
      </c>
      <c r="F11" s="12" t="str">
        <f>IFERROR(VLOOKUP(A11,Pavia!B:I,4,),"-")</f>
        <v>OFF</v>
      </c>
      <c r="G11" s="23" t="str">
        <f t="shared" si="3"/>
        <v>OFF</v>
      </c>
      <c r="H11" s="12">
        <f>IFERROR(VLOOKUP(A11,Pavia!B:I,5,),"-")</f>
        <v>0.375</v>
      </c>
      <c r="I11" s="23">
        <f t="shared" si="4"/>
        <v>0.75</v>
      </c>
      <c r="J11" s="12">
        <f>IFERROR(VLOOKUP(A11,Pavia!B:I,6,),"-")</f>
        <v>0.375</v>
      </c>
      <c r="K11" s="23">
        <f t="shared" si="5"/>
        <v>0.75</v>
      </c>
      <c r="L11" s="12">
        <f>IFERROR(VLOOKUP(A11,Pavia!B:I,7,),"-")</f>
        <v>0.375</v>
      </c>
      <c r="M11" s="23">
        <f t="shared" si="6"/>
        <v>0.75</v>
      </c>
      <c r="N11" s="12">
        <f>IFERROR(VLOOKUP(A11,Pavia!B:I,8,),"-")</f>
        <v>0.375</v>
      </c>
      <c r="O11" s="23">
        <f t="shared" si="7"/>
        <v>0.75</v>
      </c>
      <c r="Q11" s="12">
        <f>IFERROR(VLOOKUP(A11,Pavia!B:Y,24,),"-")</f>
        <v>0.375</v>
      </c>
      <c r="R11" s="23">
        <f t="shared" si="8"/>
        <v>0.75</v>
      </c>
      <c r="T11" s="25">
        <f>IFERROR(VLOOKUP(A11,Pavia!$B:$J,9,),"-")</f>
        <v>0.375</v>
      </c>
      <c r="U11" s="23">
        <f t="shared" si="9"/>
        <v>0.75</v>
      </c>
      <c r="V11" s="12" t="str">
        <f>IFERROR(VLOOKUP(A11,Pavia!B:K,10,),"-")</f>
        <v>OFF</v>
      </c>
      <c r="W11" s="23" t="str">
        <f t="shared" si="10"/>
        <v>OFF</v>
      </c>
      <c r="X11" s="12" t="str">
        <f>IFERROR(VLOOKUP(A11,Pavia!B:L,11,),"-")</f>
        <v>OFF</v>
      </c>
      <c r="Y11" s="23" t="str">
        <f t="shared" si="11"/>
        <v>OFF</v>
      </c>
      <c r="Z11" s="12">
        <f>IFERROR(VLOOKUP(A11,Pavia!B:M,12,),"-")</f>
        <v>0.375</v>
      </c>
      <c r="AA11" s="23">
        <f t="shared" si="12"/>
        <v>0.75</v>
      </c>
      <c r="AB11" s="12">
        <f>IFERROR(VLOOKUP(A11,Pavia!B:N,13,),"-")</f>
        <v>0.375</v>
      </c>
      <c r="AC11" s="23">
        <f t="shared" si="13"/>
        <v>0.75</v>
      </c>
      <c r="AD11" s="12">
        <f>IFERROR(VLOOKUP(A11,Pavia!B:O,14,),"-")</f>
        <v>0.375</v>
      </c>
      <c r="AE11" s="23">
        <f t="shared" si="14"/>
        <v>0.75</v>
      </c>
      <c r="AF11" s="21">
        <f>IFERROR(VLOOKUP(A11,Pavia!B:P,15,),"-")</f>
        <v>0.375</v>
      </c>
      <c r="AG11" s="23">
        <f t="shared" si="15"/>
        <v>0.75</v>
      </c>
      <c r="AI11" s="25">
        <f>IFERROR(VLOOKUP(A11,Pavia!$B:$Q,16,),"-")</f>
        <v>0.375</v>
      </c>
      <c r="AJ11" s="23">
        <f t="shared" si="16"/>
        <v>0.75</v>
      </c>
      <c r="AK11" s="12" t="str">
        <f>IFERROR(VLOOKUP(A11,Pavia!B:R,17,),"-")</f>
        <v>OFF</v>
      </c>
      <c r="AL11" s="23" t="str">
        <f t="shared" si="17"/>
        <v>OFF</v>
      </c>
      <c r="AM11" s="12" t="str">
        <f>IFERROR(VLOOKUP(A11,Pavia!B:S,18,),"-")</f>
        <v>OFF</v>
      </c>
      <c r="AN11" s="23" t="str">
        <f t="shared" si="18"/>
        <v>OFF</v>
      </c>
      <c r="AO11" s="12">
        <f>IFERROR(VLOOKUP(A11,Pavia!B:T,19,),"-")</f>
        <v>0.375</v>
      </c>
      <c r="AP11" s="23">
        <f t="shared" si="19"/>
        <v>0.75</v>
      </c>
      <c r="AQ11" s="12">
        <f>IFERROR(VLOOKUP(A11,Pavia!B:U,20,),"-")</f>
        <v>0.375</v>
      </c>
      <c r="AR11" s="23">
        <f t="shared" si="20"/>
        <v>0.75</v>
      </c>
      <c r="AS11" s="12">
        <f>IFERROR(VLOOKUP(A11,Pavia!B:V,21,),"-")</f>
        <v>0.375</v>
      </c>
      <c r="AT11" s="23">
        <f t="shared" si="21"/>
        <v>0.75</v>
      </c>
      <c r="AU11" s="21">
        <f>IFERROR(VLOOKUP(A11,Pavia!B:W,22,),"-")</f>
        <v>0.375</v>
      </c>
      <c r="AV11" s="23">
        <f t="shared" si="22"/>
        <v>0.75</v>
      </c>
      <c r="AX11" s="30">
        <v>0.33333333333333298</v>
      </c>
      <c r="AY11" s="10">
        <v>1.3333333333333399</v>
      </c>
      <c r="AZ11" s="31">
        <f t="shared" si="23"/>
        <v>0</v>
      </c>
      <c r="BA11" s="31">
        <f t="shared" si="24"/>
        <v>0</v>
      </c>
      <c r="BB11" s="31">
        <f t="shared" si="57"/>
        <v>0</v>
      </c>
      <c r="BC11" s="31">
        <f t="shared" si="25"/>
        <v>0</v>
      </c>
      <c r="BD11" s="31">
        <f t="shared" si="26"/>
        <v>0</v>
      </c>
      <c r="BE11" s="31">
        <f t="shared" si="27"/>
        <v>0</v>
      </c>
      <c r="BF11" s="32">
        <f t="shared" si="28"/>
        <v>0</v>
      </c>
      <c r="BH11" s="30">
        <v>0.33333333333333298</v>
      </c>
      <c r="BI11" s="10">
        <v>1.3333333333333299</v>
      </c>
      <c r="BJ11" s="31">
        <f t="shared" si="29"/>
        <v>0</v>
      </c>
      <c r="BK11" s="31">
        <f t="shared" si="30"/>
        <v>0</v>
      </c>
      <c r="BL11" s="31">
        <f t="shared" si="31"/>
        <v>0</v>
      </c>
      <c r="BM11" s="31">
        <f t="shared" si="32"/>
        <v>0</v>
      </c>
      <c r="BN11" s="31">
        <f t="shared" si="33"/>
        <v>0</v>
      </c>
      <c r="BO11" s="31">
        <f t="shared" si="34"/>
        <v>0</v>
      </c>
      <c r="BP11" s="32">
        <f t="shared" si="35"/>
        <v>0</v>
      </c>
      <c r="BS11" s="51">
        <v>0.33333333333333298</v>
      </c>
      <c r="BT11" s="51">
        <v>1.3333333333333399</v>
      </c>
      <c r="BU11" s="9">
        <f t="shared" si="36"/>
        <v>0</v>
      </c>
      <c r="BV11" s="9">
        <f t="shared" si="37"/>
        <v>0</v>
      </c>
      <c r="BW11" s="9">
        <f t="shared" si="38"/>
        <v>0</v>
      </c>
      <c r="BX11" s="9">
        <f t="shared" si="39"/>
        <v>0</v>
      </c>
      <c r="BY11" s="9">
        <f t="shared" si="40"/>
        <v>0</v>
      </c>
      <c r="BZ11" s="9">
        <f t="shared" si="41"/>
        <v>0</v>
      </c>
      <c r="CA11" s="29">
        <f t="shared" si="42"/>
        <v>0</v>
      </c>
      <c r="CB11" s="28">
        <f t="shared" si="43"/>
        <v>0</v>
      </c>
      <c r="CC11" s="9">
        <f t="shared" si="44"/>
        <v>0</v>
      </c>
      <c r="CD11" s="9">
        <f t="shared" si="45"/>
        <v>0</v>
      </c>
      <c r="CE11" s="9">
        <f t="shared" si="46"/>
        <v>0</v>
      </c>
      <c r="CF11" s="9">
        <f t="shared" si="47"/>
        <v>0</v>
      </c>
      <c r="CG11" s="9">
        <f t="shared" si="48"/>
        <v>0</v>
      </c>
      <c r="CH11" s="29">
        <f t="shared" si="49"/>
        <v>0</v>
      </c>
      <c r="CI11" s="28">
        <f t="shared" si="50"/>
        <v>0</v>
      </c>
      <c r="CJ11" s="9">
        <f t="shared" si="51"/>
        <v>0</v>
      </c>
      <c r="CK11" s="9">
        <f t="shared" si="52"/>
        <v>0</v>
      </c>
      <c r="CL11" s="9">
        <f t="shared" si="53"/>
        <v>0</v>
      </c>
      <c r="CM11" s="9">
        <f t="shared" si="54"/>
        <v>0</v>
      </c>
      <c r="CN11" s="9">
        <f t="shared" si="55"/>
        <v>0</v>
      </c>
      <c r="CO11" s="29">
        <f t="shared" si="56"/>
        <v>0</v>
      </c>
    </row>
    <row r="12" spans="1:97" ht="14.45" customHeight="1" thickBot="1" x14ac:dyDescent="0.3">
      <c r="A12" s="20" t="str">
        <f>Pavia!B13</f>
        <v xml:space="preserve">Mary Rose Alegre </v>
      </c>
      <c r="B12" s="12">
        <f>IFERROR(VLOOKUP(A12,Pavia!B:I,2,),"-")</f>
        <v>0.375</v>
      </c>
      <c r="C12" s="23">
        <f t="shared" si="1"/>
        <v>0.75</v>
      </c>
      <c r="D12" s="12" t="str">
        <f>IFERROR(VLOOKUP(A12,Pavia!B:I,3,),"-")</f>
        <v>OFF</v>
      </c>
      <c r="E12" s="23" t="str">
        <f t="shared" si="2"/>
        <v>OFF</v>
      </c>
      <c r="F12" s="12" t="str">
        <f>IFERROR(VLOOKUP(A12,Pavia!B:I,4,),"-")</f>
        <v>OFF</v>
      </c>
      <c r="G12" s="23" t="str">
        <f t="shared" si="3"/>
        <v>OFF</v>
      </c>
      <c r="H12" s="12">
        <f>IFERROR(VLOOKUP(A12,Pavia!B:I,5,),"-")</f>
        <v>0.375</v>
      </c>
      <c r="I12" s="23">
        <f t="shared" si="4"/>
        <v>0.75</v>
      </c>
      <c r="J12" s="12">
        <f>IFERROR(VLOOKUP(A12,Pavia!B:I,6,),"-")</f>
        <v>0.375</v>
      </c>
      <c r="K12" s="23">
        <f t="shared" si="5"/>
        <v>0.75</v>
      </c>
      <c r="L12" s="12">
        <f>IFERROR(VLOOKUP(A12,Pavia!B:I,7,),"-")</f>
        <v>0.375</v>
      </c>
      <c r="M12" s="23">
        <f t="shared" si="6"/>
        <v>0.75</v>
      </c>
      <c r="N12" s="12">
        <f>IFERROR(VLOOKUP(A12,Pavia!B:I,8,),"-")</f>
        <v>0.375</v>
      </c>
      <c r="O12" s="23">
        <f t="shared" si="7"/>
        <v>0.75</v>
      </c>
      <c r="Q12" s="12">
        <f>IFERROR(VLOOKUP(A12,Pavia!B:Y,24,),"-")</f>
        <v>0.375</v>
      </c>
      <c r="R12" s="23">
        <f t="shared" si="8"/>
        <v>0.75</v>
      </c>
      <c r="T12" s="25">
        <f>IFERROR(VLOOKUP(A12,Pavia!$B:$J,9,),"-")</f>
        <v>0.375</v>
      </c>
      <c r="U12" s="23">
        <f t="shared" si="9"/>
        <v>0.75</v>
      </c>
      <c r="V12" s="12" t="str">
        <f>IFERROR(VLOOKUP(A12,Pavia!B:K,10,),"-")</f>
        <v>OFF</v>
      </c>
      <c r="W12" s="23" t="str">
        <f t="shared" si="10"/>
        <v>OFF</v>
      </c>
      <c r="X12" s="12" t="str">
        <f>IFERROR(VLOOKUP(A12,Pavia!B:L,11,),"-")</f>
        <v>OFF</v>
      </c>
      <c r="Y12" s="23" t="str">
        <f t="shared" si="11"/>
        <v>OFF</v>
      </c>
      <c r="Z12" s="12">
        <f>IFERROR(VLOOKUP(A12,Pavia!B:M,12,),"-")</f>
        <v>0.375</v>
      </c>
      <c r="AA12" s="23">
        <f t="shared" si="12"/>
        <v>0.75</v>
      </c>
      <c r="AB12" s="12">
        <f>IFERROR(VLOOKUP(A12,Pavia!B:N,13,),"-")</f>
        <v>0.375</v>
      </c>
      <c r="AC12" s="23">
        <f t="shared" si="13"/>
        <v>0.75</v>
      </c>
      <c r="AD12" s="12">
        <f>IFERROR(VLOOKUP(A12,Pavia!B:O,14,),"-")</f>
        <v>0.375</v>
      </c>
      <c r="AE12" s="23">
        <f t="shared" si="14"/>
        <v>0.75</v>
      </c>
      <c r="AF12" s="21">
        <f>IFERROR(VLOOKUP(A12,Pavia!B:P,15,),"-")</f>
        <v>0.375</v>
      </c>
      <c r="AG12" s="23">
        <f t="shared" si="15"/>
        <v>0.75</v>
      </c>
      <c r="AI12" s="25">
        <f>IFERROR(VLOOKUP(A12,Pavia!$B:$Q,16,),"-")</f>
        <v>0.375</v>
      </c>
      <c r="AJ12" s="23">
        <f t="shared" si="16"/>
        <v>0.75</v>
      </c>
      <c r="AK12" s="12" t="str">
        <f>IFERROR(VLOOKUP(A12,Pavia!B:R,17,),"-")</f>
        <v>OFF</v>
      </c>
      <c r="AL12" s="23" t="str">
        <f t="shared" si="17"/>
        <v>OFF</v>
      </c>
      <c r="AM12" s="12" t="str">
        <f>IFERROR(VLOOKUP(A12,Pavia!B:S,18,),"-")</f>
        <v>OFF</v>
      </c>
      <c r="AN12" s="23" t="str">
        <f t="shared" si="18"/>
        <v>OFF</v>
      </c>
      <c r="AO12" s="12">
        <f>IFERROR(VLOOKUP(A12,Pavia!B:T,19,),"-")</f>
        <v>0.375</v>
      </c>
      <c r="AP12" s="23">
        <f t="shared" si="19"/>
        <v>0.75</v>
      </c>
      <c r="AQ12" s="12">
        <f>IFERROR(VLOOKUP(A12,Pavia!B:U,20,),"-")</f>
        <v>0.375</v>
      </c>
      <c r="AR12" s="23">
        <f t="shared" si="20"/>
        <v>0.75</v>
      </c>
      <c r="AS12" s="12">
        <f>IFERROR(VLOOKUP(A12,Pavia!B:V,21,),"-")</f>
        <v>0.375</v>
      </c>
      <c r="AT12" s="23">
        <f t="shared" si="21"/>
        <v>0.75</v>
      </c>
      <c r="AU12" s="21">
        <f>IFERROR(VLOOKUP(A12,Pavia!B:W,22,),"-")</f>
        <v>0.375</v>
      </c>
      <c r="AV12" s="23">
        <f t="shared" si="22"/>
        <v>0.75</v>
      </c>
      <c r="AX12" s="30">
        <v>0.375</v>
      </c>
      <c r="AY12" s="10">
        <v>1.375</v>
      </c>
      <c r="AZ12" s="31">
        <f t="shared" si="23"/>
        <v>10</v>
      </c>
      <c r="BA12" s="31">
        <f t="shared" si="24"/>
        <v>0</v>
      </c>
      <c r="BB12" s="31">
        <f t="shared" si="57"/>
        <v>0</v>
      </c>
      <c r="BC12" s="31">
        <f t="shared" si="25"/>
        <v>10</v>
      </c>
      <c r="BD12" s="31">
        <f t="shared" si="26"/>
        <v>10</v>
      </c>
      <c r="BE12" s="31">
        <f t="shared" si="27"/>
        <v>10</v>
      </c>
      <c r="BF12" s="32">
        <f t="shared" si="28"/>
        <v>10</v>
      </c>
      <c r="BH12" s="30">
        <v>0.375</v>
      </c>
      <c r="BI12" s="10">
        <v>1.375</v>
      </c>
      <c r="BJ12" s="31">
        <f t="shared" si="29"/>
        <v>12</v>
      </c>
      <c r="BK12" s="31">
        <f t="shared" si="30"/>
        <v>2</v>
      </c>
      <c r="BL12" s="31">
        <f t="shared" si="31"/>
        <v>2</v>
      </c>
      <c r="BM12" s="31">
        <f t="shared" si="32"/>
        <v>12</v>
      </c>
      <c r="BN12" s="31">
        <f t="shared" si="33"/>
        <v>12</v>
      </c>
      <c r="BO12" s="31">
        <f t="shared" si="34"/>
        <v>10</v>
      </c>
      <c r="BP12" s="32">
        <f t="shared" si="35"/>
        <v>10</v>
      </c>
      <c r="BS12" s="51">
        <v>0.375</v>
      </c>
      <c r="BT12" s="51">
        <v>1.37500000000001</v>
      </c>
      <c r="BU12" s="9">
        <f t="shared" si="36"/>
        <v>22</v>
      </c>
      <c r="BV12" s="9">
        <f t="shared" si="37"/>
        <v>2</v>
      </c>
      <c r="BW12" s="9">
        <f t="shared" si="38"/>
        <v>2</v>
      </c>
      <c r="BX12" s="9">
        <f t="shared" si="39"/>
        <v>22</v>
      </c>
      <c r="BY12" s="9">
        <f t="shared" si="40"/>
        <v>22</v>
      </c>
      <c r="BZ12" s="9">
        <f t="shared" si="41"/>
        <v>20</v>
      </c>
      <c r="CA12" s="29">
        <f t="shared" si="42"/>
        <v>20</v>
      </c>
      <c r="CB12" s="28">
        <f t="shared" si="43"/>
        <v>22</v>
      </c>
      <c r="CC12" s="9">
        <f t="shared" si="44"/>
        <v>2</v>
      </c>
      <c r="CD12" s="9">
        <f t="shared" si="45"/>
        <v>2</v>
      </c>
      <c r="CE12" s="9">
        <f t="shared" si="46"/>
        <v>22</v>
      </c>
      <c r="CF12" s="9">
        <f t="shared" si="47"/>
        <v>22</v>
      </c>
      <c r="CG12" s="9">
        <f t="shared" si="48"/>
        <v>20</v>
      </c>
      <c r="CH12" s="29">
        <f>COUNTIFS(AF:AF, "&lt;=" &amp; BS12, AG:AG, "&gt;" &amp; BS12)+COUNTIFS(AD:AD, "&lt;=" &amp; BT12, AE:AE, "&gt;" &amp; BT12)</f>
        <v>20</v>
      </c>
      <c r="CI12" s="28">
        <f t="shared" si="50"/>
        <v>22</v>
      </c>
      <c r="CJ12" s="9">
        <f t="shared" si="51"/>
        <v>2</v>
      </c>
      <c r="CK12" s="9">
        <f t="shared" si="52"/>
        <v>2</v>
      </c>
      <c r="CL12" s="9">
        <f t="shared" si="53"/>
        <v>22</v>
      </c>
      <c r="CM12" s="9">
        <f t="shared" si="54"/>
        <v>22</v>
      </c>
      <c r="CN12" s="9">
        <f t="shared" si="55"/>
        <v>20</v>
      </c>
      <c r="CO12" s="29">
        <f t="shared" si="56"/>
        <v>20</v>
      </c>
    </row>
    <row r="13" spans="1:97" ht="14.45" customHeight="1" thickBot="1" x14ac:dyDescent="0.3">
      <c r="A13" s="20" t="str">
        <f>Pavia!B14</f>
        <v>Regine Bajinting</v>
      </c>
      <c r="B13" s="12">
        <f>IFERROR(VLOOKUP(A13,Pavia!B:I,2,),"-")</f>
        <v>0.375</v>
      </c>
      <c r="C13" s="23">
        <f t="shared" si="1"/>
        <v>0.75</v>
      </c>
      <c r="D13" s="12" t="str">
        <f>IFERROR(VLOOKUP(A13,Pavia!B:I,3,),"-")</f>
        <v>OFF</v>
      </c>
      <c r="E13" s="23" t="str">
        <f t="shared" si="2"/>
        <v>OFF</v>
      </c>
      <c r="F13" s="12" t="str">
        <f>IFERROR(VLOOKUP(A13,Pavia!B:I,4,),"-")</f>
        <v>OFF</v>
      </c>
      <c r="G13" s="23" t="str">
        <f t="shared" si="3"/>
        <v>OFF</v>
      </c>
      <c r="H13" s="12">
        <f>IFERROR(VLOOKUP(A13,Pavia!B:I,5,),"-")</f>
        <v>0.375</v>
      </c>
      <c r="I13" s="23">
        <f t="shared" si="4"/>
        <v>0.75</v>
      </c>
      <c r="J13" s="12">
        <f>IFERROR(VLOOKUP(A13,Pavia!B:I,6,),"-")</f>
        <v>0.375</v>
      </c>
      <c r="K13" s="23">
        <f t="shared" si="5"/>
        <v>0.75</v>
      </c>
      <c r="L13" s="12">
        <f>IFERROR(VLOOKUP(A13,Pavia!B:I,7,),"-")</f>
        <v>0.375</v>
      </c>
      <c r="M13" s="23">
        <f t="shared" si="6"/>
        <v>0.75</v>
      </c>
      <c r="N13" s="12">
        <f>IFERROR(VLOOKUP(A13,Pavia!B:I,8,),"-")</f>
        <v>0.375</v>
      </c>
      <c r="O13" s="23">
        <f t="shared" si="7"/>
        <v>0.75</v>
      </c>
      <c r="Q13" s="12">
        <f>IFERROR(VLOOKUP(A13,Pavia!B:Y,24,),"-")</f>
        <v>0.375</v>
      </c>
      <c r="R13" s="23">
        <f t="shared" si="8"/>
        <v>0.75</v>
      </c>
      <c r="T13" s="25">
        <f>IFERROR(VLOOKUP(A13,Pavia!$B:$J,9,),"-")</f>
        <v>0.375</v>
      </c>
      <c r="U13" s="23">
        <f t="shared" si="9"/>
        <v>0.75</v>
      </c>
      <c r="V13" s="12" t="str">
        <f>IFERROR(VLOOKUP(A13,Pavia!B:K,10,),"-")</f>
        <v>OFF</v>
      </c>
      <c r="W13" s="23" t="str">
        <f t="shared" si="10"/>
        <v>OFF</v>
      </c>
      <c r="X13" s="12" t="str">
        <f>IFERROR(VLOOKUP(A13,Pavia!B:L,11,),"-")</f>
        <v>OFF</v>
      </c>
      <c r="Y13" s="23" t="str">
        <f t="shared" si="11"/>
        <v>OFF</v>
      </c>
      <c r="Z13" s="12">
        <f>IFERROR(VLOOKUP(A13,Pavia!B:M,12,),"-")</f>
        <v>0.375</v>
      </c>
      <c r="AA13" s="23">
        <f t="shared" si="12"/>
        <v>0.75</v>
      </c>
      <c r="AB13" s="12">
        <f>IFERROR(VLOOKUP(A13,Pavia!B:N,13,),"-")</f>
        <v>0.375</v>
      </c>
      <c r="AC13" s="23">
        <f t="shared" si="13"/>
        <v>0.75</v>
      </c>
      <c r="AD13" s="12">
        <f>IFERROR(VLOOKUP(A13,Pavia!B:O,14,),"-")</f>
        <v>0.375</v>
      </c>
      <c r="AE13" s="23">
        <f t="shared" si="14"/>
        <v>0.75</v>
      </c>
      <c r="AF13" s="21">
        <f>IFERROR(VLOOKUP(A13,Pavia!B:P,15,),"-")</f>
        <v>0.375</v>
      </c>
      <c r="AG13" s="23">
        <f t="shared" si="15"/>
        <v>0.75</v>
      </c>
      <c r="AI13" s="25">
        <f>IFERROR(VLOOKUP(A13,Pavia!$B:$Q,16,),"-")</f>
        <v>0.375</v>
      </c>
      <c r="AJ13" s="23">
        <f t="shared" si="16"/>
        <v>0.75</v>
      </c>
      <c r="AK13" s="12" t="str">
        <f>IFERROR(VLOOKUP(A13,Pavia!B:R,17,),"-")</f>
        <v>OFF</v>
      </c>
      <c r="AL13" s="23" t="str">
        <f t="shared" si="17"/>
        <v>OFF</v>
      </c>
      <c r="AM13" s="12" t="str">
        <f>IFERROR(VLOOKUP(A13,Pavia!B:S,18,),"-")</f>
        <v>OFF</v>
      </c>
      <c r="AN13" s="23" t="str">
        <f t="shared" si="18"/>
        <v>OFF</v>
      </c>
      <c r="AO13" s="12">
        <f>IFERROR(VLOOKUP(A13,Pavia!B:T,19,),"-")</f>
        <v>0.375</v>
      </c>
      <c r="AP13" s="23">
        <f t="shared" si="19"/>
        <v>0.75</v>
      </c>
      <c r="AQ13" s="12">
        <f>IFERROR(VLOOKUP(A13,Pavia!B:U,20,),"-")</f>
        <v>0.375</v>
      </c>
      <c r="AR13" s="23">
        <f t="shared" si="20"/>
        <v>0.75</v>
      </c>
      <c r="AS13" s="12">
        <f>IFERROR(VLOOKUP(A13,Pavia!B:V,21,),"-")</f>
        <v>0.375</v>
      </c>
      <c r="AT13" s="23">
        <f t="shared" si="21"/>
        <v>0.75</v>
      </c>
      <c r="AU13" s="21">
        <f>IFERROR(VLOOKUP(A13,Pavia!B:W,22,),"-")</f>
        <v>0.375</v>
      </c>
      <c r="AV13" s="23">
        <f t="shared" si="22"/>
        <v>0.75</v>
      </c>
      <c r="AX13" s="30">
        <v>0.41666666666666702</v>
      </c>
      <c r="AY13" s="10">
        <v>1.4166666666666701</v>
      </c>
      <c r="AZ13" s="31">
        <f t="shared" si="23"/>
        <v>10</v>
      </c>
      <c r="BA13" s="31">
        <f t="shared" si="24"/>
        <v>0</v>
      </c>
      <c r="BB13" s="31">
        <f t="shared" si="57"/>
        <v>0</v>
      </c>
      <c r="BC13" s="31">
        <f t="shared" si="25"/>
        <v>10</v>
      </c>
      <c r="BD13" s="31">
        <f t="shared" si="26"/>
        <v>10</v>
      </c>
      <c r="BE13" s="31">
        <f t="shared" si="27"/>
        <v>10</v>
      </c>
      <c r="BF13" s="32">
        <f t="shared" si="28"/>
        <v>10</v>
      </c>
      <c r="BH13" s="30">
        <v>0.41666666666666702</v>
      </c>
      <c r="BI13" s="10">
        <v>1.4166666666666601</v>
      </c>
      <c r="BJ13" s="31">
        <f t="shared" si="29"/>
        <v>12</v>
      </c>
      <c r="BK13" s="31">
        <f t="shared" si="30"/>
        <v>2</v>
      </c>
      <c r="BL13" s="31">
        <f t="shared" si="31"/>
        <v>2</v>
      </c>
      <c r="BM13" s="31">
        <f t="shared" si="32"/>
        <v>12</v>
      </c>
      <c r="BN13" s="31">
        <f t="shared" si="33"/>
        <v>12</v>
      </c>
      <c r="BO13" s="31">
        <f t="shared" si="34"/>
        <v>10</v>
      </c>
      <c r="BP13" s="32">
        <f t="shared" si="35"/>
        <v>10</v>
      </c>
      <c r="BS13" s="51">
        <v>0.41666666666666702</v>
      </c>
      <c r="BT13" s="51">
        <v>1.4166666666666701</v>
      </c>
      <c r="BU13" s="9">
        <f t="shared" si="36"/>
        <v>22</v>
      </c>
      <c r="BV13" s="9">
        <f t="shared" si="37"/>
        <v>2</v>
      </c>
      <c r="BW13" s="9">
        <f t="shared" si="38"/>
        <v>2</v>
      </c>
      <c r="BX13" s="9">
        <f t="shared" si="39"/>
        <v>22</v>
      </c>
      <c r="BY13" s="9">
        <f t="shared" si="40"/>
        <v>22</v>
      </c>
      <c r="BZ13" s="9">
        <f t="shared" si="41"/>
        <v>20</v>
      </c>
      <c r="CA13" s="29">
        <f t="shared" si="42"/>
        <v>20</v>
      </c>
      <c r="CB13" s="28">
        <f t="shared" si="43"/>
        <v>22</v>
      </c>
      <c r="CC13" s="9">
        <f t="shared" si="44"/>
        <v>2</v>
      </c>
      <c r="CD13" s="9">
        <f t="shared" si="45"/>
        <v>2</v>
      </c>
      <c r="CE13" s="9">
        <f t="shared" si="46"/>
        <v>22</v>
      </c>
      <c r="CF13" s="9">
        <f t="shared" si="47"/>
        <v>22</v>
      </c>
      <c r="CG13" s="9">
        <f t="shared" si="48"/>
        <v>20</v>
      </c>
      <c r="CH13" s="29">
        <f t="shared" si="49"/>
        <v>20</v>
      </c>
      <c r="CI13" s="28">
        <f t="shared" si="50"/>
        <v>22</v>
      </c>
      <c r="CJ13" s="9">
        <f t="shared" si="51"/>
        <v>2</v>
      </c>
      <c r="CK13" s="9">
        <f t="shared" si="52"/>
        <v>2</v>
      </c>
      <c r="CL13" s="9">
        <f t="shared" si="53"/>
        <v>22</v>
      </c>
      <c r="CM13" s="9">
        <f t="shared" si="54"/>
        <v>22</v>
      </c>
      <c r="CN13" s="9">
        <f t="shared" si="55"/>
        <v>20</v>
      </c>
      <c r="CO13" s="29">
        <f t="shared" si="56"/>
        <v>20</v>
      </c>
    </row>
    <row r="14" spans="1:97" ht="14.45" customHeight="1" thickBot="1" x14ac:dyDescent="0.3">
      <c r="A14" s="20" t="str">
        <f>Pavia!B15</f>
        <v>Lanie,Cabrera,Ramos</v>
      </c>
      <c r="B14" s="12">
        <f>IFERROR(VLOOKUP(A14,Pavia!B:I,2,),"-")</f>
        <v>0.375</v>
      </c>
      <c r="C14" s="23">
        <f t="shared" si="1"/>
        <v>0.75</v>
      </c>
      <c r="D14" s="12" t="str">
        <f>IFERROR(VLOOKUP(A14,Pavia!B:I,3,),"-")</f>
        <v>OFF</v>
      </c>
      <c r="E14" s="23" t="str">
        <f t="shared" si="2"/>
        <v>OFF</v>
      </c>
      <c r="F14" s="12" t="str">
        <f>IFERROR(VLOOKUP(A14,Pavia!B:I,4,),"-")</f>
        <v>OFF</v>
      </c>
      <c r="G14" s="23" t="str">
        <f t="shared" si="3"/>
        <v>OFF</v>
      </c>
      <c r="H14" s="12">
        <f>IFERROR(VLOOKUP(A14,Pavia!B:I,5,),"-")</f>
        <v>0.375</v>
      </c>
      <c r="I14" s="23">
        <f t="shared" si="4"/>
        <v>0.75</v>
      </c>
      <c r="J14" s="12">
        <f>IFERROR(VLOOKUP(A14,Pavia!B:I,6,),"-")</f>
        <v>0.375</v>
      </c>
      <c r="K14" s="23">
        <f t="shared" si="5"/>
        <v>0.75</v>
      </c>
      <c r="L14" s="12">
        <f>IFERROR(VLOOKUP(A14,Pavia!B:I,7,),"-")</f>
        <v>0.375</v>
      </c>
      <c r="M14" s="23">
        <f t="shared" si="6"/>
        <v>0.75</v>
      </c>
      <c r="N14" s="12">
        <f>IFERROR(VLOOKUP(A14,Pavia!B:I,8,),"-")</f>
        <v>0.375</v>
      </c>
      <c r="O14" s="23">
        <f t="shared" si="7"/>
        <v>0.75</v>
      </c>
      <c r="Q14" s="12">
        <f>IFERROR(VLOOKUP(A14,Pavia!B:Y,24,),"-")</f>
        <v>0.375</v>
      </c>
      <c r="R14" s="23">
        <f t="shared" si="8"/>
        <v>0.75</v>
      </c>
      <c r="T14" s="25">
        <f>IFERROR(VLOOKUP(A14,Pavia!$B:$J,9,),"-")</f>
        <v>0.375</v>
      </c>
      <c r="U14" s="23">
        <f t="shared" si="9"/>
        <v>0.75</v>
      </c>
      <c r="V14" s="12" t="str">
        <f>IFERROR(VLOOKUP(A14,Pavia!B:K,10,),"-")</f>
        <v>OFF</v>
      </c>
      <c r="W14" s="23" t="str">
        <f t="shared" si="10"/>
        <v>OFF</v>
      </c>
      <c r="X14" s="12" t="str">
        <f>IFERROR(VLOOKUP(A14,Pavia!B:L,11,),"-")</f>
        <v>OFF</v>
      </c>
      <c r="Y14" s="23" t="str">
        <f t="shared" si="11"/>
        <v>OFF</v>
      </c>
      <c r="Z14" s="12">
        <f>IFERROR(VLOOKUP(A14,Pavia!B:M,12,),"-")</f>
        <v>0.375</v>
      </c>
      <c r="AA14" s="23">
        <f t="shared" si="12"/>
        <v>0.75</v>
      </c>
      <c r="AB14" s="12">
        <f>IFERROR(VLOOKUP(A14,Pavia!B:N,13,),"-")</f>
        <v>0.375</v>
      </c>
      <c r="AC14" s="23">
        <f t="shared" si="13"/>
        <v>0.75</v>
      </c>
      <c r="AD14" s="12">
        <f>IFERROR(VLOOKUP(A14,Pavia!B:O,14,),"-")</f>
        <v>0.375</v>
      </c>
      <c r="AE14" s="23">
        <f t="shared" si="14"/>
        <v>0.75</v>
      </c>
      <c r="AF14" s="21">
        <f>IFERROR(VLOOKUP(A14,Pavia!B:P,15,),"-")</f>
        <v>0.375</v>
      </c>
      <c r="AG14" s="23">
        <f t="shared" si="15"/>
        <v>0.75</v>
      </c>
      <c r="AI14" s="25">
        <f>IFERROR(VLOOKUP(A14,Pavia!$B:$Q,16,),"-")</f>
        <v>0.375</v>
      </c>
      <c r="AJ14" s="23">
        <f t="shared" si="16"/>
        <v>0.75</v>
      </c>
      <c r="AK14" s="12" t="str">
        <f>IFERROR(VLOOKUP(A14,Pavia!B:R,17,),"-")</f>
        <v>OFF</v>
      </c>
      <c r="AL14" s="23" t="str">
        <f t="shared" si="17"/>
        <v>OFF</v>
      </c>
      <c r="AM14" s="12" t="str">
        <f>IFERROR(VLOOKUP(A14,Pavia!B:S,18,),"-")</f>
        <v>OFF</v>
      </c>
      <c r="AN14" s="23" t="str">
        <f t="shared" si="18"/>
        <v>OFF</v>
      </c>
      <c r="AO14" s="12">
        <f>IFERROR(VLOOKUP(A14,Pavia!B:T,19,),"-")</f>
        <v>0.375</v>
      </c>
      <c r="AP14" s="23">
        <f t="shared" si="19"/>
        <v>0.75</v>
      </c>
      <c r="AQ14" s="12">
        <f>IFERROR(VLOOKUP(A14,Pavia!B:U,20,),"-")</f>
        <v>0.375</v>
      </c>
      <c r="AR14" s="23">
        <f t="shared" si="20"/>
        <v>0.75</v>
      </c>
      <c r="AS14" s="12">
        <f>IFERROR(VLOOKUP(A14,Pavia!B:V,21,),"-")</f>
        <v>0.375</v>
      </c>
      <c r="AT14" s="23">
        <f t="shared" si="21"/>
        <v>0.75</v>
      </c>
      <c r="AU14" s="21">
        <f>IFERROR(VLOOKUP(A14,Pavia!B:W,22,),"-")</f>
        <v>0.375</v>
      </c>
      <c r="AV14" s="23">
        <f t="shared" si="22"/>
        <v>0.75</v>
      </c>
      <c r="AX14" s="30">
        <v>0.45833333333333298</v>
      </c>
      <c r="AY14" s="10">
        <v>1.4583333333333399</v>
      </c>
      <c r="AZ14" s="31">
        <f t="shared" si="23"/>
        <v>10</v>
      </c>
      <c r="BA14" s="31">
        <f t="shared" si="24"/>
        <v>0</v>
      </c>
      <c r="BB14" s="31">
        <f t="shared" si="57"/>
        <v>0</v>
      </c>
      <c r="BC14" s="31">
        <f t="shared" si="25"/>
        <v>10</v>
      </c>
      <c r="BD14" s="31">
        <f t="shared" si="26"/>
        <v>10</v>
      </c>
      <c r="BE14" s="31">
        <f t="shared" si="27"/>
        <v>10</v>
      </c>
      <c r="BF14" s="32">
        <f t="shared" si="28"/>
        <v>10</v>
      </c>
      <c r="BH14" s="30">
        <v>0.45833333333333298</v>
      </c>
      <c r="BI14" s="10">
        <v>1.4583333333333299</v>
      </c>
      <c r="BJ14" s="31">
        <f t="shared" si="29"/>
        <v>12</v>
      </c>
      <c r="BK14" s="31">
        <f t="shared" si="30"/>
        <v>2</v>
      </c>
      <c r="BL14" s="31">
        <f t="shared" si="31"/>
        <v>2</v>
      </c>
      <c r="BM14" s="31">
        <f t="shared" si="32"/>
        <v>12</v>
      </c>
      <c r="BN14" s="31">
        <f t="shared" si="33"/>
        <v>12</v>
      </c>
      <c r="BO14" s="31">
        <f t="shared" si="34"/>
        <v>10</v>
      </c>
      <c r="BP14" s="32">
        <f t="shared" si="35"/>
        <v>10</v>
      </c>
      <c r="BS14" s="51">
        <v>0.45833333333333298</v>
      </c>
      <c r="BT14" s="51">
        <v>1.4583333333333399</v>
      </c>
      <c r="BU14" s="9">
        <f t="shared" si="36"/>
        <v>22</v>
      </c>
      <c r="BV14" s="9">
        <f t="shared" si="37"/>
        <v>2</v>
      </c>
      <c r="BW14" s="9">
        <f t="shared" si="38"/>
        <v>2</v>
      </c>
      <c r="BX14" s="9">
        <f t="shared" si="39"/>
        <v>22</v>
      </c>
      <c r="BY14" s="9">
        <f t="shared" si="40"/>
        <v>22</v>
      </c>
      <c r="BZ14" s="9">
        <f t="shared" si="41"/>
        <v>20</v>
      </c>
      <c r="CA14" s="29">
        <f t="shared" si="42"/>
        <v>20</v>
      </c>
      <c r="CB14" s="28">
        <f t="shared" si="43"/>
        <v>22</v>
      </c>
      <c r="CC14" s="9">
        <f t="shared" si="44"/>
        <v>2</v>
      </c>
      <c r="CD14" s="9">
        <f t="shared" si="45"/>
        <v>2</v>
      </c>
      <c r="CE14" s="9">
        <f t="shared" si="46"/>
        <v>22</v>
      </c>
      <c r="CF14" s="9">
        <f t="shared" si="47"/>
        <v>22</v>
      </c>
      <c r="CG14" s="9">
        <f t="shared" si="48"/>
        <v>20</v>
      </c>
      <c r="CH14" s="29">
        <f t="shared" si="49"/>
        <v>20</v>
      </c>
      <c r="CI14" s="28">
        <f t="shared" si="50"/>
        <v>22</v>
      </c>
      <c r="CJ14" s="9">
        <f t="shared" si="51"/>
        <v>2</v>
      </c>
      <c r="CK14" s="9">
        <f t="shared" si="52"/>
        <v>2</v>
      </c>
      <c r="CL14" s="9">
        <f t="shared" si="53"/>
        <v>22</v>
      </c>
      <c r="CM14" s="9">
        <f t="shared" si="54"/>
        <v>22</v>
      </c>
      <c r="CN14" s="9">
        <f t="shared" si="55"/>
        <v>20</v>
      </c>
      <c r="CO14" s="29">
        <f t="shared" si="56"/>
        <v>20</v>
      </c>
    </row>
    <row r="15" spans="1:97" ht="14.45" customHeight="1" thickBot="1" x14ac:dyDescent="0.3">
      <c r="A15" s="20" t="str">
        <f>Pavia!B16</f>
        <v xml:space="preserve">Michael Jason Lencioco </v>
      </c>
      <c r="B15" s="12">
        <f>IFERROR(VLOOKUP(A15,Pavia!B:I,2,),"-")</f>
        <v>0.375</v>
      </c>
      <c r="C15" s="23">
        <f t="shared" si="1"/>
        <v>0.75</v>
      </c>
      <c r="D15" s="12" t="str">
        <f>IFERROR(VLOOKUP(A15,Pavia!B:I,3,),"-")</f>
        <v>OFF</v>
      </c>
      <c r="E15" s="23" t="str">
        <f t="shared" si="2"/>
        <v>OFF</v>
      </c>
      <c r="F15" s="12" t="str">
        <f>IFERROR(VLOOKUP(A15,Pavia!B:I,4,),"-")</f>
        <v>OFF</v>
      </c>
      <c r="G15" s="23" t="str">
        <f t="shared" si="3"/>
        <v>OFF</v>
      </c>
      <c r="H15" s="12">
        <f>IFERROR(VLOOKUP(A15,Pavia!B:I,5,),"-")</f>
        <v>0.375</v>
      </c>
      <c r="I15" s="23">
        <f t="shared" si="4"/>
        <v>0.75</v>
      </c>
      <c r="J15" s="12">
        <f>IFERROR(VLOOKUP(A15,Pavia!B:I,6,),"-")</f>
        <v>0.375</v>
      </c>
      <c r="K15" s="23">
        <f t="shared" si="5"/>
        <v>0.75</v>
      </c>
      <c r="L15" s="12">
        <f>IFERROR(VLOOKUP(A15,Pavia!B:I,7,),"-")</f>
        <v>0.375</v>
      </c>
      <c r="M15" s="23">
        <f t="shared" si="6"/>
        <v>0.75</v>
      </c>
      <c r="N15" s="12">
        <f>IFERROR(VLOOKUP(A15,Pavia!B:I,8,),"-")</f>
        <v>0.375</v>
      </c>
      <c r="O15" s="23">
        <f t="shared" si="7"/>
        <v>0.75</v>
      </c>
      <c r="Q15" s="12">
        <f>IFERROR(VLOOKUP(A15,Pavia!B:Y,24,),"-")</f>
        <v>0.375</v>
      </c>
      <c r="R15" s="23">
        <f t="shared" si="8"/>
        <v>0.75</v>
      </c>
      <c r="T15" s="25">
        <f>IFERROR(VLOOKUP(A15,Pavia!$B:$J,9,),"-")</f>
        <v>0.375</v>
      </c>
      <c r="U15" s="23">
        <f t="shared" si="9"/>
        <v>0.75</v>
      </c>
      <c r="V15" s="12" t="str">
        <f>IFERROR(VLOOKUP(A15,Pavia!B:K,10,),"-")</f>
        <v>OFF</v>
      </c>
      <c r="W15" s="23" t="str">
        <f t="shared" si="10"/>
        <v>OFF</v>
      </c>
      <c r="X15" s="12" t="str">
        <f>IFERROR(VLOOKUP(A15,Pavia!B:L,11,),"-")</f>
        <v>OFF</v>
      </c>
      <c r="Y15" s="23" t="str">
        <f t="shared" si="11"/>
        <v>OFF</v>
      </c>
      <c r="Z15" s="12">
        <f>IFERROR(VLOOKUP(A15,Pavia!B:M,12,),"-")</f>
        <v>0.375</v>
      </c>
      <c r="AA15" s="23">
        <f t="shared" si="12"/>
        <v>0.75</v>
      </c>
      <c r="AB15" s="12">
        <f>IFERROR(VLOOKUP(A15,Pavia!B:N,13,),"-")</f>
        <v>0.375</v>
      </c>
      <c r="AC15" s="23">
        <f t="shared" si="13"/>
        <v>0.75</v>
      </c>
      <c r="AD15" s="12">
        <f>IFERROR(VLOOKUP(A15,Pavia!B:O,14,),"-")</f>
        <v>0.375</v>
      </c>
      <c r="AE15" s="23">
        <f t="shared" si="14"/>
        <v>0.75</v>
      </c>
      <c r="AF15" s="21">
        <f>IFERROR(VLOOKUP(A15,Pavia!B:P,15,),"-")</f>
        <v>0.375</v>
      </c>
      <c r="AG15" s="23">
        <f t="shared" si="15"/>
        <v>0.75</v>
      </c>
      <c r="AI15" s="25">
        <f>IFERROR(VLOOKUP(A15,Pavia!$B:$Q,16,),"-")</f>
        <v>0.375</v>
      </c>
      <c r="AJ15" s="23">
        <f t="shared" si="16"/>
        <v>0.75</v>
      </c>
      <c r="AK15" s="12" t="str">
        <f>IFERROR(VLOOKUP(A15,Pavia!B:R,17,),"-")</f>
        <v>OFF</v>
      </c>
      <c r="AL15" s="23" t="str">
        <f t="shared" si="17"/>
        <v>OFF</v>
      </c>
      <c r="AM15" s="12" t="str">
        <f>IFERROR(VLOOKUP(A15,Pavia!B:S,18,),"-")</f>
        <v>OFF</v>
      </c>
      <c r="AN15" s="23" t="str">
        <f t="shared" si="18"/>
        <v>OFF</v>
      </c>
      <c r="AO15" s="12">
        <f>IFERROR(VLOOKUP(A15,Pavia!B:T,19,),"-")</f>
        <v>0.375</v>
      </c>
      <c r="AP15" s="23">
        <f t="shared" si="19"/>
        <v>0.75</v>
      </c>
      <c r="AQ15" s="12">
        <f>IFERROR(VLOOKUP(A15,Pavia!B:U,20,),"-")</f>
        <v>0.375</v>
      </c>
      <c r="AR15" s="23">
        <f t="shared" si="20"/>
        <v>0.75</v>
      </c>
      <c r="AS15" s="12">
        <f>IFERROR(VLOOKUP(A15,Pavia!B:V,21,),"-")</f>
        <v>0.375</v>
      </c>
      <c r="AT15" s="23">
        <f t="shared" si="21"/>
        <v>0.75</v>
      </c>
      <c r="AU15" s="21">
        <f>IFERROR(VLOOKUP(A15,Pavia!B:W,22,),"-")</f>
        <v>0.375</v>
      </c>
      <c r="AV15" s="23">
        <f t="shared" si="22"/>
        <v>0.75</v>
      </c>
      <c r="AX15" s="30">
        <v>0.5</v>
      </c>
      <c r="AY15" s="10">
        <v>1.5</v>
      </c>
      <c r="AZ15" s="31">
        <f t="shared" si="23"/>
        <v>10</v>
      </c>
      <c r="BA15" s="31">
        <f t="shared" si="24"/>
        <v>0</v>
      </c>
      <c r="BB15" s="31">
        <f t="shared" si="57"/>
        <v>0</v>
      </c>
      <c r="BC15" s="31">
        <f t="shared" si="25"/>
        <v>10</v>
      </c>
      <c r="BD15" s="31">
        <f t="shared" si="26"/>
        <v>10</v>
      </c>
      <c r="BE15" s="31">
        <f t="shared" si="27"/>
        <v>10</v>
      </c>
      <c r="BF15" s="32">
        <f t="shared" si="28"/>
        <v>10</v>
      </c>
      <c r="BH15" s="30">
        <v>0.5</v>
      </c>
      <c r="BI15" s="10">
        <v>1.5</v>
      </c>
      <c r="BJ15" s="31">
        <f t="shared" si="29"/>
        <v>16</v>
      </c>
      <c r="BK15" s="31">
        <f t="shared" si="30"/>
        <v>6</v>
      </c>
      <c r="BL15" s="31">
        <f t="shared" si="31"/>
        <v>2</v>
      </c>
      <c r="BM15" s="31">
        <f t="shared" si="32"/>
        <v>16</v>
      </c>
      <c r="BN15" s="31">
        <f t="shared" si="33"/>
        <v>16</v>
      </c>
      <c r="BO15" s="31">
        <f t="shared" si="34"/>
        <v>10</v>
      </c>
      <c r="BP15" s="32">
        <f t="shared" si="35"/>
        <v>14</v>
      </c>
      <c r="BS15" s="51">
        <v>0.5</v>
      </c>
      <c r="BT15" s="51">
        <v>1.50000000000001</v>
      </c>
      <c r="BU15" s="9">
        <f t="shared" si="36"/>
        <v>26</v>
      </c>
      <c r="BV15" s="9">
        <f t="shared" si="37"/>
        <v>6</v>
      </c>
      <c r="BW15" s="9">
        <f t="shared" si="38"/>
        <v>2</v>
      </c>
      <c r="BX15" s="9">
        <f t="shared" si="39"/>
        <v>26</v>
      </c>
      <c r="BY15" s="9">
        <f t="shared" si="40"/>
        <v>26</v>
      </c>
      <c r="BZ15" s="9">
        <f t="shared" si="41"/>
        <v>20</v>
      </c>
      <c r="CA15" s="29">
        <f t="shared" si="42"/>
        <v>24</v>
      </c>
      <c r="CB15" s="28">
        <f t="shared" si="43"/>
        <v>26</v>
      </c>
      <c r="CC15" s="9">
        <f t="shared" si="44"/>
        <v>6</v>
      </c>
      <c r="CD15" s="9">
        <f t="shared" si="45"/>
        <v>6</v>
      </c>
      <c r="CE15" s="9">
        <f t="shared" si="46"/>
        <v>26</v>
      </c>
      <c r="CF15" s="9">
        <f t="shared" si="47"/>
        <v>22</v>
      </c>
      <c r="CG15" s="9">
        <f t="shared" si="48"/>
        <v>20</v>
      </c>
      <c r="CH15" s="29">
        <f t="shared" si="49"/>
        <v>24</v>
      </c>
      <c r="CI15" s="28">
        <f t="shared" si="50"/>
        <v>26</v>
      </c>
      <c r="CJ15" s="9">
        <f t="shared" si="51"/>
        <v>6</v>
      </c>
      <c r="CK15" s="9">
        <f t="shared" si="52"/>
        <v>6</v>
      </c>
      <c r="CL15" s="9">
        <f t="shared" si="53"/>
        <v>26</v>
      </c>
      <c r="CM15" s="9">
        <f t="shared" si="54"/>
        <v>22</v>
      </c>
      <c r="CN15" s="9">
        <f t="shared" si="55"/>
        <v>20</v>
      </c>
      <c r="CO15" s="29">
        <f t="shared" si="56"/>
        <v>24</v>
      </c>
    </row>
    <row r="16" spans="1:97" ht="14.45" customHeight="1" thickBot="1" x14ac:dyDescent="0.3">
      <c r="A16" s="20" t="str">
        <f>Pavia!B17</f>
        <v>Leah May Baron</v>
      </c>
      <c r="B16" s="12">
        <f>IFERROR(VLOOKUP(A16,Pavia!B:I,2,),"-")</f>
        <v>0.375</v>
      </c>
      <c r="C16" s="23">
        <f t="shared" si="1"/>
        <v>0.75</v>
      </c>
      <c r="D16" s="12" t="str">
        <f>IFERROR(VLOOKUP(A16,Pavia!B:I,3,),"-")</f>
        <v>OFF</v>
      </c>
      <c r="E16" s="23" t="str">
        <f t="shared" si="2"/>
        <v>OFF</v>
      </c>
      <c r="F16" s="12" t="str">
        <f>IFERROR(VLOOKUP(A16,Pavia!B:I,4,),"-")</f>
        <v>OFF</v>
      </c>
      <c r="G16" s="23" t="str">
        <f t="shared" si="3"/>
        <v>OFF</v>
      </c>
      <c r="H16" s="12">
        <f>IFERROR(VLOOKUP(A16,Pavia!B:I,5,),"-")</f>
        <v>0.375</v>
      </c>
      <c r="I16" s="23">
        <f t="shared" si="4"/>
        <v>0.75</v>
      </c>
      <c r="J16" s="12">
        <f>IFERROR(VLOOKUP(A16,Pavia!B:I,6,),"-")</f>
        <v>0.375</v>
      </c>
      <c r="K16" s="23">
        <f t="shared" si="5"/>
        <v>0.75</v>
      </c>
      <c r="L16" s="12">
        <f>IFERROR(VLOOKUP(A16,Pavia!B:I,7,),"-")</f>
        <v>0.375</v>
      </c>
      <c r="M16" s="23">
        <f t="shared" si="6"/>
        <v>0.75</v>
      </c>
      <c r="N16" s="12">
        <f>IFERROR(VLOOKUP(A16,Pavia!B:I,8,),"-")</f>
        <v>0.375</v>
      </c>
      <c r="O16" s="23">
        <f t="shared" si="7"/>
        <v>0.75</v>
      </c>
      <c r="Q16" s="12">
        <f>IFERROR(VLOOKUP(A16,Pavia!B:Y,24,),"-")</f>
        <v>0.375</v>
      </c>
      <c r="R16" s="23">
        <f t="shared" si="8"/>
        <v>0.75</v>
      </c>
      <c r="T16" s="25">
        <f>IFERROR(VLOOKUP(A16,Pavia!$B:$J,9,),"-")</f>
        <v>0.375</v>
      </c>
      <c r="U16" s="23">
        <f t="shared" si="9"/>
        <v>0.75</v>
      </c>
      <c r="V16" s="12" t="str">
        <f>IFERROR(VLOOKUP(A16,Pavia!B:K,10,),"-")</f>
        <v>OFF</v>
      </c>
      <c r="W16" s="23" t="str">
        <f t="shared" si="10"/>
        <v>OFF</v>
      </c>
      <c r="X16" s="12" t="str">
        <f>IFERROR(VLOOKUP(A16,Pavia!B:L,11,),"-")</f>
        <v>OFF</v>
      </c>
      <c r="Y16" s="23" t="str">
        <f t="shared" si="11"/>
        <v>OFF</v>
      </c>
      <c r="Z16" s="12">
        <f>IFERROR(VLOOKUP(A16,Pavia!B:M,12,),"-")</f>
        <v>0.375</v>
      </c>
      <c r="AA16" s="23">
        <f t="shared" si="12"/>
        <v>0.75</v>
      </c>
      <c r="AB16" s="12">
        <f>IFERROR(VLOOKUP(A16,Pavia!B:N,13,),"-")</f>
        <v>0.375</v>
      </c>
      <c r="AC16" s="23">
        <f t="shared" si="13"/>
        <v>0.75</v>
      </c>
      <c r="AD16" s="12">
        <f>IFERROR(VLOOKUP(A16,Pavia!B:O,14,),"-")</f>
        <v>0.375</v>
      </c>
      <c r="AE16" s="23">
        <f t="shared" si="14"/>
        <v>0.75</v>
      </c>
      <c r="AF16" s="21">
        <f>IFERROR(VLOOKUP(A16,Pavia!B:P,15,),"-")</f>
        <v>0.375</v>
      </c>
      <c r="AG16" s="23">
        <f t="shared" si="15"/>
        <v>0.75</v>
      </c>
      <c r="AI16" s="25">
        <f>IFERROR(VLOOKUP(A16,Pavia!$B:$Q,16,),"-")</f>
        <v>0.375</v>
      </c>
      <c r="AJ16" s="23">
        <f t="shared" si="16"/>
        <v>0.75</v>
      </c>
      <c r="AK16" s="12" t="str">
        <f>IFERROR(VLOOKUP(A16,Pavia!B:R,17,),"-")</f>
        <v>OFF</v>
      </c>
      <c r="AL16" s="23" t="str">
        <f t="shared" si="17"/>
        <v>OFF</v>
      </c>
      <c r="AM16" s="12" t="str">
        <f>IFERROR(VLOOKUP(A16,Pavia!B:S,18,),"-")</f>
        <v>OFF</v>
      </c>
      <c r="AN16" s="23" t="str">
        <f t="shared" si="18"/>
        <v>OFF</v>
      </c>
      <c r="AO16" s="12">
        <f>IFERROR(VLOOKUP(A16,Pavia!B:T,19,),"-")</f>
        <v>0.375</v>
      </c>
      <c r="AP16" s="23">
        <f t="shared" si="19"/>
        <v>0.75</v>
      </c>
      <c r="AQ16" s="12">
        <f>IFERROR(VLOOKUP(A16,Pavia!B:U,20,),"-")</f>
        <v>0.375</v>
      </c>
      <c r="AR16" s="23">
        <f t="shared" si="20"/>
        <v>0.75</v>
      </c>
      <c r="AS16" s="12">
        <f>IFERROR(VLOOKUP(A16,Pavia!B:V,21,),"-")</f>
        <v>0.375</v>
      </c>
      <c r="AT16" s="23">
        <f t="shared" si="21"/>
        <v>0.75</v>
      </c>
      <c r="AU16" s="21">
        <f>IFERROR(VLOOKUP(A16,Pavia!B:W,22,),"-")</f>
        <v>0.375</v>
      </c>
      <c r="AV16" s="23">
        <f t="shared" si="22"/>
        <v>0.75</v>
      </c>
      <c r="AX16" s="30">
        <v>0.54166666666666696</v>
      </c>
      <c r="AY16" s="10">
        <v>1.5416666666666701</v>
      </c>
      <c r="AZ16" s="31">
        <f t="shared" si="23"/>
        <v>10</v>
      </c>
      <c r="BA16" s="31">
        <f t="shared" si="24"/>
        <v>0</v>
      </c>
      <c r="BB16" s="31">
        <f t="shared" si="57"/>
        <v>0</v>
      </c>
      <c r="BC16" s="31">
        <f t="shared" si="25"/>
        <v>10</v>
      </c>
      <c r="BD16" s="31">
        <f t="shared" si="26"/>
        <v>10</v>
      </c>
      <c r="BE16" s="31">
        <f t="shared" si="27"/>
        <v>10</v>
      </c>
      <c r="BF16" s="32">
        <f t="shared" si="28"/>
        <v>10</v>
      </c>
      <c r="BH16" s="30">
        <v>0.54166666666666696</v>
      </c>
      <c r="BI16" s="10">
        <v>1.5416666666666601</v>
      </c>
      <c r="BJ16" s="31">
        <f t="shared" si="29"/>
        <v>16</v>
      </c>
      <c r="BK16" s="31">
        <f t="shared" si="30"/>
        <v>6</v>
      </c>
      <c r="BL16" s="31">
        <f t="shared" si="31"/>
        <v>2</v>
      </c>
      <c r="BM16" s="31">
        <f t="shared" si="32"/>
        <v>16</v>
      </c>
      <c r="BN16" s="31">
        <f t="shared" si="33"/>
        <v>16</v>
      </c>
      <c r="BO16" s="31">
        <f t="shared" si="34"/>
        <v>10</v>
      </c>
      <c r="BP16" s="32">
        <f t="shared" si="35"/>
        <v>14</v>
      </c>
      <c r="BS16" s="51">
        <v>0.54166666666666696</v>
      </c>
      <c r="BT16" s="51">
        <v>1.5416666666666701</v>
      </c>
      <c r="BU16" s="9">
        <f t="shared" si="36"/>
        <v>26</v>
      </c>
      <c r="BV16" s="9">
        <f t="shared" si="37"/>
        <v>6</v>
      </c>
      <c r="BW16" s="9">
        <f t="shared" si="38"/>
        <v>2</v>
      </c>
      <c r="BX16" s="9">
        <f t="shared" si="39"/>
        <v>26</v>
      </c>
      <c r="BY16" s="9">
        <f t="shared" si="40"/>
        <v>26</v>
      </c>
      <c r="BZ16" s="9">
        <f t="shared" si="41"/>
        <v>20</v>
      </c>
      <c r="CA16" s="29">
        <f t="shared" si="42"/>
        <v>24</v>
      </c>
      <c r="CB16" s="28">
        <f t="shared" si="43"/>
        <v>26</v>
      </c>
      <c r="CC16" s="9">
        <f t="shared" si="44"/>
        <v>6</v>
      </c>
      <c r="CD16" s="9">
        <f t="shared" si="45"/>
        <v>6</v>
      </c>
      <c r="CE16" s="9">
        <f t="shared" si="46"/>
        <v>26</v>
      </c>
      <c r="CF16" s="9">
        <f t="shared" si="47"/>
        <v>22</v>
      </c>
      <c r="CG16" s="9">
        <f t="shared" si="48"/>
        <v>20</v>
      </c>
      <c r="CH16" s="29">
        <f t="shared" si="49"/>
        <v>24</v>
      </c>
      <c r="CI16" s="28">
        <f t="shared" si="50"/>
        <v>26</v>
      </c>
      <c r="CJ16" s="9">
        <f t="shared" si="51"/>
        <v>6</v>
      </c>
      <c r="CK16" s="9">
        <f t="shared" si="52"/>
        <v>6</v>
      </c>
      <c r="CL16" s="9">
        <f t="shared" si="53"/>
        <v>26</v>
      </c>
      <c r="CM16" s="9">
        <f t="shared" si="54"/>
        <v>22</v>
      </c>
      <c r="CN16" s="9">
        <f t="shared" si="55"/>
        <v>20</v>
      </c>
      <c r="CO16" s="29">
        <f t="shared" si="56"/>
        <v>24</v>
      </c>
    </row>
    <row r="17" spans="1:93" ht="14.45" customHeight="1" thickBot="1" x14ac:dyDescent="0.3">
      <c r="A17" s="20" t="str">
        <f>Pavia!B18</f>
        <v>Pressie Jean  Costas</v>
      </c>
      <c r="B17" s="12">
        <f>IFERROR(VLOOKUP(A17,Pavia!B:I,2,),"-")</f>
        <v>0.375</v>
      </c>
      <c r="C17" s="23">
        <f t="shared" si="1"/>
        <v>0.75</v>
      </c>
      <c r="D17" s="12" t="str">
        <f>IFERROR(VLOOKUP(A17,Pavia!B:I,3,),"-")</f>
        <v>OFF</v>
      </c>
      <c r="E17" s="23" t="str">
        <f t="shared" si="2"/>
        <v>OFF</v>
      </c>
      <c r="F17" s="12" t="str">
        <f>IFERROR(VLOOKUP(A17,Pavia!B:I,4,),"-")</f>
        <v>OFF</v>
      </c>
      <c r="G17" s="23" t="str">
        <f t="shared" si="3"/>
        <v>OFF</v>
      </c>
      <c r="H17" s="12">
        <f>IFERROR(VLOOKUP(A17,Pavia!B:I,5,),"-")</f>
        <v>0.375</v>
      </c>
      <c r="I17" s="23">
        <f t="shared" si="4"/>
        <v>0.75</v>
      </c>
      <c r="J17" s="12">
        <f>IFERROR(VLOOKUP(A17,Pavia!B:I,6,),"-")</f>
        <v>0.375</v>
      </c>
      <c r="K17" s="23">
        <f t="shared" si="5"/>
        <v>0.75</v>
      </c>
      <c r="L17" s="12">
        <f>IFERROR(VLOOKUP(A17,Pavia!B:I,7,),"-")</f>
        <v>0.375</v>
      </c>
      <c r="M17" s="23">
        <f t="shared" si="6"/>
        <v>0.75</v>
      </c>
      <c r="N17" s="12">
        <f>IFERROR(VLOOKUP(A17,Pavia!B:I,8,),"-")</f>
        <v>0.375</v>
      </c>
      <c r="O17" s="23">
        <f t="shared" si="7"/>
        <v>0.75</v>
      </c>
      <c r="Q17" s="12">
        <f>IFERROR(VLOOKUP(A17,Pavia!B:Y,24,),"-")</f>
        <v>0.375</v>
      </c>
      <c r="R17" s="23">
        <f t="shared" si="8"/>
        <v>0.75</v>
      </c>
      <c r="T17" s="25">
        <f>IFERROR(VLOOKUP(A17,Pavia!$B:$J,9,),"-")</f>
        <v>0.375</v>
      </c>
      <c r="U17" s="23">
        <f t="shared" si="9"/>
        <v>0.75</v>
      </c>
      <c r="V17" s="12" t="str">
        <f>IFERROR(VLOOKUP(A17,Pavia!B:K,10,),"-")</f>
        <v>OFF</v>
      </c>
      <c r="W17" s="23" t="str">
        <f t="shared" si="10"/>
        <v>OFF</v>
      </c>
      <c r="X17" s="12" t="str">
        <f>IFERROR(VLOOKUP(A17,Pavia!B:L,11,),"-")</f>
        <v>OFF</v>
      </c>
      <c r="Y17" s="23" t="str">
        <f t="shared" si="11"/>
        <v>OFF</v>
      </c>
      <c r="Z17" s="12">
        <f>IFERROR(VLOOKUP(A17,Pavia!B:M,12,),"-")</f>
        <v>0.375</v>
      </c>
      <c r="AA17" s="23">
        <f t="shared" si="12"/>
        <v>0.75</v>
      </c>
      <c r="AB17" s="12">
        <f>IFERROR(VLOOKUP(A17,Pavia!B:N,13,),"-")</f>
        <v>0.375</v>
      </c>
      <c r="AC17" s="23">
        <f t="shared" si="13"/>
        <v>0.75</v>
      </c>
      <c r="AD17" s="12">
        <f>IFERROR(VLOOKUP(A17,Pavia!B:O,14,),"-")</f>
        <v>0.375</v>
      </c>
      <c r="AE17" s="23">
        <f t="shared" si="14"/>
        <v>0.75</v>
      </c>
      <c r="AF17" s="21">
        <f>IFERROR(VLOOKUP(A17,Pavia!B:P,15,),"-")</f>
        <v>0.375</v>
      </c>
      <c r="AG17" s="23">
        <f t="shared" si="15"/>
        <v>0.75</v>
      </c>
      <c r="AI17" s="25">
        <f>IFERROR(VLOOKUP(A17,Pavia!$B:$Q,16,),"-")</f>
        <v>0.375</v>
      </c>
      <c r="AJ17" s="23">
        <f t="shared" si="16"/>
        <v>0.75</v>
      </c>
      <c r="AK17" s="12" t="str">
        <f>IFERROR(VLOOKUP(A17,Pavia!B:R,17,),"-")</f>
        <v>OFF</v>
      </c>
      <c r="AL17" s="23" t="str">
        <f t="shared" si="17"/>
        <v>OFF</v>
      </c>
      <c r="AM17" s="12" t="str">
        <f>IFERROR(VLOOKUP(A17,Pavia!B:S,18,),"-")</f>
        <v>OFF</v>
      </c>
      <c r="AN17" s="23" t="str">
        <f t="shared" si="18"/>
        <v>OFF</v>
      </c>
      <c r="AO17" s="12">
        <f>IFERROR(VLOOKUP(A17,Pavia!B:T,19,),"-")</f>
        <v>0.375</v>
      </c>
      <c r="AP17" s="23">
        <f t="shared" si="19"/>
        <v>0.75</v>
      </c>
      <c r="AQ17" s="12">
        <f>IFERROR(VLOOKUP(A17,Pavia!B:U,20,),"-")</f>
        <v>0.375</v>
      </c>
      <c r="AR17" s="23">
        <f t="shared" si="20"/>
        <v>0.75</v>
      </c>
      <c r="AS17" s="12">
        <f>IFERROR(VLOOKUP(A17,Pavia!B:V,21,),"-")</f>
        <v>0.375</v>
      </c>
      <c r="AT17" s="23">
        <f t="shared" si="21"/>
        <v>0.75</v>
      </c>
      <c r="AU17" s="21">
        <f>IFERROR(VLOOKUP(A17,Pavia!B:W,22,),"-")</f>
        <v>0.375</v>
      </c>
      <c r="AV17" s="23">
        <f t="shared" si="22"/>
        <v>0.75</v>
      </c>
      <c r="AX17" s="30">
        <v>0.58333333333333304</v>
      </c>
      <c r="AY17" s="10">
        <v>1.5833333333333399</v>
      </c>
      <c r="AZ17" s="31">
        <f t="shared" si="23"/>
        <v>10</v>
      </c>
      <c r="BA17" s="31">
        <f t="shared" si="24"/>
        <v>0</v>
      </c>
      <c r="BB17" s="31">
        <f t="shared" si="57"/>
        <v>0</v>
      </c>
      <c r="BC17" s="31">
        <f t="shared" si="25"/>
        <v>10</v>
      </c>
      <c r="BD17" s="31">
        <f t="shared" si="26"/>
        <v>10</v>
      </c>
      <c r="BE17" s="31">
        <f t="shared" si="27"/>
        <v>10</v>
      </c>
      <c r="BF17" s="32">
        <f t="shared" si="28"/>
        <v>10</v>
      </c>
      <c r="BH17" s="30">
        <v>0.58333333333333304</v>
      </c>
      <c r="BI17" s="10">
        <v>1.5833333333333299</v>
      </c>
      <c r="BJ17" s="31">
        <f t="shared" si="29"/>
        <v>16</v>
      </c>
      <c r="BK17" s="31">
        <f t="shared" si="30"/>
        <v>6</v>
      </c>
      <c r="BL17" s="31">
        <f t="shared" si="31"/>
        <v>2</v>
      </c>
      <c r="BM17" s="31">
        <f t="shared" si="32"/>
        <v>16</v>
      </c>
      <c r="BN17" s="31">
        <f t="shared" si="33"/>
        <v>16</v>
      </c>
      <c r="BO17" s="31">
        <f t="shared" si="34"/>
        <v>10</v>
      </c>
      <c r="BP17" s="32">
        <f t="shared" si="35"/>
        <v>14</v>
      </c>
      <c r="BS17" s="51">
        <v>0.58333333333333304</v>
      </c>
      <c r="BT17" s="51">
        <v>1.5833333333333399</v>
      </c>
      <c r="BU17" s="9">
        <f t="shared" si="36"/>
        <v>37</v>
      </c>
      <c r="BV17" s="9">
        <f t="shared" si="37"/>
        <v>17</v>
      </c>
      <c r="BW17" s="9">
        <f t="shared" si="38"/>
        <v>13</v>
      </c>
      <c r="BX17" s="9">
        <f t="shared" si="39"/>
        <v>37</v>
      </c>
      <c r="BY17" s="9">
        <f t="shared" si="40"/>
        <v>37</v>
      </c>
      <c r="BZ17" s="9">
        <f t="shared" si="41"/>
        <v>20</v>
      </c>
      <c r="CA17" s="29">
        <f t="shared" si="42"/>
        <v>24</v>
      </c>
      <c r="CB17" s="28">
        <f t="shared" si="43"/>
        <v>37</v>
      </c>
      <c r="CC17" s="9">
        <f t="shared" si="44"/>
        <v>17</v>
      </c>
      <c r="CD17" s="9">
        <f t="shared" si="45"/>
        <v>17</v>
      </c>
      <c r="CE17" s="9">
        <f t="shared" si="46"/>
        <v>37</v>
      </c>
      <c r="CF17" s="9">
        <f t="shared" si="47"/>
        <v>33</v>
      </c>
      <c r="CG17" s="9">
        <f t="shared" si="48"/>
        <v>20</v>
      </c>
      <c r="CH17" s="29">
        <f t="shared" si="49"/>
        <v>24</v>
      </c>
      <c r="CI17" s="28">
        <f t="shared" si="50"/>
        <v>37</v>
      </c>
      <c r="CJ17" s="9">
        <f t="shared" si="51"/>
        <v>17</v>
      </c>
      <c r="CK17" s="9">
        <f t="shared" si="52"/>
        <v>17</v>
      </c>
      <c r="CL17" s="9">
        <f t="shared" si="53"/>
        <v>37</v>
      </c>
      <c r="CM17" s="9">
        <f t="shared" si="54"/>
        <v>33</v>
      </c>
      <c r="CN17" s="9">
        <f t="shared" si="55"/>
        <v>20</v>
      </c>
      <c r="CO17" s="29">
        <f t="shared" si="56"/>
        <v>24</v>
      </c>
    </row>
    <row r="18" spans="1:93" ht="14.45" customHeight="1" thickBot="1" x14ac:dyDescent="0.3">
      <c r="A18" s="20" t="str">
        <f>Pavia!B19</f>
        <v>Ladyvanessa Jalbuena</v>
      </c>
      <c r="B18" s="12">
        <f>IFERROR(VLOOKUP(A18,Pavia!B:I,2,),"-")</f>
        <v>0.375</v>
      </c>
      <c r="C18" s="23">
        <f t="shared" si="1"/>
        <v>0.75</v>
      </c>
      <c r="D18" s="12" t="str">
        <f>IFERROR(VLOOKUP(A18,Pavia!B:I,3,),"-")</f>
        <v>OFF</v>
      </c>
      <c r="E18" s="23" t="str">
        <f t="shared" si="2"/>
        <v>OFF</v>
      </c>
      <c r="F18" s="12" t="str">
        <f>IFERROR(VLOOKUP(A18,Pavia!B:I,4,),"-")</f>
        <v>OFF</v>
      </c>
      <c r="G18" s="23" t="str">
        <f t="shared" si="3"/>
        <v>OFF</v>
      </c>
      <c r="H18" s="12">
        <f>IFERROR(VLOOKUP(A18,Pavia!B:I,5,),"-")</f>
        <v>0.375</v>
      </c>
      <c r="I18" s="23">
        <f t="shared" si="4"/>
        <v>0.75</v>
      </c>
      <c r="J18" s="12">
        <f>IFERROR(VLOOKUP(A18,Pavia!B:I,6,),"-")</f>
        <v>0.375</v>
      </c>
      <c r="K18" s="23">
        <f t="shared" si="5"/>
        <v>0.75</v>
      </c>
      <c r="L18" s="12">
        <f>IFERROR(VLOOKUP(A18,Pavia!B:I,7,),"-")</f>
        <v>0.375</v>
      </c>
      <c r="M18" s="23">
        <f t="shared" si="6"/>
        <v>0.75</v>
      </c>
      <c r="N18" s="12">
        <f>IFERROR(VLOOKUP(A18,Pavia!B:I,8,),"-")</f>
        <v>0.375</v>
      </c>
      <c r="O18" s="23">
        <f t="shared" si="7"/>
        <v>0.75</v>
      </c>
      <c r="Q18" s="12">
        <f>IFERROR(VLOOKUP(A18,Pavia!B:Y,24,),"-")</f>
        <v>0.375</v>
      </c>
      <c r="R18" s="23">
        <f t="shared" si="8"/>
        <v>0.75</v>
      </c>
      <c r="T18" s="25">
        <f>IFERROR(VLOOKUP(A18,Pavia!$B:$J,9,),"-")</f>
        <v>0.375</v>
      </c>
      <c r="U18" s="23">
        <f t="shared" si="9"/>
        <v>0.75</v>
      </c>
      <c r="V18" s="12" t="str">
        <f>IFERROR(VLOOKUP(A18,Pavia!B:K,10,),"-")</f>
        <v>OFF</v>
      </c>
      <c r="W18" s="23" t="str">
        <f t="shared" si="10"/>
        <v>OFF</v>
      </c>
      <c r="X18" s="12" t="str">
        <f>IFERROR(VLOOKUP(A18,Pavia!B:L,11,),"-")</f>
        <v>OFF</v>
      </c>
      <c r="Y18" s="23" t="str">
        <f t="shared" si="11"/>
        <v>OFF</v>
      </c>
      <c r="Z18" s="12">
        <f>IFERROR(VLOOKUP(A18,Pavia!B:M,12,),"-")</f>
        <v>0.375</v>
      </c>
      <c r="AA18" s="23">
        <f t="shared" si="12"/>
        <v>0.75</v>
      </c>
      <c r="AB18" s="12">
        <f>IFERROR(VLOOKUP(A18,Pavia!B:N,13,),"-")</f>
        <v>0.375</v>
      </c>
      <c r="AC18" s="23">
        <f t="shared" si="13"/>
        <v>0.75</v>
      </c>
      <c r="AD18" s="12">
        <f>IFERROR(VLOOKUP(A18,Pavia!B:O,14,),"-")</f>
        <v>0.375</v>
      </c>
      <c r="AE18" s="23">
        <f t="shared" si="14"/>
        <v>0.75</v>
      </c>
      <c r="AF18" s="21">
        <f>IFERROR(VLOOKUP(A18,Pavia!B:P,15,),"-")</f>
        <v>0.375</v>
      </c>
      <c r="AG18" s="23">
        <f t="shared" si="15"/>
        <v>0.75</v>
      </c>
      <c r="AI18" s="25">
        <f>IFERROR(VLOOKUP(A18,Pavia!$B:$Q,16,),"-")</f>
        <v>0.375</v>
      </c>
      <c r="AJ18" s="23">
        <f t="shared" si="16"/>
        <v>0.75</v>
      </c>
      <c r="AK18" s="12" t="str">
        <f>IFERROR(VLOOKUP(A18,Pavia!B:R,17,),"-")</f>
        <v>OFF</v>
      </c>
      <c r="AL18" s="23" t="str">
        <f t="shared" si="17"/>
        <v>OFF</v>
      </c>
      <c r="AM18" s="12" t="str">
        <f>IFERROR(VLOOKUP(A18,Pavia!B:S,18,),"-")</f>
        <v>OFF</v>
      </c>
      <c r="AN18" s="23" t="str">
        <f t="shared" si="18"/>
        <v>OFF</v>
      </c>
      <c r="AO18" s="12">
        <f>IFERROR(VLOOKUP(A18,Pavia!B:T,19,),"-")</f>
        <v>0.375</v>
      </c>
      <c r="AP18" s="23">
        <f t="shared" si="19"/>
        <v>0.75</v>
      </c>
      <c r="AQ18" s="12">
        <f>IFERROR(VLOOKUP(A18,Pavia!B:U,20,),"-")</f>
        <v>0.375</v>
      </c>
      <c r="AR18" s="23">
        <f t="shared" si="20"/>
        <v>0.75</v>
      </c>
      <c r="AS18" s="12">
        <f>IFERROR(VLOOKUP(A18,Pavia!B:V,21,),"-")</f>
        <v>0.375</v>
      </c>
      <c r="AT18" s="23">
        <f t="shared" si="21"/>
        <v>0.75</v>
      </c>
      <c r="AU18" s="21">
        <f>IFERROR(VLOOKUP(A18,Pavia!B:W,22,),"-")</f>
        <v>0.375</v>
      </c>
      <c r="AV18" s="23">
        <f t="shared" si="22"/>
        <v>0.75</v>
      </c>
      <c r="AX18" s="30">
        <v>0.625</v>
      </c>
      <c r="AY18" s="10">
        <v>1.625</v>
      </c>
      <c r="AZ18" s="31">
        <f>(COUNTIFS($B$3:$B$12, "&lt;=" &amp; AX18, $C$3:$C$12, "&gt;" &amp; AX18))+COUNTIFS($Q$3:$Q$12, "&lt;=" &amp; AY18, $R$3:$R$12, "&gt;" &amp; AY18)</f>
        <v>10</v>
      </c>
      <c r="BA18" s="31">
        <f t="shared" si="24"/>
        <v>0</v>
      </c>
      <c r="BB18" s="31">
        <f t="shared" si="57"/>
        <v>0</v>
      </c>
      <c r="BC18" s="31">
        <f t="shared" si="25"/>
        <v>10</v>
      </c>
      <c r="BD18" s="31">
        <f t="shared" si="26"/>
        <v>10</v>
      </c>
      <c r="BE18" s="31">
        <f t="shared" si="27"/>
        <v>10</v>
      </c>
      <c r="BF18" s="32">
        <f t="shared" si="28"/>
        <v>10</v>
      </c>
      <c r="BH18" s="30">
        <v>0.625</v>
      </c>
      <c r="BI18" s="10">
        <v>1.625</v>
      </c>
      <c r="BJ18" s="31">
        <f t="shared" si="29"/>
        <v>16</v>
      </c>
      <c r="BK18" s="31">
        <f t="shared" si="30"/>
        <v>6</v>
      </c>
      <c r="BL18" s="31">
        <f t="shared" si="31"/>
        <v>2</v>
      </c>
      <c r="BM18" s="31">
        <f t="shared" si="32"/>
        <v>16</v>
      </c>
      <c r="BN18" s="31">
        <f t="shared" si="33"/>
        <v>16</v>
      </c>
      <c r="BO18" s="31">
        <f t="shared" si="34"/>
        <v>10</v>
      </c>
      <c r="BP18" s="32">
        <f t="shared" si="35"/>
        <v>14</v>
      </c>
      <c r="BS18" s="51">
        <v>0.625</v>
      </c>
      <c r="BT18" s="51">
        <v>1.62500000000001</v>
      </c>
      <c r="BU18" s="9">
        <f t="shared" si="36"/>
        <v>37</v>
      </c>
      <c r="BV18" s="9">
        <f t="shared" si="37"/>
        <v>17</v>
      </c>
      <c r="BW18" s="9">
        <f t="shared" si="38"/>
        <v>13</v>
      </c>
      <c r="BX18" s="9">
        <f t="shared" si="39"/>
        <v>37</v>
      </c>
      <c r="BY18" s="9">
        <f t="shared" si="40"/>
        <v>37</v>
      </c>
      <c r="BZ18" s="9">
        <f t="shared" si="41"/>
        <v>20</v>
      </c>
      <c r="CA18" s="29">
        <f t="shared" si="42"/>
        <v>24</v>
      </c>
      <c r="CB18" s="28">
        <f t="shared" si="43"/>
        <v>37</v>
      </c>
      <c r="CC18" s="9">
        <f t="shared" si="44"/>
        <v>17</v>
      </c>
      <c r="CD18" s="9">
        <f t="shared" si="45"/>
        <v>17</v>
      </c>
      <c r="CE18" s="9">
        <f t="shared" si="46"/>
        <v>37</v>
      </c>
      <c r="CF18" s="9">
        <f t="shared" si="47"/>
        <v>33</v>
      </c>
      <c r="CG18" s="9">
        <f t="shared" si="48"/>
        <v>20</v>
      </c>
      <c r="CH18" s="29">
        <f t="shared" si="49"/>
        <v>24</v>
      </c>
      <c r="CI18" s="28">
        <f t="shared" si="50"/>
        <v>37</v>
      </c>
      <c r="CJ18" s="9">
        <f t="shared" si="51"/>
        <v>17</v>
      </c>
      <c r="CK18" s="9">
        <f t="shared" si="52"/>
        <v>17</v>
      </c>
      <c r="CL18" s="9">
        <f t="shared" si="53"/>
        <v>37</v>
      </c>
      <c r="CM18" s="9">
        <f t="shared" si="54"/>
        <v>33</v>
      </c>
      <c r="CN18" s="9">
        <f t="shared" si="55"/>
        <v>20</v>
      </c>
      <c r="CO18" s="29">
        <f t="shared" si="56"/>
        <v>24</v>
      </c>
    </row>
    <row r="19" spans="1:93" ht="14.45" customHeight="1" thickBot="1" x14ac:dyDescent="0.3">
      <c r="A19" s="20" t="str">
        <f>Pavia!B20</f>
        <v>Senemeah Pagsugiron</v>
      </c>
      <c r="B19" s="12">
        <f>IFERROR(VLOOKUP(A19,Pavia!B:I,2,),"-")</f>
        <v>0.375</v>
      </c>
      <c r="C19" s="23">
        <f t="shared" si="1"/>
        <v>0.75</v>
      </c>
      <c r="D19" s="12" t="str">
        <f>IFERROR(VLOOKUP(A19,Pavia!B:I,3,),"-")</f>
        <v>OFF</v>
      </c>
      <c r="E19" s="23" t="str">
        <f t="shared" si="2"/>
        <v>OFF</v>
      </c>
      <c r="F19" s="12" t="str">
        <f>IFERROR(VLOOKUP(A19,Pavia!B:I,4,),"-")</f>
        <v>OFF</v>
      </c>
      <c r="G19" s="23" t="str">
        <f t="shared" si="3"/>
        <v>OFF</v>
      </c>
      <c r="H19" s="12">
        <f>IFERROR(VLOOKUP(A19,Pavia!B:I,5,),"-")</f>
        <v>0.375</v>
      </c>
      <c r="I19" s="23">
        <f t="shared" si="4"/>
        <v>0.75</v>
      </c>
      <c r="J19" s="12">
        <f>IFERROR(VLOOKUP(A19,Pavia!B:I,6,),"-")</f>
        <v>0.375</v>
      </c>
      <c r="K19" s="23">
        <f t="shared" si="5"/>
        <v>0.75</v>
      </c>
      <c r="L19" s="12">
        <f>IFERROR(VLOOKUP(A19,Pavia!B:I,7,),"-")</f>
        <v>0.375</v>
      </c>
      <c r="M19" s="23">
        <f t="shared" si="6"/>
        <v>0.75</v>
      </c>
      <c r="N19" s="12">
        <f>IFERROR(VLOOKUP(A19,Pavia!B:I,8,),"-")</f>
        <v>0.375</v>
      </c>
      <c r="O19" s="23">
        <f t="shared" si="7"/>
        <v>0.75</v>
      </c>
      <c r="Q19" s="12">
        <f>IFERROR(VLOOKUP(A19,Pavia!B:Y,24,),"-")</f>
        <v>0.375</v>
      </c>
      <c r="R19" s="23">
        <f t="shared" si="8"/>
        <v>0.75</v>
      </c>
      <c r="T19" s="25">
        <f>IFERROR(VLOOKUP(A19,Pavia!$B:$J,9,),"-")</f>
        <v>0.375</v>
      </c>
      <c r="U19" s="23">
        <f t="shared" si="9"/>
        <v>0.75</v>
      </c>
      <c r="V19" s="12" t="str">
        <f>IFERROR(VLOOKUP(A19,Pavia!B:K,10,),"-")</f>
        <v>OFF</v>
      </c>
      <c r="W19" s="23" t="str">
        <f t="shared" si="10"/>
        <v>OFF</v>
      </c>
      <c r="X19" s="12" t="str">
        <f>IFERROR(VLOOKUP(A19,Pavia!B:L,11,),"-")</f>
        <v>OFF</v>
      </c>
      <c r="Y19" s="23" t="str">
        <f t="shared" si="11"/>
        <v>OFF</v>
      </c>
      <c r="Z19" s="12">
        <f>IFERROR(VLOOKUP(A19,Pavia!B:M,12,),"-")</f>
        <v>0.375</v>
      </c>
      <c r="AA19" s="23">
        <f t="shared" si="12"/>
        <v>0.75</v>
      </c>
      <c r="AB19" s="12">
        <f>IFERROR(VLOOKUP(A19,Pavia!B:N,13,),"-")</f>
        <v>0.375</v>
      </c>
      <c r="AC19" s="23">
        <f t="shared" si="13"/>
        <v>0.75</v>
      </c>
      <c r="AD19" s="12">
        <f>IFERROR(VLOOKUP(A19,Pavia!B:O,14,),"-")</f>
        <v>0.375</v>
      </c>
      <c r="AE19" s="23">
        <f t="shared" si="14"/>
        <v>0.75</v>
      </c>
      <c r="AF19" s="21">
        <f>IFERROR(VLOOKUP(A19,Pavia!B:P,15,),"-")</f>
        <v>0.375</v>
      </c>
      <c r="AG19" s="23">
        <f t="shared" si="15"/>
        <v>0.75</v>
      </c>
      <c r="AI19" s="25">
        <f>IFERROR(VLOOKUP(A19,Pavia!$B:$Q,16,),"-")</f>
        <v>0.375</v>
      </c>
      <c r="AJ19" s="23">
        <f t="shared" si="16"/>
        <v>0.75</v>
      </c>
      <c r="AK19" s="12" t="str">
        <f>IFERROR(VLOOKUP(A19,Pavia!B:R,17,),"-")</f>
        <v>OFF</v>
      </c>
      <c r="AL19" s="23" t="str">
        <f t="shared" si="17"/>
        <v>OFF</v>
      </c>
      <c r="AM19" s="12" t="str">
        <f>IFERROR(VLOOKUP(A19,Pavia!B:S,18,),"-")</f>
        <v>OFF</v>
      </c>
      <c r="AN19" s="23" t="str">
        <f t="shared" si="18"/>
        <v>OFF</v>
      </c>
      <c r="AO19" s="12">
        <f>IFERROR(VLOOKUP(A19,Pavia!B:T,19,),"-")</f>
        <v>0.375</v>
      </c>
      <c r="AP19" s="23">
        <f t="shared" si="19"/>
        <v>0.75</v>
      </c>
      <c r="AQ19" s="12">
        <f>IFERROR(VLOOKUP(A19,Pavia!B:U,20,),"-")</f>
        <v>0.375</v>
      </c>
      <c r="AR19" s="23">
        <f t="shared" si="20"/>
        <v>0.75</v>
      </c>
      <c r="AS19" s="12">
        <f>IFERROR(VLOOKUP(A19,Pavia!B:V,21,),"-")</f>
        <v>0.375</v>
      </c>
      <c r="AT19" s="23">
        <f t="shared" si="21"/>
        <v>0.75</v>
      </c>
      <c r="AU19" s="21">
        <f>IFERROR(VLOOKUP(A19,Pavia!B:W,22,),"-")</f>
        <v>0.375</v>
      </c>
      <c r="AV19" s="23">
        <f t="shared" si="22"/>
        <v>0.75</v>
      </c>
      <c r="AX19" s="30">
        <v>0.66666666666666696</v>
      </c>
      <c r="AY19" s="10">
        <v>1.6666666666666701</v>
      </c>
      <c r="AZ19" s="31">
        <f t="shared" si="23"/>
        <v>10</v>
      </c>
      <c r="BA19" s="31">
        <f t="shared" si="24"/>
        <v>0</v>
      </c>
      <c r="BB19" s="31">
        <f t="shared" si="57"/>
        <v>0</v>
      </c>
      <c r="BC19" s="31">
        <f t="shared" si="25"/>
        <v>10</v>
      </c>
      <c r="BD19" s="31">
        <f t="shared" si="26"/>
        <v>10</v>
      </c>
      <c r="BE19" s="31">
        <f t="shared" si="27"/>
        <v>10</v>
      </c>
      <c r="BF19" s="32">
        <f>(COUNTIFS($N$3:$N$12, "&lt;=" &amp; AX19, $O$3:$O$12, "&gt;" &amp; AX19))+COUNTIFS($L$3:$L$12, "&lt;=" &amp; AY19, $M$3:$M$12, "&gt;" &amp; AY19)</f>
        <v>10</v>
      </c>
      <c r="BH19" s="30">
        <v>0.66666666666666696</v>
      </c>
      <c r="BI19" s="10">
        <v>1.6666666666666601</v>
      </c>
      <c r="BJ19" s="31">
        <f t="shared" si="29"/>
        <v>25</v>
      </c>
      <c r="BK19" s="31">
        <f t="shared" si="30"/>
        <v>15</v>
      </c>
      <c r="BL19" s="31">
        <f t="shared" si="31"/>
        <v>3</v>
      </c>
      <c r="BM19" s="31">
        <f t="shared" si="32"/>
        <v>24</v>
      </c>
      <c r="BN19" s="31">
        <f t="shared" si="33"/>
        <v>24</v>
      </c>
      <c r="BO19" s="31">
        <f t="shared" si="34"/>
        <v>11</v>
      </c>
      <c r="BP19" s="32">
        <f>(COUNTIFS($N$13:$N$37, "&lt;=" &amp; BH19, $O$13:$O$37, "&gt;" &amp; BH19))+COUNTIFS($L$13:$L$37, "&lt;=" &amp; BI19, $M$13:$M$37, "&gt;" &amp; BI19)</f>
        <v>23</v>
      </c>
      <c r="BS19" s="51">
        <v>0.66666666666666696</v>
      </c>
      <c r="BT19" s="51">
        <v>1.6666666666666701</v>
      </c>
      <c r="BU19" s="9">
        <f t="shared" si="36"/>
        <v>47</v>
      </c>
      <c r="BV19" s="9">
        <f t="shared" si="37"/>
        <v>27</v>
      </c>
      <c r="BW19" s="9">
        <f t="shared" si="38"/>
        <v>14</v>
      </c>
      <c r="BX19" s="9">
        <f t="shared" si="39"/>
        <v>46</v>
      </c>
      <c r="BY19" s="9">
        <f t="shared" si="40"/>
        <v>46</v>
      </c>
      <c r="BZ19" s="9">
        <f t="shared" si="41"/>
        <v>21</v>
      </c>
      <c r="CA19" s="29">
        <f t="shared" si="42"/>
        <v>34</v>
      </c>
      <c r="CB19" s="28">
        <f t="shared" si="43"/>
        <v>47</v>
      </c>
      <c r="CC19" s="9">
        <f t="shared" si="44"/>
        <v>27</v>
      </c>
      <c r="CD19" s="9">
        <f t="shared" si="45"/>
        <v>27</v>
      </c>
      <c r="CE19" s="9">
        <f t="shared" si="46"/>
        <v>46</v>
      </c>
      <c r="CF19" s="9">
        <f t="shared" si="47"/>
        <v>33</v>
      </c>
      <c r="CG19" s="9">
        <f t="shared" si="48"/>
        <v>21</v>
      </c>
      <c r="CH19" s="29">
        <f t="shared" si="49"/>
        <v>34</v>
      </c>
      <c r="CI19" s="28">
        <f t="shared" si="50"/>
        <v>47</v>
      </c>
      <c r="CJ19" s="9">
        <f t="shared" si="51"/>
        <v>27</v>
      </c>
      <c r="CK19" s="9">
        <f t="shared" si="52"/>
        <v>27</v>
      </c>
      <c r="CL19" s="9">
        <f t="shared" si="53"/>
        <v>46</v>
      </c>
      <c r="CM19" s="9">
        <f t="shared" si="54"/>
        <v>33</v>
      </c>
      <c r="CN19" s="9">
        <f t="shared" si="55"/>
        <v>21</v>
      </c>
      <c r="CO19" s="29">
        <f t="shared" si="56"/>
        <v>34</v>
      </c>
    </row>
    <row r="20" spans="1:93" ht="14.45" customHeight="1" thickBot="1" x14ac:dyDescent="0.3">
      <c r="A20" s="20" t="str">
        <f>Pavia!B21</f>
        <v>Samfer Kim   Ventura</v>
      </c>
      <c r="B20" s="12">
        <f>IFERROR(VLOOKUP(A20,Pavia!B:I,2,),"-")</f>
        <v>0.375</v>
      </c>
      <c r="C20" s="23">
        <f t="shared" si="1"/>
        <v>0.75</v>
      </c>
      <c r="D20" s="12" t="str">
        <f>IFERROR(VLOOKUP(A20,Pavia!B:I,3,),"-")</f>
        <v>OFF</v>
      </c>
      <c r="E20" s="23" t="str">
        <f t="shared" si="2"/>
        <v>OFF</v>
      </c>
      <c r="F20" s="12" t="str">
        <f>IFERROR(VLOOKUP(A20,Pavia!B:I,4,),"-")</f>
        <v>OFF</v>
      </c>
      <c r="G20" s="23" t="str">
        <f t="shared" si="3"/>
        <v>OFF</v>
      </c>
      <c r="H20" s="12">
        <f>IFERROR(VLOOKUP(A20,Pavia!B:I,5,),"-")</f>
        <v>0.375</v>
      </c>
      <c r="I20" s="23">
        <f t="shared" si="4"/>
        <v>0.75</v>
      </c>
      <c r="J20" s="12">
        <f>IFERROR(VLOOKUP(A20,Pavia!B:I,6,),"-")</f>
        <v>0.375</v>
      </c>
      <c r="K20" s="23">
        <f t="shared" si="5"/>
        <v>0.75</v>
      </c>
      <c r="L20" s="12">
        <f>IFERROR(VLOOKUP(A20,Pavia!B:I,7,),"-")</f>
        <v>0.375</v>
      </c>
      <c r="M20" s="23">
        <f t="shared" si="6"/>
        <v>0.75</v>
      </c>
      <c r="N20" s="12">
        <f>IFERROR(VLOOKUP(A20,Pavia!B:I,8,),"-")</f>
        <v>0.375</v>
      </c>
      <c r="O20" s="23">
        <f t="shared" si="7"/>
        <v>0.75</v>
      </c>
      <c r="Q20" s="12">
        <f>IFERROR(VLOOKUP(A20,Pavia!B:Y,24,),"-")</f>
        <v>0.375</v>
      </c>
      <c r="R20" s="23">
        <f t="shared" si="8"/>
        <v>0.75</v>
      </c>
      <c r="T20" s="25">
        <f>IFERROR(VLOOKUP(A20,Pavia!$B:$J,9,),"-")</f>
        <v>0.375</v>
      </c>
      <c r="U20" s="23">
        <f t="shared" si="9"/>
        <v>0.75</v>
      </c>
      <c r="V20" s="12" t="str">
        <f>IFERROR(VLOOKUP(A20,Pavia!B:K,10,),"-")</f>
        <v>OFF</v>
      </c>
      <c r="W20" s="23" t="str">
        <f t="shared" si="10"/>
        <v>OFF</v>
      </c>
      <c r="X20" s="12" t="str">
        <f>IFERROR(VLOOKUP(A20,Pavia!B:L,11,),"-")</f>
        <v>OFF</v>
      </c>
      <c r="Y20" s="23" t="str">
        <f t="shared" si="11"/>
        <v>OFF</v>
      </c>
      <c r="Z20" s="12">
        <f>IFERROR(VLOOKUP(A20,Pavia!B:M,12,),"-")</f>
        <v>0.375</v>
      </c>
      <c r="AA20" s="23">
        <f t="shared" si="12"/>
        <v>0.75</v>
      </c>
      <c r="AB20" s="12">
        <f>IFERROR(VLOOKUP(A20,Pavia!B:N,13,),"-")</f>
        <v>0.375</v>
      </c>
      <c r="AC20" s="23">
        <f t="shared" si="13"/>
        <v>0.75</v>
      </c>
      <c r="AD20" s="12">
        <f>IFERROR(VLOOKUP(A20,Pavia!B:O,14,),"-")</f>
        <v>0.375</v>
      </c>
      <c r="AE20" s="23">
        <f t="shared" si="14"/>
        <v>0.75</v>
      </c>
      <c r="AF20" s="21">
        <f>IFERROR(VLOOKUP(A20,Pavia!B:P,15,),"-")</f>
        <v>0.375</v>
      </c>
      <c r="AG20" s="23">
        <f t="shared" si="15"/>
        <v>0.75</v>
      </c>
      <c r="AI20" s="25">
        <f>IFERROR(VLOOKUP(A20,Pavia!$B:$Q,16,),"-")</f>
        <v>0.375</v>
      </c>
      <c r="AJ20" s="23">
        <f t="shared" si="16"/>
        <v>0.75</v>
      </c>
      <c r="AK20" s="12" t="str">
        <f>IFERROR(VLOOKUP(A20,Pavia!B:R,17,),"-")</f>
        <v>OFF</v>
      </c>
      <c r="AL20" s="23" t="str">
        <f t="shared" si="17"/>
        <v>OFF</v>
      </c>
      <c r="AM20" s="12" t="str">
        <f>IFERROR(VLOOKUP(A20,Pavia!B:S,18,),"-")</f>
        <v>OFF</v>
      </c>
      <c r="AN20" s="23" t="str">
        <f t="shared" si="18"/>
        <v>OFF</v>
      </c>
      <c r="AO20" s="12">
        <f>IFERROR(VLOOKUP(A20,Pavia!B:T,19,),"-")</f>
        <v>0.375</v>
      </c>
      <c r="AP20" s="23">
        <f t="shared" si="19"/>
        <v>0.75</v>
      </c>
      <c r="AQ20" s="12">
        <f>IFERROR(VLOOKUP(A20,Pavia!B:U,20,),"-")</f>
        <v>0.375</v>
      </c>
      <c r="AR20" s="23">
        <f t="shared" si="20"/>
        <v>0.75</v>
      </c>
      <c r="AS20" s="12">
        <f>IFERROR(VLOOKUP(A20,Pavia!B:V,21,),"-")</f>
        <v>0.375</v>
      </c>
      <c r="AT20" s="23">
        <f t="shared" si="21"/>
        <v>0.75</v>
      </c>
      <c r="AU20" s="21">
        <f>IFERROR(VLOOKUP(A20,Pavia!B:W,22,),"-")</f>
        <v>0.375</v>
      </c>
      <c r="AV20" s="23">
        <f t="shared" si="22"/>
        <v>0.75</v>
      </c>
      <c r="AX20" s="30">
        <v>0.70833333333333304</v>
      </c>
      <c r="AY20" s="10">
        <v>1.7083333333333399</v>
      </c>
      <c r="AZ20" s="31">
        <f t="shared" si="23"/>
        <v>10</v>
      </c>
      <c r="BA20" s="31">
        <f t="shared" si="24"/>
        <v>0</v>
      </c>
      <c r="BB20" s="31">
        <f t="shared" si="57"/>
        <v>0</v>
      </c>
      <c r="BC20" s="31">
        <f t="shared" si="25"/>
        <v>10</v>
      </c>
      <c r="BD20" s="31">
        <f t="shared" si="26"/>
        <v>10</v>
      </c>
      <c r="BE20" s="31">
        <f t="shared" si="27"/>
        <v>10</v>
      </c>
      <c r="BF20" s="32">
        <f t="shared" si="28"/>
        <v>10</v>
      </c>
      <c r="BH20" s="30">
        <v>0.70833333333333304</v>
      </c>
      <c r="BI20" s="10">
        <v>1.7083333333333299</v>
      </c>
      <c r="BJ20" s="31">
        <f t="shared" si="29"/>
        <v>25</v>
      </c>
      <c r="BK20" s="31">
        <f t="shared" si="30"/>
        <v>15</v>
      </c>
      <c r="BL20" s="31">
        <f t="shared" si="31"/>
        <v>3</v>
      </c>
      <c r="BM20" s="31">
        <f t="shared" si="32"/>
        <v>24</v>
      </c>
      <c r="BN20" s="31">
        <f t="shared" si="33"/>
        <v>24</v>
      </c>
      <c r="BO20" s="31">
        <f t="shared" si="34"/>
        <v>11</v>
      </c>
      <c r="BP20" s="32">
        <f t="shared" si="35"/>
        <v>23</v>
      </c>
      <c r="BS20" s="51">
        <v>0.70833333333333304</v>
      </c>
      <c r="BT20" s="51">
        <v>1.7083333333333399</v>
      </c>
      <c r="BU20" s="9">
        <f t="shared" si="36"/>
        <v>47</v>
      </c>
      <c r="BV20" s="9">
        <f t="shared" si="37"/>
        <v>27</v>
      </c>
      <c r="BW20" s="9">
        <f t="shared" si="38"/>
        <v>14</v>
      </c>
      <c r="BX20" s="9">
        <f t="shared" si="39"/>
        <v>46</v>
      </c>
      <c r="BY20" s="9">
        <f t="shared" si="40"/>
        <v>46</v>
      </c>
      <c r="BZ20" s="9">
        <f t="shared" si="41"/>
        <v>21</v>
      </c>
      <c r="CA20" s="29">
        <f t="shared" si="42"/>
        <v>34</v>
      </c>
      <c r="CB20" s="28">
        <f t="shared" si="43"/>
        <v>47</v>
      </c>
      <c r="CC20" s="9">
        <f t="shared" si="44"/>
        <v>27</v>
      </c>
      <c r="CD20" s="9">
        <f t="shared" si="45"/>
        <v>27</v>
      </c>
      <c r="CE20" s="9">
        <f t="shared" si="46"/>
        <v>46</v>
      </c>
      <c r="CF20" s="9">
        <f t="shared" si="47"/>
        <v>33</v>
      </c>
      <c r="CG20" s="9">
        <f t="shared" si="48"/>
        <v>21</v>
      </c>
      <c r="CH20" s="29">
        <f t="shared" si="49"/>
        <v>34</v>
      </c>
      <c r="CI20" s="28">
        <f t="shared" si="50"/>
        <v>47</v>
      </c>
      <c r="CJ20" s="9">
        <f t="shared" si="51"/>
        <v>27</v>
      </c>
      <c r="CK20" s="9">
        <f t="shared" si="52"/>
        <v>27</v>
      </c>
      <c r="CL20" s="9">
        <f t="shared" si="53"/>
        <v>46</v>
      </c>
      <c r="CM20" s="9">
        <f t="shared" si="54"/>
        <v>33</v>
      </c>
      <c r="CN20" s="9">
        <f t="shared" si="55"/>
        <v>21</v>
      </c>
      <c r="CO20" s="29">
        <f t="shared" si="56"/>
        <v>34</v>
      </c>
    </row>
    <row r="21" spans="1:93" ht="14.45" customHeight="1" thickBot="1" x14ac:dyDescent="0.3">
      <c r="A21" s="20" t="str">
        <f>Pavia!B22</f>
        <v>Jeremy Rae Tan</v>
      </c>
      <c r="B21" s="12">
        <f>IFERROR(VLOOKUP(A21,Pavia!B:I,2,),"-")</f>
        <v>0.375</v>
      </c>
      <c r="C21" s="23">
        <f t="shared" si="1"/>
        <v>0.75</v>
      </c>
      <c r="D21" s="12" t="str">
        <f>IFERROR(VLOOKUP(A21,Pavia!B:I,3,),"-")</f>
        <v>OFF</v>
      </c>
      <c r="E21" s="23" t="str">
        <f t="shared" si="2"/>
        <v>OFF</v>
      </c>
      <c r="F21" s="12" t="str">
        <f>IFERROR(VLOOKUP(A21,Pavia!B:I,4,),"-")</f>
        <v>OFF</v>
      </c>
      <c r="G21" s="23" t="str">
        <f t="shared" si="3"/>
        <v>OFF</v>
      </c>
      <c r="H21" s="12">
        <f>IFERROR(VLOOKUP(A21,Pavia!B:I,5,),"-")</f>
        <v>0.375</v>
      </c>
      <c r="I21" s="23">
        <f t="shared" si="4"/>
        <v>0.75</v>
      </c>
      <c r="J21" s="12">
        <f>IFERROR(VLOOKUP(A21,Pavia!B:I,6,),"-")</f>
        <v>0.375</v>
      </c>
      <c r="K21" s="23">
        <f t="shared" si="5"/>
        <v>0.75</v>
      </c>
      <c r="L21" s="12">
        <f>IFERROR(VLOOKUP(A21,Pavia!B:I,7,),"-")</f>
        <v>0.375</v>
      </c>
      <c r="M21" s="23">
        <f t="shared" si="6"/>
        <v>0.75</v>
      </c>
      <c r="N21" s="12">
        <f>IFERROR(VLOOKUP(A21,Pavia!B:I,8,),"-")</f>
        <v>0.375</v>
      </c>
      <c r="O21" s="23">
        <f t="shared" si="7"/>
        <v>0.75</v>
      </c>
      <c r="Q21" s="12">
        <f>IFERROR(VLOOKUP(A21,Pavia!B:Y,24,),"-")</f>
        <v>0.375</v>
      </c>
      <c r="R21" s="23">
        <f t="shared" si="8"/>
        <v>0.75</v>
      </c>
      <c r="T21" s="25">
        <f>IFERROR(VLOOKUP(A21,Pavia!$B:$J,9,),"-")</f>
        <v>0.375</v>
      </c>
      <c r="U21" s="23">
        <f t="shared" si="9"/>
        <v>0.75</v>
      </c>
      <c r="V21" s="12" t="str">
        <f>IFERROR(VLOOKUP(A21,Pavia!B:K,10,),"-")</f>
        <v>OFF</v>
      </c>
      <c r="W21" s="23" t="str">
        <f t="shared" si="10"/>
        <v>OFF</v>
      </c>
      <c r="X21" s="12" t="str">
        <f>IFERROR(VLOOKUP(A21,Pavia!B:L,11,),"-")</f>
        <v>OFF</v>
      </c>
      <c r="Y21" s="23" t="str">
        <f t="shared" si="11"/>
        <v>OFF</v>
      </c>
      <c r="Z21" s="12">
        <f>IFERROR(VLOOKUP(A21,Pavia!B:M,12,),"-")</f>
        <v>0.375</v>
      </c>
      <c r="AA21" s="23">
        <f t="shared" si="12"/>
        <v>0.75</v>
      </c>
      <c r="AB21" s="12">
        <f>IFERROR(VLOOKUP(A21,Pavia!B:N,13,),"-")</f>
        <v>0.375</v>
      </c>
      <c r="AC21" s="23">
        <f t="shared" si="13"/>
        <v>0.75</v>
      </c>
      <c r="AD21" s="12">
        <f>IFERROR(VLOOKUP(A21,Pavia!B:O,14,),"-")</f>
        <v>0.375</v>
      </c>
      <c r="AE21" s="23">
        <f t="shared" si="14"/>
        <v>0.75</v>
      </c>
      <c r="AF21" s="21">
        <f>IFERROR(VLOOKUP(A21,Pavia!B:P,15,),"-")</f>
        <v>0.375</v>
      </c>
      <c r="AG21" s="23">
        <f t="shared" si="15"/>
        <v>0.75</v>
      </c>
      <c r="AI21" s="25">
        <f>IFERROR(VLOOKUP(A21,Pavia!$B:$Q,16,),"-")</f>
        <v>0.375</v>
      </c>
      <c r="AJ21" s="23">
        <f t="shared" si="16"/>
        <v>0.75</v>
      </c>
      <c r="AK21" s="12" t="str">
        <f>IFERROR(VLOOKUP(A21,Pavia!B:R,17,),"-")</f>
        <v>OFF</v>
      </c>
      <c r="AL21" s="23" t="str">
        <f t="shared" si="17"/>
        <v>OFF</v>
      </c>
      <c r="AM21" s="12" t="str">
        <f>IFERROR(VLOOKUP(A21,Pavia!B:S,18,),"-")</f>
        <v>OFF</v>
      </c>
      <c r="AN21" s="23" t="str">
        <f t="shared" si="18"/>
        <v>OFF</v>
      </c>
      <c r="AO21" s="12">
        <f>IFERROR(VLOOKUP(A21,Pavia!B:T,19,),"-")</f>
        <v>0.375</v>
      </c>
      <c r="AP21" s="23">
        <f t="shared" si="19"/>
        <v>0.75</v>
      </c>
      <c r="AQ21" s="12">
        <f>IFERROR(VLOOKUP(A21,Pavia!B:U,20,),"-")</f>
        <v>0.375</v>
      </c>
      <c r="AR21" s="23">
        <f t="shared" si="20"/>
        <v>0.75</v>
      </c>
      <c r="AS21" s="12">
        <f>IFERROR(VLOOKUP(A21,Pavia!B:V,21,),"-")</f>
        <v>0.375</v>
      </c>
      <c r="AT21" s="23">
        <f t="shared" si="21"/>
        <v>0.75</v>
      </c>
      <c r="AU21" s="21">
        <f>IFERROR(VLOOKUP(A21,Pavia!B:W,22,),"-")</f>
        <v>0.375</v>
      </c>
      <c r="AV21" s="23">
        <f t="shared" si="22"/>
        <v>0.75</v>
      </c>
      <c r="AX21" s="30">
        <v>0.75</v>
      </c>
      <c r="AY21" s="10">
        <v>1.75</v>
      </c>
      <c r="AZ21" s="31">
        <f t="shared" si="23"/>
        <v>0</v>
      </c>
      <c r="BA21" s="31">
        <f t="shared" si="24"/>
        <v>0</v>
      </c>
      <c r="BB21" s="31">
        <f t="shared" si="57"/>
        <v>0</v>
      </c>
      <c r="BC21" s="31">
        <f t="shared" si="25"/>
        <v>0</v>
      </c>
      <c r="BD21" s="31">
        <f t="shared" si="26"/>
        <v>0</v>
      </c>
      <c r="BE21" s="31">
        <f t="shared" si="27"/>
        <v>0</v>
      </c>
      <c r="BF21" s="32">
        <f t="shared" si="28"/>
        <v>0</v>
      </c>
      <c r="BH21" s="30">
        <v>0.75</v>
      </c>
      <c r="BI21" s="10">
        <v>1.75</v>
      </c>
      <c r="BJ21" s="31">
        <f t="shared" si="29"/>
        <v>13</v>
      </c>
      <c r="BK21" s="31">
        <f t="shared" si="30"/>
        <v>13</v>
      </c>
      <c r="BL21" s="31">
        <f t="shared" si="31"/>
        <v>1</v>
      </c>
      <c r="BM21" s="31">
        <f t="shared" si="32"/>
        <v>12</v>
      </c>
      <c r="BN21" s="31">
        <f t="shared" si="33"/>
        <v>12</v>
      </c>
      <c r="BO21" s="31">
        <f t="shared" si="34"/>
        <v>1</v>
      </c>
      <c r="BP21" s="32">
        <f t="shared" si="35"/>
        <v>13</v>
      </c>
      <c r="BS21" s="51">
        <v>0.75</v>
      </c>
      <c r="BT21" s="51">
        <v>1.75000000000001</v>
      </c>
      <c r="BU21" s="9">
        <f t="shared" si="36"/>
        <v>25</v>
      </c>
      <c r="BV21" s="9">
        <f t="shared" si="37"/>
        <v>25</v>
      </c>
      <c r="BW21" s="9">
        <f t="shared" si="38"/>
        <v>12</v>
      </c>
      <c r="BX21" s="9">
        <f t="shared" si="39"/>
        <v>24</v>
      </c>
      <c r="BY21" s="9">
        <f t="shared" si="40"/>
        <v>24</v>
      </c>
      <c r="BZ21" s="9">
        <f t="shared" si="41"/>
        <v>1</v>
      </c>
      <c r="CA21" s="29">
        <f t="shared" si="42"/>
        <v>14</v>
      </c>
      <c r="CB21" s="28">
        <f t="shared" si="43"/>
        <v>25</v>
      </c>
      <c r="CC21" s="9">
        <f t="shared" si="44"/>
        <v>25</v>
      </c>
      <c r="CD21" s="9">
        <f t="shared" si="45"/>
        <v>25</v>
      </c>
      <c r="CE21" s="9">
        <f t="shared" si="46"/>
        <v>24</v>
      </c>
      <c r="CF21" s="9">
        <f t="shared" si="47"/>
        <v>11</v>
      </c>
      <c r="CG21" s="9">
        <f t="shared" si="48"/>
        <v>1</v>
      </c>
      <c r="CH21" s="29">
        <f t="shared" si="49"/>
        <v>14</v>
      </c>
      <c r="CI21" s="28">
        <f t="shared" si="50"/>
        <v>25</v>
      </c>
      <c r="CJ21" s="9">
        <f t="shared" si="51"/>
        <v>25</v>
      </c>
      <c r="CK21" s="9">
        <f t="shared" si="52"/>
        <v>25</v>
      </c>
      <c r="CL21" s="9">
        <f t="shared" si="53"/>
        <v>24</v>
      </c>
      <c r="CM21" s="9">
        <f t="shared" si="54"/>
        <v>11</v>
      </c>
      <c r="CN21" s="9">
        <f t="shared" si="55"/>
        <v>1</v>
      </c>
      <c r="CO21" s="29">
        <f t="shared" si="56"/>
        <v>14</v>
      </c>
    </row>
    <row r="22" spans="1:93" ht="14.45" customHeight="1" thickBot="1" x14ac:dyDescent="0.3">
      <c r="A22" s="20" t="str">
        <f>Pavia!B23</f>
        <v>Jason Jegonia</v>
      </c>
      <c r="B22" s="12">
        <f>IFERROR(VLOOKUP(A22,Pavia!B:I,2,),"-")</f>
        <v>0.375</v>
      </c>
      <c r="C22" s="23">
        <f t="shared" si="1"/>
        <v>0.75</v>
      </c>
      <c r="D22" s="12" t="str">
        <f>IFERROR(VLOOKUP(A22,Pavia!B:I,3,),"-")</f>
        <v>OFF</v>
      </c>
      <c r="E22" s="23" t="str">
        <f t="shared" si="2"/>
        <v>OFF</v>
      </c>
      <c r="F22" s="12" t="str">
        <f>IFERROR(VLOOKUP(A22,Pavia!B:I,4,),"-")</f>
        <v>OFF</v>
      </c>
      <c r="G22" s="23" t="str">
        <f t="shared" si="3"/>
        <v>OFF</v>
      </c>
      <c r="H22" s="12">
        <f>IFERROR(VLOOKUP(A22,Pavia!B:I,5,),"-")</f>
        <v>0.375</v>
      </c>
      <c r="I22" s="23">
        <f t="shared" si="4"/>
        <v>0.75</v>
      </c>
      <c r="J22" s="12">
        <f>IFERROR(VLOOKUP(A22,Pavia!B:I,6,),"-")</f>
        <v>0.375</v>
      </c>
      <c r="K22" s="23">
        <f t="shared" si="5"/>
        <v>0.75</v>
      </c>
      <c r="L22" s="12">
        <f>IFERROR(VLOOKUP(A22,Pavia!B:I,7,),"-")</f>
        <v>0.375</v>
      </c>
      <c r="M22" s="23">
        <f t="shared" si="6"/>
        <v>0.75</v>
      </c>
      <c r="N22" s="12">
        <f>IFERROR(VLOOKUP(A22,Pavia!B:I,8,),"-")</f>
        <v>0.375</v>
      </c>
      <c r="O22" s="23">
        <f t="shared" si="7"/>
        <v>0.75</v>
      </c>
      <c r="Q22" s="12">
        <f>IFERROR(VLOOKUP(A22,Pavia!B:Y,24,),"-")</f>
        <v>0.375</v>
      </c>
      <c r="R22" s="23">
        <f t="shared" si="8"/>
        <v>0.75</v>
      </c>
      <c r="T22" s="25">
        <f>IFERROR(VLOOKUP(A22,Pavia!$B:$J,9,),"-")</f>
        <v>0.375</v>
      </c>
      <c r="U22" s="23">
        <f t="shared" si="9"/>
        <v>0.75</v>
      </c>
      <c r="V22" s="12" t="str">
        <f>IFERROR(VLOOKUP(A22,Pavia!B:K,10,),"-")</f>
        <v>OFF</v>
      </c>
      <c r="W22" s="23" t="str">
        <f t="shared" si="10"/>
        <v>OFF</v>
      </c>
      <c r="X22" s="12" t="str">
        <f>IFERROR(VLOOKUP(A22,Pavia!B:L,11,),"-")</f>
        <v>OFF</v>
      </c>
      <c r="Y22" s="23" t="str">
        <f t="shared" si="11"/>
        <v>OFF</v>
      </c>
      <c r="Z22" s="12">
        <f>IFERROR(VLOOKUP(A22,Pavia!B:M,12,),"-")</f>
        <v>0.375</v>
      </c>
      <c r="AA22" s="23">
        <f t="shared" si="12"/>
        <v>0.75</v>
      </c>
      <c r="AB22" s="12">
        <f>IFERROR(VLOOKUP(A22,Pavia!B:N,13,),"-")</f>
        <v>0.375</v>
      </c>
      <c r="AC22" s="23">
        <f t="shared" si="13"/>
        <v>0.75</v>
      </c>
      <c r="AD22" s="12">
        <f>IFERROR(VLOOKUP(A22,Pavia!B:O,14,),"-")</f>
        <v>0.375</v>
      </c>
      <c r="AE22" s="23">
        <f t="shared" si="14"/>
        <v>0.75</v>
      </c>
      <c r="AF22" s="21">
        <f>IFERROR(VLOOKUP(A22,Pavia!B:P,15,),"-")</f>
        <v>0.375</v>
      </c>
      <c r="AG22" s="23">
        <f t="shared" si="15"/>
        <v>0.75</v>
      </c>
      <c r="AI22" s="25">
        <f>IFERROR(VLOOKUP(A22,Pavia!$B:$Q,16,),"-")</f>
        <v>0.375</v>
      </c>
      <c r="AJ22" s="23">
        <f t="shared" si="16"/>
        <v>0.75</v>
      </c>
      <c r="AK22" s="12" t="str">
        <f>IFERROR(VLOOKUP(A22,Pavia!B:R,17,),"-")</f>
        <v>OFF</v>
      </c>
      <c r="AL22" s="23" t="str">
        <f t="shared" si="17"/>
        <v>OFF</v>
      </c>
      <c r="AM22" s="12" t="str">
        <f>IFERROR(VLOOKUP(A22,Pavia!B:S,18,),"-")</f>
        <v>OFF</v>
      </c>
      <c r="AN22" s="23" t="str">
        <f t="shared" si="18"/>
        <v>OFF</v>
      </c>
      <c r="AO22" s="12">
        <f>IFERROR(VLOOKUP(A22,Pavia!B:T,19,),"-")</f>
        <v>0.375</v>
      </c>
      <c r="AP22" s="23">
        <f t="shared" si="19"/>
        <v>0.75</v>
      </c>
      <c r="AQ22" s="12">
        <f>IFERROR(VLOOKUP(A22,Pavia!B:U,20,),"-")</f>
        <v>0.375</v>
      </c>
      <c r="AR22" s="23">
        <f t="shared" si="20"/>
        <v>0.75</v>
      </c>
      <c r="AS22" s="12">
        <f>IFERROR(VLOOKUP(A22,Pavia!B:V,21,),"-")</f>
        <v>0.375</v>
      </c>
      <c r="AT22" s="23">
        <f t="shared" si="21"/>
        <v>0.75</v>
      </c>
      <c r="AU22" s="21">
        <f>IFERROR(VLOOKUP(A22,Pavia!B:W,22,),"-")</f>
        <v>0.375</v>
      </c>
      <c r="AV22" s="23">
        <f t="shared" si="22"/>
        <v>0.75</v>
      </c>
      <c r="AX22" s="30">
        <v>0.79166666666666696</v>
      </c>
      <c r="AY22" s="10">
        <v>1.7916666666666701</v>
      </c>
      <c r="AZ22" s="31">
        <f t="shared" si="23"/>
        <v>0</v>
      </c>
      <c r="BA22" s="31">
        <f t="shared" si="24"/>
        <v>0</v>
      </c>
      <c r="BB22" s="31">
        <f t="shared" si="57"/>
        <v>0</v>
      </c>
      <c r="BC22" s="31">
        <f t="shared" si="25"/>
        <v>0</v>
      </c>
      <c r="BD22" s="31">
        <f t="shared" si="26"/>
        <v>0</v>
      </c>
      <c r="BE22" s="31">
        <f t="shared" si="27"/>
        <v>0</v>
      </c>
      <c r="BF22" s="32">
        <f t="shared" si="28"/>
        <v>0</v>
      </c>
      <c r="BH22" s="30">
        <v>0.79166666666666696</v>
      </c>
      <c r="BI22" s="10">
        <v>1.7916666666666601</v>
      </c>
      <c r="BJ22" s="31">
        <f t="shared" si="29"/>
        <v>13</v>
      </c>
      <c r="BK22" s="31">
        <f t="shared" si="30"/>
        <v>13</v>
      </c>
      <c r="BL22" s="31">
        <f t="shared" si="31"/>
        <v>1</v>
      </c>
      <c r="BM22" s="31">
        <f t="shared" si="32"/>
        <v>12</v>
      </c>
      <c r="BN22" s="31">
        <f t="shared" si="33"/>
        <v>12</v>
      </c>
      <c r="BO22" s="31">
        <f t="shared" si="34"/>
        <v>1</v>
      </c>
      <c r="BP22" s="32">
        <f t="shared" si="35"/>
        <v>13</v>
      </c>
      <c r="BS22" s="51">
        <v>0.79166666666666696</v>
      </c>
      <c r="BT22" s="51">
        <v>1.7916666666666701</v>
      </c>
      <c r="BU22" s="9">
        <f t="shared" si="36"/>
        <v>25</v>
      </c>
      <c r="BV22" s="9">
        <f t="shared" si="37"/>
        <v>25</v>
      </c>
      <c r="BW22" s="9">
        <f t="shared" si="38"/>
        <v>12</v>
      </c>
      <c r="BX22" s="9">
        <f t="shared" si="39"/>
        <v>24</v>
      </c>
      <c r="BY22" s="9">
        <f t="shared" si="40"/>
        <v>24</v>
      </c>
      <c r="BZ22" s="9">
        <f t="shared" si="41"/>
        <v>1</v>
      </c>
      <c r="CA22" s="29">
        <f t="shared" si="42"/>
        <v>14</v>
      </c>
      <c r="CB22" s="28">
        <f t="shared" si="43"/>
        <v>25</v>
      </c>
      <c r="CC22" s="9">
        <f t="shared" si="44"/>
        <v>25</v>
      </c>
      <c r="CD22" s="9">
        <f t="shared" si="45"/>
        <v>25</v>
      </c>
      <c r="CE22" s="9">
        <f t="shared" si="46"/>
        <v>24</v>
      </c>
      <c r="CF22" s="9">
        <f t="shared" si="47"/>
        <v>11</v>
      </c>
      <c r="CG22" s="9">
        <f t="shared" si="48"/>
        <v>1</v>
      </c>
      <c r="CH22" s="29">
        <f t="shared" si="49"/>
        <v>14</v>
      </c>
      <c r="CI22" s="28">
        <f t="shared" si="50"/>
        <v>25</v>
      </c>
      <c r="CJ22" s="9">
        <f t="shared" si="51"/>
        <v>25</v>
      </c>
      <c r="CK22" s="9">
        <f t="shared" si="52"/>
        <v>25</v>
      </c>
      <c r="CL22" s="9">
        <f t="shared" si="53"/>
        <v>24</v>
      </c>
      <c r="CM22" s="9">
        <f t="shared" si="54"/>
        <v>11</v>
      </c>
      <c r="CN22" s="9">
        <f t="shared" si="55"/>
        <v>1</v>
      </c>
      <c r="CO22" s="29">
        <f t="shared" si="56"/>
        <v>14</v>
      </c>
    </row>
    <row r="23" spans="1:93" ht="14.45" customHeight="1" thickBot="1" x14ac:dyDescent="0.3">
      <c r="A23" s="20" t="str">
        <f>Pavia!B24</f>
        <v>Ariane Jane Mainar</v>
      </c>
      <c r="B23" s="12">
        <f>IFERROR(VLOOKUP(A23,Pavia!B:I,2,),"-")</f>
        <v>0.375</v>
      </c>
      <c r="C23" s="23">
        <f t="shared" si="1"/>
        <v>0.75</v>
      </c>
      <c r="D23" s="12">
        <f>IFERROR(VLOOKUP(A23,Pavia!B:I,3,),"-")</f>
        <v>0.375</v>
      </c>
      <c r="E23" s="23">
        <f t="shared" si="2"/>
        <v>0.75</v>
      </c>
      <c r="F23" s="12">
        <f>IFERROR(VLOOKUP(A23,Pavia!B:I,4,),"-")</f>
        <v>0.375</v>
      </c>
      <c r="G23" s="23">
        <f t="shared" si="3"/>
        <v>0.75</v>
      </c>
      <c r="H23" s="12">
        <f>IFERROR(VLOOKUP(A23,Pavia!B:I,5,),"-")</f>
        <v>0.375</v>
      </c>
      <c r="I23" s="23">
        <f t="shared" si="4"/>
        <v>0.75</v>
      </c>
      <c r="J23" s="12">
        <f>IFERROR(VLOOKUP(A23,Pavia!B:I,6,),"-")</f>
        <v>0.375</v>
      </c>
      <c r="K23" s="23">
        <f t="shared" si="5"/>
        <v>0.75</v>
      </c>
      <c r="L23" s="12" t="str">
        <f>IFERROR(VLOOKUP(A23,Pavia!B:I,7,),"-")</f>
        <v>OFF</v>
      </c>
      <c r="M23" s="23" t="str">
        <f t="shared" si="6"/>
        <v>OFF</v>
      </c>
      <c r="N23" s="12" t="str">
        <f>IFERROR(VLOOKUP(A23,Pavia!B:I,8,),"-")</f>
        <v>OFF</v>
      </c>
      <c r="O23" s="23" t="str">
        <f t="shared" si="7"/>
        <v>OFF</v>
      </c>
      <c r="Q23" s="12" t="str">
        <f>IFERROR(VLOOKUP(A23,Pavia!B:Y,24,),"-")</f>
        <v>OFF</v>
      </c>
      <c r="R23" s="23" t="str">
        <f t="shared" si="8"/>
        <v>OFF</v>
      </c>
      <c r="T23" s="25">
        <f>IFERROR(VLOOKUP(A23,Pavia!$B:$J,9,),"-")</f>
        <v>0.375</v>
      </c>
      <c r="U23" s="23">
        <f t="shared" si="9"/>
        <v>0.75</v>
      </c>
      <c r="V23" s="12">
        <f>IFERROR(VLOOKUP(A23,Pavia!B:K,10,),"-")</f>
        <v>0.375</v>
      </c>
      <c r="W23" s="23">
        <f t="shared" si="10"/>
        <v>0.75</v>
      </c>
      <c r="X23" s="12">
        <f>IFERROR(VLOOKUP(A23,Pavia!B:L,11,),"-")</f>
        <v>0.375</v>
      </c>
      <c r="Y23" s="23">
        <f t="shared" si="11"/>
        <v>0.75</v>
      </c>
      <c r="Z23" s="12">
        <f>IFERROR(VLOOKUP(A23,Pavia!B:M,12,),"-")</f>
        <v>0.375</v>
      </c>
      <c r="AA23" s="23">
        <f t="shared" si="12"/>
        <v>0.75</v>
      </c>
      <c r="AB23" s="12">
        <f>IFERROR(VLOOKUP(A23,Pavia!B:N,13,),"-")</f>
        <v>0.375</v>
      </c>
      <c r="AC23" s="23">
        <f t="shared" si="13"/>
        <v>0.75</v>
      </c>
      <c r="AD23" s="12" t="str">
        <f>IFERROR(VLOOKUP(A23,Pavia!B:O,14,),"-")</f>
        <v>OFF</v>
      </c>
      <c r="AE23" s="23" t="str">
        <f t="shared" si="14"/>
        <v>OFF</v>
      </c>
      <c r="AF23" s="21" t="str">
        <f>IFERROR(VLOOKUP(A23,Pavia!B:P,15,),"-")</f>
        <v>OFF</v>
      </c>
      <c r="AG23" s="23" t="str">
        <f t="shared" si="15"/>
        <v>OFF</v>
      </c>
      <c r="AI23" s="25">
        <f>IFERROR(VLOOKUP(A23,Pavia!$B:$Q,16,),"-")</f>
        <v>0.375</v>
      </c>
      <c r="AJ23" s="23">
        <f t="shared" si="16"/>
        <v>0.75</v>
      </c>
      <c r="AK23" s="12">
        <f>IFERROR(VLOOKUP(A23,Pavia!B:R,17,),"-")</f>
        <v>0.375</v>
      </c>
      <c r="AL23" s="23">
        <f t="shared" si="17"/>
        <v>0.75</v>
      </c>
      <c r="AM23" s="12">
        <f>IFERROR(VLOOKUP(A23,Pavia!B:S,18,),"-")</f>
        <v>0.375</v>
      </c>
      <c r="AN23" s="23">
        <f t="shared" si="18"/>
        <v>0.75</v>
      </c>
      <c r="AO23" s="12">
        <f>IFERROR(VLOOKUP(A23,Pavia!B:T,19,),"-")</f>
        <v>0.375</v>
      </c>
      <c r="AP23" s="23">
        <f t="shared" si="19"/>
        <v>0.75</v>
      </c>
      <c r="AQ23" s="12">
        <f>IFERROR(VLOOKUP(A23,Pavia!B:U,20,),"-")</f>
        <v>0.375</v>
      </c>
      <c r="AR23" s="23">
        <f t="shared" si="20"/>
        <v>0.75</v>
      </c>
      <c r="AS23" s="12" t="str">
        <f>IFERROR(VLOOKUP(A23,Pavia!B:V,21,),"-")</f>
        <v>OFF</v>
      </c>
      <c r="AT23" s="23" t="str">
        <f t="shared" si="21"/>
        <v>OFF</v>
      </c>
      <c r="AU23" s="21" t="str">
        <f>IFERROR(VLOOKUP(A23,Pavia!B:W,22,),"-")</f>
        <v>OFF</v>
      </c>
      <c r="AV23" s="23" t="str">
        <f t="shared" si="22"/>
        <v>OFF</v>
      </c>
      <c r="AX23" s="30">
        <v>0.83333333333333304</v>
      </c>
      <c r="AY23" s="10">
        <v>1.8333333333333399</v>
      </c>
      <c r="AZ23" s="31">
        <f t="shared" si="23"/>
        <v>0</v>
      </c>
      <c r="BA23" s="31">
        <f t="shared" si="24"/>
        <v>0</v>
      </c>
      <c r="BB23" s="31">
        <f t="shared" si="57"/>
        <v>0</v>
      </c>
      <c r="BC23" s="31">
        <f t="shared" si="25"/>
        <v>0</v>
      </c>
      <c r="BD23" s="31">
        <f t="shared" si="26"/>
        <v>0</v>
      </c>
      <c r="BE23" s="31">
        <f t="shared" si="27"/>
        <v>0</v>
      </c>
      <c r="BF23" s="32">
        <f t="shared" si="28"/>
        <v>0</v>
      </c>
      <c r="BH23" s="30">
        <v>0.83333333333333304</v>
      </c>
      <c r="BI23" s="10">
        <v>1.8333333333333299</v>
      </c>
      <c r="BJ23" s="31">
        <f t="shared" si="29"/>
        <v>13</v>
      </c>
      <c r="BK23" s="31">
        <f t="shared" si="30"/>
        <v>13</v>
      </c>
      <c r="BL23" s="31">
        <f t="shared" si="31"/>
        <v>1</v>
      </c>
      <c r="BM23" s="31">
        <f t="shared" si="32"/>
        <v>12</v>
      </c>
      <c r="BN23" s="31">
        <f t="shared" si="33"/>
        <v>12</v>
      </c>
      <c r="BO23" s="31">
        <f t="shared" si="34"/>
        <v>1</v>
      </c>
      <c r="BP23" s="32">
        <f t="shared" si="35"/>
        <v>13</v>
      </c>
      <c r="BS23" s="51">
        <v>0.83333333333333304</v>
      </c>
      <c r="BT23" s="51">
        <v>1.8333333333333399</v>
      </c>
      <c r="BU23" s="9">
        <f t="shared" si="36"/>
        <v>25</v>
      </c>
      <c r="BV23" s="9">
        <f t="shared" si="37"/>
        <v>25</v>
      </c>
      <c r="BW23" s="9">
        <f t="shared" si="38"/>
        <v>12</v>
      </c>
      <c r="BX23" s="9">
        <f t="shared" si="39"/>
        <v>24</v>
      </c>
      <c r="BY23" s="9">
        <f t="shared" si="40"/>
        <v>24</v>
      </c>
      <c r="BZ23" s="9">
        <f t="shared" si="41"/>
        <v>1</v>
      </c>
      <c r="CA23" s="29">
        <f t="shared" si="42"/>
        <v>14</v>
      </c>
      <c r="CB23" s="28">
        <f t="shared" si="43"/>
        <v>25</v>
      </c>
      <c r="CC23" s="9">
        <f t="shared" si="44"/>
        <v>25</v>
      </c>
      <c r="CD23" s="9">
        <f t="shared" si="45"/>
        <v>25</v>
      </c>
      <c r="CE23" s="9">
        <f t="shared" si="46"/>
        <v>24</v>
      </c>
      <c r="CF23" s="9">
        <f t="shared" si="47"/>
        <v>11</v>
      </c>
      <c r="CG23" s="9">
        <f t="shared" si="48"/>
        <v>1</v>
      </c>
      <c r="CH23" s="29">
        <f t="shared" si="49"/>
        <v>14</v>
      </c>
      <c r="CI23" s="28">
        <f t="shared" si="50"/>
        <v>25</v>
      </c>
      <c r="CJ23" s="9">
        <f t="shared" si="51"/>
        <v>25</v>
      </c>
      <c r="CK23" s="9">
        <f t="shared" si="52"/>
        <v>25</v>
      </c>
      <c r="CL23" s="9">
        <f t="shared" si="53"/>
        <v>24</v>
      </c>
      <c r="CM23" s="9">
        <f t="shared" si="54"/>
        <v>11</v>
      </c>
      <c r="CN23" s="9">
        <f t="shared" si="55"/>
        <v>1</v>
      </c>
      <c r="CO23" s="29">
        <f t="shared" si="56"/>
        <v>14</v>
      </c>
    </row>
    <row r="24" spans="1:93" ht="14.45" customHeight="1" thickBot="1" x14ac:dyDescent="0.3">
      <c r="A24" s="20" t="str">
        <f>Pavia!B25</f>
        <v>Shaun Mario Octaviano</v>
      </c>
      <c r="B24" s="12">
        <f>IFERROR(VLOOKUP(A24,Pavia!B:I,2,),"-")</f>
        <v>0.375</v>
      </c>
      <c r="C24" s="23">
        <f t="shared" si="1"/>
        <v>0.75</v>
      </c>
      <c r="D24" s="12">
        <f>IFERROR(VLOOKUP(A24,Pavia!B:I,3,),"-")</f>
        <v>0.375</v>
      </c>
      <c r="E24" s="23">
        <f t="shared" si="2"/>
        <v>0.75</v>
      </c>
      <c r="F24" s="12">
        <f>IFERROR(VLOOKUP(A24,Pavia!B:I,4,),"-")</f>
        <v>0.375</v>
      </c>
      <c r="G24" s="23">
        <f t="shared" si="3"/>
        <v>0.75</v>
      </c>
      <c r="H24" s="12">
        <f>IFERROR(VLOOKUP(A24,Pavia!B:I,5,),"-")</f>
        <v>0.375</v>
      </c>
      <c r="I24" s="23">
        <f t="shared" si="4"/>
        <v>0.75</v>
      </c>
      <c r="J24" s="12">
        <f>IFERROR(VLOOKUP(A24,Pavia!B:I,6,),"-")</f>
        <v>0.375</v>
      </c>
      <c r="K24" s="23">
        <f t="shared" si="5"/>
        <v>0.75</v>
      </c>
      <c r="L24" s="12" t="str">
        <f>IFERROR(VLOOKUP(A24,Pavia!B:I,7,),"-")</f>
        <v>OFF</v>
      </c>
      <c r="M24" s="23" t="str">
        <f t="shared" si="6"/>
        <v>OFF</v>
      </c>
      <c r="N24" s="12" t="str">
        <f>IFERROR(VLOOKUP(A24,Pavia!B:I,8,),"-")</f>
        <v>OFF</v>
      </c>
      <c r="O24" s="23" t="str">
        <f t="shared" si="7"/>
        <v>OFF</v>
      </c>
      <c r="Q24" s="12" t="str">
        <f>IFERROR(VLOOKUP(A24,Pavia!B:Y,24,),"-")</f>
        <v>OFF</v>
      </c>
      <c r="R24" s="23" t="str">
        <f t="shared" si="8"/>
        <v>OFF</v>
      </c>
      <c r="T24" s="25">
        <f>IFERROR(VLOOKUP(A24,Pavia!$B:$J,9,),"-")</f>
        <v>0.375</v>
      </c>
      <c r="U24" s="23">
        <f t="shared" si="9"/>
        <v>0.75</v>
      </c>
      <c r="V24" s="12">
        <f>IFERROR(VLOOKUP(A24,Pavia!B:K,10,),"-")</f>
        <v>0.375</v>
      </c>
      <c r="W24" s="23">
        <f t="shared" si="10"/>
        <v>0.75</v>
      </c>
      <c r="X24" s="12">
        <f>IFERROR(VLOOKUP(A24,Pavia!B:L,11,),"-")</f>
        <v>0.375</v>
      </c>
      <c r="Y24" s="23">
        <f t="shared" si="11"/>
        <v>0.75</v>
      </c>
      <c r="Z24" s="12">
        <f>IFERROR(VLOOKUP(A24,Pavia!B:M,12,),"-")</f>
        <v>0.375</v>
      </c>
      <c r="AA24" s="23">
        <f t="shared" si="12"/>
        <v>0.75</v>
      </c>
      <c r="AB24" s="12">
        <f>IFERROR(VLOOKUP(A24,Pavia!B:N,13,),"-")</f>
        <v>0.375</v>
      </c>
      <c r="AC24" s="23">
        <f t="shared" si="13"/>
        <v>0.75</v>
      </c>
      <c r="AD24" s="12" t="str">
        <f>IFERROR(VLOOKUP(A24,Pavia!B:O,14,),"-")</f>
        <v>OFF</v>
      </c>
      <c r="AE24" s="23" t="str">
        <f t="shared" si="14"/>
        <v>OFF</v>
      </c>
      <c r="AF24" s="21" t="str">
        <f>IFERROR(VLOOKUP(A24,Pavia!B:P,15,),"-")</f>
        <v>OFF</v>
      </c>
      <c r="AG24" s="23" t="str">
        <f t="shared" si="15"/>
        <v>OFF</v>
      </c>
      <c r="AI24" s="25">
        <f>IFERROR(VLOOKUP(A24,Pavia!$B:$Q,16,),"-")</f>
        <v>0.375</v>
      </c>
      <c r="AJ24" s="23">
        <f t="shared" si="16"/>
        <v>0.75</v>
      </c>
      <c r="AK24" s="12">
        <f>IFERROR(VLOOKUP(A24,Pavia!B:R,17,),"-")</f>
        <v>0.375</v>
      </c>
      <c r="AL24" s="23">
        <f t="shared" si="17"/>
        <v>0.75</v>
      </c>
      <c r="AM24" s="12">
        <f>IFERROR(VLOOKUP(A24,Pavia!B:S,18,),"-")</f>
        <v>0.375</v>
      </c>
      <c r="AN24" s="23">
        <f t="shared" si="18"/>
        <v>0.75</v>
      </c>
      <c r="AO24" s="12">
        <f>IFERROR(VLOOKUP(A24,Pavia!B:T,19,),"-")</f>
        <v>0.375</v>
      </c>
      <c r="AP24" s="23">
        <f t="shared" si="19"/>
        <v>0.75</v>
      </c>
      <c r="AQ24" s="12">
        <f>IFERROR(VLOOKUP(A24,Pavia!B:U,20,),"-")</f>
        <v>0.375</v>
      </c>
      <c r="AR24" s="23">
        <f t="shared" si="20"/>
        <v>0.75</v>
      </c>
      <c r="AS24" s="12" t="str">
        <f>IFERROR(VLOOKUP(A24,Pavia!B:V,21,),"-")</f>
        <v>OFF</v>
      </c>
      <c r="AT24" s="23" t="str">
        <f t="shared" si="21"/>
        <v>OFF</v>
      </c>
      <c r="AU24" s="21" t="str">
        <f>IFERROR(VLOOKUP(A24,Pavia!B:W,22,),"-")</f>
        <v>OFF</v>
      </c>
      <c r="AV24" s="23" t="str">
        <f t="shared" si="22"/>
        <v>OFF</v>
      </c>
      <c r="AX24" s="30">
        <v>0.875</v>
      </c>
      <c r="AY24" s="10">
        <v>1.875</v>
      </c>
      <c r="AZ24" s="31">
        <f t="shared" si="23"/>
        <v>0</v>
      </c>
      <c r="BA24" s="31">
        <f t="shared" si="24"/>
        <v>0</v>
      </c>
      <c r="BB24" s="31">
        <f t="shared" si="57"/>
        <v>0</v>
      </c>
      <c r="BC24" s="31">
        <f t="shared" si="25"/>
        <v>0</v>
      </c>
      <c r="BD24" s="31">
        <f t="shared" si="26"/>
        <v>0</v>
      </c>
      <c r="BE24" s="31">
        <f t="shared" si="27"/>
        <v>0</v>
      </c>
      <c r="BF24" s="32">
        <f t="shared" si="28"/>
        <v>0</v>
      </c>
      <c r="BH24" s="30">
        <v>0.875</v>
      </c>
      <c r="BI24" s="10">
        <v>1.875</v>
      </c>
      <c r="BJ24" s="31">
        <f t="shared" si="29"/>
        <v>9</v>
      </c>
      <c r="BK24" s="31">
        <f t="shared" si="30"/>
        <v>9</v>
      </c>
      <c r="BL24" s="31">
        <f t="shared" si="31"/>
        <v>1</v>
      </c>
      <c r="BM24" s="31">
        <f t="shared" si="32"/>
        <v>8</v>
      </c>
      <c r="BN24" s="31">
        <f t="shared" si="33"/>
        <v>8</v>
      </c>
      <c r="BO24" s="31">
        <f t="shared" si="34"/>
        <v>1</v>
      </c>
      <c r="BP24" s="32">
        <f t="shared" si="35"/>
        <v>9</v>
      </c>
      <c r="BS24" s="51">
        <v>0.875</v>
      </c>
      <c r="BT24" s="51">
        <v>1.87500000000001</v>
      </c>
      <c r="BU24" s="9">
        <f t="shared" si="36"/>
        <v>34</v>
      </c>
      <c r="BV24" s="9">
        <f t="shared" si="37"/>
        <v>35</v>
      </c>
      <c r="BW24" s="9">
        <f t="shared" si="38"/>
        <v>23</v>
      </c>
      <c r="BX24" s="9">
        <f t="shared" si="39"/>
        <v>30</v>
      </c>
      <c r="BY24" s="9">
        <f t="shared" si="40"/>
        <v>28</v>
      </c>
      <c r="BZ24" s="9">
        <f t="shared" si="41"/>
        <v>9</v>
      </c>
      <c r="CA24" s="29">
        <f t="shared" si="42"/>
        <v>21</v>
      </c>
      <c r="CB24" s="28">
        <f t="shared" si="43"/>
        <v>34</v>
      </c>
      <c r="CC24" s="9">
        <f t="shared" si="44"/>
        <v>36</v>
      </c>
      <c r="CD24" s="9">
        <f t="shared" si="45"/>
        <v>33</v>
      </c>
      <c r="CE24" s="9">
        <f t="shared" si="46"/>
        <v>29</v>
      </c>
      <c r="CF24" s="9">
        <f t="shared" si="47"/>
        <v>18</v>
      </c>
      <c r="CG24" s="9">
        <f t="shared" si="48"/>
        <v>9</v>
      </c>
      <c r="CH24" s="29">
        <f t="shared" si="49"/>
        <v>21</v>
      </c>
      <c r="CI24" s="28">
        <f t="shared" si="50"/>
        <v>34</v>
      </c>
      <c r="CJ24" s="9">
        <f t="shared" si="51"/>
        <v>36</v>
      </c>
      <c r="CK24" s="9">
        <f t="shared" si="52"/>
        <v>33</v>
      </c>
      <c r="CL24" s="9">
        <f t="shared" si="53"/>
        <v>29</v>
      </c>
      <c r="CM24" s="9">
        <f t="shared" si="54"/>
        <v>18</v>
      </c>
      <c r="CN24" s="9">
        <f t="shared" si="55"/>
        <v>9</v>
      </c>
      <c r="CO24" s="29">
        <f t="shared" si="56"/>
        <v>21</v>
      </c>
    </row>
    <row r="25" spans="1:93" ht="14.45" customHeight="1" thickBot="1" x14ac:dyDescent="0.3">
      <c r="A25" s="20" t="str">
        <f>Pavia!B26</f>
        <v>Clarisse Aujero</v>
      </c>
      <c r="B25" s="12">
        <f>IFERROR(VLOOKUP(A25,Pavia!B:I,2,),"-")</f>
        <v>0.66666666666666663</v>
      </c>
      <c r="C25" s="23">
        <f t="shared" si="1"/>
        <v>1.0416666666666665</v>
      </c>
      <c r="D25" s="12">
        <f>IFERROR(VLOOKUP(A25,Pavia!B:I,3,),"-")</f>
        <v>0.66666666666666663</v>
      </c>
      <c r="E25" s="23">
        <f t="shared" si="2"/>
        <v>1.0416666666666665</v>
      </c>
      <c r="F25" s="12" t="str">
        <f>IFERROR(VLOOKUP(A25,Pavia!B:I,4,),"-")</f>
        <v>OFF</v>
      </c>
      <c r="G25" s="23" t="str">
        <f t="shared" si="3"/>
        <v>OFF</v>
      </c>
      <c r="H25" s="12">
        <f>IFERROR(VLOOKUP(A25,Pavia!B:I,5,),"-")</f>
        <v>0.66666666666666663</v>
      </c>
      <c r="I25" s="23">
        <f t="shared" si="4"/>
        <v>1.0416666666666665</v>
      </c>
      <c r="J25" s="12">
        <f>IFERROR(VLOOKUP(A25,Pavia!B:I,6,),"-")</f>
        <v>0.66666666666666663</v>
      </c>
      <c r="K25" s="23">
        <f t="shared" si="5"/>
        <v>1.0416666666666665</v>
      </c>
      <c r="L25" s="12" t="str">
        <f>IFERROR(VLOOKUP(A25,Pavia!B:I,7,),"-")</f>
        <v>OFF</v>
      </c>
      <c r="M25" s="23" t="str">
        <f t="shared" si="6"/>
        <v>OFF</v>
      </c>
      <c r="N25" s="12">
        <f>IFERROR(VLOOKUP(A25,Pavia!B:I,8,),"-")</f>
        <v>0.66666666666666663</v>
      </c>
      <c r="O25" s="23">
        <f t="shared" si="7"/>
        <v>1.0416666666666665</v>
      </c>
      <c r="Q25" s="12">
        <f>IFERROR(VLOOKUP(A25,Pavia!B:Y,24,),"-")</f>
        <v>0.58333333333333337</v>
      </c>
      <c r="R25" s="23">
        <f t="shared" si="8"/>
        <v>0.95833333333333337</v>
      </c>
      <c r="T25" s="25">
        <f>IFERROR(VLOOKUP(A25,Pavia!$B:$J,9,),"-")</f>
        <v>0.66666666666666663</v>
      </c>
      <c r="U25" s="23">
        <f t="shared" si="9"/>
        <v>1.0416666666666665</v>
      </c>
      <c r="V25" s="12">
        <f>IFERROR(VLOOKUP(A25,Pavia!B:K,10,),"-")</f>
        <v>0.66666666666666663</v>
      </c>
      <c r="W25" s="23">
        <f t="shared" si="10"/>
        <v>1.0416666666666665</v>
      </c>
      <c r="X25" s="12">
        <f>IFERROR(VLOOKUP(A25,Pavia!B:L,11,),"-")</f>
        <v>0.66666666666666663</v>
      </c>
      <c r="Y25" s="23">
        <f t="shared" si="11"/>
        <v>1.0416666666666665</v>
      </c>
      <c r="Z25" s="12">
        <f>IFERROR(VLOOKUP(A25,Pavia!B:M,12,),"-")</f>
        <v>0.66666666666666663</v>
      </c>
      <c r="AA25" s="23">
        <f t="shared" si="12"/>
        <v>1.0416666666666665</v>
      </c>
      <c r="AB25" s="12" t="str">
        <f>IFERROR(VLOOKUP(A25,Pavia!B:N,13,),"-")</f>
        <v>OFF</v>
      </c>
      <c r="AC25" s="23" t="str">
        <f t="shared" si="13"/>
        <v>OFF</v>
      </c>
      <c r="AD25" s="12" t="str">
        <f>IFERROR(VLOOKUP(A25,Pavia!B:O,14,),"-")</f>
        <v>OFF</v>
      </c>
      <c r="AE25" s="23" t="str">
        <f t="shared" si="14"/>
        <v>OFF</v>
      </c>
      <c r="AF25" s="21">
        <f>IFERROR(VLOOKUP(A25,Pavia!B:P,15,),"-")</f>
        <v>0.66666666666666663</v>
      </c>
      <c r="AG25" s="23">
        <f t="shared" si="15"/>
        <v>1.0416666666666665</v>
      </c>
      <c r="AI25" s="25">
        <f>IFERROR(VLOOKUP(A25,Pavia!$B:$Q,16,),"-")</f>
        <v>0.66666666666666663</v>
      </c>
      <c r="AJ25" s="23">
        <f t="shared" si="16"/>
        <v>1.0416666666666665</v>
      </c>
      <c r="AK25" s="12">
        <f>IFERROR(VLOOKUP(A25,Pavia!B:R,17,),"-")</f>
        <v>0.66666666666666663</v>
      </c>
      <c r="AL25" s="23">
        <f t="shared" si="17"/>
        <v>1.0416666666666665</v>
      </c>
      <c r="AM25" s="12">
        <f>IFERROR(VLOOKUP(A25,Pavia!B:S,18,),"-")</f>
        <v>0.66666666666666663</v>
      </c>
      <c r="AN25" s="23">
        <f t="shared" si="18"/>
        <v>1.0416666666666665</v>
      </c>
      <c r="AO25" s="12">
        <f>IFERROR(VLOOKUP(A25,Pavia!B:T,19,),"-")</f>
        <v>0.66666666666666663</v>
      </c>
      <c r="AP25" s="23">
        <f t="shared" si="19"/>
        <v>1.0416666666666665</v>
      </c>
      <c r="AQ25" s="12" t="str">
        <f>IFERROR(VLOOKUP(A25,Pavia!B:U,20,),"-")</f>
        <v>OFF</v>
      </c>
      <c r="AR25" s="23" t="str">
        <f t="shared" si="20"/>
        <v>OFF</v>
      </c>
      <c r="AS25" s="12" t="str">
        <f>IFERROR(VLOOKUP(A25,Pavia!B:V,21,),"-")</f>
        <v>OFF</v>
      </c>
      <c r="AT25" s="23" t="str">
        <f t="shared" si="21"/>
        <v>OFF</v>
      </c>
      <c r="AU25" s="21">
        <f>IFERROR(VLOOKUP(A25,Pavia!B:W,22,),"-")</f>
        <v>0.66666666666666663</v>
      </c>
      <c r="AV25" s="23">
        <f t="shared" si="22"/>
        <v>1.0416666666666665</v>
      </c>
      <c r="AX25" s="30">
        <v>0.91666666666666696</v>
      </c>
      <c r="AY25" s="10">
        <v>1.9166666666666701</v>
      </c>
      <c r="AZ25" s="31">
        <f t="shared" si="23"/>
        <v>0</v>
      </c>
      <c r="BA25" s="31">
        <f t="shared" si="24"/>
        <v>0</v>
      </c>
      <c r="BB25" s="31">
        <f t="shared" si="57"/>
        <v>0</v>
      </c>
      <c r="BC25" s="31">
        <f t="shared" si="25"/>
        <v>0</v>
      </c>
      <c r="BD25" s="31">
        <f t="shared" si="26"/>
        <v>0</v>
      </c>
      <c r="BE25" s="31">
        <f t="shared" si="27"/>
        <v>0</v>
      </c>
      <c r="BF25" s="32">
        <f t="shared" si="28"/>
        <v>0</v>
      </c>
      <c r="BH25" s="30">
        <v>0.91666666666666696</v>
      </c>
      <c r="BI25" s="10">
        <v>1.9166666666666601</v>
      </c>
      <c r="BJ25" s="31">
        <f t="shared" si="29"/>
        <v>9</v>
      </c>
      <c r="BK25" s="31">
        <f t="shared" si="30"/>
        <v>9</v>
      </c>
      <c r="BL25" s="31">
        <f t="shared" si="31"/>
        <v>1</v>
      </c>
      <c r="BM25" s="31">
        <f t="shared" si="32"/>
        <v>8</v>
      </c>
      <c r="BN25" s="31">
        <f t="shared" si="33"/>
        <v>8</v>
      </c>
      <c r="BO25" s="31">
        <f t="shared" si="34"/>
        <v>1</v>
      </c>
      <c r="BP25" s="32">
        <f t="shared" si="35"/>
        <v>9</v>
      </c>
      <c r="BS25" s="51">
        <v>0.91666666666666696</v>
      </c>
      <c r="BT25" s="51">
        <v>1.9166666666666701</v>
      </c>
      <c r="BU25" s="9">
        <f t="shared" si="36"/>
        <v>34</v>
      </c>
      <c r="BV25" s="9">
        <f t="shared" si="37"/>
        <v>35</v>
      </c>
      <c r="BW25" s="9">
        <f t="shared" si="38"/>
        <v>23</v>
      </c>
      <c r="BX25" s="9">
        <f t="shared" si="39"/>
        <v>30</v>
      </c>
      <c r="BY25" s="9">
        <f t="shared" si="40"/>
        <v>28</v>
      </c>
      <c r="BZ25" s="9">
        <f t="shared" si="41"/>
        <v>9</v>
      </c>
      <c r="CA25" s="29">
        <f t="shared" si="42"/>
        <v>21</v>
      </c>
      <c r="CB25" s="28">
        <f t="shared" si="43"/>
        <v>34</v>
      </c>
      <c r="CC25" s="9">
        <f t="shared" si="44"/>
        <v>36</v>
      </c>
      <c r="CD25" s="9">
        <f t="shared" si="45"/>
        <v>33</v>
      </c>
      <c r="CE25" s="9">
        <f t="shared" si="46"/>
        <v>29</v>
      </c>
      <c r="CF25" s="9">
        <f t="shared" si="47"/>
        <v>18</v>
      </c>
      <c r="CG25" s="9">
        <f t="shared" si="48"/>
        <v>9</v>
      </c>
      <c r="CH25" s="29">
        <f t="shared" si="49"/>
        <v>21</v>
      </c>
      <c r="CI25" s="28">
        <f t="shared" si="50"/>
        <v>34</v>
      </c>
      <c r="CJ25" s="9">
        <f t="shared" si="51"/>
        <v>36</v>
      </c>
      <c r="CK25" s="9">
        <f t="shared" si="52"/>
        <v>33</v>
      </c>
      <c r="CL25" s="9">
        <f t="shared" si="53"/>
        <v>29</v>
      </c>
      <c r="CM25" s="9">
        <f t="shared" si="54"/>
        <v>18</v>
      </c>
      <c r="CN25" s="9">
        <f t="shared" si="55"/>
        <v>9</v>
      </c>
      <c r="CO25" s="29">
        <f t="shared" si="56"/>
        <v>21</v>
      </c>
    </row>
    <row r="26" spans="1:93" ht="14.45" customHeight="1" thickBot="1" x14ac:dyDescent="0.3">
      <c r="A26" s="20" t="str">
        <f>Pavia!B27</f>
        <v>Marck Lourence Racines</v>
      </c>
      <c r="B26" s="12">
        <f>IFERROR(VLOOKUP(A26,Pavia!B:I,2,),"-")</f>
        <v>0.66666666666666663</v>
      </c>
      <c r="C26" s="23">
        <f t="shared" si="1"/>
        <v>1.0416666666666665</v>
      </c>
      <c r="D26" s="12">
        <f>IFERROR(VLOOKUP(A26,Pavia!B:I,3,),"-")</f>
        <v>0.66666666666666663</v>
      </c>
      <c r="E26" s="23">
        <f t="shared" si="2"/>
        <v>1.0416666666666665</v>
      </c>
      <c r="F26" s="12" t="str">
        <f>IFERROR(VLOOKUP(A26,Pavia!B:I,4,),"-")</f>
        <v>OFF</v>
      </c>
      <c r="G26" s="23" t="str">
        <f t="shared" si="3"/>
        <v>OFF</v>
      </c>
      <c r="H26" s="12">
        <f>IFERROR(VLOOKUP(A26,Pavia!B:I,5,),"-")</f>
        <v>0.66666666666666663</v>
      </c>
      <c r="I26" s="23">
        <f t="shared" si="4"/>
        <v>1.0416666666666665</v>
      </c>
      <c r="J26" s="12">
        <f>IFERROR(VLOOKUP(A26,Pavia!B:I,6,),"-")</f>
        <v>0.66666666666666663</v>
      </c>
      <c r="K26" s="23">
        <f t="shared" si="5"/>
        <v>1.0416666666666665</v>
      </c>
      <c r="L26" s="12" t="str">
        <f>IFERROR(VLOOKUP(A26,Pavia!B:I,7,),"-")</f>
        <v>OFF</v>
      </c>
      <c r="M26" s="23" t="str">
        <f t="shared" si="6"/>
        <v>OFF</v>
      </c>
      <c r="N26" s="12">
        <f>IFERROR(VLOOKUP(A26,Pavia!B:I,8,),"-")</f>
        <v>0.66666666666666663</v>
      </c>
      <c r="O26" s="23">
        <f t="shared" si="7"/>
        <v>1.0416666666666665</v>
      </c>
      <c r="Q26" s="12">
        <f>IFERROR(VLOOKUP(A26,Pavia!B:Y,24,),"-")</f>
        <v>0.58333333333333337</v>
      </c>
      <c r="R26" s="23">
        <f t="shared" si="8"/>
        <v>0.95833333333333337</v>
      </c>
      <c r="T26" s="25">
        <f>IFERROR(VLOOKUP(A26,Pavia!$B:$J,9,),"-")</f>
        <v>0.66666666666666663</v>
      </c>
      <c r="U26" s="23">
        <f t="shared" si="9"/>
        <v>1.0416666666666665</v>
      </c>
      <c r="V26" s="12">
        <f>IFERROR(VLOOKUP(A26,Pavia!B:K,10,),"-")</f>
        <v>0.66666666666666663</v>
      </c>
      <c r="W26" s="23">
        <f t="shared" si="10"/>
        <v>1.0416666666666665</v>
      </c>
      <c r="X26" s="12">
        <f>IFERROR(VLOOKUP(A26,Pavia!B:L,11,),"-")</f>
        <v>0.66666666666666663</v>
      </c>
      <c r="Y26" s="23">
        <f t="shared" si="11"/>
        <v>1.0416666666666665</v>
      </c>
      <c r="Z26" s="12">
        <f>IFERROR(VLOOKUP(A26,Pavia!B:M,12,),"-")</f>
        <v>0.66666666666666663</v>
      </c>
      <c r="AA26" s="23">
        <f t="shared" si="12"/>
        <v>1.0416666666666665</v>
      </c>
      <c r="AB26" s="12" t="str">
        <f>IFERROR(VLOOKUP(A26,Pavia!B:N,13,),"-")</f>
        <v>OFF</v>
      </c>
      <c r="AC26" s="23" t="str">
        <f t="shared" si="13"/>
        <v>OFF</v>
      </c>
      <c r="AD26" s="12" t="str">
        <f>IFERROR(VLOOKUP(A26,Pavia!B:O,14,),"-")</f>
        <v>OFF</v>
      </c>
      <c r="AE26" s="23" t="str">
        <f t="shared" si="14"/>
        <v>OFF</v>
      </c>
      <c r="AF26" s="21">
        <f>IFERROR(VLOOKUP(A26,Pavia!B:P,15,),"-")</f>
        <v>0.66666666666666663</v>
      </c>
      <c r="AG26" s="23">
        <f t="shared" si="15"/>
        <v>1.0416666666666665</v>
      </c>
      <c r="AI26" s="25">
        <f>IFERROR(VLOOKUP(A26,Pavia!$B:$Q,16,),"-")</f>
        <v>0.66666666666666663</v>
      </c>
      <c r="AJ26" s="23">
        <f t="shared" si="16"/>
        <v>1.0416666666666665</v>
      </c>
      <c r="AK26" s="12">
        <f>IFERROR(VLOOKUP(A26,Pavia!B:R,17,),"-")</f>
        <v>0.66666666666666663</v>
      </c>
      <c r="AL26" s="23">
        <f t="shared" si="17"/>
        <v>1.0416666666666665</v>
      </c>
      <c r="AM26" s="12">
        <f>IFERROR(VLOOKUP(A26,Pavia!B:S,18,),"-")</f>
        <v>0.66666666666666663</v>
      </c>
      <c r="AN26" s="23">
        <f t="shared" si="18"/>
        <v>1.0416666666666665</v>
      </c>
      <c r="AO26" s="12">
        <f>IFERROR(VLOOKUP(A26,Pavia!B:T,19,),"-")</f>
        <v>0.66666666666666663</v>
      </c>
      <c r="AP26" s="23">
        <f t="shared" si="19"/>
        <v>1.0416666666666665</v>
      </c>
      <c r="AQ26" s="12" t="str">
        <f>IFERROR(VLOOKUP(A26,Pavia!B:U,20,),"-")</f>
        <v>OFF</v>
      </c>
      <c r="AR26" s="23" t="str">
        <f t="shared" si="20"/>
        <v>OFF</v>
      </c>
      <c r="AS26" s="12" t="str">
        <f>IFERROR(VLOOKUP(A26,Pavia!B:V,21,),"-")</f>
        <v>OFF</v>
      </c>
      <c r="AT26" s="23" t="str">
        <f t="shared" si="21"/>
        <v>OFF</v>
      </c>
      <c r="AU26" s="21">
        <f>IFERROR(VLOOKUP(A26,Pavia!B:W,22,),"-")</f>
        <v>0.66666666666666663</v>
      </c>
      <c r="AV26" s="23">
        <f t="shared" si="22"/>
        <v>1.0416666666666665</v>
      </c>
      <c r="AX26" s="33">
        <v>0.95833333333333304</v>
      </c>
      <c r="AY26" s="34">
        <v>1.9583333333333399</v>
      </c>
      <c r="AZ26" s="35">
        <f t="shared" si="23"/>
        <v>0</v>
      </c>
      <c r="BA26" s="35">
        <f t="shared" si="24"/>
        <v>0</v>
      </c>
      <c r="BB26" s="35">
        <f t="shared" si="57"/>
        <v>0</v>
      </c>
      <c r="BC26" s="35">
        <f t="shared" si="25"/>
        <v>0</v>
      </c>
      <c r="BD26" s="35">
        <f t="shared" si="26"/>
        <v>0</v>
      </c>
      <c r="BE26" s="35">
        <f t="shared" si="27"/>
        <v>0</v>
      </c>
      <c r="BF26" s="36">
        <f t="shared" si="28"/>
        <v>0</v>
      </c>
      <c r="BH26" s="33">
        <v>0.95833333333333304</v>
      </c>
      <c r="BI26" s="34">
        <v>1.9583333333333299</v>
      </c>
      <c r="BJ26" s="35">
        <f t="shared" si="29"/>
        <v>9</v>
      </c>
      <c r="BK26" s="35">
        <f t="shared" si="30"/>
        <v>9</v>
      </c>
      <c r="BL26" s="35">
        <f t="shared" si="31"/>
        <v>1</v>
      </c>
      <c r="BM26" s="35">
        <f t="shared" si="32"/>
        <v>8</v>
      </c>
      <c r="BN26" s="35">
        <f t="shared" si="33"/>
        <v>8</v>
      </c>
      <c r="BO26" s="35">
        <f t="shared" si="34"/>
        <v>1</v>
      </c>
      <c r="BP26" s="36">
        <f t="shared" si="35"/>
        <v>9</v>
      </c>
      <c r="BS26" s="51">
        <v>0.95833333333333304</v>
      </c>
      <c r="BT26" s="51">
        <v>1.9583333333333399</v>
      </c>
      <c r="BU26" s="9">
        <f t="shared" si="36"/>
        <v>23</v>
      </c>
      <c r="BV26" s="9">
        <f t="shared" si="37"/>
        <v>24</v>
      </c>
      <c r="BW26" s="9">
        <f t="shared" si="38"/>
        <v>12</v>
      </c>
      <c r="BX26" s="9">
        <f t="shared" si="39"/>
        <v>19</v>
      </c>
      <c r="BY26" s="9">
        <f t="shared" si="40"/>
        <v>17</v>
      </c>
      <c r="BZ26" s="9">
        <f t="shared" si="41"/>
        <v>9</v>
      </c>
      <c r="CA26" s="29">
        <f t="shared" si="42"/>
        <v>21</v>
      </c>
      <c r="CB26" s="28">
        <f t="shared" si="43"/>
        <v>23</v>
      </c>
      <c r="CC26" s="9">
        <f t="shared" si="44"/>
        <v>25</v>
      </c>
      <c r="CD26" s="9">
        <f t="shared" si="45"/>
        <v>22</v>
      </c>
      <c r="CE26" s="9">
        <f t="shared" si="46"/>
        <v>18</v>
      </c>
      <c r="CF26" s="9">
        <f t="shared" si="47"/>
        <v>7</v>
      </c>
      <c r="CG26" s="9">
        <f t="shared" si="48"/>
        <v>9</v>
      </c>
      <c r="CH26" s="29">
        <f t="shared" si="49"/>
        <v>21</v>
      </c>
      <c r="CI26" s="28">
        <f t="shared" si="50"/>
        <v>23</v>
      </c>
      <c r="CJ26" s="9">
        <f t="shared" si="51"/>
        <v>25</v>
      </c>
      <c r="CK26" s="9">
        <f t="shared" si="52"/>
        <v>22</v>
      </c>
      <c r="CL26" s="9">
        <f t="shared" si="53"/>
        <v>18</v>
      </c>
      <c r="CM26" s="9">
        <f t="shared" si="54"/>
        <v>7</v>
      </c>
      <c r="CN26" s="9">
        <f t="shared" si="55"/>
        <v>9</v>
      </c>
      <c r="CO26" s="29">
        <f t="shared" si="56"/>
        <v>21</v>
      </c>
    </row>
    <row r="27" spans="1:93" ht="15.75" thickBot="1" x14ac:dyDescent="0.3">
      <c r="A27" s="20" t="str">
        <f>Pavia!B28</f>
        <v>Blossom Pearl Villorente</v>
      </c>
      <c r="B27" s="12">
        <f>IFERROR(VLOOKUP(A27,Pavia!B:I,2,),"-")</f>
        <v>0.66666666666666663</v>
      </c>
      <c r="C27" s="23">
        <f t="shared" si="1"/>
        <v>1.0416666666666665</v>
      </c>
      <c r="D27" s="12">
        <f>IFERROR(VLOOKUP(A27,Pavia!B:I,3,),"-")</f>
        <v>0.66666666666666663</v>
      </c>
      <c r="E27" s="23">
        <f t="shared" si="2"/>
        <v>1.0416666666666665</v>
      </c>
      <c r="F27" s="12">
        <f>IFERROR(VLOOKUP(A27,Pavia!B:I,4,),"-")</f>
        <v>0.66666666666666663</v>
      </c>
      <c r="G27" s="23">
        <f t="shared" si="3"/>
        <v>1.0416666666666665</v>
      </c>
      <c r="H27" s="12" t="str">
        <f>IFERROR(VLOOKUP(A27,Pavia!B:I,5,),"-")</f>
        <v>OFF</v>
      </c>
      <c r="I27" s="23" t="str">
        <f t="shared" si="4"/>
        <v>OFF</v>
      </c>
      <c r="J27" s="12" t="str">
        <f>IFERROR(VLOOKUP(A27,Pavia!B:I,6,),"-")</f>
        <v>OFF</v>
      </c>
      <c r="K27" s="23" t="str">
        <f t="shared" si="5"/>
        <v>OFF</v>
      </c>
      <c r="L27" s="12">
        <f>IFERROR(VLOOKUP(A27,Pavia!B:I,7,),"-")</f>
        <v>0.66666666666666663</v>
      </c>
      <c r="M27" s="23">
        <f t="shared" si="6"/>
        <v>1.0416666666666665</v>
      </c>
      <c r="N27" s="12">
        <f>IFERROR(VLOOKUP(A27,Pavia!B:I,8,),"-")</f>
        <v>0.66666666666666663</v>
      </c>
      <c r="O27" s="23">
        <f t="shared" si="7"/>
        <v>1.0416666666666665</v>
      </c>
      <c r="Q27" s="12">
        <f>IFERROR(VLOOKUP(A27,Pavia!B:Y,24,),"-")</f>
        <v>0.58333333333333337</v>
      </c>
      <c r="R27" s="23">
        <f t="shared" si="8"/>
        <v>0.95833333333333337</v>
      </c>
      <c r="T27" s="25">
        <f>IFERROR(VLOOKUP(A27,Pavia!$B:$J,9,),"-")</f>
        <v>0.66666666666666663</v>
      </c>
      <c r="U27" s="23">
        <f t="shared" si="9"/>
        <v>1.0416666666666665</v>
      </c>
      <c r="V27" s="12">
        <f>IFERROR(VLOOKUP(A27,Pavia!B:K,10,),"-")</f>
        <v>0.66666666666666663</v>
      </c>
      <c r="W27" s="23">
        <f t="shared" si="10"/>
        <v>1.0416666666666665</v>
      </c>
      <c r="X27" s="12">
        <f>IFERROR(VLOOKUP(A27,Pavia!B:L,11,),"-")</f>
        <v>0.66666666666666663</v>
      </c>
      <c r="Y27" s="23">
        <f t="shared" si="11"/>
        <v>1.0416666666666665</v>
      </c>
      <c r="Z27" s="12" t="str">
        <f>IFERROR(VLOOKUP(A27,Pavia!B:M,12,),"-")</f>
        <v>OFF</v>
      </c>
      <c r="AA27" s="23" t="str">
        <f t="shared" si="12"/>
        <v>OFF</v>
      </c>
      <c r="AB27" s="12" t="str">
        <f>IFERROR(VLOOKUP(A27,Pavia!B:N,13,),"-")</f>
        <v>OFF</v>
      </c>
      <c r="AC27" s="23" t="str">
        <f t="shared" si="13"/>
        <v>OFF</v>
      </c>
      <c r="AD27" s="12">
        <f>IFERROR(VLOOKUP(A27,Pavia!B:O,14,),"-")</f>
        <v>0.66666666666666663</v>
      </c>
      <c r="AE27" s="23">
        <f t="shared" si="14"/>
        <v>1.0416666666666665</v>
      </c>
      <c r="AF27" s="21">
        <f>IFERROR(VLOOKUP(A27,Pavia!B:P,15,),"-")</f>
        <v>0.66666666666666663</v>
      </c>
      <c r="AG27" s="23">
        <f t="shared" si="15"/>
        <v>1.0416666666666665</v>
      </c>
      <c r="AI27" s="25">
        <f>IFERROR(VLOOKUP(A27,Pavia!$B:$Q,16,),"-")</f>
        <v>0.66666666666666663</v>
      </c>
      <c r="AJ27" s="23">
        <f t="shared" si="16"/>
        <v>1.0416666666666665</v>
      </c>
      <c r="AK27" s="12">
        <f>IFERROR(VLOOKUP(A27,Pavia!B:R,17,),"-")</f>
        <v>0.66666666666666663</v>
      </c>
      <c r="AL27" s="23">
        <f t="shared" si="17"/>
        <v>1.0416666666666665</v>
      </c>
      <c r="AM27" s="12">
        <f>IFERROR(VLOOKUP(A27,Pavia!B:S,18,),"-")</f>
        <v>0.66666666666666663</v>
      </c>
      <c r="AN27" s="23">
        <f t="shared" si="18"/>
        <v>1.0416666666666665</v>
      </c>
      <c r="AO27" s="12" t="str">
        <f>IFERROR(VLOOKUP(A27,Pavia!B:T,19,),"-")</f>
        <v>OFF</v>
      </c>
      <c r="AP27" s="23" t="str">
        <f t="shared" si="19"/>
        <v>OFF</v>
      </c>
      <c r="AQ27" s="12" t="str">
        <f>IFERROR(VLOOKUP(A27,Pavia!B:U,20,),"-")</f>
        <v>OFF</v>
      </c>
      <c r="AR27" s="23" t="str">
        <f t="shared" si="20"/>
        <v>OFF</v>
      </c>
      <c r="AS27" s="12">
        <f>IFERROR(VLOOKUP(A27,Pavia!B:V,21,),"-")</f>
        <v>0.66666666666666663</v>
      </c>
      <c r="AT27" s="23">
        <f t="shared" si="21"/>
        <v>1.0416666666666665</v>
      </c>
      <c r="AU27" s="21">
        <f>IFERROR(VLOOKUP(A27,Pavia!B:W,22,),"-")</f>
        <v>0.66666666666666663</v>
      </c>
      <c r="AV27" s="23">
        <f t="shared" si="22"/>
        <v>1.0416666666666665</v>
      </c>
      <c r="BH27" s="10"/>
      <c r="BI27" s="10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</row>
    <row r="28" spans="1:93" ht="14.45" customHeight="1" thickBot="1" x14ac:dyDescent="0.3">
      <c r="A28" s="20" t="str">
        <f>Pavia!B29</f>
        <v>Veneille Florence Siva</v>
      </c>
      <c r="B28" s="12">
        <f>IFERROR(VLOOKUP(A28,Pavia!B:I,2,),"-")</f>
        <v>0.5</v>
      </c>
      <c r="C28" s="23">
        <f t="shared" si="1"/>
        <v>0.875</v>
      </c>
      <c r="D28" s="12">
        <f>IFERROR(VLOOKUP(A28,Pavia!B:I,3,),"-")</f>
        <v>0.5</v>
      </c>
      <c r="E28" s="23">
        <f t="shared" si="2"/>
        <v>0.875</v>
      </c>
      <c r="F28" s="12" t="str">
        <f>IFERROR(VLOOKUP(A28,Pavia!B:I,4,),"-")</f>
        <v>OFF</v>
      </c>
      <c r="G28" s="23" t="str">
        <f t="shared" si="3"/>
        <v>OFF</v>
      </c>
      <c r="H28" s="12">
        <f>IFERROR(VLOOKUP(A28,Pavia!B:I,5,),"-")</f>
        <v>0.5</v>
      </c>
      <c r="I28" s="23">
        <f t="shared" si="4"/>
        <v>0.875</v>
      </c>
      <c r="J28" s="12">
        <f>IFERROR(VLOOKUP(A28,Pavia!B:I,6,),"-")</f>
        <v>0.5</v>
      </c>
      <c r="K28" s="23">
        <f t="shared" si="5"/>
        <v>0.875</v>
      </c>
      <c r="L28" s="12" t="str">
        <f>IFERROR(VLOOKUP(A28,Pavia!B:I,7,),"-")</f>
        <v>OFF</v>
      </c>
      <c r="M28" s="23" t="str">
        <f t="shared" si="6"/>
        <v>OFF</v>
      </c>
      <c r="N28" s="12">
        <f>IFERROR(VLOOKUP(A28,Pavia!B:I,8,),"-")</f>
        <v>0.5</v>
      </c>
      <c r="O28" s="23">
        <f t="shared" si="7"/>
        <v>0.875</v>
      </c>
      <c r="Q28" s="12">
        <f>IFERROR(VLOOKUP(A28,Pavia!B:Y,24,),"-")</f>
        <v>0.5</v>
      </c>
      <c r="R28" s="23">
        <f t="shared" si="8"/>
        <v>0.875</v>
      </c>
      <c r="T28" s="25">
        <f>IFERROR(VLOOKUP(A28,Pavia!$B:$J,9,),"-")</f>
        <v>0.5</v>
      </c>
      <c r="U28" s="23">
        <f t="shared" si="9"/>
        <v>0.875</v>
      </c>
      <c r="V28" s="12">
        <f>IFERROR(VLOOKUP(A28,Pavia!B:K,10,),"-")</f>
        <v>0.5</v>
      </c>
      <c r="W28" s="23">
        <f t="shared" si="10"/>
        <v>0.875</v>
      </c>
      <c r="X28" s="12">
        <f>IFERROR(VLOOKUP(A28,Pavia!B:L,11,),"-")</f>
        <v>0.5</v>
      </c>
      <c r="Y28" s="23">
        <f t="shared" si="11"/>
        <v>0.875</v>
      </c>
      <c r="Z28" s="12">
        <f>IFERROR(VLOOKUP(A28,Pavia!B:M,12,),"-")</f>
        <v>0.5</v>
      </c>
      <c r="AA28" s="23">
        <f t="shared" si="12"/>
        <v>0.875</v>
      </c>
      <c r="AB28" s="12" t="str">
        <f>IFERROR(VLOOKUP(A28,Pavia!B:N,13,),"-")</f>
        <v>OFF</v>
      </c>
      <c r="AC28" s="23" t="str">
        <f t="shared" si="13"/>
        <v>OFF</v>
      </c>
      <c r="AD28" s="12" t="str">
        <f>IFERROR(VLOOKUP(A28,Pavia!B:O,14,),"-")</f>
        <v>OFF</v>
      </c>
      <c r="AE28" s="23" t="str">
        <f t="shared" si="14"/>
        <v>OFF</v>
      </c>
      <c r="AF28" s="21">
        <f>IFERROR(VLOOKUP(A28,Pavia!B:P,15,),"-")</f>
        <v>0.5</v>
      </c>
      <c r="AG28" s="23">
        <f t="shared" si="15"/>
        <v>0.875</v>
      </c>
      <c r="AI28" s="25">
        <f>IFERROR(VLOOKUP(A28,Pavia!$B:$Q,16,),"-")</f>
        <v>0.5</v>
      </c>
      <c r="AJ28" s="23">
        <f t="shared" si="16"/>
        <v>0.875</v>
      </c>
      <c r="AK28" s="12">
        <f>IFERROR(VLOOKUP(A28,Pavia!B:R,17,),"-")</f>
        <v>0.5</v>
      </c>
      <c r="AL28" s="23">
        <f t="shared" si="17"/>
        <v>0.875</v>
      </c>
      <c r="AM28" s="12">
        <f>IFERROR(VLOOKUP(A28,Pavia!B:S,18,),"-")</f>
        <v>0.5</v>
      </c>
      <c r="AN28" s="23">
        <f t="shared" si="18"/>
        <v>0.875</v>
      </c>
      <c r="AO28" s="12">
        <f>IFERROR(VLOOKUP(A28,Pavia!B:T,19,),"-")</f>
        <v>0.5</v>
      </c>
      <c r="AP28" s="23">
        <f t="shared" si="19"/>
        <v>0.875</v>
      </c>
      <c r="AQ28" s="12" t="str">
        <f>IFERROR(VLOOKUP(A28,Pavia!B:U,20,),"-")</f>
        <v>OFF</v>
      </c>
      <c r="AR28" s="23" t="str">
        <f t="shared" si="20"/>
        <v>OFF</v>
      </c>
      <c r="AS28" s="12" t="str">
        <f>IFERROR(VLOOKUP(A28,Pavia!B:V,21,),"-")</f>
        <v>OFF</v>
      </c>
      <c r="AT28" s="23" t="str">
        <f t="shared" si="21"/>
        <v>OFF</v>
      </c>
      <c r="AU28" s="21">
        <f>IFERROR(VLOOKUP(A28,Pavia!B:W,22,),"-")</f>
        <v>0.5</v>
      </c>
      <c r="AV28" s="23">
        <f t="shared" si="22"/>
        <v>0.875</v>
      </c>
      <c r="AX28" s="10"/>
      <c r="BH28" s="10"/>
      <c r="CA28" s="31"/>
    </row>
    <row r="29" spans="1:93" ht="15.75" thickBot="1" x14ac:dyDescent="0.3">
      <c r="A29" s="20" t="str">
        <f>Pavia!B30</f>
        <v>Sheila Marie Casta</v>
      </c>
      <c r="B29" s="12">
        <f>IFERROR(VLOOKUP(A29,Pavia!B:I,2,),"-")</f>
        <v>0.66666666666666663</v>
      </c>
      <c r="C29" s="23">
        <f t="shared" si="1"/>
        <v>1.0416666666666665</v>
      </c>
      <c r="D29" s="12">
        <f>IFERROR(VLOOKUP(A29,Pavia!B:I,3,),"-")</f>
        <v>0.66666666666666663</v>
      </c>
      <c r="E29" s="23">
        <f t="shared" si="2"/>
        <v>1.0416666666666665</v>
      </c>
      <c r="F29" s="12" t="str">
        <f>IFERROR(VLOOKUP(A29,Pavia!B:I,4,),"-")</f>
        <v>OFF</v>
      </c>
      <c r="G29" s="23" t="str">
        <f t="shared" si="3"/>
        <v>OFF</v>
      </c>
      <c r="H29" s="12">
        <f>IFERROR(VLOOKUP(A29,Pavia!B:I,5,),"-")</f>
        <v>0.66666666666666663</v>
      </c>
      <c r="I29" s="23">
        <f t="shared" si="4"/>
        <v>1.0416666666666665</v>
      </c>
      <c r="J29" s="12">
        <f>IFERROR(VLOOKUP(A29,Pavia!B:I,6,),"-")</f>
        <v>0.66666666666666663</v>
      </c>
      <c r="K29" s="23">
        <f t="shared" si="5"/>
        <v>1.0416666666666665</v>
      </c>
      <c r="L29" s="12" t="str">
        <f>IFERROR(VLOOKUP(A29,Pavia!B:I,7,),"-")</f>
        <v>OFF</v>
      </c>
      <c r="M29" s="23" t="str">
        <f t="shared" si="6"/>
        <v>OFF</v>
      </c>
      <c r="N29" s="12">
        <f>IFERROR(VLOOKUP(A29,Pavia!B:I,8,),"-")</f>
        <v>0.66666666666666663</v>
      </c>
      <c r="O29" s="23">
        <f t="shared" si="7"/>
        <v>1.0416666666666665</v>
      </c>
      <c r="Q29" s="12">
        <f>IFERROR(VLOOKUP(A29,Pavia!B:Y,24,),"-")</f>
        <v>0.58333333333333337</v>
      </c>
      <c r="R29" s="23">
        <f t="shared" si="8"/>
        <v>0.95833333333333337</v>
      </c>
      <c r="T29" s="25">
        <f>IFERROR(VLOOKUP(A29,Pavia!$B:$J,9,),"-")</f>
        <v>0.66666666666666663</v>
      </c>
      <c r="U29" s="23">
        <f t="shared" si="9"/>
        <v>1.0416666666666665</v>
      </c>
      <c r="V29" s="12">
        <f>IFERROR(VLOOKUP(A29,Pavia!B:K,10,),"-")</f>
        <v>0.66666666666666663</v>
      </c>
      <c r="W29" s="23">
        <f t="shared" si="10"/>
        <v>1.0416666666666665</v>
      </c>
      <c r="X29" s="12">
        <f>IFERROR(VLOOKUP(A29,Pavia!B:L,11,),"-")</f>
        <v>0.66666666666666663</v>
      </c>
      <c r="Y29" s="23">
        <f t="shared" si="11"/>
        <v>1.0416666666666665</v>
      </c>
      <c r="Z29" s="12">
        <f>IFERROR(VLOOKUP(A29,Pavia!B:M,12,),"-")</f>
        <v>0.66666666666666663</v>
      </c>
      <c r="AA29" s="23">
        <f t="shared" si="12"/>
        <v>1.0416666666666665</v>
      </c>
      <c r="AB29" s="12" t="str">
        <f>IFERROR(VLOOKUP(A29,Pavia!B:N,13,),"-")</f>
        <v>OFF</v>
      </c>
      <c r="AC29" s="23" t="str">
        <f t="shared" si="13"/>
        <v>OFF</v>
      </c>
      <c r="AD29" s="12" t="str">
        <f>IFERROR(VLOOKUP(A29,Pavia!B:O,14,),"-")</f>
        <v>OFF</v>
      </c>
      <c r="AE29" s="23" t="str">
        <f t="shared" si="14"/>
        <v>OFF</v>
      </c>
      <c r="AF29" s="21">
        <f>IFERROR(VLOOKUP(A29,Pavia!B:P,15,),"-")</f>
        <v>0.66666666666666663</v>
      </c>
      <c r="AG29" s="23">
        <f t="shared" si="15"/>
        <v>1.0416666666666665</v>
      </c>
      <c r="AI29" s="25">
        <f>IFERROR(VLOOKUP(A29,Pavia!$B:$Q,16,),"-")</f>
        <v>0.66666666666666663</v>
      </c>
      <c r="AJ29" s="23">
        <f t="shared" si="16"/>
        <v>1.0416666666666665</v>
      </c>
      <c r="AK29" s="12">
        <f>IFERROR(VLOOKUP(A29,Pavia!B:R,17,),"-")</f>
        <v>0.66666666666666663</v>
      </c>
      <c r="AL29" s="23">
        <f t="shared" si="17"/>
        <v>1.0416666666666665</v>
      </c>
      <c r="AM29" s="12">
        <f>IFERROR(VLOOKUP(A29,Pavia!B:S,18,),"-")</f>
        <v>0.66666666666666663</v>
      </c>
      <c r="AN29" s="23">
        <f t="shared" si="18"/>
        <v>1.0416666666666665</v>
      </c>
      <c r="AO29" s="12">
        <f>IFERROR(VLOOKUP(A29,Pavia!B:T,19,),"-")</f>
        <v>0.66666666666666663</v>
      </c>
      <c r="AP29" s="23">
        <f t="shared" si="19"/>
        <v>1.0416666666666665</v>
      </c>
      <c r="AQ29" s="12" t="str">
        <f>IFERROR(VLOOKUP(A29,Pavia!B:U,20,),"-")</f>
        <v>OFF</v>
      </c>
      <c r="AR29" s="23" t="str">
        <f t="shared" si="20"/>
        <v>OFF</v>
      </c>
      <c r="AS29" s="12" t="str">
        <f>IFERROR(VLOOKUP(A29,Pavia!B:V,21,),"-")</f>
        <v>OFF</v>
      </c>
      <c r="AT29" s="23" t="str">
        <f t="shared" si="21"/>
        <v>OFF</v>
      </c>
      <c r="AU29" s="21">
        <f>IFERROR(VLOOKUP(A29,Pavia!B:W,22,),"-")</f>
        <v>0.66666666666666663</v>
      </c>
      <c r="AV29" s="23">
        <f t="shared" si="22"/>
        <v>1.0416666666666665</v>
      </c>
      <c r="AX29" s="10"/>
      <c r="BH29" s="10"/>
    </row>
    <row r="30" spans="1:93" ht="15.75" thickBot="1" x14ac:dyDescent="0.3">
      <c r="A30" s="20" t="str">
        <f>Pavia!B31</f>
        <v>Laurie Ann Billones</v>
      </c>
      <c r="B30" s="12">
        <f>IFERROR(VLOOKUP(A30,Pavia!B:I,2,),"-")</f>
        <v>0.5</v>
      </c>
      <c r="C30" s="23">
        <f t="shared" si="1"/>
        <v>0.875</v>
      </c>
      <c r="D30" s="12">
        <f>IFERROR(VLOOKUP(A30,Pavia!B:I,3,),"-")</f>
        <v>0.5</v>
      </c>
      <c r="E30" s="23">
        <f t="shared" si="2"/>
        <v>0.875</v>
      </c>
      <c r="F30" s="12" t="str">
        <f>IFERROR(VLOOKUP(A30,Pavia!B:I,4,),"-")</f>
        <v>OFF</v>
      </c>
      <c r="G30" s="23" t="str">
        <f t="shared" si="3"/>
        <v>OFF</v>
      </c>
      <c r="H30" s="12">
        <f>IFERROR(VLOOKUP(A30,Pavia!B:I,5,),"-")</f>
        <v>0.5</v>
      </c>
      <c r="I30" s="23">
        <f t="shared" si="4"/>
        <v>0.875</v>
      </c>
      <c r="J30" s="12">
        <f>IFERROR(VLOOKUP(A30,Pavia!B:I,6,),"-")</f>
        <v>0.5</v>
      </c>
      <c r="K30" s="23">
        <f t="shared" si="5"/>
        <v>0.875</v>
      </c>
      <c r="L30" s="12" t="str">
        <f>IFERROR(VLOOKUP(A30,Pavia!B:I,7,),"-")</f>
        <v>OFF</v>
      </c>
      <c r="M30" s="23" t="str">
        <f t="shared" si="6"/>
        <v>OFF</v>
      </c>
      <c r="N30" s="12">
        <f>IFERROR(VLOOKUP(A30,Pavia!B:I,8,),"-")</f>
        <v>0.5</v>
      </c>
      <c r="O30" s="23">
        <f t="shared" si="7"/>
        <v>0.875</v>
      </c>
      <c r="Q30" s="12">
        <f>IFERROR(VLOOKUP(A30,Pavia!B:Y,24,),"-")</f>
        <v>0.5</v>
      </c>
      <c r="R30" s="23">
        <f t="shared" si="8"/>
        <v>0.875</v>
      </c>
      <c r="T30" s="25">
        <f>IFERROR(VLOOKUP(A30,Pavia!$B:$J,9,),"-")</f>
        <v>0.5</v>
      </c>
      <c r="U30" s="23">
        <f t="shared" si="9"/>
        <v>0.875</v>
      </c>
      <c r="V30" s="12">
        <f>IFERROR(VLOOKUP(A30,Pavia!B:K,10,),"-")</f>
        <v>0.5</v>
      </c>
      <c r="W30" s="23">
        <f t="shared" si="10"/>
        <v>0.875</v>
      </c>
      <c r="X30" s="12">
        <f>IFERROR(VLOOKUP(A30,Pavia!B:L,11,),"-")</f>
        <v>0.5</v>
      </c>
      <c r="Y30" s="23">
        <f t="shared" si="11"/>
        <v>0.875</v>
      </c>
      <c r="Z30" s="12">
        <f>IFERROR(VLOOKUP(A30,Pavia!B:M,12,),"-")</f>
        <v>0.5</v>
      </c>
      <c r="AA30" s="23">
        <f t="shared" si="12"/>
        <v>0.875</v>
      </c>
      <c r="AB30" s="12" t="str">
        <f>IFERROR(VLOOKUP(A30,Pavia!B:N,13,),"-")</f>
        <v>OFF</v>
      </c>
      <c r="AC30" s="23" t="str">
        <f t="shared" si="13"/>
        <v>OFF</v>
      </c>
      <c r="AD30" s="12" t="str">
        <f>IFERROR(VLOOKUP(A30,Pavia!B:O,14,),"-")</f>
        <v>OFF</v>
      </c>
      <c r="AE30" s="23" t="str">
        <f t="shared" si="14"/>
        <v>OFF</v>
      </c>
      <c r="AF30" s="21">
        <f>IFERROR(VLOOKUP(A30,Pavia!B:P,15,),"-")</f>
        <v>0.5</v>
      </c>
      <c r="AG30" s="23">
        <f t="shared" si="15"/>
        <v>0.875</v>
      </c>
      <c r="AI30" s="25">
        <f>IFERROR(VLOOKUP(A30,Pavia!$B:$Q,16,),"-")</f>
        <v>0.5</v>
      </c>
      <c r="AJ30" s="23">
        <f t="shared" si="16"/>
        <v>0.875</v>
      </c>
      <c r="AK30" s="12">
        <f>IFERROR(VLOOKUP(A30,Pavia!B:R,17,),"-")</f>
        <v>0.5</v>
      </c>
      <c r="AL30" s="23">
        <f t="shared" si="17"/>
        <v>0.875</v>
      </c>
      <c r="AM30" s="12">
        <f>IFERROR(VLOOKUP(A30,Pavia!B:S,18,),"-")</f>
        <v>0.5</v>
      </c>
      <c r="AN30" s="23">
        <f t="shared" si="18"/>
        <v>0.875</v>
      </c>
      <c r="AO30" s="12">
        <f>IFERROR(VLOOKUP(A30,Pavia!B:T,19,),"-")</f>
        <v>0.5</v>
      </c>
      <c r="AP30" s="23">
        <f t="shared" si="19"/>
        <v>0.875</v>
      </c>
      <c r="AQ30" s="12" t="str">
        <f>IFERROR(VLOOKUP(A30,Pavia!B:U,20,),"-")</f>
        <v>OFF</v>
      </c>
      <c r="AR30" s="23" t="str">
        <f t="shared" si="20"/>
        <v>OFF</v>
      </c>
      <c r="AS30" s="12" t="str">
        <f>IFERROR(VLOOKUP(A30,Pavia!B:V,21,),"-")</f>
        <v>OFF</v>
      </c>
      <c r="AT30" s="23" t="str">
        <f t="shared" si="21"/>
        <v>OFF</v>
      </c>
      <c r="AU30" s="21">
        <f>IFERROR(VLOOKUP(A30,Pavia!B:W,22,),"-")</f>
        <v>0.5</v>
      </c>
      <c r="AV30" s="23">
        <f t="shared" si="22"/>
        <v>0.875</v>
      </c>
      <c r="AX30" s="10"/>
    </row>
    <row r="31" spans="1:93" ht="15.75" thickBot="1" x14ac:dyDescent="0.3">
      <c r="A31" s="20" t="str">
        <f>Pavia!B32</f>
        <v>Daisy Erlano</v>
      </c>
      <c r="B31" s="12">
        <f>IFERROR(VLOOKUP(A31,Pavia!B:I,2,),"-")</f>
        <v>0.66666666666666663</v>
      </c>
      <c r="C31" s="23">
        <f t="shared" si="1"/>
        <v>1.0416666666666665</v>
      </c>
      <c r="D31" s="12">
        <f>IFERROR(VLOOKUP(A31,Pavia!B:I,3,),"-")</f>
        <v>0.66666666666666663</v>
      </c>
      <c r="E31" s="23">
        <f t="shared" si="2"/>
        <v>1.0416666666666665</v>
      </c>
      <c r="F31" s="12" t="str">
        <f>IFERROR(VLOOKUP(A31,Pavia!B:I,4,),"-")</f>
        <v>OFF</v>
      </c>
      <c r="G31" s="23" t="str">
        <f t="shared" si="3"/>
        <v>OFF</v>
      </c>
      <c r="H31" s="12">
        <f>IFERROR(VLOOKUP(A31,Pavia!B:I,5,),"-")</f>
        <v>0.66666666666666663</v>
      </c>
      <c r="I31" s="23">
        <f t="shared" si="4"/>
        <v>1.0416666666666665</v>
      </c>
      <c r="J31" s="12">
        <f>IFERROR(VLOOKUP(A31,Pavia!B:I,6,),"-")</f>
        <v>0.66666666666666663</v>
      </c>
      <c r="K31" s="23">
        <f t="shared" si="5"/>
        <v>1.0416666666666665</v>
      </c>
      <c r="L31" s="12" t="str">
        <f>IFERROR(VLOOKUP(A31,Pavia!B:I,7,),"-")</f>
        <v>OFF</v>
      </c>
      <c r="M31" s="23" t="str">
        <f t="shared" si="6"/>
        <v>OFF</v>
      </c>
      <c r="N31" s="12">
        <f>IFERROR(VLOOKUP(A31,Pavia!B:I,8,),"-")</f>
        <v>0.66666666666666663</v>
      </c>
      <c r="O31" s="23">
        <f t="shared" si="7"/>
        <v>1.0416666666666665</v>
      </c>
      <c r="Q31" s="12">
        <f>IFERROR(VLOOKUP(A31,Pavia!B:Y,24,),"-")</f>
        <v>0.58333333333333337</v>
      </c>
      <c r="R31" s="23">
        <f t="shared" si="8"/>
        <v>0.95833333333333337</v>
      </c>
      <c r="T31" s="25">
        <f>IFERROR(VLOOKUP(A31,Pavia!$B:$J,9,),"-")</f>
        <v>0.66666666666666663</v>
      </c>
      <c r="U31" s="23">
        <f t="shared" si="9"/>
        <v>1.0416666666666665</v>
      </c>
      <c r="V31" s="12">
        <f>IFERROR(VLOOKUP(A31,Pavia!B:K,10,),"-")</f>
        <v>0.66666666666666663</v>
      </c>
      <c r="W31" s="23">
        <f t="shared" si="10"/>
        <v>1.0416666666666665</v>
      </c>
      <c r="X31" s="12">
        <f>IFERROR(VLOOKUP(A31,Pavia!B:L,11,),"-")</f>
        <v>0.66666666666666663</v>
      </c>
      <c r="Y31" s="23">
        <f t="shared" si="11"/>
        <v>1.0416666666666665</v>
      </c>
      <c r="Z31" s="12">
        <f>IFERROR(VLOOKUP(A31,Pavia!B:M,12,),"-")</f>
        <v>0.66666666666666663</v>
      </c>
      <c r="AA31" s="23">
        <f t="shared" si="12"/>
        <v>1.0416666666666665</v>
      </c>
      <c r="AB31" s="12" t="str">
        <f>IFERROR(VLOOKUP(A31,Pavia!B:N,13,),"-")</f>
        <v>OFF</v>
      </c>
      <c r="AC31" s="23" t="str">
        <f t="shared" si="13"/>
        <v>OFF</v>
      </c>
      <c r="AD31" s="12" t="str">
        <f>IFERROR(VLOOKUP(A31,Pavia!B:O,14,),"-")</f>
        <v>OFF</v>
      </c>
      <c r="AE31" s="23" t="str">
        <f t="shared" si="14"/>
        <v>OFF</v>
      </c>
      <c r="AF31" s="21">
        <f>IFERROR(VLOOKUP(A31,Pavia!B:P,15,),"-")</f>
        <v>0.66666666666666663</v>
      </c>
      <c r="AG31" s="23">
        <f t="shared" si="15"/>
        <v>1.0416666666666665</v>
      </c>
      <c r="AI31" s="25">
        <f>IFERROR(VLOOKUP(A31,Pavia!$B:$Q,16,),"-")</f>
        <v>0.66666666666666663</v>
      </c>
      <c r="AJ31" s="23">
        <f t="shared" si="16"/>
        <v>1.0416666666666665</v>
      </c>
      <c r="AK31" s="12">
        <f>IFERROR(VLOOKUP(A31,Pavia!B:R,17,),"-")</f>
        <v>0.66666666666666663</v>
      </c>
      <c r="AL31" s="23">
        <f t="shared" si="17"/>
        <v>1.0416666666666665</v>
      </c>
      <c r="AM31" s="12">
        <f>IFERROR(VLOOKUP(A31,Pavia!B:S,18,),"-")</f>
        <v>0.66666666666666663</v>
      </c>
      <c r="AN31" s="23">
        <f t="shared" si="18"/>
        <v>1.0416666666666665</v>
      </c>
      <c r="AO31" s="12">
        <f>IFERROR(VLOOKUP(A31,Pavia!B:T,19,),"-")</f>
        <v>0.66666666666666663</v>
      </c>
      <c r="AP31" s="23">
        <f t="shared" si="19"/>
        <v>1.0416666666666665</v>
      </c>
      <c r="AQ31" s="12" t="str">
        <f>IFERROR(VLOOKUP(A31,Pavia!B:U,20,),"-")</f>
        <v>OFF</v>
      </c>
      <c r="AR31" s="23" t="str">
        <f t="shared" si="20"/>
        <v>OFF</v>
      </c>
      <c r="AS31" s="12" t="str">
        <f>IFERROR(VLOOKUP(A31,Pavia!B:V,21,),"-")</f>
        <v>OFF</v>
      </c>
      <c r="AT31" s="23" t="str">
        <f t="shared" si="21"/>
        <v>OFF</v>
      </c>
      <c r="AU31" s="21">
        <f>IFERROR(VLOOKUP(A31,Pavia!B:W,22,),"-")</f>
        <v>0.66666666666666663</v>
      </c>
      <c r="AV31" s="23">
        <f t="shared" si="22"/>
        <v>1.0416666666666665</v>
      </c>
      <c r="AX31" s="10"/>
    </row>
    <row r="32" spans="1:93" ht="15.75" thickBot="1" x14ac:dyDescent="0.3">
      <c r="A32" s="20" t="str">
        <f>Pavia!B33</f>
        <v>Gicelle Dyan Carisma</v>
      </c>
      <c r="B32" s="12">
        <f>IFERROR(VLOOKUP(A32,Pavia!B:I,2,),"-")</f>
        <v>0.66666666666666663</v>
      </c>
      <c r="C32" s="23">
        <f t="shared" si="1"/>
        <v>1.0416666666666665</v>
      </c>
      <c r="D32" s="12">
        <f>IFERROR(VLOOKUP(A32,Pavia!B:I,3,),"-")</f>
        <v>0.66666666666666663</v>
      </c>
      <c r="E32" s="23">
        <f t="shared" si="2"/>
        <v>1.0416666666666665</v>
      </c>
      <c r="F32" s="12" t="str">
        <f>IFERROR(VLOOKUP(A32,Pavia!B:I,4,),"-")</f>
        <v>OFF</v>
      </c>
      <c r="G32" s="23" t="str">
        <f t="shared" si="3"/>
        <v>OFF</v>
      </c>
      <c r="H32" s="12">
        <f>IFERROR(VLOOKUP(A32,Pavia!B:I,5,),"-")</f>
        <v>0.66666666666666663</v>
      </c>
      <c r="I32" s="23">
        <f t="shared" si="4"/>
        <v>1.0416666666666665</v>
      </c>
      <c r="J32" s="12">
        <f>IFERROR(VLOOKUP(A32,Pavia!B:I,6,),"-")</f>
        <v>0.66666666666666663</v>
      </c>
      <c r="K32" s="23">
        <f t="shared" si="5"/>
        <v>1.0416666666666665</v>
      </c>
      <c r="L32" s="12" t="str">
        <f>IFERROR(VLOOKUP(A32,Pavia!B:I,7,),"-")</f>
        <v>OFF</v>
      </c>
      <c r="M32" s="23" t="str">
        <f t="shared" si="6"/>
        <v>OFF</v>
      </c>
      <c r="N32" s="12">
        <f>IFERROR(VLOOKUP(A32,Pavia!B:I,8,),"-")</f>
        <v>0.66666666666666663</v>
      </c>
      <c r="O32" s="23">
        <f t="shared" si="7"/>
        <v>1.0416666666666665</v>
      </c>
      <c r="Q32" s="12">
        <f>IFERROR(VLOOKUP(A32,Pavia!B:Y,24,),"-")</f>
        <v>0.58333333333333337</v>
      </c>
      <c r="R32" s="23">
        <f t="shared" si="8"/>
        <v>0.95833333333333337</v>
      </c>
      <c r="T32" s="25">
        <f>IFERROR(VLOOKUP(A32,Pavia!$B:$J,9,),"-")</f>
        <v>0.66666666666666663</v>
      </c>
      <c r="U32" s="23">
        <f t="shared" si="9"/>
        <v>1.0416666666666665</v>
      </c>
      <c r="V32" s="12">
        <f>IFERROR(VLOOKUP(A32,Pavia!B:K,10,),"-")</f>
        <v>0.66666666666666663</v>
      </c>
      <c r="W32" s="23">
        <f t="shared" si="10"/>
        <v>1.0416666666666665</v>
      </c>
      <c r="X32" s="12">
        <f>IFERROR(VLOOKUP(A32,Pavia!B:L,11,),"-")</f>
        <v>0.66666666666666663</v>
      </c>
      <c r="Y32" s="23">
        <f t="shared" si="11"/>
        <v>1.0416666666666665</v>
      </c>
      <c r="Z32" s="12">
        <f>IFERROR(VLOOKUP(A32,Pavia!B:M,12,),"-")</f>
        <v>0.66666666666666663</v>
      </c>
      <c r="AA32" s="23">
        <f t="shared" si="12"/>
        <v>1.0416666666666665</v>
      </c>
      <c r="AB32" s="12" t="str">
        <f>IFERROR(VLOOKUP(A32,Pavia!B:N,13,),"-")</f>
        <v>OFF</v>
      </c>
      <c r="AC32" s="23" t="str">
        <f t="shared" si="13"/>
        <v>OFF</v>
      </c>
      <c r="AD32" s="12" t="str">
        <f>IFERROR(VLOOKUP(A32,Pavia!B:O,14,),"-")</f>
        <v>OFF</v>
      </c>
      <c r="AE32" s="23" t="str">
        <f t="shared" si="14"/>
        <v>OFF</v>
      </c>
      <c r="AF32" s="21">
        <f>IFERROR(VLOOKUP(A32,Pavia!B:P,15,),"-")</f>
        <v>0.66666666666666663</v>
      </c>
      <c r="AG32" s="23">
        <f t="shared" si="15"/>
        <v>1.0416666666666665</v>
      </c>
      <c r="AI32" s="25">
        <f>IFERROR(VLOOKUP(A32,Pavia!$B:$Q,16,),"-")</f>
        <v>0.66666666666666663</v>
      </c>
      <c r="AJ32" s="23">
        <f t="shared" si="16"/>
        <v>1.0416666666666665</v>
      </c>
      <c r="AK32" s="12">
        <f>IFERROR(VLOOKUP(A32,Pavia!B:R,17,),"-")</f>
        <v>0.66666666666666663</v>
      </c>
      <c r="AL32" s="23">
        <f t="shared" si="17"/>
        <v>1.0416666666666665</v>
      </c>
      <c r="AM32" s="12">
        <f>IFERROR(VLOOKUP(A32,Pavia!B:S,18,),"-")</f>
        <v>0.66666666666666663</v>
      </c>
      <c r="AN32" s="23">
        <f t="shared" si="18"/>
        <v>1.0416666666666665</v>
      </c>
      <c r="AO32" s="12">
        <f>IFERROR(VLOOKUP(A32,Pavia!B:T,19,),"-")</f>
        <v>0.66666666666666663</v>
      </c>
      <c r="AP32" s="23">
        <f t="shared" si="19"/>
        <v>1.0416666666666665</v>
      </c>
      <c r="AQ32" s="12" t="str">
        <f>IFERROR(VLOOKUP(A32,Pavia!B:U,20,),"-")</f>
        <v>OFF</v>
      </c>
      <c r="AR32" s="23" t="str">
        <f t="shared" si="20"/>
        <v>OFF</v>
      </c>
      <c r="AS32" s="12" t="str">
        <f>IFERROR(VLOOKUP(A32,Pavia!B:V,21,),"-")</f>
        <v>OFF</v>
      </c>
      <c r="AT32" s="23" t="str">
        <f t="shared" si="21"/>
        <v>OFF</v>
      </c>
      <c r="AU32" s="21">
        <f>IFERROR(VLOOKUP(A32,Pavia!B:W,22,),"-")</f>
        <v>0.66666666666666663</v>
      </c>
      <c r="AV32" s="23">
        <f t="shared" si="22"/>
        <v>1.0416666666666665</v>
      </c>
      <c r="AX32" s="10"/>
    </row>
    <row r="33" spans="1:48" ht="15.75" thickBot="1" x14ac:dyDescent="0.3">
      <c r="A33" s="20" t="str">
        <f>Pavia!B34</f>
        <v>Floriden Aura Guino-o</v>
      </c>
      <c r="B33" s="12">
        <f>IFERROR(VLOOKUP(A33,Pavia!B:I,2,),"-")</f>
        <v>0.5</v>
      </c>
      <c r="C33" s="23">
        <f t="shared" si="1"/>
        <v>0.875</v>
      </c>
      <c r="D33" s="12">
        <f>IFERROR(VLOOKUP(A33,Pavia!B:I,3,),"-")</f>
        <v>0.5</v>
      </c>
      <c r="E33" s="23">
        <f t="shared" si="2"/>
        <v>0.875</v>
      </c>
      <c r="F33" s="12" t="str">
        <f>IFERROR(VLOOKUP(A33,Pavia!B:I,4,),"-")</f>
        <v>OFF</v>
      </c>
      <c r="G33" s="23" t="str">
        <f t="shared" si="3"/>
        <v>OFF</v>
      </c>
      <c r="H33" s="12">
        <f>IFERROR(VLOOKUP(A33,Pavia!B:I,5,),"-")</f>
        <v>0.5</v>
      </c>
      <c r="I33" s="23">
        <f t="shared" si="4"/>
        <v>0.875</v>
      </c>
      <c r="J33" s="12">
        <f>IFERROR(VLOOKUP(A33,Pavia!B:I,6,),"-")</f>
        <v>0.5</v>
      </c>
      <c r="K33" s="23">
        <f t="shared" si="5"/>
        <v>0.875</v>
      </c>
      <c r="L33" s="12" t="str">
        <f>IFERROR(VLOOKUP(A33,Pavia!B:I,7,),"-")</f>
        <v>OFF</v>
      </c>
      <c r="M33" s="23" t="str">
        <f t="shared" si="6"/>
        <v>OFF</v>
      </c>
      <c r="N33" s="12">
        <f>IFERROR(VLOOKUP(A33,Pavia!B:I,8,),"-")</f>
        <v>0.5</v>
      </c>
      <c r="O33" s="23">
        <f t="shared" si="7"/>
        <v>0.875</v>
      </c>
      <c r="Q33" s="12">
        <f>IFERROR(VLOOKUP(A33,Pavia!B:Y,24,),"-")</f>
        <v>0.5</v>
      </c>
      <c r="R33" s="23">
        <f t="shared" si="8"/>
        <v>0.875</v>
      </c>
      <c r="T33" s="25">
        <f>IFERROR(VLOOKUP(A33,Pavia!$B:$J,9,),"-")</f>
        <v>0.5</v>
      </c>
      <c r="U33" s="23">
        <f t="shared" si="9"/>
        <v>0.875</v>
      </c>
      <c r="V33" s="12">
        <f>IFERROR(VLOOKUP(A33,Pavia!B:K,10,),"-")</f>
        <v>0.5</v>
      </c>
      <c r="W33" s="23">
        <f t="shared" si="10"/>
        <v>0.875</v>
      </c>
      <c r="X33" s="12">
        <f>IFERROR(VLOOKUP(A33,Pavia!B:L,11,),"-")</f>
        <v>0.5</v>
      </c>
      <c r="Y33" s="23">
        <f t="shared" si="11"/>
        <v>0.875</v>
      </c>
      <c r="Z33" s="12">
        <f>IFERROR(VLOOKUP(A33,Pavia!B:M,12,),"-")</f>
        <v>0.5</v>
      </c>
      <c r="AA33" s="23">
        <f t="shared" si="12"/>
        <v>0.875</v>
      </c>
      <c r="AB33" s="12" t="str">
        <f>IFERROR(VLOOKUP(A33,Pavia!B:N,13,),"-")</f>
        <v>OFF</v>
      </c>
      <c r="AC33" s="23" t="str">
        <f t="shared" si="13"/>
        <v>OFF</v>
      </c>
      <c r="AD33" s="12" t="str">
        <f>IFERROR(VLOOKUP(A33,Pavia!B:O,14,),"-")</f>
        <v>OFF</v>
      </c>
      <c r="AE33" s="23" t="str">
        <f t="shared" si="14"/>
        <v>OFF</v>
      </c>
      <c r="AF33" s="21">
        <f>IFERROR(VLOOKUP(A33,Pavia!B:P,15,),"-")</f>
        <v>0.5</v>
      </c>
      <c r="AG33" s="23">
        <f t="shared" si="15"/>
        <v>0.875</v>
      </c>
      <c r="AI33" s="25">
        <f>IFERROR(VLOOKUP(A33,Pavia!$B:$Q,16,),"-")</f>
        <v>0.5</v>
      </c>
      <c r="AJ33" s="23">
        <f t="shared" si="16"/>
        <v>0.875</v>
      </c>
      <c r="AK33" s="12">
        <f>IFERROR(VLOOKUP(A33,Pavia!B:R,17,),"-")</f>
        <v>0.5</v>
      </c>
      <c r="AL33" s="23">
        <f t="shared" si="17"/>
        <v>0.875</v>
      </c>
      <c r="AM33" s="12">
        <f>IFERROR(VLOOKUP(A33,Pavia!B:S,18,),"-")</f>
        <v>0.5</v>
      </c>
      <c r="AN33" s="23">
        <f t="shared" si="18"/>
        <v>0.875</v>
      </c>
      <c r="AO33" s="12">
        <f>IFERROR(VLOOKUP(A33,Pavia!B:T,19,),"-")</f>
        <v>0.5</v>
      </c>
      <c r="AP33" s="23">
        <f t="shared" si="19"/>
        <v>0.875</v>
      </c>
      <c r="AQ33" s="12" t="str">
        <f>IFERROR(VLOOKUP(A33,Pavia!B:U,20,),"-")</f>
        <v>OFF</v>
      </c>
      <c r="AR33" s="23" t="str">
        <f t="shared" si="20"/>
        <v>OFF</v>
      </c>
      <c r="AS33" s="12" t="str">
        <f>IFERROR(VLOOKUP(A33,Pavia!B:V,21,),"-")</f>
        <v>OFF</v>
      </c>
      <c r="AT33" s="23" t="str">
        <f t="shared" si="21"/>
        <v>OFF</v>
      </c>
      <c r="AU33" s="21">
        <f>IFERROR(VLOOKUP(A33,Pavia!B:W,22,),"-")</f>
        <v>0.5</v>
      </c>
      <c r="AV33" s="23">
        <f t="shared" si="22"/>
        <v>0.875</v>
      </c>
    </row>
    <row r="34" spans="1:48" ht="15.75" thickBot="1" x14ac:dyDescent="0.3">
      <c r="A34" s="20" t="str">
        <f>Pavia!B35</f>
        <v>Medalyn Sealza</v>
      </c>
      <c r="B34" s="12">
        <f>IFERROR(VLOOKUP(A34,Pavia!B:I,2,),"-")</f>
        <v>0.66666666666666663</v>
      </c>
      <c r="C34" s="23">
        <f t="shared" si="1"/>
        <v>1.0416666666666665</v>
      </c>
      <c r="D34" s="12">
        <f>IFERROR(VLOOKUP(A34,Pavia!B:I,3,),"-")</f>
        <v>0.66666666666666663</v>
      </c>
      <c r="E34" s="23">
        <f t="shared" si="2"/>
        <v>1.0416666666666665</v>
      </c>
      <c r="F34" s="12" t="str">
        <f>IFERROR(VLOOKUP(A34,Pavia!B:I,4,),"-")</f>
        <v>OFF</v>
      </c>
      <c r="G34" s="23" t="str">
        <f t="shared" si="3"/>
        <v>OFF</v>
      </c>
      <c r="H34" s="12">
        <f>IFERROR(VLOOKUP(A34,Pavia!B:I,5,),"-")</f>
        <v>0.66666666666666663</v>
      </c>
      <c r="I34" s="23">
        <f t="shared" si="4"/>
        <v>1.0416666666666665</v>
      </c>
      <c r="J34" s="12">
        <f>IFERROR(VLOOKUP(A34,Pavia!B:I,6,),"-")</f>
        <v>0.66666666666666663</v>
      </c>
      <c r="K34" s="23">
        <f t="shared" si="5"/>
        <v>1.0416666666666665</v>
      </c>
      <c r="L34" s="12" t="str">
        <f>IFERROR(VLOOKUP(A34,Pavia!B:I,7,),"-")</f>
        <v>OFF</v>
      </c>
      <c r="M34" s="23" t="str">
        <f t="shared" si="6"/>
        <v>OFF</v>
      </c>
      <c r="N34" s="12">
        <f>IFERROR(VLOOKUP(A34,Pavia!B:I,8,),"-")</f>
        <v>0.66666666666666663</v>
      </c>
      <c r="O34" s="23">
        <f t="shared" si="7"/>
        <v>1.0416666666666665</v>
      </c>
      <c r="Q34" s="12">
        <f>IFERROR(VLOOKUP(A34,Pavia!B:Y,24,),"-")</f>
        <v>0.58333333333333337</v>
      </c>
      <c r="R34" s="23">
        <f t="shared" si="8"/>
        <v>0.95833333333333337</v>
      </c>
      <c r="T34" s="25">
        <f>IFERROR(VLOOKUP(A34,Pavia!$B:$J,9,),"-")</f>
        <v>0.66666666666666663</v>
      </c>
      <c r="U34" s="23">
        <f t="shared" si="9"/>
        <v>1.0416666666666665</v>
      </c>
      <c r="V34" s="12">
        <f>IFERROR(VLOOKUP(A34,Pavia!B:K,10,),"-")</f>
        <v>0.66666666666666663</v>
      </c>
      <c r="W34" s="23">
        <f t="shared" si="10"/>
        <v>1.0416666666666665</v>
      </c>
      <c r="X34" s="12">
        <f>IFERROR(VLOOKUP(A34,Pavia!B:L,11,),"-")</f>
        <v>0.66666666666666663</v>
      </c>
      <c r="Y34" s="23">
        <f t="shared" si="11"/>
        <v>1.0416666666666665</v>
      </c>
      <c r="Z34" s="12">
        <f>IFERROR(VLOOKUP(A34,Pavia!B:M,12,),"-")</f>
        <v>0.66666666666666663</v>
      </c>
      <c r="AA34" s="23">
        <f t="shared" si="12"/>
        <v>1.0416666666666665</v>
      </c>
      <c r="AB34" s="12" t="str">
        <f>IFERROR(VLOOKUP(A34,Pavia!B:N,13,),"-")</f>
        <v>OFF</v>
      </c>
      <c r="AC34" s="23" t="str">
        <f t="shared" si="13"/>
        <v>OFF</v>
      </c>
      <c r="AD34" s="12" t="str">
        <f>IFERROR(VLOOKUP(A34,Pavia!B:O,14,),"-")</f>
        <v>OFF</v>
      </c>
      <c r="AE34" s="23" t="str">
        <f t="shared" si="14"/>
        <v>OFF</v>
      </c>
      <c r="AF34" s="21">
        <f>IFERROR(VLOOKUP(A34,Pavia!B:P,15,),"-")</f>
        <v>0.66666666666666663</v>
      </c>
      <c r="AG34" s="23">
        <f t="shared" si="15"/>
        <v>1.0416666666666665</v>
      </c>
      <c r="AI34" s="25">
        <f>IFERROR(VLOOKUP(A34,Pavia!$B:$Q,16,),"-")</f>
        <v>0.66666666666666663</v>
      </c>
      <c r="AJ34" s="23">
        <f t="shared" si="16"/>
        <v>1.0416666666666665</v>
      </c>
      <c r="AK34" s="12">
        <f>IFERROR(VLOOKUP(A34,Pavia!B:R,17,),"-")</f>
        <v>0.66666666666666663</v>
      </c>
      <c r="AL34" s="23">
        <f t="shared" si="17"/>
        <v>1.0416666666666665</v>
      </c>
      <c r="AM34" s="12">
        <f>IFERROR(VLOOKUP(A34,Pavia!B:S,18,),"-")</f>
        <v>0.66666666666666663</v>
      </c>
      <c r="AN34" s="23">
        <f t="shared" si="18"/>
        <v>1.0416666666666665</v>
      </c>
      <c r="AO34" s="12">
        <f>IFERROR(VLOOKUP(A34,Pavia!B:T,19,),"-")</f>
        <v>0.66666666666666663</v>
      </c>
      <c r="AP34" s="23">
        <f t="shared" si="19"/>
        <v>1.0416666666666665</v>
      </c>
      <c r="AQ34" s="12" t="str">
        <f>IFERROR(VLOOKUP(A34,Pavia!B:U,20,),"-")</f>
        <v>OFF</v>
      </c>
      <c r="AR34" s="23" t="str">
        <f t="shared" si="20"/>
        <v>OFF</v>
      </c>
      <c r="AS34" s="12" t="str">
        <f>IFERROR(VLOOKUP(A34,Pavia!B:V,21,),"-")</f>
        <v>OFF</v>
      </c>
      <c r="AT34" s="23" t="str">
        <f t="shared" si="21"/>
        <v>OFF</v>
      </c>
      <c r="AU34" s="21">
        <f>IFERROR(VLOOKUP(A34,Pavia!B:W,22,),"-")</f>
        <v>0.66666666666666663</v>
      </c>
      <c r="AV34" s="23">
        <f t="shared" si="22"/>
        <v>1.0416666666666665</v>
      </c>
    </row>
    <row r="35" spans="1:48" ht="15.75" thickBot="1" x14ac:dyDescent="0.3">
      <c r="A35" s="20" t="str">
        <f>Pavia!B36</f>
        <v>April Grace Arrubio</v>
      </c>
      <c r="B35" s="12">
        <f>IFERROR(VLOOKUP(A35,Pavia!B:I,2,),"-")</f>
        <v>0.66666666666666663</v>
      </c>
      <c r="C35" s="23">
        <f t="shared" si="1"/>
        <v>1.0416666666666665</v>
      </c>
      <c r="D35" s="12">
        <f>IFERROR(VLOOKUP(A35,Pavia!B:I,3,),"-")</f>
        <v>0.66666666666666663</v>
      </c>
      <c r="E35" s="23">
        <f t="shared" si="2"/>
        <v>1.0416666666666665</v>
      </c>
      <c r="F35" s="12" t="str">
        <f>IFERROR(VLOOKUP(A35,Pavia!B:I,4,),"-")</f>
        <v>OFF</v>
      </c>
      <c r="G35" s="23" t="str">
        <f t="shared" si="3"/>
        <v>OFF</v>
      </c>
      <c r="H35" s="12">
        <f>IFERROR(VLOOKUP(A35,Pavia!B:I,5,),"-")</f>
        <v>0.66666666666666663</v>
      </c>
      <c r="I35" s="23">
        <f t="shared" si="4"/>
        <v>1.0416666666666665</v>
      </c>
      <c r="J35" s="12">
        <f>IFERROR(VLOOKUP(A35,Pavia!B:I,6,),"-")</f>
        <v>0.66666666666666663</v>
      </c>
      <c r="K35" s="23">
        <f t="shared" si="5"/>
        <v>1.0416666666666665</v>
      </c>
      <c r="L35" s="12" t="str">
        <f>IFERROR(VLOOKUP(A35,Pavia!B:I,7,),"-")</f>
        <v>OFF</v>
      </c>
      <c r="M35" s="23" t="str">
        <f t="shared" si="6"/>
        <v>OFF</v>
      </c>
      <c r="N35" s="12">
        <f>IFERROR(VLOOKUP(A35,Pavia!B:I,8,),"-")</f>
        <v>0.66666666666666663</v>
      </c>
      <c r="O35" s="23">
        <f t="shared" si="7"/>
        <v>1.0416666666666665</v>
      </c>
      <c r="Q35" s="12">
        <f>IFERROR(VLOOKUP(A35,Pavia!B:Y,24,),"-")</f>
        <v>0.58333333333333337</v>
      </c>
      <c r="R35" s="23">
        <f t="shared" si="8"/>
        <v>0.95833333333333337</v>
      </c>
      <c r="T35" s="25">
        <f>IFERROR(VLOOKUP(A35,Pavia!$B:$J,9,),"-")</f>
        <v>0.66666666666666663</v>
      </c>
      <c r="U35" s="23">
        <f t="shared" si="9"/>
        <v>1.0416666666666665</v>
      </c>
      <c r="V35" s="12">
        <f>IFERROR(VLOOKUP(A35,Pavia!B:K,10,),"-")</f>
        <v>0.66666666666666663</v>
      </c>
      <c r="W35" s="23">
        <f t="shared" si="10"/>
        <v>1.0416666666666665</v>
      </c>
      <c r="X35" s="12">
        <f>IFERROR(VLOOKUP(A35,Pavia!B:L,11,),"-")</f>
        <v>0.66666666666666663</v>
      </c>
      <c r="Y35" s="23">
        <f t="shared" si="11"/>
        <v>1.0416666666666665</v>
      </c>
      <c r="Z35" s="12">
        <f>IFERROR(VLOOKUP(A35,Pavia!B:M,12,),"-")</f>
        <v>0.66666666666666663</v>
      </c>
      <c r="AA35" s="23">
        <f t="shared" si="12"/>
        <v>1.0416666666666665</v>
      </c>
      <c r="AB35" s="12" t="str">
        <f>IFERROR(VLOOKUP(A35,Pavia!B:N,13,),"-")</f>
        <v>OFF</v>
      </c>
      <c r="AC35" s="23" t="str">
        <f t="shared" si="13"/>
        <v>OFF</v>
      </c>
      <c r="AD35" s="12" t="str">
        <f>IFERROR(VLOOKUP(A35,Pavia!B:O,14,),"-")</f>
        <v>OFF</v>
      </c>
      <c r="AE35" s="23" t="str">
        <f t="shared" si="14"/>
        <v>OFF</v>
      </c>
      <c r="AF35" s="21">
        <f>IFERROR(VLOOKUP(A35,Pavia!B:P,15,),"-")</f>
        <v>0.66666666666666663</v>
      </c>
      <c r="AG35" s="23">
        <f t="shared" si="15"/>
        <v>1.0416666666666665</v>
      </c>
      <c r="AI35" s="25">
        <f>IFERROR(VLOOKUP(A35,Pavia!$B:$Q,16,),"-")</f>
        <v>0.66666666666666663</v>
      </c>
      <c r="AJ35" s="23">
        <f t="shared" si="16"/>
        <v>1.0416666666666665</v>
      </c>
      <c r="AK35" s="12">
        <f>IFERROR(VLOOKUP(A35,Pavia!B:R,17,),"-")</f>
        <v>0.66666666666666663</v>
      </c>
      <c r="AL35" s="23">
        <f t="shared" si="17"/>
        <v>1.0416666666666665</v>
      </c>
      <c r="AM35" s="12">
        <f>IFERROR(VLOOKUP(A35,Pavia!B:S,18,),"-")</f>
        <v>0.66666666666666663</v>
      </c>
      <c r="AN35" s="23">
        <f t="shared" si="18"/>
        <v>1.0416666666666665</v>
      </c>
      <c r="AO35" s="12">
        <f>IFERROR(VLOOKUP(A35,Pavia!B:T,19,),"-")</f>
        <v>0.66666666666666663</v>
      </c>
      <c r="AP35" s="23">
        <f t="shared" si="19"/>
        <v>1.0416666666666665</v>
      </c>
      <c r="AQ35" s="12" t="str">
        <f>IFERROR(VLOOKUP(A35,Pavia!B:U,20,),"-")</f>
        <v>OFF</v>
      </c>
      <c r="AR35" s="23" t="str">
        <f t="shared" si="20"/>
        <v>OFF</v>
      </c>
      <c r="AS35" s="12" t="str">
        <f>IFERROR(VLOOKUP(A35,Pavia!B:V,21,),"-")</f>
        <v>OFF</v>
      </c>
      <c r="AT35" s="23" t="str">
        <f t="shared" si="21"/>
        <v>OFF</v>
      </c>
      <c r="AU35" s="21">
        <f>IFERROR(VLOOKUP(A35,Pavia!B:W,22,),"-")</f>
        <v>0.66666666666666663</v>
      </c>
      <c r="AV35" s="23">
        <f t="shared" si="22"/>
        <v>1.0416666666666665</v>
      </c>
    </row>
    <row r="36" spans="1:48" customFormat="1" ht="15.75" thickBot="1" x14ac:dyDescent="0.3">
      <c r="A36" s="20" t="str">
        <f>Pavia!B37</f>
        <v>Amando Cadigal</v>
      </c>
      <c r="B36" s="12">
        <f>IFERROR(VLOOKUP(A36,Pavia!B:I,2,),"-")</f>
        <v>0.5</v>
      </c>
      <c r="C36" s="23">
        <f t="shared" si="1"/>
        <v>0.875</v>
      </c>
      <c r="D36" s="12">
        <f>IFERROR(VLOOKUP(A36,Pavia!B:I,3,),"-")</f>
        <v>0.5</v>
      </c>
      <c r="E36" s="23">
        <f t="shared" si="2"/>
        <v>0.875</v>
      </c>
      <c r="F36" s="12" t="str">
        <f>IFERROR(VLOOKUP(A36,Pavia!B:I,4,),"-")</f>
        <v>OFF</v>
      </c>
      <c r="G36" s="23" t="str">
        <f t="shared" si="3"/>
        <v>OFF</v>
      </c>
      <c r="H36" s="12">
        <f>IFERROR(VLOOKUP(A36,Pavia!B:I,5,),"-")</f>
        <v>0.5</v>
      </c>
      <c r="I36" s="23">
        <f t="shared" si="4"/>
        <v>0.875</v>
      </c>
      <c r="J36" s="12">
        <f>IFERROR(VLOOKUP(A36,Pavia!B:I,6,),"-")</f>
        <v>0.5</v>
      </c>
      <c r="K36" s="23">
        <f t="shared" si="5"/>
        <v>0.875</v>
      </c>
      <c r="L36" s="12" t="str">
        <f>IFERROR(VLOOKUP(A36,Pavia!B:I,7,),"-")</f>
        <v>OFF</v>
      </c>
      <c r="M36" s="23" t="str">
        <f t="shared" si="6"/>
        <v>OFF</v>
      </c>
      <c r="N36" s="12">
        <f>IFERROR(VLOOKUP(A36,Pavia!B:I,8,),"-")</f>
        <v>0.5</v>
      </c>
      <c r="O36" s="23">
        <f t="shared" si="7"/>
        <v>0.875</v>
      </c>
      <c r="Q36" s="12">
        <f>IFERROR(VLOOKUP(A36,Pavia!B:Y,24,),"-")</f>
        <v>0.5</v>
      </c>
      <c r="R36" s="23">
        <f t="shared" si="8"/>
        <v>0.875</v>
      </c>
      <c r="T36" s="25">
        <f>IFERROR(VLOOKUP(A36,Pavia!$B:$J,9,),"-")</f>
        <v>0.5</v>
      </c>
      <c r="U36" s="23">
        <f t="shared" si="9"/>
        <v>0.875</v>
      </c>
      <c r="V36" s="12">
        <f>IFERROR(VLOOKUP(A36,Pavia!B:K,10,),"-")</f>
        <v>0.5</v>
      </c>
      <c r="W36" s="23">
        <f t="shared" si="10"/>
        <v>0.875</v>
      </c>
      <c r="X36" s="12">
        <f>IFERROR(VLOOKUP(A36,Pavia!B:L,11,),"-")</f>
        <v>0.5</v>
      </c>
      <c r="Y36" s="23">
        <f t="shared" si="11"/>
        <v>0.875</v>
      </c>
      <c r="Z36" s="12">
        <f>IFERROR(VLOOKUP(A36,Pavia!B:M,12,),"-")</f>
        <v>0.5</v>
      </c>
      <c r="AA36" s="23">
        <f t="shared" si="12"/>
        <v>0.875</v>
      </c>
      <c r="AB36" s="12" t="str">
        <f>IFERROR(VLOOKUP(A36,Pavia!B:N,13,),"-")</f>
        <v>OFF</v>
      </c>
      <c r="AC36" s="23" t="str">
        <f t="shared" si="13"/>
        <v>OFF</v>
      </c>
      <c r="AD36" s="12" t="str">
        <f>IFERROR(VLOOKUP(A36,Pavia!B:O,14,),"-")</f>
        <v>OFF</v>
      </c>
      <c r="AE36" s="23" t="str">
        <f t="shared" si="14"/>
        <v>OFF</v>
      </c>
      <c r="AF36" s="21">
        <f>IFERROR(VLOOKUP(A36,Pavia!B:P,15,),"-")</f>
        <v>0.5</v>
      </c>
      <c r="AG36" s="23">
        <f t="shared" si="15"/>
        <v>0.875</v>
      </c>
      <c r="AI36" s="25">
        <f>IFERROR(VLOOKUP(A36,Pavia!$B:$Q,16,),"-")</f>
        <v>0.5</v>
      </c>
      <c r="AJ36" s="23">
        <f t="shared" si="16"/>
        <v>0.875</v>
      </c>
      <c r="AK36" s="12">
        <f>IFERROR(VLOOKUP(A36,Pavia!B:R,17,),"-")</f>
        <v>0.5</v>
      </c>
      <c r="AL36" s="23">
        <f t="shared" si="17"/>
        <v>0.875</v>
      </c>
      <c r="AM36" s="12">
        <f>IFERROR(VLOOKUP(A36,Pavia!B:S,18,),"-")</f>
        <v>0.5</v>
      </c>
      <c r="AN36" s="23">
        <f t="shared" si="18"/>
        <v>0.875</v>
      </c>
      <c r="AO36" s="12">
        <f>IFERROR(VLOOKUP(A36,Pavia!B:T,19,),"-")</f>
        <v>0.5</v>
      </c>
      <c r="AP36" s="23">
        <f t="shared" si="19"/>
        <v>0.875</v>
      </c>
      <c r="AQ36" s="12" t="str">
        <f>IFERROR(VLOOKUP(A36,Pavia!B:U,20,),"-")</f>
        <v>OFF</v>
      </c>
      <c r="AR36" s="23" t="str">
        <f t="shared" si="20"/>
        <v>OFF</v>
      </c>
      <c r="AS36" s="12" t="str">
        <f>IFERROR(VLOOKUP(A36,Pavia!B:V,21,),"-")</f>
        <v>OFF</v>
      </c>
      <c r="AT36" s="23" t="str">
        <f t="shared" si="21"/>
        <v>OFF</v>
      </c>
      <c r="AU36" s="21">
        <f>IFERROR(VLOOKUP(A36,Pavia!B:W,22,),"-")</f>
        <v>0.5</v>
      </c>
      <c r="AV36" s="23">
        <f t="shared" si="22"/>
        <v>0.875</v>
      </c>
    </row>
    <row r="37" spans="1:48" ht="15.75" thickBot="1" x14ac:dyDescent="0.3">
      <c r="A37" s="20" t="str">
        <f>Pavia!B38</f>
        <v>Winlord Christian Del Oeste</v>
      </c>
      <c r="B37" s="12">
        <f>IFERROR(VLOOKUP(A37,Pavia!B:I,2,),"-")</f>
        <v>0.66666666666666663</v>
      </c>
      <c r="C37" s="23">
        <f t="shared" si="1"/>
        <v>1.0416666666666665</v>
      </c>
      <c r="D37" s="12">
        <f>IFERROR(VLOOKUP(A37,Pavia!B:I,3,),"-")</f>
        <v>0.66666666666666663</v>
      </c>
      <c r="E37" s="23">
        <f t="shared" si="2"/>
        <v>1.0416666666666665</v>
      </c>
      <c r="F37" s="12" t="str">
        <f>IFERROR(VLOOKUP(A37,Pavia!B:I,4,),"-")</f>
        <v>OFF</v>
      </c>
      <c r="G37" s="23" t="str">
        <f t="shared" si="3"/>
        <v>OFF</v>
      </c>
      <c r="H37" s="12">
        <f>IFERROR(VLOOKUP(A37,Pavia!B:I,5,),"-")</f>
        <v>0.66666666666666663</v>
      </c>
      <c r="I37" s="23">
        <f t="shared" si="4"/>
        <v>1.0416666666666665</v>
      </c>
      <c r="J37" s="12">
        <f>IFERROR(VLOOKUP(A37,Pavia!B:I,6,),"-")</f>
        <v>0.66666666666666663</v>
      </c>
      <c r="K37" s="23">
        <f t="shared" si="5"/>
        <v>1.0416666666666665</v>
      </c>
      <c r="L37" s="12" t="str">
        <f>IFERROR(VLOOKUP(A37,Pavia!B:I,7,),"-")</f>
        <v>OFF</v>
      </c>
      <c r="M37" s="23" t="str">
        <f t="shared" si="6"/>
        <v>OFF</v>
      </c>
      <c r="N37" s="12">
        <f>IFERROR(VLOOKUP(A37,Pavia!B:I,8,),"-")</f>
        <v>0.66666666666666663</v>
      </c>
      <c r="O37" s="23">
        <f t="shared" si="7"/>
        <v>1.0416666666666665</v>
      </c>
      <c r="Q37" s="12">
        <f>IFERROR(VLOOKUP(A37,Pavia!B:Y,24,),"-")</f>
        <v>0.58333333333333337</v>
      </c>
      <c r="R37" s="23">
        <f t="shared" si="8"/>
        <v>0.95833333333333337</v>
      </c>
      <c r="T37" s="25">
        <f>IFERROR(VLOOKUP(A37,Pavia!$B:$J,9,),"-")</f>
        <v>0.66666666666666663</v>
      </c>
      <c r="U37" s="23">
        <f t="shared" si="9"/>
        <v>1.0416666666666665</v>
      </c>
      <c r="V37" s="12">
        <f>IFERROR(VLOOKUP(A37,Pavia!B:K,10,),"-")</f>
        <v>0.66666666666666663</v>
      </c>
      <c r="W37" s="23">
        <f t="shared" si="10"/>
        <v>1.0416666666666665</v>
      </c>
      <c r="X37" s="12">
        <f>IFERROR(VLOOKUP(A37,Pavia!B:L,11,),"-")</f>
        <v>0.66666666666666663</v>
      </c>
      <c r="Y37" s="23">
        <f t="shared" si="11"/>
        <v>1.0416666666666665</v>
      </c>
      <c r="Z37" s="12">
        <f>IFERROR(VLOOKUP(A37,Pavia!B:M,12,),"-")</f>
        <v>0.66666666666666663</v>
      </c>
      <c r="AA37" s="23">
        <f t="shared" si="12"/>
        <v>1.0416666666666665</v>
      </c>
      <c r="AB37" s="12" t="str">
        <f>IFERROR(VLOOKUP(A37,Pavia!B:N,13,),"-")</f>
        <v>OFF</v>
      </c>
      <c r="AC37" s="23" t="str">
        <f t="shared" si="13"/>
        <v>OFF</v>
      </c>
      <c r="AD37" s="12" t="str">
        <f>IFERROR(VLOOKUP(A37,Pavia!B:O,14,),"-")</f>
        <v>OFF</v>
      </c>
      <c r="AE37" s="23" t="str">
        <f t="shared" si="14"/>
        <v>OFF</v>
      </c>
      <c r="AF37" s="21">
        <f>IFERROR(VLOOKUP(A37,Pavia!B:P,15,),"-")</f>
        <v>0.66666666666666663</v>
      </c>
      <c r="AG37" s="23">
        <f t="shared" si="15"/>
        <v>1.0416666666666665</v>
      </c>
      <c r="AI37" s="25">
        <f>IFERROR(VLOOKUP(A37,Pavia!$B:$Q,16,),"-")</f>
        <v>0.66666666666666663</v>
      </c>
      <c r="AJ37" s="23">
        <f t="shared" si="16"/>
        <v>1.0416666666666665</v>
      </c>
      <c r="AK37" s="12">
        <f>IFERROR(VLOOKUP(A37,Pavia!B:R,17,),"-")</f>
        <v>0.66666666666666663</v>
      </c>
      <c r="AL37" s="23">
        <f t="shared" si="17"/>
        <v>1.0416666666666665</v>
      </c>
      <c r="AM37" s="12">
        <f>IFERROR(VLOOKUP(A37,Pavia!B:S,18,),"-")</f>
        <v>0.66666666666666663</v>
      </c>
      <c r="AN37" s="23">
        <f t="shared" si="18"/>
        <v>1.0416666666666665</v>
      </c>
      <c r="AO37" s="12">
        <f>IFERROR(VLOOKUP(A37,Pavia!B:T,19,),"-")</f>
        <v>0.66666666666666663</v>
      </c>
      <c r="AP37" s="23">
        <f t="shared" si="19"/>
        <v>1.0416666666666665</v>
      </c>
      <c r="AQ37" s="12" t="str">
        <f>IFERROR(VLOOKUP(A37,Pavia!B:U,20,),"-")</f>
        <v>OFF</v>
      </c>
      <c r="AR37" s="23" t="str">
        <f t="shared" si="20"/>
        <v>OFF</v>
      </c>
      <c r="AS37" s="12" t="str">
        <f>IFERROR(VLOOKUP(A37,Pavia!B:V,21,),"-")</f>
        <v>OFF</v>
      </c>
      <c r="AT37" s="23" t="str">
        <f t="shared" si="21"/>
        <v>OFF</v>
      </c>
      <c r="AU37" s="21">
        <f>IFERROR(VLOOKUP(A37,Pavia!B:W,22,),"-")</f>
        <v>0.66666666666666663</v>
      </c>
      <c r="AV37" s="23">
        <f t="shared" si="22"/>
        <v>1.0416666666666665</v>
      </c>
    </row>
    <row r="38" spans="1:48" ht="15.75" thickBot="1" x14ac:dyDescent="0.3">
      <c r="A38" s="20" t="str">
        <f>Pavia!B39</f>
        <v xml:space="preserve">Chzarl Mae  Distajo </v>
      </c>
      <c r="B38" s="12">
        <f>IFERROR(VLOOKUP(A38,Pavia!B:I,2,),"-")</f>
        <v>0.66666666666666663</v>
      </c>
      <c r="C38" s="23">
        <f t="shared" si="1"/>
        <v>1.0416666666666665</v>
      </c>
      <c r="D38" s="12">
        <f>IFERROR(VLOOKUP(A38,Pavia!B:I,3,),"-")</f>
        <v>0.66666666666666663</v>
      </c>
      <c r="E38" s="23">
        <f t="shared" si="2"/>
        <v>1.0416666666666665</v>
      </c>
      <c r="F38" s="12" t="str">
        <f>IFERROR(VLOOKUP(A38,Pavia!B:I,4,),"-")</f>
        <v>OFF</v>
      </c>
      <c r="G38" s="23" t="str">
        <f t="shared" si="3"/>
        <v>OFF</v>
      </c>
      <c r="H38" s="12">
        <f>IFERROR(VLOOKUP(A38,Pavia!B:I,5,),"-")</f>
        <v>0.66666666666666663</v>
      </c>
      <c r="I38" s="23">
        <f t="shared" si="4"/>
        <v>1.0416666666666665</v>
      </c>
      <c r="J38" s="12">
        <f>IFERROR(VLOOKUP(A38,Pavia!B:I,6,),"-")</f>
        <v>0.66666666666666663</v>
      </c>
      <c r="K38" s="23">
        <f t="shared" si="5"/>
        <v>1.0416666666666665</v>
      </c>
      <c r="L38" s="12" t="str">
        <f>IFERROR(VLOOKUP(A38,Pavia!B:I,7,),"-")</f>
        <v>OFF</v>
      </c>
      <c r="M38" s="23" t="str">
        <f t="shared" si="6"/>
        <v>OFF</v>
      </c>
      <c r="N38" s="12">
        <f>IFERROR(VLOOKUP(A38,Pavia!B:I,8,),"-")</f>
        <v>0.66666666666666663</v>
      </c>
      <c r="O38" s="23">
        <f t="shared" si="7"/>
        <v>1.0416666666666665</v>
      </c>
      <c r="Q38" s="12">
        <f>IFERROR(VLOOKUP(A38,Pavia!B:Y,24,),"-")</f>
        <v>0.58333333333333337</v>
      </c>
      <c r="R38" s="23">
        <f t="shared" si="8"/>
        <v>0.95833333333333337</v>
      </c>
      <c r="T38" s="25">
        <f>IFERROR(VLOOKUP(A38,Pavia!$B:$J,9,),"-")</f>
        <v>0.66666666666666663</v>
      </c>
      <c r="U38" s="23">
        <f t="shared" si="9"/>
        <v>1.0416666666666665</v>
      </c>
      <c r="V38" s="12">
        <f>IFERROR(VLOOKUP(A38,Pavia!B:K,10,),"-")</f>
        <v>0.66666666666666663</v>
      </c>
      <c r="W38" s="23">
        <f t="shared" si="10"/>
        <v>1.0416666666666665</v>
      </c>
      <c r="X38" s="12">
        <f>IFERROR(VLOOKUP(A38,Pavia!B:L,11,),"-")</f>
        <v>0.66666666666666663</v>
      </c>
      <c r="Y38" s="23">
        <f t="shared" si="11"/>
        <v>1.0416666666666665</v>
      </c>
      <c r="Z38" s="12">
        <f>IFERROR(VLOOKUP(A38,Pavia!B:M,12,),"-")</f>
        <v>0.66666666666666663</v>
      </c>
      <c r="AA38" s="23">
        <f t="shared" si="12"/>
        <v>1.0416666666666665</v>
      </c>
      <c r="AB38" s="12" t="str">
        <f>IFERROR(VLOOKUP(A38,Pavia!B:N,13,),"-")</f>
        <v>OFF</v>
      </c>
      <c r="AC38" s="23" t="str">
        <f t="shared" si="13"/>
        <v>OFF</v>
      </c>
      <c r="AD38" s="12" t="str">
        <f>IFERROR(VLOOKUP(A38,Pavia!B:O,14,),"-")</f>
        <v>OFF</v>
      </c>
      <c r="AE38" s="23" t="str">
        <f t="shared" si="14"/>
        <v>OFF</v>
      </c>
      <c r="AF38" s="21">
        <f>IFERROR(VLOOKUP(A38,Pavia!B:P,15,),"-")</f>
        <v>0.66666666666666663</v>
      </c>
      <c r="AG38" s="23">
        <f t="shared" si="15"/>
        <v>1.0416666666666665</v>
      </c>
      <c r="AI38" s="25">
        <f>IFERROR(VLOOKUP(A38,Pavia!$B:$Q,16,),"-")</f>
        <v>0.66666666666666663</v>
      </c>
      <c r="AJ38" s="23">
        <f t="shared" si="16"/>
        <v>1.0416666666666665</v>
      </c>
      <c r="AK38" s="12">
        <f>IFERROR(VLOOKUP(A38,Pavia!B:R,17,),"-")</f>
        <v>0.66666666666666663</v>
      </c>
      <c r="AL38" s="23">
        <f t="shared" si="17"/>
        <v>1.0416666666666665</v>
      </c>
      <c r="AM38" s="12">
        <f>IFERROR(VLOOKUP(A38,Pavia!B:S,18,),"-")</f>
        <v>0.66666666666666663</v>
      </c>
      <c r="AN38" s="23">
        <f t="shared" si="18"/>
        <v>1.0416666666666665</v>
      </c>
      <c r="AO38" s="12">
        <f>IFERROR(VLOOKUP(A38,Pavia!B:T,19,),"-")</f>
        <v>0.66666666666666663</v>
      </c>
      <c r="AP38" s="23">
        <f t="shared" si="19"/>
        <v>1.0416666666666665</v>
      </c>
      <c r="AQ38" s="12" t="str">
        <f>IFERROR(VLOOKUP(A38,Pavia!B:U,20,),"-")</f>
        <v>OFF</v>
      </c>
      <c r="AR38" s="23" t="str">
        <f t="shared" si="20"/>
        <v>OFF</v>
      </c>
      <c r="AS38" s="12" t="str">
        <f>IFERROR(VLOOKUP(A38,Pavia!B:V,21,),"-")</f>
        <v>OFF</v>
      </c>
      <c r="AT38" s="23" t="str">
        <f t="shared" si="21"/>
        <v>OFF</v>
      </c>
      <c r="AU38" s="21">
        <f>IFERROR(VLOOKUP(A38,Pavia!B:W,22,),"-")</f>
        <v>0.66666666666666663</v>
      </c>
      <c r="AV38" s="23">
        <f t="shared" si="22"/>
        <v>1.0416666666666665</v>
      </c>
    </row>
    <row r="39" spans="1:48" ht="15.75" thickBot="1" x14ac:dyDescent="0.3">
      <c r="A39" s="20" t="str">
        <f>Pavia!B40</f>
        <v>Joanne Magampo</v>
      </c>
      <c r="B39" s="12">
        <f>IFERROR(VLOOKUP(A39,Pavia!B:I,2,),"-")</f>
        <v>0.58333333333333337</v>
      </c>
      <c r="C39" s="23">
        <f t="shared" si="1"/>
        <v>0.95833333333333337</v>
      </c>
      <c r="D39" s="12">
        <f>IFERROR(VLOOKUP(A39,Pavia!B:I,3,),"-")</f>
        <v>0.58333333333333337</v>
      </c>
      <c r="E39" s="23">
        <f t="shared" si="2"/>
        <v>0.95833333333333337</v>
      </c>
      <c r="F39" s="12">
        <f>IFERROR(VLOOKUP(A39,Pavia!B:I,4,),"-")</f>
        <v>0.58333333333333337</v>
      </c>
      <c r="G39" s="23">
        <f t="shared" si="3"/>
        <v>0.95833333333333337</v>
      </c>
      <c r="H39" s="12">
        <f>IFERROR(VLOOKUP(A39,Pavia!B:I,5,),"-")</f>
        <v>0.58333333333333337</v>
      </c>
      <c r="I39" s="23">
        <f t="shared" si="4"/>
        <v>0.95833333333333337</v>
      </c>
      <c r="J39" s="12">
        <f>IFERROR(VLOOKUP(A39,Pavia!B:I,6,),"-")</f>
        <v>0.58333333333333337</v>
      </c>
      <c r="K39" s="23">
        <f t="shared" si="5"/>
        <v>0.95833333333333337</v>
      </c>
      <c r="L39" s="12" t="str">
        <f>IFERROR(VLOOKUP(A39,Pavia!B:I,7,),"-")</f>
        <v>OFF</v>
      </c>
      <c r="M39" s="23" t="str">
        <f t="shared" si="6"/>
        <v>OFF</v>
      </c>
      <c r="N39" s="12" t="str">
        <f>IFERROR(VLOOKUP(A39,Pavia!B:I,8,),"-")</f>
        <v>OFF</v>
      </c>
      <c r="O39" s="23" t="str">
        <f t="shared" si="7"/>
        <v>OFF</v>
      </c>
      <c r="Q39" s="12" t="str">
        <f>IFERROR(VLOOKUP(A39,Pavia!B:Y,24,),"-")</f>
        <v>OFF</v>
      </c>
      <c r="R39" s="23" t="str">
        <f t="shared" si="8"/>
        <v>OFF</v>
      </c>
      <c r="T39" s="25">
        <f>IFERROR(VLOOKUP(A39,Pavia!$B:$J,9,),"-")</f>
        <v>0.58333333333333337</v>
      </c>
      <c r="U39" s="23">
        <f t="shared" si="9"/>
        <v>0.95833333333333337</v>
      </c>
      <c r="V39" s="12">
        <f>IFERROR(VLOOKUP(A39,Pavia!B:K,10,),"-")</f>
        <v>0.58333333333333337</v>
      </c>
      <c r="W39" s="23">
        <f t="shared" si="10"/>
        <v>0.95833333333333337</v>
      </c>
      <c r="X39" s="12">
        <f>IFERROR(VLOOKUP(A39,Pavia!B:L,11,),"-")</f>
        <v>0.58333333333333337</v>
      </c>
      <c r="Y39" s="23">
        <f t="shared" si="11"/>
        <v>0.95833333333333337</v>
      </c>
      <c r="Z39" s="12">
        <f>IFERROR(VLOOKUP(A39,Pavia!B:M,12,),"-")</f>
        <v>0.58333333333333337</v>
      </c>
      <c r="AA39" s="23">
        <f t="shared" si="12"/>
        <v>0.95833333333333337</v>
      </c>
      <c r="AB39" s="12">
        <f>IFERROR(VLOOKUP(A39,Pavia!B:N,13,),"-")</f>
        <v>0.58333333333333337</v>
      </c>
      <c r="AC39" s="23">
        <f t="shared" si="13"/>
        <v>0.95833333333333337</v>
      </c>
      <c r="AD39" s="12" t="str">
        <f>IFERROR(VLOOKUP(A39,Pavia!B:O,14,),"-")</f>
        <v>OFF</v>
      </c>
      <c r="AE39" s="23" t="str">
        <f t="shared" si="14"/>
        <v>OFF</v>
      </c>
      <c r="AF39" s="21" t="str">
        <f>IFERROR(VLOOKUP(A39,Pavia!B:P,15,),"-")</f>
        <v>OFF</v>
      </c>
      <c r="AG39" s="23" t="str">
        <f t="shared" si="15"/>
        <v>OFF</v>
      </c>
      <c r="AI39" s="25">
        <f>IFERROR(VLOOKUP(A39,Pavia!$B:$Q,16,),"-")</f>
        <v>0.58333333333333337</v>
      </c>
      <c r="AJ39" s="23">
        <f t="shared" si="16"/>
        <v>0.95833333333333337</v>
      </c>
      <c r="AK39" s="12">
        <f>IFERROR(VLOOKUP(A39,Pavia!B:R,17,),"-")</f>
        <v>0.58333333333333337</v>
      </c>
      <c r="AL39" s="23">
        <f t="shared" si="17"/>
        <v>0.95833333333333337</v>
      </c>
      <c r="AM39" s="12">
        <f>IFERROR(VLOOKUP(A39,Pavia!B:S,18,),"-")</f>
        <v>0.58333333333333337</v>
      </c>
      <c r="AN39" s="23">
        <f t="shared" si="18"/>
        <v>0.95833333333333337</v>
      </c>
      <c r="AO39" s="12">
        <f>IFERROR(VLOOKUP(A39,Pavia!B:T,19,),"-")</f>
        <v>0.58333333333333337</v>
      </c>
      <c r="AP39" s="23">
        <f t="shared" si="19"/>
        <v>0.95833333333333337</v>
      </c>
      <c r="AQ39" s="12">
        <f>IFERROR(VLOOKUP(A39,Pavia!B:U,20,),"-")</f>
        <v>0.58333333333333337</v>
      </c>
      <c r="AR39" s="23">
        <f t="shared" si="20"/>
        <v>0.95833333333333337</v>
      </c>
      <c r="AS39" s="12" t="str">
        <f>IFERROR(VLOOKUP(A39,Pavia!B:V,21,),"-")</f>
        <v>OFF</v>
      </c>
      <c r="AT39" s="23" t="str">
        <f t="shared" si="21"/>
        <v>OFF</v>
      </c>
      <c r="AU39" s="21" t="str">
        <f>IFERROR(VLOOKUP(A39,Pavia!B:W,22,),"-")</f>
        <v>OFF</v>
      </c>
      <c r="AV39" s="23" t="str">
        <f t="shared" si="22"/>
        <v>OFF</v>
      </c>
    </row>
    <row r="40" spans="1:48" ht="15.75" thickBot="1" x14ac:dyDescent="0.3">
      <c r="A40" s="20" t="str">
        <f>Pavia!B41</f>
        <v>Shane Nicole Ladoing Provindido</v>
      </c>
      <c r="B40" s="12">
        <f>IFERROR(VLOOKUP(A40,Pavia!B:I,2,),"-")</f>
        <v>0.58333333333333337</v>
      </c>
      <c r="C40" s="23">
        <f t="shared" si="1"/>
        <v>0.95833333333333337</v>
      </c>
      <c r="D40" s="12">
        <f>IFERROR(VLOOKUP(A40,Pavia!B:I,3,),"-")</f>
        <v>0.58333333333333337</v>
      </c>
      <c r="E40" s="23">
        <f t="shared" si="2"/>
        <v>0.95833333333333337</v>
      </c>
      <c r="F40" s="12">
        <f>IFERROR(VLOOKUP(A40,Pavia!B:I,4,),"-")</f>
        <v>0.58333333333333337</v>
      </c>
      <c r="G40" s="23">
        <f t="shared" si="3"/>
        <v>0.95833333333333337</v>
      </c>
      <c r="H40" s="12">
        <f>IFERROR(VLOOKUP(A40,Pavia!B:I,5,),"-")</f>
        <v>0.58333333333333337</v>
      </c>
      <c r="I40" s="23">
        <f t="shared" si="4"/>
        <v>0.95833333333333337</v>
      </c>
      <c r="J40" s="12">
        <f>IFERROR(VLOOKUP(A40,Pavia!B:I,6,),"-")</f>
        <v>0.58333333333333337</v>
      </c>
      <c r="K40" s="23">
        <f t="shared" si="5"/>
        <v>0.95833333333333337</v>
      </c>
      <c r="L40" s="12" t="str">
        <f>IFERROR(VLOOKUP(A40,Pavia!B:I,7,),"-")</f>
        <v>OFF</v>
      </c>
      <c r="M40" s="23" t="str">
        <f t="shared" si="6"/>
        <v>OFF</v>
      </c>
      <c r="N40" s="12" t="str">
        <f>IFERROR(VLOOKUP(A40,Pavia!B:I,8,),"-")</f>
        <v>OFF</v>
      </c>
      <c r="O40" s="23" t="str">
        <f t="shared" si="7"/>
        <v>OFF</v>
      </c>
      <c r="Q40" s="12" t="str">
        <f>IFERROR(VLOOKUP(A40,Pavia!B:Y,24,),"-")</f>
        <v>OFF</v>
      </c>
      <c r="R40" s="23" t="str">
        <f t="shared" si="8"/>
        <v>OFF</v>
      </c>
      <c r="T40" s="25">
        <f>IFERROR(VLOOKUP(A40,Pavia!$B:$J,9,),"-")</f>
        <v>0.58333333333333337</v>
      </c>
      <c r="U40" s="23">
        <f t="shared" si="9"/>
        <v>0.95833333333333337</v>
      </c>
      <c r="V40" s="12">
        <f>IFERROR(VLOOKUP(A40,Pavia!B:K,10,),"-")</f>
        <v>0.58333333333333337</v>
      </c>
      <c r="W40" s="23">
        <f t="shared" si="10"/>
        <v>0.95833333333333337</v>
      </c>
      <c r="X40" s="12">
        <f>IFERROR(VLOOKUP(A40,Pavia!B:L,11,),"-")</f>
        <v>0.58333333333333337</v>
      </c>
      <c r="Y40" s="23">
        <f t="shared" si="11"/>
        <v>0.95833333333333337</v>
      </c>
      <c r="Z40" s="12">
        <f>IFERROR(VLOOKUP(A40,Pavia!B:M,12,),"-")</f>
        <v>0.58333333333333337</v>
      </c>
      <c r="AA40" s="23">
        <f t="shared" si="12"/>
        <v>0.95833333333333337</v>
      </c>
      <c r="AB40" s="12">
        <f>IFERROR(VLOOKUP(A40,Pavia!B:N,13,),"-")</f>
        <v>0.58333333333333337</v>
      </c>
      <c r="AC40" s="23">
        <f t="shared" si="13"/>
        <v>0.95833333333333337</v>
      </c>
      <c r="AD40" s="12" t="str">
        <f>IFERROR(VLOOKUP(A40,Pavia!B:O,14,),"-")</f>
        <v>OFF</v>
      </c>
      <c r="AE40" s="23" t="str">
        <f t="shared" si="14"/>
        <v>OFF</v>
      </c>
      <c r="AF40" s="21" t="str">
        <f>IFERROR(VLOOKUP(A40,Pavia!B:P,15,),"-")</f>
        <v>OFF</v>
      </c>
      <c r="AG40" s="23" t="str">
        <f t="shared" si="15"/>
        <v>OFF</v>
      </c>
      <c r="AI40" s="25">
        <f>IFERROR(VLOOKUP(A40,Pavia!$B:$Q,16,),"-")</f>
        <v>0.58333333333333337</v>
      </c>
      <c r="AJ40" s="23">
        <f t="shared" si="16"/>
        <v>0.95833333333333337</v>
      </c>
      <c r="AK40" s="12">
        <f>IFERROR(VLOOKUP(A40,Pavia!B:R,17,),"-")</f>
        <v>0.58333333333333337</v>
      </c>
      <c r="AL40" s="23">
        <f t="shared" si="17"/>
        <v>0.95833333333333337</v>
      </c>
      <c r="AM40" s="12">
        <f>IFERROR(VLOOKUP(A40,Pavia!B:S,18,),"-")</f>
        <v>0.58333333333333337</v>
      </c>
      <c r="AN40" s="23">
        <f t="shared" si="18"/>
        <v>0.95833333333333337</v>
      </c>
      <c r="AO40" s="12">
        <f>IFERROR(VLOOKUP(A40,Pavia!B:T,19,),"-")</f>
        <v>0.58333333333333337</v>
      </c>
      <c r="AP40" s="23">
        <f t="shared" si="19"/>
        <v>0.95833333333333337</v>
      </c>
      <c r="AQ40" s="12">
        <f>IFERROR(VLOOKUP(A40,Pavia!B:U,20,),"-")</f>
        <v>0.58333333333333337</v>
      </c>
      <c r="AR40" s="23">
        <f t="shared" si="20"/>
        <v>0.95833333333333337</v>
      </c>
      <c r="AS40" s="12" t="str">
        <f>IFERROR(VLOOKUP(A40,Pavia!B:V,21,),"-")</f>
        <v>OFF</v>
      </c>
      <c r="AT40" s="23" t="str">
        <f t="shared" si="21"/>
        <v>OFF</v>
      </c>
      <c r="AU40" s="21" t="str">
        <f>IFERROR(VLOOKUP(A40,Pavia!B:W,22,),"-")</f>
        <v>OFF</v>
      </c>
      <c r="AV40" s="23" t="str">
        <f t="shared" si="22"/>
        <v>OFF</v>
      </c>
    </row>
    <row r="41" spans="1:48" ht="15.75" thickBot="1" x14ac:dyDescent="0.3">
      <c r="A41" s="20" t="str">
        <f>Pavia!B42</f>
        <v>Maricris Bensing Glimada</v>
      </c>
      <c r="B41" s="12">
        <f>IFERROR(VLOOKUP(A41,Pavia!B:I,2,),"-")</f>
        <v>0.58333333333333337</v>
      </c>
      <c r="C41" s="23">
        <f t="shared" si="1"/>
        <v>0.95833333333333337</v>
      </c>
      <c r="D41" s="12">
        <f>IFERROR(VLOOKUP(A41,Pavia!B:I,3,),"-")</f>
        <v>0.58333333333333337</v>
      </c>
      <c r="E41" s="23">
        <f t="shared" si="2"/>
        <v>0.95833333333333337</v>
      </c>
      <c r="F41" s="12">
        <f>IFERROR(VLOOKUP(A41,Pavia!B:I,4,),"-")</f>
        <v>0.58333333333333337</v>
      </c>
      <c r="G41" s="23">
        <f t="shared" si="3"/>
        <v>0.95833333333333337</v>
      </c>
      <c r="H41" s="12">
        <f>IFERROR(VLOOKUP(A41,Pavia!B:I,5,),"-")</f>
        <v>0.58333333333333337</v>
      </c>
      <c r="I41" s="23">
        <f t="shared" si="4"/>
        <v>0.95833333333333337</v>
      </c>
      <c r="J41" s="12">
        <f>IFERROR(VLOOKUP(A41,Pavia!B:I,6,),"-")</f>
        <v>0.58333333333333337</v>
      </c>
      <c r="K41" s="23">
        <f t="shared" si="5"/>
        <v>0.95833333333333337</v>
      </c>
      <c r="L41" s="12" t="str">
        <f>IFERROR(VLOOKUP(A41,Pavia!B:I,7,),"-")</f>
        <v>OFF</v>
      </c>
      <c r="M41" s="23" t="str">
        <f t="shared" si="6"/>
        <v>OFF</v>
      </c>
      <c r="N41" s="12" t="str">
        <f>IFERROR(VLOOKUP(A41,Pavia!B:I,8,),"-")</f>
        <v>OFF</v>
      </c>
      <c r="O41" s="23" t="str">
        <f t="shared" si="7"/>
        <v>OFF</v>
      </c>
      <c r="Q41" s="12" t="str">
        <f>IFERROR(VLOOKUP(A41,Pavia!B:Y,24,),"-")</f>
        <v>OFF</v>
      </c>
      <c r="R41" s="23" t="str">
        <f t="shared" si="8"/>
        <v>OFF</v>
      </c>
      <c r="T41" s="25">
        <f>IFERROR(VLOOKUP(A41,Pavia!$B:$J,9,),"-")</f>
        <v>0.58333333333333337</v>
      </c>
      <c r="U41" s="23">
        <f t="shared" si="9"/>
        <v>0.95833333333333337</v>
      </c>
      <c r="V41" s="12">
        <f>IFERROR(VLOOKUP(A41,Pavia!B:K,10,),"-")</f>
        <v>0.58333333333333337</v>
      </c>
      <c r="W41" s="23">
        <f t="shared" si="10"/>
        <v>0.95833333333333337</v>
      </c>
      <c r="X41" s="12">
        <f>IFERROR(VLOOKUP(A41,Pavia!B:L,11,),"-")</f>
        <v>0.58333333333333337</v>
      </c>
      <c r="Y41" s="23">
        <f t="shared" si="11"/>
        <v>0.95833333333333337</v>
      </c>
      <c r="Z41" s="12">
        <f>IFERROR(VLOOKUP(A41,Pavia!B:M,12,),"-")</f>
        <v>0.58333333333333337</v>
      </c>
      <c r="AA41" s="23">
        <f t="shared" si="12"/>
        <v>0.95833333333333337</v>
      </c>
      <c r="AB41" s="12">
        <f>IFERROR(VLOOKUP(A41,Pavia!B:N,13,),"-")</f>
        <v>0.58333333333333337</v>
      </c>
      <c r="AC41" s="23">
        <f t="shared" si="13"/>
        <v>0.95833333333333337</v>
      </c>
      <c r="AD41" s="12" t="str">
        <f>IFERROR(VLOOKUP(A41,Pavia!B:O,14,),"-")</f>
        <v>OFF</v>
      </c>
      <c r="AE41" s="23" t="str">
        <f t="shared" si="14"/>
        <v>OFF</v>
      </c>
      <c r="AF41" s="21" t="str">
        <f>IFERROR(VLOOKUP(A41,Pavia!B:P,15,),"-")</f>
        <v>OFF</v>
      </c>
      <c r="AG41" s="23" t="str">
        <f t="shared" si="15"/>
        <v>OFF</v>
      </c>
      <c r="AI41" s="25">
        <f>IFERROR(VLOOKUP(A41,Pavia!$B:$Q,16,),"-")</f>
        <v>0.58333333333333337</v>
      </c>
      <c r="AJ41" s="23">
        <f t="shared" si="16"/>
        <v>0.95833333333333337</v>
      </c>
      <c r="AK41" s="12">
        <f>IFERROR(VLOOKUP(A41,Pavia!B:R,17,),"-")</f>
        <v>0.58333333333333337</v>
      </c>
      <c r="AL41" s="23">
        <f t="shared" si="17"/>
        <v>0.95833333333333337</v>
      </c>
      <c r="AM41" s="12">
        <f>IFERROR(VLOOKUP(A41,Pavia!B:S,18,),"-")</f>
        <v>0.58333333333333337</v>
      </c>
      <c r="AN41" s="23">
        <f t="shared" si="18"/>
        <v>0.95833333333333337</v>
      </c>
      <c r="AO41" s="12">
        <f>IFERROR(VLOOKUP(A41,Pavia!B:T,19,),"-")</f>
        <v>0.58333333333333337</v>
      </c>
      <c r="AP41" s="23">
        <f t="shared" si="19"/>
        <v>0.95833333333333337</v>
      </c>
      <c r="AQ41" s="12">
        <f>IFERROR(VLOOKUP(A41,Pavia!B:U,20,),"-")</f>
        <v>0.58333333333333337</v>
      </c>
      <c r="AR41" s="23">
        <f t="shared" si="20"/>
        <v>0.95833333333333337</v>
      </c>
      <c r="AS41" s="12" t="str">
        <f>IFERROR(VLOOKUP(A41,Pavia!B:V,21,),"-")</f>
        <v>OFF</v>
      </c>
      <c r="AT41" s="23" t="str">
        <f t="shared" si="21"/>
        <v>OFF</v>
      </c>
      <c r="AU41" s="21" t="str">
        <f>IFERROR(VLOOKUP(A41,Pavia!B:W,22,),"-")</f>
        <v>OFF</v>
      </c>
      <c r="AV41" s="23" t="str">
        <f t="shared" si="22"/>
        <v>OFF</v>
      </c>
    </row>
    <row r="42" spans="1:48" ht="15.75" thickBot="1" x14ac:dyDescent="0.3">
      <c r="A42" s="20" t="str">
        <f>Pavia!B43</f>
        <v>Rico Balgame</v>
      </c>
      <c r="B42" s="12">
        <f>IFERROR(VLOOKUP(A42,Pavia!B:I,2,),"-")</f>
        <v>0.58333333333333337</v>
      </c>
      <c r="C42" s="23">
        <f t="shared" si="1"/>
        <v>0.95833333333333337</v>
      </c>
      <c r="D42" s="12">
        <f>IFERROR(VLOOKUP(A42,Pavia!B:I,3,),"-")</f>
        <v>0.58333333333333337</v>
      </c>
      <c r="E42" s="23">
        <f t="shared" si="2"/>
        <v>0.95833333333333337</v>
      </c>
      <c r="F42" s="12">
        <f>IFERROR(VLOOKUP(A42,Pavia!B:I,4,),"-")</f>
        <v>0.58333333333333337</v>
      </c>
      <c r="G42" s="23">
        <f t="shared" si="3"/>
        <v>0.95833333333333337</v>
      </c>
      <c r="H42" s="12">
        <f>IFERROR(VLOOKUP(A42,Pavia!B:I,5,),"-")</f>
        <v>0.58333333333333337</v>
      </c>
      <c r="I42" s="23">
        <f t="shared" si="4"/>
        <v>0.95833333333333337</v>
      </c>
      <c r="J42" s="12">
        <f>IFERROR(VLOOKUP(A42,Pavia!B:I,6,),"-")</f>
        <v>0.58333333333333337</v>
      </c>
      <c r="K42" s="23">
        <f t="shared" si="5"/>
        <v>0.95833333333333337</v>
      </c>
      <c r="L42" s="12" t="str">
        <f>IFERROR(VLOOKUP(A42,Pavia!B:I,7,),"-")</f>
        <v>OFF</v>
      </c>
      <c r="M42" s="23" t="str">
        <f t="shared" si="6"/>
        <v>OFF</v>
      </c>
      <c r="N42" s="12" t="str">
        <f>IFERROR(VLOOKUP(A42,Pavia!B:I,8,),"-")</f>
        <v>OFF</v>
      </c>
      <c r="O42" s="23" t="str">
        <f t="shared" si="7"/>
        <v>OFF</v>
      </c>
      <c r="Q42" s="12" t="str">
        <f>IFERROR(VLOOKUP(A42,Pavia!B:Y,24,),"-")</f>
        <v>OFF</v>
      </c>
      <c r="R42" s="23" t="str">
        <f t="shared" si="8"/>
        <v>OFF</v>
      </c>
      <c r="T42" s="25">
        <f>IFERROR(VLOOKUP(A42,Pavia!$B:$J,9,),"-")</f>
        <v>0.58333333333333337</v>
      </c>
      <c r="U42" s="23">
        <f t="shared" si="9"/>
        <v>0.95833333333333337</v>
      </c>
      <c r="V42" s="12">
        <f>IFERROR(VLOOKUP(A42,Pavia!B:K,10,),"-")</f>
        <v>0.58333333333333337</v>
      </c>
      <c r="W42" s="23">
        <f t="shared" si="10"/>
        <v>0.95833333333333337</v>
      </c>
      <c r="X42" s="12">
        <f>IFERROR(VLOOKUP(A42,Pavia!B:L,11,),"-")</f>
        <v>0.58333333333333337</v>
      </c>
      <c r="Y42" s="23">
        <f t="shared" si="11"/>
        <v>0.95833333333333337</v>
      </c>
      <c r="Z42" s="12">
        <f>IFERROR(VLOOKUP(A42,Pavia!B:M,12,),"-")</f>
        <v>0.58333333333333337</v>
      </c>
      <c r="AA42" s="23">
        <f t="shared" si="12"/>
        <v>0.95833333333333337</v>
      </c>
      <c r="AB42" s="12">
        <f>IFERROR(VLOOKUP(A42,Pavia!B:N,13,),"-")</f>
        <v>0.58333333333333337</v>
      </c>
      <c r="AC42" s="23">
        <f t="shared" si="13"/>
        <v>0.95833333333333337</v>
      </c>
      <c r="AD42" s="12" t="str">
        <f>IFERROR(VLOOKUP(A42,Pavia!B:O,14,),"-")</f>
        <v>OFF</v>
      </c>
      <c r="AE42" s="23" t="str">
        <f t="shared" si="14"/>
        <v>OFF</v>
      </c>
      <c r="AF42" s="21" t="str">
        <f>IFERROR(VLOOKUP(A42,Pavia!B:P,15,),"-")</f>
        <v>OFF</v>
      </c>
      <c r="AG42" s="23" t="str">
        <f t="shared" si="15"/>
        <v>OFF</v>
      </c>
      <c r="AI42" s="25">
        <f>IFERROR(VLOOKUP(A42,Pavia!$B:$Q,16,),"-")</f>
        <v>0.58333333333333337</v>
      </c>
      <c r="AJ42" s="23">
        <f t="shared" si="16"/>
        <v>0.95833333333333337</v>
      </c>
      <c r="AK42" s="12">
        <f>IFERROR(VLOOKUP(A42,Pavia!B:R,17,),"-")</f>
        <v>0.58333333333333337</v>
      </c>
      <c r="AL42" s="23">
        <f t="shared" si="17"/>
        <v>0.95833333333333337</v>
      </c>
      <c r="AM42" s="12">
        <f>IFERROR(VLOOKUP(A42,Pavia!B:S,18,),"-")</f>
        <v>0.58333333333333337</v>
      </c>
      <c r="AN42" s="23">
        <f t="shared" si="18"/>
        <v>0.95833333333333337</v>
      </c>
      <c r="AO42" s="12">
        <f>IFERROR(VLOOKUP(A42,Pavia!B:T,19,),"-")</f>
        <v>0.58333333333333337</v>
      </c>
      <c r="AP42" s="23">
        <f t="shared" si="19"/>
        <v>0.95833333333333337</v>
      </c>
      <c r="AQ42" s="12">
        <f>IFERROR(VLOOKUP(A42,Pavia!B:U,20,),"-")</f>
        <v>0.58333333333333337</v>
      </c>
      <c r="AR42" s="23">
        <f t="shared" si="20"/>
        <v>0.95833333333333337</v>
      </c>
      <c r="AS42" s="12" t="str">
        <f>IFERROR(VLOOKUP(A42,Pavia!B:V,21,),"-")</f>
        <v>OFF</v>
      </c>
      <c r="AT42" s="23" t="str">
        <f t="shared" si="21"/>
        <v>OFF</v>
      </c>
      <c r="AU42" s="21" t="str">
        <f>IFERROR(VLOOKUP(A42,Pavia!B:W,22,),"-")</f>
        <v>OFF</v>
      </c>
      <c r="AV42" s="23" t="str">
        <f t="shared" si="22"/>
        <v>OFF</v>
      </c>
    </row>
    <row r="43" spans="1:48" ht="15.75" thickBot="1" x14ac:dyDescent="0.3">
      <c r="A43" s="20" t="str">
        <f>Pavia!B44</f>
        <v>Blessy Gien Alba</v>
      </c>
      <c r="B43" s="12">
        <f>IFERROR(VLOOKUP(A43,Pavia!B:I,2,),"-")</f>
        <v>0.58333333333333337</v>
      </c>
      <c r="C43" s="23">
        <f t="shared" si="1"/>
        <v>0.95833333333333337</v>
      </c>
      <c r="D43" s="12">
        <f>IFERROR(VLOOKUP(A43,Pavia!B:I,3,),"-")</f>
        <v>0.58333333333333337</v>
      </c>
      <c r="E43" s="23">
        <f t="shared" si="2"/>
        <v>0.95833333333333337</v>
      </c>
      <c r="F43" s="12">
        <f>IFERROR(VLOOKUP(A43,Pavia!B:I,4,),"-")</f>
        <v>0.58333333333333337</v>
      </c>
      <c r="G43" s="23">
        <f t="shared" si="3"/>
        <v>0.95833333333333337</v>
      </c>
      <c r="H43" s="12">
        <f>IFERROR(VLOOKUP(A43,Pavia!B:I,5,),"-")</f>
        <v>0.58333333333333337</v>
      </c>
      <c r="I43" s="23">
        <f t="shared" si="4"/>
        <v>0.95833333333333337</v>
      </c>
      <c r="J43" s="12">
        <f>IFERROR(VLOOKUP(A43,Pavia!B:I,6,),"-")</f>
        <v>0.58333333333333337</v>
      </c>
      <c r="K43" s="23">
        <f t="shared" si="5"/>
        <v>0.95833333333333337</v>
      </c>
      <c r="L43" s="12" t="str">
        <f>IFERROR(VLOOKUP(A43,Pavia!B:I,7,),"-")</f>
        <v>OFF</v>
      </c>
      <c r="M43" s="23" t="str">
        <f t="shared" si="6"/>
        <v>OFF</v>
      </c>
      <c r="N43" s="12" t="str">
        <f>IFERROR(VLOOKUP(A43,Pavia!B:I,8,),"-")</f>
        <v>OFF</v>
      </c>
      <c r="O43" s="23" t="str">
        <f t="shared" si="7"/>
        <v>OFF</v>
      </c>
      <c r="Q43" s="12" t="str">
        <f>IFERROR(VLOOKUP(A43,Pavia!B:Y,24,),"-")</f>
        <v>OFF</v>
      </c>
      <c r="R43" s="23" t="str">
        <f t="shared" si="8"/>
        <v>OFF</v>
      </c>
      <c r="T43" s="25">
        <f>IFERROR(VLOOKUP(A43,Pavia!$B:$J,9,),"-")</f>
        <v>0.58333333333333337</v>
      </c>
      <c r="U43" s="23">
        <f t="shared" si="9"/>
        <v>0.95833333333333337</v>
      </c>
      <c r="V43" s="12">
        <f>IFERROR(VLOOKUP(A43,Pavia!B:K,10,),"-")</f>
        <v>0.58333333333333337</v>
      </c>
      <c r="W43" s="23">
        <f t="shared" si="10"/>
        <v>0.95833333333333337</v>
      </c>
      <c r="X43" s="12">
        <f>IFERROR(VLOOKUP(A43,Pavia!B:L,11,),"-")</f>
        <v>0.58333333333333337</v>
      </c>
      <c r="Y43" s="23">
        <f t="shared" si="11"/>
        <v>0.95833333333333337</v>
      </c>
      <c r="Z43" s="12">
        <f>IFERROR(VLOOKUP(A43,Pavia!B:M,12,),"-")</f>
        <v>0.58333333333333337</v>
      </c>
      <c r="AA43" s="23">
        <f t="shared" si="12"/>
        <v>0.95833333333333337</v>
      </c>
      <c r="AB43" s="12">
        <f>IFERROR(VLOOKUP(A43,Pavia!B:N,13,),"-")</f>
        <v>0.58333333333333337</v>
      </c>
      <c r="AC43" s="23">
        <f t="shared" si="13"/>
        <v>0.95833333333333337</v>
      </c>
      <c r="AD43" s="12" t="str">
        <f>IFERROR(VLOOKUP(A43,Pavia!B:O,14,),"-")</f>
        <v>OFF</v>
      </c>
      <c r="AE43" s="23" t="str">
        <f t="shared" si="14"/>
        <v>OFF</v>
      </c>
      <c r="AF43" s="21" t="str">
        <f>IFERROR(VLOOKUP(A43,Pavia!B:P,15,),"-")</f>
        <v>OFF</v>
      </c>
      <c r="AG43" s="23" t="str">
        <f t="shared" si="15"/>
        <v>OFF</v>
      </c>
      <c r="AI43" s="25">
        <f>IFERROR(VLOOKUP(A43,Pavia!$B:$Q,16,),"-")</f>
        <v>0.58333333333333337</v>
      </c>
      <c r="AJ43" s="23">
        <f t="shared" si="16"/>
        <v>0.95833333333333337</v>
      </c>
      <c r="AK43" s="12">
        <f>IFERROR(VLOOKUP(A43,Pavia!B:R,17,),"-")</f>
        <v>0.58333333333333337</v>
      </c>
      <c r="AL43" s="23">
        <f t="shared" si="17"/>
        <v>0.95833333333333337</v>
      </c>
      <c r="AM43" s="12">
        <f>IFERROR(VLOOKUP(A43,Pavia!B:S,18,),"-")</f>
        <v>0.58333333333333337</v>
      </c>
      <c r="AN43" s="23">
        <f t="shared" si="18"/>
        <v>0.95833333333333337</v>
      </c>
      <c r="AO43" s="12">
        <f>IFERROR(VLOOKUP(A43,Pavia!B:T,19,),"-")</f>
        <v>0.58333333333333337</v>
      </c>
      <c r="AP43" s="23">
        <f t="shared" si="19"/>
        <v>0.95833333333333337</v>
      </c>
      <c r="AQ43" s="12">
        <f>IFERROR(VLOOKUP(A43,Pavia!B:U,20,),"-")</f>
        <v>0.58333333333333337</v>
      </c>
      <c r="AR43" s="23">
        <f t="shared" si="20"/>
        <v>0.95833333333333337</v>
      </c>
      <c r="AS43" s="12" t="str">
        <f>IFERROR(VLOOKUP(A43,Pavia!B:V,21,),"-")</f>
        <v>OFF</v>
      </c>
      <c r="AT43" s="23" t="str">
        <f t="shared" si="21"/>
        <v>OFF</v>
      </c>
      <c r="AU43" s="21" t="str">
        <f>IFERROR(VLOOKUP(A43,Pavia!B:W,22,),"-")</f>
        <v>OFF</v>
      </c>
      <c r="AV43" s="23" t="str">
        <f t="shared" si="22"/>
        <v>OFF</v>
      </c>
    </row>
    <row r="44" spans="1:48" ht="15.75" thickBot="1" x14ac:dyDescent="0.3">
      <c r="A44" s="20" t="str">
        <f>Pavia!B45</f>
        <v>John Piolo Dela Cruz</v>
      </c>
      <c r="B44" s="12">
        <f>IFERROR(VLOOKUP(A44,Pavia!B:I,2,),"-")</f>
        <v>0.58333333333333337</v>
      </c>
      <c r="C44" s="23">
        <f t="shared" si="1"/>
        <v>0.95833333333333337</v>
      </c>
      <c r="D44" s="12">
        <f>IFERROR(VLOOKUP(A44,Pavia!B:I,3,),"-")</f>
        <v>0.58333333333333337</v>
      </c>
      <c r="E44" s="23">
        <f t="shared" si="2"/>
        <v>0.95833333333333337</v>
      </c>
      <c r="F44" s="12">
        <f>IFERROR(VLOOKUP(A44,Pavia!B:I,4,),"-")</f>
        <v>0.58333333333333337</v>
      </c>
      <c r="G44" s="23">
        <f t="shared" si="3"/>
        <v>0.95833333333333337</v>
      </c>
      <c r="H44" s="12">
        <f>IFERROR(VLOOKUP(A44,Pavia!B:I,5,),"-")</f>
        <v>0.58333333333333337</v>
      </c>
      <c r="I44" s="23">
        <f t="shared" si="4"/>
        <v>0.95833333333333337</v>
      </c>
      <c r="J44" s="12">
        <f>IFERROR(VLOOKUP(A44,Pavia!B:I,6,),"-")</f>
        <v>0.58333333333333337</v>
      </c>
      <c r="K44" s="23">
        <f t="shared" si="5"/>
        <v>0.95833333333333337</v>
      </c>
      <c r="L44" s="12" t="str">
        <f>IFERROR(VLOOKUP(A44,Pavia!B:I,7,),"-")</f>
        <v>OFF</v>
      </c>
      <c r="M44" s="23" t="str">
        <f t="shared" si="6"/>
        <v>OFF</v>
      </c>
      <c r="N44" s="12" t="str">
        <f>IFERROR(VLOOKUP(A44,Pavia!B:I,8,),"-")</f>
        <v>OFF</v>
      </c>
      <c r="O44" s="23" t="str">
        <f t="shared" si="7"/>
        <v>OFF</v>
      </c>
      <c r="Q44" s="12" t="str">
        <f>IFERROR(VLOOKUP(A44,Pavia!B:Y,24,),"-")</f>
        <v>OFF</v>
      </c>
      <c r="R44" s="23" t="str">
        <f t="shared" si="8"/>
        <v>OFF</v>
      </c>
      <c r="T44" s="25">
        <f>IFERROR(VLOOKUP(A44,Pavia!$B:$J,9,),"-")</f>
        <v>0.58333333333333337</v>
      </c>
      <c r="U44" s="23">
        <f t="shared" si="9"/>
        <v>0.95833333333333337</v>
      </c>
      <c r="V44" s="12">
        <f>IFERROR(VLOOKUP(A44,Pavia!B:K,10,),"-")</f>
        <v>0.58333333333333337</v>
      </c>
      <c r="W44" s="23">
        <f t="shared" si="10"/>
        <v>0.95833333333333337</v>
      </c>
      <c r="X44" s="12">
        <f>IFERROR(VLOOKUP(A44,Pavia!B:L,11,),"-")</f>
        <v>0.58333333333333337</v>
      </c>
      <c r="Y44" s="23">
        <f t="shared" si="11"/>
        <v>0.95833333333333337</v>
      </c>
      <c r="Z44" s="12">
        <f>IFERROR(VLOOKUP(A44,Pavia!B:M,12,),"-")</f>
        <v>0.58333333333333337</v>
      </c>
      <c r="AA44" s="23">
        <f t="shared" si="12"/>
        <v>0.95833333333333337</v>
      </c>
      <c r="AB44" s="12">
        <f>IFERROR(VLOOKUP(A44,Pavia!B:N,13,),"-")</f>
        <v>0.58333333333333337</v>
      </c>
      <c r="AC44" s="23">
        <f t="shared" si="13"/>
        <v>0.95833333333333337</v>
      </c>
      <c r="AD44" s="12" t="str">
        <f>IFERROR(VLOOKUP(A44,Pavia!B:O,14,),"-")</f>
        <v>OFF</v>
      </c>
      <c r="AE44" s="23" t="str">
        <f t="shared" si="14"/>
        <v>OFF</v>
      </c>
      <c r="AF44" s="21" t="str">
        <f>IFERROR(VLOOKUP(A44,Pavia!B:P,15,),"-")</f>
        <v>OFF</v>
      </c>
      <c r="AG44" s="23" t="str">
        <f t="shared" si="15"/>
        <v>OFF</v>
      </c>
      <c r="AI44" s="25">
        <f>IFERROR(VLOOKUP(A44,Pavia!$B:$Q,16,),"-")</f>
        <v>0.58333333333333337</v>
      </c>
      <c r="AJ44" s="23">
        <f t="shared" si="16"/>
        <v>0.95833333333333337</v>
      </c>
      <c r="AK44" s="12">
        <f>IFERROR(VLOOKUP(A44,Pavia!B:R,17,),"-")</f>
        <v>0.58333333333333337</v>
      </c>
      <c r="AL44" s="23">
        <f t="shared" si="17"/>
        <v>0.95833333333333337</v>
      </c>
      <c r="AM44" s="12">
        <f>IFERROR(VLOOKUP(A44,Pavia!B:S,18,),"-")</f>
        <v>0.58333333333333337</v>
      </c>
      <c r="AN44" s="23">
        <f t="shared" si="18"/>
        <v>0.95833333333333337</v>
      </c>
      <c r="AO44" s="12">
        <f>IFERROR(VLOOKUP(A44,Pavia!B:T,19,),"-")</f>
        <v>0.58333333333333337</v>
      </c>
      <c r="AP44" s="23">
        <f t="shared" si="19"/>
        <v>0.95833333333333337</v>
      </c>
      <c r="AQ44" s="12">
        <f>IFERROR(VLOOKUP(A44,Pavia!B:U,20,),"-")</f>
        <v>0.58333333333333337</v>
      </c>
      <c r="AR44" s="23">
        <f t="shared" si="20"/>
        <v>0.95833333333333337</v>
      </c>
      <c r="AS44" s="12" t="str">
        <f>IFERROR(VLOOKUP(A44,Pavia!B:V,21,),"-")</f>
        <v>OFF</v>
      </c>
      <c r="AT44" s="23" t="str">
        <f t="shared" si="21"/>
        <v>OFF</v>
      </c>
      <c r="AU44" s="21" t="str">
        <f>IFERROR(VLOOKUP(A44,Pavia!B:W,22,),"-")</f>
        <v>OFF</v>
      </c>
      <c r="AV44" s="23" t="str">
        <f t="shared" si="22"/>
        <v>OFF</v>
      </c>
    </row>
    <row r="45" spans="1:48" ht="15.75" thickBot="1" x14ac:dyDescent="0.3">
      <c r="A45" s="20" t="str">
        <f>Pavia!B46</f>
        <v>Andrea De Los Reyes</v>
      </c>
      <c r="B45" s="12">
        <f>IFERROR(VLOOKUP(A45,Pavia!B:I,2,),"-")</f>
        <v>0.58333333333333337</v>
      </c>
      <c r="C45" s="23">
        <f t="shared" si="1"/>
        <v>0.95833333333333337</v>
      </c>
      <c r="D45" s="12">
        <f>IFERROR(VLOOKUP(A45,Pavia!B:I,3,),"-")</f>
        <v>0.58333333333333337</v>
      </c>
      <c r="E45" s="23">
        <f t="shared" si="2"/>
        <v>0.95833333333333337</v>
      </c>
      <c r="F45" s="12">
        <f>IFERROR(VLOOKUP(A45,Pavia!B:I,4,),"-")</f>
        <v>0.58333333333333337</v>
      </c>
      <c r="G45" s="23">
        <f t="shared" si="3"/>
        <v>0.95833333333333337</v>
      </c>
      <c r="H45" s="12">
        <f>IFERROR(VLOOKUP(A45,Pavia!B:I,5,),"-")</f>
        <v>0.58333333333333337</v>
      </c>
      <c r="I45" s="23">
        <f t="shared" si="4"/>
        <v>0.95833333333333337</v>
      </c>
      <c r="J45" s="12">
        <f>IFERROR(VLOOKUP(A45,Pavia!B:I,6,),"-")</f>
        <v>0.58333333333333337</v>
      </c>
      <c r="K45" s="23">
        <f t="shared" si="5"/>
        <v>0.95833333333333337</v>
      </c>
      <c r="L45" s="12" t="str">
        <f>IFERROR(VLOOKUP(A45,Pavia!B:I,7,),"-")</f>
        <v>OFF</v>
      </c>
      <c r="M45" s="23" t="str">
        <f t="shared" si="6"/>
        <v>OFF</v>
      </c>
      <c r="N45" s="12" t="str">
        <f>IFERROR(VLOOKUP(A45,Pavia!B:I,8,),"-")</f>
        <v>OFF</v>
      </c>
      <c r="O45" s="23" t="str">
        <f t="shared" si="7"/>
        <v>OFF</v>
      </c>
      <c r="Q45" s="12" t="str">
        <f>IFERROR(VLOOKUP(A45,Pavia!B:Y,24,),"-")</f>
        <v>OFF</v>
      </c>
      <c r="R45" s="23" t="str">
        <f t="shared" si="8"/>
        <v>OFF</v>
      </c>
      <c r="T45" s="25">
        <f>IFERROR(VLOOKUP(A45,Pavia!$B:$J,9,),"-")</f>
        <v>0.58333333333333337</v>
      </c>
      <c r="U45" s="23">
        <f t="shared" si="9"/>
        <v>0.95833333333333337</v>
      </c>
      <c r="V45" s="12">
        <f>IFERROR(VLOOKUP(A45,Pavia!B:K,10,),"-")</f>
        <v>0.58333333333333337</v>
      </c>
      <c r="W45" s="23">
        <f t="shared" si="10"/>
        <v>0.95833333333333337</v>
      </c>
      <c r="X45" s="12">
        <f>IFERROR(VLOOKUP(A45,Pavia!B:L,11,),"-")</f>
        <v>0.58333333333333337</v>
      </c>
      <c r="Y45" s="23">
        <f t="shared" si="11"/>
        <v>0.95833333333333337</v>
      </c>
      <c r="Z45" s="12">
        <f>IFERROR(VLOOKUP(A45,Pavia!B:M,12,),"-")</f>
        <v>0.58333333333333337</v>
      </c>
      <c r="AA45" s="23">
        <f t="shared" si="12"/>
        <v>0.95833333333333337</v>
      </c>
      <c r="AB45" s="12">
        <f>IFERROR(VLOOKUP(A45,Pavia!B:N,13,),"-")</f>
        <v>0.58333333333333337</v>
      </c>
      <c r="AC45" s="23">
        <f t="shared" si="13"/>
        <v>0.95833333333333337</v>
      </c>
      <c r="AD45" s="12" t="str">
        <f>IFERROR(VLOOKUP(A45,Pavia!B:O,14,),"-")</f>
        <v>OFF</v>
      </c>
      <c r="AE45" s="23" t="str">
        <f t="shared" si="14"/>
        <v>OFF</v>
      </c>
      <c r="AF45" s="21" t="str">
        <f>IFERROR(VLOOKUP(A45,Pavia!B:P,15,),"-")</f>
        <v>OFF</v>
      </c>
      <c r="AG45" s="23" t="str">
        <f t="shared" si="15"/>
        <v>OFF</v>
      </c>
      <c r="AI45" s="25">
        <f>IFERROR(VLOOKUP(A45,Pavia!$B:$Q,16,),"-")</f>
        <v>0.58333333333333337</v>
      </c>
      <c r="AJ45" s="23">
        <f t="shared" si="16"/>
        <v>0.95833333333333337</v>
      </c>
      <c r="AK45" s="12">
        <f>IFERROR(VLOOKUP(A45,Pavia!B:R,17,),"-")</f>
        <v>0.58333333333333337</v>
      </c>
      <c r="AL45" s="23">
        <f t="shared" si="17"/>
        <v>0.95833333333333337</v>
      </c>
      <c r="AM45" s="12">
        <f>IFERROR(VLOOKUP(A45,Pavia!B:S,18,),"-")</f>
        <v>0.58333333333333337</v>
      </c>
      <c r="AN45" s="23">
        <f t="shared" si="18"/>
        <v>0.95833333333333337</v>
      </c>
      <c r="AO45" s="12">
        <f>IFERROR(VLOOKUP(A45,Pavia!B:T,19,),"-")</f>
        <v>0.58333333333333337</v>
      </c>
      <c r="AP45" s="23">
        <f t="shared" si="19"/>
        <v>0.95833333333333337</v>
      </c>
      <c r="AQ45" s="12">
        <f>IFERROR(VLOOKUP(A45,Pavia!B:U,20,),"-")</f>
        <v>0.58333333333333337</v>
      </c>
      <c r="AR45" s="23">
        <f t="shared" si="20"/>
        <v>0.95833333333333337</v>
      </c>
      <c r="AS45" s="12" t="str">
        <f>IFERROR(VLOOKUP(A45,Pavia!B:V,21,),"-")</f>
        <v>OFF</v>
      </c>
      <c r="AT45" s="23" t="str">
        <f t="shared" si="21"/>
        <v>OFF</v>
      </c>
      <c r="AU45" s="21" t="str">
        <f>IFERROR(VLOOKUP(A45,Pavia!B:W,22,),"-")</f>
        <v>OFF</v>
      </c>
      <c r="AV45" s="23" t="str">
        <f t="shared" si="22"/>
        <v>OFF</v>
      </c>
    </row>
    <row r="46" spans="1:48" ht="15.75" thickBot="1" x14ac:dyDescent="0.3">
      <c r="A46" s="20" t="str">
        <f>Pavia!B47</f>
        <v>Lowella Jaruda</v>
      </c>
      <c r="B46" s="12">
        <f>IFERROR(VLOOKUP(A46,Pavia!B:I,2,),"-")</f>
        <v>0.58333333333333337</v>
      </c>
      <c r="C46" s="23">
        <f t="shared" si="1"/>
        <v>0.95833333333333337</v>
      </c>
      <c r="D46" s="12">
        <f>IFERROR(VLOOKUP(A46,Pavia!B:I,3,),"-")</f>
        <v>0.58333333333333337</v>
      </c>
      <c r="E46" s="23">
        <f t="shared" si="2"/>
        <v>0.95833333333333337</v>
      </c>
      <c r="F46" s="12">
        <f>IFERROR(VLOOKUP(A46,Pavia!B:I,4,),"-")</f>
        <v>0.58333333333333337</v>
      </c>
      <c r="G46" s="23">
        <f t="shared" si="3"/>
        <v>0.95833333333333337</v>
      </c>
      <c r="H46" s="12">
        <f>IFERROR(VLOOKUP(A46,Pavia!B:I,5,),"-")</f>
        <v>0.58333333333333337</v>
      </c>
      <c r="I46" s="23">
        <f t="shared" si="4"/>
        <v>0.95833333333333337</v>
      </c>
      <c r="J46" s="12">
        <f>IFERROR(VLOOKUP(A46,Pavia!B:I,6,),"-")</f>
        <v>0.58333333333333337</v>
      </c>
      <c r="K46" s="23">
        <f t="shared" si="5"/>
        <v>0.95833333333333337</v>
      </c>
      <c r="L46" s="12" t="str">
        <f>IFERROR(VLOOKUP(A46,Pavia!B:I,7,),"-")</f>
        <v>OFF</v>
      </c>
      <c r="M46" s="23" t="str">
        <f t="shared" si="6"/>
        <v>OFF</v>
      </c>
      <c r="N46" s="12" t="str">
        <f>IFERROR(VLOOKUP(A46,Pavia!B:I,8,),"-")</f>
        <v>OFF</v>
      </c>
      <c r="O46" s="23" t="str">
        <f t="shared" si="7"/>
        <v>OFF</v>
      </c>
      <c r="Q46" s="12" t="str">
        <f>IFERROR(VLOOKUP(A46,Pavia!B:Y,24,),"-")</f>
        <v>OFF</v>
      </c>
      <c r="R46" s="23" t="str">
        <f t="shared" si="8"/>
        <v>OFF</v>
      </c>
      <c r="T46" s="25">
        <f>IFERROR(VLOOKUP(A46,Pavia!$B:$J,9,),"-")</f>
        <v>0.58333333333333337</v>
      </c>
      <c r="U46" s="23">
        <f t="shared" si="9"/>
        <v>0.95833333333333337</v>
      </c>
      <c r="V46" s="12">
        <f>IFERROR(VLOOKUP(A46,Pavia!B:K,10,),"-")</f>
        <v>0.58333333333333337</v>
      </c>
      <c r="W46" s="23">
        <f t="shared" si="10"/>
        <v>0.95833333333333337</v>
      </c>
      <c r="X46" s="12">
        <f>IFERROR(VLOOKUP(A46,Pavia!B:L,11,),"-")</f>
        <v>0.58333333333333337</v>
      </c>
      <c r="Y46" s="23">
        <f t="shared" si="11"/>
        <v>0.95833333333333337</v>
      </c>
      <c r="Z46" s="12">
        <f>IFERROR(VLOOKUP(A46,Pavia!B:M,12,),"-")</f>
        <v>0.58333333333333337</v>
      </c>
      <c r="AA46" s="23">
        <f t="shared" si="12"/>
        <v>0.95833333333333337</v>
      </c>
      <c r="AB46" s="12">
        <f>IFERROR(VLOOKUP(A46,Pavia!B:N,13,),"-")</f>
        <v>0.58333333333333337</v>
      </c>
      <c r="AC46" s="23">
        <f t="shared" si="13"/>
        <v>0.95833333333333337</v>
      </c>
      <c r="AD46" s="12" t="str">
        <f>IFERROR(VLOOKUP(A46,Pavia!B:O,14,),"-")</f>
        <v>OFF</v>
      </c>
      <c r="AE46" s="23" t="str">
        <f t="shared" si="14"/>
        <v>OFF</v>
      </c>
      <c r="AF46" s="21" t="str">
        <f>IFERROR(VLOOKUP(A46,Pavia!B:P,15,),"-")</f>
        <v>OFF</v>
      </c>
      <c r="AG46" s="23" t="str">
        <f t="shared" si="15"/>
        <v>OFF</v>
      </c>
      <c r="AI46" s="25">
        <f>IFERROR(VLOOKUP(A46,Pavia!$B:$Q,16,),"-")</f>
        <v>0.58333333333333337</v>
      </c>
      <c r="AJ46" s="23">
        <f t="shared" si="16"/>
        <v>0.95833333333333337</v>
      </c>
      <c r="AK46" s="12">
        <f>IFERROR(VLOOKUP(A46,Pavia!B:R,17,),"-")</f>
        <v>0.58333333333333337</v>
      </c>
      <c r="AL46" s="23">
        <f t="shared" si="17"/>
        <v>0.95833333333333337</v>
      </c>
      <c r="AM46" s="12">
        <f>IFERROR(VLOOKUP(A46,Pavia!B:S,18,),"-")</f>
        <v>0.58333333333333337</v>
      </c>
      <c r="AN46" s="23">
        <f t="shared" si="18"/>
        <v>0.95833333333333337</v>
      </c>
      <c r="AO46" s="12">
        <f>IFERROR(VLOOKUP(A46,Pavia!B:T,19,),"-")</f>
        <v>0.58333333333333337</v>
      </c>
      <c r="AP46" s="23">
        <f t="shared" si="19"/>
        <v>0.95833333333333337</v>
      </c>
      <c r="AQ46" s="12">
        <f>IFERROR(VLOOKUP(A46,Pavia!B:U,20,),"-")</f>
        <v>0.58333333333333337</v>
      </c>
      <c r="AR46" s="23">
        <f t="shared" si="20"/>
        <v>0.95833333333333337</v>
      </c>
      <c r="AS46" s="12" t="str">
        <f>IFERROR(VLOOKUP(A46,Pavia!B:V,21,),"-")</f>
        <v>OFF</v>
      </c>
      <c r="AT46" s="23" t="str">
        <f t="shared" si="21"/>
        <v>OFF</v>
      </c>
      <c r="AU46" s="21" t="str">
        <f>IFERROR(VLOOKUP(A46,Pavia!B:W,22,),"-")</f>
        <v>OFF</v>
      </c>
      <c r="AV46" s="23" t="str">
        <f t="shared" si="22"/>
        <v>OFF</v>
      </c>
    </row>
    <row r="47" spans="1:48" ht="15.75" thickBot="1" x14ac:dyDescent="0.3">
      <c r="A47" s="20" t="str">
        <f>Pavia!B48</f>
        <v>Danica Alarilla</v>
      </c>
      <c r="B47" s="12">
        <f>IFERROR(VLOOKUP(A47,Pavia!B:I,2,),"-")</f>
        <v>0.58333333333333337</v>
      </c>
      <c r="C47" s="23">
        <f t="shared" si="1"/>
        <v>0.95833333333333337</v>
      </c>
      <c r="D47" s="12">
        <f>IFERROR(VLOOKUP(A47,Pavia!B:I,3,),"-")</f>
        <v>0.58333333333333337</v>
      </c>
      <c r="E47" s="23">
        <f t="shared" si="2"/>
        <v>0.95833333333333337</v>
      </c>
      <c r="F47" s="12">
        <f>IFERROR(VLOOKUP(A47,Pavia!B:I,4,),"-")</f>
        <v>0.58333333333333337</v>
      </c>
      <c r="G47" s="23">
        <f t="shared" si="3"/>
        <v>0.95833333333333337</v>
      </c>
      <c r="H47" s="12">
        <f>IFERROR(VLOOKUP(A47,Pavia!B:I,5,),"-")</f>
        <v>0.58333333333333337</v>
      </c>
      <c r="I47" s="23">
        <f t="shared" si="4"/>
        <v>0.95833333333333337</v>
      </c>
      <c r="J47" s="12">
        <f>IFERROR(VLOOKUP(A47,Pavia!B:I,6,),"-")</f>
        <v>0.58333333333333337</v>
      </c>
      <c r="K47" s="23">
        <f t="shared" si="5"/>
        <v>0.95833333333333337</v>
      </c>
      <c r="L47" s="12" t="str">
        <f>IFERROR(VLOOKUP(A47,Pavia!B:I,7,),"-")</f>
        <v>OFF</v>
      </c>
      <c r="M47" s="23" t="str">
        <f t="shared" si="6"/>
        <v>OFF</v>
      </c>
      <c r="N47" s="12" t="str">
        <f>IFERROR(VLOOKUP(A47,Pavia!B:I,8,),"-")</f>
        <v>OFF</v>
      </c>
      <c r="O47" s="23" t="str">
        <f t="shared" si="7"/>
        <v>OFF</v>
      </c>
      <c r="Q47" s="12" t="str">
        <f>IFERROR(VLOOKUP(A47,Pavia!B:Y,24,),"-")</f>
        <v>OFF</v>
      </c>
      <c r="R47" s="23" t="str">
        <f t="shared" si="8"/>
        <v>OFF</v>
      </c>
      <c r="T47" s="25">
        <f>IFERROR(VLOOKUP(A47,Pavia!$B:$J,9,),"-")</f>
        <v>0.58333333333333337</v>
      </c>
      <c r="U47" s="23">
        <f t="shared" si="9"/>
        <v>0.95833333333333337</v>
      </c>
      <c r="V47" s="12">
        <f>IFERROR(VLOOKUP(A47,Pavia!B:K,10,),"-")</f>
        <v>0.58333333333333337</v>
      </c>
      <c r="W47" s="23">
        <f t="shared" si="10"/>
        <v>0.95833333333333337</v>
      </c>
      <c r="X47" s="12">
        <f>IFERROR(VLOOKUP(A47,Pavia!B:L,11,),"-")</f>
        <v>0.58333333333333337</v>
      </c>
      <c r="Y47" s="23">
        <f t="shared" si="11"/>
        <v>0.95833333333333337</v>
      </c>
      <c r="Z47" s="12">
        <f>IFERROR(VLOOKUP(A47,Pavia!B:M,12,),"-")</f>
        <v>0.58333333333333337</v>
      </c>
      <c r="AA47" s="23">
        <f t="shared" si="12"/>
        <v>0.95833333333333337</v>
      </c>
      <c r="AB47" s="12">
        <f>IFERROR(VLOOKUP(A47,Pavia!B:N,13,),"-")</f>
        <v>0.58333333333333337</v>
      </c>
      <c r="AC47" s="23">
        <f t="shared" si="13"/>
        <v>0.95833333333333337</v>
      </c>
      <c r="AD47" s="12" t="str">
        <f>IFERROR(VLOOKUP(A47,Pavia!B:O,14,),"-")</f>
        <v>OFF</v>
      </c>
      <c r="AE47" s="23" t="str">
        <f t="shared" si="14"/>
        <v>OFF</v>
      </c>
      <c r="AF47" s="21" t="str">
        <f>IFERROR(VLOOKUP(A47,Pavia!B:P,15,),"-")</f>
        <v>OFF</v>
      </c>
      <c r="AG47" s="23" t="str">
        <f t="shared" si="15"/>
        <v>OFF</v>
      </c>
      <c r="AI47" s="25">
        <f>IFERROR(VLOOKUP(A47,Pavia!$B:$Q,16,),"-")</f>
        <v>0.58333333333333337</v>
      </c>
      <c r="AJ47" s="23">
        <f t="shared" si="16"/>
        <v>0.95833333333333337</v>
      </c>
      <c r="AK47" s="12">
        <f>IFERROR(VLOOKUP(A47,Pavia!B:R,17,),"-")</f>
        <v>0.58333333333333337</v>
      </c>
      <c r="AL47" s="23">
        <f t="shared" si="17"/>
        <v>0.95833333333333337</v>
      </c>
      <c r="AM47" s="12">
        <f>IFERROR(VLOOKUP(A47,Pavia!B:S,18,),"-")</f>
        <v>0.58333333333333337</v>
      </c>
      <c r="AN47" s="23">
        <f t="shared" si="18"/>
        <v>0.95833333333333337</v>
      </c>
      <c r="AO47" s="12">
        <f>IFERROR(VLOOKUP(A47,Pavia!B:T,19,),"-")</f>
        <v>0.58333333333333337</v>
      </c>
      <c r="AP47" s="23">
        <f t="shared" si="19"/>
        <v>0.95833333333333337</v>
      </c>
      <c r="AQ47" s="12">
        <f>IFERROR(VLOOKUP(A47,Pavia!B:U,20,),"-")</f>
        <v>0.58333333333333337</v>
      </c>
      <c r="AR47" s="23">
        <f t="shared" si="20"/>
        <v>0.95833333333333337</v>
      </c>
      <c r="AS47" s="12" t="str">
        <f>IFERROR(VLOOKUP(A47,Pavia!B:V,21,),"-")</f>
        <v>OFF</v>
      </c>
      <c r="AT47" s="23" t="str">
        <f t="shared" si="21"/>
        <v>OFF</v>
      </c>
      <c r="AU47" s="21" t="str">
        <f>IFERROR(VLOOKUP(A47,Pavia!B:W,22,),"-")</f>
        <v>OFF</v>
      </c>
      <c r="AV47" s="23" t="str">
        <f t="shared" si="22"/>
        <v>OFF</v>
      </c>
    </row>
    <row r="48" spans="1:48" ht="15.75" thickBot="1" x14ac:dyDescent="0.3">
      <c r="A48" s="20" t="str">
        <f>Pavia!B49</f>
        <v>John Mark Solis</v>
      </c>
      <c r="B48" s="12">
        <f>IFERROR(VLOOKUP(A48,Pavia!B:I,2,),"-")</f>
        <v>0.58333333333333337</v>
      </c>
      <c r="C48" s="23">
        <f t="shared" si="1"/>
        <v>0.95833333333333337</v>
      </c>
      <c r="D48" s="12">
        <f>IFERROR(VLOOKUP(A48,Pavia!B:I,3,),"-")</f>
        <v>0.58333333333333337</v>
      </c>
      <c r="E48" s="23">
        <f t="shared" si="2"/>
        <v>0.95833333333333337</v>
      </c>
      <c r="F48" s="12">
        <f>IFERROR(VLOOKUP(A48,Pavia!B:I,4,),"-")</f>
        <v>0.58333333333333337</v>
      </c>
      <c r="G48" s="23">
        <f t="shared" si="3"/>
        <v>0.95833333333333337</v>
      </c>
      <c r="H48" s="12">
        <f>IFERROR(VLOOKUP(A48,Pavia!B:I,5,),"-")</f>
        <v>0.58333333333333337</v>
      </c>
      <c r="I48" s="23">
        <f t="shared" si="4"/>
        <v>0.95833333333333337</v>
      </c>
      <c r="J48" s="12">
        <f>IFERROR(VLOOKUP(A48,Pavia!B:I,6,),"-")</f>
        <v>0.58333333333333337</v>
      </c>
      <c r="K48" s="23">
        <f t="shared" si="5"/>
        <v>0.95833333333333337</v>
      </c>
      <c r="L48" s="12" t="str">
        <f>IFERROR(VLOOKUP(A48,Pavia!B:I,7,),"-")</f>
        <v>OFF</v>
      </c>
      <c r="M48" s="23" t="str">
        <f t="shared" si="6"/>
        <v>OFF</v>
      </c>
      <c r="N48" s="12" t="str">
        <f>IFERROR(VLOOKUP(A48,Pavia!B:I,8,),"-")</f>
        <v>OFF</v>
      </c>
      <c r="O48" s="23" t="str">
        <f t="shared" si="7"/>
        <v>OFF</v>
      </c>
      <c r="Q48" s="12" t="str">
        <f>IFERROR(VLOOKUP(A48,Pavia!B:Y,24,),"-")</f>
        <v>OFF</v>
      </c>
      <c r="R48" s="23" t="str">
        <f t="shared" si="8"/>
        <v>OFF</v>
      </c>
      <c r="T48" s="25">
        <f>IFERROR(VLOOKUP(A48,Pavia!$B:$J,9,),"-")</f>
        <v>0.58333333333333337</v>
      </c>
      <c r="U48" s="23">
        <f t="shared" si="9"/>
        <v>0.95833333333333337</v>
      </c>
      <c r="V48" s="12">
        <f>IFERROR(VLOOKUP(A48,Pavia!B:K,10,),"-")</f>
        <v>0.58333333333333337</v>
      </c>
      <c r="W48" s="23">
        <f t="shared" si="10"/>
        <v>0.95833333333333337</v>
      </c>
      <c r="X48" s="12">
        <f>IFERROR(VLOOKUP(A48,Pavia!B:L,11,),"-")</f>
        <v>0.58333333333333337</v>
      </c>
      <c r="Y48" s="23">
        <f t="shared" si="11"/>
        <v>0.95833333333333337</v>
      </c>
      <c r="Z48" s="12">
        <f>IFERROR(VLOOKUP(A48,Pavia!B:M,12,),"-")</f>
        <v>0.58333333333333337</v>
      </c>
      <c r="AA48" s="23">
        <f t="shared" si="12"/>
        <v>0.95833333333333337</v>
      </c>
      <c r="AB48" s="12">
        <f>IFERROR(VLOOKUP(A48,Pavia!B:N,13,),"-")</f>
        <v>0.58333333333333337</v>
      </c>
      <c r="AC48" s="23">
        <f t="shared" si="13"/>
        <v>0.95833333333333337</v>
      </c>
      <c r="AD48" s="12" t="str">
        <f>IFERROR(VLOOKUP(A48,Pavia!B:O,14,),"-")</f>
        <v>OFF</v>
      </c>
      <c r="AE48" s="23" t="str">
        <f t="shared" si="14"/>
        <v>OFF</v>
      </c>
      <c r="AF48" s="21" t="str">
        <f>IFERROR(VLOOKUP(A48,Pavia!B:P,15,),"-")</f>
        <v>OFF</v>
      </c>
      <c r="AG48" s="23" t="str">
        <f t="shared" si="15"/>
        <v>OFF</v>
      </c>
      <c r="AI48" s="25">
        <f>IFERROR(VLOOKUP(A48,Pavia!$B:$Q,16,),"-")</f>
        <v>0.58333333333333337</v>
      </c>
      <c r="AJ48" s="23">
        <f t="shared" si="16"/>
        <v>0.95833333333333337</v>
      </c>
      <c r="AK48" s="12">
        <f>IFERROR(VLOOKUP(A48,Pavia!B:R,17,),"-")</f>
        <v>0.58333333333333337</v>
      </c>
      <c r="AL48" s="23">
        <f t="shared" si="17"/>
        <v>0.95833333333333337</v>
      </c>
      <c r="AM48" s="12">
        <f>IFERROR(VLOOKUP(A48,Pavia!B:S,18,),"-")</f>
        <v>0.58333333333333337</v>
      </c>
      <c r="AN48" s="23">
        <f t="shared" si="18"/>
        <v>0.95833333333333337</v>
      </c>
      <c r="AO48" s="12">
        <f>IFERROR(VLOOKUP(A48,Pavia!B:T,19,),"-")</f>
        <v>0.58333333333333337</v>
      </c>
      <c r="AP48" s="23">
        <f t="shared" si="19"/>
        <v>0.95833333333333337</v>
      </c>
      <c r="AQ48" s="12">
        <f>IFERROR(VLOOKUP(A48,Pavia!B:U,20,),"-")</f>
        <v>0.58333333333333337</v>
      </c>
      <c r="AR48" s="23">
        <f t="shared" si="20"/>
        <v>0.95833333333333337</v>
      </c>
      <c r="AS48" s="12" t="str">
        <f>IFERROR(VLOOKUP(A48,Pavia!B:V,21,),"-")</f>
        <v>OFF</v>
      </c>
      <c r="AT48" s="23" t="str">
        <f t="shared" si="21"/>
        <v>OFF</v>
      </c>
      <c r="AU48" s="21" t="str">
        <f>IFERROR(VLOOKUP(A48,Pavia!B:W,22,),"-")</f>
        <v>OFF</v>
      </c>
      <c r="AV48" s="23" t="str">
        <f t="shared" si="22"/>
        <v>OFF</v>
      </c>
    </row>
    <row r="49" spans="1:48" ht="15.75" thickBot="1" x14ac:dyDescent="0.3">
      <c r="A49" s="20" t="str">
        <f>Pavia!B50</f>
        <v>Marjorie Estope</v>
      </c>
      <c r="B49" s="12">
        <f>IFERROR(VLOOKUP(A49,Pavia!B:I,2,),"-")</f>
        <v>0.58333333333333337</v>
      </c>
      <c r="C49" s="23">
        <f t="shared" si="1"/>
        <v>0.95833333333333337</v>
      </c>
      <c r="D49" s="12">
        <f>IFERROR(VLOOKUP(A49,Pavia!B:I,3,),"-")</f>
        <v>0.58333333333333337</v>
      </c>
      <c r="E49" s="23">
        <f t="shared" si="2"/>
        <v>0.95833333333333337</v>
      </c>
      <c r="F49" s="12">
        <f>IFERROR(VLOOKUP(A49,Pavia!B:I,4,),"-")</f>
        <v>0.58333333333333337</v>
      </c>
      <c r="G49" s="23">
        <f t="shared" si="3"/>
        <v>0.95833333333333337</v>
      </c>
      <c r="H49" s="12">
        <f>IFERROR(VLOOKUP(A49,Pavia!B:I,5,),"-")</f>
        <v>0.58333333333333337</v>
      </c>
      <c r="I49" s="23">
        <f t="shared" si="4"/>
        <v>0.95833333333333337</v>
      </c>
      <c r="J49" s="12">
        <f>IFERROR(VLOOKUP(A49,Pavia!B:I,6,),"-")</f>
        <v>0.58333333333333337</v>
      </c>
      <c r="K49" s="23">
        <f t="shared" si="5"/>
        <v>0.95833333333333337</v>
      </c>
      <c r="L49" s="12" t="str">
        <f>IFERROR(VLOOKUP(A49,Pavia!B:I,7,),"-")</f>
        <v>OFF</v>
      </c>
      <c r="M49" s="23" t="str">
        <f t="shared" si="6"/>
        <v>OFF</v>
      </c>
      <c r="N49" s="12" t="str">
        <f>IFERROR(VLOOKUP(A49,Pavia!B:I,8,),"-")</f>
        <v>OFF</v>
      </c>
      <c r="O49" s="23" t="str">
        <f t="shared" si="7"/>
        <v>OFF</v>
      </c>
      <c r="Q49" s="12" t="str">
        <f>IFERROR(VLOOKUP(A49,Pavia!B:Y,24,),"-")</f>
        <v>OFF</v>
      </c>
      <c r="R49" s="23" t="str">
        <f t="shared" si="8"/>
        <v>OFF</v>
      </c>
      <c r="T49" s="25">
        <f>IFERROR(VLOOKUP(A49,Pavia!$B:$J,9,),"-")</f>
        <v>0.58333333333333337</v>
      </c>
      <c r="U49" s="23">
        <f t="shared" si="9"/>
        <v>0.95833333333333337</v>
      </c>
      <c r="V49" s="12">
        <f>IFERROR(VLOOKUP(A49,Pavia!B:K,10,),"-")</f>
        <v>0.58333333333333337</v>
      </c>
      <c r="W49" s="23">
        <f t="shared" si="10"/>
        <v>0.95833333333333337</v>
      </c>
      <c r="X49" s="12">
        <f>IFERROR(VLOOKUP(A49,Pavia!B:L,11,),"-")</f>
        <v>0.58333333333333337</v>
      </c>
      <c r="Y49" s="23">
        <f t="shared" si="11"/>
        <v>0.95833333333333337</v>
      </c>
      <c r="Z49" s="12">
        <f>IFERROR(VLOOKUP(A49,Pavia!B:M,12,),"-")</f>
        <v>0.58333333333333337</v>
      </c>
      <c r="AA49" s="23">
        <f t="shared" si="12"/>
        <v>0.95833333333333337</v>
      </c>
      <c r="AB49" s="12">
        <f>IFERROR(VLOOKUP(A49,Pavia!B:N,13,),"-")</f>
        <v>0.58333333333333337</v>
      </c>
      <c r="AC49" s="23">
        <f t="shared" si="13"/>
        <v>0.95833333333333337</v>
      </c>
      <c r="AD49" s="12" t="str">
        <f>IFERROR(VLOOKUP(A49,Pavia!B:O,14,),"-")</f>
        <v>OFF</v>
      </c>
      <c r="AE49" s="23" t="str">
        <f t="shared" si="14"/>
        <v>OFF</v>
      </c>
      <c r="AF49" s="21" t="str">
        <f>IFERROR(VLOOKUP(A49,Pavia!B:P,15,),"-")</f>
        <v>OFF</v>
      </c>
      <c r="AG49" s="23" t="str">
        <f t="shared" si="15"/>
        <v>OFF</v>
      </c>
      <c r="AI49" s="25">
        <f>IFERROR(VLOOKUP(A49,Pavia!$B:$Q,16,),"-")</f>
        <v>0.58333333333333337</v>
      </c>
      <c r="AJ49" s="23">
        <f t="shared" si="16"/>
        <v>0.95833333333333337</v>
      </c>
      <c r="AK49" s="12">
        <f>IFERROR(VLOOKUP(A49,Pavia!B:R,17,),"-")</f>
        <v>0.58333333333333337</v>
      </c>
      <c r="AL49" s="23">
        <f t="shared" si="17"/>
        <v>0.95833333333333337</v>
      </c>
      <c r="AM49" s="12">
        <f>IFERROR(VLOOKUP(A49,Pavia!B:S,18,),"-")</f>
        <v>0.58333333333333337</v>
      </c>
      <c r="AN49" s="23">
        <f t="shared" si="18"/>
        <v>0.95833333333333337</v>
      </c>
      <c r="AO49" s="12">
        <f>IFERROR(VLOOKUP(A49,Pavia!B:T,19,),"-")</f>
        <v>0.58333333333333337</v>
      </c>
      <c r="AP49" s="23">
        <f t="shared" si="19"/>
        <v>0.95833333333333337</v>
      </c>
      <c r="AQ49" s="12">
        <f>IFERROR(VLOOKUP(A49,Pavia!B:U,20,),"-")</f>
        <v>0.58333333333333337</v>
      </c>
      <c r="AR49" s="23">
        <f t="shared" si="20"/>
        <v>0.95833333333333337</v>
      </c>
      <c r="AS49" s="12" t="str">
        <f>IFERROR(VLOOKUP(A49,Pavia!B:V,21,),"-")</f>
        <v>OFF</v>
      </c>
      <c r="AT49" s="23" t="str">
        <f t="shared" si="21"/>
        <v>OFF</v>
      </c>
      <c r="AU49" s="21" t="str">
        <f>IFERROR(VLOOKUP(A49,Pavia!B:W,22,),"-")</f>
        <v>OFF</v>
      </c>
      <c r="AV49" s="23" t="str">
        <f t="shared" si="22"/>
        <v>OFF</v>
      </c>
    </row>
    <row r="50" spans="1:48" ht="15.75" thickBot="1" x14ac:dyDescent="0.3">
      <c r="A50" s="20" t="str">
        <f>Pavia!B51</f>
        <v>Daina May Salazar</v>
      </c>
      <c r="B50" s="12">
        <f>IFERROR(VLOOKUP(A50,Pavia!B:I,2,),"-")</f>
        <v>0.875</v>
      </c>
      <c r="C50" s="23">
        <f t="shared" si="1"/>
        <v>1.25</v>
      </c>
      <c r="D50" s="12">
        <f>IFERROR(VLOOKUP(A50,Pavia!B:I,3,),"-")</f>
        <v>0.875</v>
      </c>
      <c r="E50" s="23">
        <f t="shared" si="2"/>
        <v>1.25</v>
      </c>
      <c r="F50" s="12">
        <f>IFERROR(VLOOKUP(A50,Pavia!B:I,4,),"-")</f>
        <v>0.875</v>
      </c>
      <c r="G50" s="23">
        <f t="shared" si="3"/>
        <v>1.25</v>
      </c>
      <c r="H50" s="12" t="str">
        <f>IFERROR(VLOOKUP(A50,Pavia!B:I,5,),"-")</f>
        <v>OFF</v>
      </c>
      <c r="I50" s="23" t="str">
        <f t="shared" si="4"/>
        <v>OFF</v>
      </c>
      <c r="J50" s="12" t="str">
        <f>IFERROR(VLOOKUP(A50,Pavia!B:I,6,),"-")</f>
        <v>OFF</v>
      </c>
      <c r="K50" s="23" t="str">
        <f t="shared" si="5"/>
        <v>OFF</v>
      </c>
      <c r="L50" s="12">
        <f>IFERROR(VLOOKUP(A50,Pavia!B:I,7,),"-")</f>
        <v>0.875</v>
      </c>
      <c r="M50" s="23">
        <f t="shared" si="6"/>
        <v>1.25</v>
      </c>
      <c r="N50" s="12">
        <f>IFERROR(VLOOKUP(A50,Pavia!B:I,8,),"-")</f>
        <v>0.875</v>
      </c>
      <c r="O50" s="23">
        <f t="shared" si="7"/>
        <v>1.25</v>
      </c>
      <c r="Q50" s="12">
        <f>IFERROR(VLOOKUP(A50,Pavia!B:Y,24,),"-")</f>
        <v>0.875</v>
      </c>
      <c r="R50" s="23">
        <f t="shared" si="8"/>
        <v>1.25</v>
      </c>
      <c r="T50" s="25">
        <f>IFERROR(VLOOKUP(A50,Pavia!$B:$J,9,),"-")</f>
        <v>0.875</v>
      </c>
      <c r="U50" s="23">
        <f t="shared" si="9"/>
        <v>1.25</v>
      </c>
      <c r="V50" s="12">
        <f>IFERROR(VLOOKUP(A50,Pavia!B:K,10,),"-")</f>
        <v>0.875</v>
      </c>
      <c r="W50" s="23">
        <f t="shared" si="10"/>
        <v>1.25</v>
      </c>
      <c r="X50" s="12">
        <f>IFERROR(VLOOKUP(A50,Pavia!B:L,11,),"-")</f>
        <v>0.875</v>
      </c>
      <c r="Y50" s="23">
        <f t="shared" si="11"/>
        <v>1.25</v>
      </c>
      <c r="Z50" s="12" t="str">
        <f>IFERROR(VLOOKUP(A50,Pavia!B:M,12,),"-")</f>
        <v>OFF</v>
      </c>
      <c r="AA50" s="23" t="str">
        <f t="shared" si="12"/>
        <v>OFF</v>
      </c>
      <c r="AB50" s="12" t="str">
        <f>IFERROR(VLOOKUP(A50,Pavia!B:N,13,),"-")</f>
        <v>OFF</v>
      </c>
      <c r="AC50" s="23" t="str">
        <f t="shared" si="13"/>
        <v>OFF</v>
      </c>
      <c r="AD50" s="12">
        <f>IFERROR(VLOOKUP(A50,Pavia!B:O,14,),"-")</f>
        <v>0.875</v>
      </c>
      <c r="AE50" s="23">
        <f t="shared" si="14"/>
        <v>1.25</v>
      </c>
      <c r="AF50" s="21">
        <f>IFERROR(VLOOKUP(A50,Pavia!B:P,15,),"-")</f>
        <v>0.875</v>
      </c>
      <c r="AG50" s="23">
        <f t="shared" si="15"/>
        <v>1.25</v>
      </c>
      <c r="AI50" s="25">
        <f>IFERROR(VLOOKUP(A50,Pavia!$B:$Q,16,),"-")</f>
        <v>0.875</v>
      </c>
      <c r="AJ50" s="23">
        <f t="shared" si="16"/>
        <v>1.25</v>
      </c>
      <c r="AK50" s="12">
        <f>IFERROR(VLOOKUP(A50,Pavia!B:R,17,),"-")</f>
        <v>0.875</v>
      </c>
      <c r="AL50" s="23">
        <f t="shared" si="17"/>
        <v>1.25</v>
      </c>
      <c r="AM50" s="12">
        <f>IFERROR(VLOOKUP(A50,Pavia!B:S,18,),"-")</f>
        <v>0.875</v>
      </c>
      <c r="AN50" s="23">
        <f t="shared" si="18"/>
        <v>1.25</v>
      </c>
      <c r="AO50" s="12" t="str">
        <f>IFERROR(VLOOKUP(A50,Pavia!B:T,19,),"-")</f>
        <v>OFF</v>
      </c>
      <c r="AP50" s="23" t="str">
        <f t="shared" si="19"/>
        <v>OFF</v>
      </c>
      <c r="AQ50" s="12" t="str">
        <f>IFERROR(VLOOKUP(A50,Pavia!B:U,20,),"-")</f>
        <v>OFF</v>
      </c>
      <c r="AR50" s="23" t="str">
        <f t="shared" si="20"/>
        <v>OFF</v>
      </c>
      <c r="AS50" s="12">
        <f>IFERROR(VLOOKUP(A50,Pavia!B:V,21,),"-")</f>
        <v>0.875</v>
      </c>
      <c r="AT50" s="23">
        <f t="shared" si="21"/>
        <v>1.25</v>
      </c>
      <c r="AU50" s="21">
        <f>IFERROR(VLOOKUP(A50,Pavia!B:W,22,),"-")</f>
        <v>0.875</v>
      </c>
      <c r="AV50" s="23">
        <f t="shared" si="22"/>
        <v>1.25</v>
      </c>
    </row>
    <row r="51" spans="1:48" ht="15.75" thickBot="1" x14ac:dyDescent="0.3">
      <c r="A51" s="20" t="str">
        <f>Pavia!B52</f>
        <v>Ricky Labrada</v>
      </c>
      <c r="B51" s="12">
        <f>IFERROR(VLOOKUP(A51,Pavia!B:I,2,),"-")</f>
        <v>0.875</v>
      </c>
      <c r="C51" s="23">
        <f t="shared" si="1"/>
        <v>1.25</v>
      </c>
      <c r="D51" s="12">
        <f>IFERROR(VLOOKUP(A51,Pavia!B:I,3,),"-")</f>
        <v>0.875</v>
      </c>
      <c r="E51" s="23">
        <f t="shared" si="2"/>
        <v>1.25</v>
      </c>
      <c r="F51" s="12">
        <f>IFERROR(VLOOKUP(A51,Pavia!B:I,4,),"-")</f>
        <v>0.875</v>
      </c>
      <c r="G51" s="23">
        <f t="shared" si="3"/>
        <v>1.25</v>
      </c>
      <c r="H51" s="12" t="str">
        <f>IFERROR(VLOOKUP(A51,Pavia!B:I,5,),"-")</f>
        <v>OFF</v>
      </c>
      <c r="I51" s="23" t="str">
        <f t="shared" si="4"/>
        <v>OFF</v>
      </c>
      <c r="J51" s="12" t="str">
        <f>IFERROR(VLOOKUP(A51,Pavia!B:I,6,),"-")</f>
        <v>OFF</v>
      </c>
      <c r="K51" s="23" t="str">
        <f t="shared" si="5"/>
        <v>OFF</v>
      </c>
      <c r="L51" s="12">
        <f>IFERROR(VLOOKUP(A51,Pavia!B:I,7,),"-")</f>
        <v>0.875</v>
      </c>
      <c r="M51" s="23">
        <f t="shared" si="6"/>
        <v>1.25</v>
      </c>
      <c r="N51" s="12">
        <f>IFERROR(VLOOKUP(A51,Pavia!B:I,8,),"-")</f>
        <v>0.875</v>
      </c>
      <c r="O51" s="23">
        <f t="shared" si="7"/>
        <v>1.25</v>
      </c>
      <c r="Q51" s="12">
        <f>IFERROR(VLOOKUP(A51,Pavia!B:Y,24,),"-")</f>
        <v>0.875</v>
      </c>
      <c r="R51" s="23">
        <f t="shared" si="8"/>
        <v>1.25</v>
      </c>
      <c r="T51" s="25">
        <f>IFERROR(VLOOKUP(A51,Pavia!$B:$J,9,),"-")</f>
        <v>0.875</v>
      </c>
      <c r="U51" s="23">
        <f t="shared" si="9"/>
        <v>1.25</v>
      </c>
      <c r="V51" s="12">
        <f>IFERROR(VLOOKUP(A51,Pavia!B:K,10,),"-")</f>
        <v>0.875</v>
      </c>
      <c r="W51" s="23">
        <f t="shared" si="10"/>
        <v>1.25</v>
      </c>
      <c r="X51" s="12">
        <f>IFERROR(VLOOKUP(A51,Pavia!B:L,11,),"-")</f>
        <v>0.875</v>
      </c>
      <c r="Y51" s="23">
        <f t="shared" si="11"/>
        <v>1.25</v>
      </c>
      <c r="Z51" s="12" t="str">
        <f>IFERROR(VLOOKUP(A51,Pavia!B:M,12,),"-")</f>
        <v>OFF</v>
      </c>
      <c r="AA51" s="23" t="str">
        <f t="shared" si="12"/>
        <v>OFF</v>
      </c>
      <c r="AB51" s="12" t="str">
        <f>IFERROR(VLOOKUP(A51,Pavia!B:N,13,),"-")</f>
        <v>OFF</v>
      </c>
      <c r="AC51" s="23" t="str">
        <f t="shared" si="13"/>
        <v>OFF</v>
      </c>
      <c r="AD51" s="12">
        <f>IFERROR(VLOOKUP(A51,Pavia!B:O,14,),"-")</f>
        <v>0.875</v>
      </c>
      <c r="AE51" s="23">
        <f t="shared" si="14"/>
        <v>1.25</v>
      </c>
      <c r="AF51" s="21">
        <f>IFERROR(VLOOKUP(A51,Pavia!B:P,15,),"-")</f>
        <v>0.875</v>
      </c>
      <c r="AG51" s="23">
        <f t="shared" si="15"/>
        <v>1.25</v>
      </c>
      <c r="AI51" s="25">
        <f>IFERROR(VLOOKUP(A51,Pavia!$B:$Q,16,),"-")</f>
        <v>0.875</v>
      </c>
      <c r="AJ51" s="23">
        <f t="shared" si="16"/>
        <v>1.25</v>
      </c>
      <c r="AK51" s="12">
        <f>IFERROR(VLOOKUP(A51,Pavia!B:R,17,),"-")</f>
        <v>0.875</v>
      </c>
      <c r="AL51" s="23">
        <f t="shared" si="17"/>
        <v>1.25</v>
      </c>
      <c r="AM51" s="12">
        <f>IFERROR(VLOOKUP(A51,Pavia!B:S,18,),"-")</f>
        <v>0.875</v>
      </c>
      <c r="AN51" s="23">
        <f t="shared" si="18"/>
        <v>1.25</v>
      </c>
      <c r="AO51" s="12" t="str">
        <f>IFERROR(VLOOKUP(A51,Pavia!B:T,19,),"-")</f>
        <v>OFF</v>
      </c>
      <c r="AP51" s="23" t="str">
        <f t="shared" si="19"/>
        <v>OFF</v>
      </c>
      <c r="AQ51" s="12" t="str">
        <f>IFERROR(VLOOKUP(A51,Pavia!B:U,20,),"-")</f>
        <v>OFF</v>
      </c>
      <c r="AR51" s="23" t="str">
        <f t="shared" si="20"/>
        <v>OFF</v>
      </c>
      <c r="AS51" s="12">
        <f>IFERROR(VLOOKUP(A51,Pavia!B:V,21,),"-")</f>
        <v>0.875</v>
      </c>
      <c r="AT51" s="23">
        <f t="shared" si="21"/>
        <v>1.25</v>
      </c>
      <c r="AU51" s="21">
        <f>IFERROR(VLOOKUP(A51,Pavia!B:W,22,),"-")</f>
        <v>0.875</v>
      </c>
      <c r="AV51" s="23">
        <f t="shared" si="22"/>
        <v>1.25</v>
      </c>
    </row>
    <row r="52" spans="1:48" ht="15.75" thickBot="1" x14ac:dyDescent="0.3">
      <c r="A52" s="20" t="str">
        <f>Pavia!B53</f>
        <v>Erlyn Joy Claro</v>
      </c>
      <c r="B52" s="12">
        <f>IFERROR(VLOOKUP(A52,Pavia!B:I,2,),"-")</f>
        <v>0.875</v>
      </c>
      <c r="C52" s="23">
        <f t="shared" si="1"/>
        <v>1.25</v>
      </c>
      <c r="D52" s="12">
        <f>IFERROR(VLOOKUP(A52,Pavia!B:I,3,),"-")</f>
        <v>0.875</v>
      </c>
      <c r="E52" s="23">
        <f t="shared" si="2"/>
        <v>1.25</v>
      </c>
      <c r="F52" s="12" t="str">
        <f>IFERROR(VLOOKUP(A52,Pavia!B:I,4,),"-")</f>
        <v>OFF</v>
      </c>
      <c r="G52" s="23" t="str">
        <f t="shared" si="3"/>
        <v>OFF</v>
      </c>
      <c r="H52" s="12">
        <f>IFERROR(VLOOKUP(A52,Pavia!B:I,5,),"-")</f>
        <v>0.875</v>
      </c>
      <c r="I52" s="23">
        <f t="shared" si="4"/>
        <v>1.25</v>
      </c>
      <c r="J52" s="12">
        <f>IFERROR(VLOOKUP(A52,Pavia!B:I,6,),"-")</f>
        <v>0.875</v>
      </c>
      <c r="K52" s="23">
        <f t="shared" si="5"/>
        <v>1.25</v>
      </c>
      <c r="L52" s="12" t="str">
        <f>IFERROR(VLOOKUP(A52,Pavia!B:I,7,),"-")</f>
        <v>OFF</v>
      </c>
      <c r="M52" s="23" t="str">
        <f t="shared" si="6"/>
        <v>OFF</v>
      </c>
      <c r="N52" s="12">
        <f>IFERROR(VLOOKUP(A52,Pavia!B:I,8,),"-")</f>
        <v>0.875</v>
      </c>
      <c r="O52" s="23">
        <f t="shared" si="7"/>
        <v>1.25</v>
      </c>
      <c r="Q52" s="12">
        <f>IFERROR(VLOOKUP(A52,Pavia!B:Y,24,),"-")</f>
        <v>0.875</v>
      </c>
      <c r="R52" s="23">
        <f t="shared" si="8"/>
        <v>1.25</v>
      </c>
      <c r="T52" s="25">
        <f>IFERROR(VLOOKUP(A52,Pavia!$B:$J,9,),"-")</f>
        <v>0.875</v>
      </c>
      <c r="U52" s="23">
        <f t="shared" si="9"/>
        <v>1.25</v>
      </c>
      <c r="V52" s="12">
        <f>IFERROR(VLOOKUP(A52,Pavia!B:K,10,),"-")</f>
        <v>0.875</v>
      </c>
      <c r="W52" s="23">
        <f t="shared" si="10"/>
        <v>1.25</v>
      </c>
      <c r="X52" s="12">
        <f>IFERROR(VLOOKUP(A52,Pavia!B:L,11,),"-")</f>
        <v>0.875</v>
      </c>
      <c r="Y52" s="23">
        <f t="shared" si="11"/>
        <v>1.25</v>
      </c>
      <c r="Z52" s="12">
        <f>IFERROR(VLOOKUP(A52,Pavia!B:M,12,),"-")</f>
        <v>0.875</v>
      </c>
      <c r="AA52" s="23">
        <f t="shared" si="12"/>
        <v>1.25</v>
      </c>
      <c r="AB52" s="12" t="str">
        <f>IFERROR(VLOOKUP(A52,Pavia!B:N,13,),"-")</f>
        <v>OFF</v>
      </c>
      <c r="AC52" s="23" t="str">
        <f t="shared" si="13"/>
        <v>OFF</v>
      </c>
      <c r="AD52" s="12" t="str">
        <f>IFERROR(VLOOKUP(A52,Pavia!B:O,14,),"-")</f>
        <v>OFF</v>
      </c>
      <c r="AE52" s="23" t="str">
        <f t="shared" si="14"/>
        <v>OFF</v>
      </c>
      <c r="AF52" s="21">
        <f>IFERROR(VLOOKUP(A52,Pavia!B:P,15,),"-")</f>
        <v>0.875</v>
      </c>
      <c r="AG52" s="23">
        <f t="shared" si="15"/>
        <v>1.25</v>
      </c>
      <c r="AI52" s="25">
        <f>IFERROR(VLOOKUP(A52,Pavia!$B:$Q,16,),"-")</f>
        <v>0.875</v>
      </c>
      <c r="AJ52" s="23">
        <f t="shared" si="16"/>
        <v>1.25</v>
      </c>
      <c r="AK52" s="12">
        <f>IFERROR(VLOOKUP(A52,Pavia!B:R,17,),"-")</f>
        <v>0.875</v>
      </c>
      <c r="AL52" s="23">
        <f t="shared" si="17"/>
        <v>1.25</v>
      </c>
      <c r="AM52" s="12">
        <f>IFERROR(VLOOKUP(A52,Pavia!B:S,18,),"-")</f>
        <v>0.875</v>
      </c>
      <c r="AN52" s="23">
        <f t="shared" si="18"/>
        <v>1.25</v>
      </c>
      <c r="AO52" s="12">
        <f>IFERROR(VLOOKUP(A52,Pavia!B:T,19,),"-")</f>
        <v>0.875</v>
      </c>
      <c r="AP52" s="23">
        <f t="shared" si="19"/>
        <v>1.25</v>
      </c>
      <c r="AQ52" s="12" t="str">
        <f>IFERROR(VLOOKUP(A52,Pavia!B:U,20,),"-")</f>
        <v>OFF</v>
      </c>
      <c r="AR52" s="23" t="str">
        <f t="shared" si="20"/>
        <v>OFF</v>
      </c>
      <c r="AS52" s="12" t="str">
        <f>IFERROR(VLOOKUP(A52,Pavia!B:V,21,),"-")</f>
        <v>OFF</v>
      </c>
      <c r="AT52" s="23" t="str">
        <f t="shared" si="21"/>
        <v>OFF</v>
      </c>
      <c r="AU52" s="21">
        <f>IFERROR(VLOOKUP(A52,Pavia!B:W,22,),"-")</f>
        <v>0.875</v>
      </c>
      <c r="AV52" s="23">
        <f t="shared" si="22"/>
        <v>1.25</v>
      </c>
    </row>
    <row r="53" spans="1:48" ht="15.75" thickBot="1" x14ac:dyDescent="0.3">
      <c r="A53" s="20" t="str">
        <f>Pavia!B54</f>
        <v>Rhea Mae Fungot</v>
      </c>
      <c r="B53" s="12">
        <f>IFERROR(VLOOKUP(A53,Pavia!B:I,2,),"-")</f>
        <v>0.875</v>
      </c>
      <c r="C53" s="23">
        <f t="shared" si="1"/>
        <v>1.25</v>
      </c>
      <c r="D53" s="12" t="str">
        <f>IFERROR(VLOOKUP(A53,Pavia!B:I,3,),"-")</f>
        <v>OFF</v>
      </c>
      <c r="E53" s="23" t="str">
        <f t="shared" si="2"/>
        <v>OFF</v>
      </c>
      <c r="F53" s="12">
        <f>IFERROR(VLOOKUP(A53,Pavia!B:I,4,),"-")</f>
        <v>0.875</v>
      </c>
      <c r="G53" s="23">
        <f t="shared" si="3"/>
        <v>1.25</v>
      </c>
      <c r="H53" s="12">
        <f>IFERROR(VLOOKUP(A53,Pavia!B:I,5,),"-")</f>
        <v>0.875</v>
      </c>
      <c r="I53" s="23">
        <f t="shared" si="4"/>
        <v>1.25</v>
      </c>
      <c r="J53" s="12" t="str">
        <f>IFERROR(VLOOKUP(A53,Pavia!B:I,6,),"-")</f>
        <v>OFF</v>
      </c>
      <c r="K53" s="23" t="str">
        <f t="shared" si="5"/>
        <v>OFF</v>
      </c>
      <c r="L53" s="12">
        <f>IFERROR(VLOOKUP(A53,Pavia!B:I,7,),"-")</f>
        <v>0.875</v>
      </c>
      <c r="M53" s="23">
        <f t="shared" si="6"/>
        <v>1.25</v>
      </c>
      <c r="N53" s="12">
        <f>IFERROR(VLOOKUP(A53,Pavia!B:I,8,),"-")</f>
        <v>0.875</v>
      </c>
      <c r="O53" s="23">
        <f t="shared" si="7"/>
        <v>1.25</v>
      </c>
      <c r="Q53" s="12">
        <f>IFERROR(VLOOKUP(A53,Pavia!B:Y,24,),"-")</f>
        <v>0.875</v>
      </c>
      <c r="R53" s="23">
        <f t="shared" si="8"/>
        <v>1.25</v>
      </c>
      <c r="T53" s="25">
        <f>IFERROR(VLOOKUP(A53,Pavia!$B:$J,9,),"-")</f>
        <v>0.875</v>
      </c>
      <c r="U53" s="23">
        <f t="shared" si="9"/>
        <v>1.25</v>
      </c>
      <c r="V53" s="12">
        <f>IFERROR(VLOOKUP(A53,Pavia!B:K,10,),"-")</f>
        <v>0.875</v>
      </c>
      <c r="W53" s="23">
        <f t="shared" si="10"/>
        <v>1.25</v>
      </c>
      <c r="X53" s="12">
        <f>IFERROR(VLOOKUP(A53,Pavia!B:L,11,),"-")</f>
        <v>0.875</v>
      </c>
      <c r="Y53" s="23">
        <f t="shared" si="11"/>
        <v>1.25</v>
      </c>
      <c r="Z53" s="12" t="str">
        <f>IFERROR(VLOOKUP(A53,Pavia!B:M,12,),"-")</f>
        <v>OFF</v>
      </c>
      <c r="AA53" s="23" t="str">
        <f t="shared" si="12"/>
        <v>OFF</v>
      </c>
      <c r="AB53" s="12" t="str">
        <f>IFERROR(VLOOKUP(A53,Pavia!B:N,13,),"-")</f>
        <v>OFF</v>
      </c>
      <c r="AC53" s="23" t="str">
        <f t="shared" si="13"/>
        <v>OFF</v>
      </c>
      <c r="AD53" s="12">
        <f>IFERROR(VLOOKUP(A53,Pavia!B:O,14,),"-")</f>
        <v>0.875</v>
      </c>
      <c r="AE53" s="23">
        <f t="shared" si="14"/>
        <v>1.25</v>
      </c>
      <c r="AF53" s="21">
        <f>IFERROR(VLOOKUP(A53,Pavia!B:P,15,),"-")</f>
        <v>0.875</v>
      </c>
      <c r="AG53" s="23">
        <f t="shared" si="15"/>
        <v>1.25</v>
      </c>
      <c r="AI53" s="25">
        <f>IFERROR(VLOOKUP(A53,Pavia!$B:$Q,16,),"-")</f>
        <v>0.875</v>
      </c>
      <c r="AJ53" s="23">
        <f t="shared" si="16"/>
        <v>1.25</v>
      </c>
      <c r="AK53" s="12">
        <f>IFERROR(VLOOKUP(A53,Pavia!B:R,17,),"-")</f>
        <v>0.875</v>
      </c>
      <c r="AL53" s="23">
        <f t="shared" si="17"/>
        <v>1.25</v>
      </c>
      <c r="AM53" s="12">
        <f>IFERROR(VLOOKUP(A53,Pavia!B:S,18,),"-")</f>
        <v>0.875</v>
      </c>
      <c r="AN53" s="23">
        <f t="shared" si="18"/>
        <v>1.25</v>
      </c>
      <c r="AO53" s="12" t="str">
        <f>IFERROR(VLOOKUP(A53,Pavia!B:T,19,),"-")</f>
        <v>OFF</v>
      </c>
      <c r="AP53" s="23" t="str">
        <f t="shared" si="19"/>
        <v>OFF</v>
      </c>
      <c r="AQ53" s="12" t="str">
        <f>IFERROR(VLOOKUP(A53,Pavia!B:U,20,),"-")</f>
        <v>OFF</v>
      </c>
      <c r="AR53" s="23" t="str">
        <f t="shared" si="20"/>
        <v>OFF</v>
      </c>
      <c r="AS53" s="12">
        <f>IFERROR(VLOOKUP(A53,Pavia!B:V,21,),"-")</f>
        <v>0.875</v>
      </c>
      <c r="AT53" s="23">
        <f t="shared" si="21"/>
        <v>1.25</v>
      </c>
      <c r="AU53" s="21">
        <f>IFERROR(VLOOKUP(A53,Pavia!B:W,22,),"-")</f>
        <v>0.875</v>
      </c>
      <c r="AV53" s="23">
        <f t="shared" si="22"/>
        <v>1.25</v>
      </c>
    </row>
    <row r="54" spans="1:48" ht="15.75" thickBot="1" x14ac:dyDescent="0.3">
      <c r="A54" s="20" t="str">
        <f>Pavia!B55</f>
        <v>Anthony,Fernandez,Tabladillo</v>
      </c>
      <c r="B54" s="12">
        <f>IFERROR(VLOOKUP(A54,Pavia!B:I,2,),"-")</f>
        <v>0.875</v>
      </c>
      <c r="C54" s="23">
        <f t="shared" si="1"/>
        <v>1.25</v>
      </c>
      <c r="D54" s="12">
        <f>IFERROR(VLOOKUP(A54,Pavia!B:I,3,),"-")</f>
        <v>0.875</v>
      </c>
      <c r="E54" s="23">
        <f t="shared" si="2"/>
        <v>1.25</v>
      </c>
      <c r="F54" s="12">
        <f>IFERROR(VLOOKUP(A54,Pavia!B:I,4,),"-")</f>
        <v>0.875</v>
      </c>
      <c r="G54" s="23">
        <f t="shared" si="3"/>
        <v>1.25</v>
      </c>
      <c r="H54" s="12">
        <f>IFERROR(VLOOKUP(A54,Pavia!B:I,5,),"-")</f>
        <v>0.875</v>
      </c>
      <c r="I54" s="23">
        <f t="shared" si="4"/>
        <v>1.25</v>
      </c>
      <c r="J54" s="12" t="str">
        <f>IFERROR(VLOOKUP(A54,Pavia!B:I,6,),"-")</f>
        <v>OFF</v>
      </c>
      <c r="K54" s="23" t="str">
        <f t="shared" si="5"/>
        <v>OFF</v>
      </c>
      <c r="L54" s="12" t="str">
        <f>IFERROR(VLOOKUP(A54,Pavia!B:I,7,),"-")</f>
        <v>OFF</v>
      </c>
      <c r="M54" s="23" t="str">
        <f t="shared" si="6"/>
        <v>OFF</v>
      </c>
      <c r="N54" s="12">
        <f>IFERROR(VLOOKUP(A54,Pavia!B:I,8,),"-")</f>
        <v>0.875</v>
      </c>
      <c r="O54" s="23">
        <f t="shared" si="7"/>
        <v>1.25</v>
      </c>
      <c r="Q54" s="12">
        <f>IFERROR(VLOOKUP(A54,Pavia!B:Y,24,),"-")</f>
        <v>0.875</v>
      </c>
      <c r="R54" s="23">
        <f t="shared" si="8"/>
        <v>1.25</v>
      </c>
      <c r="T54" s="25">
        <f>IFERROR(VLOOKUP(A54,Pavia!$B:$J,9,),"-")</f>
        <v>0.875</v>
      </c>
      <c r="U54" s="23">
        <f t="shared" si="9"/>
        <v>1.25</v>
      </c>
      <c r="V54" s="12">
        <f>IFERROR(VLOOKUP(A54,Pavia!B:K,10,),"-")</f>
        <v>0.875</v>
      </c>
      <c r="W54" s="23">
        <f t="shared" si="10"/>
        <v>1.25</v>
      </c>
      <c r="X54" s="12">
        <f>IFERROR(VLOOKUP(A54,Pavia!B:L,11,),"-")</f>
        <v>0.875</v>
      </c>
      <c r="Y54" s="23">
        <f t="shared" si="11"/>
        <v>1.25</v>
      </c>
      <c r="Z54" s="12">
        <f>IFERROR(VLOOKUP(A54,Pavia!B:M,12,),"-")</f>
        <v>0.875</v>
      </c>
      <c r="AA54" s="23">
        <f t="shared" si="12"/>
        <v>1.25</v>
      </c>
      <c r="AB54" s="12" t="str">
        <f>IFERROR(VLOOKUP(A54,Pavia!B:N,13,),"-")</f>
        <v>OFF</v>
      </c>
      <c r="AC54" s="23" t="str">
        <f t="shared" si="13"/>
        <v>OFF</v>
      </c>
      <c r="AD54" s="12" t="str">
        <f>IFERROR(VLOOKUP(A54,Pavia!B:O,14,),"-")</f>
        <v>OFF</v>
      </c>
      <c r="AE54" s="23" t="str">
        <f t="shared" si="14"/>
        <v>OFF</v>
      </c>
      <c r="AF54" s="21">
        <f>IFERROR(VLOOKUP(A54,Pavia!B:P,15,),"-")</f>
        <v>0.875</v>
      </c>
      <c r="AG54" s="23">
        <f t="shared" si="15"/>
        <v>1.25</v>
      </c>
      <c r="AI54" s="25">
        <f>IFERROR(VLOOKUP(A54,Pavia!$B:$Q,16,),"-")</f>
        <v>0.875</v>
      </c>
      <c r="AJ54" s="23">
        <f t="shared" si="16"/>
        <v>1.25</v>
      </c>
      <c r="AK54" s="12">
        <f>IFERROR(VLOOKUP(A54,Pavia!B:R,17,),"-")</f>
        <v>0.875</v>
      </c>
      <c r="AL54" s="23">
        <f t="shared" si="17"/>
        <v>1.25</v>
      </c>
      <c r="AM54" s="12">
        <f>IFERROR(VLOOKUP(A54,Pavia!B:S,18,),"-")</f>
        <v>0.875</v>
      </c>
      <c r="AN54" s="23">
        <f t="shared" si="18"/>
        <v>1.25</v>
      </c>
      <c r="AO54" s="12">
        <f>IFERROR(VLOOKUP(A54,Pavia!B:T,19,),"-")</f>
        <v>0.875</v>
      </c>
      <c r="AP54" s="23">
        <f t="shared" si="19"/>
        <v>1.25</v>
      </c>
      <c r="AQ54" s="12" t="str">
        <f>IFERROR(VLOOKUP(A54,Pavia!B:U,20,),"-")</f>
        <v>OFF</v>
      </c>
      <c r="AR54" s="23" t="str">
        <f t="shared" si="20"/>
        <v>OFF</v>
      </c>
      <c r="AS54" s="12" t="str">
        <f>IFERROR(VLOOKUP(A54,Pavia!B:V,21,),"-")</f>
        <v>OFF</v>
      </c>
      <c r="AT54" s="23" t="str">
        <f t="shared" si="21"/>
        <v>OFF</v>
      </c>
      <c r="AU54" s="21">
        <f>IFERROR(VLOOKUP(A54,Pavia!B:W,22,),"-")</f>
        <v>0.875</v>
      </c>
      <c r="AV54" s="23">
        <f t="shared" si="22"/>
        <v>1.25</v>
      </c>
    </row>
    <row r="55" spans="1:48" ht="15.75" thickBot="1" x14ac:dyDescent="0.3">
      <c r="A55" s="20" t="str">
        <f>Pavia!B56</f>
        <v>May Catherine Anotado Gortayo</v>
      </c>
      <c r="B55" s="12">
        <f>IFERROR(VLOOKUP(A55,Pavia!B:I,2,),"-")</f>
        <v>0.875</v>
      </c>
      <c r="C55" s="23">
        <f t="shared" si="1"/>
        <v>1.25</v>
      </c>
      <c r="D55" s="12">
        <f>IFERROR(VLOOKUP(A55,Pavia!B:I,3,),"-")</f>
        <v>0.875</v>
      </c>
      <c r="E55" s="23">
        <f t="shared" si="2"/>
        <v>1.25</v>
      </c>
      <c r="F55" s="12">
        <f>IFERROR(VLOOKUP(A55,Pavia!B:I,4,),"-")</f>
        <v>0.875</v>
      </c>
      <c r="G55" s="23">
        <f t="shared" si="3"/>
        <v>1.25</v>
      </c>
      <c r="H55" s="12">
        <f>IFERROR(VLOOKUP(A55,Pavia!B:I,5,),"-")</f>
        <v>0.875</v>
      </c>
      <c r="I55" s="23">
        <f t="shared" si="4"/>
        <v>1.25</v>
      </c>
      <c r="J55" s="12" t="str">
        <f>IFERROR(VLOOKUP(A55,Pavia!B:I,6,),"-")</f>
        <v>OFF</v>
      </c>
      <c r="K55" s="23" t="str">
        <f t="shared" si="5"/>
        <v>OFF</v>
      </c>
      <c r="L55" s="12" t="str">
        <f>IFERROR(VLOOKUP(A55,Pavia!B:I,7,),"-")</f>
        <v>OFF</v>
      </c>
      <c r="M55" s="23" t="str">
        <f t="shared" si="6"/>
        <v>OFF</v>
      </c>
      <c r="N55" s="12">
        <f>IFERROR(VLOOKUP(A55,Pavia!B:I,8,),"-")</f>
        <v>0.875</v>
      </c>
      <c r="O55" s="23">
        <f t="shared" si="7"/>
        <v>1.25</v>
      </c>
      <c r="Q55" s="12">
        <f>IFERROR(VLOOKUP(A55,Pavia!B:Y,24,),"-")</f>
        <v>0.875</v>
      </c>
      <c r="R55" s="23">
        <f t="shared" si="8"/>
        <v>1.25</v>
      </c>
      <c r="T55" s="25">
        <f>IFERROR(VLOOKUP(A55,Pavia!$B:$J,9,),"-")</f>
        <v>0.875</v>
      </c>
      <c r="U55" s="23">
        <f t="shared" si="9"/>
        <v>1.25</v>
      </c>
      <c r="V55" s="12">
        <f>IFERROR(VLOOKUP(A55,Pavia!B:K,10,),"-")</f>
        <v>0.875</v>
      </c>
      <c r="W55" s="23">
        <f t="shared" si="10"/>
        <v>1.25</v>
      </c>
      <c r="X55" s="12">
        <f>IFERROR(VLOOKUP(A55,Pavia!B:L,11,),"-")</f>
        <v>0.875</v>
      </c>
      <c r="Y55" s="23">
        <f t="shared" si="11"/>
        <v>1.25</v>
      </c>
      <c r="Z55" s="12">
        <f>IFERROR(VLOOKUP(A55,Pavia!B:M,12,),"-")</f>
        <v>0.875</v>
      </c>
      <c r="AA55" s="23">
        <f t="shared" si="12"/>
        <v>1.25</v>
      </c>
      <c r="AB55" s="12" t="str">
        <f>IFERROR(VLOOKUP(A55,Pavia!B:N,13,),"-")</f>
        <v>OFF</v>
      </c>
      <c r="AC55" s="23" t="str">
        <f t="shared" si="13"/>
        <v>OFF</v>
      </c>
      <c r="AD55" s="12" t="str">
        <f>IFERROR(VLOOKUP(A55,Pavia!B:O,14,),"-")</f>
        <v>OFF</v>
      </c>
      <c r="AE55" s="23" t="str">
        <f t="shared" si="14"/>
        <v>OFF</v>
      </c>
      <c r="AF55" s="21">
        <f>IFERROR(VLOOKUP(A55,Pavia!B:P,15,),"-")</f>
        <v>0.875</v>
      </c>
      <c r="AG55" s="23">
        <f t="shared" si="15"/>
        <v>1.25</v>
      </c>
      <c r="AI55" s="25">
        <f>IFERROR(VLOOKUP(A55,Pavia!$B:$Q,16,),"-")</f>
        <v>0.875</v>
      </c>
      <c r="AJ55" s="23">
        <f t="shared" si="16"/>
        <v>1.25</v>
      </c>
      <c r="AK55" s="12">
        <f>IFERROR(VLOOKUP(A55,Pavia!B:R,17,),"-")</f>
        <v>0.875</v>
      </c>
      <c r="AL55" s="23">
        <f t="shared" si="17"/>
        <v>1.25</v>
      </c>
      <c r="AM55" s="12">
        <f>IFERROR(VLOOKUP(A55,Pavia!B:S,18,),"-")</f>
        <v>0.875</v>
      </c>
      <c r="AN55" s="23">
        <f t="shared" si="18"/>
        <v>1.25</v>
      </c>
      <c r="AO55" s="12">
        <f>IFERROR(VLOOKUP(A55,Pavia!B:T,19,),"-")</f>
        <v>0.875</v>
      </c>
      <c r="AP55" s="23">
        <f t="shared" si="19"/>
        <v>1.25</v>
      </c>
      <c r="AQ55" s="12" t="str">
        <f>IFERROR(VLOOKUP(A55,Pavia!B:U,20,),"-")</f>
        <v>OFF</v>
      </c>
      <c r="AR55" s="23" t="str">
        <f t="shared" si="20"/>
        <v>OFF</v>
      </c>
      <c r="AS55" s="12" t="str">
        <f>IFERROR(VLOOKUP(A55,Pavia!B:V,21,),"-")</f>
        <v>OFF</v>
      </c>
      <c r="AT55" s="23" t="str">
        <f t="shared" si="21"/>
        <v>OFF</v>
      </c>
      <c r="AU55" s="21">
        <f>IFERROR(VLOOKUP(A55,Pavia!B:W,22,),"-")</f>
        <v>0.875</v>
      </c>
      <c r="AV55" s="23">
        <f t="shared" si="22"/>
        <v>1.25</v>
      </c>
    </row>
    <row r="56" spans="1:48" ht="15.75" thickBot="1" x14ac:dyDescent="0.3">
      <c r="A56" s="20" t="str">
        <f>Pavia!B57</f>
        <v>Mae Ann Gito Garque</v>
      </c>
      <c r="B56" s="12" t="str">
        <f>IFERROR(VLOOKUP(A56,Pavia!B:I,2,),"-")</f>
        <v>OFF</v>
      </c>
      <c r="C56" s="23" t="str">
        <f t="shared" si="1"/>
        <v>OFF</v>
      </c>
      <c r="D56" s="12">
        <f>IFERROR(VLOOKUP(A56,Pavia!B:I,3,),"-")</f>
        <v>0.875</v>
      </c>
      <c r="E56" s="23">
        <f t="shared" si="2"/>
        <v>1.25</v>
      </c>
      <c r="F56" s="12">
        <f>IFERROR(VLOOKUP(A56,Pavia!B:I,4,),"-")</f>
        <v>0.875</v>
      </c>
      <c r="G56" s="23">
        <f t="shared" si="3"/>
        <v>1.25</v>
      </c>
      <c r="H56" s="12">
        <f>IFERROR(VLOOKUP(A56,Pavia!B:I,5,),"-")</f>
        <v>0.875</v>
      </c>
      <c r="I56" s="23">
        <f t="shared" si="4"/>
        <v>1.25</v>
      </c>
      <c r="J56" s="12">
        <f>IFERROR(VLOOKUP(A56,Pavia!B:I,6,),"-")</f>
        <v>0.875</v>
      </c>
      <c r="K56" s="23">
        <f t="shared" si="5"/>
        <v>1.25</v>
      </c>
      <c r="L56" s="12">
        <f>IFERROR(VLOOKUP(A56,Pavia!B:I,7,),"-")</f>
        <v>0.875</v>
      </c>
      <c r="M56" s="23">
        <f t="shared" si="6"/>
        <v>1.25</v>
      </c>
      <c r="N56" s="12" t="str">
        <f>IFERROR(VLOOKUP(A56,Pavia!B:I,8,),"-")</f>
        <v>OFF</v>
      </c>
      <c r="O56" s="23" t="str">
        <f t="shared" si="7"/>
        <v>OFF</v>
      </c>
      <c r="Q56" s="12" t="str">
        <f>IFERROR(VLOOKUP(A56,Pavia!B:Y,24,),"-")</f>
        <v>OFF</v>
      </c>
      <c r="R56" s="23" t="str">
        <f t="shared" si="8"/>
        <v>OFF</v>
      </c>
      <c r="T56" s="25" t="str">
        <f>IFERROR(VLOOKUP(A56,Pavia!$B:$J,9,),"-")</f>
        <v>OFF</v>
      </c>
      <c r="U56" s="23" t="str">
        <f t="shared" si="9"/>
        <v>OFF</v>
      </c>
      <c r="V56" s="12">
        <f>IFERROR(VLOOKUP(A56,Pavia!B:K,10,),"-")</f>
        <v>0.875</v>
      </c>
      <c r="W56" s="23">
        <f t="shared" si="10"/>
        <v>1.25</v>
      </c>
      <c r="X56" s="12">
        <f>IFERROR(VLOOKUP(A56,Pavia!B:L,11,),"-")</f>
        <v>0.875</v>
      </c>
      <c r="Y56" s="23">
        <f t="shared" si="11"/>
        <v>1.25</v>
      </c>
      <c r="Z56" s="12">
        <f>IFERROR(VLOOKUP(A56,Pavia!B:M,12,),"-")</f>
        <v>0.875</v>
      </c>
      <c r="AA56" s="23">
        <f t="shared" si="12"/>
        <v>1.25</v>
      </c>
      <c r="AB56" s="12">
        <f>IFERROR(VLOOKUP(A56,Pavia!B:N,13,),"-")</f>
        <v>0.875</v>
      </c>
      <c r="AC56" s="23">
        <f t="shared" si="13"/>
        <v>1.25</v>
      </c>
      <c r="AD56" s="12">
        <f>IFERROR(VLOOKUP(A56,Pavia!B:O,14,),"-")</f>
        <v>0.875</v>
      </c>
      <c r="AE56" s="23">
        <f t="shared" si="14"/>
        <v>1.25</v>
      </c>
      <c r="AF56" s="21" t="str">
        <f>IFERROR(VLOOKUP(A56,Pavia!B:P,15,),"-")</f>
        <v>OFF</v>
      </c>
      <c r="AG56" s="23" t="str">
        <f t="shared" si="15"/>
        <v>OFF</v>
      </c>
      <c r="AI56" s="25" t="str">
        <f>IFERROR(VLOOKUP(A56,Pavia!$B:$Q,16,),"-")</f>
        <v>OFF</v>
      </c>
      <c r="AJ56" s="23" t="str">
        <f t="shared" si="16"/>
        <v>OFF</v>
      </c>
      <c r="AK56" s="12">
        <f>IFERROR(VLOOKUP(A56,Pavia!B:R,17,),"-")</f>
        <v>0.875</v>
      </c>
      <c r="AL56" s="23">
        <f t="shared" si="17"/>
        <v>1.25</v>
      </c>
      <c r="AM56" s="12">
        <f>IFERROR(VLOOKUP(A56,Pavia!B:S,18,),"-")</f>
        <v>0.875</v>
      </c>
      <c r="AN56" s="23">
        <f t="shared" si="18"/>
        <v>1.25</v>
      </c>
      <c r="AO56" s="12">
        <f>IFERROR(VLOOKUP(A56,Pavia!B:T,19,),"-")</f>
        <v>0.875</v>
      </c>
      <c r="AP56" s="23">
        <f t="shared" si="19"/>
        <v>1.25</v>
      </c>
      <c r="AQ56" s="12">
        <f>IFERROR(VLOOKUP(A56,Pavia!B:U,20,),"-")</f>
        <v>0.875</v>
      </c>
      <c r="AR56" s="23">
        <f t="shared" si="20"/>
        <v>1.25</v>
      </c>
      <c r="AS56" s="12">
        <f>IFERROR(VLOOKUP(A56,Pavia!B:V,21,),"-")</f>
        <v>0.875</v>
      </c>
      <c r="AT56" s="23">
        <f t="shared" si="21"/>
        <v>1.25</v>
      </c>
      <c r="AU56" s="21" t="str">
        <f>IFERROR(VLOOKUP(A56,Pavia!B:W,22,),"-")</f>
        <v>OFF</v>
      </c>
      <c r="AV56" s="23" t="str">
        <f t="shared" si="22"/>
        <v>OFF</v>
      </c>
    </row>
    <row r="57" spans="1:48" ht="15.75" thickBot="1" x14ac:dyDescent="0.3">
      <c r="A57" s="20" t="str">
        <f>Pavia!B58</f>
        <v>Noel Roman Delos Reyes</v>
      </c>
      <c r="B57" s="12">
        <f>IFERROR(VLOOKUP(A57,Pavia!B:I,2,),"-")</f>
        <v>0.875</v>
      </c>
      <c r="C57" s="23">
        <f t="shared" si="1"/>
        <v>1.25</v>
      </c>
      <c r="D57" s="12">
        <f>IFERROR(VLOOKUP(A57,Pavia!B:I,3,),"-")</f>
        <v>0.875</v>
      </c>
      <c r="E57" s="23">
        <f t="shared" si="2"/>
        <v>1.25</v>
      </c>
      <c r="F57" s="12">
        <f>IFERROR(VLOOKUP(A57,Pavia!B:I,4,),"-")</f>
        <v>0.875</v>
      </c>
      <c r="G57" s="23">
        <f t="shared" si="3"/>
        <v>1.25</v>
      </c>
      <c r="H57" s="12">
        <f>IFERROR(VLOOKUP(A57,Pavia!B:I,5,),"-")</f>
        <v>0.875</v>
      </c>
      <c r="I57" s="23">
        <f t="shared" si="4"/>
        <v>1.25</v>
      </c>
      <c r="J57" s="12">
        <f>IFERROR(VLOOKUP(A57,Pavia!B:I,6,),"-")</f>
        <v>0.875</v>
      </c>
      <c r="K57" s="23">
        <f t="shared" si="5"/>
        <v>1.25</v>
      </c>
      <c r="L57" s="12" t="str">
        <f>IFERROR(VLOOKUP(A57,Pavia!B:I,7,),"-")</f>
        <v>OFF</v>
      </c>
      <c r="M57" s="23" t="str">
        <f t="shared" si="6"/>
        <v>OFF</v>
      </c>
      <c r="N57" s="12" t="str">
        <f>IFERROR(VLOOKUP(A57,Pavia!B:I,8,),"-")</f>
        <v>OFF</v>
      </c>
      <c r="O57" s="23" t="str">
        <f t="shared" si="7"/>
        <v>OFF</v>
      </c>
      <c r="Q57" s="12" t="str">
        <f>IFERROR(VLOOKUP(A57,Pavia!B:Y,24,),"-")</f>
        <v>OFF</v>
      </c>
      <c r="R57" s="23" t="str">
        <f t="shared" si="8"/>
        <v>OFF</v>
      </c>
      <c r="T57" s="25">
        <f>IFERROR(VLOOKUP(A57,Pavia!$B:$J,9,),"-")</f>
        <v>0.875</v>
      </c>
      <c r="U57" s="23">
        <f t="shared" si="9"/>
        <v>1.25</v>
      </c>
      <c r="V57" s="12">
        <f>IFERROR(VLOOKUP(A57,Pavia!B:K,10,),"-")</f>
        <v>0.875</v>
      </c>
      <c r="W57" s="23">
        <f t="shared" si="10"/>
        <v>1.25</v>
      </c>
      <c r="X57" s="12">
        <f>IFERROR(VLOOKUP(A57,Pavia!B:L,11,),"-")</f>
        <v>0.875</v>
      </c>
      <c r="Y57" s="23">
        <f t="shared" si="11"/>
        <v>1.25</v>
      </c>
      <c r="Z57" s="12">
        <f>IFERROR(VLOOKUP(A57,Pavia!B:M,12,),"-")</f>
        <v>0.875</v>
      </c>
      <c r="AA57" s="23">
        <f t="shared" si="12"/>
        <v>1.25</v>
      </c>
      <c r="AB57" s="12">
        <f>IFERROR(VLOOKUP(A57,Pavia!B:N,13,),"-")</f>
        <v>0.875</v>
      </c>
      <c r="AC57" s="23">
        <f t="shared" si="13"/>
        <v>1.25</v>
      </c>
      <c r="AD57" s="12" t="str">
        <f>IFERROR(VLOOKUP(A57,Pavia!B:O,14,),"-")</f>
        <v>OFF</v>
      </c>
      <c r="AE57" s="23" t="str">
        <f t="shared" si="14"/>
        <v>OFF</v>
      </c>
      <c r="AF57" s="21" t="str">
        <f>IFERROR(VLOOKUP(A57,Pavia!B:P,15,),"-")</f>
        <v>OFF</v>
      </c>
      <c r="AG57" s="23" t="str">
        <f t="shared" si="15"/>
        <v>OFF</v>
      </c>
      <c r="AI57" s="25">
        <f>IFERROR(VLOOKUP(A57,Pavia!$B:$Q,16,),"-")</f>
        <v>0.875</v>
      </c>
      <c r="AJ57" s="23">
        <f t="shared" si="16"/>
        <v>1.25</v>
      </c>
      <c r="AK57" s="12">
        <f>IFERROR(VLOOKUP(A57,Pavia!B:R,17,),"-")</f>
        <v>0.875</v>
      </c>
      <c r="AL57" s="23">
        <f t="shared" si="17"/>
        <v>1.25</v>
      </c>
      <c r="AM57" s="12">
        <f>IFERROR(VLOOKUP(A57,Pavia!B:S,18,),"-")</f>
        <v>0.875</v>
      </c>
      <c r="AN57" s="23">
        <f t="shared" si="18"/>
        <v>1.25</v>
      </c>
      <c r="AO57" s="12">
        <f>IFERROR(VLOOKUP(A57,Pavia!B:T,19,),"-")</f>
        <v>0.875</v>
      </c>
      <c r="AP57" s="23">
        <f t="shared" si="19"/>
        <v>1.25</v>
      </c>
      <c r="AQ57" s="12">
        <f>IFERROR(VLOOKUP(A57,Pavia!B:U,20,),"-")</f>
        <v>0.875</v>
      </c>
      <c r="AR57" s="23">
        <f t="shared" si="20"/>
        <v>1.25</v>
      </c>
      <c r="AS57" s="12" t="str">
        <f>IFERROR(VLOOKUP(A57,Pavia!B:V,21,),"-")</f>
        <v>OFF</v>
      </c>
      <c r="AT57" s="23" t="str">
        <f t="shared" si="21"/>
        <v>OFF</v>
      </c>
      <c r="AU57" s="21" t="str">
        <f>IFERROR(VLOOKUP(A57,Pavia!B:W,22,),"-")</f>
        <v>OFF</v>
      </c>
      <c r="AV57" s="23" t="str">
        <f t="shared" si="22"/>
        <v>OFF</v>
      </c>
    </row>
    <row r="58" spans="1:48" ht="15.75" thickBot="1" x14ac:dyDescent="0.3">
      <c r="A58" s="20" t="str">
        <f>Pavia!B59</f>
        <v>Josette Len Alde</v>
      </c>
      <c r="B58" s="12" t="str">
        <f>IFERROR(VLOOKUP(A58,Pavia!B:I,2,),"-")</f>
        <v>OFF</v>
      </c>
      <c r="C58" s="23" t="str">
        <f t="shared" si="1"/>
        <v>OFF</v>
      </c>
      <c r="D58" s="12" t="str">
        <f>IFERROR(VLOOKUP(A58,Pavia!B:I,3,),"-")</f>
        <v>OFF</v>
      </c>
      <c r="E58" s="23" t="str">
        <f t="shared" si="2"/>
        <v>OFF</v>
      </c>
      <c r="F58" s="12" t="str">
        <f>IFERROR(VLOOKUP(A58,Pavia!B:I,4,),"-")</f>
        <v>OFF</v>
      </c>
      <c r="G58" s="23" t="str">
        <f t="shared" si="3"/>
        <v>OFF</v>
      </c>
      <c r="H58" s="12" t="str">
        <f>IFERROR(VLOOKUP(A58,Pavia!B:I,5,),"-")</f>
        <v>OFF</v>
      </c>
      <c r="I58" s="23" t="str">
        <f t="shared" si="4"/>
        <v>OFF</v>
      </c>
      <c r="J58" s="12" t="str">
        <f>IFERROR(VLOOKUP(A58,Pavia!B:I,6,),"-")</f>
        <v>OFF</v>
      </c>
      <c r="K58" s="23" t="str">
        <f t="shared" si="5"/>
        <v>OFF</v>
      </c>
      <c r="L58" s="12" t="str">
        <f>IFERROR(VLOOKUP(A58,Pavia!B:I,7,),"-")</f>
        <v>OFF</v>
      </c>
      <c r="M58" s="23" t="str">
        <f t="shared" si="6"/>
        <v>OFF</v>
      </c>
      <c r="N58" s="12" t="str">
        <f>IFERROR(VLOOKUP(A58,Pavia!B:I,8,),"-")</f>
        <v>OFF</v>
      </c>
      <c r="O58" s="23" t="str">
        <f t="shared" si="7"/>
        <v>OFF</v>
      </c>
      <c r="Q58" s="12" t="str">
        <f>IFERROR(VLOOKUP(A58,Pavia!B:Y,24,),"-")</f>
        <v>OFF</v>
      </c>
      <c r="R58" s="23" t="str">
        <f t="shared" si="8"/>
        <v>OFF</v>
      </c>
      <c r="T58" s="25" t="str">
        <f>IFERROR(VLOOKUP(A58,Pavia!$B:$J,9,),"-")</f>
        <v>OFF</v>
      </c>
      <c r="U58" s="23" t="str">
        <f t="shared" si="9"/>
        <v>OFF</v>
      </c>
      <c r="V58" s="12" t="str">
        <f>IFERROR(VLOOKUP(A58,Pavia!B:K,10,),"-")</f>
        <v>OFF</v>
      </c>
      <c r="W58" s="23" t="str">
        <f t="shared" si="10"/>
        <v>OFF</v>
      </c>
      <c r="X58" s="12" t="str">
        <f>IFERROR(VLOOKUP(A58,Pavia!B:L,11,),"-")</f>
        <v>OFF</v>
      </c>
      <c r="Y58" s="23" t="str">
        <f t="shared" si="11"/>
        <v>OFF</v>
      </c>
      <c r="Z58" s="12" t="str">
        <f>IFERROR(VLOOKUP(A58,Pavia!B:M,12,),"-")</f>
        <v>OFF</v>
      </c>
      <c r="AA58" s="23" t="str">
        <f t="shared" si="12"/>
        <v>OFF</v>
      </c>
      <c r="AB58" s="12" t="str">
        <f>IFERROR(VLOOKUP(A58,Pavia!B:N,13,),"-")</f>
        <v>OFF</v>
      </c>
      <c r="AC58" s="23" t="str">
        <f t="shared" si="13"/>
        <v>OFF</v>
      </c>
      <c r="AD58" s="12" t="str">
        <f>IFERROR(VLOOKUP(A58,Pavia!B:O,14,),"-")</f>
        <v>OFF</v>
      </c>
      <c r="AE58" s="23" t="str">
        <f t="shared" si="14"/>
        <v>OFF</v>
      </c>
      <c r="AF58" s="21" t="str">
        <f>IFERROR(VLOOKUP(A58,Pavia!B:P,15,),"-")</f>
        <v>OFF</v>
      </c>
      <c r="AG58" s="23" t="str">
        <f t="shared" si="15"/>
        <v>OFF</v>
      </c>
      <c r="AI58" s="25" t="str">
        <f>IFERROR(VLOOKUP(A58,Pavia!$B:$Q,16,),"-")</f>
        <v>OFF</v>
      </c>
      <c r="AJ58" s="23" t="str">
        <f t="shared" si="16"/>
        <v>OFF</v>
      </c>
      <c r="AK58" s="12" t="str">
        <f>IFERROR(VLOOKUP(A58,Pavia!B:R,17,),"-")</f>
        <v>OFF</v>
      </c>
      <c r="AL58" s="23" t="str">
        <f t="shared" si="17"/>
        <v>OFF</v>
      </c>
      <c r="AM58" s="12" t="str">
        <f>IFERROR(VLOOKUP(A58,Pavia!B:S,18,),"-")</f>
        <v>OFF</v>
      </c>
      <c r="AN58" s="23" t="str">
        <f t="shared" si="18"/>
        <v>OFF</v>
      </c>
      <c r="AO58" s="12" t="str">
        <f>IFERROR(VLOOKUP(A58,Pavia!B:T,19,),"-")</f>
        <v>OFF</v>
      </c>
      <c r="AP58" s="23" t="str">
        <f t="shared" si="19"/>
        <v>OFF</v>
      </c>
      <c r="AQ58" s="12" t="str">
        <f>IFERROR(VLOOKUP(A58,Pavia!B:U,20,),"-")</f>
        <v>OFF</v>
      </c>
      <c r="AR58" s="23" t="str">
        <f t="shared" si="20"/>
        <v>OFF</v>
      </c>
      <c r="AS58" s="12" t="str">
        <f>IFERROR(VLOOKUP(A58,Pavia!B:V,21,),"-")</f>
        <v>OFF</v>
      </c>
      <c r="AT58" s="23" t="str">
        <f t="shared" si="21"/>
        <v>OFF</v>
      </c>
      <c r="AU58" s="21" t="str">
        <f>IFERROR(VLOOKUP(A58,Pavia!B:W,22,),"-")</f>
        <v>OFF</v>
      </c>
      <c r="AV58" s="23" t="str">
        <f t="shared" si="22"/>
        <v>OFF</v>
      </c>
    </row>
    <row r="59" spans="1:48" ht="15.75" thickBot="1" x14ac:dyDescent="0.3">
      <c r="A59" s="20" t="str">
        <f>Pavia!B60</f>
        <v>Rovilou Bayog</v>
      </c>
      <c r="B59" s="12">
        <f>IFERROR(VLOOKUP(A59,Pavia!B:I,2,),"-")</f>
        <v>0.875</v>
      </c>
      <c r="C59" s="23">
        <f t="shared" si="1"/>
        <v>1.25</v>
      </c>
      <c r="D59" s="12">
        <f>IFERROR(VLOOKUP(A59,Pavia!B:I,3,),"-")</f>
        <v>0.875</v>
      </c>
      <c r="E59" s="23">
        <f t="shared" si="2"/>
        <v>1.25</v>
      </c>
      <c r="F59" s="12">
        <f>IFERROR(VLOOKUP(A59,Pavia!B:I,4,),"-")</f>
        <v>0.875</v>
      </c>
      <c r="G59" s="23">
        <f t="shared" si="3"/>
        <v>1.25</v>
      </c>
      <c r="H59" s="12">
        <f>IFERROR(VLOOKUP(A59,Pavia!B:I,5,),"-")</f>
        <v>0.875</v>
      </c>
      <c r="I59" s="23">
        <f t="shared" si="4"/>
        <v>1.25</v>
      </c>
      <c r="J59" s="12" t="str">
        <f>IFERROR(VLOOKUP(A59,Pavia!B:I,6,),"-")</f>
        <v>OFF</v>
      </c>
      <c r="K59" s="23" t="str">
        <f t="shared" si="5"/>
        <v>OFF</v>
      </c>
      <c r="L59" s="12" t="str">
        <f>IFERROR(VLOOKUP(A59,Pavia!B:I,7,),"-")</f>
        <v>OFF</v>
      </c>
      <c r="M59" s="23" t="str">
        <f t="shared" si="6"/>
        <v>OFF</v>
      </c>
      <c r="N59" s="12">
        <f>IFERROR(VLOOKUP(A59,Pavia!B:I,8,),"-")</f>
        <v>0.875</v>
      </c>
      <c r="O59" s="23">
        <f t="shared" si="7"/>
        <v>1.25</v>
      </c>
      <c r="Q59" s="12">
        <f>IFERROR(VLOOKUP(A59,Pavia!B:Y,24,),"-")</f>
        <v>0.875</v>
      </c>
      <c r="R59" s="23">
        <f t="shared" si="8"/>
        <v>1.25</v>
      </c>
      <c r="T59" s="25">
        <f>IFERROR(VLOOKUP(A59,Pavia!$B:$J,9,),"-")</f>
        <v>0.875</v>
      </c>
      <c r="U59" s="23">
        <f t="shared" si="9"/>
        <v>1.25</v>
      </c>
      <c r="V59" s="12">
        <f>IFERROR(VLOOKUP(A59,Pavia!B:K,10,),"-")</f>
        <v>0.875</v>
      </c>
      <c r="W59" s="23">
        <f t="shared" si="10"/>
        <v>1.25</v>
      </c>
      <c r="X59" s="12">
        <f>IFERROR(VLOOKUP(A59,Pavia!B:L,11,),"-")</f>
        <v>0.875</v>
      </c>
      <c r="Y59" s="23">
        <f t="shared" si="11"/>
        <v>1.25</v>
      </c>
      <c r="Z59" s="12">
        <f>IFERROR(VLOOKUP(A59,Pavia!B:M,12,),"-")</f>
        <v>0.875</v>
      </c>
      <c r="AA59" s="23">
        <f t="shared" si="12"/>
        <v>1.25</v>
      </c>
      <c r="AB59" s="12" t="str">
        <f>IFERROR(VLOOKUP(A59,Pavia!B:N,13,),"-")</f>
        <v>OFF</v>
      </c>
      <c r="AC59" s="23" t="str">
        <f t="shared" si="13"/>
        <v>OFF</v>
      </c>
      <c r="AD59" s="12" t="str">
        <f>IFERROR(VLOOKUP(A59,Pavia!B:O,14,),"-")</f>
        <v>OFF</v>
      </c>
      <c r="AE59" s="23" t="str">
        <f t="shared" si="14"/>
        <v>OFF</v>
      </c>
      <c r="AF59" s="21">
        <f>IFERROR(VLOOKUP(A59,Pavia!B:P,15,),"-")</f>
        <v>0.875</v>
      </c>
      <c r="AG59" s="23">
        <f t="shared" si="15"/>
        <v>1.25</v>
      </c>
      <c r="AI59" s="25">
        <f>IFERROR(VLOOKUP(A59,Pavia!$B:$Q,16,),"-")</f>
        <v>0.875</v>
      </c>
      <c r="AJ59" s="23">
        <f t="shared" si="16"/>
        <v>1.25</v>
      </c>
      <c r="AK59" s="12">
        <f>IFERROR(VLOOKUP(A59,Pavia!B:R,17,),"-")</f>
        <v>0.875</v>
      </c>
      <c r="AL59" s="23">
        <f t="shared" si="17"/>
        <v>1.25</v>
      </c>
      <c r="AM59" s="12">
        <f>IFERROR(VLOOKUP(A59,Pavia!B:S,18,),"-")</f>
        <v>0.875</v>
      </c>
      <c r="AN59" s="23">
        <f t="shared" si="18"/>
        <v>1.25</v>
      </c>
      <c r="AO59" s="12">
        <f>IFERROR(VLOOKUP(A59,Pavia!B:T,19,),"-")</f>
        <v>0.875</v>
      </c>
      <c r="AP59" s="23">
        <f t="shared" si="19"/>
        <v>1.25</v>
      </c>
      <c r="AQ59" s="12" t="str">
        <f>IFERROR(VLOOKUP(A59,Pavia!B:U,20,),"-")</f>
        <v>OFF</v>
      </c>
      <c r="AR59" s="23" t="str">
        <f t="shared" si="20"/>
        <v>OFF</v>
      </c>
      <c r="AS59" s="12" t="str">
        <f>IFERROR(VLOOKUP(A59,Pavia!B:V,21,),"-")</f>
        <v>OFF</v>
      </c>
      <c r="AT59" s="23" t="str">
        <f t="shared" si="21"/>
        <v>OFF</v>
      </c>
      <c r="AU59" s="21">
        <f>IFERROR(VLOOKUP(A59,Pavia!B:W,22,),"-")</f>
        <v>0.875</v>
      </c>
      <c r="AV59" s="23">
        <f t="shared" si="22"/>
        <v>1.25</v>
      </c>
    </row>
    <row r="60" spans="1:48" ht="15.75" thickBot="1" x14ac:dyDescent="0.3">
      <c r="A60" s="20" t="str">
        <f>Pavia!B61</f>
        <v>Judith Gardose</v>
      </c>
      <c r="B60" s="12">
        <f>IFERROR(VLOOKUP(A60,Pavia!B:I,2,),"-")</f>
        <v>0.875</v>
      </c>
      <c r="C60" s="23">
        <f t="shared" si="1"/>
        <v>1.25</v>
      </c>
      <c r="D60" s="12">
        <f>IFERROR(VLOOKUP(A60,Pavia!B:I,3,),"-")</f>
        <v>0.875</v>
      </c>
      <c r="E60" s="23">
        <f t="shared" si="2"/>
        <v>1.25</v>
      </c>
      <c r="F60" s="12">
        <f>IFERROR(VLOOKUP(A60,Pavia!B:I,4,),"-")</f>
        <v>0.875</v>
      </c>
      <c r="G60" s="23">
        <f t="shared" si="3"/>
        <v>1.25</v>
      </c>
      <c r="H60" s="12">
        <f>IFERROR(VLOOKUP(A60,Pavia!B:I,5,),"-")</f>
        <v>0.875</v>
      </c>
      <c r="I60" s="23">
        <f t="shared" si="4"/>
        <v>1.25</v>
      </c>
      <c r="J60" s="12">
        <f>IFERROR(VLOOKUP(A60,Pavia!B:I,6,),"-")</f>
        <v>0.875</v>
      </c>
      <c r="K60" s="23">
        <f t="shared" si="5"/>
        <v>1.25</v>
      </c>
      <c r="L60" s="12" t="str">
        <f>IFERROR(VLOOKUP(A60,Pavia!B:I,7,),"-")</f>
        <v>OFF</v>
      </c>
      <c r="M60" s="23" t="str">
        <f t="shared" si="6"/>
        <v>OFF</v>
      </c>
      <c r="N60" s="12" t="str">
        <f>IFERROR(VLOOKUP(A60,Pavia!B:I,8,),"-")</f>
        <v>OFF</v>
      </c>
      <c r="O60" s="23" t="str">
        <f t="shared" si="7"/>
        <v>OFF</v>
      </c>
      <c r="Q60" s="12" t="str">
        <f>IFERROR(VLOOKUP(A60,Pavia!B:Y,24,),"-")</f>
        <v>OFF</v>
      </c>
      <c r="R60" s="23" t="str">
        <f t="shared" si="8"/>
        <v>OFF</v>
      </c>
      <c r="T60" s="25">
        <f>IFERROR(VLOOKUP(A60,Pavia!$B:$J,9,),"-")</f>
        <v>0.875</v>
      </c>
      <c r="U60" s="23">
        <f t="shared" si="9"/>
        <v>1.25</v>
      </c>
      <c r="V60" s="12">
        <f>IFERROR(VLOOKUP(A60,Pavia!B:K,10,),"-")</f>
        <v>0.875</v>
      </c>
      <c r="W60" s="23">
        <f t="shared" si="10"/>
        <v>1.25</v>
      </c>
      <c r="X60" s="12">
        <f>IFERROR(VLOOKUP(A60,Pavia!B:L,11,),"-")</f>
        <v>0.875</v>
      </c>
      <c r="Y60" s="23">
        <f t="shared" si="11"/>
        <v>1.25</v>
      </c>
      <c r="Z60" s="12">
        <f>IFERROR(VLOOKUP(A60,Pavia!B:M,12,),"-")</f>
        <v>0.875</v>
      </c>
      <c r="AA60" s="23">
        <f t="shared" si="12"/>
        <v>1.25</v>
      </c>
      <c r="AB60" s="12">
        <f>IFERROR(VLOOKUP(A60,Pavia!B:N,13,),"-")</f>
        <v>0.875</v>
      </c>
      <c r="AC60" s="23">
        <f t="shared" si="13"/>
        <v>1.25</v>
      </c>
      <c r="AD60" s="12" t="str">
        <f>IFERROR(VLOOKUP(A60,Pavia!B:O,14,),"-")</f>
        <v>OFF</v>
      </c>
      <c r="AE60" s="23" t="str">
        <f t="shared" si="14"/>
        <v>OFF</v>
      </c>
      <c r="AF60" s="21" t="str">
        <f>IFERROR(VLOOKUP(A60,Pavia!B:P,15,),"-")</f>
        <v>OFF</v>
      </c>
      <c r="AG60" s="23" t="str">
        <f t="shared" si="15"/>
        <v>OFF</v>
      </c>
      <c r="AI60" s="25">
        <f>IFERROR(VLOOKUP(A60,Pavia!$B:$Q,16,),"-")</f>
        <v>0.875</v>
      </c>
      <c r="AJ60" s="23">
        <f t="shared" si="16"/>
        <v>1.25</v>
      </c>
      <c r="AK60" s="12">
        <f>IFERROR(VLOOKUP(A60,Pavia!B:R,17,),"-")</f>
        <v>0.875</v>
      </c>
      <c r="AL60" s="23">
        <f t="shared" si="17"/>
        <v>1.25</v>
      </c>
      <c r="AM60" s="12">
        <f>IFERROR(VLOOKUP(A60,Pavia!B:S,18,),"-")</f>
        <v>0.875</v>
      </c>
      <c r="AN60" s="23">
        <f t="shared" si="18"/>
        <v>1.25</v>
      </c>
      <c r="AO60" s="12">
        <f>IFERROR(VLOOKUP(A60,Pavia!B:T,19,),"-")</f>
        <v>0.875</v>
      </c>
      <c r="AP60" s="23">
        <f t="shared" si="19"/>
        <v>1.25</v>
      </c>
      <c r="AQ60" s="12">
        <f>IFERROR(VLOOKUP(A60,Pavia!B:U,20,),"-")</f>
        <v>0.875</v>
      </c>
      <c r="AR60" s="23">
        <f t="shared" si="20"/>
        <v>1.25</v>
      </c>
      <c r="AS60" s="12" t="str">
        <f>IFERROR(VLOOKUP(A60,Pavia!B:V,21,),"-")</f>
        <v>OFF</v>
      </c>
      <c r="AT60" s="23" t="str">
        <f t="shared" si="21"/>
        <v>OFF</v>
      </c>
      <c r="AU60" s="21" t="str">
        <f>IFERROR(VLOOKUP(A60,Pavia!B:W,22,),"-")</f>
        <v>OFF</v>
      </c>
      <c r="AV60" s="23" t="str">
        <f t="shared" si="22"/>
        <v>OFF</v>
      </c>
    </row>
    <row r="61" spans="1:48" ht="15.75" thickBot="1" x14ac:dyDescent="0.3">
      <c r="A61" s="20" t="str">
        <f>Pavia!B62</f>
        <v>Edgardo Lacson</v>
      </c>
      <c r="B61" s="12" t="str">
        <f>IFERROR(VLOOKUP(A61,Pavia!B:I,2,),"-")</f>
        <v>OFF</v>
      </c>
      <c r="C61" s="23" t="str">
        <f t="shared" si="1"/>
        <v>OFF</v>
      </c>
      <c r="D61" s="12">
        <f>IFERROR(VLOOKUP(A61,Pavia!B:I,3,),"-")</f>
        <v>0.875</v>
      </c>
      <c r="E61" s="23">
        <f t="shared" si="2"/>
        <v>1.25</v>
      </c>
      <c r="F61" s="12">
        <f>IFERROR(VLOOKUP(A61,Pavia!B:I,4,),"-")</f>
        <v>0.875</v>
      </c>
      <c r="G61" s="23">
        <f t="shared" si="3"/>
        <v>1.25</v>
      </c>
      <c r="H61" s="12">
        <f>IFERROR(VLOOKUP(A61,Pavia!B:I,5,),"-")</f>
        <v>0.875</v>
      </c>
      <c r="I61" s="23">
        <f t="shared" si="4"/>
        <v>1.25</v>
      </c>
      <c r="J61" s="12">
        <f>IFERROR(VLOOKUP(A61,Pavia!B:I,6,),"-")</f>
        <v>0.875</v>
      </c>
      <c r="K61" s="23">
        <f t="shared" si="5"/>
        <v>1.25</v>
      </c>
      <c r="L61" s="12">
        <f>IFERROR(VLOOKUP(A61,Pavia!B:I,7,),"-")</f>
        <v>0.875</v>
      </c>
      <c r="M61" s="23">
        <f t="shared" si="6"/>
        <v>1.25</v>
      </c>
      <c r="N61" s="12" t="str">
        <f>IFERROR(VLOOKUP(A61,Pavia!B:I,8,),"-")</f>
        <v>OFF</v>
      </c>
      <c r="O61" s="23" t="str">
        <f t="shared" si="7"/>
        <v>OFF</v>
      </c>
      <c r="Q61" s="12" t="str">
        <f>IFERROR(VLOOKUP(A61,Pavia!B:Y,24,),"-")</f>
        <v>OFF</v>
      </c>
      <c r="R61" s="23" t="str">
        <f t="shared" si="8"/>
        <v>OFF</v>
      </c>
      <c r="T61" s="25" t="str">
        <f>IFERROR(VLOOKUP(A61,Pavia!$B:$J,9,),"-")</f>
        <v>OFF</v>
      </c>
      <c r="U61" s="23" t="str">
        <f t="shared" si="9"/>
        <v>OFF</v>
      </c>
      <c r="V61" s="12">
        <f>IFERROR(VLOOKUP(A61,Pavia!B:K,10,),"-")</f>
        <v>0.875</v>
      </c>
      <c r="W61" s="23">
        <f t="shared" si="10"/>
        <v>1.25</v>
      </c>
      <c r="X61" s="12">
        <f>IFERROR(VLOOKUP(A61,Pavia!B:L,11,),"-")</f>
        <v>0.875</v>
      </c>
      <c r="Y61" s="23">
        <f t="shared" si="11"/>
        <v>1.25</v>
      </c>
      <c r="Z61" s="12">
        <f>IFERROR(VLOOKUP(A61,Pavia!B:M,12,),"-")</f>
        <v>0.875</v>
      </c>
      <c r="AA61" s="23">
        <f t="shared" si="12"/>
        <v>1.25</v>
      </c>
      <c r="AB61" s="12">
        <f>IFERROR(VLOOKUP(A61,Pavia!B:N,13,),"-")</f>
        <v>0.875</v>
      </c>
      <c r="AC61" s="23">
        <f t="shared" si="13"/>
        <v>1.25</v>
      </c>
      <c r="AD61" s="12">
        <f>IFERROR(VLOOKUP(A61,Pavia!B:O,14,),"-")</f>
        <v>0.875</v>
      </c>
      <c r="AE61" s="23">
        <f t="shared" si="14"/>
        <v>1.25</v>
      </c>
      <c r="AF61" s="21" t="str">
        <f>IFERROR(VLOOKUP(A61,Pavia!B:P,15,),"-")</f>
        <v>OFF</v>
      </c>
      <c r="AG61" s="23" t="str">
        <f t="shared" si="15"/>
        <v>OFF</v>
      </c>
      <c r="AI61" s="25" t="str">
        <f>IFERROR(VLOOKUP(A61,Pavia!$B:$Q,16,),"-")</f>
        <v>OFF</v>
      </c>
      <c r="AJ61" s="23" t="str">
        <f t="shared" si="16"/>
        <v>OFF</v>
      </c>
      <c r="AK61" s="12">
        <f>IFERROR(VLOOKUP(A61,Pavia!B:R,17,),"-")</f>
        <v>0.875</v>
      </c>
      <c r="AL61" s="23">
        <f t="shared" si="17"/>
        <v>1.25</v>
      </c>
      <c r="AM61" s="12">
        <f>IFERROR(VLOOKUP(A61,Pavia!B:S,18,),"-")</f>
        <v>0.875</v>
      </c>
      <c r="AN61" s="23">
        <f t="shared" si="18"/>
        <v>1.25</v>
      </c>
      <c r="AO61" s="12">
        <f>IFERROR(VLOOKUP(A61,Pavia!B:T,19,),"-")</f>
        <v>0.875</v>
      </c>
      <c r="AP61" s="23">
        <f t="shared" si="19"/>
        <v>1.25</v>
      </c>
      <c r="AQ61" s="12">
        <f>IFERROR(VLOOKUP(A61,Pavia!B:U,20,),"-")</f>
        <v>0.875</v>
      </c>
      <c r="AR61" s="23">
        <f t="shared" si="20"/>
        <v>1.25</v>
      </c>
      <c r="AS61" s="12">
        <f>IFERROR(VLOOKUP(A61,Pavia!B:V,21,),"-")</f>
        <v>0.875</v>
      </c>
      <c r="AT61" s="23">
        <f t="shared" si="21"/>
        <v>1.25</v>
      </c>
      <c r="AU61" s="21" t="str">
        <f>IFERROR(VLOOKUP(A61,Pavia!B:W,22,),"-")</f>
        <v>OFF</v>
      </c>
      <c r="AV61" s="23" t="str">
        <f t="shared" si="22"/>
        <v>OFF</v>
      </c>
    </row>
    <row r="62" spans="1:48" ht="15.75" thickBot="1" x14ac:dyDescent="0.3">
      <c r="A62" s="20" t="str">
        <f>Pavia!B63</f>
        <v>Anna Marie  Acuesta</v>
      </c>
      <c r="B62" s="12">
        <f>IFERROR(VLOOKUP(A62,Pavia!B:I,2,),"-")</f>
        <v>0.875</v>
      </c>
      <c r="C62" s="23">
        <f t="shared" si="1"/>
        <v>1.25</v>
      </c>
      <c r="D62" s="12">
        <f>IFERROR(VLOOKUP(A62,Pavia!B:I,3,),"-")</f>
        <v>0.875</v>
      </c>
      <c r="E62" s="23">
        <f t="shared" si="2"/>
        <v>1.25</v>
      </c>
      <c r="F62" s="12">
        <f>IFERROR(VLOOKUP(A62,Pavia!B:I,4,),"-")</f>
        <v>0.875</v>
      </c>
      <c r="G62" s="23">
        <f t="shared" si="3"/>
        <v>1.25</v>
      </c>
      <c r="H62" s="12">
        <f>IFERROR(VLOOKUP(A62,Pavia!B:I,5,),"-")</f>
        <v>0.875</v>
      </c>
      <c r="I62" s="23">
        <f t="shared" si="4"/>
        <v>1.25</v>
      </c>
      <c r="J62" s="12" t="str">
        <f>IFERROR(VLOOKUP(A62,Pavia!B:I,6,),"-")</f>
        <v>OFF</v>
      </c>
      <c r="K62" s="23" t="str">
        <f t="shared" si="5"/>
        <v>OFF</v>
      </c>
      <c r="L62" s="12" t="str">
        <f>IFERROR(VLOOKUP(A62,Pavia!B:I,7,),"-")</f>
        <v>OFF</v>
      </c>
      <c r="M62" s="23" t="str">
        <f t="shared" si="6"/>
        <v>OFF</v>
      </c>
      <c r="N62" s="12">
        <f>IFERROR(VLOOKUP(A62,Pavia!B:I,8,),"-")</f>
        <v>0.875</v>
      </c>
      <c r="O62" s="23">
        <f t="shared" si="7"/>
        <v>1.25</v>
      </c>
      <c r="Q62" s="12">
        <f>IFERROR(VLOOKUP(A62,Pavia!B:Y,24,),"-")</f>
        <v>0.875</v>
      </c>
      <c r="R62" s="23">
        <f t="shared" si="8"/>
        <v>1.25</v>
      </c>
      <c r="T62" s="25">
        <f>IFERROR(VLOOKUP(A62,Pavia!$B:$J,9,),"-")</f>
        <v>0.875</v>
      </c>
      <c r="U62" s="23">
        <f t="shared" si="9"/>
        <v>1.25</v>
      </c>
      <c r="V62" s="12">
        <f>IFERROR(VLOOKUP(A62,Pavia!B:K,10,),"-")</f>
        <v>0.875</v>
      </c>
      <c r="W62" s="23">
        <f t="shared" si="10"/>
        <v>1.25</v>
      </c>
      <c r="X62" s="12">
        <f>IFERROR(VLOOKUP(A62,Pavia!B:L,11,),"-")</f>
        <v>0.875</v>
      </c>
      <c r="Y62" s="23">
        <f t="shared" si="11"/>
        <v>1.25</v>
      </c>
      <c r="Z62" s="12">
        <f>IFERROR(VLOOKUP(A62,Pavia!B:M,12,),"-")</f>
        <v>0.875</v>
      </c>
      <c r="AA62" s="23">
        <f t="shared" si="12"/>
        <v>1.25</v>
      </c>
      <c r="AB62" s="12" t="str">
        <f>IFERROR(VLOOKUP(A62,Pavia!B:N,13,),"-")</f>
        <v>OFF</v>
      </c>
      <c r="AC62" s="23" t="str">
        <f t="shared" si="13"/>
        <v>OFF</v>
      </c>
      <c r="AD62" s="12" t="str">
        <f>IFERROR(VLOOKUP(A62,Pavia!B:O,14,),"-")</f>
        <v>OFF</v>
      </c>
      <c r="AE62" s="23" t="str">
        <f t="shared" si="14"/>
        <v>OFF</v>
      </c>
      <c r="AF62" s="21">
        <f>IFERROR(VLOOKUP(A62,Pavia!B:P,15,),"-")</f>
        <v>0.875</v>
      </c>
      <c r="AG62" s="23">
        <f t="shared" si="15"/>
        <v>1.25</v>
      </c>
      <c r="AI62" s="25">
        <f>IFERROR(VLOOKUP(A62,Pavia!$B:$Q,16,),"-")</f>
        <v>0.875</v>
      </c>
      <c r="AJ62" s="23">
        <f t="shared" si="16"/>
        <v>1.25</v>
      </c>
      <c r="AK62" s="12">
        <f>IFERROR(VLOOKUP(A62,Pavia!B:R,17,),"-")</f>
        <v>0.875</v>
      </c>
      <c r="AL62" s="23">
        <f t="shared" si="17"/>
        <v>1.25</v>
      </c>
      <c r="AM62" s="12">
        <f>IFERROR(VLOOKUP(A62,Pavia!B:S,18,),"-")</f>
        <v>0.875</v>
      </c>
      <c r="AN62" s="23">
        <f t="shared" si="18"/>
        <v>1.25</v>
      </c>
      <c r="AO62" s="12">
        <f>IFERROR(VLOOKUP(A62,Pavia!B:T,19,),"-")</f>
        <v>0.875</v>
      </c>
      <c r="AP62" s="23">
        <f t="shared" si="19"/>
        <v>1.25</v>
      </c>
      <c r="AQ62" s="12" t="str">
        <f>IFERROR(VLOOKUP(A62,Pavia!B:U,20,),"-")</f>
        <v>OFF</v>
      </c>
      <c r="AR62" s="23" t="str">
        <f t="shared" si="20"/>
        <v>OFF</v>
      </c>
      <c r="AS62" s="12" t="str">
        <f>IFERROR(VLOOKUP(A62,Pavia!B:V,21,),"-")</f>
        <v>OFF</v>
      </c>
      <c r="AT62" s="23" t="str">
        <f t="shared" si="21"/>
        <v>OFF</v>
      </c>
      <c r="AU62" s="21">
        <f>IFERROR(VLOOKUP(A62,Pavia!B:W,22,),"-")</f>
        <v>0.875</v>
      </c>
      <c r="AV62" s="23">
        <f t="shared" si="22"/>
        <v>1.25</v>
      </c>
    </row>
    <row r="63" spans="1:48" ht="15.75" thickBot="1" x14ac:dyDescent="0.3">
      <c r="A63" s="20" t="str">
        <f>Pavia!B64</f>
        <v>Fevy Joy Legada</v>
      </c>
      <c r="B63" s="12" t="str">
        <f>IFERROR(VLOOKUP(A63,Pavia!B:I,2,),"-")</f>
        <v>OFF</v>
      </c>
      <c r="C63" s="23" t="str">
        <f t="shared" si="1"/>
        <v>OFF</v>
      </c>
      <c r="D63" s="12" t="str">
        <f>IFERROR(VLOOKUP(A63,Pavia!B:I,3,),"-")</f>
        <v>OFF</v>
      </c>
      <c r="E63" s="23" t="str">
        <f t="shared" si="2"/>
        <v>OFF</v>
      </c>
      <c r="F63" s="12" t="str">
        <f>IFERROR(VLOOKUP(A63,Pavia!B:I,4,),"-")</f>
        <v>OFF</v>
      </c>
      <c r="G63" s="23" t="str">
        <f t="shared" si="3"/>
        <v>OFF</v>
      </c>
      <c r="H63" s="12" t="str">
        <f>IFERROR(VLOOKUP(A63,Pavia!B:I,5,),"-")</f>
        <v>OFF</v>
      </c>
      <c r="I63" s="23" t="str">
        <f t="shared" si="4"/>
        <v>OFF</v>
      </c>
      <c r="J63" s="12" t="str">
        <f>IFERROR(VLOOKUP(A63,Pavia!B:I,6,),"-")</f>
        <v>OFF</v>
      </c>
      <c r="K63" s="23" t="str">
        <f t="shared" si="5"/>
        <v>OFF</v>
      </c>
      <c r="L63" s="12" t="str">
        <f>IFERROR(VLOOKUP(A63,Pavia!B:I,7,),"-")</f>
        <v>OFF</v>
      </c>
      <c r="M63" s="23" t="str">
        <f t="shared" si="6"/>
        <v>OFF</v>
      </c>
      <c r="N63" s="12" t="str">
        <f>IFERROR(VLOOKUP(A63,Pavia!B:I,8,),"-")</f>
        <v>OFF</v>
      </c>
      <c r="O63" s="23" t="str">
        <f t="shared" si="7"/>
        <v>OFF</v>
      </c>
      <c r="Q63" s="12" t="str">
        <f>IFERROR(VLOOKUP(A63,Pavia!B:Y,24,),"-")</f>
        <v>OFF</v>
      </c>
      <c r="R63" s="23" t="str">
        <f t="shared" si="8"/>
        <v>OFF</v>
      </c>
      <c r="T63" s="25" t="str">
        <f>IFERROR(VLOOKUP(A63,Pavia!$B:$J,9,),"-")</f>
        <v>OFF</v>
      </c>
      <c r="U63" s="23" t="str">
        <f t="shared" si="9"/>
        <v>OFF</v>
      </c>
      <c r="V63" s="12" t="str">
        <f>IFERROR(VLOOKUP(A63,Pavia!B:K,10,),"-")</f>
        <v>OFF</v>
      </c>
      <c r="W63" s="23" t="str">
        <f t="shared" si="10"/>
        <v>OFF</v>
      </c>
      <c r="X63" s="12" t="str">
        <f>IFERROR(VLOOKUP(A63,Pavia!B:L,11,),"-")</f>
        <v>OFF</v>
      </c>
      <c r="Y63" s="23" t="str">
        <f t="shared" si="11"/>
        <v>OFF</v>
      </c>
      <c r="Z63" s="12" t="str">
        <f>IFERROR(VLOOKUP(A63,Pavia!B:M,12,),"-")</f>
        <v>OFF</v>
      </c>
      <c r="AA63" s="23" t="str">
        <f t="shared" si="12"/>
        <v>OFF</v>
      </c>
      <c r="AB63" s="12" t="str">
        <f>IFERROR(VLOOKUP(A63,Pavia!B:N,13,),"-")</f>
        <v>OFF</v>
      </c>
      <c r="AC63" s="23" t="str">
        <f t="shared" si="13"/>
        <v>OFF</v>
      </c>
      <c r="AD63" s="12" t="str">
        <f>IFERROR(VLOOKUP(A63,Pavia!B:O,14,),"-")</f>
        <v>OFF</v>
      </c>
      <c r="AE63" s="23" t="str">
        <f t="shared" si="14"/>
        <v>OFF</v>
      </c>
      <c r="AF63" s="21" t="str">
        <f>IFERROR(VLOOKUP(A63,Pavia!B:P,15,),"-")</f>
        <v>OFF</v>
      </c>
      <c r="AG63" s="23" t="str">
        <f t="shared" si="15"/>
        <v>OFF</v>
      </c>
      <c r="AI63" s="25" t="str">
        <f>IFERROR(VLOOKUP(A63,Pavia!$B:$Q,16,),"-")</f>
        <v>OFF</v>
      </c>
      <c r="AJ63" s="23" t="str">
        <f t="shared" si="16"/>
        <v>OFF</v>
      </c>
      <c r="AK63" s="12" t="str">
        <f>IFERROR(VLOOKUP(A63,Pavia!B:R,17,),"-")</f>
        <v>OFF</v>
      </c>
      <c r="AL63" s="23" t="str">
        <f t="shared" si="17"/>
        <v>OFF</v>
      </c>
      <c r="AM63" s="12" t="str">
        <f>IFERROR(VLOOKUP(A63,Pavia!B:S,18,),"-")</f>
        <v>OFF</v>
      </c>
      <c r="AN63" s="23" t="str">
        <f t="shared" si="18"/>
        <v>OFF</v>
      </c>
      <c r="AO63" s="12" t="str">
        <f>IFERROR(VLOOKUP(A63,Pavia!B:T,19,),"-")</f>
        <v>OFF</v>
      </c>
      <c r="AP63" s="23" t="str">
        <f t="shared" si="19"/>
        <v>OFF</v>
      </c>
      <c r="AQ63" s="12" t="str">
        <f>IFERROR(VLOOKUP(A63,Pavia!B:U,20,),"-")</f>
        <v>OFF</v>
      </c>
      <c r="AR63" s="23" t="str">
        <f t="shared" si="20"/>
        <v>OFF</v>
      </c>
      <c r="AS63" s="12" t="str">
        <f>IFERROR(VLOOKUP(A63,Pavia!B:V,21,),"-")</f>
        <v>OFF</v>
      </c>
      <c r="AT63" s="23" t="str">
        <f t="shared" si="21"/>
        <v>OFF</v>
      </c>
      <c r="AU63" s="21" t="str">
        <f>IFERROR(VLOOKUP(A63,Pavia!B:W,22,),"-")</f>
        <v>OFF</v>
      </c>
      <c r="AV63" s="23" t="str">
        <f t="shared" si="22"/>
        <v>OFF</v>
      </c>
    </row>
    <row r="64" spans="1:48" ht="15.75" thickBot="1" x14ac:dyDescent="0.3">
      <c r="A64" s="20" t="str">
        <f>Pavia!B65</f>
        <v xml:space="preserve">John Russel Alcon </v>
      </c>
      <c r="B64" s="12">
        <f>IFERROR(VLOOKUP(A64,Pavia!B:I,2,),"-")</f>
        <v>0.875</v>
      </c>
      <c r="C64" s="23">
        <f t="shared" si="1"/>
        <v>1.25</v>
      </c>
      <c r="D64" s="12">
        <f>IFERROR(VLOOKUP(A64,Pavia!B:I,3,),"-")</f>
        <v>0.875</v>
      </c>
      <c r="E64" s="23">
        <f t="shared" si="2"/>
        <v>1.25</v>
      </c>
      <c r="F64" s="12" t="str">
        <f>IFERROR(VLOOKUP(A64,Pavia!B:I,4,),"-")</f>
        <v>OFF</v>
      </c>
      <c r="G64" s="23" t="str">
        <f t="shared" si="3"/>
        <v>OFF</v>
      </c>
      <c r="H64" s="12" t="str">
        <f>IFERROR(VLOOKUP(A64,Pavia!B:I,5,),"-")</f>
        <v>OFF</v>
      </c>
      <c r="I64" s="23" t="str">
        <f t="shared" si="4"/>
        <v>OFF</v>
      </c>
      <c r="J64" s="12">
        <f>IFERROR(VLOOKUP(A64,Pavia!B:I,6,),"-")</f>
        <v>0.875</v>
      </c>
      <c r="K64" s="23">
        <f t="shared" si="5"/>
        <v>1.25</v>
      </c>
      <c r="L64" s="12">
        <f>IFERROR(VLOOKUP(A64,Pavia!B:I,7,),"-")</f>
        <v>0.875</v>
      </c>
      <c r="M64" s="23">
        <f t="shared" si="6"/>
        <v>1.25</v>
      </c>
      <c r="N64" s="12">
        <f>IFERROR(VLOOKUP(A64,Pavia!B:I,8,),"-")</f>
        <v>0.875</v>
      </c>
      <c r="O64" s="23">
        <f t="shared" si="7"/>
        <v>1.25</v>
      </c>
      <c r="Q64" s="12">
        <f>IFERROR(VLOOKUP(A64,Pavia!B:Y,24,),"-")</f>
        <v>0.875</v>
      </c>
      <c r="R64" s="23">
        <f t="shared" si="8"/>
        <v>1.25</v>
      </c>
      <c r="T64" s="25">
        <f>IFERROR(VLOOKUP(A64,Pavia!$B:$J,9,),"-")</f>
        <v>0.875</v>
      </c>
      <c r="U64" s="23">
        <f t="shared" si="9"/>
        <v>1.25</v>
      </c>
      <c r="V64" s="12">
        <f>IFERROR(VLOOKUP(A64,Pavia!B:K,10,),"-")</f>
        <v>0.875</v>
      </c>
      <c r="W64" s="23">
        <f t="shared" si="10"/>
        <v>1.25</v>
      </c>
      <c r="X64" s="12" t="str">
        <f>IFERROR(VLOOKUP(A64,Pavia!B:L,11,),"-")</f>
        <v>OFF</v>
      </c>
      <c r="Y64" s="23" t="str">
        <f t="shared" si="11"/>
        <v>OFF</v>
      </c>
      <c r="Z64" s="12" t="str">
        <f>IFERROR(VLOOKUP(A64,Pavia!B:M,12,),"-")</f>
        <v>OFF</v>
      </c>
      <c r="AA64" s="23" t="str">
        <f t="shared" si="12"/>
        <v>OFF</v>
      </c>
      <c r="AB64" s="12">
        <f>IFERROR(VLOOKUP(A64,Pavia!B:N,13,),"-")</f>
        <v>0.875</v>
      </c>
      <c r="AC64" s="23">
        <f t="shared" si="13"/>
        <v>1.25</v>
      </c>
      <c r="AD64" s="12">
        <f>IFERROR(VLOOKUP(A64,Pavia!B:O,14,),"-")</f>
        <v>0.875</v>
      </c>
      <c r="AE64" s="23">
        <f t="shared" si="14"/>
        <v>1.25</v>
      </c>
      <c r="AF64" s="21">
        <f>IFERROR(VLOOKUP(A64,Pavia!B:P,15,),"-")</f>
        <v>0.875</v>
      </c>
      <c r="AG64" s="23">
        <f t="shared" si="15"/>
        <v>1.25</v>
      </c>
      <c r="AI64" s="25">
        <f>IFERROR(VLOOKUP(A64,Pavia!$B:$Q,16,),"-")</f>
        <v>0.875</v>
      </c>
      <c r="AJ64" s="23">
        <f t="shared" si="16"/>
        <v>1.25</v>
      </c>
      <c r="AK64" s="12">
        <f>IFERROR(VLOOKUP(A64,Pavia!B:R,17,),"-")</f>
        <v>0.875</v>
      </c>
      <c r="AL64" s="23">
        <f t="shared" si="17"/>
        <v>1.25</v>
      </c>
      <c r="AM64" s="12" t="str">
        <f>IFERROR(VLOOKUP(A64,Pavia!B:S,18,),"-")</f>
        <v>OFF</v>
      </c>
      <c r="AN64" s="23" t="str">
        <f t="shared" si="18"/>
        <v>OFF</v>
      </c>
      <c r="AO64" s="12" t="str">
        <f>IFERROR(VLOOKUP(A64,Pavia!B:T,19,),"-")</f>
        <v>OFF</v>
      </c>
      <c r="AP64" s="23" t="str">
        <f t="shared" si="19"/>
        <v>OFF</v>
      </c>
      <c r="AQ64" s="12">
        <f>IFERROR(VLOOKUP(A64,Pavia!B:U,20,),"-")</f>
        <v>0.875</v>
      </c>
      <c r="AR64" s="23">
        <f t="shared" si="20"/>
        <v>1.25</v>
      </c>
      <c r="AS64" s="12">
        <f>IFERROR(VLOOKUP(A64,Pavia!B:V,21,),"-")</f>
        <v>0.875</v>
      </c>
      <c r="AT64" s="23">
        <f t="shared" si="21"/>
        <v>1.25</v>
      </c>
      <c r="AU64" s="21">
        <f>IFERROR(VLOOKUP(A64,Pavia!B:W,22,),"-")</f>
        <v>0.875</v>
      </c>
      <c r="AV64" s="23">
        <f t="shared" si="22"/>
        <v>1.25</v>
      </c>
    </row>
    <row r="65" spans="1:48" ht="15.75" thickBot="1" x14ac:dyDescent="0.3">
      <c r="A65" s="20" t="str">
        <f>Pavia!B66</f>
        <v>Cyro Babayen-on</v>
      </c>
      <c r="B65" s="12">
        <f>IFERROR(VLOOKUP(A65,Pavia!B:I,2,),"-")</f>
        <v>0.875</v>
      </c>
      <c r="C65" s="23">
        <f t="shared" si="1"/>
        <v>1.25</v>
      </c>
      <c r="D65" s="12">
        <f>IFERROR(VLOOKUP(A65,Pavia!B:I,3,),"-")</f>
        <v>0.875</v>
      </c>
      <c r="E65" s="23">
        <f t="shared" si="2"/>
        <v>1.25</v>
      </c>
      <c r="F65" s="12" t="str">
        <f>IFERROR(VLOOKUP(A65,Pavia!B:I,4,),"-")</f>
        <v>OFF</v>
      </c>
      <c r="G65" s="23" t="str">
        <f t="shared" si="3"/>
        <v>OFF</v>
      </c>
      <c r="H65" s="12" t="str">
        <f>IFERROR(VLOOKUP(A65,Pavia!B:I,5,),"-")</f>
        <v>OFF</v>
      </c>
      <c r="I65" s="23" t="str">
        <f t="shared" si="4"/>
        <v>OFF</v>
      </c>
      <c r="J65" s="12">
        <f>IFERROR(VLOOKUP(A65,Pavia!B:I,6,),"-")</f>
        <v>0.875</v>
      </c>
      <c r="K65" s="23">
        <f t="shared" si="5"/>
        <v>1.25</v>
      </c>
      <c r="L65" s="12">
        <f>IFERROR(VLOOKUP(A65,Pavia!B:I,7,),"-")</f>
        <v>0.875</v>
      </c>
      <c r="M65" s="23">
        <f t="shared" si="6"/>
        <v>1.25</v>
      </c>
      <c r="N65" s="12">
        <f>IFERROR(VLOOKUP(A65,Pavia!B:I,8,),"-")</f>
        <v>0.875</v>
      </c>
      <c r="O65" s="23">
        <f t="shared" si="7"/>
        <v>1.25</v>
      </c>
      <c r="Q65" s="12">
        <f>IFERROR(VLOOKUP(A65,Pavia!B:Y,24,),"-")</f>
        <v>0.875</v>
      </c>
      <c r="R65" s="23">
        <f t="shared" si="8"/>
        <v>1.25</v>
      </c>
      <c r="T65" s="25">
        <f>IFERROR(VLOOKUP(A65,Pavia!$B:$J,9,),"-")</f>
        <v>0.875</v>
      </c>
      <c r="U65" s="23">
        <f t="shared" si="9"/>
        <v>1.25</v>
      </c>
      <c r="V65" s="12">
        <f>IFERROR(VLOOKUP(A65,Pavia!B:K,10,),"-")</f>
        <v>0.875</v>
      </c>
      <c r="W65" s="23">
        <f t="shared" si="10"/>
        <v>1.25</v>
      </c>
      <c r="X65" s="12" t="str">
        <f>IFERROR(VLOOKUP(A65,Pavia!B:L,11,),"-")</f>
        <v>OFF</v>
      </c>
      <c r="Y65" s="23" t="str">
        <f t="shared" si="11"/>
        <v>OFF</v>
      </c>
      <c r="Z65" s="12" t="str">
        <f>IFERROR(VLOOKUP(A65,Pavia!B:M,12,),"-")</f>
        <v>OFF</v>
      </c>
      <c r="AA65" s="23" t="str">
        <f t="shared" si="12"/>
        <v>OFF</v>
      </c>
      <c r="AB65" s="12">
        <f>IFERROR(VLOOKUP(A65,Pavia!B:N,13,),"-")</f>
        <v>0.875</v>
      </c>
      <c r="AC65" s="23">
        <f t="shared" si="13"/>
        <v>1.25</v>
      </c>
      <c r="AD65" s="12">
        <f>IFERROR(VLOOKUP(A65,Pavia!B:O,14,),"-")</f>
        <v>0.875</v>
      </c>
      <c r="AE65" s="23">
        <f t="shared" si="14"/>
        <v>1.25</v>
      </c>
      <c r="AF65" s="21">
        <f>IFERROR(VLOOKUP(A65,Pavia!B:P,15,),"-")</f>
        <v>0.875</v>
      </c>
      <c r="AG65" s="23">
        <f t="shared" si="15"/>
        <v>1.25</v>
      </c>
      <c r="AI65" s="25">
        <f>IFERROR(VLOOKUP(A65,Pavia!$B:$Q,16,),"-")</f>
        <v>0.875</v>
      </c>
      <c r="AJ65" s="23">
        <f t="shared" si="16"/>
        <v>1.25</v>
      </c>
      <c r="AK65" s="12">
        <f>IFERROR(VLOOKUP(A65,Pavia!B:R,17,),"-")</f>
        <v>0.875</v>
      </c>
      <c r="AL65" s="23">
        <f t="shared" si="17"/>
        <v>1.25</v>
      </c>
      <c r="AM65" s="12" t="str">
        <f>IFERROR(VLOOKUP(A65,Pavia!B:S,18,),"-")</f>
        <v>OFF</v>
      </c>
      <c r="AN65" s="23" t="str">
        <f t="shared" si="18"/>
        <v>OFF</v>
      </c>
      <c r="AO65" s="12" t="str">
        <f>IFERROR(VLOOKUP(A65,Pavia!B:T,19,),"-")</f>
        <v>OFF</v>
      </c>
      <c r="AP65" s="23" t="str">
        <f t="shared" si="19"/>
        <v>OFF</v>
      </c>
      <c r="AQ65" s="12">
        <f>IFERROR(VLOOKUP(A65,Pavia!B:U,20,),"-")</f>
        <v>0.875</v>
      </c>
      <c r="AR65" s="23">
        <f t="shared" si="20"/>
        <v>1.25</v>
      </c>
      <c r="AS65" s="12">
        <f>IFERROR(VLOOKUP(A65,Pavia!B:V,21,),"-")</f>
        <v>0.875</v>
      </c>
      <c r="AT65" s="23">
        <f t="shared" si="21"/>
        <v>1.25</v>
      </c>
      <c r="AU65" s="21">
        <f>IFERROR(VLOOKUP(A65,Pavia!B:W,22,),"-")</f>
        <v>0.875</v>
      </c>
      <c r="AV65" s="23">
        <f t="shared" si="22"/>
        <v>1.25</v>
      </c>
    </row>
    <row r="66" spans="1:48" ht="15.75" thickBot="1" x14ac:dyDescent="0.3">
      <c r="A66" s="20" t="str">
        <f>Pavia!B67</f>
        <v>Kenneth  Durban</v>
      </c>
      <c r="B66" s="12">
        <f>IFERROR(VLOOKUP(A66,Pavia!B:I,2,),"-")</f>
        <v>0.875</v>
      </c>
      <c r="C66" s="23">
        <f t="shared" si="1"/>
        <v>1.25</v>
      </c>
      <c r="D66" s="12">
        <f>IFERROR(VLOOKUP(A66,Pavia!B:I,3,),"-")</f>
        <v>0.875</v>
      </c>
      <c r="E66" s="23">
        <f t="shared" si="2"/>
        <v>1.25</v>
      </c>
      <c r="F66" s="12" t="str">
        <f>IFERROR(VLOOKUP(A66,Pavia!B:I,4,),"-")</f>
        <v>OFF</v>
      </c>
      <c r="G66" s="23" t="str">
        <f t="shared" si="3"/>
        <v>OFF</v>
      </c>
      <c r="H66" s="12" t="str">
        <f>IFERROR(VLOOKUP(A66,Pavia!B:I,5,),"-")</f>
        <v>OFF</v>
      </c>
      <c r="I66" s="23" t="str">
        <f t="shared" si="4"/>
        <v>OFF</v>
      </c>
      <c r="J66" s="12">
        <f>IFERROR(VLOOKUP(A66,Pavia!B:I,6,),"-")</f>
        <v>0.875</v>
      </c>
      <c r="K66" s="23">
        <f t="shared" si="5"/>
        <v>1.25</v>
      </c>
      <c r="L66" s="12">
        <f>IFERROR(VLOOKUP(A66,Pavia!B:I,7,),"-")</f>
        <v>0.875</v>
      </c>
      <c r="M66" s="23">
        <f t="shared" si="6"/>
        <v>1.25</v>
      </c>
      <c r="N66" s="12">
        <f>IFERROR(VLOOKUP(A66,Pavia!B:I,8,),"-")</f>
        <v>0.875</v>
      </c>
      <c r="O66" s="23">
        <f t="shared" si="7"/>
        <v>1.25</v>
      </c>
      <c r="Q66" s="12">
        <f>IFERROR(VLOOKUP(A66,Pavia!B:Y,24,),"-")</f>
        <v>0.875</v>
      </c>
      <c r="R66" s="23">
        <f t="shared" si="8"/>
        <v>1.25</v>
      </c>
      <c r="T66" s="25">
        <f>IFERROR(VLOOKUP(A66,Pavia!$B:$J,9,),"-")</f>
        <v>0.875</v>
      </c>
      <c r="U66" s="23">
        <f t="shared" si="9"/>
        <v>1.25</v>
      </c>
      <c r="V66" s="12">
        <f>IFERROR(VLOOKUP(A66,Pavia!B:K,10,),"-")</f>
        <v>0.875</v>
      </c>
      <c r="W66" s="23">
        <f t="shared" si="10"/>
        <v>1.25</v>
      </c>
      <c r="X66" s="12" t="str">
        <f>IFERROR(VLOOKUP(A66,Pavia!B:L,11,),"-")</f>
        <v>OFF</v>
      </c>
      <c r="Y66" s="23" t="str">
        <f t="shared" si="11"/>
        <v>OFF</v>
      </c>
      <c r="Z66" s="12" t="str">
        <f>IFERROR(VLOOKUP(A66,Pavia!B:M,12,),"-")</f>
        <v>OFF</v>
      </c>
      <c r="AA66" s="23" t="str">
        <f t="shared" si="12"/>
        <v>OFF</v>
      </c>
      <c r="AB66" s="12">
        <f>IFERROR(VLOOKUP(A66,Pavia!B:N,13,),"-")</f>
        <v>0.875</v>
      </c>
      <c r="AC66" s="23">
        <f t="shared" si="13"/>
        <v>1.25</v>
      </c>
      <c r="AD66" s="12">
        <f>IFERROR(VLOOKUP(A66,Pavia!B:O,14,),"-")</f>
        <v>0.875</v>
      </c>
      <c r="AE66" s="23">
        <f t="shared" si="14"/>
        <v>1.25</v>
      </c>
      <c r="AF66" s="21">
        <f>IFERROR(VLOOKUP(A66,Pavia!B:P,15,),"-")</f>
        <v>0.875</v>
      </c>
      <c r="AG66" s="23">
        <f t="shared" si="15"/>
        <v>1.25</v>
      </c>
      <c r="AI66" s="25">
        <f>IFERROR(VLOOKUP(A66,Pavia!$B:$Q,16,),"-")</f>
        <v>0.875</v>
      </c>
      <c r="AJ66" s="23">
        <f t="shared" si="16"/>
        <v>1.25</v>
      </c>
      <c r="AK66" s="12">
        <f>IFERROR(VLOOKUP(A66,Pavia!B:R,17,),"-")</f>
        <v>0.875</v>
      </c>
      <c r="AL66" s="23">
        <f t="shared" si="17"/>
        <v>1.25</v>
      </c>
      <c r="AM66" s="12" t="str">
        <f>IFERROR(VLOOKUP(A66,Pavia!B:S,18,),"-")</f>
        <v>OFF</v>
      </c>
      <c r="AN66" s="23" t="str">
        <f t="shared" si="18"/>
        <v>OFF</v>
      </c>
      <c r="AO66" s="12" t="str">
        <f>IFERROR(VLOOKUP(A66,Pavia!B:T,19,),"-")</f>
        <v>OFF</v>
      </c>
      <c r="AP66" s="23" t="str">
        <f t="shared" si="19"/>
        <v>OFF</v>
      </c>
      <c r="AQ66" s="12">
        <f>IFERROR(VLOOKUP(A66,Pavia!B:U,20,),"-")</f>
        <v>0.875</v>
      </c>
      <c r="AR66" s="23">
        <f t="shared" si="20"/>
        <v>1.25</v>
      </c>
      <c r="AS66" s="12">
        <f>IFERROR(VLOOKUP(A66,Pavia!B:V,21,),"-")</f>
        <v>0.875</v>
      </c>
      <c r="AT66" s="23">
        <f t="shared" si="21"/>
        <v>1.25</v>
      </c>
      <c r="AU66" s="21">
        <f>IFERROR(VLOOKUP(A66,Pavia!B:W,22,),"-")</f>
        <v>0.875</v>
      </c>
      <c r="AV66" s="23">
        <f t="shared" si="22"/>
        <v>1.25</v>
      </c>
    </row>
    <row r="67" spans="1:48" ht="15.75" thickBot="1" x14ac:dyDescent="0.3">
      <c r="A67" s="20"/>
      <c r="B67" s="12"/>
      <c r="C67" s="23"/>
      <c r="D67" s="12"/>
      <c r="E67" s="23"/>
      <c r="F67" s="12"/>
      <c r="G67" s="23"/>
      <c r="H67" s="12"/>
      <c r="I67" s="23"/>
      <c r="J67" s="12"/>
      <c r="K67" s="23"/>
      <c r="L67" s="12"/>
      <c r="M67" s="23"/>
      <c r="N67" s="12"/>
      <c r="O67" s="23"/>
      <c r="Q67" s="12"/>
      <c r="R67" s="23"/>
      <c r="T67" s="25"/>
      <c r="U67" s="23"/>
      <c r="V67" s="12"/>
      <c r="W67" s="23"/>
      <c r="X67" s="12"/>
      <c r="Y67" s="23"/>
      <c r="Z67" s="12"/>
      <c r="AA67" s="23"/>
      <c r="AB67" s="12"/>
      <c r="AC67" s="23"/>
      <c r="AD67" s="12"/>
      <c r="AE67" s="23"/>
      <c r="AF67" s="21"/>
      <c r="AG67" s="23"/>
      <c r="AI67" s="25"/>
      <c r="AJ67" s="23"/>
      <c r="AK67" s="12"/>
      <c r="AL67" s="23"/>
      <c r="AM67" s="12"/>
      <c r="AN67" s="23"/>
      <c r="AO67" s="12"/>
      <c r="AP67" s="23"/>
      <c r="AQ67" s="12"/>
      <c r="AR67" s="23"/>
      <c r="AS67" s="12"/>
      <c r="AT67" s="23"/>
      <c r="AU67" s="21"/>
      <c r="AV67" s="23"/>
    </row>
    <row r="68" spans="1:48" ht="15.75" thickBot="1" x14ac:dyDescent="0.3">
      <c r="A68" s="20"/>
      <c r="B68" s="12"/>
      <c r="C68" s="23"/>
      <c r="D68" s="12"/>
      <c r="E68" s="23"/>
      <c r="F68" s="12"/>
      <c r="G68" s="23"/>
      <c r="H68" s="12"/>
      <c r="I68" s="23"/>
      <c r="J68" s="12"/>
      <c r="K68" s="23"/>
      <c r="L68" s="12"/>
      <c r="M68" s="23"/>
      <c r="N68" s="12"/>
      <c r="O68" s="23"/>
      <c r="Q68" s="12"/>
      <c r="R68" s="23"/>
      <c r="T68" s="25"/>
      <c r="U68" s="23"/>
      <c r="V68" s="12"/>
      <c r="W68" s="23"/>
      <c r="X68" s="12"/>
      <c r="Y68" s="23"/>
      <c r="Z68" s="12"/>
      <c r="AA68" s="23"/>
      <c r="AB68" s="12"/>
      <c r="AC68" s="23"/>
      <c r="AD68" s="12"/>
      <c r="AE68" s="23"/>
      <c r="AF68" s="21"/>
      <c r="AG68" s="23"/>
      <c r="AI68" s="25"/>
      <c r="AJ68" s="23"/>
      <c r="AK68" s="12"/>
      <c r="AL68" s="23"/>
      <c r="AM68" s="12"/>
      <c r="AN68" s="23"/>
      <c r="AO68" s="12"/>
      <c r="AP68" s="23"/>
      <c r="AQ68" s="12"/>
      <c r="AR68" s="23"/>
      <c r="AS68" s="12"/>
      <c r="AT68" s="23"/>
      <c r="AU68" s="21"/>
      <c r="AV68" s="23"/>
    </row>
    <row r="69" spans="1:48" ht="15.75" thickBot="1" x14ac:dyDescent="0.3">
      <c r="A69" s="20"/>
      <c r="B69" s="12"/>
      <c r="C69" s="23"/>
      <c r="D69" s="12"/>
      <c r="E69" s="23"/>
      <c r="F69" s="12"/>
      <c r="G69" s="23"/>
      <c r="H69" s="12"/>
      <c r="I69" s="23"/>
      <c r="J69" s="12"/>
      <c r="K69" s="23"/>
      <c r="L69" s="12"/>
      <c r="M69" s="23"/>
      <c r="N69" s="12"/>
      <c r="O69" s="23"/>
      <c r="Q69" s="12"/>
      <c r="R69" s="23"/>
      <c r="T69" s="25"/>
      <c r="U69" s="23"/>
      <c r="V69" s="12"/>
      <c r="W69" s="23"/>
      <c r="X69" s="12"/>
      <c r="Y69" s="23"/>
      <c r="Z69" s="12"/>
      <c r="AA69" s="23"/>
      <c r="AB69" s="12"/>
      <c r="AC69" s="23"/>
      <c r="AD69" s="12"/>
      <c r="AE69" s="23"/>
      <c r="AF69" s="21"/>
      <c r="AG69" s="23"/>
      <c r="AI69" s="25"/>
      <c r="AJ69" s="23"/>
      <c r="AK69" s="12"/>
      <c r="AL69" s="23"/>
      <c r="AM69" s="12"/>
      <c r="AN69" s="23"/>
      <c r="AO69" s="12"/>
      <c r="AP69" s="23"/>
      <c r="AQ69" s="12"/>
      <c r="AR69" s="23"/>
      <c r="AS69" s="12"/>
      <c r="AT69" s="23"/>
      <c r="AU69" s="21"/>
      <c r="AV69" s="23"/>
    </row>
    <row r="70" spans="1:48" ht="15.75" thickBot="1" x14ac:dyDescent="0.3">
      <c r="A70" s="20"/>
      <c r="B70" s="12"/>
      <c r="C70" s="23"/>
      <c r="D70" s="12"/>
      <c r="E70" s="23"/>
      <c r="F70" s="12"/>
      <c r="G70" s="23"/>
      <c r="H70" s="12"/>
      <c r="I70" s="23"/>
      <c r="J70" s="12"/>
      <c r="K70" s="23"/>
      <c r="L70" s="12"/>
      <c r="M70" s="23"/>
      <c r="N70" s="12"/>
      <c r="O70" s="23"/>
      <c r="Q70" s="12"/>
      <c r="R70" s="23"/>
      <c r="T70" s="25"/>
      <c r="U70" s="23"/>
      <c r="V70" s="12"/>
      <c r="W70" s="23"/>
      <c r="X70" s="12"/>
      <c r="Y70" s="23"/>
      <c r="Z70" s="12"/>
      <c r="AA70" s="23"/>
      <c r="AB70" s="12"/>
      <c r="AC70" s="23"/>
      <c r="AD70" s="12"/>
      <c r="AE70" s="23"/>
      <c r="AF70" s="21"/>
      <c r="AG70" s="23"/>
      <c r="AI70" s="25"/>
      <c r="AJ70" s="23"/>
      <c r="AK70" s="12"/>
      <c r="AL70" s="23"/>
      <c r="AM70" s="12"/>
      <c r="AN70" s="23"/>
      <c r="AO70" s="12"/>
      <c r="AP70" s="23"/>
      <c r="AQ70" s="12"/>
      <c r="AR70" s="23"/>
      <c r="AS70" s="12"/>
      <c r="AT70" s="23"/>
      <c r="AU70" s="21"/>
      <c r="AV70" s="23"/>
    </row>
    <row r="71" spans="1:48" ht="15.75" thickBot="1" x14ac:dyDescent="0.3">
      <c r="A71" s="20"/>
      <c r="B71" s="12"/>
      <c r="C71" s="23"/>
      <c r="D71" s="12"/>
      <c r="E71" s="23"/>
      <c r="F71" s="12"/>
      <c r="G71" s="23"/>
      <c r="H71" s="12"/>
      <c r="I71" s="23"/>
      <c r="J71" s="12"/>
      <c r="K71" s="23"/>
      <c r="L71" s="12"/>
      <c r="M71" s="23"/>
      <c r="N71" s="12"/>
      <c r="O71" s="23"/>
      <c r="Q71" s="12"/>
      <c r="R71" s="23"/>
      <c r="T71" s="25"/>
      <c r="U71" s="23"/>
      <c r="V71" s="12"/>
      <c r="W71" s="23"/>
      <c r="X71" s="12"/>
      <c r="Y71" s="23"/>
      <c r="Z71" s="12"/>
      <c r="AA71" s="23"/>
      <c r="AB71" s="12"/>
      <c r="AC71" s="23"/>
      <c r="AD71" s="12"/>
      <c r="AE71" s="23"/>
      <c r="AF71" s="21"/>
      <c r="AG71" s="23"/>
      <c r="AI71" s="25"/>
      <c r="AJ71" s="23"/>
      <c r="AK71" s="12"/>
      <c r="AL71" s="23"/>
      <c r="AM71" s="12"/>
      <c r="AN71" s="23"/>
      <c r="AO71" s="12"/>
      <c r="AP71" s="23"/>
      <c r="AQ71" s="12"/>
      <c r="AR71" s="23"/>
      <c r="AS71" s="12"/>
      <c r="AT71" s="23"/>
      <c r="AU71" s="21"/>
      <c r="AV71" s="23"/>
    </row>
    <row r="72" spans="1:48" ht="15.75" thickBot="1" x14ac:dyDescent="0.3">
      <c r="A72" s="20"/>
      <c r="B72" s="12"/>
      <c r="C72" s="23"/>
      <c r="D72" s="12"/>
      <c r="E72" s="23"/>
      <c r="F72" s="12"/>
      <c r="G72" s="23"/>
      <c r="H72" s="12"/>
      <c r="I72" s="23"/>
      <c r="J72" s="12"/>
      <c r="K72" s="23"/>
      <c r="L72" s="12"/>
      <c r="M72" s="23"/>
      <c r="N72" s="12"/>
      <c r="O72" s="23"/>
      <c r="Q72" s="12"/>
      <c r="R72" s="23"/>
      <c r="T72" s="25"/>
      <c r="U72" s="23"/>
      <c r="V72" s="12"/>
      <c r="W72" s="23"/>
      <c r="X72" s="12"/>
      <c r="Y72" s="23"/>
      <c r="Z72" s="12"/>
      <c r="AA72" s="23"/>
      <c r="AB72" s="12"/>
      <c r="AC72" s="23"/>
      <c r="AD72" s="12"/>
      <c r="AE72" s="23"/>
      <c r="AF72" s="21"/>
      <c r="AG72" s="23"/>
      <c r="AI72" s="25"/>
      <c r="AJ72" s="23"/>
      <c r="AK72" s="12"/>
      <c r="AL72" s="23"/>
      <c r="AM72" s="12"/>
      <c r="AN72" s="23"/>
      <c r="AO72" s="12"/>
      <c r="AP72" s="23"/>
      <c r="AQ72" s="12"/>
      <c r="AR72" s="23"/>
      <c r="AS72" s="12"/>
      <c r="AT72" s="23"/>
      <c r="AU72" s="21"/>
      <c r="AV72" s="23"/>
    </row>
    <row r="73" spans="1:48" ht="15.75" thickBot="1" x14ac:dyDescent="0.3">
      <c r="A73" s="20"/>
      <c r="B73" s="12"/>
      <c r="C73" s="23"/>
      <c r="D73" s="12"/>
      <c r="E73" s="23"/>
      <c r="F73" s="12"/>
      <c r="G73" s="23"/>
      <c r="H73" s="12"/>
      <c r="I73" s="23"/>
      <c r="J73" s="12"/>
      <c r="K73" s="23"/>
      <c r="L73" s="12"/>
      <c r="M73" s="23"/>
      <c r="N73" s="12"/>
      <c r="O73" s="23"/>
      <c r="Q73" s="12"/>
      <c r="R73" s="23"/>
      <c r="T73" s="25"/>
      <c r="U73" s="23"/>
      <c r="V73" s="12"/>
      <c r="W73" s="23"/>
      <c r="X73" s="12"/>
      <c r="Y73" s="23"/>
      <c r="Z73" s="12"/>
      <c r="AA73" s="23"/>
      <c r="AB73" s="12"/>
      <c r="AC73" s="23"/>
      <c r="AD73" s="12"/>
      <c r="AE73" s="23"/>
      <c r="AF73" s="21"/>
      <c r="AG73" s="23"/>
      <c r="AI73" s="25"/>
      <c r="AJ73" s="23"/>
      <c r="AK73" s="12"/>
      <c r="AL73" s="23"/>
      <c r="AM73" s="12"/>
      <c r="AN73" s="23"/>
      <c r="AO73" s="12"/>
      <c r="AP73" s="23"/>
      <c r="AQ73" s="12"/>
      <c r="AR73" s="23"/>
      <c r="AS73" s="12"/>
      <c r="AT73" s="23"/>
      <c r="AU73" s="21"/>
      <c r="AV73" s="23"/>
    </row>
  </sheetData>
  <mergeCells count="8">
    <mergeCell ref="CB1:CH1"/>
    <mergeCell ref="CI1:CO1"/>
    <mergeCell ref="B1:O1"/>
    <mergeCell ref="T1:AG1"/>
    <mergeCell ref="AI1:AV1"/>
    <mergeCell ref="AX1:BF1"/>
    <mergeCell ref="BH1:BP1"/>
    <mergeCell ref="BU1:CA1"/>
  </mergeCells>
  <conditionalFormatting sqref="B3:O73">
    <cfRule type="cellIs" dxfId="6483" priority="91" operator="equal">
      <formula>"OFF"</formula>
    </cfRule>
    <cfRule type="cellIs" dxfId="6482" priority="92" operator="equal">
      <formula>"PTO"</formula>
    </cfRule>
    <cfRule type="cellIs" dxfId="6481" priority="93" operator="equal">
      <formula>"A"</formula>
    </cfRule>
  </conditionalFormatting>
  <conditionalFormatting sqref="Q3:R73">
    <cfRule type="cellIs" dxfId="6480" priority="97" operator="equal">
      <formula>"OFF"</formula>
    </cfRule>
    <cfRule type="cellIs" dxfId="6479" priority="98" operator="equal">
      <formula>"PTO"</formula>
    </cfRule>
    <cfRule type="cellIs" dxfId="6478" priority="99" operator="equal">
      <formula>"A"</formula>
    </cfRule>
  </conditionalFormatting>
  <conditionalFormatting sqref="AD3:AD73 AF3:AF73 T3:T73 V3:V73 X3:X73 Z3:Z73 AB3:AB73">
    <cfRule type="cellIs" dxfId="6477" priority="88" operator="equal">
      <formula>"OFF"</formula>
    </cfRule>
    <cfRule type="cellIs" dxfId="6476" priority="89" operator="equal">
      <formula>"PTO"</formula>
    </cfRule>
    <cfRule type="cellIs" dxfId="6475" priority="90" operator="equal">
      <formula>"A"</formula>
    </cfRule>
  </conditionalFormatting>
  <conditionalFormatting sqref="AI54:AV55 AI3:AI73 AK3:AK73 AM3:AM73 AO3:AO73 AQ3:AQ73 AS3:AS73 AU3:AU73">
    <cfRule type="cellIs" dxfId="6474" priority="94" operator="equal">
      <formula>"OFF"</formula>
    </cfRule>
    <cfRule type="cellIs" dxfId="6473" priority="95" operator="equal">
      <formula>"PTO"</formula>
    </cfRule>
    <cfRule type="cellIs" dxfId="6472" priority="96" operator="equal">
      <formula>"A"</formula>
    </cfRule>
  </conditionalFormatting>
  <conditionalFormatting sqref="BU3:CO26">
    <cfRule type="cellIs" dxfId="6471" priority="100" operator="greaterThanOrEqual">
      <formula>5</formula>
    </cfRule>
    <cfRule type="cellIs" dxfId="6470" priority="101" operator="lessThanOrEqual">
      <formula>1</formula>
    </cfRule>
  </conditionalFormatting>
  <conditionalFormatting sqref="U3:U73">
    <cfRule type="cellIs" dxfId="6469" priority="79" operator="equal">
      <formula>"OFF"</formula>
    </cfRule>
    <cfRule type="cellIs" dxfId="6468" priority="80" operator="equal">
      <formula>"PTO"</formula>
    </cfRule>
    <cfRule type="cellIs" dxfId="6467" priority="81" operator="equal">
      <formula>"A"</formula>
    </cfRule>
  </conditionalFormatting>
  <conditionalFormatting sqref="W3:W73">
    <cfRule type="cellIs" dxfId="6466" priority="76" operator="equal">
      <formula>"OFF"</formula>
    </cfRule>
    <cfRule type="cellIs" dxfId="6465" priority="77" operator="equal">
      <formula>"PTO"</formula>
    </cfRule>
    <cfRule type="cellIs" dxfId="6464" priority="78" operator="equal">
      <formula>"A"</formula>
    </cfRule>
  </conditionalFormatting>
  <conditionalFormatting sqref="Y3:Y73">
    <cfRule type="cellIs" dxfId="6463" priority="73" operator="equal">
      <formula>"OFF"</formula>
    </cfRule>
    <cfRule type="cellIs" dxfId="6462" priority="74" operator="equal">
      <formula>"PTO"</formula>
    </cfRule>
    <cfRule type="cellIs" dxfId="6461" priority="75" operator="equal">
      <formula>"A"</formula>
    </cfRule>
  </conditionalFormatting>
  <conditionalFormatting sqref="AA3:AA73">
    <cfRule type="cellIs" dxfId="6460" priority="70" operator="equal">
      <formula>"OFF"</formula>
    </cfRule>
    <cfRule type="cellIs" dxfId="6459" priority="71" operator="equal">
      <formula>"PTO"</formula>
    </cfRule>
    <cfRule type="cellIs" dxfId="6458" priority="72" operator="equal">
      <formula>"A"</formula>
    </cfRule>
  </conditionalFormatting>
  <conditionalFormatting sqref="AC3:AC73">
    <cfRule type="cellIs" dxfId="6457" priority="67" operator="equal">
      <formula>"OFF"</formula>
    </cfRule>
    <cfRule type="cellIs" dxfId="6456" priority="68" operator="equal">
      <formula>"PTO"</formula>
    </cfRule>
    <cfRule type="cellIs" dxfId="6455" priority="69" operator="equal">
      <formula>"A"</formula>
    </cfRule>
  </conditionalFormatting>
  <conditionalFormatting sqref="AE3:AE73">
    <cfRule type="cellIs" dxfId="6454" priority="64" operator="equal">
      <formula>"OFF"</formula>
    </cfRule>
    <cfRule type="cellIs" dxfId="6453" priority="65" operator="equal">
      <formula>"PTO"</formula>
    </cfRule>
    <cfRule type="cellIs" dxfId="6452" priority="66" operator="equal">
      <formula>"A"</formula>
    </cfRule>
  </conditionalFormatting>
  <conditionalFormatting sqref="AG3:AG73">
    <cfRule type="cellIs" dxfId="6451" priority="61" operator="equal">
      <formula>"OFF"</formula>
    </cfRule>
    <cfRule type="cellIs" dxfId="6450" priority="62" operator="equal">
      <formula>"PTO"</formula>
    </cfRule>
    <cfRule type="cellIs" dxfId="6449" priority="63" operator="equal">
      <formula>"A"</formula>
    </cfRule>
  </conditionalFormatting>
  <conditionalFormatting sqref="AJ3:AJ73">
    <cfRule type="cellIs" dxfId="6448" priority="58" operator="equal">
      <formula>"OFF"</formula>
    </cfRule>
    <cfRule type="cellIs" dxfId="6447" priority="59" operator="equal">
      <formula>"PTO"</formula>
    </cfRule>
    <cfRule type="cellIs" dxfId="6446" priority="60" operator="equal">
      <formula>"A"</formula>
    </cfRule>
  </conditionalFormatting>
  <conditionalFormatting sqref="AL3:AL73">
    <cfRule type="cellIs" dxfId="6445" priority="55" operator="equal">
      <formula>"OFF"</formula>
    </cfRule>
    <cfRule type="cellIs" dxfId="6444" priority="56" operator="equal">
      <formula>"PTO"</formula>
    </cfRule>
    <cfRule type="cellIs" dxfId="6443" priority="57" operator="equal">
      <formula>"A"</formula>
    </cfRule>
  </conditionalFormatting>
  <conditionalFormatting sqref="AN3:AN73">
    <cfRule type="cellIs" dxfId="6442" priority="52" operator="equal">
      <formula>"OFF"</formula>
    </cfRule>
    <cfRule type="cellIs" dxfId="6441" priority="53" operator="equal">
      <formula>"PTO"</formula>
    </cfRule>
    <cfRule type="cellIs" dxfId="6440" priority="54" operator="equal">
      <formula>"A"</formula>
    </cfRule>
  </conditionalFormatting>
  <conditionalFormatting sqref="AP3:AP73">
    <cfRule type="cellIs" dxfId="6439" priority="49" operator="equal">
      <formula>"OFF"</formula>
    </cfRule>
    <cfRule type="cellIs" dxfId="6438" priority="50" operator="equal">
      <formula>"PTO"</formula>
    </cfRule>
    <cfRule type="cellIs" dxfId="6437" priority="51" operator="equal">
      <formula>"A"</formula>
    </cfRule>
  </conditionalFormatting>
  <conditionalFormatting sqref="AR3:AR73">
    <cfRule type="cellIs" dxfId="6436" priority="46" operator="equal">
      <formula>"OFF"</formula>
    </cfRule>
    <cfRule type="cellIs" dxfId="6435" priority="47" operator="equal">
      <formula>"PTO"</formula>
    </cfRule>
    <cfRule type="cellIs" dxfId="6434" priority="48" operator="equal">
      <formula>"A"</formula>
    </cfRule>
  </conditionalFormatting>
  <conditionalFormatting sqref="AT3:AT73">
    <cfRule type="cellIs" dxfId="6433" priority="43" operator="equal">
      <formula>"OFF"</formula>
    </cfRule>
    <cfRule type="cellIs" dxfId="6432" priority="44" operator="equal">
      <formula>"PTO"</formula>
    </cfRule>
    <cfRule type="cellIs" dxfId="6431" priority="45" operator="equal">
      <formula>"A"</formula>
    </cfRule>
  </conditionalFormatting>
  <conditionalFormatting sqref="AV3:AV73">
    <cfRule type="cellIs" dxfId="6430" priority="40" operator="equal">
      <formula>"OFF"</formula>
    </cfRule>
    <cfRule type="cellIs" dxfId="6429" priority="41" operator="equal">
      <formula>"PTO"</formula>
    </cfRule>
    <cfRule type="cellIs" dxfId="6428" priority="42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</sheetPr>
  <dimension ref="A1:AB126"/>
  <sheetViews>
    <sheetView zoomScale="70" zoomScaleNormal="70" workbookViewId="0"/>
  </sheetViews>
  <sheetFormatPr defaultRowHeight="15" x14ac:dyDescent="0.25"/>
  <cols>
    <col min="1" max="1" width="34.28515625" customWidth="1"/>
    <col min="2" max="2" width="37.7109375" customWidth="1"/>
    <col min="3" max="8" width="10.85546875" customWidth="1"/>
    <col min="9" max="9" width="10.85546875" bestFit="1" customWidth="1"/>
    <col min="10" max="20" width="10.85546875" customWidth="1"/>
    <col min="21" max="23" width="9.85546875" customWidth="1"/>
    <col min="24" max="24" width="19.7109375" customWidth="1"/>
    <col min="25" max="25" width="10.85546875" customWidth="1"/>
    <col min="26" max="26" width="9.140625" customWidth="1"/>
    <col min="27" max="27" width="10.7109375" customWidth="1"/>
    <col min="28" max="28" width="11" customWidth="1"/>
  </cols>
  <sheetData>
    <row r="1" spans="1:28" ht="15.75" thickBot="1" x14ac:dyDescent="0.3">
      <c r="A1" s="107" t="s">
        <v>13</v>
      </c>
      <c r="B1" s="264"/>
      <c r="C1" s="328" t="str">
        <f>'Nesting Sched'!C1:I1</f>
        <v>WEEK BEGINNING 0427</v>
      </c>
      <c r="D1" s="329"/>
      <c r="E1" s="329"/>
      <c r="F1" s="329"/>
      <c r="G1" s="329"/>
      <c r="H1" s="329"/>
      <c r="I1" s="329"/>
      <c r="J1" s="328" t="str">
        <f>'Agent Sched'!J1:P1</f>
        <v>WEEK BEGINNING 0504</v>
      </c>
      <c r="K1" s="329"/>
      <c r="L1" s="329"/>
      <c r="M1" s="329"/>
      <c r="N1" s="329"/>
      <c r="O1" s="329"/>
      <c r="P1" s="345"/>
      <c r="Q1" s="329" t="str">
        <f>'Agent Sched'!Q1:W1</f>
        <v>WEEK BEGINNING 0511</v>
      </c>
      <c r="R1" s="329"/>
      <c r="S1" s="329"/>
      <c r="T1" s="329"/>
      <c r="U1" s="329"/>
      <c r="V1" s="329"/>
      <c r="W1" s="345"/>
      <c r="X1" s="187"/>
      <c r="Y1" s="188" t="s">
        <v>37</v>
      </c>
    </row>
    <row r="2" spans="1:28" x14ac:dyDescent="0.25">
      <c r="A2" s="346" t="s">
        <v>9</v>
      </c>
      <c r="B2" s="348" t="s">
        <v>10</v>
      </c>
      <c r="C2" s="119" t="s">
        <v>0</v>
      </c>
      <c r="D2" s="120" t="s">
        <v>1</v>
      </c>
      <c r="E2" s="120" t="s">
        <v>2</v>
      </c>
      <c r="F2" s="120" t="s">
        <v>3</v>
      </c>
      <c r="G2" s="120" t="s">
        <v>4</v>
      </c>
      <c r="H2" s="120" t="s">
        <v>5</v>
      </c>
      <c r="I2" s="120" t="s">
        <v>6</v>
      </c>
      <c r="J2" s="119" t="s">
        <v>0</v>
      </c>
      <c r="K2" s="120" t="s">
        <v>1</v>
      </c>
      <c r="L2" s="120" t="s">
        <v>2</v>
      </c>
      <c r="M2" s="120" t="s">
        <v>3</v>
      </c>
      <c r="N2" s="120" t="s">
        <v>4</v>
      </c>
      <c r="O2" s="120" t="s">
        <v>5</v>
      </c>
      <c r="P2" s="3" t="s">
        <v>6</v>
      </c>
      <c r="Q2" s="120" t="s">
        <v>0</v>
      </c>
      <c r="R2" s="120" t="s">
        <v>1</v>
      </c>
      <c r="S2" s="120" t="s">
        <v>2</v>
      </c>
      <c r="T2" s="120" t="s">
        <v>3</v>
      </c>
      <c r="U2" s="120" t="s">
        <v>4</v>
      </c>
      <c r="V2" s="120" t="s">
        <v>5</v>
      </c>
      <c r="W2" s="3" t="s">
        <v>6</v>
      </c>
      <c r="X2" s="131" t="s">
        <v>36</v>
      </c>
      <c r="Y2" s="3" t="s">
        <v>6</v>
      </c>
      <c r="AA2" s="4" t="s">
        <v>40</v>
      </c>
      <c r="AB2" s="1">
        <f>SUM(AB4:AB5)</f>
        <v>0</v>
      </c>
    </row>
    <row r="3" spans="1:28" ht="15.75" thickBot="1" x14ac:dyDescent="0.3">
      <c r="A3" s="347"/>
      <c r="B3" s="349"/>
      <c r="C3" s="251">
        <f>'Agent Sched'!C3</f>
        <v>46139</v>
      </c>
      <c r="D3" s="252">
        <f t="shared" ref="D3:W3" si="0">C3+1</f>
        <v>46140</v>
      </c>
      <c r="E3" s="252">
        <f t="shared" si="0"/>
        <v>46141</v>
      </c>
      <c r="F3" s="252">
        <f t="shared" si="0"/>
        <v>46142</v>
      </c>
      <c r="G3" s="252">
        <f t="shared" si="0"/>
        <v>46143</v>
      </c>
      <c r="H3" s="252">
        <f t="shared" si="0"/>
        <v>46144</v>
      </c>
      <c r="I3" s="252">
        <f t="shared" si="0"/>
        <v>46145</v>
      </c>
      <c r="J3" s="251">
        <f t="shared" si="0"/>
        <v>46146</v>
      </c>
      <c r="K3" s="252">
        <f t="shared" si="0"/>
        <v>46147</v>
      </c>
      <c r="L3" s="252">
        <f t="shared" si="0"/>
        <v>46148</v>
      </c>
      <c r="M3" s="252">
        <f t="shared" si="0"/>
        <v>46149</v>
      </c>
      <c r="N3" s="252">
        <f t="shared" si="0"/>
        <v>46150</v>
      </c>
      <c r="O3" s="252">
        <f t="shared" si="0"/>
        <v>46151</v>
      </c>
      <c r="P3" s="253">
        <f t="shared" si="0"/>
        <v>46152</v>
      </c>
      <c r="Q3" s="252">
        <f t="shared" si="0"/>
        <v>46153</v>
      </c>
      <c r="R3" s="252">
        <f t="shared" si="0"/>
        <v>46154</v>
      </c>
      <c r="S3" s="252">
        <f t="shared" si="0"/>
        <v>46155</v>
      </c>
      <c r="T3" s="252">
        <f t="shared" si="0"/>
        <v>46156</v>
      </c>
      <c r="U3" s="252">
        <f t="shared" si="0"/>
        <v>46157</v>
      </c>
      <c r="V3" s="252">
        <f t="shared" si="0"/>
        <v>46158</v>
      </c>
      <c r="W3" s="253">
        <f t="shared" si="0"/>
        <v>46159</v>
      </c>
      <c r="X3" s="254"/>
      <c r="Y3" s="253">
        <f>C3-1</f>
        <v>46138</v>
      </c>
      <c r="AA3" s="4"/>
      <c r="AB3" s="1"/>
    </row>
    <row r="4" spans="1:28" ht="15" customHeight="1" x14ac:dyDescent="0.25">
      <c r="A4" s="190">
        <f>'Nesting Sched'!A4</f>
        <v>524596</v>
      </c>
      <c r="B4" s="263" t="s">
        <v>374</v>
      </c>
      <c r="C4" s="268">
        <v>0.58333333333333337</v>
      </c>
      <c r="D4" s="267" t="s">
        <v>7</v>
      </c>
      <c r="E4" s="268">
        <v>0.58333333333333337</v>
      </c>
      <c r="F4" s="268">
        <v>0.58333333333333337</v>
      </c>
      <c r="G4" s="268">
        <v>0.58333333333333337</v>
      </c>
      <c r="H4" s="267" t="s">
        <v>7</v>
      </c>
      <c r="I4" s="269">
        <v>0.58333333333333337</v>
      </c>
      <c r="J4" s="268">
        <v>0.58333333333333337</v>
      </c>
      <c r="K4" s="268">
        <v>0.58333333333333337</v>
      </c>
      <c r="L4" s="268">
        <v>0.58333333333333337</v>
      </c>
      <c r="M4" s="268">
        <v>0.58333333333333337</v>
      </c>
      <c r="N4" s="267" t="s">
        <v>7</v>
      </c>
      <c r="O4" s="267" t="s">
        <v>7</v>
      </c>
      <c r="P4" s="269">
        <v>0.58333333333333337</v>
      </c>
      <c r="Q4" s="268">
        <v>0.58333333333333337</v>
      </c>
      <c r="R4" s="268">
        <v>0.58333333333333337</v>
      </c>
      <c r="S4" s="268">
        <v>0.58333333333333337</v>
      </c>
      <c r="T4" s="268">
        <v>0.58333333333333337</v>
      </c>
      <c r="U4" s="267" t="s">
        <v>7</v>
      </c>
      <c r="V4" s="267" t="s">
        <v>7</v>
      </c>
      <c r="W4" s="269">
        <v>0.58333333333333337</v>
      </c>
      <c r="X4" s="117">
        <f t="shared" ref="X4:X13" si="1">MODE(Q4:W4)</f>
        <v>0.58333333333333337</v>
      </c>
      <c r="Y4" s="269">
        <v>0.58333333333333337</v>
      </c>
      <c r="AB4" s="1"/>
    </row>
    <row r="5" spans="1:28" ht="15" customHeight="1" x14ac:dyDescent="0.25">
      <c r="A5" s="190">
        <f>'Nesting Sched'!A5</f>
        <v>524598</v>
      </c>
      <c r="B5" s="263" t="s">
        <v>375</v>
      </c>
      <c r="C5" s="268">
        <v>0.58333333333333337</v>
      </c>
      <c r="D5" s="267" t="s">
        <v>7</v>
      </c>
      <c r="E5" s="268">
        <v>0.58333333333333337</v>
      </c>
      <c r="F5" s="268">
        <v>0.58333333333333337</v>
      </c>
      <c r="G5" s="268">
        <v>0.58333333333333337</v>
      </c>
      <c r="H5" s="267" t="s">
        <v>7</v>
      </c>
      <c r="I5" s="269">
        <v>0.58333333333333337</v>
      </c>
      <c r="J5" s="268">
        <v>0.58333333333333337</v>
      </c>
      <c r="K5" s="268">
        <v>0.58333333333333337</v>
      </c>
      <c r="L5" s="268">
        <v>0.58333333333333337</v>
      </c>
      <c r="M5" s="268">
        <v>0.58333333333333337</v>
      </c>
      <c r="N5" s="267" t="s">
        <v>7</v>
      </c>
      <c r="O5" s="267" t="s">
        <v>7</v>
      </c>
      <c r="P5" s="269">
        <v>0.58333333333333337</v>
      </c>
      <c r="Q5" s="268">
        <v>0.58333333333333337</v>
      </c>
      <c r="R5" s="268">
        <v>0.58333333333333337</v>
      </c>
      <c r="S5" s="268">
        <v>0.58333333333333337</v>
      </c>
      <c r="T5" s="268">
        <v>0.58333333333333337</v>
      </c>
      <c r="U5" s="267" t="s">
        <v>7</v>
      </c>
      <c r="V5" s="267" t="s">
        <v>7</v>
      </c>
      <c r="W5" s="269">
        <v>0.58333333333333337</v>
      </c>
      <c r="X5" s="117">
        <f t="shared" si="1"/>
        <v>0.58333333333333337</v>
      </c>
      <c r="Y5" s="269">
        <v>0.58333333333333337</v>
      </c>
      <c r="AB5" s="1"/>
    </row>
    <row r="6" spans="1:28" x14ac:dyDescent="0.25">
      <c r="A6" s="190">
        <f>'Nesting Sched'!A6</f>
        <v>524599</v>
      </c>
      <c r="B6" s="285" t="s">
        <v>376</v>
      </c>
      <c r="C6" s="273" t="s">
        <v>7</v>
      </c>
      <c r="D6" s="267" t="s">
        <v>7</v>
      </c>
      <c r="E6" s="267" t="s">
        <v>7</v>
      </c>
      <c r="F6" s="267" t="s">
        <v>7</v>
      </c>
      <c r="G6" s="267" t="s">
        <v>7</v>
      </c>
      <c r="H6" s="267" t="s">
        <v>7</v>
      </c>
      <c r="I6" s="272" t="s">
        <v>7</v>
      </c>
      <c r="J6" s="267" t="s">
        <v>7</v>
      </c>
      <c r="K6" s="267" t="s">
        <v>7</v>
      </c>
      <c r="L6" s="267" t="s">
        <v>7</v>
      </c>
      <c r="M6" s="267" t="s">
        <v>7</v>
      </c>
      <c r="N6" s="267" t="s">
        <v>7</v>
      </c>
      <c r="O6" s="267" t="s">
        <v>7</v>
      </c>
      <c r="P6" s="272" t="s">
        <v>7</v>
      </c>
      <c r="Q6" s="267" t="s">
        <v>7</v>
      </c>
      <c r="R6" s="267" t="s">
        <v>7</v>
      </c>
      <c r="S6" s="267" t="s">
        <v>7</v>
      </c>
      <c r="T6" s="267" t="s">
        <v>7</v>
      </c>
      <c r="U6" s="267" t="s">
        <v>7</v>
      </c>
      <c r="V6" s="267" t="s">
        <v>7</v>
      </c>
      <c r="W6" s="272" t="s">
        <v>7</v>
      </c>
      <c r="X6" s="117" t="e">
        <f t="shared" si="1"/>
        <v>#N/A</v>
      </c>
      <c r="Y6" s="272" t="s">
        <v>7</v>
      </c>
    </row>
    <row r="7" spans="1:28" x14ac:dyDescent="0.25">
      <c r="A7" s="190">
        <f>'Nesting Sched'!A7</f>
        <v>524593</v>
      </c>
      <c r="B7" s="263" t="s">
        <v>377</v>
      </c>
      <c r="C7" s="268">
        <v>0.58333333333333337</v>
      </c>
      <c r="D7" s="267" t="s">
        <v>7</v>
      </c>
      <c r="E7" s="268">
        <v>0.58333333333333337</v>
      </c>
      <c r="F7" s="268">
        <v>0.58333333333333337</v>
      </c>
      <c r="G7" s="268">
        <v>0.58333333333333337</v>
      </c>
      <c r="H7" s="267" t="s">
        <v>7</v>
      </c>
      <c r="I7" s="269">
        <v>0.58333333333333337</v>
      </c>
      <c r="J7" s="268">
        <v>0.58333333333333337</v>
      </c>
      <c r="K7" s="268">
        <v>0.58333333333333337</v>
      </c>
      <c r="L7" s="268">
        <v>0.58333333333333337</v>
      </c>
      <c r="M7" s="268">
        <v>0.58333333333333337</v>
      </c>
      <c r="N7" s="267" t="s">
        <v>7</v>
      </c>
      <c r="O7" s="267" t="s">
        <v>7</v>
      </c>
      <c r="P7" s="269">
        <v>0.58333333333333337</v>
      </c>
      <c r="Q7" s="268">
        <v>0.58333333333333337</v>
      </c>
      <c r="R7" s="268">
        <v>0.58333333333333337</v>
      </c>
      <c r="S7" s="268">
        <v>0.58333333333333337</v>
      </c>
      <c r="T7" s="268">
        <v>0.58333333333333337</v>
      </c>
      <c r="U7" s="267" t="s">
        <v>7</v>
      </c>
      <c r="V7" s="267" t="s">
        <v>7</v>
      </c>
      <c r="W7" s="269">
        <v>0.58333333333333337</v>
      </c>
      <c r="X7" s="117">
        <f t="shared" si="1"/>
        <v>0.58333333333333337</v>
      </c>
      <c r="Y7" s="269">
        <v>0.58333333333333337</v>
      </c>
    </row>
    <row r="8" spans="1:28" x14ac:dyDescent="0.25">
      <c r="A8" s="190">
        <f>'Nesting Sched'!A8</f>
        <v>524591</v>
      </c>
      <c r="B8" s="263" t="s">
        <v>378</v>
      </c>
      <c r="C8" s="268">
        <v>0.58333333333333337</v>
      </c>
      <c r="D8" s="267" t="s">
        <v>7</v>
      </c>
      <c r="E8" s="268">
        <v>0.58333333333333337</v>
      </c>
      <c r="F8" s="268">
        <v>0.58333333333333337</v>
      </c>
      <c r="G8" s="268">
        <v>0.58333333333333337</v>
      </c>
      <c r="H8" s="267" t="s">
        <v>7</v>
      </c>
      <c r="I8" s="269">
        <v>0.58333333333333337</v>
      </c>
      <c r="J8" s="268">
        <v>0.58333333333333337</v>
      </c>
      <c r="K8" s="268">
        <v>0.58333333333333337</v>
      </c>
      <c r="L8" s="268">
        <v>0.58333333333333337</v>
      </c>
      <c r="M8" s="268">
        <v>0.58333333333333337</v>
      </c>
      <c r="N8" s="267" t="s">
        <v>7</v>
      </c>
      <c r="O8" s="267" t="s">
        <v>7</v>
      </c>
      <c r="P8" s="269">
        <v>0.58333333333333337</v>
      </c>
      <c r="Q8" s="268">
        <v>0.58333333333333337</v>
      </c>
      <c r="R8" s="268">
        <v>0.58333333333333337</v>
      </c>
      <c r="S8" s="268">
        <v>0.58333333333333337</v>
      </c>
      <c r="T8" s="268">
        <v>0.58333333333333337</v>
      </c>
      <c r="U8" s="267" t="s">
        <v>7</v>
      </c>
      <c r="V8" s="267" t="s">
        <v>7</v>
      </c>
      <c r="W8" s="269">
        <v>0.58333333333333337</v>
      </c>
      <c r="X8" s="117">
        <f t="shared" si="1"/>
        <v>0.58333333333333337</v>
      </c>
      <c r="Y8" s="269">
        <v>0.58333333333333337</v>
      </c>
    </row>
    <row r="9" spans="1:28" x14ac:dyDescent="0.25">
      <c r="A9" s="190">
        <f>'Nesting Sched'!A9</f>
        <v>524600</v>
      </c>
      <c r="B9" s="263" t="s">
        <v>379</v>
      </c>
      <c r="C9" s="268">
        <v>0.58333333333333337</v>
      </c>
      <c r="D9" s="267" t="s">
        <v>7</v>
      </c>
      <c r="E9" s="268">
        <v>0.58333333333333337</v>
      </c>
      <c r="F9" s="268">
        <v>0.58333333333333337</v>
      </c>
      <c r="G9" s="268">
        <v>0.58333333333333337</v>
      </c>
      <c r="H9" s="267" t="s">
        <v>7</v>
      </c>
      <c r="I9" s="269">
        <v>0.58333333333333337</v>
      </c>
      <c r="J9" s="268">
        <v>0.58333333333333337</v>
      </c>
      <c r="K9" s="268">
        <v>0.58333333333333337</v>
      </c>
      <c r="L9" s="268">
        <v>0.58333333333333337</v>
      </c>
      <c r="M9" s="268">
        <v>0.58333333333333337</v>
      </c>
      <c r="N9" s="267" t="s">
        <v>7</v>
      </c>
      <c r="O9" s="267" t="s">
        <v>7</v>
      </c>
      <c r="P9" s="269">
        <v>0.58333333333333337</v>
      </c>
      <c r="Q9" s="268">
        <v>0.58333333333333337</v>
      </c>
      <c r="R9" s="268">
        <v>0.58333333333333337</v>
      </c>
      <c r="S9" s="268">
        <v>0.58333333333333337</v>
      </c>
      <c r="T9" s="268">
        <v>0.58333333333333337</v>
      </c>
      <c r="U9" s="267" t="s">
        <v>7</v>
      </c>
      <c r="V9" s="267" t="s">
        <v>7</v>
      </c>
      <c r="W9" s="269">
        <v>0.58333333333333337</v>
      </c>
      <c r="X9" s="117">
        <f t="shared" si="1"/>
        <v>0.58333333333333337</v>
      </c>
      <c r="Y9" s="269">
        <v>0.58333333333333337</v>
      </c>
    </row>
    <row r="10" spans="1:28" x14ac:dyDescent="0.25">
      <c r="A10" s="190">
        <f>'Nesting Sched'!A10</f>
        <v>524597</v>
      </c>
      <c r="B10" s="263" t="s">
        <v>380</v>
      </c>
      <c r="C10" s="268">
        <v>0.58333333333333337</v>
      </c>
      <c r="D10" s="267" t="s">
        <v>7</v>
      </c>
      <c r="E10" s="268">
        <v>0.58333333333333337</v>
      </c>
      <c r="F10" s="268">
        <v>0.58333333333333337</v>
      </c>
      <c r="G10" s="268">
        <v>0.58333333333333337</v>
      </c>
      <c r="H10" s="267" t="s">
        <v>7</v>
      </c>
      <c r="I10" s="269">
        <v>0.58333333333333337</v>
      </c>
      <c r="J10" s="268">
        <v>0.58333333333333337</v>
      </c>
      <c r="K10" s="268">
        <v>0.58333333333333337</v>
      </c>
      <c r="L10" s="268">
        <v>0.58333333333333337</v>
      </c>
      <c r="M10" s="268">
        <v>0.58333333333333337</v>
      </c>
      <c r="N10" s="267" t="s">
        <v>7</v>
      </c>
      <c r="O10" s="267" t="s">
        <v>7</v>
      </c>
      <c r="P10" s="269">
        <v>0.58333333333333337</v>
      </c>
      <c r="Q10" s="268">
        <v>0.58333333333333337</v>
      </c>
      <c r="R10" s="268">
        <v>0.58333333333333337</v>
      </c>
      <c r="S10" s="268">
        <v>0.58333333333333337</v>
      </c>
      <c r="T10" s="268">
        <v>0.58333333333333337</v>
      </c>
      <c r="U10" s="267" t="s">
        <v>7</v>
      </c>
      <c r="V10" s="267" t="s">
        <v>7</v>
      </c>
      <c r="W10" s="269">
        <v>0.58333333333333337</v>
      </c>
      <c r="X10" s="117">
        <f t="shared" si="1"/>
        <v>0.58333333333333337</v>
      </c>
      <c r="Y10" s="269">
        <v>0.58333333333333337</v>
      </c>
    </row>
    <row r="11" spans="1:28" x14ac:dyDescent="0.25">
      <c r="A11" s="190">
        <f>'Nesting Sched'!A11</f>
        <v>524595</v>
      </c>
      <c r="B11" s="263" t="s">
        <v>381</v>
      </c>
      <c r="C11" s="268">
        <v>0.58333333333333337</v>
      </c>
      <c r="D11" s="267" t="s">
        <v>7</v>
      </c>
      <c r="E11" s="268">
        <v>0.58333333333333337</v>
      </c>
      <c r="F11" s="268">
        <v>0.58333333333333337</v>
      </c>
      <c r="G11" s="268">
        <v>0.58333333333333337</v>
      </c>
      <c r="H11" s="267" t="s">
        <v>7</v>
      </c>
      <c r="I11" s="269">
        <v>0.58333333333333337</v>
      </c>
      <c r="J11" s="268">
        <v>0.58333333333333337</v>
      </c>
      <c r="K11" s="268">
        <v>0.58333333333333337</v>
      </c>
      <c r="L11" s="268">
        <v>0.58333333333333337</v>
      </c>
      <c r="M11" s="268">
        <v>0.58333333333333337</v>
      </c>
      <c r="N11" s="267" t="s">
        <v>7</v>
      </c>
      <c r="O11" s="267" t="s">
        <v>7</v>
      </c>
      <c r="P11" s="269">
        <v>0.58333333333333337</v>
      </c>
      <c r="Q11" s="268">
        <v>0.58333333333333337</v>
      </c>
      <c r="R11" s="268">
        <v>0.58333333333333337</v>
      </c>
      <c r="S11" s="268">
        <v>0.58333333333333337</v>
      </c>
      <c r="T11" s="268">
        <v>0.58333333333333337</v>
      </c>
      <c r="U11" s="267" t="s">
        <v>7</v>
      </c>
      <c r="V11" s="267" t="s">
        <v>7</v>
      </c>
      <c r="W11" s="269">
        <v>0.58333333333333337</v>
      </c>
      <c r="X11" s="117">
        <f t="shared" si="1"/>
        <v>0.58333333333333337</v>
      </c>
      <c r="Y11" s="269">
        <v>0.58333333333333337</v>
      </c>
    </row>
    <row r="12" spans="1:28" x14ac:dyDescent="0.25">
      <c r="A12" s="190">
        <f>'Nesting Sched'!A12</f>
        <v>524594</v>
      </c>
      <c r="B12" s="263" t="s">
        <v>382</v>
      </c>
      <c r="C12" s="268">
        <v>0.58333333333333337</v>
      </c>
      <c r="D12" s="267" t="s">
        <v>7</v>
      </c>
      <c r="E12" s="268">
        <v>0.58333333333333337</v>
      </c>
      <c r="F12" s="268">
        <v>0.58333333333333337</v>
      </c>
      <c r="G12" s="268">
        <v>0.58333333333333337</v>
      </c>
      <c r="H12" s="267" t="s">
        <v>7</v>
      </c>
      <c r="I12" s="269">
        <v>0.58333333333333337</v>
      </c>
      <c r="J12" s="268">
        <v>0.58333333333333337</v>
      </c>
      <c r="K12" s="268">
        <v>0.58333333333333337</v>
      </c>
      <c r="L12" s="268">
        <v>0.58333333333333337</v>
      </c>
      <c r="M12" s="268">
        <v>0.58333333333333337</v>
      </c>
      <c r="N12" s="267" t="s">
        <v>7</v>
      </c>
      <c r="O12" s="267" t="s">
        <v>7</v>
      </c>
      <c r="P12" s="269">
        <v>0.58333333333333337</v>
      </c>
      <c r="Q12" s="268">
        <v>0.58333333333333337</v>
      </c>
      <c r="R12" s="268">
        <v>0.58333333333333337</v>
      </c>
      <c r="S12" s="268">
        <v>0.58333333333333337</v>
      </c>
      <c r="T12" s="268">
        <v>0.58333333333333337</v>
      </c>
      <c r="U12" s="267" t="s">
        <v>7</v>
      </c>
      <c r="V12" s="267" t="s">
        <v>7</v>
      </c>
      <c r="W12" s="269">
        <v>0.58333333333333337</v>
      </c>
      <c r="X12" s="117">
        <f t="shared" si="1"/>
        <v>0.58333333333333337</v>
      </c>
      <c r="Y12" s="269">
        <v>0.58333333333333337</v>
      </c>
    </row>
    <row r="13" spans="1:28" x14ac:dyDescent="0.25">
      <c r="A13" s="190">
        <f>'Nesting Sched'!A13</f>
        <v>524592</v>
      </c>
      <c r="B13" s="263" t="s">
        <v>383</v>
      </c>
      <c r="C13" s="268">
        <v>0.58333333333333337</v>
      </c>
      <c r="D13" s="267" t="s">
        <v>7</v>
      </c>
      <c r="E13" s="268">
        <v>0.58333333333333337</v>
      </c>
      <c r="F13" s="268">
        <v>0.58333333333333337</v>
      </c>
      <c r="G13" s="268">
        <v>0.58333333333333337</v>
      </c>
      <c r="H13" s="267" t="s">
        <v>7</v>
      </c>
      <c r="I13" s="269">
        <v>0.58333333333333337</v>
      </c>
      <c r="J13" s="268">
        <v>0.58333333333333337</v>
      </c>
      <c r="K13" s="268">
        <v>0.58333333333333337</v>
      </c>
      <c r="L13" s="268">
        <v>0.58333333333333337</v>
      </c>
      <c r="M13" s="268">
        <v>0.58333333333333337</v>
      </c>
      <c r="N13" s="267" t="s">
        <v>7</v>
      </c>
      <c r="O13" s="267" t="s">
        <v>7</v>
      </c>
      <c r="P13" s="269">
        <v>0.58333333333333337</v>
      </c>
      <c r="Q13" s="268">
        <v>0.58333333333333337</v>
      </c>
      <c r="R13" s="268">
        <v>0.58333333333333337</v>
      </c>
      <c r="S13" s="268">
        <v>0.58333333333333337</v>
      </c>
      <c r="T13" s="268">
        <v>0.58333333333333337</v>
      </c>
      <c r="U13" s="267" t="s">
        <v>7</v>
      </c>
      <c r="V13" s="267" t="s">
        <v>7</v>
      </c>
      <c r="W13" s="269">
        <v>0.58333333333333337</v>
      </c>
      <c r="X13" s="117">
        <f t="shared" si="1"/>
        <v>0.58333333333333337</v>
      </c>
      <c r="Y13" s="269">
        <v>0.58333333333333337</v>
      </c>
    </row>
    <row r="14" spans="1:28" x14ac:dyDescent="0.25">
      <c r="A14" s="190"/>
      <c r="B14" s="260"/>
      <c r="C14" s="127"/>
      <c r="D14" s="127"/>
      <c r="E14" s="127"/>
      <c r="F14" s="127"/>
      <c r="G14" s="127"/>
      <c r="H14" s="127"/>
      <c r="I14" s="117"/>
      <c r="J14" s="127"/>
      <c r="K14" s="127"/>
      <c r="L14" s="127"/>
      <c r="M14" s="127"/>
      <c r="N14" s="127"/>
      <c r="O14" s="127"/>
      <c r="P14" s="117"/>
      <c r="Q14" s="127"/>
      <c r="R14" s="127"/>
      <c r="S14" s="127"/>
      <c r="T14" s="127"/>
      <c r="U14" s="127"/>
      <c r="V14" s="127"/>
      <c r="W14" s="117"/>
      <c r="X14" s="117"/>
      <c r="Y14" s="117"/>
    </row>
    <row r="15" spans="1:28" x14ac:dyDescent="0.25">
      <c r="A15" s="190"/>
      <c r="B15" s="260"/>
      <c r="C15" s="127"/>
      <c r="D15" s="127"/>
      <c r="E15" s="127"/>
      <c r="F15" s="127"/>
      <c r="G15" s="127"/>
      <c r="H15" s="127"/>
      <c r="I15" s="117"/>
      <c r="J15" s="127"/>
      <c r="K15" s="127"/>
      <c r="L15" s="127"/>
      <c r="M15" s="127"/>
      <c r="N15" s="127"/>
      <c r="O15" s="127"/>
      <c r="P15" s="117"/>
      <c r="Q15" s="127"/>
      <c r="R15" s="127"/>
      <c r="S15" s="127"/>
      <c r="T15" s="127"/>
      <c r="U15" s="127"/>
      <c r="V15" s="127"/>
      <c r="W15" s="117"/>
      <c r="X15" s="117"/>
      <c r="Y15" s="117"/>
    </row>
    <row r="16" spans="1:28" x14ac:dyDescent="0.25">
      <c r="A16" s="190"/>
      <c r="B16" s="260"/>
      <c r="C16" s="127"/>
      <c r="D16" s="127"/>
      <c r="E16" s="127"/>
      <c r="F16" s="127"/>
      <c r="G16" s="127"/>
      <c r="H16" s="127"/>
      <c r="I16" s="117"/>
      <c r="J16" s="127"/>
      <c r="K16" s="127"/>
      <c r="L16" s="127"/>
      <c r="M16" s="127"/>
      <c r="N16" s="127"/>
      <c r="O16" s="127"/>
      <c r="P16" s="117"/>
      <c r="Q16" s="127"/>
      <c r="R16" s="127"/>
      <c r="S16" s="127"/>
      <c r="T16" s="127"/>
      <c r="U16" s="127"/>
      <c r="V16" s="127"/>
      <c r="W16" s="117"/>
      <c r="X16" s="117"/>
      <c r="Y16" s="117"/>
    </row>
    <row r="17" spans="1:25" x14ac:dyDescent="0.25">
      <c r="A17" s="190"/>
      <c r="B17" s="260"/>
      <c r="C17" s="127"/>
      <c r="D17" s="127"/>
      <c r="E17" s="127"/>
      <c r="F17" s="127"/>
      <c r="G17" s="127"/>
      <c r="H17" s="127"/>
      <c r="I17" s="117"/>
      <c r="J17" s="127"/>
      <c r="K17" s="127"/>
      <c r="L17" s="127"/>
      <c r="M17" s="127"/>
      <c r="N17" s="127"/>
      <c r="O17" s="127"/>
      <c r="P17" s="117"/>
      <c r="Q17" s="127"/>
      <c r="R17" s="127"/>
      <c r="S17" s="127"/>
      <c r="T17" s="127"/>
      <c r="U17" s="127"/>
      <c r="V17" s="127"/>
      <c r="W17" s="117"/>
      <c r="X17" s="117"/>
      <c r="Y17" s="117"/>
    </row>
    <row r="18" spans="1:25" x14ac:dyDescent="0.25">
      <c r="A18" s="190"/>
      <c r="B18" s="260"/>
      <c r="C18" s="127"/>
      <c r="D18" s="127"/>
      <c r="E18" s="127"/>
      <c r="F18" s="127"/>
      <c r="G18" s="127"/>
      <c r="H18" s="127"/>
      <c r="I18" s="117"/>
      <c r="J18" s="127"/>
      <c r="K18" s="127"/>
      <c r="L18" s="127"/>
      <c r="M18" s="127"/>
      <c r="N18" s="127"/>
      <c r="O18" s="127"/>
      <c r="P18" s="117"/>
      <c r="Q18" s="127"/>
      <c r="R18" s="127"/>
      <c r="S18" s="127"/>
      <c r="T18" s="127"/>
      <c r="U18" s="127"/>
      <c r="V18" s="127"/>
      <c r="W18" s="117"/>
      <c r="X18" s="117"/>
      <c r="Y18" s="117"/>
    </row>
    <row r="19" spans="1:25" x14ac:dyDescent="0.25">
      <c r="A19" s="190"/>
      <c r="B19" s="260"/>
      <c r="C19" s="127"/>
      <c r="D19" s="127"/>
      <c r="E19" s="127"/>
      <c r="F19" s="127"/>
      <c r="G19" s="127"/>
      <c r="H19" s="127"/>
      <c r="I19" s="117"/>
      <c r="J19" s="127"/>
      <c r="K19" s="127"/>
      <c r="L19" s="127"/>
      <c r="M19" s="127"/>
      <c r="N19" s="127"/>
      <c r="O19" s="127"/>
      <c r="P19" s="117"/>
      <c r="Q19" s="127"/>
      <c r="R19" s="127"/>
      <c r="S19" s="127"/>
      <c r="T19" s="127"/>
      <c r="U19" s="127"/>
      <c r="V19" s="127"/>
      <c r="W19" s="117"/>
      <c r="X19" s="117"/>
      <c r="Y19" s="117"/>
    </row>
    <row r="20" spans="1:25" x14ac:dyDescent="0.25">
      <c r="A20" s="190"/>
      <c r="B20" s="260"/>
      <c r="C20" s="127"/>
      <c r="D20" s="127"/>
      <c r="E20" s="127"/>
      <c r="F20" s="127"/>
      <c r="G20" s="127"/>
      <c r="H20" s="127"/>
      <c r="I20" s="117"/>
      <c r="J20" s="127"/>
      <c r="K20" s="127"/>
      <c r="L20" s="127"/>
      <c r="M20" s="127"/>
      <c r="N20" s="127"/>
      <c r="O20" s="127"/>
      <c r="P20" s="117"/>
      <c r="Q20" s="127"/>
      <c r="R20" s="127"/>
      <c r="S20" s="127"/>
      <c r="T20" s="127"/>
      <c r="U20" s="127"/>
      <c r="V20" s="127"/>
      <c r="W20" s="117"/>
      <c r="X20" s="117"/>
      <c r="Y20" s="117"/>
    </row>
    <row r="21" spans="1:25" x14ac:dyDescent="0.25">
      <c r="A21" s="190"/>
      <c r="B21" s="260"/>
      <c r="C21" s="127"/>
      <c r="D21" s="127"/>
      <c r="E21" s="127"/>
      <c r="F21" s="127"/>
      <c r="G21" s="127"/>
      <c r="H21" s="127"/>
      <c r="I21" s="117"/>
      <c r="J21" s="127"/>
      <c r="K21" s="127"/>
      <c r="L21" s="127"/>
      <c r="M21" s="127"/>
      <c r="N21" s="127"/>
      <c r="O21" s="127"/>
      <c r="P21" s="117"/>
      <c r="Q21" s="127"/>
      <c r="R21" s="127"/>
      <c r="S21" s="127"/>
      <c r="T21" s="127"/>
      <c r="U21" s="127"/>
      <c r="V21" s="127"/>
      <c r="W21" s="117"/>
      <c r="X21" s="117"/>
      <c r="Y21" s="117"/>
    </row>
    <row r="22" spans="1:25" x14ac:dyDescent="0.25">
      <c r="A22" s="190"/>
      <c r="B22" s="260"/>
      <c r="C22" s="127"/>
      <c r="D22" s="127"/>
      <c r="E22" s="127"/>
      <c r="F22" s="127"/>
      <c r="G22" s="127"/>
      <c r="H22" s="127"/>
      <c r="I22" s="117"/>
      <c r="J22" s="127"/>
      <c r="K22" s="127"/>
      <c r="L22" s="127"/>
      <c r="M22" s="127"/>
      <c r="N22" s="127"/>
      <c r="O22" s="127"/>
      <c r="P22" s="117"/>
      <c r="Q22" s="127"/>
      <c r="R22" s="127"/>
      <c r="S22" s="127"/>
      <c r="T22" s="127"/>
      <c r="U22" s="127"/>
      <c r="V22" s="127"/>
      <c r="W22" s="117"/>
      <c r="X22" s="117"/>
      <c r="Y22" s="117"/>
    </row>
    <row r="23" spans="1:25" x14ac:dyDescent="0.25">
      <c r="A23" s="190"/>
      <c r="B23" s="260"/>
      <c r="C23" s="127"/>
      <c r="D23" s="127"/>
      <c r="E23" s="127"/>
      <c r="F23" s="127"/>
      <c r="G23" s="127"/>
      <c r="H23" s="127"/>
      <c r="I23" s="117"/>
      <c r="J23" s="127"/>
      <c r="K23" s="127"/>
      <c r="L23" s="127"/>
      <c r="M23" s="127"/>
      <c r="N23" s="127"/>
      <c r="O23" s="127"/>
      <c r="P23" s="117"/>
      <c r="Q23" s="127"/>
      <c r="R23" s="127"/>
      <c r="S23" s="127"/>
      <c r="T23" s="127"/>
      <c r="U23" s="127"/>
      <c r="V23" s="127"/>
      <c r="W23" s="117"/>
      <c r="X23" s="117"/>
      <c r="Y23" s="117"/>
    </row>
    <row r="24" spans="1:25" x14ac:dyDescent="0.25">
      <c r="A24" s="190"/>
      <c r="B24" s="260"/>
      <c r="C24" s="127"/>
      <c r="D24" s="127"/>
      <c r="E24" s="127"/>
      <c r="F24" s="127"/>
      <c r="G24" s="127"/>
      <c r="H24" s="127"/>
      <c r="I24" s="117"/>
      <c r="J24" s="127"/>
      <c r="K24" s="127"/>
      <c r="L24" s="127"/>
      <c r="M24" s="127"/>
      <c r="N24" s="127"/>
      <c r="O24" s="127"/>
      <c r="P24" s="117"/>
      <c r="Q24" s="127"/>
      <c r="R24" s="127"/>
      <c r="S24" s="127"/>
      <c r="T24" s="127"/>
      <c r="U24" s="127"/>
      <c r="V24" s="127"/>
      <c r="W24" s="117"/>
      <c r="X24" s="117"/>
      <c r="Y24" s="117"/>
    </row>
    <row r="25" spans="1:25" x14ac:dyDescent="0.25">
      <c r="A25" s="190"/>
      <c r="B25" s="260"/>
      <c r="C25" s="127"/>
      <c r="D25" s="127"/>
      <c r="E25" s="127"/>
      <c r="F25" s="127"/>
      <c r="G25" s="127"/>
      <c r="H25" s="127"/>
      <c r="I25" s="117"/>
      <c r="J25" s="127"/>
      <c r="K25" s="127"/>
      <c r="L25" s="127"/>
      <c r="M25" s="127"/>
      <c r="N25" s="127"/>
      <c r="O25" s="127"/>
      <c r="P25" s="117"/>
      <c r="Q25" s="127"/>
      <c r="R25" s="127"/>
      <c r="S25" s="127"/>
      <c r="T25" s="127"/>
      <c r="U25" s="127"/>
      <c r="V25" s="127"/>
      <c r="W25" s="117"/>
      <c r="X25" s="117"/>
      <c r="Y25" s="117"/>
    </row>
    <row r="26" spans="1:25" x14ac:dyDescent="0.25">
      <c r="A26" s="190"/>
      <c r="B26" s="260"/>
      <c r="C26" s="127"/>
      <c r="D26" s="127"/>
      <c r="E26" s="127"/>
      <c r="F26" s="127"/>
      <c r="G26" s="127"/>
      <c r="H26" s="127"/>
      <c r="I26" s="117"/>
      <c r="J26" s="127"/>
      <c r="K26" s="127"/>
      <c r="L26" s="127"/>
      <c r="M26" s="127"/>
      <c r="N26" s="127"/>
      <c r="O26" s="127"/>
      <c r="P26" s="117"/>
      <c r="Q26" s="127"/>
      <c r="R26" s="127"/>
      <c r="S26" s="127"/>
      <c r="T26" s="127"/>
      <c r="U26" s="127"/>
      <c r="V26" s="127"/>
      <c r="W26" s="117"/>
      <c r="X26" s="117"/>
      <c r="Y26" s="117"/>
    </row>
    <row r="27" spans="1:25" x14ac:dyDescent="0.25">
      <c r="A27" s="190"/>
      <c r="B27" s="260"/>
      <c r="C27" s="127"/>
      <c r="D27" s="127"/>
      <c r="E27" s="127"/>
      <c r="F27" s="127"/>
      <c r="G27" s="127"/>
      <c r="H27" s="127"/>
      <c r="I27" s="117"/>
      <c r="J27" s="127"/>
      <c r="K27" s="127"/>
      <c r="L27" s="127"/>
      <c r="M27" s="127"/>
      <c r="N27" s="127"/>
      <c r="O27" s="127"/>
      <c r="P27" s="117"/>
      <c r="Q27" s="127"/>
      <c r="R27" s="127"/>
      <c r="S27" s="127"/>
      <c r="T27" s="127"/>
      <c r="U27" s="127"/>
      <c r="V27" s="127"/>
      <c r="W27" s="117"/>
      <c r="X27" s="117"/>
      <c r="Y27" s="117"/>
    </row>
    <row r="28" spans="1:25" x14ac:dyDescent="0.25">
      <c r="A28" s="190"/>
      <c r="B28" s="260"/>
      <c r="C28" s="127"/>
      <c r="D28" s="127"/>
      <c r="E28" s="127"/>
      <c r="F28" s="127"/>
      <c r="G28" s="127"/>
      <c r="H28" s="127"/>
      <c r="I28" s="117"/>
      <c r="J28" s="127"/>
      <c r="K28" s="127"/>
      <c r="L28" s="127"/>
      <c r="M28" s="127"/>
      <c r="N28" s="127"/>
      <c r="O28" s="127"/>
      <c r="P28" s="117"/>
      <c r="Q28" s="127"/>
      <c r="R28" s="127"/>
      <c r="S28" s="127"/>
      <c r="T28" s="127"/>
      <c r="U28" s="127"/>
      <c r="V28" s="127"/>
      <c r="W28" s="117"/>
      <c r="X28" s="117"/>
      <c r="Y28" s="117"/>
    </row>
    <row r="29" spans="1:25" x14ac:dyDescent="0.25">
      <c r="A29" s="190"/>
      <c r="B29" s="260"/>
      <c r="C29" s="127"/>
      <c r="D29" s="127"/>
      <c r="E29" s="127"/>
      <c r="F29" s="127"/>
      <c r="G29" s="127"/>
      <c r="H29" s="127"/>
      <c r="I29" s="117"/>
      <c r="J29" s="127"/>
      <c r="K29" s="127"/>
      <c r="L29" s="127"/>
      <c r="M29" s="127"/>
      <c r="N29" s="127"/>
      <c r="O29" s="127"/>
      <c r="P29" s="117"/>
      <c r="Q29" s="127"/>
      <c r="R29" s="127"/>
      <c r="S29" s="127"/>
      <c r="T29" s="127"/>
      <c r="U29" s="127"/>
      <c r="V29" s="127"/>
      <c r="W29" s="117"/>
      <c r="X29" s="117"/>
      <c r="Y29" s="117"/>
    </row>
    <row r="30" spans="1:25" x14ac:dyDescent="0.25">
      <c r="A30" s="190"/>
      <c r="B30" s="260"/>
      <c r="C30" s="127"/>
      <c r="D30" s="127"/>
      <c r="E30" s="127"/>
      <c r="F30" s="127"/>
      <c r="G30" s="127"/>
      <c r="H30" s="127"/>
      <c r="I30" s="117"/>
      <c r="J30" s="127"/>
      <c r="K30" s="127"/>
      <c r="L30" s="127"/>
      <c r="M30" s="127"/>
      <c r="N30" s="127"/>
      <c r="O30" s="127"/>
      <c r="P30" s="117"/>
      <c r="Q30" s="127"/>
      <c r="R30" s="127"/>
      <c r="S30" s="127"/>
      <c r="T30" s="127"/>
      <c r="U30" s="127"/>
      <c r="V30" s="127"/>
      <c r="W30" s="117"/>
      <c r="X30" s="117"/>
      <c r="Y30" s="117"/>
    </row>
    <row r="31" spans="1:25" x14ac:dyDescent="0.25">
      <c r="A31" s="190"/>
      <c r="B31" s="260"/>
      <c r="C31" s="127"/>
      <c r="D31" s="127"/>
      <c r="E31" s="127"/>
      <c r="F31" s="127"/>
      <c r="G31" s="127"/>
      <c r="H31" s="127"/>
      <c r="I31" s="117"/>
      <c r="J31" s="127"/>
      <c r="K31" s="127"/>
      <c r="L31" s="127"/>
      <c r="M31" s="127"/>
      <c r="N31" s="127"/>
      <c r="O31" s="127"/>
      <c r="P31" s="117"/>
      <c r="Q31" s="127"/>
      <c r="R31" s="127"/>
      <c r="S31" s="127"/>
      <c r="T31" s="127"/>
      <c r="U31" s="127"/>
      <c r="V31" s="127"/>
      <c r="W31" s="117"/>
      <c r="X31" s="117"/>
      <c r="Y31" s="117"/>
    </row>
    <row r="32" spans="1:25" x14ac:dyDescent="0.25">
      <c r="A32" s="190"/>
      <c r="B32" s="260"/>
      <c r="C32" s="127"/>
      <c r="D32" s="127"/>
      <c r="E32" s="127"/>
      <c r="F32" s="127"/>
      <c r="G32" s="127"/>
      <c r="H32" s="127"/>
      <c r="I32" s="117"/>
      <c r="J32" s="127"/>
      <c r="K32" s="127"/>
      <c r="L32" s="127"/>
      <c r="M32" s="127"/>
      <c r="N32" s="127"/>
      <c r="O32" s="127"/>
      <c r="P32" s="117"/>
      <c r="Q32" s="127"/>
      <c r="R32" s="127"/>
      <c r="S32" s="127"/>
      <c r="T32" s="127"/>
      <c r="U32" s="127"/>
      <c r="V32" s="127"/>
      <c r="W32" s="117"/>
      <c r="X32" s="117"/>
      <c r="Y32" s="117"/>
    </row>
    <row r="33" spans="1:25" x14ac:dyDescent="0.25">
      <c r="A33" s="190"/>
      <c r="B33" s="260"/>
      <c r="C33" s="116"/>
      <c r="D33" s="116"/>
      <c r="E33" s="116"/>
      <c r="F33" s="116"/>
      <c r="G33" s="116"/>
      <c r="H33" s="116"/>
      <c r="I33" s="72"/>
      <c r="J33" s="116"/>
      <c r="K33" s="116"/>
      <c r="L33" s="116"/>
      <c r="M33" s="116"/>
      <c r="N33" s="116"/>
      <c r="O33" s="116"/>
      <c r="P33" s="72"/>
      <c r="Q33" s="116"/>
      <c r="R33" s="116"/>
      <c r="S33" s="116"/>
      <c r="T33" s="116"/>
      <c r="U33" s="116"/>
      <c r="V33" s="116"/>
      <c r="W33" s="72"/>
      <c r="X33" s="72"/>
      <c r="Y33" s="72"/>
    </row>
    <row r="34" spans="1:25" x14ac:dyDescent="0.25">
      <c r="A34" s="190"/>
      <c r="B34" s="260"/>
      <c r="C34" s="116"/>
      <c r="D34" s="116"/>
      <c r="E34" s="116"/>
      <c r="F34" s="116"/>
      <c r="G34" s="116"/>
      <c r="H34" s="116"/>
      <c r="I34" s="72"/>
      <c r="J34" s="116"/>
      <c r="K34" s="116"/>
      <c r="L34" s="116"/>
      <c r="M34" s="116"/>
      <c r="N34" s="116"/>
      <c r="O34" s="116"/>
      <c r="P34" s="72"/>
      <c r="Q34" s="116"/>
      <c r="R34" s="116"/>
      <c r="S34" s="116"/>
      <c r="T34" s="116"/>
      <c r="U34" s="116"/>
      <c r="V34" s="116"/>
      <c r="W34" s="72"/>
      <c r="X34" s="72"/>
      <c r="Y34" s="72"/>
    </row>
    <row r="35" spans="1:25" x14ac:dyDescent="0.25">
      <c r="A35" s="190"/>
      <c r="B35" s="260"/>
      <c r="C35" s="116"/>
      <c r="D35" s="116"/>
      <c r="E35" s="116"/>
      <c r="F35" s="116"/>
      <c r="G35" s="116"/>
      <c r="H35" s="116"/>
      <c r="I35" s="72"/>
      <c r="J35" s="116"/>
      <c r="K35" s="116"/>
      <c r="L35" s="116"/>
      <c r="M35" s="116"/>
      <c r="N35" s="116"/>
      <c r="O35" s="116"/>
      <c r="P35" s="72"/>
      <c r="Q35" s="116"/>
      <c r="R35" s="116"/>
      <c r="S35" s="116"/>
      <c r="T35" s="116"/>
      <c r="U35" s="116"/>
      <c r="V35" s="116"/>
      <c r="W35" s="72"/>
      <c r="X35" s="72"/>
      <c r="Y35" s="72"/>
    </row>
    <row r="36" spans="1:25" x14ac:dyDescent="0.25">
      <c r="A36" s="190"/>
      <c r="B36" s="260"/>
      <c r="C36" s="116"/>
      <c r="D36" s="116"/>
      <c r="E36" s="116"/>
      <c r="F36" s="116"/>
      <c r="G36" s="116"/>
      <c r="H36" s="116"/>
      <c r="I36" s="72"/>
      <c r="J36" s="116"/>
      <c r="K36" s="116"/>
      <c r="L36" s="116"/>
      <c r="M36" s="116"/>
      <c r="N36" s="116"/>
      <c r="O36" s="116"/>
      <c r="P36" s="72"/>
      <c r="Q36" s="116"/>
      <c r="R36" s="116"/>
      <c r="S36" s="116"/>
      <c r="T36" s="116"/>
      <c r="U36" s="116"/>
      <c r="V36" s="116"/>
      <c r="W36" s="72"/>
      <c r="X36" s="72"/>
      <c r="Y36" s="72"/>
    </row>
    <row r="37" spans="1:25" x14ac:dyDescent="0.25">
      <c r="A37" s="190"/>
      <c r="B37" s="260"/>
      <c r="C37" s="116"/>
      <c r="D37" s="116"/>
      <c r="E37" s="116"/>
      <c r="F37" s="116"/>
      <c r="G37" s="116"/>
      <c r="H37" s="116"/>
      <c r="I37" s="72"/>
      <c r="J37" s="116"/>
      <c r="K37" s="116"/>
      <c r="L37" s="116"/>
      <c r="M37" s="116"/>
      <c r="N37" s="116"/>
      <c r="O37" s="116"/>
      <c r="P37" s="72"/>
      <c r="Q37" s="116"/>
      <c r="R37" s="116"/>
      <c r="S37" s="116"/>
      <c r="T37" s="116"/>
      <c r="U37" s="116"/>
      <c r="V37" s="116"/>
      <c r="W37" s="72"/>
      <c r="X37" s="72"/>
      <c r="Y37" s="72"/>
    </row>
    <row r="38" spans="1:25" x14ac:dyDescent="0.25">
      <c r="A38" s="190"/>
      <c r="B38" s="260"/>
      <c r="C38" s="116"/>
      <c r="D38" s="116"/>
      <c r="E38" s="116"/>
      <c r="F38" s="116"/>
      <c r="G38" s="116"/>
      <c r="H38" s="116"/>
      <c r="I38" s="72"/>
      <c r="J38" s="116"/>
      <c r="K38" s="116"/>
      <c r="L38" s="116"/>
      <c r="M38" s="116"/>
      <c r="N38" s="116"/>
      <c r="O38" s="116"/>
      <c r="P38" s="72"/>
      <c r="Q38" s="116"/>
      <c r="R38" s="116"/>
      <c r="S38" s="116"/>
      <c r="T38" s="116"/>
      <c r="U38" s="116"/>
      <c r="V38" s="116"/>
      <c r="W38" s="72"/>
      <c r="X38" s="72"/>
      <c r="Y38" s="72"/>
    </row>
    <row r="39" spans="1:25" x14ac:dyDescent="0.25">
      <c r="A39" s="190"/>
      <c r="B39" s="260"/>
      <c r="C39" s="116"/>
      <c r="D39" s="116"/>
      <c r="E39" s="116"/>
      <c r="F39" s="116"/>
      <c r="G39" s="116"/>
      <c r="H39" s="116"/>
      <c r="I39" s="72"/>
      <c r="J39" s="116"/>
      <c r="K39" s="116"/>
      <c r="L39" s="116"/>
      <c r="M39" s="116"/>
      <c r="N39" s="116"/>
      <c r="O39" s="116"/>
      <c r="P39" s="72"/>
      <c r="Q39" s="116"/>
      <c r="R39" s="116"/>
      <c r="S39" s="116"/>
      <c r="T39" s="116"/>
      <c r="U39" s="116"/>
      <c r="V39" s="116"/>
      <c r="W39" s="72"/>
      <c r="X39" s="72"/>
      <c r="Y39" s="72"/>
    </row>
    <row r="40" spans="1:25" x14ac:dyDescent="0.25">
      <c r="A40" s="190"/>
      <c r="B40" s="260"/>
      <c r="C40" s="116"/>
      <c r="D40" s="116"/>
      <c r="E40" s="116"/>
      <c r="F40" s="116"/>
      <c r="G40" s="116"/>
      <c r="H40" s="116"/>
      <c r="I40" s="72"/>
      <c r="J40" s="116"/>
      <c r="K40" s="116"/>
      <c r="L40" s="116"/>
      <c r="M40" s="116"/>
      <c r="N40" s="116"/>
      <c r="O40" s="116"/>
      <c r="P40" s="72"/>
      <c r="Q40" s="116"/>
      <c r="R40" s="116"/>
      <c r="S40" s="116"/>
      <c r="T40" s="116"/>
      <c r="U40" s="116"/>
      <c r="V40" s="116"/>
      <c r="W40" s="72"/>
      <c r="X40" s="72"/>
      <c r="Y40" s="72"/>
    </row>
    <row r="41" spans="1:25" x14ac:dyDescent="0.25">
      <c r="A41" s="190"/>
      <c r="B41" s="260"/>
      <c r="C41" s="116"/>
      <c r="D41" s="116"/>
      <c r="E41" s="116"/>
      <c r="F41" s="116"/>
      <c r="G41" s="116"/>
      <c r="H41" s="116"/>
      <c r="I41" s="72"/>
      <c r="J41" s="116"/>
      <c r="K41" s="116"/>
      <c r="L41" s="116"/>
      <c r="M41" s="116"/>
      <c r="N41" s="116"/>
      <c r="O41" s="116"/>
      <c r="P41" s="72"/>
      <c r="Q41" s="116"/>
      <c r="R41" s="116"/>
      <c r="S41" s="116"/>
      <c r="T41" s="116"/>
      <c r="U41" s="116"/>
      <c r="V41" s="116"/>
      <c r="W41" s="72"/>
      <c r="X41" s="72"/>
      <c r="Y41" s="72"/>
    </row>
    <row r="42" spans="1:25" x14ac:dyDescent="0.25">
      <c r="A42" s="190"/>
      <c r="B42" s="260"/>
      <c r="C42" s="116"/>
      <c r="D42" s="116"/>
      <c r="E42" s="116"/>
      <c r="F42" s="116"/>
      <c r="G42" s="116"/>
      <c r="H42" s="116"/>
      <c r="I42" s="72"/>
      <c r="J42" s="116"/>
      <c r="K42" s="116"/>
      <c r="L42" s="116"/>
      <c r="M42" s="116"/>
      <c r="N42" s="116"/>
      <c r="O42" s="116"/>
      <c r="P42" s="72"/>
      <c r="Q42" s="116"/>
      <c r="R42" s="116"/>
      <c r="S42" s="116"/>
      <c r="T42" s="116"/>
      <c r="U42" s="116"/>
      <c r="V42" s="116"/>
      <c r="W42" s="72"/>
      <c r="X42" s="72"/>
      <c r="Y42" s="72"/>
    </row>
    <row r="43" spans="1:25" x14ac:dyDescent="0.25">
      <c r="A43" s="190"/>
      <c r="B43" s="72"/>
      <c r="C43" s="121"/>
      <c r="D43" s="127"/>
      <c r="E43" s="127"/>
      <c r="F43" s="127"/>
      <c r="G43" s="127"/>
      <c r="H43" s="127"/>
      <c r="I43" s="117"/>
      <c r="J43" s="121"/>
      <c r="K43" s="127"/>
      <c r="L43" s="127"/>
      <c r="M43" s="127"/>
      <c r="N43" s="127"/>
      <c r="O43" s="127"/>
      <c r="P43" s="117"/>
      <c r="Q43" s="121"/>
      <c r="R43" s="127"/>
      <c r="S43" s="127"/>
      <c r="T43" s="127"/>
      <c r="U43" s="127"/>
      <c r="V43" s="127"/>
      <c r="W43" s="117"/>
      <c r="X43" s="72"/>
      <c r="Y43" s="117"/>
    </row>
    <row r="44" spans="1:25" x14ac:dyDescent="0.25">
      <c r="A44" s="190"/>
      <c r="B44" s="72"/>
      <c r="C44" s="121"/>
      <c r="D44" s="127"/>
      <c r="E44" s="127"/>
      <c r="F44" s="127"/>
      <c r="G44" s="127"/>
      <c r="H44" s="127"/>
      <c r="I44" s="117"/>
      <c r="J44" s="121"/>
      <c r="K44" s="127"/>
      <c r="L44" s="127"/>
      <c r="M44" s="127"/>
      <c r="N44" s="127"/>
      <c r="O44" s="127"/>
      <c r="P44" s="117"/>
      <c r="Q44" s="121"/>
      <c r="R44" s="127"/>
      <c r="S44" s="127"/>
      <c r="T44" s="127"/>
      <c r="U44" s="127"/>
      <c r="V44" s="127"/>
      <c r="W44" s="117"/>
      <c r="X44" s="72"/>
      <c r="Y44" s="117"/>
    </row>
    <row r="45" spans="1:25" x14ac:dyDescent="0.25">
      <c r="A45" s="190"/>
      <c r="B45" s="72"/>
      <c r="C45" s="121"/>
      <c r="D45" s="127"/>
      <c r="E45" s="127"/>
      <c r="F45" s="127"/>
      <c r="G45" s="127"/>
      <c r="H45" s="127"/>
      <c r="I45" s="117"/>
      <c r="J45" s="121"/>
      <c r="K45" s="127"/>
      <c r="L45" s="127"/>
      <c r="M45" s="127"/>
      <c r="N45" s="127"/>
      <c r="O45" s="127"/>
      <c r="P45" s="117"/>
      <c r="Q45" s="121"/>
      <c r="R45" s="127"/>
      <c r="S45" s="127"/>
      <c r="T45" s="127"/>
      <c r="U45" s="127"/>
      <c r="V45" s="127"/>
      <c r="W45" s="117"/>
      <c r="X45" s="72"/>
      <c r="Y45" s="117"/>
    </row>
    <row r="46" spans="1:25" x14ac:dyDescent="0.25">
      <c r="A46" s="190"/>
      <c r="B46" s="72"/>
      <c r="C46" s="121"/>
      <c r="D46" s="127"/>
      <c r="E46" s="127"/>
      <c r="F46" s="127"/>
      <c r="G46" s="127"/>
      <c r="H46" s="127"/>
      <c r="I46" s="117"/>
      <c r="J46" s="121"/>
      <c r="K46" s="127"/>
      <c r="L46" s="127"/>
      <c r="M46" s="127"/>
      <c r="N46" s="127"/>
      <c r="O46" s="127"/>
      <c r="P46" s="117"/>
      <c r="Q46" s="121"/>
      <c r="R46" s="127"/>
      <c r="S46" s="127"/>
      <c r="T46" s="127"/>
      <c r="U46" s="127"/>
      <c r="V46" s="127"/>
      <c r="W46" s="117"/>
      <c r="X46" s="72"/>
      <c r="Y46" s="117"/>
    </row>
    <row r="47" spans="1:25" x14ac:dyDescent="0.25">
      <c r="A47" s="190"/>
      <c r="B47" s="72"/>
      <c r="C47" s="121"/>
      <c r="D47" s="127"/>
      <c r="E47" s="127"/>
      <c r="F47" s="127"/>
      <c r="G47" s="127"/>
      <c r="H47" s="127"/>
      <c r="I47" s="117"/>
      <c r="J47" s="121"/>
      <c r="K47" s="127"/>
      <c r="L47" s="127"/>
      <c r="M47" s="127"/>
      <c r="N47" s="127"/>
      <c r="O47" s="127"/>
      <c r="P47" s="117"/>
      <c r="Q47" s="121"/>
      <c r="R47" s="127"/>
      <c r="S47" s="127"/>
      <c r="T47" s="127"/>
      <c r="U47" s="127"/>
      <c r="V47" s="127"/>
      <c r="W47" s="117"/>
      <c r="X47" s="72"/>
      <c r="Y47" s="117"/>
    </row>
    <row r="48" spans="1:25" x14ac:dyDescent="0.25">
      <c r="A48" s="190"/>
      <c r="B48" s="72"/>
      <c r="C48" s="121"/>
      <c r="D48" s="127"/>
      <c r="E48" s="127"/>
      <c r="F48" s="127"/>
      <c r="G48" s="127"/>
      <c r="H48" s="127"/>
      <c r="I48" s="117"/>
      <c r="J48" s="121"/>
      <c r="K48" s="127"/>
      <c r="L48" s="127"/>
      <c r="M48" s="127"/>
      <c r="N48" s="127"/>
      <c r="O48" s="127"/>
      <c r="P48" s="117"/>
      <c r="Q48" s="121"/>
      <c r="R48" s="127"/>
      <c r="S48" s="127"/>
      <c r="T48" s="127"/>
      <c r="U48" s="127"/>
      <c r="V48" s="127"/>
      <c r="W48" s="117"/>
      <c r="X48" s="72"/>
      <c r="Y48" s="117"/>
    </row>
    <row r="49" spans="1:25" x14ac:dyDescent="0.25">
      <c r="A49" s="190"/>
      <c r="B49" s="72"/>
      <c r="C49" s="121"/>
      <c r="D49" s="127"/>
      <c r="E49" s="127"/>
      <c r="F49" s="127"/>
      <c r="G49" s="127"/>
      <c r="H49" s="127"/>
      <c r="I49" s="117"/>
      <c r="J49" s="121"/>
      <c r="K49" s="127"/>
      <c r="L49" s="127"/>
      <c r="M49" s="127"/>
      <c r="N49" s="127"/>
      <c r="O49" s="127"/>
      <c r="P49" s="117"/>
      <c r="Q49" s="121"/>
      <c r="R49" s="127"/>
      <c r="S49" s="127"/>
      <c r="T49" s="127"/>
      <c r="U49" s="127"/>
      <c r="V49" s="127"/>
      <c r="W49" s="117"/>
      <c r="X49" s="72"/>
      <c r="Y49" s="117"/>
    </row>
    <row r="50" spans="1:25" x14ac:dyDescent="0.25">
      <c r="A50" s="190"/>
      <c r="B50" s="72"/>
      <c r="C50" s="121"/>
      <c r="D50" s="127"/>
      <c r="E50" s="127"/>
      <c r="F50" s="127"/>
      <c r="G50" s="127"/>
      <c r="H50" s="127"/>
      <c r="I50" s="117"/>
      <c r="J50" s="121"/>
      <c r="K50" s="127"/>
      <c r="L50" s="127"/>
      <c r="M50" s="127"/>
      <c r="N50" s="127"/>
      <c r="O50" s="127"/>
      <c r="P50" s="117"/>
      <c r="Q50" s="121"/>
      <c r="R50" s="127"/>
      <c r="S50" s="127"/>
      <c r="T50" s="127"/>
      <c r="U50" s="127"/>
      <c r="V50" s="127"/>
      <c r="W50" s="117"/>
      <c r="X50" s="72"/>
      <c r="Y50" s="117"/>
    </row>
    <row r="51" spans="1:25" x14ac:dyDescent="0.25">
      <c r="A51" s="190"/>
      <c r="B51" s="72"/>
      <c r="C51" s="121"/>
      <c r="D51" s="127"/>
      <c r="E51" s="127"/>
      <c r="F51" s="127"/>
      <c r="G51" s="127"/>
      <c r="H51" s="127"/>
      <c r="I51" s="117"/>
      <c r="J51" s="121"/>
      <c r="K51" s="127"/>
      <c r="L51" s="127"/>
      <c r="M51" s="127"/>
      <c r="N51" s="127"/>
      <c r="O51" s="127"/>
      <c r="P51" s="117"/>
      <c r="Q51" s="121"/>
      <c r="R51" s="127"/>
      <c r="S51" s="127"/>
      <c r="T51" s="127"/>
      <c r="U51" s="127"/>
      <c r="V51" s="127"/>
      <c r="W51" s="117"/>
      <c r="X51" s="72"/>
      <c r="Y51" s="117"/>
    </row>
    <row r="52" spans="1:25" x14ac:dyDescent="0.25">
      <c r="A52" s="190"/>
      <c r="B52" s="72"/>
      <c r="C52" s="121"/>
      <c r="D52" s="127"/>
      <c r="E52" s="127"/>
      <c r="F52" s="127"/>
      <c r="G52" s="127"/>
      <c r="H52" s="127"/>
      <c r="I52" s="117"/>
      <c r="J52" s="121"/>
      <c r="K52" s="127"/>
      <c r="L52" s="127"/>
      <c r="M52" s="127"/>
      <c r="N52" s="127"/>
      <c r="O52" s="127"/>
      <c r="P52" s="117"/>
      <c r="Q52" s="121"/>
      <c r="R52" s="127"/>
      <c r="S52" s="127"/>
      <c r="T52" s="127"/>
      <c r="U52" s="127"/>
      <c r="V52" s="127"/>
      <c r="W52" s="117"/>
      <c r="X52" s="72"/>
      <c r="Y52" s="117"/>
    </row>
    <row r="53" spans="1:25" x14ac:dyDescent="0.25">
      <c r="A53" s="190"/>
      <c r="B53" s="72"/>
      <c r="C53" s="121"/>
      <c r="D53" s="127"/>
      <c r="E53" s="127"/>
      <c r="F53" s="127"/>
      <c r="G53" s="127"/>
      <c r="H53" s="127"/>
      <c r="I53" s="117"/>
      <c r="J53" s="121"/>
      <c r="K53" s="127"/>
      <c r="L53" s="127"/>
      <c r="M53" s="127"/>
      <c r="N53" s="127"/>
      <c r="O53" s="127"/>
      <c r="P53" s="117"/>
      <c r="Q53" s="121"/>
      <c r="R53" s="127"/>
      <c r="S53" s="127"/>
      <c r="T53" s="127"/>
      <c r="U53" s="127"/>
      <c r="V53" s="127"/>
      <c r="W53" s="117"/>
      <c r="X53" s="72"/>
      <c r="Y53" s="117"/>
    </row>
    <row r="54" spans="1:25" x14ac:dyDescent="0.25">
      <c r="A54" s="190"/>
      <c r="B54" s="72"/>
      <c r="C54" s="121"/>
      <c r="D54" s="127"/>
      <c r="E54" s="127"/>
      <c r="F54" s="127"/>
      <c r="G54" s="127"/>
      <c r="H54" s="127"/>
      <c r="I54" s="117"/>
      <c r="J54" s="121"/>
      <c r="K54" s="127"/>
      <c r="L54" s="127"/>
      <c r="M54" s="127"/>
      <c r="N54" s="127"/>
      <c r="O54" s="127"/>
      <c r="P54" s="117"/>
      <c r="Q54" s="121"/>
      <c r="R54" s="127"/>
      <c r="S54" s="127"/>
      <c r="T54" s="127"/>
      <c r="U54" s="127"/>
      <c r="V54" s="127"/>
      <c r="W54" s="117"/>
      <c r="X54" s="72"/>
      <c r="Y54" s="117"/>
    </row>
    <row r="55" spans="1:25" x14ac:dyDescent="0.25">
      <c r="A55" s="190"/>
      <c r="B55" s="72"/>
      <c r="C55" s="116"/>
      <c r="D55" s="116"/>
      <c r="E55" s="116"/>
      <c r="F55" s="127"/>
      <c r="G55" s="127"/>
      <c r="H55" s="116"/>
      <c r="I55" s="72"/>
      <c r="J55" s="116"/>
      <c r="K55" s="127"/>
      <c r="L55" s="127"/>
      <c r="M55" s="127"/>
      <c r="N55" s="127"/>
      <c r="O55" s="116"/>
      <c r="P55" s="72"/>
      <c r="Q55" s="116"/>
      <c r="R55" s="127"/>
      <c r="S55" s="127"/>
      <c r="T55" s="127"/>
      <c r="U55" s="127"/>
      <c r="V55" s="116"/>
      <c r="W55" s="72"/>
      <c r="X55" s="72"/>
      <c r="Y55" s="72"/>
    </row>
    <row r="56" spans="1:25" x14ac:dyDescent="0.25">
      <c r="A56" s="190"/>
      <c r="B56" s="72"/>
      <c r="C56" s="116"/>
      <c r="D56" s="116"/>
      <c r="E56" s="116"/>
      <c r="F56" s="127"/>
      <c r="G56" s="127"/>
      <c r="H56" s="116"/>
      <c r="I56" s="72"/>
      <c r="J56" s="116"/>
      <c r="K56" s="127"/>
      <c r="L56" s="127"/>
      <c r="M56" s="127"/>
      <c r="N56" s="127"/>
      <c r="O56" s="116"/>
      <c r="P56" s="72"/>
      <c r="Q56" s="116"/>
      <c r="R56" s="127"/>
      <c r="S56" s="127"/>
      <c r="T56" s="127"/>
      <c r="U56" s="127"/>
      <c r="V56" s="116"/>
      <c r="W56" s="72"/>
      <c r="X56" s="72"/>
      <c r="Y56" s="72"/>
    </row>
    <row r="57" spans="1:25" x14ac:dyDescent="0.25">
      <c r="A57" s="190"/>
      <c r="B57" s="72"/>
      <c r="C57" s="116"/>
      <c r="D57" s="116"/>
      <c r="E57" s="116"/>
      <c r="F57" s="127"/>
      <c r="G57" s="127"/>
      <c r="H57" s="116"/>
      <c r="I57" s="72"/>
      <c r="J57" s="116"/>
      <c r="K57" s="127"/>
      <c r="L57" s="127"/>
      <c r="M57" s="127"/>
      <c r="N57" s="127"/>
      <c r="O57" s="116"/>
      <c r="P57" s="72"/>
      <c r="Q57" s="116"/>
      <c r="R57" s="127"/>
      <c r="S57" s="127"/>
      <c r="T57" s="127"/>
      <c r="U57" s="127"/>
      <c r="V57" s="116"/>
      <c r="W57" s="72"/>
      <c r="X57" s="72"/>
      <c r="Y57" s="72"/>
    </row>
    <row r="58" spans="1:25" x14ac:dyDescent="0.25">
      <c r="A58" s="190"/>
      <c r="B58" s="72"/>
      <c r="C58" s="116"/>
      <c r="D58" s="116"/>
      <c r="E58" s="116"/>
      <c r="F58" s="127"/>
      <c r="G58" s="127"/>
      <c r="H58" s="116"/>
      <c r="I58" s="72"/>
      <c r="J58" s="116"/>
      <c r="K58" s="127"/>
      <c r="L58" s="127"/>
      <c r="M58" s="127"/>
      <c r="N58" s="127"/>
      <c r="O58" s="116"/>
      <c r="P58" s="72"/>
      <c r="Q58" s="116"/>
      <c r="R58" s="127"/>
      <c r="S58" s="127"/>
      <c r="T58" s="127"/>
      <c r="U58" s="127"/>
      <c r="V58" s="116"/>
      <c r="W58" s="72"/>
      <c r="X58" s="72"/>
      <c r="Y58" s="72"/>
    </row>
    <row r="59" spans="1:25" x14ac:dyDescent="0.25">
      <c r="A59" s="190"/>
      <c r="B59" s="72"/>
      <c r="C59" s="116"/>
      <c r="D59" s="116"/>
      <c r="E59" s="116"/>
      <c r="F59" s="127"/>
      <c r="G59" s="127"/>
      <c r="H59" s="116"/>
      <c r="I59" s="72"/>
      <c r="J59" s="116"/>
      <c r="K59" s="127"/>
      <c r="L59" s="127"/>
      <c r="M59" s="127"/>
      <c r="N59" s="127"/>
      <c r="O59" s="116"/>
      <c r="P59" s="72"/>
      <c r="Q59" s="116"/>
      <c r="R59" s="127"/>
      <c r="S59" s="127"/>
      <c r="T59" s="127"/>
      <c r="U59" s="127"/>
      <c r="V59" s="116"/>
      <c r="W59" s="72"/>
      <c r="X59" s="72"/>
      <c r="Y59" s="72"/>
    </row>
    <row r="60" spans="1:25" x14ac:dyDescent="0.25">
      <c r="A60" s="190"/>
      <c r="B60" s="72"/>
      <c r="C60" s="116"/>
      <c r="D60" s="116"/>
      <c r="E60" s="116"/>
      <c r="F60" s="127"/>
      <c r="G60" s="127"/>
      <c r="H60" s="116"/>
      <c r="I60" s="72"/>
      <c r="J60" s="116"/>
      <c r="K60" s="127"/>
      <c r="L60" s="127"/>
      <c r="M60" s="127"/>
      <c r="N60" s="127"/>
      <c r="O60" s="116"/>
      <c r="P60" s="72"/>
      <c r="Q60" s="116"/>
      <c r="R60" s="127"/>
      <c r="S60" s="127"/>
      <c r="T60" s="127"/>
      <c r="U60" s="127"/>
      <c r="V60" s="116"/>
      <c r="W60" s="72"/>
      <c r="X60" s="72"/>
      <c r="Y60" s="72"/>
    </row>
    <row r="61" spans="1:25" x14ac:dyDescent="0.25">
      <c r="A61" s="190"/>
      <c r="B61" s="72"/>
      <c r="C61" s="116"/>
      <c r="D61" s="116"/>
      <c r="E61" s="116"/>
      <c r="F61" s="127"/>
      <c r="G61" s="127"/>
      <c r="H61" s="116"/>
      <c r="I61" s="72"/>
      <c r="J61" s="116"/>
      <c r="K61" s="127"/>
      <c r="L61" s="127"/>
      <c r="M61" s="127"/>
      <c r="N61" s="127"/>
      <c r="O61" s="116"/>
      <c r="P61" s="72"/>
      <c r="Q61" s="116"/>
      <c r="R61" s="127"/>
      <c r="S61" s="127"/>
      <c r="T61" s="127"/>
      <c r="U61" s="127"/>
      <c r="V61" s="116"/>
      <c r="W61" s="72"/>
      <c r="X61" s="72"/>
      <c r="Y61" s="72"/>
    </row>
    <row r="62" spans="1:25" x14ac:dyDescent="0.25">
      <c r="A62" s="190"/>
      <c r="B62" s="72"/>
      <c r="C62" s="116"/>
      <c r="D62" s="116"/>
      <c r="E62" s="116"/>
      <c r="F62" s="127"/>
      <c r="G62" s="127"/>
      <c r="H62" s="116"/>
      <c r="I62" s="72"/>
      <c r="J62" s="116"/>
      <c r="K62" s="127"/>
      <c r="L62" s="127"/>
      <c r="M62" s="127"/>
      <c r="N62" s="127"/>
      <c r="O62" s="116"/>
      <c r="P62" s="72"/>
      <c r="Q62" s="116"/>
      <c r="R62" s="127"/>
      <c r="S62" s="127"/>
      <c r="T62" s="127"/>
      <c r="U62" s="127"/>
      <c r="V62" s="116"/>
      <c r="W62" s="72"/>
      <c r="X62" s="72"/>
      <c r="Y62" s="72"/>
    </row>
    <row r="63" spans="1:25" ht="15.75" thickBot="1" x14ac:dyDescent="0.3">
      <c r="A63" s="221"/>
      <c r="B63" s="222"/>
      <c r="C63" s="223"/>
      <c r="D63" s="224"/>
      <c r="E63" s="224"/>
      <c r="F63" s="224"/>
      <c r="G63" s="224"/>
      <c r="H63" s="224"/>
      <c r="I63" s="225"/>
      <c r="J63" s="223"/>
      <c r="K63" s="224"/>
      <c r="L63" s="224"/>
      <c r="M63" s="224"/>
      <c r="N63" s="224"/>
      <c r="O63" s="224"/>
      <c r="P63" s="225"/>
      <c r="Q63" s="223"/>
      <c r="R63" s="224"/>
      <c r="S63" s="224"/>
      <c r="T63" s="224"/>
      <c r="U63" s="224"/>
      <c r="V63" s="224"/>
      <c r="W63" s="225"/>
      <c r="X63" s="114"/>
      <c r="Y63" s="257"/>
    </row>
    <row r="64" spans="1:25" x14ac:dyDescent="0.25">
      <c r="C64" s="116"/>
      <c r="D64" s="116"/>
      <c r="E64" s="116"/>
      <c r="F64" s="127"/>
      <c r="G64" s="127"/>
      <c r="H64" s="116"/>
      <c r="I64" s="116"/>
      <c r="J64" s="116"/>
      <c r="K64" s="127"/>
      <c r="L64" s="127"/>
      <c r="M64" s="127"/>
      <c r="N64" s="127"/>
      <c r="O64" s="116"/>
      <c r="P64" s="116"/>
      <c r="Q64" s="116"/>
      <c r="R64" s="127"/>
      <c r="S64" s="127"/>
      <c r="T64" s="127"/>
      <c r="U64" s="127"/>
      <c r="V64" s="116"/>
      <c r="W64" s="116"/>
      <c r="X64" s="124"/>
    </row>
    <row r="65" spans="1:25" x14ac:dyDescent="0.25">
      <c r="C65" s="116"/>
      <c r="D65" s="116"/>
      <c r="E65" s="116"/>
      <c r="F65" s="127"/>
      <c r="G65" s="127"/>
      <c r="H65" s="116"/>
      <c r="I65" s="116"/>
      <c r="J65" s="116"/>
      <c r="K65" s="127"/>
      <c r="L65" s="127"/>
      <c r="M65" s="127"/>
      <c r="N65" s="127"/>
      <c r="O65" s="116"/>
      <c r="P65" s="116"/>
      <c r="Q65" s="116"/>
      <c r="R65" s="127"/>
      <c r="S65" s="127"/>
      <c r="T65" s="127"/>
      <c r="U65" s="127"/>
      <c r="V65" s="116"/>
      <c r="W65" s="116"/>
      <c r="X65" s="124"/>
    </row>
    <row r="66" spans="1:25" ht="15.75" thickBot="1" x14ac:dyDescent="0.3">
      <c r="C66" s="116"/>
      <c r="D66" s="116"/>
      <c r="E66" s="116"/>
      <c r="F66" s="127"/>
      <c r="G66" s="127"/>
      <c r="H66" s="116"/>
      <c r="I66" s="116"/>
      <c r="J66" s="116"/>
      <c r="K66" s="127"/>
      <c r="L66" s="127"/>
      <c r="M66" s="127"/>
      <c r="N66" s="127"/>
      <c r="O66" s="116"/>
      <c r="P66" s="116"/>
      <c r="Q66" s="116"/>
      <c r="R66" s="127"/>
      <c r="S66" s="127"/>
      <c r="T66" s="127"/>
      <c r="U66" s="127"/>
      <c r="V66" s="116"/>
      <c r="W66" s="116"/>
      <c r="X66" s="124"/>
    </row>
    <row r="67" spans="1:25" ht="15.75" thickBot="1" x14ac:dyDescent="0.3">
      <c r="E67" s="98"/>
      <c r="F67" t="s">
        <v>115</v>
      </c>
      <c r="L67" s="99"/>
      <c r="M67" t="s">
        <v>116</v>
      </c>
      <c r="S67" s="100"/>
      <c r="T67" t="s">
        <v>114</v>
      </c>
      <c r="X67" s="5"/>
      <c r="Y67" s="6"/>
    </row>
    <row r="68" spans="1:25" ht="15.75" thickBot="1" x14ac:dyDescent="0.3"/>
    <row r="69" spans="1:25" ht="15.75" thickBot="1" x14ac:dyDescent="0.3">
      <c r="A69" s="70" t="s">
        <v>14</v>
      </c>
      <c r="C69" s="328" t="str">
        <f>C1</f>
        <v>WEEK BEGINNING 0427</v>
      </c>
      <c r="D69" s="329"/>
      <c r="E69" s="329"/>
      <c r="F69" s="329"/>
      <c r="G69" s="329"/>
      <c r="H69" s="329"/>
      <c r="I69" s="329"/>
      <c r="J69" s="328" t="str">
        <f>J1</f>
        <v>WEEK BEGINNING 0504</v>
      </c>
      <c r="K69" s="329"/>
      <c r="L69" s="329"/>
      <c r="M69" s="329"/>
      <c r="N69" s="329"/>
      <c r="O69" s="329"/>
      <c r="P69" s="345"/>
      <c r="Q69" s="329" t="str">
        <f>Q1</f>
        <v>WEEK BEGINNING 0511</v>
      </c>
      <c r="R69" s="329"/>
      <c r="S69" s="329"/>
      <c r="T69" s="329"/>
      <c r="U69" s="329"/>
      <c r="V69" s="329"/>
      <c r="W69" s="345"/>
    </row>
    <row r="70" spans="1:25" ht="15.75" thickBot="1" x14ac:dyDescent="0.3">
      <c r="A70" s="2"/>
      <c r="C70" s="119" t="s">
        <v>0</v>
      </c>
      <c r="D70" s="120" t="s">
        <v>1</v>
      </c>
      <c r="E70" s="120" t="s">
        <v>2</v>
      </c>
      <c r="F70" s="120" t="s">
        <v>3</v>
      </c>
      <c r="G70" s="120" t="s">
        <v>4</v>
      </c>
      <c r="H70" s="120" t="s">
        <v>5</v>
      </c>
      <c r="I70" s="120" t="s">
        <v>6</v>
      </c>
      <c r="J70" s="120" t="s">
        <v>0</v>
      </c>
      <c r="K70" s="120" t="s">
        <v>1</v>
      </c>
      <c r="L70" s="120" t="s">
        <v>2</v>
      </c>
      <c r="M70" s="120" t="s">
        <v>3</v>
      </c>
      <c r="N70" s="120" t="s">
        <v>4</v>
      </c>
      <c r="O70" s="120" t="s">
        <v>5</v>
      </c>
      <c r="P70" s="3" t="s">
        <v>6</v>
      </c>
      <c r="Q70" s="120" t="s">
        <v>0</v>
      </c>
      <c r="R70" s="120" t="s">
        <v>1</v>
      </c>
      <c r="S70" s="120" t="s">
        <v>2</v>
      </c>
      <c r="T70" s="120" t="s">
        <v>3</v>
      </c>
      <c r="U70" s="120" t="s">
        <v>4</v>
      </c>
      <c r="V70" s="120" t="s">
        <v>5</v>
      </c>
      <c r="W70" s="3" t="s">
        <v>6</v>
      </c>
      <c r="X70" s="112" t="s">
        <v>9</v>
      </c>
    </row>
    <row r="71" spans="1:25" ht="15.75" thickBot="1" x14ac:dyDescent="0.3">
      <c r="A71" s="186" t="s">
        <v>9</v>
      </c>
      <c r="B71" s="130" t="s">
        <v>10</v>
      </c>
      <c r="C71" s="95">
        <f>C3</f>
        <v>46139</v>
      </c>
      <c r="D71" s="95">
        <f t="shared" ref="D71:W71" si="2">D3</f>
        <v>46140</v>
      </c>
      <c r="E71" s="95">
        <f t="shared" si="2"/>
        <v>46141</v>
      </c>
      <c r="F71" s="95">
        <f t="shared" si="2"/>
        <v>46142</v>
      </c>
      <c r="G71" s="95">
        <f t="shared" si="2"/>
        <v>46143</v>
      </c>
      <c r="H71" s="95">
        <f t="shared" si="2"/>
        <v>46144</v>
      </c>
      <c r="I71" s="95">
        <f t="shared" si="2"/>
        <v>46145</v>
      </c>
      <c r="J71" s="94">
        <f t="shared" si="2"/>
        <v>46146</v>
      </c>
      <c r="K71" s="95">
        <f t="shared" si="2"/>
        <v>46147</v>
      </c>
      <c r="L71" s="95">
        <f t="shared" si="2"/>
        <v>46148</v>
      </c>
      <c r="M71" s="95">
        <f t="shared" si="2"/>
        <v>46149</v>
      </c>
      <c r="N71" s="95">
        <f t="shared" si="2"/>
        <v>46150</v>
      </c>
      <c r="O71" s="95">
        <f t="shared" si="2"/>
        <v>46151</v>
      </c>
      <c r="P71" s="96">
        <f t="shared" si="2"/>
        <v>46152</v>
      </c>
      <c r="Q71" s="95">
        <f t="shared" si="2"/>
        <v>46153</v>
      </c>
      <c r="R71" s="95">
        <f t="shared" si="2"/>
        <v>46154</v>
      </c>
      <c r="S71" s="95">
        <f t="shared" si="2"/>
        <v>46155</v>
      </c>
      <c r="T71" s="95">
        <f t="shared" si="2"/>
        <v>46156</v>
      </c>
      <c r="U71" s="95">
        <f t="shared" si="2"/>
        <v>46157</v>
      </c>
      <c r="V71" s="95">
        <f t="shared" si="2"/>
        <v>46158</v>
      </c>
      <c r="W71" s="96">
        <f t="shared" si="2"/>
        <v>46159</v>
      </c>
      <c r="X71" s="112"/>
    </row>
    <row r="72" spans="1:25" x14ac:dyDescent="0.25">
      <c r="A72" s="28" t="str">
        <f>'Nesting Sched'!A74</f>
        <v>Jave Lowelle Valiente Gayangos</v>
      </c>
      <c r="B72" s="71" t="str">
        <f>'Nesting Sched'!B74</f>
        <v>Jane Sairah Arac</v>
      </c>
      <c r="C72" s="116">
        <f>IFERROR(IF(Y4= "PTO", "PTO",Y4+"12:00"),"OFF")</f>
        <v>1.0833333333333335</v>
      </c>
      <c r="D72" s="116">
        <f>IFERROR(IF(C4= "PTO", "PTO",C4+"12:00"),"OFF")</f>
        <v>1.0833333333333335</v>
      </c>
      <c r="E72" s="116" t="str">
        <f t="shared" ref="E72:F72" si="3">IFERROR(IF(D4= "PTO", "PTO",D4+"12:00"),"OFF")</f>
        <v>OFF</v>
      </c>
      <c r="F72" s="127">
        <f t="shared" si="3"/>
        <v>1.0833333333333335</v>
      </c>
      <c r="G72" s="127">
        <f>IFERROR(IF(F4= "PTO", "PTO",F4+"12:00"),"OFF")</f>
        <v>1.0833333333333335</v>
      </c>
      <c r="H72" s="116">
        <f t="shared" ref="H72:H81" si="4">IFERROR(IF(G4= "PTO", "PTO",G4+"12:00"),"OFF")</f>
        <v>1.0833333333333335</v>
      </c>
      <c r="I72" s="72" t="str">
        <f>IFERROR(IF(H4= "PTO", "PTO",H4+"12:00"),"OFF")</f>
        <v>OFF</v>
      </c>
      <c r="J72" s="116">
        <f>IFERROR(IF(I4= "PTO", "PTO",I4+"12:00"),"OFF")</f>
        <v>1.0833333333333335</v>
      </c>
      <c r="K72" s="127">
        <f t="shared" ref="K72:P72" si="5">IFERROR(IF(J4= "PTO", "PTO",J4+"12:00"),"OFF")</f>
        <v>1.0833333333333335</v>
      </c>
      <c r="L72" s="127">
        <f t="shared" si="5"/>
        <v>1.0833333333333335</v>
      </c>
      <c r="M72" s="127">
        <f t="shared" si="5"/>
        <v>1.0833333333333335</v>
      </c>
      <c r="N72" s="127">
        <f t="shared" si="5"/>
        <v>1.0833333333333335</v>
      </c>
      <c r="O72" s="116" t="str">
        <f t="shared" si="5"/>
        <v>OFF</v>
      </c>
      <c r="P72" s="72" t="str">
        <f t="shared" si="5"/>
        <v>OFF</v>
      </c>
      <c r="Q72" s="116">
        <f>IFERROR(IF(P4= "PTO", "PTO",P4+"12:00"),"OFF")</f>
        <v>1.0833333333333335</v>
      </c>
      <c r="R72" s="127">
        <f t="shared" ref="R72:W72" si="6">IFERROR(IF(Q4= "PTO", "PTO",Q4+"12:00"),"OFF")</f>
        <v>1.0833333333333335</v>
      </c>
      <c r="S72" s="127">
        <f t="shared" si="6"/>
        <v>1.0833333333333335</v>
      </c>
      <c r="T72" s="127">
        <f t="shared" si="6"/>
        <v>1.0833333333333335</v>
      </c>
      <c r="U72" s="127">
        <f t="shared" si="6"/>
        <v>1.0833333333333335</v>
      </c>
      <c r="V72" s="116" t="str">
        <f t="shared" si="6"/>
        <v>OFF</v>
      </c>
      <c r="W72" s="72" t="str">
        <f t="shared" si="6"/>
        <v>OFF</v>
      </c>
      <c r="X72" s="86">
        <f>MODE(Q72:W72)</f>
        <v>1.0833333333333335</v>
      </c>
    </row>
    <row r="73" spans="1:25" x14ac:dyDescent="0.25">
      <c r="A73" s="28" t="str">
        <f>'Nesting Sched'!A75</f>
        <v>Nicka Mae De Los Reyes Porras</v>
      </c>
      <c r="B73" s="71" t="str">
        <f>'Nesting Sched'!B75</f>
        <v>-</v>
      </c>
      <c r="C73" s="127">
        <f t="shared" ref="C73:C81" si="7">IFERROR(IF(Y5= "PTO", "PTO",Y5+"12:00"),"OFF")</f>
        <v>1.0833333333333335</v>
      </c>
      <c r="D73" s="127">
        <f t="shared" ref="D73:F73" si="8">IFERROR(IF(C5= "PTO", "PTO",C5+"12:00"),"OFF")</f>
        <v>1.0833333333333335</v>
      </c>
      <c r="E73" s="127" t="str">
        <f t="shared" si="8"/>
        <v>OFF</v>
      </c>
      <c r="F73" s="127">
        <f t="shared" si="8"/>
        <v>1.0833333333333335</v>
      </c>
      <c r="G73" s="127">
        <f t="shared" ref="G73" si="9">IFERROR(IF(F5= "PTO", "PTO",F5+"12:00"),"OFF")</f>
        <v>1.0833333333333335</v>
      </c>
      <c r="H73" s="127">
        <f t="shared" si="4"/>
        <v>1.0833333333333335</v>
      </c>
      <c r="I73" s="117" t="str">
        <f t="shared" ref="I73:J81" si="10">IFERROR(IF(H5= "PTO", "PTO",H5+"12:00"),"OFF")</f>
        <v>OFF</v>
      </c>
      <c r="J73" s="121">
        <f t="shared" si="10"/>
        <v>1.0833333333333335</v>
      </c>
      <c r="K73" s="127">
        <f t="shared" ref="K73:Q73" si="11">IFERROR(IF(J5= "PTO", "PTO",J5+"12:00"),"OFF")</f>
        <v>1.0833333333333335</v>
      </c>
      <c r="L73" s="127">
        <f t="shared" si="11"/>
        <v>1.0833333333333335</v>
      </c>
      <c r="M73" s="127">
        <f t="shared" si="11"/>
        <v>1.0833333333333335</v>
      </c>
      <c r="N73" s="127">
        <f t="shared" si="11"/>
        <v>1.0833333333333335</v>
      </c>
      <c r="O73" s="127" t="str">
        <f t="shared" si="11"/>
        <v>OFF</v>
      </c>
      <c r="P73" s="127" t="str">
        <f t="shared" si="11"/>
        <v>OFF</v>
      </c>
      <c r="Q73" s="121">
        <f t="shared" si="11"/>
        <v>1.0833333333333335</v>
      </c>
      <c r="R73" s="127">
        <f t="shared" ref="R73:W73" si="12">IFERROR(IF(Q5= "PTO", "PTO",Q5+"12:00"),"OFF")</f>
        <v>1.0833333333333335</v>
      </c>
      <c r="S73" s="127">
        <f t="shared" si="12"/>
        <v>1.0833333333333335</v>
      </c>
      <c r="T73" s="127">
        <f t="shared" si="12"/>
        <v>1.0833333333333335</v>
      </c>
      <c r="U73" s="127">
        <f t="shared" si="12"/>
        <v>1.0833333333333335</v>
      </c>
      <c r="V73" s="127" t="str">
        <f t="shared" si="12"/>
        <v>OFF</v>
      </c>
      <c r="W73" s="117" t="str">
        <f t="shared" si="12"/>
        <v>OFF</v>
      </c>
      <c r="X73" s="86">
        <f>MODE(Q73:W73)</f>
        <v>1.0833333333333335</v>
      </c>
    </row>
    <row r="74" spans="1:25" x14ac:dyDescent="0.25">
      <c r="A74" s="28" t="str">
        <f>'Nesting Sched'!A76</f>
        <v>Roxan Sabido Sacay</v>
      </c>
      <c r="B74" s="71" t="str">
        <f>'Nesting Sched'!B76</f>
        <v>Jane Sairah Arac</v>
      </c>
      <c r="C74" s="127" t="str">
        <f t="shared" si="7"/>
        <v>OFF</v>
      </c>
      <c r="D74" s="127" t="str">
        <f t="shared" ref="D74:F74" si="13">IFERROR(IF(C6= "PTO", "PTO",C6+"12:00"),"OFF")</f>
        <v>OFF</v>
      </c>
      <c r="E74" s="127" t="str">
        <f t="shared" si="13"/>
        <v>OFF</v>
      </c>
      <c r="F74" s="127" t="str">
        <f t="shared" si="13"/>
        <v>OFF</v>
      </c>
      <c r="G74" s="127" t="str">
        <f t="shared" ref="G74" si="14">IFERROR(IF(F6= "PTO", "PTO",F6+"12:00"),"OFF")</f>
        <v>OFF</v>
      </c>
      <c r="H74" s="127" t="str">
        <f t="shared" si="4"/>
        <v>OFF</v>
      </c>
      <c r="I74" s="117" t="str">
        <f t="shared" si="10"/>
        <v>OFF</v>
      </c>
      <c r="J74" s="121" t="str">
        <f t="shared" si="10"/>
        <v>OFF</v>
      </c>
      <c r="K74" s="127" t="str">
        <f t="shared" ref="K74:Q74" si="15">IFERROR(IF(J6= "PTO", "PTO",J6+"12:00"),"OFF")</f>
        <v>OFF</v>
      </c>
      <c r="L74" s="127" t="str">
        <f t="shared" si="15"/>
        <v>OFF</v>
      </c>
      <c r="M74" s="127" t="str">
        <f t="shared" si="15"/>
        <v>OFF</v>
      </c>
      <c r="N74" s="127" t="str">
        <f t="shared" si="15"/>
        <v>OFF</v>
      </c>
      <c r="O74" s="127" t="str">
        <f t="shared" si="15"/>
        <v>OFF</v>
      </c>
      <c r="P74" s="127" t="str">
        <f t="shared" si="15"/>
        <v>OFF</v>
      </c>
      <c r="Q74" s="121" t="str">
        <f t="shared" si="15"/>
        <v>OFF</v>
      </c>
      <c r="R74" s="127" t="str">
        <f t="shared" ref="R74:W74" si="16">IFERROR(IF(Q6= "PTO", "PTO",Q6+"12:00"),"OFF")</f>
        <v>OFF</v>
      </c>
      <c r="S74" s="127" t="str">
        <f t="shared" si="16"/>
        <v>OFF</v>
      </c>
      <c r="T74" s="127" t="str">
        <f t="shared" si="16"/>
        <v>OFF</v>
      </c>
      <c r="U74" s="127" t="str">
        <f t="shared" si="16"/>
        <v>OFF</v>
      </c>
      <c r="V74" s="127" t="str">
        <f t="shared" si="16"/>
        <v>OFF</v>
      </c>
      <c r="W74" s="117" t="str">
        <f t="shared" si="16"/>
        <v>OFF</v>
      </c>
      <c r="X74" s="86" t="e">
        <f t="shared" ref="X74:X81" si="17">MODE(Q74:W74)</f>
        <v>#N/A</v>
      </c>
    </row>
    <row r="75" spans="1:25" x14ac:dyDescent="0.25">
      <c r="A75" s="28" t="str">
        <f>'Nesting Sched'!A77</f>
        <v>Mikhaela Palma Detera</v>
      </c>
      <c r="B75" s="71" t="str">
        <f>'Nesting Sched'!B77</f>
        <v>Jane Sairah Arac</v>
      </c>
      <c r="C75" s="127">
        <f t="shared" si="7"/>
        <v>1.0833333333333335</v>
      </c>
      <c r="D75" s="127">
        <f t="shared" ref="D75:F75" si="18">IFERROR(IF(C7= "PTO", "PTO",C7+"12:00"),"OFF")</f>
        <v>1.0833333333333335</v>
      </c>
      <c r="E75" s="127" t="str">
        <f t="shared" si="18"/>
        <v>OFF</v>
      </c>
      <c r="F75" s="127">
        <f t="shared" si="18"/>
        <v>1.0833333333333335</v>
      </c>
      <c r="G75" s="127">
        <f t="shared" ref="G75" si="19">IFERROR(IF(F7= "PTO", "PTO",F7+"12:00"),"OFF")</f>
        <v>1.0833333333333335</v>
      </c>
      <c r="H75" s="127">
        <f t="shared" si="4"/>
        <v>1.0833333333333335</v>
      </c>
      <c r="I75" s="117" t="str">
        <f t="shared" si="10"/>
        <v>OFF</v>
      </c>
      <c r="J75" s="121">
        <f t="shared" si="10"/>
        <v>1.0833333333333335</v>
      </c>
      <c r="K75" s="127">
        <f t="shared" ref="K75:Q75" si="20">IFERROR(IF(J7= "PTO", "PTO",J7+"12:00"),"OFF")</f>
        <v>1.0833333333333335</v>
      </c>
      <c r="L75" s="127">
        <f t="shared" si="20"/>
        <v>1.0833333333333335</v>
      </c>
      <c r="M75" s="127">
        <f t="shared" si="20"/>
        <v>1.0833333333333335</v>
      </c>
      <c r="N75" s="127">
        <f t="shared" si="20"/>
        <v>1.0833333333333335</v>
      </c>
      <c r="O75" s="127" t="str">
        <f t="shared" si="20"/>
        <v>OFF</v>
      </c>
      <c r="P75" s="127" t="str">
        <f t="shared" si="20"/>
        <v>OFF</v>
      </c>
      <c r="Q75" s="121">
        <f t="shared" si="20"/>
        <v>1.0833333333333335</v>
      </c>
      <c r="R75" s="127">
        <f t="shared" ref="R75:W75" si="21">IFERROR(IF(Q7= "PTO", "PTO",Q7+"12:00"),"OFF")</f>
        <v>1.0833333333333335</v>
      </c>
      <c r="S75" s="127">
        <f t="shared" si="21"/>
        <v>1.0833333333333335</v>
      </c>
      <c r="T75" s="127">
        <f t="shared" si="21"/>
        <v>1.0833333333333335</v>
      </c>
      <c r="U75" s="127">
        <f t="shared" si="21"/>
        <v>1.0833333333333335</v>
      </c>
      <c r="V75" s="127" t="str">
        <f t="shared" si="21"/>
        <v>OFF</v>
      </c>
      <c r="W75" s="117" t="str">
        <f t="shared" si="21"/>
        <v>OFF</v>
      </c>
      <c r="X75" s="86">
        <f t="shared" si="17"/>
        <v>1.0833333333333335</v>
      </c>
    </row>
    <row r="76" spans="1:25" x14ac:dyDescent="0.25">
      <c r="A76" s="28" t="str">
        <f>'Nesting Sched'!A78</f>
        <v>Jenel Prieto Advincula</v>
      </c>
      <c r="B76" s="71" t="str">
        <f>'Nesting Sched'!B78</f>
        <v>Jane Sairah Arac</v>
      </c>
      <c r="C76" s="127">
        <f t="shared" si="7"/>
        <v>1.0833333333333335</v>
      </c>
      <c r="D76" s="127">
        <f t="shared" ref="D76:F76" si="22">IFERROR(IF(C8= "PTO", "PTO",C8+"12:00"),"OFF")</f>
        <v>1.0833333333333335</v>
      </c>
      <c r="E76" s="127" t="str">
        <f t="shared" si="22"/>
        <v>OFF</v>
      </c>
      <c r="F76" s="127">
        <f t="shared" si="22"/>
        <v>1.0833333333333335</v>
      </c>
      <c r="G76" s="127">
        <f t="shared" ref="G76" si="23">IFERROR(IF(F8= "PTO", "PTO",F8+"12:00"),"OFF")</f>
        <v>1.0833333333333335</v>
      </c>
      <c r="H76" s="127">
        <f t="shared" si="4"/>
        <v>1.0833333333333335</v>
      </c>
      <c r="I76" s="127" t="str">
        <f t="shared" si="10"/>
        <v>OFF</v>
      </c>
      <c r="J76" s="121">
        <f t="shared" si="10"/>
        <v>1.0833333333333335</v>
      </c>
      <c r="K76" s="127">
        <f t="shared" ref="K76:Q76" si="24">IFERROR(IF(J8= "PTO", "PTO",J8+"12:00"),"OFF")</f>
        <v>1.0833333333333335</v>
      </c>
      <c r="L76" s="127">
        <f t="shared" si="24"/>
        <v>1.0833333333333335</v>
      </c>
      <c r="M76" s="127">
        <f t="shared" si="24"/>
        <v>1.0833333333333335</v>
      </c>
      <c r="N76" s="127">
        <f t="shared" si="24"/>
        <v>1.0833333333333335</v>
      </c>
      <c r="O76" s="127" t="str">
        <f t="shared" si="24"/>
        <v>OFF</v>
      </c>
      <c r="P76" s="127" t="str">
        <f t="shared" si="24"/>
        <v>OFF</v>
      </c>
      <c r="Q76" s="121">
        <f t="shared" si="24"/>
        <v>1.0833333333333335</v>
      </c>
      <c r="R76" s="127">
        <f t="shared" ref="R76:W76" si="25">IFERROR(IF(Q8= "PTO", "PTO",Q8+"12:00"),"OFF")</f>
        <v>1.0833333333333335</v>
      </c>
      <c r="S76" s="127">
        <f t="shared" si="25"/>
        <v>1.0833333333333335</v>
      </c>
      <c r="T76" s="127">
        <f t="shared" si="25"/>
        <v>1.0833333333333335</v>
      </c>
      <c r="U76" s="127">
        <f t="shared" si="25"/>
        <v>1.0833333333333335</v>
      </c>
      <c r="V76" s="127" t="str">
        <f t="shared" si="25"/>
        <v>OFF</v>
      </c>
      <c r="W76" s="117" t="str">
        <f t="shared" si="25"/>
        <v>OFF</v>
      </c>
      <c r="X76" s="86">
        <f t="shared" si="17"/>
        <v>1.0833333333333335</v>
      </c>
    </row>
    <row r="77" spans="1:25" x14ac:dyDescent="0.25">
      <c r="A77" s="28" t="str">
        <f>'Nesting Sched'!A79</f>
        <v>John Federico Alfonso Tribunal Teruel</v>
      </c>
      <c r="B77" s="71" t="str">
        <f>'Nesting Sched'!B79</f>
        <v>Jane Sairah Arac</v>
      </c>
      <c r="C77" s="127">
        <f t="shared" si="7"/>
        <v>1.0833333333333335</v>
      </c>
      <c r="D77" s="127">
        <f t="shared" ref="D77:F77" si="26">IFERROR(IF(C9= "PTO", "PTO",C9+"12:00"),"OFF")</f>
        <v>1.0833333333333335</v>
      </c>
      <c r="E77" s="127" t="str">
        <f t="shared" si="26"/>
        <v>OFF</v>
      </c>
      <c r="F77" s="127">
        <f t="shared" si="26"/>
        <v>1.0833333333333335</v>
      </c>
      <c r="G77" s="127">
        <f t="shared" ref="G77" si="27">IFERROR(IF(F9= "PTO", "PTO",F9+"12:00"),"OFF")</f>
        <v>1.0833333333333335</v>
      </c>
      <c r="H77" s="127">
        <f t="shared" si="4"/>
        <v>1.0833333333333335</v>
      </c>
      <c r="I77" s="127" t="str">
        <f t="shared" si="10"/>
        <v>OFF</v>
      </c>
      <c r="J77" s="121">
        <f t="shared" si="10"/>
        <v>1.0833333333333335</v>
      </c>
      <c r="K77" s="127">
        <f t="shared" ref="K77:Q77" si="28">IFERROR(IF(J9= "PTO", "PTO",J9+"12:00"),"OFF")</f>
        <v>1.0833333333333335</v>
      </c>
      <c r="L77" s="127">
        <f t="shared" si="28"/>
        <v>1.0833333333333335</v>
      </c>
      <c r="M77" s="127">
        <f t="shared" si="28"/>
        <v>1.0833333333333335</v>
      </c>
      <c r="N77" s="127">
        <f t="shared" si="28"/>
        <v>1.0833333333333335</v>
      </c>
      <c r="O77" s="127" t="str">
        <f t="shared" si="28"/>
        <v>OFF</v>
      </c>
      <c r="P77" s="127" t="str">
        <f t="shared" si="28"/>
        <v>OFF</v>
      </c>
      <c r="Q77" s="121">
        <f t="shared" si="28"/>
        <v>1.0833333333333335</v>
      </c>
      <c r="R77" s="127">
        <f t="shared" ref="R77:W77" si="29">IFERROR(IF(Q9= "PTO", "PTO",Q9+"12:00"),"OFF")</f>
        <v>1.0833333333333335</v>
      </c>
      <c r="S77" s="127">
        <f t="shared" si="29"/>
        <v>1.0833333333333335</v>
      </c>
      <c r="T77" s="127">
        <f t="shared" si="29"/>
        <v>1.0833333333333335</v>
      </c>
      <c r="U77" s="127">
        <f t="shared" si="29"/>
        <v>1.0833333333333335</v>
      </c>
      <c r="V77" s="127" t="str">
        <f t="shared" si="29"/>
        <v>OFF</v>
      </c>
      <c r="W77" s="117" t="str">
        <f t="shared" si="29"/>
        <v>OFF</v>
      </c>
      <c r="X77" s="86">
        <f t="shared" si="17"/>
        <v>1.0833333333333335</v>
      </c>
    </row>
    <row r="78" spans="1:25" x14ac:dyDescent="0.25">
      <c r="A78" s="28" t="str">
        <f>'Nesting Sched'!A80</f>
        <v>Jevel Von Bance Grate</v>
      </c>
      <c r="B78" s="71" t="str">
        <f>'Nesting Sched'!B80</f>
        <v>Jane Sairah Arac</v>
      </c>
      <c r="C78" s="127">
        <f t="shared" si="7"/>
        <v>1.0833333333333335</v>
      </c>
      <c r="D78" s="127">
        <f t="shared" ref="D78:F78" si="30">IFERROR(IF(C10= "PTO", "PTO",C10+"12:00"),"OFF")</f>
        <v>1.0833333333333335</v>
      </c>
      <c r="E78" s="127" t="str">
        <f t="shared" si="30"/>
        <v>OFF</v>
      </c>
      <c r="F78" s="127">
        <f t="shared" si="30"/>
        <v>1.0833333333333335</v>
      </c>
      <c r="G78" s="127">
        <f t="shared" ref="G78" si="31">IFERROR(IF(F10= "PTO", "PTO",F10+"12:00"),"OFF")</f>
        <v>1.0833333333333335</v>
      </c>
      <c r="H78" s="127">
        <f t="shared" si="4"/>
        <v>1.0833333333333335</v>
      </c>
      <c r="I78" s="127" t="str">
        <f t="shared" si="10"/>
        <v>OFF</v>
      </c>
      <c r="J78" s="121">
        <f t="shared" si="10"/>
        <v>1.0833333333333335</v>
      </c>
      <c r="K78" s="127">
        <f t="shared" ref="K78:Q78" si="32">IFERROR(IF(J10= "PTO", "PTO",J10+"12:00"),"OFF")</f>
        <v>1.0833333333333335</v>
      </c>
      <c r="L78" s="127">
        <f t="shared" si="32"/>
        <v>1.0833333333333335</v>
      </c>
      <c r="M78" s="127">
        <f t="shared" si="32"/>
        <v>1.0833333333333335</v>
      </c>
      <c r="N78" s="127">
        <f t="shared" si="32"/>
        <v>1.0833333333333335</v>
      </c>
      <c r="O78" s="127" t="str">
        <f t="shared" si="32"/>
        <v>OFF</v>
      </c>
      <c r="P78" s="127" t="str">
        <f t="shared" si="32"/>
        <v>OFF</v>
      </c>
      <c r="Q78" s="121">
        <f t="shared" si="32"/>
        <v>1.0833333333333335</v>
      </c>
      <c r="R78" s="127">
        <f t="shared" ref="R78:W78" si="33">IFERROR(IF(Q10= "PTO", "PTO",Q10+"12:00"),"OFF")</f>
        <v>1.0833333333333335</v>
      </c>
      <c r="S78" s="127">
        <f t="shared" si="33"/>
        <v>1.0833333333333335</v>
      </c>
      <c r="T78" s="127">
        <f t="shared" si="33"/>
        <v>1.0833333333333335</v>
      </c>
      <c r="U78" s="127">
        <f t="shared" si="33"/>
        <v>1.0833333333333335</v>
      </c>
      <c r="V78" s="127" t="str">
        <f t="shared" si="33"/>
        <v>OFF</v>
      </c>
      <c r="W78" s="117" t="str">
        <f t="shared" si="33"/>
        <v>OFF</v>
      </c>
      <c r="X78" s="86">
        <f t="shared" si="17"/>
        <v>1.0833333333333335</v>
      </c>
    </row>
    <row r="79" spans="1:25" x14ac:dyDescent="0.25">
      <c r="A79" s="28" t="str">
        <f>'Nesting Sched'!A81</f>
        <v>Maxine Pabillo Duenas</v>
      </c>
      <c r="B79" s="71" t="str">
        <f>'Nesting Sched'!B81</f>
        <v>Jane Sairah Arac</v>
      </c>
      <c r="C79" s="127">
        <f t="shared" si="7"/>
        <v>1.0833333333333335</v>
      </c>
      <c r="D79" s="127">
        <f t="shared" ref="D79:F79" si="34">IFERROR(IF(C11= "PTO", "PTO",C11+"12:00"),"OFF")</f>
        <v>1.0833333333333335</v>
      </c>
      <c r="E79" s="127" t="str">
        <f t="shared" si="34"/>
        <v>OFF</v>
      </c>
      <c r="F79" s="127">
        <f t="shared" si="34"/>
        <v>1.0833333333333335</v>
      </c>
      <c r="G79" s="127">
        <f t="shared" ref="G79" si="35">IFERROR(IF(F11= "PTO", "PTO",F11+"12:00"),"OFF")</f>
        <v>1.0833333333333335</v>
      </c>
      <c r="H79" s="127">
        <f t="shared" si="4"/>
        <v>1.0833333333333335</v>
      </c>
      <c r="I79" s="127" t="str">
        <f t="shared" si="10"/>
        <v>OFF</v>
      </c>
      <c r="J79" s="121">
        <f t="shared" si="10"/>
        <v>1.0833333333333335</v>
      </c>
      <c r="K79" s="127">
        <f t="shared" ref="K79:Q79" si="36">IFERROR(IF(J11= "PTO", "PTO",J11+"12:00"),"OFF")</f>
        <v>1.0833333333333335</v>
      </c>
      <c r="L79" s="127">
        <f t="shared" si="36"/>
        <v>1.0833333333333335</v>
      </c>
      <c r="M79" s="127">
        <f t="shared" si="36"/>
        <v>1.0833333333333335</v>
      </c>
      <c r="N79" s="127">
        <f t="shared" si="36"/>
        <v>1.0833333333333335</v>
      </c>
      <c r="O79" s="127" t="str">
        <f t="shared" si="36"/>
        <v>OFF</v>
      </c>
      <c r="P79" s="127" t="str">
        <f t="shared" si="36"/>
        <v>OFF</v>
      </c>
      <c r="Q79" s="121">
        <f t="shared" si="36"/>
        <v>1.0833333333333335</v>
      </c>
      <c r="R79" s="127">
        <f t="shared" ref="R79:W79" si="37">IFERROR(IF(Q11= "PTO", "PTO",Q11+"12:00"),"OFF")</f>
        <v>1.0833333333333335</v>
      </c>
      <c r="S79" s="127">
        <f t="shared" si="37"/>
        <v>1.0833333333333335</v>
      </c>
      <c r="T79" s="127">
        <f t="shared" si="37"/>
        <v>1.0833333333333335</v>
      </c>
      <c r="U79" s="127">
        <f t="shared" si="37"/>
        <v>1.0833333333333335</v>
      </c>
      <c r="V79" s="127" t="str">
        <f t="shared" si="37"/>
        <v>OFF</v>
      </c>
      <c r="W79" s="117" t="str">
        <f t="shared" si="37"/>
        <v>OFF</v>
      </c>
      <c r="X79" s="86">
        <f t="shared" si="17"/>
        <v>1.0833333333333335</v>
      </c>
    </row>
    <row r="80" spans="1:25" x14ac:dyDescent="0.25">
      <c r="A80" s="28" t="str">
        <f>'Nesting Sched'!A82</f>
        <v>Sittie Sufiyah Macaumbang Dimaampao</v>
      </c>
      <c r="B80" s="71" t="str">
        <f>'Nesting Sched'!B82</f>
        <v>Jane Sairah Arac</v>
      </c>
      <c r="C80" s="127">
        <f t="shared" si="7"/>
        <v>1.0833333333333335</v>
      </c>
      <c r="D80" s="127">
        <f t="shared" ref="D80:F80" si="38">IFERROR(IF(C12= "PTO", "PTO",C12+"12:00"),"OFF")</f>
        <v>1.0833333333333335</v>
      </c>
      <c r="E80" s="127" t="str">
        <f t="shared" si="38"/>
        <v>OFF</v>
      </c>
      <c r="F80" s="127">
        <f t="shared" si="38"/>
        <v>1.0833333333333335</v>
      </c>
      <c r="G80" s="127">
        <f t="shared" ref="G80" si="39">IFERROR(IF(F12= "PTO", "PTO",F12+"12:00"),"OFF")</f>
        <v>1.0833333333333335</v>
      </c>
      <c r="H80" s="127">
        <f t="shared" si="4"/>
        <v>1.0833333333333335</v>
      </c>
      <c r="I80" s="127" t="str">
        <f t="shared" si="10"/>
        <v>OFF</v>
      </c>
      <c r="J80" s="121">
        <f t="shared" si="10"/>
        <v>1.0833333333333335</v>
      </c>
      <c r="K80" s="127">
        <f t="shared" ref="K80:Q80" si="40">IFERROR(IF(J12= "PTO", "PTO",J12+"12:00"),"OFF")</f>
        <v>1.0833333333333335</v>
      </c>
      <c r="L80" s="127">
        <f t="shared" si="40"/>
        <v>1.0833333333333335</v>
      </c>
      <c r="M80" s="127">
        <f t="shared" si="40"/>
        <v>1.0833333333333335</v>
      </c>
      <c r="N80" s="127">
        <f t="shared" si="40"/>
        <v>1.0833333333333335</v>
      </c>
      <c r="O80" s="127" t="str">
        <f t="shared" si="40"/>
        <v>OFF</v>
      </c>
      <c r="P80" s="127" t="str">
        <f t="shared" si="40"/>
        <v>OFF</v>
      </c>
      <c r="Q80" s="121">
        <f t="shared" si="40"/>
        <v>1.0833333333333335</v>
      </c>
      <c r="R80" s="127">
        <f t="shared" ref="R80:W80" si="41">IFERROR(IF(Q12= "PTO", "PTO",Q12+"12:00"),"OFF")</f>
        <v>1.0833333333333335</v>
      </c>
      <c r="S80" s="127">
        <f t="shared" si="41"/>
        <v>1.0833333333333335</v>
      </c>
      <c r="T80" s="127">
        <f t="shared" si="41"/>
        <v>1.0833333333333335</v>
      </c>
      <c r="U80" s="127">
        <f t="shared" si="41"/>
        <v>1.0833333333333335</v>
      </c>
      <c r="V80" s="127" t="str">
        <f t="shared" si="41"/>
        <v>OFF</v>
      </c>
      <c r="W80" s="117" t="str">
        <f t="shared" si="41"/>
        <v>OFF</v>
      </c>
      <c r="X80" s="86">
        <f t="shared" si="17"/>
        <v>1.0833333333333335</v>
      </c>
    </row>
    <row r="81" spans="1:24" x14ac:dyDescent="0.25">
      <c r="A81" s="28" t="str">
        <f>'Nesting Sched'!A83</f>
        <v>Ana Marie Albao</v>
      </c>
      <c r="B81" s="71" t="str">
        <f>'Nesting Sched'!B83</f>
        <v>-</v>
      </c>
      <c r="C81" s="127">
        <f t="shared" si="7"/>
        <v>1.0833333333333335</v>
      </c>
      <c r="D81" s="127">
        <f t="shared" ref="D81:F81" si="42">IFERROR(IF(C13= "PTO", "PTO",C13+"12:00"),"OFF")</f>
        <v>1.0833333333333335</v>
      </c>
      <c r="E81" s="127" t="str">
        <f t="shared" si="42"/>
        <v>OFF</v>
      </c>
      <c r="F81" s="127">
        <f t="shared" si="42"/>
        <v>1.0833333333333335</v>
      </c>
      <c r="G81" s="127">
        <f t="shared" ref="G81" si="43">IFERROR(IF(F13= "PTO", "PTO",F13+"12:00"),"OFF")</f>
        <v>1.0833333333333335</v>
      </c>
      <c r="H81" s="127">
        <f t="shared" si="4"/>
        <v>1.0833333333333335</v>
      </c>
      <c r="I81" s="127" t="str">
        <f t="shared" si="10"/>
        <v>OFF</v>
      </c>
      <c r="J81" s="121">
        <f t="shared" si="10"/>
        <v>1.0833333333333335</v>
      </c>
      <c r="K81" s="127">
        <f t="shared" ref="K81:Q81" si="44">IFERROR(IF(J13= "PTO", "PTO",J13+"12:00"),"OFF")</f>
        <v>1.0833333333333335</v>
      </c>
      <c r="L81" s="127">
        <f t="shared" si="44"/>
        <v>1.0833333333333335</v>
      </c>
      <c r="M81" s="127">
        <f t="shared" si="44"/>
        <v>1.0833333333333335</v>
      </c>
      <c r="N81" s="127">
        <f t="shared" si="44"/>
        <v>1.0833333333333335</v>
      </c>
      <c r="O81" s="127" t="str">
        <f t="shared" si="44"/>
        <v>OFF</v>
      </c>
      <c r="P81" s="127" t="str">
        <f t="shared" si="44"/>
        <v>OFF</v>
      </c>
      <c r="Q81" s="121">
        <f t="shared" si="44"/>
        <v>1.0833333333333335</v>
      </c>
      <c r="R81" s="127">
        <f t="shared" ref="R81:W81" si="45">IFERROR(IF(Q13= "PTO", "PTO",Q13+"12:00"),"OFF")</f>
        <v>1.0833333333333335</v>
      </c>
      <c r="S81" s="127">
        <f t="shared" si="45"/>
        <v>1.0833333333333335</v>
      </c>
      <c r="T81" s="127">
        <f t="shared" si="45"/>
        <v>1.0833333333333335</v>
      </c>
      <c r="U81" s="127">
        <f t="shared" si="45"/>
        <v>1.0833333333333335</v>
      </c>
      <c r="V81" s="127" t="str">
        <f t="shared" si="45"/>
        <v>OFF</v>
      </c>
      <c r="W81" s="117" t="str">
        <f t="shared" si="45"/>
        <v>OFF</v>
      </c>
      <c r="X81" s="86">
        <f t="shared" si="17"/>
        <v>1.0833333333333335</v>
      </c>
    </row>
    <row r="82" spans="1:24" x14ac:dyDescent="0.25">
      <c r="A82" s="28"/>
      <c r="B82" s="71"/>
      <c r="C82" s="127"/>
      <c r="D82" s="127"/>
      <c r="E82" s="127"/>
      <c r="F82" s="127"/>
      <c r="G82" s="127"/>
      <c r="H82" s="127"/>
      <c r="I82" s="127"/>
      <c r="J82" s="121"/>
      <c r="K82" s="127"/>
      <c r="L82" s="127"/>
      <c r="M82" s="127"/>
      <c r="N82" s="127"/>
      <c r="O82" s="127"/>
      <c r="P82" s="127"/>
      <c r="Q82" s="121"/>
      <c r="R82" s="127"/>
      <c r="S82" s="127"/>
      <c r="T82" s="127"/>
      <c r="U82" s="127"/>
      <c r="V82" s="127"/>
      <c r="W82" s="117"/>
      <c r="X82" s="86"/>
    </row>
    <row r="83" spans="1:24" x14ac:dyDescent="0.25">
      <c r="A83" s="28"/>
      <c r="B83" s="71"/>
      <c r="C83" s="127"/>
      <c r="D83" s="127"/>
      <c r="E83" s="127"/>
      <c r="F83" s="127"/>
      <c r="G83" s="127"/>
      <c r="H83" s="127"/>
      <c r="I83" s="127"/>
      <c r="J83" s="121"/>
      <c r="K83" s="127"/>
      <c r="L83" s="127"/>
      <c r="M83" s="127"/>
      <c r="N83" s="127"/>
      <c r="O83" s="127"/>
      <c r="P83" s="127"/>
      <c r="Q83" s="121"/>
      <c r="R83" s="127"/>
      <c r="S83" s="127"/>
      <c r="T83" s="127"/>
      <c r="U83" s="127"/>
      <c r="V83" s="127"/>
      <c r="W83" s="117"/>
      <c r="X83" s="121"/>
    </row>
    <row r="84" spans="1:24" x14ac:dyDescent="0.25">
      <c r="A84" s="28"/>
      <c r="B84" s="71"/>
      <c r="C84" s="127"/>
      <c r="D84" s="127"/>
      <c r="E84" s="127"/>
      <c r="F84" s="127"/>
      <c r="G84" s="127"/>
      <c r="H84" s="127"/>
      <c r="I84" s="127"/>
      <c r="J84" s="121"/>
      <c r="K84" s="127"/>
      <c r="L84" s="127"/>
      <c r="M84" s="127"/>
      <c r="N84" s="127"/>
      <c r="O84" s="127"/>
      <c r="P84" s="127"/>
      <c r="Q84" s="121"/>
      <c r="R84" s="127"/>
      <c r="S84" s="127"/>
      <c r="T84" s="127"/>
      <c r="U84" s="127"/>
      <c r="V84" s="127"/>
      <c r="W84" s="117"/>
      <c r="X84" s="121"/>
    </row>
    <row r="85" spans="1:24" s="124" customFormat="1" x14ac:dyDescent="0.25">
      <c r="A85" s="28"/>
      <c r="B85" s="71"/>
      <c r="C85" s="127"/>
      <c r="D85" s="127"/>
      <c r="E85" s="127"/>
      <c r="F85" s="127"/>
      <c r="G85" s="127"/>
      <c r="H85" s="127"/>
      <c r="I85" s="127"/>
      <c r="J85" s="121"/>
      <c r="K85" s="127"/>
      <c r="L85" s="127"/>
      <c r="M85" s="127"/>
      <c r="N85" s="127"/>
      <c r="O85" s="127"/>
      <c r="P85" s="127"/>
      <c r="Q85" s="121"/>
      <c r="R85" s="127"/>
      <c r="S85" s="127"/>
      <c r="T85" s="127"/>
      <c r="U85" s="127"/>
      <c r="V85" s="127"/>
      <c r="W85" s="117"/>
      <c r="X85" s="127"/>
    </row>
    <row r="86" spans="1:24" s="124" customFormat="1" x14ac:dyDescent="0.25">
      <c r="A86" s="28"/>
      <c r="B86" s="71"/>
      <c r="C86" s="127"/>
      <c r="D86" s="127"/>
      <c r="E86" s="127"/>
      <c r="F86" s="127"/>
      <c r="G86" s="127"/>
      <c r="H86" s="127"/>
      <c r="I86" s="127"/>
      <c r="J86" s="121"/>
      <c r="K86" s="127"/>
      <c r="L86" s="127"/>
      <c r="M86" s="127"/>
      <c r="N86" s="127"/>
      <c r="O86" s="127"/>
      <c r="P86" s="127"/>
      <c r="Q86" s="121"/>
      <c r="R86" s="127"/>
      <c r="S86" s="127"/>
      <c r="T86" s="127"/>
      <c r="U86" s="127"/>
      <c r="V86" s="127"/>
      <c r="W86" s="117"/>
      <c r="X86" s="127"/>
    </row>
    <row r="87" spans="1:24" s="124" customFormat="1" x14ac:dyDescent="0.25">
      <c r="A87" s="28"/>
      <c r="B87" s="71"/>
      <c r="C87" s="127"/>
      <c r="D87" s="127"/>
      <c r="E87" s="127"/>
      <c r="F87" s="127"/>
      <c r="G87" s="127"/>
      <c r="H87" s="127"/>
      <c r="I87" s="127"/>
      <c r="J87" s="121"/>
      <c r="K87" s="127"/>
      <c r="L87" s="127"/>
      <c r="M87" s="127"/>
      <c r="N87" s="127"/>
      <c r="O87" s="127"/>
      <c r="P87" s="127"/>
      <c r="Q87" s="121"/>
      <c r="R87" s="127"/>
      <c r="S87" s="127"/>
      <c r="T87" s="127"/>
      <c r="U87" s="127"/>
      <c r="V87" s="127"/>
      <c r="W87" s="117"/>
      <c r="X87" s="127"/>
    </row>
    <row r="88" spans="1:24" s="124" customFormat="1" x14ac:dyDescent="0.25">
      <c r="A88" s="28"/>
      <c r="B88" s="71"/>
      <c r="C88" s="127"/>
      <c r="D88" s="127"/>
      <c r="E88" s="127"/>
      <c r="F88" s="127"/>
      <c r="G88" s="127"/>
      <c r="H88" s="127"/>
      <c r="I88" s="127"/>
      <c r="J88" s="121"/>
      <c r="K88" s="127"/>
      <c r="L88" s="127"/>
      <c r="M88" s="127"/>
      <c r="N88" s="127"/>
      <c r="O88" s="127"/>
      <c r="P88" s="127"/>
      <c r="Q88" s="121"/>
      <c r="R88" s="127"/>
      <c r="S88" s="127"/>
      <c r="T88" s="127"/>
      <c r="U88" s="127"/>
      <c r="V88" s="127"/>
      <c r="W88" s="117"/>
      <c r="X88" s="127"/>
    </row>
    <row r="89" spans="1:24" s="124" customFormat="1" x14ac:dyDescent="0.25">
      <c r="A89" s="28"/>
      <c r="B89" s="71"/>
      <c r="C89" s="127"/>
      <c r="D89" s="127"/>
      <c r="E89" s="127"/>
      <c r="F89" s="127"/>
      <c r="G89" s="127"/>
      <c r="H89" s="127"/>
      <c r="I89" s="127"/>
      <c r="J89" s="121"/>
      <c r="K89" s="127"/>
      <c r="L89" s="127"/>
      <c r="M89" s="127"/>
      <c r="N89" s="127"/>
      <c r="O89" s="127"/>
      <c r="P89" s="127"/>
      <c r="Q89" s="121"/>
      <c r="R89" s="127"/>
      <c r="S89" s="127"/>
      <c r="T89" s="127"/>
      <c r="U89" s="127"/>
      <c r="V89" s="127"/>
      <c r="W89" s="117"/>
      <c r="X89" s="127"/>
    </row>
    <row r="90" spans="1:24" s="124" customFormat="1" x14ac:dyDescent="0.25">
      <c r="A90" s="28"/>
      <c r="B90" s="71"/>
      <c r="C90" s="127"/>
      <c r="D90" s="127"/>
      <c r="E90" s="127"/>
      <c r="F90" s="127"/>
      <c r="G90" s="127"/>
      <c r="H90" s="127"/>
      <c r="I90" s="127"/>
      <c r="J90" s="121"/>
      <c r="K90" s="127"/>
      <c r="L90" s="127"/>
      <c r="M90" s="127"/>
      <c r="N90" s="127"/>
      <c r="O90" s="127"/>
      <c r="P90" s="127"/>
      <c r="Q90" s="121"/>
      <c r="R90" s="127"/>
      <c r="S90" s="127"/>
      <c r="T90" s="127"/>
      <c r="U90" s="127"/>
      <c r="V90" s="127"/>
      <c r="W90" s="117"/>
      <c r="X90" s="127"/>
    </row>
    <row r="91" spans="1:24" s="124" customFormat="1" x14ac:dyDescent="0.25">
      <c r="A91" s="28"/>
      <c r="B91" s="71"/>
      <c r="C91" s="127"/>
      <c r="D91" s="127"/>
      <c r="E91" s="127"/>
      <c r="F91" s="127"/>
      <c r="G91" s="127"/>
      <c r="H91" s="127"/>
      <c r="I91" s="127"/>
      <c r="J91" s="121"/>
      <c r="K91" s="127"/>
      <c r="L91" s="127"/>
      <c r="M91" s="127"/>
      <c r="N91" s="127"/>
      <c r="O91" s="127"/>
      <c r="P91" s="127"/>
      <c r="Q91" s="121"/>
      <c r="R91" s="127"/>
      <c r="S91" s="127"/>
      <c r="T91" s="127"/>
      <c r="U91" s="127"/>
      <c r="V91" s="127"/>
      <c r="W91" s="117"/>
      <c r="X91" s="127"/>
    </row>
    <row r="92" spans="1:24" s="124" customFormat="1" x14ac:dyDescent="0.25">
      <c r="A92" s="28"/>
      <c r="B92" s="71"/>
      <c r="C92" s="127"/>
      <c r="D92" s="127"/>
      <c r="E92" s="127"/>
      <c r="F92" s="127"/>
      <c r="G92" s="127"/>
      <c r="H92" s="127"/>
      <c r="I92" s="127"/>
      <c r="J92" s="121"/>
      <c r="K92" s="127"/>
      <c r="L92" s="127"/>
      <c r="M92" s="127"/>
      <c r="N92" s="127"/>
      <c r="O92" s="127"/>
      <c r="P92" s="127"/>
      <c r="Q92" s="121"/>
      <c r="R92" s="127"/>
      <c r="S92" s="127"/>
      <c r="T92" s="127"/>
      <c r="U92" s="127"/>
      <c r="V92" s="127"/>
      <c r="W92" s="117"/>
      <c r="X92" s="127"/>
    </row>
    <row r="93" spans="1:24" s="124" customFormat="1" x14ac:dyDescent="0.25">
      <c r="A93" s="28"/>
      <c r="B93" s="71"/>
      <c r="C93" s="127"/>
      <c r="D93" s="127"/>
      <c r="E93" s="127"/>
      <c r="F93" s="127"/>
      <c r="G93" s="127"/>
      <c r="H93" s="127"/>
      <c r="I93" s="127"/>
      <c r="J93" s="121"/>
      <c r="K93" s="127"/>
      <c r="L93" s="127"/>
      <c r="M93" s="127"/>
      <c r="N93" s="127"/>
      <c r="O93" s="127"/>
      <c r="P93" s="127"/>
      <c r="Q93" s="121"/>
      <c r="R93" s="127"/>
      <c r="S93" s="127"/>
      <c r="T93" s="127"/>
      <c r="U93" s="127"/>
      <c r="V93" s="127"/>
      <c r="W93" s="117"/>
      <c r="X93" s="127"/>
    </row>
    <row r="94" spans="1:24" s="124" customFormat="1" x14ac:dyDescent="0.25">
      <c r="A94" s="28"/>
      <c r="B94" s="71"/>
      <c r="C94" s="127"/>
      <c r="D94" s="127"/>
      <c r="E94" s="127"/>
      <c r="F94" s="127"/>
      <c r="G94" s="127"/>
      <c r="H94" s="127"/>
      <c r="I94" s="127"/>
      <c r="J94" s="121"/>
      <c r="K94" s="127"/>
      <c r="L94" s="127"/>
      <c r="M94" s="127"/>
      <c r="N94" s="127"/>
      <c r="O94" s="127"/>
      <c r="P94" s="127"/>
      <c r="Q94" s="121"/>
      <c r="R94" s="127"/>
      <c r="S94" s="127"/>
      <c r="T94" s="127"/>
      <c r="U94" s="127"/>
      <c r="V94" s="127"/>
      <c r="W94" s="117"/>
      <c r="X94" s="127"/>
    </row>
    <row r="95" spans="1:24" s="124" customFormat="1" x14ac:dyDescent="0.25">
      <c r="A95" s="28"/>
      <c r="B95" s="71"/>
      <c r="C95" s="127"/>
      <c r="D95" s="127"/>
      <c r="E95" s="127"/>
      <c r="F95" s="127"/>
      <c r="G95" s="127"/>
      <c r="H95" s="127"/>
      <c r="I95" s="127"/>
      <c r="J95" s="121"/>
      <c r="K95" s="127"/>
      <c r="L95" s="127"/>
      <c r="M95" s="127"/>
      <c r="N95" s="127"/>
      <c r="O95" s="127"/>
      <c r="P95" s="127"/>
      <c r="Q95" s="121"/>
      <c r="R95" s="127"/>
      <c r="S95" s="127"/>
      <c r="T95" s="127"/>
      <c r="U95" s="127"/>
      <c r="V95" s="127"/>
      <c r="W95" s="117"/>
      <c r="X95" s="127"/>
    </row>
    <row r="96" spans="1:24" x14ac:dyDescent="0.25">
      <c r="A96" s="28"/>
      <c r="B96" s="71"/>
      <c r="C96" s="127"/>
      <c r="D96" s="127"/>
      <c r="E96" s="127"/>
      <c r="F96" s="127"/>
      <c r="G96" s="127"/>
      <c r="H96" s="127"/>
      <c r="I96" s="127"/>
      <c r="J96" s="121"/>
      <c r="K96" s="127"/>
      <c r="L96" s="127"/>
      <c r="M96" s="127"/>
      <c r="N96" s="127"/>
      <c r="O96" s="127"/>
      <c r="P96" s="127"/>
      <c r="Q96" s="121"/>
      <c r="R96" s="127"/>
      <c r="S96" s="127"/>
      <c r="T96" s="127"/>
      <c r="U96" s="127"/>
      <c r="V96" s="127"/>
      <c r="W96" s="117"/>
      <c r="X96" s="127"/>
    </row>
    <row r="97" spans="1:24" x14ac:dyDescent="0.25">
      <c r="A97" s="28"/>
      <c r="B97" s="71"/>
      <c r="C97" s="127"/>
      <c r="D97" s="127"/>
      <c r="E97" s="127"/>
      <c r="F97" s="127"/>
      <c r="G97" s="127"/>
      <c r="H97" s="127"/>
      <c r="I97" s="127"/>
      <c r="J97" s="121"/>
      <c r="K97" s="127"/>
      <c r="L97" s="127"/>
      <c r="M97" s="127"/>
      <c r="N97" s="127"/>
      <c r="O97" s="127"/>
      <c r="P97" s="127"/>
      <c r="Q97" s="121"/>
      <c r="R97" s="127"/>
      <c r="S97" s="127"/>
      <c r="T97" s="127"/>
      <c r="U97" s="127"/>
      <c r="V97" s="127"/>
      <c r="W97" s="117"/>
      <c r="X97" s="127"/>
    </row>
    <row r="98" spans="1:24" x14ac:dyDescent="0.25">
      <c r="A98" s="28"/>
      <c r="B98" s="71"/>
      <c r="C98" s="127"/>
      <c r="D98" s="127"/>
      <c r="E98" s="127"/>
      <c r="F98" s="127"/>
      <c r="G98" s="127"/>
      <c r="H98" s="127"/>
      <c r="I98" s="127"/>
      <c r="J98" s="121"/>
      <c r="K98" s="127"/>
      <c r="L98" s="127"/>
      <c r="M98" s="127"/>
      <c r="N98" s="127"/>
      <c r="O98" s="127"/>
      <c r="P98" s="127"/>
      <c r="Q98" s="121"/>
      <c r="R98" s="127"/>
      <c r="S98" s="127"/>
      <c r="T98" s="127"/>
      <c r="U98" s="127"/>
      <c r="V98" s="127"/>
      <c r="W98" s="117"/>
      <c r="X98" s="127"/>
    </row>
    <row r="99" spans="1:24" x14ac:dyDescent="0.25">
      <c r="A99" s="28"/>
      <c r="B99" s="71"/>
      <c r="C99" s="127"/>
      <c r="D99" s="127"/>
      <c r="E99" s="127"/>
      <c r="F99" s="127"/>
      <c r="G99" s="127"/>
      <c r="H99" s="127"/>
      <c r="I99" s="127"/>
      <c r="J99" s="121"/>
      <c r="K99" s="127"/>
      <c r="L99" s="127"/>
      <c r="M99" s="127"/>
      <c r="N99" s="127"/>
      <c r="O99" s="127"/>
      <c r="P99" s="127"/>
      <c r="Q99" s="121"/>
      <c r="R99" s="127"/>
      <c r="S99" s="127"/>
      <c r="T99" s="127"/>
      <c r="U99" s="127"/>
      <c r="V99" s="127"/>
      <c r="W99" s="117"/>
      <c r="X99" s="127"/>
    </row>
    <row r="100" spans="1:24" x14ac:dyDescent="0.25">
      <c r="A100" s="28"/>
      <c r="B100" s="71"/>
      <c r="C100" s="127"/>
      <c r="D100" s="127"/>
      <c r="E100" s="127"/>
      <c r="F100" s="127"/>
      <c r="G100" s="127"/>
      <c r="H100" s="127"/>
      <c r="I100" s="127"/>
      <c r="J100" s="121"/>
      <c r="K100" s="127"/>
      <c r="L100" s="127"/>
      <c r="M100" s="127"/>
      <c r="N100" s="127"/>
      <c r="O100" s="127"/>
      <c r="P100" s="127"/>
      <c r="Q100" s="121"/>
      <c r="R100" s="127"/>
      <c r="S100" s="127"/>
      <c r="T100" s="127"/>
      <c r="U100" s="127"/>
      <c r="V100" s="127"/>
      <c r="W100" s="117"/>
      <c r="X100" s="127"/>
    </row>
    <row r="101" spans="1:24" x14ac:dyDescent="0.25">
      <c r="A101" s="28"/>
      <c r="B101" s="71"/>
      <c r="C101" s="127"/>
      <c r="D101" s="127"/>
      <c r="E101" s="127"/>
      <c r="F101" s="127"/>
      <c r="G101" s="127"/>
      <c r="H101" s="127"/>
      <c r="I101" s="127"/>
      <c r="J101" s="121"/>
      <c r="K101" s="127"/>
      <c r="L101" s="127"/>
      <c r="M101" s="127"/>
      <c r="N101" s="127"/>
      <c r="O101" s="127"/>
      <c r="P101" s="127"/>
      <c r="Q101" s="121"/>
      <c r="R101" s="127"/>
      <c r="S101" s="127"/>
      <c r="T101" s="127"/>
      <c r="U101" s="127"/>
      <c r="V101" s="127"/>
      <c r="W101" s="117"/>
      <c r="X101" s="127"/>
    </row>
    <row r="102" spans="1:24" x14ac:dyDescent="0.25">
      <c r="A102" s="28"/>
      <c r="B102" s="71"/>
      <c r="C102" s="127"/>
      <c r="D102" s="127"/>
      <c r="E102" s="127"/>
      <c r="F102" s="127"/>
      <c r="G102" s="127"/>
      <c r="H102" s="127"/>
      <c r="I102" s="127"/>
      <c r="J102" s="121"/>
      <c r="K102" s="127"/>
      <c r="L102" s="127"/>
      <c r="M102" s="127"/>
      <c r="N102" s="127"/>
      <c r="O102" s="127"/>
      <c r="P102" s="127"/>
      <c r="Q102" s="121"/>
      <c r="R102" s="127"/>
      <c r="S102" s="127"/>
      <c r="T102" s="127"/>
      <c r="U102" s="127"/>
      <c r="V102" s="127"/>
      <c r="W102" s="117"/>
      <c r="X102" s="127"/>
    </row>
    <row r="103" spans="1:24" x14ac:dyDescent="0.25">
      <c r="A103" s="28"/>
      <c r="B103" s="71"/>
      <c r="C103" s="127"/>
      <c r="D103" s="127"/>
      <c r="E103" s="127"/>
      <c r="F103" s="127"/>
      <c r="G103" s="127"/>
      <c r="H103" s="127"/>
      <c r="I103" s="127"/>
      <c r="J103" s="121"/>
      <c r="K103" s="127"/>
      <c r="L103" s="127"/>
      <c r="M103" s="127"/>
      <c r="N103" s="127"/>
      <c r="O103" s="127"/>
      <c r="P103" s="127"/>
      <c r="Q103" s="121"/>
      <c r="R103" s="127"/>
      <c r="S103" s="127"/>
      <c r="T103" s="127"/>
      <c r="U103" s="127"/>
      <c r="V103" s="127"/>
      <c r="W103" s="117"/>
      <c r="X103" s="127"/>
    </row>
    <row r="104" spans="1:24" x14ac:dyDescent="0.25">
      <c r="A104" s="28"/>
      <c r="B104" s="71"/>
      <c r="C104" s="127"/>
      <c r="D104" s="127"/>
      <c r="E104" s="127"/>
      <c r="F104" s="127"/>
      <c r="G104" s="127"/>
      <c r="H104" s="127"/>
      <c r="I104" s="127"/>
      <c r="J104" s="121"/>
      <c r="K104" s="127"/>
      <c r="L104" s="127"/>
      <c r="M104" s="127"/>
      <c r="N104" s="127"/>
      <c r="O104" s="127"/>
      <c r="P104" s="127"/>
      <c r="Q104" s="121"/>
      <c r="R104" s="127"/>
      <c r="S104" s="127"/>
      <c r="T104" s="127"/>
      <c r="U104" s="127"/>
      <c r="V104" s="127"/>
      <c r="W104" s="117"/>
      <c r="X104" s="127"/>
    </row>
    <row r="105" spans="1:24" x14ac:dyDescent="0.25">
      <c r="A105" s="28"/>
      <c r="B105" s="71"/>
      <c r="C105" s="127"/>
      <c r="D105" s="127"/>
      <c r="E105" s="127"/>
      <c r="F105" s="127"/>
      <c r="G105" s="127"/>
      <c r="H105" s="127"/>
      <c r="I105" s="127"/>
      <c r="J105" s="121"/>
      <c r="K105" s="127"/>
      <c r="L105" s="127"/>
      <c r="M105" s="127"/>
      <c r="N105" s="127"/>
      <c r="O105" s="127"/>
      <c r="P105" s="127"/>
      <c r="Q105" s="121"/>
      <c r="R105" s="127"/>
      <c r="S105" s="127"/>
      <c r="T105" s="127"/>
      <c r="U105" s="127"/>
      <c r="V105" s="127"/>
      <c r="W105" s="117"/>
      <c r="X105" s="127"/>
    </row>
    <row r="106" spans="1:24" x14ac:dyDescent="0.25">
      <c r="A106" s="28"/>
      <c r="B106" s="71"/>
      <c r="C106" s="127"/>
      <c r="D106" s="127"/>
      <c r="E106" s="127"/>
      <c r="F106" s="127"/>
      <c r="G106" s="127"/>
      <c r="H106" s="127"/>
      <c r="I106" s="127"/>
      <c r="J106" s="121"/>
      <c r="K106" s="127"/>
      <c r="L106" s="127"/>
      <c r="M106" s="127"/>
      <c r="N106" s="127"/>
      <c r="O106" s="127"/>
      <c r="P106" s="127"/>
      <c r="Q106" s="121"/>
      <c r="R106" s="127"/>
      <c r="S106" s="127"/>
      <c r="T106" s="127"/>
      <c r="U106" s="127"/>
      <c r="V106" s="127"/>
      <c r="W106" s="117"/>
      <c r="X106" s="127"/>
    </row>
    <row r="107" spans="1:24" x14ac:dyDescent="0.25">
      <c r="A107" s="28"/>
      <c r="B107" s="71"/>
      <c r="C107" s="127"/>
      <c r="D107" s="127"/>
      <c r="E107" s="127"/>
      <c r="F107" s="127"/>
      <c r="G107" s="127"/>
      <c r="H107" s="127"/>
      <c r="I107" s="127"/>
      <c r="J107" s="121"/>
      <c r="K107" s="127"/>
      <c r="L107" s="127"/>
      <c r="M107" s="127"/>
      <c r="N107" s="127"/>
      <c r="O107" s="127"/>
      <c r="P107" s="127"/>
      <c r="Q107" s="121"/>
      <c r="R107" s="127"/>
      <c r="S107" s="127"/>
      <c r="T107" s="127"/>
      <c r="U107" s="127"/>
      <c r="V107" s="127"/>
      <c r="W107" s="117"/>
      <c r="X107" s="127"/>
    </row>
    <row r="108" spans="1:24" x14ac:dyDescent="0.25">
      <c r="A108" s="28"/>
      <c r="B108" s="71"/>
      <c r="C108" s="127"/>
      <c r="D108" s="127"/>
      <c r="E108" s="127"/>
      <c r="F108" s="127"/>
      <c r="G108" s="127"/>
      <c r="H108" s="127"/>
      <c r="I108" s="127"/>
      <c r="J108" s="121"/>
      <c r="K108" s="127"/>
      <c r="L108" s="127"/>
      <c r="M108" s="127"/>
      <c r="N108" s="127"/>
      <c r="O108" s="127"/>
      <c r="P108" s="127"/>
      <c r="Q108" s="121"/>
      <c r="R108" s="127"/>
      <c r="S108" s="127"/>
      <c r="T108" s="127"/>
      <c r="U108" s="127"/>
      <c r="V108" s="127"/>
      <c r="W108" s="117"/>
      <c r="X108" s="127"/>
    </row>
    <row r="109" spans="1:24" x14ac:dyDescent="0.25">
      <c r="A109" s="28"/>
      <c r="B109" s="71"/>
      <c r="C109" s="127"/>
      <c r="D109" s="127"/>
      <c r="E109" s="127"/>
      <c r="F109" s="127"/>
      <c r="G109" s="127"/>
      <c r="H109" s="127"/>
      <c r="I109" s="127"/>
      <c r="J109" s="121"/>
      <c r="K109" s="127"/>
      <c r="L109" s="127"/>
      <c r="M109" s="127"/>
      <c r="N109" s="127"/>
      <c r="O109" s="127"/>
      <c r="P109" s="127"/>
      <c r="Q109" s="121"/>
      <c r="R109" s="127"/>
      <c r="S109" s="127"/>
      <c r="T109" s="127"/>
      <c r="U109" s="127"/>
      <c r="V109" s="127"/>
      <c r="W109" s="117"/>
      <c r="X109" s="127"/>
    </row>
    <row r="110" spans="1:24" x14ac:dyDescent="0.25">
      <c r="A110" s="28"/>
      <c r="B110" s="71"/>
      <c r="C110" s="127"/>
      <c r="D110" s="127"/>
      <c r="E110" s="127"/>
      <c r="F110" s="127"/>
      <c r="G110" s="127"/>
      <c r="H110" s="127"/>
      <c r="I110" s="127"/>
      <c r="J110" s="121"/>
      <c r="K110" s="127"/>
      <c r="L110" s="127"/>
      <c r="M110" s="127"/>
      <c r="N110" s="127"/>
      <c r="O110" s="127"/>
      <c r="P110" s="127"/>
      <c r="Q110" s="121"/>
      <c r="R110" s="127"/>
      <c r="S110" s="127"/>
      <c r="T110" s="127"/>
      <c r="U110" s="127"/>
      <c r="V110" s="127"/>
      <c r="W110" s="117"/>
      <c r="X110" s="127"/>
    </row>
    <row r="111" spans="1:24" x14ac:dyDescent="0.25">
      <c r="A111" s="28"/>
      <c r="B111" s="71"/>
      <c r="C111" s="127"/>
      <c r="D111" s="127"/>
      <c r="E111" s="127"/>
      <c r="F111" s="127"/>
      <c r="G111" s="127"/>
      <c r="H111" s="127"/>
      <c r="I111" s="127"/>
      <c r="J111" s="121"/>
      <c r="K111" s="127"/>
      <c r="L111" s="127"/>
      <c r="M111" s="127"/>
      <c r="N111" s="127"/>
      <c r="O111" s="127"/>
      <c r="P111" s="127"/>
      <c r="Q111" s="121"/>
      <c r="R111" s="127"/>
      <c r="S111" s="127"/>
      <c r="T111" s="127"/>
      <c r="U111" s="127"/>
      <c r="V111" s="127"/>
      <c r="W111" s="117"/>
      <c r="X111" s="127"/>
    </row>
    <row r="112" spans="1:24" x14ac:dyDescent="0.25">
      <c r="A112" s="28"/>
      <c r="B112" s="71"/>
      <c r="C112" s="127"/>
      <c r="D112" s="127"/>
      <c r="E112" s="127"/>
      <c r="F112" s="127"/>
      <c r="G112" s="127"/>
      <c r="H112" s="127"/>
      <c r="I112" s="127"/>
      <c r="J112" s="121"/>
      <c r="K112" s="127"/>
      <c r="L112" s="127"/>
      <c r="M112" s="127"/>
      <c r="N112" s="127"/>
      <c r="O112" s="127"/>
      <c r="P112" s="127"/>
      <c r="Q112" s="121"/>
      <c r="R112" s="127"/>
      <c r="S112" s="127"/>
      <c r="T112" s="127"/>
      <c r="U112" s="127"/>
      <c r="V112" s="127"/>
      <c r="W112" s="117"/>
      <c r="X112" s="127"/>
    </row>
    <row r="113" spans="1:24" x14ac:dyDescent="0.25">
      <c r="A113" s="28"/>
      <c r="B113" s="71"/>
      <c r="C113" s="127"/>
      <c r="D113" s="127"/>
      <c r="E113" s="127"/>
      <c r="F113" s="127"/>
      <c r="G113" s="127"/>
      <c r="H113" s="127"/>
      <c r="I113" s="127"/>
      <c r="J113" s="121"/>
      <c r="K113" s="127"/>
      <c r="L113" s="127"/>
      <c r="M113" s="127"/>
      <c r="N113" s="127"/>
      <c r="O113" s="127"/>
      <c r="P113" s="127"/>
      <c r="Q113" s="121"/>
      <c r="R113" s="127"/>
      <c r="S113" s="127"/>
      <c r="T113" s="127"/>
      <c r="U113" s="127"/>
      <c r="V113" s="127"/>
      <c r="W113" s="117"/>
      <c r="X113" s="127"/>
    </row>
    <row r="114" spans="1:24" x14ac:dyDescent="0.25">
      <c r="A114" s="28"/>
      <c r="B114" s="71"/>
      <c r="C114" s="127"/>
      <c r="D114" s="127"/>
      <c r="E114" s="127"/>
      <c r="F114" s="127"/>
      <c r="G114" s="127"/>
      <c r="H114" s="127"/>
      <c r="I114" s="127"/>
      <c r="J114" s="121"/>
      <c r="K114" s="127"/>
      <c r="L114" s="127"/>
      <c r="M114" s="127"/>
      <c r="N114" s="127"/>
      <c r="O114" s="127"/>
      <c r="P114" s="127"/>
      <c r="Q114" s="121"/>
      <c r="R114" s="127"/>
      <c r="S114" s="127"/>
      <c r="T114" s="127"/>
      <c r="U114" s="127"/>
      <c r="V114" s="127"/>
      <c r="W114" s="117"/>
      <c r="X114" s="127"/>
    </row>
    <row r="115" spans="1:24" x14ac:dyDescent="0.25">
      <c r="A115" s="28"/>
      <c r="B115" s="71"/>
      <c r="C115" s="127"/>
      <c r="D115" s="127"/>
      <c r="E115" s="127"/>
      <c r="F115" s="127"/>
      <c r="G115" s="127"/>
      <c r="H115" s="127"/>
      <c r="I115" s="127"/>
      <c r="J115" s="121"/>
      <c r="K115" s="127"/>
      <c r="L115" s="127"/>
      <c r="M115" s="127"/>
      <c r="N115" s="127"/>
      <c r="O115" s="127"/>
      <c r="P115" s="127"/>
      <c r="Q115" s="121"/>
      <c r="R115" s="127"/>
      <c r="S115" s="127"/>
      <c r="T115" s="127"/>
      <c r="U115" s="127"/>
      <c r="V115" s="127"/>
      <c r="W115" s="117"/>
      <c r="X115" s="127"/>
    </row>
    <row r="116" spans="1:24" x14ac:dyDescent="0.25">
      <c r="A116" s="28"/>
      <c r="B116" s="71"/>
      <c r="C116" s="127"/>
      <c r="D116" s="127"/>
      <c r="E116" s="127"/>
      <c r="F116" s="127"/>
      <c r="G116" s="127"/>
      <c r="H116" s="127"/>
      <c r="I116" s="127"/>
      <c r="J116" s="121"/>
      <c r="K116" s="127"/>
      <c r="L116" s="127"/>
      <c r="M116" s="127"/>
      <c r="N116" s="127"/>
      <c r="O116" s="127"/>
      <c r="P116" s="127"/>
      <c r="Q116" s="121"/>
      <c r="R116" s="127"/>
      <c r="S116" s="127"/>
      <c r="T116" s="127"/>
      <c r="U116" s="127"/>
      <c r="V116" s="127"/>
      <c r="W116" s="117"/>
      <c r="X116" s="127"/>
    </row>
    <row r="117" spans="1:24" x14ac:dyDescent="0.25">
      <c r="A117" s="28"/>
      <c r="B117" s="71"/>
      <c r="C117" s="127"/>
      <c r="D117" s="127"/>
      <c r="E117" s="127"/>
      <c r="F117" s="127"/>
      <c r="G117" s="127"/>
      <c r="H117" s="127"/>
      <c r="I117" s="127"/>
      <c r="J117" s="121"/>
      <c r="K117" s="127"/>
      <c r="L117" s="127"/>
      <c r="M117" s="127"/>
      <c r="N117" s="127"/>
      <c r="O117" s="127"/>
      <c r="P117" s="127"/>
      <c r="Q117" s="121"/>
      <c r="R117" s="127"/>
      <c r="S117" s="127"/>
      <c r="T117" s="127"/>
      <c r="U117" s="127"/>
      <c r="V117" s="127"/>
      <c r="W117" s="117"/>
      <c r="X117" s="127"/>
    </row>
    <row r="118" spans="1:24" x14ac:dyDescent="0.25">
      <c r="A118" s="28"/>
      <c r="B118" s="71"/>
      <c r="C118" s="127"/>
      <c r="D118" s="127"/>
      <c r="E118" s="127"/>
      <c r="F118" s="127"/>
      <c r="G118" s="127"/>
      <c r="H118" s="127"/>
      <c r="I118" s="127"/>
      <c r="J118" s="121"/>
      <c r="K118" s="127"/>
      <c r="L118" s="127"/>
      <c r="M118" s="127"/>
      <c r="N118" s="127"/>
      <c r="O118" s="127"/>
      <c r="P118" s="127"/>
      <c r="Q118" s="121"/>
      <c r="R118" s="127"/>
      <c r="S118" s="127"/>
      <c r="T118" s="127"/>
      <c r="U118" s="127"/>
      <c r="V118" s="127"/>
      <c r="W118" s="117"/>
      <c r="X118" s="127"/>
    </row>
    <row r="119" spans="1:24" x14ac:dyDescent="0.25">
      <c r="A119" s="28"/>
      <c r="B119" s="71"/>
      <c r="C119" s="127"/>
      <c r="D119" s="127"/>
      <c r="E119" s="127"/>
      <c r="F119" s="127"/>
      <c r="G119" s="127"/>
      <c r="H119" s="127"/>
      <c r="I119" s="127"/>
      <c r="J119" s="121"/>
      <c r="K119" s="127"/>
      <c r="L119" s="127"/>
      <c r="M119" s="127"/>
      <c r="N119" s="127"/>
      <c r="O119" s="127"/>
      <c r="P119" s="127"/>
      <c r="Q119" s="121"/>
      <c r="R119" s="127"/>
      <c r="S119" s="127"/>
      <c r="T119" s="127"/>
      <c r="U119" s="127"/>
      <c r="V119" s="127"/>
      <c r="W119" s="117"/>
      <c r="X119" s="127"/>
    </row>
    <row r="120" spans="1:24" x14ac:dyDescent="0.25">
      <c r="A120" s="28"/>
      <c r="B120" s="71"/>
      <c r="C120" s="127"/>
      <c r="D120" s="127"/>
      <c r="E120" s="127"/>
      <c r="F120" s="127"/>
      <c r="G120" s="127"/>
      <c r="H120" s="127"/>
      <c r="I120" s="127"/>
      <c r="J120" s="121"/>
      <c r="K120" s="127"/>
      <c r="L120" s="127"/>
      <c r="M120" s="127"/>
      <c r="N120" s="127"/>
      <c r="O120" s="127"/>
      <c r="P120" s="127"/>
      <c r="Q120" s="121"/>
      <c r="R120" s="127"/>
      <c r="S120" s="127"/>
      <c r="T120" s="127"/>
      <c r="U120" s="127"/>
      <c r="V120" s="127"/>
      <c r="W120" s="117"/>
      <c r="X120" s="127"/>
    </row>
    <row r="121" spans="1:24" x14ac:dyDescent="0.25">
      <c r="A121" s="28"/>
      <c r="B121" s="71"/>
      <c r="C121" s="127"/>
      <c r="D121" s="127"/>
      <c r="E121" s="127"/>
      <c r="F121" s="127"/>
      <c r="G121" s="127"/>
      <c r="H121" s="127"/>
      <c r="I121" s="127"/>
      <c r="J121" s="121"/>
      <c r="K121" s="127"/>
      <c r="L121" s="127"/>
      <c r="M121" s="127"/>
      <c r="N121" s="127"/>
      <c r="O121" s="127"/>
      <c r="P121" s="127"/>
      <c r="Q121" s="121"/>
      <c r="R121" s="127"/>
      <c r="S121" s="127"/>
      <c r="T121" s="127"/>
      <c r="U121" s="127"/>
      <c r="V121" s="127"/>
      <c r="W121" s="117"/>
      <c r="X121" s="127"/>
    </row>
    <row r="122" spans="1:24" x14ac:dyDescent="0.25">
      <c r="A122" s="28"/>
      <c r="B122" s="71"/>
      <c r="C122" s="127"/>
      <c r="D122" s="127"/>
      <c r="E122" s="127"/>
      <c r="F122" s="127"/>
      <c r="G122" s="127"/>
      <c r="H122" s="127"/>
      <c r="I122" s="127"/>
      <c r="J122" s="121"/>
      <c r="K122" s="127"/>
      <c r="L122" s="127"/>
      <c r="M122" s="127"/>
      <c r="N122" s="127"/>
      <c r="O122" s="127"/>
      <c r="P122" s="127"/>
      <c r="Q122" s="121"/>
      <c r="R122" s="127"/>
      <c r="S122" s="127"/>
      <c r="T122" s="127"/>
      <c r="U122" s="127"/>
      <c r="V122" s="127"/>
      <c r="W122" s="117"/>
      <c r="X122" s="127"/>
    </row>
    <row r="123" spans="1:24" x14ac:dyDescent="0.25">
      <c r="A123" s="28"/>
      <c r="B123" s="71"/>
      <c r="C123" s="127"/>
      <c r="D123" s="127"/>
      <c r="E123" s="127"/>
      <c r="F123" s="127"/>
      <c r="G123" s="127"/>
      <c r="H123" s="127"/>
      <c r="I123" s="127"/>
      <c r="J123" s="121"/>
      <c r="K123" s="127"/>
      <c r="L123" s="127"/>
      <c r="M123" s="127"/>
      <c r="N123" s="127"/>
      <c r="O123" s="127"/>
      <c r="P123" s="127"/>
      <c r="Q123" s="121"/>
      <c r="R123" s="127"/>
      <c r="S123" s="127"/>
      <c r="T123" s="127"/>
      <c r="U123" s="127"/>
      <c r="V123" s="127"/>
      <c r="W123" s="117"/>
    </row>
    <row r="124" spans="1:24" x14ac:dyDescent="0.25">
      <c r="A124" s="28"/>
      <c r="B124" s="71"/>
      <c r="C124" s="127"/>
      <c r="D124" s="127"/>
      <c r="E124" s="127"/>
      <c r="F124" s="127"/>
      <c r="G124" s="127"/>
      <c r="H124" s="127"/>
      <c r="I124" s="127"/>
      <c r="J124" s="121"/>
      <c r="K124" s="127"/>
      <c r="L124" s="127"/>
      <c r="M124" s="127"/>
      <c r="N124" s="127"/>
      <c r="O124" s="127"/>
      <c r="P124" s="127"/>
      <c r="Q124" s="121"/>
      <c r="R124" s="127"/>
      <c r="S124" s="127"/>
      <c r="T124" s="127"/>
      <c r="U124" s="127"/>
      <c r="V124" s="127"/>
      <c r="W124" s="117"/>
    </row>
    <row r="125" spans="1:24" x14ac:dyDescent="0.25">
      <c r="A125" s="28"/>
      <c r="B125" s="71"/>
      <c r="C125" s="127"/>
      <c r="D125" s="127"/>
      <c r="E125" s="127"/>
      <c r="F125" s="127"/>
      <c r="G125" s="127"/>
      <c r="H125" s="127"/>
      <c r="I125" s="127"/>
      <c r="J125" s="121"/>
      <c r="K125" s="127"/>
      <c r="L125" s="127"/>
      <c r="M125" s="127"/>
      <c r="N125" s="127"/>
      <c r="O125" s="127"/>
      <c r="P125" s="127"/>
      <c r="Q125" s="121"/>
      <c r="R125" s="127"/>
      <c r="S125" s="127"/>
      <c r="T125" s="127"/>
      <c r="U125" s="127"/>
      <c r="V125" s="127"/>
      <c r="W125" s="117"/>
    </row>
    <row r="126" spans="1:24" ht="15.75" thickBot="1" x14ac:dyDescent="0.3">
      <c r="A126" s="67"/>
      <c r="B126" s="151"/>
      <c r="C126" s="183"/>
      <c r="D126" s="183"/>
      <c r="E126" s="183"/>
      <c r="F126" s="183"/>
      <c r="G126" s="183"/>
      <c r="H126" s="183"/>
      <c r="I126" s="183"/>
      <c r="J126" s="184"/>
      <c r="K126" s="183"/>
      <c r="L126" s="183"/>
      <c r="M126" s="183"/>
      <c r="N126" s="183"/>
      <c r="O126" s="183"/>
      <c r="P126" s="183"/>
      <c r="Q126" s="184"/>
      <c r="R126" s="183"/>
      <c r="S126" s="183"/>
      <c r="T126" s="183"/>
      <c r="U126" s="183"/>
      <c r="V126" s="183"/>
      <c r="W126" s="185"/>
    </row>
  </sheetData>
  <mergeCells count="8">
    <mergeCell ref="A2:A3"/>
    <mergeCell ref="B2:B3"/>
    <mergeCell ref="C69:I69"/>
    <mergeCell ref="J69:P69"/>
    <mergeCell ref="Q69:W69"/>
    <mergeCell ref="C1:I1"/>
    <mergeCell ref="J1:P1"/>
    <mergeCell ref="Q1:W1"/>
  </mergeCells>
  <conditionalFormatting sqref="C72:W72 C64:W66 C55:Y62 X4:X54">
    <cfRule type="cellIs" dxfId="6427" priority="89274" operator="equal">
      <formula>"OFF"</formula>
    </cfRule>
    <cfRule type="cellIs" dxfId="6426" priority="89275" operator="equal">
      <formula>"PTO"</formula>
    </cfRule>
  </conditionalFormatting>
  <conditionalFormatting sqref="C73:X81 C102:W126 X72 X84:X122 J84:W101 J82:X83 C82:H101">
    <cfRule type="cellIs" dxfId="6425" priority="89272" operator="equal">
      <formula>"OFF"</formula>
    </cfRule>
    <cfRule type="cellIs" dxfId="6424" priority="89273" operator="equal">
      <formula>"PTO"</formula>
    </cfRule>
  </conditionalFormatting>
  <conditionalFormatting sqref="Y55:Y62">
    <cfRule type="cellIs" dxfId="6423" priority="53607" operator="equal">
      <formula>"A"</formula>
    </cfRule>
  </conditionalFormatting>
  <conditionalFormatting sqref="Y55:Y62">
    <cfRule type="cellIs" dxfId="6422" priority="53608" operator="equal">
      <formula>"PTO"</formula>
    </cfRule>
  </conditionalFormatting>
  <conditionalFormatting sqref="Y55:Y62">
    <cfRule type="cellIs" dxfId="6421" priority="53651" operator="equal">
      <formula>"A"</formula>
    </cfRule>
    <cfRule type="cellIs" dxfId="6420" priority="53652" operator="equal">
      <formula>"PTO"</formula>
    </cfRule>
  </conditionalFormatting>
  <conditionalFormatting sqref="Y55:Y62">
    <cfRule type="cellIs" dxfId="6419" priority="53610" operator="equal">
      <formula>"OFF"</formula>
    </cfRule>
    <cfRule type="cellIs" dxfId="6418" priority="53611" stopIfTrue="1" operator="equal">
      <formula>"A"</formula>
    </cfRule>
    <cfRule type="cellIs" dxfId="6417" priority="53612" stopIfTrue="1" operator="equal">
      <formula>"PTO"</formula>
    </cfRule>
    <cfRule type="cellIs" dxfId="6416" priority="53613" stopIfTrue="1" operator="equal">
      <formula>"Email"</formula>
    </cfRule>
    <cfRule type="cellIs" dxfId="6415" priority="53614" operator="equal">
      <formula>"OFF"</formula>
    </cfRule>
    <cfRule type="cellIs" dxfId="6414" priority="53615" operator="equal">
      <formula>"PTO"</formula>
    </cfRule>
    <cfRule type="cellIs" dxfId="6413" priority="53616" stopIfTrue="1" operator="equal">
      <formula>"A"</formula>
    </cfRule>
    <cfRule type="cellIs" dxfId="6412" priority="53617" stopIfTrue="1" operator="equal">
      <formula>"PTO"</formula>
    </cfRule>
    <cfRule type="cellIs" dxfId="6411" priority="53618" stopIfTrue="1" operator="equal">
      <formula>"Email"</formula>
    </cfRule>
    <cfRule type="cellIs" dxfId="6410" priority="53619" operator="equal">
      <formula>"OFF"</formula>
    </cfRule>
    <cfRule type="cellIs" dxfId="6409" priority="53620" operator="equal">
      <formula>"PTO"</formula>
    </cfRule>
    <cfRule type="cellIs" dxfId="6408" priority="53621" stopIfTrue="1" operator="equal">
      <formula>"A"</formula>
    </cfRule>
    <cfRule type="cellIs" dxfId="6407" priority="53622" stopIfTrue="1" operator="equal">
      <formula>"PTO"</formula>
    </cfRule>
    <cfRule type="cellIs" dxfId="6406" priority="53623" stopIfTrue="1" operator="equal">
      <formula>"Email"</formula>
    </cfRule>
    <cfRule type="cellIs" dxfId="6405" priority="53624" operator="equal">
      <formula>"OFF"</formula>
    </cfRule>
    <cfRule type="cellIs" dxfId="6404" priority="53625" operator="equal">
      <formula>"PTO"</formula>
    </cfRule>
    <cfRule type="cellIs" dxfId="6403" priority="53626" stopIfTrue="1" operator="equal">
      <formula>"A"</formula>
    </cfRule>
    <cfRule type="cellIs" dxfId="6402" priority="53627" stopIfTrue="1" operator="equal">
      <formula>"PTO"</formula>
    </cfRule>
    <cfRule type="cellIs" dxfId="6401" priority="53628" stopIfTrue="1" operator="equal">
      <formula>"Email"</formula>
    </cfRule>
    <cfRule type="cellIs" dxfId="6400" priority="53629" operator="equal">
      <formula>"OFF"</formula>
    </cfRule>
    <cfRule type="cellIs" dxfId="6399" priority="53630" operator="equal">
      <formula>"PTO"</formula>
    </cfRule>
    <cfRule type="cellIs" dxfId="6398" priority="53631" stopIfTrue="1" operator="equal">
      <formula>"A"</formula>
    </cfRule>
    <cfRule type="cellIs" dxfId="6397" priority="53632" stopIfTrue="1" operator="equal">
      <formula>"PTO"</formula>
    </cfRule>
    <cfRule type="cellIs" dxfId="6396" priority="53633" stopIfTrue="1" operator="equal">
      <formula>"Email"</formula>
    </cfRule>
    <cfRule type="cellIs" dxfId="6395" priority="53635" stopIfTrue="1" operator="equal">
      <formula>"A"</formula>
    </cfRule>
    <cfRule type="cellIs" dxfId="6394" priority="53636" stopIfTrue="1" operator="equal">
      <formula>"PTO"</formula>
    </cfRule>
    <cfRule type="cellIs" dxfId="6393" priority="53637" stopIfTrue="1" operator="equal">
      <formula>"Email"</formula>
    </cfRule>
    <cfRule type="cellIs" dxfId="6392" priority="53638" stopIfTrue="1" operator="equal">
      <formula>"A"</formula>
    </cfRule>
    <cfRule type="cellIs" dxfId="6391" priority="53639" stopIfTrue="1" operator="equal">
      <formula>"PTO"</formula>
    </cfRule>
    <cfRule type="cellIs" dxfId="6390" priority="53640" stopIfTrue="1" operator="equal">
      <formula>"Email"</formula>
    </cfRule>
    <cfRule type="cellIs" dxfId="6389" priority="53641" stopIfTrue="1" operator="equal">
      <formula>"A"</formula>
    </cfRule>
    <cfRule type="cellIs" dxfId="6388" priority="53642" stopIfTrue="1" operator="equal">
      <formula>"PTO"</formula>
    </cfRule>
    <cfRule type="cellIs" dxfId="6387" priority="53643" stopIfTrue="1" operator="equal">
      <formula>"Email"</formula>
    </cfRule>
    <cfRule type="cellIs" dxfId="6386" priority="53644" stopIfTrue="1" operator="equal">
      <formula>"A"</formula>
    </cfRule>
    <cfRule type="cellIs" dxfId="6385" priority="53645" stopIfTrue="1" operator="equal">
      <formula>"PTO"</formula>
    </cfRule>
    <cfRule type="cellIs" dxfId="6384" priority="53646" stopIfTrue="1" operator="equal">
      <formula>"Email"</formula>
    </cfRule>
    <cfRule type="cellIs" dxfId="6383" priority="53647" stopIfTrue="1" operator="equal">
      <formula>"A"</formula>
    </cfRule>
    <cfRule type="cellIs" dxfId="6382" priority="53648" stopIfTrue="1" operator="equal">
      <formula>"PTO"</formula>
    </cfRule>
    <cfRule type="cellIs" dxfId="6381" priority="53649" stopIfTrue="1" operator="equal">
      <formula>"Email"</formula>
    </cfRule>
  </conditionalFormatting>
  <conditionalFormatting sqref="Y55:Y62">
    <cfRule type="cellIs" dxfId="6380" priority="53609" operator="equal">
      <formula>"PTO"</formula>
    </cfRule>
    <cfRule type="cellIs" dxfId="6379" priority="53634" operator="equal">
      <formula>"PTO"</formula>
    </cfRule>
    <cfRule type="cellIs" dxfId="6378" priority="53650" operator="equal">
      <formula>"PTO"</formula>
    </cfRule>
  </conditionalFormatting>
  <conditionalFormatting sqref="Y55:Y62">
    <cfRule type="cellIs" dxfId="6377" priority="53583" stopIfTrue="1" operator="equal">
      <formula>"A"</formula>
    </cfRule>
    <cfRule type="cellIs" dxfId="6376" priority="53584" stopIfTrue="1" operator="equal">
      <formula>"PTO"</formula>
    </cfRule>
    <cfRule type="cellIs" dxfId="6375" priority="53585" stopIfTrue="1" operator="equal">
      <formula>"Email"</formula>
    </cfRule>
    <cfRule type="cellIs" dxfId="6374" priority="53586" stopIfTrue="1" operator="equal">
      <formula>"A"</formula>
    </cfRule>
    <cfRule type="cellIs" dxfId="6373" priority="53587" stopIfTrue="1" operator="equal">
      <formula>"PTO"</formula>
    </cfRule>
    <cfRule type="cellIs" dxfId="6372" priority="53588" stopIfTrue="1" operator="equal">
      <formula>"Email"</formula>
    </cfRule>
    <cfRule type="cellIs" dxfId="6371" priority="53589" stopIfTrue="1" operator="equal">
      <formula>"A"</formula>
    </cfRule>
    <cfRule type="cellIs" dxfId="6370" priority="53590" stopIfTrue="1" operator="equal">
      <formula>"PTO"</formula>
    </cfRule>
    <cfRule type="cellIs" dxfId="6369" priority="53591" stopIfTrue="1" operator="equal">
      <formula>"Email"</formula>
    </cfRule>
    <cfRule type="cellIs" dxfId="6368" priority="53592" stopIfTrue="1" operator="equal">
      <formula>"A"</formula>
    </cfRule>
    <cfRule type="cellIs" dxfId="6367" priority="53593" stopIfTrue="1" operator="equal">
      <formula>"PTO"</formula>
    </cfRule>
    <cfRule type="cellIs" dxfId="6366" priority="53594" stopIfTrue="1" operator="equal">
      <formula>"Email"</formula>
    </cfRule>
    <cfRule type="cellIs" dxfId="6365" priority="53595" stopIfTrue="1" operator="equal">
      <formula>"A"</formula>
    </cfRule>
    <cfRule type="cellIs" dxfId="6364" priority="53596" stopIfTrue="1" operator="equal">
      <formula>"PTO"</formula>
    </cfRule>
    <cfRule type="cellIs" dxfId="6363" priority="53597" stopIfTrue="1" operator="equal">
      <formula>"Email"</formula>
    </cfRule>
    <cfRule type="cellIs" dxfId="6362" priority="53598" stopIfTrue="1" operator="equal">
      <formula>"A"</formula>
    </cfRule>
    <cfRule type="cellIs" dxfId="6361" priority="53599" stopIfTrue="1" operator="equal">
      <formula>"PTO"</formula>
    </cfRule>
    <cfRule type="cellIs" dxfId="6360" priority="53600" stopIfTrue="1" operator="equal">
      <formula>"Email"</formula>
    </cfRule>
    <cfRule type="cellIs" dxfId="6359" priority="53601" stopIfTrue="1" operator="equal">
      <formula>"A"</formula>
    </cfRule>
    <cfRule type="cellIs" dxfId="6358" priority="53602" stopIfTrue="1" operator="equal">
      <formula>"PTO"</formula>
    </cfRule>
    <cfRule type="cellIs" dxfId="6357" priority="53603" stopIfTrue="1" operator="equal">
      <formula>"Email"</formula>
    </cfRule>
    <cfRule type="cellIs" dxfId="6356" priority="53604" stopIfTrue="1" operator="equal">
      <formula>"A"</formula>
    </cfRule>
    <cfRule type="cellIs" dxfId="6355" priority="53605" stopIfTrue="1" operator="equal">
      <formula>"PTO"</formula>
    </cfRule>
    <cfRule type="cellIs" dxfId="6354" priority="53606" stopIfTrue="1" operator="equal">
      <formula>"Email"</formula>
    </cfRule>
  </conditionalFormatting>
  <conditionalFormatting sqref="B43:B62">
    <cfRule type="cellIs" dxfId="6353" priority="41186" operator="equal">
      <formula>"OFF"</formula>
    </cfRule>
    <cfRule type="cellIs" dxfId="6352" priority="41187" operator="equal">
      <formula>"PTO"</formula>
    </cfRule>
  </conditionalFormatting>
  <conditionalFormatting sqref="C63:V63">
    <cfRule type="cellIs" dxfId="6351" priority="35384" operator="equal">
      <formula>"A"</formula>
    </cfRule>
  </conditionalFormatting>
  <conditionalFormatting sqref="C63:V63">
    <cfRule type="cellIs" dxfId="6350" priority="35385" operator="equal">
      <formula>"PTO"</formula>
    </cfRule>
  </conditionalFormatting>
  <conditionalFormatting sqref="C63:V63">
    <cfRule type="cellIs" dxfId="6349" priority="35428" operator="equal">
      <formula>"A"</formula>
    </cfRule>
    <cfRule type="cellIs" dxfId="6348" priority="35429" operator="equal">
      <formula>"PTO"</formula>
    </cfRule>
  </conditionalFormatting>
  <conditionalFormatting sqref="C63:V63">
    <cfRule type="cellIs" dxfId="6347" priority="35387" operator="equal">
      <formula>"OFF"</formula>
    </cfRule>
    <cfRule type="cellIs" dxfId="6346" priority="35388" stopIfTrue="1" operator="equal">
      <formula>"A"</formula>
    </cfRule>
    <cfRule type="cellIs" dxfId="6345" priority="35389" stopIfTrue="1" operator="equal">
      <formula>"PTO"</formula>
    </cfRule>
    <cfRule type="cellIs" dxfId="6344" priority="35390" stopIfTrue="1" operator="equal">
      <formula>"Email"</formula>
    </cfRule>
    <cfRule type="cellIs" dxfId="6343" priority="35391" operator="equal">
      <formula>"OFF"</formula>
    </cfRule>
    <cfRule type="cellIs" dxfId="6342" priority="35392" operator="equal">
      <formula>"PTO"</formula>
    </cfRule>
    <cfRule type="cellIs" dxfId="6341" priority="35393" stopIfTrue="1" operator="equal">
      <formula>"A"</formula>
    </cfRule>
    <cfRule type="cellIs" dxfId="6340" priority="35394" stopIfTrue="1" operator="equal">
      <formula>"PTO"</formula>
    </cfRule>
    <cfRule type="cellIs" dxfId="6339" priority="35395" stopIfTrue="1" operator="equal">
      <formula>"Email"</formula>
    </cfRule>
    <cfRule type="cellIs" dxfId="6338" priority="35396" operator="equal">
      <formula>"OFF"</formula>
    </cfRule>
    <cfRule type="cellIs" dxfId="6337" priority="35397" operator="equal">
      <formula>"PTO"</formula>
    </cfRule>
    <cfRule type="cellIs" dxfId="6336" priority="35398" stopIfTrue="1" operator="equal">
      <formula>"A"</formula>
    </cfRule>
    <cfRule type="cellIs" dxfId="6335" priority="35399" stopIfTrue="1" operator="equal">
      <formula>"PTO"</formula>
    </cfRule>
    <cfRule type="cellIs" dxfId="6334" priority="35400" stopIfTrue="1" operator="equal">
      <formula>"Email"</formula>
    </cfRule>
    <cfRule type="cellIs" dxfId="6333" priority="35401" operator="equal">
      <formula>"OFF"</formula>
    </cfRule>
    <cfRule type="cellIs" dxfId="6332" priority="35402" operator="equal">
      <formula>"PTO"</formula>
    </cfRule>
    <cfRule type="cellIs" dxfId="6331" priority="35403" stopIfTrue="1" operator="equal">
      <formula>"A"</formula>
    </cfRule>
    <cfRule type="cellIs" dxfId="6330" priority="35404" stopIfTrue="1" operator="equal">
      <formula>"PTO"</formula>
    </cfRule>
    <cfRule type="cellIs" dxfId="6329" priority="35405" stopIfTrue="1" operator="equal">
      <formula>"Email"</formula>
    </cfRule>
    <cfRule type="cellIs" dxfId="6328" priority="35406" operator="equal">
      <formula>"OFF"</formula>
    </cfRule>
    <cfRule type="cellIs" dxfId="6327" priority="35407" operator="equal">
      <formula>"PTO"</formula>
    </cfRule>
    <cfRule type="cellIs" dxfId="6326" priority="35408" stopIfTrue="1" operator="equal">
      <formula>"A"</formula>
    </cfRule>
    <cfRule type="cellIs" dxfId="6325" priority="35409" stopIfTrue="1" operator="equal">
      <formula>"PTO"</formula>
    </cfRule>
    <cfRule type="cellIs" dxfId="6324" priority="35410" stopIfTrue="1" operator="equal">
      <formula>"Email"</formula>
    </cfRule>
    <cfRule type="cellIs" dxfId="6323" priority="35412" stopIfTrue="1" operator="equal">
      <formula>"A"</formula>
    </cfRule>
    <cfRule type="cellIs" dxfId="6322" priority="35413" stopIfTrue="1" operator="equal">
      <formula>"PTO"</formula>
    </cfRule>
    <cfRule type="cellIs" dxfId="6321" priority="35414" stopIfTrue="1" operator="equal">
      <formula>"Email"</formula>
    </cfRule>
    <cfRule type="cellIs" dxfId="6320" priority="35415" stopIfTrue="1" operator="equal">
      <formula>"A"</formula>
    </cfRule>
    <cfRule type="cellIs" dxfId="6319" priority="35416" stopIfTrue="1" operator="equal">
      <formula>"PTO"</formula>
    </cfRule>
    <cfRule type="cellIs" dxfId="6318" priority="35417" stopIfTrue="1" operator="equal">
      <formula>"Email"</formula>
    </cfRule>
    <cfRule type="cellIs" dxfId="6317" priority="35418" stopIfTrue="1" operator="equal">
      <formula>"A"</formula>
    </cfRule>
    <cfRule type="cellIs" dxfId="6316" priority="35419" stopIfTrue="1" operator="equal">
      <formula>"PTO"</formula>
    </cfRule>
    <cfRule type="cellIs" dxfId="6315" priority="35420" stopIfTrue="1" operator="equal">
      <formula>"Email"</formula>
    </cfRule>
    <cfRule type="cellIs" dxfId="6314" priority="35421" stopIfTrue="1" operator="equal">
      <formula>"A"</formula>
    </cfRule>
    <cfRule type="cellIs" dxfId="6313" priority="35422" stopIfTrue="1" operator="equal">
      <formula>"PTO"</formula>
    </cfRule>
    <cfRule type="cellIs" dxfId="6312" priority="35423" stopIfTrue="1" operator="equal">
      <formula>"Email"</formula>
    </cfRule>
    <cfRule type="cellIs" dxfId="6311" priority="35424" stopIfTrue="1" operator="equal">
      <formula>"A"</formula>
    </cfRule>
    <cfRule type="cellIs" dxfId="6310" priority="35425" stopIfTrue="1" operator="equal">
      <formula>"PTO"</formula>
    </cfRule>
    <cfRule type="cellIs" dxfId="6309" priority="35426" stopIfTrue="1" operator="equal">
      <formula>"Email"</formula>
    </cfRule>
  </conditionalFormatting>
  <conditionalFormatting sqref="C63:V63">
    <cfRule type="cellIs" dxfId="6308" priority="35386" operator="equal">
      <formula>"PTO"</formula>
    </cfRule>
    <cfRule type="cellIs" dxfId="6307" priority="35411" operator="equal">
      <formula>"PTO"</formula>
    </cfRule>
    <cfRule type="cellIs" dxfId="6306" priority="35427" operator="equal">
      <formula>"PTO"</formula>
    </cfRule>
  </conditionalFormatting>
  <conditionalFormatting sqref="C63:V63">
    <cfRule type="cellIs" dxfId="6305" priority="35360" stopIfTrue="1" operator="equal">
      <formula>"A"</formula>
    </cfRule>
    <cfRule type="cellIs" dxfId="6304" priority="35361" stopIfTrue="1" operator="equal">
      <formula>"PTO"</formula>
    </cfRule>
    <cfRule type="cellIs" dxfId="6303" priority="35362" stopIfTrue="1" operator="equal">
      <formula>"Email"</formula>
    </cfRule>
    <cfRule type="cellIs" dxfId="6302" priority="35363" stopIfTrue="1" operator="equal">
      <formula>"A"</formula>
    </cfRule>
    <cfRule type="cellIs" dxfId="6301" priority="35364" stopIfTrue="1" operator="equal">
      <formula>"PTO"</formula>
    </cfRule>
    <cfRule type="cellIs" dxfId="6300" priority="35365" stopIfTrue="1" operator="equal">
      <formula>"Email"</formula>
    </cfRule>
    <cfRule type="cellIs" dxfId="6299" priority="35366" stopIfTrue="1" operator="equal">
      <formula>"A"</formula>
    </cfRule>
    <cfRule type="cellIs" dxfId="6298" priority="35367" stopIfTrue="1" operator="equal">
      <formula>"PTO"</formula>
    </cfRule>
    <cfRule type="cellIs" dxfId="6297" priority="35368" stopIfTrue="1" operator="equal">
      <formula>"Email"</formula>
    </cfRule>
    <cfRule type="cellIs" dxfId="6296" priority="35369" stopIfTrue="1" operator="equal">
      <formula>"A"</formula>
    </cfRule>
    <cfRule type="cellIs" dxfId="6295" priority="35370" stopIfTrue="1" operator="equal">
      <formula>"PTO"</formula>
    </cfRule>
    <cfRule type="cellIs" dxfId="6294" priority="35371" stopIfTrue="1" operator="equal">
      <formula>"Email"</formula>
    </cfRule>
    <cfRule type="cellIs" dxfId="6293" priority="35372" stopIfTrue="1" operator="equal">
      <formula>"A"</formula>
    </cfRule>
    <cfRule type="cellIs" dxfId="6292" priority="35373" stopIfTrue="1" operator="equal">
      <formula>"PTO"</formula>
    </cfRule>
    <cfRule type="cellIs" dxfId="6291" priority="35374" stopIfTrue="1" operator="equal">
      <formula>"Email"</formula>
    </cfRule>
    <cfRule type="cellIs" dxfId="6290" priority="35375" stopIfTrue="1" operator="equal">
      <formula>"A"</formula>
    </cfRule>
    <cfRule type="cellIs" dxfId="6289" priority="35376" stopIfTrue="1" operator="equal">
      <formula>"PTO"</formula>
    </cfRule>
    <cfRule type="cellIs" dxfId="6288" priority="35377" stopIfTrue="1" operator="equal">
      <formula>"Email"</formula>
    </cfRule>
    <cfRule type="cellIs" dxfId="6287" priority="35378" stopIfTrue="1" operator="equal">
      <formula>"A"</formula>
    </cfRule>
    <cfRule type="cellIs" dxfId="6286" priority="35379" stopIfTrue="1" operator="equal">
      <formula>"PTO"</formula>
    </cfRule>
    <cfRule type="cellIs" dxfId="6285" priority="35380" stopIfTrue="1" operator="equal">
      <formula>"Email"</formula>
    </cfRule>
    <cfRule type="cellIs" dxfId="6284" priority="35381" stopIfTrue="1" operator="equal">
      <formula>"A"</formula>
    </cfRule>
    <cfRule type="cellIs" dxfId="6283" priority="35382" stopIfTrue="1" operator="equal">
      <formula>"PTO"</formula>
    </cfRule>
    <cfRule type="cellIs" dxfId="6282" priority="35383" stopIfTrue="1" operator="equal">
      <formula>"Email"</formula>
    </cfRule>
  </conditionalFormatting>
  <conditionalFormatting sqref="C63:V63">
    <cfRule type="cellIs" dxfId="6281" priority="35336" stopIfTrue="1" operator="equal">
      <formula>"A"</formula>
    </cfRule>
    <cfRule type="cellIs" dxfId="6280" priority="35337" stopIfTrue="1" operator="equal">
      <formula>"PTO"</formula>
    </cfRule>
    <cfRule type="cellIs" dxfId="6279" priority="35338" stopIfTrue="1" operator="equal">
      <formula>"Email"</formula>
    </cfRule>
    <cfRule type="cellIs" dxfId="6278" priority="35339" stopIfTrue="1" operator="equal">
      <formula>"A"</formula>
    </cfRule>
    <cfRule type="cellIs" dxfId="6277" priority="35340" stopIfTrue="1" operator="equal">
      <formula>"PTO"</formula>
    </cfRule>
    <cfRule type="cellIs" dxfId="6276" priority="35341" stopIfTrue="1" operator="equal">
      <formula>"Email"</formula>
    </cfRule>
    <cfRule type="cellIs" dxfId="6275" priority="35342" stopIfTrue="1" operator="equal">
      <formula>"A"</formula>
    </cfRule>
    <cfRule type="cellIs" dxfId="6274" priority="35343" stopIfTrue="1" operator="equal">
      <formula>"PTO"</formula>
    </cfRule>
    <cfRule type="cellIs" dxfId="6273" priority="35344" stopIfTrue="1" operator="equal">
      <formula>"Email"</formula>
    </cfRule>
    <cfRule type="cellIs" dxfId="6272" priority="35345" stopIfTrue="1" operator="equal">
      <formula>"A"</formula>
    </cfRule>
    <cfRule type="cellIs" dxfId="6271" priority="35346" stopIfTrue="1" operator="equal">
      <formula>"PTO"</formula>
    </cfRule>
    <cfRule type="cellIs" dxfId="6270" priority="35347" stopIfTrue="1" operator="equal">
      <formula>"Email"</formula>
    </cfRule>
    <cfRule type="cellIs" dxfId="6269" priority="35348" stopIfTrue="1" operator="equal">
      <formula>"A"</formula>
    </cfRule>
    <cfRule type="cellIs" dxfId="6268" priority="35349" stopIfTrue="1" operator="equal">
      <formula>"PTO"</formula>
    </cfRule>
    <cfRule type="cellIs" dxfId="6267" priority="35350" stopIfTrue="1" operator="equal">
      <formula>"Email"</formula>
    </cfRule>
    <cfRule type="cellIs" dxfId="6266" priority="35351" stopIfTrue="1" operator="equal">
      <formula>"A"</formula>
    </cfRule>
    <cfRule type="cellIs" dxfId="6265" priority="35352" stopIfTrue="1" operator="equal">
      <formula>"PTO"</formula>
    </cfRule>
    <cfRule type="cellIs" dxfId="6264" priority="35353" stopIfTrue="1" operator="equal">
      <formula>"Email"</formula>
    </cfRule>
    <cfRule type="cellIs" dxfId="6263" priority="35354" stopIfTrue="1" operator="equal">
      <formula>"A"</formula>
    </cfRule>
    <cfRule type="cellIs" dxfId="6262" priority="35355" stopIfTrue="1" operator="equal">
      <formula>"PTO"</formula>
    </cfRule>
    <cfRule type="cellIs" dxfId="6261" priority="35356" stopIfTrue="1" operator="equal">
      <formula>"Email"</formula>
    </cfRule>
    <cfRule type="cellIs" dxfId="6260" priority="35357" stopIfTrue="1" operator="equal">
      <formula>"A"</formula>
    </cfRule>
    <cfRule type="cellIs" dxfId="6259" priority="35358" stopIfTrue="1" operator="equal">
      <formula>"PTO"</formula>
    </cfRule>
    <cfRule type="cellIs" dxfId="6258" priority="35359" stopIfTrue="1" operator="equal">
      <formula>"Email"</formula>
    </cfRule>
  </conditionalFormatting>
  <conditionalFormatting sqref="C63:V63">
    <cfRule type="cellIs" dxfId="6257" priority="35312" stopIfTrue="1" operator="equal">
      <formula>"A"</formula>
    </cfRule>
    <cfRule type="cellIs" dxfId="6256" priority="35313" stopIfTrue="1" operator="equal">
      <formula>"PTO"</formula>
    </cfRule>
    <cfRule type="cellIs" dxfId="6255" priority="35314" stopIfTrue="1" operator="equal">
      <formula>"Email"</formula>
    </cfRule>
    <cfRule type="cellIs" dxfId="6254" priority="35315" stopIfTrue="1" operator="equal">
      <formula>"A"</formula>
    </cfRule>
    <cfRule type="cellIs" dxfId="6253" priority="35316" stopIfTrue="1" operator="equal">
      <formula>"PTO"</formula>
    </cfRule>
    <cfRule type="cellIs" dxfId="6252" priority="35317" stopIfTrue="1" operator="equal">
      <formula>"Email"</formula>
    </cfRule>
    <cfRule type="cellIs" dxfId="6251" priority="35318" stopIfTrue="1" operator="equal">
      <formula>"A"</formula>
    </cfRule>
    <cfRule type="cellIs" dxfId="6250" priority="35319" stopIfTrue="1" operator="equal">
      <formula>"PTO"</formula>
    </cfRule>
    <cfRule type="cellIs" dxfId="6249" priority="35320" stopIfTrue="1" operator="equal">
      <formula>"Email"</formula>
    </cfRule>
    <cfRule type="cellIs" dxfId="6248" priority="35321" stopIfTrue="1" operator="equal">
      <formula>"A"</formula>
    </cfRule>
    <cfRule type="cellIs" dxfId="6247" priority="35322" stopIfTrue="1" operator="equal">
      <formula>"PTO"</formula>
    </cfRule>
    <cfRule type="cellIs" dxfId="6246" priority="35323" stopIfTrue="1" operator="equal">
      <formula>"Email"</formula>
    </cfRule>
    <cfRule type="cellIs" dxfId="6245" priority="35324" stopIfTrue="1" operator="equal">
      <formula>"A"</formula>
    </cfRule>
    <cfRule type="cellIs" dxfId="6244" priority="35325" stopIfTrue="1" operator="equal">
      <formula>"PTO"</formula>
    </cfRule>
    <cfRule type="cellIs" dxfId="6243" priority="35326" stopIfTrue="1" operator="equal">
      <formula>"Email"</formula>
    </cfRule>
    <cfRule type="cellIs" dxfId="6242" priority="35327" stopIfTrue="1" operator="equal">
      <formula>"A"</formula>
    </cfRule>
    <cfRule type="cellIs" dxfId="6241" priority="35328" stopIfTrue="1" operator="equal">
      <formula>"PTO"</formula>
    </cfRule>
    <cfRule type="cellIs" dxfId="6240" priority="35329" stopIfTrue="1" operator="equal">
      <formula>"Email"</formula>
    </cfRule>
    <cfRule type="cellIs" dxfId="6239" priority="35330" stopIfTrue="1" operator="equal">
      <formula>"A"</formula>
    </cfRule>
    <cfRule type="cellIs" dxfId="6238" priority="35331" stopIfTrue="1" operator="equal">
      <formula>"PTO"</formula>
    </cfRule>
    <cfRule type="cellIs" dxfId="6237" priority="35332" stopIfTrue="1" operator="equal">
      <formula>"Email"</formula>
    </cfRule>
    <cfRule type="cellIs" dxfId="6236" priority="35333" stopIfTrue="1" operator="equal">
      <formula>"A"</formula>
    </cfRule>
    <cfRule type="cellIs" dxfId="6235" priority="35334" stopIfTrue="1" operator="equal">
      <formula>"PTO"</formula>
    </cfRule>
    <cfRule type="cellIs" dxfId="6234" priority="35335" stopIfTrue="1" operator="equal">
      <formula>"Email"</formula>
    </cfRule>
  </conditionalFormatting>
  <conditionalFormatting sqref="Y63">
    <cfRule type="cellIs" dxfId="6233" priority="35266" operator="equal">
      <formula>"A"</formula>
    </cfRule>
  </conditionalFormatting>
  <conditionalFormatting sqref="Y63">
    <cfRule type="cellIs" dxfId="6232" priority="35267" operator="equal">
      <formula>"PTO"</formula>
    </cfRule>
  </conditionalFormatting>
  <conditionalFormatting sqref="Y63">
    <cfRule type="cellIs" dxfId="6231" priority="35310" operator="equal">
      <formula>"A"</formula>
    </cfRule>
    <cfRule type="cellIs" dxfId="6230" priority="35311" operator="equal">
      <formula>"PTO"</formula>
    </cfRule>
  </conditionalFormatting>
  <conditionalFormatting sqref="Y63">
    <cfRule type="cellIs" dxfId="6229" priority="35269" operator="equal">
      <formula>"OFF"</formula>
    </cfRule>
    <cfRule type="cellIs" dxfId="6228" priority="35270" stopIfTrue="1" operator="equal">
      <formula>"A"</formula>
    </cfRule>
    <cfRule type="cellIs" dxfId="6227" priority="35271" stopIfTrue="1" operator="equal">
      <formula>"PTO"</formula>
    </cfRule>
    <cfRule type="cellIs" dxfId="6226" priority="35272" stopIfTrue="1" operator="equal">
      <formula>"Email"</formula>
    </cfRule>
    <cfRule type="cellIs" dxfId="6225" priority="35273" operator="equal">
      <formula>"OFF"</formula>
    </cfRule>
    <cfRule type="cellIs" dxfId="6224" priority="35274" operator="equal">
      <formula>"PTO"</formula>
    </cfRule>
    <cfRule type="cellIs" dxfId="6223" priority="35275" stopIfTrue="1" operator="equal">
      <formula>"A"</formula>
    </cfRule>
    <cfRule type="cellIs" dxfId="6222" priority="35276" stopIfTrue="1" operator="equal">
      <formula>"PTO"</formula>
    </cfRule>
    <cfRule type="cellIs" dxfId="6221" priority="35277" stopIfTrue="1" operator="equal">
      <formula>"Email"</formula>
    </cfRule>
    <cfRule type="cellIs" dxfId="6220" priority="35278" operator="equal">
      <formula>"OFF"</formula>
    </cfRule>
    <cfRule type="cellIs" dxfId="6219" priority="35279" operator="equal">
      <formula>"PTO"</formula>
    </cfRule>
    <cfRule type="cellIs" dxfId="6218" priority="35280" stopIfTrue="1" operator="equal">
      <formula>"A"</formula>
    </cfRule>
    <cfRule type="cellIs" dxfId="6217" priority="35281" stopIfTrue="1" operator="equal">
      <formula>"PTO"</formula>
    </cfRule>
    <cfRule type="cellIs" dxfId="6216" priority="35282" stopIfTrue="1" operator="equal">
      <formula>"Email"</formula>
    </cfRule>
    <cfRule type="cellIs" dxfId="6215" priority="35283" operator="equal">
      <formula>"OFF"</formula>
    </cfRule>
    <cfRule type="cellIs" dxfId="6214" priority="35284" operator="equal">
      <formula>"PTO"</formula>
    </cfRule>
    <cfRule type="cellIs" dxfId="6213" priority="35285" stopIfTrue="1" operator="equal">
      <formula>"A"</formula>
    </cfRule>
    <cfRule type="cellIs" dxfId="6212" priority="35286" stopIfTrue="1" operator="equal">
      <formula>"PTO"</formula>
    </cfRule>
    <cfRule type="cellIs" dxfId="6211" priority="35287" stopIfTrue="1" operator="equal">
      <formula>"Email"</formula>
    </cfRule>
    <cfRule type="cellIs" dxfId="6210" priority="35288" operator="equal">
      <formula>"OFF"</formula>
    </cfRule>
    <cfRule type="cellIs" dxfId="6209" priority="35289" operator="equal">
      <formula>"PTO"</formula>
    </cfRule>
    <cfRule type="cellIs" dxfId="6208" priority="35290" stopIfTrue="1" operator="equal">
      <formula>"A"</formula>
    </cfRule>
    <cfRule type="cellIs" dxfId="6207" priority="35291" stopIfTrue="1" operator="equal">
      <formula>"PTO"</formula>
    </cfRule>
    <cfRule type="cellIs" dxfId="6206" priority="35292" stopIfTrue="1" operator="equal">
      <formula>"Email"</formula>
    </cfRule>
    <cfRule type="cellIs" dxfId="6205" priority="35294" stopIfTrue="1" operator="equal">
      <formula>"A"</formula>
    </cfRule>
    <cfRule type="cellIs" dxfId="6204" priority="35295" stopIfTrue="1" operator="equal">
      <formula>"PTO"</formula>
    </cfRule>
    <cfRule type="cellIs" dxfId="6203" priority="35296" stopIfTrue="1" operator="equal">
      <formula>"Email"</formula>
    </cfRule>
    <cfRule type="cellIs" dxfId="6202" priority="35297" stopIfTrue="1" operator="equal">
      <formula>"A"</formula>
    </cfRule>
    <cfRule type="cellIs" dxfId="6201" priority="35298" stopIfTrue="1" operator="equal">
      <formula>"PTO"</formula>
    </cfRule>
    <cfRule type="cellIs" dxfId="6200" priority="35299" stopIfTrue="1" operator="equal">
      <formula>"Email"</formula>
    </cfRule>
    <cfRule type="cellIs" dxfId="6199" priority="35300" stopIfTrue="1" operator="equal">
      <formula>"A"</formula>
    </cfRule>
    <cfRule type="cellIs" dxfId="6198" priority="35301" stopIfTrue="1" operator="equal">
      <formula>"PTO"</formula>
    </cfRule>
    <cfRule type="cellIs" dxfId="6197" priority="35302" stopIfTrue="1" operator="equal">
      <formula>"Email"</formula>
    </cfRule>
    <cfRule type="cellIs" dxfId="6196" priority="35303" stopIfTrue="1" operator="equal">
      <formula>"A"</formula>
    </cfRule>
    <cfRule type="cellIs" dxfId="6195" priority="35304" stopIfTrue="1" operator="equal">
      <formula>"PTO"</formula>
    </cfRule>
    <cfRule type="cellIs" dxfId="6194" priority="35305" stopIfTrue="1" operator="equal">
      <formula>"Email"</formula>
    </cfRule>
    <cfRule type="cellIs" dxfId="6193" priority="35306" stopIfTrue="1" operator="equal">
      <formula>"A"</formula>
    </cfRule>
    <cfRule type="cellIs" dxfId="6192" priority="35307" stopIfTrue="1" operator="equal">
      <formula>"PTO"</formula>
    </cfRule>
    <cfRule type="cellIs" dxfId="6191" priority="35308" stopIfTrue="1" operator="equal">
      <formula>"Email"</formula>
    </cfRule>
  </conditionalFormatting>
  <conditionalFormatting sqref="Y63">
    <cfRule type="cellIs" dxfId="6190" priority="35268" operator="equal">
      <formula>"PTO"</formula>
    </cfRule>
    <cfRule type="cellIs" dxfId="6189" priority="35293" operator="equal">
      <formula>"PTO"</formula>
    </cfRule>
    <cfRule type="cellIs" dxfId="6188" priority="35309" operator="equal">
      <formula>"PTO"</formula>
    </cfRule>
  </conditionalFormatting>
  <conditionalFormatting sqref="Y63">
    <cfRule type="cellIs" dxfId="6187" priority="35242" stopIfTrue="1" operator="equal">
      <formula>"A"</formula>
    </cfRule>
    <cfRule type="cellIs" dxfId="6186" priority="35243" stopIfTrue="1" operator="equal">
      <formula>"PTO"</formula>
    </cfRule>
    <cfRule type="cellIs" dxfId="6185" priority="35244" stopIfTrue="1" operator="equal">
      <formula>"Email"</formula>
    </cfRule>
    <cfRule type="cellIs" dxfId="6184" priority="35245" stopIfTrue="1" operator="equal">
      <formula>"A"</formula>
    </cfRule>
    <cfRule type="cellIs" dxfId="6183" priority="35246" stopIfTrue="1" operator="equal">
      <formula>"PTO"</formula>
    </cfRule>
    <cfRule type="cellIs" dxfId="6182" priority="35247" stopIfTrue="1" operator="equal">
      <formula>"Email"</formula>
    </cfRule>
    <cfRule type="cellIs" dxfId="6181" priority="35248" stopIfTrue="1" operator="equal">
      <formula>"A"</formula>
    </cfRule>
    <cfRule type="cellIs" dxfId="6180" priority="35249" stopIfTrue="1" operator="equal">
      <formula>"PTO"</formula>
    </cfRule>
    <cfRule type="cellIs" dxfId="6179" priority="35250" stopIfTrue="1" operator="equal">
      <formula>"Email"</formula>
    </cfRule>
    <cfRule type="cellIs" dxfId="6178" priority="35251" stopIfTrue="1" operator="equal">
      <formula>"A"</formula>
    </cfRule>
    <cfRule type="cellIs" dxfId="6177" priority="35252" stopIfTrue="1" operator="equal">
      <formula>"PTO"</formula>
    </cfRule>
    <cfRule type="cellIs" dxfId="6176" priority="35253" stopIfTrue="1" operator="equal">
      <formula>"Email"</formula>
    </cfRule>
    <cfRule type="cellIs" dxfId="6175" priority="35254" stopIfTrue="1" operator="equal">
      <formula>"A"</formula>
    </cfRule>
    <cfRule type="cellIs" dxfId="6174" priority="35255" stopIfTrue="1" operator="equal">
      <formula>"PTO"</formula>
    </cfRule>
    <cfRule type="cellIs" dxfId="6173" priority="35256" stopIfTrue="1" operator="equal">
      <formula>"Email"</formula>
    </cfRule>
    <cfRule type="cellIs" dxfId="6172" priority="35257" stopIfTrue="1" operator="equal">
      <formula>"A"</formula>
    </cfRule>
    <cfRule type="cellIs" dxfId="6171" priority="35258" stopIfTrue="1" operator="equal">
      <formula>"PTO"</formula>
    </cfRule>
    <cfRule type="cellIs" dxfId="6170" priority="35259" stopIfTrue="1" operator="equal">
      <formula>"Email"</formula>
    </cfRule>
    <cfRule type="cellIs" dxfId="6169" priority="35260" stopIfTrue="1" operator="equal">
      <formula>"A"</formula>
    </cfRule>
    <cfRule type="cellIs" dxfId="6168" priority="35261" stopIfTrue="1" operator="equal">
      <formula>"PTO"</formula>
    </cfRule>
    <cfRule type="cellIs" dxfId="6167" priority="35262" stopIfTrue="1" operator="equal">
      <formula>"Email"</formula>
    </cfRule>
    <cfRule type="cellIs" dxfId="6166" priority="35263" stopIfTrue="1" operator="equal">
      <formula>"A"</formula>
    </cfRule>
    <cfRule type="cellIs" dxfId="6165" priority="35264" stopIfTrue="1" operator="equal">
      <formula>"PTO"</formula>
    </cfRule>
    <cfRule type="cellIs" dxfId="6164" priority="35265" stopIfTrue="1" operator="equal">
      <formula>"Email"</formula>
    </cfRule>
  </conditionalFormatting>
  <conditionalFormatting sqref="Y63">
    <cfRule type="cellIs" dxfId="6163" priority="35218" stopIfTrue="1" operator="equal">
      <formula>"A"</formula>
    </cfRule>
    <cfRule type="cellIs" dxfId="6162" priority="35219" stopIfTrue="1" operator="equal">
      <formula>"PTO"</formula>
    </cfRule>
    <cfRule type="cellIs" dxfId="6161" priority="35220" stopIfTrue="1" operator="equal">
      <formula>"Email"</formula>
    </cfRule>
    <cfRule type="cellIs" dxfId="6160" priority="35221" stopIfTrue="1" operator="equal">
      <formula>"A"</formula>
    </cfRule>
    <cfRule type="cellIs" dxfId="6159" priority="35222" stopIfTrue="1" operator="equal">
      <formula>"PTO"</formula>
    </cfRule>
    <cfRule type="cellIs" dxfId="6158" priority="35223" stopIfTrue="1" operator="equal">
      <formula>"Email"</formula>
    </cfRule>
    <cfRule type="cellIs" dxfId="6157" priority="35224" stopIfTrue="1" operator="equal">
      <formula>"A"</formula>
    </cfRule>
    <cfRule type="cellIs" dxfId="6156" priority="35225" stopIfTrue="1" operator="equal">
      <formula>"PTO"</formula>
    </cfRule>
    <cfRule type="cellIs" dxfId="6155" priority="35226" stopIfTrue="1" operator="equal">
      <formula>"Email"</formula>
    </cfRule>
    <cfRule type="cellIs" dxfId="6154" priority="35227" stopIfTrue="1" operator="equal">
      <formula>"A"</formula>
    </cfRule>
    <cfRule type="cellIs" dxfId="6153" priority="35228" stopIfTrue="1" operator="equal">
      <formula>"PTO"</formula>
    </cfRule>
    <cfRule type="cellIs" dxfId="6152" priority="35229" stopIfTrue="1" operator="equal">
      <formula>"Email"</formula>
    </cfRule>
    <cfRule type="cellIs" dxfId="6151" priority="35230" stopIfTrue="1" operator="equal">
      <formula>"A"</formula>
    </cfRule>
    <cfRule type="cellIs" dxfId="6150" priority="35231" stopIfTrue="1" operator="equal">
      <formula>"PTO"</formula>
    </cfRule>
    <cfRule type="cellIs" dxfId="6149" priority="35232" stopIfTrue="1" operator="equal">
      <formula>"Email"</formula>
    </cfRule>
    <cfRule type="cellIs" dxfId="6148" priority="35233" stopIfTrue="1" operator="equal">
      <formula>"A"</formula>
    </cfRule>
    <cfRule type="cellIs" dxfId="6147" priority="35234" stopIfTrue="1" operator="equal">
      <formula>"PTO"</formula>
    </cfRule>
    <cfRule type="cellIs" dxfId="6146" priority="35235" stopIfTrue="1" operator="equal">
      <formula>"Email"</formula>
    </cfRule>
    <cfRule type="cellIs" dxfId="6145" priority="35236" stopIfTrue="1" operator="equal">
      <formula>"A"</formula>
    </cfRule>
    <cfRule type="cellIs" dxfId="6144" priority="35237" stopIfTrue="1" operator="equal">
      <formula>"PTO"</formula>
    </cfRule>
    <cfRule type="cellIs" dxfId="6143" priority="35238" stopIfTrue="1" operator="equal">
      <formula>"Email"</formula>
    </cfRule>
    <cfRule type="cellIs" dxfId="6142" priority="35239" stopIfTrue="1" operator="equal">
      <formula>"A"</formula>
    </cfRule>
    <cfRule type="cellIs" dxfId="6141" priority="35240" stopIfTrue="1" operator="equal">
      <formula>"PTO"</formula>
    </cfRule>
    <cfRule type="cellIs" dxfId="6140" priority="35241" stopIfTrue="1" operator="equal">
      <formula>"Email"</formula>
    </cfRule>
  </conditionalFormatting>
  <conditionalFormatting sqref="Y63">
    <cfRule type="cellIs" dxfId="6139" priority="35194" stopIfTrue="1" operator="equal">
      <formula>"A"</formula>
    </cfRule>
    <cfRule type="cellIs" dxfId="6138" priority="35195" stopIfTrue="1" operator="equal">
      <formula>"PTO"</formula>
    </cfRule>
    <cfRule type="cellIs" dxfId="6137" priority="35196" stopIfTrue="1" operator="equal">
      <formula>"Email"</formula>
    </cfRule>
    <cfRule type="cellIs" dxfId="6136" priority="35197" stopIfTrue="1" operator="equal">
      <formula>"A"</formula>
    </cfRule>
    <cfRule type="cellIs" dxfId="6135" priority="35198" stopIfTrue="1" operator="equal">
      <formula>"PTO"</formula>
    </cfRule>
    <cfRule type="cellIs" dxfId="6134" priority="35199" stopIfTrue="1" operator="equal">
      <formula>"Email"</formula>
    </cfRule>
    <cfRule type="cellIs" dxfId="6133" priority="35200" stopIfTrue="1" operator="equal">
      <formula>"A"</formula>
    </cfRule>
    <cfRule type="cellIs" dxfId="6132" priority="35201" stopIfTrue="1" operator="equal">
      <formula>"PTO"</formula>
    </cfRule>
    <cfRule type="cellIs" dxfId="6131" priority="35202" stopIfTrue="1" operator="equal">
      <formula>"Email"</formula>
    </cfRule>
    <cfRule type="cellIs" dxfId="6130" priority="35203" stopIfTrue="1" operator="equal">
      <formula>"A"</formula>
    </cfRule>
    <cfRule type="cellIs" dxfId="6129" priority="35204" stopIfTrue="1" operator="equal">
      <formula>"PTO"</formula>
    </cfRule>
    <cfRule type="cellIs" dxfId="6128" priority="35205" stopIfTrue="1" operator="equal">
      <formula>"Email"</formula>
    </cfRule>
    <cfRule type="cellIs" dxfId="6127" priority="35206" stopIfTrue="1" operator="equal">
      <formula>"A"</formula>
    </cfRule>
    <cfRule type="cellIs" dxfId="6126" priority="35207" stopIfTrue="1" operator="equal">
      <formula>"PTO"</formula>
    </cfRule>
    <cfRule type="cellIs" dxfId="6125" priority="35208" stopIfTrue="1" operator="equal">
      <formula>"Email"</formula>
    </cfRule>
    <cfRule type="cellIs" dxfId="6124" priority="35209" stopIfTrue="1" operator="equal">
      <formula>"A"</formula>
    </cfRule>
    <cfRule type="cellIs" dxfId="6123" priority="35210" stopIfTrue="1" operator="equal">
      <formula>"PTO"</formula>
    </cfRule>
    <cfRule type="cellIs" dxfId="6122" priority="35211" stopIfTrue="1" operator="equal">
      <formula>"Email"</formula>
    </cfRule>
    <cfRule type="cellIs" dxfId="6121" priority="35212" stopIfTrue="1" operator="equal">
      <formula>"A"</formula>
    </cfRule>
    <cfRule type="cellIs" dxfId="6120" priority="35213" stopIfTrue="1" operator="equal">
      <formula>"PTO"</formula>
    </cfRule>
    <cfRule type="cellIs" dxfId="6119" priority="35214" stopIfTrue="1" operator="equal">
      <formula>"Email"</formula>
    </cfRule>
    <cfRule type="cellIs" dxfId="6118" priority="35215" stopIfTrue="1" operator="equal">
      <formula>"A"</formula>
    </cfRule>
    <cfRule type="cellIs" dxfId="6117" priority="35216" stopIfTrue="1" operator="equal">
      <formula>"PTO"</formula>
    </cfRule>
    <cfRule type="cellIs" dxfId="6116" priority="35217" stopIfTrue="1" operator="equal">
      <formula>"Email"</formula>
    </cfRule>
  </conditionalFormatting>
  <conditionalFormatting sqref="X63">
    <cfRule type="cellIs" dxfId="6115" priority="35192" operator="equal">
      <formula>"OFF"</formula>
    </cfRule>
    <cfRule type="cellIs" dxfId="6114" priority="35193" operator="equal">
      <formula>"PTO"</formula>
    </cfRule>
  </conditionalFormatting>
  <conditionalFormatting sqref="W63">
    <cfRule type="cellIs" dxfId="6113" priority="35146" operator="equal">
      <formula>"A"</formula>
    </cfRule>
  </conditionalFormatting>
  <conditionalFormatting sqref="W63">
    <cfRule type="cellIs" dxfId="6112" priority="35147" operator="equal">
      <formula>"PTO"</formula>
    </cfRule>
  </conditionalFormatting>
  <conditionalFormatting sqref="W63">
    <cfRule type="cellIs" dxfId="6111" priority="35190" operator="equal">
      <formula>"A"</formula>
    </cfRule>
    <cfRule type="cellIs" dxfId="6110" priority="35191" operator="equal">
      <formula>"PTO"</formula>
    </cfRule>
  </conditionalFormatting>
  <conditionalFormatting sqref="W63">
    <cfRule type="cellIs" dxfId="6109" priority="35149" operator="equal">
      <formula>"OFF"</formula>
    </cfRule>
    <cfRule type="cellIs" dxfId="6108" priority="35150" stopIfTrue="1" operator="equal">
      <formula>"A"</formula>
    </cfRule>
    <cfRule type="cellIs" dxfId="6107" priority="35151" stopIfTrue="1" operator="equal">
      <formula>"PTO"</formula>
    </cfRule>
    <cfRule type="cellIs" dxfId="6106" priority="35152" stopIfTrue="1" operator="equal">
      <formula>"Email"</formula>
    </cfRule>
    <cfRule type="cellIs" dxfId="6105" priority="35153" operator="equal">
      <formula>"OFF"</formula>
    </cfRule>
    <cfRule type="cellIs" dxfId="6104" priority="35154" operator="equal">
      <formula>"PTO"</formula>
    </cfRule>
    <cfRule type="cellIs" dxfId="6103" priority="35155" stopIfTrue="1" operator="equal">
      <formula>"A"</formula>
    </cfRule>
    <cfRule type="cellIs" dxfId="6102" priority="35156" stopIfTrue="1" operator="equal">
      <formula>"PTO"</formula>
    </cfRule>
    <cfRule type="cellIs" dxfId="6101" priority="35157" stopIfTrue="1" operator="equal">
      <formula>"Email"</formula>
    </cfRule>
    <cfRule type="cellIs" dxfId="6100" priority="35158" operator="equal">
      <formula>"OFF"</formula>
    </cfRule>
    <cfRule type="cellIs" dxfId="6099" priority="35159" operator="equal">
      <formula>"PTO"</formula>
    </cfRule>
    <cfRule type="cellIs" dxfId="6098" priority="35160" stopIfTrue="1" operator="equal">
      <formula>"A"</formula>
    </cfRule>
    <cfRule type="cellIs" dxfId="6097" priority="35161" stopIfTrue="1" operator="equal">
      <formula>"PTO"</formula>
    </cfRule>
    <cfRule type="cellIs" dxfId="6096" priority="35162" stopIfTrue="1" operator="equal">
      <formula>"Email"</formula>
    </cfRule>
    <cfRule type="cellIs" dxfId="6095" priority="35163" operator="equal">
      <formula>"OFF"</formula>
    </cfRule>
    <cfRule type="cellIs" dxfId="6094" priority="35164" operator="equal">
      <formula>"PTO"</formula>
    </cfRule>
    <cfRule type="cellIs" dxfId="6093" priority="35165" stopIfTrue="1" operator="equal">
      <formula>"A"</formula>
    </cfRule>
    <cfRule type="cellIs" dxfId="6092" priority="35166" stopIfTrue="1" operator="equal">
      <formula>"PTO"</formula>
    </cfRule>
    <cfRule type="cellIs" dxfId="6091" priority="35167" stopIfTrue="1" operator="equal">
      <formula>"Email"</formula>
    </cfRule>
    <cfRule type="cellIs" dxfId="6090" priority="35168" operator="equal">
      <formula>"OFF"</formula>
    </cfRule>
    <cfRule type="cellIs" dxfId="6089" priority="35169" operator="equal">
      <formula>"PTO"</formula>
    </cfRule>
    <cfRule type="cellIs" dxfId="6088" priority="35170" stopIfTrue="1" operator="equal">
      <formula>"A"</formula>
    </cfRule>
    <cfRule type="cellIs" dxfId="6087" priority="35171" stopIfTrue="1" operator="equal">
      <formula>"PTO"</formula>
    </cfRule>
    <cfRule type="cellIs" dxfId="6086" priority="35172" stopIfTrue="1" operator="equal">
      <formula>"Email"</formula>
    </cfRule>
    <cfRule type="cellIs" dxfId="6085" priority="35174" stopIfTrue="1" operator="equal">
      <formula>"A"</formula>
    </cfRule>
    <cfRule type="cellIs" dxfId="6084" priority="35175" stopIfTrue="1" operator="equal">
      <formula>"PTO"</formula>
    </cfRule>
    <cfRule type="cellIs" dxfId="6083" priority="35176" stopIfTrue="1" operator="equal">
      <formula>"Email"</formula>
    </cfRule>
    <cfRule type="cellIs" dxfId="6082" priority="35177" stopIfTrue="1" operator="equal">
      <formula>"A"</formula>
    </cfRule>
    <cfRule type="cellIs" dxfId="6081" priority="35178" stopIfTrue="1" operator="equal">
      <formula>"PTO"</formula>
    </cfRule>
    <cfRule type="cellIs" dxfId="6080" priority="35179" stopIfTrue="1" operator="equal">
      <formula>"Email"</formula>
    </cfRule>
    <cfRule type="cellIs" dxfId="6079" priority="35180" stopIfTrue="1" operator="equal">
      <formula>"A"</formula>
    </cfRule>
    <cfRule type="cellIs" dxfId="6078" priority="35181" stopIfTrue="1" operator="equal">
      <formula>"PTO"</formula>
    </cfRule>
    <cfRule type="cellIs" dxfId="6077" priority="35182" stopIfTrue="1" operator="equal">
      <formula>"Email"</formula>
    </cfRule>
    <cfRule type="cellIs" dxfId="6076" priority="35183" stopIfTrue="1" operator="equal">
      <formula>"A"</formula>
    </cfRule>
    <cfRule type="cellIs" dxfId="6075" priority="35184" stopIfTrue="1" operator="equal">
      <formula>"PTO"</formula>
    </cfRule>
    <cfRule type="cellIs" dxfId="6074" priority="35185" stopIfTrue="1" operator="equal">
      <formula>"Email"</formula>
    </cfRule>
    <cfRule type="cellIs" dxfId="6073" priority="35186" stopIfTrue="1" operator="equal">
      <formula>"A"</formula>
    </cfRule>
    <cfRule type="cellIs" dxfId="6072" priority="35187" stopIfTrue="1" operator="equal">
      <formula>"PTO"</formula>
    </cfRule>
    <cfRule type="cellIs" dxfId="6071" priority="35188" stopIfTrue="1" operator="equal">
      <formula>"Email"</formula>
    </cfRule>
  </conditionalFormatting>
  <conditionalFormatting sqref="W63">
    <cfRule type="cellIs" dxfId="6070" priority="35148" operator="equal">
      <formula>"PTO"</formula>
    </cfRule>
    <cfRule type="cellIs" dxfId="6069" priority="35173" operator="equal">
      <formula>"PTO"</formula>
    </cfRule>
    <cfRule type="cellIs" dxfId="6068" priority="35189" operator="equal">
      <formula>"PTO"</formula>
    </cfRule>
  </conditionalFormatting>
  <conditionalFormatting sqref="W63">
    <cfRule type="cellIs" dxfId="6067" priority="35122" stopIfTrue="1" operator="equal">
      <formula>"A"</formula>
    </cfRule>
    <cfRule type="cellIs" dxfId="6066" priority="35123" stopIfTrue="1" operator="equal">
      <formula>"PTO"</formula>
    </cfRule>
    <cfRule type="cellIs" dxfId="6065" priority="35124" stopIfTrue="1" operator="equal">
      <formula>"Email"</formula>
    </cfRule>
    <cfRule type="cellIs" dxfId="6064" priority="35125" stopIfTrue="1" operator="equal">
      <formula>"A"</formula>
    </cfRule>
    <cfRule type="cellIs" dxfId="6063" priority="35126" stopIfTrue="1" operator="equal">
      <formula>"PTO"</formula>
    </cfRule>
    <cfRule type="cellIs" dxfId="6062" priority="35127" stopIfTrue="1" operator="equal">
      <formula>"Email"</formula>
    </cfRule>
    <cfRule type="cellIs" dxfId="6061" priority="35128" stopIfTrue="1" operator="equal">
      <formula>"A"</formula>
    </cfRule>
    <cfRule type="cellIs" dxfId="6060" priority="35129" stopIfTrue="1" operator="equal">
      <formula>"PTO"</formula>
    </cfRule>
    <cfRule type="cellIs" dxfId="6059" priority="35130" stopIfTrue="1" operator="equal">
      <formula>"Email"</formula>
    </cfRule>
    <cfRule type="cellIs" dxfId="6058" priority="35131" stopIfTrue="1" operator="equal">
      <formula>"A"</formula>
    </cfRule>
    <cfRule type="cellIs" dxfId="6057" priority="35132" stopIfTrue="1" operator="equal">
      <formula>"PTO"</formula>
    </cfRule>
    <cfRule type="cellIs" dxfId="6056" priority="35133" stopIfTrue="1" operator="equal">
      <formula>"Email"</formula>
    </cfRule>
    <cfRule type="cellIs" dxfId="6055" priority="35134" stopIfTrue="1" operator="equal">
      <formula>"A"</formula>
    </cfRule>
    <cfRule type="cellIs" dxfId="6054" priority="35135" stopIfTrue="1" operator="equal">
      <formula>"PTO"</formula>
    </cfRule>
    <cfRule type="cellIs" dxfId="6053" priority="35136" stopIfTrue="1" operator="equal">
      <formula>"Email"</formula>
    </cfRule>
    <cfRule type="cellIs" dxfId="6052" priority="35137" stopIfTrue="1" operator="equal">
      <formula>"A"</formula>
    </cfRule>
    <cfRule type="cellIs" dxfId="6051" priority="35138" stopIfTrue="1" operator="equal">
      <formula>"PTO"</formula>
    </cfRule>
    <cfRule type="cellIs" dxfId="6050" priority="35139" stopIfTrue="1" operator="equal">
      <formula>"Email"</formula>
    </cfRule>
    <cfRule type="cellIs" dxfId="6049" priority="35140" stopIfTrue="1" operator="equal">
      <formula>"A"</formula>
    </cfRule>
    <cfRule type="cellIs" dxfId="6048" priority="35141" stopIfTrue="1" operator="equal">
      <formula>"PTO"</formula>
    </cfRule>
    <cfRule type="cellIs" dxfId="6047" priority="35142" stopIfTrue="1" operator="equal">
      <formula>"Email"</formula>
    </cfRule>
    <cfRule type="cellIs" dxfId="6046" priority="35143" stopIfTrue="1" operator="equal">
      <formula>"A"</formula>
    </cfRule>
    <cfRule type="cellIs" dxfId="6045" priority="35144" stopIfTrue="1" operator="equal">
      <formula>"PTO"</formula>
    </cfRule>
    <cfRule type="cellIs" dxfId="6044" priority="35145" stopIfTrue="1" operator="equal">
      <formula>"Email"</formula>
    </cfRule>
  </conditionalFormatting>
  <conditionalFormatting sqref="W63">
    <cfRule type="cellIs" dxfId="6043" priority="35098" stopIfTrue="1" operator="equal">
      <formula>"A"</formula>
    </cfRule>
    <cfRule type="cellIs" dxfId="6042" priority="35099" stopIfTrue="1" operator="equal">
      <formula>"PTO"</formula>
    </cfRule>
    <cfRule type="cellIs" dxfId="6041" priority="35100" stopIfTrue="1" operator="equal">
      <formula>"Email"</formula>
    </cfRule>
    <cfRule type="cellIs" dxfId="6040" priority="35101" stopIfTrue="1" operator="equal">
      <formula>"A"</formula>
    </cfRule>
    <cfRule type="cellIs" dxfId="6039" priority="35102" stopIfTrue="1" operator="equal">
      <formula>"PTO"</formula>
    </cfRule>
    <cfRule type="cellIs" dxfId="6038" priority="35103" stopIfTrue="1" operator="equal">
      <formula>"Email"</formula>
    </cfRule>
    <cfRule type="cellIs" dxfId="6037" priority="35104" stopIfTrue="1" operator="equal">
      <formula>"A"</formula>
    </cfRule>
    <cfRule type="cellIs" dxfId="6036" priority="35105" stopIfTrue="1" operator="equal">
      <formula>"PTO"</formula>
    </cfRule>
    <cfRule type="cellIs" dxfId="6035" priority="35106" stopIfTrue="1" operator="equal">
      <formula>"Email"</formula>
    </cfRule>
    <cfRule type="cellIs" dxfId="6034" priority="35107" stopIfTrue="1" operator="equal">
      <formula>"A"</formula>
    </cfRule>
    <cfRule type="cellIs" dxfId="6033" priority="35108" stopIfTrue="1" operator="equal">
      <formula>"PTO"</formula>
    </cfRule>
    <cfRule type="cellIs" dxfId="6032" priority="35109" stopIfTrue="1" operator="equal">
      <formula>"Email"</formula>
    </cfRule>
    <cfRule type="cellIs" dxfId="6031" priority="35110" stopIfTrue="1" operator="equal">
      <formula>"A"</formula>
    </cfRule>
    <cfRule type="cellIs" dxfId="6030" priority="35111" stopIfTrue="1" operator="equal">
      <formula>"PTO"</formula>
    </cfRule>
    <cfRule type="cellIs" dxfId="6029" priority="35112" stopIfTrue="1" operator="equal">
      <formula>"Email"</formula>
    </cfRule>
    <cfRule type="cellIs" dxfId="6028" priority="35113" stopIfTrue="1" operator="equal">
      <formula>"A"</formula>
    </cfRule>
    <cfRule type="cellIs" dxfId="6027" priority="35114" stopIfTrue="1" operator="equal">
      <formula>"PTO"</formula>
    </cfRule>
    <cfRule type="cellIs" dxfId="6026" priority="35115" stopIfTrue="1" operator="equal">
      <formula>"Email"</formula>
    </cfRule>
    <cfRule type="cellIs" dxfId="6025" priority="35116" stopIfTrue="1" operator="equal">
      <formula>"A"</formula>
    </cfRule>
    <cfRule type="cellIs" dxfId="6024" priority="35117" stopIfTrue="1" operator="equal">
      <formula>"PTO"</formula>
    </cfRule>
    <cfRule type="cellIs" dxfId="6023" priority="35118" stopIfTrue="1" operator="equal">
      <formula>"Email"</formula>
    </cfRule>
    <cfRule type="cellIs" dxfId="6022" priority="35119" stopIfTrue="1" operator="equal">
      <formula>"A"</formula>
    </cfRule>
    <cfRule type="cellIs" dxfId="6021" priority="35120" stopIfTrue="1" operator="equal">
      <formula>"PTO"</formula>
    </cfRule>
    <cfRule type="cellIs" dxfId="6020" priority="35121" stopIfTrue="1" operator="equal">
      <formula>"Email"</formula>
    </cfRule>
  </conditionalFormatting>
  <conditionalFormatting sqref="W63">
    <cfRule type="cellIs" dxfId="6019" priority="35074" stopIfTrue="1" operator="equal">
      <formula>"A"</formula>
    </cfRule>
    <cfRule type="cellIs" dxfId="6018" priority="35075" stopIfTrue="1" operator="equal">
      <formula>"PTO"</formula>
    </cfRule>
    <cfRule type="cellIs" dxfId="6017" priority="35076" stopIfTrue="1" operator="equal">
      <formula>"Email"</formula>
    </cfRule>
    <cfRule type="cellIs" dxfId="6016" priority="35077" stopIfTrue="1" operator="equal">
      <formula>"A"</formula>
    </cfRule>
    <cfRule type="cellIs" dxfId="6015" priority="35078" stopIfTrue="1" operator="equal">
      <formula>"PTO"</formula>
    </cfRule>
    <cfRule type="cellIs" dxfId="6014" priority="35079" stopIfTrue="1" operator="equal">
      <formula>"Email"</formula>
    </cfRule>
    <cfRule type="cellIs" dxfId="6013" priority="35080" stopIfTrue="1" operator="equal">
      <formula>"A"</formula>
    </cfRule>
    <cfRule type="cellIs" dxfId="6012" priority="35081" stopIfTrue="1" operator="equal">
      <formula>"PTO"</formula>
    </cfRule>
    <cfRule type="cellIs" dxfId="6011" priority="35082" stopIfTrue="1" operator="equal">
      <formula>"Email"</formula>
    </cfRule>
    <cfRule type="cellIs" dxfId="6010" priority="35083" stopIfTrue="1" operator="equal">
      <formula>"A"</formula>
    </cfRule>
    <cfRule type="cellIs" dxfId="6009" priority="35084" stopIfTrue="1" operator="equal">
      <formula>"PTO"</formula>
    </cfRule>
    <cfRule type="cellIs" dxfId="6008" priority="35085" stopIfTrue="1" operator="equal">
      <formula>"Email"</formula>
    </cfRule>
    <cfRule type="cellIs" dxfId="6007" priority="35086" stopIfTrue="1" operator="equal">
      <formula>"A"</formula>
    </cfRule>
    <cfRule type="cellIs" dxfId="6006" priority="35087" stopIfTrue="1" operator="equal">
      <formula>"PTO"</formula>
    </cfRule>
    <cfRule type="cellIs" dxfId="6005" priority="35088" stopIfTrue="1" operator="equal">
      <formula>"Email"</formula>
    </cfRule>
    <cfRule type="cellIs" dxfId="6004" priority="35089" stopIfTrue="1" operator="equal">
      <formula>"A"</formula>
    </cfRule>
    <cfRule type="cellIs" dxfId="6003" priority="35090" stopIfTrue="1" operator="equal">
      <formula>"PTO"</formula>
    </cfRule>
    <cfRule type="cellIs" dxfId="6002" priority="35091" stopIfTrue="1" operator="equal">
      <formula>"Email"</formula>
    </cfRule>
    <cfRule type="cellIs" dxfId="6001" priority="35092" stopIfTrue="1" operator="equal">
      <formula>"A"</formula>
    </cfRule>
    <cfRule type="cellIs" dxfId="6000" priority="35093" stopIfTrue="1" operator="equal">
      <formula>"PTO"</formula>
    </cfRule>
    <cfRule type="cellIs" dxfId="5999" priority="35094" stopIfTrue="1" operator="equal">
      <formula>"Email"</formula>
    </cfRule>
    <cfRule type="cellIs" dxfId="5998" priority="35095" stopIfTrue="1" operator="equal">
      <formula>"A"</formula>
    </cfRule>
    <cfRule type="cellIs" dxfId="5997" priority="35096" stopIfTrue="1" operator="equal">
      <formula>"PTO"</formula>
    </cfRule>
    <cfRule type="cellIs" dxfId="5996" priority="35097" stopIfTrue="1" operator="equal">
      <formula>"Email"</formula>
    </cfRule>
  </conditionalFormatting>
  <conditionalFormatting sqref="X20:X34">
    <cfRule type="cellIs" dxfId="5995" priority="35072" operator="equal">
      <formula>"OFF"</formula>
    </cfRule>
    <cfRule type="cellIs" dxfId="5994" priority="35073" operator="equal">
      <formula>"PTO"</formula>
    </cfRule>
  </conditionalFormatting>
  <conditionalFormatting sqref="X20:X34">
    <cfRule type="cellIs" dxfId="5993" priority="35070" operator="equal">
      <formula>"OFF"</formula>
    </cfRule>
    <cfRule type="cellIs" dxfId="5992" priority="35071" operator="equal">
      <formula>"PTO"</formula>
    </cfRule>
  </conditionalFormatting>
  <conditionalFormatting sqref="X20:X34">
    <cfRule type="cellIs" dxfId="5991" priority="35068" operator="equal">
      <formula>"OFF"</formula>
    </cfRule>
    <cfRule type="cellIs" dxfId="5990" priority="35069" operator="equal">
      <formula>"PTO"</formula>
    </cfRule>
  </conditionalFormatting>
  <conditionalFormatting sqref="X20:X34">
    <cfRule type="cellIs" dxfId="5989" priority="35066" operator="equal">
      <formula>"OFF"</formula>
    </cfRule>
    <cfRule type="cellIs" dxfId="5988" priority="35067" operator="equal">
      <formula>"PTO"</formula>
    </cfRule>
  </conditionalFormatting>
  <conditionalFormatting sqref="X20:X34">
    <cfRule type="cellIs" dxfId="5987" priority="35064" operator="equal">
      <formula>"OFF"</formula>
    </cfRule>
    <cfRule type="cellIs" dxfId="5986" priority="35065" operator="equal">
      <formula>"PTO"</formula>
    </cfRule>
  </conditionalFormatting>
  <conditionalFormatting sqref="X20:X34">
    <cfRule type="cellIs" dxfId="5985" priority="35062" operator="equal">
      <formula>"OFF"</formula>
    </cfRule>
    <cfRule type="cellIs" dxfId="5984" priority="35063" operator="equal">
      <formula>"PTO"</formula>
    </cfRule>
  </conditionalFormatting>
  <conditionalFormatting sqref="X20:X34">
    <cfRule type="cellIs" dxfId="5983" priority="35060" operator="equal">
      <formula>"OFF"</formula>
    </cfRule>
    <cfRule type="cellIs" dxfId="5982" priority="35061" operator="equal">
      <formula>"PTO"</formula>
    </cfRule>
  </conditionalFormatting>
  <conditionalFormatting sqref="X20:X34">
    <cfRule type="cellIs" dxfId="5981" priority="35058" operator="equal">
      <formula>"OFF"</formula>
    </cfRule>
    <cfRule type="cellIs" dxfId="5980" priority="35059" operator="equal">
      <formula>"PTO"</formula>
    </cfRule>
  </conditionalFormatting>
  <conditionalFormatting sqref="X20:X34">
    <cfRule type="cellIs" dxfId="5979" priority="35056" operator="equal">
      <formula>"OFF"</formula>
    </cfRule>
    <cfRule type="cellIs" dxfId="5978" priority="35057" operator="equal">
      <formula>"PTO"</formula>
    </cfRule>
  </conditionalFormatting>
  <conditionalFormatting sqref="X20:X34">
    <cfRule type="cellIs" dxfId="5977" priority="35054" operator="equal">
      <formula>"OFF"</formula>
    </cfRule>
    <cfRule type="cellIs" dxfId="5976" priority="35055" operator="equal">
      <formula>"PTO"</formula>
    </cfRule>
  </conditionalFormatting>
  <conditionalFormatting sqref="X20:X34">
    <cfRule type="cellIs" dxfId="5975" priority="35052" operator="equal">
      <formula>"OFF"</formula>
    </cfRule>
    <cfRule type="cellIs" dxfId="5974" priority="35053" operator="equal">
      <formula>"PTO"</formula>
    </cfRule>
  </conditionalFormatting>
  <conditionalFormatting sqref="Q43:W54">
    <cfRule type="cellIs" dxfId="5973" priority="25042" operator="equal">
      <formula>"OFF"</formula>
    </cfRule>
    <cfRule type="cellIs" dxfId="5972" priority="25043" operator="equal">
      <formula>"PTO"</formula>
    </cfRule>
  </conditionalFormatting>
  <conditionalFormatting sqref="Q43:W54">
    <cfRule type="cellIs" dxfId="5971" priority="25040" operator="equal">
      <formula>"OFF"</formula>
    </cfRule>
    <cfRule type="cellIs" dxfId="5970" priority="25041" operator="equal">
      <formula>"PTO"</formula>
    </cfRule>
  </conditionalFormatting>
  <conditionalFormatting sqref="Q43:W54">
    <cfRule type="cellIs" dxfId="5969" priority="25038" operator="equal">
      <formula>"OFF"</formula>
    </cfRule>
    <cfRule type="cellIs" dxfId="5968" priority="25039" operator="equal">
      <formula>"PTO"</formula>
    </cfRule>
  </conditionalFormatting>
  <conditionalFormatting sqref="Q43:W54">
    <cfRule type="cellIs" dxfId="5967" priority="25036" operator="equal">
      <formula>"OFF"</formula>
    </cfRule>
    <cfRule type="cellIs" dxfId="5966" priority="25037" operator="equal">
      <formula>"PTO"</formula>
    </cfRule>
  </conditionalFormatting>
  <conditionalFormatting sqref="Q43:W54">
    <cfRule type="cellIs" dxfId="5965" priority="25034" operator="equal">
      <formula>"OFF"</formula>
    </cfRule>
    <cfRule type="cellIs" dxfId="5964" priority="25035" operator="equal">
      <formula>"PTO"</formula>
    </cfRule>
  </conditionalFormatting>
  <conditionalFormatting sqref="Q43:W54">
    <cfRule type="cellIs" dxfId="5963" priority="25032" operator="equal">
      <formula>"OFF"</formula>
    </cfRule>
    <cfRule type="cellIs" dxfId="5962" priority="25033" operator="equal">
      <formula>"PTO"</formula>
    </cfRule>
  </conditionalFormatting>
  <conditionalFormatting sqref="Q43:W54">
    <cfRule type="cellIs" dxfId="5961" priority="25030" operator="equal">
      <formula>"OFF"</formula>
    </cfRule>
    <cfRule type="cellIs" dxfId="5960" priority="25031" operator="equal">
      <formula>"PTO"</formula>
    </cfRule>
  </conditionalFormatting>
  <conditionalFormatting sqref="Q43:W54">
    <cfRule type="cellIs" dxfId="5959" priority="25028" operator="equal">
      <formula>"OFF"</formula>
    </cfRule>
    <cfRule type="cellIs" dxfId="5958" priority="25029" operator="equal">
      <formula>"PTO"</formula>
    </cfRule>
  </conditionalFormatting>
  <conditionalFormatting sqref="Q43:W54">
    <cfRule type="cellIs" dxfId="5957" priority="25026" operator="equal">
      <formula>"OFF"</formula>
    </cfRule>
    <cfRule type="cellIs" dxfId="5956" priority="25027" operator="equal">
      <formula>"PTO"</formula>
    </cfRule>
  </conditionalFormatting>
  <conditionalFormatting sqref="Q43:W54">
    <cfRule type="cellIs" dxfId="5955" priority="25024" operator="equal">
      <formula>"OFF"</formula>
    </cfRule>
    <cfRule type="cellIs" dxfId="5954" priority="25025" operator="equal">
      <formula>"PTO"</formula>
    </cfRule>
  </conditionalFormatting>
  <conditionalFormatting sqref="Q43:W54">
    <cfRule type="cellIs" dxfId="5953" priority="25022" operator="equal">
      <formula>"OFF"</formula>
    </cfRule>
    <cfRule type="cellIs" dxfId="5952" priority="25023" operator="equal">
      <formula>"PTO"</formula>
    </cfRule>
  </conditionalFormatting>
  <conditionalFormatting sqref="Q43:W54">
    <cfRule type="cellIs" dxfId="5951" priority="25020" operator="equal">
      <formula>"OFF"</formula>
    </cfRule>
    <cfRule type="cellIs" dxfId="5950" priority="25021" operator="equal">
      <formula>"PTO"</formula>
    </cfRule>
  </conditionalFormatting>
  <conditionalFormatting sqref="Q43:W54">
    <cfRule type="cellIs" dxfId="5949" priority="25018" operator="equal">
      <formula>"OFF"</formula>
    </cfRule>
    <cfRule type="cellIs" dxfId="5948" priority="25019" operator="equal">
      <formula>"PTO"</formula>
    </cfRule>
  </conditionalFormatting>
  <conditionalFormatting sqref="S43:V54">
    <cfRule type="cellIs" dxfId="5947" priority="25016" operator="equal">
      <formula>"OFF"</formula>
    </cfRule>
    <cfRule type="cellIs" dxfId="5946" priority="25017" operator="equal">
      <formula>"PTO"</formula>
    </cfRule>
  </conditionalFormatting>
  <conditionalFormatting sqref="Q43:W54">
    <cfRule type="cellIs" dxfId="5945" priority="25014" operator="equal">
      <formula>"OFF"</formula>
    </cfRule>
    <cfRule type="cellIs" dxfId="5944" priority="25015" operator="equal">
      <formula>"PTO"</formula>
    </cfRule>
  </conditionalFormatting>
  <conditionalFormatting sqref="S43:V54">
    <cfRule type="cellIs" dxfId="5943" priority="25012" operator="equal">
      <formula>"OFF"</formula>
    </cfRule>
    <cfRule type="cellIs" dxfId="5942" priority="25013" operator="equal">
      <formula>"PTO"</formula>
    </cfRule>
  </conditionalFormatting>
  <conditionalFormatting sqref="V43:W54">
    <cfRule type="cellIs" dxfId="5941" priority="25010" operator="equal">
      <formula>"OFF"</formula>
    </cfRule>
    <cfRule type="cellIs" dxfId="5940" priority="25011" operator="equal">
      <formula>"PTO"</formula>
    </cfRule>
  </conditionalFormatting>
  <conditionalFormatting sqref="S43:V54">
    <cfRule type="cellIs" dxfId="5939" priority="25008" operator="equal">
      <formula>"OFF"</formula>
    </cfRule>
    <cfRule type="cellIs" dxfId="5938" priority="25009" operator="equal">
      <formula>"PTO"</formula>
    </cfRule>
  </conditionalFormatting>
  <conditionalFormatting sqref="V43:W54">
    <cfRule type="cellIs" dxfId="5937" priority="25006" operator="equal">
      <formula>"OFF"</formula>
    </cfRule>
    <cfRule type="cellIs" dxfId="5936" priority="25007" operator="equal">
      <formula>"PTO"</formula>
    </cfRule>
  </conditionalFormatting>
  <conditionalFormatting sqref="S43:V54">
    <cfRule type="cellIs" dxfId="5935" priority="25004" operator="equal">
      <formula>"OFF"</formula>
    </cfRule>
    <cfRule type="cellIs" dxfId="5934" priority="25005" operator="equal">
      <formula>"PTO"</formula>
    </cfRule>
  </conditionalFormatting>
  <conditionalFormatting sqref="V43:W54">
    <cfRule type="cellIs" dxfId="5933" priority="25002" operator="equal">
      <formula>"OFF"</formula>
    </cfRule>
    <cfRule type="cellIs" dxfId="5932" priority="25003" operator="equal">
      <formula>"PTO"</formula>
    </cfRule>
  </conditionalFormatting>
  <conditionalFormatting sqref="S43:V54">
    <cfRule type="cellIs" dxfId="5931" priority="25000" operator="equal">
      <formula>"OFF"</formula>
    </cfRule>
    <cfRule type="cellIs" dxfId="5930" priority="25001" operator="equal">
      <formula>"PTO"</formula>
    </cfRule>
  </conditionalFormatting>
  <conditionalFormatting sqref="V43:W54">
    <cfRule type="cellIs" dxfId="5929" priority="24998" operator="equal">
      <formula>"OFF"</formula>
    </cfRule>
    <cfRule type="cellIs" dxfId="5928" priority="24999" operator="equal">
      <formula>"PTO"</formula>
    </cfRule>
  </conditionalFormatting>
  <conditionalFormatting sqref="S43:V54">
    <cfRule type="cellIs" dxfId="5927" priority="24996" operator="equal">
      <formula>"OFF"</formula>
    </cfRule>
    <cfRule type="cellIs" dxfId="5926" priority="24997" operator="equal">
      <formula>"PTO"</formula>
    </cfRule>
  </conditionalFormatting>
  <conditionalFormatting sqref="V43:W54">
    <cfRule type="cellIs" dxfId="5925" priority="24994" operator="equal">
      <formula>"OFF"</formula>
    </cfRule>
    <cfRule type="cellIs" dxfId="5924" priority="24995" operator="equal">
      <formula>"PTO"</formula>
    </cfRule>
  </conditionalFormatting>
  <conditionalFormatting sqref="S43:V54">
    <cfRule type="cellIs" dxfId="5923" priority="24992" operator="equal">
      <formula>"OFF"</formula>
    </cfRule>
    <cfRule type="cellIs" dxfId="5922" priority="24993" operator="equal">
      <formula>"PTO"</formula>
    </cfRule>
  </conditionalFormatting>
  <conditionalFormatting sqref="V43:W54">
    <cfRule type="cellIs" dxfId="5921" priority="24990" operator="equal">
      <formula>"OFF"</formula>
    </cfRule>
    <cfRule type="cellIs" dxfId="5920" priority="24991" operator="equal">
      <formula>"PTO"</formula>
    </cfRule>
  </conditionalFormatting>
  <conditionalFormatting sqref="Y43:Y54">
    <cfRule type="cellIs" dxfId="5919" priority="24844" operator="equal">
      <formula>"OFF"</formula>
    </cfRule>
    <cfRule type="cellIs" dxfId="5918" priority="24845" operator="equal">
      <formula>"PTO"</formula>
    </cfRule>
  </conditionalFormatting>
  <conditionalFormatting sqref="Y43:Y54">
    <cfRule type="cellIs" dxfId="5917" priority="24842" operator="equal">
      <formula>"OFF"</formula>
    </cfRule>
    <cfRule type="cellIs" dxfId="5916" priority="24843" operator="equal">
      <formula>"PTO"</formula>
    </cfRule>
  </conditionalFormatting>
  <conditionalFormatting sqref="Y43:Y54">
    <cfRule type="cellIs" dxfId="5915" priority="24840" operator="equal">
      <formula>"OFF"</formula>
    </cfRule>
    <cfRule type="cellIs" dxfId="5914" priority="24841" operator="equal">
      <formula>"PTO"</formula>
    </cfRule>
  </conditionalFormatting>
  <conditionalFormatting sqref="Y43:Y54">
    <cfRule type="cellIs" dxfId="5913" priority="24838" operator="equal">
      <formula>"OFF"</formula>
    </cfRule>
    <cfRule type="cellIs" dxfId="5912" priority="24839" operator="equal">
      <formula>"PTO"</formula>
    </cfRule>
  </conditionalFormatting>
  <conditionalFormatting sqref="Y43:Y54">
    <cfRule type="cellIs" dxfId="5911" priority="24836" operator="equal">
      <formula>"OFF"</formula>
    </cfRule>
    <cfRule type="cellIs" dxfId="5910" priority="24837" operator="equal">
      <formula>"PTO"</formula>
    </cfRule>
  </conditionalFormatting>
  <conditionalFormatting sqref="Y43:Y54">
    <cfRule type="cellIs" dxfId="5909" priority="24834" operator="equal">
      <formula>"OFF"</formula>
    </cfRule>
    <cfRule type="cellIs" dxfId="5908" priority="24835" operator="equal">
      <formula>"PTO"</formula>
    </cfRule>
  </conditionalFormatting>
  <conditionalFormatting sqref="Y43:Y54">
    <cfRule type="cellIs" dxfId="5907" priority="24832" operator="equal">
      <formula>"OFF"</formula>
    </cfRule>
    <cfRule type="cellIs" dxfId="5906" priority="24833" operator="equal">
      <formula>"PTO"</formula>
    </cfRule>
  </conditionalFormatting>
  <conditionalFormatting sqref="Y43:Y54">
    <cfRule type="cellIs" dxfId="5905" priority="24830" operator="equal">
      <formula>"OFF"</formula>
    </cfRule>
    <cfRule type="cellIs" dxfId="5904" priority="24831" operator="equal">
      <formula>"PTO"</formula>
    </cfRule>
  </conditionalFormatting>
  <conditionalFormatting sqref="Y43:Y54">
    <cfRule type="cellIs" dxfId="5903" priority="24828" operator="equal">
      <formula>"OFF"</formula>
    </cfRule>
    <cfRule type="cellIs" dxfId="5902" priority="24829" operator="equal">
      <formula>"PTO"</formula>
    </cfRule>
  </conditionalFormatting>
  <conditionalFormatting sqref="Y43:Y54">
    <cfRule type="cellIs" dxfId="5901" priority="24826" operator="equal">
      <formula>"OFF"</formula>
    </cfRule>
    <cfRule type="cellIs" dxfId="5900" priority="24827" operator="equal">
      <formula>"PTO"</formula>
    </cfRule>
  </conditionalFormatting>
  <conditionalFormatting sqref="Y43:Y54">
    <cfRule type="cellIs" dxfId="5899" priority="24824" operator="equal">
      <formula>"OFF"</formula>
    </cfRule>
    <cfRule type="cellIs" dxfId="5898" priority="24825" operator="equal">
      <formula>"PTO"</formula>
    </cfRule>
  </conditionalFormatting>
  <conditionalFormatting sqref="Y43:Y54">
    <cfRule type="cellIs" dxfId="5897" priority="24822" operator="equal">
      <formula>"OFF"</formula>
    </cfRule>
    <cfRule type="cellIs" dxfId="5896" priority="24823" operator="equal">
      <formula>"PTO"</formula>
    </cfRule>
  </conditionalFormatting>
  <conditionalFormatting sqref="Y43:Y54">
    <cfRule type="cellIs" dxfId="5895" priority="24820" operator="equal">
      <formula>"OFF"</formula>
    </cfRule>
    <cfRule type="cellIs" dxfId="5894" priority="24821" operator="equal">
      <formula>"PTO"</formula>
    </cfRule>
  </conditionalFormatting>
  <conditionalFormatting sqref="Y43:Y54">
    <cfRule type="cellIs" dxfId="5893" priority="24818" operator="equal">
      <formula>"OFF"</formula>
    </cfRule>
    <cfRule type="cellIs" dxfId="5892" priority="24819" operator="equal">
      <formula>"PTO"</formula>
    </cfRule>
  </conditionalFormatting>
  <conditionalFormatting sqref="Y43:Y54">
    <cfRule type="cellIs" dxfId="5891" priority="24816" operator="equal">
      <formula>"OFF"</formula>
    </cfRule>
    <cfRule type="cellIs" dxfId="5890" priority="24817" operator="equal">
      <formula>"PTO"</formula>
    </cfRule>
  </conditionalFormatting>
  <conditionalFormatting sqref="Y43:Y54">
    <cfRule type="cellIs" dxfId="5889" priority="24814" operator="equal">
      <formula>"OFF"</formula>
    </cfRule>
    <cfRule type="cellIs" dxfId="5888" priority="24815" operator="equal">
      <formula>"PTO"</formula>
    </cfRule>
  </conditionalFormatting>
  <conditionalFormatting sqref="Y43:Y54">
    <cfRule type="cellIs" dxfId="5887" priority="24812" operator="equal">
      <formula>"OFF"</formula>
    </cfRule>
    <cfRule type="cellIs" dxfId="5886" priority="24813" operator="equal">
      <formula>"PTO"</formula>
    </cfRule>
  </conditionalFormatting>
  <conditionalFormatting sqref="Y43:Y54">
    <cfRule type="cellIs" dxfId="5885" priority="24810" operator="equal">
      <formula>"OFF"</formula>
    </cfRule>
    <cfRule type="cellIs" dxfId="5884" priority="24811" operator="equal">
      <formula>"PTO"</formula>
    </cfRule>
  </conditionalFormatting>
  <conditionalFormatting sqref="Y43:Y54">
    <cfRule type="cellIs" dxfId="5883" priority="24808" operator="equal">
      <formula>"OFF"</formula>
    </cfRule>
    <cfRule type="cellIs" dxfId="5882" priority="24809" operator="equal">
      <formula>"PTO"</formula>
    </cfRule>
  </conditionalFormatting>
  <conditionalFormatting sqref="Y43:Y54">
    <cfRule type="cellIs" dxfId="5881" priority="24806" operator="equal">
      <formula>"OFF"</formula>
    </cfRule>
    <cfRule type="cellIs" dxfId="5880" priority="24807" operator="equal">
      <formula>"PTO"</formula>
    </cfRule>
  </conditionalFormatting>
  <conditionalFormatting sqref="C54:I54">
    <cfRule type="cellIs" dxfId="5879" priority="23558" operator="equal">
      <formula>"OFF"</formula>
    </cfRule>
    <cfRule type="cellIs" dxfId="5878" priority="23559" operator="equal">
      <formula>"PTO"</formula>
    </cfRule>
  </conditionalFormatting>
  <conditionalFormatting sqref="C54:I54">
    <cfRule type="cellIs" dxfId="5877" priority="23556" operator="equal">
      <formula>"OFF"</formula>
    </cfRule>
    <cfRule type="cellIs" dxfId="5876" priority="23557" operator="equal">
      <formula>"PTO"</formula>
    </cfRule>
  </conditionalFormatting>
  <conditionalFormatting sqref="C54:I54">
    <cfRule type="cellIs" dxfId="5875" priority="23554" operator="equal">
      <formula>"OFF"</formula>
    </cfRule>
    <cfRule type="cellIs" dxfId="5874" priority="23555" operator="equal">
      <formula>"PTO"</formula>
    </cfRule>
  </conditionalFormatting>
  <conditionalFormatting sqref="C54:I54">
    <cfRule type="cellIs" dxfId="5873" priority="23552" operator="equal">
      <formula>"OFF"</formula>
    </cfRule>
    <cfRule type="cellIs" dxfId="5872" priority="23553" operator="equal">
      <formula>"PTO"</formula>
    </cfRule>
  </conditionalFormatting>
  <conditionalFormatting sqref="C54:I54">
    <cfRule type="cellIs" dxfId="5871" priority="23550" operator="equal">
      <formula>"OFF"</formula>
    </cfRule>
    <cfRule type="cellIs" dxfId="5870" priority="23551" operator="equal">
      <formula>"PTO"</formula>
    </cfRule>
  </conditionalFormatting>
  <conditionalFormatting sqref="C54:I54">
    <cfRule type="cellIs" dxfId="5869" priority="23548" operator="equal">
      <formula>"OFF"</formula>
    </cfRule>
    <cfRule type="cellIs" dxfId="5868" priority="23549" operator="equal">
      <formula>"PTO"</formula>
    </cfRule>
  </conditionalFormatting>
  <conditionalFormatting sqref="C54:I54">
    <cfRule type="cellIs" dxfId="5867" priority="23546" operator="equal">
      <formula>"OFF"</formula>
    </cfRule>
    <cfRule type="cellIs" dxfId="5866" priority="23547" operator="equal">
      <formula>"PTO"</formula>
    </cfRule>
  </conditionalFormatting>
  <conditionalFormatting sqref="C54:I54">
    <cfRule type="cellIs" dxfId="5865" priority="23544" operator="equal">
      <formula>"OFF"</formula>
    </cfRule>
    <cfRule type="cellIs" dxfId="5864" priority="23545" operator="equal">
      <formula>"PTO"</formula>
    </cfRule>
  </conditionalFormatting>
  <conditionalFormatting sqref="C54:I54">
    <cfRule type="cellIs" dxfId="5863" priority="23542" operator="equal">
      <formula>"OFF"</formula>
    </cfRule>
    <cfRule type="cellIs" dxfId="5862" priority="23543" operator="equal">
      <formula>"PTO"</formula>
    </cfRule>
  </conditionalFormatting>
  <conditionalFormatting sqref="C54:I54">
    <cfRule type="cellIs" dxfId="5861" priority="23540" operator="equal">
      <formula>"OFF"</formula>
    </cfRule>
    <cfRule type="cellIs" dxfId="5860" priority="23541" operator="equal">
      <formula>"PTO"</formula>
    </cfRule>
  </conditionalFormatting>
  <conditionalFormatting sqref="C54:I54">
    <cfRule type="cellIs" dxfId="5859" priority="23538" operator="equal">
      <formula>"OFF"</formula>
    </cfRule>
    <cfRule type="cellIs" dxfId="5858" priority="23539" operator="equal">
      <formula>"PTO"</formula>
    </cfRule>
  </conditionalFormatting>
  <conditionalFormatting sqref="C54:I54">
    <cfRule type="cellIs" dxfId="5857" priority="23536" operator="equal">
      <formula>"OFF"</formula>
    </cfRule>
    <cfRule type="cellIs" dxfId="5856" priority="23537" operator="equal">
      <formula>"PTO"</formula>
    </cfRule>
  </conditionalFormatting>
  <conditionalFormatting sqref="C54:I54">
    <cfRule type="cellIs" dxfId="5855" priority="23534" operator="equal">
      <formula>"OFF"</formula>
    </cfRule>
    <cfRule type="cellIs" dxfId="5854" priority="23535" operator="equal">
      <formula>"PTO"</formula>
    </cfRule>
  </conditionalFormatting>
  <conditionalFormatting sqref="E54:H54">
    <cfRule type="cellIs" dxfId="5853" priority="23532" operator="equal">
      <formula>"OFF"</formula>
    </cfRule>
    <cfRule type="cellIs" dxfId="5852" priority="23533" operator="equal">
      <formula>"PTO"</formula>
    </cfRule>
  </conditionalFormatting>
  <conditionalFormatting sqref="C54:I54">
    <cfRule type="cellIs" dxfId="5851" priority="23530" operator="equal">
      <formula>"OFF"</formula>
    </cfRule>
    <cfRule type="cellIs" dxfId="5850" priority="23531" operator="equal">
      <formula>"PTO"</formula>
    </cfRule>
  </conditionalFormatting>
  <conditionalFormatting sqref="E54:H54">
    <cfRule type="cellIs" dxfId="5849" priority="23528" operator="equal">
      <formula>"OFF"</formula>
    </cfRule>
    <cfRule type="cellIs" dxfId="5848" priority="23529" operator="equal">
      <formula>"PTO"</formula>
    </cfRule>
  </conditionalFormatting>
  <conditionalFormatting sqref="H54:I54">
    <cfRule type="cellIs" dxfId="5847" priority="23526" operator="equal">
      <formula>"OFF"</formula>
    </cfRule>
    <cfRule type="cellIs" dxfId="5846" priority="23527" operator="equal">
      <formula>"PTO"</formula>
    </cfRule>
  </conditionalFormatting>
  <conditionalFormatting sqref="E54:H54">
    <cfRule type="cellIs" dxfId="5845" priority="23524" operator="equal">
      <formula>"OFF"</formula>
    </cfRule>
    <cfRule type="cellIs" dxfId="5844" priority="23525" operator="equal">
      <formula>"PTO"</formula>
    </cfRule>
  </conditionalFormatting>
  <conditionalFormatting sqref="H54:I54">
    <cfRule type="cellIs" dxfId="5843" priority="23522" operator="equal">
      <formula>"OFF"</formula>
    </cfRule>
    <cfRule type="cellIs" dxfId="5842" priority="23523" operator="equal">
      <formula>"PTO"</formula>
    </cfRule>
  </conditionalFormatting>
  <conditionalFormatting sqref="E54:H54">
    <cfRule type="cellIs" dxfId="5841" priority="23520" operator="equal">
      <formula>"OFF"</formula>
    </cfRule>
    <cfRule type="cellIs" dxfId="5840" priority="23521" operator="equal">
      <formula>"PTO"</formula>
    </cfRule>
  </conditionalFormatting>
  <conditionalFormatting sqref="H54:I54">
    <cfRule type="cellIs" dxfId="5839" priority="23518" operator="equal">
      <formula>"OFF"</formula>
    </cfRule>
    <cfRule type="cellIs" dxfId="5838" priority="23519" operator="equal">
      <formula>"PTO"</formula>
    </cfRule>
  </conditionalFormatting>
  <conditionalFormatting sqref="E54:H54">
    <cfRule type="cellIs" dxfId="5837" priority="23516" operator="equal">
      <formula>"OFF"</formula>
    </cfRule>
    <cfRule type="cellIs" dxfId="5836" priority="23517" operator="equal">
      <formula>"PTO"</formula>
    </cfRule>
  </conditionalFormatting>
  <conditionalFormatting sqref="H54:I54">
    <cfRule type="cellIs" dxfId="5835" priority="23514" operator="equal">
      <formula>"OFF"</formula>
    </cfRule>
    <cfRule type="cellIs" dxfId="5834" priority="23515" operator="equal">
      <formula>"PTO"</formula>
    </cfRule>
  </conditionalFormatting>
  <conditionalFormatting sqref="E54:H54">
    <cfRule type="cellIs" dxfId="5833" priority="23512" operator="equal">
      <formula>"OFF"</formula>
    </cfRule>
    <cfRule type="cellIs" dxfId="5832" priority="23513" operator="equal">
      <formula>"PTO"</formula>
    </cfRule>
  </conditionalFormatting>
  <conditionalFormatting sqref="H54:I54">
    <cfRule type="cellIs" dxfId="5831" priority="23510" operator="equal">
      <formula>"OFF"</formula>
    </cfRule>
    <cfRule type="cellIs" dxfId="5830" priority="23511" operator="equal">
      <formula>"PTO"</formula>
    </cfRule>
  </conditionalFormatting>
  <conditionalFormatting sqref="E54:H54">
    <cfRule type="cellIs" dxfId="5829" priority="23508" operator="equal">
      <formula>"OFF"</formula>
    </cfRule>
    <cfRule type="cellIs" dxfId="5828" priority="23509" operator="equal">
      <formula>"PTO"</formula>
    </cfRule>
  </conditionalFormatting>
  <conditionalFormatting sqref="H54:I54">
    <cfRule type="cellIs" dxfId="5827" priority="23506" operator="equal">
      <formula>"OFF"</formula>
    </cfRule>
    <cfRule type="cellIs" dxfId="5826" priority="23507" operator="equal">
      <formula>"PTO"</formula>
    </cfRule>
  </conditionalFormatting>
  <conditionalFormatting sqref="J43:P54">
    <cfRule type="cellIs" dxfId="5825" priority="22258" operator="equal">
      <formula>"OFF"</formula>
    </cfRule>
    <cfRule type="cellIs" dxfId="5824" priority="22259" operator="equal">
      <formula>"PTO"</formula>
    </cfRule>
  </conditionalFormatting>
  <conditionalFormatting sqref="J43:P54">
    <cfRule type="cellIs" dxfId="5823" priority="22256" operator="equal">
      <formula>"OFF"</formula>
    </cfRule>
    <cfRule type="cellIs" dxfId="5822" priority="22257" operator="equal">
      <formula>"PTO"</formula>
    </cfRule>
  </conditionalFormatting>
  <conditionalFormatting sqref="J43:P54">
    <cfRule type="cellIs" dxfId="5821" priority="22254" operator="equal">
      <formula>"OFF"</formula>
    </cfRule>
    <cfRule type="cellIs" dxfId="5820" priority="22255" operator="equal">
      <formula>"PTO"</formula>
    </cfRule>
  </conditionalFormatting>
  <conditionalFormatting sqref="J43:P54">
    <cfRule type="cellIs" dxfId="5819" priority="22252" operator="equal">
      <formula>"OFF"</formula>
    </cfRule>
    <cfRule type="cellIs" dxfId="5818" priority="22253" operator="equal">
      <formula>"PTO"</formula>
    </cfRule>
  </conditionalFormatting>
  <conditionalFormatting sqref="J43:P54">
    <cfRule type="cellIs" dxfId="5817" priority="22250" operator="equal">
      <formula>"OFF"</formula>
    </cfRule>
    <cfRule type="cellIs" dxfId="5816" priority="22251" operator="equal">
      <formula>"PTO"</formula>
    </cfRule>
  </conditionalFormatting>
  <conditionalFormatting sqref="J43:P54">
    <cfRule type="cellIs" dxfId="5815" priority="22248" operator="equal">
      <formula>"OFF"</formula>
    </cfRule>
    <cfRule type="cellIs" dxfId="5814" priority="22249" operator="equal">
      <formula>"PTO"</formula>
    </cfRule>
  </conditionalFormatting>
  <conditionalFormatting sqref="J43:P54">
    <cfRule type="cellIs" dxfId="5813" priority="22246" operator="equal">
      <formula>"OFF"</formula>
    </cfRule>
    <cfRule type="cellIs" dxfId="5812" priority="22247" operator="equal">
      <formula>"PTO"</formula>
    </cfRule>
  </conditionalFormatting>
  <conditionalFormatting sqref="J43:P54">
    <cfRule type="cellIs" dxfId="5811" priority="22244" operator="equal">
      <formula>"OFF"</formula>
    </cfRule>
    <cfRule type="cellIs" dxfId="5810" priority="22245" operator="equal">
      <formula>"PTO"</formula>
    </cfRule>
  </conditionalFormatting>
  <conditionalFormatting sqref="J43:P54">
    <cfRule type="cellIs" dxfId="5809" priority="22242" operator="equal">
      <formula>"OFF"</formula>
    </cfRule>
    <cfRule type="cellIs" dxfId="5808" priority="22243" operator="equal">
      <formula>"PTO"</formula>
    </cfRule>
  </conditionalFormatting>
  <conditionalFormatting sqref="J43:P54">
    <cfRule type="cellIs" dxfId="5807" priority="22240" operator="equal">
      <formula>"OFF"</formula>
    </cfRule>
    <cfRule type="cellIs" dxfId="5806" priority="22241" operator="equal">
      <formula>"PTO"</formula>
    </cfRule>
  </conditionalFormatting>
  <conditionalFormatting sqref="J43:P54">
    <cfRule type="cellIs" dxfId="5805" priority="22238" operator="equal">
      <formula>"OFF"</formula>
    </cfRule>
    <cfRule type="cellIs" dxfId="5804" priority="22239" operator="equal">
      <formula>"PTO"</formula>
    </cfRule>
  </conditionalFormatting>
  <conditionalFormatting sqref="J43:P54">
    <cfRule type="cellIs" dxfId="5803" priority="22236" operator="equal">
      <formula>"OFF"</formula>
    </cfRule>
    <cfRule type="cellIs" dxfId="5802" priority="22237" operator="equal">
      <formula>"PTO"</formula>
    </cfRule>
  </conditionalFormatting>
  <conditionalFormatting sqref="J43:P54">
    <cfRule type="cellIs" dxfId="5801" priority="22234" operator="equal">
      <formula>"OFF"</formula>
    </cfRule>
    <cfRule type="cellIs" dxfId="5800" priority="22235" operator="equal">
      <formula>"PTO"</formula>
    </cfRule>
  </conditionalFormatting>
  <conditionalFormatting sqref="L43:O54">
    <cfRule type="cellIs" dxfId="5799" priority="22232" operator="equal">
      <formula>"OFF"</formula>
    </cfRule>
    <cfRule type="cellIs" dxfId="5798" priority="22233" operator="equal">
      <formula>"PTO"</formula>
    </cfRule>
  </conditionalFormatting>
  <conditionalFormatting sqref="J43:P54">
    <cfRule type="cellIs" dxfId="5797" priority="22230" operator="equal">
      <formula>"OFF"</formula>
    </cfRule>
    <cfRule type="cellIs" dxfId="5796" priority="22231" operator="equal">
      <formula>"PTO"</formula>
    </cfRule>
  </conditionalFormatting>
  <conditionalFormatting sqref="L43:O54">
    <cfRule type="cellIs" dxfId="5795" priority="22228" operator="equal">
      <formula>"OFF"</formula>
    </cfRule>
    <cfRule type="cellIs" dxfId="5794" priority="22229" operator="equal">
      <formula>"PTO"</formula>
    </cfRule>
  </conditionalFormatting>
  <conditionalFormatting sqref="O43:P54">
    <cfRule type="cellIs" dxfId="5793" priority="22226" operator="equal">
      <formula>"OFF"</formula>
    </cfRule>
    <cfRule type="cellIs" dxfId="5792" priority="22227" operator="equal">
      <formula>"PTO"</formula>
    </cfRule>
  </conditionalFormatting>
  <conditionalFormatting sqref="L43:O54">
    <cfRule type="cellIs" dxfId="5791" priority="22224" operator="equal">
      <formula>"OFF"</formula>
    </cfRule>
    <cfRule type="cellIs" dxfId="5790" priority="22225" operator="equal">
      <formula>"PTO"</formula>
    </cfRule>
  </conditionalFormatting>
  <conditionalFormatting sqref="O43:P54">
    <cfRule type="cellIs" dxfId="5789" priority="22222" operator="equal">
      <formula>"OFF"</formula>
    </cfRule>
    <cfRule type="cellIs" dxfId="5788" priority="22223" operator="equal">
      <formula>"PTO"</formula>
    </cfRule>
  </conditionalFormatting>
  <conditionalFormatting sqref="L43:O54">
    <cfRule type="cellIs" dxfId="5787" priority="22220" operator="equal">
      <formula>"OFF"</formula>
    </cfRule>
    <cfRule type="cellIs" dxfId="5786" priority="22221" operator="equal">
      <formula>"PTO"</formula>
    </cfRule>
  </conditionalFormatting>
  <conditionalFormatting sqref="O43:P54">
    <cfRule type="cellIs" dxfId="5785" priority="22218" operator="equal">
      <formula>"OFF"</formula>
    </cfRule>
    <cfRule type="cellIs" dxfId="5784" priority="22219" operator="equal">
      <formula>"PTO"</formula>
    </cfRule>
  </conditionalFormatting>
  <conditionalFormatting sqref="L43:O54">
    <cfRule type="cellIs" dxfId="5783" priority="22216" operator="equal">
      <formula>"OFF"</formula>
    </cfRule>
    <cfRule type="cellIs" dxfId="5782" priority="22217" operator="equal">
      <formula>"PTO"</formula>
    </cfRule>
  </conditionalFormatting>
  <conditionalFormatting sqref="O43:P54">
    <cfRule type="cellIs" dxfId="5781" priority="22214" operator="equal">
      <formula>"OFF"</formula>
    </cfRule>
    <cfRule type="cellIs" dxfId="5780" priority="22215" operator="equal">
      <formula>"PTO"</formula>
    </cfRule>
  </conditionalFormatting>
  <conditionalFormatting sqref="L43:O54">
    <cfRule type="cellIs" dxfId="5779" priority="22212" operator="equal">
      <formula>"OFF"</formula>
    </cfRule>
    <cfRule type="cellIs" dxfId="5778" priority="22213" operator="equal">
      <formula>"PTO"</formula>
    </cfRule>
  </conditionalFormatting>
  <conditionalFormatting sqref="O43:P54">
    <cfRule type="cellIs" dxfId="5777" priority="22210" operator="equal">
      <formula>"OFF"</formula>
    </cfRule>
    <cfRule type="cellIs" dxfId="5776" priority="22211" operator="equal">
      <formula>"PTO"</formula>
    </cfRule>
  </conditionalFormatting>
  <conditionalFormatting sqref="L43:O54">
    <cfRule type="cellIs" dxfId="5775" priority="22208" operator="equal">
      <formula>"OFF"</formula>
    </cfRule>
    <cfRule type="cellIs" dxfId="5774" priority="22209" operator="equal">
      <formula>"PTO"</formula>
    </cfRule>
  </conditionalFormatting>
  <conditionalFormatting sqref="O43:P54">
    <cfRule type="cellIs" dxfId="5773" priority="22206" operator="equal">
      <formula>"OFF"</formula>
    </cfRule>
    <cfRule type="cellIs" dxfId="5772" priority="22207" operator="equal">
      <formula>"PTO"</formula>
    </cfRule>
  </conditionalFormatting>
  <conditionalFormatting sqref="C43:I53">
    <cfRule type="cellIs" dxfId="5771" priority="20618" operator="equal">
      <formula>"OFF"</formula>
    </cfRule>
    <cfRule type="cellIs" dxfId="5770" priority="20619" operator="equal">
      <formula>"PTO"</formula>
    </cfRule>
  </conditionalFormatting>
  <conditionalFormatting sqref="C43:I53">
    <cfRule type="cellIs" dxfId="5769" priority="20616" operator="equal">
      <formula>"OFF"</formula>
    </cfRule>
    <cfRule type="cellIs" dxfId="5768" priority="20617" operator="equal">
      <formula>"PTO"</formula>
    </cfRule>
  </conditionalFormatting>
  <conditionalFormatting sqref="C43:I53">
    <cfRule type="cellIs" dxfId="5767" priority="20614" operator="equal">
      <formula>"OFF"</formula>
    </cfRule>
    <cfRule type="cellIs" dxfId="5766" priority="20615" operator="equal">
      <formula>"PTO"</formula>
    </cfRule>
  </conditionalFormatting>
  <conditionalFormatting sqref="C43:I53">
    <cfRule type="cellIs" dxfId="5765" priority="20612" operator="equal">
      <formula>"OFF"</formula>
    </cfRule>
    <cfRule type="cellIs" dxfId="5764" priority="20613" operator="equal">
      <formula>"PTO"</formula>
    </cfRule>
  </conditionalFormatting>
  <conditionalFormatting sqref="C43:I53">
    <cfRule type="cellIs" dxfId="5763" priority="20610" operator="equal">
      <formula>"OFF"</formula>
    </cfRule>
    <cfRule type="cellIs" dxfId="5762" priority="20611" operator="equal">
      <formula>"PTO"</formula>
    </cfRule>
  </conditionalFormatting>
  <conditionalFormatting sqref="C43:I53">
    <cfRule type="cellIs" dxfId="5761" priority="20608" operator="equal">
      <formula>"OFF"</formula>
    </cfRule>
    <cfRule type="cellIs" dxfId="5760" priority="20609" operator="equal">
      <formula>"PTO"</formula>
    </cfRule>
  </conditionalFormatting>
  <conditionalFormatting sqref="C43:I53">
    <cfRule type="cellIs" dxfId="5759" priority="20606" operator="equal">
      <formula>"OFF"</formula>
    </cfRule>
    <cfRule type="cellIs" dxfId="5758" priority="20607" operator="equal">
      <formula>"PTO"</formula>
    </cfRule>
  </conditionalFormatting>
  <conditionalFormatting sqref="C43:I53">
    <cfRule type="cellIs" dxfId="5757" priority="20604" operator="equal">
      <formula>"OFF"</formula>
    </cfRule>
    <cfRule type="cellIs" dxfId="5756" priority="20605" operator="equal">
      <formula>"PTO"</formula>
    </cfRule>
  </conditionalFormatting>
  <conditionalFormatting sqref="C43:I53">
    <cfRule type="cellIs" dxfId="5755" priority="20602" operator="equal">
      <formula>"OFF"</formula>
    </cfRule>
    <cfRule type="cellIs" dxfId="5754" priority="20603" operator="equal">
      <formula>"PTO"</formula>
    </cfRule>
  </conditionalFormatting>
  <conditionalFormatting sqref="C43:I53">
    <cfRule type="cellIs" dxfId="5753" priority="20600" operator="equal">
      <formula>"OFF"</formula>
    </cfRule>
    <cfRule type="cellIs" dxfId="5752" priority="20601" operator="equal">
      <formula>"PTO"</formula>
    </cfRule>
  </conditionalFormatting>
  <conditionalFormatting sqref="C43:I53">
    <cfRule type="cellIs" dxfId="5751" priority="20598" operator="equal">
      <formula>"OFF"</formula>
    </cfRule>
    <cfRule type="cellIs" dxfId="5750" priority="20599" operator="equal">
      <formula>"PTO"</formula>
    </cfRule>
  </conditionalFormatting>
  <conditionalFormatting sqref="C43:I53">
    <cfRule type="cellIs" dxfId="5749" priority="20596" operator="equal">
      <formula>"OFF"</formula>
    </cfRule>
    <cfRule type="cellIs" dxfId="5748" priority="20597" operator="equal">
      <formula>"PTO"</formula>
    </cfRule>
  </conditionalFormatting>
  <conditionalFormatting sqref="C43:I53">
    <cfRule type="cellIs" dxfId="5747" priority="20594" operator="equal">
      <formula>"OFF"</formula>
    </cfRule>
    <cfRule type="cellIs" dxfId="5746" priority="20595" operator="equal">
      <formula>"PTO"</formula>
    </cfRule>
  </conditionalFormatting>
  <conditionalFormatting sqref="E43:H53">
    <cfRule type="cellIs" dxfId="5745" priority="20592" operator="equal">
      <formula>"OFF"</formula>
    </cfRule>
    <cfRule type="cellIs" dxfId="5744" priority="20593" operator="equal">
      <formula>"PTO"</formula>
    </cfRule>
  </conditionalFormatting>
  <conditionalFormatting sqref="C43:I53">
    <cfRule type="cellIs" dxfId="5743" priority="20590" operator="equal">
      <formula>"OFF"</formula>
    </cfRule>
    <cfRule type="cellIs" dxfId="5742" priority="20591" operator="equal">
      <formula>"PTO"</formula>
    </cfRule>
  </conditionalFormatting>
  <conditionalFormatting sqref="E43:H53">
    <cfRule type="cellIs" dxfId="5741" priority="20588" operator="equal">
      <formula>"OFF"</formula>
    </cfRule>
    <cfRule type="cellIs" dxfId="5740" priority="20589" operator="equal">
      <formula>"PTO"</formula>
    </cfRule>
  </conditionalFormatting>
  <conditionalFormatting sqref="H43:I53">
    <cfRule type="cellIs" dxfId="5739" priority="20586" operator="equal">
      <formula>"OFF"</formula>
    </cfRule>
    <cfRule type="cellIs" dxfId="5738" priority="20587" operator="equal">
      <formula>"PTO"</formula>
    </cfRule>
  </conditionalFormatting>
  <conditionalFormatting sqref="E43:H53">
    <cfRule type="cellIs" dxfId="5737" priority="20584" operator="equal">
      <formula>"OFF"</formula>
    </cfRule>
    <cfRule type="cellIs" dxfId="5736" priority="20585" operator="equal">
      <formula>"PTO"</formula>
    </cfRule>
  </conditionalFormatting>
  <conditionalFormatting sqref="H43:I53">
    <cfRule type="cellIs" dxfId="5735" priority="20582" operator="equal">
      <formula>"OFF"</formula>
    </cfRule>
    <cfRule type="cellIs" dxfId="5734" priority="20583" operator="equal">
      <formula>"PTO"</formula>
    </cfRule>
  </conditionalFormatting>
  <conditionalFormatting sqref="E43:H53">
    <cfRule type="cellIs" dxfId="5733" priority="20580" operator="equal">
      <formula>"OFF"</formula>
    </cfRule>
    <cfRule type="cellIs" dxfId="5732" priority="20581" operator="equal">
      <formula>"PTO"</formula>
    </cfRule>
  </conditionalFormatting>
  <conditionalFormatting sqref="H43:I53">
    <cfRule type="cellIs" dxfId="5731" priority="20578" operator="equal">
      <formula>"OFF"</formula>
    </cfRule>
    <cfRule type="cellIs" dxfId="5730" priority="20579" operator="equal">
      <formula>"PTO"</formula>
    </cfRule>
  </conditionalFormatting>
  <conditionalFormatting sqref="E43:H53">
    <cfRule type="cellIs" dxfId="5729" priority="20576" operator="equal">
      <formula>"OFF"</formula>
    </cfRule>
    <cfRule type="cellIs" dxfId="5728" priority="20577" operator="equal">
      <formula>"PTO"</formula>
    </cfRule>
  </conditionalFormatting>
  <conditionalFormatting sqref="H43:I53">
    <cfRule type="cellIs" dxfId="5727" priority="20574" operator="equal">
      <formula>"OFF"</formula>
    </cfRule>
    <cfRule type="cellIs" dxfId="5726" priority="20575" operator="equal">
      <formula>"PTO"</formula>
    </cfRule>
  </conditionalFormatting>
  <conditionalFormatting sqref="E43:H53">
    <cfRule type="cellIs" dxfId="5725" priority="20572" operator="equal">
      <formula>"OFF"</formula>
    </cfRule>
    <cfRule type="cellIs" dxfId="5724" priority="20573" operator="equal">
      <formula>"PTO"</formula>
    </cfRule>
  </conditionalFormatting>
  <conditionalFormatting sqref="H43:I53">
    <cfRule type="cellIs" dxfId="5723" priority="20570" operator="equal">
      <formula>"OFF"</formula>
    </cfRule>
    <cfRule type="cellIs" dxfId="5722" priority="20571" operator="equal">
      <formula>"PTO"</formula>
    </cfRule>
  </conditionalFormatting>
  <conditionalFormatting sqref="E43:H53">
    <cfRule type="cellIs" dxfId="5721" priority="20568" operator="equal">
      <formula>"OFF"</formula>
    </cfRule>
    <cfRule type="cellIs" dxfId="5720" priority="20569" operator="equal">
      <formula>"PTO"</formula>
    </cfRule>
  </conditionalFormatting>
  <conditionalFormatting sqref="H43:I53">
    <cfRule type="cellIs" dxfId="5719" priority="20566" operator="equal">
      <formula>"OFF"</formula>
    </cfRule>
    <cfRule type="cellIs" dxfId="5718" priority="20567" operator="equal">
      <formula>"PTO"</formula>
    </cfRule>
  </conditionalFormatting>
  <conditionalFormatting sqref="I82:I101">
    <cfRule type="cellIs" dxfId="5717" priority="15378" operator="equal">
      <formula>"OFF"</formula>
    </cfRule>
    <cfRule type="cellIs" dxfId="5716" priority="15379" operator="equal">
      <formula>"PTO"</formula>
    </cfRule>
  </conditionalFormatting>
  <conditionalFormatting sqref="B18:B32">
    <cfRule type="duplicateValues" dxfId="5715" priority="15377"/>
  </conditionalFormatting>
  <conditionalFormatting sqref="B23">
    <cfRule type="duplicateValues" dxfId="5714" priority="15376"/>
  </conditionalFormatting>
  <conditionalFormatting sqref="B22">
    <cfRule type="duplicateValues" dxfId="5713" priority="15375"/>
  </conditionalFormatting>
  <conditionalFormatting sqref="B21">
    <cfRule type="duplicateValues" dxfId="5712" priority="15374"/>
  </conditionalFormatting>
  <conditionalFormatting sqref="B19">
    <cfRule type="duplicateValues" dxfId="5711" priority="15373"/>
  </conditionalFormatting>
  <conditionalFormatting sqref="B14:B18">
    <cfRule type="duplicateValues" dxfId="5710" priority="15372"/>
  </conditionalFormatting>
  <conditionalFormatting sqref="K19:P19">
    <cfRule type="cellIs" dxfId="5709" priority="12267" operator="equal">
      <formula>"OFF"</formula>
    </cfRule>
    <cfRule type="cellIs" dxfId="5708" priority="12268" operator="equal">
      <formula>"PTO"</formula>
    </cfRule>
  </conditionalFormatting>
  <conditionalFormatting sqref="K19:P19">
    <cfRule type="cellIs" dxfId="5707" priority="12265" operator="equal">
      <formula>"OFF"</formula>
    </cfRule>
    <cfRule type="cellIs" dxfId="5706" priority="12266" operator="equal">
      <formula>"PTO"</formula>
    </cfRule>
  </conditionalFormatting>
  <conditionalFormatting sqref="K19">
    <cfRule type="cellIs" dxfId="5705" priority="12255" operator="equal">
      <formula>"OFF"</formula>
    </cfRule>
    <cfRule type="cellIs" dxfId="5704" priority="12256" operator="equal">
      <formula>"PTO"</formula>
    </cfRule>
  </conditionalFormatting>
  <conditionalFormatting sqref="K19">
    <cfRule type="cellIs" dxfId="5703" priority="12253" operator="equal">
      <formula>"OFF"</formula>
    </cfRule>
    <cfRule type="cellIs" dxfId="5702" priority="12254" operator="equal">
      <formula>"PTO"</formula>
    </cfRule>
  </conditionalFormatting>
  <conditionalFormatting sqref="K19">
    <cfRule type="cellIs" dxfId="5701" priority="12251" operator="equal">
      <formula>"OFF"</formula>
    </cfRule>
    <cfRule type="cellIs" dxfId="5700" priority="12252" operator="equal">
      <formula>"PTO"</formula>
    </cfRule>
  </conditionalFormatting>
  <conditionalFormatting sqref="K19">
    <cfRule type="cellIs" dxfId="5699" priority="12249" operator="equal">
      <formula>"OFF"</formula>
    </cfRule>
    <cfRule type="cellIs" dxfId="5698" priority="12250" operator="equal">
      <formula>"PTO"</formula>
    </cfRule>
  </conditionalFormatting>
  <conditionalFormatting sqref="K19">
    <cfRule type="cellIs" dxfId="5697" priority="12239" operator="equal">
      <formula>"OFF"</formula>
    </cfRule>
    <cfRule type="cellIs" dxfId="5696" priority="12240" operator="equal">
      <formula>"PTO"</formula>
    </cfRule>
  </conditionalFormatting>
  <conditionalFormatting sqref="K19">
    <cfRule type="cellIs" dxfId="5695" priority="12237" operator="equal">
      <formula>"OFF"</formula>
    </cfRule>
    <cfRule type="cellIs" dxfId="5694" priority="12238" operator="equal">
      <formula>"PTO"</formula>
    </cfRule>
  </conditionalFormatting>
  <conditionalFormatting sqref="K19">
    <cfRule type="cellIs" dxfId="5693" priority="12235" operator="equal">
      <formula>"OFF"</formula>
    </cfRule>
    <cfRule type="cellIs" dxfId="5692" priority="12236" operator="equal">
      <formula>"PTO"</formula>
    </cfRule>
  </conditionalFormatting>
  <conditionalFormatting sqref="K19">
    <cfRule type="cellIs" dxfId="5691" priority="12233" operator="equal">
      <formula>"OFF"</formula>
    </cfRule>
    <cfRule type="cellIs" dxfId="5690" priority="12234" operator="equal">
      <formula>"PTO"</formula>
    </cfRule>
  </conditionalFormatting>
  <conditionalFormatting sqref="K19">
    <cfRule type="cellIs" dxfId="5689" priority="12223" operator="equal">
      <formula>"OFF"</formula>
    </cfRule>
    <cfRule type="cellIs" dxfId="5688" priority="12224" operator="equal">
      <formula>"PTO"</formula>
    </cfRule>
  </conditionalFormatting>
  <conditionalFormatting sqref="K19">
    <cfRule type="cellIs" dxfId="5687" priority="12221" operator="equal">
      <formula>"OFF"</formula>
    </cfRule>
    <cfRule type="cellIs" dxfId="5686" priority="12222" operator="equal">
      <formula>"PTO"</formula>
    </cfRule>
  </conditionalFormatting>
  <conditionalFormatting sqref="K19">
    <cfRule type="cellIs" dxfId="5685" priority="12219" operator="equal">
      <formula>"OFF"</formula>
    </cfRule>
    <cfRule type="cellIs" dxfId="5684" priority="12220" operator="equal">
      <formula>"PTO"</formula>
    </cfRule>
  </conditionalFormatting>
  <conditionalFormatting sqref="K19">
    <cfRule type="cellIs" dxfId="5683" priority="12217" operator="equal">
      <formula>"OFF"</formula>
    </cfRule>
    <cfRule type="cellIs" dxfId="5682" priority="12218" operator="equal">
      <formula>"PTO"</formula>
    </cfRule>
  </conditionalFormatting>
  <conditionalFormatting sqref="K19">
    <cfRule type="cellIs" dxfId="5681" priority="12207" operator="equal">
      <formula>"OFF"</formula>
    </cfRule>
    <cfRule type="cellIs" dxfId="5680" priority="12208" operator="equal">
      <formula>"PTO"</formula>
    </cfRule>
  </conditionalFormatting>
  <conditionalFormatting sqref="K19">
    <cfRule type="cellIs" dxfId="5679" priority="12205" operator="equal">
      <formula>"OFF"</formula>
    </cfRule>
    <cfRule type="cellIs" dxfId="5678" priority="12206" operator="equal">
      <formula>"PTO"</formula>
    </cfRule>
  </conditionalFormatting>
  <conditionalFormatting sqref="K19">
    <cfRule type="cellIs" dxfId="5677" priority="12203" operator="equal">
      <formula>"OFF"</formula>
    </cfRule>
    <cfRule type="cellIs" dxfId="5676" priority="12204" operator="equal">
      <formula>"PTO"</formula>
    </cfRule>
  </conditionalFormatting>
  <conditionalFormatting sqref="K19">
    <cfRule type="cellIs" dxfId="5675" priority="12201" operator="equal">
      <formula>"OFF"</formula>
    </cfRule>
    <cfRule type="cellIs" dxfId="5674" priority="12202" operator="equal">
      <formula>"PTO"</formula>
    </cfRule>
  </conditionalFormatting>
  <conditionalFormatting sqref="K19:P19">
    <cfRule type="cellIs" dxfId="5673" priority="12199" operator="equal">
      <formula>"OFF"</formula>
    </cfRule>
    <cfRule type="cellIs" dxfId="5672" priority="12200" operator="equal">
      <formula>"PTO"</formula>
    </cfRule>
  </conditionalFormatting>
  <conditionalFormatting sqref="K19:P19">
    <cfRule type="cellIs" dxfId="5671" priority="12197" operator="equal">
      <formula>"OFF"</formula>
    </cfRule>
    <cfRule type="cellIs" dxfId="5670" priority="12198" operator="equal">
      <formula>"PTO"</formula>
    </cfRule>
  </conditionalFormatting>
  <conditionalFormatting sqref="L19">
    <cfRule type="cellIs" dxfId="5669" priority="12195" operator="equal">
      <formula>"OFF"</formula>
    </cfRule>
    <cfRule type="cellIs" dxfId="5668" priority="12196" operator="equal">
      <formula>"PTO"</formula>
    </cfRule>
  </conditionalFormatting>
  <conditionalFormatting sqref="L19">
    <cfRule type="cellIs" dxfId="5667" priority="12193" operator="equal">
      <formula>"OFF"</formula>
    </cfRule>
    <cfRule type="cellIs" dxfId="5666" priority="12194" operator="equal">
      <formula>"PTO"</formula>
    </cfRule>
  </conditionalFormatting>
  <conditionalFormatting sqref="L19">
    <cfRule type="cellIs" dxfId="5665" priority="12191" operator="equal">
      <formula>"OFF"</formula>
    </cfRule>
    <cfRule type="cellIs" dxfId="5664" priority="12192" operator="equal">
      <formula>"PTO"</formula>
    </cfRule>
  </conditionalFormatting>
  <conditionalFormatting sqref="L19">
    <cfRule type="cellIs" dxfId="5663" priority="12189" operator="equal">
      <formula>"OFF"</formula>
    </cfRule>
    <cfRule type="cellIs" dxfId="5662" priority="12190" operator="equal">
      <formula>"PTO"</formula>
    </cfRule>
  </conditionalFormatting>
  <conditionalFormatting sqref="L19">
    <cfRule type="cellIs" dxfId="5661" priority="12187" operator="equal">
      <formula>"OFF"</formula>
    </cfRule>
    <cfRule type="cellIs" dxfId="5660" priority="12188" operator="equal">
      <formula>"PTO"</formula>
    </cfRule>
  </conditionalFormatting>
  <conditionalFormatting sqref="L19">
    <cfRule type="cellIs" dxfId="5659" priority="12185" operator="equal">
      <formula>"OFF"</formula>
    </cfRule>
    <cfRule type="cellIs" dxfId="5658" priority="12186" operator="equal">
      <formula>"PTO"</formula>
    </cfRule>
  </conditionalFormatting>
  <conditionalFormatting sqref="L19">
    <cfRule type="cellIs" dxfId="5657" priority="12183" operator="equal">
      <formula>"OFF"</formula>
    </cfRule>
    <cfRule type="cellIs" dxfId="5656" priority="12184" operator="equal">
      <formula>"PTO"</formula>
    </cfRule>
  </conditionalFormatting>
  <conditionalFormatting sqref="L19">
    <cfRule type="cellIs" dxfId="5655" priority="12181" operator="equal">
      <formula>"OFF"</formula>
    </cfRule>
    <cfRule type="cellIs" dxfId="5654" priority="12182" operator="equal">
      <formula>"PTO"</formula>
    </cfRule>
  </conditionalFormatting>
  <conditionalFormatting sqref="L19">
    <cfRule type="cellIs" dxfId="5653" priority="12179" operator="equal">
      <formula>"OFF"</formula>
    </cfRule>
    <cfRule type="cellIs" dxfId="5652" priority="12180" operator="equal">
      <formula>"PTO"</formula>
    </cfRule>
  </conditionalFormatting>
  <conditionalFormatting sqref="L19">
    <cfRule type="cellIs" dxfId="5651" priority="12177" operator="equal">
      <formula>"OFF"</formula>
    </cfRule>
    <cfRule type="cellIs" dxfId="5650" priority="12178" operator="equal">
      <formula>"PTO"</formula>
    </cfRule>
  </conditionalFormatting>
  <conditionalFormatting sqref="L19">
    <cfRule type="cellIs" dxfId="5649" priority="12175" operator="equal">
      <formula>"OFF"</formula>
    </cfRule>
    <cfRule type="cellIs" dxfId="5648" priority="12176" operator="equal">
      <formula>"PTO"</formula>
    </cfRule>
  </conditionalFormatting>
  <conditionalFormatting sqref="L19">
    <cfRule type="cellIs" dxfId="5647" priority="12173" operator="equal">
      <formula>"OFF"</formula>
    </cfRule>
    <cfRule type="cellIs" dxfId="5646" priority="12174" operator="equal">
      <formula>"PTO"</formula>
    </cfRule>
  </conditionalFormatting>
  <conditionalFormatting sqref="L19">
    <cfRule type="cellIs" dxfId="5645" priority="12171" operator="equal">
      <formula>"OFF"</formula>
    </cfRule>
    <cfRule type="cellIs" dxfId="5644" priority="12172" operator="equal">
      <formula>"PTO"</formula>
    </cfRule>
  </conditionalFormatting>
  <conditionalFormatting sqref="L19">
    <cfRule type="cellIs" dxfId="5643" priority="12169" operator="equal">
      <formula>"OFF"</formula>
    </cfRule>
    <cfRule type="cellIs" dxfId="5642" priority="12170" operator="equal">
      <formula>"PTO"</formula>
    </cfRule>
  </conditionalFormatting>
  <conditionalFormatting sqref="L19">
    <cfRule type="cellIs" dxfId="5641" priority="12167" operator="equal">
      <formula>"OFF"</formula>
    </cfRule>
    <cfRule type="cellIs" dxfId="5640" priority="12168" operator="equal">
      <formula>"PTO"</formula>
    </cfRule>
  </conditionalFormatting>
  <conditionalFormatting sqref="L19">
    <cfRule type="cellIs" dxfId="5639" priority="12165" operator="equal">
      <formula>"OFF"</formula>
    </cfRule>
    <cfRule type="cellIs" dxfId="5638" priority="12166" operator="equal">
      <formula>"PTO"</formula>
    </cfRule>
  </conditionalFormatting>
  <conditionalFormatting sqref="O19">
    <cfRule type="cellIs" dxfId="5637" priority="12163" operator="equal">
      <formula>"OFF"</formula>
    </cfRule>
    <cfRule type="cellIs" dxfId="5636" priority="12164" operator="equal">
      <formula>"PTO"</formula>
    </cfRule>
  </conditionalFormatting>
  <conditionalFormatting sqref="O19">
    <cfRule type="cellIs" dxfId="5635" priority="12161" operator="equal">
      <formula>"OFF"</formula>
    </cfRule>
    <cfRule type="cellIs" dxfId="5634" priority="12162" operator="equal">
      <formula>"PTO"</formula>
    </cfRule>
  </conditionalFormatting>
  <conditionalFormatting sqref="O19">
    <cfRule type="cellIs" dxfId="5633" priority="12159" operator="equal">
      <formula>"OFF"</formula>
    </cfRule>
    <cfRule type="cellIs" dxfId="5632" priority="12160" operator="equal">
      <formula>"PTO"</formula>
    </cfRule>
  </conditionalFormatting>
  <conditionalFormatting sqref="O19">
    <cfRule type="cellIs" dxfId="5631" priority="12157" operator="equal">
      <formula>"OFF"</formula>
    </cfRule>
    <cfRule type="cellIs" dxfId="5630" priority="12158" operator="equal">
      <formula>"PTO"</formula>
    </cfRule>
  </conditionalFormatting>
  <conditionalFormatting sqref="O19">
    <cfRule type="cellIs" dxfId="5629" priority="12155" operator="equal">
      <formula>"OFF"</formula>
    </cfRule>
    <cfRule type="cellIs" dxfId="5628" priority="12156" operator="equal">
      <formula>"PTO"</formula>
    </cfRule>
  </conditionalFormatting>
  <conditionalFormatting sqref="O19">
    <cfRule type="cellIs" dxfId="5627" priority="12153" operator="equal">
      <formula>"OFF"</formula>
    </cfRule>
    <cfRule type="cellIs" dxfId="5626" priority="12154" operator="equal">
      <formula>"PTO"</formula>
    </cfRule>
  </conditionalFormatting>
  <conditionalFormatting sqref="O19">
    <cfRule type="cellIs" dxfId="5625" priority="12151" operator="equal">
      <formula>"OFF"</formula>
    </cfRule>
    <cfRule type="cellIs" dxfId="5624" priority="12152" operator="equal">
      <formula>"PTO"</formula>
    </cfRule>
  </conditionalFormatting>
  <conditionalFormatting sqref="O19">
    <cfRule type="cellIs" dxfId="5623" priority="12149" operator="equal">
      <formula>"OFF"</formula>
    </cfRule>
    <cfRule type="cellIs" dxfId="5622" priority="12150" operator="equal">
      <formula>"PTO"</formula>
    </cfRule>
  </conditionalFormatting>
  <conditionalFormatting sqref="O19">
    <cfRule type="cellIs" dxfId="5621" priority="12147" operator="equal">
      <formula>"OFF"</formula>
    </cfRule>
    <cfRule type="cellIs" dxfId="5620" priority="12148" operator="equal">
      <formula>"PTO"</formula>
    </cfRule>
  </conditionalFormatting>
  <conditionalFormatting sqref="O19">
    <cfRule type="cellIs" dxfId="5619" priority="12145" operator="equal">
      <formula>"OFF"</formula>
    </cfRule>
    <cfRule type="cellIs" dxfId="5618" priority="12146" operator="equal">
      <formula>"PTO"</formula>
    </cfRule>
  </conditionalFormatting>
  <conditionalFormatting sqref="O19">
    <cfRule type="cellIs" dxfId="5617" priority="12143" operator="equal">
      <formula>"OFF"</formula>
    </cfRule>
    <cfRule type="cellIs" dxfId="5616" priority="12144" operator="equal">
      <formula>"PTO"</formula>
    </cfRule>
  </conditionalFormatting>
  <conditionalFormatting sqref="O19">
    <cfRule type="cellIs" dxfId="5615" priority="12141" operator="equal">
      <formula>"OFF"</formula>
    </cfRule>
    <cfRule type="cellIs" dxfId="5614" priority="12142" operator="equal">
      <formula>"PTO"</formula>
    </cfRule>
  </conditionalFormatting>
  <conditionalFormatting sqref="O19">
    <cfRule type="cellIs" dxfId="5613" priority="12139" operator="equal">
      <formula>"OFF"</formula>
    </cfRule>
    <cfRule type="cellIs" dxfId="5612" priority="12140" operator="equal">
      <formula>"PTO"</formula>
    </cfRule>
  </conditionalFormatting>
  <conditionalFormatting sqref="O19">
    <cfRule type="cellIs" dxfId="5611" priority="12137" operator="equal">
      <formula>"OFF"</formula>
    </cfRule>
    <cfRule type="cellIs" dxfId="5610" priority="12138" operator="equal">
      <formula>"PTO"</formula>
    </cfRule>
  </conditionalFormatting>
  <conditionalFormatting sqref="O19">
    <cfRule type="cellIs" dxfId="5609" priority="12135" operator="equal">
      <formula>"OFF"</formula>
    </cfRule>
    <cfRule type="cellIs" dxfId="5608" priority="12136" operator="equal">
      <formula>"PTO"</formula>
    </cfRule>
  </conditionalFormatting>
  <conditionalFormatting sqref="O19">
    <cfRule type="cellIs" dxfId="5607" priority="12133" operator="equal">
      <formula>"OFF"</formula>
    </cfRule>
    <cfRule type="cellIs" dxfId="5606" priority="12134" operator="equal">
      <formula>"PTO"</formula>
    </cfRule>
  </conditionalFormatting>
  <conditionalFormatting sqref="L19">
    <cfRule type="cellIs" dxfId="5605" priority="12131" operator="equal">
      <formula>"OFF"</formula>
    </cfRule>
    <cfRule type="cellIs" dxfId="5604" priority="12132" operator="equal">
      <formula>"PTO"</formula>
    </cfRule>
  </conditionalFormatting>
  <conditionalFormatting sqref="L19">
    <cfRule type="cellIs" dxfId="5603" priority="12129" operator="equal">
      <formula>"OFF"</formula>
    </cfRule>
    <cfRule type="cellIs" dxfId="5602" priority="12130" operator="equal">
      <formula>"PTO"</formula>
    </cfRule>
  </conditionalFormatting>
  <conditionalFormatting sqref="L19">
    <cfRule type="cellIs" dxfId="5601" priority="12127" operator="equal">
      <formula>"OFF"</formula>
    </cfRule>
    <cfRule type="cellIs" dxfId="5600" priority="12128" operator="equal">
      <formula>"PTO"</formula>
    </cfRule>
  </conditionalFormatting>
  <conditionalFormatting sqref="L19">
    <cfRule type="cellIs" dxfId="5599" priority="12125" operator="equal">
      <formula>"OFF"</formula>
    </cfRule>
    <cfRule type="cellIs" dxfId="5598" priority="12126" operator="equal">
      <formula>"PTO"</formula>
    </cfRule>
  </conditionalFormatting>
  <conditionalFormatting sqref="P20:P32">
    <cfRule type="cellIs" dxfId="5597" priority="11791" operator="equal">
      <formula>"OFF"</formula>
    </cfRule>
    <cfRule type="cellIs" dxfId="5596" priority="11792" operator="equal">
      <formula>"PTO"</formula>
    </cfRule>
  </conditionalFormatting>
  <conditionalFormatting sqref="P20:P32">
    <cfRule type="cellIs" dxfId="5595" priority="11789" operator="equal">
      <formula>"OFF"</formula>
    </cfRule>
    <cfRule type="cellIs" dxfId="5594" priority="11790" operator="equal">
      <formula>"PTO"</formula>
    </cfRule>
  </conditionalFormatting>
  <conditionalFormatting sqref="P20:P32">
    <cfRule type="cellIs" dxfId="5593" priority="11787" operator="equal">
      <formula>"OFF"</formula>
    </cfRule>
    <cfRule type="cellIs" dxfId="5592" priority="11788" operator="equal">
      <formula>"PTO"</formula>
    </cfRule>
  </conditionalFormatting>
  <conditionalFormatting sqref="P20:P32">
    <cfRule type="cellIs" dxfId="5591" priority="11785" operator="equal">
      <formula>"OFF"</formula>
    </cfRule>
    <cfRule type="cellIs" dxfId="5590" priority="11786" operator="equal">
      <formula>"PTO"</formula>
    </cfRule>
  </conditionalFormatting>
  <conditionalFormatting sqref="P20:P32">
    <cfRule type="cellIs" dxfId="5589" priority="11783" operator="equal">
      <formula>"OFF"</formula>
    </cfRule>
    <cfRule type="cellIs" dxfId="5588" priority="11784" operator="equal">
      <formula>"PTO"</formula>
    </cfRule>
  </conditionalFormatting>
  <conditionalFormatting sqref="K14:O32">
    <cfRule type="cellIs" dxfId="5587" priority="11779" operator="equal">
      <formula>"OFF"</formula>
    </cfRule>
    <cfRule type="cellIs" dxfId="5586" priority="11780" operator="equal">
      <formula>"PTO"</formula>
    </cfRule>
  </conditionalFormatting>
  <conditionalFormatting sqref="K14:P32">
    <cfRule type="cellIs" dxfId="5585" priority="11773" operator="equal">
      <formula>"OFF"</formula>
    </cfRule>
    <cfRule type="cellIs" dxfId="5584" priority="11774" operator="equal">
      <formula>"PTO"</formula>
    </cfRule>
  </conditionalFormatting>
  <conditionalFormatting sqref="K14:P32">
    <cfRule type="cellIs" dxfId="5583" priority="11757" operator="equal">
      <formula>"OFF"</formula>
    </cfRule>
    <cfRule type="cellIs" dxfId="5582" priority="11758" operator="equal">
      <formula>"PTO"</formula>
    </cfRule>
  </conditionalFormatting>
  <conditionalFormatting sqref="K14:P32">
    <cfRule type="cellIs" dxfId="5581" priority="11725" operator="equal">
      <formula>"OFF"</formula>
    </cfRule>
    <cfRule type="cellIs" dxfId="5580" priority="11726" operator="equal">
      <formula>"PTO"</formula>
    </cfRule>
  </conditionalFormatting>
  <conditionalFormatting sqref="K14:P32">
    <cfRule type="cellIs" dxfId="5579" priority="11723" operator="equal">
      <formula>"OFF"</formula>
    </cfRule>
    <cfRule type="cellIs" dxfId="5578" priority="11724" operator="equal">
      <formula>"PTO"</formula>
    </cfRule>
  </conditionalFormatting>
  <conditionalFormatting sqref="L19">
    <cfRule type="cellIs" dxfId="5577" priority="12123" operator="equal">
      <formula>"OFF"</formula>
    </cfRule>
    <cfRule type="cellIs" dxfId="5576" priority="12124" operator="equal">
      <formula>"PTO"</formula>
    </cfRule>
  </conditionalFormatting>
  <conditionalFormatting sqref="L19">
    <cfRule type="cellIs" dxfId="5575" priority="12121" operator="equal">
      <formula>"OFF"</formula>
    </cfRule>
    <cfRule type="cellIs" dxfId="5574" priority="12122" operator="equal">
      <formula>"PTO"</formula>
    </cfRule>
  </conditionalFormatting>
  <conditionalFormatting sqref="L19">
    <cfRule type="cellIs" dxfId="5573" priority="12119" operator="equal">
      <formula>"OFF"</formula>
    </cfRule>
    <cfRule type="cellIs" dxfId="5572" priority="12120" operator="equal">
      <formula>"PTO"</formula>
    </cfRule>
  </conditionalFormatting>
  <conditionalFormatting sqref="L19">
    <cfRule type="cellIs" dxfId="5571" priority="12117" operator="equal">
      <formula>"OFF"</formula>
    </cfRule>
    <cfRule type="cellIs" dxfId="5570" priority="12118" operator="equal">
      <formula>"PTO"</formula>
    </cfRule>
  </conditionalFormatting>
  <conditionalFormatting sqref="L19">
    <cfRule type="cellIs" dxfId="5569" priority="12115" operator="equal">
      <formula>"OFF"</formula>
    </cfRule>
    <cfRule type="cellIs" dxfId="5568" priority="12116" operator="equal">
      <formula>"PTO"</formula>
    </cfRule>
  </conditionalFormatting>
  <conditionalFormatting sqref="L19">
    <cfRule type="cellIs" dxfId="5567" priority="12113" operator="equal">
      <formula>"OFF"</formula>
    </cfRule>
    <cfRule type="cellIs" dxfId="5566" priority="12114" operator="equal">
      <formula>"PTO"</formula>
    </cfRule>
  </conditionalFormatting>
  <conditionalFormatting sqref="L19">
    <cfRule type="cellIs" dxfId="5565" priority="12111" operator="equal">
      <formula>"OFF"</formula>
    </cfRule>
    <cfRule type="cellIs" dxfId="5564" priority="12112" operator="equal">
      <formula>"PTO"</formula>
    </cfRule>
  </conditionalFormatting>
  <conditionalFormatting sqref="L19">
    <cfRule type="cellIs" dxfId="5563" priority="12109" operator="equal">
      <formula>"OFF"</formula>
    </cfRule>
    <cfRule type="cellIs" dxfId="5562" priority="12110" operator="equal">
      <formula>"PTO"</formula>
    </cfRule>
  </conditionalFormatting>
  <conditionalFormatting sqref="L19">
    <cfRule type="cellIs" dxfId="5561" priority="12107" operator="equal">
      <formula>"OFF"</formula>
    </cfRule>
    <cfRule type="cellIs" dxfId="5560" priority="12108" operator="equal">
      <formula>"PTO"</formula>
    </cfRule>
  </conditionalFormatting>
  <conditionalFormatting sqref="L19">
    <cfRule type="cellIs" dxfId="5559" priority="12105" operator="equal">
      <formula>"OFF"</formula>
    </cfRule>
    <cfRule type="cellIs" dxfId="5558" priority="12106" operator="equal">
      <formula>"PTO"</formula>
    </cfRule>
  </conditionalFormatting>
  <conditionalFormatting sqref="L19">
    <cfRule type="cellIs" dxfId="5557" priority="12103" operator="equal">
      <formula>"OFF"</formula>
    </cfRule>
    <cfRule type="cellIs" dxfId="5556" priority="12104" operator="equal">
      <formula>"PTO"</formula>
    </cfRule>
  </conditionalFormatting>
  <conditionalFormatting sqref="L19">
    <cfRule type="cellIs" dxfId="5555" priority="12101" operator="equal">
      <formula>"OFF"</formula>
    </cfRule>
    <cfRule type="cellIs" dxfId="5554" priority="12102" operator="equal">
      <formula>"PTO"</formula>
    </cfRule>
  </conditionalFormatting>
  <conditionalFormatting sqref="O19">
    <cfRule type="cellIs" dxfId="5553" priority="12099" operator="equal">
      <formula>"OFF"</formula>
    </cfRule>
    <cfRule type="cellIs" dxfId="5552" priority="12100" operator="equal">
      <formula>"PTO"</formula>
    </cfRule>
  </conditionalFormatting>
  <conditionalFormatting sqref="O19">
    <cfRule type="cellIs" dxfId="5551" priority="12097" operator="equal">
      <formula>"OFF"</formula>
    </cfRule>
    <cfRule type="cellIs" dxfId="5550" priority="12098" operator="equal">
      <formula>"PTO"</formula>
    </cfRule>
  </conditionalFormatting>
  <conditionalFormatting sqref="O19">
    <cfRule type="cellIs" dxfId="5549" priority="12095" operator="equal">
      <formula>"OFF"</formula>
    </cfRule>
    <cfRule type="cellIs" dxfId="5548" priority="12096" operator="equal">
      <formula>"PTO"</formula>
    </cfRule>
  </conditionalFormatting>
  <conditionalFormatting sqref="O19">
    <cfRule type="cellIs" dxfId="5547" priority="12093" operator="equal">
      <formula>"OFF"</formula>
    </cfRule>
    <cfRule type="cellIs" dxfId="5546" priority="12094" operator="equal">
      <formula>"PTO"</formula>
    </cfRule>
  </conditionalFormatting>
  <conditionalFormatting sqref="O19">
    <cfRule type="cellIs" dxfId="5545" priority="12091" operator="equal">
      <formula>"OFF"</formula>
    </cfRule>
    <cfRule type="cellIs" dxfId="5544" priority="12092" operator="equal">
      <formula>"PTO"</formula>
    </cfRule>
  </conditionalFormatting>
  <conditionalFormatting sqref="O19">
    <cfRule type="cellIs" dxfId="5543" priority="12089" operator="equal">
      <formula>"OFF"</formula>
    </cfRule>
    <cfRule type="cellIs" dxfId="5542" priority="12090" operator="equal">
      <formula>"PTO"</formula>
    </cfRule>
  </conditionalFormatting>
  <conditionalFormatting sqref="O19">
    <cfRule type="cellIs" dxfId="5541" priority="12087" operator="equal">
      <formula>"OFF"</formula>
    </cfRule>
    <cfRule type="cellIs" dxfId="5540" priority="12088" operator="equal">
      <formula>"PTO"</formula>
    </cfRule>
  </conditionalFormatting>
  <conditionalFormatting sqref="O19">
    <cfRule type="cellIs" dxfId="5539" priority="12085" operator="equal">
      <formula>"OFF"</formula>
    </cfRule>
    <cfRule type="cellIs" dxfId="5538" priority="12086" operator="equal">
      <formula>"PTO"</formula>
    </cfRule>
  </conditionalFormatting>
  <conditionalFormatting sqref="O19">
    <cfRule type="cellIs" dxfId="5537" priority="12083" operator="equal">
      <formula>"OFF"</formula>
    </cfRule>
    <cfRule type="cellIs" dxfId="5536" priority="12084" operator="equal">
      <formula>"PTO"</formula>
    </cfRule>
  </conditionalFormatting>
  <conditionalFormatting sqref="O19">
    <cfRule type="cellIs" dxfId="5535" priority="12081" operator="equal">
      <formula>"OFF"</formula>
    </cfRule>
    <cfRule type="cellIs" dxfId="5534" priority="12082" operator="equal">
      <formula>"PTO"</formula>
    </cfRule>
  </conditionalFormatting>
  <conditionalFormatting sqref="O19">
    <cfRule type="cellIs" dxfId="5533" priority="12079" operator="equal">
      <formula>"OFF"</formula>
    </cfRule>
    <cfRule type="cellIs" dxfId="5532" priority="12080" operator="equal">
      <formula>"PTO"</formula>
    </cfRule>
  </conditionalFormatting>
  <conditionalFormatting sqref="O19">
    <cfRule type="cellIs" dxfId="5531" priority="12077" operator="equal">
      <formula>"OFF"</formula>
    </cfRule>
    <cfRule type="cellIs" dxfId="5530" priority="12078" operator="equal">
      <formula>"PTO"</formula>
    </cfRule>
  </conditionalFormatting>
  <conditionalFormatting sqref="O19">
    <cfRule type="cellIs" dxfId="5529" priority="12075" operator="equal">
      <formula>"OFF"</formula>
    </cfRule>
    <cfRule type="cellIs" dxfId="5528" priority="12076" operator="equal">
      <formula>"PTO"</formula>
    </cfRule>
  </conditionalFormatting>
  <conditionalFormatting sqref="O19">
    <cfRule type="cellIs" dxfId="5527" priority="12073" operator="equal">
      <formula>"OFF"</formula>
    </cfRule>
    <cfRule type="cellIs" dxfId="5526" priority="12074" operator="equal">
      <formula>"PTO"</formula>
    </cfRule>
  </conditionalFormatting>
  <conditionalFormatting sqref="O19">
    <cfRule type="cellIs" dxfId="5525" priority="12071" operator="equal">
      <formula>"OFF"</formula>
    </cfRule>
    <cfRule type="cellIs" dxfId="5524" priority="12072" operator="equal">
      <formula>"PTO"</formula>
    </cfRule>
  </conditionalFormatting>
  <conditionalFormatting sqref="O19">
    <cfRule type="cellIs" dxfId="5523" priority="12069" operator="equal">
      <formula>"OFF"</formula>
    </cfRule>
    <cfRule type="cellIs" dxfId="5522" priority="12070" operator="equal">
      <formula>"PTO"</formula>
    </cfRule>
  </conditionalFormatting>
  <conditionalFormatting sqref="K19:P32">
    <cfRule type="cellIs" dxfId="5521" priority="12067" operator="equal">
      <formula>"OFF"</formula>
    </cfRule>
    <cfRule type="cellIs" dxfId="5520" priority="12068" operator="equal">
      <formula>"PTO"</formula>
    </cfRule>
  </conditionalFormatting>
  <conditionalFormatting sqref="K19:P32">
    <cfRule type="cellIs" dxfId="5519" priority="12065" operator="equal">
      <formula>"OFF"</formula>
    </cfRule>
    <cfRule type="cellIs" dxfId="5518" priority="12066" operator="equal">
      <formula>"PTO"</formula>
    </cfRule>
  </conditionalFormatting>
  <conditionalFormatting sqref="K19:P32">
    <cfRule type="cellIs" dxfId="5517" priority="12063" operator="equal">
      <formula>"OFF"</formula>
    </cfRule>
    <cfRule type="cellIs" dxfId="5516" priority="12064" operator="equal">
      <formula>"PTO"</formula>
    </cfRule>
  </conditionalFormatting>
  <conditionalFormatting sqref="K19:P32">
    <cfRule type="cellIs" dxfId="5515" priority="12061" operator="equal">
      <formula>"OFF"</formula>
    </cfRule>
    <cfRule type="cellIs" dxfId="5514" priority="12062" operator="equal">
      <formula>"PTO"</formula>
    </cfRule>
  </conditionalFormatting>
  <conditionalFormatting sqref="K19:P32">
    <cfRule type="cellIs" dxfId="5513" priority="12059" operator="equal">
      <formula>"OFF"</formula>
    </cfRule>
    <cfRule type="cellIs" dxfId="5512" priority="12060" operator="equal">
      <formula>"PTO"</formula>
    </cfRule>
  </conditionalFormatting>
  <conditionalFormatting sqref="K19:P32">
    <cfRule type="cellIs" dxfId="5511" priority="12057" operator="equal">
      <formula>"OFF"</formula>
    </cfRule>
    <cfRule type="cellIs" dxfId="5510" priority="12058" operator="equal">
      <formula>"PTO"</formula>
    </cfRule>
  </conditionalFormatting>
  <conditionalFormatting sqref="K19:P32">
    <cfRule type="cellIs" dxfId="5509" priority="12055" operator="equal">
      <formula>"OFF"</formula>
    </cfRule>
    <cfRule type="cellIs" dxfId="5508" priority="12056" operator="equal">
      <formula>"PTO"</formula>
    </cfRule>
  </conditionalFormatting>
  <conditionalFormatting sqref="K19:P32">
    <cfRule type="cellIs" dxfId="5507" priority="12053" operator="equal">
      <formula>"OFF"</formula>
    </cfRule>
    <cfRule type="cellIs" dxfId="5506" priority="12054" operator="equal">
      <formula>"PTO"</formula>
    </cfRule>
  </conditionalFormatting>
  <conditionalFormatting sqref="K19:P32">
    <cfRule type="cellIs" dxfId="5505" priority="12051" operator="equal">
      <formula>"OFF"</formula>
    </cfRule>
    <cfRule type="cellIs" dxfId="5504" priority="12052" operator="equal">
      <formula>"PTO"</formula>
    </cfRule>
  </conditionalFormatting>
  <conditionalFormatting sqref="K19:P32">
    <cfRule type="cellIs" dxfId="5503" priority="12049" operator="equal">
      <formula>"OFF"</formula>
    </cfRule>
    <cfRule type="cellIs" dxfId="5502" priority="12050" operator="equal">
      <formula>"PTO"</formula>
    </cfRule>
  </conditionalFormatting>
  <conditionalFormatting sqref="K19:P32">
    <cfRule type="cellIs" dxfId="5501" priority="12047" operator="equal">
      <formula>"OFF"</formula>
    </cfRule>
    <cfRule type="cellIs" dxfId="5500" priority="12048" operator="equal">
      <formula>"PTO"</formula>
    </cfRule>
  </conditionalFormatting>
  <conditionalFormatting sqref="K19:P32">
    <cfRule type="cellIs" dxfId="5499" priority="12045" operator="equal">
      <formula>"OFF"</formula>
    </cfRule>
    <cfRule type="cellIs" dxfId="5498" priority="12046" operator="equal">
      <formula>"PTO"</formula>
    </cfRule>
  </conditionalFormatting>
  <conditionalFormatting sqref="K19:P32">
    <cfRule type="cellIs" dxfId="5497" priority="12043" operator="equal">
      <formula>"OFF"</formula>
    </cfRule>
    <cfRule type="cellIs" dxfId="5496" priority="12044" operator="equal">
      <formula>"PTO"</formula>
    </cfRule>
  </conditionalFormatting>
  <conditionalFormatting sqref="L19:O32">
    <cfRule type="cellIs" dxfId="5495" priority="12041" operator="equal">
      <formula>"OFF"</formula>
    </cfRule>
    <cfRule type="cellIs" dxfId="5494" priority="12042" operator="equal">
      <formula>"PTO"</formula>
    </cfRule>
  </conditionalFormatting>
  <conditionalFormatting sqref="K19:P32">
    <cfRule type="cellIs" dxfId="5493" priority="12039" operator="equal">
      <formula>"OFF"</formula>
    </cfRule>
    <cfRule type="cellIs" dxfId="5492" priority="12040" operator="equal">
      <formula>"PTO"</formula>
    </cfRule>
  </conditionalFormatting>
  <conditionalFormatting sqref="L19:O32">
    <cfRule type="cellIs" dxfId="5491" priority="12037" operator="equal">
      <formula>"OFF"</formula>
    </cfRule>
    <cfRule type="cellIs" dxfId="5490" priority="12038" operator="equal">
      <formula>"PTO"</formula>
    </cfRule>
  </conditionalFormatting>
  <conditionalFormatting sqref="O19:P32">
    <cfRule type="cellIs" dxfId="5489" priority="12035" operator="equal">
      <formula>"OFF"</formula>
    </cfRule>
    <cfRule type="cellIs" dxfId="5488" priority="12036" operator="equal">
      <formula>"PTO"</formula>
    </cfRule>
  </conditionalFormatting>
  <conditionalFormatting sqref="L19:O32">
    <cfRule type="cellIs" dxfId="5487" priority="12033" operator="equal">
      <formula>"OFF"</formula>
    </cfRule>
    <cfRule type="cellIs" dxfId="5486" priority="12034" operator="equal">
      <formula>"PTO"</formula>
    </cfRule>
  </conditionalFormatting>
  <conditionalFormatting sqref="O19:P32">
    <cfRule type="cellIs" dxfId="5485" priority="12031" operator="equal">
      <formula>"OFF"</formula>
    </cfRule>
    <cfRule type="cellIs" dxfId="5484" priority="12032" operator="equal">
      <formula>"PTO"</formula>
    </cfRule>
  </conditionalFormatting>
  <conditionalFormatting sqref="L19:O32">
    <cfRule type="cellIs" dxfId="5483" priority="12029" operator="equal">
      <formula>"OFF"</formula>
    </cfRule>
    <cfRule type="cellIs" dxfId="5482" priority="12030" operator="equal">
      <formula>"PTO"</formula>
    </cfRule>
  </conditionalFormatting>
  <conditionalFormatting sqref="O19:P32">
    <cfRule type="cellIs" dxfId="5481" priority="12027" operator="equal">
      <formula>"OFF"</formula>
    </cfRule>
    <cfRule type="cellIs" dxfId="5480" priority="12028" operator="equal">
      <formula>"PTO"</formula>
    </cfRule>
  </conditionalFormatting>
  <conditionalFormatting sqref="L19:O32">
    <cfRule type="cellIs" dxfId="5479" priority="12025" operator="equal">
      <formula>"OFF"</formula>
    </cfRule>
    <cfRule type="cellIs" dxfId="5478" priority="12026" operator="equal">
      <formula>"PTO"</formula>
    </cfRule>
  </conditionalFormatting>
  <conditionalFormatting sqref="O19:P32">
    <cfRule type="cellIs" dxfId="5477" priority="12023" operator="equal">
      <formula>"OFF"</formula>
    </cfRule>
    <cfRule type="cellIs" dxfId="5476" priority="12024" operator="equal">
      <formula>"PTO"</formula>
    </cfRule>
  </conditionalFormatting>
  <conditionalFormatting sqref="L19:O32">
    <cfRule type="cellIs" dxfId="5475" priority="12021" operator="equal">
      <formula>"OFF"</formula>
    </cfRule>
    <cfRule type="cellIs" dxfId="5474" priority="12022" operator="equal">
      <formula>"PTO"</formula>
    </cfRule>
  </conditionalFormatting>
  <conditionalFormatting sqref="O19:P32">
    <cfRule type="cellIs" dxfId="5473" priority="12019" operator="equal">
      <formula>"OFF"</formula>
    </cfRule>
    <cfRule type="cellIs" dxfId="5472" priority="12020" operator="equal">
      <formula>"PTO"</formula>
    </cfRule>
  </conditionalFormatting>
  <conditionalFormatting sqref="L19:O32">
    <cfRule type="cellIs" dxfId="5471" priority="12017" operator="equal">
      <formula>"OFF"</formula>
    </cfRule>
    <cfRule type="cellIs" dxfId="5470" priority="12018" operator="equal">
      <formula>"PTO"</formula>
    </cfRule>
  </conditionalFormatting>
  <conditionalFormatting sqref="O19:P32">
    <cfRule type="cellIs" dxfId="5469" priority="12015" operator="equal">
      <formula>"OFF"</formula>
    </cfRule>
    <cfRule type="cellIs" dxfId="5468" priority="12016" operator="equal">
      <formula>"PTO"</formula>
    </cfRule>
  </conditionalFormatting>
  <conditionalFormatting sqref="K20:O32">
    <cfRule type="cellIs" dxfId="5467" priority="12011" operator="equal">
      <formula>"OFF"</formula>
    </cfRule>
    <cfRule type="cellIs" dxfId="5466" priority="12012" operator="equal">
      <formula>"PTO"</formula>
    </cfRule>
  </conditionalFormatting>
  <conditionalFormatting sqref="K20:O32">
    <cfRule type="cellIs" dxfId="5465" priority="11999" operator="equal">
      <formula>"OFF"</formula>
    </cfRule>
    <cfRule type="cellIs" dxfId="5464" priority="12000" operator="equal">
      <formula>"PTO"</formula>
    </cfRule>
  </conditionalFormatting>
  <conditionalFormatting sqref="K20:O32">
    <cfRule type="cellIs" dxfId="5463" priority="11979" operator="equal">
      <formula>"OFF"</formula>
    </cfRule>
    <cfRule type="cellIs" dxfId="5462" priority="11980" operator="equal">
      <formula>"PTO"</formula>
    </cfRule>
  </conditionalFormatting>
  <conditionalFormatting sqref="K20:O32">
    <cfRule type="cellIs" dxfId="5461" priority="11977" operator="equal">
      <formula>"OFF"</formula>
    </cfRule>
    <cfRule type="cellIs" dxfId="5460" priority="11978" operator="equal">
      <formula>"PTO"</formula>
    </cfRule>
  </conditionalFormatting>
  <conditionalFormatting sqref="K20:O32">
    <cfRule type="cellIs" dxfId="5459" priority="11975" operator="equal">
      <formula>"OFF"</formula>
    </cfRule>
    <cfRule type="cellIs" dxfId="5458" priority="11976" operator="equal">
      <formula>"PTO"</formula>
    </cfRule>
  </conditionalFormatting>
  <conditionalFormatting sqref="K20:O32">
    <cfRule type="cellIs" dxfId="5457" priority="11973" operator="equal">
      <formula>"OFF"</formula>
    </cfRule>
    <cfRule type="cellIs" dxfId="5456" priority="11974" operator="equal">
      <formula>"PTO"</formula>
    </cfRule>
  </conditionalFormatting>
  <conditionalFormatting sqref="K20:O32">
    <cfRule type="cellIs" dxfId="5455" priority="11961" operator="equal">
      <formula>"OFF"</formula>
    </cfRule>
    <cfRule type="cellIs" dxfId="5454" priority="11962" operator="equal">
      <formula>"PTO"</formula>
    </cfRule>
  </conditionalFormatting>
  <conditionalFormatting sqref="K20:O32">
    <cfRule type="cellIs" dxfId="5453" priority="11959" operator="equal">
      <formula>"OFF"</formula>
    </cfRule>
    <cfRule type="cellIs" dxfId="5452" priority="11960" operator="equal">
      <formula>"PTO"</formula>
    </cfRule>
  </conditionalFormatting>
  <conditionalFormatting sqref="K20:O32">
    <cfRule type="cellIs" dxfId="5451" priority="11957" operator="equal">
      <formula>"OFF"</formula>
    </cfRule>
    <cfRule type="cellIs" dxfId="5450" priority="11958" operator="equal">
      <formula>"PTO"</formula>
    </cfRule>
  </conditionalFormatting>
  <conditionalFormatting sqref="K20:O32">
    <cfRule type="cellIs" dxfId="5449" priority="11955" operator="equal">
      <formula>"OFF"</formula>
    </cfRule>
    <cfRule type="cellIs" dxfId="5448" priority="11956" operator="equal">
      <formula>"PTO"</formula>
    </cfRule>
  </conditionalFormatting>
  <conditionalFormatting sqref="K20:O32">
    <cfRule type="cellIs" dxfId="5447" priority="11943" operator="equal">
      <formula>"OFF"</formula>
    </cfRule>
    <cfRule type="cellIs" dxfId="5446" priority="11944" operator="equal">
      <formula>"PTO"</formula>
    </cfRule>
  </conditionalFormatting>
  <conditionalFormatting sqref="K20:O32">
    <cfRule type="cellIs" dxfId="5445" priority="11941" operator="equal">
      <formula>"OFF"</formula>
    </cfRule>
    <cfRule type="cellIs" dxfId="5444" priority="11942" operator="equal">
      <formula>"PTO"</formula>
    </cfRule>
  </conditionalFormatting>
  <conditionalFormatting sqref="K20:O32">
    <cfRule type="cellIs" dxfId="5443" priority="11939" operator="equal">
      <formula>"OFF"</formula>
    </cfRule>
    <cfRule type="cellIs" dxfId="5442" priority="11940" operator="equal">
      <formula>"PTO"</formula>
    </cfRule>
  </conditionalFormatting>
  <conditionalFormatting sqref="K20:O32">
    <cfRule type="cellIs" dxfId="5441" priority="11937" operator="equal">
      <formula>"OFF"</formula>
    </cfRule>
    <cfRule type="cellIs" dxfId="5440" priority="11938" operator="equal">
      <formula>"PTO"</formula>
    </cfRule>
  </conditionalFormatting>
  <conditionalFormatting sqref="K20:O32">
    <cfRule type="cellIs" dxfId="5439" priority="11927" operator="equal">
      <formula>"OFF"</formula>
    </cfRule>
    <cfRule type="cellIs" dxfId="5438" priority="11928" operator="equal">
      <formula>"PTO"</formula>
    </cfRule>
  </conditionalFormatting>
  <conditionalFormatting sqref="K20:O32">
    <cfRule type="cellIs" dxfId="5437" priority="11925" operator="equal">
      <formula>"OFF"</formula>
    </cfRule>
    <cfRule type="cellIs" dxfId="5436" priority="11926" operator="equal">
      <formula>"PTO"</formula>
    </cfRule>
  </conditionalFormatting>
  <conditionalFormatting sqref="K20:O32">
    <cfRule type="cellIs" dxfId="5435" priority="11923" operator="equal">
      <formula>"OFF"</formula>
    </cfRule>
    <cfRule type="cellIs" dxfId="5434" priority="11924" operator="equal">
      <formula>"PTO"</formula>
    </cfRule>
  </conditionalFormatting>
  <conditionalFormatting sqref="K20:O32">
    <cfRule type="cellIs" dxfId="5433" priority="11921" operator="equal">
      <formula>"OFF"</formula>
    </cfRule>
    <cfRule type="cellIs" dxfId="5432" priority="11922" operator="equal">
      <formula>"PTO"</formula>
    </cfRule>
  </conditionalFormatting>
  <conditionalFormatting sqref="K20:O32">
    <cfRule type="cellIs" dxfId="5431" priority="11865" operator="equal">
      <formula>"OFF"</formula>
    </cfRule>
    <cfRule type="cellIs" dxfId="5430" priority="11866" operator="equal">
      <formula>"PTO"</formula>
    </cfRule>
  </conditionalFormatting>
  <conditionalFormatting sqref="K20:O32">
    <cfRule type="cellIs" dxfId="5429" priority="11863" operator="equal">
      <formula>"OFF"</formula>
    </cfRule>
    <cfRule type="cellIs" dxfId="5428" priority="11864" operator="equal">
      <formula>"PTO"</formula>
    </cfRule>
  </conditionalFormatting>
  <conditionalFormatting sqref="K20:O32">
    <cfRule type="cellIs" dxfId="5427" priority="11861" operator="equal">
      <formula>"OFF"</formula>
    </cfRule>
    <cfRule type="cellIs" dxfId="5426" priority="11862" operator="equal">
      <formula>"PTO"</formula>
    </cfRule>
  </conditionalFormatting>
  <conditionalFormatting sqref="K20:O32">
    <cfRule type="cellIs" dxfId="5425" priority="11859" operator="equal">
      <formula>"OFF"</formula>
    </cfRule>
    <cfRule type="cellIs" dxfId="5424" priority="11860" operator="equal">
      <formula>"PTO"</formula>
    </cfRule>
  </conditionalFormatting>
  <conditionalFormatting sqref="K20:O32">
    <cfRule type="cellIs" dxfId="5423" priority="11857" operator="equal">
      <formula>"OFF"</formula>
    </cfRule>
    <cfRule type="cellIs" dxfId="5422" priority="11858" operator="equal">
      <formula>"PTO"</formula>
    </cfRule>
  </conditionalFormatting>
  <conditionalFormatting sqref="K20:O32">
    <cfRule type="cellIs" dxfId="5421" priority="11855" operator="equal">
      <formula>"OFF"</formula>
    </cfRule>
    <cfRule type="cellIs" dxfId="5420" priority="11856" operator="equal">
      <formula>"PTO"</formula>
    </cfRule>
  </conditionalFormatting>
  <conditionalFormatting sqref="K20:O32">
    <cfRule type="cellIs" dxfId="5419" priority="11853" operator="equal">
      <formula>"OFF"</formula>
    </cfRule>
    <cfRule type="cellIs" dxfId="5418" priority="11854" operator="equal">
      <formula>"PTO"</formula>
    </cfRule>
  </conditionalFormatting>
  <conditionalFormatting sqref="K20:O32">
    <cfRule type="cellIs" dxfId="5417" priority="11851" operator="equal">
      <formula>"OFF"</formula>
    </cfRule>
    <cfRule type="cellIs" dxfId="5416" priority="11852" operator="equal">
      <formula>"PTO"</formula>
    </cfRule>
  </conditionalFormatting>
  <conditionalFormatting sqref="K20:O32">
    <cfRule type="cellIs" dxfId="5415" priority="11849" operator="equal">
      <formula>"OFF"</formula>
    </cfRule>
    <cfRule type="cellIs" dxfId="5414" priority="11850" operator="equal">
      <formula>"PTO"</formula>
    </cfRule>
  </conditionalFormatting>
  <conditionalFormatting sqref="K20:O32">
    <cfRule type="cellIs" dxfId="5413" priority="11847" operator="equal">
      <formula>"OFF"</formula>
    </cfRule>
    <cfRule type="cellIs" dxfId="5412" priority="11848" operator="equal">
      <formula>"PTO"</formula>
    </cfRule>
  </conditionalFormatting>
  <conditionalFormatting sqref="K20:O32">
    <cfRule type="cellIs" dxfId="5411" priority="11845" operator="equal">
      <formula>"OFF"</formula>
    </cfRule>
    <cfRule type="cellIs" dxfId="5410" priority="11846" operator="equal">
      <formula>"PTO"</formula>
    </cfRule>
  </conditionalFormatting>
  <conditionalFormatting sqref="K20:O32">
    <cfRule type="cellIs" dxfId="5409" priority="11843" operator="equal">
      <formula>"OFF"</formula>
    </cfRule>
    <cfRule type="cellIs" dxfId="5408" priority="11844" operator="equal">
      <formula>"PTO"</formula>
    </cfRule>
  </conditionalFormatting>
  <conditionalFormatting sqref="K20:O32">
    <cfRule type="cellIs" dxfId="5407" priority="11841" operator="equal">
      <formula>"OFF"</formula>
    </cfRule>
    <cfRule type="cellIs" dxfId="5406" priority="11842" operator="equal">
      <formula>"PTO"</formula>
    </cfRule>
  </conditionalFormatting>
  <conditionalFormatting sqref="K20:O32">
    <cfRule type="cellIs" dxfId="5405" priority="11839" operator="equal">
      <formula>"OFF"</formula>
    </cfRule>
    <cfRule type="cellIs" dxfId="5404" priority="11840" operator="equal">
      <formula>"PTO"</formula>
    </cfRule>
  </conditionalFormatting>
  <conditionalFormatting sqref="K20:O32">
    <cfRule type="cellIs" dxfId="5403" priority="11837" operator="equal">
      <formula>"OFF"</formula>
    </cfRule>
    <cfRule type="cellIs" dxfId="5402" priority="11838" operator="equal">
      <formula>"PTO"</formula>
    </cfRule>
  </conditionalFormatting>
  <conditionalFormatting sqref="K20:O32">
    <cfRule type="cellIs" dxfId="5401" priority="11835" operator="equal">
      <formula>"OFF"</formula>
    </cfRule>
    <cfRule type="cellIs" dxfId="5400" priority="11836" operator="equal">
      <formula>"PTO"</formula>
    </cfRule>
  </conditionalFormatting>
  <conditionalFormatting sqref="K20:O32">
    <cfRule type="cellIs" dxfId="5399" priority="11833" operator="equal">
      <formula>"OFF"</formula>
    </cfRule>
    <cfRule type="cellIs" dxfId="5398" priority="11834" operator="equal">
      <formula>"PTO"</formula>
    </cfRule>
  </conditionalFormatting>
  <conditionalFormatting sqref="K20:O32">
    <cfRule type="cellIs" dxfId="5397" priority="11831" operator="equal">
      <formula>"OFF"</formula>
    </cfRule>
    <cfRule type="cellIs" dxfId="5396" priority="11832" operator="equal">
      <formula>"PTO"</formula>
    </cfRule>
  </conditionalFormatting>
  <conditionalFormatting sqref="K20:O32">
    <cfRule type="cellIs" dxfId="5395" priority="11829" operator="equal">
      <formula>"OFF"</formula>
    </cfRule>
    <cfRule type="cellIs" dxfId="5394" priority="11830" operator="equal">
      <formula>"PTO"</formula>
    </cfRule>
  </conditionalFormatting>
  <conditionalFormatting sqref="K20:O32">
    <cfRule type="cellIs" dxfId="5393" priority="11827" operator="equal">
      <formula>"OFF"</formula>
    </cfRule>
    <cfRule type="cellIs" dxfId="5392" priority="11828" operator="equal">
      <formula>"PTO"</formula>
    </cfRule>
  </conditionalFormatting>
  <conditionalFormatting sqref="K20:O32">
    <cfRule type="cellIs" dxfId="5391" priority="11825" operator="equal">
      <formula>"OFF"</formula>
    </cfRule>
    <cfRule type="cellIs" dxfId="5390" priority="11826" operator="equal">
      <formula>"PTO"</formula>
    </cfRule>
  </conditionalFormatting>
  <conditionalFormatting sqref="K20:O32">
    <cfRule type="cellIs" dxfId="5389" priority="11823" operator="equal">
      <formula>"OFF"</formula>
    </cfRule>
    <cfRule type="cellIs" dxfId="5388" priority="11824" operator="equal">
      <formula>"PTO"</formula>
    </cfRule>
  </conditionalFormatting>
  <conditionalFormatting sqref="K20:O32">
    <cfRule type="cellIs" dxfId="5387" priority="11821" operator="equal">
      <formula>"OFF"</formula>
    </cfRule>
    <cfRule type="cellIs" dxfId="5386" priority="11822" operator="equal">
      <formula>"PTO"</formula>
    </cfRule>
  </conditionalFormatting>
  <conditionalFormatting sqref="K20:O32">
    <cfRule type="cellIs" dxfId="5385" priority="11819" operator="equal">
      <formula>"OFF"</formula>
    </cfRule>
    <cfRule type="cellIs" dxfId="5384" priority="11820" operator="equal">
      <formula>"PTO"</formula>
    </cfRule>
  </conditionalFormatting>
  <conditionalFormatting sqref="K20:O32">
    <cfRule type="cellIs" dxfId="5383" priority="11817" operator="equal">
      <formula>"OFF"</formula>
    </cfRule>
    <cfRule type="cellIs" dxfId="5382" priority="11818" operator="equal">
      <formula>"PTO"</formula>
    </cfRule>
  </conditionalFormatting>
  <conditionalFormatting sqref="M20:O32">
    <cfRule type="cellIs" dxfId="5381" priority="11815" operator="equal">
      <formula>"OFF"</formula>
    </cfRule>
    <cfRule type="cellIs" dxfId="5380" priority="11816" operator="equal">
      <formula>"PTO"</formula>
    </cfRule>
  </conditionalFormatting>
  <conditionalFormatting sqref="N20:O32">
    <cfRule type="cellIs" dxfId="5379" priority="11813" operator="equal">
      <formula>"OFF"</formula>
    </cfRule>
    <cfRule type="cellIs" dxfId="5378" priority="11814" operator="equal">
      <formula>"PTO"</formula>
    </cfRule>
  </conditionalFormatting>
  <conditionalFormatting sqref="N20:O32">
    <cfRule type="cellIs" dxfId="5377" priority="11811" operator="equal">
      <formula>"OFF"</formula>
    </cfRule>
    <cfRule type="cellIs" dxfId="5376" priority="11812" operator="equal">
      <formula>"PTO"</formula>
    </cfRule>
  </conditionalFormatting>
  <conditionalFormatting sqref="N20:O32">
    <cfRule type="cellIs" dxfId="5375" priority="11809" operator="equal">
      <formula>"OFF"</formula>
    </cfRule>
    <cfRule type="cellIs" dxfId="5374" priority="11810" operator="equal">
      <formula>"PTO"</formula>
    </cfRule>
  </conditionalFormatting>
  <conditionalFormatting sqref="N20:O32">
    <cfRule type="cellIs" dxfId="5373" priority="11807" operator="equal">
      <formula>"OFF"</formula>
    </cfRule>
    <cfRule type="cellIs" dxfId="5372" priority="11808" operator="equal">
      <formula>"PTO"</formula>
    </cfRule>
  </conditionalFormatting>
  <conditionalFormatting sqref="N20:O32">
    <cfRule type="cellIs" dxfId="5371" priority="11805" operator="equal">
      <formula>"OFF"</formula>
    </cfRule>
    <cfRule type="cellIs" dxfId="5370" priority="11806" operator="equal">
      <formula>"PTO"</formula>
    </cfRule>
  </conditionalFormatting>
  <conditionalFormatting sqref="N20:O32">
    <cfRule type="cellIs" dxfId="5369" priority="11803" operator="equal">
      <formula>"OFF"</formula>
    </cfRule>
    <cfRule type="cellIs" dxfId="5368" priority="11804" operator="equal">
      <formula>"PTO"</formula>
    </cfRule>
  </conditionalFormatting>
  <conditionalFormatting sqref="N20:O32">
    <cfRule type="cellIs" dxfId="5367" priority="11801" operator="equal">
      <formula>"OFF"</formula>
    </cfRule>
    <cfRule type="cellIs" dxfId="5366" priority="11802" operator="equal">
      <formula>"PTO"</formula>
    </cfRule>
  </conditionalFormatting>
  <conditionalFormatting sqref="N20:O32">
    <cfRule type="cellIs" dxfId="5365" priority="11799" operator="equal">
      <formula>"OFF"</formula>
    </cfRule>
    <cfRule type="cellIs" dxfId="5364" priority="11800" operator="equal">
      <formula>"PTO"</formula>
    </cfRule>
  </conditionalFormatting>
  <conditionalFormatting sqref="P20:P32">
    <cfRule type="cellIs" dxfId="5363" priority="11797" operator="equal">
      <formula>"OFF"</formula>
    </cfRule>
    <cfRule type="cellIs" dxfId="5362" priority="11798" operator="equal">
      <formula>"PTO"</formula>
    </cfRule>
  </conditionalFormatting>
  <conditionalFormatting sqref="P20:P32">
    <cfRule type="cellIs" dxfId="5361" priority="11795" operator="equal">
      <formula>"OFF"</formula>
    </cfRule>
    <cfRule type="cellIs" dxfId="5360" priority="11796" operator="equal">
      <formula>"PTO"</formula>
    </cfRule>
  </conditionalFormatting>
  <conditionalFormatting sqref="P20:P32">
    <cfRule type="cellIs" dxfId="5359" priority="11793" operator="equal">
      <formula>"OFF"</formula>
    </cfRule>
    <cfRule type="cellIs" dxfId="5358" priority="11794" operator="equal">
      <formula>"PTO"</formula>
    </cfRule>
  </conditionalFormatting>
  <conditionalFormatting sqref="K14:P32">
    <cfRule type="cellIs" dxfId="5357" priority="11777" operator="equal">
      <formula>"OFF"</formula>
    </cfRule>
    <cfRule type="cellIs" dxfId="5356" priority="11778" operator="equal">
      <formula>"PTO"</formula>
    </cfRule>
  </conditionalFormatting>
  <conditionalFormatting sqref="K14:P32">
    <cfRule type="cellIs" dxfId="5355" priority="11775" operator="equal">
      <formula>"OFF"</formula>
    </cfRule>
    <cfRule type="cellIs" dxfId="5354" priority="11776" operator="equal">
      <formula>"PTO"</formula>
    </cfRule>
  </conditionalFormatting>
  <conditionalFormatting sqref="K14:P32">
    <cfRule type="cellIs" dxfId="5353" priority="11771" operator="equal">
      <formula>"OFF"</formula>
    </cfRule>
    <cfRule type="cellIs" dxfId="5352" priority="11772" operator="equal">
      <formula>"PTO"</formula>
    </cfRule>
  </conditionalFormatting>
  <conditionalFormatting sqref="K14:P32">
    <cfRule type="cellIs" dxfId="5351" priority="11769" operator="equal">
      <formula>"OFF"</formula>
    </cfRule>
    <cfRule type="cellIs" dxfId="5350" priority="11770" operator="equal">
      <formula>"PTO"</formula>
    </cfRule>
  </conditionalFormatting>
  <conditionalFormatting sqref="K14:O32">
    <cfRule type="cellIs" dxfId="5349" priority="11767" operator="equal">
      <formula>"OFF"</formula>
    </cfRule>
    <cfRule type="cellIs" dxfId="5348" priority="11768" operator="equal">
      <formula>"PTO"</formula>
    </cfRule>
  </conditionalFormatting>
  <conditionalFormatting sqref="K14:O32">
    <cfRule type="cellIs" dxfId="5347" priority="11765" operator="equal">
      <formula>"OFF"</formula>
    </cfRule>
    <cfRule type="cellIs" dxfId="5346" priority="11766" operator="equal">
      <formula>"PTO"</formula>
    </cfRule>
  </conditionalFormatting>
  <conditionalFormatting sqref="K14:O32">
    <cfRule type="cellIs" dxfId="5345" priority="11763" operator="equal">
      <formula>"OFF"</formula>
    </cfRule>
    <cfRule type="cellIs" dxfId="5344" priority="11764" operator="equal">
      <formula>"PTO"</formula>
    </cfRule>
  </conditionalFormatting>
  <conditionalFormatting sqref="K14:O32">
    <cfRule type="cellIs" dxfId="5343" priority="11761" operator="equal">
      <formula>"OFF"</formula>
    </cfRule>
    <cfRule type="cellIs" dxfId="5342" priority="11762" operator="equal">
      <formula>"PTO"</formula>
    </cfRule>
  </conditionalFormatting>
  <conditionalFormatting sqref="K14:P32">
    <cfRule type="cellIs" dxfId="5341" priority="11759" operator="equal">
      <formula>"OFF"</formula>
    </cfRule>
    <cfRule type="cellIs" dxfId="5340" priority="11760" operator="equal">
      <formula>"PTO"</formula>
    </cfRule>
  </conditionalFormatting>
  <conditionalFormatting sqref="K14:P32">
    <cfRule type="cellIs" dxfId="5339" priority="11755" operator="equal">
      <formula>"OFF"</formula>
    </cfRule>
    <cfRule type="cellIs" dxfId="5338" priority="11756" operator="equal">
      <formula>"PTO"</formula>
    </cfRule>
  </conditionalFormatting>
  <conditionalFormatting sqref="K14:P32">
    <cfRule type="cellIs" dxfId="5337" priority="11753" operator="equal">
      <formula>"OFF"</formula>
    </cfRule>
    <cfRule type="cellIs" dxfId="5336" priority="11754" operator="equal">
      <formula>"PTO"</formula>
    </cfRule>
  </conditionalFormatting>
  <conditionalFormatting sqref="K14:O32">
    <cfRule type="cellIs" dxfId="5335" priority="11751" operator="equal">
      <formula>"OFF"</formula>
    </cfRule>
    <cfRule type="cellIs" dxfId="5334" priority="11752" operator="equal">
      <formula>"PTO"</formula>
    </cfRule>
  </conditionalFormatting>
  <conditionalFormatting sqref="K14:O32">
    <cfRule type="cellIs" dxfId="5333" priority="11749" operator="equal">
      <formula>"OFF"</formula>
    </cfRule>
    <cfRule type="cellIs" dxfId="5332" priority="11750" operator="equal">
      <formula>"PTO"</formula>
    </cfRule>
  </conditionalFormatting>
  <conditionalFormatting sqref="K14:O32">
    <cfRule type="cellIs" dxfId="5331" priority="11747" operator="equal">
      <formula>"OFF"</formula>
    </cfRule>
    <cfRule type="cellIs" dxfId="5330" priority="11748" operator="equal">
      <formula>"PTO"</formula>
    </cfRule>
  </conditionalFormatting>
  <conditionalFormatting sqref="K14:O32">
    <cfRule type="cellIs" dxfId="5329" priority="11745" operator="equal">
      <formula>"OFF"</formula>
    </cfRule>
    <cfRule type="cellIs" dxfId="5328" priority="11746" operator="equal">
      <formula>"PTO"</formula>
    </cfRule>
  </conditionalFormatting>
  <conditionalFormatting sqref="K14:P32">
    <cfRule type="cellIs" dxfId="5327" priority="11743" operator="equal">
      <formula>"OFF"</formula>
    </cfRule>
    <cfRule type="cellIs" dxfId="5326" priority="11744" operator="equal">
      <formula>"PTO"</formula>
    </cfRule>
  </conditionalFormatting>
  <conditionalFormatting sqref="K14:P32">
    <cfRule type="cellIs" dxfId="5325" priority="11741" operator="equal">
      <formula>"OFF"</formula>
    </cfRule>
    <cfRule type="cellIs" dxfId="5324" priority="11742" operator="equal">
      <formula>"PTO"</formula>
    </cfRule>
  </conditionalFormatting>
  <conditionalFormatting sqref="K14:P32">
    <cfRule type="cellIs" dxfId="5323" priority="11739" operator="equal">
      <formula>"OFF"</formula>
    </cfRule>
    <cfRule type="cellIs" dxfId="5322" priority="11740" operator="equal">
      <formula>"PTO"</formula>
    </cfRule>
  </conditionalFormatting>
  <conditionalFormatting sqref="K14:P32">
    <cfRule type="cellIs" dxfId="5321" priority="11737" operator="equal">
      <formula>"OFF"</formula>
    </cfRule>
    <cfRule type="cellIs" dxfId="5320" priority="11738" operator="equal">
      <formula>"PTO"</formula>
    </cfRule>
  </conditionalFormatting>
  <conditionalFormatting sqref="K14:O32">
    <cfRule type="cellIs" dxfId="5319" priority="11735" operator="equal">
      <formula>"OFF"</formula>
    </cfRule>
    <cfRule type="cellIs" dxfId="5318" priority="11736" operator="equal">
      <formula>"PTO"</formula>
    </cfRule>
  </conditionalFormatting>
  <conditionalFormatting sqref="K14:O32">
    <cfRule type="cellIs" dxfId="5317" priority="11733" operator="equal">
      <formula>"OFF"</formula>
    </cfRule>
    <cfRule type="cellIs" dxfId="5316" priority="11734" operator="equal">
      <formula>"PTO"</formula>
    </cfRule>
  </conditionalFormatting>
  <conditionalFormatting sqref="K14:O32">
    <cfRule type="cellIs" dxfId="5315" priority="11731" operator="equal">
      <formula>"OFF"</formula>
    </cfRule>
    <cfRule type="cellIs" dxfId="5314" priority="11732" operator="equal">
      <formula>"PTO"</formula>
    </cfRule>
  </conditionalFormatting>
  <conditionalFormatting sqref="K14:O32">
    <cfRule type="cellIs" dxfId="5313" priority="11729" operator="equal">
      <formula>"OFF"</formula>
    </cfRule>
    <cfRule type="cellIs" dxfId="5312" priority="11730" operator="equal">
      <formula>"PTO"</formula>
    </cfRule>
  </conditionalFormatting>
  <conditionalFormatting sqref="K14:P32">
    <cfRule type="cellIs" dxfId="5311" priority="11727" operator="equal">
      <formula>"OFF"</formula>
    </cfRule>
    <cfRule type="cellIs" dxfId="5310" priority="11728" operator="equal">
      <formula>"PTO"</formula>
    </cfRule>
  </conditionalFormatting>
  <conditionalFormatting sqref="K14:P32">
    <cfRule type="cellIs" dxfId="5309" priority="11721" operator="equal">
      <formula>"OFF"</formula>
    </cfRule>
    <cfRule type="cellIs" dxfId="5308" priority="11722" operator="equal">
      <formula>"PTO"</formula>
    </cfRule>
  </conditionalFormatting>
  <conditionalFormatting sqref="K14:O32">
    <cfRule type="cellIs" dxfId="5307" priority="11719" operator="equal">
      <formula>"OFF"</formula>
    </cfRule>
    <cfRule type="cellIs" dxfId="5306" priority="11720" operator="equal">
      <formula>"PTO"</formula>
    </cfRule>
  </conditionalFormatting>
  <conditionalFormatting sqref="K14:O32">
    <cfRule type="cellIs" dxfId="5305" priority="11717" operator="equal">
      <formula>"OFF"</formula>
    </cfRule>
    <cfRule type="cellIs" dxfId="5304" priority="11718" operator="equal">
      <formula>"PTO"</formula>
    </cfRule>
  </conditionalFormatting>
  <conditionalFormatting sqref="K14:O32">
    <cfRule type="cellIs" dxfId="5303" priority="11715" operator="equal">
      <formula>"OFF"</formula>
    </cfRule>
    <cfRule type="cellIs" dxfId="5302" priority="11716" operator="equal">
      <formula>"PTO"</formula>
    </cfRule>
  </conditionalFormatting>
  <conditionalFormatting sqref="K14:O32">
    <cfRule type="cellIs" dxfId="5301" priority="11713" operator="equal">
      <formula>"OFF"</formula>
    </cfRule>
    <cfRule type="cellIs" dxfId="5300" priority="11714" operator="equal">
      <formula>"PTO"</formula>
    </cfRule>
  </conditionalFormatting>
  <conditionalFormatting sqref="K14:P32">
    <cfRule type="cellIs" dxfId="5299" priority="11711" operator="equal">
      <formula>"OFF"</formula>
    </cfRule>
    <cfRule type="cellIs" dxfId="5298" priority="11712" operator="equal">
      <formula>"PTO"</formula>
    </cfRule>
  </conditionalFormatting>
  <conditionalFormatting sqref="K14:P32">
    <cfRule type="cellIs" dxfId="5297" priority="11709" operator="equal">
      <formula>"OFF"</formula>
    </cfRule>
    <cfRule type="cellIs" dxfId="5296" priority="11710" operator="equal">
      <formula>"PTO"</formula>
    </cfRule>
  </conditionalFormatting>
  <conditionalFormatting sqref="K14:P32">
    <cfRule type="cellIs" dxfId="5295" priority="11707" operator="equal">
      <formula>"OFF"</formula>
    </cfRule>
    <cfRule type="cellIs" dxfId="5294" priority="11708" operator="equal">
      <formula>"PTO"</formula>
    </cfRule>
  </conditionalFormatting>
  <conditionalFormatting sqref="K14:P32">
    <cfRule type="cellIs" dxfId="5293" priority="11705" operator="equal">
      <formula>"OFF"</formula>
    </cfRule>
    <cfRule type="cellIs" dxfId="5292" priority="11706" operator="equal">
      <formula>"PTO"</formula>
    </cfRule>
  </conditionalFormatting>
  <conditionalFormatting sqref="K14:P32">
    <cfRule type="cellIs" dxfId="5291" priority="11703" operator="equal">
      <formula>"OFF"</formula>
    </cfRule>
    <cfRule type="cellIs" dxfId="5290" priority="11704" operator="equal">
      <formula>"PTO"</formula>
    </cfRule>
  </conditionalFormatting>
  <conditionalFormatting sqref="K14:P32">
    <cfRule type="cellIs" dxfId="5289" priority="11701" operator="equal">
      <formula>"OFF"</formula>
    </cfRule>
    <cfRule type="cellIs" dxfId="5288" priority="11702" operator="equal">
      <formula>"PTO"</formula>
    </cfRule>
  </conditionalFormatting>
  <conditionalFormatting sqref="K14:P32">
    <cfRule type="cellIs" dxfId="5287" priority="11699" operator="equal">
      <formula>"OFF"</formula>
    </cfRule>
    <cfRule type="cellIs" dxfId="5286" priority="11700" operator="equal">
      <formula>"PTO"</formula>
    </cfRule>
  </conditionalFormatting>
  <conditionalFormatting sqref="K14:P32">
    <cfRule type="cellIs" dxfId="5285" priority="11697" operator="equal">
      <formula>"OFF"</formula>
    </cfRule>
    <cfRule type="cellIs" dxfId="5284" priority="11698" operator="equal">
      <formula>"PTO"</formula>
    </cfRule>
  </conditionalFormatting>
  <conditionalFormatting sqref="K14:P32">
    <cfRule type="cellIs" dxfId="5283" priority="11695" operator="equal">
      <formula>"OFF"</formula>
    </cfRule>
    <cfRule type="cellIs" dxfId="5282" priority="11696" operator="equal">
      <formula>"PTO"</formula>
    </cfRule>
  </conditionalFormatting>
  <conditionalFormatting sqref="K14:P32">
    <cfRule type="cellIs" dxfId="5281" priority="11693" operator="equal">
      <formula>"OFF"</formula>
    </cfRule>
    <cfRule type="cellIs" dxfId="5280" priority="11694" operator="equal">
      <formula>"PTO"</formula>
    </cfRule>
  </conditionalFormatting>
  <conditionalFormatting sqref="K14:P32">
    <cfRule type="cellIs" dxfId="5279" priority="11691" operator="equal">
      <formula>"OFF"</formula>
    </cfRule>
    <cfRule type="cellIs" dxfId="5278" priority="11692" operator="equal">
      <formula>"PTO"</formula>
    </cfRule>
  </conditionalFormatting>
  <conditionalFormatting sqref="K14:P32">
    <cfRule type="cellIs" dxfId="5277" priority="11689" operator="equal">
      <formula>"OFF"</formula>
    </cfRule>
    <cfRule type="cellIs" dxfId="5276" priority="11690" operator="equal">
      <formula>"PTO"</formula>
    </cfRule>
  </conditionalFormatting>
  <conditionalFormatting sqref="K14:P32">
    <cfRule type="cellIs" dxfId="5275" priority="11687" operator="equal">
      <formula>"OFF"</formula>
    </cfRule>
    <cfRule type="cellIs" dxfId="5274" priority="11688" operator="equal">
      <formula>"PTO"</formula>
    </cfRule>
  </conditionalFormatting>
  <conditionalFormatting sqref="K14:P32">
    <cfRule type="cellIs" dxfId="5273" priority="11685" operator="equal">
      <formula>"OFF"</formula>
    </cfRule>
    <cfRule type="cellIs" dxfId="5272" priority="11686" operator="equal">
      <formula>"PTO"</formula>
    </cfRule>
  </conditionalFormatting>
  <conditionalFormatting sqref="K14:P32">
    <cfRule type="cellIs" dxfId="5271" priority="11683" operator="equal">
      <formula>"OFF"</formula>
    </cfRule>
    <cfRule type="cellIs" dxfId="5270" priority="11684" operator="equal">
      <formula>"PTO"</formula>
    </cfRule>
  </conditionalFormatting>
  <conditionalFormatting sqref="K14:P32">
    <cfRule type="cellIs" dxfId="5269" priority="11681" operator="equal">
      <formula>"OFF"</formula>
    </cfRule>
    <cfRule type="cellIs" dxfId="5268" priority="11682" operator="equal">
      <formula>"PTO"</formula>
    </cfRule>
  </conditionalFormatting>
  <conditionalFormatting sqref="K14:P32">
    <cfRule type="cellIs" dxfId="5267" priority="11679" operator="equal">
      <formula>"OFF"</formula>
    </cfRule>
    <cfRule type="cellIs" dxfId="5266" priority="11680" operator="equal">
      <formula>"PTO"</formula>
    </cfRule>
  </conditionalFormatting>
  <conditionalFormatting sqref="K14:P32">
    <cfRule type="cellIs" dxfId="5265" priority="11677" operator="equal">
      <formula>"OFF"</formula>
    </cfRule>
    <cfRule type="cellIs" dxfId="5264" priority="11678" operator="equal">
      <formula>"PTO"</formula>
    </cfRule>
  </conditionalFormatting>
  <conditionalFormatting sqref="K14:P32">
    <cfRule type="cellIs" dxfId="5263" priority="11675" operator="equal">
      <formula>"OFF"</formula>
    </cfRule>
    <cfRule type="cellIs" dxfId="5262" priority="11676" operator="equal">
      <formula>"PTO"</formula>
    </cfRule>
  </conditionalFormatting>
  <conditionalFormatting sqref="K14:P32">
    <cfRule type="cellIs" dxfId="5261" priority="11673" operator="equal">
      <formula>"OFF"</formula>
    </cfRule>
    <cfRule type="cellIs" dxfId="5260" priority="11674" operator="equal">
      <formula>"PTO"</formula>
    </cfRule>
  </conditionalFormatting>
  <conditionalFormatting sqref="K14:P32">
    <cfRule type="cellIs" dxfId="5259" priority="11671" operator="equal">
      <formula>"OFF"</formula>
    </cfRule>
    <cfRule type="cellIs" dxfId="5258" priority="11672" operator="equal">
      <formula>"PTO"</formula>
    </cfRule>
  </conditionalFormatting>
  <conditionalFormatting sqref="K14:P32">
    <cfRule type="cellIs" dxfId="5257" priority="11669" operator="equal">
      <formula>"OFF"</formula>
    </cfRule>
    <cfRule type="cellIs" dxfId="5256" priority="11670" operator="equal">
      <formula>"PTO"</formula>
    </cfRule>
  </conditionalFormatting>
  <conditionalFormatting sqref="K14:P32">
    <cfRule type="cellIs" dxfId="5255" priority="11667" operator="equal">
      <formula>"OFF"</formula>
    </cfRule>
    <cfRule type="cellIs" dxfId="5254" priority="11668" operator="equal">
      <formula>"PTO"</formula>
    </cfRule>
  </conditionalFormatting>
  <conditionalFormatting sqref="K14:P32">
    <cfRule type="cellIs" dxfId="5253" priority="11665" operator="equal">
      <formula>"OFF"</formula>
    </cfRule>
    <cfRule type="cellIs" dxfId="5252" priority="11666" operator="equal">
      <formula>"PTO"</formula>
    </cfRule>
  </conditionalFormatting>
  <conditionalFormatting sqref="K14:P32">
    <cfRule type="cellIs" dxfId="5251" priority="11663" operator="equal">
      <formula>"OFF"</formula>
    </cfRule>
    <cfRule type="cellIs" dxfId="5250" priority="11664" operator="equal">
      <formula>"PTO"</formula>
    </cfRule>
  </conditionalFormatting>
  <conditionalFormatting sqref="K14:O32">
    <cfRule type="cellIs" dxfId="5249" priority="11661" operator="equal">
      <formula>"OFF"</formula>
    </cfRule>
    <cfRule type="cellIs" dxfId="5248" priority="11662" operator="equal">
      <formula>"PTO"</formula>
    </cfRule>
  </conditionalFormatting>
  <conditionalFormatting sqref="K14:O32">
    <cfRule type="cellIs" dxfId="5247" priority="11659" operator="equal">
      <formula>"OFF"</formula>
    </cfRule>
    <cfRule type="cellIs" dxfId="5246" priority="11660" operator="equal">
      <formula>"PTO"</formula>
    </cfRule>
  </conditionalFormatting>
  <conditionalFormatting sqref="K14:O32">
    <cfRule type="cellIs" dxfId="5245" priority="11657" operator="equal">
      <formula>"OFF"</formula>
    </cfRule>
    <cfRule type="cellIs" dxfId="5244" priority="11658" operator="equal">
      <formula>"PTO"</formula>
    </cfRule>
  </conditionalFormatting>
  <conditionalFormatting sqref="K14:O32">
    <cfRule type="cellIs" dxfId="5243" priority="11655" operator="equal">
      <formula>"OFF"</formula>
    </cfRule>
    <cfRule type="cellIs" dxfId="5242" priority="11656" operator="equal">
      <formula>"PTO"</formula>
    </cfRule>
  </conditionalFormatting>
  <conditionalFormatting sqref="K14:O32">
    <cfRule type="cellIs" dxfId="5241" priority="11653" operator="equal">
      <formula>"OFF"</formula>
    </cfRule>
    <cfRule type="cellIs" dxfId="5240" priority="11654" operator="equal">
      <formula>"PTO"</formula>
    </cfRule>
  </conditionalFormatting>
  <conditionalFormatting sqref="K14:O32">
    <cfRule type="cellIs" dxfId="5239" priority="11651" operator="equal">
      <formula>"OFF"</formula>
    </cfRule>
    <cfRule type="cellIs" dxfId="5238" priority="11652" operator="equal">
      <formula>"PTO"</formula>
    </cfRule>
  </conditionalFormatting>
  <conditionalFormatting sqref="K14:O32">
    <cfRule type="cellIs" dxfId="5237" priority="11649" operator="equal">
      <formula>"OFF"</formula>
    </cfRule>
    <cfRule type="cellIs" dxfId="5236" priority="11650" operator="equal">
      <formula>"PTO"</formula>
    </cfRule>
  </conditionalFormatting>
  <conditionalFormatting sqref="K14:O32">
    <cfRule type="cellIs" dxfId="5235" priority="11647" operator="equal">
      <formula>"OFF"</formula>
    </cfRule>
    <cfRule type="cellIs" dxfId="5234" priority="11648" operator="equal">
      <formula>"PTO"</formula>
    </cfRule>
  </conditionalFormatting>
  <conditionalFormatting sqref="K14:O32">
    <cfRule type="cellIs" dxfId="5233" priority="11645" operator="equal">
      <formula>"OFF"</formula>
    </cfRule>
    <cfRule type="cellIs" dxfId="5232" priority="11646" operator="equal">
      <formula>"PTO"</formula>
    </cfRule>
  </conditionalFormatting>
  <conditionalFormatting sqref="K14:O32">
    <cfRule type="cellIs" dxfId="5231" priority="11643" operator="equal">
      <formula>"OFF"</formula>
    </cfRule>
    <cfRule type="cellIs" dxfId="5230" priority="11644" operator="equal">
      <formula>"PTO"</formula>
    </cfRule>
  </conditionalFormatting>
  <conditionalFormatting sqref="K14:O32">
    <cfRule type="cellIs" dxfId="5229" priority="11641" operator="equal">
      <formula>"OFF"</formula>
    </cfRule>
    <cfRule type="cellIs" dxfId="5228" priority="11642" operator="equal">
      <formula>"PTO"</formula>
    </cfRule>
  </conditionalFormatting>
  <conditionalFormatting sqref="K14:O32">
    <cfRule type="cellIs" dxfId="5227" priority="11639" operator="equal">
      <formula>"OFF"</formula>
    </cfRule>
    <cfRule type="cellIs" dxfId="5226" priority="11640" operator="equal">
      <formula>"PTO"</formula>
    </cfRule>
  </conditionalFormatting>
  <conditionalFormatting sqref="K14:O32">
    <cfRule type="cellIs" dxfId="5225" priority="11637" operator="equal">
      <formula>"OFF"</formula>
    </cfRule>
    <cfRule type="cellIs" dxfId="5224" priority="11638" operator="equal">
      <formula>"PTO"</formula>
    </cfRule>
  </conditionalFormatting>
  <conditionalFormatting sqref="K14:O32">
    <cfRule type="cellIs" dxfId="5223" priority="11635" operator="equal">
      <formula>"OFF"</formula>
    </cfRule>
    <cfRule type="cellIs" dxfId="5222" priority="11636" operator="equal">
      <formula>"PTO"</formula>
    </cfRule>
  </conditionalFormatting>
  <conditionalFormatting sqref="K14:O32">
    <cfRule type="cellIs" dxfId="5221" priority="11633" operator="equal">
      <formula>"OFF"</formula>
    </cfRule>
    <cfRule type="cellIs" dxfId="5220" priority="11634" operator="equal">
      <formula>"PTO"</formula>
    </cfRule>
  </conditionalFormatting>
  <conditionalFormatting sqref="K14:O32">
    <cfRule type="cellIs" dxfId="5219" priority="11631" operator="equal">
      <formula>"OFF"</formula>
    </cfRule>
    <cfRule type="cellIs" dxfId="5218" priority="11632" operator="equal">
      <formula>"PTO"</formula>
    </cfRule>
  </conditionalFormatting>
  <conditionalFormatting sqref="K14:O32">
    <cfRule type="cellIs" dxfId="5217" priority="11629" operator="equal">
      <formula>"OFF"</formula>
    </cfRule>
    <cfRule type="cellIs" dxfId="5216" priority="11630" operator="equal">
      <formula>"PTO"</formula>
    </cfRule>
  </conditionalFormatting>
  <conditionalFormatting sqref="K14:O32">
    <cfRule type="cellIs" dxfId="5215" priority="11627" operator="equal">
      <formula>"OFF"</formula>
    </cfRule>
    <cfRule type="cellIs" dxfId="5214" priority="11628" operator="equal">
      <formula>"PTO"</formula>
    </cfRule>
  </conditionalFormatting>
  <conditionalFormatting sqref="K14:O32">
    <cfRule type="cellIs" dxfId="5213" priority="11625" operator="equal">
      <formula>"OFF"</formula>
    </cfRule>
    <cfRule type="cellIs" dxfId="5212" priority="11626" operator="equal">
      <formula>"PTO"</formula>
    </cfRule>
  </conditionalFormatting>
  <conditionalFormatting sqref="K14:O32">
    <cfRule type="cellIs" dxfId="5211" priority="11623" operator="equal">
      <formula>"OFF"</formula>
    </cfRule>
    <cfRule type="cellIs" dxfId="5210" priority="11624" operator="equal">
      <formula>"PTO"</formula>
    </cfRule>
  </conditionalFormatting>
  <conditionalFormatting sqref="K14:O32">
    <cfRule type="cellIs" dxfId="5209" priority="11621" operator="equal">
      <formula>"OFF"</formula>
    </cfRule>
    <cfRule type="cellIs" dxfId="5208" priority="11622" operator="equal">
      <formula>"PTO"</formula>
    </cfRule>
  </conditionalFormatting>
  <conditionalFormatting sqref="K14:O32">
    <cfRule type="cellIs" dxfId="5207" priority="11619" operator="equal">
      <formula>"OFF"</formula>
    </cfRule>
    <cfRule type="cellIs" dxfId="5206" priority="11620" operator="equal">
      <formula>"PTO"</formula>
    </cfRule>
  </conditionalFormatting>
  <conditionalFormatting sqref="K14:O32">
    <cfRule type="cellIs" dxfId="5205" priority="11617" operator="equal">
      <formula>"OFF"</formula>
    </cfRule>
    <cfRule type="cellIs" dxfId="5204" priority="11618" operator="equal">
      <formula>"PTO"</formula>
    </cfRule>
  </conditionalFormatting>
  <conditionalFormatting sqref="K14:O32">
    <cfRule type="cellIs" dxfId="5203" priority="11615" operator="equal">
      <formula>"OFF"</formula>
    </cfRule>
    <cfRule type="cellIs" dxfId="5202" priority="11616" operator="equal">
      <formula>"PTO"</formula>
    </cfRule>
  </conditionalFormatting>
  <conditionalFormatting sqref="K14:O32">
    <cfRule type="cellIs" dxfId="5201" priority="11613" operator="equal">
      <formula>"OFF"</formula>
    </cfRule>
    <cfRule type="cellIs" dxfId="5200" priority="11614" operator="equal">
      <formula>"PTO"</formula>
    </cfRule>
  </conditionalFormatting>
  <conditionalFormatting sqref="M14:O32">
    <cfRule type="cellIs" dxfId="5199" priority="11611" operator="equal">
      <formula>"OFF"</formula>
    </cfRule>
    <cfRule type="cellIs" dxfId="5198" priority="11612" operator="equal">
      <formula>"PTO"</formula>
    </cfRule>
  </conditionalFormatting>
  <conditionalFormatting sqref="N14:O32">
    <cfRule type="cellIs" dxfId="5197" priority="11609" operator="equal">
      <formula>"OFF"</formula>
    </cfRule>
    <cfRule type="cellIs" dxfId="5196" priority="11610" operator="equal">
      <formula>"PTO"</formula>
    </cfRule>
  </conditionalFormatting>
  <conditionalFormatting sqref="N14:O32">
    <cfRule type="cellIs" dxfId="5195" priority="11607" operator="equal">
      <formula>"OFF"</formula>
    </cfRule>
    <cfRule type="cellIs" dxfId="5194" priority="11608" operator="equal">
      <formula>"PTO"</formula>
    </cfRule>
  </conditionalFormatting>
  <conditionalFormatting sqref="N14:O32">
    <cfRule type="cellIs" dxfId="5193" priority="11605" operator="equal">
      <formula>"OFF"</formula>
    </cfRule>
    <cfRule type="cellIs" dxfId="5192" priority="11606" operator="equal">
      <formula>"PTO"</formula>
    </cfRule>
  </conditionalFormatting>
  <conditionalFormatting sqref="N14:O32">
    <cfRule type="cellIs" dxfId="5191" priority="11603" operator="equal">
      <formula>"OFF"</formula>
    </cfRule>
    <cfRule type="cellIs" dxfId="5190" priority="11604" operator="equal">
      <formula>"PTO"</formula>
    </cfRule>
  </conditionalFormatting>
  <conditionalFormatting sqref="N14:O32">
    <cfRule type="cellIs" dxfId="5189" priority="11601" operator="equal">
      <formula>"OFF"</formula>
    </cfRule>
    <cfRule type="cellIs" dxfId="5188" priority="11602" operator="equal">
      <formula>"PTO"</formula>
    </cfRule>
  </conditionalFormatting>
  <conditionalFormatting sqref="N14:O32">
    <cfRule type="cellIs" dxfId="5187" priority="11599" operator="equal">
      <formula>"OFF"</formula>
    </cfRule>
    <cfRule type="cellIs" dxfId="5186" priority="11600" operator="equal">
      <formula>"PTO"</formula>
    </cfRule>
  </conditionalFormatting>
  <conditionalFormatting sqref="N14:O32">
    <cfRule type="cellIs" dxfId="5185" priority="11597" operator="equal">
      <formula>"OFF"</formula>
    </cfRule>
    <cfRule type="cellIs" dxfId="5184" priority="11598" operator="equal">
      <formula>"PTO"</formula>
    </cfRule>
  </conditionalFormatting>
  <conditionalFormatting sqref="N14:O32">
    <cfRule type="cellIs" dxfId="5183" priority="11595" operator="equal">
      <formula>"OFF"</formula>
    </cfRule>
    <cfRule type="cellIs" dxfId="5182" priority="11596" operator="equal">
      <formula>"PTO"</formula>
    </cfRule>
  </conditionalFormatting>
  <conditionalFormatting sqref="P14:P32">
    <cfRule type="cellIs" dxfId="5181" priority="11593" operator="equal">
      <formula>"OFF"</formula>
    </cfRule>
    <cfRule type="cellIs" dxfId="5180" priority="11594" operator="equal">
      <formula>"PTO"</formula>
    </cfRule>
  </conditionalFormatting>
  <conditionalFormatting sqref="P14:P32">
    <cfRule type="cellIs" dxfId="5179" priority="11591" operator="equal">
      <formula>"OFF"</formula>
    </cfRule>
    <cfRule type="cellIs" dxfId="5178" priority="11592" operator="equal">
      <formula>"PTO"</formula>
    </cfRule>
  </conditionalFormatting>
  <conditionalFormatting sqref="P14:P32">
    <cfRule type="cellIs" dxfId="5177" priority="11589" operator="equal">
      <formula>"OFF"</formula>
    </cfRule>
    <cfRule type="cellIs" dxfId="5176" priority="11590" operator="equal">
      <formula>"PTO"</formula>
    </cfRule>
  </conditionalFormatting>
  <conditionalFormatting sqref="P14:P32">
    <cfRule type="cellIs" dxfId="5175" priority="11587" operator="equal">
      <formula>"OFF"</formula>
    </cfRule>
    <cfRule type="cellIs" dxfId="5174" priority="11588" operator="equal">
      <formula>"PTO"</formula>
    </cfRule>
  </conditionalFormatting>
  <conditionalFormatting sqref="P14:P32">
    <cfRule type="cellIs" dxfId="5173" priority="11585" operator="equal">
      <formula>"OFF"</formula>
    </cfRule>
    <cfRule type="cellIs" dxfId="5172" priority="11586" operator="equal">
      <formula>"PTO"</formula>
    </cfRule>
  </conditionalFormatting>
  <conditionalFormatting sqref="P14:P32">
    <cfRule type="cellIs" dxfId="5171" priority="11583" operator="equal">
      <formula>"OFF"</formula>
    </cfRule>
    <cfRule type="cellIs" dxfId="5170" priority="11584" operator="equal">
      <formula>"PTO"</formula>
    </cfRule>
  </conditionalFormatting>
  <conditionalFormatting sqref="P14:P32">
    <cfRule type="cellIs" dxfId="5169" priority="11581" operator="equal">
      <formula>"OFF"</formula>
    </cfRule>
    <cfRule type="cellIs" dxfId="5168" priority="11582" operator="equal">
      <formula>"PTO"</formula>
    </cfRule>
  </conditionalFormatting>
  <conditionalFormatting sqref="P14:P32">
    <cfRule type="cellIs" dxfId="5167" priority="11579" operator="equal">
      <formula>"OFF"</formula>
    </cfRule>
    <cfRule type="cellIs" dxfId="5166" priority="11580" operator="equal">
      <formula>"PTO"</formula>
    </cfRule>
  </conditionalFormatting>
  <conditionalFormatting sqref="K19">
    <cfRule type="cellIs" dxfId="5165" priority="11577" operator="equal">
      <formula>"OFF"</formula>
    </cfRule>
    <cfRule type="cellIs" dxfId="5164" priority="11578" operator="equal">
      <formula>"PTO"</formula>
    </cfRule>
  </conditionalFormatting>
  <conditionalFormatting sqref="K19">
    <cfRule type="cellIs" dxfId="5163" priority="11575" operator="equal">
      <formula>"OFF"</formula>
    </cfRule>
    <cfRule type="cellIs" dxfId="5162" priority="11576" operator="equal">
      <formula>"PTO"</formula>
    </cfRule>
  </conditionalFormatting>
  <conditionalFormatting sqref="K19">
    <cfRule type="cellIs" dxfId="5161" priority="11573" operator="equal">
      <formula>"OFF"</formula>
    </cfRule>
    <cfRule type="cellIs" dxfId="5160" priority="11574" operator="equal">
      <formula>"PTO"</formula>
    </cfRule>
  </conditionalFormatting>
  <conditionalFormatting sqref="K19">
    <cfRule type="cellIs" dxfId="5159" priority="11571" operator="equal">
      <formula>"OFF"</formula>
    </cfRule>
    <cfRule type="cellIs" dxfId="5158" priority="11572" operator="equal">
      <formula>"PTO"</formula>
    </cfRule>
  </conditionalFormatting>
  <conditionalFormatting sqref="K19">
    <cfRule type="cellIs" dxfId="5157" priority="11569" operator="equal">
      <formula>"OFF"</formula>
    </cfRule>
    <cfRule type="cellIs" dxfId="5156" priority="11570" operator="equal">
      <formula>"PTO"</formula>
    </cfRule>
  </conditionalFormatting>
  <conditionalFormatting sqref="K19">
    <cfRule type="cellIs" dxfId="5155" priority="11567" operator="equal">
      <formula>"OFF"</formula>
    </cfRule>
    <cfRule type="cellIs" dxfId="5154" priority="11568" operator="equal">
      <formula>"PTO"</formula>
    </cfRule>
  </conditionalFormatting>
  <conditionalFormatting sqref="K19">
    <cfRule type="cellIs" dxfId="5153" priority="11565" operator="equal">
      <formula>"OFF"</formula>
    </cfRule>
    <cfRule type="cellIs" dxfId="5152" priority="11566" operator="equal">
      <formula>"PTO"</formula>
    </cfRule>
  </conditionalFormatting>
  <conditionalFormatting sqref="K19">
    <cfRule type="cellIs" dxfId="5151" priority="11563" operator="equal">
      <formula>"OFF"</formula>
    </cfRule>
    <cfRule type="cellIs" dxfId="5150" priority="11564" operator="equal">
      <formula>"PTO"</formula>
    </cfRule>
  </conditionalFormatting>
  <conditionalFormatting sqref="K19">
    <cfRule type="cellIs" dxfId="5149" priority="11561" operator="equal">
      <formula>"OFF"</formula>
    </cfRule>
    <cfRule type="cellIs" dxfId="5148" priority="11562" operator="equal">
      <formula>"PTO"</formula>
    </cfRule>
  </conditionalFormatting>
  <conditionalFormatting sqref="K19">
    <cfRule type="cellIs" dxfId="5147" priority="11559" operator="equal">
      <formula>"OFF"</formula>
    </cfRule>
    <cfRule type="cellIs" dxfId="5146" priority="11560" operator="equal">
      <formula>"PTO"</formula>
    </cfRule>
  </conditionalFormatting>
  <conditionalFormatting sqref="K19">
    <cfRule type="cellIs" dxfId="5145" priority="11557" operator="equal">
      <formula>"OFF"</formula>
    </cfRule>
    <cfRule type="cellIs" dxfId="5144" priority="11558" operator="equal">
      <formula>"PTO"</formula>
    </cfRule>
  </conditionalFormatting>
  <conditionalFormatting sqref="K19">
    <cfRule type="cellIs" dxfId="5143" priority="11555" operator="equal">
      <formula>"OFF"</formula>
    </cfRule>
    <cfRule type="cellIs" dxfId="5142" priority="11556" operator="equal">
      <formula>"PTO"</formula>
    </cfRule>
  </conditionalFormatting>
  <conditionalFormatting sqref="K19">
    <cfRule type="cellIs" dxfId="5141" priority="11553" operator="equal">
      <formula>"OFF"</formula>
    </cfRule>
    <cfRule type="cellIs" dxfId="5140" priority="11554" operator="equal">
      <formula>"PTO"</formula>
    </cfRule>
  </conditionalFormatting>
  <conditionalFormatting sqref="K19">
    <cfRule type="cellIs" dxfId="5139" priority="11551" operator="equal">
      <formula>"OFF"</formula>
    </cfRule>
    <cfRule type="cellIs" dxfId="5138" priority="11552" operator="equal">
      <formula>"PTO"</formula>
    </cfRule>
  </conditionalFormatting>
  <conditionalFormatting sqref="K19">
    <cfRule type="cellIs" dxfId="5137" priority="11549" operator="equal">
      <formula>"OFF"</formula>
    </cfRule>
    <cfRule type="cellIs" dxfId="5136" priority="11550" operator="equal">
      <formula>"PTO"</formula>
    </cfRule>
  </conditionalFormatting>
  <conditionalFormatting sqref="K19">
    <cfRule type="cellIs" dxfId="5135" priority="11547" operator="equal">
      <formula>"OFF"</formula>
    </cfRule>
    <cfRule type="cellIs" dxfId="5134" priority="11548" operator="equal">
      <formula>"PTO"</formula>
    </cfRule>
  </conditionalFormatting>
  <conditionalFormatting sqref="K19">
    <cfRule type="cellIs" dxfId="5133" priority="11545" operator="equal">
      <formula>"OFF"</formula>
    </cfRule>
    <cfRule type="cellIs" dxfId="5132" priority="11546" operator="equal">
      <formula>"PTO"</formula>
    </cfRule>
  </conditionalFormatting>
  <conditionalFormatting sqref="K19">
    <cfRule type="cellIs" dxfId="5131" priority="11543" operator="equal">
      <formula>"OFF"</formula>
    </cfRule>
    <cfRule type="cellIs" dxfId="5130" priority="11544" operator="equal">
      <formula>"PTO"</formula>
    </cfRule>
  </conditionalFormatting>
  <conditionalFormatting sqref="K19">
    <cfRule type="cellIs" dxfId="5129" priority="11541" operator="equal">
      <formula>"OFF"</formula>
    </cfRule>
    <cfRule type="cellIs" dxfId="5128" priority="11542" operator="equal">
      <formula>"PTO"</formula>
    </cfRule>
  </conditionalFormatting>
  <conditionalFormatting sqref="K19">
    <cfRule type="cellIs" dxfId="5127" priority="11539" operator="equal">
      <formula>"OFF"</formula>
    </cfRule>
    <cfRule type="cellIs" dxfId="5126" priority="11540" operator="equal">
      <formula>"PTO"</formula>
    </cfRule>
  </conditionalFormatting>
  <conditionalFormatting sqref="K19">
    <cfRule type="cellIs" dxfId="5125" priority="11537" operator="equal">
      <formula>"OFF"</formula>
    </cfRule>
    <cfRule type="cellIs" dxfId="5124" priority="11538" operator="equal">
      <formula>"PTO"</formula>
    </cfRule>
  </conditionalFormatting>
  <conditionalFormatting sqref="K19">
    <cfRule type="cellIs" dxfId="5123" priority="11535" operator="equal">
      <formula>"OFF"</formula>
    </cfRule>
    <cfRule type="cellIs" dxfId="5122" priority="11536" operator="equal">
      <formula>"PTO"</formula>
    </cfRule>
  </conditionalFormatting>
  <conditionalFormatting sqref="K19">
    <cfRule type="cellIs" dxfId="5121" priority="11533" operator="equal">
      <formula>"OFF"</formula>
    </cfRule>
    <cfRule type="cellIs" dxfId="5120" priority="11534" operator="equal">
      <formula>"PTO"</formula>
    </cfRule>
  </conditionalFormatting>
  <conditionalFormatting sqref="K19">
    <cfRule type="cellIs" dxfId="5119" priority="11531" operator="equal">
      <formula>"OFF"</formula>
    </cfRule>
    <cfRule type="cellIs" dxfId="5118" priority="11532" operator="equal">
      <formula>"PTO"</formula>
    </cfRule>
  </conditionalFormatting>
  <conditionalFormatting sqref="K19">
    <cfRule type="cellIs" dxfId="5117" priority="11529" operator="equal">
      <formula>"OFF"</formula>
    </cfRule>
    <cfRule type="cellIs" dxfId="5116" priority="11530" operator="equal">
      <formula>"PTO"</formula>
    </cfRule>
  </conditionalFormatting>
  <conditionalFormatting sqref="K19">
    <cfRule type="cellIs" dxfId="5115" priority="11527" operator="equal">
      <formula>"OFF"</formula>
    </cfRule>
    <cfRule type="cellIs" dxfId="5114" priority="11528" operator="equal">
      <formula>"PTO"</formula>
    </cfRule>
  </conditionalFormatting>
  <conditionalFormatting sqref="K19">
    <cfRule type="cellIs" dxfId="5113" priority="11525" operator="equal">
      <formula>"OFF"</formula>
    </cfRule>
    <cfRule type="cellIs" dxfId="5112" priority="11526" operator="equal">
      <formula>"PTO"</formula>
    </cfRule>
  </conditionalFormatting>
  <conditionalFormatting sqref="K19">
    <cfRule type="cellIs" dxfId="5111" priority="11523" operator="equal">
      <formula>"OFF"</formula>
    </cfRule>
    <cfRule type="cellIs" dxfId="5110" priority="11524" operator="equal">
      <formula>"PTO"</formula>
    </cfRule>
  </conditionalFormatting>
  <conditionalFormatting sqref="K19">
    <cfRule type="cellIs" dxfId="5109" priority="11521" operator="equal">
      <formula>"OFF"</formula>
    </cfRule>
    <cfRule type="cellIs" dxfId="5108" priority="11522" operator="equal">
      <formula>"PTO"</formula>
    </cfRule>
  </conditionalFormatting>
  <conditionalFormatting sqref="K19">
    <cfRule type="cellIs" dxfId="5107" priority="11519" operator="equal">
      <formula>"OFF"</formula>
    </cfRule>
    <cfRule type="cellIs" dxfId="5106" priority="11520" operator="equal">
      <formula>"PTO"</formula>
    </cfRule>
  </conditionalFormatting>
  <conditionalFormatting sqref="K19">
    <cfRule type="cellIs" dxfId="5105" priority="11517" operator="equal">
      <formula>"OFF"</formula>
    </cfRule>
    <cfRule type="cellIs" dxfId="5104" priority="11518" operator="equal">
      <formula>"PTO"</formula>
    </cfRule>
  </conditionalFormatting>
  <conditionalFormatting sqref="K19">
    <cfRule type="cellIs" dxfId="5103" priority="11515" operator="equal">
      <formula>"OFF"</formula>
    </cfRule>
    <cfRule type="cellIs" dxfId="5102" priority="11516" operator="equal">
      <formula>"PTO"</formula>
    </cfRule>
  </conditionalFormatting>
  <conditionalFormatting sqref="K19:K32">
    <cfRule type="cellIs" dxfId="5101" priority="11513" operator="equal">
      <formula>"OFF"</formula>
    </cfRule>
    <cfRule type="cellIs" dxfId="5100" priority="11514" operator="equal">
      <formula>"PTO"</formula>
    </cfRule>
  </conditionalFormatting>
  <conditionalFormatting sqref="K19:K32">
    <cfRule type="cellIs" dxfId="5099" priority="11511" operator="equal">
      <formula>"OFF"</formula>
    </cfRule>
    <cfRule type="cellIs" dxfId="5098" priority="11512" operator="equal">
      <formula>"PTO"</formula>
    </cfRule>
  </conditionalFormatting>
  <conditionalFormatting sqref="K19:K32">
    <cfRule type="cellIs" dxfId="5097" priority="11509" operator="equal">
      <formula>"OFF"</formula>
    </cfRule>
    <cfRule type="cellIs" dxfId="5096" priority="11510" operator="equal">
      <formula>"PTO"</formula>
    </cfRule>
  </conditionalFormatting>
  <conditionalFormatting sqref="K19:K32">
    <cfRule type="cellIs" dxfId="5095" priority="11507" operator="equal">
      <formula>"OFF"</formula>
    </cfRule>
    <cfRule type="cellIs" dxfId="5094" priority="11508" operator="equal">
      <formula>"PTO"</formula>
    </cfRule>
  </conditionalFormatting>
  <conditionalFormatting sqref="K19:K32">
    <cfRule type="cellIs" dxfId="5093" priority="11505" operator="equal">
      <formula>"OFF"</formula>
    </cfRule>
    <cfRule type="cellIs" dxfId="5092" priority="11506" operator="equal">
      <formula>"PTO"</formula>
    </cfRule>
  </conditionalFormatting>
  <conditionalFormatting sqref="K19:K32">
    <cfRule type="cellIs" dxfId="5091" priority="11503" operator="equal">
      <formula>"OFF"</formula>
    </cfRule>
    <cfRule type="cellIs" dxfId="5090" priority="11504" operator="equal">
      <formula>"PTO"</formula>
    </cfRule>
  </conditionalFormatting>
  <conditionalFormatting sqref="K19:K32">
    <cfRule type="cellIs" dxfId="5089" priority="11501" operator="equal">
      <formula>"OFF"</formula>
    </cfRule>
    <cfRule type="cellIs" dxfId="5088" priority="11502" operator="equal">
      <formula>"PTO"</formula>
    </cfRule>
  </conditionalFormatting>
  <conditionalFormatting sqref="Q19:W19">
    <cfRule type="cellIs" dxfId="5087" priority="11499" operator="equal">
      <formula>"OFF"</formula>
    </cfRule>
    <cfRule type="cellIs" dxfId="5086" priority="11500" operator="equal">
      <formula>"PTO"</formula>
    </cfRule>
  </conditionalFormatting>
  <conditionalFormatting sqref="Q19:W19">
    <cfRule type="cellIs" dxfId="5085" priority="11497" operator="equal">
      <formula>"OFF"</formula>
    </cfRule>
    <cfRule type="cellIs" dxfId="5084" priority="11498" operator="equal">
      <formula>"PTO"</formula>
    </cfRule>
  </conditionalFormatting>
  <conditionalFormatting sqref="Q19">
    <cfRule type="cellIs" dxfId="5083" priority="11495" operator="equal">
      <formula>"OFF"</formula>
    </cfRule>
    <cfRule type="cellIs" dxfId="5082" priority="11496" operator="equal">
      <formula>"PTO"</formula>
    </cfRule>
  </conditionalFormatting>
  <conditionalFormatting sqref="Q19">
    <cfRule type="cellIs" dxfId="5081" priority="11493" operator="equal">
      <formula>"OFF"</formula>
    </cfRule>
    <cfRule type="cellIs" dxfId="5080" priority="11494" operator="equal">
      <formula>"PTO"</formula>
    </cfRule>
  </conditionalFormatting>
  <conditionalFormatting sqref="Q19">
    <cfRule type="cellIs" dxfId="5079" priority="11491" operator="equal">
      <formula>"OFF"</formula>
    </cfRule>
    <cfRule type="cellIs" dxfId="5078" priority="11492" operator="equal">
      <formula>"PTO"</formula>
    </cfRule>
  </conditionalFormatting>
  <conditionalFormatting sqref="Q19">
    <cfRule type="cellIs" dxfId="5077" priority="11489" operator="equal">
      <formula>"OFF"</formula>
    </cfRule>
    <cfRule type="cellIs" dxfId="5076" priority="11490" operator="equal">
      <formula>"PTO"</formula>
    </cfRule>
  </conditionalFormatting>
  <conditionalFormatting sqref="R19">
    <cfRule type="cellIs" dxfId="5075" priority="11487" operator="equal">
      <formula>"OFF"</formula>
    </cfRule>
    <cfRule type="cellIs" dxfId="5074" priority="11488" operator="equal">
      <formula>"PTO"</formula>
    </cfRule>
  </conditionalFormatting>
  <conditionalFormatting sqref="R19">
    <cfRule type="cellIs" dxfId="5073" priority="11485" operator="equal">
      <formula>"OFF"</formula>
    </cfRule>
    <cfRule type="cellIs" dxfId="5072" priority="11486" operator="equal">
      <formula>"PTO"</formula>
    </cfRule>
  </conditionalFormatting>
  <conditionalFormatting sqref="R19">
    <cfRule type="cellIs" dxfId="5071" priority="11483" operator="equal">
      <formula>"OFF"</formula>
    </cfRule>
    <cfRule type="cellIs" dxfId="5070" priority="11484" operator="equal">
      <formula>"PTO"</formula>
    </cfRule>
  </conditionalFormatting>
  <conditionalFormatting sqref="R19">
    <cfRule type="cellIs" dxfId="5069" priority="11481" operator="equal">
      <formula>"OFF"</formula>
    </cfRule>
    <cfRule type="cellIs" dxfId="5068" priority="11482" operator="equal">
      <formula>"PTO"</formula>
    </cfRule>
  </conditionalFormatting>
  <conditionalFormatting sqref="Q19">
    <cfRule type="cellIs" dxfId="5067" priority="11479" operator="equal">
      <formula>"OFF"</formula>
    </cfRule>
    <cfRule type="cellIs" dxfId="5066" priority="11480" operator="equal">
      <formula>"PTO"</formula>
    </cfRule>
  </conditionalFormatting>
  <conditionalFormatting sqref="Q19">
    <cfRule type="cellIs" dxfId="5065" priority="11477" operator="equal">
      <formula>"OFF"</formula>
    </cfRule>
    <cfRule type="cellIs" dxfId="5064" priority="11478" operator="equal">
      <formula>"PTO"</formula>
    </cfRule>
  </conditionalFormatting>
  <conditionalFormatting sqref="Q19">
    <cfRule type="cellIs" dxfId="5063" priority="11475" operator="equal">
      <formula>"OFF"</formula>
    </cfRule>
    <cfRule type="cellIs" dxfId="5062" priority="11476" operator="equal">
      <formula>"PTO"</formula>
    </cfRule>
  </conditionalFormatting>
  <conditionalFormatting sqref="Q19">
    <cfRule type="cellIs" dxfId="5061" priority="11473" operator="equal">
      <formula>"OFF"</formula>
    </cfRule>
    <cfRule type="cellIs" dxfId="5060" priority="11474" operator="equal">
      <formula>"PTO"</formula>
    </cfRule>
  </conditionalFormatting>
  <conditionalFormatting sqref="R19">
    <cfRule type="cellIs" dxfId="5059" priority="11471" operator="equal">
      <formula>"OFF"</formula>
    </cfRule>
    <cfRule type="cellIs" dxfId="5058" priority="11472" operator="equal">
      <formula>"PTO"</formula>
    </cfRule>
  </conditionalFormatting>
  <conditionalFormatting sqref="R19">
    <cfRule type="cellIs" dxfId="5057" priority="11469" operator="equal">
      <formula>"OFF"</formula>
    </cfRule>
    <cfRule type="cellIs" dxfId="5056" priority="11470" operator="equal">
      <formula>"PTO"</formula>
    </cfRule>
  </conditionalFormatting>
  <conditionalFormatting sqref="R19">
    <cfRule type="cellIs" dxfId="5055" priority="11467" operator="equal">
      <formula>"OFF"</formula>
    </cfRule>
    <cfRule type="cellIs" dxfId="5054" priority="11468" operator="equal">
      <formula>"PTO"</formula>
    </cfRule>
  </conditionalFormatting>
  <conditionalFormatting sqref="R19">
    <cfRule type="cellIs" dxfId="5053" priority="11465" operator="equal">
      <formula>"OFF"</formula>
    </cfRule>
    <cfRule type="cellIs" dxfId="5052" priority="11466" operator="equal">
      <formula>"PTO"</formula>
    </cfRule>
  </conditionalFormatting>
  <conditionalFormatting sqref="Q19">
    <cfRule type="cellIs" dxfId="5051" priority="11463" operator="equal">
      <formula>"OFF"</formula>
    </cfRule>
    <cfRule type="cellIs" dxfId="5050" priority="11464" operator="equal">
      <formula>"PTO"</formula>
    </cfRule>
  </conditionalFormatting>
  <conditionalFormatting sqref="Q19">
    <cfRule type="cellIs" dxfId="5049" priority="11461" operator="equal">
      <formula>"OFF"</formula>
    </cfRule>
    <cfRule type="cellIs" dxfId="5048" priority="11462" operator="equal">
      <formula>"PTO"</formula>
    </cfRule>
  </conditionalFormatting>
  <conditionalFormatting sqref="Q19">
    <cfRule type="cellIs" dxfId="5047" priority="11459" operator="equal">
      <formula>"OFF"</formula>
    </cfRule>
    <cfRule type="cellIs" dxfId="5046" priority="11460" operator="equal">
      <formula>"PTO"</formula>
    </cfRule>
  </conditionalFormatting>
  <conditionalFormatting sqref="Q19">
    <cfRule type="cellIs" dxfId="5045" priority="11457" operator="equal">
      <formula>"OFF"</formula>
    </cfRule>
    <cfRule type="cellIs" dxfId="5044" priority="11458" operator="equal">
      <formula>"PTO"</formula>
    </cfRule>
  </conditionalFormatting>
  <conditionalFormatting sqref="R19">
    <cfRule type="cellIs" dxfId="5043" priority="11455" operator="equal">
      <formula>"OFF"</formula>
    </cfRule>
    <cfRule type="cellIs" dxfId="5042" priority="11456" operator="equal">
      <formula>"PTO"</formula>
    </cfRule>
  </conditionalFormatting>
  <conditionalFormatting sqref="R19">
    <cfRule type="cellIs" dxfId="5041" priority="11453" operator="equal">
      <formula>"OFF"</formula>
    </cfRule>
    <cfRule type="cellIs" dxfId="5040" priority="11454" operator="equal">
      <formula>"PTO"</formula>
    </cfRule>
  </conditionalFormatting>
  <conditionalFormatting sqref="R19">
    <cfRule type="cellIs" dxfId="5039" priority="11451" operator="equal">
      <formula>"OFF"</formula>
    </cfRule>
    <cfRule type="cellIs" dxfId="5038" priority="11452" operator="equal">
      <formula>"PTO"</formula>
    </cfRule>
  </conditionalFormatting>
  <conditionalFormatting sqref="R19">
    <cfRule type="cellIs" dxfId="5037" priority="11449" operator="equal">
      <formula>"OFF"</formula>
    </cfRule>
    <cfRule type="cellIs" dxfId="5036" priority="11450" operator="equal">
      <formula>"PTO"</formula>
    </cfRule>
  </conditionalFormatting>
  <conditionalFormatting sqref="Q19">
    <cfRule type="cellIs" dxfId="5035" priority="11447" operator="equal">
      <formula>"OFF"</formula>
    </cfRule>
    <cfRule type="cellIs" dxfId="5034" priority="11448" operator="equal">
      <formula>"PTO"</formula>
    </cfRule>
  </conditionalFormatting>
  <conditionalFormatting sqref="Q19">
    <cfRule type="cellIs" dxfId="5033" priority="11445" operator="equal">
      <formula>"OFF"</formula>
    </cfRule>
    <cfRule type="cellIs" dxfId="5032" priority="11446" operator="equal">
      <formula>"PTO"</formula>
    </cfRule>
  </conditionalFormatting>
  <conditionalFormatting sqref="Q19">
    <cfRule type="cellIs" dxfId="5031" priority="11443" operator="equal">
      <formula>"OFF"</formula>
    </cfRule>
    <cfRule type="cellIs" dxfId="5030" priority="11444" operator="equal">
      <formula>"PTO"</formula>
    </cfRule>
  </conditionalFormatting>
  <conditionalFormatting sqref="Q19">
    <cfRule type="cellIs" dxfId="5029" priority="11441" operator="equal">
      <formula>"OFF"</formula>
    </cfRule>
    <cfRule type="cellIs" dxfId="5028" priority="11442" operator="equal">
      <formula>"PTO"</formula>
    </cfRule>
  </conditionalFormatting>
  <conditionalFormatting sqref="R19">
    <cfRule type="cellIs" dxfId="5027" priority="11439" operator="equal">
      <formula>"OFF"</formula>
    </cfRule>
    <cfRule type="cellIs" dxfId="5026" priority="11440" operator="equal">
      <formula>"PTO"</formula>
    </cfRule>
  </conditionalFormatting>
  <conditionalFormatting sqref="R19">
    <cfRule type="cellIs" dxfId="5025" priority="11437" operator="equal">
      <formula>"OFF"</formula>
    </cfRule>
    <cfRule type="cellIs" dxfId="5024" priority="11438" operator="equal">
      <formula>"PTO"</formula>
    </cfRule>
  </conditionalFormatting>
  <conditionalFormatting sqref="R19">
    <cfRule type="cellIs" dxfId="5023" priority="11435" operator="equal">
      <formula>"OFF"</formula>
    </cfRule>
    <cfRule type="cellIs" dxfId="5022" priority="11436" operator="equal">
      <formula>"PTO"</formula>
    </cfRule>
  </conditionalFormatting>
  <conditionalFormatting sqref="R19">
    <cfRule type="cellIs" dxfId="5021" priority="11433" operator="equal">
      <formula>"OFF"</formula>
    </cfRule>
    <cfRule type="cellIs" dxfId="5020" priority="11434" operator="equal">
      <formula>"PTO"</formula>
    </cfRule>
  </conditionalFormatting>
  <conditionalFormatting sqref="Q19:W19">
    <cfRule type="cellIs" dxfId="5019" priority="11431" operator="equal">
      <formula>"OFF"</formula>
    </cfRule>
    <cfRule type="cellIs" dxfId="5018" priority="11432" operator="equal">
      <formula>"PTO"</formula>
    </cfRule>
  </conditionalFormatting>
  <conditionalFormatting sqref="Q19:W19">
    <cfRule type="cellIs" dxfId="5017" priority="11429" operator="equal">
      <formula>"OFF"</formula>
    </cfRule>
    <cfRule type="cellIs" dxfId="5016" priority="11430" operator="equal">
      <formula>"PTO"</formula>
    </cfRule>
  </conditionalFormatting>
  <conditionalFormatting sqref="S19">
    <cfRule type="cellIs" dxfId="5015" priority="11427" operator="equal">
      <formula>"OFF"</formula>
    </cfRule>
    <cfRule type="cellIs" dxfId="5014" priority="11428" operator="equal">
      <formula>"PTO"</formula>
    </cfRule>
  </conditionalFormatting>
  <conditionalFormatting sqref="S19">
    <cfRule type="cellIs" dxfId="5013" priority="11425" operator="equal">
      <formula>"OFF"</formula>
    </cfRule>
    <cfRule type="cellIs" dxfId="5012" priority="11426" operator="equal">
      <formula>"PTO"</formula>
    </cfRule>
  </conditionalFormatting>
  <conditionalFormatting sqref="S19">
    <cfRule type="cellIs" dxfId="5011" priority="11423" operator="equal">
      <formula>"OFF"</formula>
    </cfRule>
    <cfRule type="cellIs" dxfId="5010" priority="11424" operator="equal">
      <formula>"PTO"</formula>
    </cfRule>
  </conditionalFormatting>
  <conditionalFormatting sqref="S19">
    <cfRule type="cellIs" dxfId="5009" priority="11421" operator="equal">
      <formula>"OFF"</formula>
    </cfRule>
    <cfRule type="cellIs" dxfId="5008" priority="11422" operator="equal">
      <formula>"PTO"</formula>
    </cfRule>
  </conditionalFormatting>
  <conditionalFormatting sqref="S19">
    <cfRule type="cellIs" dxfId="5007" priority="11419" operator="equal">
      <formula>"OFF"</formula>
    </cfRule>
    <cfRule type="cellIs" dxfId="5006" priority="11420" operator="equal">
      <formula>"PTO"</formula>
    </cfRule>
  </conditionalFormatting>
  <conditionalFormatting sqref="S19">
    <cfRule type="cellIs" dxfId="5005" priority="11417" operator="equal">
      <formula>"OFF"</formula>
    </cfRule>
    <cfRule type="cellIs" dxfId="5004" priority="11418" operator="equal">
      <formula>"PTO"</formula>
    </cfRule>
  </conditionalFormatting>
  <conditionalFormatting sqref="S19">
    <cfRule type="cellIs" dxfId="5003" priority="11415" operator="equal">
      <formula>"OFF"</formula>
    </cfRule>
    <cfRule type="cellIs" dxfId="5002" priority="11416" operator="equal">
      <formula>"PTO"</formula>
    </cfRule>
  </conditionalFormatting>
  <conditionalFormatting sqref="S19">
    <cfRule type="cellIs" dxfId="5001" priority="11413" operator="equal">
      <formula>"OFF"</formula>
    </cfRule>
    <cfRule type="cellIs" dxfId="5000" priority="11414" operator="equal">
      <formula>"PTO"</formula>
    </cfRule>
  </conditionalFormatting>
  <conditionalFormatting sqref="S19">
    <cfRule type="cellIs" dxfId="4999" priority="11411" operator="equal">
      <formula>"OFF"</formula>
    </cfRule>
    <cfRule type="cellIs" dxfId="4998" priority="11412" operator="equal">
      <formula>"PTO"</formula>
    </cfRule>
  </conditionalFormatting>
  <conditionalFormatting sqref="S19">
    <cfRule type="cellIs" dxfId="4997" priority="11409" operator="equal">
      <formula>"OFF"</formula>
    </cfRule>
    <cfRule type="cellIs" dxfId="4996" priority="11410" operator="equal">
      <formula>"PTO"</formula>
    </cfRule>
  </conditionalFormatting>
  <conditionalFormatting sqref="S19">
    <cfRule type="cellIs" dxfId="4995" priority="11407" operator="equal">
      <formula>"OFF"</formula>
    </cfRule>
    <cfRule type="cellIs" dxfId="4994" priority="11408" operator="equal">
      <formula>"PTO"</formula>
    </cfRule>
  </conditionalFormatting>
  <conditionalFormatting sqref="S19">
    <cfRule type="cellIs" dxfId="4993" priority="11405" operator="equal">
      <formula>"OFF"</formula>
    </cfRule>
    <cfRule type="cellIs" dxfId="4992" priority="11406" operator="equal">
      <formula>"PTO"</formula>
    </cfRule>
  </conditionalFormatting>
  <conditionalFormatting sqref="S19">
    <cfRule type="cellIs" dxfId="4991" priority="11403" operator="equal">
      <formula>"OFF"</formula>
    </cfRule>
    <cfRule type="cellIs" dxfId="4990" priority="11404" operator="equal">
      <formula>"PTO"</formula>
    </cfRule>
  </conditionalFormatting>
  <conditionalFormatting sqref="S19">
    <cfRule type="cellIs" dxfId="4989" priority="11401" operator="equal">
      <formula>"OFF"</formula>
    </cfRule>
    <cfRule type="cellIs" dxfId="4988" priority="11402" operator="equal">
      <formula>"PTO"</formula>
    </cfRule>
  </conditionalFormatting>
  <conditionalFormatting sqref="S19">
    <cfRule type="cellIs" dxfId="4987" priority="11399" operator="equal">
      <formula>"OFF"</formula>
    </cfRule>
    <cfRule type="cellIs" dxfId="4986" priority="11400" operator="equal">
      <formula>"PTO"</formula>
    </cfRule>
  </conditionalFormatting>
  <conditionalFormatting sqref="S19">
    <cfRule type="cellIs" dxfId="4985" priority="11397" operator="equal">
      <formula>"OFF"</formula>
    </cfRule>
    <cfRule type="cellIs" dxfId="4984" priority="11398" operator="equal">
      <formula>"PTO"</formula>
    </cfRule>
  </conditionalFormatting>
  <conditionalFormatting sqref="V19">
    <cfRule type="cellIs" dxfId="4983" priority="11395" operator="equal">
      <formula>"OFF"</formula>
    </cfRule>
    <cfRule type="cellIs" dxfId="4982" priority="11396" operator="equal">
      <formula>"PTO"</formula>
    </cfRule>
  </conditionalFormatting>
  <conditionalFormatting sqref="V19">
    <cfRule type="cellIs" dxfId="4981" priority="11393" operator="equal">
      <formula>"OFF"</formula>
    </cfRule>
    <cfRule type="cellIs" dxfId="4980" priority="11394" operator="equal">
      <formula>"PTO"</formula>
    </cfRule>
  </conditionalFormatting>
  <conditionalFormatting sqref="V19">
    <cfRule type="cellIs" dxfId="4979" priority="11391" operator="equal">
      <formula>"OFF"</formula>
    </cfRule>
    <cfRule type="cellIs" dxfId="4978" priority="11392" operator="equal">
      <formula>"PTO"</formula>
    </cfRule>
  </conditionalFormatting>
  <conditionalFormatting sqref="V19">
    <cfRule type="cellIs" dxfId="4977" priority="11389" operator="equal">
      <formula>"OFF"</formula>
    </cfRule>
    <cfRule type="cellIs" dxfId="4976" priority="11390" operator="equal">
      <formula>"PTO"</formula>
    </cfRule>
  </conditionalFormatting>
  <conditionalFormatting sqref="V19">
    <cfRule type="cellIs" dxfId="4975" priority="11387" operator="equal">
      <formula>"OFF"</formula>
    </cfRule>
    <cfRule type="cellIs" dxfId="4974" priority="11388" operator="equal">
      <formula>"PTO"</formula>
    </cfRule>
  </conditionalFormatting>
  <conditionalFormatting sqref="V19">
    <cfRule type="cellIs" dxfId="4973" priority="11385" operator="equal">
      <formula>"OFF"</formula>
    </cfRule>
    <cfRule type="cellIs" dxfId="4972" priority="11386" operator="equal">
      <formula>"PTO"</formula>
    </cfRule>
  </conditionalFormatting>
  <conditionalFormatting sqref="V19">
    <cfRule type="cellIs" dxfId="4971" priority="11383" operator="equal">
      <formula>"OFF"</formula>
    </cfRule>
    <cfRule type="cellIs" dxfId="4970" priority="11384" operator="equal">
      <formula>"PTO"</formula>
    </cfRule>
  </conditionalFormatting>
  <conditionalFormatting sqref="V19">
    <cfRule type="cellIs" dxfId="4969" priority="11381" operator="equal">
      <formula>"OFF"</formula>
    </cfRule>
    <cfRule type="cellIs" dxfId="4968" priority="11382" operator="equal">
      <formula>"PTO"</formula>
    </cfRule>
  </conditionalFormatting>
  <conditionalFormatting sqref="V19">
    <cfRule type="cellIs" dxfId="4967" priority="11379" operator="equal">
      <formula>"OFF"</formula>
    </cfRule>
    <cfRule type="cellIs" dxfId="4966" priority="11380" operator="equal">
      <formula>"PTO"</formula>
    </cfRule>
  </conditionalFormatting>
  <conditionalFormatting sqref="V19">
    <cfRule type="cellIs" dxfId="4965" priority="11377" operator="equal">
      <formula>"OFF"</formula>
    </cfRule>
    <cfRule type="cellIs" dxfId="4964" priority="11378" operator="equal">
      <formula>"PTO"</formula>
    </cfRule>
  </conditionalFormatting>
  <conditionalFormatting sqref="V19">
    <cfRule type="cellIs" dxfId="4963" priority="11375" operator="equal">
      <formula>"OFF"</formula>
    </cfRule>
    <cfRule type="cellIs" dxfId="4962" priority="11376" operator="equal">
      <formula>"PTO"</formula>
    </cfRule>
  </conditionalFormatting>
  <conditionalFormatting sqref="V19">
    <cfRule type="cellIs" dxfId="4961" priority="11373" operator="equal">
      <formula>"OFF"</formula>
    </cfRule>
    <cfRule type="cellIs" dxfId="4960" priority="11374" operator="equal">
      <formula>"PTO"</formula>
    </cfRule>
  </conditionalFormatting>
  <conditionalFormatting sqref="V19">
    <cfRule type="cellIs" dxfId="4959" priority="11371" operator="equal">
      <formula>"OFF"</formula>
    </cfRule>
    <cfRule type="cellIs" dxfId="4958" priority="11372" operator="equal">
      <formula>"PTO"</formula>
    </cfRule>
  </conditionalFormatting>
  <conditionalFormatting sqref="V19">
    <cfRule type="cellIs" dxfId="4957" priority="11369" operator="equal">
      <formula>"OFF"</formula>
    </cfRule>
    <cfRule type="cellIs" dxfId="4956" priority="11370" operator="equal">
      <formula>"PTO"</formula>
    </cfRule>
  </conditionalFormatting>
  <conditionalFormatting sqref="V19">
    <cfRule type="cellIs" dxfId="4955" priority="11367" operator="equal">
      <formula>"OFF"</formula>
    </cfRule>
    <cfRule type="cellIs" dxfId="4954" priority="11368" operator="equal">
      <formula>"PTO"</formula>
    </cfRule>
  </conditionalFormatting>
  <conditionalFormatting sqref="V19">
    <cfRule type="cellIs" dxfId="4953" priority="11365" operator="equal">
      <formula>"OFF"</formula>
    </cfRule>
    <cfRule type="cellIs" dxfId="4952" priority="11366" operator="equal">
      <formula>"PTO"</formula>
    </cfRule>
  </conditionalFormatting>
  <conditionalFormatting sqref="S19">
    <cfRule type="cellIs" dxfId="4951" priority="11363" operator="equal">
      <formula>"OFF"</formula>
    </cfRule>
    <cfRule type="cellIs" dxfId="4950" priority="11364" operator="equal">
      <formula>"PTO"</formula>
    </cfRule>
  </conditionalFormatting>
  <conditionalFormatting sqref="S19">
    <cfRule type="cellIs" dxfId="4949" priority="11361" operator="equal">
      <formula>"OFF"</formula>
    </cfRule>
    <cfRule type="cellIs" dxfId="4948" priority="11362" operator="equal">
      <formula>"PTO"</formula>
    </cfRule>
  </conditionalFormatting>
  <conditionalFormatting sqref="S19">
    <cfRule type="cellIs" dxfId="4947" priority="11359" operator="equal">
      <formula>"OFF"</formula>
    </cfRule>
    <cfRule type="cellIs" dxfId="4946" priority="11360" operator="equal">
      <formula>"PTO"</formula>
    </cfRule>
  </conditionalFormatting>
  <conditionalFormatting sqref="S19">
    <cfRule type="cellIs" dxfId="4945" priority="11357" operator="equal">
      <formula>"OFF"</formula>
    </cfRule>
    <cfRule type="cellIs" dxfId="4944" priority="11358" operator="equal">
      <formula>"PTO"</formula>
    </cfRule>
  </conditionalFormatting>
  <conditionalFormatting sqref="W20:W32">
    <cfRule type="cellIs" dxfId="4943" priority="11023" operator="equal">
      <formula>"OFF"</formula>
    </cfRule>
    <cfRule type="cellIs" dxfId="4942" priority="11024" operator="equal">
      <formula>"PTO"</formula>
    </cfRule>
  </conditionalFormatting>
  <conditionalFormatting sqref="W20:W32">
    <cfRule type="cellIs" dxfId="4941" priority="11021" operator="equal">
      <formula>"OFF"</formula>
    </cfRule>
    <cfRule type="cellIs" dxfId="4940" priority="11022" operator="equal">
      <formula>"PTO"</formula>
    </cfRule>
  </conditionalFormatting>
  <conditionalFormatting sqref="W20:W32">
    <cfRule type="cellIs" dxfId="4939" priority="11019" operator="equal">
      <formula>"OFF"</formula>
    </cfRule>
    <cfRule type="cellIs" dxfId="4938" priority="11020" operator="equal">
      <formula>"PTO"</formula>
    </cfRule>
  </conditionalFormatting>
  <conditionalFormatting sqref="W20:W32">
    <cfRule type="cellIs" dxfId="4937" priority="11017" operator="equal">
      <formula>"OFF"</formula>
    </cfRule>
    <cfRule type="cellIs" dxfId="4936" priority="11018" operator="equal">
      <formula>"PTO"</formula>
    </cfRule>
  </conditionalFormatting>
  <conditionalFormatting sqref="W20:W32">
    <cfRule type="cellIs" dxfId="4935" priority="11015" operator="equal">
      <formula>"OFF"</formula>
    </cfRule>
    <cfRule type="cellIs" dxfId="4934" priority="11016" operator="equal">
      <formula>"PTO"</formula>
    </cfRule>
  </conditionalFormatting>
  <conditionalFormatting sqref="Q14:V32">
    <cfRule type="cellIs" dxfId="4933" priority="11011" operator="equal">
      <formula>"OFF"</formula>
    </cfRule>
    <cfRule type="cellIs" dxfId="4932" priority="11012" operator="equal">
      <formula>"PTO"</formula>
    </cfRule>
  </conditionalFormatting>
  <conditionalFormatting sqref="Q14:W32">
    <cfRule type="cellIs" dxfId="4931" priority="11005" operator="equal">
      <formula>"OFF"</formula>
    </cfRule>
    <cfRule type="cellIs" dxfId="4930" priority="11006" operator="equal">
      <formula>"PTO"</formula>
    </cfRule>
  </conditionalFormatting>
  <conditionalFormatting sqref="Q14:W32">
    <cfRule type="cellIs" dxfId="4929" priority="10989" operator="equal">
      <formula>"OFF"</formula>
    </cfRule>
    <cfRule type="cellIs" dxfId="4928" priority="10990" operator="equal">
      <formula>"PTO"</formula>
    </cfRule>
  </conditionalFormatting>
  <conditionalFormatting sqref="Q14:W32">
    <cfRule type="cellIs" dxfId="4927" priority="10957" operator="equal">
      <formula>"OFF"</formula>
    </cfRule>
    <cfRule type="cellIs" dxfId="4926" priority="10958" operator="equal">
      <formula>"PTO"</formula>
    </cfRule>
  </conditionalFormatting>
  <conditionalFormatting sqref="Q14:W32">
    <cfRule type="cellIs" dxfId="4925" priority="10955" operator="equal">
      <formula>"OFF"</formula>
    </cfRule>
    <cfRule type="cellIs" dxfId="4924" priority="10956" operator="equal">
      <formula>"PTO"</formula>
    </cfRule>
  </conditionalFormatting>
  <conditionalFormatting sqref="S19">
    <cfRule type="cellIs" dxfId="4923" priority="11355" operator="equal">
      <formula>"OFF"</formula>
    </cfRule>
    <cfRule type="cellIs" dxfId="4922" priority="11356" operator="equal">
      <formula>"PTO"</formula>
    </cfRule>
  </conditionalFormatting>
  <conditionalFormatting sqref="S19">
    <cfRule type="cellIs" dxfId="4921" priority="11353" operator="equal">
      <formula>"OFF"</formula>
    </cfRule>
    <cfRule type="cellIs" dxfId="4920" priority="11354" operator="equal">
      <formula>"PTO"</formula>
    </cfRule>
  </conditionalFormatting>
  <conditionalFormatting sqref="S19">
    <cfRule type="cellIs" dxfId="4919" priority="11351" operator="equal">
      <formula>"OFF"</formula>
    </cfRule>
    <cfRule type="cellIs" dxfId="4918" priority="11352" operator="equal">
      <formula>"PTO"</formula>
    </cfRule>
  </conditionalFormatting>
  <conditionalFormatting sqref="S19">
    <cfRule type="cellIs" dxfId="4917" priority="11349" operator="equal">
      <formula>"OFF"</formula>
    </cfRule>
    <cfRule type="cellIs" dxfId="4916" priority="11350" operator="equal">
      <formula>"PTO"</formula>
    </cfRule>
  </conditionalFormatting>
  <conditionalFormatting sqref="S19">
    <cfRule type="cellIs" dxfId="4915" priority="11347" operator="equal">
      <formula>"OFF"</formula>
    </cfRule>
    <cfRule type="cellIs" dxfId="4914" priority="11348" operator="equal">
      <formula>"PTO"</formula>
    </cfRule>
  </conditionalFormatting>
  <conditionalFormatting sqref="S19">
    <cfRule type="cellIs" dxfId="4913" priority="11345" operator="equal">
      <formula>"OFF"</formula>
    </cfRule>
    <cfRule type="cellIs" dxfId="4912" priority="11346" operator="equal">
      <formula>"PTO"</formula>
    </cfRule>
  </conditionalFormatting>
  <conditionalFormatting sqref="S19">
    <cfRule type="cellIs" dxfId="4911" priority="11343" operator="equal">
      <formula>"OFF"</formula>
    </cfRule>
    <cfRule type="cellIs" dxfId="4910" priority="11344" operator="equal">
      <formula>"PTO"</formula>
    </cfRule>
  </conditionalFormatting>
  <conditionalFormatting sqref="S19">
    <cfRule type="cellIs" dxfId="4909" priority="11341" operator="equal">
      <formula>"OFF"</formula>
    </cfRule>
    <cfRule type="cellIs" dxfId="4908" priority="11342" operator="equal">
      <formula>"PTO"</formula>
    </cfRule>
  </conditionalFormatting>
  <conditionalFormatting sqref="S19">
    <cfRule type="cellIs" dxfId="4907" priority="11339" operator="equal">
      <formula>"OFF"</formula>
    </cfRule>
    <cfRule type="cellIs" dxfId="4906" priority="11340" operator="equal">
      <formula>"PTO"</formula>
    </cfRule>
  </conditionalFormatting>
  <conditionalFormatting sqref="S19">
    <cfRule type="cellIs" dxfId="4905" priority="11337" operator="equal">
      <formula>"OFF"</formula>
    </cfRule>
    <cfRule type="cellIs" dxfId="4904" priority="11338" operator="equal">
      <formula>"PTO"</formula>
    </cfRule>
  </conditionalFormatting>
  <conditionalFormatting sqref="S19">
    <cfRule type="cellIs" dxfId="4903" priority="11335" operator="equal">
      <formula>"OFF"</formula>
    </cfRule>
    <cfRule type="cellIs" dxfId="4902" priority="11336" operator="equal">
      <formula>"PTO"</formula>
    </cfRule>
  </conditionalFormatting>
  <conditionalFormatting sqref="S19">
    <cfRule type="cellIs" dxfId="4901" priority="11333" operator="equal">
      <formula>"OFF"</formula>
    </cfRule>
    <cfRule type="cellIs" dxfId="4900" priority="11334" operator="equal">
      <formula>"PTO"</formula>
    </cfRule>
  </conditionalFormatting>
  <conditionalFormatting sqref="V19">
    <cfRule type="cellIs" dxfId="4899" priority="11331" operator="equal">
      <formula>"OFF"</formula>
    </cfRule>
    <cfRule type="cellIs" dxfId="4898" priority="11332" operator="equal">
      <formula>"PTO"</formula>
    </cfRule>
  </conditionalFormatting>
  <conditionalFormatting sqref="V19">
    <cfRule type="cellIs" dxfId="4897" priority="11329" operator="equal">
      <formula>"OFF"</formula>
    </cfRule>
    <cfRule type="cellIs" dxfId="4896" priority="11330" operator="equal">
      <formula>"PTO"</formula>
    </cfRule>
  </conditionalFormatting>
  <conditionalFormatting sqref="V19">
    <cfRule type="cellIs" dxfId="4895" priority="11327" operator="equal">
      <formula>"OFF"</formula>
    </cfRule>
    <cfRule type="cellIs" dxfId="4894" priority="11328" operator="equal">
      <formula>"PTO"</formula>
    </cfRule>
  </conditionalFormatting>
  <conditionalFormatting sqref="V19">
    <cfRule type="cellIs" dxfId="4893" priority="11325" operator="equal">
      <formula>"OFF"</formula>
    </cfRule>
    <cfRule type="cellIs" dxfId="4892" priority="11326" operator="equal">
      <formula>"PTO"</formula>
    </cfRule>
  </conditionalFormatting>
  <conditionalFormatting sqref="V19">
    <cfRule type="cellIs" dxfId="4891" priority="11323" operator="equal">
      <formula>"OFF"</formula>
    </cfRule>
    <cfRule type="cellIs" dxfId="4890" priority="11324" operator="equal">
      <formula>"PTO"</formula>
    </cfRule>
  </conditionalFormatting>
  <conditionalFormatting sqref="V19">
    <cfRule type="cellIs" dxfId="4889" priority="11321" operator="equal">
      <formula>"OFF"</formula>
    </cfRule>
    <cfRule type="cellIs" dxfId="4888" priority="11322" operator="equal">
      <formula>"PTO"</formula>
    </cfRule>
  </conditionalFormatting>
  <conditionalFormatting sqref="V19">
    <cfRule type="cellIs" dxfId="4887" priority="11319" operator="equal">
      <formula>"OFF"</formula>
    </cfRule>
    <cfRule type="cellIs" dxfId="4886" priority="11320" operator="equal">
      <formula>"PTO"</formula>
    </cfRule>
  </conditionalFormatting>
  <conditionalFormatting sqref="V19">
    <cfRule type="cellIs" dxfId="4885" priority="11317" operator="equal">
      <formula>"OFF"</formula>
    </cfRule>
    <cfRule type="cellIs" dxfId="4884" priority="11318" operator="equal">
      <formula>"PTO"</formula>
    </cfRule>
  </conditionalFormatting>
  <conditionalFormatting sqref="V19">
    <cfRule type="cellIs" dxfId="4883" priority="11315" operator="equal">
      <formula>"OFF"</formula>
    </cfRule>
    <cfRule type="cellIs" dxfId="4882" priority="11316" operator="equal">
      <formula>"PTO"</formula>
    </cfRule>
  </conditionalFormatting>
  <conditionalFormatting sqref="V19">
    <cfRule type="cellIs" dxfId="4881" priority="11313" operator="equal">
      <formula>"OFF"</formula>
    </cfRule>
    <cfRule type="cellIs" dxfId="4880" priority="11314" operator="equal">
      <formula>"PTO"</formula>
    </cfRule>
  </conditionalFormatting>
  <conditionalFormatting sqref="V19">
    <cfRule type="cellIs" dxfId="4879" priority="11311" operator="equal">
      <formula>"OFF"</formula>
    </cfRule>
    <cfRule type="cellIs" dxfId="4878" priority="11312" operator="equal">
      <formula>"PTO"</formula>
    </cfRule>
  </conditionalFormatting>
  <conditionalFormatting sqref="V19">
    <cfRule type="cellIs" dxfId="4877" priority="11309" operator="equal">
      <formula>"OFF"</formula>
    </cfRule>
    <cfRule type="cellIs" dxfId="4876" priority="11310" operator="equal">
      <formula>"PTO"</formula>
    </cfRule>
  </conditionalFormatting>
  <conditionalFormatting sqref="V19">
    <cfRule type="cellIs" dxfId="4875" priority="11307" operator="equal">
      <formula>"OFF"</formula>
    </cfRule>
    <cfRule type="cellIs" dxfId="4874" priority="11308" operator="equal">
      <formula>"PTO"</formula>
    </cfRule>
  </conditionalFormatting>
  <conditionalFormatting sqref="V19">
    <cfRule type="cellIs" dxfId="4873" priority="11305" operator="equal">
      <formula>"OFF"</formula>
    </cfRule>
    <cfRule type="cellIs" dxfId="4872" priority="11306" operator="equal">
      <formula>"PTO"</formula>
    </cfRule>
  </conditionalFormatting>
  <conditionalFormatting sqref="V19">
    <cfRule type="cellIs" dxfId="4871" priority="11303" operator="equal">
      <formula>"OFF"</formula>
    </cfRule>
    <cfRule type="cellIs" dxfId="4870" priority="11304" operator="equal">
      <formula>"PTO"</formula>
    </cfRule>
  </conditionalFormatting>
  <conditionalFormatting sqref="V19">
    <cfRule type="cellIs" dxfId="4869" priority="11301" operator="equal">
      <formula>"OFF"</formula>
    </cfRule>
    <cfRule type="cellIs" dxfId="4868" priority="11302" operator="equal">
      <formula>"PTO"</formula>
    </cfRule>
  </conditionalFormatting>
  <conditionalFormatting sqref="Q19:W32">
    <cfRule type="cellIs" dxfId="4867" priority="11299" operator="equal">
      <formula>"OFF"</formula>
    </cfRule>
    <cfRule type="cellIs" dxfId="4866" priority="11300" operator="equal">
      <formula>"PTO"</formula>
    </cfRule>
  </conditionalFormatting>
  <conditionalFormatting sqref="Q19:W32">
    <cfRule type="cellIs" dxfId="4865" priority="11297" operator="equal">
      <formula>"OFF"</formula>
    </cfRule>
    <cfRule type="cellIs" dxfId="4864" priority="11298" operator="equal">
      <formula>"PTO"</formula>
    </cfRule>
  </conditionalFormatting>
  <conditionalFormatting sqref="Q19:W32">
    <cfRule type="cellIs" dxfId="4863" priority="11295" operator="equal">
      <formula>"OFF"</formula>
    </cfRule>
    <cfRule type="cellIs" dxfId="4862" priority="11296" operator="equal">
      <formula>"PTO"</formula>
    </cfRule>
  </conditionalFormatting>
  <conditionalFormatting sqref="Q19:W32">
    <cfRule type="cellIs" dxfId="4861" priority="11293" operator="equal">
      <formula>"OFF"</formula>
    </cfRule>
    <cfRule type="cellIs" dxfId="4860" priority="11294" operator="equal">
      <formula>"PTO"</formula>
    </cfRule>
  </conditionalFormatting>
  <conditionalFormatting sqref="Q19:W32">
    <cfRule type="cellIs" dxfId="4859" priority="11291" operator="equal">
      <formula>"OFF"</formula>
    </cfRule>
    <cfRule type="cellIs" dxfId="4858" priority="11292" operator="equal">
      <formula>"PTO"</formula>
    </cfRule>
  </conditionalFormatting>
  <conditionalFormatting sqref="Q19:W32">
    <cfRule type="cellIs" dxfId="4857" priority="11289" operator="equal">
      <formula>"OFF"</formula>
    </cfRule>
    <cfRule type="cellIs" dxfId="4856" priority="11290" operator="equal">
      <formula>"PTO"</formula>
    </cfRule>
  </conditionalFormatting>
  <conditionalFormatting sqref="Q19:W32">
    <cfRule type="cellIs" dxfId="4855" priority="11287" operator="equal">
      <formula>"OFF"</formula>
    </cfRule>
    <cfRule type="cellIs" dxfId="4854" priority="11288" operator="equal">
      <formula>"PTO"</formula>
    </cfRule>
  </conditionalFormatting>
  <conditionalFormatting sqref="Q19:W32">
    <cfRule type="cellIs" dxfId="4853" priority="11285" operator="equal">
      <formula>"OFF"</formula>
    </cfRule>
    <cfRule type="cellIs" dxfId="4852" priority="11286" operator="equal">
      <formula>"PTO"</formula>
    </cfRule>
  </conditionalFormatting>
  <conditionalFormatting sqref="Q19:W32">
    <cfRule type="cellIs" dxfId="4851" priority="11283" operator="equal">
      <formula>"OFF"</formula>
    </cfRule>
    <cfRule type="cellIs" dxfId="4850" priority="11284" operator="equal">
      <formula>"PTO"</formula>
    </cfRule>
  </conditionalFormatting>
  <conditionalFormatting sqref="Q19:W32">
    <cfRule type="cellIs" dxfId="4849" priority="11281" operator="equal">
      <formula>"OFF"</formula>
    </cfRule>
    <cfRule type="cellIs" dxfId="4848" priority="11282" operator="equal">
      <formula>"PTO"</formula>
    </cfRule>
  </conditionalFormatting>
  <conditionalFormatting sqref="Q19:W32">
    <cfRule type="cellIs" dxfId="4847" priority="11279" operator="equal">
      <formula>"OFF"</formula>
    </cfRule>
    <cfRule type="cellIs" dxfId="4846" priority="11280" operator="equal">
      <formula>"PTO"</formula>
    </cfRule>
  </conditionalFormatting>
  <conditionalFormatting sqref="Q19:W32">
    <cfRule type="cellIs" dxfId="4845" priority="11277" operator="equal">
      <formula>"OFF"</formula>
    </cfRule>
    <cfRule type="cellIs" dxfId="4844" priority="11278" operator="equal">
      <formula>"PTO"</formula>
    </cfRule>
  </conditionalFormatting>
  <conditionalFormatting sqref="Q19:W32">
    <cfRule type="cellIs" dxfId="4843" priority="11275" operator="equal">
      <formula>"OFF"</formula>
    </cfRule>
    <cfRule type="cellIs" dxfId="4842" priority="11276" operator="equal">
      <formula>"PTO"</formula>
    </cfRule>
  </conditionalFormatting>
  <conditionalFormatting sqref="S19:V32">
    <cfRule type="cellIs" dxfId="4841" priority="11273" operator="equal">
      <formula>"OFF"</formula>
    </cfRule>
    <cfRule type="cellIs" dxfId="4840" priority="11274" operator="equal">
      <formula>"PTO"</formula>
    </cfRule>
  </conditionalFormatting>
  <conditionalFormatting sqref="Q19:W32">
    <cfRule type="cellIs" dxfId="4839" priority="11271" operator="equal">
      <formula>"OFF"</formula>
    </cfRule>
    <cfRule type="cellIs" dxfId="4838" priority="11272" operator="equal">
      <formula>"PTO"</formula>
    </cfRule>
  </conditionalFormatting>
  <conditionalFormatting sqref="S19:V32">
    <cfRule type="cellIs" dxfId="4837" priority="11269" operator="equal">
      <formula>"OFF"</formula>
    </cfRule>
    <cfRule type="cellIs" dxfId="4836" priority="11270" operator="equal">
      <formula>"PTO"</formula>
    </cfRule>
  </conditionalFormatting>
  <conditionalFormatting sqref="V19:W32">
    <cfRule type="cellIs" dxfId="4835" priority="11267" operator="equal">
      <formula>"OFF"</formula>
    </cfRule>
    <cfRule type="cellIs" dxfId="4834" priority="11268" operator="equal">
      <formula>"PTO"</formula>
    </cfRule>
  </conditionalFormatting>
  <conditionalFormatting sqref="S19:V32">
    <cfRule type="cellIs" dxfId="4833" priority="11265" operator="equal">
      <formula>"OFF"</formula>
    </cfRule>
    <cfRule type="cellIs" dxfId="4832" priority="11266" operator="equal">
      <formula>"PTO"</formula>
    </cfRule>
  </conditionalFormatting>
  <conditionalFormatting sqref="V19:W32">
    <cfRule type="cellIs" dxfId="4831" priority="11263" operator="equal">
      <formula>"OFF"</formula>
    </cfRule>
    <cfRule type="cellIs" dxfId="4830" priority="11264" operator="equal">
      <formula>"PTO"</formula>
    </cfRule>
  </conditionalFormatting>
  <conditionalFormatting sqref="S19:V32">
    <cfRule type="cellIs" dxfId="4829" priority="11261" operator="equal">
      <formula>"OFF"</formula>
    </cfRule>
    <cfRule type="cellIs" dxfId="4828" priority="11262" operator="equal">
      <formula>"PTO"</formula>
    </cfRule>
  </conditionalFormatting>
  <conditionalFormatting sqref="V19:W32">
    <cfRule type="cellIs" dxfId="4827" priority="11259" operator="equal">
      <formula>"OFF"</formula>
    </cfRule>
    <cfRule type="cellIs" dxfId="4826" priority="11260" operator="equal">
      <formula>"PTO"</formula>
    </cfRule>
  </conditionalFormatting>
  <conditionalFormatting sqref="S19:V32">
    <cfRule type="cellIs" dxfId="4825" priority="11257" operator="equal">
      <formula>"OFF"</formula>
    </cfRule>
    <cfRule type="cellIs" dxfId="4824" priority="11258" operator="equal">
      <formula>"PTO"</formula>
    </cfRule>
  </conditionalFormatting>
  <conditionalFormatting sqref="V19:W32">
    <cfRule type="cellIs" dxfId="4823" priority="11255" operator="equal">
      <formula>"OFF"</formula>
    </cfRule>
    <cfRule type="cellIs" dxfId="4822" priority="11256" operator="equal">
      <formula>"PTO"</formula>
    </cfRule>
  </conditionalFormatting>
  <conditionalFormatting sqref="S19:V32">
    <cfRule type="cellIs" dxfId="4821" priority="11253" operator="equal">
      <formula>"OFF"</formula>
    </cfRule>
    <cfRule type="cellIs" dxfId="4820" priority="11254" operator="equal">
      <formula>"PTO"</formula>
    </cfRule>
  </conditionalFormatting>
  <conditionalFormatting sqref="V19:W32">
    <cfRule type="cellIs" dxfId="4819" priority="11251" operator="equal">
      <formula>"OFF"</formula>
    </cfRule>
    <cfRule type="cellIs" dxfId="4818" priority="11252" operator="equal">
      <formula>"PTO"</formula>
    </cfRule>
  </conditionalFormatting>
  <conditionalFormatting sqref="S19:V32">
    <cfRule type="cellIs" dxfId="4817" priority="11249" operator="equal">
      <formula>"OFF"</formula>
    </cfRule>
    <cfRule type="cellIs" dxfId="4816" priority="11250" operator="equal">
      <formula>"PTO"</formula>
    </cfRule>
  </conditionalFormatting>
  <conditionalFormatting sqref="V19:W32">
    <cfRule type="cellIs" dxfId="4815" priority="11247" operator="equal">
      <formula>"OFF"</formula>
    </cfRule>
    <cfRule type="cellIs" dxfId="4814" priority="11248" operator="equal">
      <formula>"PTO"</formula>
    </cfRule>
  </conditionalFormatting>
  <conditionalFormatting sqref="Q25:Q32">
    <cfRule type="cellIs" dxfId="4813" priority="11245" operator="equal">
      <formula>"OFF"</formula>
    </cfRule>
    <cfRule type="cellIs" dxfId="4812" priority="11246" operator="equal">
      <formula>"PTO"</formula>
    </cfRule>
  </conditionalFormatting>
  <conditionalFormatting sqref="Q20:V32">
    <cfRule type="cellIs" dxfId="4811" priority="11243" operator="equal">
      <formula>"OFF"</formula>
    </cfRule>
    <cfRule type="cellIs" dxfId="4810" priority="11244" operator="equal">
      <formula>"PTO"</formula>
    </cfRule>
  </conditionalFormatting>
  <conditionalFormatting sqref="Q21">
    <cfRule type="cellIs" dxfId="4809" priority="11241" operator="equal">
      <formula>"OFF"</formula>
    </cfRule>
    <cfRule type="cellIs" dxfId="4808" priority="11242" operator="equal">
      <formula>"PTO"</formula>
    </cfRule>
  </conditionalFormatting>
  <conditionalFormatting sqref="Q21">
    <cfRule type="cellIs" dxfId="4807" priority="11239" operator="equal">
      <formula>"OFF"</formula>
    </cfRule>
    <cfRule type="cellIs" dxfId="4806" priority="11240" operator="equal">
      <formula>"PTO"</formula>
    </cfRule>
  </conditionalFormatting>
  <conditionalFormatting sqref="Q21">
    <cfRule type="cellIs" dxfId="4805" priority="11237" operator="equal">
      <formula>"OFF"</formula>
    </cfRule>
    <cfRule type="cellIs" dxfId="4804" priority="11238" operator="equal">
      <formula>"PTO"</formula>
    </cfRule>
  </conditionalFormatting>
  <conditionalFormatting sqref="Q21">
    <cfRule type="cellIs" dxfId="4803" priority="11235" operator="equal">
      <formula>"OFF"</formula>
    </cfRule>
    <cfRule type="cellIs" dxfId="4802" priority="11236" operator="equal">
      <formula>"PTO"</formula>
    </cfRule>
  </conditionalFormatting>
  <conditionalFormatting sqref="Q23">
    <cfRule type="cellIs" dxfId="4801" priority="11233" operator="equal">
      <formula>"OFF"</formula>
    </cfRule>
    <cfRule type="cellIs" dxfId="4800" priority="11234" operator="equal">
      <formula>"PTO"</formula>
    </cfRule>
  </conditionalFormatting>
  <conditionalFormatting sqref="Q20:V32">
    <cfRule type="cellIs" dxfId="4799" priority="11231" operator="equal">
      <formula>"OFF"</formula>
    </cfRule>
    <cfRule type="cellIs" dxfId="4798" priority="11232" operator="equal">
      <formula>"PTO"</formula>
    </cfRule>
  </conditionalFormatting>
  <conditionalFormatting sqref="Q21">
    <cfRule type="cellIs" dxfId="4797" priority="11229" operator="equal">
      <formula>"OFF"</formula>
    </cfRule>
    <cfRule type="cellIs" dxfId="4796" priority="11230" operator="equal">
      <formula>"PTO"</formula>
    </cfRule>
  </conditionalFormatting>
  <conditionalFormatting sqref="Q21">
    <cfRule type="cellIs" dxfId="4795" priority="11227" operator="equal">
      <formula>"OFF"</formula>
    </cfRule>
    <cfRule type="cellIs" dxfId="4794" priority="11228" operator="equal">
      <formula>"PTO"</formula>
    </cfRule>
  </conditionalFormatting>
  <conditionalFormatting sqref="Q21">
    <cfRule type="cellIs" dxfId="4793" priority="11225" operator="equal">
      <formula>"OFF"</formula>
    </cfRule>
    <cfRule type="cellIs" dxfId="4792" priority="11226" operator="equal">
      <formula>"PTO"</formula>
    </cfRule>
  </conditionalFormatting>
  <conditionalFormatting sqref="Q21">
    <cfRule type="cellIs" dxfId="4791" priority="11223" operator="equal">
      <formula>"OFF"</formula>
    </cfRule>
    <cfRule type="cellIs" dxfId="4790" priority="11224" operator="equal">
      <formula>"PTO"</formula>
    </cfRule>
  </conditionalFormatting>
  <conditionalFormatting sqref="Q23">
    <cfRule type="cellIs" dxfId="4789" priority="11221" operator="equal">
      <formula>"OFF"</formula>
    </cfRule>
    <cfRule type="cellIs" dxfId="4788" priority="11222" operator="equal">
      <formula>"PTO"</formula>
    </cfRule>
  </conditionalFormatting>
  <conditionalFormatting sqref="Q20:Q32">
    <cfRule type="cellIs" dxfId="4787" priority="11219" operator="equal">
      <formula>"OFF"</formula>
    </cfRule>
    <cfRule type="cellIs" dxfId="4786" priority="11220" operator="equal">
      <formula>"PTO"</formula>
    </cfRule>
  </conditionalFormatting>
  <conditionalFormatting sqref="Q20:Q32">
    <cfRule type="cellIs" dxfId="4785" priority="11217" operator="equal">
      <formula>"OFF"</formula>
    </cfRule>
    <cfRule type="cellIs" dxfId="4784" priority="11218" operator="equal">
      <formula>"PTO"</formula>
    </cfRule>
  </conditionalFormatting>
  <conditionalFormatting sqref="Q20:Q32">
    <cfRule type="cellIs" dxfId="4783" priority="11215" operator="equal">
      <formula>"OFF"</formula>
    </cfRule>
    <cfRule type="cellIs" dxfId="4782" priority="11216" operator="equal">
      <formula>"PTO"</formula>
    </cfRule>
  </conditionalFormatting>
  <conditionalFormatting sqref="Q20:Q32">
    <cfRule type="cellIs" dxfId="4781" priority="11213" operator="equal">
      <formula>"OFF"</formula>
    </cfRule>
    <cfRule type="cellIs" dxfId="4780" priority="11214" operator="equal">
      <formula>"PTO"</formula>
    </cfRule>
  </conditionalFormatting>
  <conditionalFormatting sqref="R20:V32">
    <cfRule type="cellIs" dxfId="4779" priority="11211" operator="equal">
      <formula>"OFF"</formula>
    </cfRule>
    <cfRule type="cellIs" dxfId="4778" priority="11212" operator="equal">
      <formula>"PTO"</formula>
    </cfRule>
  </conditionalFormatting>
  <conditionalFormatting sqref="R20:V32">
    <cfRule type="cellIs" dxfId="4777" priority="11209" operator="equal">
      <formula>"OFF"</formula>
    </cfRule>
    <cfRule type="cellIs" dxfId="4776" priority="11210" operator="equal">
      <formula>"PTO"</formula>
    </cfRule>
  </conditionalFormatting>
  <conditionalFormatting sqref="R20:V32">
    <cfRule type="cellIs" dxfId="4775" priority="11207" operator="equal">
      <formula>"OFF"</formula>
    </cfRule>
    <cfRule type="cellIs" dxfId="4774" priority="11208" operator="equal">
      <formula>"PTO"</formula>
    </cfRule>
  </conditionalFormatting>
  <conditionalFormatting sqref="R20:V32">
    <cfRule type="cellIs" dxfId="4773" priority="11205" operator="equal">
      <formula>"OFF"</formula>
    </cfRule>
    <cfRule type="cellIs" dxfId="4772" priority="11206" operator="equal">
      <formula>"PTO"</formula>
    </cfRule>
  </conditionalFormatting>
  <conditionalFormatting sqref="Q22">
    <cfRule type="cellIs" dxfId="4771" priority="11203" operator="equal">
      <formula>"OFF"</formula>
    </cfRule>
    <cfRule type="cellIs" dxfId="4770" priority="11204" operator="equal">
      <formula>"PTO"</formula>
    </cfRule>
  </conditionalFormatting>
  <conditionalFormatting sqref="Q20:Q32">
    <cfRule type="cellIs" dxfId="4769" priority="11201" operator="equal">
      <formula>"OFF"</formula>
    </cfRule>
    <cfRule type="cellIs" dxfId="4768" priority="11202" operator="equal">
      <formula>"PTO"</formula>
    </cfRule>
  </conditionalFormatting>
  <conditionalFormatting sqref="Q20:Q32">
    <cfRule type="cellIs" dxfId="4767" priority="11199" operator="equal">
      <formula>"OFF"</formula>
    </cfRule>
    <cfRule type="cellIs" dxfId="4766" priority="11200" operator="equal">
      <formula>"PTO"</formula>
    </cfRule>
  </conditionalFormatting>
  <conditionalFormatting sqref="Q20:Q32">
    <cfRule type="cellIs" dxfId="4765" priority="11197" operator="equal">
      <formula>"OFF"</formula>
    </cfRule>
    <cfRule type="cellIs" dxfId="4764" priority="11198" operator="equal">
      <formula>"PTO"</formula>
    </cfRule>
  </conditionalFormatting>
  <conditionalFormatting sqref="Q20:Q32">
    <cfRule type="cellIs" dxfId="4763" priority="11195" operator="equal">
      <formula>"OFF"</formula>
    </cfRule>
    <cfRule type="cellIs" dxfId="4762" priority="11196" operator="equal">
      <formula>"PTO"</formula>
    </cfRule>
  </conditionalFormatting>
  <conditionalFormatting sqref="R20:V32">
    <cfRule type="cellIs" dxfId="4761" priority="11193" operator="equal">
      <formula>"OFF"</formula>
    </cfRule>
    <cfRule type="cellIs" dxfId="4760" priority="11194" operator="equal">
      <formula>"PTO"</formula>
    </cfRule>
  </conditionalFormatting>
  <conditionalFormatting sqref="R20:V32">
    <cfRule type="cellIs" dxfId="4759" priority="11191" operator="equal">
      <formula>"OFF"</formula>
    </cfRule>
    <cfRule type="cellIs" dxfId="4758" priority="11192" operator="equal">
      <formula>"PTO"</formula>
    </cfRule>
  </conditionalFormatting>
  <conditionalFormatting sqref="R20:V32">
    <cfRule type="cellIs" dxfId="4757" priority="11189" operator="equal">
      <formula>"OFF"</formula>
    </cfRule>
    <cfRule type="cellIs" dxfId="4756" priority="11190" operator="equal">
      <formula>"PTO"</formula>
    </cfRule>
  </conditionalFormatting>
  <conditionalFormatting sqref="R20:V32">
    <cfRule type="cellIs" dxfId="4755" priority="11187" operator="equal">
      <formula>"OFF"</formula>
    </cfRule>
    <cfRule type="cellIs" dxfId="4754" priority="11188" operator="equal">
      <formula>"PTO"</formula>
    </cfRule>
  </conditionalFormatting>
  <conditionalFormatting sqref="Q22">
    <cfRule type="cellIs" dxfId="4753" priority="11185" operator="equal">
      <formula>"OFF"</formula>
    </cfRule>
    <cfRule type="cellIs" dxfId="4752" priority="11186" operator="equal">
      <formula>"PTO"</formula>
    </cfRule>
  </conditionalFormatting>
  <conditionalFormatting sqref="Q20:Q32">
    <cfRule type="cellIs" dxfId="4751" priority="11183" operator="equal">
      <formula>"OFF"</formula>
    </cfRule>
    <cfRule type="cellIs" dxfId="4750" priority="11184" operator="equal">
      <formula>"PTO"</formula>
    </cfRule>
  </conditionalFormatting>
  <conditionalFormatting sqref="Q20:Q32">
    <cfRule type="cellIs" dxfId="4749" priority="11181" operator="equal">
      <formula>"OFF"</formula>
    </cfRule>
    <cfRule type="cellIs" dxfId="4748" priority="11182" operator="equal">
      <formula>"PTO"</formula>
    </cfRule>
  </conditionalFormatting>
  <conditionalFormatting sqref="Q20:Q32">
    <cfRule type="cellIs" dxfId="4747" priority="11179" operator="equal">
      <formula>"OFF"</formula>
    </cfRule>
    <cfRule type="cellIs" dxfId="4746" priority="11180" operator="equal">
      <formula>"PTO"</formula>
    </cfRule>
  </conditionalFormatting>
  <conditionalFormatting sqref="Q20:Q32">
    <cfRule type="cellIs" dxfId="4745" priority="11177" operator="equal">
      <formula>"OFF"</formula>
    </cfRule>
    <cfRule type="cellIs" dxfId="4744" priority="11178" operator="equal">
      <formula>"PTO"</formula>
    </cfRule>
  </conditionalFormatting>
  <conditionalFormatting sqref="R20:V32">
    <cfRule type="cellIs" dxfId="4743" priority="11175" operator="equal">
      <formula>"OFF"</formula>
    </cfRule>
    <cfRule type="cellIs" dxfId="4742" priority="11176" operator="equal">
      <formula>"PTO"</formula>
    </cfRule>
  </conditionalFormatting>
  <conditionalFormatting sqref="R20:V32">
    <cfRule type="cellIs" dxfId="4741" priority="11173" operator="equal">
      <formula>"OFF"</formula>
    </cfRule>
    <cfRule type="cellIs" dxfId="4740" priority="11174" operator="equal">
      <formula>"PTO"</formula>
    </cfRule>
  </conditionalFormatting>
  <conditionalFormatting sqref="R20:V32">
    <cfRule type="cellIs" dxfId="4739" priority="11171" operator="equal">
      <formula>"OFF"</formula>
    </cfRule>
    <cfRule type="cellIs" dxfId="4738" priority="11172" operator="equal">
      <formula>"PTO"</formula>
    </cfRule>
  </conditionalFormatting>
  <conditionalFormatting sqref="R20:V32">
    <cfRule type="cellIs" dxfId="4737" priority="11169" operator="equal">
      <formula>"OFF"</formula>
    </cfRule>
    <cfRule type="cellIs" dxfId="4736" priority="11170" operator="equal">
      <formula>"PTO"</formula>
    </cfRule>
  </conditionalFormatting>
  <conditionalFormatting sqref="Q20:Q32">
    <cfRule type="cellIs" dxfId="4735" priority="11167" operator="equal">
      <formula>"OFF"</formula>
    </cfRule>
    <cfRule type="cellIs" dxfId="4734" priority="11168" operator="equal">
      <formula>"PTO"</formula>
    </cfRule>
  </conditionalFormatting>
  <conditionalFormatting sqref="Q20:Q32">
    <cfRule type="cellIs" dxfId="4733" priority="11165" operator="equal">
      <formula>"OFF"</formula>
    </cfRule>
    <cfRule type="cellIs" dxfId="4732" priority="11166" operator="equal">
      <formula>"PTO"</formula>
    </cfRule>
  </conditionalFormatting>
  <conditionalFormatting sqref="Q20:Q32">
    <cfRule type="cellIs" dxfId="4731" priority="11163" operator="equal">
      <formula>"OFF"</formula>
    </cfRule>
    <cfRule type="cellIs" dxfId="4730" priority="11164" operator="equal">
      <formula>"PTO"</formula>
    </cfRule>
  </conditionalFormatting>
  <conditionalFormatting sqref="Q20:Q32">
    <cfRule type="cellIs" dxfId="4729" priority="11161" operator="equal">
      <formula>"OFF"</formula>
    </cfRule>
    <cfRule type="cellIs" dxfId="4728" priority="11162" operator="equal">
      <formula>"PTO"</formula>
    </cfRule>
  </conditionalFormatting>
  <conditionalFormatting sqref="R20:V32">
    <cfRule type="cellIs" dxfId="4727" priority="11159" operator="equal">
      <formula>"OFF"</formula>
    </cfRule>
    <cfRule type="cellIs" dxfId="4726" priority="11160" operator="equal">
      <formula>"PTO"</formula>
    </cfRule>
  </conditionalFormatting>
  <conditionalFormatting sqref="R20:V32">
    <cfRule type="cellIs" dxfId="4725" priority="11157" operator="equal">
      <formula>"OFF"</formula>
    </cfRule>
    <cfRule type="cellIs" dxfId="4724" priority="11158" operator="equal">
      <formula>"PTO"</formula>
    </cfRule>
  </conditionalFormatting>
  <conditionalFormatting sqref="R20:V32">
    <cfRule type="cellIs" dxfId="4723" priority="11155" operator="equal">
      <formula>"OFF"</formula>
    </cfRule>
    <cfRule type="cellIs" dxfId="4722" priority="11156" operator="equal">
      <formula>"PTO"</formula>
    </cfRule>
  </conditionalFormatting>
  <conditionalFormatting sqref="R20:V32">
    <cfRule type="cellIs" dxfId="4721" priority="11153" operator="equal">
      <formula>"OFF"</formula>
    </cfRule>
    <cfRule type="cellIs" dxfId="4720" priority="11154" operator="equal">
      <formula>"PTO"</formula>
    </cfRule>
  </conditionalFormatting>
  <conditionalFormatting sqref="Q21">
    <cfRule type="cellIs" dxfId="4719" priority="11151" operator="equal">
      <formula>"OFF"</formula>
    </cfRule>
    <cfRule type="cellIs" dxfId="4718" priority="11152" operator="equal">
      <formula>"PTO"</formula>
    </cfRule>
  </conditionalFormatting>
  <conditionalFormatting sqref="Q21">
    <cfRule type="cellIs" dxfId="4717" priority="11149" operator="equal">
      <formula>"OFF"</formula>
    </cfRule>
    <cfRule type="cellIs" dxfId="4716" priority="11150" operator="equal">
      <formula>"PTO"</formula>
    </cfRule>
  </conditionalFormatting>
  <conditionalFormatting sqref="Q20:Q32">
    <cfRule type="cellIs" dxfId="4715" priority="11147" operator="equal">
      <formula>"OFF"</formula>
    </cfRule>
    <cfRule type="cellIs" dxfId="4714" priority="11148" operator="equal">
      <formula>"PTO"</formula>
    </cfRule>
  </conditionalFormatting>
  <conditionalFormatting sqref="Q20:Q32">
    <cfRule type="cellIs" dxfId="4713" priority="11145" operator="equal">
      <formula>"OFF"</formula>
    </cfRule>
    <cfRule type="cellIs" dxfId="4712" priority="11146" operator="equal">
      <formula>"PTO"</formula>
    </cfRule>
  </conditionalFormatting>
  <conditionalFormatting sqref="Q20:Q32">
    <cfRule type="cellIs" dxfId="4711" priority="11143" operator="equal">
      <formula>"OFF"</formula>
    </cfRule>
    <cfRule type="cellIs" dxfId="4710" priority="11144" operator="equal">
      <formula>"PTO"</formula>
    </cfRule>
  </conditionalFormatting>
  <conditionalFormatting sqref="Q20:Q32">
    <cfRule type="cellIs" dxfId="4709" priority="11141" operator="equal">
      <formula>"OFF"</formula>
    </cfRule>
    <cfRule type="cellIs" dxfId="4708" priority="11142" operator="equal">
      <formula>"PTO"</formula>
    </cfRule>
  </conditionalFormatting>
  <conditionalFormatting sqref="Q20:Q32">
    <cfRule type="cellIs" dxfId="4707" priority="11139" operator="equal">
      <formula>"OFF"</formula>
    </cfRule>
    <cfRule type="cellIs" dxfId="4706" priority="11140" operator="equal">
      <formula>"PTO"</formula>
    </cfRule>
  </conditionalFormatting>
  <conditionalFormatting sqref="Q20:Q32">
    <cfRule type="cellIs" dxfId="4705" priority="11137" operator="equal">
      <formula>"OFF"</formula>
    </cfRule>
    <cfRule type="cellIs" dxfId="4704" priority="11138" operator="equal">
      <formula>"PTO"</formula>
    </cfRule>
  </conditionalFormatting>
  <conditionalFormatting sqref="Q20:Q32">
    <cfRule type="cellIs" dxfId="4703" priority="11135" operator="equal">
      <formula>"OFF"</formula>
    </cfRule>
    <cfRule type="cellIs" dxfId="4702" priority="11136" operator="equal">
      <formula>"PTO"</formula>
    </cfRule>
  </conditionalFormatting>
  <conditionalFormatting sqref="Q20:Q32">
    <cfRule type="cellIs" dxfId="4701" priority="11133" operator="equal">
      <formula>"OFF"</formula>
    </cfRule>
    <cfRule type="cellIs" dxfId="4700" priority="11134" operator="equal">
      <formula>"PTO"</formula>
    </cfRule>
  </conditionalFormatting>
  <conditionalFormatting sqref="Q20:Q32">
    <cfRule type="cellIs" dxfId="4699" priority="11131" operator="equal">
      <formula>"OFF"</formula>
    </cfRule>
    <cfRule type="cellIs" dxfId="4698" priority="11132" operator="equal">
      <formula>"PTO"</formula>
    </cfRule>
  </conditionalFormatting>
  <conditionalFormatting sqref="Q20:Q32">
    <cfRule type="cellIs" dxfId="4697" priority="11129" operator="equal">
      <formula>"OFF"</formula>
    </cfRule>
    <cfRule type="cellIs" dxfId="4696" priority="11130" operator="equal">
      <formula>"PTO"</formula>
    </cfRule>
  </conditionalFormatting>
  <conditionalFormatting sqref="Q20:Q32">
    <cfRule type="cellIs" dxfId="4695" priority="11127" operator="equal">
      <formula>"OFF"</formula>
    </cfRule>
    <cfRule type="cellIs" dxfId="4694" priority="11128" operator="equal">
      <formula>"PTO"</formula>
    </cfRule>
  </conditionalFormatting>
  <conditionalFormatting sqref="Q20:Q32">
    <cfRule type="cellIs" dxfId="4693" priority="11125" operator="equal">
      <formula>"OFF"</formula>
    </cfRule>
    <cfRule type="cellIs" dxfId="4692" priority="11126" operator="equal">
      <formula>"PTO"</formula>
    </cfRule>
  </conditionalFormatting>
  <conditionalFormatting sqref="Q20:Q32">
    <cfRule type="cellIs" dxfId="4691" priority="11123" operator="equal">
      <formula>"OFF"</formula>
    </cfRule>
    <cfRule type="cellIs" dxfId="4690" priority="11124" operator="equal">
      <formula>"PTO"</formula>
    </cfRule>
  </conditionalFormatting>
  <conditionalFormatting sqref="Q20:Q32">
    <cfRule type="cellIs" dxfId="4689" priority="11121" operator="equal">
      <formula>"OFF"</formula>
    </cfRule>
    <cfRule type="cellIs" dxfId="4688" priority="11122" operator="equal">
      <formula>"PTO"</formula>
    </cfRule>
  </conditionalFormatting>
  <conditionalFormatting sqref="Q20:Q32">
    <cfRule type="cellIs" dxfId="4687" priority="11119" operator="equal">
      <formula>"OFF"</formula>
    </cfRule>
    <cfRule type="cellIs" dxfId="4686" priority="11120" operator="equal">
      <formula>"PTO"</formula>
    </cfRule>
  </conditionalFormatting>
  <conditionalFormatting sqref="Q20:Q32">
    <cfRule type="cellIs" dxfId="4685" priority="11117" operator="equal">
      <formula>"OFF"</formula>
    </cfRule>
    <cfRule type="cellIs" dxfId="4684" priority="11118" operator="equal">
      <formula>"PTO"</formula>
    </cfRule>
  </conditionalFormatting>
  <conditionalFormatting sqref="Q20:Q32">
    <cfRule type="cellIs" dxfId="4683" priority="11115" operator="equal">
      <formula>"OFF"</formula>
    </cfRule>
    <cfRule type="cellIs" dxfId="4682" priority="11116" operator="equal">
      <formula>"PTO"</formula>
    </cfRule>
  </conditionalFormatting>
  <conditionalFormatting sqref="Q20:Q32">
    <cfRule type="cellIs" dxfId="4681" priority="11113" operator="equal">
      <formula>"OFF"</formula>
    </cfRule>
    <cfRule type="cellIs" dxfId="4680" priority="11114" operator="equal">
      <formula>"PTO"</formula>
    </cfRule>
  </conditionalFormatting>
  <conditionalFormatting sqref="Q20:Q32">
    <cfRule type="cellIs" dxfId="4679" priority="11111" operator="equal">
      <formula>"OFF"</formula>
    </cfRule>
    <cfRule type="cellIs" dxfId="4678" priority="11112" operator="equal">
      <formula>"PTO"</formula>
    </cfRule>
  </conditionalFormatting>
  <conditionalFormatting sqref="Q20:Q32">
    <cfRule type="cellIs" dxfId="4677" priority="11109" operator="equal">
      <formula>"OFF"</formula>
    </cfRule>
    <cfRule type="cellIs" dxfId="4676" priority="11110" operator="equal">
      <formula>"PTO"</formula>
    </cfRule>
  </conditionalFormatting>
  <conditionalFormatting sqref="Q20:Q32">
    <cfRule type="cellIs" dxfId="4675" priority="11107" operator="equal">
      <formula>"OFF"</formula>
    </cfRule>
    <cfRule type="cellIs" dxfId="4674" priority="11108" operator="equal">
      <formula>"PTO"</formula>
    </cfRule>
  </conditionalFormatting>
  <conditionalFormatting sqref="Q20:Q32">
    <cfRule type="cellIs" dxfId="4673" priority="11105" operator="equal">
      <formula>"OFF"</formula>
    </cfRule>
    <cfRule type="cellIs" dxfId="4672" priority="11106" operator="equal">
      <formula>"PTO"</formula>
    </cfRule>
  </conditionalFormatting>
  <conditionalFormatting sqref="Q20:Q32">
    <cfRule type="cellIs" dxfId="4671" priority="11103" operator="equal">
      <formula>"OFF"</formula>
    </cfRule>
    <cfRule type="cellIs" dxfId="4670" priority="11104" operator="equal">
      <formula>"PTO"</formula>
    </cfRule>
  </conditionalFormatting>
  <conditionalFormatting sqref="Q20:Q32">
    <cfRule type="cellIs" dxfId="4669" priority="11101" operator="equal">
      <formula>"OFF"</formula>
    </cfRule>
    <cfRule type="cellIs" dxfId="4668" priority="11102" operator="equal">
      <formula>"PTO"</formula>
    </cfRule>
  </conditionalFormatting>
  <conditionalFormatting sqref="Q20:Q32">
    <cfRule type="cellIs" dxfId="4667" priority="11099" operator="equal">
      <formula>"OFF"</formula>
    </cfRule>
    <cfRule type="cellIs" dxfId="4666" priority="11100" operator="equal">
      <formula>"PTO"</formula>
    </cfRule>
  </conditionalFormatting>
  <conditionalFormatting sqref="R20:V32">
    <cfRule type="cellIs" dxfId="4665" priority="11097" operator="equal">
      <formula>"OFF"</formula>
    </cfRule>
    <cfRule type="cellIs" dxfId="4664" priority="11098" operator="equal">
      <formula>"PTO"</formula>
    </cfRule>
  </conditionalFormatting>
  <conditionalFormatting sqref="R20:V32">
    <cfRule type="cellIs" dxfId="4663" priority="11095" operator="equal">
      <formula>"OFF"</formula>
    </cfRule>
    <cfRule type="cellIs" dxfId="4662" priority="11096" operator="equal">
      <formula>"PTO"</formula>
    </cfRule>
  </conditionalFormatting>
  <conditionalFormatting sqref="R20:V32">
    <cfRule type="cellIs" dxfId="4661" priority="11093" operator="equal">
      <formula>"OFF"</formula>
    </cfRule>
    <cfRule type="cellIs" dxfId="4660" priority="11094" operator="equal">
      <formula>"PTO"</formula>
    </cfRule>
  </conditionalFormatting>
  <conditionalFormatting sqref="R20:V32">
    <cfRule type="cellIs" dxfId="4659" priority="11091" operator="equal">
      <formula>"OFF"</formula>
    </cfRule>
    <cfRule type="cellIs" dxfId="4658" priority="11092" operator="equal">
      <formula>"PTO"</formula>
    </cfRule>
  </conditionalFormatting>
  <conditionalFormatting sqref="R20:V32">
    <cfRule type="cellIs" dxfId="4657" priority="11089" operator="equal">
      <formula>"OFF"</formula>
    </cfRule>
    <cfRule type="cellIs" dxfId="4656" priority="11090" operator="equal">
      <formula>"PTO"</formula>
    </cfRule>
  </conditionalFormatting>
  <conditionalFormatting sqref="R20:V32">
    <cfRule type="cellIs" dxfId="4655" priority="11087" operator="equal">
      <formula>"OFF"</formula>
    </cfRule>
    <cfRule type="cellIs" dxfId="4654" priority="11088" operator="equal">
      <formula>"PTO"</formula>
    </cfRule>
  </conditionalFormatting>
  <conditionalFormatting sqref="R20:V32">
    <cfRule type="cellIs" dxfId="4653" priority="11085" operator="equal">
      <formula>"OFF"</formula>
    </cfRule>
    <cfRule type="cellIs" dxfId="4652" priority="11086" operator="equal">
      <formula>"PTO"</formula>
    </cfRule>
  </conditionalFormatting>
  <conditionalFormatting sqref="R20:V32">
    <cfRule type="cellIs" dxfId="4651" priority="11083" operator="equal">
      <formula>"OFF"</formula>
    </cfRule>
    <cfRule type="cellIs" dxfId="4650" priority="11084" operator="equal">
      <formula>"PTO"</formula>
    </cfRule>
  </conditionalFormatting>
  <conditionalFormatting sqref="R20:V32">
    <cfRule type="cellIs" dxfId="4649" priority="11081" operator="equal">
      <formula>"OFF"</formula>
    </cfRule>
    <cfRule type="cellIs" dxfId="4648" priority="11082" operator="equal">
      <formula>"PTO"</formula>
    </cfRule>
  </conditionalFormatting>
  <conditionalFormatting sqref="R20:V32">
    <cfRule type="cellIs" dxfId="4647" priority="11079" operator="equal">
      <formula>"OFF"</formula>
    </cfRule>
    <cfRule type="cellIs" dxfId="4646" priority="11080" operator="equal">
      <formula>"PTO"</formula>
    </cfRule>
  </conditionalFormatting>
  <conditionalFormatting sqref="R20:V32">
    <cfRule type="cellIs" dxfId="4645" priority="11077" operator="equal">
      <formula>"OFF"</formula>
    </cfRule>
    <cfRule type="cellIs" dxfId="4644" priority="11078" operator="equal">
      <formula>"PTO"</formula>
    </cfRule>
  </conditionalFormatting>
  <conditionalFormatting sqref="R20:V32">
    <cfRule type="cellIs" dxfId="4643" priority="11075" operator="equal">
      <formula>"OFF"</formula>
    </cfRule>
    <cfRule type="cellIs" dxfId="4642" priority="11076" operator="equal">
      <formula>"PTO"</formula>
    </cfRule>
  </conditionalFormatting>
  <conditionalFormatting sqref="R20:V32">
    <cfRule type="cellIs" dxfId="4641" priority="11073" operator="equal">
      <formula>"OFF"</formula>
    </cfRule>
    <cfRule type="cellIs" dxfId="4640" priority="11074" operator="equal">
      <formula>"PTO"</formula>
    </cfRule>
  </conditionalFormatting>
  <conditionalFormatting sqref="R20:V32">
    <cfRule type="cellIs" dxfId="4639" priority="11071" operator="equal">
      <formula>"OFF"</formula>
    </cfRule>
    <cfRule type="cellIs" dxfId="4638" priority="11072" operator="equal">
      <formula>"PTO"</formula>
    </cfRule>
  </conditionalFormatting>
  <conditionalFormatting sqref="R20:V32">
    <cfRule type="cellIs" dxfId="4637" priority="11069" operator="equal">
      <formula>"OFF"</formula>
    </cfRule>
    <cfRule type="cellIs" dxfId="4636" priority="11070" operator="equal">
      <formula>"PTO"</formula>
    </cfRule>
  </conditionalFormatting>
  <conditionalFormatting sqref="R20:V32">
    <cfRule type="cellIs" dxfId="4635" priority="11067" operator="equal">
      <formula>"OFF"</formula>
    </cfRule>
    <cfRule type="cellIs" dxfId="4634" priority="11068" operator="equal">
      <formula>"PTO"</formula>
    </cfRule>
  </conditionalFormatting>
  <conditionalFormatting sqref="R20:V32">
    <cfRule type="cellIs" dxfId="4633" priority="11065" operator="equal">
      <formula>"OFF"</formula>
    </cfRule>
    <cfRule type="cellIs" dxfId="4632" priority="11066" operator="equal">
      <formula>"PTO"</formula>
    </cfRule>
  </conditionalFormatting>
  <conditionalFormatting sqref="R20:V32">
    <cfRule type="cellIs" dxfId="4631" priority="11063" operator="equal">
      <formula>"OFF"</formula>
    </cfRule>
    <cfRule type="cellIs" dxfId="4630" priority="11064" operator="equal">
      <formula>"PTO"</formula>
    </cfRule>
  </conditionalFormatting>
  <conditionalFormatting sqref="R20:V32">
    <cfRule type="cellIs" dxfId="4629" priority="11061" operator="equal">
      <formula>"OFF"</formula>
    </cfRule>
    <cfRule type="cellIs" dxfId="4628" priority="11062" operator="equal">
      <formula>"PTO"</formula>
    </cfRule>
  </conditionalFormatting>
  <conditionalFormatting sqref="R20:V32">
    <cfRule type="cellIs" dxfId="4627" priority="11059" operator="equal">
      <formula>"OFF"</formula>
    </cfRule>
    <cfRule type="cellIs" dxfId="4626" priority="11060" operator="equal">
      <formula>"PTO"</formula>
    </cfRule>
  </conditionalFormatting>
  <conditionalFormatting sqref="R20:V32">
    <cfRule type="cellIs" dxfId="4625" priority="11057" operator="equal">
      <formula>"OFF"</formula>
    </cfRule>
    <cfRule type="cellIs" dxfId="4624" priority="11058" operator="equal">
      <formula>"PTO"</formula>
    </cfRule>
  </conditionalFormatting>
  <conditionalFormatting sqref="R20:V32">
    <cfRule type="cellIs" dxfId="4623" priority="11055" operator="equal">
      <formula>"OFF"</formula>
    </cfRule>
    <cfRule type="cellIs" dxfId="4622" priority="11056" operator="equal">
      <formula>"PTO"</formula>
    </cfRule>
  </conditionalFormatting>
  <conditionalFormatting sqref="R20:V32">
    <cfRule type="cellIs" dxfId="4621" priority="11053" operator="equal">
      <formula>"OFF"</formula>
    </cfRule>
    <cfRule type="cellIs" dxfId="4620" priority="11054" operator="equal">
      <formula>"PTO"</formula>
    </cfRule>
  </conditionalFormatting>
  <conditionalFormatting sqref="R20:V32">
    <cfRule type="cellIs" dxfId="4619" priority="11051" operator="equal">
      <formula>"OFF"</formula>
    </cfRule>
    <cfRule type="cellIs" dxfId="4618" priority="11052" operator="equal">
      <formula>"PTO"</formula>
    </cfRule>
  </conditionalFormatting>
  <conditionalFormatting sqref="R20:V32">
    <cfRule type="cellIs" dxfId="4617" priority="11049" operator="equal">
      <formula>"OFF"</formula>
    </cfRule>
    <cfRule type="cellIs" dxfId="4616" priority="11050" operator="equal">
      <formula>"PTO"</formula>
    </cfRule>
  </conditionalFormatting>
  <conditionalFormatting sqref="T20:V32">
    <cfRule type="cellIs" dxfId="4615" priority="11047" operator="equal">
      <formula>"OFF"</formula>
    </cfRule>
    <cfRule type="cellIs" dxfId="4614" priority="11048" operator="equal">
      <formula>"PTO"</formula>
    </cfRule>
  </conditionalFormatting>
  <conditionalFormatting sqref="U20:V32">
    <cfRule type="cellIs" dxfId="4613" priority="11045" operator="equal">
      <formula>"OFF"</formula>
    </cfRule>
    <cfRule type="cellIs" dxfId="4612" priority="11046" operator="equal">
      <formula>"PTO"</formula>
    </cfRule>
  </conditionalFormatting>
  <conditionalFormatting sqref="U20:V32">
    <cfRule type="cellIs" dxfId="4611" priority="11043" operator="equal">
      <formula>"OFF"</formula>
    </cfRule>
    <cfRule type="cellIs" dxfId="4610" priority="11044" operator="equal">
      <formula>"PTO"</formula>
    </cfRule>
  </conditionalFormatting>
  <conditionalFormatting sqref="U20:V32">
    <cfRule type="cellIs" dxfId="4609" priority="11041" operator="equal">
      <formula>"OFF"</formula>
    </cfRule>
    <cfRule type="cellIs" dxfId="4608" priority="11042" operator="equal">
      <formula>"PTO"</formula>
    </cfRule>
  </conditionalFormatting>
  <conditionalFormatting sqref="U20:V32">
    <cfRule type="cellIs" dxfId="4607" priority="11039" operator="equal">
      <formula>"OFF"</formula>
    </cfRule>
    <cfRule type="cellIs" dxfId="4606" priority="11040" operator="equal">
      <formula>"PTO"</formula>
    </cfRule>
  </conditionalFormatting>
  <conditionalFormatting sqref="U20:V32">
    <cfRule type="cellIs" dxfId="4605" priority="11037" operator="equal">
      <formula>"OFF"</formula>
    </cfRule>
    <cfRule type="cellIs" dxfId="4604" priority="11038" operator="equal">
      <formula>"PTO"</formula>
    </cfRule>
  </conditionalFormatting>
  <conditionalFormatting sqref="U20:V32">
    <cfRule type="cellIs" dxfId="4603" priority="11035" operator="equal">
      <formula>"OFF"</formula>
    </cfRule>
    <cfRule type="cellIs" dxfId="4602" priority="11036" operator="equal">
      <formula>"PTO"</formula>
    </cfRule>
  </conditionalFormatting>
  <conditionalFormatting sqref="U20:V32">
    <cfRule type="cellIs" dxfId="4601" priority="11033" operator="equal">
      <formula>"OFF"</formula>
    </cfRule>
    <cfRule type="cellIs" dxfId="4600" priority="11034" operator="equal">
      <formula>"PTO"</formula>
    </cfRule>
  </conditionalFormatting>
  <conditionalFormatting sqref="U20:V32">
    <cfRule type="cellIs" dxfId="4599" priority="11031" operator="equal">
      <formula>"OFF"</formula>
    </cfRule>
    <cfRule type="cellIs" dxfId="4598" priority="11032" operator="equal">
      <formula>"PTO"</formula>
    </cfRule>
  </conditionalFormatting>
  <conditionalFormatting sqref="W20:W32">
    <cfRule type="cellIs" dxfId="4597" priority="11029" operator="equal">
      <formula>"OFF"</formula>
    </cfRule>
    <cfRule type="cellIs" dxfId="4596" priority="11030" operator="equal">
      <formula>"PTO"</formula>
    </cfRule>
  </conditionalFormatting>
  <conditionalFormatting sqref="W20:W32">
    <cfRule type="cellIs" dxfId="4595" priority="11027" operator="equal">
      <formula>"OFF"</formula>
    </cfRule>
    <cfRule type="cellIs" dxfId="4594" priority="11028" operator="equal">
      <formula>"PTO"</formula>
    </cfRule>
  </conditionalFormatting>
  <conditionalFormatting sqref="W20:W32">
    <cfRule type="cellIs" dxfId="4593" priority="11025" operator="equal">
      <formula>"OFF"</formula>
    </cfRule>
    <cfRule type="cellIs" dxfId="4592" priority="11026" operator="equal">
      <formula>"PTO"</formula>
    </cfRule>
  </conditionalFormatting>
  <conditionalFormatting sqref="Q14:Q32">
    <cfRule type="cellIs" dxfId="4591" priority="11013" operator="equal">
      <formula>"OFF"</formula>
    </cfRule>
    <cfRule type="cellIs" dxfId="4590" priority="11014" operator="equal">
      <formula>"PTO"</formula>
    </cfRule>
  </conditionalFormatting>
  <conditionalFormatting sqref="Q14:W32">
    <cfRule type="cellIs" dxfId="4589" priority="11009" operator="equal">
      <formula>"OFF"</formula>
    </cfRule>
    <cfRule type="cellIs" dxfId="4588" priority="11010" operator="equal">
      <formula>"PTO"</formula>
    </cfRule>
  </conditionalFormatting>
  <conditionalFormatting sqref="Q14:W32">
    <cfRule type="cellIs" dxfId="4587" priority="11007" operator="equal">
      <formula>"OFF"</formula>
    </cfRule>
    <cfRule type="cellIs" dxfId="4586" priority="11008" operator="equal">
      <formula>"PTO"</formula>
    </cfRule>
  </conditionalFormatting>
  <conditionalFormatting sqref="Q14:W32">
    <cfRule type="cellIs" dxfId="4585" priority="11003" operator="equal">
      <formula>"OFF"</formula>
    </cfRule>
    <cfRule type="cellIs" dxfId="4584" priority="11004" operator="equal">
      <formula>"PTO"</formula>
    </cfRule>
  </conditionalFormatting>
  <conditionalFormatting sqref="Q14:W32">
    <cfRule type="cellIs" dxfId="4583" priority="11001" operator="equal">
      <formula>"OFF"</formula>
    </cfRule>
    <cfRule type="cellIs" dxfId="4582" priority="11002" operator="equal">
      <formula>"PTO"</formula>
    </cfRule>
  </conditionalFormatting>
  <conditionalFormatting sqref="R14:V32">
    <cfRule type="cellIs" dxfId="4581" priority="10999" operator="equal">
      <formula>"OFF"</formula>
    </cfRule>
    <cfRule type="cellIs" dxfId="4580" priority="11000" operator="equal">
      <formula>"PTO"</formula>
    </cfRule>
  </conditionalFormatting>
  <conditionalFormatting sqref="R14:V32">
    <cfRule type="cellIs" dxfId="4579" priority="10997" operator="equal">
      <formula>"OFF"</formula>
    </cfRule>
    <cfRule type="cellIs" dxfId="4578" priority="10998" operator="equal">
      <formula>"PTO"</formula>
    </cfRule>
  </conditionalFormatting>
  <conditionalFormatting sqref="R14:V32">
    <cfRule type="cellIs" dxfId="4577" priority="10995" operator="equal">
      <formula>"OFF"</formula>
    </cfRule>
    <cfRule type="cellIs" dxfId="4576" priority="10996" operator="equal">
      <formula>"PTO"</formula>
    </cfRule>
  </conditionalFormatting>
  <conditionalFormatting sqref="R14:V32">
    <cfRule type="cellIs" dxfId="4575" priority="10993" operator="equal">
      <formula>"OFF"</formula>
    </cfRule>
    <cfRule type="cellIs" dxfId="4574" priority="10994" operator="equal">
      <formula>"PTO"</formula>
    </cfRule>
  </conditionalFormatting>
  <conditionalFormatting sqref="Q14:W32">
    <cfRule type="cellIs" dxfId="4573" priority="10991" operator="equal">
      <formula>"OFF"</formula>
    </cfRule>
    <cfRule type="cellIs" dxfId="4572" priority="10992" operator="equal">
      <formula>"PTO"</formula>
    </cfRule>
  </conditionalFormatting>
  <conditionalFormatting sqref="Q14:W32">
    <cfRule type="cellIs" dxfId="4571" priority="10987" operator="equal">
      <formula>"OFF"</formula>
    </cfRule>
    <cfRule type="cellIs" dxfId="4570" priority="10988" operator="equal">
      <formula>"PTO"</formula>
    </cfRule>
  </conditionalFormatting>
  <conditionalFormatting sqref="Q14:W32">
    <cfRule type="cellIs" dxfId="4569" priority="10985" operator="equal">
      <formula>"OFF"</formula>
    </cfRule>
    <cfRule type="cellIs" dxfId="4568" priority="10986" operator="equal">
      <formula>"PTO"</formula>
    </cfRule>
  </conditionalFormatting>
  <conditionalFormatting sqref="R14:V32">
    <cfRule type="cellIs" dxfId="4567" priority="10983" operator="equal">
      <formula>"OFF"</formula>
    </cfRule>
    <cfRule type="cellIs" dxfId="4566" priority="10984" operator="equal">
      <formula>"PTO"</formula>
    </cfRule>
  </conditionalFormatting>
  <conditionalFormatting sqref="R14:V32">
    <cfRule type="cellIs" dxfId="4565" priority="10981" operator="equal">
      <formula>"OFF"</formula>
    </cfRule>
    <cfRule type="cellIs" dxfId="4564" priority="10982" operator="equal">
      <formula>"PTO"</formula>
    </cfRule>
  </conditionalFormatting>
  <conditionalFormatting sqref="R14:V32">
    <cfRule type="cellIs" dxfId="4563" priority="10979" operator="equal">
      <formula>"OFF"</formula>
    </cfRule>
    <cfRule type="cellIs" dxfId="4562" priority="10980" operator="equal">
      <formula>"PTO"</formula>
    </cfRule>
  </conditionalFormatting>
  <conditionalFormatting sqref="R14:V32">
    <cfRule type="cellIs" dxfId="4561" priority="10977" operator="equal">
      <formula>"OFF"</formula>
    </cfRule>
    <cfRule type="cellIs" dxfId="4560" priority="10978" operator="equal">
      <formula>"PTO"</formula>
    </cfRule>
  </conditionalFormatting>
  <conditionalFormatting sqref="Q14:W32">
    <cfRule type="cellIs" dxfId="4559" priority="10975" operator="equal">
      <formula>"OFF"</formula>
    </cfRule>
    <cfRule type="cellIs" dxfId="4558" priority="10976" operator="equal">
      <formula>"PTO"</formula>
    </cfRule>
  </conditionalFormatting>
  <conditionalFormatting sqref="Q14:W32">
    <cfRule type="cellIs" dxfId="4557" priority="10973" operator="equal">
      <formula>"OFF"</formula>
    </cfRule>
    <cfRule type="cellIs" dxfId="4556" priority="10974" operator="equal">
      <formula>"PTO"</formula>
    </cfRule>
  </conditionalFormatting>
  <conditionalFormatting sqref="Q14:W32">
    <cfRule type="cellIs" dxfId="4555" priority="10971" operator="equal">
      <formula>"OFF"</formula>
    </cfRule>
    <cfRule type="cellIs" dxfId="4554" priority="10972" operator="equal">
      <formula>"PTO"</formula>
    </cfRule>
  </conditionalFormatting>
  <conditionalFormatting sqref="Q14:W32">
    <cfRule type="cellIs" dxfId="4553" priority="10969" operator="equal">
      <formula>"OFF"</formula>
    </cfRule>
    <cfRule type="cellIs" dxfId="4552" priority="10970" operator="equal">
      <formula>"PTO"</formula>
    </cfRule>
  </conditionalFormatting>
  <conditionalFormatting sqref="R14:V32">
    <cfRule type="cellIs" dxfId="4551" priority="10967" operator="equal">
      <formula>"OFF"</formula>
    </cfRule>
    <cfRule type="cellIs" dxfId="4550" priority="10968" operator="equal">
      <formula>"PTO"</formula>
    </cfRule>
  </conditionalFormatting>
  <conditionalFormatting sqref="R14:V32">
    <cfRule type="cellIs" dxfId="4549" priority="10965" operator="equal">
      <formula>"OFF"</formula>
    </cfRule>
    <cfRule type="cellIs" dxfId="4548" priority="10966" operator="equal">
      <formula>"PTO"</formula>
    </cfRule>
  </conditionalFormatting>
  <conditionalFormatting sqref="R14:V32">
    <cfRule type="cellIs" dxfId="4547" priority="10963" operator="equal">
      <formula>"OFF"</formula>
    </cfRule>
    <cfRule type="cellIs" dxfId="4546" priority="10964" operator="equal">
      <formula>"PTO"</formula>
    </cfRule>
  </conditionalFormatting>
  <conditionalFormatting sqref="R14:V32">
    <cfRule type="cellIs" dxfId="4545" priority="10961" operator="equal">
      <formula>"OFF"</formula>
    </cfRule>
    <cfRule type="cellIs" dxfId="4544" priority="10962" operator="equal">
      <formula>"PTO"</formula>
    </cfRule>
  </conditionalFormatting>
  <conditionalFormatting sqref="Q14:W32">
    <cfRule type="cellIs" dxfId="4543" priority="10959" operator="equal">
      <formula>"OFF"</formula>
    </cfRule>
    <cfRule type="cellIs" dxfId="4542" priority="10960" operator="equal">
      <formula>"PTO"</formula>
    </cfRule>
  </conditionalFormatting>
  <conditionalFormatting sqref="Q14:W32">
    <cfRule type="cellIs" dxfId="4541" priority="10953" operator="equal">
      <formula>"OFF"</formula>
    </cfRule>
    <cfRule type="cellIs" dxfId="4540" priority="10954" operator="equal">
      <formula>"PTO"</formula>
    </cfRule>
  </conditionalFormatting>
  <conditionalFormatting sqref="R14:V32">
    <cfRule type="cellIs" dxfId="4539" priority="10951" operator="equal">
      <formula>"OFF"</formula>
    </cfRule>
    <cfRule type="cellIs" dxfId="4538" priority="10952" operator="equal">
      <formula>"PTO"</formula>
    </cfRule>
  </conditionalFormatting>
  <conditionalFormatting sqref="R14:V32">
    <cfRule type="cellIs" dxfId="4537" priority="10949" operator="equal">
      <formula>"OFF"</formula>
    </cfRule>
    <cfRule type="cellIs" dxfId="4536" priority="10950" operator="equal">
      <formula>"PTO"</formula>
    </cfRule>
  </conditionalFormatting>
  <conditionalFormatting sqref="R14:V32">
    <cfRule type="cellIs" dxfId="4535" priority="10947" operator="equal">
      <formula>"OFF"</formula>
    </cfRule>
    <cfRule type="cellIs" dxfId="4534" priority="10948" operator="equal">
      <formula>"PTO"</formula>
    </cfRule>
  </conditionalFormatting>
  <conditionalFormatting sqref="R14:V32">
    <cfRule type="cellIs" dxfId="4533" priority="10945" operator="equal">
      <formula>"OFF"</formula>
    </cfRule>
    <cfRule type="cellIs" dxfId="4532" priority="10946" operator="equal">
      <formula>"PTO"</formula>
    </cfRule>
  </conditionalFormatting>
  <conditionalFormatting sqref="Q14:W32">
    <cfRule type="cellIs" dxfId="4531" priority="10943" operator="equal">
      <formula>"OFF"</formula>
    </cfRule>
    <cfRule type="cellIs" dxfId="4530" priority="10944" operator="equal">
      <formula>"PTO"</formula>
    </cfRule>
  </conditionalFormatting>
  <conditionalFormatting sqref="Q14:W32">
    <cfRule type="cellIs" dxfId="4529" priority="10941" operator="equal">
      <formula>"OFF"</formula>
    </cfRule>
    <cfRule type="cellIs" dxfId="4528" priority="10942" operator="equal">
      <formula>"PTO"</formula>
    </cfRule>
  </conditionalFormatting>
  <conditionalFormatting sqref="Q14:W32">
    <cfRule type="cellIs" dxfId="4527" priority="10939" operator="equal">
      <formula>"OFF"</formula>
    </cfRule>
    <cfRule type="cellIs" dxfId="4526" priority="10940" operator="equal">
      <formula>"PTO"</formula>
    </cfRule>
  </conditionalFormatting>
  <conditionalFormatting sqref="Q14:W32">
    <cfRule type="cellIs" dxfId="4525" priority="10937" operator="equal">
      <formula>"OFF"</formula>
    </cfRule>
    <cfRule type="cellIs" dxfId="4524" priority="10938" operator="equal">
      <formula>"PTO"</formula>
    </cfRule>
  </conditionalFormatting>
  <conditionalFormatting sqref="Q14:W32">
    <cfRule type="cellIs" dxfId="4523" priority="10935" operator="equal">
      <formula>"OFF"</formula>
    </cfRule>
    <cfRule type="cellIs" dxfId="4522" priority="10936" operator="equal">
      <formula>"PTO"</formula>
    </cfRule>
  </conditionalFormatting>
  <conditionalFormatting sqref="Q14:W32">
    <cfRule type="cellIs" dxfId="4521" priority="10933" operator="equal">
      <formula>"OFF"</formula>
    </cfRule>
    <cfRule type="cellIs" dxfId="4520" priority="10934" operator="equal">
      <formula>"PTO"</formula>
    </cfRule>
  </conditionalFormatting>
  <conditionalFormatting sqref="Q14:W32">
    <cfRule type="cellIs" dxfId="4519" priority="10931" operator="equal">
      <formula>"OFF"</formula>
    </cfRule>
    <cfRule type="cellIs" dxfId="4518" priority="10932" operator="equal">
      <formula>"PTO"</formula>
    </cfRule>
  </conditionalFormatting>
  <conditionalFormatting sqref="Q14:W32">
    <cfRule type="cellIs" dxfId="4517" priority="10929" operator="equal">
      <formula>"OFF"</formula>
    </cfRule>
    <cfRule type="cellIs" dxfId="4516" priority="10930" operator="equal">
      <formula>"PTO"</formula>
    </cfRule>
  </conditionalFormatting>
  <conditionalFormatting sqref="Q14:W32">
    <cfRule type="cellIs" dxfId="4515" priority="10927" operator="equal">
      <formula>"OFF"</formula>
    </cfRule>
    <cfRule type="cellIs" dxfId="4514" priority="10928" operator="equal">
      <formula>"PTO"</formula>
    </cfRule>
  </conditionalFormatting>
  <conditionalFormatting sqref="Q14:W32">
    <cfRule type="cellIs" dxfId="4513" priority="10925" operator="equal">
      <formula>"OFF"</formula>
    </cfRule>
    <cfRule type="cellIs" dxfId="4512" priority="10926" operator="equal">
      <formula>"PTO"</formula>
    </cfRule>
  </conditionalFormatting>
  <conditionalFormatting sqref="Q14:W32">
    <cfRule type="cellIs" dxfId="4511" priority="10923" operator="equal">
      <formula>"OFF"</formula>
    </cfRule>
    <cfRule type="cellIs" dxfId="4510" priority="10924" operator="equal">
      <formula>"PTO"</formula>
    </cfRule>
  </conditionalFormatting>
  <conditionalFormatting sqref="Q14:W32">
    <cfRule type="cellIs" dxfId="4509" priority="10921" operator="equal">
      <formula>"OFF"</formula>
    </cfRule>
    <cfRule type="cellIs" dxfId="4508" priority="10922" operator="equal">
      <formula>"PTO"</formula>
    </cfRule>
  </conditionalFormatting>
  <conditionalFormatting sqref="Q14:W32">
    <cfRule type="cellIs" dxfId="4507" priority="10919" operator="equal">
      <formula>"OFF"</formula>
    </cfRule>
    <cfRule type="cellIs" dxfId="4506" priority="10920" operator="equal">
      <formula>"PTO"</formula>
    </cfRule>
  </conditionalFormatting>
  <conditionalFormatting sqref="Q14:W32">
    <cfRule type="cellIs" dxfId="4505" priority="10917" operator="equal">
      <formula>"OFF"</formula>
    </cfRule>
    <cfRule type="cellIs" dxfId="4504" priority="10918" operator="equal">
      <formula>"PTO"</formula>
    </cfRule>
  </conditionalFormatting>
  <conditionalFormatting sqref="Q14:W32">
    <cfRule type="cellIs" dxfId="4503" priority="10915" operator="equal">
      <formula>"OFF"</formula>
    </cfRule>
    <cfRule type="cellIs" dxfId="4502" priority="10916" operator="equal">
      <formula>"PTO"</formula>
    </cfRule>
  </conditionalFormatting>
  <conditionalFormatting sqref="Q14:W32">
    <cfRule type="cellIs" dxfId="4501" priority="10913" operator="equal">
      <formula>"OFF"</formula>
    </cfRule>
    <cfRule type="cellIs" dxfId="4500" priority="10914" operator="equal">
      <formula>"PTO"</formula>
    </cfRule>
  </conditionalFormatting>
  <conditionalFormatting sqref="Q14:W32">
    <cfRule type="cellIs" dxfId="4499" priority="10911" operator="equal">
      <formula>"OFF"</formula>
    </cfRule>
    <cfRule type="cellIs" dxfId="4498" priority="10912" operator="equal">
      <formula>"PTO"</formula>
    </cfRule>
  </conditionalFormatting>
  <conditionalFormatting sqref="Q14:W32">
    <cfRule type="cellIs" dxfId="4497" priority="10909" operator="equal">
      <formula>"OFF"</formula>
    </cfRule>
    <cfRule type="cellIs" dxfId="4496" priority="10910" operator="equal">
      <formula>"PTO"</formula>
    </cfRule>
  </conditionalFormatting>
  <conditionalFormatting sqref="Q14:W32">
    <cfRule type="cellIs" dxfId="4495" priority="10907" operator="equal">
      <formula>"OFF"</formula>
    </cfRule>
    <cfRule type="cellIs" dxfId="4494" priority="10908" operator="equal">
      <formula>"PTO"</formula>
    </cfRule>
  </conditionalFormatting>
  <conditionalFormatting sqref="Q14:W32">
    <cfRule type="cellIs" dxfId="4493" priority="10905" operator="equal">
      <formula>"OFF"</formula>
    </cfRule>
    <cfRule type="cellIs" dxfId="4492" priority="10906" operator="equal">
      <formula>"PTO"</formula>
    </cfRule>
  </conditionalFormatting>
  <conditionalFormatting sqref="Q14:W32">
    <cfRule type="cellIs" dxfId="4491" priority="10903" operator="equal">
      <formula>"OFF"</formula>
    </cfRule>
    <cfRule type="cellIs" dxfId="4490" priority="10904" operator="equal">
      <formula>"PTO"</formula>
    </cfRule>
  </conditionalFormatting>
  <conditionalFormatting sqref="Q14:W32">
    <cfRule type="cellIs" dxfId="4489" priority="10901" operator="equal">
      <formula>"OFF"</formula>
    </cfRule>
    <cfRule type="cellIs" dxfId="4488" priority="10902" operator="equal">
      <formula>"PTO"</formula>
    </cfRule>
  </conditionalFormatting>
  <conditionalFormatting sqref="Q14:W32">
    <cfRule type="cellIs" dxfId="4487" priority="10899" operator="equal">
      <formula>"OFF"</formula>
    </cfRule>
    <cfRule type="cellIs" dxfId="4486" priority="10900" operator="equal">
      <formula>"PTO"</formula>
    </cfRule>
  </conditionalFormatting>
  <conditionalFormatting sqref="Q14:W32">
    <cfRule type="cellIs" dxfId="4485" priority="10897" operator="equal">
      <formula>"OFF"</formula>
    </cfRule>
    <cfRule type="cellIs" dxfId="4484" priority="10898" operator="equal">
      <formula>"PTO"</formula>
    </cfRule>
  </conditionalFormatting>
  <conditionalFormatting sqref="Q14:W32">
    <cfRule type="cellIs" dxfId="4483" priority="10895" operator="equal">
      <formula>"OFF"</formula>
    </cfRule>
    <cfRule type="cellIs" dxfId="4482" priority="10896" operator="equal">
      <formula>"PTO"</formula>
    </cfRule>
  </conditionalFormatting>
  <conditionalFormatting sqref="R14:V32">
    <cfRule type="cellIs" dxfId="4481" priority="10893" operator="equal">
      <formula>"OFF"</formula>
    </cfRule>
    <cfRule type="cellIs" dxfId="4480" priority="10894" operator="equal">
      <formula>"PTO"</formula>
    </cfRule>
  </conditionalFormatting>
  <conditionalFormatting sqref="R14:V32">
    <cfRule type="cellIs" dxfId="4479" priority="10891" operator="equal">
      <formula>"OFF"</formula>
    </cfRule>
    <cfRule type="cellIs" dxfId="4478" priority="10892" operator="equal">
      <formula>"PTO"</formula>
    </cfRule>
  </conditionalFormatting>
  <conditionalFormatting sqref="R14:V32">
    <cfRule type="cellIs" dxfId="4477" priority="10889" operator="equal">
      <formula>"OFF"</formula>
    </cfRule>
    <cfRule type="cellIs" dxfId="4476" priority="10890" operator="equal">
      <formula>"PTO"</formula>
    </cfRule>
  </conditionalFormatting>
  <conditionalFormatting sqref="R14:V32">
    <cfRule type="cellIs" dxfId="4475" priority="10887" operator="equal">
      <formula>"OFF"</formula>
    </cfRule>
    <cfRule type="cellIs" dxfId="4474" priority="10888" operator="equal">
      <formula>"PTO"</formula>
    </cfRule>
  </conditionalFormatting>
  <conditionalFormatting sqref="R14:V32">
    <cfRule type="cellIs" dxfId="4473" priority="10885" operator="equal">
      <formula>"OFF"</formula>
    </cfRule>
    <cfRule type="cellIs" dxfId="4472" priority="10886" operator="equal">
      <formula>"PTO"</formula>
    </cfRule>
  </conditionalFormatting>
  <conditionalFormatting sqref="R14:V32">
    <cfRule type="cellIs" dxfId="4471" priority="10883" operator="equal">
      <formula>"OFF"</formula>
    </cfRule>
    <cfRule type="cellIs" dxfId="4470" priority="10884" operator="equal">
      <formula>"PTO"</formula>
    </cfRule>
  </conditionalFormatting>
  <conditionalFormatting sqref="R14:V32">
    <cfRule type="cellIs" dxfId="4469" priority="10881" operator="equal">
      <formula>"OFF"</formula>
    </cfRule>
    <cfRule type="cellIs" dxfId="4468" priority="10882" operator="equal">
      <formula>"PTO"</formula>
    </cfRule>
  </conditionalFormatting>
  <conditionalFormatting sqref="R14:V32">
    <cfRule type="cellIs" dxfId="4467" priority="10879" operator="equal">
      <formula>"OFF"</formula>
    </cfRule>
    <cfRule type="cellIs" dxfId="4466" priority="10880" operator="equal">
      <formula>"PTO"</formula>
    </cfRule>
  </conditionalFormatting>
  <conditionalFormatting sqref="R14:V32">
    <cfRule type="cellIs" dxfId="4465" priority="10877" operator="equal">
      <formula>"OFF"</formula>
    </cfRule>
    <cfRule type="cellIs" dxfId="4464" priority="10878" operator="equal">
      <formula>"PTO"</formula>
    </cfRule>
  </conditionalFormatting>
  <conditionalFormatting sqref="R14:V32">
    <cfRule type="cellIs" dxfId="4463" priority="10875" operator="equal">
      <formula>"OFF"</formula>
    </cfRule>
    <cfRule type="cellIs" dxfId="4462" priority="10876" operator="equal">
      <formula>"PTO"</formula>
    </cfRule>
  </conditionalFormatting>
  <conditionalFormatting sqref="R14:V32">
    <cfRule type="cellIs" dxfId="4461" priority="10873" operator="equal">
      <formula>"OFF"</formula>
    </cfRule>
    <cfRule type="cellIs" dxfId="4460" priority="10874" operator="equal">
      <formula>"PTO"</formula>
    </cfRule>
  </conditionalFormatting>
  <conditionalFormatting sqref="R14:V32">
    <cfRule type="cellIs" dxfId="4459" priority="10871" operator="equal">
      <formula>"OFF"</formula>
    </cfRule>
    <cfRule type="cellIs" dxfId="4458" priority="10872" operator="equal">
      <formula>"PTO"</formula>
    </cfRule>
  </conditionalFormatting>
  <conditionalFormatting sqref="R14:V32">
    <cfRule type="cellIs" dxfId="4457" priority="10869" operator="equal">
      <formula>"OFF"</formula>
    </cfRule>
    <cfRule type="cellIs" dxfId="4456" priority="10870" operator="equal">
      <formula>"PTO"</formula>
    </cfRule>
  </conditionalFormatting>
  <conditionalFormatting sqref="R14:V32">
    <cfRule type="cellIs" dxfId="4455" priority="10867" operator="equal">
      <formula>"OFF"</formula>
    </cfRule>
    <cfRule type="cellIs" dxfId="4454" priority="10868" operator="equal">
      <formula>"PTO"</formula>
    </cfRule>
  </conditionalFormatting>
  <conditionalFormatting sqref="R14:V32">
    <cfRule type="cellIs" dxfId="4453" priority="10865" operator="equal">
      <formula>"OFF"</formula>
    </cfRule>
    <cfRule type="cellIs" dxfId="4452" priority="10866" operator="equal">
      <formula>"PTO"</formula>
    </cfRule>
  </conditionalFormatting>
  <conditionalFormatting sqref="R14:V32">
    <cfRule type="cellIs" dxfId="4451" priority="10863" operator="equal">
      <formula>"OFF"</formula>
    </cfRule>
    <cfRule type="cellIs" dxfId="4450" priority="10864" operator="equal">
      <formula>"PTO"</formula>
    </cfRule>
  </conditionalFormatting>
  <conditionalFormatting sqref="R14:V32">
    <cfRule type="cellIs" dxfId="4449" priority="10861" operator="equal">
      <formula>"OFF"</formula>
    </cfRule>
    <cfRule type="cellIs" dxfId="4448" priority="10862" operator="equal">
      <formula>"PTO"</formula>
    </cfRule>
  </conditionalFormatting>
  <conditionalFormatting sqref="R14:V32">
    <cfRule type="cellIs" dxfId="4447" priority="10859" operator="equal">
      <formula>"OFF"</formula>
    </cfRule>
    <cfRule type="cellIs" dxfId="4446" priority="10860" operator="equal">
      <formula>"PTO"</formula>
    </cfRule>
  </conditionalFormatting>
  <conditionalFormatting sqref="R14:V32">
    <cfRule type="cellIs" dxfId="4445" priority="10857" operator="equal">
      <formula>"OFF"</formula>
    </cfRule>
    <cfRule type="cellIs" dxfId="4444" priority="10858" operator="equal">
      <formula>"PTO"</formula>
    </cfRule>
  </conditionalFormatting>
  <conditionalFormatting sqref="R14:V32">
    <cfRule type="cellIs" dxfId="4443" priority="10855" operator="equal">
      <formula>"OFF"</formula>
    </cfRule>
    <cfRule type="cellIs" dxfId="4442" priority="10856" operator="equal">
      <formula>"PTO"</formula>
    </cfRule>
  </conditionalFormatting>
  <conditionalFormatting sqref="R14:V32">
    <cfRule type="cellIs" dxfId="4441" priority="10853" operator="equal">
      <formula>"OFF"</formula>
    </cfRule>
    <cfRule type="cellIs" dxfId="4440" priority="10854" operator="equal">
      <formula>"PTO"</formula>
    </cfRule>
  </conditionalFormatting>
  <conditionalFormatting sqref="R14:V32">
    <cfRule type="cellIs" dxfId="4439" priority="10851" operator="equal">
      <formula>"OFF"</formula>
    </cfRule>
    <cfRule type="cellIs" dxfId="4438" priority="10852" operator="equal">
      <formula>"PTO"</formula>
    </cfRule>
  </conditionalFormatting>
  <conditionalFormatting sqref="R14:V32">
    <cfRule type="cellIs" dxfId="4437" priority="10849" operator="equal">
      <formula>"OFF"</formula>
    </cfRule>
    <cfRule type="cellIs" dxfId="4436" priority="10850" operator="equal">
      <formula>"PTO"</formula>
    </cfRule>
  </conditionalFormatting>
  <conditionalFormatting sqref="R14:V32">
    <cfRule type="cellIs" dxfId="4435" priority="10847" operator="equal">
      <formula>"OFF"</formula>
    </cfRule>
    <cfRule type="cellIs" dxfId="4434" priority="10848" operator="equal">
      <formula>"PTO"</formula>
    </cfRule>
  </conditionalFormatting>
  <conditionalFormatting sqref="R14:V32">
    <cfRule type="cellIs" dxfId="4433" priority="10845" operator="equal">
      <formula>"OFF"</formula>
    </cfRule>
    <cfRule type="cellIs" dxfId="4432" priority="10846" operator="equal">
      <formula>"PTO"</formula>
    </cfRule>
  </conditionalFormatting>
  <conditionalFormatting sqref="T14:V32">
    <cfRule type="cellIs" dxfId="4431" priority="10843" operator="equal">
      <formula>"OFF"</formula>
    </cfRule>
    <cfRule type="cellIs" dxfId="4430" priority="10844" operator="equal">
      <formula>"PTO"</formula>
    </cfRule>
  </conditionalFormatting>
  <conditionalFormatting sqref="U14:V32">
    <cfRule type="cellIs" dxfId="4429" priority="10841" operator="equal">
      <formula>"OFF"</formula>
    </cfRule>
    <cfRule type="cellIs" dxfId="4428" priority="10842" operator="equal">
      <formula>"PTO"</formula>
    </cfRule>
  </conditionalFormatting>
  <conditionalFormatting sqref="U14:V32">
    <cfRule type="cellIs" dxfId="4427" priority="10839" operator="equal">
      <formula>"OFF"</formula>
    </cfRule>
    <cfRule type="cellIs" dxfId="4426" priority="10840" operator="equal">
      <formula>"PTO"</formula>
    </cfRule>
  </conditionalFormatting>
  <conditionalFormatting sqref="U14:V32">
    <cfRule type="cellIs" dxfId="4425" priority="10837" operator="equal">
      <formula>"OFF"</formula>
    </cfRule>
    <cfRule type="cellIs" dxfId="4424" priority="10838" operator="equal">
      <formula>"PTO"</formula>
    </cfRule>
  </conditionalFormatting>
  <conditionalFormatting sqref="U14:V32">
    <cfRule type="cellIs" dxfId="4423" priority="10835" operator="equal">
      <formula>"OFF"</formula>
    </cfRule>
    <cfRule type="cellIs" dxfId="4422" priority="10836" operator="equal">
      <formula>"PTO"</formula>
    </cfRule>
  </conditionalFormatting>
  <conditionalFormatting sqref="U14:V32">
    <cfRule type="cellIs" dxfId="4421" priority="10833" operator="equal">
      <formula>"OFF"</formula>
    </cfRule>
    <cfRule type="cellIs" dxfId="4420" priority="10834" operator="equal">
      <formula>"PTO"</formula>
    </cfRule>
  </conditionalFormatting>
  <conditionalFormatting sqref="U14:V32">
    <cfRule type="cellIs" dxfId="4419" priority="10831" operator="equal">
      <formula>"OFF"</formula>
    </cfRule>
    <cfRule type="cellIs" dxfId="4418" priority="10832" operator="equal">
      <formula>"PTO"</formula>
    </cfRule>
  </conditionalFormatting>
  <conditionalFormatting sqref="U14:V32">
    <cfRule type="cellIs" dxfId="4417" priority="10829" operator="equal">
      <formula>"OFF"</formula>
    </cfRule>
    <cfRule type="cellIs" dxfId="4416" priority="10830" operator="equal">
      <formula>"PTO"</formula>
    </cfRule>
  </conditionalFormatting>
  <conditionalFormatting sqref="U14:V32">
    <cfRule type="cellIs" dxfId="4415" priority="10827" operator="equal">
      <formula>"OFF"</formula>
    </cfRule>
    <cfRule type="cellIs" dxfId="4414" priority="10828" operator="equal">
      <formula>"PTO"</formula>
    </cfRule>
  </conditionalFormatting>
  <conditionalFormatting sqref="W14:W32">
    <cfRule type="cellIs" dxfId="4413" priority="10825" operator="equal">
      <formula>"OFF"</formula>
    </cfRule>
    <cfRule type="cellIs" dxfId="4412" priority="10826" operator="equal">
      <formula>"PTO"</formula>
    </cfRule>
  </conditionalFormatting>
  <conditionalFormatting sqref="W14:W32">
    <cfRule type="cellIs" dxfId="4411" priority="10823" operator="equal">
      <formula>"OFF"</formula>
    </cfRule>
    <cfRule type="cellIs" dxfId="4410" priority="10824" operator="equal">
      <formula>"PTO"</formula>
    </cfRule>
  </conditionalFormatting>
  <conditionalFormatting sqref="W14:W32">
    <cfRule type="cellIs" dxfId="4409" priority="10821" operator="equal">
      <formula>"OFF"</formula>
    </cfRule>
    <cfRule type="cellIs" dxfId="4408" priority="10822" operator="equal">
      <formula>"PTO"</formula>
    </cfRule>
  </conditionalFormatting>
  <conditionalFormatting sqref="W14:W32">
    <cfRule type="cellIs" dxfId="4407" priority="10819" operator="equal">
      <formula>"OFF"</formula>
    </cfRule>
    <cfRule type="cellIs" dxfId="4406" priority="10820" operator="equal">
      <formula>"PTO"</formula>
    </cfRule>
  </conditionalFormatting>
  <conditionalFormatting sqref="W14:W32">
    <cfRule type="cellIs" dxfId="4405" priority="10817" operator="equal">
      <formula>"OFF"</formula>
    </cfRule>
    <cfRule type="cellIs" dxfId="4404" priority="10818" operator="equal">
      <formula>"PTO"</formula>
    </cfRule>
  </conditionalFormatting>
  <conditionalFormatting sqref="W14:W32">
    <cfRule type="cellIs" dxfId="4403" priority="10815" operator="equal">
      <formula>"OFF"</formula>
    </cfRule>
    <cfRule type="cellIs" dxfId="4402" priority="10816" operator="equal">
      <formula>"PTO"</formula>
    </cfRule>
  </conditionalFormatting>
  <conditionalFormatting sqref="W14:W32">
    <cfRule type="cellIs" dxfId="4401" priority="10813" operator="equal">
      <formula>"OFF"</formula>
    </cfRule>
    <cfRule type="cellIs" dxfId="4400" priority="10814" operator="equal">
      <formula>"PTO"</formula>
    </cfRule>
  </conditionalFormatting>
  <conditionalFormatting sqref="W14:W32">
    <cfRule type="cellIs" dxfId="4399" priority="10811" operator="equal">
      <formula>"OFF"</formula>
    </cfRule>
    <cfRule type="cellIs" dxfId="4398" priority="10812" operator="equal">
      <formula>"PTO"</formula>
    </cfRule>
  </conditionalFormatting>
  <conditionalFormatting sqref="R19">
    <cfRule type="cellIs" dxfId="4397" priority="10809" operator="equal">
      <formula>"OFF"</formula>
    </cfRule>
    <cfRule type="cellIs" dxfId="4396" priority="10810" operator="equal">
      <formula>"PTO"</formula>
    </cfRule>
  </conditionalFormatting>
  <conditionalFormatting sqref="R19">
    <cfRule type="cellIs" dxfId="4395" priority="10807" operator="equal">
      <formula>"OFF"</formula>
    </cfRule>
    <cfRule type="cellIs" dxfId="4394" priority="10808" operator="equal">
      <formula>"PTO"</formula>
    </cfRule>
  </conditionalFormatting>
  <conditionalFormatting sqref="R19">
    <cfRule type="cellIs" dxfId="4393" priority="10805" operator="equal">
      <formula>"OFF"</formula>
    </cfRule>
    <cfRule type="cellIs" dxfId="4392" priority="10806" operator="equal">
      <formula>"PTO"</formula>
    </cfRule>
  </conditionalFormatting>
  <conditionalFormatting sqref="R19">
    <cfRule type="cellIs" dxfId="4391" priority="10803" operator="equal">
      <formula>"OFF"</formula>
    </cfRule>
    <cfRule type="cellIs" dxfId="4390" priority="10804" operator="equal">
      <formula>"PTO"</formula>
    </cfRule>
  </conditionalFormatting>
  <conditionalFormatting sqref="R19">
    <cfRule type="cellIs" dxfId="4389" priority="10801" operator="equal">
      <formula>"OFF"</formula>
    </cfRule>
    <cfRule type="cellIs" dxfId="4388" priority="10802" operator="equal">
      <formula>"PTO"</formula>
    </cfRule>
  </conditionalFormatting>
  <conditionalFormatting sqref="R19">
    <cfRule type="cellIs" dxfId="4387" priority="10799" operator="equal">
      <formula>"OFF"</formula>
    </cfRule>
    <cfRule type="cellIs" dxfId="4386" priority="10800" operator="equal">
      <formula>"PTO"</formula>
    </cfRule>
  </conditionalFormatting>
  <conditionalFormatting sqref="R19">
    <cfRule type="cellIs" dxfId="4385" priority="10797" operator="equal">
      <formula>"OFF"</formula>
    </cfRule>
    <cfRule type="cellIs" dxfId="4384" priority="10798" operator="equal">
      <formula>"PTO"</formula>
    </cfRule>
  </conditionalFormatting>
  <conditionalFormatting sqref="R19">
    <cfRule type="cellIs" dxfId="4383" priority="10795" operator="equal">
      <formula>"OFF"</formula>
    </cfRule>
    <cfRule type="cellIs" dxfId="4382" priority="10796" operator="equal">
      <formula>"PTO"</formula>
    </cfRule>
  </conditionalFormatting>
  <conditionalFormatting sqref="R19">
    <cfRule type="cellIs" dxfId="4381" priority="10793" operator="equal">
      <formula>"OFF"</formula>
    </cfRule>
    <cfRule type="cellIs" dxfId="4380" priority="10794" operator="equal">
      <formula>"PTO"</formula>
    </cfRule>
  </conditionalFormatting>
  <conditionalFormatting sqref="R19">
    <cfRule type="cellIs" dxfId="4379" priority="10791" operator="equal">
      <formula>"OFF"</formula>
    </cfRule>
    <cfRule type="cellIs" dxfId="4378" priority="10792" operator="equal">
      <formula>"PTO"</formula>
    </cfRule>
  </conditionalFormatting>
  <conditionalFormatting sqref="R19">
    <cfRule type="cellIs" dxfId="4377" priority="10789" operator="equal">
      <formula>"OFF"</formula>
    </cfRule>
    <cfRule type="cellIs" dxfId="4376" priority="10790" operator="equal">
      <formula>"PTO"</formula>
    </cfRule>
  </conditionalFormatting>
  <conditionalFormatting sqref="R19">
    <cfRule type="cellIs" dxfId="4375" priority="10787" operator="equal">
      <formula>"OFF"</formula>
    </cfRule>
    <cfRule type="cellIs" dxfId="4374" priority="10788" operator="equal">
      <formula>"PTO"</formula>
    </cfRule>
  </conditionalFormatting>
  <conditionalFormatting sqref="R19">
    <cfRule type="cellIs" dxfId="4373" priority="10785" operator="equal">
      <formula>"OFF"</formula>
    </cfRule>
    <cfRule type="cellIs" dxfId="4372" priority="10786" operator="equal">
      <formula>"PTO"</formula>
    </cfRule>
  </conditionalFormatting>
  <conditionalFormatting sqref="R19">
    <cfRule type="cellIs" dxfId="4371" priority="10783" operator="equal">
      <formula>"OFF"</formula>
    </cfRule>
    <cfRule type="cellIs" dxfId="4370" priority="10784" operator="equal">
      <formula>"PTO"</formula>
    </cfRule>
  </conditionalFormatting>
  <conditionalFormatting sqref="R19">
    <cfRule type="cellIs" dxfId="4369" priority="10781" operator="equal">
      <formula>"OFF"</formula>
    </cfRule>
    <cfRule type="cellIs" dxfId="4368" priority="10782" operator="equal">
      <formula>"PTO"</formula>
    </cfRule>
  </conditionalFormatting>
  <conditionalFormatting sqref="R19">
    <cfRule type="cellIs" dxfId="4367" priority="10779" operator="equal">
      <formula>"OFF"</formula>
    </cfRule>
    <cfRule type="cellIs" dxfId="4366" priority="10780" operator="equal">
      <formula>"PTO"</formula>
    </cfRule>
  </conditionalFormatting>
  <conditionalFormatting sqref="R19">
    <cfRule type="cellIs" dxfId="4365" priority="10777" operator="equal">
      <formula>"OFF"</formula>
    </cfRule>
    <cfRule type="cellIs" dxfId="4364" priority="10778" operator="equal">
      <formula>"PTO"</formula>
    </cfRule>
  </conditionalFormatting>
  <conditionalFormatting sqref="R19">
    <cfRule type="cellIs" dxfId="4363" priority="10775" operator="equal">
      <formula>"OFF"</formula>
    </cfRule>
    <cfRule type="cellIs" dxfId="4362" priority="10776" operator="equal">
      <formula>"PTO"</formula>
    </cfRule>
  </conditionalFormatting>
  <conditionalFormatting sqref="R19">
    <cfRule type="cellIs" dxfId="4361" priority="10773" operator="equal">
      <formula>"OFF"</formula>
    </cfRule>
    <cfRule type="cellIs" dxfId="4360" priority="10774" operator="equal">
      <formula>"PTO"</formula>
    </cfRule>
  </conditionalFormatting>
  <conditionalFormatting sqref="R19">
    <cfRule type="cellIs" dxfId="4359" priority="10771" operator="equal">
      <formula>"OFF"</formula>
    </cfRule>
    <cfRule type="cellIs" dxfId="4358" priority="10772" operator="equal">
      <formula>"PTO"</formula>
    </cfRule>
  </conditionalFormatting>
  <conditionalFormatting sqref="R19">
    <cfRule type="cellIs" dxfId="4357" priority="10769" operator="equal">
      <formula>"OFF"</formula>
    </cfRule>
    <cfRule type="cellIs" dxfId="4356" priority="10770" operator="equal">
      <formula>"PTO"</formula>
    </cfRule>
  </conditionalFormatting>
  <conditionalFormatting sqref="R19">
    <cfRule type="cellIs" dxfId="4355" priority="10767" operator="equal">
      <formula>"OFF"</formula>
    </cfRule>
    <cfRule type="cellIs" dxfId="4354" priority="10768" operator="equal">
      <formula>"PTO"</formula>
    </cfRule>
  </conditionalFormatting>
  <conditionalFormatting sqref="R19">
    <cfRule type="cellIs" dxfId="4353" priority="10765" operator="equal">
      <formula>"OFF"</formula>
    </cfRule>
    <cfRule type="cellIs" dxfId="4352" priority="10766" operator="equal">
      <formula>"PTO"</formula>
    </cfRule>
  </conditionalFormatting>
  <conditionalFormatting sqref="R19">
    <cfRule type="cellIs" dxfId="4351" priority="10763" operator="equal">
      <formula>"OFF"</formula>
    </cfRule>
    <cfRule type="cellIs" dxfId="4350" priority="10764" operator="equal">
      <formula>"PTO"</formula>
    </cfRule>
  </conditionalFormatting>
  <conditionalFormatting sqref="R19">
    <cfRule type="cellIs" dxfId="4349" priority="10761" operator="equal">
      <formula>"OFF"</formula>
    </cfRule>
    <cfRule type="cellIs" dxfId="4348" priority="10762" operator="equal">
      <formula>"PTO"</formula>
    </cfRule>
  </conditionalFormatting>
  <conditionalFormatting sqref="R19">
    <cfRule type="cellIs" dxfId="4347" priority="10759" operator="equal">
      <formula>"OFF"</formula>
    </cfRule>
    <cfRule type="cellIs" dxfId="4346" priority="10760" operator="equal">
      <formula>"PTO"</formula>
    </cfRule>
  </conditionalFormatting>
  <conditionalFormatting sqref="R19">
    <cfRule type="cellIs" dxfId="4345" priority="10757" operator="equal">
      <formula>"OFF"</formula>
    </cfRule>
    <cfRule type="cellIs" dxfId="4344" priority="10758" operator="equal">
      <formula>"PTO"</formula>
    </cfRule>
  </conditionalFormatting>
  <conditionalFormatting sqref="R19">
    <cfRule type="cellIs" dxfId="4343" priority="10755" operator="equal">
      <formula>"OFF"</formula>
    </cfRule>
    <cfRule type="cellIs" dxfId="4342" priority="10756" operator="equal">
      <formula>"PTO"</formula>
    </cfRule>
  </conditionalFormatting>
  <conditionalFormatting sqref="R19">
    <cfRule type="cellIs" dxfId="4341" priority="10753" operator="equal">
      <formula>"OFF"</formula>
    </cfRule>
    <cfRule type="cellIs" dxfId="4340" priority="10754" operator="equal">
      <formula>"PTO"</formula>
    </cfRule>
  </conditionalFormatting>
  <conditionalFormatting sqref="R19">
    <cfRule type="cellIs" dxfId="4339" priority="10751" operator="equal">
      <formula>"OFF"</formula>
    </cfRule>
    <cfRule type="cellIs" dxfId="4338" priority="10752" operator="equal">
      <formula>"PTO"</formula>
    </cfRule>
  </conditionalFormatting>
  <conditionalFormatting sqref="R19">
    <cfRule type="cellIs" dxfId="4337" priority="10749" operator="equal">
      <formula>"OFF"</formula>
    </cfRule>
    <cfRule type="cellIs" dxfId="4336" priority="10750" operator="equal">
      <formula>"PTO"</formula>
    </cfRule>
  </conditionalFormatting>
  <conditionalFormatting sqref="R19">
    <cfRule type="cellIs" dxfId="4335" priority="10747" operator="equal">
      <formula>"OFF"</formula>
    </cfRule>
    <cfRule type="cellIs" dxfId="4334" priority="10748" operator="equal">
      <formula>"PTO"</formula>
    </cfRule>
  </conditionalFormatting>
  <conditionalFormatting sqref="R19:R32">
    <cfRule type="cellIs" dxfId="4333" priority="10745" operator="equal">
      <formula>"OFF"</formula>
    </cfRule>
    <cfRule type="cellIs" dxfId="4332" priority="10746" operator="equal">
      <formula>"PTO"</formula>
    </cfRule>
  </conditionalFormatting>
  <conditionalFormatting sqref="R19:R32">
    <cfRule type="cellIs" dxfId="4331" priority="10743" operator="equal">
      <formula>"OFF"</formula>
    </cfRule>
    <cfRule type="cellIs" dxfId="4330" priority="10744" operator="equal">
      <formula>"PTO"</formula>
    </cfRule>
  </conditionalFormatting>
  <conditionalFormatting sqref="R19:R32">
    <cfRule type="cellIs" dxfId="4329" priority="10741" operator="equal">
      <formula>"OFF"</formula>
    </cfRule>
    <cfRule type="cellIs" dxfId="4328" priority="10742" operator="equal">
      <formula>"PTO"</formula>
    </cfRule>
  </conditionalFormatting>
  <conditionalFormatting sqref="R19:R32">
    <cfRule type="cellIs" dxfId="4327" priority="10739" operator="equal">
      <formula>"OFF"</formula>
    </cfRule>
    <cfRule type="cellIs" dxfId="4326" priority="10740" operator="equal">
      <formula>"PTO"</formula>
    </cfRule>
  </conditionalFormatting>
  <conditionalFormatting sqref="R19:R32">
    <cfRule type="cellIs" dxfId="4325" priority="10737" operator="equal">
      <formula>"OFF"</formula>
    </cfRule>
    <cfRule type="cellIs" dxfId="4324" priority="10738" operator="equal">
      <formula>"PTO"</formula>
    </cfRule>
  </conditionalFormatting>
  <conditionalFormatting sqref="R19:R32">
    <cfRule type="cellIs" dxfId="4323" priority="10735" operator="equal">
      <formula>"OFF"</formula>
    </cfRule>
    <cfRule type="cellIs" dxfId="4322" priority="10736" operator="equal">
      <formula>"PTO"</formula>
    </cfRule>
  </conditionalFormatting>
  <conditionalFormatting sqref="R19:R32">
    <cfRule type="cellIs" dxfId="4321" priority="10733" operator="equal">
      <formula>"OFF"</formula>
    </cfRule>
    <cfRule type="cellIs" dxfId="4320" priority="10734" operator="equal">
      <formula>"PTO"</formula>
    </cfRule>
  </conditionalFormatting>
  <conditionalFormatting sqref="B22">
    <cfRule type="duplicateValues" dxfId="4319" priority="10732"/>
  </conditionalFormatting>
  <conditionalFormatting sqref="B21">
    <cfRule type="duplicateValues" dxfId="4318" priority="10731"/>
  </conditionalFormatting>
  <conditionalFormatting sqref="B20">
    <cfRule type="duplicateValues" dxfId="4317" priority="10730"/>
  </conditionalFormatting>
  <conditionalFormatting sqref="B18">
    <cfRule type="duplicateValues" dxfId="4316" priority="10729"/>
  </conditionalFormatting>
  <conditionalFormatting sqref="J19">
    <cfRule type="cellIs" dxfId="4315" priority="9726" operator="equal">
      <formula>"OFF"</formula>
    </cfRule>
    <cfRule type="cellIs" dxfId="4314" priority="9727" operator="equal">
      <formula>"PTO"</formula>
    </cfRule>
  </conditionalFormatting>
  <conditionalFormatting sqref="J19">
    <cfRule type="cellIs" dxfId="4313" priority="9724" operator="equal">
      <formula>"OFF"</formula>
    </cfRule>
    <cfRule type="cellIs" dxfId="4312" priority="9725" operator="equal">
      <formula>"PTO"</formula>
    </cfRule>
  </conditionalFormatting>
  <conditionalFormatting sqref="J19">
    <cfRule type="cellIs" dxfId="4311" priority="9722" operator="equal">
      <formula>"OFF"</formula>
    </cfRule>
    <cfRule type="cellIs" dxfId="4310" priority="9723" operator="equal">
      <formula>"PTO"</formula>
    </cfRule>
  </conditionalFormatting>
  <conditionalFormatting sqref="J19">
    <cfRule type="cellIs" dxfId="4309" priority="9720" operator="equal">
      <formula>"OFF"</formula>
    </cfRule>
    <cfRule type="cellIs" dxfId="4308" priority="9721" operator="equal">
      <formula>"PTO"</formula>
    </cfRule>
  </conditionalFormatting>
  <conditionalFormatting sqref="J19">
    <cfRule type="cellIs" dxfId="4307" priority="9718" operator="equal">
      <formula>"OFF"</formula>
    </cfRule>
    <cfRule type="cellIs" dxfId="4306" priority="9719" operator="equal">
      <formula>"PTO"</formula>
    </cfRule>
  </conditionalFormatting>
  <conditionalFormatting sqref="J19">
    <cfRule type="cellIs" dxfId="4305" priority="9716" operator="equal">
      <formula>"OFF"</formula>
    </cfRule>
    <cfRule type="cellIs" dxfId="4304" priority="9717" operator="equal">
      <formula>"PTO"</formula>
    </cfRule>
  </conditionalFormatting>
  <conditionalFormatting sqref="J19">
    <cfRule type="cellIs" dxfId="4303" priority="9714" operator="equal">
      <formula>"OFF"</formula>
    </cfRule>
    <cfRule type="cellIs" dxfId="4302" priority="9715" operator="equal">
      <formula>"PTO"</formula>
    </cfRule>
  </conditionalFormatting>
  <conditionalFormatting sqref="J19">
    <cfRule type="cellIs" dxfId="4301" priority="9712" operator="equal">
      <formula>"OFF"</formula>
    </cfRule>
    <cfRule type="cellIs" dxfId="4300" priority="9713" operator="equal">
      <formula>"PTO"</formula>
    </cfRule>
  </conditionalFormatting>
  <conditionalFormatting sqref="J19">
    <cfRule type="cellIs" dxfId="4299" priority="9710" operator="equal">
      <formula>"OFF"</formula>
    </cfRule>
    <cfRule type="cellIs" dxfId="4298" priority="9711" operator="equal">
      <formula>"PTO"</formula>
    </cfRule>
  </conditionalFormatting>
  <conditionalFormatting sqref="J19">
    <cfRule type="cellIs" dxfId="4297" priority="9708" operator="equal">
      <formula>"OFF"</formula>
    </cfRule>
    <cfRule type="cellIs" dxfId="4296" priority="9709" operator="equal">
      <formula>"PTO"</formula>
    </cfRule>
  </conditionalFormatting>
  <conditionalFormatting sqref="J19">
    <cfRule type="cellIs" dxfId="4295" priority="9706" operator="equal">
      <formula>"OFF"</formula>
    </cfRule>
    <cfRule type="cellIs" dxfId="4294" priority="9707" operator="equal">
      <formula>"PTO"</formula>
    </cfRule>
  </conditionalFormatting>
  <conditionalFormatting sqref="J19">
    <cfRule type="cellIs" dxfId="4293" priority="9704" operator="equal">
      <formula>"OFF"</formula>
    </cfRule>
    <cfRule type="cellIs" dxfId="4292" priority="9705" operator="equal">
      <formula>"PTO"</formula>
    </cfRule>
  </conditionalFormatting>
  <conditionalFormatting sqref="J19">
    <cfRule type="cellIs" dxfId="4291" priority="9702" operator="equal">
      <formula>"OFF"</formula>
    </cfRule>
    <cfRule type="cellIs" dxfId="4290" priority="9703" operator="equal">
      <formula>"PTO"</formula>
    </cfRule>
  </conditionalFormatting>
  <conditionalFormatting sqref="J19">
    <cfRule type="cellIs" dxfId="4289" priority="9700" operator="equal">
      <formula>"OFF"</formula>
    </cfRule>
    <cfRule type="cellIs" dxfId="4288" priority="9701" operator="equal">
      <formula>"PTO"</formula>
    </cfRule>
  </conditionalFormatting>
  <conditionalFormatting sqref="J19">
    <cfRule type="cellIs" dxfId="4287" priority="9698" operator="equal">
      <formula>"OFF"</formula>
    </cfRule>
    <cfRule type="cellIs" dxfId="4286" priority="9699" operator="equal">
      <formula>"PTO"</formula>
    </cfRule>
  </conditionalFormatting>
  <conditionalFormatting sqref="J19">
    <cfRule type="cellIs" dxfId="4285" priority="9696" operator="equal">
      <formula>"OFF"</formula>
    </cfRule>
    <cfRule type="cellIs" dxfId="4284" priority="9697" operator="equal">
      <formula>"PTO"</formula>
    </cfRule>
  </conditionalFormatting>
  <conditionalFormatting sqref="J19">
    <cfRule type="cellIs" dxfId="4283" priority="9694" operator="equal">
      <formula>"OFF"</formula>
    </cfRule>
    <cfRule type="cellIs" dxfId="4282" priority="9695" operator="equal">
      <formula>"PTO"</formula>
    </cfRule>
  </conditionalFormatting>
  <conditionalFormatting sqref="J19">
    <cfRule type="cellIs" dxfId="4281" priority="9692" operator="equal">
      <formula>"OFF"</formula>
    </cfRule>
    <cfRule type="cellIs" dxfId="4280" priority="9693" operator="equal">
      <formula>"PTO"</formula>
    </cfRule>
  </conditionalFormatting>
  <conditionalFormatting sqref="J19">
    <cfRule type="cellIs" dxfId="4279" priority="9690" operator="equal">
      <formula>"OFF"</formula>
    </cfRule>
    <cfRule type="cellIs" dxfId="4278" priority="9691" operator="equal">
      <formula>"PTO"</formula>
    </cfRule>
  </conditionalFormatting>
  <conditionalFormatting sqref="J19">
    <cfRule type="cellIs" dxfId="4277" priority="9688" operator="equal">
      <formula>"OFF"</formula>
    </cfRule>
    <cfRule type="cellIs" dxfId="4276" priority="9689" operator="equal">
      <formula>"PTO"</formula>
    </cfRule>
  </conditionalFormatting>
  <conditionalFormatting sqref="J14:J32">
    <cfRule type="cellIs" dxfId="4275" priority="9540" operator="equal">
      <formula>"OFF"</formula>
    </cfRule>
    <cfRule type="cellIs" dxfId="4274" priority="9541" operator="equal">
      <formula>"PTO"</formula>
    </cfRule>
  </conditionalFormatting>
  <conditionalFormatting sqref="J14:J32">
    <cfRule type="cellIs" dxfId="4273" priority="9534" operator="equal">
      <formula>"OFF"</formula>
    </cfRule>
    <cfRule type="cellIs" dxfId="4272" priority="9535" operator="equal">
      <formula>"PTO"</formula>
    </cfRule>
  </conditionalFormatting>
  <conditionalFormatting sqref="J14:J32">
    <cfRule type="cellIs" dxfId="4271" priority="9526" operator="equal">
      <formula>"OFF"</formula>
    </cfRule>
    <cfRule type="cellIs" dxfId="4270" priority="9527" operator="equal">
      <formula>"PTO"</formula>
    </cfRule>
  </conditionalFormatting>
  <conditionalFormatting sqref="J14:J32">
    <cfRule type="cellIs" dxfId="4269" priority="9510" operator="equal">
      <formula>"OFF"</formula>
    </cfRule>
    <cfRule type="cellIs" dxfId="4268" priority="9511" operator="equal">
      <formula>"PTO"</formula>
    </cfRule>
  </conditionalFormatting>
  <conditionalFormatting sqref="J14:J32">
    <cfRule type="cellIs" dxfId="4267" priority="9508" operator="equal">
      <formula>"OFF"</formula>
    </cfRule>
    <cfRule type="cellIs" dxfId="4266" priority="9509" operator="equal">
      <formula>"PTO"</formula>
    </cfRule>
  </conditionalFormatting>
  <conditionalFormatting sqref="J19:J32">
    <cfRule type="cellIs" dxfId="4265" priority="9686" operator="equal">
      <formula>"OFF"</formula>
    </cfRule>
    <cfRule type="cellIs" dxfId="4264" priority="9687" operator="equal">
      <formula>"PTO"</formula>
    </cfRule>
  </conditionalFormatting>
  <conditionalFormatting sqref="J19:J32">
    <cfRule type="cellIs" dxfId="4263" priority="9684" operator="equal">
      <formula>"OFF"</formula>
    </cfRule>
    <cfRule type="cellIs" dxfId="4262" priority="9685" operator="equal">
      <formula>"PTO"</formula>
    </cfRule>
  </conditionalFormatting>
  <conditionalFormatting sqref="J19:J32">
    <cfRule type="cellIs" dxfId="4261" priority="9682" operator="equal">
      <formula>"OFF"</formula>
    </cfRule>
    <cfRule type="cellIs" dxfId="4260" priority="9683" operator="equal">
      <formula>"PTO"</formula>
    </cfRule>
  </conditionalFormatting>
  <conditionalFormatting sqref="J19:J32">
    <cfRule type="cellIs" dxfId="4259" priority="9680" operator="equal">
      <formula>"OFF"</formula>
    </cfRule>
    <cfRule type="cellIs" dxfId="4258" priority="9681" operator="equal">
      <formula>"PTO"</formula>
    </cfRule>
  </conditionalFormatting>
  <conditionalFormatting sqref="J19:J32">
    <cfRule type="cellIs" dxfId="4257" priority="9678" operator="equal">
      <formula>"OFF"</formula>
    </cfRule>
    <cfRule type="cellIs" dxfId="4256" priority="9679" operator="equal">
      <formula>"PTO"</formula>
    </cfRule>
  </conditionalFormatting>
  <conditionalFormatting sqref="J19:J32">
    <cfRule type="cellIs" dxfId="4255" priority="9676" operator="equal">
      <formula>"OFF"</formula>
    </cfRule>
    <cfRule type="cellIs" dxfId="4254" priority="9677" operator="equal">
      <formula>"PTO"</formula>
    </cfRule>
  </conditionalFormatting>
  <conditionalFormatting sqref="J19:J32">
    <cfRule type="cellIs" dxfId="4253" priority="9674" operator="equal">
      <formula>"OFF"</formula>
    </cfRule>
    <cfRule type="cellIs" dxfId="4252" priority="9675" operator="equal">
      <formula>"PTO"</formula>
    </cfRule>
  </conditionalFormatting>
  <conditionalFormatting sqref="J19:J32">
    <cfRule type="cellIs" dxfId="4251" priority="9672" operator="equal">
      <formula>"OFF"</formula>
    </cfRule>
    <cfRule type="cellIs" dxfId="4250" priority="9673" operator="equal">
      <formula>"PTO"</formula>
    </cfRule>
  </conditionalFormatting>
  <conditionalFormatting sqref="J19:J32">
    <cfRule type="cellIs" dxfId="4249" priority="9670" operator="equal">
      <formula>"OFF"</formula>
    </cfRule>
    <cfRule type="cellIs" dxfId="4248" priority="9671" operator="equal">
      <formula>"PTO"</formula>
    </cfRule>
  </conditionalFormatting>
  <conditionalFormatting sqref="J19:J32">
    <cfRule type="cellIs" dxfId="4247" priority="9668" operator="equal">
      <formula>"OFF"</formula>
    </cfRule>
    <cfRule type="cellIs" dxfId="4246" priority="9669" operator="equal">
      <formula>"PTO"</formula>
    </cfRule>
  </conditionalFormatting>
  <conditionalFormatting sqref="J19:J32">
    <cfRule type="cellIs" dxfId="4245" priority="9666" operator="equal">
      <formula>"OFF"</formula>
    </cfRule>
    <cfRule type="cellIs" dxfId="4244" priority="9667" operator="equal">
      <formula>"PTO"</formula>
    </cfRule>
  </conditionalFormatting>
  <conditionalFormatting sqref="J19:J32">
    <cfRule type="cellIs" dxfId="4243" priority="9664" operator="equal">
      <formula>"OFF"</formula>
    </cfRule>
    <cfRule type="cellIs" dxfId="4242" priority="9665" operator="equal">
      <formula>"PTO"</formula>
    </cfRule>
  </conditionalFormatting>
  <conditionalFormatting sqref="J19:J32">
    <cfRule type="cellIs" dxfId="4241" priority="9662" operator="equal">
      <formula>"OFF"</formula>
    </cfRule>
    <cfRule type="cellIs" dxfId="4240" priority="9663" operator="equal">
      <formula>"PTO"</formula>
    </cfRule>
  </conditionalFormatting>
  <conditionalFormatting sqref="J19:J32">
    <cfRule type="cellIs" dxfId="4239" priority="9660" operator="equal">
      <formula>"OFF"</formula>
    </cfRule>
    <cfRule type="cellIs" dxfId="4238" priority="9661" operator="equal">
      <formula>"PTO"</formula>
    </cfRule>
  </conditionalFormatting>
  <conditionalFormatting sqref="J25:J32">
    <cfRule type="cellIs" dxfId="4237" priority="9658" operator="equal">
      <formula>"OFF"</formula>
    </cfRule>
    <cfRule type="cellIs" dxfId="4236" priority="9659" operator="equal">
      <formula>"PTO"</formula>
    </cfRule>
  </conditionalFormatting>
  <conditionalFormatting sqref="J20:J32">
    <cfRule type="cellIs" dxfId="4235" priority="9656" operator="equal">
      <formula>"OFF"</formula>
    </cfRule>
    <cfRule type="cellIs" dxfId="4234" priority="9657" operator="equal">
      <formula>"PTO"</formula>
    </cfRule>
  </conditionalFormatting>
  <conditionalFormatting sqref="J21">
    <cfRule type="cellIs" dxfId="4233" priority="9654" operator="equal">
      <formula>"OFF"</formula>
    </cfRule>
    <cfRule type="cellIs" dxfId="4232" priority="9655" operator="equal">
      <formula>"PTO"</formula>
    </cfRule>
  </conditionalFormatting>
  <conditionalFormatting sqref="J21">
    <cfRule type="cellIs" dxfId="4231" priority="9652" operator="equal">
      <formula>"OFF"</formula>
    </cfRule>
    <cfRule type="cellIs" dxfId="4230" priority="9653" operator="equal">
      <formula>"PTO"</formula>
    </cfRule>
  </conditionalFormatting>
  <conditionalFormatting sqref="J21">
    <cfRule type="cellIs" dxfId="4229" priority="9650" operator="equal">
      <formula>"OFF"</formula>
    </cfRule>
    <cfRule type="cellIs" dxfId="4228" priority="9651" operator="equal">
      <formula>"PTO"</formula>
    </cfRule>
  </conditionalFormatting>
  <conditionalFormatting sqref="J21">
    <cfRule type="cellIs" dxfId="4227" priority="9648" operator="equal">
      <formula>"OFF"</formula>
    </cfRule>
    <cfRule type="cellIs" dxfId="4226" priority="9649" operator="equal">
      <formula>"PTO"</formula>
    </cfRule>
  </conditionalFormatting>
  <conditionalFormatting sqref="J23">
    <cfRule type="cellIs" dxfId="4225" priority="9646" operator="equal">
      <formula>"OFF"</formula>
    </cfRule>
    <cfRule type="cellIs" dxfId="4224" priority="9647" operator="equal">
      <formula>"PTO"</formula>
    </cfRule>
  </conditionalFormatting>
  <conditionalFormatting sqref="J20:J32">
    <cfRule type="cellIs" dxfId="4223" priority="9644" operator="equal">
      <formula>"OFF"</formula>
    </cfRule>
    <cfRule type="cellIs" dxfId="4222" priority="9645" operator="equal">
      <formula>"PTO"</formula>
    </cfRule>
  </conditionalFormatting>
  <conditionalFormatting sqref="J21">
    <cfRule type="cellIs" dxfId="4221" priority="9642" operator="equal">
      <formula>"OFF"</formula>
    </cfRule>
    <cfRule type="cellIs" dxfId="4220" priority="9643" operator="equal">
      <formula>"PTO"</formula>
    </cfRule>
  </conditionalFormatting>
  <conditionalFormatting sqref="J21">
    <cfRule type="cellIs" dxfId="4219" priority="9640" operator="equal">
      <formula>"OFF"</formula>
    </cfRule>
    <cfRule type="cellIs" dxfId="4218" priority="9641" operator="equal">
      <formula>"PTO"</formula>
    </cfRule>
  </conditionalFormatting>
  <conditionalFormatting sqref="J21">
    <cfRule type="cellIs" dxfId="4217" priority="9638" operator="equal">
      <formula>"OFF"</formula>
    </cfRule>
    <cfRule type="cellIs" dxfId="4216" priority="9639" operator="equal">
      <formula>"PTO"</formula>
    </cfRule>
  </conditionalFormatting>
  <conditionalFormatting sqref="J21">
    <cfRule type="cellIs" dxfId="4215" priority="9636" operator="equal">
      <formula>"OFF"</formula>
    </cfRule>
    <cfRule type="cellIs" dxfId="4214" priority="9637" operator="equal">
      <formula>"PTO"</formula>
    </cfRule>
  </conditionalFormatting>
  <conditionalFormatting sqref="J23">
    <cfRule type="cellIs" dxfId="4213" priority="9634" operator="equal">
      <formula>"OFF"</formula>
    </cfRule>
    <cfRule type="cellIs" dxfId="4212" priority="9635" operator="equal">
      <formula>"PTO"</formula>
    </cfRule>
  </conditionalFormatting>
  <conditionalFormatting sqref="J20:J32">
    <cfRule type="cellIs" dxfId="4211" priority="9632" operator="equal">
      <formula>"OFF"</formula>
    </cfRule>
    <cfRule type="cellIs" dxfId="4210" priority="9633" operator="equal">
      <formula>"PTO"</formula>
    </cfRule>
  </conditionalFormatting>
  <conditionalFormatting sqref="J20:J32">
    <cfRule type="cellIs" dxfId="4209" priority="9630" operator="equal">
      <formula>"OFF"</formula>
    </cfRule>
    <cfRule type="cellIs" dxfId="4208" priority="9631" operator="equal">
      <formula>"PTO"</formula>
    </cfRule>
  </conditionalFormatting>
  <conditionalFormatting sqref="J20:J32">
    <cfRule type="cellIs" dxfId="4207" priority="9628" operator="equal">
      <formula>"OFF"</formula>
    </cfRule>
    <cfRule type="cellIs" dxfId="4206" priority="9629" operator="equal">
      <formula>"PTO"</formula>
    </cfRule>
  </conditionalFormatting>
  <conditionalFormatting sqref="J20:J32">
    <cfRule type="cellIs" dxfId="4205" priority="9626" operator="equal">
      <formula>"OFF"</formula>
    </cfRule>
    <cfRule type="cellIs" dxfId="4204" priority="9627" operator="equal">
      <formula>"PTO"</formula>
    </cfRule>
  </conditionalFormatting>
  <conditionalFormatting sqref="J22">
    <cfRule type="cellIs" dxfId="4203" priority="9624" operator="equal">
      <formula>"OFF"</formula>
    </cfRule>
    <cfRule type="cellIs" dxfId="4202" priority="9625" operator="equal">
      <formula>"PTO"</formula>
    </cfRule>
  </conditionalFormatting>
  <conditionalFormatting sqref="J20:J32">
    <cfRule type="cellIs" dxfId="4201" priority="9622" operator="equal">
      <formula>"OFF"</formula>
    </cfRule>
    <cfRule type="cellIs" dxfId="4200" priority="9623" operator="equal">
      <formula>"PTO"</formula>
    </cfRule>
  </conditionalFormatting>
  <conditionalFormatting sqref="J20:J32">
    <cfRule type="cellIs" dxfId="4199" priority="9620" operator="equal">
      <formula>"OFF"</formula>
    </cfRule>
    <cfRule type="cellIs" dxfId="4198" priority="9621" operator="equal">
      <formula>"PTO"</formula>
    </cfRule>
  </conditionalFormatting>
  <conditionalFormatting sqref="J20:J32">
    <cfRule type="cellIs" dxfId="4197" priority="9618" operator="equal">
      <formula>"OFF"</formula>
    </cfRule>
    <cfRule type="cellIs" dxfId="4196" priority="9619" operator="equal">
      <formula>"PTO"</formula>
    </cfRule>
  </conditionalFormatting>
  <conditionalFormatting sqref="J20:J32">
    <cfRule type="cellIs" dxfId="4195" priority="9616" operator="equal">
      <formula>"OFF"</formula>
    </cfRule>
    <cfRule type="cellIs" dxfId="4194" priority="9617" operator="equal">
      <formula>"PTO"</formula>
    </cfRule>
  </conditionalFormatting>
  <conditionalFormatting sqref="J22">
    <cfRule type="cellIs" dxfId="4193" priority="9614" operator="equal">
      <formula>"OFF"</formula>
    </cfRule>
    <cfRule type="cellIs" dxfId="4192" priority="9615" operator="equal">
      <formula>"PTO"</formula>
    </cfRule>
  </conditionalFormatting>
  <conditionalFormatting sqref="J20:J32">
    <cfRule type="cellIs" dxfId="4191" priority="9612" operator="equal">
      <formula>"OFF"</formula>
    </cfRule>
    <cfRule type="cellIs" dxfId="4190" priority="9613" operator="equal">
      <formula>"PTO"</formula>
    </cfRule>
  </conditionalFormatting>
  <conditionalFormatting sqref="J20:J32">
    <cfRule type="cellIs" dxfId="4189" priority="9610" operator="equal">
      <formula>"OFF"</formula>
    </cfRule>
    <cfRule type="cellIs" dxfId="4188" priority="9611" operator="equal">
      <formula>"PTO"</formula>
    </cfRule>
  </conditionalFormatting>
  <conditionalFormatting sqref="J20:J32">
    <cfRule type="cellIs" dxfId="4187" priority="9608" operator="equal">
      <formula>"OFF"</formula>
    </cfRule>
    <cfRule type="cellIs" dxfId="4186" priority="9609" operator="equal">
      <formula>"PTO"</formula>
    </cfRule>
  </conditionalFormatting>
  <conditionalFormatting sqref="J20:J32">
    <cfRule type="cellIs" dxfId="4185" priority="9606" operator="equal">
      <formula>"OFF"</formula>
    </cfRule>
    <cfRule type="cellIs" dxfId="4184" priority="9607" operator="equal">
      <formula>"PTO"</formula>
    </cfRule>
  </conditionalFormatting>
  <conditionalFormatting sqref="J20:J32">
    <cfRule type="cellIs" dxfId="4183" priority="9604" operator="equal">
      <formula>"OFF"</formula>
    </cfRule>
    <cfRule type="cellIs" dxfId="4182" priority="9605" operator="equal">
      <formula>"PTO"</formula>
    </cfRule>
  </conditionalFormatting>
  <conditionalFormatting sqref="J20:J32">
    <cfRule type="cellIs" dxfId="4181" priority="9602" operator="equal">
      <formula>"OFF"</formula>
    </cfRule>
    <cfRule type="cellIs" dxfId="4180" priority="9603" operator="equal">
      <formula>"PTO"</formula>
    </cfRule>
  </conditionalFormatting>
  <conditionalFormatting sqref="J20:J32">
    <cfRule type="cellIs" dxfId="4179" priority="9600" operator="equal">
      <formula>"OFF"</formula>
    </cfRule>
    <cfRule type="cellIs" dxfId="4178" priority="9601" operator="equal">
      <formula>"PTO"</formula>
    </cfRule>
  </conditionalFormatting>
  <conditionalFormatting sqref="J20:J32">
    <cfRule type="cellIs" dxfId="4177" priority="9598" operator="equal">
      <formula>"OFF"</formula>
    </cfRule>
    <cfRule type="cellIs" dxfId="4176" priority="9599" operator="equal">
      <formula>"PTO"</formula>
    </cfRule>
  </conditionalFormatting>
  <conditionalFormatting sqref="J21">
    <cfRule type="cellIs" dxfId="4175" priority="9596" operator="equal">
      <formula>"OFF"</formula>
    </cfRule>
    <cfRule type="cellIs" dxfId="4174" priority="9597" operator="equal">
      <formula>"PTO"</formula>
    </cfRule>
  </conditionalFormatting>
  <conditionalFormatting sqref="J21">
    <cfRule type="cellIs" dxfId="4173" priority="9594" operator="equal">
      <formula>"OFF"</formula>
    </cfRule>
    <cfRule type="cellIs" dxfId="4172" priority="9595" operator="equal">
      <formula>"PTO"</formula>
    </cfRule>
  </conditionalFormatting>
  <conditionalFormatting sqref="J20:J32">
    <cfRule type="cellIs" dxfId="4171" priority="9592" operator="equal">
      <formula>"OFF"</formula>
    </cfRule>
    <cfRule type="cellIs" dxfId="4170" priority="9593" operator="equal">
      <formula>"PTO"</formula>
    </cfRule>
  </conditionalFormatting>
  <conditionalFormatting sqref="J20:J32">
    <cfRule type="cellIs" dxfId="4169" priority="9590" operator="equal">
      <formula>"OFF"</formula>
    </cfRule>
    <cfRule type="cellIs" dxfId="4168" priority="9591" operator="equal">
      <formula>"PTO"</formula>
    </cfRule>
  </conditionalFormatting>
  <conditionalFormatting sqref="J20:J32">
    <cfRule type="cellIs" dxfId="4167" priority="9588" operator="equal">
      <formula>"OFF"</formula>
    </cfRule>
    <cfRule type="cellIs" dxfId="4166" priority="9589" operator="equal">
      <formula>"PTO"</formula>
    </cfRule>
  </conditionalFormatting>
  <conditionalFormatting sqref="J20:J32">
    <cfRule type="cellIs" dxfId="4165" priority="9586" operator="equal">
      <formula>"OFF"</formula>
    </cfRule>
    <cfRule type="cellIs" dxfId="4164" priority="9587" operator="equal">
      <formula>"PTO"</formula>
    </cfRule>
  </conditionalFormatting>
  <conditionalFormatting sqref="J20:J32">
    <cfRule type="cellIs" dxfId="4163" priority="9584" operator="equal">
      <formula>"OFF"</formula>
    </cfRule>
    <cfRule type="cellIs" dxfId="4162" priority="9585" operator="equal">
      <formula>"PTO"</formula>
    </cfRule>
  </conditionalFormatting>
  <conditionalFormatting sqref="J20:J32">
    <cfRule type="cellIs" dxfId="4161" priority="9582" operator="equal">
      <formula>"OFF"</formula>
    </cfRule>
    <cfRule type="cellIs" dxfId="4160" priority="9583" operator="equal">
      <formula>"PTO"</formula>
    </cfRule>
  </conditionalFormatting>
  <conditionalFormatting sqref="J20:J32">
    <cfRule type="cellIs" dxfId="4159" priority="9580" operator="equal">
      <formula>"OFF"</formula>
    </cfRule>
    <cfRule type="cellIs" dxfId="4158" priority="9581" operator="equal">
      <formula>"PTO"</formula>
    </cfRule>
  </conditionalFormatting>
  <conditionalFormatting sqref="J20:J32">
    <cfRule type="cellIs" dxfId="4157" priority="9578" operator="equal">
      <formula>"OFF"</formula>
    </cfRule>
    <cfRule type="cellIs" dxfId="4156" priority="9579" operator="equal">
      <formula>"PTO"</formula>
    </cfRule>
  </conditionalFormatting>
  <conditionalFormatting sqref="J20:J32">
    <cfRule type="cellIs" dxfId="4155" priority="9576" operator="equal">
      <formula>"OFF"</formula>
    </cfRule>
    <cfRule type="cellIs" dxfId="4154" priority="9577" operator="equal">
      <formula>"PTO"</formula>
    </cfRule>
  </conditionalFormatting>
  <conditionalFormatting sqref="J20:J32">
    <cfRule type="cellIs" dxfId="4153" priority="9574" operator="equal">
      <formula>"OFF"</formula>
    </cfRule>
    <cfRule type="cellIs" dxfId="4152" priority="9575" operator="equal">
      <formula>"PTO"</formula>
    </cfRule>
  </conditionalFormatting>
  <conditionalFormatting sqref="J20:J32">
    <cfRule type="cellIs" dxfId="4151" priority="9572" operator="equal">
      <formula>"OFF"</formula>
    </cfRule>
    <cfRule type="cellIs" dxfId="4150" priority="9573" operator="equal">
      <formula>"PTO"</formula>
    </cfRule>
  </conditionalFormatting>
  <conditionalFormatting sqref="J20:J32">
    <cfRule type="cellIs" dxfId="4149" priority="9570" operator="equal">
      <formula>"OFF"</formula>
    </cfRule>
    <cfRule type="cellIs" dxfId="4148" priority="9571" operator="equal">
      <formula>"PTO"</formula>
    </cfRule>
  </conditionalFormatting>
  <conditionalFormatting sqref="J20:J32">
    <cfRule type="cellIs" dxfId="4147" priority="9568" operator="equal">
      <formula>"OFF"</formula>
    </cfRule>
    <cfRule type="cellIs" dxfId="4146" priority="9569" operator="equal">
      <formula>"PTO"</formula>
    </cfRule>
  </conditionalFormatting>
  <conditionalFormatting sqref="J20:J32">
    <cfRule type="cellIs" dxfId="4145" priority="9566" operator="equal">
      <formula>"OFF"</formula>
    </cfRule>
    <cfRule type="cellIs" dxfId="4144" priority="9567" operator="equal">
      <formula>"PTO"</formula>
    </cfRule>
  </conditionalFormatting>
  <conditionalFormatting sqref="J20:J32">
    <cfRule type="cellIs" dxfId="4143" priority="9564" operator="equal">
      <formula>"OFF"</formula>
    </cfRule>
    <cfRule type="cellIs" dxfId="4142" priority="9565" operator="equal">
      <formula>"PTO"</formula>
    </cfRule>
  </conditionalFormatting>
  <conditionalFormatting sqref="J20:J32">
    <cfRule type="cellIs" dxfId="4141" priority="9562" operator="equal">
      <formula>"OFF"</formula>
    </cfRule>
    <cfRule type="cellIs" dxfId="4140" priority="9563" operator="equal">
      <formula>"PTO"</formula>
    </cfRule>
  </conditionalFormatting>
  <conditionalFormatting sqref="J20:J32">
    <cfRule type="cellIs" dxfId="4139" priority="9560" operator="equal">
      <formula>"OFF"</formula>
    </cfRule>
    <cfRule type="cellIs" dxfId="4138" priority="9561" operator="equal">
      <formula>"PTO"</formula>
    </cfRule>
  </conditionalFormatting>
  <conditionalFormatting sqref="J20:J32">
    <cfRule type="cellIs" dxfId="4137" priority="9558" operator="equal">
      <formula>"OFF"</formula>
    </cfRule>
    <cfRule type="cellIs" dxfId="4136" priority="9559" operator="equal">
      <formula>"PTO"</formula>
    </cfRule>
  </conditionalFormatting>
  <conditionalFormatting sqref="J20:J32">
    <cfRule type="cellIs" dxfId="4135" priority="9556" operator="equal">
      <formula>"OFF"</formula>
    </cfRule>
    <cfRule type="cellIs" dxfId="4134" priority="9557" operator="equal">
      <formula>"PTO"</formula>
    </cfRule>
  </conditionalFormatting>
  <conditionalFormatting sqref="J20:J32">
    <cfRule type="cellIs" dxfId="4133" priority="9554" operator="equal">
      <formula>"OFF"</formula>
    </cfRule>
    <cfRule type="cellIs" dxfId="4132" priority="9555" operator="equal">
      <formula>"PTO"</formula>
    </cfRule>
  </conditionalFormatting>
  <conditionalFormatting sqref="J20:J32">
    <cfRule type="cellIs" dxfId="4131" priority="9552" operator="equal">
      <formula>"OFF"</formula>
    </cfRule>
    <cfRule type="cellIs" dxfId="4130" priority="9553" operator="equal">
      <formula>"PTO"</formula>
    </cfRule>
  </conditionalFormatting>
  <conditionalFormatting sqref="J20:J32">
    <cfRule type="cellIs" dxfId="4129" priority="9550" operator="equal">
      <formula>"OFF"</formula>
    </cfRule>
    <cfRule type="cellIs" dxfId="4128" priority="9551" operator="equal">
      <formula>"PTO"</formula>
    </cfRule>
  </conditionalFormatting>
  <conditionalFormatting sqref="J20:J32">
    <cfRule type="cellIs" dxfId="4127" priority="9548" operator="equal">
      <formula>"OFF"</formula>
    </cfRule>
    <cfRule type="cellIs" dxfId="4126" priority="9549" operator="equal">
      <formula>"PTO"</formula>
    </cfRule>
  </conditionalFormatting>
  <conditionalFormatting sqref="J20:J32">
    <cfRule type="cellIs" dxfId="4125" priority="9546" operator="equal">
      <formula>"OFF"</formula>
    </cfRule>
    <cfRule type="cellIs" dxfId="4124" priority="9547" operator="equal">
      <formula>"PTO"</formula>
    </cfRule>
  </conditionalFormatting>
  <conditionalFormatting sqref="J20:J32">
    <cfRule type="cellIs" dxfId="4123" priority="9544" operator="equal">
      <formula>"OFF"</formula>
    </cfRule>
    <cfRule type="cellIs" dxfId="4122" priority="9545" operator="equal">
      <formula>"PTO"</formula>
    </cfRule>
  </conditionalFormatting>
  <conditionalFormatting sqref="J14:J32">
    <cfRule type="cellIs" dxfId="4121" priority="9542" operator="equal">
      <formula>"OFF"</formula>
    </cfRule>
    <cfRule type="cellIs" dxfId="4120" priority="9543" operator="equal">
      <formula>"PTO"</formula>
    </cfRule>
  </conditionalFormatting>
  <conditionalFormatting sqref="J14:J32">
    <cfRule type="cellIs" dxfId="4119" priority="9538" operator="equal">
      <formula>"OFF"</formula>
    </cfRule>
    <cfRule type="cellIs" dxfId="4118" priority="9539" operator="equal">
      <formula>"PTO"</formula>
    </cfRule>
  </conditionalFormatting>
  <conditionalFormatting sqref="J14:J32">
    <cfRule type="cellIs" dxfId="4117" priority="9536" operator="equal">
      <formula>"OFF"</formula>
    </cfRule>
    <cfRule type="cellIs" dxfId="4116" priority="9537" operator="equal">
      <formula>"PTO"</formula>
    </cfRule>
  </conditionalFormatting>
  <conditionalFormatting sqref="J14:J32">
    <cfRule type="cellIs" dxfId="4115" priority="9532" operator="equal">
      <formula>"OFF"</formula>
    </cfRule>
    <cfRule type="cellIs" dxfId="4114" priority="9533" operator="equal">
      <formula>"PTO"</formula>
    </cfRule>
  </conditionalFormatting>
  <conditionalFormatting sqref="J14:J32">
    <cfRule type="cellIs" dxfId="4113" priority="9530" operator="equal">
      <formula>"OFF"</formula>
    </cfRule>
    <cfRule type="cellIs" dxfId="4112" priority="9531" operator="equal">
      <formula>"PTO"</formula>
    </cfRule>
  </conditionalFormatting>
  <conditionalFormatting sqref="J14:J32">
    <cfRule type="cellIs" dxfId="4111" priority="9528" operator="equal">
      <formula>"OFF"</formula>
    </cfRule>
    <cfRule type="cellIs" dxfId="4110" priority="9529" operator="equal">
      <formula>"PTO"</formula>
    </cfRule>
  </conditionalFormatting>
  <conditionalFormatting sqref="J14:J32">
    <cfRule type="cellIs" dxfId="4109" priority="9524" operator="equal">
      <formula>"OFF"</formula>
    </cfRule>
    <cfRule type="cellIs" dxfId="4108" priority="9525" operator="equal">
      <formula>"PTO"</formula>
    </cfRule>
  </conditionalFormatting>
  <conditionalFormatting sqref="J14:J32">
    <cfRule type="cellIs" dxfId="4107" priority="9522" operator="equal">
      <formula>"OFF"</formula>
    </cfRule>
    <cfRule type="cellIs" dxfId="4106" priority="9523" operator="equal">
      <formula>"PTO"</formula>
    </cfRule>
  </conditionalFormatting>
  <conditionalFormatting sqref="J14:J32">
    <cfRule type="cellIs" dxfId="4105" priority="9520" operator="equal">
      <formula>"OFF"</formula>
    </cfRule>
    <cfRule type="cellIs" dxfId="4104" priority="9521" operator="equal">
      <formula>"PTO"</formula>
    </cfRule>
  </conditionalFormatting>
  <conditionalFormatting sqref="J14:J32">
    <cfRule type="cellIs" dxfId="4103" priority="9518" operator="equal">
      <formula>"OFF"</formula>
    </cfRule>
    <cfRule type="cellIs" dxfId="4102" priority="9519" operator="equal">
      <formula>"PTO"</formula>
    </cfRule>
  </conditionalFormatting>
  <conditionalFormatting sqref="J14:J32">
    <cfRule type="cellIs" dxfId="4101" priority="9516" operator="equal">
      <formula>"OFF"</formula>
    </cfRule>
    <cfRule type="cellIs" dxfId="4100" priority="9517" operator="equal">
      <formula>"PTO"</formula>
    </cfRule>
  </conditionalFormatting>
  <conditionalFormatting sqref="J14:J32">
    <cfRule type="cellIs" dxfId="4099" priority="9514" operator="equal">
      <formula>"OFF"</formula>
    </cfRule>
    <cfRule type="cellIs" dxfId="4098" priority="9515" operator="equal">
      <formula>"PTO"</formula>
    </cfRule>
  </conditionalFormatting>
  <conditionalFormatting sqref="J14:J32">
    <cfRule type="cellIs" dxfId="4097" priority="9512" operator="equal">
      <formula>"OFF"</formula>
    </cfRule>
    <cfRule type="cellIs" dxfId="4096" priority="9513" operator="equal">
      <formula>"PTO"</formula>
    </cfRule>
  </conditionalFormatting>
  <conditionalFormatting sqref="J14:J32">
    <cfRule type="cellIs" dxfId="4095" priority="9506" operator="equal">
      <formula>"OFF"</formula>
    </cfRule>
    <cfRule type="cellIs" dxfId="4094" priority="9507" operator="equal">
      <formula>"PTO"</formula>
    </cfRule>
  </conditionalFormatting>
  <conditionalFormatting sqref="J14:J32">
    <cfRule type="cellIs" dxfId="4093" priority="9504" operator="equal">
      <formula>"OFF"</formula>
    </cfRule>
    <cfRule type="cellIs" dxfId="4092" priority="9505" operator="equal">
      <formula>"PTO"</formula>
    </cfRule>
  </conditionalFormatting>
  <conditionalFormatting sqref="J14:J32">
    <cfRule type="cellIs" dxfId="4091" priority="9502" operator="equal">
      <formula>"OFF"</formula>
    </cfRule>
    <cfRule type="cellIs" dxfId="4090" priority="9503" operator="equal">
      <formula>"PTO"</formula>
    </cfRule>
  </conditionalFormatting>
  <conditionalFormatting sqref="J14:J32">
    <cfRule type="cellIs" dxfId="4089" priority="9500" operator="equal">
      <formula>"OFF"</formula>
    </cfRule>
    <cfRule type="cellIs" dxfId="4088" priority="9501" operator="equal">
      <formula>"PTO"</formula>
    </cfRule>
  </conditionalFormatting>
  <conditionalFormatting sqref="J14:J32">
    <cfRule type="cellIs" dxfId="4087" priority="9498" operator="equal">
      <formula>"OFF"</formula>
    </cfRule>
    <cfRule type="cellIs" dxfId="4086" priority="9499" operator="equal">
      <formula>"PTO"</formula>
    </cfRule>
  </conditionalFormatting>
  <conditionalFormatting sqref="J14:J32">
    <cfRule type="cellIs" dxfId="4085" priority="9496" operator="equal">
      <formula>"OFF"</formula>
    </cfRule>
    <cfRule type="cellIs" dxfId="4084" priority="9497" operator="equal">
      <formula>"PTO"</formula>
    </cfRule>
  </conditionalFormatting>
  <conditionalFormatting sqref="J14:J32">
    <cfRule type="cellIs" dxfId="4083" priority="9494" operator="equal">
      <formula>"OFF"</formula>
    </cfRule>
    <cfRule type="cellIs" dxfId="4082" priority="9495" operator="equal">
      <formula>"PTO"</formula>
    </cfRule>
  </conditionalFormatting>
  <conditionalFormatting sqref="J14:J32">
    <cfRule type="cellIs" dxfId="4081" priority="9492" operator="equal">
      <formula>"OFF"</formula>
    </cfRule>
    <cfRule type="cellIs" dxfId="4080" priority="9493" operator="equal">
      <formula>"PTO"</formula>
    </cfRule>
  </conditionalFormatting>
  <conditionalFormatting sqref="J14:J32">
    <cfRule type="cellIs" dxfId="4079" priority="9490" operator="equal">
      <formula>"OFF"</formula>
    </cfRule>
    <cfRule type="cellIs" dxfId="4078" priority="9491" operator="equal">
      <formula>"PTO"</formula>
    </cfRule>
  </conditionalFormatting>
  <conditionalFormatting sqref="J14:J32">
    <cfRule type="cellIs" dxfId="4077" priority="9488" operator="equal">
      <formula>"OFF"</formula>
    </cfRule>
    <cfRule type="cellIs" dxfId="4076" priority="9489" operator="equal">
      <formula>"PTO"</formula>
    </cfRule>
  </conditionalFormatting>
  <conditionalFormatting sqref="J14:J32">
    <cfRule type="cellIs" dxfId="4075" priority="9486" operator="equal">
      <formula>"OFF"</formula>
    </cfRule>
    <cfRule type="cellIs" dxfId="4074" priority="9487" operator="equal">
      <formula>"PTO"</formula>
    </cfRule>
  </conditionalFormatting>
  <conditionalFormatting sqref="J14:J32">
    <cfRule type="cellIs" dxfId="4073" priority="9484" operator="equal">
      <formula>"OFF"</formula>
    </cfRule>
    <cfRule type="cellIs" dxfId="4072" priority="9485" operator="equal">
      <formula>"PTO"</formula>
    </cfRule>
  </conditionalFormatting>
  <conditionalFormatting sqref="J14:J32">
    <cfRule type="cellIs" dxfId="4071" priority="9482" operator="equal">
      <formula>"OFF"</formula>
    </cfRule>
    <cfRule type="cellIs" dxfId="4070" priority="9483" operator="equal">
      <formula>"PTO"</formula>
    </cfRule>
  </conditionalFormatting>
  <conditionalFormatting sqref="J14:J32">
    <cfRule type="cellIs" dxfId="4069" priority="9480" operator="equal">
      <formula>"OFF"</formula>
    </cfRule>
    <cfRule type="cellIs" dxfId="4068" priority="9481" operator="equal">
      <formula>"PTO"</formula>
    </cfRule>
  </conditionalFormatting>
  <conditionalFormatting sqref="J14:J32">
    <cfRule type="cellIs" dxfId="4067" priority="9478" operator="equal">
      <formula>"OFF"</formula>
    </cfRule>
    <cfRule type="cellIs" dxfId="4066" priority="9479" operator="equal">
      <formula>"PTO"</formula>
    </cfRule>
  </conditionalFormatting>
  <conditionalFormatting sqref="J14:J32">
    <cfRule type="cellIs" dxfId="4065" priority="9476" operator="equal">
      <formula>"OFF"</formula>
    </cfRule>
    <cfRule type="cellIs" dxfId="4064" priority="9477" operator="equal">
      <formula>"PTO"</formula>
    </cfRule>
  </conditionalFormatting>
  <conditionalFormatting sqref="J14:J32">
    <cfRule type="cellIs" dxfId="4063" priority="9474" operator="equal">
      <formula>"OFF"</formula>
    </cfRule>
    <cfRule type="cellIs" dxfId="4062" priority="9475" operator="equal">
      <formula>"PTO"</formula>
    </cfRule>
  </conditionalFormatting>
  <conditionalFormatting sqref="J14:J32">
    <cfRule type="cellIs" dxfId="4061" priority="9472" operator="equal">
      <formula>"OFF"</formula>
    </cfRule>
    <cfRule type="cellIs" dxfId="4060" priority="9473" operator="equal">
      <formula>"PTO"</formula>
    </cfRule>
  </conditionalFormatting>
  <conditionalFormatting sqref="J14:J32">
    <cfRule type="cellIs" dxfId="4059" priority="9470" operator="equal">
      <formula>"OFF"</formula>
    </cfRule>
    <cfRule type="cellIs" dxfId="4058" priority="9471" operator="equal">
      <formula>"PTO"</formula>
    </cfRule>
  </conditionalFormatting>
  <conditionalFormatting sqref="J14:J32">
    <cfRule type="cellIs" dxfId="4057" priority="9468" operator="equal">
      <formula>"OFF"</formula>
    </cfRule>
    <cfRule type="cellIs" dxfId="4056" priority="9469" operator="equal">
      <formula>"PTO"</formula>
    </cfRule>
  </conditionalFormatting>
  <conditionalFormatting sqref="J14:J32">
    <cfRule type="cellIs" dxfId="4055" priority="9466" operator="equal">
      <formula>"OFF"</formula>
    </cfRule>
    <cfRule type="cellIs" dxfId="4054" priority="9467" operator="equal">
      <formula>"PTO"</formula>
    </cfRule>
  </conditionalFormatting>
  <conditionalFormatting sqref="J14:J32">
    <cfRule type="cellIs" dxfId="4053" priority="9464" operator="equal">
      <formula>"OFF"</formula>
    </cfRule>
    <cfRule type="cellIs" dxfId="4052" priority="9465" operator="equal">
      <formula>"PTO"</formula>
    </cfRule>
  </conditionalFormatting>
  <conditionalFormatting sqref="J14:J32">
    <cfRule type="cellIs" dxfId="4051" priority="9462" operator="equal">
      <formula>"OFF"</formula>
    </cfRule>
    <cfRule type="cellIs" dxfId="4050" priority="9463" operator="equal">
      <formula>"PTO"</formula>
    </cfRule>
  </conditionalFormatting>
  <conditionalFormatting sqref="J14:J32">
    <cfRule type="cellIs" dxfId="4049" priority="9460" operator="equal">
      <formula>"OFF"</formula>
    </cfRule>
    <cfRule type="cellIs" dxfId="4048" priority="9461" operator="equal">
      <formula>"PTO"</formula>
    </cfRule>
  </conditionalFormatting>
  <conditionalFormatting sqref="J14:J32">
    <cfRule type="cellIs" dxfId="4047" priority="9458" operator="equal">
      <formula>"OFF"</formula>
    </cfRule>
    <cfRule type="cellIs" dxfId="4046" priority="9459" operator="equal">
      <formula>"PTO"</formula>
    </cfRule>
  </conditionalFormatting>
  <conditionalFormatting sqref="J14:J32">
    <cfRule type="cellIs" dxfId="4045" priority="9456" operator="equal">
      <formula>"OFF"</formula>
    </cfRule>
    <cfRule type="cellIs" dxfId="4044" priority="9457" operator="equal">
      <formula>"PTO"</formula>
    </cfRule>
  </conditionalFormatting>
  <conditionalFormatting sqref="B33:B42">
    <cfRule type="duplicateValues" dxfId="4043" priority="9455"/>
  </conditionalFormatting>
  <conditionalFormatting sqref="E34:I42">
    <cfRule type="cellIs" dxfId="4042" priority="9453" operator="equal">
      <formula>"OFF"</formula>
    </cfRule>
    <cfRule type="cellIs" dxfId="4041" priority="9454" operator="equal">
      <formula>"PTO"</formula>
    </cfRule>
  </conditionalFormatting>
  <conditionalFormatting sqref="E34:I42">
    <cfRule type="cellIs" dxfId="4040" priority="9451" operator="equal">
      <formula>"OFF"</formula>
    </cfRule>
    <cfRule type="cellIs" dxfId="4039" priority="9452" operator="equal">
      <formula>"PTO"</formula>
    </cfRule>
  </conditionalFormatting>
  <conditionalFormatting sqref="E34:I42">
    <cfRule type="cellIs" dxfId="4038" priority="9449" operator="equal">
      <formula>"OFF"</formula>
    </cfRule>
    <cfRule type="cellIs" dxfId="4037" priority="9450" operator="equal">
      <formula>"PTO"</formula>
    </cfRule>
  </conditionalFormatting>
  <conditionalFormatting sqref="E34:I42">
    <cfRule type="cellIs" dxfId="4036" priority="9447" operator="equal">
      <formula>"OFF"</formula>
    </cfRule>
    <cfRule type="cellIs" dxfId="4035" priority="9448" operator="equal">
      <formula>"PTO"</formula>
    </cfRule>
  </conditionalFormatting>
  <conditionalFormatting sqref="E34:I42">
    <cfRule type="cellIs" dxfId="4034" priority="9445" operator="equal">
      <formula>"OFF"</formula>
    </cfRule>
    <cfRule type="cellIs" dxfId="4033" priority="9446" operator="equal">
      <formula>"PTO"</formula>
    </cfRule>
  </conditionalFormatting>
  <conditionalFormatting sqref="E34:I42">
    <cfRule type="cellIs" dxfId="4032" priority="9443" operator="equal">
      <formula>"OFF"</formula>
    </cfRule>
    <cfRule type="cellIs" dxfId="4031" priority="9444" operator="equal">
      <formula>"PTO"</formula>
    </cfRule>
  </conditionalFormatting>
  <conditionalFormatting sqref="E34:I42">
    <cfRule type="cellIs" dxfId="4030" priority="9441" operator="equal">
      <formula>"OFF"</formula>
    </cfRule>
    <cfRule type="cellIs" dxfId="4029" priority="9442" operator="equal">
      <formula>"PTO"</formula>
    </cfRule>
  </conditionalFormatting>
  <conditionalFormatting sqref="E34:I42">
    <cfRule type="cellIs" dxfId="4028" priority="9439" operator="equal">
      <formula>"OFF"</formula>
    </cfRule>
    <cfRule type="cellIs" dxfId="4027" priority="9440" operator="equal">
      <formula>"PTO"</formula>
    </cfRule>
  </conditionalFormatting>
  <conditionalFormatting sqref="E34:I42">
    <cfRule type="cellIs" dxfId="4026" priority="9437" operator="equal">
      <formula>"OFF"</formula>
    </cfRule>
    <cfRule type="cellIs" dxfId="4025" priority="9438" operator="equal">
      <formula>"PTO"</formula>
    </cfRule>
  </conditionalFormatting>
  <conditionalFormatting sqref="E34:I42">
    <cfRule type="cellIs" dxfId="4024" priority="9435" operator="equal">
      <formula>"OFF"</formula>
    </cfRule>
    <cfRule type="cellIs" dxfId="4023" priority="9436" operator="equal">
      <formula>"PTO"</formula>
    </cfRule>
  </conditionalFormatting>
  <conditionalFormatting sqref="E34:I42">
    <cfRule type="cellIs" dxfId="4022" priority="9433" operator="equal">
      <formula>"OFF"</formula>
    </cfRule>
    <cfRule type="cellIs" dxfId="4021" priority="9434" operator="equal">
      <formula>"PTO"</formula>
    </cfRule>
  </conditionalFormatting>
  <conditionalFormatting sqref="E34:I42">
    <cfRule type="cellIs" dxfId="4020" priority="9431" operator="equal">
      <formula>"OFF"</formula>
    </cfRule>
    <cfRule type="cellIs" dxfId="4019" priority="9432" operator="equal">
      <formula>"PTO"</formula>
    </cfRule>
  </conditionalFormatting>
  <conditionalFormatting sqref="E34:I42">
    <cfRule type="cellIs" dxfId="4018" priority="9429" operator="equal">
      <formula>"OFF"</formula>
    </cfRule>
    <cfRule type="cellIs" dxfId="4017" priority="9430" operator="equal">
      <formula>"PTO"</formula>
    </cfRule>
  </conditionalFormatting>
  <conditionalFormatting sqref="E34:H42">
    <cfRule type="cellIs" dxfId="4016" priority="9427" operator="equal">
      <formula>"OFF"</formula>
    </cfRule>
    <cfRule type="cellIs" dxfId="4015" priority="9428" operator="equal">
      <formula>"PTO"</formula>
    </cfRule>
  </conditionalFormatting>
  <conditionalFormatting sqref="E34:I42">
    <cfRule type="cellIs" dxfId="4014" priority="9425" operator="equal">
      <formula>"OFF"</formula>
    </cfRule>
    <cfRule type="cellIs" dxfId="4013" priority="9426" operator="equal">
      <formula>"PTO"</formula>
    </cfRule>
  </conditionalFormatting>
  <conditionalFormatting sqref="E34:H42">
    <cfRule type="cellIs" dxfId="4012" priority="9423" operator="equal">
      <formula>"OFF"</formula>
    </cfRule>
    <cfRule type="cellIs" dxfId="4011" priority="9424" operator="equal">
      <formula>"PTO"</formula>
    </cfRule>
  </conditionalFormatting>
  <conditionalFormatting sqref="H34:I42">
    <cfRule type="cellIs" dxfId="4010" priority="9421" operator="equal">
      <formula>"OFF"</formula>
    </cfRule>
    <cfRule type="cellIs" dxfId="4009" priority="9422" operator="equal">
      <formula>"PTO"</formula>
    </cfRule>
  </conditionalFormatting>
  <conditionalFormatting sqref="E34:H42">
    <cfRule type="cellIs" dxfId="4008" priority="9419" operator="equal">
      <formula>"OFF"</formula>
    </cfRule>
    <cfRule type="cellIs" dxfId="4007" priority="9420" operator="equal">
      <formula>"PTO"</formula>
    </cfRule>
  </conditionalFormatting>
  <conditionalFormatting sqref="H34:I42">
    <cfRule type="cellIs" dxfId="4006" priority="9417" operator="equal">
      <formula>"OFF"</formula>
    </cfRule>
    <cfRule type="cellIs" dxfId="4005" priority="9418" operator="equal">
      <formula>"PTO"</formula>
    </cfRule>
  </conditionalFormatting>
  <conditionalFormatting sqref="E34:H42">
    <cfRule type="cellIs" dxfId="4004" priority="9415" operator="equal">
      <formula>"OFF"</formula>
    </cfRule>
    <cfRule type="cellIs" dxfId="4003" priority="9416" operator="equal">
      <formula>"PTO"</formula>
    </cfRule>
  </conditionalFormatting>
  <conditionalFormatting sqref="H34:I42">
    <cfRule type="cellIs" dxfId="4002" priority="9413" operator="equal">
      <formula>"OFF"</formula>
    </cfRule>
    <cfRule type="cellIs" dxfId="4001" priority="9414" operator="equal">
      <formula>"PTO"</formula>
    </cfRule>
  </conditionalFormatting>
  <conditionalFormatting sqref="E34:H42">
    <cfRule type="cellIs" dxfId="4000" priority="9411" operator="equal">
      <formula>"OFF"</formula>
    </cfRule>
    <cfRule type="cellIs" dxfId="3999" priority="9412" operator="equal">
      <formula>"PTO"</formula>
    </cfRule>
  </conditionalFormatting>
  <conditionalFormatting sqref="H34:I42">
    <cfRule type="cellIs" dxfId="3998" priority="9409" operator="equal">
      <formula>"OFF"</formula>
    </cfRule>
    <cfRule type="cellIs" dxfId="3997" priority="9410" operator="equal">
      <formula>"PTO"</formula>
    </cfRule>
  </conditionalFormatting>
  <conditionalFormatting sqref="E34:H42">
    <cfRule type="cellIs" dxfId="3996" priority="9407" operator="equal">
      <formula>"OFF"</formula>
    </cfRule>
    <cfRule type="cellIs" dxfId="3995" priority="9408" operator="equal">
      <formula>"PTO"</formula>
    </cfRule>
  </conditionalFormatting>
  <conditionalFormatting sqref="H34:I42">
    <cfRule type="cellIs" dxfId="3994" priority="9405" operator="equal">
      <formula>"OFF"</formula>
    </cfRule>
    <cfRule type="cellIs" dxfId="3993" priority="9406" operator="equal">
      <formula>"PTO"</formula>
    </cfRule>
  </conditionalFormatting>
  <conditionalFormatting sqref="E34:H42">
    <cfRule type="cellIs" dxfId="3992" priority="9403" operator="equal">
      <formula>"OFF"</formula>
    </cfRule>
    <cfRule type="cellIs" dxfId="3991" priority="9404" operator="equal">
      <formula>"PTO"</formula>
    </cfRule>
  </conditionalFormatting>
  <conditionalFormatting sqref="H34:I42">
    <cfRule type="cellIs" dxfId="3990" priority="9401" operator="equal">
      <formula>"OFF"</formula>
    </cfRule>
    <cfRule type="cellIs" dxfId="3989" priority="9402" operator="equal">
      <formula>"PTO"</formula>
    </cfRule>
  </conditionalFormatting>
  <conditionalFormatting sqref="E34:H34">
    <cfRule type="cellIs" dxfId="3988" priority="9399" operator="equal">
      <formula>"OFF"</formula>
    </cfRule>
    <cfRule type="cellIs" dxfId="3987" priority="9400" operator="equal">
      <formula>"PTO"</formula>
    </cfRule>
  </conditionalFormatting>
  <conditionalFormatting sqref="E34:H34">
    <cfRule type="cellIs" dxfId="3986" priority="9397" operator="equal">
      <formula>"OFF"</formula>
    </cfRule>
    <cfRule type="cellIs" dxfId="3985" priority="9398" operator="equal">
      <formula>"PTO"</formula>
    </cfRule>
  </conditionalFormatting>
  <conditionalFormatting sqref="E34:H34">
    <cfRule type="cellIs" dxfId="3984" priority="9395" operator="equal">
      <formula>"OFF"</formula>
    </cfRule>
    <cfRule type="cellIs" dxfId="3983" priority="9396" operator="equal">
      <formula>"PTO"</formula>
    </cfRule>
  </conditionalFormatting>
  <conditionalFormatting sqref="E34:H34">
    <cfRule type="cellIs" dxfId="3982" priority="9393" operator="equal">
      <formula>"OFF"</formula>
    </cfRule>
    <cfRule type="cellIs" dxfId="3981" priority="9394" operator="equal">
      <formula>"PTO"</formula>
    </cfRule>
  </conditionalFormatting>
  <conditionalFormatting sqref="E34:H34">
    <cfRule type="cellIs" dxfId="3980" priority="9391" operator="equal">
      <formula>"OFF"</formula>
    </cfRule>
    <cfRule type="cellIs" dxfId="3979" priority="9392" operator="equal">
      <formula>"PTO"</formula>
    </cfRule>
  </conditionalFormatting>
  <conditionalFormatting sqref="E34:H34">
    <cfRule type="cellIs" dxfId="3978" priority="9389" operator="equal">
      <formula>"OFF"</formula>
    </cfRule>
    <cfRule type="cellIs" dxfId="3977" priority="9390" operator="equal">
      <formula>"PTO"</formula>
    </cfRule>
  </conditionalFormatting>
  <conditionalFormatting sqref="E34:H34">
    <cfRule type="cellIs" dxfId="3976" priority="9387" operator="equal">
      <formula>"OFF"</formula>
    </cfRule>
    <cfRule type="cellIs" dxfId="3975" priority="9388" operator="equal">
      <formula>"PTO"</formula>
    </cfRule>
  </conditionalFormatting>
  <conditionalFormatting sqref="E34:H34">
    <cfRule type="cellIs" dxfId="3974" priority="9385" operator="equal">
      <formula>"OFF"</formula>
    </cfRule>
    <cfRule type="cellIs" dxfId="3973" priority="9386" operator="equal">
      <formula>"PTO"</formula>
    </cfRule>
  </conditionalFormatting>
  <conditionalFormatting sqref="E34:H34">
    <cfRule type="cellIs" dxfId="3972" priority="9383" operator="equal">
      <formula>"OFF"</formula>
    </cfRule>
    <cfRule type="cellIs" dxfId="3971" priority="9384" operator="equal">
      <formula>"PTO"</formula>
    </cfRule>
  </conditionalFormatting>
  <conditionalFormatting sqref="E34:H34">
    <cfRule type="cellIs" dxfId="3970" priority="9381" operator="equal">
      <formula>"OFF"</formula>
    </cfRule>
    <cfRule type="cellIs" dxfId="3969" priority="9382" operator="equal">
      <formula>"PTO"</formula>
    </cfRule>
  </conditionalFormatting>
  <conditionalFormatting sqref="E34:H34">
    <cfRule type="cellIs" dxfId="3968" priority="9379" operator="equal">
      <formula>"OFF"</formula>
    </cfRule>
    <cfRule type="cellIs" dxfId="3967" priority="9380" operator="equal">
      <formula>"PTO"</formula>
    </cfRule>
  </conditionalFormatting>
  <conditionalFormatting sqref="E34:H34">
    <cfRule type="cellIs" dxfId="3966" priority="9377" operator="equal">
      <formula>"OFF"</formula>
    </cfRule>
    <cfRule type="cellIs" dxfId="3965" priority="9378" operator="equal">
      <formula>"PTO"</formula>
    </cfRule>
  </conditionalFormatting>
  <conditionalFormatting sqref="E34:H34">
    <cfRule type="cellIs" dxfId="3964" priority="9375" operator="equal">
      <formula>"OFF"</formula>
    </cfRule>
    <cfRule type="cellIs" dxfId="3963" priority="9376" operator="equal">
      <formula>"PTO"</formula>
    </cfRule>
  </conditionalFormatting>
  <conditionalFormatting sqref="E34:H34">
    <cfRule type="cellIs" dxfId="3962" priority="9373" operator="equal">
      <formula>"OFF"</formula>
    </cfRule>
    <cfRule type="cellIs" dxfId="3961" priority="9374" operator="equal">
      <formula>"PTO"</formula>
    </cfRule>
  </conditionalFormatting>
  <conditionalFormatting sqref="E34:H34">
    <cfRule type="cellIs" dxfId="3960" priority="9371" operator="equal">
      <formula>"OFF"</formula>
    </cfRule>
    <cfRule type="cellIs" dxfId="3959" priority="9372" operator="equal">
      <formula>"PTO"</formula>
    </cfRule>
  </conditionalFormatting>
  <conditionalFormatting sqref="E34:H34">
    <cfRule type="cellIs" dxfId="3958" priority="9369" operator="equal">
      <formula>"OFF"</formula>
    </cfRule>
    <cfRule type="cellIs" dxfId="3957" priority="9370" operator="equal">
      <formula>"PTO"</formula>
    </cfRule>
  </conditionalFormatting>
  <conditionalFormatting sqref="E34:H34">
    <cfRule type="cellIs" dxfId="3956" priority="9367" operator="equal">
      <formula>"OFF"</formula>
    </cfRule>
    <cfRule type="cellIs" dxfId="3955" priority="9368" operator="equal">
      <formula>"PTO"</formula>
    </cfRule>
  </conditionalFormatting>
  <conditionalFormatting sqref="E34:H34">
    <cfRule type="cellIs" dxfId="3954" priority="9365" operator="equal">
      <formula>"OFF"</formula>
    </cfRule>
    <cfRule type="cellIs" dxfId="3953" priority="9366" operator="equal">
      <formula>"PTO"</formula>
    </cfRule>
  </conditionalFormatting>
  <conditionalFormatting sqref="E34:H34">
    <cfRule type="cellIs" dxfId="3952" priority="9363" operator="equal">
      <formula>"OFF"</formula>
    </cfRule>
    <cfRule type="cellIs" dxfId="3951" priority="9364" operator="equal">
      <formula>"PTO"</formula>
    </cfRule>
  </conditionalFormatting>
  <conditionalFormatting sqref="E34:H34">
    <cfRule type="cellIs" dxfId="3950" priority="9361" operator="equal">
      <formula>"OFF"</formula>
    </cfRule>
    <cfRule type="cellIs" dxfId="3949" priority="9362" operator="equal">
      <formula>"PTO"</formula>
    </cfRule>
  </conditionalFormatting>
  <conditionalFormatting sqref="E34:H34">
    <cfRule type="cellIs" dxfId="3948" priority="9359" operator="equal">
      <formula>"OFF"</formula>
    </cfRule>
    <cfRule type="cellIs" dxfId="3947" priority="9360" operator="equal">
      <formula>"PTO"</formula>
    </cfRule>
  </conditionalFormatting>
  <conditionalFormatting sqref="E34:H34">
    <cfRule type="cellIs" dxfId="3946" priority="9357" operator="equal">
      <formula>"OFF"</formula>
    </cfRule>
    <cfRule type="cellIs" dxfId="3945" priority="9358" operator="equal">
      <formula>"PTO"</formula>
    </cfRule>
  </conditionalFormatting>
  <conditionalFormatting sqref="E34:H34">
    <cfRule type="cellIs" dxfId="3944" priority="9355" operator="equal">
      <formula>"OFF"</formula>
    </cfRule>
    <cfRule type="cellIs" dxfId="3943" priority="9356" operator="equal">
      <formula>"PTO"</formula>
    </cfRule>
  </conditionalFormatting>
  <conditionalFormatting sqref="E34:H34">
    <cfRule type="cellIs" dxfId="3942" priority="9353" operator="equal">
      <formula>"OFF"</formula>
    </cfRule>
    <cfRule type="cellIs" dxfId="3941" priority="9354" operator="equal">
      <formula>"PTO"</formula>
    </cfRule>
  </conditionalFormatting>
  <conditionalFormatting sqref="E34:H34">
    <cfRule type="cellIs" dxfId="3940" priority="9351" operator="equal">
      <formula>"OFF"</formula>
    </cfRule>
    <cfRule type="cellIs" dxfId="3939" priority="9352" operator="equal">
      <formula>"PTO"</formula>
    </cfRule>
  </conditionalFormatting>
  <conditionalFormatting sqref="E34:H34">
    <cfRule type="cellIs" dxfId="3938" priority="9349" operator="equal">
      <formula>"OFF"</formula>
    </cfRule>
    <cfRule type="cellIs" dxfId="3937" priority="9350" operator="equal">
      <formula>"PTO"</formula>
    </cfRule>
  </conditionalFormatting>
  <conditionalFormatting sqref="E34:H34">
    <cfRule type="cellIs" dxfId="3936" priority="9347" operator="equal">
      <formula>"OFF"</formula>
    </cfRule>
    <cfRule type="cellIs" dxfId="3935" priority="9348" operator="equal">
      <formula>"PTO"</formula>
    </cfRule>
  </conditionalFormatting>
  <conditionalFormatting sqref="E34:H34">
    <cfRule type="cellIs" dxfId="3934" priority="9345" operator="equal">
      <formula>"OFF"</formula>
    </cfRule>
    <cfRule type="cellIs" dxfId="3933" priority="9346" operator="equal">
      <formula>"PTO"</formula>
    </cfRule>
  </conditionalFormatting>
  <conditionalFormatting sqref="E34:H34">
    <cfRule type="cellIs" dxfId="3932" priority="9343" operator="equal">
      <formula>"OFF"</formula>
    </cfRule>
    <cfRule type="cellIs" dxfId="3931" priority="9344" operator="equal">
      <formula>"PTO"</formula>
    </cfRule>
  </conditionalFormatting>
  <conditionalFormatting sqref="E34:H34">
    <cfRule type="cellIs" dxfId="3930" priority="9341" operator="equal">
      <formula>"OFF"</formula>
    </cfRule>
    <cfRule type="cellIs" dxfId="3929" priority="9342" operator="equal">
      <formula>"PTO"</formula>
    </cfRule>
  </conditionalFormatting>
  <conditionalFormatting sqref="E34:H34">
    <cfRule type="cellIs" dxfId="3928" priority="9339" operator="equal">
      <formula>"OFF"</formula>
    </cfRule>
    <cfRule type="cellIs" dxfId="3927" priority="9340" operator="equal">
      <formula>"PTO"</formula>
    </cfRule>
  </conditionalFormatting>
  <conditionalFormatting sqref="E34:H34">
    <cfRule type="cellIs" dxfId="3926" priority="9337" operator="equal">
      <formula>"OFF"</formula>
    </cfRule>
    <cfRule type="cellIs" dxfId="3925" priority="9338" operator="equal">
      <formula>"PTO"</formula>
    </cfRule>
  </conditionalFormatting>
  <conditionalFormatting sqref="E34:H34">
    <cfRule type="cellIs" dxfId="3924" priority="9335" operator="equal">
      <formula>"OFF"</formula>
    </cfRule>
    <cfRule type="cellIs" dxfId="3923" priority="9336" operator="equal">
      <formula>"PTO"</formula>
    </cfRule>
  </conditionalFormatting>
  <conditionalFormatting sqref="E34:H34">
    <cfRule type="cellIs" dxfId="3922" priority="9333" operator="equal">
      <formula>"OFF"</formula>
    </cfRule>
    <cfRule type="cellIs" dxfId="3921" priority="9334" operator="equal">
      <formula>"PTO"</formula>
    </cfRule>
  </conditionalFormatting>
  <conditionalFormatting sqref="E34:H34">
    <cfRule type="cellIs" dxfId="3920" priority="9331" operator="equal">
      <formula>"OFF"</formula>
    </cfRule>
    <cfRule type="cellIs" dxfId="3919" priority="9332" operator="equal">
      <formula>"PTO"</formula>
    </cfRule>
  </conditionalFormatting>
  <conditionalFormatting sqref="E34:H34">
    <cfRule type="cellIs" dxfId="3918" priority="9329" operator="equal">
      <formula>"OFF"</formula>
    </cfRule>
    <cfRule type="cellIs" dxfId="3917" priority="9330" operator="equal">
      <formula>"PTO"</formula>
    </cfRule>
  </conditionalFormatting>
  <conditionalFormatting sqref="E34:H34">
    <cfRule type="cellIs" dxfId="3916" priority="9327" operator="equal">
      <formula>"OFF"</formula>
    </cfRule>
    <cfRule type="cellIs" dxfId="3915" priority="9328" operator="equal">
      <formula>"PTO"</formula>
    </cfRule>
  </conditionalFormatting>
  <conditionalFormatting sqref="E34:H34">
    <cfRule type="cellIs" dxfId="3914" priority="9325" operator="equal">
      <formula>"OFF"</formula>
    </cfRule>
    <cfRule type="cellIs" dxfId="3913" priority="9326" operator="equal">
      <formula>"PTO"</formula>
    </cfRule>
  </conditionalFormatting>
  <conditionalFormatting sqref="E34:H34">
    <cfRule type="cellIs" dxfId="3912" priority="9323" operator="equal">
      <formula>"OFF"</formula>
    </cfRule>
    <cfRule type="cellIs" dxfId="3911" priority="9324" operator="equal">
      <formula>"PTO"</formula>
    </cfRule>
  </conditionalFormatting>
  <conditionalFormatting sqref="E34:H34">
    <cfRule type="cellIs" dxfId="3910" priority="9321" operator="equal">
      <formula>"OFF"</formula>
    </cfRule>
    <cfRule type="cellIs" dxfId="3909" priority="9322" operator="equal">
      <formula>"PTO"</formula>
    </cfRule>
  </conditionalFormatting>
  <conditionalFormatting sqref="E34:H34">
    <cfRule type="cellIs" dxfId="3908" priority="9319" operator="equal">
      <formula>"OFF"</formula>
    </cfRule>
    <cfRule type="cellIs" dxfId="3907" priority="9320" operator="equal">
      <formula>"PTO"</formula>
    </cfRule>
  </conditionalFormatting>
  <conditionalFormatting sqref="E34:H34">
    <cfRule type="cellIs" dxfId="3906" priority="9317" operator="equal">
      <formula>"OFF"</formula>
    </cfRule>
    <cfRule type="cellIs" dxfId="3905" priority="9318" operator="equal">
      <formula>"PTO"</formula>
    </cfRule>
  </conditionalFormatting>
  <conditionalFormatting sqref="E34:H34">
    <cfRule type="cellIs" dxfId="3904" priority="9315" operator="equal">
      <formula>"OFF"</formula>
    </cfRule>
    <cfRule type="cellIs" dxfId="3903" priority="9316" operator="equal">
      <formula>"PTO"</formula>
    </cfRule>
  </conditionalFormatting>
  <conditionalFormatting sqref="F34:H34">
    <cfRule type="cellIs" dxfId="3902" priority="9313" operator="equal">
      <formula>"OFF"</formula>
    </cfRule>
    <cfRule type="cellIs" dxfId="3901" priority="9314" operator="equal">
      <formula>"PTO"</formula>
    </cfRule>
  </conditionalFormatting>
  <conditionalFormatting sqref="G34:H34">
    <cfRule type="cellIs" dxfId="3900" priority="9311" operator="equal">
      <formula>"OFF"</formula>
    </cfRule>
    <cfRule type="cellIs" dxfId="3899" priority="9312" operator="equal">
      <formula>"PTO"</formula>
    </cfRule>
  </conditionalFormatting>
  <conditionalFormatting sqref="G34:H34">
    <cfRule type="cellIs" dxfId="3898" priority="9309" operator="equal">
      <formula>"OFF"</formula>
    </cfRule>
    <cfRule type="cellIs" dxfId="3897" priority="9310" operator="equal">
      <formula>"PTO"</formula>
    </cfRule>
  </conditionalFormatting>
  <conditionalFormatting sqref="G34:H34">
    <cfRule type="cellIs" dxfId="3896" priority="9307" operator="equal">
      <formula>"OFF"</formula>
    </cfRule>
    <cfRule type="cellIs" dxfId="3895" priority="9308" operator="equal">
      <formula>"PTO"</formula>
    </cfRule>
  </conditionalFormatting>
  <conditionalFormatting sqref="G34:H34">
    <cfRule type="cellIs" dxfId="3894" priority="9305" operator="equal">
      <formula>"OFF"</formula>
    </cfRule>
    <cfRule type="cellIs" dxfId="3893" priority="9306" operator="equal">
      <formula>"PTO"</formula>
    </cfRule>
  </conditionalFormatting>
  <conditionalFormatting sqref="G34:H34">
    <cfRule type="cellIs" dxfId="3892" priority="9303" operator="equal">
      <formula>"OFF"</formula>
    </cfRule>
    <cfRule type="cellIs" dxfId="3891" priority="9304" operator="equal">
      <formula>"PTO"</formula>
    </cfRule>
  </conditionalFormatting>
  <conditionalFormatting sqref="G34:H34">
    <cfRule type="cellIs" dxfId="3890" priority="9301" operator="equal">
      <formula>"OFF"</formula>
    </cfRule>
    <cfRule type="cellIs" dxfId="3889" priority="9302" operator="equal">
      <formula>"PTO"</formula>
    </cfRule>
  </conditionalFormatting>
  <conditionalFormatting sqref="G34:H34">
    <cfRule type="cellIs" dxfId="3888" priority="9299" operator="equal">
      <formula>"OFF"</formula>
    </cfRule>
    <cfRule type="cellIs" dxfId="3887" priority="9300" operator="equal">
      <formula>"PTO"</formula>
    </cfRule>
  </conditionalFormatting>
  <conditionalFormatting sqref="G34:H34">
    <cfRule type="cellIs" dxfId="3886" priority="9297" operator="equal">
      <formula>"OFF"</formula>
    </cfRule>
    <cfRule type="cellIs" dxfId="3885" priority="9298" operator="equal">
      <formula>"PTO"</formula>
    </cfRule>
  </conditionalFormatting>
  <conditionalFormatting sqref="I34">
    <cfRule type="cellIs" dxfId="3884" priority="9295" operator="equal">
      <formula>"OFF"</formula>
    </cfRule>
    <cfRule type="cellIs" dxfId="3883" priority="9296" operator="equal">
      <formula>"PTO"</formula>
    </cfRule>
  </conditionalFormatting>
  <conditionalFormatting sqref="I34">
    <cfRule type="cellIs" dxfId="3882" priority="9293" operator="equal">
      <formula>"OFF"</formula>
    </cfRule>
    <cfRule type="cellIs" dxfId="3881" priority="9294" operator="equal">
      <formula>"PTO"</formula>
    </cfRule>
  </conditionalFormatting>
  <conditionalFormatting sqref="I34">
    <cfRule type="cellIs" dxfId="3880" priority="9291" operator="equal">
      <formula>"OFF"</formula>
    </cfRule>
    <cfRule type="cellIs" dxfId="3879" priority="9292" operator="equal">
      <formula>"PTO"</formula>
    </cfRule>
  </conditionalFormatting>
  <conditionalFormatting sqref="I34">
    <cfRule type="cellIs" dxfId="3878" priority="9289" operator="equal">
      <formula>"OFF"</formula>
    </cfRule>
    <cfRule type="cellIs" dxfId="3877" priority="9290" operator="equal">
      <formula>"PTO"</formula>
    </cfRule>
  </conditionalFormatting>
  <conditionalFormatting sqref="I34">
    <cfRule type="cellIs" dxfId="3876" priority="9287" operator="equal">
      <formula>"OFF"</formula>
    </cfRule>
    <cfRule type="cellIs" dxfId="3875" priority="9288" operator="equal">
      <formula>"PTO"</formula>
    </cfRule>
  </conditionalFormatting>
  <conditionalFormatting sqref="I34">
    <cfRule type="cellIs" dxfId="3874" priority="9285" operator="equal">
      <formula>"OFF"</formula>
    </cfRule>
    <cfRule type="cellIs" dxfId="3873" priority="9286" operator="equal">
      <formula>"PTO"</formula>
    </cfRule>
  </conditionalFormatting>
  <conditionalFormatting sqref="I34">
    <cfRule type="cellIs" dxfId="3872" priority="9283" operator="equal">
      <formula>"OFF"</formula>
    </cfRule>
    <cfRule type="cellIs" dxfId="3871" priority="9284" operator="equal">
      <formula>"PTO"</formula>
    </cfRule>
  </conditionalFormatting>
  <conditionalFormatting sqref="I34">
    <cfRule type="cellIs" dxfId="3870" priority="9281" operator="equal">
      <formula>"OFF"</formula>
    </cfRule>
    <cfRule type="cellIs" dxfId="3869" priority="9282" operator="equal">
      <formula>"PTO"</formula>
    </cfRule>
  </conditionalFormatting>
  <conditionalFormatting sqref="I33:I42">
    <cfRule type="cellIs" dxfId="3868" priority="9115" operator="equal">
      <formula>"OFF"</formula>
    </cfRule>
    <cfRule type="cellIs" dxfId="3867" priority="9116" operator="equal">
      <formula>"PTO"</formula>
    </cfRule>
  </conditionalFormatting>
  <conditionalFormatting sqref="I33:I42">
    <cfRule type="cellIs" dxfId="3866" priority="9113" operator="equal">
      <formula>"OFF"</formula>
    </cfRule>
    <cfRule type="cellIs" dxfId="3865" priority="9114" operator="equal">
      <formula>"PTO"</formula>
    </cfRule>
  </conditionalFormatting>
  <conditionalFormatting sqref="I33:I42">
    <cfRule type="cellIs" dxfId="3864" priority="9111" operator="equal">
      <formula>"OFF"</formula>
    </cfRule>
    <cfRule type="cellIs" dxfId="3863" priority="9112" operator="equal">
      <formula>"PTO"</formula>
    </cfRule>
  </conditionalFormatting>
  <conditionalFormatting sqref="I33:I42">
    <cfRule type="cellIs" dxfId="3862" priority="9109" operator="equal">
      <formula>"OFF"</formula>
    </cfRule>
    <cfRule type="cellIs" dxfId="3861" priority="9110" operator="equal">
      <formula>"PTO"</formula>
    </cfRule>
  </conditionalFormatting>
  <conditionalFormatting sqref="I33:I42">
    <cfRule type="cellIs" dxfId="3860" priority="9107" operator="equal">
      <formula>"OFF"</formula>
    </cfRule>
    <cfRule type="cellIs" dxfId="3859" priority="9108" operator="equal">
      <formula>"PTO"</formula>
    </cfRule>
  </conditionalFormatting>
  <conditionalFormatting sqref="G33:H33 E33:E42">
    <cfRule type="cellIs" dxfId="3858" priority="9105" operator="equal">
      <formula>"OFF"</formula>
    </cfRule>
    <cfRule type="cellIs" dxfId="3857" priority="9106" operator="equal">
      <formula>"PTO"</formula>
    </cfRule>
  </conditionalFormatting>
  <conditionalFormatting sqref="G33:I33 I33:I42 E33:E42">
    <cfRule type="cellIs" dxfId="3856" priority="9099" operator="equal">
      <formula>"OFF"</formula>
    </cfRule>
    <cfRule type="cellIs" dxfId="3855" priority="9100" operator="equal">
      <formula>"PTO"</formula>
    </cfRule>
  </conditionalFormatting>
  <conditionalFormatting sqref="G33:I33 I33:I42 E33:E42">
    <cfRule type="cellIs" dxfId="3854" priority="9083" operator="equal">
      <formula>"OFF"</formula>
    </cfRule>
    <cfRule type="cellIs" dxfId="3853" priority="9084" operator="equal">
      <formula>"PTO"</formula>
    </cfRule>
  </conditionalFormatting>
  <conditionalFormatting sqref="G33:I33 I33:I42 E33:E42">
    <cfRule type="cellIs" dxfId="3852" priority="9051" operator="equal">
      <formula>"OFF"</formula>
    </cfRule>
    <cfRule type="cellIs" dxfId="3851" priority="9052" operator="equal">
      <formula>"PTO"</formula>
    </cfRule>
  </conditionalFormatting>
  <conditionalFormatting sqref="G33:I33 I33:I42 E33:E42">
    <cfRule type="cellIs" dxfId="3850" priority="9049" operator="equal">
      <formula>"OFF"</formula>
    </cfRule>
    <cfRule type="cellIs" dxfId="3849" priority="9050" operator="equal">
      <formula>"PTO"</formula>
    </cfRule>
  </conditionalFormatting>
  <conditionalFormatting sqref="G33:I33 I33:I42 E33:E42">
    <cfRule type="cellIs" dxfId="3848" priority="9279" operator="equal">
      <formula>"OFF"</formula>
    </cfRule>
    <cfRule type="cellIs" dxfId="3847" priority="9280" operator="equal">
      <formula>"PTO"</formula>
    </cfRule>
  </conditionalFormatting>
  <conditionalFormatting sqref="G33:I33 I33:I42 E33:E42">
    <cfRule type="cellIs" dxfId="3846" priority="9277" operator="equal">
      <formula>"OFF"</formula>
    </cfRule>
    <cfRule type="cellIs" dxfId="3845" priority="9278" operator="equal">
      <formula>"PTO"</formula>
    </cfRule>
  </conditionalFormatting>
  <conditionalFormatting sqref="G33:I33 I33:I42 E33:E42">
    <cfRule type="cellIs" dxfId="3844" priority="9275" operator="equal">
      <formula>"OFF"</formula>
    </cfRule>
    <cfRule type="cellIs" dxfId="3843" priority="9276" operator="equal">
      <formula>"PTO"</formula>
    </cfRule>
  </conditionalFormatting>
  <conditionalFormatting sqref="G33:I33 I33:I42 E33:E42">
    <cfRule type="cellIs" dxfId="3842" priority="9273" operator="equal">
      <formula>"OFF"</formula>
    </cfRule>
    <cfRule type="cellIs" dxfId="3841" priority="9274" operator="equal">
      <formula>"PTO"</formula>
    </cfRule>
  </conditionalFormatting>
  <conditionalFormatting sqref="G33:I33 I33:I42 E33:E42">
    <cfRule type="cellIs" dxfId="3840" priority="9271" operator="equal">
      <formula>"OFF"</formula>
    </cfRule>
    <cfRule type="cellIs" dxfId="3839" priority="9272" operator="equal">
      <formula>"PTO"</formula>
    </cfRule>
  </conditionalFormatting>
  <conditionalFormatting sqref="G33:I33 I33:I42 E33:E42">
    <cfRule type="cellIs" dxfId="3838" priority="9269" operator="equal">
      <formula>"OFF"</formula>
    </cfRule>
    <cfRule type="cellIs" dxfId="3837" priority="9270" operator="equal">
      <formula>"PTO"</formula>
    </cfRule>
  </conditionalFormatting>
  <conditionalFormatting sqref="G33:I33 I33:I42 E33:E42">
    <cfRule type="cellIs" dxfId="3836" priority="9267" operator="equal">
      <formula>"OFF"</formula>
    </cfRule>
    <cfRule type="cellIs" dxfId="3835" priority="9268" operator="equal">
      <formula>"PTO"</formula>
    </cfRule>
  </conditionalFormatting>
  <conditionalFormatting sqref="G33:I33 I33:I42 E33:E42">
    <cfRule type="cellIs" dxfId="3834" priority="9265" operator="equal">
      <formula>"OFF"</formula>
    </cfRule>
    <cfRule type="cellIs" dxfId="3833" priority="9266" operator="equal">
      <formula>"PTO"</formula>
    </cfRule>
  </conditionalFormatting>
  <conditionalFormatting sqref="G33:I33 I33:I42 E33:E42">
    <cfRule type="cellIs" dxfId="3832" priority="9263" operator="equal">
      <formula>"OFF"</formula>
    </cfRule>
    <cfRule type="cellIs" dxfId="3831" priority="9264" operator="equal">
      <formula>"PTO"</formula>
    </cfRule>
  </conditionalFormatting>
  <conditionalFormatting sqref="G33:I33 I33:I42 E33:E42">
    <cfRule type="cellIs" dxfId="3830" priority="9261" operator="equal">
      <formula>"OFF"</formula>
    </cfRule>
    <cfRule type="cellIs" dxfId="3829" priority="9262" operator="equal">
      <formula>"PTO"</formula>
    </cfRule>
  </conditionalFormatting>
  <conditionalFormatting sqref="G33:I33 I33:I42 E33:E42">
    <cfRule type="cellIs" dxfId="3828" priority="9259" operator="equal">
      <formula>"OFF"</formula>
    </cfRule>
    <cfRule type="cellIs" dxfId="3827" priority="9260" operator="equal">
      <formula>"PTO"</formula>
    </cfRule>
  </conditionalFormatting>
  <conditionalFormatting sqref="G33:I33 I33:I42 E33:E42">
    <cfRule type="cellIs" dxfId="3826" priority="9257" operator="equal">
      <formula>"OFF"</formula>
    </cfRule>
    <cfRule type="cellIs" dxfId="3825" priority="9258" operator="equal">
      <formula>"PTO"</formula>
    </cfRule>
  </conditionalFormatting>
  <conditionalFormatting sqref="G33:I33 I33:I42 E33:E42">
    <cfRule type="cellIs" dxfId="3824" priority="9255" operator="equal">
      <formula>"OFF"</formula>
    </cfRule>
    <cfRule type="cellIs" dxfId="3823" priority="9256" operator="equal">
      <formula>"PTO"</formula>
    </cfRule>
  </conditionalFormatting>
  <conditionalFormatting sqref="E33 G33:H33">
    <cfRule type="cellIs" dxfId="3822" priority="9253" operator="equal">
      <formula>"OFF"</formula>
    </cfRule>
    <cfRule type="cellIs" dxfId="3821" priority="9254" operator="equal">
      <formula>"PTO"</formula>
    </cfRule>
  </conditionalFormatting>
  <conditionalFormatting sqref="G33:I33 I33:I42 E33:E42">
    <cfRule type="cellIs" dxfId="3820" priority="9251" operator="equal">
      <formula>"OFF"</formula>
    </cfRule>
    <cfRule type="cellIs" dxfId="3819" priority="9252" operator="equal">
      <formula>"PTO"</formula>
    </cfRule>
  </conditionalFormatting>
  <conditionalFormatting sqref="E33 G33:H33">
    <cfRule type="cellIs" dxfId="3818" priority="9249" operator="equal">
      <formula>"OFF"</formula>
    </cfRule>
    <cfRule type="cellIs" dxfId="3817" priority="9250" operator="equal">
      <formula>"PTO"</formula>
    </cfRule>
  </conditionalFormatting>
  <conditionalFormatting sqref="H33:I33 I33:I42">
    <cfRule type="cellIs" dxfId="3816" priority="9247" operator="equal">
      <formula>"OFF"</formula>
    </cfRule>
    <cfRule type="cellIs" dxfId="3815" priority="9248" operator="equal">
      <formula>"PTO"</formula>
    </cfRule>
  </conditionalFormatting>
  <conditionalFormatting sqref="E33 G33:H33">
    <cfRule type="cellIs" dxfId="3814" priority="9245" operator="equal">
      <formula>"OFF"</formula>
    </cfRule>
    <cfRule type="cellIs" dxfId="3813" priority="9246" operator="equal">
      <formula>"PTO"</formula>
    </cfRule>
  </conditionalFormatting>
  <conditionalFormatting sqref="H33:I33 I33:I42">
    <cfRule type="cellIs" dxfId="3812" priority="9243" operator="equal">
      <formula>"OFF"</formula>
    </cfRule>
    <cfRule type="cellIs" dxfId="3811" priority="9244" operator="equal">
      <formula>"PTO"</formula>
    </cfRule>
  </conditionalFormatting>
  <conditionalFormatting sqref="E33 G33:H33">
    <cfRule type="cellIs" dxfId="3810" priority="9241" operator="equal">
      <formula>"OFF"</formula>
    </cfRule>
    <cfRule type="cellIs" dxfId="3809" priority="9242" operator="equal">
      <formula>"PTO"</formula>
    </cfRule>
  </conditionalFormatting>
  <conditionalFormatting sqref="H33:I33 I33:I42">
    <cfRule type="cellIs" dxfId="3808" priority="9239" operator="equal">
      <formula>"OFF"</formula>
    </cfRule>
    <cfRule type="cellIs" dxfId="3807" priority="9240" operator="equal">
      <formula>"PTO"</formula>
    </cfRule>
  </conditionalFormatting>
  <conditionalFormatting sqref="E33 G33:H33">
    <cfRule type="cellIs" dxfId="3806" priority="9237" operator="equal">
      <formula>"OFF"</formula>
    </cfRule>
    <cfRule type="cellIs" dxfId="3805" priority="9238" operator="equal">
      <formula>"PTO"</formula>
    </cfRule>
  </conditionalFormatting>
  <conditionalFormatting sqref="H33:I33 I33:I42">
    <cfRule type="cellIs" dxfId="3804" priority="9235" operator="equal">
      <formula>"OFF"</formula>
    </cfRule>
    <cfRule type="cellIs" dxfId="3803" priority="9236" operator="equal">
      <formula>"PTO"</formula>
    </cfRule>
  </conditionalFormatting>
  <conditionalFormatting sqref="E33 G33:H33">
    <cfRule type="cellIs" dxfId="3802" priority="9233" operator="equal">
      <formula>"OFF"</formula>
    </cfRule>
    <cfRule type="cellIs" dxfId="3801" priority="9234" operator="equal">
      <formula>"PTO"</formula>
    </cfRule>
  </conditionalFormatting>
  <conditionalFormatting sqref="H33:I33 I33:I42">
    <cfRule type="cellIs" dxfId="3800" priority="9231" operator="equal">
      <formula>"OFF"</formula>
    </cfRule>
    <cfRule type="cellIs" dxfId="3799" priority="9232" operator="equal">
      <formula>"PTO"</formula>
    </cfRule>
  </conditionalFormatting>
  <conditionalFormatting sqref="E33 G33:H33">
    <cfRule type="cellIs" dxfId="3798" priority="9229" operator="equal">
      <formula>"OFF"</formula>
    </cfRule>
    <cfRule type="cellIs" dxfId="3797" priority="9230" operator="equal">
      <formula>"PTO"</formula>
    </cfRule>
  </conditionalFormatting>
  <conditionalFormatting sqref="H33:I33 I33:I42">
    <cfRule type="cellIs" dxfId="3796" priority="9227" operator="equal">
      <formula>"OFF"</formula>
    </cfRule>
    <cfRule type="cellIs" dxfId="3795" priority="9228" operator="equal">
      <formula>"PTO"</formula>
    </cfRule>
  </conditionalFormatting>
  <conditionalFormatting sqref="G33:H33 E33:E42">
    <cfRule type="cellIs" dxfId="3794" priority="9225" operator="equal">
      <formula>"OFF"</formula>
    </cfRule>
    <cfRule type="cellIs" dxfId="3793" priority="9226" operator="equal">
      <formula>"PTO"</formula>
    </cfRule>
  </conditionalFormatting>
  <conditionalFormatting sqref="G33:H33 E33:E42">
    <cfRule type="cellIs" dxfId="3792" priority="9223" operator="equal">
      <formula>"OFF"</formula>
    </cfRule>
    <cfRule type="cellIs" dxfId="3791" priority="9224" operator="equal">
      <formula>"PTO"</formula>
    </cfRule>
  </conditionalFormatting>
  <conditionalFormatting sqref="G33:H33 E33:E42">
    <cfRule type="cellIs" dxfId="3790" priority="9221" operator="equal">
      <formula>"OFF"</formula>
    </cfRule>
    <cfRule type="cellIs" dxfId="3789" priority="9222" operator="equal">
      <formula>"PTO"</formula>
    </cfRule>
  </conditionalFormatting>
  <conditionalFormatting sqref="G33:H33 E33:E42">
    <cfRule type="cellIs" dxfId="3788" priority="9219" operator="equal">
      <formula>"OFF"</formula>
    </cfRule>
    <cfRule type="cellIs" dxfId="3787" priority="9220" operator="equal">
      <formula>"PTO"</formula>
    </cfRule>
  </conditionalFormatting>
  <conditionalFormatting sqref="G33:H33 E33:E42">
    <cfRule type="cellIs" dxfId="3786" priority="9217" operator="equal">
      <formula>"OFF"</formula>
    </cfRule>
    <cfRule type="cellIs" dxfId="3785" priority="9218" operator="equal">
      <formula>"PTO"</formula>
    </cfRule>
  </conditionalFormatting>
  <conditionalFormatting sqref="G33:H33 E33:E42">
    <cfRule type="cellIs" dxfId="3784" priority="9215" operator="equal">
      <formula>"OFF"</formula>
    </cfRule>
    <cfRule type="cellIs" dxfId="3783" priority="9216" operator="equal">
      <formula>"PTO"</formula>
    </cfRule>
  </conditionalFormatting>
  <conditionalFormatting sqref="G33:H33 E33:E42">
    <cfRule type="cellIs" dxfId="3782" priority="9213" operator="equal">
      <formula>"OFF"</formula>
    </cfRule>
    <cfRule type="cellIs" dxfId="3781" priority="9214" operator="equal">
      <formula>"PTO"</formula>
    </cfRule>
  </conditionalFormatting>
  <conditionalFormatting sqref="G33:H33 E33:E42">
    <cfRule type="cellIs" dxfId="3780" priority="9211" operator="equal">
      <formula>"OFF"</formula>
    </cfRule>
    <cfRule type="cellIs" dxfId="3779" priority="9212" operator="equal">
      <formula>"PTO"</formula>
    </cfRule>
  </conditionalFormatting>
  <conditionalFormatting sqref="G33:H33 E33:E42">
    <cfRule type="cellIs" dxfId="3778" priority="9209" operator="equal">
      <formula>"OFF"</formula>
    </cfRule>
    <cfRule type="cellIs" dxfId="3777" priority="9210" operator="equal">
      <formula>"PTO"</formula>
    </cfRule>
  </conditionalFormatting>
  <conditionalFormatting sqref="G33:H33 E33:E42">
    <cfRule type="cellIs" dxfId="3776" priority="9207" operator="equal">
      <formula>"OFF"</formula>
    </cfRule>
    <cfRule type="cellIs" dxfId="3775" priority="9208" operator="equal">
      <formula>"PTO"</formula>
    </cfRule>
  </conditionalFormatting>
  <conditionalFormatting sqref="G33:H33 E33:E42">
    <cfRule type="cellIs" dxfId="3774" priority="9205" operator="equal">
      <formula>"OFF"</formula>
    </cfRule>
    <cfRule type="cellIs" dxfId="3773" priority="9206" operator="equal">
      <formula>"PTO"</formula>
    </cfRule>
  </conditionalFormatting>
  <conditionalFormatting sqref="G33:H33 E33:E42">
    <cfRule type="cellIs" dxfId="3772" priority="9203" operator="equal">
      <formula>"OFF"</formula>
    </cfRule>
    <cfRule type="cellIs" dxfId="3771" priority="9204" operator="equal">
      <formula>"PTO"</formula>
    </cfRule>
  </conditionalFormatting>
  <conditionalFormatting sqref="G33:H33 E33:E42">
    <cfRule type="cellIs" dxfId="3770" priority="9201" operator="equal">
      <formula>"OFF"</formula>
    </cfRule>
    <cfRule type="cellIs" dxfId="3769" priority="9202" operator="equal">
      <formula>"PTO"</formula>
    </cfRule>
  </conditionalFormatting>
  <conditionalFormatting sqref="G33:H33 E33:E42">
    <cfRule type="cellIs" dxfId="3768" priority="9199" operator="equal">
      <formula>"OFF"</formula>
    </cfRule>
    <cfRule type="cellIs" dxfId="3767" priority="9200" operator="equal">
      <formula>"PTO"</formula>
    </cfRule>
  </conditionalFormatting>
  <conditionalFormatting sqref="G33:H33 E33:E42">
    <cfRule type="cellIs" dxfId="3766" priority="9197" operator="equal">
      <formula>"OFF"</formula>
    </cfRule>
    <cfRule type="cellIs" dxfId="3765" priority="9198" operator="equal">
      <formula>"PTO"</formula>
    </cfRule>
  </conditionalFormatting>
  <conditionalFormatting sqref="G33:H33 E33:E42">
    <cfRule type="cellIs" dxfId="3764" priority="9195" operator="equal">
      <formula>"OFF"</formula>
    </cfRule>
    <cfRule type="cellIs" dxfId="3763" priority="9196" operator="equal">
      <formula>"PTO"</formula>
    </cfRule>
  </conditionalFormatting>
  <conditionalFormatting sqref="G33:H33 E33:E42">
    <cfRule type="cellIs" dxfId="3762" priority="9193" operator="equal">
      <formula>"OFF"</formula>
    </cfRule>
    <cfRule type="cellIs" dxfId="3761" priority="9194" operator="equal">
      <formula>"PTO"</formula>
    </cfRule>
  </conditionalFormatting>
  <conditionalFormatting sqref="G33:H33 E33:E42">
    <cfRule type="cellIs" dxfId="3760" priority="9191" operator="equal">
      <formula>"OFF"</formula>
    </cfRule>
    <cfRule type="cellIs" dxfId="3759" priority="9192" operator="equal">
      <formula>"PTO"</formula>
    </cfRule>
  </conditionalFormatting>
  <conditionalFormatting sqref="G33:H33 E33:E42">
    <cfRule type="cellIs" dxfId="3758" priority="9189" operator="equal">
      <formula>"OFF"</formula>
    </cfRule>
    <cfRule type="cellIs" dxfId="3757" priority="9190" operator="equal">
      <formula>"PTO"</formula>
    </cfRule>
  </conditionalFormatting>
  <conditionalFormatting sqref="G33:H33 E33:E42">
    <cfRule type="cellIs" dxfId="3756" priority="9187" operator="equal">
      <formula>"OFF"</formula>
    </cfRule>
    <cfRule type="cellIs" dxfId="3755" priority="9188" operator="equal">
      <formula>"PTO"</formula>
    </cfRule>
  </conditionalFormatting>
  <conditionalFormatting sqref="G33:H33 E33:E42">
    <cfRule type="cellIs" dxfId="3754" priority="9185" operator="equal">
      <formula>"OFF"</formula>
    </cfRule>
    <cfRule type="cellIs" dxfId="3753" priority="9186" operator="equal">
      <formula>"PTO"</formula>
    </cfRule>
  </conditionalFormatting>
  <conditionalFormatting sqref="G33:H33 E33:E42">
    <cfRule type="cellIs" dxfId="3752" priority="9183" operator="equal">
      <formula>"OFF"</formula>
    </cfRule>
    <cfRule type="cellIs" dxfId="3751" priority="9184" operator="equal">
      <formula>"PTO"</formula>
    </cfRule>
  </conditionalFormatting>
  <conditionalFormatting sqref="G33:H33 E33:E42">
    <cfRule type="cellIs" dxfId="3750" priority="9181" operator="equal">
      <formula>"OFF"</formula>
    </cfRule>
    <cfRule type="cellIs" dxfId="3749" priority="9182" operator="equal">
      <formula>"PTO"</formula>
    </cfRule>
  </conditionalFormatting>
  <conditionalFormatting sqref="G33:H33 E33:E42">
    <cfRule type="cellIs" dxfId="3748" priority="9179" operator="equal">
      <formula>"OFF"</formula>
    </cfRule>
    <cfRule type="cellIs" dxfId="3747" priority="9180" operator="equal">
      <formula>"PTO"</formula>
    </cfRule>
  </conditionalFormatting>
  <conditionalFormatting sqref="G33:H33 E33:E42">
    <cfRule type="cellIs" dxfId="3746" priority="9177" operator="equal">
      <formula>"OFF"</formula>
    </cfRule>
    <cfRule type="cellIs" dxfId="3745" priority="9178" operator="equal">
      <formula>"PTO"</formula>
    </cfRule>
  </conditionalFormatting>
  <conditionalFormatting sqref="G33:H33 E33:E42">
    <cfRule type="cellIs" dxfId="3744" priority="9175" operator="equal">
      <formula>"OFF"</formula>
    </cfRule>
    <cfRule type="cellIs" dxfId="3743" priority="9176" operator="equal">
      <formula>"PTO"</formula>
    </cfRule>
  </conditionalFormatting>
  <conditionalFormatting sqref="G33:H33 E33:E42">
    <cfRule type="cellIs" dxfId="3742" priority="9173" operator="equal">
      <formula>"OFF"</formula>
    </cfRule>
    <cfRule type="cellIs" dxfId="3741" priority="9174" operator="equal">
      <formula>"PTO"</formula>
    </cfRule>
  </conditionalFormatting>
  <conditionalFormatting sqref="G33:H33 E33:E42">
    <cfRule type="cellIs" dxfId="3740" priority="9171" operator="equal">
      <formula>"OFF"</formula>
    </cfRule>
    <cfRule type="cellIs" dxfId="3739" priority="9172" operator="equal">
      <formula>"PTO"</formula>
    </cfRule>
  </conditionalFormatting>
  <conditionalFormatting sqref="G33:H33 E33:E42">
    <cfRule type="cellIs" dxfId="3738" priority="9169" operator="equal">
      <formula>"OFF"</formula>
    </cfRule>
    <cfRule type="cellIs" dxfId="3737" priority="9170" operator="equal">
      <formula>"PTO"</formula>
    </cfRule>
  </conditionalFormatting>
  <conditionalFormatting sqref="G33:H33 E33:E42">
    <cfRule type="cellIs" dxfId="3736" priority="9167" operator="equal">
      <formula>"OFF"</formula>
    </cfRule>
    <cfRule type="cellIs" dxfId="3735" priority="9168" operator="equal">
      <formula>"PTO"</formula>
    </cfRule>
  </conditionalFormatting>
  <conditionalFormatting sqref="G33:H33 E33:E42">
    <cfRule type="cellIs" dxfId="3734" priority="9165" operator="equal">
      <formula>"OFF"</formula>
    </cfRule>
    <cfRule type="cellIs" dxfId="3733" priority="9166" operator="equal">
      <formula>"PTO"</formula>
    </cfRule>
  </conditionalFormatting>
  <conditionalFormatting sqref="G33:H33 E33:E42">
    <cfRule type="cellIs" dxfId="3732" priority="9163" operator="equal">
      <formula>"OFF"</formula>
    </cfRule>
    <cfRule type="cellIs" dxfId="3731" priority="9164" operator="equal">
      <formula>"PTO"</formula>
    </cfRule>
  </conditionalFormatting>
  <conditionalFormatting sqref="G33:H33 E33:E42">
    <cfRule type="cellIs" dxfId="3730" priority="9161" operator="equal">
      <formula>"OFF"</formula>
    </cfRule>
    <cfRule type="cellIs" dxfId="3729" priority="9162" operator="equal">
      <formula>"PTO"</formula>
    </cfRule>
  </conditionalFormatting>
  <conditionalFormatting sqref="G33:H33 E33:E42">
    <cfRule type="cellIs" dxfId="3728" priority="9159" operator="equal">
      <formula>"OFF"</formula>
    </cfRule>
    <cfRule type="cellIs" dxfId="3727" priority="9160" operator="equal">
      <formula>"PTO"</formula>
    </cfRule>
  </conditionalFormatting>
  <conditionalFormatting sqref="G33:H33 E33:E42">
    <cfRule type="cellIs" dxfId="3726" priority="9157" operator="equal">
      <formula>"OFF"</formula>
    </cfRule>
    <cfRule type="cellIs" dxfId="3725" priority="9158" operator="equal">
      <formula>"PTO"</formula>
    </cfRule>
  </conditionalFormatting>
  <conditionalFormatting sqref="G33:H33 E33:E42">
    <cfRule type="cellIs" dxfId="3724" priority="9155" operator="equal">
      <formula>"OFF"</formula>
    </cfRule>
    <cfRule type="cellIs" dxfId="3723" priority="9156" operator="equal">
      <formula>"PTO"</formula>
    </cfRule>
  </conditionalFormatting>
  <conditionalFormatting sqref="G33:H33 E33:E42">
    <cfRule type="cellIs" dxfId="3722" priority="9153" operator="equal">
      <formula>"OFF"</formula>
    </cfRule>
    <cfRule type="cellIs" dxfId="3721" priority="9154" operator="equal">
      <formula>"PTO"</formula>
    </cfRule>
  </conditionalFormatting>
  <conditionalFormatting sqref="G33:H33 E33:E42">
    <cfRule type="cellIs" dxfId="3720" priority="9151" operator="equal">
      <formula>"OFF"</formula>
    </cfRule>
    <cfRule type="cellIs" dxfId="3719" priority="9152" operator="equal">
      <formula>"PTO"</formula>
    </cfRule>
  </conditionalFormatting>
  <conditionalFormatting sqref="G33:H33 E33:E42">
    <cfRule type="cellIs" dxfId="3718" priority="9149" operator="equal">
      <formula>"OFF"</formula>
    </cfRule>
    <cfRule type="cellIs" dxfId="3717" priority="9150" operator="equal">
      <formula>"PTO"</formula>
    </cfRule>
  </conditionalFormatting>
  <conditionalFormatting sqref="G33:H33 E33:E42">
    <cfRule type="cellIs" dxfId="3716" priority="9147" operator="equal">
      <formula>"OFF"</formula>
    </cfRule>
    <cfRule type="cellIs" dxfId="3715" priority="9148" operator="equal">
      <formula>"PTO"</formula>
    </cfRule>
  </conditionalFormatting>
  <conditionalFormatting sqref="G33:H33 E33:E42">
    <cfRule type="cellIs" dxfId="3714" priority="9145" operator="equal">
      <formula>"OFF"</formula>
    </cfRule>
    <cfRule type="cellIs" dxfId="3713" priority="9146" operator="equal">
      <formula>"PTO"</formula>
    </cfRule>
  </conditionalFormatting>
  <conditionalFormatting sqref="G33:H33 E33:E42">
    <cfRule type="cellIs" dxfId="3712" priority="9143" operator="equal">
      <formula>"OFF"</formula>
    </cfRule>
    <cfRule type="cellIs" dxfId="3711" priority="9144" operator="equal">
      <formula>"PTO"</formula>
    </cfRule>
  </conditionalFormatting>
  <conditionalFormatting sqref="G33:H33 E33:E42">
    <cfRule type="cellIs" dxfId="3710" priority="9141" operator="equal">
      <formula>"OFF"</formula>
    </cfRule>
    <cfRule type="cellIs" dxfId="3709" priority="9142" operator="equal">
      <formula>"PTO"</formula>
    </cfRule>
  </conditionalFormatting>
  <conditionalFormatting sqref="G33:H33">
    <cfRule type="cellIs" dxfId="3708" priority="9139" operator="equal">
      <formula>"OFF"</formula>
    </cfRule>
    <cfRule type="cellIs" dxfId="3707" priority="9140" operator="equal">
      <formula>"PTO"</formula>
    </cfRule>
  </conditionalFormatting>
  <conditionalFormatting sqref="G33:H33">
    <cfRule type="cellIs" dxfId="3706" priority="9137" operator="equal">
      <formula>"OFF"</formula>
    </cfRule>
    <cfRule type="cellIs" dxfId="3705" priority="9138" operator="equal">
      <formula>"PTO"</formula>
    </cfRule>
  </conditionalFormatting>
  <conditionalFormatting sqref="G33:H33">
    <cfRule type="cellIs" dxfId="3704" priority="9135" operator="equal">
      <formula>"OFF"</formula>
    </cfRule>
    <cfRule type="cellIs" dxfId="3703" priority="9136" operator="equal">
      <formula>"PTO"</formula>
    </cfRule>
  </conditionalFormatting>
  <conditionalFormatting sqref="G33:H33">
    <cfRule type="cellIs" dxfId="3702" priority="9133" operator="equal">
      <formula>"OFF"</formula>
    </cfRule>
    <cfRule type="cellIs" dxfId="3701" priority="9134" operator="equal">
      <formula>"PTO"</formula>
    </cfRule>
  </conditionalFormatting>
  <conditionalFormatting sqref="G33:H33">
    <cfRule type="cellIs" dxfId="3700" priority="9131" operator="equal">
      <formula>"OFF"</formula>
    </cfRule>
    <cfRule type="cellIs" dxfId="3699" priority="9132" operator="equal">
      <formula>"PTO"</formula>
    </cfRule>
  </conditionalFormatting>
  <conditionalFormatting sqref="G33:H33">
    <cfRule type="cellIs" dxfId="3698" priority="9129" operator="equal">
      <formula>"OFF"</formula>
    </cfRule>
    <cfRule type="cellIs" dxfId="3697" priority="9130" operator="equal">
      <formula>"PTO"</formula>
    </cfRule>
  </conditionalFormatting>
  <conditionalFormatting sqref="G33:H33">
    <cfRule type="cellIs" dxfId="3696" priority="9127" operator="equal">
      <formula>"OFF"</formula>
    </cfRule>
    <cfRule type="cellIs" dxfId="3695" priority="9128" operator="equal">
      <formula>"PTO"</formula>
    </cfRule>
  </conditionalFormatting>
  <conditionalFormatting sqref="G33:H33">
    <cfRule type="cellIs" dxfId="3694" priority="9125" operator="equal">
      <formula>"OFF"</formula>
    </cfRule>
    <cfRule type="cellIs" dxfId="3693" priority="9126" operator="equal">
      <formula>"PTO"</formula>
    </cfRule>
  </conditionalFormatting>
  <conditionalFormatting sqref="G33:H33">
    <cfRule type="cellIs" dxfId="3692" priority="9123" operator="equal">
      <formula>"OFF"</formula>
    </cfRule>
    <cfRule type="cellIs" dxfId="3691" priority="9124" operator="equal">
      <formula>"PTO"</formula>
    </cfRule>
  </conditionalFormatting>
  <conditionalFormatting sqref="I33:I42">
    <cfRule type="cellIs" dxfId="3690" priority="9121" operator="equal">
      <formula>"OFF"</formula>
    </cfRule>
    <cfRule type="cellIs" dxfId="3689" priority="9122" operator="equal">
      <formula>"PTO"</formula>
    </cfRule>
  </conditionalFormatting>
  <conditionalFormatting sqref="I33:I42">
    <cfRule type="cellIs" dxfId="3688" priority="9119" operator="equal">
      <formula>"OFF"</formula>
    </cfRule>
    <cfRule type="cellIs" dxfId="3687" priority="9120" operator="equal">
      <formula>"PTO"</formula>
    </cfRule>
  </conditionalFormatting>
  <conditionalFormatting sqref="I33:I42">
    <cfRule type="cellIs" dxfId="3686" priority="9117" operator="equal">
      <formula>"OFF"</formula>
    </cfRule>
    <cfRule type="cellIs" dxfId="3685" priority="9118" operator="equal">
      <formula>"PTO"</formula>
    </cfRule>
  </conditionalFormatting>
  <conditionalFormatting sqref="G33:I33 I33:I42 E33:E42">
    <cfRule type="cellIs" dxfId="3684" priority="9103" operator="equal">
      <formula>"OFF"</formula>
    </cfRule>
    <cfRule type="cellIs" dxfId="3683" priority="9104" operator="equal">
      <formula>"PTO"</formula>
    </cfRule>
  </conditionalFormatting>
  <conditionalFormatting sqref="G33:I33 I33:I42 E33:E42">
    <cfRule type="cellIs" dxfId="3682" priority="9101" operator="equal">
      <formula>"OFF"</formula>
    </cfRule>
    <cfRule type="cellIs" dxfId="3681" priority="9102" operator="equal">
      <formula>"PTO"</formula>
    </cfRule>
  </conditionalFormatting>
  <conditionalFormatting sqref="G33:I33 I33:I42 E33:E42">
    <cfRule type="cellIs" dxfId="3680" priority="9097" operator="equal">
      <formula>"OFF"</formula>
    </cfRule>
    <cfRule type="cellIs" dxfId="3679" priority="9098" operator="equal">
      <formula>"PTO"</formula>
    </cfRule>
  </conditionalFormatting>
  <conditionalFormatting sqref="G33:I33 I33:I42 E33:E42">
    <cfRule type="cellIs" dxfId="3678" priority="9095" operator="equal">
      <formula>"OFF"</formula>
    </cfRule>
    <cfRule type="cellIs" dxfId="3677" priority="9096" operator="equal">
      <formula>"PTO"</formula>
    </cfRule>
  </conditionalFormatting>
  <conditionalFormatting sqref="G33:H33 E33:E42">
    <cfRule type="cellIs" dxfId="3676" priority="9093" operator="equal">
      <formula>"OFF"</formula>
    </cfRule>
    <cfRule type="cellIs" dxfId="3675" priority="9094" operator="equal">
      <formula>"PTO"</formula>
    </cfRule>
  </conditionalFormatting>
  <conditionalFormatting sqref="G33:H33 E33:E42">
    <cfRule type="cellIs" dxfId="3674" priority="9091" operator="equal">
      <formula>"OFF"</formula>
    </cfRule>
    <cfRule type="cellIs" dxfId="3673" priority="9092" operator="equal">
      <formula>"PTO"</formula>
    </cfRule>
  </conditionalFormatting>
  <conditionalFormatting sqref="G33:H33 E33:E42">
    <cfRule type="cellIs" dxfId="3672" priority="9089" operator="equal">
      <formula>"OFF"</formula>
    </cfRule>
    <cfRule type="cellIs" dxfId="3671" priority="9090" operator="equal">
      <formula>"PTO"</formula>
    </cfRule>
  </conditionalFormatting>
  <conditionalFormatting sqref="G33:H33 E33:E42">
    <cfRule type="cellIs" dxfId="3670" priority="9087" operator="equal">
      <formula>"OFF"</formula>
    </cfRule>
    <cfRule type="cellIs" dxfId="3669" priority="9088" operator="equal">
      <formula>"PTO"</formula>
    </cfRule>
  </conditionalFormatting>
  <conditionalFormatting sqref="G33:I33 I33:I42 E33:E42">
    <cfRule type="cellIs" dxfId="3668" priority="9085" operator="equal">
      <formula>"OFF"</formula>
    </cfRule>
    <cfRule type="cellIs" dxfId="3667" priority="9086" operator="equal">
      <formula>"PTO"</formula>
    </cfRule>
  </conditionalFormatting>
  <conditionalFormatting sqref="G33:I33 I33:I42 E33:E42">
    <cfRule type="cellIs" dxfId="3666" priority="9081" operator="equal">
      <formula>"OFF"</formula>
    </cfRule>
    <cfRule type="cellIs" dxfId="3665" priority="9082" operator="equal">
      <formula>"PTO"</formula>
    </cfRule>
  </conditionalFormatting>
  <conditionalFormatting sqref="G33:I33 I33:I42 E33:E42">
    <cfRule type="cellIs" dxfId="3664" priority="9079" operator="equal">
      <formula>"OFF"</formula>
    </cfRule>
    <cfRule type="cellIs" dxfId="3663" priority="9080" operator="equal">
      <formula>"PTO"</formula>
    </cfRule>
  </conditionalFormatting>
  <conditionalFormatting sqref="G33:H33 E33:E42">
    <cfRule type="cellIs" dxfId="3662" priority="9077" operator="equal">
      <formula>"OFF"</formula>
    </cfRule>
    <cfRule type="cellIs" dxfId="3661" priority="9078" operator="equal">
      <formula>"PTO"</formula>
    </cfRule>
  </conditionalFormatting>
  <conditionalFormatting sqref="G33:H33 E33:E42">
    <cfRule type="cellIs" dxfId="3660" priority="9075" operator="equal">
      <formula>"OFF"</formula>
    </cfRule>
    <cfRule type="cellIs" dxfId="3659" priority="9076" operator="equal">
      <formula>"PTO"</formula>
    </cfRule>
  </conditionalFormatting>
  <conditionalFormatting sqref="G33:H33 E33:E42">
    <cfRule type="cellIs" dxfId="3658" priority="9073" operator="equal">
      <formula>"OFF"</formula>
    </cfRule>
    <cfRule type="cellIs" dxfId="3657" priority="9074" operator="equal">
      <formula>"PTO"</formula>
    </cfRule>
  </conditionalFormatting>
  <conditionalFormatting sqref="G33:H33 E33:E42">
    <cfRule type="cellIs" dxfId="3656" priority="9071" operator="equal">
      <formula>"OFF"</formula>
    </cfRule>
    <cfRule type="cellIs" dxfId="3655" priority="9072" operator="equal">
      <formula>"PTO"</formula>
    </cfRule>
  </conditionalFormatting>
  <conditionalFormatting sqref="G33:I33 I33:I42 E33:E42">
    <cfRule type="cellIs" dxfId="3654" priority="9069" operator="equal">
      <formula>"OFF"</formula>
    </cfRule>
    <cfRule type="cellIs" dxfId="3653" priority="9070" operator="equal">
      <formula>"PTO"</formula>
    </cfRule>
  </conditionalFormatting>
  <conditionalFormatting sqref="G33:I33 I33:I42 E33:E42">
    <cfRule type="cellIs" dxfId="3652" priority="9067" operator="equal">
      <formula>"OFF"</formula>
    </cfRule>
    <cfRule type="cellIs" dxfId="3651" priority="9068" operator="equal">
      <formula>"PTO"</formula>
    </cfRule>
  </conditionalFormatting>
  <conditionalFormatting sqref="G33:I33 I33:I42 E33:E42">
    <cfRule type="cellIs" dxfId="3650" priority="9065" operator="equal">
      <formula>"OFF"</formula>
    </cfRule>
    <cfRule type="cellIs" dxfId="3649" priority="9066" operator="equal">
      <formula>"PTO"</formula>
    </cfRule>
  </conditionalFormatting>
  <conditionalFormatting sqref="G33:I33 I33:I42 E33:E42">
    <cfRule type="cellIs" dxfId="3648" priority="9063" operator="equal">
      <formula>"OFF"</formula>
    </cfRule>
    <cfRule type="cellIs" dxfId="3647" priority="9064" operator="equal">
      <formula>"PTO"</formula>
    </cfRule>
  </conditionalFormatting>
  <conditionalFormatting sqref="G33:H33 E33:E42">
    <cfRule type="cellIs" dxfId="3646" priority="9061" operator="equal">
      <formula>"OFF"</formula>
    </cfRule>
    <cfRule type="cellIs" dxfId="3645" priority="9062" operator="equal">
      <formula>"PTO"</formula>
    </cfRule>
  </conditionalFormatting>
  <conditionalFormatting sqref="G33:H33 E33:E42">
    <cfRule type="cellIs" dxfId="3644" priority="9059" operator="equal">
      <formula>"OFF"</formula>
    </cfRule>
    <cfRule type="cellIs" dxfId="3643" priority="9060" operator="equal">
      <formula>"PTO"</formula>
    </cfRule>
  </conditionalFormatting>
  <conditionalFormatting sqref="G33:H33 E33:E42">
    <cfRule type="cellIs" dxfId="3642" priority="9057" operator="equal">
      <formula>"OFF"</formula>
    </cfRule>
    <cfRule type="cellIs" dxfId="3641" priority="9058" operator="equal">
      <formula>"PTO"</formula>
    </cfRule>
  </conditionalFormatting>
  <conditionalFormatting sqref="G33:H33 E33:E42">
    <cfRule type="cellIs" dxfId="3640" priority="9055" operator="equal">
      <formula>"OFF"</formula>
    </cfRule>
    <cfRule type="cellIs" dxfId="3639" priority="9056" operator="equal">
      <formula>"PTO"</formula>
    </cfRule>
  </conditionalFormatting>
  <conditionalFormatting sqref="G33:I33 I33:I42 E33:E42">
    <cfRule type="cellIs" dxfId="3638" priority="9053" operator="equal">
      <formula>"OFF"</formula>
    </cfRule>
    <cfRule type="cellIs" dxfId="3637" priority="9054" operator="equal">
      <formula>"PTO"</formula>
    </cfRule>
  </conditionalFormatting>
  <conditionalFormatting sqref="G33:I33 I33:I42 E33:E42">
    <cfRule type="cellIs" dxfId="3636" priority="9047" operator="equal">
      <formula>"OFF"</formula>
    </cfRule>
    <cfRule type="cellIs" dxfId="3635" priority="9048" operator="equal">
      <formula>"PTO"</formula>
    </cfRule>
  </conditionalFormatting>
  <conditionalFormatting sqref="G33:H33 E33:E42">
    <cfRule type="cellIs" dxfId="3634" priority="9045" operator="equal">
      <formula>"OFF"</formula>
    </cfRule>
    <cfRule type="cellIs" dxfId="3633" priority="9046" operator="equal">
      <formula>"PTO"</formula>
    </cfRule>
  </conditionalFormatting>
  <conditionalFormatting sqref="G33:H33 E33:E42">
    <cfRule type="cellIs" dxfId="3632" priority="9043" operator="equal">
      <formula>"OFF"</formula>
    </cfRule>
    <cfRule type="cellIs" dxfId="3631" priority="9044" operator="equal">
      <formula>"PTO"</formula>
    </cfRule>
  </conditionalFormatting>
  <conditionalFormatting sqref="G33:H33 E33:E42">
    <cfRule type="cellIs" dxfId="3630" priority="9041" operator="equal">
      <formula>"OFF"</formula>
    </cfRule>
    <cfRule type="cellIs" dxfId="3629" priority="9042" operator="equal">
      <formula>"PTO"</formula>
    </cfRule>
  </conditionalFormatting>
  <conditionalFormatting sqref="G33:H33 E33:E42">
    <cfRule type="cellIs" dxfId="3628" priority="9039" operator="equal">
      <formula>"OFF"</formula>
    </cfRule>
    <cfRule type="cellIs" dxfId="3627" priority="9040" operator="equal">
      <formula>"PTO"</formula>
    </cfRule>
  </conditionalFormatting>
  <conditionalFormatting sqref="G33:I33 I33:I42 E33:E42">
    <cfRule type="cellIs" dxfId="3626" priority="9037" operator="equal">
      <formula>"OFF"</formula>
    </cfRule>
    <cfRule type="cellIs" dxfId="3625" priority="9038" operator="equal">
      <formula>"PTO"</formula>
    </cfRule>
  </conditionalFormatting>
  <conditionalFormatting sqref="G33:I33 I33:I42 E33:E42">
    <cfRule type="cellIs" dxfId="3624" priority="9035" operator="equal">
      <formula>"OFF"</formula>
    </cfRule>
    <cfRule type="cellIs" dxfId="3623" priority="9036" operator="equal">
      <formula>"PTO"</formula>
    </cfRule>
  </conditionalFormatting>
  <conditionalFormatting sqref="G33:I33 I33:I42 E33:E42">
    <cfRule type="cellIs" dxfId="3622" priority="9033" operator="equal">
      <formula>"OFF"</formula>
    </cfRule>
    <cfRule type="cellIs" dxfId="3621" priority="9034" operator="equal">
      <formula>"PTO"</formula>
    </cfRule>
  </conditionalFormatting>
  <conditionalFormatting sqref="G33:I33 I33:I42 E33:E42">
    <cfRule type="cellIs" dxfId="3620" priority="9031" operator="equal">
      <formula>"OFF"</formula>
    </cfRule>
    <cfRule type="cellIs" dxfId="3619" priority="9032" operator="equal">
      <formula>"PTO"</formula>
    </cfRule>
  </conditionalFormatting>
  <conditionalFormatting sqref="G33:I33 I33:I42 E33:E42">
    <cfRule type="cellIs" dxfId="3618" priority="9029" operator="equal">
      <formula>"OFF"</formula>
    </cfRule>
    <cfRule type="cellIs" dxfId="3617" priority="9030" operator="equal">
      <formula>"PTO"</formula>
    </cfRule>
  </conditionalFormatting>
  <conditionalFormatting sqref="G33:I33 I33:I42 E33:E42">
    <cfRule type="cellIs" dxfId="3616" priority="9027" operator="equal">
      <formula>"OFF"</formula>
    </cfRule>
    <cfRule type="cellIs" dxfId="3615" priority="9028" operator="equal">
      <formula>"PTO"</formula>
    </cfRule>
  </conditionalFormatting>
  <conditionalFormatting sqref="G33:I33 I33:I42 E33:E42">
    <cfRule type="cellIs" dxfId="3614" priority="9025" operator="equal">
      <formula>"OFF"</formula>
    </cfRule>
    <cfRule type="cellIs" dxfId="3613" priority="9026" operator="equal">
      <formula>"PTO"</formula>
    </cfRule>
  </conditionalFormatting>
  <conditionalFormatting sqref="G33:I33 I33:I42 E33:E42">
    <cfRule type="cellIs" dxfId="3612" priority="9023" operator="equal">
      <formula>"OFF"</formula>
    </cfRule>
    <cfRule type="cellIs" dxfId="3611" priority="9024" operator="equal">
      <formula>"PTO"</formula>
    </cfRule>
  </conditionalFormatting>
  <conditionalFormatting sqref="G33:I33 I33:I42 E33:E42">
    <cfRule type="cellIs" dxfId="3610" priority="9021" operator="equal">
      <formula>"OFF"</formula>
    </cfRule>
    <cfRule type="cellIs" dxfId="3609" priority="9022" operator="equal">
      <formula>"PTO"</formula>
    </cfRule>
  </conditionalFormatting>
  <conditionalFormatting sqref="G33:I33 I33:I42 E33:E42">
    <cfRule type="cellIs" dxfId="3608" priority="9019" operator="equal">
      <formula>"OFF"</formula>
    </cfRule>
    <cfRule type="cellIs" dxfId="3607" priority="9020" operator="equal">
      <formula>"PTO"</formula>
    </cfRule>
  </conditionalFormatting>
  <conditionalFormatting sqref="G33:I33 I33:I42 E33:E42">
    <cfRule type="cellIs" dxfId="3606" priority="9017" operator="equal">
      <formula>"OFF"</formula>
    </cfRule>
    <cfRule type="cellIs" dxfId="3605" priority="9018" operator="equal">
      <formula>"PTO"</formula>
    </cfRule>
  </conditionalFormatting>
  <conditionalFormatting sqref="G33:I33 I33:I42 E33:E42">
    <cfRule type="cellIs" dxfId="3604" priority="9015" operator="equal">
      <formula>"OFF"</formula>
    </cfRule>
    <cfRule type="cellIs" dxfId="3603" priority="9016" operator="equal">
      <formula>"PTO"</formula>
    </cfRule>
  </conditionalFormatting>
  <conditionalFormatting sqref="G33:I33 I33:I42 E33:E42">
    <cfRule type="cellIs" dxfId="3602" priority="9013" operator="equal">
      <formula>"OFF"</formula>
    </cfRule>
    <cfRule type="cellIs" dxfId="3601" priority="9014" operator="equal">
      <formula>"PTO"</formula>
    </cfRule>
  </conditionalFormatting>
  <conditionalFormatting sqref="G33:I33 I33:I42 E33:E42">
    <cfRule type="cellIs" dxfId="3600" priority="9011" operator="equal">
      <formula>"OFF"</formula>
    </cfRule>
    <cfRule type="cellIs" dxfId="3599" priority="9012" operator="equal">
      <formula>"PTO"</formula>
    </cfRule>
  </conditionalFormatting>
  <conditionalFormatting sqref="G33:I33 I33:I42 E33:E42">
    <cfRule type="cellIs" dxfId="3598" priority="9009" operator="equal">
      <formula>"OFF"</formula>
    </cfRule>
    <cfRule type="cellIs" dxfId="3597" priority="9010" operator="equal">
      <formula>"PTO"</formula>
    </cfRule>
  </conditionalFormatting>
  <conditionalFormatting sqref="G33:I33 I33:I42 E33:E42">
    <cfRule type="cellIs" dxfId="3596" priority="9007" operator="equal">
      <formula>"OFF"</formula>
    </cfRule>
    <cfRule type="cellIs" dxfId="3595" priority="9008" operator="equal">
      <formula>"PTO"</formula>
    </cfRule>
  </conditionalFormatting>
  <conditionalFormatting sqref="G33:I33 I33:I42 E33:E42">
    <cfRule type="cellIs" dxfId="3594" priority="9005" operator="equal">
      <formula>"OFF"</formula>
    </cfRule>
    <cfRule type="cellIs" dxfId="3593" priority="9006" operator="equal">
      <formula>"PTO"</formula>
    </cfRule>
  </conditionalFormatting>
  <conditionalFormatting sqref="G33:I33 I33:I42 E33:E42">
    <cfRule type="cellIs" dxfId="3592" priority="9003" operator="equal">
      <formula>"OFF"</formula>
    </cfRule>
    <cfRule type="cellIs" dxfId="3591" priority="9004" operator="equal">
      <formula>"PTO"</formula>
    </cfRule>
  </conditionalFormatting>
  <conditionalFormatting sqref="G33:I33 I33:I42 E33:E42">
    <cfRule type="cellIs" dxfId="3590" priority="9001" operator="equal">
      <formula>"OFF"</formula>
    </cfRule>
    <cfRule type="cellIs" dxfId="3589" priority="9002" operator="equal">
      <formula>"PTO"</formula>
    </cfRule>
  </conditionalFormatting>
  <conditionalFormatting sqref="G33:I33 I33:I42 E33:E42">
    <cfRule type="cellIs" dxfId="3588" priority="8999" operator="equal">
      <formula>"OFF"</formula>
    </cfRule>
    <cfRule type="cellIs" dxfId="3587" priority="9000" operator="equal">
      <formula>"PTO"</formula>
    </cfRule>
  </conditionalFormatting>
  <conditionalFormatting sqref="G33:I33 I33:I42 E33:E42">
    <cfRule type="cellIs" dxfId="3586" priority="8997" operator="equal">
      <formula>"OFF"</formula>
    </cfRule>
    <cfRule type="cellIs" dxfId="3585" priority="8998" operator="equal">
      <formula>"PTO"</formula>
    </cfRule>
  </conditionalFormatting>
  <conditionalFormatting sqref="G33:I33 I33:I42 E33:E42">
    <cfRule type="cellIs" dxfId="3584" priority="8995" operator="equal">
      <formula>"OFF"</formula>
    </cfRule>
    <cfRule type="cellIs" dxfId="3583" priority="8996" operator="equal">
      <formula>"PTO"</formula>
    </cfRule>
  </conditionalFormatting>
  <conditionalFormatting sqref="G33:I33 I33:I42 E33:E42">
    <cfRule type="cellIs" dxfId="3582" priority="8993" operator="equal">
      <formula>"OFF"</formula>
    </cfRule>
    <cfRule type="cellIs" dxfId="3581" priority="8994" operator="equal">
      <formula>"PTO"</formula>
    </cfRule>
  </conditionalFormatting>
  <conditionalFormatting sqref="G33:I33 I33:I42 E33:E42">
    <cfRule type="cellIs" dxfId="3580" priority="8991" operator="equal">
      <formula>"OFF"</formula>
    </cfRule>
    <cfRule type="cellIs" dxfId="3579" priority="8992" operator="equal">
      <formula>"PTO"</formula>
    </cfRule>
  </conditionalFormatting>
  <conditionalFormatting sqref="G33:I33 I33:I42 E33:E42">
    <cfRule type="cellIs" dxfId="3578" priority="8989" operator="equal">
      <formula>"OFF"</formula>
    </cfRule>
    <cfRule type="cellIs" dxfId="3577" priority="8990" operator="equal">
      <formula>"PTO"</formula>
    </cfRule>
  </conditionalFormatting>
  <conditionalFormatting sqref="G33:H33 E33:E42">
    <cfRule type="cellIs" dxfId="3576" priority="8987" operator="equal">
      <formula>"OFF"</formula>
    </cfRule>
    <cfRule type="cellIs" dxfId="3575" priority="8988" operator="equal">
      <formula>"PTO"</formula>
    </cfRule>
  </conditionalFormatting>
  <conditionalFormatting sqref="G33:H33 E33:E42">
    <cfRule type="cellIs" dxfId="3574" priority="8985" operator="equal">
      <formula>"OFF"</formula>
    </cfRule>
    <cfRule type="cellIs" dxfId="3573" priority="8986" operator="equal">
      <formula>"PTO"</formula>
    </cfRule>
  </conditionalFormatting>
  <conditionalFormatting sqref="G33:H33 E33:E42">
    <cfRule type="cellIs" dxfId="3572" priority="8983" operator="equal">
      <formula>"OFF"</formula>
    </cfRule>
    <cfRule type="cellIs" dxfId="3571" priority="8984" operator="equal">
      <formula>"PTO"</formula>
    </cfRule>
  </conditionalFormatting>
  <conditionalFormatting sqref="G33:H33 E33:E42">
    <cfRule type="cellIs" dxfId="3570" priority="8981" operator="equal">
      <formula>"OFF"</formula>
    </cfRule>
    <cfRule type="cellIs" dxfId="3569" priority="8982" operator="equal">
      <formula>"PTO"</formula>
    </cfRule>
  </conditionalFormatting>
  <conditionalFormatting sqref="G33:H33 E33:E42">
    <cfRule type="cellIs" dxfId="3568" priority="8979" operator="equal">
      <formula>"OFF"</formula>
    </cfRule>
    <cfRule type="cellIs" dxfId="3567" priority="8980" operator="equal">
      <formula>"PTO"</formula>
    </cfRule>
  </conditionalFormatting>
  <conditionalFormatting sqref="G33:H33 E33:E42">
    <cfRule type="cellIs" dxfId="3566" priority="8977" operator="equal">
      <formula>"OFF"</formula>
    </cfRule>
    <cfRule type="cellIs" dxfId="3565" priority="8978" operator="equal">
      <formula>"PTO"</formula>
    </cfRule>
  </conditionalFormatting>
  <conditionalFormatting sqref="G33:H33 E33:E42">
    <cfRule type="cellIs" dxfId="3564" priority="8975" operator="equal">
      <formula>"OFF"</formula>
    </cfRule>
    <cfRule type="cellIs" dxfId="3563" priority="8976" operator="equal">
      <formula>"PTO"</formula>
    </cfRule>
  </conditionalFormatting>
  <conditionalFormatting sqref="G33:H33 E33:E42">
    <cfRule type="cellIs" dxfId="3562" priority="8973" operator="equal">
      <formula>"OFF"</formula>
    </cfRule>
    <cfRule type="cellIs" dxfId="3561" priority="8974" operator="equal">
      <formula>"PTO"</formula>
    </cfRule>
  </conditionalFormatting>
  <conditionalFormatting sqref="G33:H33 E33:E42">
    <cfRule type="cellIs" dxfId="3560" priority="8971" operator="equal">
      <formula>"OFF"</formula>
    </cfRule>
    <cfRule type="cellIs" dxfId="3559" priority="8972" operator="equal">
      <formula>"PTO"</formula>
    </cfRule>
  </conditionalFormatting>
  <conditionalFormatting sqref="G33:H33 E33:E42">
    <cfRule type="cellIs" dxfId="3558" priority="8969" operator="equal">
      <formula>"OFF"</formula>
    </cfRule>
    <cfRule type="cellIs" dxfId="3557" priority="8970" operator="equal">
      <formula>"PTO"</formula>
    </cfRule>
  </conditionalFormatting>
  <conditionalFormatting sqref="G33:H33 E33:E42">
    <cfRule type="cellIs" dxfId="3556" priority="8967" operator="equal">
      <formula>"OFF"</formula>
    </cfRule>
    <cfRule type="cellIs" dxfId="3555" priority="8968" operator="equal">
      <formula>"PTO"</formula>
    </cfRule>
  </conditionalFormatting>
  <conditionalFormatting sqref="G33:H33 E33:E42">
    <cfRule type="cellIs" dxfId="3554" priority="8965" operator="equal">
      <formula>"OFF"</formula>
    </cfRule>
    <cfRule type="cellIs" dxfId="3553" priority="8966" operator="equal">
      <formula>"PTO"</formula>
    </cfRule>
  </conditionalFormatting>
  <conditionalFormatting sqref="G33:H33 E33:E42">
    <cfRule type="cellIs" dxfId="3552" priority="8963" operator="equal">
      <formula>"OFF"</formula>
    </cfRule>
    <cfRule type="cellIs" dxfId="3551" priority="8964" operator="equal">
      <formula>"PTO"</formula>
    </cfRule>
  </conditionalFormatting>
  <conditionalFormatting sqref="G33:H33 E33:E42">
    <cfRule type="cellIs" dxfId="3550" priority="8961" operator="equal">
      <formula>"OFF"</formula>
    </cfRule>
    <cfRule type="cellIs" dxfId="3549" priority="8962" operator="equal">
      <formula>"PTO"</formula>
    </cfRule>
  </conditionalFormatting>
  <conditionalFormatting sqref="G33:H33 E33:E42">
    <cfRule type="cellIs" dxfId="3548" priority="8959" operator="equal">
      <formula>"OFF"</formula>
    </cfRule>
    <cfRule type="cellIs" dxfId="3547" priority="8960" operator="equal">
      <formula>"PTO"</formula>
    </cfRule>
  </conditionalFormatting>
  <conditionalFormatting sqref="G33:H33 E33:E42">
    <cfRule type="cellIs" dxfId="3546" priority="8957" operator="equal">
      <formula>"OFF"</formula>
    </cfRule>
    <cfRule type="cellIs" dxfId="3545" priority="8958" operator="equal">
      <formula>"PTO"</formula>
    </cfRule>
  </conditionalFormatting>
  <conditionalFormatting sqref="G33:H33 E33:E42">
    <cfRule type="cellIs" dxfId="3544" priority="8955" operator="equal">
      <formula>"OFF"</formula>
    </cfRule>
    <cfRule type="cellIs" dxfId="3543" priority="8956" operator="equal">
      <formula>"PTO"</formula>
    </cfRule>
  </conditionalFormatting>
  <conditionalFormatting sqref="G33:H33 E33:E42">
    <cfRule type="cellIs" dxfId="3542" priority="8953" operator="equal">
      <formula>"OFF"</formula>
    </cfRule>
    <cfRule type="cellIs" dxfId="3541" priority="8954" operator="equal">
      <formula>"PTO"</formula>
    </cfRule>
  </conditionalFormatting>
  <conditionalFormatting sqref="G33:H33 E33:E42">
    <cfRule type="cellIs" dxfId="3540" priority="8951" operator="equal">
      <formula>"OFF"</formula>
    </cfRule>
    <cfRule type="cellIs" dxfId="3539" priority="8952" operator="equal">
      <formula>"PTO"</formula>
    </cfRule>
  </conditionalFormatting>
  <conditionalFormatting sqref="G33:H33 E33:E42">
    <cfRule type="cellIs" dxfId="3538" priority="8949" operator="equal">
      <formula>"OFF"</formula>
    </cfRule>
    <cfRule type="cellIs" dxfId="3537" priority="8950" operator="equal">
      <formula>"PTO"</formula>
    </cfRule>
  </conditionalFormatting>
  <conditionalFormatting sqref="G33:H33 E33:E42">
    <cfRule type="cellIs" dxfId="3536" priority="8947" operator="equal">
      <formula>"OFF"</formula>
    </cfRule>
    <cfRule type="cellIs" dxfId="3535" priority="8948" operator="equal">
      <formula>"PTO"</formula>
    </cfRule>
  </conditionalFormatting>
  <conditionalFormatting sqref="G33:H33 E33:E42">
    <cfRule type="cellIs" dxfId="3534" priority="8945" operator="equal">
      <formula>"OFF"</formula>
    </cfRule>
    <cfRule type="cellIs" dxfId="3533" priority="8946" operator="equal">
      <formula>"PTO"</formula>
    </cfRule>
  </conditionalFormatting>
  <conditionalFormatting sqref="G33:H33 E33:E42">
    <cfRule type="cellIs" dxfId="3532" priority="8943" operator="equal">
      <formula>"OFF"</formula>
    </cfRule>
    <cfRule type="cellIs" dxfId="3531" priority="8944" operator="equal">
      <formula>"PTO"</formula>
    </cfRule>
  </conditionalFormatting>
  <conditionalFormatting sqref="G33:H33 E33:E42">
    <cfRule type="cellIs" dxfId="3530" priority="8941" operator="equal">
      <formula>"OFF"</formula>
    </cfRule>
    <cfRule type="cellIs" dxfId="3529" priority="8942" operator="equal">
      <formula>"PTO"</formula>
    </cfRule>
  </conditionalFormatting>
  <conditionalFormatting sqref="G33:H33 E33:E42">
    <cfRule type="cellIs" dxfId="3528" priority="8939" operator="equal">
      <formula>"OFF"</formula>
    </cfRule>
    <cfRule type="cellIs" dxfId="3527" priority="8940" operator="equal">
      <formula>"PTO"</formula>
    </cfRule>
  </conditionalFormatting>
  <conditionalFormatting sqref="G33:H33">
    <cfRule type="cellIs" dxfId="3526" priority="8937" operator="equal">
      <formula>"OFF"</formula>
    </cfRule>
    <cfRule type="cellIs" dxfId="3525" priority="8938" operator="equal">
      <formula>"PTO"</formula>
    </cfRule>
  </conditionalFormatting>
  <conditionalFormatting sqref="G33:H33">
    <cfRule type="cellIs" dxfId="3524" priority="8935" operator="equal">
      <formula>"OFF"</formula>
    </cfRule>
    <cfRule type="cellIs" dxfId="3523" priority="8936" operator="equal">
      <formula>"PTO"</formula>
    </cfRule>
  </conditionalFormatting>
  <conditionalFormatting sqref="G33:H33">
    <cfRule type="cellIs" dxfId="3522" priority="8933" operator="equal">
      <formula>"OFF"</formula>
    </cfRule>
    <cfRule type="cellIs" dxfId="3521" priority="8934" operator="equal">
      <formula>"PTO"</formula>
    </cfRule>
  </conditionalFormatting>
  <conditionalFormatting sqref="G33:H33">
    <cfRule type="cellIs" dxfId="3520" priority="8931" operator="equal">
      <formula>"OFF"</formula>
    </cfRule>
    <cfRule type="cellIs" dxfId="3519" priority="8932" operator="equal">
      <formula>"PTO"</formula>
    </cfRule>
  </conditionalFormatting>
  <conditionalFormatting sqref="G33:H33">
    <cfRule type="cellIs" dxfId="3518" priority="8929" operator="equal">
      <formula>"OFF"</formula>
    </cfRule>
    <cfRule type="cellIs" dxfId="3517" priority="8930" operator="equal">
      <formula>"PTO"</formula>
    </cfRule>
  </conditionalFormatting>
  <conditionalFormatting sqref="G33:H33">
    <cfRule type="cellIs" dxfId="3516" priority="8927" operator="equal">
      <formula>"OFF"</formula>
    </cfRule>
    <cfRule type="cellIs" dxfId="3515" priority="8928" operator="equal">
      <formula>"PTO"</formula>
    </cfRule>
  </conditionalFormatting>
  <conditionalFormatting sqref="G33:H33">
    <cfRule type="cellIs" dxfId="3514" priority="8925" operator="equal">
      <formula>"OFF"</formula>
    </cfRule>
    <cfRule type="cellIs" dxfId="3513" priority="8926" operator="equal">
      <formula>"PTO"</formula>
    </cfRule>
  </conditionalFormatting>
  <conditionalFormatting sqref="G33:H33">
    <cfRule type="cellIs" dxfId="3512" priority="8923" operator="equal">
      <formula>"OFF"</formula>
    </cfRule>
    <cfRule type="cellIs" dxfId="3511" priority="8924" operator="equal">
      <formula>"PTO"</formula>
    </cfRule>
  </conditionalFormatting>
  <conditionalFormatting sqref="G33:H33">
    <cfRule type="cellIs" dxfId="3510" priority="8921" operator="equal">
      <formula>"OFF"</formula>
    </cfRule>
    <cfRule type="cellIs" dxfId="3509" priority="8922" operator="equal">
      <formula>"PTO"</formula>
    </cfRule>
  </conditionalFormatting>
  <conditionalFormatting sqref="I33:I42">
    <cfRule type="cellIs" dxfId="3508" priority="8919" operator="equal">
      <formula>"OFF"</formula>
    </cfRule>
    <cfRule type="cellIs" dxfId="3507" priority="8920" operator="equal">
      <formula>"PTO"</formula>
    </cfRule>
  </conditionalFormatting>
  <conditionalFormatting sqref="I33:I42">
    <cfRule type="cellIs" dxfId="3506" priority="8917" operator="equal">
      <formula>"OFF"</formula>
    </cfRule>
    <cfRule type="cellIs" dxfId="3505" priority="8918" operator="equal">
      <formula>"PTO"</formula>
    </cfRule>
  </conditionalFormatting>
  <conditionalFormatting sqref="I33:I42">
    <cfRule type="cellIs" dxfId="3504" priority="8915" operator="equal">
      <formula>"OFF"</formula>
    </cfRule>
    <cfRule type="cellIs" dxfId="3503" priority="8916" operator="equal">
      <formula>"PTO"</formula>
    </cfRule>
  </conditionalFormatting>
  <conditionalFormatting sqref="I33:I42">
    <cfRule type="cellIs" dxfId="3502" priority="8913" operator="equal">
      <formula>"OFF"</formula>
    </cfRule>
    <cfRule type="cellIs" dxfId="3501" priority="8914" operator="equal">
      <formula>"PTO"</formula>
    </cfRule>
  </conditionalFormatting>
  <conditionalFormatting sqref="I33:I42">
    <cfRule type="cellIs" dxfId="3500" priority="8911" operator="equal">
      <formula>"OFF"</formula>
    </cfRule>
    <cfRule type="cellIs" dxfId="3499" priority="8912" operator="equal">
      <formula>"PTO"</formula>
    </cfRule>
  </conditionalFormatting>
  <conditionalFormatting sqref="I33:I42">
    <cfRule type="cellIs" dxfId="3498" priority="8909" operator="equal">
      <formula>"OFF"</formula>
    </cfRule>
    <cfRule type="cellIs" dxfId="3497" priority="8910" operator="equal">
      <formula>"PTO"</formula>
    </cfRule>
  </conditionalFormatting>
  <conditionalFormatting sqref="I33:I42">
    <cfRule type="cellIs" dxfId="3496" priority="8907" operator="equal">
      <formula>"OFF"</formula>
    </cfRule>
    <cfRule type="cellIs" dxfId="3495" priority="8908" operator="equal">
      <formula>"PTO"</formula>
    </cfRule>
  </conditionalFormatting>
  <conditionalFormatting sqref="I33:I42">
    <cfRule type="cellIs" dxfId="3494" priority="8905" operator="equal">
      <formula>"OFF"</formula>
    </cfRule>
    <cfRule type="cellIs" dxfId="3493" priority="8906" operator="equal">
      <formula>"PTO"</formula>
    </cfRule>
  </conditionalFormatting>
  <conditionalFormatting sqref="E33:E42">
    <cfRule type="cellIs" dxfId="3492" priority="8903" operator="equal">
      <formula>"OFF"</formula>
    </cfRule>
    <cfRule type="cellIs" dxfId="3491" priority="8904" operator="equal">
      <formula>"PTO"</formula>
    </cfRule>
  </conditionalFormatting>
  <conditionalFormatting sqref="E33:E42">
    <cfRule type="cellIs" dxfId="3490" priority="8901" operator="equal">
      <formula>"OFF"</formula>
    </cfRule>
    <cfRule type="cellIs" dxfId="3489" priority="8902" operator="equal">
      <formula>"PTO"</formula>
    </cfRule>
  </conditionalFormatting>
  <conditionalFormatting sqref="E33:E42">
    <cfRule type="cellIs" dxfId="3488" priority="8899" operator="equal">
      <formula>"OFF"</formula>
    </cfRule>
    <cfRule type="cellIs" dxfId="3487" priority="8900" operator="equal">
      <formula>"PTO"</formula>
    </cfRule>
  </conditionalFormatting>
  <conditionalFormatting sqref="E33:E42">
    <cfRule type="cellIs" dxfId="3486" priority="8897" operator="equal">
      <formula>"OFF"</formula>
    </cfRule>
    <cfRule type="cellIs" dxfId="3485" priority="8898" operator="equal">
      <formula>"PTO"</formula>
    </cfRule>
  </conditionalFormatting>
  <conditionalFormatting sqref="E33:E42">
    <cfRule type="cellIs" dxfId="3484" priority="8895" operator="equal">
      <formula>"OFF"</formula>
    </cfRule>
    <cfRule type="cellIs" dxfId="3483" priority="8896" operator="equal">
      <formula>"PTO"</formula>
    </cfRule>
  </conditionalFormatting>
  <conditionalFormatting sqref="E33:E42">
    <cfRule type="cellIs" dxfId="3482" priority="8893" operator="equal">
      <formula>"OFF"</formula>
    </cfRule>
    <cfRule type="cellIs" dxfId="3481" priority="8894" operator="equal">
      <formula>"PTO"</formula>
    </cfRule>
  </conditionalFormatting>
  <conditionalFormatting sqref="E33:E42">
    <cfRule type="cellIs" dxfId="3480" priority="8891" operator="equal">
      <formula>"OFF"</formula>
    </cfRule>
    <cfRule type="cellIs" dxfId="3479" priority="8892" operator="equal">
      <formula>"PTO"</formula>
    </cfRule>
  </conditionalFormatting>
  <conditionalFormatting sqref="C33:C42">
    <cfRule type="cellIs" dxfId="3478" priority="8887" operator="equal">
      <formula>"OFF"</formula>
    </cfRule>
    <cfRule type="cellIs" dxfId="3477" priority="8888" operator="equal">
      <formula>"PTO"</formula>
    </cfRule>
  </conditionalFormatting>
  <conditionalFormatting sqref="C33:C42">
    <cfRule type="cellIs" dxfId="3476" priority="8881" operator="equal">
      <formula>"OFF"</formula>
    </cfRule>
    <cfRule type="cellIs" dxfId="3475" priority="8882" operator="equal">
      <formula>"PTO"</formula>
    </cfRule>
  </conditionalFormatting>
  <conditionalFormatting sqref="C33:C42">
    <cfRule type="cellIs" dxfId="3474" priority="8873" operator="equal">
      <formula>"OFF"</formula>
    </cfRule>
    <cfRule type="cellIs" dxfId="3473" priority="8874" operator="equal">
      <formula>"PTO"</formula>
    </cfRule>
  </conditionalFormatting>
  <conditionalFormatting sqref="C33:C42">
    <cfRule type="cellIs" dxfId="3472" priority="8857" operator="equal">
      <formula>"OFF"</formula>
    </cfRule>
    <cfRule type="cellIs" dxfId="3471" priority="8858" operator="equal">
      <formula>"PTO"</formula>
    </cfRule>
  </conditionalFormatting>
  <conditionalFormatting sqref="C33:C42">
    <cfRule type="cellIs" dxfId="3470" priority="8855" operator="equal">
      <formula>"OFF"</formula>
    </cfRule>
    <cfRule type="cellIs" dxfId="3469" priority="8856" operator="equal">
      <formula>"PTO"</formula>
    </cfRule>
  </conditionalFormatting>
  <conditionalFormatting sqref="C33:C42">
    <cfRule type="cellIs" dxfId="3468" priority="8889" operator="equal">
      <formula>"OFF"</formula>
    </cfRule>
    <cfRule type="cellIs" dxfId="3467" priority="8890" operator="equal">
      <formula>"PTO"</formula>
    </cfRule>
  </conditionalFormatting>
  <conditionalFormatting sqref="C33:C42">
    <cfRule type="cellIs" dxfId="3466" priority="8885" operator="equal">
      <formula>"OFF"</formula>
    </cfRule>
    <cfRule type="cellIs" dxfId="3465" priority="8886" operator="equal">
      <formula>"PTO"</formula>
    </cfRule>
  </conditionalFormatting>
  <conditionalFormatting sqref="C33:C42">
    <cfRule type="cellIs" dxfId="3464" priority="8883" operator="equal">
      <formula>"OFF"</formula>
    </cfRule>
    <cfRule type="cellIs" dxfId="3463" priority="8884" operator="equal">
      <formula>"PTO"</formula>
    </cfRule>
  </conditionalFormatting>
  <conditionalFormatting sqref="C33:C42">
    <cfRule type="cellIs" dxfId="3462" priority="8879" operator="equal">
      <formula>"OFF"</formula>
    </cfRule>
    <cfRule type="cellIs" dxfId="3461" priority="8880" operator="equal">
      <formula>"PTO"</formula>
    </cfRule>
  </conditionalFormatting>
  <conditionalFormatting sqref="C33:C42">
    <cfRule type="cellIs" dxfId="3460" priority="8877" operator="equal">
      <formula>"OFF"</formula>
    </cfRule>
    <cfRule type="cellIs" dxfId="3459" priority="8878" operator="equal">
      <formula>"PTO"</formula>
    </cfRule>
  </conditionalFormatting>
  <conditionalFormatting sqref="C33:C42">
    <cfRule type="cellIs" dxfId="3458" priority="8875" operator="equal">
      <formula>"OFF"</formula>
    </cfRule>
    <cfRule type="cellIs" dxfId="3457" priority="8876" operator="equal">
      <formula>"PTO"</formula>
    </cfRule>
  </conditionalFormatting>
  <conditionalFormatting sqref="C33:C42">
    <cfRule type="cellIs" dxfId="3456" priority="8871" operator="equal">
      <formula>"OFF"</formula>
    </cfRule>
    <cfRule type="cellIs" dxfId="3455" priority="8872" operator="equal">
      <formula>"PTO"</formula>
    </cfRule>
  </conditionalFormatting>
  <conditionalFormatting sqref="C33:C42">
    <cfRule type="cellIs" dxfId="3454" priority="8869" operator="equal">
      <formula>"OFF"</formula>
    </cfRule>
    <cfRule type="cellIs" dxfId="3453" priority="8870" operator="equal">
      <formula>"PTO"</formula>
    </cfRule>
  </conditionalFormatting>
  <conditionalFormatting sqref="C33:C42">
    <cfRule type="cellIs" dxfId="3452" priority="8867" operator="equal">
      <formula>"OFF"</formula>
    </cfRule>
    <cfRule type="cellIs" dxfId="3451" priority="8868" operator="equal">
      <formula>"PTO"</formula>
    </cfRule>
  </conditionalFormatting>
  <conditionalFormatting sqref="C33:C42">
    <cfRule type="cellIs" dxfId="3450" priority="8865" operator="equal">
      <formula>"OFF"</formula>
    </cfRule>
    <cfRule type="cellIs" dxfId="3449" priority="8866" operator="equal">
      <formula>"PTO"</formula>
    </cfRule>
  </conditionalFormatting>
  <conditionalFormatting sqref="C33:C42">
    <cfRule type="cellIs" dxfId="3448" priority="8863" operator="equal">
      <formula>"OFF"</formula>
    </cfRule>
    <cfRule type="cellIs" dxfId="3447" priority="8864" operator="equal">
      <formula>"PTO"</formula>
    </cfRule>
  </conditionalFormatting>
  <conditionalFormatting sqref="C33:C42">
    <cfRule type="cellIs" dxfId="3446" priority="8861" operator="equal">
      <formula>"OFF"</formula>
    </cfRule>
    <cfRule type="cellIs" dxfId="3445" priority="8862" operator="equal">
      <formula>"PTO"</formula>
    </cfRule>
  </conditionalFormatting>
  <conditionalFormatting sqref="C33:C42">
    <cfRule type="cellIs" dxfId="3444" priority="8859" operator="equal">
      <formula>"OFF"</formula>
    </cfRule>
    <cfRule type="cellIs" dxfId="3443" priority="8860" operator="equal">
      <formula>"PTO"</formula>
    </cfRule>
  </conditionalFormatting>
  <conditionalFormatting sqref="C33:C42">
    <cfRule type="cellIs" dxfId="3442" priority="8853" operator="equal">
      <formula>"OFF"</formula>
    </cfRule>
    <cfRule type="cellIs" dxfId="3441" priority="8854" operator="equal">
      <formula>"PTO"</formula>
    </cfRule>
  </conditionalFormatting>
  <conditionalFormatting sqref="C33:C42">
    <cfRule type="cellIs" dxfId="3440" priority="8851" operator="equal">
      <formula>"OFF"</formula>
    </cfRule>
    <cfRule type="cellIs" dxfId="3439" priority="8852" operator="equal">
      <formula>"PTO"</formula>
    </cfRule>
  </conditionalFormatting>
  <conditionalFormatting sqref="C33:C42">
    <cfRule type="cellIs" dxfId="3438" priority="8849" operator="equal">
      <formula>"OFF"</formula>
    </cfRule>
    <cfRule type="cellIs" dxfId="3437" priority="8850" operator="equal">
      <formula>"PTO"</formula>
    </cfRule>
  </conditionalFormatting>
  <conditionalFormatting sqref="C33:C42">
    <cfRule type="cellIs" dxfId="3436" priority="8847" operator="equal">
      <formula>"OFF"</formula>
    </cfRule>
    <cfRule type="cellIs" dxfId="3435" priority="8848" operator="equal">
      <formula>"PTO"</formula>
    </cfRule>
  </conditionalFormatting>
  <conditionalFormatting sqref="C33:C42">
    <cfRule type="cellIs" dxfId="3434" priority="8845" operator="equal">
      <formula>"OFF"</formula>
    </cfRule>
    <cfRule type="cellIs" dxfId="3433" priority="8846" operator="equal">
      <formula>"PTO"</formula>
    </cfRule>
  </conditionalFormatting>
  <conditionalFormatting sqref="C33:C42">
    <cfRule type="cellIs" dxfId="3432" priority="8843" operator="equal">
      <formula>"OFF"</formula>
    </cfRule>
    <cfRule type="cellIs" dxfId="3431" priority="8844" operator="equal">
      <formula>"PTO"</formula>
    </cfRule>
  </conditionalFormatting>
  <conditionalFormatting sqref="C33:C42">
    <cfRule type="cellIs" dxfId="3430" priority="8841" operator="equal">
      <formula>"OFF"</formula>
    </cfRule>
    <cfRule type="cellIs" dxfId="3429" priority="8842" operator="equal">
      <formula>"PTO"</formula>
    </cfRule>
  </conditionalFormatting>
  <conditionalFormatting sqref="C33:C42">
    <cfRule type="cellIs" dxfId="3428" priority="8839" operator="equal">
      <formula>"OFF"</formula>
    </cfRule>
    <cfRule type="cellIs" dxfId="3427" priority="8840" operator="equal">
      <formula>"PTO"</formula>
    </cfRule>
  </conditionalFormatting>
  <conditionalFormatting sqref="C33:C42">
    <cfRule type="cellIs" dxfId="3426" priority="8837" operator="equal">
      <formula>"OFF"</formula>
    </cfRule>
    <cfRule type="cellIs" dxfId="3425" priority="8838" operator="equal">
      <formula>"PTO"</formula>
    </cfRule>
  </conditionalFormatting>
  <conditionalFormatting sqref="C33:C42">
    <cfRule type="cellIs" dxfId="3424" priority="8835" operator="equal">
      <formula>"OFF"</formula>
    </cfRule>
    <cfRule type="cellIs" dxfId="3423" priority="8836" operator="equal">
      <formula>"PTO"</formula>
    </cfRule>
  </conditionalFormatting>
  <conditionalFormatting sqref="C33:C42">
    <cfRule type="cellIs" dxfId="3422" priority="8833" operator="equal">
      <formula>"OFF"</formula>
    </cfRule>
    <cfRule type="cellIs" dxfId="3421" priority="8834" operator="equal">
      <formula>"PTO"</formula>
    </cfRule>
  </conditionalFormatting>
  <conditionalFormatting sqref="C33:C42">
    <cfRule type="cellIs" dxfId="3420" priority="8831" operator="equal">
      <formula>"OFF"</formula>
    </cfRule>
    <cfRule type="cellIs" dxfId="3419" priority="8832" operator="equal">
      <formula>"PTO"</formula>
    </cfRule>
  </conditionalFormatting>
  <conditionalFormatting sqref="C33:C42">
    <cfRule type="cellIs" dxfId="3418" priority="8829" operator="equal">
      <formula>"OFF"</formula>
    </cfRule>
    <cfRule type="cellIs" dxfId="3417" priority="8830" operator="equal">
      <formula>"PTO"</formula>
    </cfRule>
  </conditionalFormatting>
  <conditionalFormatting sqref="C33:C42">
    <cfRule type="cellIs" dxfId="3416" priority="8827" operator="equal">
      <formula>"OFF"</formula>
    </cfRule>
    <cfRule type="cellIs" dxfId="3415" priority="8828" operator="equal">
      <formula>"PTO"</formula>
    </cfRule>
  </conditionalFormatting>
  <conditionalFormatting sqref="C33:C42">
    <cfRule type="cellIs" dxfId="3414" priority="8825" operator="equal">
      <formula>"OFF"</formula>
    </cfRule>
    <cfRule type="cellIs" dxfId="3413" priority="8826" operator="equal">
      <formula>"PTO"</formula>
    </cfRule>
  </conditionalFormatting>
  <conditionalFormatting sqref="C33:C42">
    <cfRule type="cellIs" dxfId="3412" priority="8823" operator="equal">
      <formula>"OFF"</formula>
    </cfRule>
    <cfRule type="cellIs" dxfId="3411" priority="8824" operator="equal">
      <formula>"PTO"</formula>
    </cfRule>
  </conditionalFormatting>
  <conditionalFormatting sqref="C33:C42">
    <cfRule type="cellIs" dxfId="3410" priority="8821" operator="equal">
      <formula>"OFF"</formula>
    </cfRule>
    <cfRule type="cellIs" dxfId="3409" priority="8822" operator="equal">
      <formula>"PTO"</formula>
    </cfRule>
  </conditionalFormatting>
  <conditionalFormatting sqref="C33:C42">
    <cfRule type="cellIs" dxfId="3408" priority="8819" operator="equal">
      <formula>"OFF"</formula>
    </cfRule>
    <cfRule type="cellIs" dxfId="3407" priority="8820" operator="equal">
      <formula>"PTO"</formula>
    </cfRule>
  </conditionalFormatting>
  <conditionalFormatting sqref="C33:C42">
    <cfRule type="cellIs" dxfId="3406" priority="8817" operator="equal">
      <formula>"OFF"</formula>
    </cfRule>
    <cfRule type="cellIs" dxfId="3405" priority="8818" operator="equal">
      <formula>"PTO"</formula>
    </cfRule>
  </conditionalFormatting>
  <conditionalFormatting sqref="C33:C42">
    <cfRule type="cellIs" dxfId="3404" priority="8815" operator="equal">
      <formula>"OFF"</formula>
    </cfRule>
    <cfRule type="cellIs" dxfId="3403" priority="8816" operator="equal">
      <formula>"PTO"</formula>
    </cfRule>
  </conditionalFormatting>
  <conditionalFormatting sqref="C33:C42">
    <cfRule type="cellIs" dxfId="3402" priority="8813" operator="equal">
      <formula>"OFF"</formula>
    </cfRule>
    <cfRule type="cellIs" dxfId="3401" priority="8814" operator="equal">
      <formula>"PTO"</formula>
    </cfRule>
  </conditionalFormatting>
  <conditionalFormatting sqref="C33:C42">
    <cfRule type="cellIs" dxfId="3400" priority="8811" operator="equal">
      <formula>"OFF"</formula>
    </cfRule>
    <cfRule type="cellIs" dxfId="3399" priority="8812" operator="equal">
      <formula>"PTO"</formula>
    </cfRule>
  </conditionalFormatting>
  <conditionalFormatting sqref="C33:C42">
    <cfRule type="cellIs" dxfId="3398" priority="8809" operator="equal">
      <formula>"OFF"</formula>
    </cfRule>
    <cfRule type="cellIs" dxfId="3397" priority="8810" operator="equal">
      <formula>"PTO"</formula>
    </cfRule>
  </conditionalFormatting>
  <conditionalFormatting sqref="C33:C42">
    <cfRule type="cellIs" dxfId="3396" priority="8807" operator="equal">
      <formula>"OFF"</formula>
    </cfRule>
    <cfRule type="cellIs" dxfId="3395" priority="8808" operator="equal">
      <formula>"PTO"</formula>
    </cfRule>
  </conditionalFormatting>
  <conditionalFormatting sqref="C33:C42">
    <cfRule type="cellIs" dxfId="3394" priority="8805" operator="equal">
      <formula>"OFF"</formula>
    </cfRule>
    <cfRule type="cellIs" dxfId="3393" priority="8806" operator="equal">
      <formula>"PTO"</formula>
    </cfRule>
  </conditionalFormatting>
  <conditionalFormatting sqref="C33:C42">
    <cfRule type="cellIs" dxfId="3392" priority="8803" operator="equal">
      <formula>"OFF"</formula>
    </cfRule>
    <cfRule type="cellIs" dxfId="3391" priority="8804" operator="equal">
      <formula>"PTO"</formula>
    </cfRule>
  </conditionalFormatting>
  <conditionalFormatting sqref="F33:H42">
    <cfRule type="cellIs" dxfId="3390" priority="8801" operator="equal">
      <formula>"OFF"</formula>
    </cfRule>
    <cfRule type="cellIs" dxfId="3389" priority="8802" operator="equal">
      <formula>"PTO"</formula>
    </cfRule>
  </conditionalFormatting>
  <conditionalFormatting sqref="F33:H42">
    <cfRule type="cellIs" dxfId="3388" priority="8795" operator="equal">
      <formula>"OFF"</formula>
    </cfRule>
    <cfRule type="cellIs" dxfId="3387" priority="8796" operator="equal">
      <formula>"PTO"</formula>
    </cfRule>
  </conditionalFormatting>
  <conditionalFormatting sqref="F33:H42">
    <cfRule type="cellIs" dxfId="3386" priority="8779" operator="equal">
      <formula>"OFF"</formula>
    </cfRule>
    <cfRule type="cellIs" dxfId="3385" priority="8780" operator="equal">
      <formula>"PTO"</formula>
    </cfRule>
  </conditionalFormatting>
  <conditionalFormatting sqref="F33:H42">
    <cfRule type="cellIs" dxfId="3384" priority="8747" operator="equal">
      <formula>"OFF"</formula>
    </cfRule>
    <cfRule type="cellIs" dxfId="3383" priority="8748" operator="equal">
      <formula>"PTO"</formula>
    </cfRule>
  </conditionalFormatting>
  <conditionalFormatting sqref="F33:H42">
    <cfRule type="cellIs" dxfId="3382" priority="8745" operator="equal">
      <formula>"OFF"</formula>
    </cfRule>
    <cfRule type="cellIs" dxfId="3381" priority="8746" operator="equal">
      <formula>"PTO"</formula>
    </cfRule>
  </conditionalFormatting>
  <conditionalFormatting sqref="F33:H42">
    <cfRule type="cellIs" dxfId="3380" priority="8799" operator="equal">
      <formula>"OFF"</formula>
    </cfRule>
    <cfRule type="cellIs" dxfId="3379" priority="8800" operator="equal">
      <formula>"PTO"</formula>
    </cfRule>
  </conditionalFormatting>
  <conditionalFormatting sqref="F33:H42">
    <cfRule type="cellIs" dxfId="3378" priority="8797" operator="equal">
      <formula>"OFF"</formula>
    </cfRule>
    <cfRule type="cellIs" dxfId="3377" priority="8798" operator="equal">
      <formula>"PTO"</formula>
    </cfRule>
  </conditionalFormatting>
  <conditionalFormatting sqref="F33:H42">
    <cfRule type="cellIs" dxfId="3376" priority="8793" operator="equal">
      <formula>"OFF"</formula>
    </cfRule>
    <cfRule type="cellIs" dxfId="3375" priority="8794" operator="equal">
      <formula>"PTO"</formula>
    </cfRule>
  </conditionalFormatting>
  <conditionalFormatting sqref="F33:H42">
    <cfRule type="cellIs" dxfId="3374" priority="8791" operator="equal">
      <formula>"OFF"</formula>
    </cfRule>
    <cfRule type="cellIs" dxfId="3373" priority="8792" operator="equal">
      <formula>"PTO"</formula>
    </cfRule>
  </conditionalFormatting>
  <conditionalFormatting sqref="F33:H42">
    <cfRule type="cellIs" dxfId="3372" priority="8789" operator="equal">
      <formula>"OFF"</formula>
    </cfRule>
    <cfRule type="cellIs" dxfId="3371" priority="8790" operator="equal">
      <formula>"PTO"</formula>
    </cfRule>
  </conditionalFormatting>
  <conditionalFormatting sqref="F33:H42">
    <cfRule type="cellIs" dxfId="3370" priority="8787" operator="equal">
      <formula>"OFF"</formula>
    </cfRule>
    <cfRule type="cellIs" dxfId="3369" priority="8788" operator="equal">
      <formula>"PTO"</formula>
    </cfRule>
  </conditionalFormatting>
  <conditionalFormatting sqref="F33:H42">
    <cfRule type="cellIs" dxfId="3368" priority="8785" operator="equal">
      <formula>"OFF"</formula>
    </cfRule>
    <cfRule type="cellIs" dxfId="3367" priority="8786" operator="equal">
      <formula>"PTO"</formula>
    </cfRule>
  </conditionalFormatting>
  <conditionalFormatting sqref="F33:H42">
    <cfRule type="cellIs" dxfId="3366" priority="8783" operator="equal">
      <formula>"OFF"</formula>
    </cfRule>
    <cfRule type="cellIs" dxfId="3365" priority="8784" operator="equal">
      <formula>"PTO"</formula>
    </cfRule>
  </conditionalFormatting>
  <conditionalFormatting sqref="F33:H42">
    <cfRule type="cellIs" dxfId="3364" priority="8781" operator="equal">
      <formula>"OFF"</formula>
    </cfRule>
    <cfRule type="cellIs" dxfId="3363" priority="8782" operator="equal">
      <formula>"PTO"</formula>
    </cfRule>
  </conditionalFormatting>
  <conditionalFormatting sqref="F33:H42">
    <cfRule type="cellIs" dxfId="3362" priority="8777" operator="equal">
      <formula>"OFF"</formula>
    </cfRule>
    <cfRule type="cellIs" dxfId="3361" priority="8778" operator="equal">
      <formula>"PTO"</formula>
    </cfRule>
  </conditionalFormatting>
  <conditionalFormatting sqref="F33:H42">
    <cfRule type="cellIs" dxfId="3360" priority="8775" operator="equal">
      <formula>"OFF"</formula>
    </cfRule>
    <cfRule type="cellIs" dxfId="3359" priority="8776" operator="equal">
      <formula>"PTO"</formula>
    </cfRule>
  </conditionalFormatting>
  <conditionalFormatting sqref="F33:H42">
    <cfRule type="cellIs" dxfId="3358" priority="8773" operator="equal">
      <formula>"OFF"</formula>
    </cfRule>
    <cfRule type="cellIs" dxfId="3357" priority="8774" operator="equal">
      <formula>"PTO"</formula>
    </cfRule>
  </conditionalFormatting>
  <conditionalFormatting sqref="F33:H42">
    <cfRule type="cellIs" dxfId="3356" priority="8771" operator="equal">
      <formula>"OFF"</formula>
    </cfRule>
    <cfRule type="cellIs" dxfId="3355" priority="8772" operator="equal">
      <formula>"PTO"</formula>
    </cfRule>
  </conditionalFormatting>
  <conditionalFormatting sqref="F33:H42">
    <cfRule type="cellIs" dxfId="3354" priority="8769" operator="equal">
      <formula>"OFF"</formula>
    </cfRule>
    <cfRule type="cellIs" dxfId="3353" priority="8770" operator="equal">
      <formula>"PTO"</formula>
    </cfRule>
  </conditionalFormatting>
  <conditionalFormatting sqref="F33:H42">
    <cfRule type="cellIs" dxfId="3352" priority="8767" operator="equal">
      <formula>"OFF"</formula>
    </cfRule>
    <cfRule type="cellIs" dxfId="3351" priority="8768" operator="equal">
      <formula>"PTO"</formula>
    </cfRule>
  </conditionalFormatting>
  <conditionalFormatting sqref="F33:H42">
    <cfRule type="cellIs" dxfId="3350" priority="8765" operator="equal">
      <formula>"OFF"</formula>
    </cfRule>
    <cfRule type="cellIs" dxfId="3349" priority="8766" operator="equal">
      <formula>"PTO"</formula>
    </cfRule>
  </conditionalFormatting>
  <conditionalFormatting sqref="F33:H42">
    <cfRule type="cellIs" dxfId="3348" priority="8763" operator="equal">
      <formula>"OFF"</formula>
    </cfRule>
    <cfRule type="cellIs" dxfId="3347" priority="8764" operator="equal">
      <formula>"PTO"</formula>
    </cfRule>
  </conditionalFormatting>
  <conditionalFormatting sqref="F33:H42">
    <cfRule type="cellIs" dxfId="3346" priority="8761" operator="equal">
      <formula>"OFF"</formula>
    </cfRule>
    <cfRule type="cellIs" dxfId="3345" priority="8762" operator="equal">
      <formula>"PTO"</formula>
    </cfRule>
  </conditionalFormatting>
  <conditionalFormatting sqref="F33:H42">
    <cfRule type="cellIs" dxfId="3344" priority="8759" operator="equal">
      <formula>"OFF"</formula>
    </cfRule>
    <cfRule type="cellIs" dxfId="3343" priority="8760" operator="equal">
      <formula>"PTO"</formula>
    </cfRule>
  </conditionalFormatting>
  <conditionalFormatting sqref="F33:H42">
    <cfRule type="cellIs" dxfId="3342" priority="8757" operator="equal">
      <formula>"OFF"</formula>
    </cfRule>
    <cfRule type="cellIs" dxfId="3341" priority="8758" operator="equal">
      <formula>"PTO"</formula>
    </cfRule>
  </conditionalFormatting>
  <conditionalFormatting sqref="F33:H42">
    <cfRule type="cellIs" dxfId="3340" priority="8755" operator="equal">
      <formula>"OFF"</formula>
    </cfRule>
    <cfRule type="cellIs" dxfId="3339" priority="8756" operator="equal">
      <formula>"PTO"</formula>
    </cfRule>
  </conditionalFormatting>
  <conditionalFormatting sqref="F33:H42">
    <cfRule type="cellIs" dxfId="3338" priority="8753" operator="equal">
      <formula>"OFF"</formula>
    </cfRule>
    <cfRule type="cellIs" dxfId="3337" priority="8754" operator="equal">
      <formula>"PTO"</formula>
    </cfRule>
  </conditionalFormatting>
  <conditionalFormatting sqref="F33:H42">
    <cfRule type="cellIs" dxfId="3336" priority="8751" operator="equal">
      <formula>"OFF"</formula>
    </cfRule>
    <cfRule type="cellIs" dxfId="3335" priority="8752" operator="equal">
      <formula>"PTO"</formula>
    </cfRule>
  </conditionalFormatting>
  <conditionalFormatting sqref="F33:H42">
    <cfRule type="cellIs" dxfId="3334" priority="8749" operator="equal">
      <formula>"OFF"</formula>
    </cfRule>
    <cfRule type="cellIs" dxfId="3333" priority="8750" operator="equal">
      <formula>"PTO"</formula>
    </cfRule>
  </conditionalFormatting>
  <conditionalFormatting sqref="F33:H42">
    <cfRule type="cellIs" dxfId="3332" priority="8743" operator="equal">
      <formula>"OFF"</formula>
    </cfRule>
    <cfRule type="cellIs" dxfId="3331" priority="8744" operator="equal">
      <formula>"PTO"</formula>
    </cfRule>
  </conditionalFormatting>
  <conditionalFormatting sqref="F33:H42">
    <cfRule type="cellIs" dxfId="3330" priority="8741" operator="equal">
      <formula>"OFF"</formula>
    </cfRule>
    <cfRule type="cellIs" dxfId="3329" priority="8742" operator="equal">
      <formula>"PTO"</formula>
    </cfRule>
  </conditionalFormatting>
  <conditionalFormatting sqref="F33:H42">
    <cfRule type="cellIs" dxfId="3328" priority="8739" operator="equal">
      <formula>"OFF"</formula>
    </cfRule>
    <cfRule type="cellIs" dxfId="3327" priority="8740" operator="equal">
      <formula>"PTO"</formula>
    </cfRule>
  </conditionalFormatting>
  <conditionalFormatting sqref="F33:H42">
    <cfRule type="cellIs" dxfId="3326" priority="8737" operator="equal">
      <formula>"OFF"</formula>
    </cfRule>
    <cfRule type="cellIs" dxfId="3325" priority="8738" operator="equal">
      <formula>"PTO"</formula>
    </cfRule>
  </conditionalFormatting>
  <conditionalFormatting sqref="F33:H42">
    <cfRule type="cellIs" dxfId="3324" priority="8735" operator="equal">
      <formula>"OFF"</formula>
    </cfRule>
    <cfRule type="cellIs" dxfId="3323" priority="8736" operator="equal">
      <formula>"PTO"</formula>
    </cfRule>
  </conditionalFormatting>
  <conditionalFormatting sqref="F33:H42">
    <cfRule type="cellIs" dxfId="3322" priority="8733" operator="equal">
      <formula>"OFF"</formula>
    </cfRule>
    <cfRule type="cellIs" dxfId="3321" priority="8734" operator="equal">
      <formula>"PTO"</formula>
    </cfRule>
  </conditionalFormatting>
  <conditionalFormatting sqref="F33:H42">
    <cfRule type="cellIs" dxfId="3320" priority="8731" operator="equal">
      <formula>"OFF"</formula>
    </cfRule>
    <cfRule type="cellIs" dxfId="3319" priority="8732" operator="equal">
      <formula>"PTO"</formula>
    </cfRule>
  </conditionalFormatting>
  <conditionalFormatting sqref="F33:H42">
    <cfRule type="cellIs" dxfId="3318" priority="8729" operator="equal">
      <formula>"OFF"</formula>
    </cfRule>
    <cfRule type="cellIs" dxfId="3317" priority="8730" operator="equal">
      <formula>"PTO"</formula>
    </cfRule>
  </conditionalFormatting>
  <conditionalFormatting sqref="F33:H42">
    <cfRule type="cellIs" dxfId="3316" priority="8727" operator="equal">
      <formula>"OFF"</formula>
    </cfRule>
    <cfRule type="cellIs" dxfId="3315" priority="8728" operator="equal">
      <formula>"PTO"</formula>
    </cfRule>
  </conditionalFormatting>
  <conditionalFormatting sqref="F33:H42">
    <cfRule type="cellIs" dxfId="3314" priority="8725" operator="equal">
      <formula>"OFF"</formula>
    </cfRule>
    <cfRule type="cellIs" dxfId="3313" priority="8726" operator="equal">
      <formula>"PTO"</formula>
    </cfRule>
  </conditionalFormatting>
  <conditionalFormatting sqref="F33:H42">
    <cfRule type="cellIs" dxfId="3312" priority="8723" operator="equal">
      <formula>"OFF"</formula>
    </cfRule>
    <cfRule type="cellIs" dxfId="3311" priority="8724" operator="equal">
      <formula>"PTO"</formula>
    </cfRule>
  </conditionalFormatting>
  <conditionalFormatting sqref="F33:H42">
    <cfRule type="cellIs" dxfId="3310" priority="8721" operator="equal">
      <formula>"OFF"</formula>
    </cfRule>
    <cfRule type="cellIs" dxfId="3309" priority="8722" operator="equal">
      <formula>"PTO"</formula>
    </cfRule>
  </conditionalFormatting>
  <conditionalFormatting sqref="F33:H42">
    <cfRule type="cellIs" dxfId="3308" priority="8719" operator="equal">
      <formula>"OFF"</formula>
    </cfRule>
    <cfRule type="cellIs" dxfId="3307" priority="8720" operator="equal">
      <formula>"PTO"</formula>
    </cfRule>
  </conditionalFormatting>
  <conditionalFormatting sqref="F33:H42">
    <cfRule type="cellIs" dxfId="3306" priority="8717" operator="equal">
      <formula>"OFF"</formula>
    </cfRule>
    <cfRule type="cellIs" dxfId="3305" priority="8718" operator="equal">
      <formula>"PTO"</formula>
    </cfRule>
  </conditionalFormatting>
  <conditionalFormatting sqref="F33:H42">
    <cfRule type="cellIs" dxfId="3304" priority="8715" operator="equal">
      <formula>"OFF"</formula>
    </cfRule>
    <cfRule type="cellIs" dxfId="3303" priority="8716" operator="equal">
      <formula>"PTO"</formula>
    </cfRule>
  </conditionalFormatting>
  <conditionalFormatting sqref="F33:H42">
    <cfRule type="cellIs" dxfId="3302" priority="8713" operator="equal">
      <formula>"OFF"</formula>
    </cfRule>
    <cfRule type="cellIs" dxfId="3301" priority="8714" operator="equal">
      <formula>"PTO"</formula>
    </cfRule>
  </conditionalFormatting>
  <conditionalFormatting sqref="F33:H42">
    <cfRule type="cellIs" dxfId="3300" priority="8711" operator="equal">
      <formula>"OFF"</formula>
    </cfRule>
    <cfRule type="cellIs" dxfId="3299" priority="8712" operator="equal">
      <formula>"PTO"</formula>
    </cfRule>
  </conditionalFormatting>
  <conditionalFormatting sqref="F33:H42">
    <cfRule type="cellIs" dxfId="3298" priority="8709" operator="equal">
      <formula>"OFF"</formula>
    </cfRule>
    <cfRule type="cellIs" dxfId="3297" priority="8710" operator="equal">
      <formula>"PTO"</formula>
    </cfRule>
  </conditionalFormatting>
  <conditionalFormatting sqref="F33:H42">
    <cfRule type="cellIs" dxfId="3296" priority="8707" operator="equal">
      <formula>"OFF"</formula>
    </cfRule>
    <cfRule type="cellIs" dxfId="3295" priority="8708" operator="equal">
      <formula>"PTO"</formula>
    </cfRule>
  </conditionalFormatting>
  <conditionalFormatting sqref="F33:H42">
    <cfRule type="cellIs" dxfId="3294" priority="8705" operator="equal">
      <formula>"OFF"</formula>
    </cfRule>
    <cfRule type="cellIs" dxfId="3293" priority="8706" operator="equal">
      <formula>"PTO"</formula>
    </cfRule>
  </conditionalFormatting>
  <conditionalFormatting sqref="F33:H42">
    <cfRule type="cellIs" dxfId="3292" priority="8703" operator="equal">
      <formula>"OFF"</formula>
    </cfRule>
    <cfRule type="cellIs" dxfId="3291" priority="8704" operator="equal">
      <formula>"PTO"</formula>
    </cfRule>
  </conditionalFormatting>
  <conditionalFormatting sqref="F33:H42">
    <cfRule type="cellIs" dxfId="3290" priority="8701" operator="equal">
      <formula>"OFF"</formula>
    </cfRule>
    <cfRule type="cellIs" dxfId="3289" priority="8702" operator="equal">
      <formula>"PTO"</formula>
    </cfRule>
  </conditionalFormatting>
  <conditionalFormatting sqref="F33:H42">
    <cfRule type="cellIs" dxfId="3288" priority="8699" operator="equal">
      <formula>"OFF"</formula>
    </cfRule>
    <cfRule type="cellIs" dxfId="3287" priority="8700" operator="equal">
      <formula>"PTO"</formula>
    </cfRule>
  </conditionalFormatting>
  <conditionalFormatting sqref="F33:H42">
    <cfRule type="cellIs" dxfId="3286" priority="8697" operator="equal">
      <formula>"OFF"</formula>
    </cfRule>
    <cfRule type="cellIs" dxfId="3285" priority="8698" operator="equal">
      <formula>"PTO"</formula>
    </cfRule>
  </conditionalFormatting>
  <conditionalFormatting sqref="F33:H42">
    <cfRule type="cellIs" dxfId="3284" priority="8695" operator="equal">
      <formula>"OFF"</formula>
    </cfRule>
    <cfRule type="cellIs" dxfId="3283" priority="8696" operator="equal">
      <formula>"PTO"</formula>
    </cfRule>
  </conditionalFormatting>
  <conditionalFormatting sqref="F33:H42">
    <cfRule type="cellIs" dxfId="3282" priority="8693" operator="equal">
      <formula>"OFF"</formula>
    </cfRule>
    <cfRule type="cellIs" dxfId="3281" priority="8694" operator="equal">
      <formula>"PTO"</formula>
    </cfRule>
  </conditionalFormatting>
  <conditionalFormatting sqref="F33:H42">
    <cfRule type="cellIs" dxfId="3280" priority="8691" operator="equal">
      <formula>"OFF"</formula>
    </cfRule>
    <cfRule type="cellIs" dxfId="3279" priority="8692" operator="equal">
      <formula>"PTO"</formula>
    </cfRule>
  </conditionalFormatting>
  <conditionalFormatting sqref="F33:H42">
    <cfRule type="cellIs" dxfId="3278" priority="8689" operator="equal">
      <formula>"OFF"</formula>
    </cfRule>
    <cfRule type="cellIs" dxfId="3277" priority="8690" operator="equal">
      <formula>"PTO"</formula>
    </cfRule>
  </conditionalFormatting>
  <conditionalFormatting sqref="F33:H42">
    <cfRule type="cellIs" dxfId="3276" priority="8687" operator="equal">
      <formula>"OFF"</formula>
    </cfRule>
    <cfRule type="cellIs" dxfId="3275" priority="8688" operator="equal">
      <formula>"PTO"</formula>
    </cfRule>
  </conditionalFormatting>
  <conditionalFormatting sqref="F33:H42">
    <cfRule type="cellIs" dxfId="3274" priority="8685" operator="equal">
      <formula>"OFF"</formula>
    </cfRule>
    <cfRule type="cellIs" dxfId="3273" priority="8686" operator="equal">
      <formula>"PTO"</formula>
    </cfRule>
  </conditionalFormatting>
  <conditionalFormatting sqref="F33:H42">
    <cfRule type="cellIs" dxfId="3272" priority="8683" operator="equal">
      <formula>"OFF"</formula>
    </cfRule>
    <cfRule type="cellIs" dxfId="3271" priority="8684" operator="equal">
      <formula>"PTO"</formula>
    </cfRule>
  </conditionalFormatting>
  <conditionalFormatting sqref="F33:H42">
    <cfRule type="cellIs" dxfId="3270" priority="8681" operator="equal">
      <formula>"OFF"</formula>
    </cfRule>
    <cfRule type="cellIs" dxfId="3269" priority="8682" operator="equal">
      <formula>"PTO"</formula>
    </cfRule>
  </conditionalFormatting>
  <conditionalFormatting sqref="F33:H42">
    <cfRule type="cellIs" dxfId="3268" priority="8679" operator="equal">
      <formula>"OFF"</formula>
    </cfRule>
    <cfRule type="cellIs" dxfId="3267" priority="8680" operator="equal">
      <formula>"PTO"</formula>
    </cfRule>
  </conditionalFormatting>
  <conditionalFormatting sqref="F33:H42">
    <cfRule type="cellIs" dxfId="3266" priority="8677" operator="equal">
      <formula>"OFF"</formula>
    </cfRule>
    <cfRule type="cellIs" dxfId="3265" priority="8678" operator="equal">
      <formula>"PTO"</formula>
    </cfRule>
  </conditionalFormatting>
  <conditionalFormatting sqref="F33:H42">
    <cfRule type="cellIs" dxfId="3264" priority="8675" operator="equal">
      <formula>"OFF"</formula>
    </cfRule>
    <cfRule type="cellIs" dxfId="3263" priority="8676" operator="equal">
      <formula>"PTO"</formula>
    </cfRule>
  </conditionalFormatting>
  <conditionalFormatting sqref="F33:H42">
    <cfRule type="cellIs" dxfId="3262" priority="8673" operator="equal">
      <formula>"OFF"</formula>
    </cfRule>
    <cfRule type="cellIs" dxfId="3261" priority="8674" operator="equal">
      <formula>"PTO"</formula>
    </cfRule>
  </conditionalFormatting>
  <conditionalFormatting sqref="F33:H42">
    <cfRule type="cellIs" dxfId="3260" priority="8671" operator="equal">
      <formula>"OFF"</formula>
    </cfRule>
    <cfRule type="cellIs" dxfId="3259" priority="8672" operator="equal">
      <formula>"PTO"</formula>
    </cfRule>
  </conditionalFormatting>
  <conditionalFormatting sqref="F33:H42">
    <cfRule type="cellIs" dxfId="3258" priority="8669" operator="equal">
      <formula>"OFF"</formula>
    </cfRule>
    <cfRule type="cellIs" dxfId="3257" priority="8670" operator="equal">
      <formula>"PTO"</formula>
    </cfRule>
  </conditionalFormatting>
  <conditionalFormatting sqref="F33:H42">
    <cfRule type="cellIs" dxfId="3256" priority="8667" operator="equal">
      <formula>"OFF"</formula>
    </cfRule>
    <cfRule type="cellIs" dxfId="3255" priority="8668" operator="equal">
      <formula>"PTO"</formula>
    </cfRule>
  </conditionalFormatting>
  <conditionalFormatting sqref="F33:H42">
    <cfRule type="cellIs" dxfId="3254" priority="8665" operator="equal">
      <formula>"OFF"</formula>
    </cfRule>
    <cfRule type="cellIs" dxfId="3253" priority="8666" operator="equal">
      <formula>"PTO"</formula>
    </cfRule>
  </conditionalFormatting>
  <conditionalFormatting sqref="F33:H42">
    <cfRule type="cellIs" dxfId="3252" priority="8663" operator="equal">
      <formula>"OFF"</formula>
    </cfRule>
    <cfRule type="cellIs" dxfId="3251" priority="8664" operator="equal">
      <formula>"PTO"</formula>
    </cfRule>
  </conditionalFormatting>
  <conditionalFormatting sqref="F33:H42">
    <cfRule type="cellIs" dxfId="3250" priority="8661" operator="equal">
      <formula>"OFF"</formula>
    </cfRule>
    <cfRule type="cellIs" dxfId="3249" priority="8662" operator="equal">
      <formula>"PTO"</formula>
    </cfRule>
  </conditionalFormatting>
  <conditionalFormatting sqref="F33:H42">
    <cfRule type="cellIs" dxfId="3248" priority="8659" operator="equal">
      <formula>"OFF"</formula>
    </cfRule>
    <cfRule type="cellIs" dxfId="3247" priority="8660" operator="equal">
      <formula>"PTO"</formula>
    </cfRule>
  </conditionalFormatting>
  <conditionalFormatting sqref="F33:H42">
    <cfRule type="cellIs" dxfId="3246" priority="8657" operator="equal">
      <formula>"OFF"</formula>
    </cfRule>
    <cfRule type="cellIs" dxfId="3245" priority="8658" operator="equal">
      <formula>"PTO"</formula>
    </cfRule>
  </conditionalFormatting>
  <conditionalFormatting sqref="F33:H42">
    <cfRule type="cellIs" dxfId="3244" priority="8655" operator="equal">
      <formula>"OFF"</formula>
    </cfRule>
    <cfRule type="cellIs" dxfId="3243" priority="8656" operator="equal">
      <formula>"PTO"</formula>
    </cfRule>
  </conditionalFormatting>
  <conditionalFormatting sqref="F33:H42">
    <cfRule type="cellIs" dxfId="3242" priority="8653" operator="equal">
      <formula>"OFF"</formula>
    </cfRule>
    <cfRule type="cellIs" dxfId="3241" priority="8654" operator="equal">
      <formula>"PTO"</formula>
    </cfRule>
  </conditionalFormatting>
  <conditionalFormatting sqref="F33:H42">
    <cfRule type="cellIs" dxfId="3240" priority="8651" operator="equal">
      <formula>"OFF"</formula>
    </cfRule>
    <cfRule type="cellIs" dxfId="3239" priority="8652" operator="equal">
      <formula>"PTO"</formula>
    </cfRule>
  </conditionalFormatting>
  <conditionalFormatting sqref="F33:H42">
    <cfRule type="cellIs" dxfId="3238" priority="8649" operator="equal">
      <formula>"OFF"</formula>
    </cfRule>
    <cfRule type="cellIs" dxfId="3237" priority="8650" operator="equal">
      <formula>"PTO"</formula>
    </cfRule>
  </conditionalFormatting>
  <conditionalFormatting sqref="F33:H42">
    <cfRule type="cellIs" dxfId="3236" priority="8647" operator="equal">
      <formula>"OFF"</formula>
    </cfRule>
    <cfRule type="cellIs" dxfId="3235" priority="8648" operator="equal">
      <formula>"PTO"</formula>
    </cfRule>
  </conditionalFormatting>
  <conditionalFormatting sqref="F33:H42">
    <cfRule type="cellIs" dxfId="3234" priority="8645" operator="equal">
      <formula>"OFF"</formula>
    </cfRule>
    <cfRule type="cellIs" dxfId="3233" priority="8646" operator="equal">
      <formula>"PTO"</formula>
    </cfRule>
  </conditionalFormatting>
  <conditionalFormatting sqref="F33:H42">
    <cfRule type="cellIs" dxfId="3232" priority="8643" operator="equal">
      <formula>"OFF"</formula>
    </cfRule>
    <cfRule type="cellIs" dxfId="3231" priority="8644" operator="equal">
      <formula>"PTO"</formula>
    </cfRule>
  </conditionalFormatting>
  <conditionalFormatting sqref="F33:H42">
    <cfRule type="cellIs" dxfId="3230" priority="8641" operator="equal">
      <formula>"OFF"</formula>
    </cfRule>
    <cfRule type="cellIs" dxfId="3229" priority="8642" operator="equal">
      <formula>"PTO"</formula>
    </cfRule>
  </conditionalFormatting>
  <conditionalFormatting sqref="F33:H42">
    <cfRule type="cellIs" dxfId="3228" priority="8639" operator="equal">
      <formula>"OFF"</formula>
    </cfRule>
    <cfRule type="cellIs" dxfId="3227" priority="8640" operator="equal">
      <formula>"PTO"</formula>
    </cfRule>
  </conditionalFormatting>
  <conditionalFormatting sqref="F33:H42">
    <cfRule type="cellIs" dxfId="3226" priority="8637" operator="equal">
      <formula>"OFF"</formula>
    </cfRule>
    <cfRule type="cellIs" dxfId="3225" priority="8638" operator="equal">
      <formula>"PTO"</formula>
    </cfRule>
  </conditionalFormatting>
  <conditionalFormatting sqref="F33:H42">
    <cfRule type="cellIs" dxfId="3224" priority="8635" operator="equal">
      <formula>"OFF"</formula>
    </cfRule>
    <cfRule type="cellIs" dxfId="3223" priority="8636" operator="equal">
      <formula>"PTO"</formula>
    </cfRule>
  </conditionalFormatting>
  <conditionalFormatting sqref="F33:H42">
    <cfRule type="cellIs" dxfId="3222" priority="8633" operator="equal">
      <formula>"OFF"</formula>
    </cfRule>
    <cfRule type="cellIs" dxfId="3221" priority="8634" operator="equal">
      <formula>"PTO"</formula>
    </cfRule>
  </conditionalFormatting>
  <conditionalFormatting sqref="K34:P42">
    <cfRule type="cellIs" dxfId="3220" priority="6987" operator="equal">
      <formula>"OFF"</formula>
    </cfRule>
    <cfRule type="cellIs" dxfId="3219" priority="6988" operator="equal">
      <formula>"PTO"</formula>
    </cfRule>
  </conditionalFormatting>
  <conditionalFormatting sqref="K34:P42">
    <cfRule type="cellIs" dxfId="3218" priority="6985" operator="equal">
      <formula>"OFF"</formula>
    </cfRule>
    <cfRule type="cellIs" dxfId="3217" priority="6986" operator="equal">
      <formula>"PTO"</formula>
    </cfRule>
  </conditionalFormatting>
  <conditionalFormatting sqref="K34:P42">
    <cfRule type="cellIs" dxfId="3216" priority="6983" operator="equal">
      <formula>"OFF"</formula>
    </cfRule>
    <cfRule type="cellIs" dxfId="3215" priority="6984" operator="equal">
      <formula>"PTO"</formula>
    </cfRule>
  </conditionalFormatting>
  <conditionalFormatting sqref="K34:P42">
    <cfRule type="cellIs" dxfId="3214" priority="6981" operator="equal">
      <formula>"OFF"</formula>
    </cfRule>
    <cfRule type="cellIs" dxfId="3213" priority="6982" operator="equal">
      <formula>"PTO"</formula>
    </cfRule>
  </conditionalFormatting>
  <conditionalFormatting sqref="K34:P42">
    <cfRule type="cellIs" dxfId="3212" priority="6979" operator="equal">
      <formula>"OFF"</formula>
    </cfRule>
    <cfRule type="cellIs" dxfId="3211" priority="6980" operator="equal">
      <formula>"PTO"</formula>
    </cfRule>
  </conditionalFormatting>
  <conditionalFormatting sqref="K34:P42">
    <cfRule type="cellIs" dxfId="3210" priority="6977" operator="equal">
      <formula>"OFF"</formula>
    </cfRule>
    <cfRule type="cellIs" dxfId="3209" priority="6978" operator="equal">
      <formula>"PTO"</formula>
    </cfRule>
  </conditionalFormatting>
  <conditionalFormatting sqref="K34:P42">
    <cfRule type="cellIs" dxfId="3208" priority="6975" operator="equal">
      <formula>"OFF"</formula>
    </cfRule>
    <cfRule type="cellIs" dxfId="3207" priority="6976" operator="equal">
      <formula>"PTO"</formula>
    </cfRule>
  </conditionalFormatting>
  <conditionalFormatting sqref="K34:P42">
    <cfRule type="cellIs" dxfId="3206" priority="6973" operator="equal">
      <formula>"OFF"</formula>
    </cfRule>
    <cfRule type="cellIs" dxfId="3205" priority="6974" operator="equal">
      <formula>"PTO"</formula>
    </cfRule>
  </conditionalFormatting>
  <conditionalFormatting sqref="K34:P42">
    <cfRule type="cellIs" dxfId="3204" priority="6971" operator="equal">
      <formula>"OFF"</formula>
    </cfRule>
    <cfRule type="cellIs" dxfId="3203" priority="6972" operator="equal">
      <formula>"PTO"</formula>
    </cfRule>
  </conditionalFormatting>
  <conditionalFormatting sqref="K34:P42">
    <cfRule type="cellIs" dxfId="3202" priority="6969" operator="equal">
      <formula>"OFF"</formula>
    </cfRule>
    <cfRule type="cellIs" dxfId="3201" priority="6970" operator="equal">
      <formula>"PTO"</formula>
    </cfRule>
  </conditionalFormatting>
  <conditionalFormatting sqref="K34:P42">
    <cfRule type="cellIs" dxfId="3200" priority="6967" operator="equal">
      <formula>"OFF"</formula>
    </cfRule>
    <cfRule type="cellIs" dxfId="3199" priority="6968" operator="equal">
      <formula>"PTO"</formula>
    </cfRule>
  </conditionalFormatting>
  <conditionalFormatting sqref="K34:P42">
    <cfRule type="cellIs" dxfId="3198" priority="6965" operator="equal">
      <formula>"OFF"</formula>
    </cfRule>
    <cfRule type="cellIs" dxfId="3197" priority="6966" operator="equal">
      <formula>"PTO"</formula>
    </cfRule>
  </conditionalFormatting>
  <conditionalFormatting sqref="K34:P42">
    <cfRule type="cellIs" dxfId="3196" priority="6963" operator="equal">
      <formula>"OFF"</formula>
    </cfRule>
    <cfRule type="cellIs" dxfId="3195" priority="6964" operator="equal">
      <formula>"PTO"</formula>
    </cfRule>
  </conditionalFormatting>
  <conditionalFormatting sqref="L34:O42">
    <cfRule type="cellIs" dxfId="3194" priority="6961" operator="equal">
      <formula>"OFF"</formula>
    </cfRule>
    <cfRule type="cellIs" dxfId="3193" priority="6962" operator="equal">
      <formula>"PTO"</formula>
    </cfRule>
  </conditionalFormatting>
  <conditionalFormatting sqref="K34:P42">
    <cfRule type="cellIs" dxfId="3192" priority="6959" operator="equal">
      <formula>"OFF"</formula>
    </cfRule>
    <cfRule type="cellIs" dxfId="3191" priority="6960" operator="equal">
      <formula>"PTO"</formula>
    </cfRule>
  </conditionalFormatting>
  <conditionalFormatting sqref="L34:O42">
    <cfRule type="cellIs" dxfId="3190" priority="6957" operator="equal">
      <formula>"OFF"</formula>
    </cfRule>
    <cfRule type="cellIs" dxfId="3189" priority="6958" operator="equal">
      <formula>"PTO"</formula>
    </cfRule>
  </conditionalFormatting>
  <conditionalFormatting sqref="O34:P42">
    <cfRule type="cellIs" dxfId="3188" priority="6955" operator="equal">
      <formula>"OFF"</formula>
    </cfRule>
    <cfRule type="cellIs" dxfId="3187" priority="6956" operator="equal">
      <formula>"PTO"</formula>
    </cfRule>
  </conditionalFormatting>
  <conditionalFormatting sqref="L34:O42">
    <cfRule type="cellIs" dxfId="3186" priority="6953" operator="equal">
      <formula>"OFF"</formula>
    </cfRule>
    <cfRule type="cellIs" dxfId="3185" priority="6954" operator="equal">
      <formula>"PTO"</formula>
    </cfRule>
  </conditionalFormatting>
  <conditionalFormatting sqref="O34:P42">
    <cfRule type="cellIs" dxfId="3184" priority="6951" operator="equal">
      <formula>"OFF"</formula>
    </cfRule>
    <cfRule type="cellIs" dxfId="3183" priority="6952" operator="equal">
      <formula>"PTO"</formula>
    </cfRule>
  </conditionalFormatting>
  <conditionalFormatting sqref="L34:O42">
    <cfRule type="cellIs" dxfId="3182" priority="6949" operator="equal">
      <formula>"OFF"</formula>
    </cfRule>
    <cfRule type="cellIs" dxfId="3181" priority="6950" operator="equal">
      <formula>"PTO"</formula>
    </cfRule>
  </conditionalFormatting>
  <conditionalFormatting sqref="O34:P42">
    <cfRule type="cellIs" dxfId="3180" priority="6947" operator="equal">
      <formula>"OFF"</formula>
    </cfRule>
    <cfRule type="cellIs" dxfId="3179" priority="6948" operator="equal">
      <formula>"PTO"</formula>
    </cfRule>
  </conditionalFormatting>
  <conditionalFormatting sqref="L34:O42">
    <cfRule type="cellIs" dxfId="3178" priority="6945" operator="equal">
      <formula>"OFF"</formula>
    </cfRule>
    <cfRule type="cellIs" dxfId="3177" priority="6946" operator="equal">
      <formula>"PTO"</formula>
    </cfRule>
  </conditionalFormatting>
  <conditionalFormatting sqref="O34:P42">
    <cfRule type="cellIs" dxfId="3176" priority="6943" operator="equal">
      <formula>"OFF"</formula>
    </cfRule>
    <cfRule type="cellIs" dxfId="3175" priority="6944" operator="equal">
      <formula>"PTO"</formula>
    </cfRule>
  </conditionalFormatting>
  <conditionalFormatting sqref="L34:O42">
    <cfRule type="cellIs" dxfId="3174" priority="6941" operator="equal">
      <formula>"OFF"</formula>
    </cfRule>
    <cfRule type="cellIs" dxfId="3173" priority="6942" operator="equal">
      <formula>"PTO"</formula>
    </cfRule>
  </conditionalFormatting>
  <conditionalFormatting sqref="O34:P42">
    <cfRule type="cellIs" dxfId="3172" priority="6939" operator="equal">
      <formula>"OFF"</formula>
    </cfRule>
    <cfRule type="cellIs" dxfId="3171" priority="6940" operator="equal">
      <formula>"PTO"</formula>
    </cfRule>
  </conditionalFormatting>
  <conditionalFormatting sqref="L34:O42">
    <cfRule type="cellIs" dxfId="3170" priority="6937" operator="equal">
      <formula>"OFF"</formula>
    </cfRule>
    <cfRule type="cellIs" dxfId="3169" priority="6938" operator="equal">
      <formula>"PTO"</formula>
    </cfRule>
  </conditionalFormatting>
  <conditionalFormatting sqref="O34:P42">
    <cfRule type="cellIs" dxfId="3168" priority="6935" operator="equal">
      <formula>"OFF"</formula>
    </cfRule>
    <cfRule type="cellIs" dxfId="3167" priority="6936" operator="equal">
      <formula>"PTO"</formula>
    </cfRule>
  </conditionalFormatting>
  <conditionalFormatting sqref="K34:O34">
    <cfRule type="cellIs" dxfId="3166" priority="6933" operator="equal">
      <formula>"OFF"</formula>
    </cfRule>
    <cfRule type="cellIs" dxfId="3165" priority="6934" operator="equal">
      <formula>"PTO"</formula>
    </cfRule>
  </conditionalFormatting>
  <conditionalFormatting sqref="K34:O34">
    <cfRule type="cellIs" dxfId="3164" priority="6931" operator="equal">
      <formula>"OFF"</formula>
    </cfRule>
    <cfRule type="cellIs" dxfId="3163" priority="6932" operator="equal">
      <formula>"PTO"</formula>
    </cfRule>
  </conditionalFormatting>
  <conditionalFormatting sqref="K34:O34">
    <cfRule type="cellIs" dxfId="3162" priority="6929" operator="equal">
      <formula>"OFF"</formula>
    </cfRule>
    <cfRule type="cellIs" dxfId="3161" priority="6930" operator="equal">
      <formula>"PTO"</formula>
    </cfRule>
  </conditionalFormatting>
  <conditionalFormatting sqref="K34:O34">
    <cfRule type="cellIs" dxfId="3160" priority="6927" operator="equal">
      <formula>"OFF"</formula>
    </cfRule>
    <cfRule type="cellIs" dxfId="3159" priority="6928" operator="equal">
      <formula>"PTO"</formula>
    </cfRule>
  </conditionalFormatting>
  <conditionalFormatting sqref="K34:O34">
    <cfRule type="cellIs" dxfId="3158" priority="6925" operator="equal">
      <formula>"OFF"</formula>
    </cfRule>
    <cfRule type="cellIs" dxfId="3157" priority="6926" operator="equal">
      <formula>"PTO"</formula>
    </cfRule>
  </conditionalFormatting>
  <conditionalFormatting sqref="K34:O34">
    <cfRule type="cellIs" dxfId="3156" priority="6923" operator="equal">
      <formula>"OFF"</formula>
    </cfRule>
    <cfRule type="cellIs" dxfId="3155" priority="6924" operator="equal">
      <formula>"PTO"</formula>
    </cfRule>
  </conditionalFormatting>
  <conditionalFormatting sqref="K34:O34">
    <cfRule type="cellIs" dxfId="3154" priority="6921" operator="equal">
      <formula>"OFF"</formula>
    </cfRule>
    <cfRule type="cellIs" dxfId="3153" priority="6922" operator="equal">
      <formula>"PTO"</formula>
    </cfRule>
  </conditionalFormatting>
  <conditionalFormatting sqref="K34:O34">
    <cfRule type="cellIs" dxfId="3152" priority="6919" operator="equal">
      <formula>"OFF"</formula>
    </cfRule>
    <cfRule type="cellIs" dxfId="3151" priority="6920" operator="equal">
      <formula>"PTO"</formula>
    </cfRule>
  </conditionalFormatting>
  <conditionalFormatting sqref="K34:O34">
    <cfRule type="cellIs" dxfId="3150" priority="6917" operator="equal">
      <formula>"OFF"</formula>
    </cfRule>
    <cfRule type="cellIs" dxfId="3149" priority="6918" operator="equal">
      <formula>"PTO"</formula>
    </cfRule>
  </conditionalFormatting>
  <conditionalFormatting sqref="K34:O34">
    <cfRule type="cellIs" dxfId="3148" priority="6915" operator="equal">
      <formula>"OFF"</formula>
    </cfRule>
    <cfRule type="cellIs" dxfId="3147" priority="6916" operator="equal">
      <formula>"PTO"</formula>
    </cfRule>
  </conditionalFormatting>
  <conditionalFormatting sqref="K34:O34">
    <cfRule type="cellIs" dxfId="3146" priority="6913" operator="equal">
      <formula>"OFF"</formula>
    </cfRule>
    <cfRule type="cellIs" dxfId="3145" priority="6914" operator="equal">
      <formula>"PTO"</formula>
    </cfRule>
  </conditionalFormatting>
  <conditionalFormatting sqref="K34:O34">
    <cfRule type="cellIs" dxfId="3144" priority="6911" operator="equal">
      <formula>"OFF"</formula>
    </cfRule>
    <cfRule type="cellIs" dxfId="3143" priority="6912" operator="equal">
      <formula>"PTO"</formula>
    </cfRule>
  </conditionalFormatting>
  <conditionalFormatting sqref="K34:O34">
    <cfRule type="cellIs" dxfId="3142" priority="6909" operator="equal">
      <formula>"OFF"</formula>
    </cfRule>
    <cfRule type="cellIs" dxfId="3141" priority="6910" operator="equal">
      <formula>"PTO"</formula>
    </cfRule>
  </conditionalFormatting>
  <conditionalFormatting sqref="K34:O34">
    <cfRule type="cellIs" dxfId="3140" priority="6907" operator="equal">
      <formula>"OFF"</formula>
    </cfRule>
    <cfRule type="cellIs" dxfId="3139" priority="6908" operator="equal">
      <formula>"PTO"</formula>
    </cfRule>
  </conditionalFormatting>
  <conditionalFormatting sqref="K34:O34">
    <cfRule type="cellIs" dxfId="3138" priority="6905" operator="equal">
      <formula>"OFF"</formula>
    </cfRule>
    <cfRule type="cellIs" dxfId="3137" priority="6906" operator="equal">
      <formula>"PTO"</formula>
    </cfRule>
  </conditionalFormatting>
  <conditionalFormatting sqref="K34:O34">
    <cfRule type="cellIs" dxfId="3136" priority="6903" operator="equal">
      <formula>"OFF"</formula>
    </cfRule>
    <cfRule type="cellIs" dxfId="3135" priority="6904" operator="equal">
      <formula>"PTO"</formula>
    </cfRule>
  </conditionalFormatting>
  <conditionalFormatting sqref="K34:O34">
    <cfRule type="cellIs" dxfId="3134" priority="6901" operator="equal">
      <formula>"OFF"</formula>
    </cfRule>
    <cfRule type="cellIs" dxfId="3133" priority="6902" operator="equal">
      <formula>"PTO"</formula>
    </cfRule>
  </conditionalFormatting>
  <conditionalFormatting sqref="K34:O34">
    <cfRule type="cellIs" dxfId="3132" priority="6899" operator="equal">
      <formula>"OFF"</formula>
    </cfRule>
    <cfRule type="cellIs" dxfId="3131" priority="6900" operator="equal">
      <formula>"PTO"</formula>
    </cfRule>
  </conditionalFormatting>
  <conditionalFormatting sqref="K34:O34">
    <cfRule type="cellIs" dxfId="3130" priority="6897" operator="equal">
      <formula>"OFF"</formula>
    </cfRule>
    <cfRule type="cellIs" dxfId="3129" priority="6898" operator="equal">
      <formula>"PTO"</formula>
    </cfRule>
  </conditionalFormatting>
  <conditionalFormatting sqref="K34:O34">
    <cfRule type="cellIs" dxfId="3128" priority="6895" operator="equal">
      <formula>"OFF"</formula>
    </cfRule>
    <cfRule type="cellIs" dxfId="3127" priority="6896" operator="equal">
      <formula>"PTO"</formula>
    </cfRule>
  </conditionalFormatting>
  <conditionalFormatting sqref="K34:O34">
    <cfRule type="cellIs" dxfId="3126" priority="6893" operator="equal">
      <formula>"OFF"</formula>
    </cfRule>
    <cfRule type="cellIs" dxfId="3125" priority="6894" operator="equal">
      <formula>"PTO"</formula>
    </cfRule>
  </conditionalFormatting>
  <conditionalFormatting sqref="K34:O34">
    <cfRule type="cellIs" dxfId="3124" priority="6891" operator="equal">
      <formula>"OFF"</formula>
    </cfRule>
    <cfRule type="cellIs" dxfId="3123" priority="6892" operator="equal">
      <formula>"PTO"</formula>
    </cfRule>
  </conditionalFormatting>
  <conditionalFormatting sqref="K34:O34">
    <cfRule type="cellIs" dxfId="3122" priority="6889" operator="equal">
      <formula>"OFF"</formula>
    </cfRule>
    <cfRule type="cellIs" dxfId="3121" priority="6890" operator="equal">
      <formula>"PTO"</formula>
    </cfRule>
  </conditionalFormatting>
  <conditionalFormatting sqref="K34:O34">
    <cfRule type="cellIs" dxfId="3120" priority="6887" operator="equal">
      <formula>"OFF"</formula>
    </cfRule>
    <cfRule type="cellIs" dxfId="3119" priority="6888" operator="equal">
      <formula>"PTO"</formula>
    </cfRule>
  </conditionalFormatting>
  <conditionalFormatting sqref="K34:O34">
    <cfRule type="cellIs" dxfId="3118" priority="6885" operator="equal">
      <formula>"OFF"</formula>
    </cfRule>
    <cfRule type="cellIs" dxfId="3117" priority="6886" operator="equal">
      <formula>"PTO"</formula>
    </cfRule>
  </conditionalFormatting>
  <conditionalFormatting sqref="K34:O34">
    <cfRule type="cellIs" dxfId="3116" priority="6883" operator="equal">
      <formula>"OFF"</formula>
    </cfRule>
    <cfRule type="cellIs" dxfId="3115" priority="6884" operator="equal">
      <formula>"PTO"</formula>
    </cfRule>
  </conditionalFormatting>
  <conditionalFormatting sqref="K34:O34">
    <cfRule type="cellIs" dxfId="3114" priority="6881" operator="equal">
      <formula>"OFF"</formula>
    </cfRule>
    <cfRule type="cellIs" dxfId="3113" priority="6882" operator="equal">
      <formula>"PTO"</formula>
    </cfRule>
  </conditionalFormatting>
  <conditionalFormatting sqref="K34:O34">
    <cfRule type="cellIs" dxfId="3112" priority="6879" operator="equal">
      <formula>"OFF"</formula>
    </cfRule>
    <cfRule type="cellIs" dxfId="3111" priority="6880" operator="equal">
      <formula>"PTO"</formula>
    </cfRule>
  </conditionalFormatting>
  <conditionalFormatting sqref="K34:O34">
    <cfRule type="cellIs" dxfId="3110" priority="6877" operator="equal">
      <formula>"OFF"</formula>
    </cfRule>
    <cfRule type="cellIs" dxfId="3109" priority="6878" operator="equal">
      <formula>"PTO"</formula>
    </cfRule>
  </conditionalFormatting>
  <conditionalFormatting sqref="K34:O34">
    <cfRule type="cellIs" dxfId="3108" priority="6875" operator="equal">
      <formula>"OFF"</formula>
    </cfRule>
    <cfRule type="cellIs" dxfId="3107" priority="6876" operator="equal">
      <formula>"PTO"</formula>
    </cfRule>
  </conditionalFormatting>
  <conditionalFormatting sqref="K34:O34">
    <cfRule type="cellIs" dxfId="3106" priority="6873" operator="equal">
      <formula>"OFF"</formula>
    </cfRule>
    <cfRule type="cellIs" dxfId="3105" priority="6874" operator="equal">
      <formula>"PTO"</formula>
    </cfRule>
  </conditionalFormatting>
  <conditionalFormatting sqref="K34:O34">
    <cfRule type="cellIs" dxfId="3104" priority="6871" operator="equal">
      <formula>"OFF"</formula>
    </cfRule>
    <cfRule type="cellIs" dxfId="3103" priority="6872" operator="equal">
      <formula>"PTO"</formula>
    </cfRule>
  </conditionalFormatting>
  <conditionalFormatting sqref="K34:O34">
    <cfRule type="cellIs" dxfId="3102" priority="6869" operator="equal">
      <formula>"OFF"</formula>
    </cfRule>
    <cfRule type="cellIs" dxfId="3101" priority="6870" operator="equal">
      <formula>"PTO"</formula>
    </cfRule>
  </conditionalFormatting>
  <conditionalFormatting sqref="K34:O34">
    <cfRule type="cellIs" dxfId="3100" priority="6867" operator="equal">
      <formula>"OFF"</formula>
    </cfRule>
    <cfRule type="cellIs" dxfId="3099" priority="6868" operator="equal">
      <formula>"PTO"</formula>
    </cfRule>
  </conditionalFormatting>
  <conditionalFormatting sqref="K34:O34">
    <cfRule type="cellIs" dxfId="3098" priority="6865" operator="equal">
      <formula>"OFF"</formula>
    </cfRule>
    <cfRule type="cellIs" dxfId="3097" priority="6866" operator="equal">
      <formula>"PTO"</formula>
    </cfRule>
  </conditionalFormatting>
  <conditionalFormatting sqref="K34:O34">
    <cfRule type="cellIs" dxfId="3096" priority="6863" operator="equal">
      <formula>"OFF"</formula>
    </cfRule>
    <cfRule type="cellIs" dxfId="3095" priority="6864" operator="equal">
      <formula>"PTO"</formula>
    </cfRule>
  </conditionalFormatting>
  <conditionalFormatting sqref="K34:O34">
    <cfRule type="cellIs" dxfId="3094" priority="6861" operator="equal">
      <formula>"OFF"</formula>
    </cfRule>
    <cfRule type="cellIs" dxfId="3093" priority="6862" operator="equal">
      <formula>"PTO"</formula>
    </cfRule>
  </conditionalFormatting>
  <conditionalFormatting sqref="K34:O34">
    <cfRule type="cellIs" dxfId="3092" priority="6859" operator="equal">
      <formula>"OFF"</formula>
    </cfRule>
    <cfRule type="cellIs" dxfId="3091" priority="6860" operator="equal">
      <formula>"PTO"</formula>
    </cfRule>
  </conditionalFormatting>
  <conditionalFormatting sqref="K34:O34">
    <cfRule type="cellIs" dxfId="3090" priority="6857" operator="equal">
      <formula>"OFF"</formula>
    </cfRule>
    <cfRule type="cellIs" dxfId="3089" priority="6858" operator="equal">
      <formula>"PTO"</formula>
    </cfRule>
  </conditionalFormatting>
  <conditionalFormatting sqref="K34:O34">
    <cfRule type="cellIs" dxfId="3088" priority="6855" operator="equal">
      <formula>"OFF"</formula>
    </cfRule>
    <cfRule type="cellIs" dxfId="3087" priority="6856" operator="equal">
      <formula>"PTO"</formula>
    </cfRule>
  </conditionalFormatting>
  <conditionalFormatting sqref="K34:O34">
    <cfRule type="cellIs" dxfId="3086" priority="6853" operator="equal">
      <formula>"OFF"</formula>
    </cfRule>
    <cfRule type="cellIs" dxfId="3085" priority="6854" operator="equal">
      <formula>"PTO"</formula>
    </cfRule>
  </conditionalFormatting>
  <conditionalFormatting sqref="K34:O34">
    <cfRule type="cellIs" dxfId="3084" priority="6851" operator="equal">
      <formula>"OFF"</formula>
    </cfRule>
    <cfRule type="cellIs" dxfId="3083" priority="6852" operator="equal">
      <formula>"PTO"</formula>
    </cfRule>
  </conditionalFormatting>
  <conditionalFormatting sqref="K34:O34">
    <cfRule type="cellIs" dxfId="3082" priority="6849" operator="equal">
      <formula>"OFF"</formula>
    </cfRule>
    <cfRule type="cellIs" dxfId="3081" priority="6850" operator="equal">
      <formula>"PTO"</formula>
    </cfRule>
  </conditionalFormatting>
  <conditionalFormatting sqref="M34:O34">
    <cfRule type="cellIs" dxfId="3080" priority="6847" operator="equal">
      <formula>"OFF"</formula>
    </cfRule>
    <cfRule type="cellIs" dxfId="3079" priority="6848" operator="equal">
      <formula>"PTO"</formula>
    </cfRule>
  </conditionalFormatting>
  <conditionalFormatting sqref="N34:O34">
    <cfRule type="cellIs" dxfId="3078" priority="6845" operator="equal">
      <formula>"OFF"</formula>
    </cfRule>
    <cfRule type="cellIs" dxfId="3077" priority="6846" operator="equal">
      <formula>"PTO"</formula>
    </cfRule>
  </conditionalFormatting>
  <conditionalFormatting sqref="N34:O34">
    <cfRule type="cellIs" dxfId="3076" priority="6843" operator="equal">
      <formula>"OFF"</formula>
    </cfRule>
    <cfRule type="cellIs" dxfId="3075" priority="6844" operator="equal">
      <formula>"PTO"</formula>
    </cfRule>
  </conditionalFormatting>
  <conditionalFormatting sqref="N34:O34">
    <cfRule type="cellIs" dxfId="3074" priority="6841" operator="equal">
      <formula>"OFF"</formula>
    </cfRule>
    <cfRule type="cellIs" dxfId="3073" priority="6842" operator="equal">
      <formula>"PTO"</formula>
    </cfRule>
  </conditionalFormatting>
  <conditionalFormatting sqref="N34:O34">
    <cfRule type="cellIs" dxfId="3072" priority="6839" operator="equal">
      <formula>"OFF"</formula>
    </cfRule>
    <cfRule type="cellIs" dxfId="3071" priority="6840" operator="equal">
      <formula>"PTO"</formula>
    </cfRule>
  </conditionalFormatting>
  <conditionalFormatting sqref="N34:O34">
    <cfRule type="cellIs" dxfId="3070" priority="6837" operator="equal">
      <formula>"OFF"</formula>
    </cfRule>
    <cfRule type="cellIs" dxfId="3069" priority="6838" operator="equal">
      <formula>"PTO"</formula>
    </cfRule>
  </conditionalFormatting>
  <conditionalFormatting sqref="N34:O34">
    <cfRule type="cellIs" dxfId="3068" priority="6835" operator="equal">
      <formula>"OFF"</formula>
    </cfRule>
    <cfRule type="cellIs" dxfId="3067" priority="6836" operator="equal">
      <formula>"PTO"</formula>
    </cfRule>
  </conditionalFormatting>
  <conditionalFormatting sqref="N34:O34">
    <cfRule type="cellIs" dxfId="3066" priority="6833" operator="equal">
      <formula>"OFF"</formula>
    </cfRule>
    <cfRule type="cellIs" dxfId="3065" priority="6834" operator="equal">
      <formula>"PTO"</formula>
    </cfRule>
  </conditionalFormatting>
  <conditionalFormatting sqref="N34:O34">
    <cfRule type="cellIs" dxfId="3064" priority="6831" operator="equal">
      <formula>"OFF"</formula>
    </cfRule>
    <cfRule type="cellIs" dxfId="3063" priority="6832" operator="equal">
      <formula>"PTO"</formula>
    </cfRule>
  </conditionalFormatting>
  <conditionalFormatting sqref="P34">
    <cfRule type="cellIs" dxfId="3062" priority="6829" operator="equal">
      <formula>"OFF"</formula>
    </cfRule>
    <cfRule type="cellIs" dxfId="3061" priority="6830" operator="equal">
      <formula>"PTO"</formula>
    </cfRule>
  </conditionalFormatting>
  <conditionalFormatting sqref="P34">
    <cfRule type="cellIs" dxfId="3060" priority="6827" operator="equal">
      <formula>"OFF"</formula>
    </cfRule>
    <cfRule type="cellIs" dxfId="3059" priority="6828" operator="equal">
      <formula>"PTO"</formula>
    </cfRule>
  </conditionalFormatting>
  <conditionalFormatting sqref="P34">
    <cfRule type="cellIs" dxfId="3058" priority="6825" operator="equal">
      <formula>"OFF"</formula>
    </cfRule>
    <cfRule type="cellIs" dxfId="3057" priority="6826" operator="equal">
      <formula>"PTO"</formula>
    </cfRule>
  </conditionalFormatting>
  <conditionalFormatting sqref="P34">
    <cfRule type="cellIs" dxfId="3056" priority="6823" operator="equal">
      <formula>"OFF"</formula>
    </cfRule>
    <cfRule type="cellIs" dxfId="3055" priority="6824" operator="equal">
      <formula>"PTO"</formula>
    </cfRule>
  </conditionalFormatting>
  <conditionalFormatting sqref="P34">
    <cfRule type="cellIs" dxfId="3054" priority="6821" operator="equal">
      <formula>"OFF"</formula>
    </cfRule>
    <cfRule type="cellIs" dxfId="3053" priority="6822" operator="equal">
      <formula>"PTO"</formula>
    </cfRule>
  </conditionalFormatting>
  <conditionalFormatting sqref="P34">
    <cfRule type="cellIs" dxfId="3052" priority="6819" operator="equal">
      <formula>"OFF"</formula>
    </cfRule>
    <cfRule type="cellIs" dxfId="3051" priority="6820" operator="equal">
      <formula>"PTO"</formula>
    </cfRule>
  </conditionalFormatting>
  <conditionalFormatting sqref="P34">
    <cfRule type="cellIs" dxfId="3050" priority="6817" operator="equal">
      <formula>"OFF"</formula>
    </cfRule>
    <cfRule type="cellIs" dxfId="3049" priority="6818" operator="equal">
      <formula>"PTO"</formula>
    </cfRule>
  </conditionalFormatting>
  <conditionalFormatting sqref="P34">
    <cfRule type="cellIs" dxfId="3048" priority="6815" operator="equal">
      <formula>"OFF"</formula>
    </cfRule>
    <cfRule type="cellIs" dxfId="3047" priority="6816" operator="equal">
      <formula>"PTO"</formula>
    </cfRule>
  </conditionalFormatting>
  <conditionalFormatting sqref="P33:P42">
    <cfRule type="cellIs" dxfId="3046" priority="6649" operator="equal">
      <formula>"OFF"</formula>
    </cfRule>
    <cfRule type="cellIs" dxfId="3045" priority="6650" operator="equal">
      <formula>"PTO"</formula>
    </cfRule>
  </conditionalFormatting>
  <conditionalFormatting sqref="P33:P42">
    <cfRule type="cellIs" dxfId="3044" priority="6647" operator="equal">
      <formula>"OFF"</formula>
    </cfRule>
    <cfRule type="cellIs" dxfId="3043" priority="6648" operator="equal">
      <formula>"PTO"</formula>
    </cfRule>
  </conditionalFormatting>
  <conditionalFormatting sqref="P33:P42">
    <cfRule type="cellIs" dxfId="3042" priority="6645" operator="equal">
      <formula>"OFF"</formula>
    </cfRule>
    <cfRule type="cellIs" dxfId="3041" priority="6646" operator="equal">
      <formula>"PTO"</formula>
    </cfRule>
  </conditionalFormatting>
  <conditionalFormatting sqref="P33:P42">
    <cfRule type="cellIs" dxfId="3040" priority="6643" operator="equal">
      <formula>"OFF"</formula>
    </cfRule>
    <cfRule type="cellIs" dxfId="3039" priority="6644" operator="equal">
      <formula>"PTO"</formula>
    </cfRule>
  </conditionalFormatting>
  <conditionalFormatting sqref="P33:P42">
    <cfRule type="cellIs" dxfId="3038" priority="6641" operator="equal">
      <formula>"OFF"</formula>
    </cfRule>
    <cfRule type="cellIs" dxfId="3037" priority="6642" operator="equal">
      <formula>"PTO"</formula>
    </cfRule>
  </conditionalFormatting>
  <conditionalFormatting sqref="K33:L42 N33:O33">
    <cfRule type="cellIs" dxfId="3036" priority="6639" operator="equal">
      <formula>"OFF"</formula>
    </cfRule>
    <cfRule type="cellIs" dxfId="3035" priority="6640" operator="equal">
      <formula>"PTO"</formula>
    </cfRule>
  </conditionalFormatting>
  <conditionalFormatting sqref="K33:L42 N33:P33 P33:P42">
    <cfRule type="cellIs" dxfId="3034" priority="6633" operator="equal">
      <formula>"OFF"</formula>
    </cfRule>
    <cfRule type="cellIs" dxfId="3033" priority="6634" operator="equal">
      <formula>"PTO"</formula>
    </cfRule>
  </conditionalFormatting>
  <conditionalFormatting sqref="K33:L42 N33:P33 P33:P42">
    <cfRule type="cellIs" dxfId="3032" priority="6617" operator="equal">
      <formula>"OFF"</formula>
    </cfRule>
    <cfRule type="cellIs" dxfId="3031" priority="6618" operator="equal">
      <formula>"PTO"</formula>
    </cfRule>
  </conditionalFormatting>
  <conditionalFormatting sqref="K33:L42 N33:P33 P33:P42">
    <cfRule type="cellIs" dxfId="3030" priority="6585" operator="equal">
      <formula>"OFF"</formula>
    </cfRule>
    <cfRule type="cellIs" dxfId="3029" priority="6586" operator="equal">
      <formula>"PTO"</formula>
    </cfRule>
  </conditionalFormatting>
  <conditionalFormatting sqref="K33:L42 N33:P33 P33:P42">
    <cfRule type="cellIs" dxfId="3028" priority="6583" operator="equal">
      <formula>"OFF"</formula>
    </cfRule>
    <cfRule type="cellIs" dxfId="3027" priority="6584" operator="equal">
      <formula>"PTO"</formula>
    </cfRule>
  </conditionalFormatting>
  <conditionalFormatting sqref="K33:L42 N33:P33 P33:P42">
    <cfRule type="cellIs" dxfId="3026" priority="6813" operator="equal">
      <formula>"OFF"</formula>
    </cfRule>
    <cfRule type="cellIs" dxfId="3025" priority="6814" operator="equal">
      <formula>"PTO"</formula>
    </cfRule>
  </conditionalFormatting>
  <conditionalFormatting sqref="K33:L42 N33:P33 P33:P42">
    <cfRule type="cellIs" dxfId="3024" priority="6811" operator="equal">
      <formula>"OFF"</formula>
    </cfRule>
    <cfRule type="cellIs" dxfId="3023" priority="6812" operator="equal">
      <formula>"PTO"</formula>
    </cfRule>
  </conditionalFormatting>
  <conditionalFormatting sqref="K33:L42 N33:P33 P33:P42">
    <cfRule type="cellIs" dxfId="3022" priority="6809" operator="equal">
      <formula>"OFF"</formula>
    </cfRule>
    <cfRule type="cellIs" dxfId="3021" priority="6810" operator="equal">
      <formula>"PTO"</formula>
    </cfRule>
  </conditionalFormatting>
  <conditionalFormatting sqref="K33:L42 N33:P33 P33:P42">
    <cfRule type="cellIs" dxfId="3020" priority="6807" operator="equal">
      <formula>"OFF"</formula>
    </cfRule>
    <cfRule type="cellIs" dxfId="3019" priority="6808" operator="equal">
      <formula>"PTO"</formula>
    </cfRule>
  </conditionalFormatting>
  <conditionalFormatting sqref="K33:L42 N33:P33 P33:P42">
    <cfRule type="cellIs" dxfId="3018" priority="6805" operator="equal">
      <formula>"OFF"</formula>
    </cfRule>
    <cfRule type="cellIs" dxfId="3017" priority="6806" operator="equal">
      <formula>"PTO"</formula>
    </cfRule>
  </conditionalFormatting>
  <conditionalFormatting sqref="K33:L42 N33:P33 P33:P42">
    <cfRule type="cellIs" dxfId="3016" priority="6803" operator="equal">
      <formula>"OFF"</formula>
    </cfRule>
    <cfRule type="cellIs" dxfId="3015" priority="6804" operator="equal">
      <formula>"PTO"</formula>
    </cfRule>
  </conditionalFormatting>
  <conditionalFormatting sqref="K33:L42 N33:P33 P33:P42">
    <cfRule type="cellIs" dxfId="3014" priority="6801" operator="equal">
      <formula>"OFF"</formula>
    </cfRule>
    <cfRule type="cellIs" dxfId="3013" priority="6802" operator="equal">
      <formula>"PTO"</formula>
    </cfRule>
  </conditionalFormatting>
  <conditionalFormatting sqref="K33:L42 N33:P33 P33:P42">
    <cfRule type="cellIs" dxfId="3012" priority="6799" operator="equal">
      <formula>"OFF"</formula>
    </cfRule>
    <cfRule type="cellIs" dxfId="3011" priority="6800" operator="equal">
      <formula>"PTO"</formula>
    </cfRule>
  </conditionalFormatting>
  <conditionalFormatting sqref="K33:L42 N33:P33 P33:P42">
    <cfRule type="cellIs" dxfId="3010" priority="6797" operator="equal">
      <formula>"OFF"</formula>
    </cfRule>
    <cfRule type="cellIs" dxfId="3009" priority="6798" operator="equal">
      <formula>"PTO"</formula>
    </cfRule>
  </conditionalFormatting>
  <conditionalFormatting sqref="K33:L42 N33:P33 P33:P42">
    <cfRule type="cellIs" dxfId="3008" priority="6795" operator="equal">
      <formula>"OFF"</formula>
    </cfRule>
    <cfRule type="cellIs" dxfId="3007" priority="6796" operator="equal">
      <formula>"PTO"</formula>
    </cfRule>
  </conditionalFormatting>
  <conditionalFormatting sqref="K33:L42 N33:P33 P33:P42">
    <cfRule type="cellIs" dxfId="3006" priority="6793" operator="equal">
      <formula>"OFF"</formula>
    </cfRule>
    <cfRule type="cellIs" dxfId="3005" priority="6794" operator="equal">
      <formula>"PTO"</formula>
    </cfRule>
  </conditionalFormatting>
  <conditionalFormatting sqref="K33:L42 N33:P33 P33:P42">
    <cfRule type="cellIs" dxfId="3004" priority="6791" operator="equal">
      <formula>"OFF"</formula>
    </cfRule>
    <cfRule type="cellIs" dxfId="3003" priority="6792" operator="equal">
      <formula>"PTO"</formula>
    </cfRule>
  </conditionalFormatting>
  <conditionalFormatting sqref="K33:L42 N33:P33 P33:P42">
    <cfRule type="cellIs" dxfId="3002" priority="6789" operator="equal">
      <formula>"OFF"</formula>
    </cfRule>
    <cfRule type="cellIs" dxfId="3001" priority="6790" operator="equal">
      <formula>"PTO"</formula>
    </cfRule>
  </conditionalFormatting>
  <conditionalFormatting sqref="L33 N33:O33">
    <cfRule type="cellIs" dxfId="3000" priority="6787" operator="equal">
      <formula>"OFF"</formula>
    </cfRule>
    <cfRule type="cellIs" dxfId="2999" priority="6788" operator="equal">
      <formula>"PTO"</formula>
    </cfRule>
  </conditionalFormatting>
  <conditionalFormatting sqref="K33:L42 N33:P33 P33:P42">
    <cfRule type="cellIs" dxfId="2998" priority="6785" operator="equal">
      <formula>"OFF"</formula>
    </cfRule>
    <cfRule type="cellIs" dxfId="2997" priority="6786" operator="equal">
      <formula>"PTO"</formula>
    </cfRule>
  </conditionalFormatting>
  <conditionalFormatting sqref="L33 N33:O33">
    <cfRule type="cellIs" dxfId="2996" priority="6783" operator="equal">
      <formula>"OFF"</formula>
    </cfRule>
    <cfRule type="cellIs" dxfId="2995" priority="6784" operator="equal">
      <formula>"PTO"</formula>
    </cfRule>
  </conditionalFormatting>
  <conditionalFormatting sqref="O33:P33 P33:P42">
    <cfRule type="cellIs" dxfId="2994" priority="6781" operator="equal">
      <formula>"OFF"</formula>
    </cfRule>
    <cfRule type="cellIs" dxfId="2993" priority="6782" operator="equal">
      <formula>"PTO"</formula>
    </cfRule>
  </conditionalFormatting>
  <conditionalFormatting sqref="L33 N33:O33">
    <cfRule type="cellIs" dxfId="2992" priority="6779" operator="equal">
      <formula>"OFF"</formula>
    </cfRule>
    <cfRule type="cellIs" dxfId="2991" priority="6780" operator="equal">
      <formula>"PTO"</formula>
    </cfRule>
  </conditionalFormatting>
  <conditionalFormatting sqref="O33:P33 P33:P42">
    <cfRule type="cellIs" dxfId="2990" priority="6777" operator="equal">
      <formula>"OFF"</formula>
    </cfRule>
    <cfRule type="cellIs" dxfId="2989" priority="6778" operator="equal">
      <formula>"PTO"</formula>
    </cfRule>
  </conditionalFormatting>
  <conditionalFormatting sqref="L33 N33:O33">
    <cfRule type="cellIs" dxfId="2988" priority="6775" operator="equal">
      <formula>"OFF"</formula>
    </cfRule>
    <cfRule type="cellIs" dxfId="2987" priority="6776" operator="equal">
      <formula>"PTO"</formula>
    </cfRule>
  </conditionalFormatting>
  <conditionalFormatting sqref="O33:P33 P33:P42">
    <cfRule type="cellIs" dxfId="2986" priority="6773" operator="equal">
      <formula>"OFF"</formula>
    </cfRule>
    <cfRule type="cellIs" dxfId="2985" priority="6774" operator="equal">
      <formula>"PTO"</formula>
    </cfRule>
  </conditionalFormatting>
  <conditionalFormatting sqref="L33 N33:O33">
    <cfRule type="cellIs" dxfId="2984" priority="6771" operator="equal">
      <formula>"OFF"</formula>
    </cfRule>
    <cfRule type="cellIs" dxfId="2983" priority="6772" operator="equal">
      <formula>"PTO"</formula>
    </cfRule>
  </conditionalFormatting>
  <conditionalFormatting sqref="O33:P33 P33:P42">
    <cfRule type="cellIs" dxfId="2982" priority="6769" operator="equal">
      <formula>"OFF"</formula>
    </cfRule>
    <cfRule type="cellIs" dxfId="2981" priority="6770" operator="equal">
      <formula>"PTO"</formula>
    </cfRule>
  </conditionalFormatting>
  <conditionalFormatting sqref="L33 N33:O33">
    <cfRule type="cellIs" dxfId="2980" priority="6767" operator="equal">
      <formula>"OFF"</formula>
    </cfRule>
    <cfRule type="cellIs" dxfId="2979" priority="6768" operator="equal">
      <formula>"PTO"</formula>
    </cfRule>
  </conditionalFormatting>
  <conditionalFormatting sqref="O33:P33 P33:P42">
    <cfRule type="cellIs" dxfId="2978" priority="6765" operator="equal">
      <formula>"OFF"</formula>
    </cfRule>
    <cfRule type="cellIs" dxfId="2977" priority="6766" operator="equal">
      <formula>"PTO"</formula>
    </cfRule>
  </conditionalFormatting>
  <conditionalFormatting sqref="L33 N33:O33">
    <cfRule type="cellIs" dxfId="2976" priority="6763" operator="equal">
      <formula>"OFF"</formula>
    </cfRule>
    <cfRule type="cellIs" dxfId="2975" priority="6764" operator="equal">
      <formula>"PTO"</formula>
    </cfRule>
  </conditionalFormatting>
  <conditionalFormatting sqref="O33:P33 P33:P42">
    <cfRule type="cellIs" dxfId="2974" priority="6761" operator="equal">
      <formula>"OFF"</formula>
    </cfRule>
    <cfRule type="cellIs" dxfId="2973" priority="6762" operator="equal">
      <formula>"PTO"</formula>
    </cfRule>
  </conditionalFormatting>
  <conditionalFormatting sqref="K33:L42 N33:O33">
    <cfRule type="cellIs" dxfId="2972" priority="6759" operator="equal">
      <formula>"OFF"</formula>
    </cfRule>
    <cfRule type="cellIs" dxfId="2971" priority="6760" operator="equal">
      <formula>"PTO"</formula>
    </cfRule>
  </conditionalFormatting>
  <conditionalFormatting sqref="K33:L42 N33:O33">
    <cfRule type="cellIs" dxfId="2970" priority="6757" operator="equal">
      <formula>"OFF"</formula>
    </cfRule>
    <cfRule type="cellIs" dxfId="2969" priority="6758" operator="equal">
      <formula>"PTO"</formula>
    </cfRule>
  </conditionalFormatting>
  <conditionalFormatting sqref="K33:L42 N33:O33">
    <cfRule type="cellIs" dxfId="2968" priority="6755" operator="equal">
      <formula>"OFF"</formula>
    </cfRule>
    <cfRule type="cellIs" dxfId="2967" priority="6756" operator="equal">
      <formula>"PTO"</formula>
    </cfRule>
  </conditionalFormatting>
  <conditionalFormatting sqref="K33:L42 N33:O33">
    <cfRule type="cellIs" dxfId="2966" priority="6753" operator="equal">
      <formula>"OFF"</formula>
    </cfRule>
    <cfRule type="cellIs" dxfId="2965" priority="6754" operator="equal">
      <formula>"PTO"</formula>
    </cfRule>
  </conditionalFormatting>
  <conditionalFormatting sqref="K33:L42 N33:O33">
    <cfRule type="cellIs" dxfId="2964" priority="6751" operator="equal">
      <formula>"OFF"</formula>
    </cfRule>
    <cfRule type="cellIs" dxfId="2963" priority="6752" operator="equal">
      <formula>"PTO"</formula>
    </cfRule>
  </conditionalFormatting>
  <conditionalFormatting sqref="K33:L42 N33:O33">
    <cfRule type="cellIs" dxfId="2962" priority="6749" operator="equal">
      <formula>"OFF"</formula>
    </cfRule>
    <cfRule type="cellIs" dxfId="2961" priority="6750" operator="equal">
      <formula>"PTO"</formula>
    </cfRule>
  </conditionalFormatting>
  <conditionalFormatting sqref="K33:L42 N33:O33">
    <cfRule type="cellIs" dxfId="2960" priority="6747" operator="equal">
      <formula>"OFF"</formula>
    </cfRule>
    <cfRule type="cellIs" dxfId="2959" priority="6748" operator="equal">
      <formula>"PTO"</formula>
    </cfRule>
  </conditionalFormatting>
  <conditionalFormatting sqref="K33:L42 N33:O33">
    <cfRule type="cellIs" dxfId="2958" priority="6745" operator="equal">
      <formula>"OFF"</formula>
    </cfRule>
    <cfRule type="cellIs" dxfId="2957" priority="6746" operator="equal">
      <formula>"PTO"</formula>
    </cfRule>
  </conditionalFormatting>
  <conditionalFormatting sqref="K33:L42 N33:O33">
    <cfRule type="cellIs" dxfId="2956" priority="6743" operator="equal">
      <formula>"OFF"</formula>
    </cfRule>
    <cfRule type="cellIs" dxfId="2955" priority="6744" operator="equal">
      <formula>"PTO"</formula>
    </cfRule>
  </conditionalFormatting>
  <conditionalFormatting sqref="K33:L42 N33:O33">
    <cfRule type="cellIs" dxfId="2954" priority="6741" operator="equal">
      <formula>"OFF"</formula>
    </cfRule>
    <cfRule type="cellIs" dxfId="2953" priority="6742" operator="equal">
      <formula>"PTO"</formula>
    </cfRule>
  </conditionalFormatting>
  <conditionalFormatting sqref="K33:L42 N33:O33">
    <cfRule type="cellIs" dxfId="2952" priority="6739" operator="equal">
      <formula>"OFF"</formula>
    </cfRule>
    <cfRule type="cellIs" dxfId="2951" priority="6740" operator="equal">
      <formula>"PTO"</formula>
    </cfRule>
  </conditionalFormatting>
  <conditionalFormatting sqref="K33:L42 N33:O33">
    <cfRule type="cellIs" dxfId="2950" priority="6737" operator="equal">
      <formula>"OFF"</formula>
    </cfRule>
    <cfRule type="cellIs" dxfId="2949" priority="6738" operator="equal">
      <formula>"PTO"</formula>
    </cfRule>
  </conditionalFormatting>
  <conditionalFormatting sqref="K33:L42 N33:O33">
    <cfRule type="cellIs" dxfId="2948" priority="6735" operator="equal">
      <formula>"OFF"</formula>
    </cfRule>
    <cfRule type="cellIs" dxfId="2947" priority="6736" operator="equal">
      <formula>"PTO"</formula>
    </cfRule>
  </conditionalFormatting>
  <conditionalFormatting sqref="K33:L42 N33:O33">
    <cfRule type="cellIs" dxfId="2946" priority="6733" operator="equal">
      <formula>"OFF"</formula>
    </cfRule>
    <cfRule type="cellIs" dxfId="2945" priority="6734" operator="equal">
      <formula>"PTO"</formula>
    </cfRule>
  </conditionalFormatting>
  <conditionalFormatting sqref="K33:L42 N33:O33">
    <cfRule type="cellIs" dxfId="2944" priority="6731" operator="equal">
      <formula>"OFF"</formula>
    </cfRule>
    <cfRule type="cellIs" dxfId="2943" priority="6732" operator="equal">
      <formula>"PTO"</formula>
    </cfRule>
  </conditionalFormatting>
  <conditionalFormatting sqref="K33:L42 N33:O33">
    <cfRule type="cellIs" dxfId="2942" priority="6729" operator="equal">
      <formula>"OFF"</formula>
    </cfRule>
    <cfRule type="cellIs" dxfId="2941" priority="6730" operator="equal">
      <formula>"PTO"</formula>
    </cfRule>
  </conditionalFormatting>
  <conditionalFormatting sqref="K33:L42 N33:O33">
    <cfRule type="cellIs" dxfId="2940" priority="6727" operator="equal">
      <formula>"OFF"</formula>
    </cfRule>
    <cfRule type="cellIs" dxfId="2939" priority="6728" operator="equal">
      <formula>"PTO"</formula>
    </cfRule>
  </conditionalFormatting>
  <conditionalFormatting sqref="K33:L42 N33:O33">
    <cfRule type="cellIs" dxfId="2938" priority="6725" operator="equal">
      <formula>"OFF"</formula>
    </cfRule>
    <cfRule type="cellIs" dxfId="2937" priority="6726" operator="equal">
      <formula>"PTO"</formula>
    </cfRule>
  </conditionalFormatting>
  <conditionalFormatting sqref="K33:L42 N33:O33">
    <cfRule type="cellIs" dxfId="2936" priority="6723" operator="equal">
      <formula>"OFF"</formula>
    </cfRule>
    <cfRule type="cellIs" dxfId="2935" priority="6724" operator="equal">
      <formula>"PTO"</formula>
    </cfRule>
  </conditionalFormatting>
  <conditionalFormatting sqref="K33:L42 N33:O33">
    <cfRule type="cellIs" dxfId="2934" priority="6721" operator="equal">
      <formula>"OFF"</formula>
    </cfRule>
    <cfRule type="cellIs" dxfId="2933" priority="6722" operator="equal">
      <formula>"PTO"</formula>
    </cfRule>
  </conditionalFormatting>
  <conditionalFormatting sqref="K33:L42 N33:O33">
    <cfRule type="cellIs" dxfId="2932" priority="6719" operator="equal">
      <formula>"OFF"</formula>
    </cfRule>
    <cfRule type="cellIs" dxfId="2931" priority="6720" operator="equal">
      <formula>"PTO"</formula>
    </cfRule>
  </conditionalFormatting>
  <conditionalFormatting sqref="K33:L42 N33:O33">
    <cfRule type="cellIs" dxfId="2930" priority="6717" operator="equal">
      <formula>"OFF"</formula>
    </cfRule>
    <cfRule type="cellIs" dxfId="2929" priority="6718" operator="equal">
      <formula>"PTO"</formula>
    </cfRule>
  </conditionalFormatting>
  <conditionalFormatting sqref="K33:L42 N33:O33">
    <cfRule type="cellIs" dxfId="2928" priority="6715" operator="equal">
      <formula>"OFF"</formula>
    </cfRule>
    <cfRule type="cellIs" dxfId="2927" priority="6716" operator="equal">
      <formula>"PTO"</formula>
    </cfRule>
  </conditionalFormatting>
  <conditionalFormatting sqref="K33:L42 N33:O33">
    <cfRule type="cellIs" dxfId="2926" priority="6713" operator="equal">
      <formula>"OFF"</formula>
    </cfRule>
    <cfRule type="cellIs" dxfId="2925" priority="6714" operator="equal">
      <formula>"PTO"</formula>
    </cfRule>
  </conditionalFormatting>
  <conditionalFormatting sqref="K33:L42 N33:O33">
    <cfRule type="cellIs" dxfId="2924" priority="6711" operator="equal">
      <formula>"OFF"</formula>
    </cfRule>
    <cfRule type="cellIs" dxfId="2923" priority="6712" operator="equal">
      <formula>"PTO"</formula>
    </cfRule>
  </conditionalFormatting>
  <conditionalFormatting sqref="K33:L42 N33:O33">
    <cfRule type="cellIs" dxfId="2922" priority="6709" operator="equal">
      <formula>"OFF"</formula>
    </cfRule>
    <cfRule type="cellIs" dxfId="2921" priority="6710" operator="equal">
      <formula>"PTO"</formula>
    </cfRule>
  </conditionalFormatting>
  <conditionalFormatting sqref="K33:L42 N33:O33">
    <cfRule type="cellIs" dxfId="2920" priority="6707" operator="equal">
      <formula>"OFF"</formula>
    </cfRule>
    <cfRule type="cellIs" dxfId="2919" priority="6708" operator="equal">
      <formula>"PTO"</formula>
    </cfRule>
  </conditionalFormatting>
  <conditionalFormatting sqref="K33:L42 N33:O33">
    <cfRule type="cellIs" dxfId="2918" priority="6705" operator="equal">
      <formula>"OFF"</formula>
    </cfRule>
    <cfRule type="cellIs" dxfId="2917" priority="6706" operator="equal">
      <formula>"PTO"</formula>
    </cfRule>
  </conditionalFormatting>
  <conditionalFormatting sqref="K33:L42 N33:O33">
    <cfRule type="cellIs" dxfId="2916" priority="6703" operator="equal">
      <formula>"OFF"</formula>
    </cfRule>
    <cfRule type="cellIs" dxfId="2915" priority="6704" operator="equal">
      <formula>"PTO"</formula>
    </cfRule>
  </conditionalFormatting>
  <conditionalFormatting sqref="K33:L42 N33:O33">
    <cfRule type="cellIs" dxfId="2914" priority="6701" operator="equal">
      <formula>"OFF"</formula>
    </cfRule>
    <cfRule type="cellIs" dxfId="2913" priority="6702" operator="equal">
      <formula>"PTO"</formula>
    </cfRule>
  </conditionalFormatting>
  <conditionalFormatting sqref="K33:L42 N33:O33">
    <cfRule type="cellIs" dxfId="2912" priority="6699" operator="equal">
      <formula>"OFF"</formula>
    </cfRule>
    <cfRule type="cellIs" dxfId="2911" priority="6700" operator="equal">
      <formula>"PTO"</formula>
    </cfRule>
  </conditionalFormatting>
  <conditionalFormatting sqref="K33:L42 N33:O33">
    <cfRule type="cellIs" dxfId="2910" priority="6697" operator="equal">
      <formula>"OFF"</formula>
    </cfRule>
    <cfRule type="cellIs" dxfId="2909" priority="6698" operator="equal">
      <formula>"PTO"</formula>
    </cfRule>
  </conditionalFormatting>
  <conditionalFormatting sqref="K33:L42 N33:O33">
    <cfRule type="cellIs" dxfId="2908" priority="6695" operator="equal">
      <formula>"OFF"</formula>
    </cfRule>
    <cfRule type="cellIs" dxfId="2907" priority="6696" operator="equal">
      <formula>"PTO"</formula>
    </cfRule>
  </conditionalFormatting>
  <conditionalFormatting sqref="K33:L42 N33:O33">
    <cfRule type="cellIs" dxfId="2906" priority="6693" operator="equal">
      <formula>"OFF"</formula>
    </cfRule>
    <cfRule type="cellIs" dxfId="2905" priority="6694" operator="equal">
      <formula>"PTO"</formula>
    </cfRule>
  </conditionalFormatting>
  <conditionalFormatting sqref="K33:L42 N33:O33">
    <cfRule type="cellIs" dxfId="2904" priority="6691" operator="equal">
      <formula>"OFF"</formula>
    </cfRule>
    <cfRule type="cellIs" dxfId="2903" priority="6692" operator="equal">
      <formula>"PTO"</formula>
    </cfRule>
  </conditionalFormatting>
  <conditionalFormatting sqref="K33:L42 N33:O33">
    <cfRule type="cellIs" dxfId="2902" priority="6689" operator="equal">
      <formula>"OFF"</formula>
    </cfRule>
    <cfRule type="cellIs" dxfId="2901" priority="6690" operator="equal">
      <formula>"PTO"</formula>
    </cfRule>
  </conditionalFormatting>
  <conditionalFormatting sqref="K33:L42 N33:O33">
    <cfRule type="cellIs" dxfId="2900" priority="6687" operator="equal">
      <formula>"OFF"</formula>
    </cfRule>
    <cfRule type="cellIs" dxfId="2899" priority="6688" operator="equal">
      <formula>"PTO"</formula>
    </cfRule>
  </conditionalFormatting>
  <conditionalFormatting sqref="K33:L42 N33:O33">
    <cfRule type="cellIs" dxfId="2898" priority="6685" operator="equal">
      <formula>"OFF"</formula>
    </cfRule>
    <cfRule type="cellIs" dxfId="2897" priority="6686" operator="equal">
      <formula>"PTO"</formula>
    </cfRule>
  </conditionalFormatting>
  <conditionalFormatting sqref="K33:L42 N33:O33">
    <cfRule type="cellIs" dxfId="2896" priority="6683" operator="equal">
      <formula>"OFF"</formula>
    </cfRule>
    <cfRule type="cellIs" dxfId="2895" priority="6684" operator="equal">
      <formula>"PTO"</formula>
    </cfRule>
  </conditionalFormatting>
  <conditionalFormatting sqref="K33:L42 N33:O33">
    <cfRule type="cellIs" dxfId="2894" priority="6681" operator="equal">
      <formula>"OFF"</formula>
    </cfRule>
    <cfRule type="cellIs" dxfId="2893" priority="6682" operator="equal">
      <formula>"PTO"</formula>
    </cfRule>
  </conditionalFormatting>
  <conditionalFormatting sqref="K33:L42 N33:O33">
    <cfRule type="cellIs" dxfId="2892" priority="6679" operator="equal">
      <formula>"OFF"</formula>
    </cfRule>
    <cfRule type="cellIs" dxfId="2891" priority="6680" operator="equal">
      <formula>"PTO"</formula>
    </cfRule>
  </conditionalFormatting>
  <conditionalFormatting sqref="K33:L42 N33:O33">
    <cfRule type="cellIs" dxfId="2890" priority="6677" operator="equal">
      <formula>"OFF"</formula>
    </cfRule>
    <cfRule type="cellIs" dxfId="2889" priority="6678" operator="equal">
      <formula>"PTO"</formula>
    </cfRule>
  </conditionalFormatting>
  <conditionalFormatting sqref="K33:L42 N33:O33">
    <cfRule type="cellIs" dxfId="2888" priority="6675" operator="equal">
      <formula>"OFF"</formula>
    </cfRule>
    <cfRule type="cellIs" dxfId="2887" priority="6676" operator="equal">
      <formula>"PTO"</formula>
    </cfRule>
  </conditionalFormatting>
  <conditionalFormatting sqref="N33:O33">
    <cfRule type="cellIs" dxfId="2886" priority="6673" operator="equal">
      <formula>"OFF"</formula>
    </cfRule>
    <cfRule type="cellIs" dxfId="2885" priority="6674" operator="equal">
      <formula>"PTO"</formula>
    </cfRule>
  </conditionalFormatting>
  <conditionalFormatting sqref="N33:O33">
    <cfRule type="cellIs" dxfId="2884" priority="6671" operator="equal">
      <formula>"OFF"</formula>
    </cfRule>
    <cfRule type="cellIs" dxfId="2883" priority="6672" operator="equal">
      <formula>"PTO"</formula>
    </cfRule>
  </conditionalFormatting>
  <conditionalFormatting sqref="N33:O33">
    <cfRule type="cellIs" dxfId="2882" priority="6669" operator="equal">
      <formula>"OFF"</formula>
    </cfRule>
    <cfRule type="cellIs" dxfId="2881" priority="6670" operator="equal">
      <formula>"PTO"</formula>
    </cfRule>
  </conditionalFormatting>
  <conditionalFormatting sqref="N33:O33">
    <cfRule type="cellIs" dxfId="2880" priority="6667" operator="equal">
      <formula>"OFF"</formula>
    </cfRule>
    <cfRule type="cellIs" dxfId="2879" priority="6668" operator="equal">
      <formula>"PTO"</formula>
    </cfRule>
  </conditionalFormatting>
  <conditionalFormatting sqref="N33:O33">
    <cfRule type="cellIs" dxfId="2878" priority="6665" operator="equal">
      <formula>"OFF"</formula>
    </cfRule>
    <cfRule type="cellIs" dxfId="2877" priority="6666" operator="equal">
      <formula>"PTO"</formula>
    </cfRule>
  </conditionalFormatting>
  <conditionalFormatting sqref="N33:O33">
    <cfRule type="cellIs" dxfId="2876" priority="6663" operator="equal">
      <formula>"OFF"</formula>
    </cfRule>
    <cfRule type="cellIs" dxfId="2875" priority="6664" operator="equal">
      <formula>"PTO"</formula>
    </cfRule>
  </conditionalFormatting>
  <conditionalFormatting sqref="N33:O33">
    <cfRule type="cellIs" dxfId="2874" priority="6661" operator="equal">
      <formula>"OFF"</formula>
    </cfRule>
    <cfRule type="cellIs" dxfId="2873" priority="6662" operator="equal">
      <formula>"PTO"</formula>
    </cfRule>
  </conditionalFormatting>
  <conditionalFormatting sqref="N33:O33">
    <cfRule type="cellIs" dxfId="2872" priority="6659" operator="equal">
      <formula>"OFF"</formula>
    </cfRule>
    <cfRule type="cellIs" dxfId="2871" priority="6660" operator="equal">
      <formula>"PTO"</formula>
    </cfRule>
  </conditionalFormatting>
  <conditionalFormatting sqref="N33:O33">
    <cfRule type="cellIs" dxfId="2870" priority="6657" operator="equal">
      <formula>"OFF"</formula>
    </cfRule>
    <cfRule type="cellIs" dxfId="2869" priority="6658" operator="equal">
      <formula>"PTO"</formula>
    </cfRule>
  </conditionalFormatting>
  <conditionalFormatting sqref="P33:P42">
    <cfRule type="cellIs" dxfId="2868" priority="6655" operator="equal">
      <formula>"OFF"</formula>
    </cfRule>
    <cfRule type="cellIs" dxfId="2867" priority="6656" operator="equal">
      <formula>"PTO"</formula>
    </cfRule>
  </conditionalFormatting>
  <conditionalFormatting sqref="P33:P42">
    <cfRule type="cellIs" dxfId="2866" priority="6653" operator="equal">
      <formula>"OFF"</formula>
    </cfRule>
    <cfRule type="cellIs" dxfId="2865" priority="6654" operator="equal">
      <formula>"PTO"</formula>
    </cfRule>
  </conditionalFormatting>
  <conditionalFormatting sqref="P33:P42">
    <cfRule type="cellIs" dxfId="2864" priority="6651" operator="equal">
      <formula>"OFF"</formula>
    </cfRule>
    <cfRule type="cellIs" dxfId="2863" priority="6652" operator="equal">
      <formula>"PTO"</formula>
    </cfRule>
  </conditionalFormatting>
  <conditionalFormatting sqref="K33:L42 N33:P33 P33:P42">
    <cfRule type="cellIs" dxfId="2862" priority="6637" operator="equal">
      <formula>"OFF"</formula>
    </cfRule>
    <cfRule type="cellIs" dxfId="2861" priority="6638" operator="equal">
      <formula>"PTO"</formula>
    </cfRule>
  </conditionalFormatting>
  <conditionalFormatting sqref="K33:L42 N33:P33 P33:P42">
    <cfRule type="cellIs" dxfId="2860" priority="6635" operator="equal">
      <formula>"OFF"</formula>
    </cfRule>
    <cfRule type="cellIs" dxfId="2859" priority="6636" operator="equal">
      <formula>"PTO"</formula>
    </cfRule>
  </conditionalFormatting>
  <conditionalFormatting sqref="K33:L42 N33:P33 P33:P42">
    <cfRule type="cellIs" dxfId="2858" priority="6631" operator="equal">
      <formula>"OFF"</formula>
    </cfRule>
    <cfRule type="cellIs" dxfId="2857" priority="6632" operator="equal">
      <formula>"PTO"</formula>
    </cfRule>
  </conditionalFormatting>
  <conditionalFormatting sqref="K33:L42 N33:P33 P33:P42">
    <cfRule type="cellIs" dxfId="2856" priority="6629" operator="equal">
      <formula>"OFF"</formula>
    </cfRule>
    <cfRule type="cellIs" dxfId="2855" priority="6630" operator="equal">
      <formula>"PTO"</formula>
    </cfRule>
  </conditionalFormatting>
  <conditionalFormatting sqref="K33:L42 N33:O33">
    <cfRule type="cellIs" dxfId="2854" priority="6627" operator="equal">
      <formula>"OFF"</formula>
    </cfRule>
    <cfRule type="cellIs" dxfId="2853" priority="6628" operator="equal">
      <formula>"PTO"</formula>
    </cfRule>
  </conditionalFormatting>
  <conditionalFormatting sqref="K33:L42 N33:O33">
    <cfRule type="cellIs" dxfId="2852" priority="6625" operator="equal">
      <formula>"OFF"</formula>
    </cfRule>
    <cfRule type="cellIs" dxfId="2851" priority="6626" operator="equal">
      <formula>"PTO"</formula>
    </cfRule>
  </conditionalFormatting>
  <conditionalFormatting sqref="K33:L42 N33:O33">
    <cfRule type="cellIs" dxfId="2850" priority="6623" operator="equal">
      <formula>"OFF"</formula>
    </cfRule>
    <cfRule type="cellIs" dxfId="2849" priority="6624" operator="equal">
      <formula>"PTO"</formula>
    </cfRule>
  </conditionalFormatting>
  <conditionalFormatting sqref="K33:L42 N33:O33">
    <cfRule type="cellIs" dxfId="2848" priority="6621" operator="equal">
      <formula>"OFF"</formula>
    </cfRule>
    <cfRule type="cellIs" dxfId="2847" priority="6622" operator="equal">
      <formula>"PTO"</formula>
    </cfRule>
  </conditionalFormatting>
  <conditionalFormatting sqref="K33:L42 N33:P33 P33:P42">
    <cfRule type="cellIs" dxfId="2846" priority="6619" operator="equal">
      <formula>"OFF"</formula>
    </cfRule>
    <cfRule type="cellIs" dxfId="2845" priority="6620" operator="equal">
      <formula>"PTO"</formula>
    </cfRule>
  </conditionalFormatting>
  <conditionalFormatting sqref="K33:L42 N33:P33 P33:P42">
    <cfRule type="cellIs" dxfId="2844" priority="6615" operator="equal">
      <formula>"OFF"</formula>
    </cfRule>
    <cfRule type="cellIs" dxfId="2843" priority="6616" operator="equal">
      <formula>"PTO"</formula>
    </cfRule>
  </conditionalFormatting>
  <conditionalFormatting sqref="K33:L42 N33:P33 P33:P42">
    <cfRule type="cellIs" dxfId="2842" priority="6613" operator="equal">
      <formula>"OFF"</formula>
    </cfRule>
    <cfRule type="cellIs" dxfId="2841" priority="6614" operator="equal">
      <formula>"PTO"</formula>
    </cfRule>
  </conditionalFormatting>
  <conditionalFormatting sqref="K33:L42 N33:O33">
    <cfRule type="cellIs" dxfId="2840" priority="6611" operator="equal">
      <formula>"OFF"</formula>
    </cfRule>
    <cfRule type="cellIs" dxfId="2839" priority="6612" operator="equal">
      <formula>"PTO"</formula>
    </cfRule>
  </conditionalFormatting>
  <conditionalFormatting sqref="K33:L42 N33:O33">
    <cfRule type="cellIs" dxfId="2838" priority="6609" operator="equal">
      <formula>"OFF"</formula>
    </cfRule>
    <cfRule type="cellIs" dxfId="2837" priority="6610" operator="equal">
      <formula>"PTO"</formula>
    </cfRule>
  </conditionalFormatting>
  <conditionalFormatting sqref="K33:L42 N33:O33">
    <cfRule type="cellIs" dxfId="2836" priority="6607" operator="equal">
      <formula>"OFF"</formula>
    </cfRule>
    <cfRule type="cellIs" dxfId="2835" priority="6608" operator="equal">
      <formula>"PTO"</formula>
    </cfRule>
  </conditionalFormatting>
  <conditionalFormatting sqref="K33:L42 N33:O33">
    <cfRule type="cellIs" dxfId="2834" priority="6605" operator="equal">
      <formula>"OFF"</formula>
    </cfRule>
    <cfRule type="cellIs" dxfId="2833" priority="6606" operator="equal">
      <formula>"PTO"</formula>
    </cfRule>
  </conditionalFormatting>
  <conditionalFormatting sqref="K33:L42 N33:P33 P33:P42">
    <cfRule type="cellIs" dxfId="2832" priority="6603" operator="equal">
      <formula>"OFF"</formula>
    </cfRule>
    <cfRule type="cellIs" dxfId="2831" priority="6604" operator="equal">
      <formula>"PTO"</formula>
    </cfRule>
  </conditionalFormatting>
  <conditionalFormatting sqref="K33:L42 N33:P33 P33:P42">
    <cfRule type="cellIs" dxfId="2830" priority="6601" operator="equal">
      <formula>"OFF"</formula>
    </cfRule>
    <cfRule type="cellIs" dxfId="2829" priority="6602" operator="equal">
      <formula>"PTO"</formula>
    </cfRule>
  </conditionalFormatting>
  <conditionalFormatting sqref="K33:L42 N33:P33 P33:P42">
    <cfRule type="cellIs" dxfId="2828" priority="6599" operator="equal">
      <formula>"OFF"</formula>
    </cfRule>
    <cfRule type="cellIs" dxfId="2827" priority="6600" operator="equal">
      <formula>"PTO"</formula>
    </cfRule>
  </conditionalFormatting>
  <conditionalFormatting sqref="K33:L42 N33:P33 P33:P42">
    <cfRule type="cellIs" dxfId="2826" priority="6597" operator="equal">
      <formula>"OFF"</formula>
    </cfRule>
    <cfRule type="cellIs" dxfId="2825" priority="6598" operator="equal">
      <formula>"PTO"</formula>
    </cfRule>
  </conditionalFormatting>
  <conditionalFormatting sqref="K33:L42 N33:O33">
    <cfRule type="cellIs" dxfId="2824" priority="6595" operator="equal">
      <formula>"OFF"</formula>
    </cfRule>
    <cfRule type="cellIs" dxfId="2823" priority="6596" operator="equal">
      <formula>"PTO"</formula>
    </cfRule>
  </conditionalFormatting>
  <conditionalFormatting sqref="K33:L42 N33:O33">
    <cfRule type="cellIs" dxfId="2822" priority="6593" operator="equal">
      <formula>"OFF"</formula>
    </cfRule>
    <cfRule type="cellIs" dxfId="2821" priority="6594" operator="equal">
      <formula>"PTO"</formula>
    </cfRule>
  </conditionalFormatting>
  <conditionalFormatting sqref="K33:L42 N33:O33">
    <cfRule type="cellIs" dxfId="2820" priority="6591" operator="equal">
      <formula>"OFF"</formula>
    </cfRule>
    <cfRule type="cellIs" dxfId="2819" priority="6592" operator="equal">
      <formula>"PTO"</formula>
    </cfRule>
  </conditionalFormatting>
  <conditionalFormatting sqref="K33:L42 N33:O33">
    <cfRule type="cellIs" dxfId="2818" priority="6589" operator="equal">
      <formula>"OFF"</formula>
    </cfRule>
    <cfRule type="cellIs" dxfId="2817" priority="6590" operator="equal">
      <formula>"PTO"</formula>
    </cfRule>
  </conditionalFormatting>
  <conditionalFormatting sqref="K33:L42 N33:P33 P33:P42">
    <cfRule type="cellIs" dxfId="2816" priority="6587" operator="equal">
      <formula>"OFF"</formula>
    </cfRule>
    <cfRule type="cellIs" dxfId="2815" priority="6588" operator="equal">
      <formula>"PTO"</formula>
    </cfRule>
  </conditionalFormatting>
  <conditionalFormatting sqref="K33:L42 N33:P33 P33:P42">
    <cfRule type="cellIs" dxfId="2814" priority="6581" operator="equal">
      <formula>"OFF"</formula>
    </cfRule>
    <cfRule type="cellIs" dxfId="2813" priority="6582" operator="equal">
      <formula>"PTO"</formula>
    </cfRule>
  </conditionalFormatting>
  <conditionalFormatting sqref="K33:L42 N33:O33">
    <cfRule type="cellIs" dxfId="2812" priority="6579" operator="equal">
      <formula>"OFF"</formula>
    </cfRule>
    <cfRule type="cellIs" dxfId="2811" priority="6580" operator="equal">
      <formula>"PTO"</formula>
    </cfRule>
  </conditionalFormatting>
  <conditionalFormatting sqref="K33:L42 N33:O33">
    <cfRule type="cellIs" dxfId="2810" priority="6577" operator="equal">
      <formula>"OFF"</formula>
    </cfRule>
    <cfRule type="cellIs" dxfId="2809" priority="6578" operator="equal">
      <formula>"PTO"</formula>
    </cfRule>
  </conditionalFormatting>
  <conditionalFormatting sqref="K33:L42 N33:O33">
    <cfRule type="cellIs" dxfId="2808" priority="6575" operator="equal">
      <formula>"OFF"</formula>
    </cfRule>
    <cfRule type="cellIs" dxfId="2807" priority="6576" operator="equal">
      <formula>"PTO"</formula>
    </cfRule>
  </conditionalFormatting>
  <conditionalFormatting sqref="K33:L42 N33:O33">
    <cfRule type="cellIs" dxfId="2806" priority="6573" operator="equal">
      <formula>"OFF"</formula>
    </cfRule>
    <cfRule type="cellIs" dxfId="2805" priority="6574" operator="equal">
      <formula>"PTO"</formula>
    </cfRule>
  </conditionalFormatting>
  <conditionalFormatting sqref="K33:L42 N33:P33 P33:P42">
    <cfRule type="cellIs" dxfId="2804" priority="6571" operator="equal">
      <formula>"OFF"</formula>
    </cfRule>
    <cfRule type="cellIs" dxfId="2803" priority="6572" operator="equal">
      <formula>"PTO"</formula>
    </cfRule>
  </conditionalFormatting>
  <conditionalFormatting sqref="K33:L42 N33:P33 P33:P42">
    <cfRule type="cellIs" dxfId="2802" priority="6569" operator="equal">
      <formula>"OFF"</formula>
    </cfRule>
    <cfRule type="cellIs" dxfId="2801" priority="6570" operator="equal">
      <formula>"PTO"</formula>
    </cfRule>
  </conditionalFormatting>
  <conditionalFormatting sqref="K33:L42 N33:P33 P33:P42">
    <cfRule type="cellIs" dxfId="2800" priority="6567" operator="equal">
      <formula>"OFF"</formula>
    </cfRule>
    <cfRule type="cellIs" dxfId="2799" priority="6568" operator="equal">
      <formula>"PTO"</formula>
    </cfRule>
  </conditionalFormatting>
  <conditionalFormatting sqref="K33:L42 N33:P33 P33:P42">
    <cfRule type="cellIs" dxfId="2798" priority="6565" operator="equal">
      <formula>"OFF"</formula>
    </cfRule>
    <cfRule type="cellIs" dxfId="2797" priority="6566" operator="equal">
      <formula>"PTO"</formula>
    </cfRule>
  </conditionalFormatting>
  <conditionalFormatting sqref="K33:L42 N33:P33 P33:P42">
    <cfRule type="cellIs" dxfId="2796" priority="6563" operator="equal">
      <formula>"OFF"</formula>
    </cfRule>
    <cfRule type="cellIs" dxfId="2795" priority="6564" operator="equal">
      <formula>"PTO"</formula>
    </cfRule>
  </conditionalFormatting>
  <conditionalFormatting sqref="K33:L42 N33:P33 P33:P42">
    <cfRule type="cellIs" dxfId="2794" priority="6561" operator="equal">
      <formula>"OFF"</formula>
    </cfRule>
    <cfRule type="cellIs" dxfId="2793" priority="6562" operator="equal">
      <formula>"PTO"</formula>
    </cfRule>
  </conditionalFormatting>
  <conditionalFormatting sqref="K33:L42 N33:P33 P33:P42">
    <cfRule type="cellIs" dxfId="2792" priority="6559" operator="equal">
      <formula>"OFF"</formula>
    </cfRule>
    <cfRule type="cellIs" dxfId="2791" priority="6560" operator="equal">
      <formula>"PTO"</formula>
    </cfRule>
  </conditionalFormatting>
  <conditionalFormatting sqref="K33:L42 N33:P33 P33:P42">
    <cfRule type="cellIs" dxfId="2790" priority="6557" operator="equal">
      <formula>"OFF"</formula>
    </cfRule>
    <cfRule type="cellIs" dxfId="2789" priority="6558" operator="equal">
      <formula>"PTO"</formula>
    </cfRule>
  </conditionalFormatting>
  <conditionalFormatting sqref="K33:L42 N33:P33 P33:P42">
    <cfRule type="cellIs" dxfId="2788" priority="6555" operator="equal">
      <formula>"OFF"</formula>
    </cfRule>
    <cfRule type="cellIs" dxfId="2787" priority="6556" operator="equal">
      <formula>"PTO"</formula>
    </cfRule>
  </conditionalFormatting>
  <conditionalFormatting sqref="K33:L42 N33:P33 P33:P42">
    <cfRule type="cellIs" dxfId="2786" priority="6553" operator="equal">
      <formula>"OFF"</formula>
    </cfRule>
    <cfRule type="cellIs" dxfId="2785" priority="6554" operator="equal">
      <formula>"PTO"</formula>
    </cfRule>
  </conditionalFormatting>
  <conditionalFormatting sqref="K33:L42 N33:P33 P33:P42">
    <cfRule type="cellIs" dxfId="2784" priority="6551" operator="equal">
      <formula>"OFF"</formula>
    </cfRule>
    <cfRule type="cellIs" dxfId="2783" priority="6552" operator="equal">
      <formula>"PTO"</formula>
    </cfRule>
  </conditionalFormatting>
  <conditionalFormatting sqref="K33:L42 N33:P33 P33:P42">
    <cfRule type="cellIs" dxfId="2782" priority="6549" operator="equal">
      <formula>"OFF"</formula>
    </cfRule>
    <cfRule type="cellIs" dxfId="2781" priority="6550" operator="equal">
      <formula>"PTO"</formula>
    </cfRule>
  </conditionalFormatting>
  <conditionalFormatting sqref="K33:L42 N33:P33 P33:P42">
    <cfRule type="cellIs" dxfId="2780" priority="6547" operator="equal">
      <formula>"OFF"</formula>
    </cfRule>
    <cfRule type="cellIs" dxfId="2779" priority="6548" operator="equal">
      <formula>"PTO"</formula>
    </cfRule>
  </conditionalFormatting>
  <conditionalFormatting sqref="K33:L42 N33:P33 P33:P42">
    <cfRule type="cellIs" dxfId="2778" priority="6545" operator="equal">
      <formula>"OFF"</formula>
    </cfRule>
    <cfRule type="cellIs" dxfId="2777" priority="6546" operator="equal">
      <formula>"PTO"</formula>
    </cfRule>
  </conditionalFormatting>
  <conditionalFormatting sqref="K33:L42 N33:P33 P33:P42">
    <cfRule type="cellIs" dxfId="2776" priority="6543" operator="equal">
      <formula>"OFF"</formula>
    </cfRule>
    <cfRule type="cellIs" dxfId="2775" priority="6544" operator="equal">
      <formula>"PTO"</formula>
    </cfRule>
  </conditionalFormatting>
  <conditionalFormatting sqref="K33:L42 N33:P33 P33:P42">
    <cfRule type="cellIs" dxfId="2774" priority="6541" operator="equal">
      <formula>"OFF"</formula>
    </cfRule>
    <cfRule type="cellIs" dxfId="2773" priority="6542" operator="equal">
      <formula>"PTO"</formula>
    </cfRule>
  </conditionalFormatting>
  <conditionalFormatting sqref="K33:L42 N33:P33 P33:P42">
    <cfRule type="cellIs" dxfId="2772" priority="6539" operator="equal">
      <formula>"OFF"</formula>
    </cfRule>
    <cfRule type="cellIs" dxfId="2771" priority="6540" operator="equal">
      <formula>"PTO"</formula>
    </cfRule>
  </conditionalFormatting>
  <conditionalFormatting sqref="K33:L42 N33:P33 P33:P42">
    <cfRule type="cellIs" dxfId="2770" priority="6537" operator="equal">
      <formula>"OFF"</formula>
    </cfRule>
    <cfRule type="cellIs" dxfId="2769" priority="6538" operator="equal">
      <formula>"PTO"</formula>
    </cfRule>
  </conditionalFormatting>
  <conditionalFormatting sqref="K33:L42 N33:P33 P33:P42">
    <cfRule type="cellIs" dxfId="2768" priority="6535" operator="equal">
      <formula>"OFF"</formula>
    </cfRule>
    <cfRule type="cellIs" dxfId="2767" priority="6536" operator="equal">
      <formula>"PTO"</formula>
    </cfRule>
  </conditionalFormatting>
  <conditionalFormatting sqref="K33:L42 N33:P33 P33:P42">
    <cfRule type="cellIs" dxfId="2766" priority="6533" operator="equal">
      <formula>"OFF"</formula>
    </cfRule>
    <cfRule type="cellIs" dxfId="2765" priority="6534" operator="equal">
      <formula>"PTO"</formula>
    </cfRule>
  </conditionalFormatting>
  <conditionalFormatting sqref="K33:L42 N33:P33 P33:P42">
    <cfRule type="cellIs" dxfId="2764" priority="6531" operator="equal">
      <formula>"OFF"</formula>
    </cfRule>
    <cfRule type="cellIs" dxfId="2763" priority="6532" operator="equal">
      <formula>"PTO"</formula>
    </cfRule>
  </conditionalFormatting>
  <conditionalFormatting sqref="K33:L42 N33:P33 P33:P42">
    <cfRule type="cellIs" dxfId="2762" priority="6529" operator="equal">
      <formula>"OFF"</formula>
    </cfRule>
    <cfRule type="cellIs" dxfId="2761" priority="6530" operator="equal">
      <formula>"PTO"</formula>
    </cfRule>
  </conditionalFormatting>
  <conditionalFormatting sqref="K33:L42 N33:P33 P33:P42">
    <cfRule type="cellIs" dxfId="2760" priority="6527" operator="equal">
      <formula>"OFF"</formula>
    </cfRule>
    <cfRule type="cellIs" dxfId="2759" priority="6528" operator="equal">
      <formula>"PTO"</formula>
    </cfRule>
  </conditionalFormatting>
  <conditionalFormatting sqref="K33:L42 N33:P33 P33:P42">
    <cfRule type="cellIs" dxfId="2758" priority="6525" operator="equal">
      <formula>"OFF"</formula>
    </cfRule>
    <cfRule type="cellIs" dxfId="2757" priority="6526" operator="equal">
      <formula>"PTO"</formula>
    </cfRule>
  </conditionalFormatting>
  <conditionalFormatting sqref="K33:L42 N33:P33 P33:P42">
    <cfRule type="cellIs" dxfId="2756" priority="6523" operator="equal">
      <formula>"OFF"</formula>
    </cfRule>
    <cfRule type="cellIs" dxfId="2755" priority="6524" operator="equal">
      <formula>"PTO"</formula>
    </cfRule>
  </conditionalFormatting>
  <conditionalFormatting sqref="K33:L42 N33:O33">
    <cfRule type="cellIs" dxfId="2754" priority="6521" operator="equal">
      <formula>"OFF"</formula>
    </cfRule>
    <cfRule type="cellIs" dxfId="2753" priority="6522" operator="equal">
      <formula>"PTO"</formula>
    </cfRule>
  </conditionalFormatting>
  <conditionalFormatting sqref="K33:L42 N33:O33">
    <cfRule type="cellIs" dxfId="2752" priority="6519" operator="equal">
      <formula>"OFF"</formula>
    </cfRule>
    <cfRule type="cellIs" dxfId="2751" priority="6520" operator="equal">
      <formula>"PTO"</formula>
    </cfRule>
  </conditionalFormatting>
  <conditionalFormatting sqref="K33:L42 N33:O33">
    <cfRule type="cellIs" dxfId="2750" priority="6517" operator="equal">
      <formula>"OFF"</formula>
    </cfRule>
    <cfRule type="cellIs" dxfId="2749" priority="6518" operator="equal">
      <formula>"PTO"</formula>
    </cfRule>
  </conditionalFormatting>
  <conditionalFormatting sqref="K33:L42 N33:O33">
    <cfRule type="cellIs" dxfId="2748" priority="6515" operator="equal">
      <formula>"OFF"</formula>
    </cfRule>
    <cfRule type="cellIs" dxfId="2747" priority="6516" operator="equal">
      <formula>"PTO"</formula>
    </cfRule>
  </conditionalFormatting>
  <conditionalFormatting sqref="K33:L42 N33:O33">
    <cfRule type="cellIs" dxfId="2746" priority="6513" operator="equal">
      <formula>"OFF"</formula>
    </cfRule>
    <cfRule type="cellIs" dxfId="2745" priority="6514" operator="equal">
      <formula>"PTO"</formula>
    </cfRule>
  </conditionalFormatting>
  <conditionalFormatting sqref="K33:L42 N33:O33">
    <cfRule type="cellIs" dxfId="2744" priority="6511" operator="equal">
      <formula>"OFF"</formula>
    </cfRule>
    <cfRule type="cellIs" dxfId="2743" priority="6512" operator="equal">
      <formula>"PTO"</formula>
    </cfRule>
  </conditionalFormatting>
  <conditionalFormatting sqref="K33:L42 N33:O33">
    <cfRule type="cellIs" dxfId="2742" priority="6509" operator="equal">
      <formula>"OFF"</formula>
    </cfRule>
    <cfRule type="cellIs" dxfId="2741" priority="6510" operator="equal">
      <formula>"PTO"</formula>
    </cfRule>
  </conditionalFormatting>
  <conditionalFormatting sqref="K33:L42 N33:O33">
    <cfRule type="cellIs" dxfId="2740" priority="6507" operator="equal">
      <formula>"OFF"</formula>
    </cfRule>
    <cfRule type="cellIs" dxfId="2739" priority="6508" operator="equal">
      <formula>"PTO"</formula>
    </cfRule>
  </conditionalFormatting>
  <conditionalFormatting sqref="K33:L42 N33:O33">
    <cfRule type="cellIs" dxfId="2738" priority="6505" operator="equal">
      <formula>"OFF"</formula>
    </cfRule>
    <cfRule type="cellIs" dxfId="2737" priority="6506" operator="equal">
      <formula>"PTO"</formula>
    </cfRule>
  </conditionalFormatting>
  <conditionalFormatting sqref="K33:L42 N33:O33">
    <cfRule type="cellIs" dxfId="2736" priority="6503" operator="equal">
      <formula>"OFF"</formula>
    </cfRule>
    <cfRule type="cellIs" dxfId="2735" priority="6504" operator="equal">
      <formula>"PTO"</formula>
    </cfRule>
  </conditionalFormatting>
  <conditionalFormatting sqref="K33:L42 N33:O33">
    <cfRule type="cellIs" dxfId="2734" priority="6501" operator="equal">
      <formula>"OFF"</formula>
    </cfRule>
    <cfRule type="cellIs" dxfId="2733" priority="6502" operator="equal">
      <formula>"PTO"</formula>
    </cfRule>
  </conditionalFormatting>
  <conditionalFormatting sqref="K33:L42 N33:O33">
    <cfRule type="cellIs" dxfId="2732" priority="6499" operator="equal">
      <formula>"OFF"</formula>
    </cfRule>
    <cfRule type="cellIs" dxfId="2731" priority="6500" operator="equal">
      <formula>"PTO"</formula>
    </cfRule>
  </conditionalFormatting>
  <conditionalFormatting sqref="K33:L42 N33:O33">
    <cfRule type="cellIs" dxfId="2730" priority="6497" operator="equal">
      <formula>"OFF"</formula>
    </cfRule>
    <cfRule type="cellIs" dxfId="2729" priority="6498" operator="equal">
      <formula>"PTO"</formula>
    </cfRule>
  </conditionalFormatting>
  <conditionalFormatting sqref="K33:L42 N33:O33">
    <cfRule type="cellIs" dxfId="2728" priority="6495" operator="equal">
      <formula>"OFF"</formula>
    </cfRule>
    <cfRule type="cellIs" dxfId="2727" priority="6496" operator="equal">
      <formula>"PTO"</formula>
    </cfRule>
  </conditionalFormatting>
  <conditionalFormatting sqref="K33:L42 N33:O33">
    <cfRule type="cellIs" dxfId="2726" priority="6493" operator="equal">
      <formula>"OFF"</formula>
    </cfRule>
    <cfRule type="cellIs" dxfId="2725" priority="6494" operator="equal">
      <formula>"PTO"</formula>
    </cfRule>
  </conditionalFormatting>
  <conditionalFormatting sqref="K33:L42 N33:O33">
    <cfRule type="cellIs" dxfId="2724" priority="6491" operator="equal">
      <formula>"OFF"</formula>
    </cfRule>
    <cfRule type="cellIs" dxfId="2723" priority="6492" operator="equal">
      <formula>"PTO"</formula>
    </cfRule>
  </conditionalFormatting>
  <conditionalFormatting sqref="K33:L42 N33:O33">
    <cfRule type="cellIs" dxfId="2722" priority="6489" operator="equal">
      <formula>"OFF"</formula>
    </cfRule>
    <cfRule type="cellIs" dxfId="2721" priority="6490" operator="equal">
      <formula>"PTO"</formula>
    </cfRule>
  </conditionalFormatting>
  <conditionalFormatting sqref="K33:L42 N33:O33">
    <cfRule type="cellIs" dxfId="2720" priority="6487" operator="equal">
      <formula>"OFF"</formula>
    </cfRule>
    <cfRule type="cellIs" dxfId="2719" priority="6488" operator="equal">
      <formula>"PTO"</formula>
    </cfRule>
  </conditionalFormatting>
  <conditionalFormatting sqref="K33:L42 N33:O33">
    <cfRule type="cellIs" dxfId="2718" priority="6485" operator="equal">
      <formula>"OFF"</formula>
    </cfRule>
    <cfRule type="cellIs" dxfId="2717" priority="6486" operator="equal">
      <formula>"PTO"</formula>
    </cfRule>
  </conditionalFormatting>
  <conditionalFormatting sqref="K33:L42 N33:O33">
    <cfRule type="cellIs" dxfId="2716" priority="6483" operator="equal">
      <formula>"OFF"</formula>
    </cfRule>
    <cfRule type="cellIs" dxfId="2715" priority="6484" operator="equal">
      <formula>"PTO"</formula>
    </cfRule>
  </conditionalFormatting>
  <conditionalFormatting sqref="K33:L42 N33:O33">
    <cfRule type="cellIs" dxfId="2714" priority="6481" operator="equal">
      <formula>"OFF"</formula>
    </cfRule>
    <cfRule type="cellIs" dxfId="2713" priority="6482" operator="equal">
      <formula>"PTO"</formula>
    </cfRule>
  </conditionalFormatting>
  <conditionalFormatting sqref="K33:L42 N33:O33">
    <cfRule type="cellIs" dxfId="2712" priority="6479" operator="equal">
      <formula>"OFF"</formula>
    </cfRule>
    <cfRule type="cellIs" dxfId="2711" priority="6480" operator="equal">
      <formula>"PTO"</formula>
    </cfRule>
  </conditionalFormatting>
  <conditionalFormatting sqref="K33:L42 N33:O33">
    <cfRule type="cellIs" dxfId="2710" priority="6477" operator="equal">
      <formula>"OFF"</formula>
    </cfRule>
    <cfRule type="cellIs" dxfId="2709" priority="6478" operator="equal">
      <formula>"PTO"</formula>
    </cfRule>
  </conditionalFormatting>
  <conditionalFormatting sqref="K33:L42 N33:O33">
    <cfRule type="cellIs" dxfId="2708" priority="6475" operator="equal">
      <formula>"OFF"</formula>
    </cfRule>
    <cfRule type="cellIs" dxfId="2707" priority="6476" operator="equal">
      <formula>"PTO"</formula>
    </cfRule>
  </conditionalFormatting>
  <conditionalFormatting sqref="K33:L42 N33:O33">
    <cfRule type="cellIs" dxfId="2706" priority="6473" operator="equal">
      <formula>"OFF"</formula>
    </cfRule>
    <cfRule type="cellIs" dxfId="2705" priority="6474" operator="equal">
      <formula>"PTO"</formula>
    </cfRule>
  </conditionalFormatting>
  <conditionalFormatting sqref="N33:O33">
    <cfRule type="cellIs" dxfId="2704" priority="6471" operator="equal">
      <formula>"OFF"</formula>
    </cfRule>
    <cfRule type="cellIs" dxfId="2703" priority="6472" operator="equal">
      <formula>"PTO"</formula>
    </cfRule>
  </conditionalFormatting>
  <conditionalFormatting sqref="N33:O33">
    <cfRule type="cellIs" dxfId="2702" priority="6469" operator="equal">
      <formula>"OFF"</formula>
    </cfRule>
    <cfRule type="cellIs" dxfId="2701" priority="6470" operator="equal">
      <formula>"PTO"</formula>
    </cfRule>
  </conditionalFormatting>
  <conditionalFormatting sqref="N33:O33">
    <cfRule type="cellIs" dxfId="2700" priority="6467" operator="equal">
      <formula>"OFF"</formula>
    </cfRule>
    <cfRule type="cellIs" dxfId="2699" priority="6468" operator="equal">
      <formula>"PTO"</formula>
    </cfRule>
  </conditionalFormatting>
  <conditionalFormatting sqref="N33:O33">
    <cfRule type="cellIs" dxfId="2698" priority="6465" operator="equal">
      <formula>"OFF"</formula>
    </cfRule>
    <cfRule type="cellIs" dxfId="2697" priority="6466" operator="equal">
      <formula>"PTO"</formula>
    </cfRule>
  </conditionalFormatting>
  <conditionalFormatting sqref="N33:O33">
    <cfRule type="cellIs" dxfId="2696" priority="6463" operator="equal">
      <formula>"OFF"</formula>
    </cfRule>
    <cfRule type="cellIs" dxfId="2695" priority="6464" operator="equal">
      <formula>"PTO"</formula>
    </cfRule>
  </conditionalFormatting>
  <conditionalFormatting sqref="N33:O33">
    <cfRule type="cellIs" dxfId="2694" priority="6461" operator="equal">
      <formula>"OFF"</formula>
    </cfRule>
    <cfRule type="cellIs" dxfId="2693" priority="6462" operator="equal">
      <formula>"PTO"</formula>
    </cfRule>
  </conditionalFormatting>
  <conditionalFormatting sqref="N33:O33">
    <cfRule type="cellIs" dxfId="2692" priority="6459" operator="equal">
      <formula>"OFF"</formula>
    </cfRule>
    <cfRule type="cellIs" dxfId="2691" priority="6460" operator="equal">
      <formula>"PTO"</formula>
    </cfRule>
  </conditionalFormatting>
  <conditionalFormatting sqref="N33:O33">
    <cfRule type="cellIs" dxfId="2690" priority="6457" operator="equal">
      <formula>"OFF"</formula>
    </cfRule>
    <cfRule type="cellIs" dxfId="2689" priority="6458" operator="equal">
      <formula>"PTO"</formula>
    </cfRule>
  </conditionalFormatting>
  <conditionalFormatting sqref="N33:O33">
    <cfRule type="cellIs" dxfId="2688" priority="6455" operator="equal">
      <formula>"OFF"</formula>
    </cfRule>
    <cfRule type="cellIs" dxfId="2687" priority="6456" operator="equal">
      <formula>"PTO"</formula>
    </cfRule>
  </conditionalFormatting>
  <conditionalFormatting sqref="P33:P42">
    <cfRule type="cellIs" dxfId="2686" priority="6453" operator="equal">
      <formula>"OFF"</formula>
    </cfRule>
    <cfRule type="cellIs" dxfId="2685" priority="6454" operator="equal">
      <formula>"PTO"</formula>
    </cfRule>
  </conditionalFormatting>
  <conditionalFormatting sqref="P33:P42">
    <cfRule type="cellIs" dxfId="2684" priority="6451" operator="equal">
      <formula>"OFF"</formula>
    </cfRule>
    <cfRule type="cellIs" dxfId="2683" priority="6452" operator="equal">
      <formula>"PTO"</formula>
    </cfRule>
  </conditionalFormatting>
  <conditionalFormatting sqref="P33:P42">
    <cfRule type="cellIs" dxfId="2682" priority="6449" operator="equal">
      <formula>"OFF"</formula>
    </cfRule>
    <cfRule type="cellIs" dxfId="2681" priority="6450" operator="equal">
      <formula>"PTO"</formula>
    </cfRule>
  </conditionalFormatting>
  <conditionalFormatting sqref="P33:P42">
    <cfRule type="cellIs" dxfId="2680" priority="6447" operator="equal">
      <formula>"OFF"</formula>
    </cfRule>
    <cfRule type="cellIs" dxfId="2679" priority="6448" operator="equal">
      <formula>"PTO"</formula>
    </cfRule>
  </conditionalFormatting>
  <conditionalFormatting sqref="P33:P42">
    <cfRule type="cellIs" dxfId="2678" priority="6445" operator="equal">
      <formula>"OFF"</formula>
    </cfRule>
    <cfRule type="cellIs" dxfId="2677" priority="6446" operator="equal">
      <formula>"PTO"</formula>
    </cfRule>
  </conditionalFormatting>
  <conditionalFormatting sqref="P33:P42">
    <cfRule type="cellIs" dxfId="2676" priority="6443" operator="equal">
      <formula>"OFF"</formula>
    </cfRule>
    <cfRule type="cellIs" dxfId="2675" priority="6444" operator="equal">
      <formula>"PTO"</formula>
    </cfRule>
  </conditionalFormatting>
  <conditionalFormatting sqref="P33:P42">
    <cfRule type="cellIs" dxfId="2674" priority="6441" operator="equal">
      <formula>"OFF"</formula>
    </cfRule>
    <cfRule type="cellIs" dxfId="2673" priority="6442" operator="equal">
      <formula>"PTO"</formula>
    </cfRule>
  </conditionalFormatting>
  <conditionalFormatting sqref="P33:P42">
    <cfRule type="cellIs" dxfId="2672" priority="6439" operator="equal">
      <formula>"OFF"</formula>
    </cfRule>
    <cfRule type="cellIs" dxfId="2671" priority="6440" operator="equal">
      <formula>"PTO"</formula>
    </cfRule>
  </conditionalFormatting>
  <conditionalFormatting sqref="K33:L42">
    <cfRule type="cellIs" dxfId="2670" priority="6437" operator="equal">
      <formula>"OFF"</formula>
    </cfRule>
    <cfRule type="cellIs" dxfId="2669" priority="6438" operator="equal">
      <formula>"PTO"</formula>
    </cfRule>
  </conditionalFormatting>
  <conditionalFormatting sqref="K33:L42">
    <cfRule type="cellIs" dxfId="2668" priority="6435" operator="equal">
      <formula>"OFF"</formula>
    </cfRule>
    <cfRule type="cellIs" dxfId="2667" priority="6436" operator="equal">
      <formula>"PTO"</formula>
    </cfRule>
  </conditionalFormatting>
  <conditionalFormatting sqref="K33:L42">
    <cfRule type="cellIs" dxfId="2666" priority="6433" operator="equal">
      <formula>"OFF"</formula>
    </cfRule>
    <cfRule type="cellIs" dxfId="2665" priority="6434" operator="equal">
      <formula>"PTO"</formula>
    </cfRule>
  </conditionalFormatting>
  <conditionalFormatting sqref="K33:L42">
    <cfRule type="cellIs" dxfId="2664" priority="6431" operator="equal">
      <formula>"OFF"</formula>
    </cfRule>
    <cfRule type="cellIs" dxfId="2663" priority="6432" operator="equal">
      <formula>"PTO"</formula>
    </cfRule>
  </conditionalFormatting>
  <conditionalFormatting sqref="K33:L42">
    <cfRule type="cellIs" dxfId="2662" priority="6429" operator="equal">
      <formula>"OFF"</formula>
    </cfRule>
    <cfRule type="cellIs" dxfId="2661" priority="6430" operator="equal">
      <formula>"PTO"</formula>
    </cfRule>
  </conditionalFormatting>
  <conditionalFormatting sqref="K33:L42">
    <cfRule type="cellIs" dxfId="2660" priority="6427" operator="equal">
      <formula>"OFF"</formula>
    </cfRule>
    <cfRule type="cellIs" dxfId="2659" priority="6428" operator="equal">
      <formula>"PTO"</formula>
    </cfRule>
  </conditionalFormatting>
  <conditionalFormatting sqref="K33:L42">
    <cfRule type="cellIs" dxfId="2658" priority="6425" operator="equal">
      <formula>"OFF"</formula>
    </cfRule>
    <cfRule type="cellIs" dxfId="2657" priority="6426" operator="equal">
      <formula>"PTO"</formula>
    </cfRule>
  </conditionalFormatting>
  <conditionalFormatting sqref="J33:J42">
    <cfRule type="cellIs" dxfId="2656" priority="6421" operator="equal">
      <formula>"OFF"</formula>
    </cfRule>
    <cfRule type="cellIs" dxfId="2655" priority="6422" operator="equal">
      <formula>"PTO"</formula>
    </cfRule>
  </conditionalFormatting>
  <conditionalFormatting sqref="J33:J42">
    <cfRule type="cellIs" dxfId="2654" priority="6415" operator="equal">
      <formula>"OFF"</formula>
    </cfRule>
    <cfRule type="cellIs" dxfId="2653" priority="6416" operator="equal">
      <formula>"PTO"</formula>
    </cfRule>
  </conditionalFormatting>
  <conditionalFormatting sqref="J33:J42">
    <cfRule type="cellIs" dxfId="2652" priority="6407" operator="equal">
      <formula>"OFF"</formula>
    </cfRule>
    <cfRule type="cellIs" dxfId="2651" priority="6408" operator="equal">
      <formula>"PTO"</formula>
    </cfRule>
  </conditionalFormatting>
  <conditionalFormatting sqref="J33:J42">
    <cfRule type="cellIs" dxfId="2650" priority="6391" operator="equal">
      <formula>"OFF"</formula>
    </cfRule>
    <cfRule type="cellIs" dxfId="2649" priority="6392" operator="equal">
      <formula>"PTO"</formula>
    </cfRule>
  </conditionalFormatting>
  <conditionalFormatting sqref="J33:J42">
    <cfRule type="cellIs" dxfId="2648" priority="6389" operator="equal">
      <formula>"OFF"</formula>
    </cfRule>
    <cfRule type="cellIs" dxfId="2647" priority="6390" operator="equal">
      <formula>"PTO"</formula>
    </cfRule>
  </conditionalFormatting>
  <conditionalFormatting sqref="J33:J42">
    <cfRule type="cellIs" dxfId="2646" priority="6423" operator="equal">
      <formula>"OFF"</formula>
    </cfRule>
    <cfRule type="cellIs" dxfId="2645" priority="6424" operator="equal">
      <formula>"PTO"</formula>
    </cfRule>
  </conditionalFormatting>
  <conditionalFormatting sqref="J33:J42">
    <cfRule type="cellIs" dxfId="2644" priority="6419" operator="equal">
      <formula>"OFF"</formula>
    </cfRule>
    <cfRule type="cellIs" dxfId="2643" priority="6420" operator="equal">
      <formula>"PTO"</formula>
    </cfRule>
  </conditionalFormatting>
  <conditionalFormatting sqref="J33:J42">
    <cfRule type="cellIs" dxfId="2642" priority="6417" operator="equal">
      <formula>"OFF"</formula>
    </cfRule>
    <cfRule type="cellIs" dxfId="2641" priority="6418" operator="equal">
      <formula>"PTO"</formula>
    </cfRule>
  </conditionalFormatting>
  <conditionalFormatting sqref="J33:J42">
    <cfRule type="cellIs" dxfId="2640" priority="6413" operator="equal">
      <formula>"OFF"</formula>
    </cfRule>
    <cfRule type="cellIs" dxfId="2639" priority="6414" operator="equal">
      <formula>"PTO"</formula>
    </cfRule>
  </conditionalFormatting>
  <conditionalFormatting sqref="J33:J42">
    <cfRule type="cellIs" dxfId="2638" priority="6411" operator="equal">
      <formula>"OFF"</formula>
    </cfRule>
    <cfRule type="cellIs" dxfId="2637" priority="6412" operator="equal">
      <formula>"PTO"</formula>
    </cfRule>
  </conditionalFormatting>
  <conditionalFormatting sqref="J33:J42">
    <cfRule type="cellIs" dxfId="2636" priority="6409" operator="equal">
      <formula>"OFF"</formula>
    </cfRule>
    <cfRule type="cellIs" dxfId="2635" priority="6410" operator="equal">
      <formula>"PTO"</formula>
    </cfRule>
  </conditionalFormatting>
  <conditionalFormatting sqref="J33:J42">
    <cfRule type="cellIs" dxfId="2634" priority="6405" operator="equal">
      <formula>"OFF"</formula>
    </cfRule>
    <cfRule type="cellIs" dxfId="2633" priority="6406" operator="equal">
      <formula>"PTO"</formula>
    </cfRule>
  </conditionalFormatting>
  <conditionalFormatting sqref="J33:J42">
    <cfRule type="cellIs" dxfId="2632" priority="6403" operator="equal">
      <formula>"OFF"</formula>
    </cfRule>
    <cfRule type="cellIs" dxfId="2631" priority="6404" operator="equal">
      <formula>"PTO"</formula>
    </cfRule>
  </conditionalFormatting>
  <conditionalFormatting sqref="J33:J42">
    <cfRule type="cellIs" dxfId="2630" priority="6401" operator="equal">
      <formula>"OFF"</formula>
    </cfRule>
    <cfRule type="cellIs" dxfId="2629" priority="6402" operator="equal">
      <formula>"PTO"</formula>
    </cfRule>
  </conditionalFormatting>
  <conditionalFormatting sqref="J33:J42">
    <cfRule type="cellIs" dxfId="2628" priority="6399" operator="equal">
      <formula>"OFF"</formula>
    </cfRule>
    <cfRule type="cellIs" dxfId="2627" priority="6400" operator="equal">
      <formula>"PTO"</formula>
    </cfRule>
  </conditionalFormatting>
  <conditionalFormatting sqref="J33:J42">
    <cfRule type="cellIs" dxfId="2626" priority="6397" operator="equal">
      <formula>"OFF"</formula>
    </cfRule>
    <cfRule type="cellIs" dxfId="2625" priority="6398" operator="equal">
      <formula>"PTO"</formula>
    </cfRule>
  </conditionalFormatting>
  <conditionalFormatting sqref="J33:J42">
    <cfRule type="cellIs" dxfId="2624" priority="6395" operator="equal">
      <formula>"OFF"</formula>
    </cfRule>
    <cfRule type="cellIs" dxfId="2623" priority="6396" operator="equal">
      <formula>"PTO"</formula>
    </cfRule>
  </conditionalFormatting>
  <conditionalFormatting sqref="J33:J42">
    <cfRule type="cellIs" dxfId="2622" priority="6393" operator="equal">
      <formula>"OFF"</formula>
    </cfRule>
    <cfRule type="cellIs" dxfId="2621" priority="6394" operator="equal">
      <formula>"PTO"</formula>
    </cfRule>
  </conditionalFormatting>
  <conditionalFormatting sqref="J33:J42">
    <cfRule type="cellIs" dxfId="2620" priority="6387" operator="equal">
      <formula>"OFF"</formula>
    </cfRule>
    <cfRule type="cellIs" dxfId="2619" priority="6388" operator="equal">
      <formula>"PTO"</formula>
    </cfRule>
  </conditionalFormatting>
  <conditionalFormatting sqref="J33:J42">
    <cfRule type="cellIs" dxfId="2618" priority="6385" operator="equal">
      <formula>"OFF"</formula>
    </cfRule>
    <cfRule type="cellIs" dxfId="2617" priority="6386" operator="equal">
      <formula>"PTO"</formula>
    </cfRule>
  </conditionalFormatting>
  <conditionalFormatting sqref="J33:J42">
    <cfRule type="cellIs" dxfId="2616" priority="6383" operator="equal">
      <formula>"OFF"</formula>
    </cfRule>
    <cfRule type="cellIs" dxfId="2615" priority="6384" operator="equal">
      <formula>"PTO"</formula>
    </cfRule>
  </conditionalFormatting>
  <conditionalFormatting sqref="J33:J42">
    <cfRule type="cellIs" dxfId="2614" priority="6381" operator="equal">
      <formula>"OFF"</formula>
    </cfRule>
    <cfRule type="cellIs" dxfId="2613" priority="6382" operator="equal">
      <formula>"PTO"</formula>
    </cfRule>
  </conditionalFormatting>
  <conditionalFormatting sqref="J33:J42">
    <cfRule type="cellIs" dxfId="2612" priority="6379" operator="equal">
      <formula>"OFF"</formula>
    </cfRule>
    <cfRule type="cellIs" dxfId="2611" priority="6380" operator="equal">
      <formula>"PTO"</formula>
    </cfRule>
  </conditionalFormatting>
  <conditionalFormatting sqref="J33:J42">
    <cfRule type="cellIs" dxfId="2610" priority="6377" operator="equal">
      <formula>"OFF"</formula>
    </cfRule>
    <cfRule type="cellIs" dxfId="2609" priority="6378" operator="equal">
      <formula>"PTO"</formula>
    </cfRule>
  </conditionalFormatting>
  <conditionalFormatting sqref="J33:J42">
    <cfRule type="cellIs" dxfId="2608" priority="6375" operator="equal">
      <formula>"OFF"</formula>
    </cfRule>
    <cfRule type="cellIs" dxfId="2607" priority="6376" operator="equal">
      <formula>"PTO"</formula>
    </cfRule>
  </conditionalFormatting>
  <conditionalFormatting sqref="J33:J42">
    <cfRule type="cellIs" dxfId="2606" priority="6373" operator="equal">
      <formula>"OFF"</formula>
    </cfRule>
    <cfRule type="cellIs" dxfId="2605" priority="6374" operator="equal">
      <formula>"PTO"</formula>
    </cfRule>
  </conditionalFormatting>
  <conditionalFormatting sqref="J33:J42">
    <cfRule type="cellIs" dxfId="2604" priority="6371" operator="equal">
      <formula>"OFF"</formula>
    </cfRule>
    <cfRule type="cellIs" dxfId="2603" priority="6372" operator="equal">
      <formula>"PTO"</formula>
    </cfRule>
  </conditionalFormatting>
  <conditionalFormatting sqref="J33:J42">
    <cfRule type="cellIs" dxfId="2602" priority="6369" operator="equal">
      <formula>"OFF"</formula>
    </cfRule>
    <cfRule type="cellIs" dxfId="2601" priority="6370" operator="equal">
      <formula>"PTO"</formula>
    </cfRule>
  </conditionalFormatting>
  <conditionalFormatting sqref="J33:J42">
    <cfRule type="cellIs" dxfId="2600" priority="6367" operator="equal">
      <formula>"OFF"</formula>
    </cfRule>
    <cfRule type="cellIs" dxfId="2599" priority="6368" operator="equal">
      <formula>"PTO"</formula>
    </cfRule>
  </conditionalFormatting>
  <conditionalFormatting sqref="J33:J42">
    <cfRule type="cellIs" dxfId="2598" priority="6365" operator="equal">
      <formula>"OFF"</formula>
    </cfRule>
    <cfRule type="cellIs" dxfId="2597" priority="6366" operator="equal">
      <formula>"PTO"</formula>
    </cfRule>
  </conditionalFormatting>
  <conditionalFormatting sqref="J33:J42">
    <cfRule type="cellIs" dxfId="2596" priority="6363" operator="equal">
      <formula>"OFF"</formula>
    </cfRule>
    <cfRule type="cellIs" dxfId="2595" priority="6364" operator="equal">
      <formula>"PTO"</formula>
    </cfRule>
  </conditionalFormatting>
  <conditionalFormatting sqref="J33:J42">
    <cfRule type="cellIs" dxfId="2594" priority="6361" operator="equal">
      <formula>"OFF"</formula>
    </cfRule>
    <cfRule type="cellIs" dxfId="2593" priority="6362" operator="equal">
      <formula>"PTO"</formula>
    </cfRule>
  </conditionalFormatting>
  <conditionalFormatting sqref="J33:J42">
    <cfRule type="cellIs" dxfId="2592" priority="6359" operator="equal">
      <formula>"OFF"</formula>
    </cfRule>
    <cfRule type="cellIs" dxfId="2591" priority="6360" operator="equal">
      <formula>"PTO"</formula>
    </cfRule>
  </conditionalFormatting>
  <conditionalFormatting sqref="J33:J42">
    <cfRule type="cellIs" dxfId="2590" priority="6357" operator="equal">
      <formula>"OFF"</formula>
    </cfRule>
    <cfRule type="cellIs" dxfId="2589" priority="6358" operator="equal">
      <formula>"PTO"</formula>
    </cfRule>
  </conditionalFormatting>
  <conditionalFormatting sqref="J33:J42">
    <cfRule type="cellIs" dxfId="2588" priority="6355" operator="equal">
      <formula>"OFF"</formula>
    </cfRule>
    <cfRule type="cellIs" dxfId="2587" priority="6356" operator="equal">
      <formula>"PTO"</formula>
    </cfRule>
  </conditionalFormatting>
  <conditionalFormatting sqref="J33:J42">
    <cfRule type="cellIs" dxfId="2586" priority="6353" operator="equal">
      <formula>"OFF"</formula>
    </cfRule>
    <cfRule type="cellIs" dxfId="2585" priority="6354" operator="equal">
      <formula>"PTO"</formula>
    </cfRule>
  </conditionalFormatting>
  <conditionalFormatting sqref="J33:J42">
    <cfRule type="cellIs" dxfId="2584" priority="6351" operator="equal">
      <formula>"OFF"</formula>
    </cfRule>
    <cfRule type="cellIs" dxfId="2583" priority="6352" operator="equal">
      <formula>"PTO"</formula>
    </cfRule>
  </conditionalFormatting>
  <conditionalFormatting sqref="J33:J42">
    <cfRule type="cellIs" dxfId="2582" priority="6349" operator="equal">
      <formula>"OFF"</formula>
    </cfRule>
    <cfRule type="cellIs" dxfId="2581" priority="6350" operator="equal">
      <formula>"PTO"</formula>
    </cfRule>
  </conditionalFormatting>
  <conditionalFormatting sqref="J33:J42">
    <cfRule type="cellIs" dxfId="2580" priority="6347" operator="equal">
      <formula>"OFF"</formula>
    </cfRule>
    <cfRule type="cellIs" dxfId="2579" priority="6348" operator="equal">
      <formula>"PTO"</formula>
    </cfRule>
  </conditionalFormatting>
  <conditionalFormatting sqref="J33:J42">
    <cfRule type="cellIs" dxfId="2578" priority="6345" operator="equal">
      <formula>"OFF"</formula>
    </cfRule>
    <cfRule type="cellIs" dxfId="2577" priority="6346" operator="equal">
      <formula>"PTO"</formula>
    </cfRule>
  </conditionalFormatting>
  <conditionalFormatting sqref="J33:J42">
    <cfRule type="cellIs" dxfId="2576" priority="6343" operator="equal">
      <formula>"OFF"</formula>
    </cfRule>
    <cfRule type="cellIs" dxfId="2575" priority="6344" operator="equal">
      <formula>"PTO"</formula>
    </cfRule>
  </conditionalFormatting>
  <conditionalFormatting sqref="J33:J42">
    <cfRule type="cellIs" dxfId="2574" priority="6341" operator="equal">
      <formula>"OFF"</formula>
    </cfRule>
    <cfRule type="cellIs" dxfId="2573" priority="6342" operator="equal">
      <formula>"PTO"</formula>
    </cfRule>
  </conditionalFormatting>
  <conditionalFormatting sqref="J33:J42">
    <cfRule type="cellIs" dxfId="2572" priority="6339" operator="equal">
      <formula>"OFF"</formula>
    </cfRule>
    <cfRule type="cellIs" dxfId="2571" priority="6340" operator="equal">
      <formula>"PTO"</formula>
    </cfRule>
  </conditionalFormatting>
  <conditionalFormatting sqref="J33:J42">
    <cfRule type="cellIs" dxfId="2570" priority="6337" operator="equal">
      <formula>"OFF"</formula>
    </cfRule>
    <cfRule type="cellIs" dxfId="2569" priority="6338" operator="equal">
      <formula>"PTO"</formula>
    </cfRule>
  </conditionalFormatting>
  <conditionalFormatting sqref="M33:O42">
    <cfRule type="cellIs" dxfId="2568" priority="6335" operator="equal">
      <formula>"OFF"</formula>
    </cfRule>
    <cfRule type="cellIs" dxfId="2567" priority="6336" operator="equal">
      <formula>"PTO"</formula>
    </cfRule>
  </conditionalFormatting>
  <conditionalFormatting sqref="M33:O42">
    <cfRule type="cellIs" dxfId="2566" priority="6329" operator="equal">
      <formula>"OFF"</formula>
    </cfRule>
    <cfRule type="cellIs" dxfId="2565" priority="6330" operator="equal">
      <formula>"PTO"</formula>
    </cfRule>
  </conditionalFormatting>
  <conditionalFormatting sqref="M33:O42">
    <cfRule type="cellIs" dxfId="2564" priority="6313" operator="equal">
      <formula>"OFF"</formula>
    </cfRule>
    <cfRule type="cellIs" dxfId="2563" priority="6314" operator="equal">
      <formula>"PTO"</formula>
    </cfRule>
  </conditionalFormatting>
  <conditionalFormatting sqref="M33:O42">
    <cfRule type="cellIs" dxfId="2562" priority="6281" operator="equal">
      <formula>"OFF"</formula>
    </cfRule>
    <cfRule type="cellIs" dxfId="2561" priority="6282" operator="equal">
      <formula>"PTO"</formula>
    </cfRule>
  </conditionalFormatting>
  <conditionalFormatting sqref="M33:O42">
    <cfRule type="cellIs" dxfId="2560" priority="6279" operator="equal">
      <formula>"OFF"</formula>
    </cfRule>
    <cfRule type="cellIs" dxfId="2559" priority="6280" operator="equal">
      <formula>"PTO"</formula>
    </cfRule>
  </conditionalFormatting>
  <conditionalFormatting sqref="M33:O42">
    <cfRule type="cellIs" dxfId="2558" priority="6333" operator="equal">
      <formula>"OFF"</formula>
    </cfRule>
    <cfRule type="cellIs" dxfId="2557" priority="6334" operator="equal">
      <formula>"PTO"</formula>
    </cfRule>
  </conditionalFormatting>
  <conditionalFormatting sqref="M33:O42">
    <cfRule type="cellIs" dxfId="2556" priority="6331" operator="equal">
      <formula>"OFF"</formula>
    </cfRule>
    <cfRule type="cellIs" dxfId="2555" priority="6332" operator="equal">
      <formula>"PTO"</formula>
    </cfRule>
  </conditionalFormatting>
  <conditionalFormatting sqref="M33:O42">
    <cfRule type="cellIs" dxfId="2554" priority="6327" operator="equal">
      <formula>"OFF"</formula>
    </cfRule>
    <cfRule type="cellIs" dxfId="2553" priority="6328" operator="equal">
      <formula>"PTO"</formula>
    </cfRule>
  </conditionalFormatting>
  <conditionalFormatting sqref="M33:O42">
    <cfRule type="cellIs" dxfId="2552" priority="6325" operator="equal">
      <formula>"OFF"</formula>
    </cfRule>
    <cfRule type="cellIs" dxfId="2551" priority="6326" operator="equal">
      <formula>"PTO"</formula>
    </cfRule>
  </conditionalFormatting>
  <conditionalFormatting sqref="M33:O42">
    <cfRule type="cellIs" dxfId="2550" priority="6323" operator="equal">
      <formula>"OFF"</formula>
    </cfRule>
    <cfRule type="cellIs" dxfId="2549" priority="6324" operator="equal">
      <formula>"PTO"</formula>
    </cfRule>
  </conditionalFormatting>
  <conditionalFormatting sqref="M33:O42">
    <cfRule type="cellIs" dxfId="2548" priority="6321" operator="equal">
      <formula>"OFF"</formula>
    </cfRule>
    <cfRule type="cellIs" dxfId="2547" priority="6322" operator="equal">
      <formula>"PTO"</formula>
    </cfRule>
  </conditionalFormatting>
  <conditionalFormatting sqref="M33:O42">
    <cfRule type="cellIs" dxfId="2546" priority="6319" operator="equal">
      <formula>"OFF"</formula>
    </cfRule>
    <cfRule type="cellIs" dxfId="2545" priority="6320" operator="equal">
      <formula>"PTO"</formula>
    </cfRule>
  </conditionalFormatting>
  <conditionalFormatting sqref="M33:O42">
    <cfRule type="cellIs" dxfId="2544" priority="6317" operator="equal">
      <formula>"OFF"</formula>
    </cfRule>
    <cfRule type="cellIs" dxfId="2543" priority="6318" operator="equal">
      <formula>"PTO"</formula>
    </cfRule>
  </conditionalFormatting>
  <conditionalFormatting sqref="M33:O42">
    <cfRule type="cellIs" dxfId="2542" priority="6315" operator="equal">
      <formula>"OFF"</formula>
    </cfRule>
    <cfRule type="cellIs" dxfId="2541" priority="6316" operator="equal">
      <formula>"PTO"</formula>
    </cfRule>
  </conditionalFormatting>
  <conditionalFormatting sqref="M33:O42">
    <cfRule type="cellIs" dxfId="2540" priority="6311" operator="equal">
      <formula>"OFF"</formula>
    </cfRule>
    <cfRule type="cellIs" dxfId="2539" priority="6312" operator="equal">
      <formula>"PTO"</formula>
    </cfRule>
  </conditionalFormatting>
  <conditionalFormatting sqref="M33:O42">
    <cfRule type="cellIs" dxfId="2538" priority="6309" operator="equal">
      <formula>"OFF"</formula>
    </cfRule>
    <cfRule type="cellIs" dxfId="2537" priority="6310" operator="equal">
      <formula>"PTO"</formula>
    </cfRule>
  </conditionalFormatting>
  <conditionalFormatting sqref="M33:O42">
    <cfRule type="cellIs" dxfId="2536" priority="6307" operator="equal">
      <formula>"OFF"</formula>
    </cfRule>
    <cfRule type="cellIs" dxfId="2535" priority="6308" operator="equal">
      <formula>"PTO"</formula>
    </cfRule>
  </conditionalFormatting>
  <conditionalFormatting sqref="M33:O42">
    <cfRule type="cellIs" dxfId="2534" priority="6305" operator="equal">
      <formula>"OFF"</formula>
    </cfRule>
    <cfRule type="cellIs" dxfId="2533" priority="6306" operator="equal">
      <formula>"PTO"</formula>
    </cfRule>
  </conditionalFormatting>
  <conditionalFormatting sqref="M33:O42">
    <cfRule type="cellIs" dxfId="2532" priority="6303" operator="equal">
      <formula>"OFF"</formula>
    </cfRule>
    <cfRule type="cellIs" dxfId="2531" priority="6304" operator="equal">
      <formula>"PTO"</formula>
    </cfRule>
  </conditionalFormatting>
  <conditionalFormatting sqref="M33:O42">
    <cfRule type="cellIs" dxfId="2530" priority="6301" operator="equal">
      <formula>"OFF"</formula>
    </cfRule>
    <cfRule type="cellIs" dxfId="2529" priority="6302" operator="equal">
      <formula>"PTO"</formula>
    </cfRule>
  </conditionalFormatting>
  <conditionalFormatting sqref="M33:O42">
    <cfRule type="cellIs" dxfId="2528" priority="6299" operator="equal">
      <formula>"OFF"</formula>
    </cfRule>
    <cfRule type="cellIs" dxfId="2527" priority="6300" operator="equal">
      <formula>"PTO"</formula>
    </cfRule>
  </conditionalFormatting>
  <conditionalFormatting sqref="M33:O42">
    <cfRule type="cellIs" dxfId="2526" priority="6297" operator="equal">
      <formula>"OFF"</formula>
    </cfRule>
    <cfRule type="cellIs" dxfId="2525" priority="6298" operator="equal">
      <formula>"PTO"</formula>
    </cfRule>
  </conditionalFormatting>
  <conditionalFormatting sqref="M33:O42">
    <cfRule type="cellIs" dxfId="2524" priority="6295" operator="equal">
      <formula>"OFF"</formula>
    </cfRule>
    <cfRule type="cellIs" dxfId="2523" priority="6296" operator="equal">
      <formula>"PTO"</formula>
    </cfRule>
  </conditionalFormatting>
  <conditionalFormatting sqref="M33:O42">
    <cfRule type="cellIs" dxfId="2522" priority="6293" operator="equal">
      <formula>"OFF"</formula>
    </cfRule>
    <cfRule type="cellIs" dxfId="2521" priority="6294" operator="equal">
      <formula>"PTO"</formula>
    </cfRule>
  </conditionalFormatting>
  <conditionalFormatting sqref="M33:O42">
    <cfRule type="cellIs" dxfId="2520" priority="6291" operator="equal">
      <formula>"OFF"</formula>
    </cfRule>
    <cfRule type="cellIs" dxfId="2519" priority="6292" operator="equal">
      <formula>"PTO"</formula>
    </cfRule>
  </conditionalFormatting>
  <conditionalFormatting sqref="M33:O42">
    <cfRule type="cellIs" dxfId="2518" priority="6289" operator="equal">
      <formula>"OFF"</formula>
    </cfRule>
    <cfRule type="cellIs" dxfId="2517" priority="6290" operator="equal">
      <formula>"PTO"</formula>
    </cfRule>
  </conditionalFormatting>
  <conditionalFormatting sqref="M33:O42">
    <cfRule type="cellIs" dxfId="2516" priority="6287" operator="equal">
      <formula>"OFF"</formula>
    </cfRule>
    <cfRule type="cellIs" dxfId="2515" priority="6288" operator="equal">
      <formula>"PTO"</formula>
    </cfRule>
  </conditionalFormatting>
  <conditionalFormatting sqref="M33:O42">
    <cfRule type="cellIs" dxfId="2514" priority="6285" operator="equal">
      <formula>"OFF"</formula>
    </cfRule>
    <cfRule type="cellIs" dxfId="2513" priority="6286" operator="equal">
      <formula>"PTO"</formula>
    </cfRule>
  </conditionalFormatting>
  <conditionalFormatting sqref="M33:O42">
    <cfRule type="cellIs" dxfId="2512" priority="6283" operator="equal">
      <formula>"OFF"</formula>
    </cfRule>
    <cfRule type="cellIs" dxfId="2511" priority="6284" operator="equal">
      <formula>"PTO"</formula>
    </cfRule>
  </conditionalFormatting>
  <conditionalFormatting sqref="M33:O42">
    <cfRule type="cellIs" dxfId="2510" priority="6277" operator="equal">
      <formula>"OFF"</formula>
    </cfRule>
    <cfRule type="cellIs" dxfId="2509" priority="6278" operator="equal">
      <formula>"PTO"</formula>
    </cfRule>
  </conditionalFormatting>
  <conditionalFormatting sqref="M33:O42">
    <cfRule type="cellIs" dxfId="2508" priority="6275" operator="equal">
      <formula>"OFF"</formula>
    </cfRule>
    <cfRule type="cellIs" dxfId="2507" priority="6276" operator="equal">
      <formula>"PTO"</formula>
    </cfRule>
  </conditionalFormatting>
  <conditionalFormatting sqref="M33:O42">
    <cfRule type="cellIs" dxfId="2506" priority="6273" operator="equal">
      <formula>"OFF"</formula>
    </cfRule>
    <cfRule type="cellIs" dxfId="2505" priority="6274" operator="equal">
      <formula>"PTO"</formula>
    </cfRule>
  </conditionalFormatting>
  <conditionalFormatting sqref="M33:O42">
    <cfRule type="cellIs" dxfId="2504" priority="6271" operator="equal">
      <formula>"OFF"</formula>
    </cfRule>
    <cfRule type="cellIs" dxfId="2503" priority="6272" operator="equal">
      <formula>"PTO"</formula>
    </cfRule>
  </conditionalFormatting>
  <conditionalFormatting sqref="M33:O42">
    <cfRule type="cellIs" dxfId="2502" priority="6269" operator="equal">
      <formula>"OFF"</formula>
    </cfRule>
    <cfRule type="cellIs" dxfId="2501" priority="6270" operator="equal">
      <formula>"PTO"</formula>
    </cfRule>
  </conditionalFormatting>
  <conditionalFormatting sqref="M33:O42">
    <cfRule type="cellIs" dxfId="2500" priority="6267" operator="equal">
      <formula>"OFF"</formula>
    </cfRule>
    <cfRule type="cellIs" dxfId="2499" priority="6268" operator="equal">
      <formula>"PTO"</formula>
    </cfRule>
  </conditionalFormatting>
  <conditionalFormatting sqref="M33:O42">
    <cfRule type="cellIs" dxfId="2498" priority="6265" operator="equal">
      <formula>"OFF"</formula>
    </cfRule>
    <cfRule type="cellIs" dxfId="2497" priority="6266" operator="equal">
      <formula>"PTO"</formula>
    </cfRule>
  </conditionalFormatting>
  <conditionalFormatting sqref="M33:O42">
    <cfRule type="cellIs" dxfId="2496" priority="6263" operator="equal">
      <formula>"OFF"</formula>
    </cfRule>
    <cfRule type="cellIs" dxfId="2495" priority="6264" operator="equal">
      <formula>"PTO"</formula>
    </cfRule>
  </conditionalFormatting>
  <conditionalFormatting sqref="M33:O42">
    <cfRule type="cellIs" dxfId="2494" priority="6261" operator="equal">
      <formula>"OFF"</formula>
    </cfRule>
    <cfRule type="cellIs" dxfId="2493" priority="6262" operator="equal">
      <formula>"PTO"</formula>
    </cfRule>
  </conditionalFormatting>
  <conditionalFormatting sqref="M33:O42">
    <cfRule type="cellIs" dxfId="2492" priority="6259" operator="equal">
      <formula>"OFF"</formula>
    </cfRule>
    <cfRule type="cellIs" dxfId="2491" priority="6260" operator="equal">
      <formula>"PTO"</formula>
    </cfRule>
  </conditionalFormatting>
  <conditionalFormatting sqref="M33:O42">
    <cfRule type="cellIs" dxfId="2490" priority="6257" operator="equal">
      <formula>"OFF"</formula>
    </cfRule>
    <cfRule type="cellIs" dxfId="2489" priority="6258" operator="equal">
      <formula>"PTO"</formula>
    </cfRule>
  </conditionalFormatting>
  <conditionalFormatting sqref="M33:O42">
    <cfRule type="cellIs" dxfId="2488" priority="6255" operator="equal">
      <formula>"OFF"</formula>
    </cfRule>
    <cfRule type="cellIs" dxfId="2487" priority="6256" operator="equal">
      <formula>"PTO"</formula>
    </cfRule>
  </conditionalFormatting>
  <conditionalFormatting sqref="M33:O42">
    <cfRule type="cellIs" dxfId="2486" priority="6253" operator="equal">
      <formula>"OFF"</formula>
    </cfRule>
    <cfRule type="cellIs" dxfId="2485" priority="6254" operator="equal">
      <formula>"PTO"</formula>
    </cfRule>
  </conditionalFormatting>
  <conditionalFormatting sqref="M33:O42">
    <cfRule type="cellIs" dxfId="2484" priority="6251" operator="equal">
      <formula>"OFF"</formula>
    </cfRule>
    <cfRule type="cellIs" dxfId="2483" priority="6252" operator="equal">
      <formula>"PTO"</formula>
    </cfRule>
  </conditionalFormatting>
  <conditionalFormatting sqref="M33:O42">
    <cfRule type="cellIs" dxfId="2482" priority="6249" operator="equal">
      <formula>"OFF"</formula>
    </cfRule>
    <cfRule type="cellIs" dxfId="2481" priority="6250" operator="equal">
      <formula>"PTO"</formula>
    </cfRule>
  </conditionalFormatting>
  <conditionalFormatting sqref="M33:O42">
    <cfRule type="cellIs" dxfId="2480" priority="6247" operator="equal">
      <formula>"OFF"</formula>
    </cfRule>
    <cfRule type="cellIs" dxfId="2479" priority="6248" operator="equal">
      <formula>"PTO"</formula>
    </cfRule>
  </conditionalFormatting>
  <conditionalFormatting sqref="M33:O42">
    <cfRule type="cellIs" dxfId="2478" priority="6245" operator="equal">
      <formula>"OFF"</formula>
    </cfRule>
    <cfRule type="cellIs" dxfId="2477" priority="6246" operator="equal">
      <formula>"PTO"</formula>
    </cfRule>
  </conditionalFormatting>
  <conditionalFormatting sqref="M33:O42">
    <cfRule type="cellIs" dxfId="2476" priority="6243" operator="equal">
      <formula>"OFF"</formula>
    </cfRule>
    <cfRule type="cellIs" dxfId="2475" priority="6244" operator="equal">
      <formula>"PTO"</formula>
    </cfRule>
  </conditionalFormatting>
  <conditionalFormatting sqref="M33:O42">
    <cfRule type="cellIs" dxfId="2474" priority="6241" operator="equal">
      <formula>"OFF"</formula>
    </cfRule>
    <cfRule type="cellIs" dxfId="2473" priority="6242" operator="equal">
      <formula>"PTO"</formula>
    </cfRule>
  </conditionalFormatting>
  <conditionalFormatting sqref="M33:O42">
    <cfRule type="cellIs" dxfId="2472" priority="6239" operator="equal">
      <formula>"OFF"</formula>
    </cfRule>
    <cfRule type="cellIs" dxfId="2471" priority="6240" operator="equal">
      <formula>"PTO"</formula>
    </cfRule>
  </conditionalFormatting>
  <conditionalFormatting sqref="M33:O42">
    <cfRule type="cellIs" dxfId="2470" priority="6237" operator="equal">
      <formula>"OFF"</formula>
    </cfRule>
    <cfRule type="cellIs" dxfId="2469" priority="6238" operator="equal">
      <formula>"PTO"</formula>
    </cfRule>
  </conditionalFormatting>
  <conditionalFormatting sqref="M33:O42">
    <cfRule type="cellIs" dxfId="2468" priority="6235" operator="equal">
      <formula>"OFF"</formula>
    </cfRule>
    <cfRule type="cellIs" dxfId="2467" priority="6236" operator="equal">
      <formula>"PTO"</formula>
    </cfRule>
  </conditionalFormatting>
  <conditionalFormatting sqref="M33:O42">
    <cfRule type="cellIs" dxfId="2466" priority="6233" operator="equal">
      <formula>"OFF"</formula>
    </cfRule>
    <cfRule type="cellIs" dxfId="2465" priority="6234" operator="equal">
      <formula>"PTO"</formula>
    </cfRule>
  </conditionalFormatting>
  <conditionalFormatting sqref="M33:O42">
    <cfRule type="cellIs" dxfId="2464" priority="6231" operator="equal">
      <formula>"OFF"</formula>
    </cfRule>
    <cfRule type="cellIs" dxfId="2463" priority="6232" operator="equal">
      <formula>"PTO"</formula>
    </cfRule>
  </conditionalFormatting>
  <conditionalFormatting sqref="M33:O42">
    <cfRule type="cellIs" dxfId="2462" priority="6229" operator="equal">
      <formula>"OFF"</formula>
    </cfRule>
    <cfRule type="cellIs" dxfId="2461" priority="6230" operator="equal">
      <formula>"PTO"</formula>
    </cfRule>
  </conditionalFormatting>
  <conditionalFormatting sqref="M33:O42">
    <cfRule type="cellIs" dxfId="2460" priority="6227" operator="equal">
      <formula>"OFF"</formula>
    </cfRule>
    <cfRule type="cellIs" dxfId="2459" priority="6228" operator="equal">
      <formula>"PTO"</formula>
    </cfRule>
  </conditionalFormatting>
  <conditionalFormatting sqref="M33:O42">
    <cfRule type="cellIs" dxfId="2458" priority="6225" operator="equal">
      <formula>"OFF"</formula>
    </cfRule>
    <cfRule type="cellIs" dxfId="2457" priority="6226" operator="equal">
      <formula>"PTO"</formula>
    </cfRule>
  </conditionalFormatting>
  <conditionalFormatting sqref="M33:O42">
    <cfRule type="cellIs" dxfId="2456" priority="6223" operator="equal">
      <formula>"OFF"</formula>
    </cfRule>
    <cfRule type="cellIs" dxfId="2455" priority="6224" operator="equal">
      <formula>"PTO"</formula>
    </cfRule>
  </conditionalFormatting>
  <conditionalFormatting sqref="M33:O42">
    <cfRule type="cellIs" dxfId="2454" priority="6221" operator="equal">
      <formula>"OFF"</formula>
    </cfRule>
    <cfRule type="cellIs" dxfId="2453" priority="6222" operator="equal">
      <formula>"PTO"</formula>
    </cfRule>
  </conditionalFormatting>
  <conditionalFormatting sqref="M33:O42">
    <cfRule type="cellIs" dxfId="2452" priority="6219" operator="equal">
      <formula>"OFF"</formula>
    </cfRule>
    <cfRule type="cellIs" dxfId="2451" priority="6220" operator="equal">
      <formula>"PTO"</formula>
    </cfRule>
  </conditionalFormatting>
  <conditionalFormatting sqref="M33:O42">
    <cfRule type="cellIs" dxfId="2450" priority="6217" operator="equal">
      <formula>"OFF"</formula>
    </cfRule>
    <cfRule type="cellIs" dxfId="2449" priority="6218" operator="equal">
      <formula>"PTO"</formula>
    </cfRule>
  </conditionalFormatting>
  <conditionalFormatting sqref="M33:O42">
    <cfRule type="cellIs" dxfId="2448" priority="6215" operator="equal">
      <formula>"OFF"</formula>
    </cfRule>
    <cfRule type="cellIs" dxfId="2447" priority="6216" operator="equal">
      <formula>"PTO"</formula>
    </cfRule>
  </conditionalFormatting>
  <conditionalFormatting sqref="M33:O42">
    <cfRule type="cellIs" dxfId="2446" priority="6213" operator="equal">
      <formula>"OFF"</formula>
    </cfRule>
    <cfRule type="cellIs" dxfId="2445" priority="6214" operator="equal">
      <formula>"PTO"</formula>
    </cfRule>
  </conditionalFormatting>
  <conditionalFormatting sqref="M33:O42">
    <cfRule type="cellIs" dxfId="2444" priority="6211" operator="equal">
      <formula>"OFF"</formula>
    </cfRule>
    <cfRule type="cellIs" dxfId="2443" priority="6212" operator="equal">
      <formula>"PTO"</formula>
    </cfRule>
  </conditionalFormatting>
  <conditionalFormatting sqref="M33:O42">
    <cfRule type="cellIs" dxfId="2442" priority="6209" operator="equal">
      <formula>"OFF"</formula>
    </cfRule>
    <cfRule type="cellIs" dxfId="2441" priority="6210" operator="equal">
      <formula>"PTO"</formula>
    </cfRule>
  </conditionalFormatting>
  <conditionalFormatting sqref="M33:O42">
    <cfRule type="cellIs" dxfId="2440" priority="6207" operator="equal">
      <formula>"OFF"</formula>
    </cfRule>
    <cfRule type="cellIs" dxfId="2439" priority="6208" operator="equal">
      <formula>"PTO"</formula>
    </cfRule>
  </conditionalFormatting>
  <conditionalFormatting sqref="M33:O42">
    <cfRule type="cellIs" dxfId="2438" priority="6205" operator="equal">
      <formula>"OFF"</formula>
    </cfRule>
    <cfRule type="cellIs" dxfId="2437" priority="6206" operator="equal">
      <formula>"PTO"</formula>
    </cfRule>
  </conditionalFormatting>
  <conditionalFormatting sqref="M33:O42">
    <cfRule type="cellIs" dxfId="2436" priority="6203" operator="equal">
      <formula>"OFF"</formula>
    </cfRule>
    <cfRule type="cellIs" dxfId="2435" priority="6204" operator="equal">
      <formula>"PTO"</formula>
    </cfRule>
  </conditionalFormatting>
  <conditionalFormatting sqref="M33:O42">
    <cfRule type="cellIs" dxfId="2434" priority="6201" operator="equal">
      <formula>"OFF"</formula>
    </cfRule>
    <cfRule type="cellIs" dxfId="2433" priority="6202" operator="equal">
      <formula>"PTO"</formula>
    </cfRule>
  </conditionalFormatting>
  <conditionalFormatting sqref="M33:O42">
    <cfRule type="cellIs" dxfId="2432" priority="6199" operator="equal">
      <formula>"OFF"</formula>
    </cfRule>
    <cfRule type="cellIs" dxfId="2431" priority="6200" operator="equal">
      <formula>"PTO"</formula>
    </cfRule>
  </conditionalFormatting>
  <conditionalFormatting sqref="M33:O42">
    <cfRule type="cellIs" dxfId="2430" priority="6197" operator="equal">
      <formula>"OFF"</formula>
    </cfRule>
    <cfRule type="cellIs" dxfId="2429" priority="6198" operator="equal">
      <formula>"PTO"</formula>
    </cfRule>
  </conditionalFormatting>
  <conditionalFormatting sqref="M33:O42">
    <cfRule type="cellIs" dxfId="2428" priority="6195" operator="equal">
      <formula>"OFF"</formula>
    </cfRule>
    <cfRule type="cellIs" dxfId="2427" priority="6196" operator="equal">
      <formula>"PTO"</formula>
    </cfRule>
  </conditionalFormatting>
  <conditionalFormatting sqref="M33:O42">
    <cfRule type="cellIs" dxfId="2426" priority="6193" operator="equal">
      <formula>"OFF"</formula>
    </cfRule>
    <cfRule type="cellIs" dxfId="2425" priority="6194" operator="equal">
      <formula>"PTO"</formula>
    </cfRule>
  </conditionalFormatting>
  <conditionalFormatting sqref="M33:O42">
    <cfRule type="cellIs" dxfId="2424" priority="6191" operator="equal">
      <formula>"OFF"</formula>
    </cfRule>
    <cfRule type="cellIs" dxfId="2423" priority="6192" operator="equal">
      <formula>"PTO"</formula>
    </cfRule>
  </conditionalFormatting>
  <conditionalFormatting sqref="M33:O42">
    <cfRule type="cellIs" dxfId="2422" priority="6189" operator="equal">
      <formula>"OFF"</formula>
    </cfRule>
    <cfRule type="cellIs" dxfId="2421" priority="6190" operator="equal">
      <formula>"PTO"</formula>
    </cfRule>
  </conditionalFormatting>
  <conditionalFormatting sqref="M33:O42">
    <cfRule type="cellIs" dxfId="2420" priority="6187" operator="equal">
      <formula>"OFF"</formula>
    </cfRule>
    <cfRule type="cellIs" dxfId="2419" priority="6188" operator="equal">
      <formula>"PTO"</formula>
    </cfRule>
  </conditionalFormatting>
  <conditionalFormatting sqref="M33:O42">
    <cfRule type="cellIs" dxfId="2418" priority="6185" operator="equal">
      <formula>"OFF"</formula>
    </cfRule>
    <cfRule type="cellIs" dxfId="2417" priority="6186" operator="equal">
      <formula>"PTO"</formula>
    </cfRule>
  </conditionalFormatting>
  <conditionalFormatting sqref="M33:O42">
    <cfRule type="cellIs" dxfId="2416" priority="6183" operator="equal">
      <formula>"OFF"</formula>
    </cfRule>
    <cfRule type="cellIs" dxfId="2415" priority="6184" operator="equal">
      <formula>"PTO"</formula>
    </cfRule>
  </conditionalFormatting>
  <conditionalFormatting sqref="M33:O42">
    <cfRule type="cellIs" dxfId="2414" priority="6181" operator="equal">
      <formula>"OFF"</formula>
    </cfRule>
    <cfRule type="cellIs" dxfId="2413" priority="6182" operator="equal">
      <formula>"PTO"</formula>
    </cfRule>
  </conditionalFormatting>
  <conditionalFormatting sqref="M33:O42">
    <cfRule type="cellIs" dxfId="2412" priority="6179" operator="equal">
      <formula>"OFF"</formula>
    </cfRule>
    <cfRule type="cellIs" dxfId="2411" priority="6180" operator="equal">
      <formula>"PTO"</formula>
    </cfRule>
  </conditionalFormatting>
  <conditionalFormatting sqref="M33:O42">
    <cfRule type="cellIs" dxfId="2410" priority="6177" operator="equal">
      <formula>"OFF"</formula>
    </cfRule>
    <cfRule type="cellIs" dxfId="2409" priority="6178" operator="equal">
      <formula>"PTO"</formula>
    </cfRule>
  </conditionalFormatting>
  <conditionalFormatting sqref="M33:O42">
    <cfRule type="cellIs" dxfId="2408" priority="6175" operator="equal">
      <formula>"OFF"</formula>
    </cfRule>
    <cfRule type="cellIs" dxfId="2407" priority="6176" operator="equal">
      <formula>"PTO"</formula>
    </cfRule>
  </conditionalFormatting>
  <conditionalFormatting sqref="M33:O42">
    <cfRule type="cellIs" dxfId="2406" priority="6173" operator="equal">
      <formula>"OFF"</formula>
    </cfRule>
    <cfRule type="cellIs" dxfId="2405" priority="6174" operator="equal">
      <formula>"PTO"</formula>
    </cfRule>
  </conditionalFormatting>
  <conditionalFormatting sqref="M33:O42">
    <cfRule type="cellIs" dxfId="2404" priority="6171" operator="equal">
      <formula>"OFF"</formula>
    </cfRule>
    <cfRule type="cellIs" dxfId="2403" priority="6172" operator="equal">
      <formula>"PTO"</formula>
    </cfRule>
  </conditionalFormatting>
  <conditionalFormatting sqref="M33:O42">
    <cfRule type="cellIs" dxfId="2402" priority="6169" operator="equal">
      <formula>"OFF"</formula>
    </cfRule>
    <cfRule type="cellIs" dxfId="2401" priority="6170" operator="equal">
      <formula>"PTO"</formula>
    </cfRule>
  </conditionalFormatting>
  <conditionalFormatting sqref="M33:O42">
    <cfRule type="cellIs" dxfId="2400" priority="6167" operator="equal">
      <formula>"OFF"</formula>
    </cfRule>
    <cfRule type="cellIs" dxfId="2399" priority="6168" operator="equal">
      <formula>"PTO"</formula>
    </cfRule>
  </conditionalFormatting>
  <conditionalFormatting sqref="R34:W42">
    <cfRule type="cellIs" dxfId="2398" priority="6165" operator="equal">
      <formula>"OFF"</formula>
    </cfRule>
    <cfRule type="cellIs" dxfId="2397" priority="6166" operator="equal">
      <formula>"PTO"</formula>
    </cfRule>
  </conditionalFormatting>
  <conditionalFormatting sqref="R34:W42">
    <cfRule type="cellIs" dxfId="2396" priority="6163" operator="equal">
      <formula>"OFF"</formula>
    </cfRule>
    <cfRule type="cellIs" dxfId="2395" priority="6164" operator="equal">
      <formula>"PTO"</formula>
    </cfRule>
  </conditionalFormatting>
  <conditionalFormatting sqref="R34:W42">
    <cfRule type="cellIs" dxfId="2394" priority="6161" operator="equal">
      <formula>"OFF"</formula>
    </cfRule>
    <cfRule type="cellIs" dxfId="2393" priority="6162" operator="equal">
      <formula>"PTO"</formula>
    </cfRule>
  </conditionalFormatting>
  <conditionalFormatting sqref="R34:W42">
    <cfRule type="cellIs" dxfId="2392" priority="6159" operator="equal">
      <formula>"OFF"</formula>
    </cfRule>
    <cfRule type="cellIs" dxfId="2391" priority="6160" operator="equal">
      <formula>"PTO"</formula>
    </cfRule>
  </conditionalFormatting>
  <conditionalFormatting sqref="R34:W42">
    <cfRule type="cellIs" dxfId="2390" priority="6157" operator="equal">
      <formula>"OFF"</formula>
    </cfRule>
    <cfRule type="cellIs" dxfId="2389" priority="6158" operator="equal">
      <formula>"PTO"</formula>
    </cfRule>
  </conditionalFormatting>
  <conditionalFormatting sqref="R34:W42">
    <cfRule type="cellIs" dxfId="2388" priority="6155" operator="equal">
      <formula>"OFF"</formula>
    </cfRule>
    <cfRule type="cellIs" dxfId="2387" priority="6156" operator="equal">
      <formula>"PTO"</formula>
    </cfRule>
  </conditionalFormatting>
  <conditionalFormatting sqref="R34:W42">
    <cfRule type="cellIs" dxfId="2386" priority="6153" operator="equal">
      <formula>"OFF"</formula>
    </cfRule>
    <cfRule type="cellIs" dxfId="2385" priority="6154" operator="equal">
      <formula>"PTO"</formula>
    </cfRule>
  </conditionalFormatting>
  <conditionalFormatting sqref="R34:W42">
    <cfRule type="cellIs" dxfId="2384" priority="6151" operator="equal">
      <formula>"OFF"</formula>
    </cfRule>
    <cfRule type="cellIs" dxfId="2383" priority="6152" operator="equal">
      <formula>"PTO"</formula>
    </cfRule>
  </conditionalFormatting>
  <conditionalFormatting sqref="R34:W42">
    <cfRule type="cellIs" dxfId="2382" priority="6149" operator="equal">
      <formula>"OFF"</formula>
    </cfRule>
    <cfRule type="cellIs" dxfId="2381" priority="6150" operator="equal">
      <formula>"PTO"</formula>
    </cfRule>
  </conditionalFormatting>
  <conditionalFormatting sqref="R34:W42">
    <cfRule type="cellIs" dxfId="2380" priority="6147" operator="equal">
      <formula>"OFF"</formula>
    </cfRule>
    <cfRule type="cellIs" dxfId="2379" priority="6148" operator="equal">
      <formula>"PTO"</formula>
    </cfRule>
  </conditionalFormatting>
  <conditionalFormatting sqref="R34:W42">
    <cfRule type="cellIs" dxfId="2378" priority="6145" operator="equal">
      <formula>"OFF"</formula>
    </cfRule>
    <cfRule type="cellIs" dxfId="2377" priority="6146" operator="equal">
      <formula>"PTO"</formula>
    </cfRule>
  </conditionalFormatting>
  <conditionalFormatting sqref="R34:W42">
    <cfRule type="cellIs" dxfId="2376" priority="6143" operator="equal">
      <formula>"OFF"</formula>
    </cfRule>
    <cfRule type="cellIs" dxfId="2375" priority="6144" operator="equal">
      <formula>"PTO"</formula>
    </cfRule>
  </conditionalFormatting>
  <conditionalFormatting sqref="R34:W42">
    <cfRule type="cellIs" dxfId="2374" priority="6141" operator="equal">
      <formula>"OFF"</formula>
    </cfRule>
    <cfRule type="cellIs" dxfId="2373" priority="6142" operator="equal">
      <formula>"PTO"</formula>
    </cfRule>
  </conditionalFormatting>
  <conditionalFormatting sqref="S34:V42">
    <cfRule type="cellIs" dxfId="2372" priority="6139" operator="equal">
      <formula>"OFF"</formula>
    </cfRule>
    <cfRule type="cellIs" dxfId="2371" priority="6140" operator="equal">
      <formula>"PTO"</formula>
    </cfRule>
  </conditionalFormatting>
  <conditionalFormatting sqref="R34:W42">
    <cfRule type="cellIs" dxfId="2370" priority="6137" operator="equal">
      <formula>"OFF"</formula>
    </cfRule>
    <cfRule type="cellIs" dxfId="2369" priority="6138" operator="equal">
      <formula>"PTO"</formula>
    </cfRule>
  </conditionalFormatting>
  <conditionalFormatting sqref="S34:V42">
    <cfRule type="cellIs" dxfId="2368" priority="6135" operator="equal">
      <formula>"OFF"</formula>
    </cfRule>
    <cfRule type="cellIs" dxfId="2367" priority="6136" operator="equal">
      <formula>"PTO"</formula>
    </cfRule>
  </conditionalFormatting>
  <conditionalFormatting sqref="V34:W42">
    <cfRule type="cellIs" dxfId="2366" priority="6133" operator="equal">
      <formula>"OFF"</formula>
    </cfRule>
    <cfRule type="cellIs" dxfId="2365" priority="6134" operator="equal">
      <formula>"PTO"</formula>
    </cfRule>
  </conditionalFormatting>
  <conditionalFormatting sqref="S34:V42">
    <cfRule type="cellIs" dxfId="2364" priority="6131" operator="equal">
      <formula>"OFF"</formula>
    </cfRule>
    <cfRule type="cellIs" dxfId="2363" priority="6132" operator="equal">
      <formula>"PTO"</formula>
    </cfRule>
  </conditionalFormatting>
  <conditionalFormatting sqref="V34:W42">
    <cfRule type="cellIs" dxfId="2362" priority="6129" operator="equal">
      <formula>"OFF"</formula>
    </cfRule>
    <cfRule type="cellIs" dxfId="2361" priority="6130" operator="equal">
      <formula>"PTO"</formula>
    </cfRule>
  </conditionalFormatting>
  <conditionalFormatting sqref="S34:V42">
    <cfRule type="cellIs" dxfId="2360" priority="6127" operator="equal">
      <formula>"OFF"</formula>
    </cfRule>
    <cfRule type="cellIs" dxfId="2359" priority="6128" operator="equal">
      <formula>"PTO"</formula>
    </cfRule>
  </conditionalFormatting>
  <conditionalFormatting sqref="V34:W42">
    <cfRule type="cellIs" dxfId="2358" priority="6125" operator="equal">
      <formula>"OFF"</formula>
    </cfRule>
    <cfRule type="cellIs" dxfId="2357" priority="6126" operator="equal">
      <formula>"PTO"</formula>
    </cfRule>
  </conditionalFormatting>
  <conditionalFormatting sqref="S34:V42">
    <cfRule type="cellIs" dxfId="2356" priority="6123" operator="equal">
      <formula>"OFF"</formula>
    </cfRule>
    <cfRule type="cellIs" dxfId="2355" priority="6124" operator="equal">
      <formula>"PTO"</formula>
    </cfRule>
  </conditionalFormatting>
  <conditionalFormatting sqref="V34:W42">
    <cfRule type="cellIs" dxfId="2354" priority="6121" operator="equal">
      <formula>"OFF"</formula>
    </cfRule>
    <cfRule type="cellIs" dxfId="2353" priority="6122" operator="equal">
      <formula>"PTO"</formula>
    </cfRule>
  </conditionalFormatting>
  <conditionalFormatting sqref="S34:V42">
    <cfRule type="cellIs" dxfId="2352" priority="6119" operator="equal">
      <formula>"OFF"</formula>
    </cfRule>
    <cfRule type="cellIs" dxfId="2351" priority="6120" operator="equal">
      <formula>"PTO"</formula>
    </cfRule>
  </conditionalFormatting>
  <conditionalFormatting sqref="V34:W42">
    <cfRule type="cellIs" dxfId="2350" priority="6117" operator="equal">
      <formula>"OFF"</formula>
    </cfRule>
    <cfRule type="cellIs" dxfId="2349" priority="6118" operator="equal">
      <formula>"PTO"</formula>
    </cfRule>
  </conditionalFormatting>
  <conditionalFormatting sqref="S34:V42">
    <cfRule type="cellIs" dxfId="2348" priority="6115" operator="equal">
      <formula>"OFF"</formula>
    </cfRule>
    <cfRule type="cellIs" dxfId="2347" priority="6116" operator="equal">
      <formula>"PTO"</formula>
    </cfRule>
  </conditionalFormatting>
  <conditionalFormatting sqref="V34:W42">
    <cfRule type="cellIs" dxfId="2346" priority="6113" operator="equal">
      <formula>"OFF"</formula>
    </cfRule>
    <cfRule type="cellIs" dxfId="2345" priority="6114" operator="equal">
      <formula>"PTO"</formula>
    </cfRule>
  </conditionalFormatting>
  <conditionalFormatting sqref="R34:V34">
    <cfRule type="cellIs" dxfId="2344" priority="6111" operator="equal">
      <formula>"OFF"</formula>
    </cfRule>
    <cfRule type="cellIs" dxfId="2343" priority="6112" operator="equal">
      <formula>"PTO"</formula>
    </cfRule>
  </conditionalFormatting>
  <conditionalFormatting sqref="R34:V34">
    <cfRule type="cellIs" dxfId="2342" priority="6109" operator="equal">
      <formula>"OFF"</formula>
    </cfRule>
    <cfRule type="cellIs" dxfId="2341" priority="6110" operator="equal">
      <formula>"PTO"</formula>
    </cfRule>
  </conditionalFormatting>
  <conditionalFormatting sqref="R34:V34">
    <cfRule type="cellIs" dxfId="2340" priority="6107" operator="equal">
      <formula>"OFF"</formula>
    </cfRule>
    <cfRule type="cellIs" dxfId="2339" priority="6108" operator="equal">
      <formula>"PTO"</formula>
    </cfRule>
  </conditionalFormatting>
  <conditionalFormatting sqref="R34:V34">
    <cfRule type="cellIs" dxfId="2338" priority="6105" operator="equal">
      <formula>"OFF"</formula>
    </cfRule>
    <cfRule type="cellIs" dxfId="2337" priority="6106" operator="equal">
      <formula>"PTO"</formula>
    </cfRule>
  </conditionalFormatting>
  <conditionalFormatting sqref="R34:V34">
    <cfRule type="cellIs" dxfId="2336" priority="6103" operator="equal">
      <formula>"OFF"</formula>
    </cfRule>
    <cfRule type="cellIs" dxfId="2335" priority="6104" operator="equal">
      <formula>"PTO"</formula>
    </cfRule>
  </conditionalFormatting>
  <conditionalFormatting sqref="R34:V34">
    <cfRule type="cellIs" dxfId="2334" priority="6101" operator="equal">
      <formula>"OFF"</formula>
    </cfRule>
    <cfRule type="cellIs" dxfId="2333" priority="6102" operator="equal">
      <formula>"PTO"</formula>
    </cfRule>
  </conditionalFormatting>
  <conditionalFormatting sqref="R34:V34">
    <cfRule type="cellIs" dxfId="2332" priority="6099" operator="equal">
      <formula>"OFF"</formula>
    </cfRule>
    <cfRule type="cellIs" dxfId="2331" priority="6100" operator="equal">
      <formula>"PTO"</formula>
    </cfRule>
  </conditionalFormatting>
  <conditionalFormatting sqref="R34:V34">
    <cfRule type="cellIs" dxfId="2330" priority="6097" operator="equal">
      <formula>"OFF"</formula>
    </cfRule>
    <cfRule type="cellIs" dxfId="2329" priority="6098" operator="equal">
      <formula>"PTO"</formula>
    </cfRule>
  </conditionalFormatting>
  <conditionalFormatting sqref="R34:V34">
    <cfRule type="cellIs" dxfId="2328" priority="6095" operator="equal">
      <formula>"OFF"</formula>
    </cfRule>
    <cfRule type="cellIs" dxfId="2327" priority="6096" operator="equal">
      <formula>"PTO"</formula>
    </cfRule>
  </conditionalFormatting>
  <conditionalFormatting sqref="R34:V34">
    <cfRule type="cellIs" dxfId="2326" priority="6093" operator="equal">
      <formula>"OFF"</formula>
    </cfRule>
    <cfRule type="cellIs" dxfId="2325" priority="6094" operator="equal">
      <formula>"PTO"</formula>
    </cfRule>
  </conditionalFormatting>
  <conditionalFormatting sqref="R34:V34">
    <cfRule type="cellIs" dxfId="2324" priority="6091" operator="equal">
      <formula>"OFF"</formula>
    </cfRule>
    <cfRule type="cellIs" dxfId="2323" priority="6092" operator="equal">
      <formula>"PTO"</formula>
    </cfRule>
  </conditionalFormatting>
  <conditionalFormatting sqref="R34:V34">
    <cfRule type="cellIs" dxfId="2322" priority="6089" operator="equal">
      <formula>"OFF"</formula>
    </cfRule>
    <cfRule type="cellIs" dxfId="2321" priority="6090" operator="equal">
      <formula>"PTO"</formula>
    </cfRule>
  </conditionalFormatting>
  <conditionalFormatting sqref="R34:V34">
    <cfRule type="cellIs" dxfId="2320" priority="6087" operator="equal">
      <formula>"OFF"</formula>
    </cfRule>
    <cfRule type="cellIs" dxfId="2319" priority="6088" operator="equal">
      <formula>"PTO"</formula>
    </cfRule>
  </conditionalFormatting>
  <conditionalFormatting sqref="R34:V34">
    <cfRule type="cellIs" dxfId="2318" priority="6085" operator="equal">
      <formula>"OFF"</formula>
    </cfRule>
    <cfRule type="cellIs" dxfId="2317" priority="6086" operator="equal">
      <formula>"PTO"</formula>
    </cfRule>
  </conditionalFormatting>
  <conditionalFormatting sqref="R34:V34">
    <cfRule type="cellIs" dxfId="2316" priority="6083" operator="equal">
      <formula>"OFF"</formula>
    </cfRule>
    <cfRule type="cellIs" dxfId="2315" priority="6084" operator="equal">
      <formula>"PTO"</formula>
    </cfRule>
  </conditionalFormatting>
  <conditionalFormatting sqref="R34:V34">
    <cfRule type="cellIs" dxfId="2314" priority="6081" operator="equal">
      <formula>"OFF"</formula>
    </cfRule>
    <cfRule type="cellIs" dxfId="2313" priority="6082" operator="equal">
      <formula>"PTO"</formula>
    </cfRule>
  </conditionalFormatting>
  <conditionalFormatting sqref="R34:V34">
    <cfRule type="cellIs" dxfId="2312" priority="6079" operator="equal">
      <formula>"OFF"</formula>
    </cfRule>
    <cfRule type="cellIs" dxfId="2311" priority="6080" operator="equal">
      <formula>"PTO"</formula>
    </cfRule>
  </conditionalFormatting>
  <conditionalFormatting sqref="R34:V34">
    <cfRule type="cellIs" dxfId="2310" priority="6077" operator="equal">
      <formula>"OFF"</formula>
    </cfRule>
    <cfRule type="cellIs" dxfId="2309" priority="6078" operator="equal">
      <formula>"PTO"</formula>
    </cfRule>
  </conditionalFormatting>
  <conditionalFormatting sqref="R34:V34">
    <cfRule type="cellIs" dxfId="2308" priority="6075" operator="equal">
      <formula>"OFF"</formula>
    </cfRule>
    <cfRule type="cellIs" dxfId="2307" priority="6076" operator="equal">
      <formula>"PTO"</formula>
    </cfRule>
  </conditionalFormatting>
  <conditionalFormatting sqref="R34:V34">
    <cfRule type="cellIs" dxfId="2306" priority="6073" operator="equal">
      <formula>"OFF"</formula>
    </cfRule>
    <cfRule type="cellIs" dxfId="2305" priority="6074" operator="equal">
      <formula>"PTO"</formula>
    </cfRule>
  </conditionalFormatting>
  <conditionalFormatting sqref="R34:V34">
    <cfRule type="cellIs" dxfId="2304" priority="6071" operator="equal">
      <formula>"OFF"</formula>
    </cfRule>
    <cfRule type="cellIs" dxfId="2303" priority="6072" operator="equal">
      <formula>"PTO"</formula>
    </cfRule>
  </conditionalFormatting>
  <conditionalFormatting sqref="R34:V34">
    <cfRule type="cellIs" dxfId="2302" priority="6069" operator="equal">
      <formula>"OFF"</formula>
    </cfRule>
    <cfRule type="cellIs" dxfId="2301" priority="6070" operator="equal">
      <formula>"PTO"</formula>
    </cfRule>
  </conditionalFormatting>
  <conditionalFormatting sqref="R34:V34">
    <cfRule type="cellIs" dxfId="2300" priority="6067" operator="equal">
      <formula>"OFF"</formula>
    </cfRule>
    <cfRule type="cellIs" dxfId="2299" priority="6068" operator="equal">
      <formula>"PTO"</formula>
    </cfRule>
  </conditionalFormatting>
  <conditionalFormatting sqref="R34:V34">
    <cfRule type="cellIs" dxfId="2298" priority="6065" operator="equal">
      <formula>"OFF"</formula>
    </cfRule>
    <cfRule type="cellIs" dxfId="2297" priority="6066" operator="equal">
      <formula>"PTO"</formula>
    </cfRule>
  </conditionalFormatting>
  <conditionalFormatting sqref="R34:V34">
    <cfRule type="cellIs" dxfId="2296" priority="6063" operator="equal">
      <formula>"OFF"</formula>
    </cfRule>
    <cfRule type="cellIs" dxfId="2295" priority="6064" operator="equal">
      <formula>"PTO"</formula>
    </cfRule>
  </conditionalFormatting>
  <conditionalFormatting sqref="R34:V34">
    <cfRule type="cellIs" dxfId="2294" priority="6061" operator="equal">
      <formula>"OFF"</formula>
    </cfRule>
    <cfRule type="cellIs" dxfId="2293" priority="6062" operator="equal">
      <formula>"PTO"</formula>
    </cfRule>
  </conditionalFormatting>
  <conditionalFormatting sqref="R34:V34">
    <cfRule type="cellIs" dxfId="2292" priority="6059" operator="equal">
      <formula>"OFF"</formula>
    </cfRule>
    <cfRule type="cellIs" dxfId="2291" priority="6060" operator="equal">
      <formula>"PTO"</formula>
    </cfRule>
  </conditionalFormatting>
  <conditionalFormatting sqref="R34:V34">
    <cfRule type="cellIs" dxfId="2290" priority="6057" operator="equal">
      <formula>"OFF"</formula>
    </cfRule>
    <cfRule type="cellIs" dxfId="2289" priority="6058" operator="equal">
      <formula>"PTO"</formula>
    </cfRule>
  </conditionalFormatting>
  <conditionalFormatting sqref="R34:V34">
    <cfRule type="cellIs" dxfId="2288" priority="6055" operator="equal">
      <formula>"OFF"</formula>
    </cfRule>
    <cfRule type="cellIs" dxfId="2287" priority="6056" operator="equal">
      <formula>"PTO"</formula>
    </cfRule>
  </conditionalFormatting>
  <conditionalFormatting sqref="R34:V34">
    <cfRule type="cellIs" dxfId="2286" priority="6053" operator="equal">
      <formula>"OFF"</formula>
    </cfRule>
    <cfRule type="cellIs" dxfId="2285" priority="6054" operator="equal">
      <formula>"PTO"</formula>
    </cfRule>
  </conditionalFormatting>
  <conditionalFormatting sqref="R34:V34">
    <cfRule type="cellIs" dxfId="2284" priority="6051" operator="equal">
      <formula>"OFF"</formula>
    </cfRule>
    <cfRule type="cellIs" dxfId="2283" priority="6052" operator="equal">
      <formula>"PTO"</formula>
    </cfRule>
  </conditionalFormatting>
  <conditionalFormatting sqref="R34:V34">
    <cfRule type="cellIs" dxfId="2282" priority="6049" operator="equal">
      <formula>"OFF"</formula>
    </cfRule>
    <cfRule type="cellIs" dxfId="2281" priority="6050" operator="equal">
      <formula>"PTO"</formula>
    </cfRule>
  </conditionalFormatting>
  <conditionalFormatting sqref="R34:V34">
    <cfRule type="cellIs" dxfId="2280" priority="6047" operator="equal">
      <formula>"OFF"</formula>
    </cfRule>
    <cfRule type="cellIs" dxfId="2279" priority="6048" operator="equal">
      <formula>"PTO"</formula>
    </cfRule>
  </conditionalFormatting>
  <conditionalFormatting sqref="R34:V34">
    <cfRule type="cellIs" dxfId="2278" priority="6045" operator="equal">
      <formula>"OFF"</formula>
    </cfRule>
    <cfRule type="cellIs" dxfId="2277" priority="6046" operator="equal">
      <formula>"PTO"</formula>
    </cfRule>
  </conditionalFormatting>
  <conditionalFormatting sqref="R34:V34">
    <cfRule type="cellIs" dxfId="2276" priority="6043" operator="equal">
      <formula>"OFF"</formula>
    </cfRule>
    <cfRule type="cellIs" dxfId="2275" priority="6044" operator="equal">
      <formula>"PTO"</formula>
    </cfRule>
  </conditionalFormatting>
  <conditionalFormatting sqref="R34:V34">
    <cfRule type="cellIs" dxfId="2274" priority="6041" operator="equal">
      <formula>"OFF"</formula>
    </cfRule>
    <cfRule type="cellIs" dxfId="2273" priority="6042" operator="equal">
      <formula>"PTO"</formula>
    </cfRule>
  </conditionalFormatting>
  <conditionalFormatting sqref="R34:V34">
    <cfRule type="cellIs" dxfId="2272" priority="6039" operator="equal">
      <formula>"OFF"</formula>
    </cfRule>
    <cfRule type="cellIs" dxfId="2271" priority="6040" operator="equal">
      <formula>"PTO"</formula>
    </cfRule>
  </conditionalFormatting>
  <conditionalFormatting sqref="R34:V34">
    <cfRule type="cellIs" dxfId="2270" priority="6037" operator="equal">
      <formula>"OFF"</formula>
    </cfRule>
    <cfRule type="cellIs" dxfId="2269" priority="6038" operator="equal">
      <formula>"PTO"</formula>
    </cfRule>
  </conditionalFormatting>
  <conditionalFormatting sqref="R34:V34">
    <cfRule type="cellIs" dxfId="2268" priority="6035" operator="equal">
      <formula>"OFF"</formula>
    </cfRule>
    <cfRule type="cellIs" dxfId="2267" priority="6036" operator="equal">
      <formula>"PTO"</formula>
    </cfRule>
  </conditionalFormatting>
  <conditionalFormatting sqref="R34:V34">
    <cfRule type="cellIs" dxfId="2266" priority="6033" operator="equal">
      <formula>"OFF"</formula>
    </cfRule>
    <cfRule type="cellIs" dxfId="2265" priority="6034" operator="equal">
      <formula>"PTO"</formula>
    </cfRule>
  </conditionalFormatting>
  <conditionalFormatting sqref="R34:V34">
    <cfRule type="cellIs" dxfId="2264" priority="6031" operator="equal">
      <formula>"OFF"</formula>
    </cfRule>
    <cfRule type="cellIs" dxfId="2263" priority="6032" operator="equal">
      <formula>"PTO"</formula>
    </cfRule>
  </conditionalFormatting>
  <conditionalFormatting sqref="R34:V34">
    <cfRule type="cellIs" dxfId="2262" priority="6029" operator="equal">
      <formula>"OFF"</formula>
    </cfRule>
    <cfRule type="cellIs" dxfId="2261" priority="6030" operator="equal">
      <formula>"PTO"</formula>
    </cfRule>
  </conditionalFormatting>
  <conditionalFormatting sqref="R34:V34">
    <cfRule type="cellIs" dxfId="2260" priority="6027" operator="equal">
      <formula>"OFF"</formula>
    </cfRule>
    <cfRule type="cellIs" dxfId="2259" priority="6028" operator="equal">
      <formula>"PTO"</formula>
    </cfRule>
  </conditionalFormatting>
  <conditionalFormatting sqref="T34:V34">
    <cfRule type="cellIs" dxfId="2258" priority="6025" operator="equal">
      <formula>"OFF"</formula>
    </cfRule>
    <cfRule type="cellIs" dxfId="2257" priority="6026" operator="equal">
      <formula>"PTO"</formula>
    </cfRule>
  </conditionalFormatting>
  <conditionalFormatting sqref="U34:V34">
    <cfRule type="cellIs" dxfId="2256" priority="6023" operator="equal">
      <formula>"OFF"</formula>
    </cfRule>
    <cfRule type="cellIs" dxfId="2255" priority="6024" operator="equal">
      <formula>"PTO"</formula>
    </cfRule>
  </conditionalFormatting>
  <conditionalFormatting sqref="U34:V34">
    <cfRule type="cellIs" dxfId="2254" priority="6021" operator="equal">
      <formula>"OFF"</formula>
    </cfRule>
    <cfRule type="cellIs" dxfId="2253" priority="6022" operator="equal">
      <formula>"PTO"</formula>
    </cfRule>
  </conditionalFormatting>
  <conditionalFormatting sqref="U34:V34">
    <cfRule type="cellIs" dxfId="2252" priority="6019" operator="equal">
      <formula>"OFF"</formula>
    </cfRule>
    <cfRule type="cellIs" dxfId="2251" priority="6020" operator="equal">
      <formula>"PTO"</formula>
    </cfRule>
  </conditionalFormatting>
  <conditionalFormatting sqref="U34:V34">
    <cfRule type="cellIs" dxfId="2250" priority="6017" operator="equal">
      <formula>"OFF"</formula>
    </cfRule>
    <cfRule type="cellIs" dxfId="2249" priority="6018" operator="equal">
      <formula>"PTO"</formula>
    </cfRule>
  </conditionalFormatting>
  <conditionalFormatting sqref="U34:V34">
    <cfRule type="cellIs" dxfId="2248" priority="6015" operator="equal">
      <formula>"OFF"</formula>
    </cfRule>
    <cfRule type="cellIs" dxfId="2247" priority="6016" operator="equal">
      <formula>"PTO"</formula>
    </cfRule>
  </conditionalFormatting>
  <conditionalFormatting sqref="U34:V34">
    <cfRule type="cellIs" dxfId="2246" priority="6013" operator="equal">
      <formula>"OFF"</formula>
    </cfRule>
    <cfRule type="cellIs" dxfId="2245" priority="6014" operator="equal">
      <formula>"PTO"</formula>
    </cfRule>
  </conditionalFormatting>
  <conditionalFormatting sqref="U34:V34">
    <cfRule type="cellIs" dxfId="2244" priority="6011" operator="equal">
      <formula>"OFF"</formula>
    </cfRule>
    <cfRule type="cellIs" dxfId="2243" priority="6012" operator="equal">
      <formula>"PTO"</formula>
    </cfRule>
  </conditionalFormatting>
  <conditionalFormatting sqref="U34:V34">
    <cfRule type="cellIs" dxfId="2242" priority="6009" operator="equal">
      <formula>"OFF"</formula>
    </cfRule>
    <cfRule type="cellIs" dxfId="2241" priority="6010" operator="equal">
      <formula>"PTO"</formula>
    </cfRule>
  </conditionalFormatting>
  <conditionalFormatting sqref="W34">
    <cfRule type="cellIs" dxfId="2240" priority="6007" operator="equal">
      <formula>"OFF"</formula>
    </cfRule>
    <cfRule type="cellIs" dxfId="2239" priority="6008" operator="equal">
      <formula>"PTO"</formula>
    </cfRule>
  </conditionalFormatting>
  <conditionalFormatting sqref="W34">
    <cfRule type="cellIs" dxfId="2238" priority="6005" operator="equal">
      <formula>"OFF"</formula>
    </cfRule>
    <cfRule type="cellIs" dxfId="2237" priority="6006" operator="equal">
      <formula>"PTO"</formula>
    </cfRule>
  </conditionalFormatting>
  <conditionalFormatting sqref="W34">
    <cfRule type="cellIs" dxfId="2236" priority="6003" operator="equal">
      <formula>"OFF"</formula>
    </cfRule>
    <cfRule type="cellIs" dxfId="2235" priority="6004" operator="equal">
      <formula>"PTO"</formula>
    </cfRule>
  </conditionalFormatting>
  <conditionalFormatting sqref="W34">
    <cfRule type="cellIs" dxfId="2234" priority="6001" operator="equal">
      <formula>"OFF"</formula>
    </cfRule>
    <cfRule type="cellIs" dxfId="2233" priority="6002" operator="equal">
      <formula>"PTO"</formula>
    </cfRule>
  </conditionalFormatting>
  <conditionalFormatting sqref="W34">
    <cfRule type="cellIs" dxfId="2232" priority="5999" operator="equal">
      <formula>"OFF"</formula>
    </cfRule>
    <cfRule type="cellIs" dxfId="2231" priority="6000" operator="equal">
      <formula>"PTO"</formula>
    </cfRule>
  </conditionalFormatting>
  <conditionalFormatting sqref="W34">
    <cfRule type="cellIs" dxfId="2230" priority="5997" operator="equal">
      <formula>"OFF"</formula>
    </cfRule>
    <cfRule type="cellIs" dxfId="2229" priority="5998" operator="equal">
      <formula>"PTO"</formula>
    </cfRule>
  </conditionalFormatting>
  <conditionalFormatting sqref="W34">
    <cfRule type="cellIs" dxfId="2228" priority="5995" operator="equal">
      <formula>"OFF"</formula>
    </cfRule>
    <cfRule type="cellIs" dxfId="2227" priority="5996" operator="equal">
      <formula>"PTO"</formula>
    </cfRule>
  </conditionalFormatting>
  <conditionalFormatting sqref="W34">
    <cfRule type="cellIs" dxfId="2226" priority="5993" operator="equal">
      <formula>"OFF"</formula>
    </cfRule>
    <cfRule type="cellIs" dxfId="2225" priority="5994" operator="equal">
      <formula>"PTO"</formula>
    </cfRule>
  </conditionalFormatting>
  <conditionalFormatting sqref="W33:W42">
    <cfRule type="cellIs" dxfId="2224" priority="5827" operator="equal">
      <formula>"OFF"</formula>
    </cfRule>
    <cfRule type="cellIs" dxfId="2223" priority="5828" operator="equal">
      <formula>"PTO"</formula>
    </cfRule>
  </conditionalFormatting>
  <conditionalFormatting sqref="W33:W42">
    <cfRule type="cellIs" dxfId="2222" priority="5825" operator="equal">
      <formula>"OFF"</formula>
    </cfRule>
    <cfRule type="cellIs" dxfId="2221" priority="5826" operator="equal">
      <formula>"PTO"</formula>
    </cfRule>
  </conditionalFormatting>
  <conditionalFormatting sqref="W33:W42">
    <cfRule type="cellIs" dxfId="2220" priority="5823" operator="equal">
      <formula>"OFF"</formula>
    </cfRule>
    <cfRule type="cellIs" dxfId="2219" priority="5824" operator="equal">
      <formula>"PTO"</formula>
    </cfRule>
  </conditionalFormatting>
  <conditionalFormatting sqref="W33:W42">
    <cfRule type="cellIs" dxfId="2218" priority="5821" operator="equal">
      <formula>"OFF"</formula>
    </cfRule>
    <cfRule type="cellIs" dxfId="2217" priority="5822" operator="equal">
      <formula>"PTO"</formula>
    </cfRule>
  </conditionalFormatting>
  <conditionalFormatting sqref="W33:W42">
    <cfRule type="cellIs" dxfId="2216" priority="5819" operator="equal">
      <formula>"OFF"</formula>
    </cfRule>
    <cfRule type="cellIs" dxfId="2215" priority="5820" operator="equal">
      <formula>"PTO"</formula>
    </cfRule>
  </conditionalFormatting>
  <conditionalFormatting sqref="R33:S42 U33:V33">
    <cfRule type="cellIs" dxfId="2214" priority="5817" operator="equal">
      <formula>"OFF"</formula>
    </cfRule>
    <cfRule type="cellIs" dxfId="2213" priority="5818" operator="equal">
      <formula>"PTO"</formula>
    </cfRule>
  </conditionalFormatting>
  <conditionalFormatting sqref="R33:S42 U33:W33 W33:W42">
    <cfRule type="cellIs" dxfId="2212" priority="5811" operator="equal">
      <formula>"OFF"</formula>
    </cfRule>
    <cfRule type="cellIs" dxfId="2211" priority="5812" operator="equal">
      <formula>"PTO"</formula>
    </cfRule>
  </conditionalFormatting>
  <conditionalFormatting sqref="R33:S42 U33:W33 W33:W42">
    <cfRule type="cellIs" dxfId="2210" priority="5795" operator="equal">
      <formula>"OFF"</formula>
    </cfRule>
    <cfRule type="cellIs" dxfId="2209" priority="5796" operator="equal">
      <formula>"PTO"</formula>
    </cfRule>
  </conditionalFormatting>
  <conditionalFormatting sqref="R33:S42 U33:W33 W33:W42">
    <cfRule type="cellIs" dxfId="2208" priority="5763" operator="equal">
      <formula>"OFF"</formula>
    </cfRule>
    <cfRule type="cellIs" dxfId="2207" priority="5764" operator="equal">
      <formula>"PTO"</formula>
    </cfRule>
  </conditionalFormatting>
  <conditionalFormatting sqref="R33:S42 U33:W33 W33:W42">
    <cfRule type="cellIs" dxfId="2206" priority="5761" operator="equal">
      <formula>"OFF"</formula>
    </cfRule>
    <cfRule type="cellIs" dxfId="2205" priority="5762" operator="equal">
      <formula>"PTO"</formula>
    </cfRule>
  </conditionalFormatting>
  <conditionalFormatting sqref="R33:S42 U33:W33 W33:W42">
    <cfRule type="cellIs" dxfId="2204" priority="5991" operator="equal">
      <formula>"OFF"</formula>
    </cfRule>
    <cfRule type="cellIs" dxfId="2203" priority="5992" operator="equal">
      <formula>"PTO"</formula>
    </cfRule>
  </conditionalFormatting>
  <conditionalFormatting sqref="R33:S42 U33:W33 W33:W42">
    <cfRule type="cellIs" dxfId="2202" priority="5989" operator="equal">
      <formula>"OFF"</formula>
    </cfRule>
    <cfRule type="cellIs" dxfId="2201" priority="5990" operator="equal">
      <formula>"PTO"</formula>
    </cfRule>
  </conditionalFormatting>
  <conditionalFormatting sqref="R33:S42 U33:W33 W33:W42">
    <cfRule type="cellIs" dxfId="2200" priority="5987" operator="equal">
      <formula>"OFF"</formula>
    </cfRule>
    <cfRule type="cellIs" dxfId="2199" priority="5988" operator="equal">
      <formula>"PTO"</formula>
    </cfRule>
  </conditionalFormatting>
  <conditionalFormatting sqref="R33:S42 U33:W33 W33:W42">
    <cfRule type="cellIs" dxfId="2198" priority="5985" operator="equal">
      <formula>"OFF"</formula>
    </cfRule>
    <cfRule type="cellIs" dxfId="2197" priority="5986" operator="equal">
      <formula>"PTO"</formula>
    </cfRule>
  </conditionalFormatting>
  <conditionalFormatting sqref="R33:S42 U33:W33 W33:W42">
    <cfRule type="cellIs" dxfId="2196" priority="5983" operator="equal">
      <formula>"OFF"</formula>
    </cfRule>
    <cfRule type="cellIs" dxfId="2195" priority="5984" operator="equal">
      <formula>"PTO"</formula>
    </cfRule>
  </conditionalFormatting>
  <conditionalFormatting sqref="R33:S42 U33:W33 W33:W42">
    <cfRule type="cellIs" dxfId="2194" priority="5981" operator="equal">
      <formula>"OFF"</formula>
    </cfRule>
    <cfRule type="cellIs" dxfId="2193" priority="5982" operator="equal">
      <formula>"PTO"</formula>
    </cfRule>
  </conditionalFormatting>
  <conditionalFormatting sqref="R33:S42 U33:W33 W33:W42">
    <cfRule type="cellIs" dxfId="2192" priority="5979" operator="equal">
      <formula>"OFF"</formula>
    </cfRule>
    <cfRule type="cellIs" dxfId="2191" priority="5980" operator="equal">
      <formula>"PTO"</formula>
    </cfRule>
  </conditionalFormatting>
  <conditionalFormatting sqref="R33:S42 U33:W33 W33:W42">
    <cfRule type="cellIs" dxfId="2190" priority="5977" operator="equal">
      <formula>"OFF"</formula>
    </cfRule>
    <cfRule type="cellIs" dxfId="2189" priority="5978" operator="equal">
      <formula>"PTO"</formula>
    </cfRule>
  </conditionalFormatting>
  <conditionalFormatting sqref="R33:S42 U33:W33 W33:W42">
    <cfRule type="cellIs" dxfId="2188" priority="5975" operator="equal">
      <formula>"OFF"</formula>
    </cfRule>
    <cfRule type="cellIs" dxfId="2187" priority="5976" operator="equal">
      <formula>"PTO"</formula>
    </cfRule>
  </conditionalFormatting>
  <conditionalFormatting sqref="R33:S42 U33:W33 W33:W42">
    <cfRule type="cellIs" dxfId="2186" priority="5973" operator="equal">
      <formula>"OFF"</formula>
    </cfRule>
    <cfRule type="cellIs" dxfId="2185" priority="5974" operator="equal">
      <formula>"PTO"</formula>
    </cfRule>
  </conditionalFormatting>
  <conditionalFormatting sqref="R33:S42 U33:W33 W33:W42">
    <cfRule type="cellIs" dxfId="2184" priority="5971" operator="equal">
      <formula>"OFF"</formula>
    </cfRule>
    <cfRule type="cellIs" dxfId="2183" priority="5972" operator="equal">
      <formula>"PTO"</formula>
    </cfRule>
  </conditionalFormatting>
  <conditionalFormatting sqref="R33:S42 U33:W33 W33:W42">
    <cfRule type="cellIs" dxfId="2182" priority="5969" operator="equal">
      <formula>"OFF"</formula>
    </cfRule>
    <cfRule type="cellIs" dxfId="2181" priority="5970" operator="equal">
      <formula>"PTO"</formula>
    </cfRule>
  </conditionalFormatting>
  <conditionalFormatting sqref="R33:S42 U33:W33 W33:W42">
    <cfRule type="cellIs" dxfId="2180" priority="5967" operator="equal">
      <formula>"OFF"</formula>
    </cfRule>
    <cfRule type="cellIs" dxfId="2179" priority="5968" operator="equal">
      <formula>"PTO"</formula>
    </cfRule>
  </conditionalFormatting>
  <conditionalFormatting sqref="S33 U33:V33">
    <cfRule type="cellIs" dxfId="2178" priority="5965" operator="equal">
      <formula>"OFF"</formula>
    </cfRule>
    <cfRule type="cellIs" dxfId="2177" priority="5966" operator="equal">
      <formula>"PTO"</formula>
    </cfRule>
  </conditionalFormatting>
  <conditionalFormatting sqref="R33:S42 U33:W33 W33:W42">
    <cfRule type="cellIs" dxfId="2176" priority="5963" operator="equal">
      <formula>"OFF"</formula>
    </cfRule>
    <cfRule type="cellIs" dxfId="2175" priority="5964" operator="equal">
      <formula>"PTO"</formula>
    </cfRule>
  </conditionalFormatting>
  <conditionalFormatting sqref="S33 U33:V33">
    <cfRule type="cellIs" dxfId="2174" priority="5961" operator="equal">
      <formula>"OFF"</formula>
    </cfRule>
    <cfRule type="cellIs" dxfId="2173" priority="5962" operator="equal">
      <formula>"PTO"</formula>
    </cfRule>
  </conditionalFormatting>
  <conditionalFormatting sqref="V33:W33 W33:W42">
    <cfRule type="cellIs" dxfId="2172" priority="5959" operator="equal">
      <formula>"OFF"</formula>
    </cfRule>
    <cfRule type="cellIs" dxfId="2171" priority="5960" operator="equal">
      <formula>"PTO"</formula>
    </cfRule>
  </conditionalFormatting>
  <conditionalFormatting sqref="S33 U33:V33">
    <cfRule type="cellIs" dxfId="2170" priority="5957" operator="equal">
      <formula>"OFF"</formula>
    </cfRule>
    <cfRule type="cellIs" dxfId="2169" priority="5958" operator="equal">
      <formula>"PTO"</formula>
    </cfRule>
  </conditionalFormatting>
  <conditionalFormatting sqref="V33:W33 W33:W42">
    <cfRule type="cellIs" dxfId="2168" priority="5955" operator="equal">
      <formula>"OFF"</formula>
    </cfRule>
    <cfRule type="cellIs" dxfId="2167" priority="5956" operator="equal">
      <formula>"PTO"</formula>
    </cfRule>
  </conditionalFormatting>
  <conditionalFormatting sqref="S33 U33:V33">
    <cfRule type="cellIs" dxfId="2166" priority="5953" operator="equal">
      <formula>"OFF"</formula>
    </cfRule>
    <cfRule type="cellIs" dxfId="2165" priority="5954" operator="equal">
      <formula>"PTO"</formula>
    </cfRule>
  </conditionalFormatting>
  <conditionalFormatting sqref="V33:W33 W33:W42">
    <cfRule type="cellIs" dxfId="2164" priority="5951" operator="equal">
      <formula>"OFF"</formula>
    </cfRule>
    <cfRule type="cellIs" dxfId="2163" priority="5952" operator="equal">
      <formula>"PTO"</formula>
    </cfRule>
  </conditionalFormatting>
  <conditionalFormatting sqref="S33 U33:V33">
    <cfRule type="cellIs" dxfId="2162" priority="5949" operator="equal">
      <formula>"OFF"</formula>
    </cfRule>
    <cfRule type="cellIs" dxfId="2161" priority="5950" operator="equal">
      <formula>"PTO"</formula>
    </cfRule>
  </conditionalFormatting>
  <conditionalFormatting sqref="V33:W33 W33:W42">
    <cfRule type="cellIs" dxfId="2160" priority="5947" operator="equal">
      <formula>"OFF"</formula>
    </cfRule>
    <cfRule type="cellIs" dxfId="2159" priority="5948" operator="equal">
      <formula>"PTO"</formula>
    </cfRule>
  </conditionalFormatting>
  <conditionalFormatting sqref="S33 U33:V33">
    <cfRule type="cellIs" dxfId="2158" priority="5945" operator="equal">
      <formula>"OFF"</formula>
    </cfRule>
    <cfRule type="cellIs" dxfId="2157" priority="5946" operator="equal">
      <formula>"PTO"</formula>
    </cfRule>
  </conditionalFormatting>
  <conditionalFormatting sqref="V33:W33 W33:W42">
    <cfRule type="cellIs" dxfId="2156" priority="5943" operator="equal">
      <formula>"OFF"</formula>
    </cfRule>
    <cfRule type="cellIs" dxfId="2155" priority="5944" operator="equal">
      <formula>"PTO"</formula>
    </cfRule>
  </conditionalFormatting>
  <conditionalFormatting sqref="S33 U33:V33">
    <cfRule type="cellIs" dxfId="2154" priority="5941" operator="equal">
      <formula>"OFF"</formula>
    </cfRule>
    <cfRule type="cellIs" dxfId="2153" priority="5942" operator="equal">
      <formula>"PTO"</formula>
    </cfRule>
  </conditionalFormatting>
  <conditionalFormatting sqref="V33:W33 W33:W42">
    <cfRule type="cellIs" dxfId="2152" priority="5939" operator="equal">
      <formula>"OFF"</formula>
    </cfRule>
    <cfRule type="cellIs" dxfId="2151" priority="5940" operator="equal">
      <formula>"PTO"</formula>
    </cfRule>
  </conditionalFormatting>
  <conditionalFormatting sqref="R33:S42 U33:V33">
    <cfRule type="cellIs" dxfId="2150" priority="5937" operator="equal">
      <formula>"OFF"</formula>
    </cfRule>
    <cfRule type="cellIs" dxfId="2149" priority="5938" operator="equal">
      <formula>"PTO"</formula>
    </cfRule>
  </conditionalFormatting>
  <conditionalFormatting sqref="R33:S42 U33:V33">
    <cfRule type="cellIs" dxfId="2148" priority="5935" operator="equal">
      <formula>"OFF"</formula>
    </cfRule>
    <cfRule type="cellIs" dxfId="2147" priority="5936" operator="equal">
      <formula>"PTO"</formula>
    </cfRule>
  </conditionalFormatting>
  <conditionalFormatting sqref="R33:S42 U33:V33">
    <cfRule type="cellIs" dxfId="2146" priority="5933" operator="equal">
      <formula>"OFF"</formula>
    </cfRule>
    <cfRule type="cellIs" dxfId="2145" priority="5934" operator="equal">
      <formula>"PTO"</formula>
    </cfRule>
  </conditionalFormatting>
  <conditionalFormatting sqref="R33:S42 U33:V33">
    <cfRule type="cellIs" dxfId="2144" priority="5931" operator="equal">
      <formula>"OFF"</formula>
    </cfRule>
    <cfRule type="cellIs" dxfId="2143" priority="5932" operator="equal">
      <formula>"PTO"</formula>
    </cfRule>
  </conditionalFormatting>
  <conditionalFormatting sqref="R33:S42 U33:V33">
    <cfRule type="cellIs" dxfId="2142" priority="5929" operator="equal">
      <formula>"OFF"</formula>
    </cfRule>
    <cfRule type="cellIs" dxfId="2141" priority="5930" operator="equal">
      <formula>"PTO"</formula>
    </cfRule>
  </conditionalFormatting>
  <conditionalFormatting sqref="R33:S42 U33:V33">
    <cfRule type="cellIs" dxfId="2140" priority="5927" operator="equal">
      <formula>"OFF"</formula>
    </cfRule>
    <cfRule type="cellIs" dxfId="2139" priority="5928" operator="equal">
      <formula>"PTO"</formula>
    </cfRule>
  </conditionalFormatting>
  <conditionalFormatting sqref="R33:S42 U33:V33">
    <cfRule type="cellIs" dxfId="2138" priority="5925" operator="equal">
      <formula>"OFF"</formula>
    </cfRule>
    <cfRule type="cellIs" dxfId="2137" priority="5926" operator="equal">
      <formula>"PTO"</formula>
    </cfRule>
  </conditionalFormatting>
  <conditionalFormatting sqref="R33:S42 U33:V33">
    <cfRule type="cellIs" dxfId="2136" priority="5923" operator="equal">
      <formula>"OFF"</formula>
    </cfRule>
    <cfRule type="cellIs" dxfId="2135" priority="5924" operator="equal">
      <formula>"PTO"</formula>
    </cfRule>
  </conditionalFormatting>
  <conditionalFormatting sqref="R33:S42 U33:V33">
    <cfRule type="cellIs" dxfId="2134" priority="5921" operator="equal">
      <formula>"OFF"</formula>
    </cfRule>
    <cfRule type="cellIs" dxfId="2133" priority="5922" operator="equal">
      <formula>"PTO"</formula>
    </cfRule>
  </conditionalFormatting>
  <conditionalFormatting sqref="R33:S42 U33:V33">
    <cfRule type="cellIs" dxfId="2132" priority="5919" operator="equal">
      <formula>"OFF"</formula>
    </cfRule>
    <cfRule type="cellIs" dxfId="2131" priority="5920" operator="equal">
      <formula>"PTO"</formula>
    </cfRule>
  </conditionalFormatting>
  <conditionalFormatting sqref="R33:S42 U33:V33">
    <cfRule type="cellIs" dxfId="2130" priority="5917" operator="equal">
      <formula>"OFF"</formula>
    </cfRule>
    <cfRule type="cellIs" dxfId="2129" priority="5918" operator="equal">
      <formula>"PTO"</formula>
    </cfRule>
  </conditionalFormatting>
  <conditionalFormatting sqref="R33:S42 U33:V33">
    <cfRule type="cellIs" dxfId="2128" priority="5915" operator="equal">
      <formula>"OFF"</formula>
    </cfRule>
    <cfRule type="cellIs" dxfId="2127" priority="5916" operator="equal">
      <formula>"PTO"</formula>
    </cfRule>
  </conditionalFormatting>
  <conditionalFormatting sqref="R33:S42 U33:V33">
    <cfRule type="cellIs" dxfId="2126" priority="5913" operator="equal">
      <formula>"OFF"</formula>
    </cfRule>
    <cfRule type="cellIs" dxfId="2125" priority="5914" operator="equal">
      <formula>"PTO"</formula>
    </cfRule>
  </conditionalFormatting>
  <conditionalFormatting sqref="R33:S42 U33:V33">
    <cfRule type="cellIs" dxfId="2124" priority="5911" operator="equal">
      <formula>"OFF"</formula>
    </cfRule>
    <cfRule type="cellIs" dxfId="2123" priority="5912" operator="equal">
      <formula>"PTO"</formula>
    </cfRule>
  </conditionalFormatting>
  <conditionalFormatting sqref="R33:S42 U33:V33">
    <cfRule type="cellIs" dxfId="2122" priority="5909" operator="equal">
      <formula>"OFF"</formula>
    </cfRule>
    <cfRule type="cellIs" dxfId="2121" priority="5910" operator="equal">
      <formula>"PTO"</formula>
    </cfRule>
  </conditionalFormatting>
  <conditionalFormatting sqref="R33:S42 U33:V33">
    <cfRule type="cellIs" dxfId="2120" priority="5907" operator="equal">
      <formula>"OFF"</formula>
    </cfRule>
    <cfRule type="cellIs" dxfId="2119" priority="5908" operator="equal">
      <formula>"PTO"</formula>
    </cfRule>
  </conditionalFormatting>
  <conditionalFormatting sqref="R33:S42 U33:V33">
    <cfRule type="cellIs" dxfId="2118" priority="5905" operator="equal">
      <formula>"OFF"</formula>
    </cfRule>
    <cfRule type="cellIs" dxfId="2117" priority="5906" operator="equal">
      <formula>"PTO"</formula>
    </cfRule>
  </conditionalFormatting>
  <conditionalFormatting sqref="R33:S42 U33:V33">
    <cfRule type="cellIs" dxfId="2116" priority="5903" operator="equal">
      <formula>"OFF"</formula>
    </cfRule>
    <cfRule type="cellIs" dxfId="2115" priority="5904" operator="equal">
      <formula>"PTO"</formula>
    </cfRule>
  </conditionalFormatting>
  <conditionalFormatting sqref="R33:S42 U33:V33">
    <cfRule type="cellIs" dxfId="2114" priority="5901" operator="equal">
      <formula>"OFF"</formula>
    </cfRule>
    <cfRule type="cellIs" dxfId="2113" priority="5902" operator="equal">
      <formula>"PTO"</formula>
    </cfRule>
  </conditionalFormatting>
  <conditionalFormatting sqref="R33:S42 U33:V33">
    <cfRule type="cellIs" dxfId="2112" priority="5899" operator="equal">
      <formula>"OFF"</formula>
    </cfRule>
    <cfRule type="cellIs" dxfId="2111" priority="5900" operator="equal">
      <formula>"PTO"</formula>
    </cfRule>
  </conditionalFormatting>
  <conditionalFormatting sqref="R33:S42 U33:V33">
    <cfRule type="cellIs" dxfId="2110" priority="5897" operator="equal">
      <formula>"OFF"</formula>
    </cfRule>
    <cfRule type="cellIs" dxfId="2109" priority="5898" operator="equal">
      <formula>"PTO"</formula>
    </cfRule>
  </conditionalFormatting>
  <conditionalFormatting sqref="R33:S42 U33:V33">
    <cfRule type="cellIs" dxfId="2108" priority="5895" operator="equal">
      <formula>"OFF"</formula>
    </cfRule>
    <cfRule type="cellIs" dxfId="2107" priority="5896" operator="equal">
      <formula>"PTO"</formula>
    </cfRule>
  </conditionalFormatting>
  <conditionalFormatting sqref="R33:S42 U33:V33">
    <cfRule type="cellIs" dxfId="2106" priority="5893" operator="equal">
      <formula>"OFF"</formula>
    </cfRule>
    <cfRule type="cellIs" dxfId="2105" priority="5894" operator="equal">
      <formula>"PTO"</formula>
    </cfRule>
  </conditionalFormatting>
  <conditionalFormatting sqref="R33:S42 U33:V33">
    <cfRule type="cellIs" dxfId="2104" priority="5891" operator="equal">
      <formula>"OFF"</formula>
    </cfRule>
    <cfRule type="cellIs" dxfId="2103" priority="5892" operator="equal">
      <formula>"PTO"</formula>
    </cfRule>
  </conditionalFormatting>
  <conditionalFormatting sqref="R33:S42 U33:V33">
    <cfRule type="cellIs" dxfId="2102" priority="5889" operator="equal">
      <formula>"OFF"</formula>
    </cfRule>
    <cfRule type="cellIs" dxfId="2101" priority="5890" operator="equal">
      <formula>"PTO"</formula>
    </cfRule>
  </conditionalFormatting>
  <conditionalFormatting sqref="R33:S42 U33:V33">
    <cfRule type="cellIs" dxfId="2100" priority="5887" operator="equal">
      <formula>"OFF"</formula>
    </cfRule>
    <cfRule type="cellIs" dxfId="2099" priority="5888" operator="equal">
      <formula>"PTO"</formula>
    </cfRule>
  </conditionalFormatting>
  <conditionalFormatting sqref="R33:S42 U33:V33">
    <cfRule type="cellIs" dxfId="2098" priority="5885" operator="equal">
      <formula>"OFF"</formula>
    </cfRule>
    <cfRule type="cellIs" dxfId="2097" priority="5886" operator="equal">
      <formula>"PTO"</formula>
    </cfRule>
  </conditionalFormatting>
  <conditionalFormatting sqref="R33:S42 U33:V33">
    <cfRule type="cellIs" dxfId="2096" priority="5883" operator="equal">
      <formula>"OFF"</formula>
    </cfRule>
    <cfRule type="cellIs" dxfId="2095" priority="5884" operator="equal">
      <formula>"PTO"</formula>
    </cfRule>
  </conditionalFormatting>
  <conditionalFormatting sqref="R33:S42 U33:V33">
    <cfRule type="cellIs" dxfId="2094" priority="5881" operator="equal">
      <formula>"OFF"</formula>
    </cfRule>
    <cfRule type="cellIs" dxfId="2093" priority="5882" operator="equal">
      <formula>"PTO"</formula>
    </cfRule>
  </conditionalFormatting>
  <conditionalFormatting sqref="R33:S42 U33:V33">
    <cfRule type="cellIs" dxfId="2092" priority="5879" operator="equal">
      <formula>"OFF"</formula>
    </cfRule>
    <cfRule type="cellIs" dxfId="2091" priority="5880" operator="equal">
      <formula>"PTO"</formula>
    </cfRule>
  </conditionalFormatting>
  <conditionalFormatting sqref="R33:S42 U33:V33">
    <cfRule type="cellIs" dxfId="2090" priority="5877" operator="equal">
      <formula>"OFF"</formula>
    </cfRule>
    <cfRule type="cellIs" dxfId="2089" priority="5878" operator="equal">
      <formula>"PTO"</formula>
    </cfRule>
  </conditionalFormatting>
  <conditionalFormatting sqref="R33:S42 U33:V33">
    <cfRule type="cellIs" dxfId="2088" priority="5875" operator="equal">
      <formula>"OFF"</formula>
    </cfRule>
    <cfRule type="cellIs" dxfId="2087" priority="5876" operator="equal">
      <formula>"PTO"</formula>
    </cfRule>
  </conditionalFormatting>
  <conditionalFormatting sqref="R33:S42 U33:V33">
    <cfRule type="cellIs" dxfId="2086" priority="5873" operator="equal">
      <formula>"OFF"</formula>
    </cfRule>
    <cfRule type="cellIs" dxfId="2085" priority="5874" operator="equal">
      <formula>"PTO"</formula>
    </cfRule>
  </conditionalFormatting>
  <conditionalFormatting sqref="R33:S42 U33:V33">
    <cfRule type="cellIs" dxfId="2084" priority="5871" operator="equal">
      <formula>"OFF"</formula>
    </cfRule>
    <cfRule type="cellIs" dxfId="2083" priority="5872" operator="equal">
      <formula>"PTO"</formula>
    </cfRule>
  </conditionalFormatting>
  <conditionalFormatting sqref="R33:S42 U33:V33">
    <cfRule type="cellIs" dxfId="2082" priority="5869" operator="equal">
      <formula>"OFF"</formula>
    </cfRule>
    <cfRule type="cellIs" dxfId="2081" priority="5870" operator="equal">
      <formula>"PTO"</formula>
    </cfRule>
  </conditionalFormatting>
  <conditionalFormatting sqref="R33:S42 U33:V33">
    <cfRule type="cellIs" dxfId="2080" priority="5867" operator="equal">
      <formula>"OFF"</formula>
    </cfRule>
    <cfRule type="cellIs" dxfId="2079" priority="5868" operator="equal">
      <formula>"PTO"</formula>
    </cfRule>
  </conditionalFormatting>
  <conditionalFormatting sqref="R33:S42 U33:V33">
    <cfRule type="cellIs" dxfId="2078" priority="5865" operator="equal">
      <formula>"OFF"</formula>
    </cfRule>
    <cfRule type="cellIs" dxfId="2077" priority="5866" operator="equal">
      <formula>"PTO"</formula>
    </cfRule>
  </conditionalFormatting>
  <conditionalFormatting sqref="R33:S42 U33:V33">
    <cfRule type="cellIs" dxfId="2076" priority="5863" operator="equal">
      <formula>"OFF"</formula>
    </cfRule>
    <cfRule type="cellIs" dxfId="2075" priority="5864" operator="equal">
      <formula>"PTO"</formula>
    </cfRule>
  </conditionalFormatting>
  <conditionalFormatting sqref="R33:S42 U33:V33">
    <cfRule type="cellIs" dxfId="2074" priority="5861" operator="equal">
      <formula>"OFF"</formula>
    </cfRule>
    <cfRule type="cellIs" dxfId="2073" priority="5862" operator="equal">
      <formula>"PTO"</formula>
    </cfRule>
  </conditionalFormatting>
  <conditionalFormatting sqref="R33:S42 U33:V33">
    <cfRule type="cellIs" dxfId="2072" priority="5859" operator="equal">
      <formula>"OFF"</formula>
    </cfRule>
    <cfRule type="cellIs" dxfId="2071" priority="5860" operator="equal">
      <formula>"PTO"</formula>
    </cfRule>
  </conditionalFormatting>
  <conditionalFormatting sqref="R33:S42 U33:V33">
    <cfRule type="cellIs" dxfId="2070" priority="5857" operator="equal">
      <formula>"OFF"</formula>
    </cfRule>
    <cfRule type="cellIs" dxfId="2069" priority="5858" operator="equal">
      <formula>"PTO"</formula>
    </cfRule>
  </conditionalFormatting>
  <conditionalFormatting sqref="R33:S42 U33:V33">
    <cfRule type="cellIs" dxfId="2068" priority="5855" operator="equal">
      <formula>"OFF"</formula>
    </cfRule>
    <cfRule type="cellIs" dxfId="2067" priority="5856" operator="equal">
      <formula>"PTO"</formula>
    </cfRule>
  </conditionalFormatting>
  <conditionalFormatting sqref="R33:S42 U33:V33">
    <cfRule type="cellIs" dxfId="2066" priority="5853" operator="equal">
      <formula>"OFF"</formula>
    </cfRule>
    <cfRule type="cellIs" dxfId="2065" priority="5854" operator="equal">
      <formula>"PTO"</formula>
    </cfRule>
  </conditionalFormatting>
  <conditionalFormatting sqref="U33:V33">
    <cfRule type="cellIs" dxfId="2064" priority="5851" operator="equal">
      <formula>"OFF"</formula>
    </cfRule>
    <cfRule type="cellIs" dxfId="2063" priority="5852" operator="equal">
      <formula>"PTO"</formula>
    </cfRule>
  </conditionalFormatting>
  <conditionalFormatting sqref="U33:V33">
    <cfRule type="cellIs" dxfId="2062" priority="5849" operator="equal">
      <formula>"OFF"</formula>
    </cfRule>
    <cfRule type="cellIs" dxfId="2061" priority="5850" operator="equal">
      <formula>"PTO"</formula>
    </cfRule>
  </conditionalFormatting>
  <conditionalFormatting sqref="U33:V33">
    <cfRule type="cellIs" dxfId="2060" priority="5847" operator="equal">
      <formula>"OFF"</formula>
    </cfRule>
    <cfRule type="cellIs" dxfId="2059" priority="5848" operator="equal">
      <formula>"PTO"</formula>
    </cfRule>
  </conditionalFormatting>
  <conditionalFormatting sqref="U33:V33">
    <cfRule type="cellIs" dxfId="2058" priority="5845" operator="equal">
      <formula>"OFF"</formula>
    </cfRule>
    <cfRule type="cellIs" dxfId="2057" priority="5846" operator="equal">
      <formula>"PTO"</formula>
    </cfRule>
  </conditionalFormatting>
  <conditionalFormatting sqref="U33:V33">
    <cfRule type="cellIs" dxfId="2056" priority="5843" operator="equal">
      <formula>"OFF"</formula>
    </cfRule>
    <cfRule type="cellIs" dxfId="2055" priority="5844" operator="equal">
      <formula>"PTO"</formula>
    </cfRule>
  </conditionalFormatting>
  <conditionalFormatting sqref="U33:V33">
    <cfRule type="cellIs" dxfId="2054" priority="5841" operator="equal">
      <formula>"OFF"</formula>
    </cfRule>
    <cfRule type="cellIs" dxfId="2053" priority="5842" operator="equal">
      <formula>"PTO"</formula>
    </cfRule>
  </conditionalFormatting>
  <conditionalFormatting sqref="U33:V33">
    <cfRule type="cellIs" dxfId="2052" priority="5839" operator="equal">
      <formula>"OFF"</formula>
    </cfRule>
    <cfRule type="cellIs" dxfId="2051" priority="5840" operator="equal">
      <formula>"PTO"</formula>
    </cfRule>
  </conditionalFormatting>
  <conditionalFormatting sqref="U33:V33">
    <cfRule type="cellIs" dxfId="2050" priority="5837" operator="equal">
      <formula>"OFF"</formula>
    </cfRule>
    <cfRule type="cellIs" dxfId="2049" priority="5838" operator="equal">
      <formula>"PTO"</formula>
    </cfRule>
  </conditionalFormatting>
  <conditionalFormatting sqref="U33:V33">
    <cfRule type="cellIs" dxfId="2048" priority="5835" operator="equal">
      <formula>"OFF"</formula>
    </cfRule>
    <cfRule type="cellIs" dxfId="2047" priority="5836" operator="equal">
      <formula>"PTO"</formula>
    </cfRule>
  </conditionalFormatting>
  <conditionalFormatting sqref="W33:W42">
    <cfRule type="cellIs" dxfId="2046" priority="5833" operator="equal">
      <formula>"OFF"</formula>
    </cfRule>
    <cfRule type="cellIs" dxfId="2045" priority="5834" operator="equal">
      <formula>"PTO"</formula>
    </cfRule>
  </conditionalFormatting>
  <conditionalFormatting sqref="W33:W42">
    <cfRule type="cellIs" dxfId="2044" priority="5831" operator="equal">
      <formula>"OFF"</formula>
    </cfRule>
    <cfRule type="cellIs" dxfId="2043" priority="5832" operator="equal">
      <formula>"PTO"</formula>
    </cfRule>
  </conditionalFormatting>
  <conditionalFormatting sqref="W33:W42">
    <cfRule type="cellIs" dxfId="2042" priority="5829" operator="equal">
      <formula>"OFF"</formula>
    </cfRule>
    <cfRule type="cellIs" dxfId="2041" priority="5830" operator="equal">
      <formula>"PTO"</formula>
    </cfRule>
  </conditionalFormatting>
  <conditionalFormatting sqref="R33:S42 U33:W33 W33:W42">
    <cfRule type="cellIs" dxfId="2040" priority="5815" operator="equal">
      <formula>"OFF"</formula>
    </cfRule>
    <cfRule type="cellIs" dxfId="2039" priority="5816" operator="equal">
      <formula>"PTO"</formula>
    </cfRule>
  </conditionalFormatting>
  <conditionalFormatting sqref="R33:S42 U33:W33 W33:W42">
    <cfRule type="cellIs" dxfId="2038" priority="5813" operator="equal">
      <formula>"OFF"</formula>
    </cfRule>
    <cfRule type="cellIs" dxfId="2037" priority="5814" operator="equal">
      <formula>"PTO"</formula>
    </cfRule>
  </conditionalFormatting>
  <conditionalFormatting sqref="R33:S42 U33:W33 W33:W42">
    <cfRule type="cellIs" dxfId="2036" priority="5809" operator="equal">
      <formula>"OFF"</formula>
    </cfRule>
    <cfRule type="cellIs" dxfId="2035" priority="5810" operator="equal">
      <formula>"PTO"</formula>
    </cfRule>
  </conditionalFormatting>
  <conditionalFormatting sqref="R33:S42 U33:W33 W33:W42">
    <cfRule type="cellIs" dxfId="2034" priority="5807" operator="equal">
      <formula>"OFF"</formula>
    </cfRule>
    <cfRule type="cellIs" dxfId="2033" priority="5808" operator="equal">
      <formula>"PTO"</formula>
    </cfRule>
  </conditionalFormatting>
  <conditionalFormatting sqref="R33:S42 U33:V33">
    <cfRule type="cellIs" dxfId="2032" priority="5805" operator="equal">
      <formula>"OFF"</formula>
    </cfRule>
    <cfRule type="cellIs" dxfId="2031" priority="5806" operator="equal">
      <formula>"PTO"</formula>
    </cfRule>
  </conditionalFormatting>
  <conditionalFormatting sqref="R33:S42 U33:V33">
    <cfRule type="cellIs" dxfId="2030" priority="5803" operator="equal">
      <formula>"OFF"</formula>
    </cfRule>
    <cfRule type="cellIs" dxfId="2029" priority="5804" operator="equal">
      <formula>"PTO"</formula>
    </cfRule>
  </conditionalFormatting>
  <conditionalFormatting sqref="R33:S42 U33:V33">
    <cfRule type="cellIs" dxfId="2028" priority="5801" operator="equal">
      <formula>"OFF"</formula>
    </cfRule>
    <cfRule type="cellIs" dxfId="2027" priority="5802" operator="equal">
      <formula>"PTO"</formula>
    </cfRule>
  </conditionalFormatting>
  <conditionalFormatting sqref="R33:S42 U33:V33">
    <cfRule type="cellIs" dxfId="2026" priority="5799" operator="equal">
      <formula>"OFF"</formula>
    </cfRule>
    <cfRule type="cellIs" dxfId="2025" priority="5800" operator="equal">
      <formula>"PTO"</formula>
    </cfRule>
  </conditionalFormatting>
  <conditionalFormatting sqref="R33:S42 U33:W33 W33:W42">
    <cfRule type="cellIs" dxfId="2024" priority="5797" operator="equal">
      <formula>"OFF"</formula>
    </cfRule>
    <cfRule type="cellIs" dxfId="2023" priority="5798" operator="equal">
      <formula>"PTO"</formula>
    </cfRule>
  </conditionalFormatting>
  <conditionalFormatting sqref="R33:S42 U33:W33 W33:W42">
    <cfRule type="cellIs" dxfId="2022" priority="5793" operator="equal">
      <formula>"OFF"</formula>
    </cfRule>
    <cfRule type="cellIs" dxfId="2021" priority="5794" operator="equal">
      <formula>"PTO"</formula>
    </cfRule>
  </conditionalFormatting>
  <conditionalFormatting sqref="R33:S42 U33:W33 W33:W42">
    <cfRule type="cellIs" dxfId="2020" priority="5791" operator="equal">
      <formula>"OFF"</formula>
    </cfRule>
    <cfRule type="cellIs" dxfId="2019" priority="5792" operator="equal">
      <formula>"PTO"</formula>
    </cfRule>
  </conditionalFormatting>
  <conditionalFormatting sqref="R33:S42 U33:V33">
    <cfRule type="cellIs" dxfId="2018" priority="5789" operator="equal">
      <formula>"OFF"</formula>
    </cfRule>
    <cfRule type="cellIs" dxfId="2017" priority="5790" operator="equal">
      <formula>"PTO"</formula>
    </cfRule>
  </conditionalFormatting>
  <conditionalFormatting sqref="R33:S42 U33:V33">
    <cfRule type="cellIs" dxfId="2016" priority="5787" operator="equal">
      <formula>"OFF"</formula>
    </cfRule>
    <cfRule type="cellIs" dxfId="2015" priority="5788" operator="equal">
      <formula>"PTO"</formula>
    </cfRule>
  </conditionalFormatting>
  <conditionalFormatting sqref="R33:S42 U33:V33">
    <cfRule type="cellIs" dxfId="2014" priority="5785" operator="equal">
      <formula>"OFF"</formula>
    </cfRule>
    <cfRule type="cellIs" dxfId="2013" priority="5786" operator="equal">
      <formula>"PTO"</formula>
    </cfRule>
  </conditionalFormatting>
  <conditionalFormatting sqref="R33:S42 U33:V33">
    <cfRule type="cellIs" dxfId="2012" priority="5783" operator="equal">
      <formula>"OFF"</formula>
    </cfRule>
    <cfRule type="cellIs" dxfId="2011" priority="5784" operator="equal">
      <formula>"PTO"</formula>
    </cfRule>
  </conditionalFormatting>
  <conditionalFormatting sqref="R33:S42 U33:W33 W33:W42">
    <cfRule type="cellIs" dxfId="2010" priority="5781" operator="equal">
      <formula>"OFF"</formula>
    </cfRule>
    <cfRule type="cellIs" dxfId="2009" priority="5782" operator="equal">
      <formula>"PTO"</formula>
    </cfRule>
  </conditionalFormatting>
  <conditionalFormatting sqref="R33:S42 U33:W33 W33:W42">
    <cfRule type="cellIs" dxfId="2008" priority="5779" operator="equal">
      <formula>"OFF"</formula>
    </cfRule>
    <cfRule type="cellIs" dxfId="2007" priority="5780" operator="equal">
      <formula>"PTO"</formula>
    </cfRule>
  </conditionalFormatting>
  <conditionalFormatting sqref="R33:S42 U33:W33 W33:W42">
    <cfRule type="cellIs" dxfId="2006" priority="5777" operator="equal">
      <formula>"OFF"</formula>
    </cfRule>
    <cfRule type="cellIs" dxfId="2005" priority="5778" operator="equal">
      <formula>"PTO"</formula>
    </cfRule>
  </conditionalFormatting>
  <conditionalFormatting sqref="R33:S42 U33:W33 W33:W42">
    <cfRule type="cellIs" dxfId="2004" priority="5775" operator="equal">
      <formula>"OFF"</formula>
    </cfRule>
    <cfRule type="cellIs" dxfId="2003" priority="5776" operator="equal">
      <formula>"PTO"</formula>
    </cfRule>
  </conditionalFormatting>
  <conditionalFormatting sqref="R33:S42 U33:V33">
    <cfRule type="cellIs" dxfId="2002" priority="5773" operator="equal">
      <formula>"OFF"</formula>
    </cfRule>
    <cfRule type="cellIs" dxfId="2001" priority="5774" operator="equal">
      <formula>"PTO"</formula>
    </cfRule>
  </conditionalFormatting>
  <conditionalFormatting sqref="R33:S42 U33:V33">
    <cfRule type="cellIs" dxfId="2000" priority="5771" operator="equal">
      <formula>"OFF"</formula>
    </cfRule>
    <cfRule type="cellIs" dxfId="1999" priority="5772" operator="equal">
      <formula>"PTO"</formula>
    </cfRule>
  </conditionalFormatting>
  <conditionalFormatting sqref="R33:S42 U33:V33">
    <cfRule type="cellIs" dxfId="1998" priority="5769" operator="equal">
      <formula>"OFF"</formula>
    </cfRule>
    <cfRule type="cellIs" dxfId="1997" priority="5770" operator="equal">
      <formula>"PTO"</formula>
    </cfRule>
  </conditionalFormatting>
  <conditionalFormatting sqref="R33:S42 U33:V33">
    <cfRule type="cellIs" dxfId="1996" priority="5767" operator="equal">
      <formula>"OFF"</formula>
    </cfRule>
    <cfRule type="cellIs" dxfId="1995" priority="5768" operator="equal">
      <formula>"PTO"</formula>
    </cfRule>
  </conditionalFormatting>
  <conditionalFormatting sqref="R33:S42 U33:W33 W33:W42">
    <cfRule type="cellIs" dxfId="1994" priority="5765" operator="equal">
      <formula>"OFF"</formula>
    </cfRule>
    <cfRule type="cellIs" dxfId="1993" priority="5766" operator="equal">
      <formula>"PTO"</formula>
    </cfRule>
  </conditionalFormatting>
  <conditionalFormatting sqref="R33:S42 U33:W33 W33:W42">
    <cfRule type="cellIs" dxfId="1992" priority="5759" operator="equal">
      <formula>"OFF"</formula>
    </cfRule>
    <cfRule type="cellIs" dxfId="1991" priority="5760" operator="equal">
      <formula>"PTO"</formula>
    </cfRule>
  </conditionalFormatting>
  <conditionalFormatting sqref="R33:S42 U33:V33">
    <cfRule type="cellIs" dxfId="1990" priority="5757" operator="equal">
      <formula>"OFF"</formula>
    </cfRule>
    <cfRule type="cellIs" dxfId="1989" priority="5758" operator="equal">
      <formula>"PTO"</formula>
    </cfRule>
  </conditionalFormatting>
  <conditionalFormatting sqref="R33:S42 U33:V33">
    <cfRule type="cellIs" dxfId="1988" priority="5755" operator="equal">
      <formula>"OFF"</formula>
    </cfRule>
    <cfRule type="cellIs" dxfId="1987" priority="5756" operator="equal">
      <formula>"PTO"</formula>
    </cfRule>
  </conditionalFormatting>
  <conditionalFormatting sqref="R33:S42 U33:V33">
    <cfRule type="cellIs" dxfId="1986" priority="5753" operator="equal">
      <formula>"OFF"</formula>
    </cfRule>
    <cfRule type="cellIs" dxfId="1985" priority="5754" operator="equal">
      <formula>"PTO"</formula>
    </cfRule>
  </conditionalFormatting>
  <conditionalFormatting sqref="R33:S42 U33:V33">
    <cfRule type="cellIs" dxfId="1984" priority="5751" operator="equal">
      <formula>"OFF"</formula>
    </cfRule>
    <cfRule type="cellIs" dxfId="1983" priority="5752" operator="equal">
      <formula>"PTO"</formula>
    </cfRule>
  </conditionalFormatting>
  <conditionalFormatting sqref="R33:S42 U33:W33 W33:W42">
    <cfRule type="cellIs" dxfId="1982" priority="5749" operator="equal">
      <formula>"OFF"</formula>
    </cfRule>
    <cfRule type="cellIs" dxfId="1981" priority="5750" operator="equal">
      <formula>"PTO"</formula>
    </cfRule>
  </conditionalFormatting>
  <conditionalFormatting sqref="R33:S42 U33:W33 W33:W42">
    <cfRule type="cellIs" dxfId="1980" priority="5747" operator="equal">
      <formula>"OFF"</formula>
    </cfRule>
    <cfRule type="cellIs" dxfId="1979" priority="5748" operator="equal">
      <formula>"PTO"</formula>
    </cfRule>
  </conditionalFormatting>
  <conditionalFormatting sqref="R33:S42 U33:W33 W33:W42">
    <cfRule type="cellIs" dxfId="1978" priority="5745" operator="equal">
      <formula>"OFF"</formula>
    </cfRule>
    <cfRule type="cellIs" dxfId="1977" priority="5746" operator="equal">
      <formula>"PTO"</formula>
    </cfRule>
  </conditionalFormatting>
  <conditionalFormatting sqref="R33:S42 U33:W33 W33:W42">
    <cfRule type="cellIs" dxfId="1976" priority="5743" operator="equal">
      <formula>"OFF"</formula>
    </cfRule>
    <cfRule type="cellIs" dxfId="1975" priority="5744" operator="equal">
      <formula>"PTO"</formula>
    </cfRule>
  </conditionalFormatting>
  <conditionalFormatting sqref="R33:S42 U33:W33 W33:W42">
    <cfRule type="cellIs" dxfId="1974" priority="5741" operator="equal">
      <formula>"OFF"</formula>
    </cfRule>
    <cfRule type="cellIs" dxfId="1973" priority="5742" operator="equal">
      <formula>"PTO"</formula>
    </cfRule>
  </conditionalFormatting>
  <conditionalFormatting sqref="R33:S42 U33:W33 W33:W42">
    <cfRule type="cellIs" dxfId="1972" priority="5739" operator="equal">
      <formula>"OFF"</formula>
    </cfRule>
    <cfRule type="cellIs" dxfId="1971" priority="5740" operator="equal">
      <formula>"PTO"</formula>
    </cfRule>
  </conditionalFormatting>
  <conditionalFormatting sqref="R33:S42 U33:W33 W33:W42">
    <cfRule type="cellIs" dxfId="1970" priority="5737" operator="equal">
      <formula>"OFF"</formula>
    </cfRule>
    <cfRule type="cellIs" dxfId="1969" priority="5738" operator="equal">
      <formula>"PTO"</formula>
    </cfRule>
  </conditionalFormatting>
  <conditionalFormatting sqref="R33:S42 U33:W33 W33:W42">
    <cfRule type="cellIs" dxfId="1968" priority="5735" operator="equal">
      <formula>"OFF"</formula>
    </cfRule>
    <cfRule type="cellIs" dxfId="1967" priority="5736" operator="equal">
      <formula>"PTO"</formula>
    </cfRule>
  </conditionalFormatting>
  <conditionalFormatting sqref="R33:S42 U33:W33 W33:W42">
    <cfRule type="cellIs" dxfId="1966" priority="5733" operator="equal">
      <formula>"OFF"</formula>
    </cfRule>
    <cfRule type="cellIs" dxfId="1965" priority="5734" operator="equal">
      <formula>"PTO"</formula>
    </cfRule>
  </conditionalFormatting>
  <conditionalFormatting sqref="R33:S42 U33:W33 W33:W42">
    <cfRule type="cellIs" dxfId="1964" priority="5731" operator="equal">
      <formula>"OFF"</formula>
    </cfRule>
    <cfRule type="cellIs" dxfId="1963" priority="5732" operator="equal">
      <formula>"PTO"</formula>
    </cfRule>
  </conditionalFormatting>
  <conditionalFormatting sqref="R33:S42 U33:W33 W33:W42">
    <cfRule type="cellIs" dxfId="1962" priority="5729" operator="equal">
      <formula>"OFF"</formula>
    </cfRule>
    <cfRule type="cellIs" dxfId="1961" priority="5730" operator="equal">
      <formula>"PTO"</formula>
    </cfRule>
  </conditionalFormatting>
  <conditionalFormatting sqref="R33:S42 U33:W33 W33:W42">
    <cfRule type="cellIs" dxfId="1960" priority="5727" operator="equal">
      <formula>"OFF"</formula>
    </cfRule>
    <cfRule type="cellIs" dxfId="1959" priority="5728" operator="equal">
      <formula>"PTO"</formula>
    </cfRule>
  </conditionalFormatting>
  <conditionalFormatting sqref="R33:S42 U33:W33 W33:W42">
    <cfRule type="cellIs" dxfId="1958" priority="5725" operator="equal">
      <formula>"OFF"</formula>
    </cfRule>
    <cfRule type="cellIs" dxfId="1957" priority="5726" operator="equal">
      <formula>"PTO"</formula>
    </cfRule>
  </conditionalFormatting>
  <conditionalFormatting sqref="R33:S42 U33:W33 W33:W42">
    <cfRule type="cellIs" dxfId="1956" priority="5723" operator="equal">
      <formula>"OFF"</formula>
    </cfRule>
    <cfRule type="cellIs" dxfId="1955" priority="5724" operator="equal">
      <formula>"PTO"</formula>
    </cfRule>
  </conditionalFormatting>
  <conditionalFormatting sqref="R33:S42 U33:W33 W33:W42">
    <cfRule type="cellIs" dxfId="1954" priority="5721" operator="equal">
      <formula>"OFF"</formula>
    </cfRule>
    <cfRule type="cellIs" dxfId="1953" priority="5722" operator="equal">
      <formula>"PTO"</formula>
    </cfRule>
  </conditionalFormatting>
  <conditionalFormatting sqref="R33:S42 U33:W33 W33:W42">
    <cfRule type="cellIs" dxfId="1952" priority="5719" operator="equal">
      <formula>"OFF"</formula>
    </cfRule>
    <cfRule type="cellIs" dxfId="1951" priority="5720" operator="equal">
      <formula>"PTO"</formula>
    </cfRule>
  </conditionalFormatting>
  <conditionalFormatting sqref="R33:S42 U33:W33 W33:W42">
    <cfRule type="cellIs" dxfId="1950" priority="5717" operator="equal">
      <formula>"OFF"</formula>
    </cfRule>
    <cfRule type="cellIs" dxfId="1949" priority="5718" operator="equal">
      <formula>"PTO"</formula>
    </cfRule>
  </conditionalFormatting>
  <conditionalFormatting sqref="R33:S42 U33:W33 W33:W42">
    <cfRule type="cellIs" dxfId="1948" priority="5715" operator="equal">
      <formula>"OFF"</formula>
    </cfRule>
    <cfRule type="cellIs" dxfId="1947" priority="5716" operator="equal">
      <formula>"PTO"</formula>
    </cfRule>
  </conditionalFormatting>
  <conditionalFormatting sqref="R33:S42 U33:W33 W33:W42">
    <cfRule type="cellIs" dxfId="1946" priority="5713" operator="equal">
      <formula>"OFF"</formula>
    </cfRule>
    <cfRule type="cellIs" dxfId="1945" priority="5714" operator="equal">
      <formula>"PTO"</formula>
    </cfRule>
  </conditionalFormatting>
  <conditionalFormatting sqref="R33:S42 U33:W33 W33:W42">
    <cfRule type="cellIs" dxfId="1944" priority="5711" operator="equal">
      <formula>"OFF"</formula>
    </cfRule>
    <cfRule type="cellIs" dxfId="1943" priority="5712" operator="equal">
      <formula>"PTO"</formula>
    </cfRule>
  </conditionalFormatting>
  <conditionalFormatting sqref="R33:S42 U33:W33 W33:W42">
    <cfRule type="cellIs" dxfId="1942" priority="5709" operator="equal">
      <formula>"OFF"</formula>
    </cfRule>
    <cfRule type="cellIs" dxfId="1941" priority="5710" operator="equal">
      <formula>"PTO"</formula>
    </cfRule>
  </conditionalFormatting>
  <conditionalFormatting sqref="R33:S42 U33:W33 W33:W42">
    <cfRule type="cellIs" dxfId="1940" priority="5707" operator="equal">
      <formula>"OFF"</formula>
    </cfRule>
    <cfRule type="cellIs" dxfId="1939" priority="5708" operator="equal">
      <formula>"PTO"</formula>
    </cfRule>
  </conditionalFormatting>
  <conditionalFormatting sqref="R33:S42 U33:W33 W33:W42">
    <cfRule type="cellIs" dxfId="1938" priority="5705" operator="equal">
      <formula>"OFF"</formula>
    </cfRule>
    <cfRule type="cellIs" dxfId="1937" priority="5706" operator="equal">
      <formula>"PTO"</formula>
    </cfRule>
  </conditionalFormatting>
  <conditionalFormatting sqref="R33:S42 U33:W33 W33:W42">
    <cfRule type="cellIs" dxfId="1936" priority="5703" operator="equal">
      <formula>"OFF"</formula>
    </cfRule>
    <cfRule type="cellIs" dxfId="1935" priority="5704" operator="equal">
      <formula>"PTO"</formula>
    </cfRule>
  </conditionalFormatting>
  <conditionalFormatting sqref="R33:S42 U33:W33 W33:W42">
    <cfRule type="cellIs" dxfId="1934" priority="5701" operator="equal">
      <formula>"OFF"</formula>
    </cfRule>
    <cfRule type="cellIs" dxfId="1933" priority="5702" operator="equal">
      <formula>"PTO"</formula>
    </cfRule>
  </conditionalFormatting>
  <conditionalFormatting sqref="R33:S42 U33:V33">
    <cfRule type="cellIs" dxfId="1932" priority="5699" operator="equal">
      <formula>"OFF"</formula>
    </cfRule>
    <cfRule type="cellIs" dxfId="1931" priority="5700" operator="equal">
      <formula>"PTO"</formula>
    </cfRule>
  </conditionalFormatting>
  <conditionalFormatting sqref="R33:S42 U33:V33">
    <cfRule type="cellIs" dxfId="1930" priority="5697" operator="equal">
      <formula>"OFF"</formula>
    </cfRule>
    <cfRule type="cellIs" dxfId="1929" priority="5698" operator="equal">
      <formula>"PTO"</formula>
    </cfRule>
  </conditionalFormatting>
  <conditionalFormatting sqref="R33:S42 U33:V33">
    <cfRule type="cellIs" dxfId="1928" priority="5695" operator="equal">
      <formula>"OFF"</formula>
    </cfRule>
    <cfRule type="cellIs" dxfId="1927" priority="5696" operator="equal">
      <formula>"PTO"</formula>
    </cfRule>
  </conditionalFormatting>
  <conditionalFormatting sqref="R33:S42 U33:V33">
    <cfRule type="cellIs" dxfId="1926" priority="5693" operator="equal">
      <formula>"OFF"</formula>
    </cfRule>
    <cfRule type="cellIs" dxfId="1925" priority="5694" operator="equal">
      <formula>"PTO"</formula>
    </cfRule>
  </conditionalFormatting>
  <conditionalFormatting sqref="R33:S42 U33:V33">
    <cfRule type="cellIs" dxfId="1924" priority="5691" operator="equal">
      <formula>"OFF"</formula>
    </cfRule>
    <cfRule type="cellIs" dxfId="1923" priority="5692" operator="equal">
      <formula>"PTO"</formula>
    </cfRule>
  </conditionalFormatting>
  <conditionalFormatting sqref="R33:S42 U33:V33">
    <cfRule type="cellIs" dxfId="1922" priority="5689" operator="equal">
      <formula>"OFF"</formula>
    </cfRule>
    <cfRule type="cellIs" dxfId="1921" priority="5690" operator="equal">
      <formula>"PTO"</formula>
    </cfRule>
  </conditionalFormatting>
  <conditionalFormatting sqref="R33:S42 U33:V33">
    <cfRule type="cellIs" dxfId="1920" priority="5687" operator="equal">
      <formula>"OFF"</formula>
    </cfRule>
    <cfRule type="cellIs" dxfId="1919" priority="5688" operator="equal">
      <formula>"PTO"</formula>
    </cfRule>
  </conditionalFormatting>
  <conditionalFormatting sqref="R33:S42 U33:V33">
    <cfRule type="cellIs" dxfId="1918" priority="5685" operator="equal">
      <formula>"OFF"</formula>
    </cfRule>
    <cfRule type="cellIs" dxfId="1917" priority="5686" operator="equal">
      <formula>"PTO"</formula>
    </cfRule>
  </conditionalFormatting>
  <conditionalFormatting sqref="R33:S42 U33:V33">
    <cfRule type="cellIs" dxfId="1916" priority="5683" operator="equal">
      <formula>"OFF"</formula>
    </cfRule>
    <cfRule type="cellIs" dxfId="1915" priority="5684" operator="equal">
      <formula>"PTO"</formula>
    </cfRule>
  </conditionalFormatting>
  <conditionalFormatting sqref="R33:S42 U33:V33">
    <cfRule type="cellIs" dxfId="1914" priority="5681" operator="equal">
      <formula>"OFF"</formula>
    </cfRule>
    <cfRule type="cellIs" dxfId="1913" priority="5682" operator="equal">
      <formula>"PTO"</formula>
    </cfRule>
  </conditionalFormatting>
  <conditionalFormatting sqref="R33:S42 U33:V33">
    <cfRule type="cellIs" dxfId="1912" priority="5679" operator="equal">
      <formula>"OFF"</formula>
    </cfRule>
    <cfRule type="cellIs" dxfId="1911" priority="5680" operator="equal">
      <formula>"PTO"</formula>
    </cfRule>
  </conditionalFormatting>
  <conditionalFormatting sqref="R33:S42 U33:V33">
    <cfRule type="cellIs" dxfId="1910" priority="5677" operator="equal">
      <formula>"OFF"</formula>
    </cfRule>
    <cfRule type="cellIs" dxfId="1909" priority="5678" operator="equal">
      <formula>"PTO"</formula>
    </cfRule>
  </conditionalFormatting>
  <conditionalFormatting sqref="R33:S42 U33:V33">
    <cfRule type="cellIs" dxfId="1908" priority="5675" operator="equal">
      <formula>"OFF"</formula>
    </cfRule>
    <cfRule type="cellIs" dxfId="1907" priority="5676" operator="equal">
      <formula>"PTO"</formula>
    </cfRule>
  </conditionalFormatting>
  <conditionalFormatting sqref="R33:S42 U33:V33">
    <cfRule type="cellIs" dxfId="1906" priority="5673" operator="equal">
      <formula>"OFF"</formula>
    </cfRule>
    <cfRule type="cellIs" dxfId="1905" priority="5674" operator="equal">
      <formula>"PTO"</formula>
    </cfRule>
  </conditionalFormatting>
  <conditionalFormatting sqref="R33:S42 U33:V33">
    <cfRule type="cellIs" dxfId="1904" priority="5671" operator="equal">
      <formula>"OFF"</formula>
    </cfRule>
    <cfRule type="cellIs" dxfId="1903" priority="5672" operator="equal">
      <formula>"PTO"</formula>
    </cfRule>
  </conditionalFormatting>
  <conditionalFormatting sqref="R33:S42 U33:V33">
    <cfRule type="cellIs" dxfId="1902" priority="5669" operator="equal">
      <formula>"OFF"</formula>
    </cfRule>
    <cfRule type="cellIs" dxfId="1901" priority="5670" operator="equal">
      <formula>"PTO"</formula>
    </cfRule>
  </conditionalFormatting>
  <conditionalFormatting sqref="R33:S42 U33:V33">
    <cfRule type="cellIs" dxfId="1900" priority="5667" operator="equal">
      <formula>"OFF"</formula>
    </cfRule>
    <cfRule type="cellIs" dxfId="1899" priority="5668" operator="equal">
      <formula>"PTO"</formula>
    </cfRule>
  </conditionalFormatting>
  <conditionalFormatting sqref="R33:S42 U33:V33">
    <cfRule type="cellIs" dxfId="1898" priority="5665" operator="equal">
      <formula>"OFF"</formula>
    </cfRule>
    <cfRule type="cellIs" dxfId="1897" priority="5666" operator="equal">
      <formula>"PTO"</formula>
    </cfRule>
  </conditionalFormatting>
  <conditionalFormatting sqref="R33:S42 U33:V33">
    <cfRule type="cellIs" dxfId="1896" priority="5663" operator="equal">
      <formula>"OFF"</formula>
    </cfRule>
    <cfRule type="cellIs" dxfId="1895" priority="5664" operator="equal">
      <formula>"PTO"</formula>
    </cfRule>
  </conditionalFormatting>
  <conditionalFormatting sqref="R33:S42 U33:V33">
    <cfRule type="cellIs" dxfId="1894" priority="5661" operator="equal">
      <formula>"OFF"</formula>
    </cfRule>
    <cfRule type="cellIs" dxfId="1893" priority="5662" operator="equal">
      <formula>"PTO"</formula>
    </cfRule>
  </conditionalFormatting>
  <conditionalFormatting sqref="R33:S42 U33:V33">
    <cfRule type="cellIs" dxfId="1892" priority="5659" operator="equal">
      <formula>"OFF"</formula>
    </cfRule>
    <cfRule type="cellIs" dxfId="1891" priority="5660" operator="equal">
      <formula>"PTO"</formula>
    </cfRule>
  </conditionalFormatting>
  <conditionalFormatting sqref="R33:S42 U33:V33">
    <cfRule type="cellIs" dxfId="1890" priority="5657" operator="equal">
      <formula>"OFF"</formula>
    </cfRule>
    <cfRule type="cellIs" dxfId="1889" priority="5658" operator="equal">
      <formula>"PTO"</formula>
    </cfRule>
  </conditionalFormatting>
  <conditionalFormatting sqref="R33:S42 U33:V33">
    <cfRule type="cellIs" dxfId="1888" priority="5655" operator="equal">
      <formula>"OFF"</formula>
    </cfRule>
    <cfRule type="cellIs" dxfId="1887" priority="5656" operator="equal">
      <formula>"PTO"</formula>
    </cfRule>
  </conditionalFormatting>
  <conditionalFormatting sqref="R33:S42 U33:V33">
    <cfRule type="cellIs" dxfId="1886" priority="5653" operator="equal">
      <formula>"OFF"</formula>
    </cfRule>
    <cfRule type="cellIs" dxfId="1885" priority="5654" operator="equal">
      <formula>"PTO"</formula>
    </cfRule>
  </conditionalFormatting>
  <conditionalFormatting sqref="R33:S42 U33:V33">
    <cfRule type="cellIs" dxfId="1884" priority="5651" operator="equal">
      <formula>"OFF"</formula>
    </cfRule>
    <cfRule type="cellIs" dxfId="1883" priority="5652" operator="equal">
      <formula>"PTO"</formula>
    </cfRule>
  </conditionalFormatting>
  <conditionalFormatting sqref="U33:V33">
    <cfRule type="cellIs" dxfId="1882" priority="5649" operator="equal">
      <formula>"OFF"</formula>
    </cfRule>
    <cfRule type="cellIs" dxfId="1881" priority="5650" operator="equal">
      <formula>"PTO"</formula>
    </cfRule>
  </conditionalFormatting>
  <conditionalFormatting sqref="U33:V33">
    <cfRule type="cellIs" dxfId="1880" priority="5647" operator="equal">
      <formula>"OFF"</formula>
    </cfRule>
    <cfRule type="cellIs" dxfId="1879" priority="5648" operator="equal">
      <formula>"PTO"</formula>
    </cfRule>
  </conditionalFormatting>
  <conditionalFormatting sqref="U33:V33">
    <cfRule type="cellIs" dxfId="1878" priority="5645" operator="equal">
      <formula>"OFF"</formula>
    </cfRule>
    <cfRule type="cellIs" dxfId="1877" priority="5646" operator="equal">
      <formula>"PTO"</formula>
    </cfRule>
  </conditionalFormatting>
  <conditionalFormatting sqref="U33:V33">
    <cfRule type="cellIs" dxfId="1876" priority="5643" operator="equal">
      <formula>"OFF"</formula>
    </cfRule>
    <cfRule type="cellIs" dxfId="1875" priority="5644" operator="equal">
      <formula>"PTO"</formula>
    </cfRule>
  </conditionalFormatting>
  <conditionalFormatting sqref="U33:V33">
    <cfRule type="cellIs" dxfId="1874" priority="5641" operator="equal">
      <formula>"OFF"</formula>
    </cfRule>
    <cfRule type="cellIs" dxfId="1873" priority="5642" operator="equal">
      <formula>"PTO"</formula>
    </cfRule>
  </conditionalFormatting>
  <conditionalFormatting sqref="U33:V33">
    <cfRule type="cellIs" dxfId="1872" priority="5639" operator="equal">
      <formula>"OFF"</formula>
    </cfRule>
    <cfRule type="cellIs" dxfId="1871" priority="5640" operator="equal">
      <formula>"PTO"</formula>
    </cfRule>
  </conditionalFormatting>
  <conditionalFormatting sqref="U33:V33">
    <cfRule type="cellIs" dxfId="1870" priority="5637" operator="equal">
      <formula>"OFF"</formula>
    </cfRule>
    <cfRule type="cellIs" dxfId="1869" priority="5638" operator="equal">
      <formula>"PTO"</formula>
    </cfRule>
  </conditionalFormatting>
  <conditionalFormatting sqref="U33:V33">
    <cfRule type="cellIs" dxfId="1868" priority="5635" operator="equal">
      <formula>"OFF"</formula>
    </cfRule>
    <cfRule type="cellIs" dxfId="1867" priority="5636" operator="equal">
      <formula>"PTO"</formula>
    </cfRule>
  </conditionalFormatting>
  <conditionalFormatting sqref="U33:V33">
    <cfRule type="cellIs" dxfId="1866" priority="5633" operator="equal">
      <formula>"OFF"</formula>
    </cfRule>
    <cfRule type="cellIs" dxfId="1865" priority="5634" operator="equal">
      <formula>"PTO"</formula>
    </cfRule>
  </conditionalFormatting>
  <conditionalFormatting sqref="W33:W42">
    <cfRule type="cellIs" dxfId="1864" priority="5631" operator="equal">
      <formula>"OFF"</formula>
    </cfRule>
    <cfRule type="cellIs" dxfId="1863" priority="5632" operator="equal">
      <formula>"PTO"</formula>
    </cfRule>
  </conditionalFormatting>
  <conditionalFormatting sqref="W33:W42">
    <cfRule type="cellIs" dxfId="1862" priority="5629" operator="equal">
      <formula>"OFF"</formula>
    </cfRule>
    <cfRule type="cellIs" dxfId="1861" priority="5630" operator="equal">
      <formula>"PTO"</formula>
    </cfRule>
  </conditionalFormatting>
  <conditionalFormatting sqref="W33:W42">
    <cfRule type="cellIs" dxfId="1860" priority="5627" operator="equal">
      <formula>"OFF"</formula>
    </cfRule>
    <cfRule type="cellIs" dxfId="1859" priority="5628" operator="equal">
      <formula>"PTO"</formula>
    </cfRule>
  </conditionalFormatting>
  <conditionalFormatting sqref="W33:W42">
    <cfRule type="cellIs" dxfId="1858" priority="5625" operator="equal">
      <formula>"OFF"</formula>
    </cfRule>
    <cfRule type="cellIs" dxfId="1857" priority="5626" operator="equal">
      <formula>"PTO"</formula>
    </cfRule>
  </conditionalFormatting>
  <conditionalFormatting sqref="W33:W42">
    <cfRule type="cellIs" dxfId="1856" priority="5623" operator="equal">
      <formula>"OFF"</formula>
    </cfRule>
    <cfRule type="cellIs" dxfId="1855" priority="5624" operator="equal">
      <formula>"PTO"</formula>
    </cfRule>
  </conditionalFormatting>
  <conditionalFormatting sqref="W33:W42">
    <cfRule type="cellIs" dxfId="1854" priority="5621" operator="equal">
      <formula>"OFF"</formula>
    </cfRule>
    <cfRule type="cellIs" dxfId="1853" priority="5622" operator="equal">
      <formula>"PTO"</formula>
    </cfRule>
  </conditionalFormatting>
  <conditionalFormatting sqref="W33:W42">
    <cfRule type="cellIs" dxfId="1852" priority="5619" operator="equal">
      <formula>"OFF"</formula>
    </cfRule>
    <cfRule type="cellIs" dxfId="1851" priority="5620" operator="equal">
      <formula>"PTO"</formula>
    </cfRule>
  </conditionalFormatting>
  <conditionalFormatting sqref="W33:W42">
    <cfRule type="cellIs" dxfId="1850" priority="5617" operator="equal">
      <formula>"OFF"</formula>
    </cfRule>
    <cfRule type="cellIs" dxfId="1849" priority="5618" operator="equal">
      <formula>"PTO"</formula>
    </cfRule>
  </conditionalFormatting>
  <conditionalFormatting sqref="R33:S42">
    <cfRule type="cellIs" dxfId="1848" priority="5615" operator="equal">
      <formula>"OFF"</formula>
    </cfRule>
    <cfRule type="cellIs" dxfId="1847" priority="5616" operator="equal">
      <formula>"PTO"</formula>
    </cfRule>
  </conditionalFormatting>
  <conditionalFormatting sqref="R33:S42">
    <cfRule type="cellIs" dxfId="1846" priority="5613" operator="equal">
      <formula>"OFF"</formula>
    </cfRule>
    <cfRule type="cellIs" dxfId="1845" priority="5614" operator="equal">
      <formula>"PTO"</formula>
    </cfRule>
  </conditionalFormatting>
  <conditionalFormatting sqref="R33:S42">
    <cfRule type="cellIs" dxfId="1844" priority="5611" operator="equal">
      <formula>"OFF"</formula>
    </cfRule>
    <cfRule type="cellIs" dxfId="1843" priority="5612" operator="equal">
      <formula>"PTO"</formula>
    </cfRule>
  </conditionalFormatting>
  <conditionalFormatting sqref="R33:S42">
    <cfRule type="cellIs" dxfId="1842" priority="5609" operator="equal">
      <formula>"OFF"</formula>
    </cfRule>
    <cfRule type="cellIs" dxfId="1841" priority="5610" operator="equal">
      <formula>"PTO"</formula>
    </cfRule>
  </conditionalFormatting>
  <conditionalFormatting sqref="R33:S42">
    <cfRule type="cellIs" dxfId="1840" priority="5607" operator="equal">
      <formula>"OFF"</formula>
    </cfRule>
    <cfRule type="cellIs" dxfId="1839" priority="5608" operator="equal">
      <formula>"PTO"</formula>
    </cfRule>
  </conditionalFormatting>
  <conditionalFormatting sqref="R33:S42">
    <cfRule type="cellIs" dxfId="1838" priority="5605" operator="equal">
      <formula>"OFF"</formula>
    </cfRule>
    <cfRule type="cellIs" dxfId="1837" priority="5606" operator="equal">
      <formula>"PTO"</formula>
    </cfRule>
  </conditionalFormatting>
  <conditionalFormatting sqref="R33:S42">
    <cfRule type="cellIs" dxfId="1836" priority="5603" operator="equal">
      <formula>"OFF"</formula>
    </cfRule>
    <cfRule type="cellIs" dxfId="1835" priority="5604" operator="equal">
      <formula>"PTO"</formula>
    </cfRule>
  </conditionalFormatting>
  <conditionalFormatting sqref="Q33:Q42">
    <cfRule type="cellIs" dxfId="1834" priority="5599" operator="equal">
      <formula>"OFF"</formula>
    </cfRule>
    <cfRule type="cellIs" dxfId="1833" priority="5600" operator="equal">
      <formula>"PTO"</formula>
    </cfRule>
  </conditionalFormatting>
  <conditionalFormatting sqref="Q33:Q42">
    <cfRule type="cellIs" dxfId="1832" priority="5593" operator="equal">
      <formula>"OFF"</formula>
    </cfRule>
    <cfRule type="cellIs" dxfId="1831" priority="5594" operator="equal">
      <formula>"PTO"</formula>
    </cfRule>
  </conditionalFormatting>
  <conditionalFormatting sqref="Q33:Q42">
    <cfRule type="cellIs" dxfId="1830" priority="5585" operator="equal">
      <formula>"OFF"</formula>
    </cfRule>
    <cfRule type="cellIs" dxfId="1829" priority="5586" operator="equal">
      <formula>"PTO"</formula>
    </cfRule>
  </conditionalFormatting>
  <conditionalFormatting sqref="Q33:Q42">
    <cfRule type="cellIs" dxfId="1828" priority="5569" operator="equal">
      <formula>"OFF"</formula>
    </cfRule>
    <cfRule type="cellIs" dxfId="1827" priority="5570" operator="equal">
      <formula>"PTO"</formula>
    </cfRule>
  </conditionalFormatting>
  <conditionalFormatting sqref="Q33:Q42">
    <cfRule type="cellIs" dxfId="1826" priority="5567" operator="equal">
      <formula>"OFF"</formula>
    </cfRule>
    <cfRule type="cellIs" dxfId="1825" priority="5568" operator="equal">
      <formula>"PTO"</formula>
    </cfRule>
  </conditionalFormatting>
  <conditionalFormatting sqref="Q33:Q42">
    <cfRule type="cellIs" dxfId="1824" priority="5601" operator="equal">
      <formula>"OFF"</formula>
    </cfRule>
    <cfRule type="cellIs" dxfId="1823" priority="5602" operator="equal">
      <formula>"PTO"</formula>
    </cfRule>
  </conditionalFormatting>
  <conditionalFormatting sqref="Q33:Q42">
    <cfRule type="cellIs" dxfId="1822" priority="5597" operator="equal">
      <formula>"OFF"</formula>
    </cfRule>
    <cfRule type="cellIs" dxfId="1821" priority="5598" operator="equal">
      <formula>"PTO"</formula>
    </cfRule>
  </conditionalFormatting>
  <conditionalFormatting sqref="Q33:Q42">
    <cfRule type="cellIs" dxfId="1820" priority="5595" operator="equal">
      <formula>"OFF"</formula>
    </cfRule>
    <cfRule type="cellIs" dxfId="1819" priority="5596" operator="equal">
      <formula>"PTO"</formula>
    </cfRule>
  </conditionalFormatting>
  <conditionalFormatting sqref="Q33:Q42">
    <cfRule type="cellIs" dxfId="1818" priority="5591" operator="equal">
      <formula>"OFF"</formula>
    </cfRule>
    <cfRule type="cellIs" dxfId="1817" priority="5592" operator="equal">
      <formula>"PTO"</formula>
    </cfRule>
  </conditionalFormatting>
  <conditionalFormatting sqref="Q33:Q42">
    <cfRule type="cellIs" dxfId="1816" priority="5589" operator="equal">
      <formula>"OFF"</formula>
    </cfRule>
    <cfRule type="cellIs" dxfId="1815" priority="5590" operator="equal">
      <formula>"PTO"</formula>
    </cfRule>
  </conditionalFormatting>
  <conditionalFormatting sqref="Q33:Q42">
    <cfRule type="cellIs" dxfId="1814" priority="5587" operator="equal">
      <formula>"OFF"</formula>
    </cfRule>
    <cfRule type="cellIs" dxfId="1813" priority="5588" operator="equal">
      <formula>"PTO"</formula>
    </cfRule>
  </conditionalFormatting>
  <conditionalFormatting sqref="Q33:Q42">
    <cfRule type="cellIs" dxfId="1812" priority="5583" operator="equal">
      <formula>"OFF"</formula>
    </cfRule>
    <cfRule type="cellIs" dxfId="1811" priority="5584" operator="equal">
      <formula>"PTO"</formula>
    </cfRule>
  </conditionalFormatting>
  <conditionalFormatting sqref="Q33:Q42">
    <cfRule type="cellIs" dxfId="1810" priority="5581" operator="equal">
      <formula>"OFF"</formula>
    </cfRule>
    <cfRule type="cellIs" dxfId="1809" priority="5582" operator="equal">
      <formula>"PTO"</formula>
    </cfRule>
  </conditionalFormatting>
  <conditionalFormatting sqref="Q33:Q42">
    <cfRule type="cellIs" dxfId="1808" priority="5579" operator="equal">
      <formula>"OFF"</formula>
    </cfRule>
    <cfRule type="cellIs" dxfId="1807" priority="5580" operator="equal">
      <formula>"PTO"</formula>
    </cfRule>
  </conditionalFormatting>
  <conditionalFormatting sqref="Q33:Q42">
    <cfRule type="cellIs" dxfId="1806" priority="5577" operator="equal">
      <formula>"OFF"</formula>
    </cfRule>
    <cfRule type="cellIs" dxfId="1805" priority="5578" operator="equal">
      <formula>"PTO"</formula>
    </cfRule>
  </conditionalFormatting>
  <conditionalFormatting sqref="Q33:Q42">
    <cfRule type="cellIs" dxfId="1804" priority="5575" operator="equal">
      <formula>"OFF"</formula>
    </cfRule>
    <cfRule type="cellIs" dxfId="1803" priority="5576" operator="equal">
      <formula>"PTO"</formula>
    </cfRule>
  </conditionalFormatting>
  <conditionalFormatting sqref="Q33:Q42">
    <cfRule type="cellIs" dxfId="1802" priority="5573" operator="equal">
      <formula>"OFF"</formula>
    </cfRule>
    <cfRule type="cellIs" dxfId="1801" priority="5574" operator="equal">
      <formula>"PTO"</formula>
    </cfRule>
  </conditionalFormatting>
  <conditionalFormatting sqref="Q33:Q42">
    <cfRule type="cellIs" dxfId="1800" priority="5571" operator="equal">
      <formula>"OFF"</formula>
    </cfRule>
    <cfRule type="cellIs" dxfId="1799" priority="5572" operator="equal">
      <formula>"PTO"</formula>
    </cfRule>
  </conditionalFormatting>
  <conditionalFormatting sqref="Q33:Q42">
    <cfRule type="cellIs" dxfId="1798" priority="5565" operator="equal">
      <formula>"OFF"</formula>
    </cfRule>
    <cfRule type="cellIs" dxfId="1797" priority="5566" operator="equal">
      <formula>"PTO"</formula>
    </cfRule>
  </conditionalFormatting>
  <conditionalFormatting sqref="Q33:Q42">
    <cfRule type="cellIs" dxfId="1796" priority="5563" operator="equal">
      <formula>"OFF"</formula>
    </cfRule>
    <cfRule type="cellIs" dxfId="1795" priority="5564" operator="equal">
      <formula>"PTO"</formula>
    </cfRule>
  </conditionalFormatting>
  <conditionalFormatting sqref="Q33:Q42">
    <cfRule type="cellIs" dxfId="1794" priority="5561" operator="equal">
      <formula>"OFF"</formula>
    </cfRule>
    <cfRule type="cellIs" dxfId="1793" priority="5562" operator="equal">
      <formula>"PTO"</formula>
    </cfRule>
  </conditionalFormatting>
  <conditionalFormatting sqref="Q33:Q42">
    <cfRule type="cellIs" dxfId="1792" priority="5559" operator="equal">
      <formula>"OFF"</formula>
    </cfRule>
    <cfRule type="cellIs" dxfId="1791" priority="5560" operator="equal">
      <formula>"PTO"</formula>
    </cfRule>
  </conditionalFormatting>
  <conditionalFormatting sqref="Q33:Q42">
    <cfRule type="cellIs" dxfId="1790" priority="5557" operator="equal">
      <formula>"OFF"</formula>
    </cfRule>
    <cfRule type="cellIs" dxfId="1789" priority="5558" operator="equal">
      <formula>"PTO"</formula>
    </cfRule>
  </conditionalFormatting>
  <conditionalFormatting sqref="Q33:Q42">
    <cfRule type="cellIs" dxfId="1788" priority="5555" operator="equal">
      <formula>"OFF"</formula>
    </cfRule>
    <cfRule type="cellIs" dxfId="1787" priority="5556" operator="equal">
      <formula>"PTO"</formula>
    </cfRule>
  </conditionalFormatting>
  <conditionalFormatting sqref="Q33:Q42">
    <cfRule type="cellIs" dxfId="1786" priority="5553" operator="equal">
      <formula>"OFF"</formula>
    </cfRule>
    <cfRule type="cellIs" dxfId="1785" priority="5554" operator="equal">
      <formula>"PTO"</formula>
    </cfRule>
  </conditionalFormatting>
  <conditionalFormatting sqref="Q33:Q42">
    <cfRule type="cellIs" dxfId="1784" priority="5551" operator="equal">
      <formula>"OFF"</formula>
    </cfRule>
    <cfRule type="cellIs" dxfId="1783" priority="5552" operator="equal">
      <formula>"PTO"</formula>
    </cfRule>
  </conditionalFormatting>
  <conditionalFormatting sqref="Q33:Q42">
    <cfRule type="cellIs" dxfId="1782" priority="5549" operator="equal">
      <formula>"OFF"</formula>
    </cfRule>
    <cfRule type="cellIs" dxfId="1781" priority="5550" operator="equal">
      <formula>"PTO"</formula>
    </cfRule>
  </conditionalFormatting>
  <conditionalFormatting sqref="Q33:Q42">
    <cfRule type="cellIs" dxfId="1780" priority="5547" operator="equal">
      <formula>"OFF"</formula>
    </cfRule>
    <cfRule type="cellIs" dxfId="1779" priority="5548" operator="equal">
      <formula>"PTO"</formula>
    </cfRule>
  </conditionalFormatting>
  <conditionalFormatting sqref="Q33:Q42">
    <cfRule type="cellIs" dxfId="1778" priority="5545" operator="equal">
      <formula>"OFF"</formula>
    </cfRule>
    <cfRule type="cellIs" dxfId="1777" priority="5546" operator="equal">
      <formula>"PTO"</formula>
    </cfRule>
  </conditionalFormatting>
  <conditionalFormatting sqref="Q33:Q42">
    <cfRule type="cellIs" dxfId="1776" priority="5543" operator="equal">
      <formula>"OFF"</formula>
    </cfRule>
    <cfRule type="cellIs" dxfId="1775" priority="5544" operator="equal">
      <formula>"PTO"</formula>
    </cfRule>
  </conditionalFormatting>
  <conditionalFormatting sqref="Q33:Q42">
    <cfRule type="cellIs" dxfId="1774" priority="5541" operator="equal">
      <formula>"OFF"</formula>
    </cfRule>
    <cfRule type="cellIs" dxfId="1773" priority="5542" operator="equal">
      <formula>"PTO"</formula>
    </cfRule>
  </conditionalFormatting>
  <conditionalFormatting sqref="Q33:Q42">
    <cfRule type="cellIs" dxfId="1772" priority="5539" operator="equal">
      <formula>"OFF"</formula>
    </cfRule>
    <cfRule type="cellIs" dxfId="1771" priority="5540" operator="equal">
      <formula>"PTO"</formula>
    </cfRule>
  </conditionalFormatting>
  <conditionalFormatting sqref="Q33:Q42">
    <cfRule type="cellIs" dxfId="1770" priority="5537" operator="equal">
      <formula>"OFF"</formula>
    </cfRule>
    <cfRule type="cellIs" dxfId="1769" priority="5538" operator="equal">
      <formula>"PTO"</formula>
    </cfRule>
  </conditionalFormatting>
  <conditionalFormatting sqref="Q33:Q42">
    <cfRule type="cellIs" dxfId="1768" priority="5535" operator="equal">
      <formula>"OFF"</formula>
    </cfRule>
    <cfRule type="cellIs" dxfId="1767" priority="5536" operator="equal">
      <formula>"PTO"</formula>
    </cfRule>
  </conditionalFormatting>
  <conditionalFormatting sqref="Q33:Q42">
    <cfRule type="cellIs" dxfId="1766" priority="5533" operator="equal">
      <formula>"OFF"</formula>
    </cfRule>
    <cfRule type="cellIs" dxfId="1765" priority="5534" operator="equal">
      <formula>"PTO"</formula>
    </cfRule>
  </conditionalFormatting>
  <conditionalFormatting sqref="Q33:Q42">
    <cfRule type="cellIs" dxfId="1764" priority="5531" operator="equal">
      <formula>"OFF"</formula>
    </cfRule>
    <cfRule type="cellIs" dxfId="1763" priority="5532" operator="equal">
      <formula>"PTO"</formula>
    </cfRule>
  </conditionalFormatting>
  <conditionalFormatting sqref="Q33:Q42">
    <cfRule type="cellIs" dxfId="1762" priority="5529" operator="equal">
      <formula>"OFF"</formula>
    </cfRule>
    <cfRule type="cellIs" dxfId="1761" priority="5530" operator="equal">
      <formula>"PTO"</formula>
    </cfRule>
  </conditionalFormatting>
  <conditionalFormatting sqref="Q33:Q42">
    <cfRule type="cellIs" dxfId="1760" priority="5527" operator="equal">
      <formula>"OFF"</formula>
    </cfRule>
    <cfRule type="cellIs" dxfId="1759" priority="5528" operator="equal">
      <formula>"PTO"</formula>
    </cfRule>
  </conditionalFormatting>
  <conditionalFormatting sqref="Q33:Q42">
    <cfRule type="cellIs" dxfId="1758" priority="5525" operator="equal">
      <formula>"OFF"</formula>
    </cfRule>
    <cfRule type="cellIs" dxfId="1757" priority="5526" operator="equal">
      <formula>"PTO"</formula>
    </cfRule>
  </conditionalFormatting>
  <conditionalFormatting sqref="Q33:Q42">
    <cfRule type="cellIs" dxfId="1756" priority="5523" operator="equal">
      <formula>"OFF"</formula>
    </cfRule>
    <cfRule type="cellIs" dxfId="1755" priority="5524" operator="equal">
      <formula>"PTO"</formula>
    </cfRule>
  </conditionalFormatting>
  <conditionalFormatting sqref="Q33:Q42">
    <cfRule type="cellIs" dxfId="1754" priority="5521" operator="equal">
      <formula>"OFF"</formula>
    </cfRule>
    <cfRule type="cellIs" dxfId="1753" priority="5522" operator="equal">
      <formula>"PTO"</formula>
    </cfRule>
  </conditionalFormatting>
  <conditionalFormatting sqref="Q33:Q42">
    <cfRule type="cellIs" dxfId="1752" priority="5519" operator="equal">
      <formula>"OFF"</formula>
    </cfRule>
    <cfRule type="cellIs" dxfId="1751" priority="5520" operator="equal">
      <formula>"PTO"</formula>
    </cfRule>
  </conditionalFormatting>
  <conditionalFormatting sqref="Q33:Q42">
    <cfRule type="cellIs" dxfId="1750" priority="5517" operator="equal">
      <formula>"OFF"</formula>
    </cfRule>
    <cfRule type="cellIs" dxfId="1749" priority="5518" operator="equal">
      <formula>"PTO"</formula>
    </cfRule>
  </conditionalFormatting>
  <conditionalFormatting sqref="Q33:Q42">
    <cfRule type="cellIs" dxfId="1748" priority="5515" operator="equal">
      <formula>"OFF"</formula>
    </cfRule>
    <cfRule type="cellIs" dxfId="1747" priority="5516" operator="equal">
      <formula>"PTO"</formula>
    </cfRule>
  </conditionalFormatting>
  <conditionalFormatting sqref="T33:V42">
    <cfRule type="cellIs" dxfId="1746" priority="5513" operator="equal">
      <formula>"OFF"</formula>
    </cfRule>
    <cfRule type="cellIs" dxfId="1745" priority="5514" operator="equal">
      <formula>"PTO"</formula>
    </cfRule>
  </conditionalFormatting>
  <conditionalFormatting sqref="T33:V42">
    <cfRule type="cellIs" dxfId="1744" priority="5507" operator="equal">
      <formula>"OFF"</formula>
    </cfRule>
    <cfRule type="cellIs" dxfId="1743" priority="5508" operator="equal">
      <formula>"PTO"</formula>
    </cfRule>
  </conditionalFormatting>
  <conditionalFormatting sqref="T33:V42">
    <cfRule type="cellIs" dxfId="1742" priority="5491" operator="equal">
      <formula>"OFF"</formula>
    </cfRule>
    <cfRule type="cellIs" dxfId="1741" priority="5492" operator="equal">
      <formula>"PTO"</formula>
    </cfRule>
  </conditionalFormatting>
  <conditionalFormatting sqref="T33:V42">
    <cfRule type="cellIs" dxfId="1740" priority="5459" operator="equal">
      <formula>"OFF"</formula>
    </cfRule>
    <cfRule type="cellIs" dxfId="1739" priority="5460" operator="equal">
      <formula>"PTO"</formula>
    </cfRule>
  </conditionalFormatting>
  <conditionalFormatting sqref="T33:V42">
    <cfRule type="cellIs" dxfId="1738" priority="5457" operator="equal">
      <formula>"OFF"</formula>
    </cfRule>
    <cfRule type="cellIs" dxfId="1737" priority="5458" operator="equal">
      <formula>"PTO"</formula>
    </cfRule>
  </conditionalFormatting>
  <conditionalFormatting sqref="T33:V42">
    <cfRule type="cellIs" dxfId="1736" priority="5511" operator="equal">
      <formula>"OFF"</formula>
    </cfRule>
    <cfRule type="cellIs" dxfId="1735" priority="5512" operator="equal">
      <formula>"PTO"</formula>
    </cfRule>
  </conditionalFormatting>
  <conditionalFormatting sqref="T33:V42">
    <cfRule type="cellIs" dxfId="1734" priority="5509" operator="equal">
      <formula>"OFF"</formula>
    </cfRule>
    <cfRule type="cellIs" dxfId="1733" priority="5510" operator="equal">
      <formula>"PTO"</formula>
    </cfRule>
  </conditionalFormatting>
  <conditionalFormatting sqref="T33:V42">
    <cfRule type="cellIs" dxfId="1732" priority="5505" operator="equal">
      <formula>"OFF"</formula>
    </cfRule>
    <cfRule type="cellIs" dxfId="1731" priority="5506" operator="equal">
      <formula>"PTO"</formula>
    </cfRule>
  </conditionalFormatting>
  <conditionalFormatting sqref="T33:V42">
    <cfRule type="cellIs" dxfId="1730" priority="5503" operator="equal">
      <formula>"OFF"</formula>
    </cfRule>
    <cfRule type="cellIs" dxfId="1729" priority="5504" operator="equal">
      <formula>"PTO"</formula>
    </cfRule>
  </conditionalFormatting>
  <conditionalFormatting sqref="T33:V42">
    <cfRule type="cellIs" dxfId="1728" priority="5501" operator="equal">
      <formula>"OFF"</formula>
    </cfRule>
    <cfRule type="cellIs" dxfId="1727" priority="5502" operator="equal">
      <formula>"PTO"</formula>
    </cfRule>
  </conditionalFormatting>
  <conditionalFormatting sqref="T33:V42">
    <cfRule type="cellIs" dxfId="1726" priority="5499" operator="equal">
      <formula>"OFF"</formula>
    </cfRule>
    <cfRule type="cellIs" dxfId="1725" priority="5500" operator="equal">
      <formula>"PTO"</formula>
    </cfRule>
  </conditionalFormatting>
  <conditionalFormatting sqref="T33:V42">
    <cfRule type="cellIs" dxfId="1724" priority="5497" operator="equal">
      <formula>"OFF"</formula>
    </cfRule>
    <cfRule type="cellIs" dxfId="1723" priority="5498" operator="equal">
      <formula>"PTO"</formula>
    </cfRule>
  </conditionalFormatting>
  <conditionalFormatting sqref="T33:V42">
    <cfRule type="cellIs" dxfId="1722" priority="5495" operator="equal">
      <formula>"OFF"</formula>
    </cfRule>
    <cfRule type="cellIs" dxfId="1721" priority="5496" operator="equal">
      <formula>"PTO"</formula>
    </cfRule>
  </conditionalFormatting>
  <conditionalFormatting sqref="T33:V42">
    <cfRule type="cellIs" dxfId="1720" priority="5493" operator="equal">
      <formula>"OFF"</formula>
    </cfRule>
    <cfRule type="cellIs" dxfId="1719" priority="5494" operator="equal">
      <formula>"PTO"</formula>
    </cfRule>
  </conditionalFormatting>
  <conditionalFormatting sqref="T33:V42">
    <cfRule type="cellIs" dxfId="1718" priority="5489" operator="equal">
      <formula>"OFF"</formula>
    </cfRule>
    <cfRule type="cellIs" dxfId="1717" priority="5490" operator="equal">
      <formula>"PTO"</formula>
    </cfRule>
  </conditionalFormatting>
  <conditionalFormatting sqref="T33:V42">
    <cfRule type="cellIs" dxfId="1716" priority="5487" operator="equal">
      <formula>"OFF"</formula>
    </cfRule>
    <cfRule type="cellIs" dxfId="1715" priority="5488" operator="equal">
      <formula>"PTO"</formula>
    </cfRule>
  </conditionalFormatting>
  <conditionalFormatting sqref="T33:V42">
    <cfRule type="cellIs" dxfId="1714" priority="5485" operator="equal">
      <formula>"OFF"</formula>
    </cfRule>
    <cfRule type="cellIs" dxfId="1713" priority="5486" operator="equal">
      <formula>"PTO"</formula>
    </cfRule>
  </conditionalFormatting>
  <conditionalFormatting sqref="T33:V42">
    <cfRule type="cellIs" dxfId="1712" priority="5483" operator="equal">
      <formula>"OFF"</formula>
    </cfRule>
    <cfRule type="cellIs" dxfId="1711" priority="5484" operator="equal">
      <formula>"PTO"</formula>
    </cfRule>
  </conditionalFormatting>
  <conditionalFormatting sqref="T33:V42">
    <cfRule type="cellIs" dxfId="1710" priority="5481" operator="equal">
      <formula>"OFF"</formula>
    </cfRule>
    <cfRule type="cellIs" dxfId="1709" priority="5482" operator="equal">
      <formula>"PTO"</formula>
    </cfRule>
  </conditionalFormatting>
  <conditionalFormatting sqref="T33:V42">
    <cfRule type="cellIs" dxfId="1708" priority="5479" operator="equal">
      <formula>"OFF"</formula>
    </cfRule>
    <cfRule type="cellIs" dxfId="1707" priority="5480" operator="equal">
      <formula>"PTO"</formula>
    </cfRule>
  </conditionalFormatting>
  <conditionalFormatting sqref="T33:V42">
    <cfRule type="cellIs" dxfId="1706" priority="5477" operator="equal">
      <formula>"OFF"</formula>
    </cfRule>
    <cfRule type="cellIs" dxfId="1705" priority="5478" operator="equal">
      <formula>"PTO"</formula>
    </cfRule>
  </conditionalFormatting>
  <conditionalFormatting sqref="T33:V42">
    <cfRule type="cellIs" dxfId="1704" priority="5475" operator="equal">
      <formula>"OFF"</formula>
    </cfRule>
    <cfRule type="cellIs" dxfId="1703" priority="5476" operator="equal">
      <formula>"PTO"</formula>
    </cfRule>
  </conditionalFormatting>
  <conditionalFormatting sqref="T33:V42">
    <cfRule type="cellIs" dxfId="1702" priority="5473" operator="equal">
      <formula>"OFF"</formula>
    </cfRule>
    <cfRule type="cellIs" dxfId="1701" priority="5474" operator="equal">
      <formula>"PTO"</formula>
    </cfRule>
  </conditionalFormatting>
  <conditionalFormatting sqref="T33:V42">
    <cfRule type="cellIs" dxfId="1700" priority="5471" operator="equal">
      <formula>"OFF"</formula>
    </cfRule>
    <cfRule type="cellIs" dxfId="1699" priority="5472" operator="equal">
      <formula>"PTO"</formula>
    </cfRule>
  </conditionalFormatting>
  <conditionalFormatting sqref="T33:V42">
    <cfRule type="cellIs" dxfId="1698" priority="5469" operator="equal">
      <formula>"OFF"</formula>
    </cfRule>
    <cfRule type="cellIs" dxfId="1697" priority="5470" operator="equal">
      <formula>"PTO"</formula>
    </cfRule>
  </conditionalFormatting>
  <conditionalFormatting sqref="T33:V42">
    <cfRule type="cellIs" dxfId="1696" priority="5467" operator="equal">
      <formula>"OFF"</formula>
    </cfRule>
    <cfRule type="cellIs" dxfId="1695" priority="5468" operator="equal">
      <formula>"PTO"</formula>
    </cfRule>
  </conditionalFormatting>
  <conditionalFormatting sqref="T33:V42">
    <cfRule type="cellIs" dxfId="1694" priority="5465" operator="equal">
      <formula>"OFF"</formula>
    </cfRule>
    <cfRule type="cellIs" dxfId="1693" priority="5466" operator="equal">
      <formula>"PTO"</formula>
    </cfRule>
  </conditionalFormatting>
  <conditionalFormatting sqref="T33:V42">
    <cfRule type="cellIs" dxfId="1692" priority="5463" operator="equal">
      <formula>"OFF"</formula>
    </cfRule>
    <cfRule type="cellIs" dxfId="1691" priority="5464" operator="equal">
      <formula>"PTO"</formula>
    </cfRule>
  </conditionalFormatting>
  <conditionalFormatting sqref="T33:V42">
    <cfRule type="cellIs" dxfId="1690" priority="5461" operator="equal">
      <formula>"OFF"</formula>
    </cfRule>
    <cfRule type="cellIs" dxfId="1689" priority="5462" operator="equal">
      <formula>"PTO"</formula>
    </cfRule>
  </conditionalFormatting>
  <conditionalFormatting sqref="T33:V42">
    <cfRule type="cellIs" dxfId="1688" priority="5455" operator="equal">
      <formula>"OFF"</formula>
    </cfRule>
    <cfRule type="cellIs" dxfId="1687" priority="5456" operator="equal">
      <formula>"PTO"</formula>
    </cfRule>
  </conditionalFormatting>
  <conditionalFormatting sqref="T33:V42">
    <cfRule type="cellIs" dxfId="1686" priority="5453" operator="equal">
      <formula>"OFF"</formula>
    </cfRule>
    <cfRule type="cellIs" dxfId="1685" priority="5454" operator="equal">
      <formula>"PTO"</formula>
    </cfRule>
  </conditionalFormatting>
  <conditionalFormatting sqref="T33:V42">
    <cfRule type="cellIs" dxfId="1684" priority="5451" operator="equal">
      <formula>"OFF"</formula>
    </cfRule>
    <cfRule type="cellIs" dxfId="1683" priority="5452" operator="equal">
      <formula>"PTO"</formula>
    </cfRule>
  </conditionalFormatting>
  <conditionalFormatting sqref="T33:V42">
    <cfRule type="cellIs" dxfId="1682" priority="5449" operator="equal">
      <formula>"OFF"</formula>
    </cfRule>
    <cfRule type="cellIs" dxfId="1681" priority="5450" operator="equal">
      <formula>"PTO"</formula>
    </cfRule>
  </conditionalFormatting>
  <conditionalFormatting sqref="T33:V42">
    <cfRule type="cellIs" dxfId="1680" priority="5447" operator="equal">
      <formula>"OFF"</formula>
    </cfRule>
    <cfRule type="cellIs" dxfId="1679" priority="5448" operator="equal">
      <formula>"PTO"</formula>
    </cfRule>
  </conditionalFormatting>
  <conditionalFormatting sqref="T33:V42">
    <cfRule type="cellIs" dxfId="1678" priority="5445" operator="equal">
      <formula>"OFF"</formula>
    </cfRule>
    <cfRule type="cellIs" dxfId="1677" priority="5446" operator="equal">
      <formula>"PTO"</formula>
    </cfRule>
  </conditionalFormatting>
  <conditionalFormatting sqref="T33:V42">
    <cfRule type="cellIs" dxfId="1676" priority="5443" operator="equal">
      <formula>"OFF"</formula>
    </cfRule>
    <cfRule type="cellIs" dxfId="1675" priority="5444" operator="equal">
      <formula>"PTO"</formula>
    </cfRule>
  </conditionalFormatting>
  <conditionalFormatting sqref="T33:V42">
    <cfRule type="cellIs" dxfId="1674" priority="5441" operator="equal">
      <formula>"OFF"</formula>
    </cfRule>
    <cfRule type="cellIs" dxfId="1673" priority="5442" operator="equal">
      <formula>"PTO"</formula>
    </cfRule>
  </conditionalFormatting>
  <conditionalFormatting sqref="T33:V42">
    <cfRule type="cellIs" dxfId="1672" priority="5439" operator="equal">
      <formula>"OFF"</formula>
    </cfRule>
    <cfRule type="cellIs" dxfId="1671" priority="5440" operator="equal">
      <formula>"PTO"</formula>
    </cfRule>
  </conditionalFormatting>
  <conditionalFormatting sqref="T33:V42">
    <cfRule type="cellIs" dxfId="1670" priority="5437" operator="equal">
      <formula>"OFF"</formula>
    </cfRule>
    <cfRule type="cellIs" dxfId="1669" priority="5438" operator="equal">
      <formula>"PTO"</formula>
    </cfRule>
  </conditionalFormatting>
  <conditionalFormatting sqref="T33:V42">
    <cfRule type="cellIs" dxfId="1668" priority="5435" operator="equal">
      <formula>"OFF"</formula>
    </cfRule>
    <cfRule type="cellIs" dxfId="1667" priority="5436" operator="equal">
      <formula>"PTO"</formula>
    </cfRule>
  </conditionalFormatting>
  <conditionalFormatting sqref="T33:V42">
    <cfRule type="cellIs" dxfId="1666" priority="5433" operator="equal">
      <formula>"OFF"</formula>
    </cfRule>
    <cfRule type="cellIs" dxfId="1665" priority="5434" operator="equal">
      <formula>"PTO"</formula>
    </cfRule>
  </conditionalFormatting>
  <conditionalFormatting sqref="T33:V42">
    <cfRule type="cellIs" dxfId="1664" priority="5431" operator="equal">
      <formula>"OFF"</formula>
    </cfRule>
    <cfRule type="cellIs" dxfId="1663" priority="5432" operator="equal">
      <formula>"PTO"</formula>
    </cfRule>
  </conditionalFormatting>
  <conditionalFormatting sqref="T33:V42">
    <cfRule type="cellIs" dxfId="1662" priority="5429" operator="equal">
      <formula>"OFF"</formula>
    </cfRule>
    <cfRule type="cellIs" dxfId="1661" priority="5430" operator="equal">
      <formula>"PTO"</formula>
    </cfRule>
  </conditionalFormatting>
  <conditionalFormatting sqref="T33:V42">
    <cfRule type="cellIs" dxfId="1660" priority="5427" operator="equal">
      <formula>"OFF"</formula>
    </cfRule>
    <cfRule type="cellIs" dxfId="1659" priority="5428" operator="equal">
      <formula>"PTO"</formula>
    </cfRule>
  </conditionalFormatting>
  <conditionalFormatting sqref="T33:V42">
    <cfRule type="cellIs" dxfId="1658" priority="5425" operator="equal">
      <formula>"OFF"</formula>
    </cfRule>
    <cfRule type="cellIs" dxfId="1657" priority="5426" operator="equal">
      <formula>"PTO"</formula>
    </cfRule>
  </conditionalFormatting>
  <conditionalFormatting sqref="T33:V42">
    <cfRule type="cellIs" dxfId="1656" priority="5423" operator="equal">
      <formula>"OFF"</formula>
    </cfRule>
    <cfRule type="cellIs" dxfId="1655" priority="5424" operator="equal">
      <formula>"PTO"</formula>
    </cfRule>
  </conditionalFormatting>
  <conditionalFormatting sqref="T33:V42">
    <cfRule type="cellIs" dxfId="1654" priority="5421" operator="equal">
      <formula>"OFF"</formula>
    </cfRule>
    <cfRule type="cellIs" dxfId="1653" priority="5422" operator="equal">
      <formula>"PTO"</formula>
    </cfRule>
  </conditionalFormatting>
  <conditionalFormatting sqref="T33:V42">
    <cfRule type="cellIs" dxfId="1652" priority="5419" operator="equal">
      <formula>"OFF"</formula>
    </cfRule>
    <cfRule type="cellIs" dxfId="1651" priority="5420" operator="equal">
      <formula>"PTO"</formula>
    </cfRule>
  </conditionalFormatting>
  <conditionalFormatting sqref="T33:V42">
    <cfRule type="cellIs" dxfId="1650" priority="5417" operator="equal">
      <formula>"OFF"</formula>
    </cfRule>
    <cfRule type="cellIs" dxfId="1649" priority="5418" operator="equal">
      <formula>"PTO"</formula>
    </cfRule>
  </conditionalFormatting>
  <conditionalFormatting sqref="T33:V42">
    <cfRule type="cellIs" dxfId="1648" priority="5415" operator="equal">
      <formula>"OFF"</formula>
    </cfRule>
    <cfRule type="cellIs" dxfId="1647" priority="5416" operator="equal">
      <formula>"PTO"</formula>
    </cfRule>
  </conditionalFormatting>
  <conditionalFormatting sqref="T33:V42">
    <cfRule type="cellIs" dxfId="1646" priority="5413" operator="equal">
      <formula>"OFF"</formula>
    </cfRule>
    <cfRule type="cellIs" dxfId="1645" priority="5414" operator="equal">
      <formula>"PTO"</formula>
    </cfRule>
  </conditionalFormatting>
  <conditionalFormatting sqref="T33:V42">
    <cfRule type="cellIs" dxfId="1644" priority="5411" operator="equal">
      <formula>"OFF"</formula>
    </cfRule>
    <cfRule type="cellIs" dxfId="1643" priority="5412" operator="equal">
      <formula>"PTO"</formula>
    </cfRule>
  </conditionalFormatting>
  <conditionalFormatting sqref="T33:V42">
    <cfRule type="cellIs" dxfId="1642" priority="5409" operator="equal">
      <formula>"OFF"</formula>
    </cfRule>
    <cfRule type="cellIs" dxfId="1641" priority="5410" operator="equal">
      <formula>"PTO"</formula>
    </cfRule>
  </conditionalFormatting>
  <conditionalFormatting sqref="T33:V42">
    <cfRule type="cellIs" dxfId="1640" priority="5407" operator="equal">
      <formula>"OFF"</formula>
    </cfRule>
    <cfRule type="cellIs" dxfId="1639" priority="5408" operator="equal">
      <formula>"PTO"</formula>
    </cfRule>
  </conditionalFormatting>
  <conditionalFormatting sqref="T33:V42">
    <cfRule type="cellIs" dxfId="1638" priority="5405" operator="equal">
      <formula>"OFF"</formula>
    </cfRule>
    <cfRule type="cellIs" dxfId="1637" priority="5406" operator="equal">
      <formula>"PTO"</formula>
    </cfRule>
  </conditionalFormatting>
  <conditionalFormatting sqref="T33:V42">
    <cfRule type="cellIs" dxfId="1636" priority="5403" operator="equal">
      <formula>"OFF"</formula>
    </cfRule>
    <cfRule type="cellIs" dxfId="1635" priority="5404" operator="equal">
      <formula>"PTO"</formula>
    </cfRule>
  </conditionalFormatting>
  <conditionalFormatting sqref="T33:V42">
    <cfRule type="cellIs" dxfId="1634" priority="5401" operator="equal">
      <formula>"OFF"</formula>
    </cfRule>
    <cfRule type="cellIs" dxfId="1633" priority="5402" operator="equal">
      <formula>"PTO"</formula>
    </cfRule>
  </conditionalFormatting>
  <conditionalFormatting sqref="T33:V42">
    <cfRule type="cellIs" dxfId="1632" priority="5399" operator="equal">
      <formula>"OFF"</formula>
    </cfRule>
    <cfRule type="cellIs" dxfId="1631" priority="5400" operator="equal">
      <formula>"PTO"</formula>
    </cfRule>
  </conditionalFormatting>
  <conditionalFormatting sqref="T33:V42">
    <cfRule type="cellIs" dxfId="1630" priority="5397" operator="equal">
      <formula>"OFF"</formula>
    </cfRule>
    <cfRule type="cellIs" dxfId="1629" priority="5398" operator="equal">
      <formula>"PTO"</formula>
    </cfRule>
  </conditionalFormatting>
  <conditionalFormatting sqref="T33:V42">
    <cfRule type="cellIs" dxfId="1628" priority="5395" operator="equal">
      <formula>"OFF"</formula>
    </cfRule>
    <cfRule type="cellIs" dxfId="1627" priority="5396" operator="equal">
      <formula>"PTO"</formula>
    </cfRule>
  </conditionalFormatting>
  <conditionalFormatting sqref="T33:V42">
    <cfRule type="cellIs" dxfId="1626" priority="5393" operator="equal">
      <formula>"OFF"</formula>
    </cfRule>
    <cfRule type="cellIs" dxfId="1625" priority="5394" operator="equal">
      <formula>"PTO"</formula>
    </cfRule>
  </conditionalFormatting>
  <conditionalFormatting sqref="T33:V42">
    <cfRule type="cellIs" dxfId="1624" priority="5391" operator="equal">
      <formula>"OFF"</formula>
    </cfRule>
    <cfRule type="cellIs" dxfId="1623" priority="5392" operator="equal">
      <formula>"PTO"</formula>
    </cfRule>
  </conditionalFormatting>
  <conditionalFormatting sqref="T33:V42">
    <cfRule type="cellIs" dxfId="1622" priority="5389" operator="equal">
      <formula>"OFF"</formula>
    </cfRule>
    <cfRule type="cellIs" dxfId="1621" priority="5390" operator="equal">
      <formula>"PTO"</formula>
    </cfRule>
  </conditionalFormatting>
  <conditionalFormatting sqref="T33:V42">
    <cfRule type="cellIs" dxfId="1620" priority="5387" operator="equal">
      <formula>"OFF"</formula>
    </cfRule>
    <cfRule type="cellIs" dxfId="1619" priority="5388" operator="equal">
      <formula>"PTO"</formula>
    </cfRule>
  </conditionalFormatting>
  <conditionalFormatting sqref="T33:V42">
    <cfRule type="cellIs" dxfId="1618" priority="5385" operator="equal">
      <formula>"OFF"</formula>
    </cfRule>
    <cfRule type="cellIs" dxfId="1617" priority="5386" operator="equal">
      <formula>"PTO"</formula>
    </cfRule>
  </conditionalFormatting>
  <conditionalFormatting sqref="T33:V42">
    <cfRule type="cellIs" dxfId="1616" priority="5383" operator="equal">
      <formula>"OFF"</formula>
    </cfRule>
    <cfRule type="cellIs" dxfId="1615" priority="5384" operator="equal">
      <formula>"PTO"</formula>
    </cfRule>
  </conditionalFormatting>
  <conditionalFormatting sqref="T33:V42">
    <cfRule type="cellIs" dxfId="1614" priority="5381" operator="equal">
      <formula>"OFF"</formula>
    </cfRule>
    <cfRule type="cellIs" dxfId="1613" priority="5382" operator="equal">
      <formula>"PTO"</formula>
    </cfRule>
  </conditionalFormatting>
  <conditionalFormatting sqref="T33:V42">
    <cfRule type="cellIs" dxfId="1612" priority="5379" operator="equal">
      <formula>"OFF"</formula>
    </cfRule>
    <cfRule type="cellIs" dxfId="1611" priority="5380" operator="equal">
      <formula>"PTO"</formula>
    </cfRule>
  </conditionalFormatting>
  <conditionalFormatting sqref="T33:V42">
    <cfRule type="cellIs" dxfId="1610" priority="5377" operator="equal">
      <formula>"OFF"</formula>
    </cfRule>
    <cfRule type="cellIs" dxfId="1609" priority="5378" operator="equal">
      <formula>"PTO"</formula>
    </cfRule>
  </conditionalFormatting>
  <conditionalFormatting sqref="T33:V42">
    <cfRule type="cellIs" dxfId="1608" priority="5375" operator="equal">
      <formula>"OFF"</formula>
    </cfRule>
    <cfRule type="cellIs" dxfId="1607" priority="5376" operator="equal">
      <formula>"PTO"</formula>
    </cfRule>
  </conditionalFormatting>
  <conditionalFormatting sqref="T33:V42">
    <cfRule type="cellIs" dxfId="1606" priority="5373" operator="equal">
      <formula>"OFF"</formula>
    </cfRule>
    <cfRule type="cellIs" dxfId="1605" priority="5374" operator="equal">
      <formula>"PTO"</formula>
    </cfRule>
  </conditionalFormatting>
  <conditionalFormatting sqref="T33:V42">
    <cfRule type="cellIs" dxfId="1604" priority="5371" operator="equal">
      <formula>"OFF"</formula>
    </cfRule>
    <cfRule type="cellIs" dxfId="1603" priority="5372" operator="equal">
      <formula>"PTO"</formula>
    </cfRule>
  </conditionalFormatting>
  <conditionalFormatting sqref="T33:V42">
    <cfRule type="cellIs" dxfId="1602" priority="5369" operator="equal">
      <formula>"OFF"</formula>
    </cfRule>
    <cfRule type="cellIs" dxfId="1601" priority="5370" operator="equal">
      <formula>"PTO"</formula>
    </cfRule>
  </conditionalFormatting>
  <conditionalFormatting sqref="T33:V42">
    <cfRule type="cellIs" dxfId="1600" priority="5367" operator="equal">
      <formula>"OFF"</formula>
    </cfRule>
    <cfRule type="cellIs" dxfId="1599" priority="5368" operator="equal">
      <formula>"PTO"</formula>
    </cfRule>
  </conditionalFormatting>
  <conditionalFormatting sqref="T33:V42">
    <cfRule type="cellIs" dxfId="1598" priority="5365" operator="equal">
      <formula>"OFF"</formula>
    </cfRule>
    <cfRule type="cellIs" dxfId="1597" priority="5366" operator="equal">
      <formula>"PTO"</formula>
    </cfRule>
  </conditionalFormatting>
  <conditionalFormatting sqref="T33:V42">
    <cfRule type="cellIs" dxfId="1596" priority="5363" operator="equal">
      <formula>"OFF"</formula>
    </cfRule>
    <cfRule type="cellIs" dxfId="1595" priority="5364" operator="equal">
      <formula>"PTO"</formula>
    </cfRule>
  </conditionalFormatting>
  <conditionalFormatting sqref="T33:V42">
    <cfRule type="cellIs" dxfId="1594" priority="5361" operator="equal">
      <formula>"OFF"</formula>
    </cfRule>
    <cfRule type="cellIs" dxfId="1593" priority="5362" operator="equal">
      <formula>"PTO"</formula>
    </cfRule>
  </conditionalFormatting>
  <conditionalFormatting sqref="T33:V42">
    <cfRule type="cellIs" dxfId="1592" priority="5359" operator="equal">
      <formula>"OFF"</formula>
    </cfRule>
    <cfRule type="cellIs" dxfId="1591" priority="5360" operator="equal">
      <formula>"PTO"</formula>
    </cfRule>
  </conditionalFormatting>
  <conditionalFormatting sqref="T33:V42">
    <cfRule type="cellIs" dxfId="1590" priority="5357" operator="equal">
      <formula>"OFF"</formula>
    </cfRule>
    <cfRule type="cellIs" dxfId="1589" priority="5358" operator="equal">
      <formula>"PTO"</formula>
    </cfRule>
  </conditionalFormatting>
  <conditionalFormatting sqref="T33:V42">
    <cfRule type="cellIs" dxfId="1588" priority="5355" operator="equal">
      <formula>"OFF"</formula>
    </cfRule>
    <cfRule type="cellIs" dxfId="1587" priority="5356" operator="equal">
      <formula>"PTO"</formula>
    </cfRule>
  </conditionalFormatting>
  <conditionalFormatting sqref="T33:V42">
    <cfRule type="cellIs" dxfId="1586" priority="5353" operator="equal">
      <formula>"OFF"</formula>
    </cfRule>
    <cfRule type="cellIs" dxfId="1585" priority="5354" operator="equal">
      <formula>"PTO"</formula>
    </cfRule>
  </conditionalFormatting>
  <conditionalFormatting sqref="T33:V42">
    <cfRule type="cellIs" dxfId="1584" priority="5351" operator="equal">
      <formula>"OFF"</formula>
    </cfRule>
    <cfRule type="cellIs" dxfId="1583" priority="5352" operator="equal">
      <formula>"PTO"</formula>
    </cfRule>
  </conditionalFormatting>
  <conditionalFormatting sqref="T33:V42">
    <cfRule type="cellIs" dxfId="1582" priority="5349" operator="equal">
      <formula>"OFF"</formula>
    </cfRule>
    <cfRule type="cellIs" dxfId="1581" priority="5350" operator="equal">
      <formula>"PTO"</formula>
    </cfRule>
  </conditionalFormatting>
  <conditionalFormatting sqref="T33:V42">
    <cfRule type="cellIs" dxfId="1580" priority="5347" operator="equal">
      <formula>"OFF"</formula>
    </cfRule>
    <cfRule type="cellIs" dxfId="1579" priority="5348" operator="equal">
      <formula>"PTO"</formula>
    </cfRule>
  </conditionalFormatting>
  <conditionalFormatting sqref="T33:V42">
    <cfRule type="cellIs" dxfId="1578" priority="5345" operator="equal">
      <formula>"OFF"</formula>
    </cfRule>
    <cfRule type="cellIs" dxfId="1577" priority="5346" operator="equal">
      <formula>"PTO"</formula>
    </cfRule>
  </conditionalFormatting>
  <conditionalFormatting sqref="Y19">
    <cfRule type="cellIs" dxfId="1576" priority="4767" operator="equal">
      <formula>"OFF"</formula>
    </cfRule>
    <cfRule type="cellIs" dxfId="1575" priority="4768" operator="equal">
      <formula>"PTO"</formula>
    </cfRule>
  </conditionalFormatting>
  <conditionalFormatting sqref="Y19">
    <cfRule type="cellIs" dxfId="1574" priority="4765" operator="equal">
      <formula>"OFF"</formula>
    </cfRule>
    <cfRule type="cellIs" dxfId="1573" priority="4766" operator="equal">
      <formula>"PTO"</formula>
    </cfRule>
  </conditionalFormatting>
  <conditionalFormatting sqref="Y19">
    <cfRule type="cellIs" dxfId="1572" priority="4763" operator="equal">
      <formula>"OFF"</formula>
    </cfRule>
    <cfRule type="cellIs" dxfId="1571" priority="4764" operator="equal">
      <formula>"PTO"</formula>
    </cfRule>
  </conditionalFormatting>
  <conditionalFormatting sqref="Y19">
    <cfRule type="cellIs" dxfId="1570" priority="4761" operator="equal">
      <formula>"OFF"</formula>
    </cfRule>
    <cfRule type="cellIs" dxfId="1569" priority="4762" operator="equal">
      <formula>"PTO"</formula>
    </cfRule>
  </conditionalFormatting>
  <conditionalFormatting sqref="Y20:Y32">
    <cfRule type="cellIs" dxfId="1568" priority="4713" operator="equal">
      <formula>"OFF"</formula>
    </cfRule>
    <cfRule type="cellIs" dxfId="1567" priority="4714" operator="equal">
      <formula>"PTO"</formula>
    </cfRule>
  </conditionalFormatting>
  <conditionalFormatting sqref="Y20:Y32">
    <cfRule type="cellIs" dxfId="1566" priority="4711" operator="equal">
      <formula>"OFF"</formula>
    </cfRule>
    <cfRule type="cellIs" dxfId="1565" priority="4712" operator="equal">
      <formula>"PTO"</formula>
    </cfRule>
  </conditionalFormatting>
  <conditionalFormatting sqref="Y20:Y32">
    <cfRule type="cellIs" dxfId="1564" priority="4709" operator="equal">
      <formula>"OFF"</formula>
    </cfRule>
    <cfRule type="cellIs" dxfId="1563" priority="4710" operator="equal">
      <formula>"PTO"</formula>
    </cfRule>
  </conditionalFormatting>
  <conditionalFormatting sqref="Y20:Y32">
    <cfRule type="cellIs" dxfId="1562" priority="4707" operator="equal">
      <formula>"OFF"</formula>
    </cfRule>
    <cfRule type="cellIs" dxfId="1561" priority="4708" operator="equal">
      <formula>"PTO"</formula>
    </cfRule>
  </conditionalFormatting>
  <conditionalFormatting sqref="Y20:Y32">
    <cfRule type="cellIs" dxfId="1560" priority="4705" operator="equal">
      <formula>"OFF"</formula>
    </cfRule>
    <cfRule type="cellIs" dxfId="1559" priority="4706" operator="equal">
      <formula>"PTO"</formula>
    </cfRule>
  </conditionalFormatting>
  <conditionalFormatting sqref="Y14:Y32">
    <cfRule type="cellIs" dxfId="1558" priority="4699" operator="equal">
      <formula>"OFF"</formula>
    </cfRule>
    <cfRule type="cellIs" dxfId="1557" priority="4700" operator="equal">
      <formula>"PTO"</formula>
    </cfRule>
  </conditionalFormatting>
  <conditionalFormatting sqref="Y14:Y32">
    <cfRule type="cellIs" dxfId="1556" priority="4691" operator="equal">
      <formula>"OFF"</formula>
    </cfRule>
    <cfRule type="cellIs" dxfId="1555" priority="4692" operator="equal">
      <formula>"PTO"</formula>
    </cfRule>
  </conditionalFormatting>
  <conditionalFormatting sqref="Y14:Y32">
    <cfRule type="cellIs" dxfId="1554" priority="4675" operator="equal">
      <formula>"OFF"</formula>
    </cfRule>
    <cfRule type="cellIs" dxfId="1553" priority="4676" operator="equal">
      <formula>"PTO"</formula>
    </cfRule>
  </conditionalFormatting>
  <conditionalFormatting sqref="Y14:Y32">
    <cfRule type="cellIs" dxfId="1552" priority="4673" operator="equal">
      <formula>"OFF"</formula>
    </cfRule>
    <cfRule type="cellIs" dxfId="1551" priority="4674" operator="equal">
      <formula>"PTO"</formula>
    </cfRule>
  </conditionalFormatting>
  <conditionalFormatting sqref="Y19:Y32">
    <cfRule type="cellIs" dxfId="1550" priority="4759" operator="equal">
      <formula>"OFF"</formula>
    </cfRule>
    <cfRule type="cellIs" dxfId="1549" priority="4760" operator="equal">
      <formula>"PTO"</formula>
    </cfRule>
  </conditionalFormatting>
  <conditionalFormatting sqref="Y19:Y32">
    <cfRule type="cellIs" dxfId="1548" priority="4757" operator="equal">
      <formula>"OFF"</formula>
    </cfRule>
    <cfRule type="cellIs" dxfId="1547" priority="4758" operator="equal">
      <formula>"PTO"</formula>
    </cfRule>
  </conditionalFormatting>
  <conditionalFormatting sqref="Y19:Y32">
    <cfRule type="cellIs" dxfId="1546" priority="4755" operator="equal">
      <formula>"OFF"</formula>
    </cfRule>
    <cfRule type="cellIs" dxfId="1545" priority="4756" operator="equal">
      <formula>"PTO"</formula>
    </cfRule>
  </conditionalFormatting>
  <conditionalFormatting sqref="Y19:Y32">
    <cfRule type="cellIs" dxfId="1544" priority="4753" operator="equal">
      <formula>"OFF"</formula>
    </cfRule>
    <cfRule type="cellIs" dxfId="1543" priority="4754" operator="equal">
      <formula>"PTO"</formula>
    </cfRule>
  </conditionalFormatting>
  <conditionalFormatting sqref="Y19:Y32">
    <cfRule type="cellIs" dxfId="1542" priority="4751" operator="equal">
      <formula>"OFF"</formula>
    </cfRule>
    <cfRule type="cellIs" dxfId="1541" priority="4752" operator="equal">
      <formula>"PTO"</formula>
    </cfRule>
  </conditionalFormatting>
  <conditionalFormatting sqref="Y19:Y32">
    <cfRule type="cellIs" dxfId="1540" priority="4749" operator="equal">
      <formula>"OFF"</formula>
    </cfRule>
    <cfRule type="cellIs" dxfId="1539" priority="4750" operator="equal">
      <formula>"PTO"</formula>
    </cfRule>
  </conditionalFormatting>
  <conditionalFormatting sqref="Y19:Y32">
    <cfRule type="cellIs" dxfId="1538" priority="4747" operator="equal">
      <formula>"OFF"</formula>
    </cfRule>
    <cfRule type="cellIs" dxfId="1537" priority="4748" operator="equal">
      <formula>"PTO"</formula>
    </cfRule>
  </conditionalFormatting>
  <conditionalFormatting sqref="Y19:Y32">
    <cfRule type="cellIs" dxfId="1536" priority="4745" operator="equal">
      <formula>"OFF"</formula>
    </cfRule>
    <cfRule type="cellIs" dxfId="1535" priority="4746" operator="equal">
      <formula>"PTO"</formula>
    </cfRule>
  </conditionalFormatting>
  <conditionalFormatting sqref="Y19:Y32">
    <cfRule type="cellIs" dxfId="1534" priority="4743" operator="equal">
      <formula>"OFF"</formula>
    </cfRule>
    <cfRule type="cellIs" dxfId="1533" priority="4744" operator="equal">
      <formula>"PTO"</formula>
    </cfRule>
  </conditionalFormatting>
  <conditionalFormatting sqref="Y19:Y32">
    <cfRule type="cellIs" dxfId="1532" priority="4741" operator="equal">
      <formula>"OFF"</formula>
    </cfRule>
    <cfRule type="cellIs" dxfId="1531" priority="4742" operator="equal">
      <formula>"PTO"</formula>
    </cfRule>
  </conditionalFormatting>
  <conditionalFormatting sqref="Y19:Y32">
    <cfRule type="cellIs" dxfId="1530" priority="4739" operator="equal">
      <formula>"OFF"</formula>
    </cfRule>
    <cfRule type="cellIs" dxfId="1529" priority="4740" operator="equal">
      <formula>"PTO"</formula>
    </cfRule>
  </conditionalFormatting>
  <conditionalFormatting sqref="Y19:Y32">
    <cfRule type="cellIs" dxfId="1528" priority="4737" operator="equal">
      <formula>"OFF"</formula>
    </cfRule>
    <cfRule type="cellIs" dxfId="1527" priority="4738" operator="equal">
      <formula>"PTO"</formula>
    </cfRule>
  </conditionalFormatting>
  <conditionalFormatting sqref="Y19:Y32">
    <cfRule type="cellIs" dxfId="1526" priority="4735" operator="equal">
      <formula>"OFF"</formula>
    </cfRule>
    <cfRule type="cellIs" dxfId="1525" priority="4736" operator="equal">
      <formula>"PTO"</formula>
    </cfRule>
  </conditionalFormatting>
  <conditionalFormatting sqref="Y19:Y32">
    <cfRule type="cellIs" dxfId="1524" priority="4733" operator="equal">
      <formula>"OFF"</formula>
    </cfRule>
    <cfRule type="cellIs" dxfId="1523" priority="4734" operator="equal">
      <formula>"PTO"</formula>
    </cfRule>
  </conditionalFormatting>
  <conditionalFormatting sqref="Y19:Y32">
    <cfRule type="cellIs" dxfId="1522" priority="4731" operator="equal">
      <formula>"OFF"</formula>
    </cfRule>
    <cfRule type="cellIs" dxfId="1521" priority="4732" operator="equal">
      <formula>"PTO"</formula>
    </cfRule>
  </conditionalFormatting>
  <conditionalFormatting sqref="Y19:Y32">
    <cfRule type="cellIs" dxfId="1520" priority="4729" operator="equal">
      <formula>"OFF"</formula>
    </cfRule>
    <cfRule type="cellIs" dxfId="1519" priority="4730" operator="equal">
      <formula>"PTO"</formula>
    </cfRule>
  </conditionalFormatting>
  <conditionalFormatting sqref="Y19:Y32">
    <cfRule type="cellIs" dxfId="1518" priority="4727" operator="equal">
      <formula>"OFF"</formula>
    </cfRule>
    <cfRule type="cellIs" dxfId="1517" priority="4728" operator="equal">
      <formula>"PTO"</formula>
    </cfRule>
  </conditionalFormatting>
  <conditionalFormatting sqref="Y19:Y32">
    <cfRule type="cellIs" dxfId="1516" priority="4725" operator="equal">
      <formula>"OFF"</formula>
    </cfRule>
    <cfRule type="cellIs" dxfId="1515" priority="4726" operator="equal">
      <formula>"PTO"</formula>
    </cfRule>
  </conditionalFormatting>
  <conditionalFormatting sqref="Y19:Y32">
    <cfRule type="cellIs" dxfId="1514" priority="4723" operator="equal">
      <formula>"OFF"</formula>
    </cfRule>
    <cfRule type="cellIs" dxfId="1513" priority="4724" operator="equal">
      <formula>"PTO"</formula>
    </cfRule>
  </conditionalFormatting>
  <conditionalFormatting sqref="Y19:Y32">
    <cfRule type="cellIs" dxfId="1512" priority="4721" operator="equal">
      <formula>"OFF"</formula>
    </cfRule>
    <cfRule type="cellIs" dxfId="1511" priority="4722" operator="equal">
      <formula>"PTO"</formula>
    </cfRule>
  </conditionalFormatting>
  <conditionalFormatting sqref="Y20:Y32">
    <cfRule type="cellIs" dxfId="1510" priority="4719" operator="equal">
      <formula>"OFF"</formula>
    </cfRule>
    <cfRule type="cellIs" dxfId="1509" priority="4720" operator="equal">
      <formula>"PTO"</formula>
    </cfRule>
  </conditionalFormatting>
  <conditionalFormatting sqref="Y20:Y32">
    <cfRule type="cellIs" dxfId="1508" priority="4717" operator="equal">
      <formula>"OFF"</formula>
    </cfRule>
    <cfRule type="cellIs" dxfId="1507" priority="4718" operator="equal">
      <formula>"PTO"</formula>
    </cfRule>
  </conditionalFormatting>
  <conditionalFormatting sqref="Y20:Y32">
    <cfRule type="cellIs" dxfId="1506" priority="4715" operator="equal">
      <formula>"OFF"</formula>
    </cfRule>
    <cfRule type="cellIs" dxfId="1505" priority="4716" operator="equal">
      <formula>"PTO"</formula>
    </cfRule>
  </conditionalFormatting>
  <conditionalFormatting sqref="Y14:Y32">
    <cfRule type="cellIs" dxfId="1504" priority="4703" operator="equal">
      <formula>"OFF"</formula>
    </cfRule>
    <cfRule type="cellIs" dxfId="1503" priority="4704" operator="equal">
      <formula>"PTO"</formula>
    </cfRule>
  </conditionalFormatting>
  <conditionalFormatting sqref="Y14:Y32">
    <cfRule type="cellIs" dxfId="1502" priority="4701" operator="equal">
      <formula>"OFF"</formula>
    </cfRule>
    <cfRule type="cellIs" dxfId="1501" priority="4702" operator="equal">
      <formula>"PTO"</formula>
    </cfRule>
  </conditionalFormatting>
  <conditionalFormatting sqref="Y14:Y32">
    <cfRule type="cellIs" dxfId="1500" priority="4697" operator="equal">
      <formula>"OFF"</formula>
    </cfRule>
    <cfRule type="cellIs" dxfId="1499" priority="4698" operator="equal">
      <formula>"PTO"</formula>
    </cfRule>
  </conditionalFormatting>
  <conditionalFormatting sqref="Y14:Y32">
    <cfRule type="cellIs" dxfId="1498" priority="4695" operator="equal">
      <formula>"OFF"</formula>
    </cfRule>
    <cfRule type="cellIs" dxfId="1497" priority="4696" operator="equal">
      <formula>"PTO"</formula>
    </cfRule>
  </conditionalFormatting>
  <conditionalFormatting sqref="Y14:Y32">
    <cfRule type="cellIs" dxfId="1496" priority="4693" operator="equal">
      <formula>"OFF"</formula>
    </cfRule>
    <cfRule type="cellIs" dxfId="1495" priority="4694" operator="equal">
      <formula>"PTO"</formula>
    </cfRule>
  </conditionalFormatting>
  <conditionalFormatting sqref="Y14:Y32">
    <cfRule type="cellIs" dxfId="1494" priority="4689" operator="equal">
      <formula>"OFF"</formula>
    </cfRule>
    <cfRule type="cellIs" dxfId="1493" priority="4690" operator="equal">
      <formula>"PTO"</formula>
    </cfRule>
  </conditionalFormatting>
  <conditionalFormatting sqref="Y14:Y32">
    <cfRule type="cellIs" dxfId="1492" priority="4687" operator="equal">
      <formula>"OFF"</formula>
    </cfRule>
    <cfRule type="cellIs" dxfId="1491" priority="4688" operator="equal">
      <formula>"PTO"</formula>
    </cfRule>
  </conditionalFormatting>
  <conditionalFormatting sqref="Y14:Y32">
    <cfRule type="cellIs" dxfId="1490" priority="4685" operator="equal">
      <formula>"OFF"</formula>
    </cfRule>
    <cfRule type="cellIs" dxfId="1489" priority="4686" operator="equal">
      <formula>"PTO"</formula>
    </cfRule>
  </conditionalFormatting>
  <conditionalFormatting sqref="Y14:Y32">
    <cfRule type="cellIs" dxfId="1488" priority="4683" operator="equal">
      <formula>"OFF"</formula>
    </cfRule>
    <cfRule type="cellIs" dxfId="1487" priority="4684" operator="equal">
      <formula>"PTO"</formula>
    </cfRule>
  </conditionalFormatting>
  <conditionalFormatting sqref="Y14:Y32">
    <cfRule type="cellIs" dxfId="1486" priority="4681" operator="equal">
      <formula>"OFF"</formula>
    </cfRule>
    <cfRule type="cellIs" dxfId="1485" priority="4682" operator="equal">
      <formula>"PTO"</formula>
    </cfRule>
  </conditionalFormatting>
  <conditionalFormatting sqref="Y14:Y32">
    <cfRule type="cellIs" dxfId="1484" priority="4679" operator="equal">
      <formula>"OFF"</formula>
    </cfRule>
    <cfRule type="cellIs" dxfId="1483" priority="4680" operator="equal">
      <formula>"PTO"</formula>
    </cfRule>
  </conditionalFormatting>
  <conditionalFormatting sqref="Y14:Y32">
    <cfRule type="cellIs" dxfId="1482" priority="4677" operator="equal">
      <formula>"OFF"</formula>
    </cfRule>
    <cfRule type="cellIs" dxfId="1481" priority="4678" operator="equal">
      <formula>"PTO"</formula>
    </cfRule>
  </conditionalFormatting>
  <conditionalFormatting sqref="Y14:Y32">
    <cfRule type="cellIs" dxfId="1480" priority="4671" operator="equal">
      <formula>"OFF"</formula>
    </cfRule>
    <cfRule type="cellIs" dxfId="1479" priority="4672" operator="equal">
      <formula>"PTO"</formula>
    </cfRule>
  </conditionalFormatting>
  <conditionalFormatting sqref="Y14:Y32">
    <cfRule type="cellIs" dxfId="1478" priority="4669" operator="equal">
      <formula>"OFF"</formula>
    </cfRule>
    <cfRule type="cellIs" dxfId="1477" priority="4670" operator="equal">
      <formula>"PTO"</formula>
    </cfRule>
  </conditionalFormatting>
  <conditionalFormatting sqref="Y14:Y32">
    <cfRule type="cellIs" dxfId="1476" priority="4667" operator="equal">
      <formula>"OFF"</formula>
    </cfRule>
    <cfRule type="cellIs" dxfId="1475" priority="4668" operator="equal">
      <formula>"PTO"</formula>
    </cfRule>
  </conditionalFormatting>
  <conditionalFormatting sqref="Y14:Y32">
    <cfRule type="cellIs" dxfId="1474" priority="4665" operator="equal">
      <formula>"OFF"</formula>
    </cfRule>
    <cfRule type="cellIs" dxfId="1473" priority="4666" operator="equal">
      <formula>"PTO"</formula>
    </cfRule>
  </conditionalFormatting>
  <conditionalFormatting sqref="Y14:Y32">
    <cfRule type="cellIs" dxfId="1472" priority="4663" operator="equal">
      <formula>"OFF"</formula>
    </cfRule>
    <cfRule type="cellIs" dxfId="1471" priority="4664" operator="equal">
      <formula>"PTO"</formula>
    </cfRule>
  </conditionalFormatting>
  <conditionalFormatting sqref="Y14:Y32">
    <cfRule type="cellIs" dxfId="1470" priority="4661" operator="equal">
      <formula>"OFF"</formula>
    </cfRule>
    <cfRule type="cellIs" dxfId="1469" priority="4662" operator="equal">
      <formula>"PTO"</formula>
    </cfRule>
  </conditionalFormatting>
  <conditionalFormatting sqref="Y14:Y32">
    <cfRule type="cellIs" dxfId="1468" priority="4659" operator="equal">
      <formula>"OFF"</formula>
    </cfRule>
    <cfRule type="cellIs" dxfId="1467" priority="4660" operator="equal">
      <formula>"PTO"</formula>
    </cfRule>
  </conditionalFormatting>
  <conditionalFormatting sqref="Y14:Y32">
    <cfRule type="cellIs" dxfId="1466" priority="4657" operator="equal">
      <formula>"OFF"</formula>
    </cfRule>
    <cfRule type="cellIs" dxfId="1465" priority="4658" operator="equal">
      <formula>"PTO"</formula>
    </cfRule>
  </conditionalFormatting>
  <conditionalFormatting sqref="Y14:Y32">
    <cfRule type="cellIs" dxfId="1464" priority="4655" operator="equal">
      <formula>"OFF"</formula>
    </cfRule>
    <cfRule type="cellIs" dxfId="1463" priority="4656" operator="equal">
      <formula>"PTO"</formula>
    </cfRule>
  </conditionalFormatting>
  <conditionalFormatting sqref="Y14:Y32">
    <cfRule type="cellIs" dxfId="1462" priority="4653" operator="equal">
      <formula>"OFF"</formula>
    </cfRule>
    <cfRule type="cellIs" dxfId="1461" priority="4654" operator="equal">
      <formula>"PTO"</formula>
    </cfRule>
  </conditionalFormatting>
  <conditionalFormatting sqref="Y14:Y32">
    <cfRule type="cellIs" dxfId="1460" priority="4651" operator="equal">
      <formula>"OFF"</formula>
    </cfRule>
    <cfRule type="cellIs" dxfId="1459" priority="4652" operator="equal">
      <formula>"PTO"</formula>
    </cfRule>
  </conditionalFormatting>
  <conditionalFormatting sqref="Y14:Y32">
    <cfRule type="cellIs" dxfId="1458" priority="4649" operator="equal">
      <formula>"OFF"</formula>
    </cfRule>
    <cfRule type="cellIs" dxfId="1457" priority="4650" operator="equal">
      <formula>"PTO"</formula>
    </cfRule>
  </conditionalFormatting>
  <conditionalFormatting sqref="Y14:Y32">
    <cfRule type="cellIs" dxfId="1456" priority="4647" operator="equal">
      <formula>"OFF"</formula>
    </cfRule>
    <cfRule type="cellIs" dxfId="1455" priority="4648" operator="equal">
      <formula>"PTO"</formula>
    </cfRule>
  </conditionalFormatting>
  <conditionalFormatting sqref="Y14:Y32">
    <cfRule type="cellIs" dxfId="1454" priority="4645" operator="equal">
      <formula>"OFF"</formula>
    </cfRule>
    <cfRule type="cellIs" dxfId="1453" priority="4646" operator="equal">
      <formula>"PTO"</formula>
    </cfRule>
  </conditionalFormatting>
  <conditionalFormatting sqref="Y14:Y32">
    <cfRule type="cellIs" dxfId="1452" priority="4643" operator="equal">
      <formula>"OFF"</formula>
    </cfRule>
    <cfRule type="cellIs" dxfId="1451" priority="4644" operator="equal">
      <formula>"PTO"</formula>
    </cfRule>
  </conditionalFormatting>
  <conditionalFormatting sqref="Y14:Y32">
    <cfRule type="cellIs" dxfId="1450" priority="4641" operator="equal">
      <formula>"OFF"</formula>
    </cfRule>
    <cfRule type="cellIs" dxfId="1449" priority="4642" operator="equal">
      <formula>"PTO"</formula>
    </cfRule>
  </conditionalFormatting>
  <conditionalFormatting sqref="Y14:Y32">
    <cfRule type="cellIs" dxfId="1448" priority="4639" operator="equal">
      <formula>"OFF"</formula>
    </cfRule>
    <cfRule type="cellIs" dxfId="1447" priority="4640" operator="equal">
      <formula>"PTO"</formula>
    </cfRule>
  </conditionalFormatting>
  <conditionalFormatting sqref="Y14:Y32">
    <cfRule type="cellIs" dxfId="1446" priority="4637" operator="equal">
      <formula>"OFF"</formula>
    </cfRule>
    <cfRule type="cellIs" dxfId="1445" priority="4638" operator="equal">
      <formula>"PTO"</formula>
    </cfRule>
  </conditionalFormatting>
  <conditionalFormatting sqref="Y14:Y32">
    <cfRule type="cellIs" dxfId="1444" priority="4635" operator="equal">
      <formula>"OFF"</formula>
    </cfRule>
    <cfRule type="cellIs" dxfId="1443" priority="4636" operator="equal">
      <formula>"PTO"</formula>
    </cfRule>
  </conditionalFormatting>
  <conditionalFormatting sqref="Y14:Y32">
    <cfRule type="cellIs" dxfId="1442" priority="4633" operator="equal">
      <formula>"OFF"</formula>
    </cfRule>
    <cfRule type="cellIs" dxfId="1441" priority="4634" operator="equal">
      <formula>"PTO"</formula>
    </cfRule>
  </conditionalFormatting>
  <conditionalFormatting sqref="Y14:Y32">
    <cfRule type="cellIs" dxfId="1440" priority="4631" operator="equal">
      <formula>"OFF"</formula>
    </cfRule>
    <cfRule type="cellIs" dxfId="1439" priority="4632" operator="equal">
      <formula>"PTO"</formula>
    </cfRule>
  </conditionalFormatting>
  <conditionalFormatting sqref="Y14:Y32">
    <cfRule type="cellIs" dxfId="1438" priority="4629" operator="equal">
      <formula>"OFF"</formula>
    </cfRule>
    <cfRule type="cellIs" dxfId="1437" priority="4630" operator="equal">
      <formula>"PTO"</formula>
    </cfRule>
  </conditionalFormatting>
  <conditionalFormatting sqref="Y14:Y32">
    <cfRule type="cellIs" dxfId="1436" priority="4627" operator="equal">
      <formula>"OFF"</formula>
    </cfRule>
    <cfRule type="cellIs" dxfId="1435" priority="4628" operator="equal">
      <formula>"PTO"</formula>
    </cfRule>
  </conditionalFormatting>
  <conditionalFormatting sqref="Y14:Y32">
    <cfRule type="cellIs" dxfId="1434" priority="4625" operator="equal">
      <formula>"OFF"</formula>
    </cfRule>
    <cfRule type="cellIs" dxfId="1433" priority="4626" operator="equal">
      <formula>"PTO"</formula>
    </cfRule>
  </conditionalFormatting>
  <conditionalFormatting sqref="Y14:Y32">
    <cfRule type="cellIs" dxfId="1432" priority="4623" operator="equal">
      <formula>"OFF"</formula>
    </cfRule>
    <cfRule type="cellIs" dxfId="1431" priority="4624" operator="equal">
      <formula>"PTO"</formula>
    </cfRule>
  </conditionalFormatting>
  <conditionalFormatting sqref="Y14:Y32">
    <cfRule type="cellIs" dxfId="1430" priority="4621" operator="equal">
      <formula>"OFF"</formula>
    </cfRule>
    <cfRule type="cellIs" dxfId="1429" priority="4622" operator="equal">
      <formula>"PTO"</formula>
    </cfRule>
  </conditionalFormatting>
  <conditionalFormatting sqref="Y14:Y32">
    <cfRule type="cellIs" dxfId="1428" priority="4619" operator="equal">
      <formula>"OFF"</formula>
    </cfRule>
    <cfRule type="cellIs" dxfId="1427" priority="4620" operator="equal">
      <formula>"PTO"</formula>
    </cfRule>
  </conditionalFormatting>
  <conditionalFormatting sqref="Y14:Y32">
    <cfRule type="cellIs" dxfId="1426" priority="4617" operator="equal">
      <formula>"OFF"</formula>
    </cfRule>
    <cfRule type="cellIs" dxfId="1425" priority="4618" operator="equal">
      <formula>"PTO"</formula>
    </cfRule>
  </conditionalFormatting>
  <conditionalFormatting sqref="Y14:Y32">
    <cfRule type="cellIs" dxfId="1424" priority="4615" operator="equal">
      <formula>"OFF"</formula>
    </cfRule>
    <cfRule type="cellIs" dxfId="1423" priority="4616" operator="equal">
      <formula>"PTO"</formula>
    </cfRule>
  </conditionalFormatting>
  <conditionalFormatting sqref="Y14:Y32">
    <cfRule type="cellIs" dxfId="1422" priority="4613" operator="equal">
      <formula>"OFF"</formula>
    </cfRule>
    <cfRule type="cellIs" dxfId="1421" priority="4614" operator="equal">
      <formula>"PTO"</formula>
    </cfRule>
  </conditionalFormatting>
  <conditionalFormatting sqref="Y14:Y32">
    <cfRule type="cellIs" dxfId="1420" priority="4611" operator="equal">
      <formula>"OFF"</formula>
    </cfRule>
    <cfRule type="cellIs" dxfId="1419" priority="4612" operator="equal">
      <formula>"PTO"</formula>
    </cfRule>
  </conditionalFormatting>
  <conditionalFormatting sqref="Y14:Y32">
    <cfRule type="cellIs" dxfId="1418" priority="4609" operator="equal">
      <formula>"OFF"</formula>
    </cfRule>
    <cfRule type="cellIs" dxfId="1417" priority="4610" operator="equal">
      <formula>"PTO"</formula>
    </cfRule>
  </conditionalFormatting>
  <conditionalFormatting sqref="Y14:Y32">
    <cfRule type="cellIs" dxfId="1416" priority="4607" operator="equal">
      <formula>"OFF"</formula>
    </cfRule>
    <cfRule type="cellIs" dxfId="1415" priority="4608" operator="equal">
      <formula>"PTO"</formula>
    </cfRule>
  </conditionalFormatting>
  <conditionalFormatting sqref="Y14:Y32">
    <cfRule type="cellIs" dxfId="1414" priority="4605" operator="equal">
      <formula>"OFF"</formula>
    </cfRule>
    <cfRule type="cellIs" dxfId="1413" priority="4606" operator="equal">
      <formula>"PTO"</formula>
    </cfRule>
  </conditionalFormatting>
  <conditionalFormatting sqref="Y34:Y42">
    <cfRule type="cellIs" dxfId="1412" priority="4603" operator="equal">
      <formula>"OFF"</formula>
    </cfRule>
    <cfRule type="cellIs" dxfId="1411" priority="4604" operator="equal">
      <formula>"PTO"</formula>
    </cfRule>
  </conditionalFormatting>
  <conditionalFormatting sqref="Y34:Y42">
    <cfRule type="cellIs" dxfId="1410" priority="4601" operator="equal">
      <formula>"OFF"</formula>
    </cfRule>
    <cfRule type="cellIs" dxfId="1409" priority="4602" operator="equal">
      <formula>"PTO"</formula>
    </cfRule>
  </conditionalFormatting>
  <conditionalFormatting sqref="Y34:Y42">
    <cfRule type="cellIs" dxfId="1408" priority="4599" operator="equal">
      <formula>"OFF"</formula>
    </cfRule>
    <cfRule type="cellIs" dxfId="1407" priority="4600" operator="equal">
      <formula>"PTO"</formula>
    </cfRule>
  </conditionalFormatting>
  <conditionalFormatting sqref="Y34:Y42">
    <cfRule type="cellIs" dxfId="1406" priority="4597" operator="equal">
      <formula>"OFF"</formula>
    </cfRule>
    <cfRule type="cellIs" dxfId="1405" priority="4598" operator="equal">
      <formula>"PTO"</formula>
    </cfRule>
  </conditionalFormatting>
  <conditionalFormatting sqref="Y34:Y42">
    <cfRule type="cellIs" dxfId="1404" priority="4595" operator="equal">
      <formula>"OFF"</formula>
    </cfRule>
    <cfRule type="cellIs" dxfId="1403" priority="4596" operator="equal">
      <formula>"PTO"</formula>
    </cfRule>
  </conditionalFormatting>
  <conditionalFormatting sqref="Y34:Y42">
    <cfRule type="cellIs" dxfId="1402" priority="4593" operator="equal">
      <formula>"OFF"</formula>
    </cfRule>
    <cfRule type="cellIs" dxfId="1401" priority="4594" operator="equal">
      <formula>"PTO"</formula>
    </cfRule>
  </conditionalFormatting>
  <conditionalFormatting sqref="Y34:Y42">
    <cfRule type="cellIs" dxfId="1400" priority="4591" operator="equal">
      <formula>"OFF"</formula>
    </cfRule>
    <cfRule type="cellIs" dxfId="1399" priority="4592" operator="equal">
      <formula>"PTO"</formula>
    </cfRule>
  </conditionalFormatting>
  <conditionalFormatting sqref="Y34:Y42">
    <cfRule type="cellIs" dxfId="1398" priority="4589" operator="equal">
      <formula>"OFF"</formula>
    </cfRule>
    <cfRule type="cellIs" dxfId="1397" priority="4590" operator="equal">
      <formula>"PTO"</formula>
    </cfRule>
  </conditionalFormatting>
  <conditionalFormatting sqref="Y34:Y42">
    <cfRule type="cellIs" dxfId="1396" priority="4587" operator="equal">
      <formula>"OFF"</formula>
    </cfRule>
    <cfRule type="cellIs" dxfId="1395" priority="4588" operator="equal">
      <formula>"PTO"</formula>
    </cfRule>
  </conditionalFormatting>
  <conditionalFormatting sqref="Y34:Y42">
    <cfRule type="cellIs" dxfId="1394" priority="4585" operator="equal">
      <formula>"OFF"</formula>
    </cfRule>
    <cfRule type="cellIs" dxfId="1393" priority="4586" operator="equal">
      <formula>"PTO"</formula>
    </cfRule>
  </conditionalFormatting>
  <conditionalFormatting sqref="Y34:Y42">
    <cfRule type="cellIs" dxfId="1392" priority="4583" operator="equal">
      <formula>"OFF"</formula>
    </cfRule>
    <cfRule type="cellIs" dxfId="1391" priority="4584" operator="equal">
      <formula>"PTO"</formula>
    </cfRule>
  </conditionalFormatting>
  <conditionalFormatting sqref="Y34:Y42">
    <cfRule type="cellIs" dxfId="1390" priority="4581" operator="equal">
      <formula>"OFF"</formula>
    </cfRule>
    <cfRule type="cellIs" dxfId="1389" priority="4582" operator="equal">
      <formula>"PTO"</formula>
    </cfRule>
  </conditionalFormatting>
  <conditionalFormatting sqref="Y34:Y42">
    <cfRule type="cellIs" dxfId="1388" priority="4579" operator="equal">
      <formula>"OFF"</formula>
    </cfRule>
    <cfRule type="cellIs" dxfId="1387" priority="4580" operator="equal">
      <formula>"PTO"</formula>
    </cfRule>
  </conditionalFormatting>
  <conditionalFormatting sqref="Y34:Y42">
    <cfRule type="cellIs" dxfId="1386" priority="4577" operator="equal">
      <formula>"OFF"</formula>
    </cfRule>
    <cfRule type="cellIs" dxfId="1385" priority="4578" operator="equal">
      <formula>"PTO"</formula>
    </cfRule>
  </conditionalFormatting>
  <conditionalFormatting sqref="Y34:Y42">
    <cfRule type="cellIs" dxfId="1384" priority="4575" operator="equal">
      <formula>"OFF"</formula>
    </cfRule>
    <cfRule type="cellIs" dxfId="1383" priority="4576" operator="equal">
      <formula>"PTO"</formula>
    </cfRule>
  </conditionalFormatting>
  <conditionalFormatting sqref="Y34:Y42">
    <cfRule type="cellIs" dxfId="1382" priority="4573" operator="equal">
      <formula>"OFF"</formula>
    </cfRule>
    <cfRule type="cellIs" dxfId="1381" priority="4574" operator="equal">
      <formula>"PTO"</formula>
    </cfRule>
  </conditionalFormatting>
  <conditionalFormatting sqref="Y34:Y42">
    <cfRule type="cellIs" dxfId="1380" priority="4571" operator="equal">
      <formula>"OFF"</formula>
    </cfRule>
    <cfRule type="cellIs" dxfId="1379" priority="4572" operator="equal">
      <formula>"PTO"</formula>
    </cfRule>
  </conditionalFormatting>
  <conditionalFormatting sqref="Y34:Y42">
    <cfRule type="cellIs" dxfId="1378" priority="4569" operator="equal">
      <formula>"OFF"</formula>
    </cfRule>
    <cfRule type="cellIs" dxfId="1377" priority="4570" operator="equal">
      <formula>"PTO"</formula>
    </cfRule>
  </conditionalFormatting>
  <conditionalFormatting sqref="Y34:Y42">
    <cfRule type="cellIs" dxfId="1376" priority="4567" operator="equal">
      <formula>"OFF"</formula>
    </cfRule>
    <cfRule type="cellIs" dxfId="1375" priority="4568" operator="equal">
      <formula>"PTO"</formula>
    </cfRule>
  </conditionalFormatting>
  <conditionalFormatting sqref="Y34:Y42">
    <cfRule type="cellIs" dxfId="1374" priority="4565" operator="equal">
      <formula>"OFF"</formula>
    </cfRule>
    <cfRule type="cellIs" dxfId="1373" priority="4566" operator="equal">
      <formula>"PTO"</formula>
    </cfRule>
  </conditionalFormatting>
  <conditionalFormatting sqref="Y34">
    <cfRule type="cellIs" dxfId="1372" priority="4563" operator="equal">
      <formula>"OFF"</formula>
    </cfRule>
    <cfRule type="cellIs" dxfId="1371" priority="4564" operator="equal">
      <formula>"PTO"</formula>
    </cfRule>
  </conditionalFormatting>
  <conditionalFormatting sqref="Y34">
    <cfRule type="cellIs" dxfId="1370" priority="4561" operator="equal">
      <formula>"OFF"</formula>
    </cfRule>
    <cfRule type="cellIs" dxfId="1369" priority="4562" operator="equal">
      <formula>"PTO"</formula>
    </cfRule>
  </conditionalFormatting>
  <conditionalFormatting sqref="Y34">
    <cfRule type="cellIs" dxfId="1368" priority="4559" operator="equal">
      <formula>"OFF"</formula>
    </cfRule>
    <cfRule type="cellIs" dxfId="1367" priority="4560" operator="equal">
      <formula>"PTO"</formula>
    </cfRule>
  </conditionalFormatting>
  <conditionalFormatting sqref="Y34">
    <cfRule type="cellIs" dxfId="1366" priority="4557" operator="equal">
      <formula>"OFF"</formula>
    </cfRule>
    <cfRule type="cellIs" dxfId="1365" priority="4558" operator="equal">
      <formula>"PTO"</formula>
    </cfRule>
  </conditionalFormatting>
  <conditionalFormatting sqref="Y34">
    <cfRule type="cellIs" dxfId="1364" priority="4555" operator="equal">
      <formula>"OFF"</formula>
    </cfRule>
    <cfRule type="cellIs" dxfId="1363" priority="4556" operator="equal">
      <formula>"PTO"</formula>
    </cfRule>
  </conditionalFormatting>
  <conditionalFormatting sqref="Y34">
    <cfRule type="cellIs" dxfId="1362" priority="4553" operator="equal">
      <formula>"OFF"</formula>
    </cfRule>
    <cfRule type="cellIs" dxfId="1361" priority="4554" operator="equal">
      <formula>"PTO"</formula>
    </cfRule>
  </conditionalFormatting>
  <conditionalFormatting sqref="Y34">
    <cfRule type="cellIs" dxfId="1360" priority="4551" operator="equal">
      <formula>"OFF"</formula>
    </cfRule>
    <cfRule type="cellIs" dxfId="1359" priority="4552" operator="equal">
      <formula>"PTO"</formula>
    </cfRule>
  </conditionalFormatting>
  <conditionalFormatting sqref="Y34">
    <cfRule type="cellIs" dxfId="1358" priority="4549" operator="equal">
      <formula>"OFF"</formula>
    </cfRule>
    <cfRule type="cellIs" dxfId="1357" priority="4550" operator="equal">
      <formula>"PTO"</formula>
    </cfRule>
  </conditionalFormatting>
  <conditionalFormatting sqref="Y33:Y42">
    <cfRule type="cellIs" dxfId="1356" priority="4501" operator="equal">
      <formula>"OFF"</formula>
    </cfRule>
    <cfRule type="cellIs" dxfId="1355" priority="4502" operator="equal">
      <formula>"PTO"</formula>
    </cfRule>
  </conditionalFormatting>
  <conditionalFormatting sqref="Y33:Y42">
    <cfRule type="cellIs" dxfId="1354" priority="4499" operator="equal">
      <formula>"OFF"</formula>
    </cfRule>
    <cfRule type="cellIs" dxfId="1353" priority="4500" operator="equal">
      <formula>"PTO"</formula>
    </cfRule>
  </conditionalFormatting>
  <conditionalFormatting sqref="Y33:Y42">
    <cfRule type="cellIs" dxfId="1352" priority="4497" operator="equal">
      <formula>"OFF"</formula>
    </cfRule>
    <cfRule type="cellIs" dxfId="1351" priority="4498" operator="equal">
      <formula>"PTO"</formula>
    </cfRule>
  </conditionalFormatting>
  <conditionalFormatting sqref="Y33:Y42">
    <cfRule type="cellIs" dxfId="1350" priority="4495" operator="equal">
      <formula>"OFF"</formula>
    </cfRule>
    <cfRule type="cellIs" dxfId="1349" priority="4496" operator="equal">
      <formula>"PTO"</formula>
    </cfRule>
  </conditionalFormatting>
  <conditionalFormatting sqref="Y33:Y42">
    <cfRule type="cellIs" dxfId="1348" priority="4493" operator="equal">
      <formula>"OFF"</formula>
    </cfRule>
    <cfRule type="cellIs" dxfId="1347" priority="4494" operator="equal">
      <formula>"PTO"</formula>
    </cfRule>
  </conditionalFormatting>
  <conditionalFormatting sqref="Y33:Y42">
    <cfRule type="cellIs" dxfId="1346" priority="4487" operator="equal">
      <formula>"OFF"</formula>
    </cfRule>
    <cfRule type="cellIs" dxfId="1345" priority="4488" operator="equal">
      <formula>"PTO"</formula>
    </cfRule>
  </conditionalFormatting>
  <conditionalFormatting sqref="Y33:Y42">
    <cfRule type="cellIs" dxfId="1344" priority="4479" operator="equal">
      <formula>"OFF"</formula>
    </cfRule>
    <cfRule type="cellIs" dxfId="1343" priority="4480" operator="equal">
      <formula>"PTO"</formula>
    </cfRule>
  </conditionalFormatting>
  <conditionalFormatting sqref="Y33:Y42">
    <cfRule type="cellIs" dxfId="1342" priority="4463" operator="equal">
      <formula>"OFF"</formula>
    </cfRule>
    <cfRule type="cellIs" dxfId="1341" priority="4464" operator="equal">
      <formula>"PTO"</formula>
    </cfRule>
  </conditionalFormatting>
  <conditionalFormatting sqref="Y33:Y42">
    <cfRule type="cellIs" dxfId="1340" priority="4461" operator="equal">
      <formula>"OFF"</formula>
    </cfRule>
    <cfRule type="cellIs" dxfId="1339" priority="4462" operator="equal">
      <formula>"PTO"</formula>
    </cfRule>
  </conditionalFormatting>
  <conditionalFormatting sqref="Y33:Y42">
    <cfRule type="cellIs" dxfId="1338" priority="4547" operator="equal">
      <formula>"OFF"</formula>
    </cfRule>
    <cfRule type="cellIs" dxfId="1337" priority="4548" operator="equal">
      <formula>"PTO"</formula>
    </cfRule>
  </conditionalFormatting>
  <conditionalFormatting sqref="Y33:Y42">
    <cfRule type="cellIs" dxfId="1336" priority="4545" operator="equal">
      <formula>"OFF"</formula>
    </cfRule>
    <cfRule type="cellIs" dxfId="1335" priority="4546" operator="equal">
      <formula>"PTO"</formula>
    </cfRule>
  </conditionalFormatting>
  <conditionalFormatting sqref="Y33:Y42">
    <cfRule type="cellIs" dxfId="1334" priority="4543" operator="equal">
      <formula>"OFF"</formula>
    </cfRule>
    <cfRule type="cellIs" dxfId="1333" priority="4544" operator="equal">
      <formula>"PTO"</formula>
    </cfRule>
  </conditionalFormatting>
  <conditionalFormatting sqref="Y33:Y42">
    <cfRule type="cellIs" dxfId="1332" priority="4541" operator="equal">
      <formula>"OFF"</formula>
    </cfRule>
    <cfRule type="cellIs" dxfId="1331" priority="4542" operator="equal">
      <formula>"PTO"</formula>
    </cfRule>
  </conditionalFormatting>
  <conditionalFormatting sqref="Y33:Y42">
    <cfRule type="cellIs" dxfId="1330" priority="4539" operator="equal">
      <formula>"OFF"</formula>
    </cfRule>
    <cfRule type="cellIs" dxfId="1329" priority="4540" operator="equal">
      <formula>"PTO"</formula>
    </cfRule>
  </conditionalFormatting>
  <conditionalFormatting sqref="Y33:Y42">
    <cfRule type="cellIs" dxfId="1328" priority="4537" operator="equal">
      <formula>"OFF"</formula>
    </cfRule>
    <cfRule type="cellIs" dxfId="1327" priority="4538" operator="equal">
      <formula>"PTO"</formula>
    </cfRule>
  </conditionalFormatting>
  <conditionalFormatting sqref="Y33:Y42">
    <cfRule type="cellIs" dxfId="1326" priority="4535" operator="equal">
      <formula>"OFF"</formula>
    </cfRule>
    <cfRule type="cellIs" dxfId="1325" priority="4536" operator="equal">
      <formula>"PTO"</formula>
    </cfRule>
  </conditionalFormatting>
  <conditionalFormatting sqref="Y33:Y42">
    <cfRule type="cellIs" dxfId="1324" priority="4533" operator="equal">
      <formula>"OFF"</formula>
    </cfRule>
    <cfRule type="cellIs" dxfId="1323" priority="4534" operator="equal">
      <formula>"PTO"</formula>
    </cfRule>
  </conditionalFormatting>
  <conditionalFormatting sqref="Y33:Y42">
    <cfRule type="cellIs" dxfId="1322" priority="4531" operator="equal">
      <formula>"OFF"</formula>
    </cfRule>
    <cfRule type="cellIs" dxfId="1321" priority="4532" operator="equal">
      <formula>"PTO"</formula>
    </cfRule>
  </conditionalFormatting>
  <conditionalFormatting sqref="Y33:Y42">
    <cfRule type="cellIs" dxfId="1320" priority="4529" operator="equal">
      <formula>"OFF"</formula>
    </cfRule>
    <cfRule type="cellIs" dxfId="1319" priority="4530" operator="equal">
      <formula>"PTO"</formula>
    </cfRule>
  </conditionalFormatting>
  <conditionalFormatting sqref="Y33:Y42">
    <cfRule type="cellIs" dxfId="1318" priority="4527" operator="equal">
      <formula>"OFF"</formula>
    </cfRule>
    <cfRule type="cellIs" dxfId="1317" priority="4528" operator="equal">
      <formula>"PTO"</formula>
    </cfRule>
  </conditionalFormatting>
  <conditionalFormatting sqref="Y33:Y42">
    <cfRule type="cellIs" dxfId="1316" priority="4525" operator="equal">
      <formula>"OFF"</formula>
    </cfRule>
    <cfRule type="cellIs" dxfId="1315" priority="4526" operator="equal">
      <formula>"PTO"</formula>
    </cfRule>
  </conditionalFormatting>
  <conditionalFormatting sqref="Y33:Y42">
    <cfRule type="cellIs" dxfId="1314" priority="4523" operator="equal">
      <formula>"OFF"</formula>
    </cfRule>
    <cfRule type="cellIs" dxfId="1313" priority="4524" operator="equal">
      <formula>"PTO"</formula>
    </cfRule>
  </conditionalFormatting>
  <conditionalFormatting sqref="Y33:Y42">
    <cfRule type="cellIs" dxfId="1312" priority="4521" operator="equal">
      <formula>"OFF"</formula>
    </cfRule>
    <cfRule type="cellIs" dxfId="1311" priority="4522" operator="equal">
      <formula>"PTO"</formula>
    </cfRule>
  </conditionalFormatting>
  <conditionalFormatting sqref="Y33:Y42">
    <cfRule type="cellIs" dxfId="1310" priority="4519" operator="equal">
      <formula>"OFF"</formula>
    </cfRule>
    <cfRule type="cellIs" dxfId="1309" priority="4520" operator="equal">
      <formula>"PTO"</formula>
    </cfRule>
  </conditionalFormatting>
  <conditionalFormatting sqref="Y33:Y42">
    <cfRule type="cellIs" dxfId="1308" priority="4517" operator="equal">
      <formula>"OFF"</formula>
    </cfRule>
    <cfRule type="cellIs" dxfId="1307" priority="4518" operator="equal">
      <formula>"PTO"</formula>
    </cfRule>
  </conditionalFormatting>
  <conditionalFormatting sqref="Y33:Y42">
    <cfRule type="cellIs" dxfId="1306" priority="4515" operator="equal">
      <formula>"OFF"</formula>
    </cfRule>
    <cfRule type="cellIs" dxfId="1305" priority="4516" operator="equal">
      <formula>"PTO"</formula>
    </cfRule>
  </conditionalFormatting>
  <conditionalFormatting sqref="Y33:Y42">
    <cfRule type="cellIs" dxfId="1304" priority="4513" operator="equal">
      <formula>"OFF"</formula>
    </cfRule>
    <cfRule type="cellIs" dxfId="1303" priority="4514" operator="equal">
      <formula>"PTO"</formula>
    </cfRule>
  </conditionalFormatting>
  <conditionalFormatting sqref="Y33:Y42">
    <cfRule type="cellIs" dxfId="1302" priority="4511" operator="equal">
      <formula>"OFF"</formula>
    </cfRule>
    <cfRule type="cellIs" dxfId="1301" priority="4512" operator="equal">
      <formula>"PTO"</formula>
    </cfRule>
  </conditionalFormatting>
  <conditionalFormatting sqref="Y33:Y42">
    <cfRule type="cellIs" dxfId="1300" priority="4509" operator="equal">
      <formula>"OFF"</formula>
    </cfRule>
    <cfRule type="cellIs" dxfId="1299" priority="4510" operator="equal">
      <formula>"PTO"</formula>
    </cfRule>
  </conditionalFormatting>
  <conditionalFormatting sqref="Y33:Y42">
    <cfRule type="cellIs" dxfId="1298" priority="4507" operator="equal">
      <formula>"OFF"</formula>
    </cfRule>
    <cfRule type="cellIs" dxfId="1297" priority="4508" operator="equal">
      <formula>"PTO"</formula>
    </cfRule>
  </conditionalFormatting>
  <conditionalFormatting sqref="Y33:Y42">
    <cfRule type="cellIs" dxfId="1296" priority="4505" operator="equal">
      <formula>"OFF"</formula>
    </cfRule>
    <cfRule type="cellIs" dxfId="1295" priority="4506" operator="equal">
      <formula>"PTO"</formula>
    </cfRule>
  </conditionalFormatting>
  <conditionalFormatting sqref="Y33:Y42">
    <cfRule type="cellIs" dxfId="1294" priority="4503" operator="equal">
      <formula>"OFF"</formula>
    </cfRule>
    <cfRule type="cellIs" dxfId="1293" priority="4504" operator="equal">
      <formula>"PTO"</formula>
    </cfRule>
  </conditionalFormatting>
  <conditionalFormatting sqref="Y33:Y42">
    <cfRule type="cellIs" dxfId="1292" priority="4491" operator="equal">
      <formula>"OFF"</formula>
    </cfRule>
    <cfRule type="cellIs" dxfId="1291" priority="4492" operator="equal">
      <formula>"PTO"</formula>
    </cfRule>
  </conditionalFormatting>
  <conditionalFormatting sqref="Y33:Y42">
    <cfRule type="cellIs" dxfId="1290" priority="4489" operator="equal">
      <formula>"OFF"</formula>
    </cfRule>
    <cfRule type="cellIs" dxfId="1289" priority="4490" operator="equal">
      <formula>"PTO"</formula>
    </cfRule>
  </conditionalFormatting>
  <conditionalFormatting sqref="Y33:Y42">
    <cfRule type="cellIs" dxfId="1288" priority="4485" operator="equal">
      <formula>"OFF"</formula>
    </cfRule>
    <cfRule type="cellIs" dxfId="1287" priority="4486" operator="equal">
      <formula>"PTO"</formula>
    </cfRule>
  </conditionalFormatting>
  <conditionalFormatting sqref="Y33:Y42">
    <cfRule type="cellIs" dxfId="1286" priority="4483" operator="equal">
      <formula>"OFF"</formula>
    </cfRule>
    <cfRule type="cellIs" dxfId="1285" priority="4484" operator="equal">
      <formula>"PTO"</formula>
    </cfRule>
  </conditionalFormatting>
  <conditionalFormatting sqref="Y33:Y42">
    <cfRule type="cellIs" dxfId="1284" priority="4481" operator="equal">
      <formula>"OFF"</formula>
    </cfRule>
    <cfRule type="cellIs" dxfId="1283" priority="4482" operator="equal">
      <formula>"PTO"</formula>
    </cfRule>
  </conditionalFormatting>
  <conditionalFormatting sqref="Y33:Y42">
    <cfRule type="cellIs" dxfId="1282" priority="4477" operator="equal">
      <formula>"OFF"</formula>
    </cfRule>
    <cfRule type="cellIs" dxfId="1281" priority="4478" operator="equal">
      <formula>"PTO"</formula>
    </cfRule>
  </conditionalFormatting>
  <conditionalFormatting sqref="Y33:Y42">
    <cfRule type="cellIs" dxfId="1280" priority="4475" operator="equal">
      <formula>"OFF"</formula>
    </cfRule>
    <cfRule type="cellIs" dxfId="1279" priority="4476" operator="equal">
      <formula>"PTO"</formula>
    </cfRule>
  </conditionalFormatting>
  <conditionalFormatting sqref="Y33:Y42">
    <cfRule type="cellIs" dxfId="1278" priority="4473" operator="equal">
      <formula>"OFF"</formula>
    </cfRule>
    <cfRule type="cellIs" dxfId="1277" priority="4474" operator="equal">
      <formula>"PTO"</formula>
    </cfRule>
  </conditionalFormatting>
  <conditionalFormatting sqref="Y33:Y42">
    <cfRule type="cellIs" dxfId="1276" priority="4471" operator="equal">
      <formula>"OFF"</formula>
    </cfRule>
    <cfRule type="cellIs" dxfId="1275" priority="4472" operator="equal">
      <formula>"PTO"</formula>
    </cfRule>
  </conditionalFormatting>
  <conditionalFormatting sqref="Y33:Y42">
    <cfRule type="cellIs" dxfId="1274" priority="4469" operator="equal">
      <formula>"OFF"</formula>
    </cfRule>
    <cfRule type="cellIs" dxfId="1273" priority="4470" operator="equal">
      <formula>"PTO"</formula>
    </cfRule>
  </conditionalFormatting>
  <conditionalFormatting sqref="Y33:Y42">
    <cfRule type="cellIs" dxfId="1272" priority="4467" operator="equal">
      <formula>"OFF"</formula>
    </cfRule>
    <cfRule type="cellIs" dxfId="1271" priority="4468" operator="equal">
      <formula>"PTO"</formula>
    </cfRule>
  </conditionalFormatting>
  <conditionalFormatting sqref="Y33:Y42">
    <cfRule type="cellIs" dxfId="1270" priority="4465" operator="equal">
      <formula>"OFF"</formula>
    </cfRule>
    <cfRule type="cellIs" dxfId="1269" priority="4466" operator="equal">
      <formula>"PTO"</formula>
    </cfRule>
  </conditionalFormatting>
  <conditionalFormatting sqref="Y33:Y42">
    <cfRule type="cellIs" dxfId="1268" priority="4459" operator="equal">
      <formula>"OFF"</formula>
    </cfRule>
    <cfRule type="cellIs" dxfId="1267" priority="4460" operator="equal">
      <formula>"PTO"</formula>
    </cfRule>
  </conditionalFormatting>
  <conditionalFormatting sqref="Y33:Y42">
    <cfRule type="cellIs" dxfId="1266" priority="4457" operator="equal">
      <formula>"OFF"</formula>
    </cfRule>
    <cfRule type="cellIs" dxfId="1265" priority="4458" operator="equal">
      <formula>"PTO"</formula>
    </cfRule>
  </conditionalFormatting>
  <conditionalFormatting sqref="Y33:Y42">
    <cfRule type="cellIs" dxfId="1264" priority="4455" operator="equal">
      <formula>"OFF"</formula>
    </cfRule>
    <cfRule type="cellIs" dxfId="1263" priority="4456" operator="equal">
      <formula>"PTO"</formula>
    </cfRule>
  </conditionalFormatting>
  <conditionalFormatting sqref="Y33:Y42">
    <cfRule type="cellIs" dxfId="1262" priority="4453" operator="equal">
      <formula>"OFF"</formula>
    </cfRule>
    <cfRule type="cellIs" dxfId="1261" priority="4454" operator="equal">
      <formula>"PTO"</formula>
    </cfRule>
  </conditionalFormatting>
  <conditionalFormatting sqref="Y33:Y42">
    <cfRule type="cellIs" dxfId="1260" priority="4451" operator="equal">
      <formula>"OFF"</formula>
    </cfRule>
    <cfRule type="cellIs" dxfId="1259" priority="4452" operator="equal">
      <formula>"PTO"</formula>
    </cfRule>
  </conditionalFormatting>
  <conditionalFormatting sqref="Y33:Y42">
    <cfRule type="cellIs" dxfId="1258" priority="4449" operator="equal">
      <formula>"OFF"</formula>
    </cfRule>
    <cfRule type="cellIs" dxfId="1257" priority="4450" operator="equal">
      <formula>"PTO"</formula>
    </cfRule>
  </conditionalFormatting>
  <conditionalFormatting sqref="Y33:Y42">
    <cfRule type="cellIs" dxfId="1256" priority="4447" operator="equal">
      <formula>"OFF"</formula>
    </cfRule>
    <cfRule type="cellIs" dxfId="1255" priority="4448" operator="equal">
      <formula>"PTO"</formula>
    </cfRule>
  </conditionalFormatting>
  <conditionalFormatting sqref="Y33:Y42">
    <cfRule type="cellIs" dxfId="1254" priority="4445" operator="equal">
      <formula>"OFF"</formula>
    </cfRule>
    <cfRule type="cellIs" dxfId="1253" priority="4446" operator="equal">
      <formula>"PTO"</formula>
    </cfRule>
  </conditionalFormatting>
  <conditionalFormatting sqref="Y33:Y42">
    <cfRule type="cellIs" dxfId="1252" priority="4443" operator="equal">
      <formula>"OFF"</formula>
    </cfRule>
    <cfRule type="cellIs" dxfId="1251" priority="4444" operator="equal">
      <formula>"PTO"</formula>
    </cfRule>
  </conditionalFormatting>
  <conditionalFormatting sqref="Y33:Y42">
    <cfRule type="cellIs" dxfId="1250" priority="4441" operator="equal">
      <formula>"OFF"</formula>
    </cfRule>
    <cfRule type="cellIs" dxfId="1249" priority="4442" operator="equal">
      <formula>"PTO"</formula>
    </cfRule>
  </conditionalFormatting>
  <conditionalFormatting sqref="Y33:Y42">
    <cfRule type="cellIs" dxfId="1248" priority="4439" operator="equal">
      <formula>"OFF"</formula>
    </cfRule>
    <cfRule type="cellIs" dxfId="1247" priority="4440" operator="equal">
      <formula>"PTO"</formula>
    </cfRule>
  </conditionalFormatting>
  <conditionalFormatting sqref="Y33:Y42">
    <cfRule type="cellIs" dxfId="1246" priority="4437" operator="equal">
      <formula>"OFF"</formula>
    </cfRule>
    <cfRule type="cellIs" dxfId="1245" priority="4438" operator="equal">
      <formula>"PTO"</formula>
    </cfRule>
  </conditionalFormatting>
  <conditionalFormatting sqref="Y33:Y42">
    <cfRule type="cellIs" dxfId="1244" priority="4435" operator="equal">
      <formula>"OFF"</formula>
    </cfRule>
    <cfRule type="cellIs" dxfId="1243" priority="4436" operator="equal">
      <formula>"PTO"</formula>
    </cfRule>
  </conditionalFormatting>
  <conditionalFormatting sqref="Y33:Y42">
    <cfRule type="cellIs" dxfId="1242" priority="4433" operator="equal">
      <formula>"OFF"</formula>
    </cfRule>
    <cfRule type="cellIs" dxfId="1241" priority="4434" operator="equal">
      <formula>"PTO"</formula>
    </cfRule>
  </conditionalFormatting>
  <conditionalFormatting sqref="Y33:Y42">
    <cfRule type="cellIs" dxfId="1240" priority="4431" operator="equal">
      <formula>"OFF"</formula>
    </cfRule>
    <cfRule type="cellIs" dxfId="1239" priority="4432" operator="equal">
      <formula>"PTO"</formula>
    </cfRule>
  </conditionalFormatting>
  <conditionalFormatting sqref="Y33:Y42">
    <cfRule type="cellIs" dxfId="1238" priority="4429" operator="equal">
      <formula>"OFF"</formula>
    </cfRule>
    <cfRule type="cellIs" dxfId="1237" priority="4430" operator="equal">
      <formula>"PTO"</formula>
    </cfRule>
  </conditionalFormatting>
  <conditionalFormatting sqref="Y33:Y42">
    <cfRule type="cellIs" dxfId="1236" priority="4427" operator="equal">
      <formula>"OFF"</formula>
    </cfRule>
    <cfRule type="cellIs" dxfId="1235" priority="4428" operator="equal">
      <formula>"PTO"</formula>
    </cfRule>
  </conditionalFormatting>
  <conditionalFormatting sqref="Y33:Y42">
    <cfRule type="cellIs" dxfId="1234" priority="4425" operator="equal">
      <formula>"OFF"</formula>
    </cfRule>
    <cfRule type="cellIs" dxfId="1233" priority="4426" operator="equal">
      <formula>"PTO"</formula>
    </cfRule>
  </conditionalFormatting>
  <conditionalFormatting sqref="Y33:Y42">
    <cfRule type="cellIs" dxfId="1232" priority="4423" operator="equal">
      <formula>"OFF"</formula>
    </cfRule>
    <cfRule type="cellIs" dxfId="1231" priority="4424" operator="equal">
      <formula>"PTO"</formula>
    </cfRule>
  </conditionalFormatting>
  <conditionalFormatting sqref="Y33:Y42">
    <cfRule type="cellIs" dxfId="1230" priority="4421" operator="equal">
      <formula>"OFF"</formula>
    </cfRule>
    <cfRule type="cellIs" dxfId="1229" priority="4422" operator="equal">
      <formula>"PTO"</formula>
    </cfRule>
  </conditionalFormatting>
  <conditionalFormatting sqref="Y33:Y42">
    <cfRule type="cellIs" dxfId="1228" priority="4419" operator="equal">
      <formula>"OFF"</formula>
    </cfRule>
    <cfRule type="cellIs" dxfId="1227" priority="4420" operator="equal">
      <formula>"PTO"</formula>
    </cfRule>
  </conditionalFormatting>
  <conditionalFormatting sqref="Y33:Y42">
    <cfRule type="cellIs" dxfId="1226" priority="4417" operator="equal">
      <formula>"OFF"</formula>
    </cfRule>
    <cfRule type="cellIs" dxfId="1225" priority="4418" operator="equal">
      <formula>"PTO"</formula>
    </cfRule>
  </conditionalFormatting>
  <conditionalFormatting sqref="Y33:Y42">
    <cfRule type="cellIs" dxfId="1224" priority="4415" operator="equal">
      <formula>"OFF"</formula>
    </cfRule>
    <cfRule type="cellIs" dxfId="1223" priority="4416" operator="equal">
      <formula>"PTO"</formula>
    </cfRule>
  </conditionalFormatting>
  <conditionalFormatting sqref="Y33:Y42">
    <cfRule type="cellIs" dxfId="1222" priority="4413" operator="equal">
      <formula>"OFF"</formula>
    </cfRule>
    <cfRule type="cellIs" dxfId="1221" priority="4414" operator="equal">
      <formula>"PTO"</formula>
    </cfRule>
  </conditionalFormatting>
  <conditionalFormatting sqref="Y33:Y42">
    <cfRule type="cellIs" dxfId="1220" priority="4411" operator="equal">
      <formula>"OFF"</formula>
    </cfRule>
    <cfRule type="cellIs" dxfId="1219" priority="4412" operator="equal">
      <formula>"PTO"</formula>
    </cfRule>
  </conditionalFormatting>
  <conditionalFormatting sqref="Y33:Y42">
    <cfRule type="cellIs" dxfId="1218" priority="4409" operator="equal">
      <formula>"OFF"</formula>
    </cfRule>
    <cfRule type="cellIs" dxfId="1217" priority="4410" operator="equal">
      <formula>"PTO"</formula>
    </cfRule>
  </conditionalFormatting>
  <conditionalFormatting sqref="Y33:Y42">
    <cfRule type="cellIs" dxfId="1216" priority="4407" operator="equal">
      <formula>"OFF"</formula>
    </cfRule>
    <cfRule type="cellIs" dxfId="1215" priority="4408" operator="equal">
      <formula>"PTO"</formula>
    </cfRule>
  </conditionalFormatting>
  <conditionalFormatting sqref="Y33:Y42">
    <cfRule type="cellIs" dxfId="1214" priority="4405" operator="equal">
      <formula>"OFF"</formula>
    </cfRule>
    <cfRule type="cellIs" dxfId="1213" priority="4406" operator="equal">
      <formula>"PTO"</formula>
    </cfRule>
  </conditionalFormatting>
  <conditionalFormatting sqref="Y33:Y42">
    <cfRule type="cellIs" dxfId="1212" priority="4403" operator="equal">
      <formula>"OFF"</formula>
    </cfRule>
    <cfRule type="cellIs" dxfId="1211" priority="4404" operator="equal">
      <formula>"PTO"</formula>
    </cfRule>
  </conditionalFormatting>
  <conditionalFormatting sqref="Y33:Y42">
    <cfRule type="cellIs" dxfId="1210" priority="4401" operator="equal">
      <formula>"OFF"</formula>
    </cfRule>
    <cfRule type="cellIs" dxfId="1209" priority="4402" operator="equal">
      <formula>"PTO"</formula>
    </cfRule>
  </conditionalFormatting>
  <conditionalFormatting sqref="Y33:Y42">
    <cfRule type="cellIs" dxfId="1208" priority="4399" operator="equal">
      <formula>"OFF"</formula>
    </cfRule>
    <cfRule type="cellIs" dxfId="1207" priority="4400" operator="equal">
      <formula>"PTO"</formula>
    </cfRule>
  </conditionalFormatting>
  <conditionalFormatting sqref="Y33:Y42">
    <cfRule type="cellIs" dxfId="1206" priority="4397" operator="equal">
      <formula>"OFF"</formula>
    </cfRule>
    <cfRule type="cellIs" dxfId="1205" priority="4398" operator="equal">
      <formula>"PTO"</formula>
    </cfRule>
  </conditionalFormatting>
  <conditionalFormatting sqref="Y33:Y42">
    <cfRule type="cellIs" dxfId="1204" priority="4395" operator="equal">
      <formula>"OFF"</formula>
    </cfRule>
    <cfRule type="cellIs" dxfId="1203" priority="4396" operator="equal">
      <formula>"PTO"</formula>
    </cfRule>
  </conditionalFormatting>
  <conditionalFormatting sqref="Y33:Y42">
    <cfRule type="cellIs" dxfId="1202" priority="4393" operator="equal">
      <formula>"OFF"</formula>
    </cfRule>
    <cfRule type="cellIs" dxfId="1201" priority="4394" operator="equal">
      <formula>"PTO"</formula>
    </cfRule>
  </conditionalFormatting>
  <conditionalFormatting sqref="D19:I19">
    <cfRule type="cellIs" dxfId="1200" priority="4391" operator="equal">
      <formula>"OFF"</formula>
    </cfRule>
    <cfRule type="cellIs" dxfId="1199" priority="4392" operator="equal">
      <formula>"PTO"</formula>
    </cfRule>
  </conditionalFormatting>
  <conditionalFormatting sqref="D19:I19">
    <cfRule type="cellIs" dxfId="1198" priority="4389" operator="equal">
      <formula>"OFF"</formula>
    </cfRule>
    <cfRule type="cellIs" dxfId="1197" priority="4390" operator="equal">
      <formula>"PTO"</formula>
    </cfRule>
  </conditionalFormatting>
  <conditionalFormatting sqref="D19">
    <cfRule type="cellIs" dxfId="1196" priority="4387" operator="equal">
      <formula>"OFF"</formula>
    </cfRule>
    <cfRule type="cellIs" dxfId="1195" priority="4388" operator="equal">
      <formula>"PTO"</formula>
    </cfRule>
  </conditionalFormatting>
  <conditionalFormatting sqref="D19">
    <cfRule type="cellIs" dxfId="1194" priority="4385" operator="equal">
      <formula>"OFF"</formula>
    </cfRule>
    <cfRule type="cellIs" dxfId="1193" priority="4386" operator="equal">
      <formula>"PTO"</formula>
    </cfRule>
  </conditionalFormatting>
  <conditionalFormatting sqref="D19">
    <cfRule type="cellIs" dxfId="1192" priority="4383" operator="equal">
      <formula>"OFF"</formula>
    </cfRule>
    <cfRule type="cellIs" dxfId="1191" priority="4384" operator="equal">
      <formula>"PTO"</formula>
    </cfRule>
  </conditionalFormatting>
  <conditionalFormatting sqref="D19">
    <cfRule type="cellIs" dxfId="1190" priority="4381" operator="equal">
      <formula>"OFF"</formula>
    </cfRule>
    <cfRule type="cellIs" dxfId="1189" priority="4382" operator="equal">
      <formula>"PTO"</formula>
    </cfRule>
  </conditionalFormatting>
  <conditionalFormatting sqref="D19">
    <cfRule type="cellIs" dxfId="1188" priority="4379" operator="equal">
      <formula>"OFF"</formula>
    </cfRule>
    <cfRule type="cellIs" dxfId="1187" priority="4380" operator="equal">
      <formula>"PTO"</formula>
    </cfRule>
  </conditionalFormatting>
  <conditionalFormatting sqref="D19">
    <cfRule type="cellIs" dxfId="1186" priority="4377" operator="equal">
      <formula>"OFF"</formula>
    </cfRule>
    <cfRule type="cellIs" dxfId="1185" priority="4378" operator="equal">
      <formula>"PTO"</formula>
    </cfRule>
  </conditionalFormatting>
  <conditionalFormatting sqref="D19">
    <cfRule type="cellIs" dxfId="1184" priority="4375" operator="equal">
      <formula>"OFF"</formula>
    </cfRule>
    <cfRule type="cellIs" dxfId="1183" priority="4376" operator="equal">
      <formula>"PTO"</formula>
    </cfRule>
  </conditionalFormatting>
  <conditionalFormatting sqref="D19">
    <cfRule type="cellIs" dxfId="1182" priority="4373" operator="equal">
      <formula>"OFF"</formula>
    </cfRule>
    <cfRule type="cellIs" dxfId="1181" priority="4374" operator="equal">
      <formula>"PTO"</formula>
    </cfRule>
  </conditionalFormatting>
  <conditionalFormatting sqref="D19">
    <cfRule type="cellIs" dxfId="1180" priority="4371" operator="equal">
      <formula>"OFF"</formula>
    </cfRule>
    <cfRule type="cellIs" dxfId="1179" priority="4372" operator="equal">
      <formula>"PTO"</formula>
    </cfRule>
  </conditionalFormatting>
  <conditionalFormatting sqref="D19">
    <cfRule type="cellIs" dxfId="1178" priority="4369" operator="equal">
      <formula>"OFF"</formula>
    </cfRule>
    <cfRule type="cellIs" dxfId="1177" priority="4370" operator="equal">
      <formula>"PTO"</formula>
    </cfRule>
  </conditionalFormatting>
  <conditionalFormatting sqref="D19">
    <cfRule type="cellIs" dxfId="1176" priority="4367" operator="equal">
      <formula>"OFF"</formula>
    </cfRule>
    <cfRule type="cellIs" dxfId="1175" priority="4368" operator="equal">
      <formula>"PTO"</formula>
    </cfRule>
  </conditionalFormatting>
  <conditionalFormatting sqref="D19">
    <cfRule type="cellIs" dxfId="1174" priority="4365" operator="equal">
      <formula>"OFF"</formula>
    </cfRule>
    <cfRule type="cellIs" dxfId="1173" priority="4366" operator="equal">
      <formula>"PTO"</formula>
    </cfRule>
  </conditionalFormatting>
  <conditionalFormatting sqref="D19">
    <cfRule type="cellIs" dxfId="1172" priority="4363" operator="equal">
      <formula>"OFF"</formula>
    </cfRule>
    <cfRule type="cellIs" dxfId="1171" priority="4364" operator="equal">
      <formula>"PTO"</formula>
    </cfRule>
  </conditionalFormatting>
  <conditionalFormatting sqref="D19">
    <cfRule type="cellIs" dxfId="1170" priority="4361" operator="equal">
      <formula>"OFF"</formula>
    </cfRule>
    <cfRule type="cellIs" dxfId="1169" priority="4362" operator="equal">
      <formula>"PTO"</formula>
    </cfRule>
  </conditionalFormatting>
  <conditionalFormatting sqref="D19">
    <cfRule type="cellIs" dxfId="1168" priority="4359" operator="equal">
      <formula>"OFF"</formula>
    </cfRule>
    <cfRule type="cellIs" dxfId="1167" priority="4360" operator="equal">
      <formula>"PTO"</formula>
    </cfRule>
  </conditionalFormatting>
  <conditionalFormatting sqref="D19">
    <cfRule type="cellIs" dxfId="1166" priority="4357" operator="equal">
      <formula>"OFF"</formula>
    </cfRule>
    <cfRule type="cellIs" dxfId="1165" priority="4358" operator="equal">
      <formula>"PTO"</formula>
    </cfRule>
  </conditionalFormatting>
  <conditionalFormatting sqref="D19:I19">
    <cfRule type="cellIs" dxfId="1164" priority="4355" operator="equal">
      <formula>"OFF"</formula>
    </cfRule>
    <cfRule type="cellIs" dxfId="1163" priority="4356" operator="equal">
      <formula>"PTO"</formula>
    </cfRule>
  </conditionalFormatting>
  <conditionalFormatting sqref="D19:I19">
    <cfRule type="cellIs" dxfId="1162" priority="4353" operator="equal">
      <formula>"OFF"</formula>
    </cfRule>
    <cfRule type="cellIs" dxfId="1161" priority="4354" operator="equal">
      <formula>"PTO"</formula>
    </cfRule>
  </conditionalFormatting>
  <conditionalFormatting sqref="E19">
    <cfRule type="cellIs" dxfId="1160" priority="4351" operator="equal">
      <formula>"OFF"</formula>
    </cfRule>
    <cfRule type="cellIs" dxfId="1159" priority="4352" operator="equal">
      <formula>"PTO"</formula>
    </cfRule>
  </conditionalFormatting>
  <conditionalFormatting sqref="E19">
    <cfRule type="cellIs" dxfId="1158" priority="4349" operator="equal">
      <formula>"OFF"</formula>
    </cfRule>
    <cfRule type="cellIs" dxfId="1157" priority="4350" operator="equal">
      <formula>"PTO"</formula>
    </cfRule>
  </conditionalFormatting>
  <conditionalFormatting sqref="E19">
    <cfRule type="cellIs" dxfId="1156" priority="4347" operator="equal">
      <formula>"OFF"</formula>
    </cfRule>
    <cfRule type="cellIs" dxfId="1155" priority="4348" operator="equal">
      <formula>"PTO"</formula>
    </cfRule>
  </conditionalFormatting>
  <conditionalFormatting sqref="E19">
    <cfRule type="cellIs" dxfId="1154" priority="4345" operator="equal">
      <formula>"OFF"</formula>
    </cfRule>
    <cfRule type="cellIs" dxfId="1153" priority="4346" operator="equal">
      <formula>"PTO"</formula>
    </cfRule>
  </conditionalFormatting>
  <conditionalFormatting sqref="E19">
    <cfRule type="cellIs" dxfId="1152" priority="4343" operator="equal">
      <formula>"OFF"</formula>
    </cfRule>
    <cfRule type="cellIs" dxfId="1151" priority="4344" operator="equal">
      <formula>"PTO"</formula>
    </cfRule>
  </conditionalFormatting>
  <conditionalFormatting sqref="E19">
    <cfRule type="cellIs" dxfId="1150" priority="4341" operator="equal">
      <formula>"OFF"</formula>
    </cfRule>
    <cfRule type="cellIs" dxfId="1149" priority="4342" operator="equal">
      <formula>"PTO"</formula>
    </cfRule>
  </conditionalFormatting>
  <conditionalFormatting sqref="E19">
    <cfRule type="cellIs" dxfId="1148" priority="4339" operator="equal">
      <formula>"OFF"</formula>
    </cfRule>
    <cfRule type="cellIs" dxfId="1147" priority="4340" operator="equal">
      <formula>"PTO"</formula>
    </cfRule>
  </conditionalFormatting>
  <conditionalFormatting sqref="E19">
    <cfRule type="cellIs" dxfId="1146" priority="4337" operator="equal">
      <formula>"OFF"</formula>
    </cfRule>
    <cfRule type="cellIs" dxfId="1145" priority="4338" operator="equal">
      <formula>"PTO"</formula>
    </cfRule>
  </conditionalFormatting>
  <conditionalFormatting sqref="E19">
    <cfRule type="cellIs" dxfId="1144" priority="4335" operator="equal">
      <formula>"OFF"</formula>
    </cfRule>
    <cfRule type="cellIs" dxfId="1143" priority="4336" operator="equal">
      <formula>"PTO"</formula>
    </cfRule>
  </conditionalFormatting>
  <conditionalFormatting sqref="E19">
    <cfRule type="cellIs" dxfId="1142" priority="4333" operator="equal">
      <formula>"OFF"</formula>
    </cfRule>
    <cfRule type="cellIs" dxfId="1141" priority="4334" operator="equal">
      <formula>"PTO"</formula>
    </cfRule>
  </conditionalFormatting>
  <conditionalFormatting sqref="E19">
    <cfRule type="cellIs" dxfId="1140" priority="4331" operator="equal">
      <formula>"OFF"</formula>
    </cfRule>
    <cfRule type="cellIs" dxfId="1139" priority="4332" operator="equal">
      <formula>"PTO"</formula>
    </cfRule>
  </conditionalFormatting>
  <conditionalFormatting sqref="E19">
    <cfRule type="cellIs" dxfId="1138" priority="4329" operator="equal">
      <formula>"OFF"</formula>
    </cfRule>
    <cfRule type="cellIs" dxfId="1137" priority="4330" operator="equal">
      <formula>"PTO"</formula>
    </cfRule>
  </conditionalFormatting>
  <conditionalFormatting sqref="E19">
    <cfRule type="cellIs" dxfId="1136" priority="4327" operator="equal">
      <formula>"OFF"</formula>
    </cfRule>
    <cfRule type="cellIs" dxfId="1135" priority="4328" operator="equal">
      <formula>"PTO"</formula>
    </cfRule>
  </conditionalFormatting>
  <conditionalFormatting sqref="E19">
    <cfRule type="cellIs" dxfId="1134" priority="4325" operator="equal">
      <formula>"OFF"</formula>
    </cfRule>
    <cfRule type="cellIs" dxfId="1133" priority="4326" operator="equal">
      <formula>"PTO"</formula>
    </cfRule>
  </conditionalFormatting>
  <conditionalFormatting sqref="E19">
    <cfRule type="cellIs" dxfId="1132" priority="4323" operator="equal">
      <formula>"OFF"</formula>
    </cfRule>
    <cfRule type="cellIs" dxfId="1131" priority="4324" operator="equal">
      <formula>"PTO"</formula>
    </cfRule>
  </conditionalFormatting>
  <conditionalFormatting sqref="E19">
    <cfRule type="cellIs" dxfId="1130" priority="4321" operator="equal">
      <formula>"OFF"</formula>
    </cfRule>
    <cfRule type="cellIs" dxfId="1129" priority="4322" operator="equal">
      <formula>"PTO"</formula>
    </cfRule>
  </conditionalFormatting>
  <conditionalFormatting sqref="H19">
    <cfRule type="cellIs" dxfId="1128" priority="4319" operator="equal">
      <formula>"OFF"</formula>
    </cfRule>
    <cfRule type="cellIs" dxfId="1127" priority="4320" operator="equal">
      <formula>"PTO"</formula>
    </cfRule>
  </conditionalFormatting>
  <conditionalFormatting sqref="H19">
    <cfRule type="cellIs" dxfId="1126" priority="4317" operator="equal">
      <formula>"OFF"</formula>
    </cfRule>
    <cfRule type="cellIs" dxfId="1125" priority="4318" operator="equal">
      <formula>"PTO"</formula>
    </cfRule>
  </conditionalFormatting>
  <conditionalFormatting sqref="H19">
    <cfRule type="cellIs" dxfId="1124" priority="4315" operator="equal">
      <formula>"OFF"</formula>
    </cfRule>
    <cfRule type="cellIs" dxfId="1123" priority="4316" operator="equal">
      <formula>"PTO"</formula>
    </cfRule>
  </conditionalFormatting>
  <conditionalFormatting sqref="H19">
    <cfRule type="cellIs" dxfId="1122" priority="4313" operator="equal">
      <formula>"OFF"</formula>
    </cfRule>
    <cfRule type="cellIs" dxfId="1121" priority="4314" operator="equal">
      <formula>"PTO"</formula>
    </cfRule>
  </conditionalFormatting>
  <conditionalFormatting sqref="H19">
    <cfRule type="cellIs" dxfId="1120" priority="4311" operator="equal">
      <formula>"OFF"</formula>
    </cfRule>
    <cfRule type="cellIs" dxfId="1119" priority="4312" operator="equal">
      <formula>"PTO"</formula>
    </cfRule>
  </conditionalFormatting>
  <conditionalFormatting sqref="H19">
    <cfRule type="cellIs" dxfId="1118" priority="4309" operator="equal">
      <formula>"OFF"</formula>
    </cfRule>
    <cfRule type="cellIs" dxfId="1117" priority="4310" operator="equal">
      <formula>"PTO"</formula>
    </cfRule>
  </conditionalFormatting>
  <conditionalFormatting sqref="H19">
    <cfRule type="cellIs" dxfId="1116" priority="4307" operator="equal">
      <formula>"OFF"</formula>
    </cfRule>
    <cfRule type="cellIs" dxfId="1115" priority="4308" operator="equal">
      <formula>"PTO"</formula>
    </cfRule>
  </conditionalFormatting>
  <conditionalFormatting sqref="H19">
    <cfRule type="cellIs" dxfId="1114" priority="4305" operator="equal">
      <formula>"OFF"</formula>
    </cfRule>
    <cfRule type="cellIs" dxfId="1113" priority="4306" operator="equal">
      <formula>"PTO"</formula>
    </cfRule>
  </conditionalFormatting>
  <conditionalFormatting sqref="H19">
    <cfRule type="cellIs" dxfId="1112" priority="4303" operator="equal">
      <formula>"OFF"</formula>
    </cfRule>
    <cfRule type="cellIs" dxfId="1111" priority="4304" operator="equal">
      <formula>"PTO"</formula>
    </cfRule>
  </conditionalFormatting>
  <conditionalFormatting sqref="H19">
    <cfRule type="cellIs" dxfId="1110" priority="4301" operator="equal">
      <formula>"OFF"</formula>
    </cfRule>
    <cfRule type="cellIs" dxfId="1109" priority="4302" operator="equal">
      <formula>"PTO"</formula>
    </cfRule>
  </conditionalFormatting>
  <conditionalFormatting sqref="H19">
    <cfRule type="cellIs" dxfId="1108" priority="4299" operator="equal">
      <formula>"OFF"</formula>
    </cfRule>
    <cfRule type="cellIs" dxfId="1107" priority="4300" operator="equal">
      <formula>"PTO"</formula>
    </cfRule>
  </conditionalFormatting>
  <conditionalFormatting sqref="H19">
    <cfRule type="cellIs" dxfId="1106" priority="4297" operator="equal">
      <formula>"OFF"</formula>
    </cfRule>
    <cfRule type="cellIs" dxfId="1105" priority="4298" operator="equal">
      <formula>"PTO"</formula>
    </cfRule>
  </conditionalFormatting>
  <conditionalFormatting sqref="H19">
    <cfRule type="cellIs" dxfId="1104" priority="4295" operator="equal">
      <formula>"OFF"</formula>
    </cfRule>
    <cfRule type="cellIs" dxfId="1103" priority="4296" operator="equal">
      <formula>"PTO"</formula>
    </cfRule>
  </conditionalFormatting>
  <conditionalFormatting sqref="H19">
    <cfRule type="cellIs" dxfId="1102" priority="4293" operator="equal">
      <formula>"OFF"</formula>
    </cfRule>
    <cfRule type="cellIs" dxfId="1101" priority="4294" operator="equal">
      <formula>"PTO"</formula>
    </cfRule>
  </conditionalFormatting>
  <conditionalFormatting sqref="H19">
    <cfRule type="cellIs" dxfId="1100" priority="4291" operator="equal">
      <formula>"OFF"</formula>
    </cfRule>
    <cfRule type="cellIs" dxfId="1099" priority="4292" operator="equal">
      <formula>"PTO"</formula>
    </cfRule>
  </conditionalFormatting>
  <conditionalFormatting sqref="H19">
    <cfRule type="cellIs" dxfId="1098" priority="4289" operator="equal">
      <formula>"OFF"</formula>
    </cfRule>
    <cfRule type="cellIs" dxfId="1097" priority="4290" operator="equal">
      <formula>"PTO"</formula>
    </cfRule>
  </conditionalFormatting>
  <conditionalFormatting sqref="E19">
    <cfRule type="cellIs" dxfId="1096" priority="4287" operator="equal">
      <formula>"OFF"</formula>
    </cfRule>
    <cfRule type="cellIs" dxfId="1095" priority="4288" operator="equal">
      <formula>"PTO"</formula>
    </cfRule>
  </conditionalFormatting>
  <conditionalFormatting sqref="E19">
    <cfRule type="cellIs" dxfId="1094" priority="4285" operator="equal">
      <formula>"OFF"</formula>
    </cfRule>
    <cfRule type="cellIs" dxfId="1093" priority="4286" operator="equal">
      <formula>"PTO"</formula>
    </cfRule>
  </conditionalFormatting>
  <conditionalFormatting sqref="E19">
    <cfRule type="cellIs" dxfId="1092" priority="4283" operator="equal">
      <formula>"OFF"</formula>
    </cfRule>
    <cfRule type="cellIs" dxfId="1091" priority="4284" operator="equal">
      <formula>"PTO"</formula>
    </cfRule>
  </conditionalFormatting>
  <conditionalFormatting sqref="E19">
    <cfRule type="cellIs" dxfId="1090" priority="4281" operator="equal">
      <formula>"OFF"</formula>
    </cfRule>
    <cfRule type="cellIs" dxfId="1089" priority="4282" operator="equal">
      <formula>"PTO"</formula>
    </cfRule>
  </conditionalFormatting>
  <conditionalFormatting sqref="I20:I32">
    <cfRule type="cellIs" dxfId="1088" priority="4059" operator="equal">
      <formula>"OFF"</formula>
    </cfRule>
    <cfRule type="cellIs" dxfId="1087" priority="4060" operator="equal">
      <formula>"PTO"</formula>
    </cfRule>
  </conditionalFormatting>
  <conditionalFormatting sqref="I20:I32">
    <cfRule type="cellIs" dxfId="1086" priority="4057" operator="equal">
      <formula>"OFF"</formula>
    </cfRule>
    <cfRule type="cellIs" dxfId="1085" priority="4058" operator="equal">
      <formula>"PTO"</formula>
    </cfRule>
  </conditionalFormatting>
  <conditionalFormatting sqref="I20:I32">
    <cfRule type="cellIs" dxfId="1084" priority="4055" operator="equal">
      <formula>"OFF"</formula>
    </cfRule>
    <cfRule type="cellIs" dxfId="1083" priority="4056" operator="equal">
      <formula>"PTO"</formula>
    </cfRule>
  </conditionalFormatting>
  <conditionalFormatting sqref="I20:I32">
    <cfRule type="cellIs" dxfId="1082" priority="4053" operator="equal">
      <formula>"OFF"</formula>
    </cfRule>
    <cfRule type="cellIs" dxfId="1081" priority="4054" operator="equal">
      <formula>"PTO"</formula>
    </cfRule>
  </conditionalFormatting>
  <conditionalFormatting sqref="I20:I32">
    <cfRule type="cellIs" dxfId="1080" priority="4051" operator="equal">
      <formula>"OFF"</formula>
    </cfRule>
    <cfRule type="cellIs" dxfId="1079" priority="4052" operator="equal">
      <formula>"PTO"</formula>
    </cfRule>
  </conditionalFormatting>
  <conditionalFormatting sqref="D14:H32">
    <cfRule type="cellIs" dxfId="1078" priority="4049" operator="equal">
      <formula>"OFF"</formula>
    </cfRule>
    <cfRule type="cellIs" dxfId="1077" priority="4050" operator="equal">
      <formula>"PTO"</formula>
    </cfRule>
  </conditionalFormatting>
  <conditionalFormatting sqref="D14:I32">
    <cfRule type="cellIs" dxfId="1076" priority="4043" operator="equal">
      <formula>"OFF"</formula>
    </cfRule>
    <cfRule type="cellIs" dxfId="1075" priority="4044" operator="equal">
      <formula>"PTO"</formula>
    </cfRule>
  </conditionalFormatting>
  <conditionalFormatting sqref="D14:I32">
    <cfRule type="cellIs" dxfId="1074" priority="4027" operator="equal">
      <formula>"OFF"</formula>
    </cfRule>
    <cfRule type="cellIs" dxfId="1073" priority="4028" operator="equal">
      <formula>"PTO"</formula>
    </cfRule>
  </conditionalFormatting>
  <conditionalFormatting sqref="D14:I32">
    <cfRule type="cellIs" dxfId="1072" priority="3995" operator="equal">
      <formula>"OFF"</formula>
    </cfRule>
    <cfRule type="cellIs" dxfId="1071" priority="3996" operator="equal">
      <formula>"PTO"</formula>
    </cfRule>
  </conditionalFormatting>
  <conditionalFormatting sqref="D14:I32">
    <cfRule type="cellIs" dxfId="1070" priority="3993" operator="equal">
      <formula>"OFF"</formula>
    </cfRule>
    <cfRule type="cellIs" dxfId="1069" priority="3994" operator="equal">
      <formula>"PTO"</formula>
    </cfRule>
  </conditionalFormatting>
  <conditionalFormatting sqref="E19">
    <cfRule type="cellIs" dxfId="1068" priority="4279" operator="equal">
      <formula>"OFF"</formula>
    </cfRule>
    <cfRule type="cellIs" dxfId="1067" priority="4280" operator="equal">
      <formula>"PTO"</formula>
    </cfRule>
  </conditionalFormatting>
  <conditionalFormatting sqref="E19">
    <cfRule type="cellIs" dxfId="1066" priority="4277" operator="equal">
      <formula>"OFF"</formula>
    </cfRule>
    <cfRule type="cellIs" dxfId="1065" priority="4278" operator="equal">
      <formula>"PTO"</formula>
    </cfRule>
  </conditionalFormatting>
  <conditionalFormatting sqref="E19">
    <cfRule type="cellIs" dxfId="1064" priority="4275" operator="equal">
      <formula>"OFF"</formula>
    </cfRule>
    <cfRule type="cellIs" dxfId="1063" priority="4276" operator="equal">
      <formula>"PTO"</formula>
    </cfRule>
  </conditionalFormatting>
  <conditionalFormatting sqref="E19">
    <cfRule type="cellIs" dxfId="1062" priority="4273" operator="equal">
      <formula>"OFF"</formula>
    </cfRule>
    <cfRule type="cellIs" dxfId="1061" priority="4274" operator="equal">
      <formula>"PTO"</formula>
    </cfRule>
  </conditionalFormatting>
  <conditionalFormatting sqref="E19">
    <cfRule type="cellIs" dxfId="1060" priority="4271" operator="equal">
      <formula>"OFF"</formula>
    </cfRule>
    <cfRule type="cellIs" dxfId="1059" priority="4272" operator="equal">
      <formula>"PTO"</formula>
    </cfRule>
  </conditionalFormatting>
  <conditionalFormatting sqref="E19">
    <cfRule type="cellIs" dxfId="1058" priority="4269" operator="equal">
      <formula>"OFF"</formula>
    </cfRule>
    <cfRule type="cellIs" dxfId="1057" priority="4270" operator="equal">
      <formula>"PTO"</formula>
    </cfRule>
  </conditionalFormatting>
  <conditionalFormatting sqref="E19">
    <cfRule type="cellIs" dxfId="1056" priority="4267" operator="equal">
      <formula>"OFF"</formula>
    </cfRule>
    <cfRule type="cellIs" dxfId="1055" priority="4268" operator="equal">
      <formula>"PTO"</formula>
    </cfRule>
  </conditionalFormatting>
  <conditionalFormatting sqref="E19">
    <cfRule type="cellIs" dxfId="1054" priority="4265" operator="equal">
      <formula>"OFF"</formula>
    </cfRule>
    <cfRule type="cellIs" dxfId="1053" priority="4266" operator="equal">
      <formula>"PTO"</formula>
    </cfRule>
  </conditionalFormatting>
  <conditionalFormatting sqref="E19">
    <cfRule type="cellIs" dxfId="1052" priority="4263" operator="equal">
      <formula>"OFF"</formula>
    </cfRule>
    <cfRule type="cellIs" dxfId="1051" priority="4264" operator="equal">
      <formula>"PTO"</formula>
    </cfRule>
  </conditionalFormatting>
  <conditionalFormatting sqref="E19">
    <cfRule type="cellIs" dxfId="1050" priority="4261" operator="equal">
      <formula>"OFF"</formula>
    </cfRule>
    <cfRule type="cellIs" dxfId="1049" priority="4262" operator="equal">
      <formula>"PTO"</formula>
    </cfRule>
  </conditionalFormatting>
  <conditionalFormatting sqref="E19">
    <cfRule type="cellIs" dxfId="1048" priority="4259" operator="equal">
      <formula>"OFF"</formula>
    </cfRule>
    <cfRule type="cellIs" dxfId="1047" priority="4260" operator="equal">
      <formula>"PTO"</formula>
    </cfRule>
  </conditionalFormatting>
  <conditionalFormatting sqref="E19">
    <cfRule type="cellIs" dxfId="1046" priority="4257" operator="equal">
      <formula>"OFF"</formula>
    </cfRule>
    <cfRule type="cellIs" dxfId="1045" priority="4258" operator="equal">
      <formula>"PTO"</formula>
    </cfRule>
  </conditionalFormatting>
  <conditionalFormatting sqref="H19">
    <cfRule type="cellIs" dxfId="1044" priority="4255" operator="equal">
      <formula>"OFF"</formula>
    </cfRule>
    <cfRule type="cellIs" dxfId="1043" priority="4256" operator="equal">
      <formula>"PTO"</formula>
    </cfRule>
  </conditionalFormatting>
  <conditionalFormatting sqref="H19">
    <cfRule type="cellIs" dxfId="1042" priority="4253" operator="equal">
      <formula>"OFF"</formula>
    </cfRule>
    <cfRule type="cellIs" dxfId="1041" priority="4254" operator="equal">
      <formula>"PTO"</formula>
    </cfRule>
  </conditionalFormatting>
  <conditionalFormatting sqref="H19">
    <cfRule type="cellIs" dxfId="1040" priority="4251" operator="equal">
      <formula>"OFF"</formula>
    </cfRule>
    <cfRule type="cellIs" dxfId="1039" priority="4252" operator="equal">
      <formula>"PTO"</formula>
    </cfRule>
  </conditionalFormatting>
  <conditionalFormatting sqref="H19">
    <cfRule type="cellIs" dxfId="1038" priority="4249" operator="equal">
      <formula>"OFF"</formula>
    </cfRule>
    <cfRule type="cellIs" dxfId="1037" priority="4250" operator="equal">
      <formula>"PTO"</formula>
    </cfRule>
  </conditionalFormatting>
  <conditionalFormatting sqref="H19">
    <cfRule type="cellIs" dxfId="1036" priority="4247" operator="equal">
      <formula>"OFF"</formula>
    </cfRule>
    <cfRule type="cellIs" dxfId="1035" priority="4248" operator="equal">
      <formula>"PTO"</formula>
    </cfRule>
  </conditionalFormatting>
  <conditionalFormatting sqref="H19">
    <cfRule type="cellIs" dxfId="1034" priority="4245" operator="equal">
      <formula>"OFF"</formula>
    </cfRule>
    <cfRule type="cellIs" dxfId="1033" priority="4246" operator="equal">
      <formula>"PTO"</formula>
    </cfRule>
  </conditionalFormatting>
  <conditionalFormatting sqref="H19">
    <cfRule type="cellIs" dxfId="1032" priority="4243" operator="equal">
      <formula>"OFF"</formula>
    </cfRule>
    <cfRule type="cellIs" dxfId="1031" priority="4244" operator="equal">
      <formula>"PTO"</formula>
    </cfRule>
  </conditionalFormatting>
  <conditionalFormatting sqref="H19">
    <cfRule type="cellIs" dxfId="1030" priority="4241" operator="equal">
      <formula>"OFF"</formula>
    </cfRule>
    <cfRule type="cellIs" dxfId="1029" priority="4242" operator="equal">
      <formula>"PTO"</formula>
    </cfRule>
  </conditionalFormatting>
  <conditionalFormatting sqref="H19">
    <cfRule type="cellIs" dxfId="1028" priority="4239" operator="equal">
      <formula>"OFF"</formula>
    </cfRule>
    <cfRule type="cellIs" dxfId="1027" priority="4240" operator="equal">
      <formula>"PTO"</formula>
    </cfRule>
  </conditionalFormatting>
  <conditionalFormatting sqref="H19">
    <cfRule type="cellIs" dxfId="1026" priority="4237" operator="equal">
      <formula>"OFF"</formula>
    </cfRule>
    <cfRule type="cellIs" dxfId="1025" priority="4238" operator="equal">
      <formula>"PTO"</formula>
    </cfRule>
  </conditionalFormatting>
  <conditionalFormatting sqref="H19">
    <cfRule type="cellIs" dxfId="1024" priority="4235" operator="equal">
      <formula>"OFF"</formula>
    </cfRule>
    <cfRule type="cellIs" dxfId="1023" priority="4236" operator="equal">
      <formula>"PTO"</formula>
    </cfRule>
  </conditionalFormatting>
  <conditionalFormatting sqref="H19">
    <cfRule type="cellIs" dxfId="1022" priority="4233" operator="equal">
      <formula>"OFF"</formula>
    </cfRule>
    <cfRule type="cellIs" dxfId="1021" priority="4234" operator="equal">
      <formula>"PTO"</formula>
    </cfRule>
  </conditionalFormatting>
  <conditionalFormatting sqref="H19">
    <cfRule type="cellIs" dxfId="1020" priority="4231" operator="equal">
      <formula>"OFF"</formula>
    </cfRule>
    <cfRule type="cellIs" dxfId="1019" priority="4232" operator="equal">
      <formula>"PTO"</formula>
    </cfRule>
  </conditionalFormatting>
  <conditionalFormatting sqref="H19">
    <cfRule type="cellIs" dxfId="1018" priority="4229" operator="equal">
      <formula>"OFF"</formula>
    </cfRule>
    <cfRule type="cellIs" dxfId="1017" priority="4230" operator="equal">
      <formula>"PTO"</formula>
    </cfRule>
  </conditionalFormatting>
  <conditionalFormatting sqref="H19">
    <cfRule type="cellIs" dxfId="1016" priority="4227" operator="equal">
      <formula>"OFF"</formula>
    </cfRule>
    <cfRule type="cellIs" dxfId="1015" priority="4228" operator="equal">
      <formula>"PTO"</formula>
    </cfRule>
  </conditionalFormatting>
  <conditionalFormatting sqref="H19">
    <cfRule type="cellIs" dxfId="1014" priority="4225" operator="equal">
      <formula>"OFF"</formula>
    </cfRule>
    <cfRule type="cellIs" dxfId="1013" priority="4226" operator="equal">
      <formula>"PTO"</formula>
    </cfRule>
  </conditionalFormatting>
  <conditionalFormatting sqref="D19:I32">
    <cfRule type="cellIs" dxfId="1012" priority="4223" operator="equal">
      <formula>"OFF"</formula>
    </cfRule>
    <cfRule type="cellIs" dxfId="1011" priority="4224" operator="equal">
      <formula>"PTO"</formula>
    </cfRule>
  </conditionalFormatting>
  <conditionalFormatting sqref="D19:I32">
    <cfRule type="cellIs" dxfId="1010" priority="4221" operator="equal">
      <formula>"OFF"</formula>
    </cfRule>
    <cfRule type="cellIs" dxfId="1009" priority="4222" operator="equal">
      <formula>"PTO"</formula>
    </cfRule>
  </conditionalFormatting>
  <conditionalFormatting sqref="D19:I32">
    <cfRule type="cellIs" dxfId="1008" priority="4219" operator="equal">
      <formula>"OFF"</formula>
    </cfRule>
    <cfRule type="cellIs" dxfId="1007" priority="4220" operator="equal">
      <formula>"PTO"</formula>
    </cfRule>
  </conditionalFormatting>
  <conditionalFormatting sqref="D19:I32">
    <cfRule type="cellIs" dxfId="1006" priority="4217" operator="equal">
      <formula>"OFF"</formula>
    </cfRule>
    <cfRule type="cellIs" dxfId="1005" priority="4218" operator="equal">
      <formula>"PTO"</formula>
    </cfRule>
  </conditionalFormatting>
  <conditionalFormatting sqref="D19:I32">
    <cfRule type="cellIs" dxfId="1004" priority="4215" operator="equal">
      <formula>"OFF"</formula>
    </cfRule>
    <cfRule type="cellIs" dxfId="1003" priority="4216" operator="equal">
      <formula>"PTO"</formula>
    </cfRule>
  </conditionalFormatting>
  <conditionalFormatting sqref="D19:I32">
    <cfRule type="cellIs" dxfId="1002" priority="4213" operator="equal">
      <formula>"OFF"</formula>
    </cfRule>
    <cfRule type="cellIs" dxfId="1001" priority="4214" operator="equal">
      <formula>"PTO"</formula>
    </cfRule>
  </conditionalFormatting>
  <conditionalFormatting sqref="D19:I32">
    <cfRule type="cellIs" dxfId="1000" priority="4211" operator="equal">
      <formula>"OFF"</formula>
    </cfRule>
    <cfRule type="cellIs" dxfId="999" priority="4212" operator="equal">
      <formula>"PTO"</formula>
    </cfRule>
  </conditionalFormatting>
  <conditionalFormatting sqref="D19:I32">
    <cfRule type="cellIs" dxfId="998" priority="4209" operator="equal">
      <formula>"OFF"</formula>
    </cfRule>
    <cfRule type="cellIs" dxfId="997" priority="4210" operator="equal">
      <formula>"PTO"</formula>
    </cfRule>
  </conditionalFormatting>
  <conditionalFormatting sqref="D19:I32">
    <cfRule type="cellIs" dxfId="996" priority="4207" operator="equal">
      <formula>"OFF"</formula>
    </cfRule>
    <cfRule type="cellIs" dxfId="995" priority="4208" operator="equal">
      <formula>"PTO"</formula>
    </cfRule>
  </conditionalFormatting>
  <conditionalFormatting sqref="D19:I32">
    <cfRule type="cellIs" dxfId="994" priority="4205" operator="equal">
      <formula>"OFF"</formula>
    </cfRule>
    <cfRule type="cellIs" dxfId="993" priority="4206" operator="equal">
      <formula>"PTO"</formula>
    </cfRule>
  </conditionalFormatting>
  <conditionalFormatting sqref="D19:I32">
    <cfRule type="cellIs" dxfId="992" priority="4203" operator="equal">
      <formula>"OFF"</formula>
    </cfRule>
    <cfRule type="cellIs" dxfId="991" priority="4204" operator="equal">
      <formula>"PTO"</formula>
    </cfRule>
  </conditionalFormatting>
  <conditionalFormatting sqref="D19:I32">
    <cfRule type="cellIs" dxfId="990" priority="4201" operator="equal">
      <formula>"OFF"</formula>
    </cfRule>
    <cfRule type="cellIs" dxfId="989" priority="4202" operator="equal">
      <formula>"PTO"</formula>
    </cfRule>
  </conditionalFormatting>
  <conditionalFormatting sqref="D19:I32">
    <cfRule type="cellIs" dxfId="988" priority="4199" operator="equal">
      <formula>"OFF"</formula>
    </cfRule>
    <cfRule type="cellIs" dxfId="987" priority="4200" operator="equal">
      <formula>"PTO"</formula>
    </cfRule>
  </conditionalFormatting>
  <conditionalFormatting sqref="E19:H32">
    <cfRule type="cellIs" dxfId="986" priority="4197" operator="equal">
      <formula>"OFF"</formula>
    </cfRule>
    <cfRule type="cellIs" dxfId="985" priority="4198" operator="equal">
      <formula>"PTO"</formula>
    </cfRule>
  </conditionalFormatting>
  <conditionalFormatting sqref="D19:I32">
    <cfRule type="cellIs" dxfId="984" priority="4195" operator="equal">
      <formula>"OFF"</formula>
    </cfRule>
    <cfRule type="cellIs" dxfId="983" priority="4196" operator="equal">
      <formula>"PTO"</formula>
    </cfRule>
  </conditionalFormatting>
  <conditionalFormatting sqref="E19:H32">
    <cfRule type="cellIs" dxfId="982" priority="4193" operator="equal">
      <formula>"OFF"</formula>
    </cfRule>
    <cfRule type="cellIs" dxfId="981" priority="4194" operator="equal">
      <formula>"PTO"</formula>
    </cfRule>
  </conditionalFormatting>
  <conditionalFormatting sqref="H19:I32">
    <cfRule type="cellIs" dxfId="980" priority="4191" operator="equal">
      <formula>"OFF"</formula>
    </cfRule>
    <cfRule type="cellIs" dxfId="979" priority="4192" operator="equal">
      <formula>"PTO"</formula>
    </cfRule>
  </conditionalFormatting>
  <conditionalFormatting sqref="E19:H32">
    <cfRule type="cellIs" dxfId="978" priority="4189" operator="equal">
      <formula>"OFF"</formula>
    </cfRule>
    <cfRule type="cellIs" dxfId="977" priority="4190" operator="equal">
      <formula>"PTO"</formula>
    </cfRule>
  </conditionalFormatting>
  <conditionalFormatting sqref="H19:I32">
    <cfRule type="cellIs" dxfId="976" priority="4187" operator="equal">
      <formula>"OFF"</formula>
    </cfRule>
    <cfRule type="cellIs" dxfId="975" priority="4188" operator="equal">
      <formula>"PTO"</formula>
    </cfRule>
  </conditionalFormatting>
  <conditionalFormatting sqref="E19:H32">
    <cfRule type="cellIs" dxfId="974" priority="4185" operator="equal">
      <formula>"OFF"</formula>
    </cfRule>
    <cfRule type="cellIs" dxfId="973" priority="4186" operator="equal">
      <formula>"PTO"</formula>
    </cfRule>
  </conditionalFormatting>
  <conditionalFormatting sqref="H19:I32">
    <cfRule type="cellIs" dxfId="972" priority="4183" operator="equal">
      <formula>"OFF"</formula>
    </cfRule>
    <cfRule type="cellIs" dxfId="971" priority="4184" operator="equal">
      <formula>"PTO"</formula>
    </cfRule>
  </conditionalFormatting>
  <conditionalFormatting sqref="E19:H32">
    <cfRule type="cellIs" dxfId="970" priority="4181" operator="equal">
      <formula>"OFF"</formula>
    </cfRule>
    <cfRule type="cellIs" dxfId="969" priority="4182" operator="equal">
      <formula>"PTO"</formula>
    </cfRule>
  </conditionalFormatting>
  <conditionalFormatting sqref="H19:I32">
    <cfRule type="cellIs" dxfId="968" priority="4179" operator="equal">
      <formula>"OFF"</formula>
    </cfRule>
    <cfRule type="cellIs" dxfId="967" priority="4180" operator="equal">
      <formula>"PTO"</formula>
    </cfRule>
  </conditionalFormatting>
  <conditionalFormatting sqref="E19:H32">
    <cfRule type="cellIs" dxfId="966" priority="4177" operator="equal">
      <formula>"OFF"</formula>
    </cfRule>
    <cfRule type="cellIs" dxfId="965" priority="4178" operator="equal">
      <formula>"PTO"</formula>
    </cfRule>
  </conditionalFormatting>
  <conditionalFormatting sqref="H19:I32">
    <cfRule type="cellIs" dxfId="964" priority="4175" operator="equal">
      <formula>"OFF"</formula>
    </cfRule>
    <cfRule type="cellIs" dxfId="963" priority="4176" operator="equal">
      <formula>"PTO"</formula>
    </cfRule>
  </conditionalFormatting>
  <conditionalFormatting sqref="E19:H32">
    <cfRule type="cellIs" dxfId="962" priority="4173" operator="equal">
      <formula>"OFF"</formula>
    </cfRule>
    <cfRule type="cellIs" dxfId="961" priority="4174" operator="equal">
      <formula>"PTO"</formula>
    </cfRule>
  </conditionalFormatting>
  <conditionalFormatting sqref="H19:I32">
    <cfRule type="cellIs" dxfId="960" priority="4171" operator="equal">
      <formula>"OFF"</formula>
    </cfRule>
    <cfRule type="cellIs" dxfId="959" priority="4172" operator="equal">
      <formula>"PTO"</formula>
    </cfRule>
  </conditionalFormatting>
  <conditionalFormatting sqref="D20:H32">
    <cfRule type="cellIs" dxfId="958" priority="4169" operator="equal">
      <formula>"OFF"</formula>
    </cfRule>
    <cfRule type="cellIs" dxfId="957" priority="4170" operator="equal">
      <formula>"PTO"</formula>
    </cfRule>
  </conditionalFormatting>
  <conditionalFormatting sqref="D20:H32">
    <cfRule type="cellIs" dxfId="956" priority="4167" operator="equal">
      <formula>"OFF"</formula>
    </cfRule>
    <cfRule type="cellIs" dxfId="955" priority="4168" operator="equal">
      <formula>"PTO"</formula>
    </cfRule>
  </conditionalFormatting>
  <conditionalFormatting sqref="D20:H32">
    <cfRule type="cellIs" dxfId="954" priority="4165" operator="equal">
      <formula>"OFF"</formula>
    </cfRule>
    <cfRule type="cellIs" dxfId="953" priority="4166" operator="equal">
      <formula>"PTO"</formula>
    </cfRule>
  </conditionalFormatting>
  <conditionalFormatting sqref="D20:H32">
    <cfRule type="cellIs" dxfId="952" priority="4163" operator="equal">
      <formula>"OFF"</formula>
    </cfRule>
    <cfRule type="cellIs" dxfId="951" priority="4164" operator="equal">
      <formula>"PTO"</formula>
    </cfRule>
  </conditionalFormatting>
  <conditionalFormatting sqref="D20:H32">
    <cfRule type="cellIs" dxfId="950" priority="4161" operator="equal">
      <formula>"OFF"</formula>
    </cfRule>
    <cfRule type="cellIs" dxfId="949" priority="4162" operator="equal">
      <formula>"PTO"</formula>
    </cfRule>
  </conditionalFormatting>
  <conditionalFormatting sqref="D20:H32">
    <cfRule type="cellIs" dxfId="948" priority="4159" operator="equal">
      <formula>"OFF"</formula>
    </cfRule>
    <cfRule type="cellIs" dxfId="947" priority="4160" operator="equal">
      <formula>"PTO"</formula>
    </cfRule>
  </conditionalFormatting>
  <conditionalFormatting sqref="D20:H32">
    <cfRule type="cellIs" dxfId="946" priority="4157" operator="equal">
      <formula>"OFF"</formula>
    </cfRule>
    <cfRule type="cellIs" dxfId="945" priority="4158" operator="equal">
      <formula>"PTO"</formula>
    </cfRule>
  </conditionalFormatting>
  <conditionalFormatting sqref="D20:H32">
    <cfRule type="cellIs" dxfId="944" priority="4155" operator="equal">
      <formula>"OFF"</formula>
    </cfRule>
    <cfRule type="cellIs" dxfId="943" priority="4156" operator="equal">
      <formula>"PTO"</formula>
    </cfRule>
  </conditionalFormatting>
  <conditionalFormatting sqref="D20:H32">
    <cfRule type="cellIs" dxfId="942" priority="4153" operator="equal">
      <formula>"OFF"</formula>
    </cfRule>
    <cfRule type="cellIs" dxfId="941" priority="4154" operator="equal">
      <formula>"PTO"</formula>
    </cfRule>
  </conditionalFormatting>
  <conditionalFormatting sqref="D20:H32">
    <cfRule type="cellIs" dxfId="940" priority="4151" operator="equal">
      <formula>"OFF"</formula>
    </cfRule>
    <cfRule type="cellIs" dxfId="939" priority="4152" operator="equal">
      <formula>"PTO"</formula>
    </cfRule>
  </conditionalFormatting>
  <conditionalFormatting sqref="D20:H32">
    <cfRule type="cellIs" dxfId="938" priority="4149" operator="equal">
      <formula>"OFF"</formula>
    </cfRule>
    <cfRule type="cellIs" dxfId="937" priority="4150" operator="equal">
      <formula>"PTO"</formula>
    </cfRule>
  </conditionalFormatting>
  <conditionalFormatting sqref="D20:H32">
    <cfRule type="cellIs" dxfId="936" priority="4147" operator="equal">
      <formula>"OFF"</formula>
    </cfRule>
    <cfRule type="cellIs" dxfId="935" priority="4148" operator="equal">
      <formula>"PTO"</formula>
    </cfRule>
  </conditionalFormatting>
  <conditionalFormatting sqref="D20:H32">
    <cfRule type="cellIs" dxfId="934" priority="4145" operator="equal">
      <formula>"OFF"</formula>
    </cfRule>
    <cfRule type="cellIs" dxfId="933" priority="4146" operator="equal">
      <formula>"PTO"</formula>
    </cfRule>
  </conditionalFormatting>
  <conditionalFormatting sqref="D20:H32">
    <cfRule type="cellIs" dxfId="932" priority="4143" operator="equal">
      <formula>"OFF"</formula>
    </cfRule>
    <cfRule type="cellIs" dxfId="931" priority="4144" operator="equal">
      <formula>"PTO"</formula>
    </cfRule>
  </conditionalFormatting>
  <conditionalFormatting sqref="D20:H32">
    <cfRule type="cellIs" dxfId="930" priority="4141" operator="equal">
      <formula>"OFF"</formula>
    </cfRule>
    <cfRule type="cellIs" dxfId="929" priority="4142" operator="equal">
      <formula>"PTO"</formula>
    </cfRule>
  </conditionalFormatting>
  <conditionalFormatting sqref="D20:H32">
    <cfRule type="cellIs" dxfId="928" priority="4139" operator="equal">
      <formula>"OFF"</formula>
    </cfRule>
    <cfRule type="cellIs" dxfId="927" priority="4140" operator="equal">
      <formula>"PTO"</formula>
    </cfRule>
  </conditionalFormatting>
  <conditionalFormatting sqref="D20:H32">
    <cfRule type="cellIs" dxfId="926" priority="4137" operator="equal">
      <formula>"OFF"</formula>
    </cfRule>
    <cfRule type="cellIs" dxfId="925" priority="4138" operator="equal">
      <formula>"PTO"</formula>
    </cfRule>
  </conditionalFormatting>
  <conditionalFormatting sqref="D20:H32">
    <cfRule type="cellIs" dxfId="924" priority="4135" operator="equal">
      <formula>"OFF"</formula>
    </cfRule>
    <cfRule type="cellIs" dxfId="923" priority="4136" operator="equal">
      <formula>"PTO"</formula>
    </cfRule>
  </conditionalFormatting>
  <conditionalFormatting sqref="D20:H32">
    <cfRule type="cellIs" dxfId="922" priority="4133" operator="equal">
      <formula>"OFF"</formula>
    </cfRule>
    <cfRule type="cellIs" dxfId="921" priority="4134" operator="equal">
      <formula>"PTO"</formula>
    </cfRule>
  </conditionalFormatting>
  <conditionalFormatting sqref="D20:H32">
    <cfRule type="cellIs" dxfId="920" priority="4131" operator="equal">
      <formula>"OFF"</formula>
    </cfRule>
    <cfRule type="cellIs" dxfId="919" priority="4132" operator="equal">
      <formula>"PTO"</formula>
    </cfRule>
  </conditionalFormatting>
  <conditionalFormatting sqref="D20:H32">
    <cfRule type="cellIs" dxfId="918" priority="4129" operator="equal">
      <formula>"OFF"</formula>
    </cfRule>
    <cfRule type="cellIs" dxfId="917" priority="4130" operator="equal">
      <formula>"PTO"</formula>
    </cfRule>
  </conditionalFormatting>
  <conditionalFormatting sqref="D20:H32">
    <cfRule type="cellIs" dxfId="916" priority="4127" operator="equal">
      <formula>"OFF"</formula>
    </cfRule>
    <cfRule type="cellIs" dxfId="915" priority="4128" operator="equal">
      <formula>"PTO"</formula>
    </cfRule>
  </conditionalFormatting>
  <conditionalFormatting sqref="D20:H32">
    <cfRule type="cellIs" dxfId="914" priority="4125" operator="equal">
      <formula>"OFF"</formula>
    </cfRule>
    <cfRule type="cellIs" dxfId="913" priority="4126" operator="equal">
      <formula>"PTO"</formula>
    </cfRule>
  </conditionalFormatting>
  <conditionalFormatting sqref="D20:H32">
    <cfRule type="cellIs" dxfId="912" priority="4123" operator="equal">
      <formula>"OFF"</formula>
    </cfRule>
    <cfRule type="cellIs" dxfId="911" priority="4124" operator="equal">
      <formula>"PTO"</formula>
    </cfRule>
  </conditionalFormatting>
  <conditionalFormatting sqref="D20:H32">
    <cfRule type="cellIs" dxfId="910" priority="4121" operator="equal">
      <formula>"OFF"</formula>
    </cfRule>
    <cfRule type="cellIs" dxfId="909" priority="4122" operator="equal">
      <formula>"PTO"</formula>
    </cfRule>
  </conditionalFormatting>
  <conditionalFormatting sqref="D20:H32">
    <cfRule type="cellIs" dxfId="908" priority="4119" operator="equal">
      <formula>"OFF"</formula>
    </cfRule>
    <cfRule type="cellIs" dxfId="907" priority="4120" operator="equal">
      <formula>"PTO"</formula>
    </cfRule>
  </conditionalFormatting>
  <conditionalFormatting sqref="D20:H32">
    <cfRule type="cellIs" dxfId="906" priority="4117" operator="equal">
      <formula>"OFF"</formula>
    </cfRule>
    <cfRule type="cellIs" dxfId="905" priority="4118" operator="equal">
      <formula>"PTO"</formula>
    </cfRule>
  </conditionalFormatting>
  <conditionalFormatting sqref="D20:H32">
    <cfRule type="cellIs" dxfId="904" priority="4115" operator="equal">
      <formula>"OFF"</formula>
    </cfRule>
    <cfRule type="cellIs" dxfId="903" priority="4116" operator="equal">
      <formula>"PTO"</formula>
    </cfRule>
  </conditionalFormatting>
  <conditionalFormatting sqref="D20:H32">
    <cfRule type="cellIs" dxfId="902" priority="4113" operator="equal">
      <formula>"OFF"</formula>
    </cfRule>
    <cfRule type="cellIs" dxfId="901" priority="4114" operator="equal">
      <formula>"PTO"</formula>
    </cfRule>
  </conditionalFormatting>
  <conditionalFormatting sqref="D20:H32">
    <cfRule type="cellIs" dxfId="900" priority="4111" operator="equal">
      <formula>"OFF"</formula>
    </cfRule>
    <cfRule type="cellIs" dxfId="899" priority="4112" operator="equal">
      <formula>"PTO"</formula>
    </cfRule>
  </conditionalFormatting>
  <conditionalFormatting sqref="D20:H32">
    <cfRule type="cellIs" dxfId="898" priority="4109" operator="equal">
      <formula>"OFF"</formula>
    </cfRule>
    <cfRule type="cellIs" dxfId="897" priority="4110" operator="equal">
      <formula>"PTO"</formula>
    </cfRule>
  </conditionalFormatting>
  <conditionalFormatting sqref="D20:H32">
    <cfRule type="cellIs" dxfId="896" priority="4107" operator="equal">
      <formula>"OFF"</formula>
    </cfRule>
    <cfRule type="cellIs" dxfId="895" priority="4108" operator="equal">
      <formula>"PTO"</formula>
    </cfRule>
  </conditionalFormatting>
  <conditionalFormatting sqref="D20:H32">
    <cfRule type="cellIs" dxfId="894" priority="4105" operator="equal">
      <formula>"OFF"</formula>
    </cfRule>
    <cfRule type="cellIs" dxfId="893" priority="4106" operator="equal">
      <formula>"PTO"</formula>
    </cfRule>
  </conditionalFormatting>
  <conditionalFormatting sqref="D20:H32">
    <cfRule type="cellIs" dxfId="892" priority="4103" operator="equal">
      <formula>"OFF"</formula>
    </cfRule>
    <cfRule type="cellIs" dxfId="891" priority="4104" operator="equal">
      <formula>"PTO"</formula>
    </cfRule>
  </conditionalFormatting>
  <conditionalFormatting sqref="D20:H32">
    <cfRule type="cellIs" dxfId="890" priority="4101" operator="equal">
      <formula>"OFF"</formula>
    </cfRule>
    <cfRule type="cellIs" dxfId="889" priority="4102" operator="equal">
      <formula>"PTO"</formula>
    </cfRule>
  </conditionalFormatting>
  <conditionalFormatting sqref="D20:H32">
    <cfRule type="cellIs" dxfId="888" priority="4099" operator="equal">
      <formula>"OFF"</formula>
    </cfRule>
    <cfRule type="cellIs" dxfId="887" priority="4100" operator="equal">
      <formula>"PTO"</formula>
    </cfRule>
  </conditionalFormatting>
  <conditionalFormatting sqref="D20:H32">
    <cfRule type="cellIs" dxfId="886" priority="4097" operator="equal">
      <formula>"OFF"</formula>
    </cfRule>
    <cfRule type="cellIs" dxfId="885" priority="4098" operator="equal">
      <formula>"PTO"</formula>
    </cfRule>
  </conditionalFormatting>
  <conditionalFormatting sqref="D20:H32">
    <cfRule type="cellIs" dxfId="884" priority="4095" operator="equal">
      <formula>"OFF"</formula>
    </cfRule>
    <cfRule type="cellIs" dxfId="883" priority="4096" operator="equal">
      <formula>"PTO"</formula>
    </cfRule>
  </conditionalFormatting>
  <conditionalFormatting sqref="D20:H32">
    <cfRule type="cellIs" dxfId="882" priority="4093" operator="equal">
      <formula>"OFF"</formula>
    </cfRule>
    <cfRule type="cellIs" dxfId="881" priority="4094" operator="equal">
      <formula>"PTO"</formula>
    </cfRule>
  </conditionalFormatting>
  <conditionalFormatting sqref="D20:H32">
    <cfRule type="cellIs" dxfId="880" priority="4091" operator="equal">
      <formula>"OFF"</formula>
    </cfRule>
    <cfRule type="cellIs" dxfId="879" priority="4092" operator="equal">
      <formula>"PTO"</formula>
    </cfRule>
  </conditionalFormatting>
  <conditionalFormatting sqref="D20:H32">
    <cfRule type="cellIs" dxfId="878" priority="4089" operator="equal">
      <formula>"OFF"</formula>
    </cfRule>
    <cfRule type="cellIs" dxfId="877" priority="4090" operator="equal">
      <formula>"PTO"</formula>
    </cfRule>
  </conditionalFormatting>
  <conditionalFormatting sqref="D20:H32">
    <cfRule type="cellIs" dxfId="876" priority="4087" operator="equal">
      <formula>"OFF"</formula>
    </cfRule>
    <cfRule type="cellIs" dxfId="875" priority="4088" operator="equal">
      <formula>"PTO"</formula>
    </cfRule>
  </conditionalFormatting>
  <conditionalFormatting sqref="D20:H32">
    <cfRule type="cellIs" dxfId="874" priority="4085" operator="equal">
      <formula>"OFF"</formula>
    </cfRule>
    <cfRule type="cellIs" dxfId="873" priority="4086" operator="equal">
      <formula>"PTO"</formula>
    </cfRule>
  </conditionalFormatting>
  <conditionalFormatting sqref="F20:H32">
    <cfRule type="cellIs" dxfId="872" priority="4083" operator="equal">
      <formula>"OFF"</formula>
    </cfRule>
    <cfRule type="cellIs" dxfId="871" priority="4084" operator="equal">
      <formula>"PTO"</formula>
    </cfRule>
  </conditionalFormatting>
  <conditionalFormatting sqref="G20:H32">
    <cfRule type="cellIs" dxfId="870" priority="4081" operator="equal">
      <formula>"OFF"</formula>
    </cfRule>
    <cfRule type="cellIs" dxfId="869" priority="4082" operator="equal">
      <formula>"PTO"</formula>
    </cfRule>
  </conditionalFormatting>
  <conditionalFormatting sqref="G20:H32">
    <cfRule type="cellIs" dxfId="868" priority="4079" operator="equal">
      <formula>"OFF"</formula>
    </cfRule>
    <cfRule type="cellIs" dxfId="867" priority="4080" operator="equal">
      <formula>"PTO"</formula>
    </cfRule>
  </conditionalFormatting>
  <conditionalFormatting sqref="G20:H32">
    <cfRule type="cellIs" dxfId="866" priority="4077" operator="equal">
      <formula>"OFF"</formula>
    </cfRule>
    <cfRule type="cellIs" dxfId="865" priority="4078" operator="equal">
      <formula>"PTO"</formula>
    </cfRule>
  </conditionalFormatting>
  <conditionalFormatting sqref="G20:H32">
    <cfRule type="cellIs" dxfId="864" priority="4075" operator="equal">
      <formula>"OFF"</formula>
    </cfRule>
    <cfRule type="cellIs" dxfId="863" priority="4076" operator="equal">
      <formula>"PTO"</formula>
    </cfRule>
  </conditionalFormatting>
  <conditionalFormatting sqref="G20:H32">
    <cfRule type="cellIs" dxfId="862" priority="4073" operator="equal">
      <formula>"OFF"</formula>
    </cfRule>
    <cfRule type="cellIs" dxfId="861" priority="4074" operator="equal">
      <formula>"PTO"</formula>
    </cfRule>
  </conditionalFormatting>
  <conditionalFormatting sqref="G20:H32">
    <cfRule type="cellIs" dxfId="860" priority="4071" operator="equal">
      <formula>"OFF"</formula>
    </cfRule>
    <cfRule type="cellIs" dxfId="859" priority="4072" operator="equal">
      <formula>"PTO"</formula>
    </cfRule>
  </conditionalFormatting>
  <conditionalFormatting sqref="G20:H32">
    <cfRule type="cellIs" dxfId="858" priority="4069" operator="equal">
      <formula>"OFF"</formula>
    </cfRule>
    <cfRule type="cellIs" dxfId="857" priority="4070" operator="equal">
      <formula>"PTO"</formula>
    </cfRule>
  </conditionalFormatting>
  <conditionalFormatting sqref="G20:H32">
    <cfRule type="cellIs" dxfId="856" priority="4067" operator="equal">
      <formula>"OFF"</formula>
    </cfRule>
    <cfRule type="cellIs" dxfId="855" priority="4068" operator="equal">
      <formula>"PTO"</formula>
    </cfRule>
  </conditionalFormatting>
  <conditionalFormatting sqref="I20:I32">
    <cfRule type="cellIs" dxfId="854" priority="4065" operator="equal">
      <formula>"OFF"</formula>
    </cfRule>
    <cfRule type="cellIs" dxfId="853" priority="4066" operator="equal">
      <formula>"PTO"</formula>
    </cfRule>
  </conditionalFormatting>
  <conditionalFormatting sqref="I20:I32">
    <cfRule type="cellIs" dxfId="852" priority="4063" operator="equal">
      <formula>"OFF"</formula>
    </cfRule>
    <cfRule type="cellIs" dxfId="851" priority="4064" operator="equal">
      <formula>"PTO"</formula>
    </cfRule>
  </conditionalFormatting>
  <conditionalFormatting sqref="I20:I32">
    <cfRule type="cellIs" dxfId="850" priority="4061" operator="equal">
      <formula>"OFF"</formula>
    </cfRule>
    <cfRule type="cellIs" dxfId="849" priority="4062" operator="equal">
      <formula>"PTO"</formula>
    </cfRule>
  </conditionalFormatting>
  <conditionalFormatting sqref="D14:I32">
    <cfRule type="cellIs" dxfId="848" priority="4047" operator="equal">
      <formula>"OFF"</formula>
    </cfRule>
    <cfRule type="cellIs" dxfId="847" priority="4048" operator="equal">
      <formula>"PTO"</formula>
    </cfRule>
  </conditionalFormatting>
  <conditionalFormatting sqref="D14:I32">
    <cfRule type="cellIs" dxfId="846" priority="4045" operator="equal">
      <formula>"OFF"</formula>
    </cfRule>
    <cfRule type="cellIs" dxfId="845" priority="4046" operator="equal">
      <formula>"PTO"</formula>
    </cfRule>
  </conditionalFormatting>
  <conditionalFormatting sqref="D14:I32">
    <cfRule type="cellIs" dxfId="844" priority="4041" operator="equal">
      <formula>"OFF"</formula>
    </cfRule>
    <cfRule type="cellIs" dxfId="843" priority="4042" operator="equal">
      <formula>"PTO"</formula>
    </cfRule>
  </conditionalFormatting>
  <conditionalFormatting sqref="D14:I32">
    <cfRule type="cellIs" dxfId="842" priority="4039" operator="equal">
      <formula>"OFF"</formula>
    </cfRule>
    <cfRule type="cellIs" dxfId="841" priority="4040" operator="equal">
      <formula>"PTO"</formula>
    </cfRule>
  </conditionalFormatting>
  <conditionalFormatting sqref="D14:H32">
    <cfRule type="cellIs" dxfId="840" priority="4037" operator="equal">
      <formula>"OFF"</formula>
    </cfRule>
    <cfRule type="cellIs" dxfId="839" priority="4038" operator="equal">
      <formula>"PTO"</formula>
    </cfRule>
  </conditionalFormatting>
  <conditionalFormatting sqref="D14:H32">
    <cfRule type="cellIs" dxfId="838" priority="4035" operator="equal">
      <formula>"OFF"</formula>
    </cfRule>
    <cfRule type="cellIs" dxfId="837" priority="4036" operator="equal">
      <formula>"PTO"</formula>
    </cfRule>
  </conditionalFormatting>
  <conditionalFormatting sqref="D14:H32">
    <cfRule type="cellIs" dxfId="836" priority="4033" operator="equal">
      <formula>"OFF"</formula>
    </cfRule>
    <cfRule type="cellIs" dxfId="835" priority="4034" operator="equal">
      <formula>"PTO"</formula>
    </cfRule>
  </conditionalFormatting>
  <conditionalFormatting sqref="D14:H32">
    <cfRule type="cellIs" dxfId="834" priority="4031" operator="equal">
      <formula>"OFF"</formula>
    </cfRule>
    <cfRule type="cellIs" dxfId="833" priority="4032" operator="equal">
      <formula>"PTO"</formula>
    </cfRule>
  </conditionalFormatting>
  <conditionalFormatting sqref="D14:I32">
    <cfRule type="cellIs" dxfId="832" priority="4029" operator="equal">
      <formula>"OFF"</formula>
    </cfRule>
    <cfRule type="cellIs" dxfId="831" priority="4030" operator="equal">
      <formula>"PTO"</formula>
    </cfRule>
  </conditionalFormatting>
  <conditionalFormatting sqref="D14:I32">
    <cfRule type="cellIs" dxfId="830" priority="4025" operator="equal">
      <formula>"OFF"</formula>
    </cfRule>
    <cfRule type="cellIs" dxfId="829" priority="4026" operator="equal">
      <formula>"PTO"</formula>
    </cfRule>
  </conditionalFormatting>
  <conditionalFormatting sqref="D14:I32">
    <cfRule type="cellIs" dxfId="828" priority="4023" operator="equal">
      <formula>"OFF"</formula>
    </cfRule>
    <cfRule type="cellIs" dxfId="827" priority="4024" operator="equal">
      <formula>"PTO"</formula>
    </cfRule>
  </conditionalFormatting>
  <conditionalFormatting sqref="D14:H32">
    <cfRule type="cellIs" dxfId="826" priority="4021" operator="equal">
      <formula>"OFF"</formula>
    </cfRule>
    <cfRule type="cellIs" dxfId="825" priority="4022" operator="equal">
      <formula>"PTO"</formula>
    </cfRule>
  </conditionalFormatting>
  <conditionalFormatting sqref="D14:H32">
    <cfRule type="cellIs" dxfId="824" priority="4019" operator="equal">
      <formula>"OFF"</formula>
    </cfRule>
    <cfRule type="cellIs" dxfId="823" priority="4020" operator="equal">
      <formula>"PTO"</formula>
    </cfRule>
  </conditionalFormatting>
  <conditionalFormatting sqref="D14:H32">
    <cfRule type="cellIs" dxfId="822" priority="4017" operator="equal">
      <formula>"OFF"</formula>
    </cfRule>
    <cfRule type="cellIs" dxfId="821" priority="4018" operator="equal">
      <formula>"PTO"</formula>
    </cfRule>
  </conditionalFormatting>
  <conditionalFormatting sqref="D14:H32">
    <cfRule type="cellIs" dxfId="820" priority="4015" operator="equal">
      <formula>"OFF"</formula>
    </cfRule>
    <cfRule type="cellIs" dxfId="819" priority="4016" operator="equal">
      <formula>"PTO"</formula>
    </cfRule>
  </conditionalFormatting>
  <conditionalFormatting sqref="D14:I32">
    <cfRule type="cellIs" dxfId="818" priority="4013" operator="equal">
      <formula>"OFF"</formula>
    </cfRule>
    <cfRule type="cellIs" dxfId="817" priority="4014" operator="equal">
      <formula>"PTO"</formula>
    </cfRule>
  </conditionalFormatting>
  <conditionalFormatting sqref="D14:I32">
    <cfRule type="cellIs" dxfId="816" priority="4011" operator="equal">
      <formula>"OFF"</formula>
    </cfRule>
    <cfRule type="cellIs" dxfId="815" priority="4012" operator="equal">
      <formula>"PTO"</formula>
    </cfRule>
  </conditionalFormatting>
  <conditionalFormatting sqref="D14:I32">
    <cfRule type="cellIs" dxfId="814" priority="4009" operator="equal">
      <formula>"OFF"</formula>
    </cfRule>
    <cfRule type="cellIs" dxfId="813" priority="4010" operator="equal">
      <formula>"PTO"</formula>
    </cfRule>
  </conditionalFormatting>
  <conditionalFormatting sqref="D14:I32">
    <cfRule type="cellIs" dxfId="812" priority="4007" operator="equal">
      <formula>"OFF"</formula>
    </cfRule>
    <cfRule type="cellIs" dxfId="811" priority="4008" operator="equal">
      <formula>"PTO"</formula>
    </cfRule>
  </conditionalFormatting>
  <conditionalFormatting sqref="D14:H32">
    <cfRule type="cellIs" dxfId="810" priority="4005" operator="equal">
      <formula>"OFF"</formula>
    </cfRule>
    <cfRule type="cellIs" dxfId="809" priority="4006" operator="equal">
      <formula>"PTO"</formula>
    </cfRule>
  </conditionalFormatting>
  <conditionalFormatting sqref="D14:H32">
    <cfRule type="cellIs" dxfId="808" priority="4003" operator="equal">
      <formula>"OFF"</formula>
    </cfRule>
    <cfRule type="cellIs" dxfId="807" priority="4004" operator="equal">
      <formula>"PTO"</formula>
    </cfRule>
  </conditionalFormatting>
  <conditionalFormatting sqref="D14:H32">
    <cfRule type="cellIs" dxfId="806" priority="4001" operator="equal">
      <formula>"OFF"</formula>
    </cfRule>
    <cfRule type="cellIs" dxfId="805" priority="4002" operator="equal">
      <formula>"PTO"</formula>
    </cfRule>
  </conditionalFormatting>
  <conditionalFormatting sqref="D14:H32">
    <cfRule type="cellIs" dxfId="804" priority="3999" operator="equal">
      <formula>"OFF"</formula>
    </cfRule>
    <cfRule type="cellIs" dxfId="803" priority="4000" operator="equal">
      <formula>"PTO"</formula>
    </cfRule>
  </conditionalFormatting>
  <conditionalFormatting sqref="D14:I32">
    <cfRule type="cellIs" dxfId="802" priority="3997" operator="equal">
      <formula>"OFF"</formula>
    </cfRule>
    <cfRule type="cellIs" dxfId="801" priority="3998" operator="equal">
      <formula>"PTO"</formula>
    </cfRule>
  </conditionalFormatting>
  <conditionalFormatting sqref="D14:I32">
    <cfRule type="cellIs" dxfId="800" priority="3991" operator="equal">
      <formula>"OFF"</formula>
    </cfRule>
    <cfRule type="cellIs" dxfId="799" priority="3992" operator="equal">
      <formula>"PTO"</formula>
    </cfRule>
  </conditionalFormatting>
  <conditionalFormatting sqref="D14:H32">
    <cfRule type="cellIs" dxfId="798" priority="3989" operator="equal">
      <formula>"OFF"</formula>
    </cfRule>
    <cfRule type="cellIs" dxfId="797" priority="3990" operator="equal">
      <formula>"PTO"</formula>
    </cfRule>
  </conditionalFormatting>
  <conditionalFormatting sqref="D14:H32">
    <cfRule type="cellIs" dxfId="796" priority="3987" operator="equal">
      <formula>"OFF"</formula>
    </cfRule>
    <cfRule type="cellIs" dxfId="795" priority="3988" operator="equal">
      <formula>"PTO"</formula>
    </cfRule>
  </conditionalFormatting>
  <conditionalFormatting sqref="D14:H32">
    <cfRule type="cellIs" dxfId="794" priority="3985" operator="equal">
      <formula>"OFF"</formula>
    </cfRule>
    <cfRule type="cellIs" dxfId="793" priority="3986" operator="equal">
      <formula>"PTO"</formula>
    </cfRule>
  </conditionalFormatting>
  <conditionalFormatting sqref="D14:H32">
    <cfRule type="cellIs" dxfId="792" priority="3983" operator="equal">
      <formula>"OFF"</formula>
    </cfRule>
    <cfRule type="cellIs" dxfId="791" priority="3984" operator="equal">
      <formula>"PTO"</formula>
    </cfRule>
  </conditionalFormatting>
  <conditionalFormatting sqref="D14:I32">
    <cfRule type="cellIs" dxfId="790" priority="3981" operator="equal">
      <formula>"OFF"</formula>
    </cfRule>
    <cfRule type="cellIs" dxfId="789" priority="3982" operator="equal">
      <formula>"PTO"</formula>
    </cfRule>
  </conditionalFormatting>
  <conditionalFormatting sqref="D14:I32">
    <cfRule type="cellIs" dxfId="788" priority="3979" operator="equal">
      <formula>"OFF"</formula>
    </cfRule>
    <cfRule type="cellIs" dxfId="787" priority="3980" operator="equal">
      <formula>"PTO"</formula>
    </cfRule>
  </conditionalFormatting>
  <conditionalFormatting sqref="D14:I32">
    <cfRule type="cellIs" dxfId="786" priority="3977" operator="equal">
      <formula>"OFF"</formula>
    </cfRule>
    <cfRule type="cellIs" dxfId="785" priority="3978" operator="equal">
      <formula>"PTO"</formula>
    </cfRule>
  </conditionalFormatting>
  <conditionalFormatting sqref="D14:I32">
    <cfRule type="cellIs" dxfId="784" priority="3975" operator="equal">
      <formula>"OFF"</formula>
    </cfRule>
    <cfRule type="cellIs" dxfId="783" priority="3976" operator="equal">
      <formula>"PTO"</formula>
    </cfRule>
  </conditionalFormatting>
  <conditionalFormatting sqref="D14:I32">
    <cfRule type="cellIs" dxfId="782" priority="3973" operator="equal">
      <formula>"OFF"</formula>
    </cfRule>
    <cfRule type="cellIs" dxfId="781" priority="3974" operator="equal">
      <formula>"PTO"</formula>
    </cfRule>
  </conditionalFormatting>
  <conditionalFormatting sqref="D14:I32">
    <cfRule type="cellIs" dxfId="780" priority="3971" operator="equal">
      <formula>"OFF"</formula>
    </cfRule>
    <cfRule type="cellIs" dxfId="779" priority="3972" operator="equal">
      <formula>"PTO"</formula>
    </cfRule>
  </conditionalFormatting>
  <conditionalFormatting sqref="D14:I32">
    <cfRule type="cellIs" dxfId="778" priority="3969" operator="equal">
      <formula>"OFF"</formula>
    </cfRule>
    <cfRule type="cellIs" dxfId="777" priority="3970" operator="equal">
      <formula>"PTO"</formula>
    </cfRule>
  </conditionalFormatting>
  <conditionalFormatting sqref="D14:I32">
    <cfRule type="cellIs" dxfId="776" priority="3967" operator="equal">
      <formula>"OFF"</formula>
    </cfRule>
    <cfRule type="cellIs" dxfId="775" priority="3968" operator="equal">
      <formula>"PTO"</formula>
    </cfRule>
  </conditionalFormatting>
  <conditionalFormatting sqref="D14:I32">
    <cfRule type="cellIs" dxfId="774" priority="3965" operator="equal">
      <formula>"OFF"</formula>
    </cfRule>
    <cfRule type="cellIs" dxfId="773" priority="3966" operator="equal">
      <formula>"PTO"</formula>
    </cfRule>
  </conditionalFormatting>
  <conditionalFormatting sqref="D14:I32">
    <cfRule type="cellIs" dxfId="772" priority="3963" operator="equal">
      <formula>"OFF"</formula>
    </cfRule>
    <cfRule type="cellIs" dxfId="771" priority="3964" operator="equal">
      <formula>"PTO"</formula>
    </cfRule>
  </conditionalFormatting>
  <conditionalFormatting sqref="D14:I32">
    <cfRule type="cellIs" dxfId="770" priority="3961" operator="equal">
      <formula>"OFF"</formula>
    </cfRule>
    <cfRule type="cellIs" dxfId="769" priority="3962" operator="equal">
      <formula>"PTO"</formula>
    </cfRule>
  </conditionalFormatting>
  <conditionalFormatting sqref="D14:I32">
    <cfRule type="cellIs" dxfId="768" priority="3959" operator="equal">
      <formula>"OFF"</formula>
    </cfRule>
    <cfRule type="cellIs" dxfId="767" priority="3960" operator="equal">
      <formula>"PTO"</formula>
    </cfRule>
  </conditionalFormatting>
  <conditionalFormatting sqref="D14:I32">
    <cfRule type="cellIs" dxfId="766" priority="3957" operator="equal">
      <formula>"OFF"</formula>
    </cfRule>
    <cfRule type="cellIs" dxfId="765" priority="3958" operator="equal">
      <formula>"PTO"</formula>
    </cfRule>
  </conditionalFormatting>
  <conditionalFormatting sqref="D14:I32">
    <cfRule type="cellIs" dxfId="764" priority="3955" operator="equal">
      <formula>"OFF"</formula>
    </cfRule>
    <cfRule type="cellIs" dxfId="763" priority="3956" operator="equal">
      <formula>"PTO"</formula>
    </cfRule>
  </conditionalFormatting>
  <conditionalFormatting sqref="D14:I32">
    <cfRule type="cellIs" dxfId="762" priority="3953" operator="equal">
      <formula>"OFF"</formula>
    </cfRule>
    <cfRule type="cellIs" dxfId="761" priority="3954" operator="equal">
      <formula>"PTO"</formula>
    </cfRule>
  </conditionalFormatting>
  <conditionalFormatting sqref="D14:I32">
    <cfRule type="cellIs" dxfId="760" priority="3951" operator="equal">
      <formula>"OFF"</formula>
    </cfRule>
    <cfRule type="cellIs" dxfId="759" priority="3952" operator="equal">
      <formula>"PTO"</formula>
    </cfRule>
  </conditionalFormatting>
  <conditionalFormatting sqref="D14:I32">
    <cfRule type="cellIs" dxfId="758" priority="3949" operator="equal">
      <formula>"OFF"</formula>
    </cfRule>
    <cfRule type="cellIs" dxfId="757" priority="3950" operator="equal">
      <formula>"PTO"</formula>
    </cfRule>
  </conditionalFormatting>
  <conditionalFormatting sqref="D14:I32">
    <cfRule type="cellIs" dxfId="756" priority="3947" operator="equal">
      <formula>"OFF"</formula>
    </cfRule>
    <cfRule type="cellIs" dxfId="755" priority="3948" operator="equal">
      <formula>"PTO"</formula>
    </cfRule>
  </conditionalFormatting>
  <conditionalFormatting sqref="D14:I32">
    <cfRule type="cellIs" dxfId="754" priority="3945" operator="equal">
      <formula>"OFF"</formula>
    </cfRule>
    <cfRule type="cellIs" dxfId="753" priority="3946" operator="equal">
      <formula>"PTO"</formula>
    </cfRule>
  </conditionalFormatting>
  <conditionalFormatting sqref="D14:I32">
    <cfRule type="cellIs" dxfId="752" priority="3943" operator="equal">
      <formula>"OFF"</formula>
    </cfRule>
    <cfRule type="cellIs" dxfId="751" priority="3944" operator="equal">
      <formula>"PTO"</formula>
    </cfRule>
  </conditionalFormatting>
  <conditionalFormatting sqref="D14:I32">
    <cfRule type="cellIs" dxfId="750" priority="3941" operator="equal">
      <formula>"OFF"</formula>
    </cfRule>
    <cfRule type="cellIs" dxfId="749" priority="3942" operator="equal">
      <formula>"PTO"</formula>
    </cfRule>
  </conditionalFormatting>
  <conditionalFormatting sqref="D14:I32">
    <cfRule type="cellIs" dxfId="748" priority="3939" operator="equal">
      <formula>"OFF"</formula>
    </cfRule>
    <cfRule type="cellIs" dxfId="747" priority="3940" operator="equal">
      <formula>"PTO"</formula>
    </cfRule>
  </conditionalFormatting>
  <conditionalFormatting sqref="D14:I32">
    <cfRule type="cellIs" dxfId="746" priority="3937" operator="equal">
      <formula>"OFF"</formula>
    </cfRule>
    <cfRule type="cellIs" dxfId="745" priority="3938" operator="equal">
      <formula>"PTO"</formula>
    </cfRule>
  </conditionalFormatting>
  <conditionalFormatting sqref="D14:I32">
    <cfRule type="cellIs" dxfId="744" priority="3935" operator="equal">
      <formula>"OFF"</formula>
    </cfRule>
    <cfRule type="cellIs" dxfId="743" priority="3936" operator="equal">
      <formula>"PTO"</formula>
    </cfRule>
  </conditionalFormatting>
  <conditionalFormatting sqref="D14:I32">
    <cfRule type="cellIs" dxfId="742" priority="3933" operator="equal">
      <formula>"OFF"</formula>
    </cfRule>
    <cfRule type="cellIs" dxfId="741" priority="3934" operator="equal">
      <formula>"PTO"</formula>
    </cfRule>
  </conditionalFormatting>
  <conditionalFormatting sqref="D14:H32">
    <cfRule type="cellIs" dxfId="740" priority="3931" operator="equal">
      <formula>"OFF"</formula>
    </cfRule>
    <cfRule type="cellIs" dxfId="739" priority="3932" operator="equal">
      <formula>"PTO"</formula>
    </cfRule>
  </conditionalFormatting>
  <conditionalFormatting sqref="D14:H32">
    <cfRule type="cellIs" dxfId="738" priority="3929" operator="equal">
      <formula>"OFF"</formula>
    </cfRule>
    <cfRule type="cellIs" dxfId="737" priority="3930" operator="equal">
      <formula>"PTO"</formula>
    </cfRule>
  </conditionalFormatting>
  <conditionalFormatting sqref="D14:H32">
    <cfRule type="cellIs" dxfId="736" priority="3927" operator="equal">
      <formula>"OFF"</formula>
    </cfRule>
    <cfRule type="cellIs" dxfId="735" priority="3928" operator="equal">
      <formula>"PTO"</formula>
    </cfRule>
  </conditionalFormatting>
  <conditionalFormatting sqref="D14:H32">
    <cfRule type="cellIs" dxfId="734" priority="3925" operator="equal">
      <formula>"OFF"</formula>
    </cfRule>
    <cfRule type="cellIs" dxfId="733" priority="3926" operator="equal">
      <formula>"PTO"</formula>
    </cfRule>
  </conditionalFormatting>
  <conditionalFormatting sqref="D14:H32">
    <cfRule type="cellIs" dxfId="732" priority="3923" operator="equal">
      <formula>"OFF"</formula>
    </cfRule>
    <cfRule type="cellIs" dxfId="731" priority="3924" operator="equal">
      <formula>"PTO"</formula>
    </cfRule>
  </conditionalFormatting>
  <conditionalFormatting sqref="D14:H32">
    <cfRule type="cellIs" dxfId="730" priority="3921" operator="equal">
      <formula>"OFF"</formula>
    </cfRule>
    <cfRule type="cellIs" dxfId="729" priority="3922" operator="equal">
      <formula>"PTO"</formula>
    </cfRule>
  </conditionalFormatting>
  <conditionalFormatting sqref="D14:H32">
    <cfRule type="cellIs" dxfId="728" priority="3919" operator="equal">
      <formula>"OFF"</formula>
    </cfRule>
    <cfRule type="cellIs" dxfId="727" priority="3920" operator="equal">
      <formula>"PTO"</formula>
    </cfRule>
  </conditionalFormatting>
  <conditionalFormatting sqref="D14:H32">
    <cfRule type="cellIs" dxfId="726" priority="3917" operator="equal">
      <formula>"OFF"</formula>
    </cfRule>
    <cfRule type="cellIs" dxfId="725" priority="3918" operator="equal">
      <formula>"PTO"</formula>
    </cfRule>
  </conditionalFormatting>
  <conditionalFormatting sqref="D14:H32">
    <cfRule type="cellIs" dxfId="724" priority="3915" operator="equal">
      <formula>"OFF"</formula>
    </cfRule>
    <cfRule type="cellIs" dxfId="723" priority="3916" operator="equal">
      <formula>"PTO"</formula>
    </cfRule>
  </conditionalFormatting>
  <conditionalFormatting sqref="D14:H32">
    <cfRule type="cellIs" dxfId="722" priority="3913" operator="equal">
      <formula>"OFF"</formula>
    </cfRule>
    <cfRule type="cellIs" dxfId="721" priority="3914" operator="equal">
      <formula>"PTO"</formula>
    </cfRule>
  </conditionalFormatting>
  <conditionalFormatting sqref="D14:H32">
    <cfRule type="cellIs" dxfId="720" priority="3911" operator="equal">
      <formula>"OFF"</formula>
    </cfRule>
    <cfRule type="cellIs" dxfId="719" priority="3912" operator="equal">
      <formula>"PTO"</formula>
    </cfRule>
  </conditionalFormatting>
  <conditionalFormatting sqref="D14:H32">
    <cfRule type="cellIs" dxfId="718" priority="3909" operator="equal">
      <formula>"OFF"</formula>
    </cfRule>
    <cfRule type="cellIs" dxfId="717" priority="3910" operator="equal">
      <formula>"PTO"</formula>
    </cfRule>
  </conditionalFormatting>
  <conditionalFormatting sqref="D14:H32">
    <cfRule type="cellIs" dxfId="716" priority="3907" operator="equal">
      <formula>"OFF"</formula>
    </cfRule>
    <cfRule type="cellIs" dxfId="715" priority="3908" operator="equal">
      <formula>"PTO"</formula>
    </cfRule>
  </conditionalFormatting>
  <conditionalFormatting sqref="D14:H32">
    <cfRule type="cellIs" dxfId="714" priority="3905" operator="equal">
      <formula>"OFF"</formula>
    </cfRule>
    <cfRule type="cellIs" dxfId="713" priority="3906" operator="equal">
      <formula>"PTO"</formula>
    </cfRule>
  </conditionalFormatting>
  <conditionalFormatting sqref="D14:H32">
    <cfRule type="cellIs" dxfId="712" priority="3903" operator="equal">
      <formula>"OFF"</formula>
    </cfRule>
    <cfRule type="cellIs" dxfId="711" priority="3904" operator="equal">
      <formula>"PTO"</formula>
    </cfRule>
  </conditionalFormatting>
  <conditionalFormatting sqref="D14:H32">
    <cfRule type="cellIs" dxfId="710" priority="3901" operator="equal">
      <formula>"OFF"</formula>
    </cfRule>
    <cfRule type="cellIs" dxfId="709" priority="3902" operator="equal">
      <formula>"PTO"</formula>
    </cfRule>
  </conditionalFormatting>
  <conditionalFormatting sqref="D14:H32">
    <cfRule type="cellIs" dxfId="708" priority="3899" operator="equal">
      <formula>"OFF"</formula>
    </cfRule>
    <cfRule type="cellIs" dxfId="707" priority="3900" operator="equal">
      <formula>"PTO"</formula>
    </cfRule>
  </conditionalFormatting>
  <conditionalFormatting sqref="D14:H32">
    <cfRule type="cellIs" dxfId="706" priority="3897" operator="equal">
      <formula>"OFF"</formula>
    </cfRule>
    <cfRule type="cellIs" dxfId="705" priority="3898" operator="equal">
      <formula>"PTO"</formula>
    </cfRule>
  </conditionalFormatting>
  <conditionalFormatting sqref="D14:H32">
    <cfRule type="cellIs" dxfId="704" priority="3895" operator="equal">
      <formula>"OFF"</formula>
    </cfRule>
    <cfRule type="cellIs" dxfId="703" priority="3896" operator="equal">
      <formula>"PTO"</formula>
    </cfRule>
  </conditionalFormatting>
  <conditionalFormatting sqref="D14:H32">
    <cfRule type="cellIs" dxfId="702" priority="3893" operator="equal">
      <formula>"OFF"</formula>
    </cfRule>
    <cfRule type="cellIs" dxfId="701" priority="3894" operator="equal">
      <formula>"PTO"</formula>
    </cfRule>
  </conditionalFormatting>
  <conditionalFormatting sqref="D14:H32">
    <cfRule type="cellIs" dxfId="700" priority="3891" operator="equal">
      <formula>"OFF"</formula>
    </cfRule>
    <cfRule type="cellIs" dxfId="699" priority="3892" operator="equal">
      <formula>"PTO"</formula>
    </cfRule>
  </conditionalFormatting>
  <conditionalFormatting sqref="D14:H32">
    <cfRule type="cellIs" dxfId="698" priority="3889" operator="equal">
      <formula>"OFF"</formula>
    </cfRule>
    <cfRule type="cellIs" dxfId="697" priority="3890" operator="equal">
      <formula>"PTO"</formula>
    </cfRule>
  </conditionalFormatting>
  <conditionalFormatting sqref="D14:H32">
    <cfRule type="cellIs" dxfId="696" priority="3887" operator="equal">
      <formula>"OFF"</formula>
    </cfRule>
    <cfRule type="cellIs" dxfId="695" priority="3888" operator="equal">
      <formula>"PTO"</formula>
    </cfRule>
  </conditionalFormatting>
  <conditionalFormatting sqref="D14:H32">
    <cfRule type="cellIs" dxfId="694" priority="3885" operator="equal">
      <formula>"OFF"</formula>
    </cfRule>
    <cfRule type="cellIs" dxfId="693" priority="3886" operator="equal">
      <formula>"PTO"</formula>
    </cfRule>
  </conditionalFormatting>
  <conditionalFormatting sqref="D14:H32">
    <cfRule type="cellIs" dxfId="692" priority="3883" operator="equal">
      <formula>"OFF"</formula>
    </cfRule>
    <cfRule type="cellIs" dxfId="691" priority="3884" operator="equal">
      <formula>"PTO"</formula>
    </cfRule>
  </conditionalFormatting>
  <conditionalFormatting sqref="F14:H32">
    <cfRule type="cellIs" dxfId="690" priority="3881" operator="equal">
      <formula>"OFF"</formula>
    </cfRule>
    <cfRule type="cellIs" dxfId="689" priority="3882" operator="equal">
      <formula>"PTO"</formula>
    </cfRule>
  </conditionalFormatting>
  <conditionalFormatting sqref="G14:H32">
    <cfRule type="cellIs" dxfId="688" priority="3879" operator="equal">
      <formula>"OFF"</formula>
    </cfRule>
    <cfRule type="cellIs" dxfId="687" priority="3880" operator="equal">
      <formula>"PTO"</formula>
    </cfRule>
  </conditionalFormatting>
  <conditionalFormatting sqref="G14:H32">
    <cfRule type="cellIs" dxfId="686" priority="3877" operator="equal">
      <formula>"OFF"</formula>
    </cfRule>
    <cfRule type="cellIs" dxfId="685" priority="3878" operator="equal">
      <formula>"PTO"</formula>
    </cfRule>
  </conditionalFormatting>
  <conditionalFormatting sqref="G14:H32">
    <cfRule type="cellIs" dxfId="684" priority="3875" operator="equal">
      <formula>"OFF"</formula>
    </cfRule>
    <cfRule type="cellIs" dxfId="683" priority="3876" operator="equal">
      <formula>"PTO"</formula>
    </cfRule>
  </conditionalFormatting>
  <conditionalFormatting sqref="G14:H32">
    <cfRule type="cellIs" dxfId="682" priority="3873" operator="equal">
      <formula>"OFF"</formula>
    </cfRule>
    <cfRule type="cellIs" dxfId="681" priority="3874" operator="equal">
      <formula>"PTO"</formula>
    </cfRule>
  </conditionalFormatting>
  <conditionalFormatting sqref="G14:H32">
    <cfRule type="cellIs" dxfId="680" priority="3871" operator="equal">
      <formula>"OFF"</formula>
    </cfRule>
    <cfRule type="cellIs" dxfId="679" priority="3872" operator="equal">
      <formula>"PTO"</formula>
    </cfRule>
  </conditionalFormatting>
  <conditionalFormatting sqref="G14:H32">
    <cfRule type="cellIs" dxfId="678" priority="3869" operator="equal">
      <formula>"OFF"</formula>
    </cfRule>
    <cfRule type="cellIs" dxfId="677" priority="3870" operator="equal">
      <formula>"PTO"</formula>
    </cfRule>
  </conditionalFormatting>
  <conditionalFormatting sqref="G14:H32">
    <cfRule type="cellIs" dxfId="676" priority="3867" operator="equal">
      <formula>"OFF"</formula>
    </cfRule>
    <cfRule type="cellIs" dxfId="675" priority="3868" operator="equal">
      <formula>"PTO"</formula>
    </cfRule>
  </conditionalFormatting>
  <conditionalFormatting sqref="G14:H32">
    <cfRule type="cellIs" dxfId="674" priority="3865" operator="equal">
      <formula>"OFF"</formula>
    </cfRule>
    <cfRule type="cellIs" dxfId="673" priority="3866" operator="equal">
      <formula>"PTO"</formula>
    </cfRule>
  </conditionalFormatting>
  <conditionalFormatting sqref="I14:I32">
    <cfRule type="cellIs" dxfId="672" priority="3863" operator="equal">
      <formula>"OFF"</formula>
    </cfRule>
    <cfRule type="cellIs" dxfId="671" priority="3864" operator="equal">
      <formula>"PTO"</formula>
    </cfRule>
  </conditionalFormatting>
  <conditionalFormatting sqref="I14:I32">
    <cfRule type="cellIs" dxfId="670" priority="3861" operator="equal">
      <formula>"OFF"</formula>
    </cfRule>
    <cfRule type="cellIs" dxfId="669" priority="3862" operator="equal">
      <formula>"PTO"</formula>
    </cfRule>
  </conditionalFormatting>
  <conditionalFormatting sqref="I14:I32">
    <cfRule type="cellIs" dxfId="668" priority="3859" operator="equal">
      <formula>"OFF"</formula>
    </cfRule>
    <cfRule type="cellIs" dxfId="667" priority="3860" operator="equal">
      <formula>"PTO"</formula>
    </cfRule>
  </conditionalFormatting>
  <conditionalFormatting sqref="I14:I32">
    <cfRule type="cellIs" dxfId="666" priority="3857" operator="equal">
      <formula>"OFF"</formula>
    </cfRule>
    <cfRule type="cellIs" dxfId="665" priority="3858" operator="equal">
      <formula>"PTO"</formula>
    </cfRule>
  </conditionalFormatting>
  <conditionalFormatting sqref="I14:I32">
    <cfRule type="cellIs" dxfId="664" priority="3855" operator="equal">
      <formula>"OFF"</formula>
    </cfRule>
    <cfRule type="cellIs" dxfId="663" priority="3856" operator="equal">
      <formula>"PTO"</formula>
    </cfRule>
  </conditionalFormatting>
  <conditionalFormatting sqref="I14:I32">
    <cfRule type="cellIs" dxfId="662" priority="3853" operator="equal">
      <formula>"OFF"</formula>
    </cfRule>
    <cfRule type="cellIs" dxfId="661" priority="3854" operator="equal">
      <formula>"PTO"</formula>
    </cfRule>
  </conditionalFormatting>
  <conditionalFormatting sqref="I14:I32">
    <cfRule type="cellIs" dxfId="660" priority="3851" operator="equal">
      <formula>"OFF"</formula>
    </cfRule>
    <cfRule type="cellIs" dxfId="659" priority="3852" operator="equal">
      <formula>"PTO"</formula>
    </cfRule>
  </conditionalFormatting>
  <conditionalFormatting sqref="I14:I32">
    <cfRule type="cellIs" dxfId="658" priority="3849" operator="equal">
      <formula>"OFF"</formula>
    </cfRule>
    <cfRule type="cellIs" dxfId="657" priority="3850" operator="equal">
      <formula>"PTO"</formula>
    </cfRule>
  </conditionalFormatting>
  <conditionalFormatting sqref="D19">
    <cfRule type="cellIs" dxfId="656" priority="3847" operator="equal">
      <formula>"OFF"</formula>
    </cfRule>
    <cfRule type="cellIs" dxfId="655" priority="3848" operator="equal">
      <formula>"PTO"</formula>
    </cfRule>
  </conditionalFormatting>
  <conditionalFormatting sqref="D19">
    <cfRule type="cellIs" dxfId="654" priority="3845" operator="equal">
      <formula>"OFF"</formula>
    </cfRule>
    <cfRule type="cellIs" dxfId="653" priority="3846" operator="equal">
      <formula>"PTO"</formula>
    </cfRule>
  </conditionalFormatting>
  <conditionalFormatting sqref="D19">
    <cfRule type="cellIs" dxfId="652" priority="3843" operator="equal">
      <formula>"OFF"</formula>
    </cfRule>
    <cfRule type="cellIs" dxfId="651" priority="3844" operator="equal">
      <formula>"PTO"</formula>
    </cfRule>
  </conditionalFormatting>
  <conditionalFormatting sqref="D19">
    <cfRule type="cellIs" dxfId="650" priority="3841" operator="equal">
      <formula>"OFF"</formula>
    </cfRule>
    <cfRule type="cellIs" dxfId="649" priority="3842" operator="equal">
      <formula>"PTO"</formula>
    </cfRule>
  </conditionalFormatting>
  <conditionalFormatting sqref="D19">
    <cfRule type="cellIs" dxfId="648" priority="3839" operator="equal">
      <formula>"OFF"</formula>
    </cfRule>
    <cfRule type="cellIs" dxfId="647" priority="3840" operator="equal">
      <formula>"PTO"</formula>
    </cfRule>
  </conditionalFormatting>
  <conditionalFormatting sqref="D19">
    <cfRule type="cellIs" dxfId="646" priority="3837" operator="equal">
      <formula>"OFF"</formula>
    </cfRule>
    <cfRule type="cellIs" dxfId="645" priority="3838" operator="equal">
      <formula>"PTO"</formula>
    </cfRule>
  </conditionalFormatting>
  <conditionalFormatting sqref="D19">
    <cfRule type="cellIs" dxfId="644" priority="3835" operator="equal">
      <formula>"OFF"</formula>
    </cfRule>
    <cfRule type="cellIs" dxfId="643" priority="3836" operator="equal">
      <formula>"PTO"</formula>
    </cfRule>
  </conditionalFormatting>
  <conditionalFormatting sqref="D19">
    <cfRule type="cellIs" dxfId="642" priority="3833" operator="equal">
      <formula>"OFF"</formula>
    </cfRule>
    <cfRule type="cellIs" dxfId="641" priority="3834" operator="equal">
      <formula>"PTO"</formula>
    </cfRule>
  </conditionalFormatting>
  <conditionalFormatting sqref="D19">
    <cfRule type="cellIs" dxfId="640" priority="3831" operator="equal">
      <formula>"OFF"</formula>
    </cfRule>
    <cfRule type="cellIs" dxfId="639" priority="3832" operator="equal">
      <formula>"PTO"</formula>
    </cfRule>
  </conditionalFormatting>
  <conditionalFormatting sqref="D19">
    <cfRule type="cellIs" dxfId="638" priority="3829" operator="equal">
      <formula>"OFF"</formula>
    </cfRule>
    <cfRule type="cellIs" dxfId="637" priority="3830" operator="equal">
      <formula>"PTO"</formula>
    </cfRule>
  </conditionalFormatting>
  <conditionalFormatting sqref="D19">
    <cfRule type="cellIs" dxfId="636" priority="3827" operator="equal">
      <formula>"OFF"</formula>
    </cfRule>
    <cfRule type="cellIs" dxfId="635" priority="3828" operator="equal">
      <formula>"PTO"</formula>
    </cfRule>
  </conditionalFormatting>
  <conditionalFormatting sqref="D19">
    <cfRule type="cellIs" dxfId="634" priority="3825" operator="equal">
      <formula>"OFF"</formula>
    </cfRule>
    <cfRule type="cellIs" dxfId="633" priority="3826" operator="equal">
      <formula>"PTO"</formula>
    </cfRule>
  </conditionalFormatting>
  <conditionalFormatting sqref="D19">
    <cfRule type="cellIs" dxfId="632" priority="3823" operator="equal">
      <formula>"OFF"</formula>
    </cfRule>
    <cfRule type="cellIs" dxfId="631" priority="3824" operator="equal">
      <formula>"PTO"</formula>
    </cfRule>
  </conditionalFormatting>
  <conditionalFormatting sqref="D19">
    <cfRule type="cellIs" dxfId="630" priority="3821" operator="equal">
      <formula>"OFF"</formula>
    </cfRule>
    <cfRule type="cellIs" dxfId="629" priority="3822" operator="equal">
      <formula>"PTO"</formula>
    </cfRule>
  </conditionalFormatting>
  <conditionalFormatting sqref="D19">
    <cfRule type="cellIs" dxfId="628" priority="3819" operator="equal">
      <formula>"OFF"</formula>
    </cfRule>
    <cfRule type="cellIs" dxfId="627" priority="3820" operator="equal">
      <formula>"PTO"</formula>
    </cfRule>
  </conditionalFormatting>
  <conditionalFormatting sqref="D19">
    <cfRule type="cellIs" dxfId="626" priority="3817" operator="equal">
      <formula>"OFF"</formula>
    </cfRule>
    <cfRule type="cellIs" dxfId="625" priority="3818" operator="equal">
      <formula>"PTO"</formula>
    </cfRule>
  </conditionalFormatting>
  <conditionalFormatting sqref="D19">
    <cfRule type="cellIs" dxfId="624" priority="3815" operator="equal">
      <formula>"OFF"</formula>
    </cfRule>
    <cfRule type="cellIs" dxfId="623" priority="3816" operator="equal">
      <formula>"PTO"</formula>
    </cfRule>
  </conditionalFormatting>
  <conditionalFormatting sqref="D19">
    <cfRule type="cellIs" dxfId="622" priority="3813" operator="equal">
      <formula>"OFF"</formula>
    </cfRule>
    <cfRule type="cellIs" dxfId="621" priority="3814" operator="equal">
      <formula>"PTO"</formula>
    </cfRule>
  </conditionalFormatting>
  <conditionalFormatting sqref="D19">
    <cfRule type="cellIs" dxfId="620" priority="3811" operator="equal">
      <formula>"OFF"</formula>
    </cfRule>
    <cfRule type="cellIs" dxfId="619" priority="3812" operator="equal">
      <formula>"PTO"</formula>
    </cfRule>
  </conditionalFormatting>
  <conditionalFormatting sqref="D19">
    <cfRule type="cellIs" dxfId="618" priority="3809" operator="equal">
      <formula>"OFF"</formula>
    </cfRule>
    <cfRule type="cellIs" dxfId="617" priority="3810" operator="equal">
      <formula>"PTO"</formula>
    </cfRule>
  </conditionalFormatting>
  <conditionalFormatting sqref="D19">
    <cfRule type="cellIs" dxfId="616" priority="3807" operator="equal">
      <formula>"OFF"</formula>
    </cfRule>
    <cfRule type="cellIs" dxfId="615" priority="3808" operator="equal">
      <formula>"PTO"</formula>
    </cfRule>
  </conditionalFormatting>
  <conditionalFormatting sqref="D19">
    <cfRule type="cellIs" dxfId="614" priority="3805" operator="equal">
      <formula>"OFF"</formula>
    </cfRule>
    <cfRule type="cellIs" dxfId="613" priority="3806" operator="equal">
      <formula>"PTO"</formula>
    </cfRule>
  </conditionalFormatting>
  <conditionalFormatting sqref="D19">
    <cfRule type="cellIs" dxfId="612" priority="3803" operator="equal">
      <formula>"OFF"</formula>
    </cfRule>
    <cfRule type="cellIs" dxfId="611" priority="3804" operator="equal">
      <formula>"PTO"</formula>
    </cfRule>
  </conditionalFormatting>
  <conditionalFormatting sqref="D19">
    <cfRule type="cellIs" dxfId="610" priority="3801" operator="equal">
      <formula>"OFF"</formula>
    </cfRule>
    <cfRule type="cellIs" dxfId="609" priority="3802" operator="equal">
      <formula>"PTO"</formula>
    </cfRule>
  </conditionalFormatting>
  <conditionalFormatting sqref="D19">
    <cfRule type="cellIs" dxfId="608" priority="3799" operator="equal">
      <formula>"OFF"</formula>
    </cfRule>
    <cfRule type="cellIs" dxfId="607" priority="3800" operator="equal">
      <formula>"PTO"</formula>
    </cfRule>
  </conditionalFormatting>
  <conditionalFormatting sqref="D19">
    <cfRule type="cellIs" dxfId="606" priority="3797" operator="equal">
      <formula>"OFF"</formula>
    </cfRule>
    <cfRule type="cellIs" dxfId="605" priority="3798" operator="equal">
      <formula>"PTO"</formula>
    </cfRule>
  </conditionalFormatting>
  <conditionalFormatting sqref="D19">
    <cfRule type="cellIs" dxfId="604" priority="3795" operator="equal">
      <formula>"OFF"</formula>
    </cfRule>
    <cfRule type="cellIs" dxfId="603" priority="3796" operator="equal">
      <formula>"PTO"</formula>
    </cfRule>
  </conditionalFormatting>
  <conditionalFormatting sqref="D19">
    <cfRule type="cellIs" dxfId="602" priority="3793" operator="equal">
      <formula>"OFF"</formula>
    </cfRule>
    <cfRule type="cellIs" dxfId="601" priority="3794" operator="equal">
      <formula>"PTO"</formula>
    </cfRule>
  </conditionalFormatting>
  <conditionalFormatting sqref="D19">
    <cfRule type="cellIs" dxfId="600" priority="3791" operator="equal">
      <formula>"OFF"</formula>
    </cfRule>
    <cfRule type="cellIs" dxfId="599" priority="3792" operator="equal">
      <formula>"PTO"</formula>
    </cfRule>
  </conditionalFormatting>
  <conditionalFormatting sqref="D19">
    <cfRule type="cellIs" dxfId="598" priority="3789" operator="equal">
      <formula>"OFF"</formula>
    </cfRule>
    <cfRule type="cellIs" dxfId="597" priority="3790" operator="equal">
      <formula>"PTO"</formula>
    </cfRule>
  </conditionalFormatting>
  <conditionalFormatting sqref="D19">
    <cfRule type="cellIs" dxfId="596" priority="3787" operator="equal">
      <formula>"OFF"</formula>
    </cfRule>
    <cfRule type="cellIs" dxfId="595" priority="3788" operator="equal">
      <formula>"PTO"</formula>
    </cfRule>
  </conditionalFormatting>
  <conditionalFormatting sqref="D19">
    <cfRule type="cellIs" dxfId="594" priority="3785" operator="equal">
      <formula>"OFF"</formula>
    </cfRule>
    <cfRule type="cellIs" dxfId="593" priority="3786" operator="equal">
      <formula>"PTO"</formula>
    </cfRule>
  </conditionalFormatting>
  <conditionalFormatting sqref="D19:D32">
    <cfRule type="cellIs" dxfId="592" priority="3783" operator="equal">
      <formula>"OFF"</formula>
    </cfRule>
    <cfRule type="cellIs" dxfId="591" priority="3784" operator="equal">
      <formula>"PTO"</formula>
    </cfRule>
  </conditionalFormatting>
  <conditionalFormatting sqref="D19:D32">
    <cfRule type="cellIs" dxfId="590" priority="3781" operator="equal">
      <formula>"OFF"</formula>
    </cfRule>
    <cfRule type="cellIs" dxfId="589" priority="3782" operator="equal">
      <formula>"PTO"</formula>
    </cfRule>
  </conditionalFormatting>
  <conditionalFormatting sqref="D19:D32">
    <cfRule type="cellIs" dxfId="588" priority="3779" operator="equal">
      <formula>"OFF"</formula>
    </cfRule>
    <cfRule type="cellIs" dxfId="587" priority="3780" operator="equal">
      <formula>"PTO"</formula>
    </cfRule>
  </conditionalFormatting>
  <conditionalFormatting sqref="D19:D32">
    <cfRule type="cellIs" dxfId="586" priority="3777" operator="equal">
      <formula>"OFF"</formula>
    </cfRule>
    <cfRule type="cellIs" dxfId="585" priority="3778" operator="equal">
      <formula>"PTO"</formula>
    </cfRule>
  </conditionalFormatting>
  <conditionalFormatting sqref="D19:D32">
    <cfRule type="cellIs" dxfId="584" priority="3775" operator="equal">
      <formula>"OFF"</formula>
    </cfRule>
    <cfRule type="cellIs" dxfId="583" priority="3776" operator="equal">
      <formula>"PTO"</formula>
    </cfRule>
  </conditionalFormatting>
  <conditionalFormatting sqref="D19:D32">
    <cfRule type="cellIs" dxfId="582" priority="3773" operator="equal">
      <formula>"OFF"</formula>
    </cfRule>
    <cfRule type="cellIs" dxfId="581" priority="3774" operator="equal">
      <formula>"PTO"</formula>
    </cfRule>
  </conditionalFormatting>
  <conditionalFormatting sqref="D19:D32">
    <cfRule type="cellIs" dxfId="580" priority="3771" operator="equal">
      <formula>"OFF"</formula>
    </cfRule>
    <cfRule type="cellIs" dxfId="579" priority="3772" operator="equal">
      <formula>"PTO"</formula>
    </cfRule>
  </conditionalFormatting>
  <conditionalFormatting sqref="C19">
    <cfRule type="cellIs" dxfId="578" priority="3769" operator="equal">
      <formula>"OFF"</formula>
    </cfRule>
    <cfRule type="cellIs" dxfId="577" priority="3770" operator="equal">
      <formula>"PTO"</formula>
    </cfRule>
  </conditionalFormatting>
  <conditionalFormatting sqref="C19">
    <cfRule type="cellIs" dxfId="576" priority="3767" operator="equal">
      <formula>"OFF"</formula>
    </cfRule>
    <cfRule type="cellIs" dxfId="575" priority="3768" operator="equal">
      <formula>"PTO"</formula>
    </cfRule>
  </conditionalFormatting>
  <conditionalFormatting sqref="C19">
    <cfRule type="cellIs" dxfId="574" priority="3765" operator="equal">
      <formula>"OFF"</formula>
    </cfRule>
    <cfRule type="cellIs" dxfId="573" priority="3766" operator="equal">
      <formula>"PTO"</formula>
    </cfRule>
  </conditionalFormatting>
  <conditionalFormatting sqref="C19">
    <cfRule type="cellIs" dxfId="572" priority="3763" operator="equal">
      <formula>"OFF"</formula>
    </cfRule>
    <cfRule type="cellIs" dxfId="571" priority="3764" operator="equal">
      <formula>"PTO"</formula>
    </cfRule>
  </conditionalFormatting>
  <conditionalFormatting sqref="C19">
    <cfRule type="cellIs" dxfId="570" priority="3761" operator="equal">
      <formula>"OFF"</formula>
    </cfRule>
    <cfRule type="cellIs" dxfId="569" priority="3762" operator="equal">
      <formula>"PTO"</formula>
    </cfRule>
  </conditionalFormatting>
  <conditionalFormatting sqref="C19">
    <cfRule type="cellIs" dxfId="568" priority="3759" operator="equal">
      <formula>"OFF"</formula>
    </cfRule>
    <cfRule type="cellIs" dxfId="567" priority="3760" operator="equal">
      <formula>"PTO"</formula>
    </cfRule>
  </conditionalFormatting>
  <conditionalFormatting sqref="C19">
    <cfRule type="cellIs" dxfId="566" priority="3757" operator="equal">
      <formula>"OFF"</formula>
    </cfRule>
    <cfRule type="cellIs" dxfId="565" priority="3758" operator="equal">
      <formula>"PTO"</formula>
    </cfRule>
  </conditionalFormatting>
  <conditionalFormatting sqref="C19">
    <cfRule type="cellIs" dxfId="564" priority="3755" operator="equal">
      <formula>"OFF"</formula>
    </cfRule>
    <cfRule type="cellIs" dxfId="563" priority="3756" operator="equal">
      <formula>"PTO"</formula>
    </cfRule>
  </conditionalFormatting>
  <conditionalFormatting sqref="C19">
    <cfRule type="cellIs" dxfId="562" priority="3753" operator="equal">
      <formula>"OFF"</formula>
    </cfRule>
    <cfRule type="cellIs" dxfId="561" priority="3754" operator="equal">
      <formula>"PTO"</formula>
    </cfRule>
  </conditionalFormatting>
  <conditionalFormatting sqref="C19">
    <cfRule type="cellIs" dxfId="560" priority="3751" operator="equal">
      <formula>"OFF"</formula>
    </cfRule>
    <cfRule type="cellIs" dxfId="559" priority="3752" operator="equal">
      <formula>"PTO"</formula>
    </cfRule>
  </conditionalFormatting>
  <conditionalFormatting sqref="C19">
    <cfRule type="cellIs" dxfId="558" priority="3749" operator="equal">
      <formula>"OFF"</formula>
    </cfRule>
    <cfRule type="cellIs" dxfId="557" priority="3750" operator="equal">
      <formula>"PTO"</formula>
    </cfRule>
  </conditionalFormatting>
  <conditionalFormatting sqref="C19">
    <cfRule type="cellIs" dxfId="556" priority="3747" operator="equal">
      <formula>"OFF"</formula>
    </cfRule>
    <cfRule type="cellIs" dxfId="555" priority="3748" operator="equal">
      <formula>"PTO"</formula>
    </cfRule>
  </conditionalFormatting>
  <conditionalFormatting sqref="C19">
    <cfRule type="cellIs" dxfId="554" priority="3745" operator="equal">
      <formula>"OFF"</formula>
    </cfRule>
    <cfRule type="cellIs" dxfId="553" priority="3746" operator="equal">
      <formula>"PTO"</formula>
    </cfRule>
  </conditionalFormatting>
  <conditionalFormatting sqref="C19">
    <cfRule type="cellIs" dxfId="552" priority="3743" operator="equal">
      <formula>"OFF"</formula>
    </cfRule>
    <cfRule type="cellIs" dxfId="551" priority="3744" operator="equal">
      <formula>"PTO"</formula>
    </cfRule>
  </conditionalFormatting>
  <conditionalFormatting sqref="C19">
    <cfRule type="cellIs" dxfId="550" priority="3741" operator="equal">
      <formula>"OFF"</formula>
    </cfRule>
    <cfRule type="cellIs" dxfId="549" priority="3742" operator="equal">
      <formula>"PTO"</formula>
    </cfRule>
  </conditionalFormatting>
  <conditionalFormatting sqref="C19">
    <cfRule type="cellIs" dxfId="548" priority="3739" operator="equal">
      <formula>"OFF"</formula>
    </cfRule>
    <cfRule type="cellIs" dxfId="547" priority="3740" operator="equal">
      <formula>"PTO"</formula>
    </cfRule>
  </conditionalFormatting>
  <conditionalFormatting sqref="C19">
    <cfRule type="cellIs" dxfId="546" priority="3737" operator="equal">
      <formula>"OFF"</formula>
    </cfRule>
    <cfRule type="cellIs" dxfId="545" priority="3738" operator="equal">
      <formula>"PTO"</formula>
    </cfRule>
  </conditionalFormatting>
  <conditionalFormatting sqref="C19">
    <cfRule type="cellIs" dxfId="544" priority="3735" operator="equal">
      <formula>"OFF"</formula>
    </cfRule>
    <cfRule type="cellIs" dxfId="543" priority="3736" operator="equal">
      <formula>"PTO"</formula>
    </cfRule>
  </conditionalFormatting>
  <conditionalFormatting sqref="C19">
    <cfRule type="cellIs" dxfId="542" priority="3733" operator="equal">
      <formula>"OFF"</formula>
    </cfRule>
    <cfRule type="cellIs" dxfId="541" priority="3734" operator="equal">
      <formula>"PTO"</formula>
    </cfRule>
  </conditionalFormatting>
  <conditionalFormatting sqref="C19">
    <cfRule type="cellIs" dxfId="540" priority="3731" operator="equal">
      <formula>"OFF"</formula>
    </cfRule>
    <cfRule type="cellIs" dxfId="539" priority="3732" operator="equal">
      <formula>"PTO"</formula>
    </cfRule>
  </conditionalFormatting>
  <conditionalFormatting sqref="C14:C32">
    <cfRule type="cellIs" dxfId="538" priority="3583" operator="equal">
      <formula>"OFF"</formula>
    </cfRule>
    <cfRule type="cellIs" dxfId="537" priority="3584" operator="equal">
      <formula>"PTO"</formula>
    </cfRule>
  </conditionalFormatting>
  <conditionalFormatting sqref="C14:C32">
    <cfRule type="cellIs" dxfId="536" priority="3577" operator="equal">
      <formula>"OFF"</formula>
    </cfRule>
    <cfRule type="cellIs" dxfId="535" priority="3578" operator="equal">
      <formula>"PTO"</formula>
    </cfRule>
  </conditionalFormatting>
  <conditionalFormatting sqref="C14:C32">
    <cfRule type="cellIs" dxfId="534" priority="3569" operator="equal">
      <formula>"OFF"</formula>
    </cfRule>
    <cfRule type="cellIs" dxfId="533" priority="3570" operator="equal">
      <formula>"PTO"</formula>
    </cfRule>
  </conditionalFormatting>
  <conditionalFormatting sqref="C14:C32">
    <cfRule type="cellIs" dxfId="532" priority="3553" operator="equal">
      <formula>"OFF"</formula>
    </cfRule>
    <cfRule type="cellIs" dxfId="531" priority="3554" operator="equal">
      <formula>"PTO"</formula>
    </cfRule>
  </conditionalFormatting>
  <conditionalFormatting sqref="C14:C32">
    <cfRule type="cellIs" dxfId="530" priority="3551" operator="equal">
      <formula>"OFF"</formula>
    </cfRule>
    <cfRule type="cellIs" dxfId="529" priority="3552" operator="equal">
      <formula>"PTO"</formula>
    </cfRule>
  </conditionalFormatting>
  <conditionalFormatting sqref="C19:C32">
    <cfRule type="cellIs" dxfId="528" priority="3729" operator="equal">
      <formula>"OFF"</formula>
    </cfRule>
    <cfRule type="cellIs" dxfId="527" priority="3730" operator="equal">
      <formula>"PTO"</formula>
    </cfRule>
  </conditionalFormatting>
  <conditionalFormatting sqref="C19:C32">
    <cfRule type="cellIs" dxfId="526" priority="3727" operator="equal">
      <formula>"OFF"</formula>
    </cfRule>
    <cfRule type="cellIs" dxfId="525" priority="3728" operator="equal">
      <formula>"PTO"</formula>
    </cfRule>
  </conditionalFormatting>
  <conditionalFormatting sqref="C19:C32">
    <cfRule type="cellIs" dxfId="524" priority="3725" operator="equal">
      <formula>"OFF"</formula>
    </cfRule>
    <cfRule type="cellIs" dxfId="523" priority="3726" operator="equal">
      <formula>"PTO"</formula>
    </cfRule>
  </conditionalFormatting>
  <conditionalFormatting sqref="C19:C32">
    <cfRule type="cellIs" dxfId="522" priority="3723" operator="equal">
      <formula>"OFF"</formula>
    </cfRule>
    <cfRule type="cellIs" dxfId="521" priority="3724" operator="equal">
      <formula>"PTO"</formula>
    </cfRule>
  </conditionalFormatting>
  <conditionalFormatting sqref="C19:C32">
    <cfRule type="cellIs" dxfId="520" priority="3721" operator="equal">
      <formula>"OFF"</formula>
    </cfRule>
    <cfRule type="cellIs" dxfId="519" priority="3722" operator="equal">
      <formula>"PTO"</formula>
    </cfRule>
  </conditionalFormatting>
  <conditionalFormatting sqref="C19:C32">
    <cfRule type="cellIs" dxfId="518" priority="3719" operator="equal">
      <formula>"OFF"</formula>
    </cfRule>
    <cfRule type="cellIs" dxfId="517" priority="3720" operator="equal">
      <formula>"PTO"</formula>
    </cfRule>
  </conditionalFormatting>
  <conditionalFormatting sqref="C19:C32">
    <cfRule type="cellIs" dxfId="516" priority="3717" operator="equal">
      <formula>"OFF"</formula>
    </cfRule>
    <cfRule type="cellIs" dxfId="515" priority="3718" operator="equal">
      <formula>"PTO"</formula>
    </cfRule>
  </conditionalFormatting>
  <conditionalFormatting sqref="C19:C32">
    <cfRule type="cellIs" dxfId="514" priority="3715" operator="equal">
      <formula>"OFF"</formula>
    </cfRule>
    <cfRule type="cellIs" dxfId="513" priority="3716" operator="equal">
      <formula>"PTO"</formula>
    </cfRule>
  </conditionalFormatting>
  <conditionalFormatting sqref="C19:C32">
    <cfRule type="cellIs" dxfId="512" priority="3713" operator="equal">
      <formula>"OFF"</formula>
    </cfRule>
    <cfRule type="cellIs" dxfId="511" priority="3714" operator="equal">
      <formula>"PTO"</formula>
    </cfRule>
  </conditionalFormatting>
  <conditionalFormatting sqref="C19:C32">
    <cfRule type="cellIs" dxfId="510" priority="3711" operator="equal">
      <formula>"OFF"</formula>
    </cfRule>
    <cfRule type="cellIs" dxfId="509" priority="3712" operator="equal">
      <formula>"PTO"</formula>
    </cfRule>
  </conditionalFormatting>
  <conditionalFormatting sqref="C19:C32">
    <cfRule type="cellIs" dxfId="508" priority="3709" operator="equal">
      <formula>"OFF"</formula>
    </cfRule>
    <cfRule type="cellIs" dxfId="507" priority="3710" operator="equal">
      <formula>"PTO"</formula>
    </cfRule>
  </conditionalFormatting>
  <conditionalFormatting sqref="C19:C32">
    <cfRule type="cellIs" dxfId="506" priority="3707" operator="equal">
      <formula>"OFF"</formula>
    </cfRule>
    <cfRule type="cellIs" dxfId="505" priority="3708" operator="equal">
      <formula>"PTO"</formula>
    </cfRule>
  </conditionalFormatting>
  <conditionalFormatting sqref="C19:C32">
    <cfRule type="cellIs" dxfId="504" priority="3705" operator="equal">
      <formula>"OFF"</formula>
    </cfRule>
    <cfRule type="cellIs" dxfId="503" priority="3706" operator="equal">
      <formula>"PTO"</formula>
    </cfRule>
  </conditionalFormatting>
  <conditionalFormatting sqref="C19:C32">
    <cfRule type="cellIs" dxfId="502" priority="3703" operator="equal">
      <formula>"OFF"</formula>
    </cfRule>
    <cfRule type="cellIs" dxfId="501" priority="3704" operator="equal">
      <formula>"PTO"</formula>
    </cfRule>
  </conditionalFormatting>
  <conditionalFormatting sqref="C25:C32">
    <cfRule type="cellIs" dxfId="500" priority="3701" operator="equal">
      <formula>"OFF"</formula>
    </cfRule>
    <cfRule type="cellIs" dxfId="499" priority="3702" operator="equal">
      <formula>"PTO"</formula>
    </cfRule>
  </conditionalFormatting>
  <conditionalFormatting sqref="C20:C32">
    <cfRule type="cellIs" dxfId="498" priority="3699" operator="equal">
      <formula>"OFF"</formula>
    </cfRule>
    <cfRule type="cellIs" dxfId="497" priority="3700" operator="equal">
      <formula>"PTO"</formula>
    </cfRule>
  </conditionalFormatting>
  <conditionalFormatting sqref="C21">
    <cfRule type="cellIs" dxfId="496" priority="3697" operator="equal">
      <formula>"OFF"</formula>
    </cfRule>
    <cfRule type="cellIs" dxfId="495" priority="3698" operator="equal">
      <formula>"PTO"</formula>
    </cfRule>
  </conditionalFormatting>
  <conditionalFormatting sqref="C21">
    <cfRule type="cellIs" dxfId="494" priority="3695" operator="equal">
      <formula>"OFF"</formula>
    </cfRule>
    <cfRule type="cellIs" dxfId="493" priority="3696" operator="equal">
      <formula>"PTO"</formula>
    </cfRule>
  </conditionalFormatting>
  <conditionalFormatting sqref="C21">
    <cfRule type="cellIs" dxfId="492" priority="3693" operator="equal">
      <formula>"OFF"</formula>
    </cfRule>
    <cfRule type="cellIs" dxfId="491" priority="3694" operator="equal">
      <formula>"PTO"</formula>
    </cfRule>
  </conditionalFormatting>
  <conditionalFormatting sqref="C21">
    <cfRule type="cellIs" dxfId="490" priority="3691" operator="equal">
      <formula>"OFF"</formula>
    </cfRule>
    <cfRule type="cellIs" dxfId="489" priority="3692" operator="equal">
      <formula>"PTO"</formula>
    </cfRule>
  </conditionalFormatting>
  <conditionalFormatting sqref="C23">
    <cfRule type="cellIs" dxfId="488" priority="3689" operator="equal">
      <formula>"OFF"</formula>
    </cfRule>
    <cfRule type="cellIs" dxfId="487" priority="3690" operator="equal">
      <formula>"PTO"</formula>
    </cfRule>
  </conditionalFormatting>
  <conditionalFormatting sqref="C20:C32">
    <cfRule type="cellIs" dxfId="486" priority="3687" operator="equal">
      <formula>"OFF"</formula>
    </cfRule>
    <cfRule type="cellIs" dxfId="485" priority="3688" operator="equal">
      <formula>"PTO"</formula>
    </cfRule>
  </conditionalFormatting>
  <conditionalFormatting sqref="C21">
    <cfRule type="cellIs" dxfId="484" priority="3685" operator="equal">
      <formula>"OFF"</formula>
    </cfRule>
    <cfRule type="cellIs" dxfId="483" priority="3686" operator="equal">
      <formula>"PTO"</formula>
    </cfRule>
  </conditionalFormatting>
  <conditionalFormatting sqref="C21">
    <cfRule type="cellIs" dxfId="482" priority="3683" operator="equal">
      <formula>"OFF"</formula>
    </cfRule>
    <cfRule type="cellIs" dxfId="481" priority="3684" operator="equal">
      <formula>"PTO"</formula>
    </cfRule>
  </conditionalFormatting>
  <conditionalFormatting sqref="C21">
    <cfRule type="cellIs" dxfId="480" priority="3681" operator="equal">
      <formula>"OFF"</formula>
    </cfRule>
    <cfRule type="cellIs" dxfId="479" priority="3682" operator="equal">
      <formula>"PTO"</formula>
    </cfRule>
  </conditionalFormatting>
  <conditionalFormatting sqref="C21">
    <cfRule type="cellIs" dxfId="478" priority="3679" operator="equal">
      <formula>"OFF"</formula>
    </cfRule>
    <cfRule type="cellIs" dxfId="477" priority="3680" operator="equal">
      <formula>"PTO"</formula>
    </cfRule>
  </conditionalFormatting>
  <conditionalFormatting sqref="C23">
    <cfRule type="cellIs" dxfId="476" priority="3677" operator="equal">
      <formula>"OFF"</formula>
    </cfRule>
    <cfRule type="cellIs" dxfId="475" priority="3678" operator="equal">
      <formula>"PTO"</formula>
    </cfRule>
  </conditionalFormatting>
  <conditionalFormatting sqref="C20:C32">
    <cfRule type="cellIs" dxfId="474" priority="3675" operator="equal">
      <formula>"OFF"</formula>
    </cfRule>
    <cfRule type="cellIs" dxfId="473" priority="3676" operator="equal">
      <formula>"PTO"</formula>
    </cfRule>
  </conditionalFormatting>
  <conditionalFormatting sqref="C20:C32">
    <cfRule type="cellIs" dxfId="472" priority="3673" operator="equal">
      <formula>"OFF"</formula>
    </cfRule>
    <cfRule type="cellIs" dxfId="471" priority="3674" operator="equal">
      <formula>"PTO"</formula>
    </cfRule>
  </conditionalFormatting>
  <conditionalFormatting sqref="C20:C32">
    <cfRule type="cellIs" dxfId="470" priority="3671" operator="equal">
      <formula>"OFF"</formula>
    </cfRule>
    <cfRule type="cellIs" dxfId="469" priority="3672" operator="equal">
      <formula>"PTO"</formula>
    </cfRule>
  </conditionalFormatting>
  <conditionalFormatting sqref="C20:C32">
    <cfRule type="cellIs" dxfId="468" priority="3669" operator="equal">
      <formula>"OFF"</formula>
    </cfRule>
    <cfRule type="cellIs" dxfId="467" priority="3670" operator="equal">
      <formula>"PTO"</formula>
    </cfRule>
  </conditionalFormatting>
  <conditionalFormatting sqref="C22">
    <cfRule type="cellIs" dxfId="466" priority="3667" operator="equal">
      <formula>"OFF"</formula>
    </cfRule>
    <cfRule type="cellIs" dxfId="465" priority="3668" operator="equal">
      <formula>"PTO"</formula>
    </cfRule>
  </conditionalFormatting>
  <conditionalFormatting sqref="C20:C32">
    <cfRule type="cellIs" dxfId="464" priority="3665" operator="equal">
      <formula>"OFF"</formula>
    </cfRule>
    <cfRule type="cellIs" dxfId="463" priority="3666" operator="equal">
      <formula>"PTO"</formula>
    </cfRule>
  </conditionalFormatting>
  <conditionalFormatting sqref="C20:C32">
    <cfRule type="cellIs" dxfId="462" priority="3663" operator="equal">
      <formula>"OFF"</formula>
    </cfRule>
    <cfRule type="cellIs" dxfId="461" priority="3664" operator="equal">
      <formula>"PTO"</formula>
    </cfRule>
  </conditionalFormatting>
  <conditionalFormatting sqref="C20:C32">
    <cfRule type="cellIs" dxfId="460" priority="3661" operator="equal">
      <formula>"OFF"</formula>
    </cfRule>
    <cfRule type="cellIs" dxfId="459" priority="3662" operator="equal">
      <formula>"PTO"</formula>
    </cfRule>
  </conditionalFormatting>
  <conditionalFormatting sqref="C20:C32">
    <cfRule type="cellIs" dxfId="458" priority="3659" operator="equal">
      <formula>"OFF"</formula>
    </cfRule>
    <cfRule type="cellIs" dxfId="457" priority="3660" operator="equal">
      <formula>"PTO"</formula>
    </cfRule>
  </conditionalFormatting>
  <conditionalFormatting sqref="C22">
    <cfRule type="cellIs" dxfId="456" priority="3657" operator="equal">
      <formula>"OFF"</formula>
    </cfRule>
    <cfRule type="cellIs" dxfId="455" priority="3658" operator="equal">
      <formula>"PTO"</formula>
    </cfRule>
  </conditionalFormatting>
  <conditionalFormatting sqref="C20:C32">
    <cfRule type="cellIs" dxfId="454" priority="3655" operator="equal">
      <formula>"OFF"</formula>
    </cfRule>
    <cfRule type="cellIs" dxfId="453" priority="3656" operator="equal">
      <formula>"PTO"</formula>
    </cfRule>
  </conditionalFormatting>
  <conditionalFormatting sqref="C20:C32">
    <cfRule type="cellIs" dxfId="452" priority="3653" operator="equal">
      <formula>"OFF"</formula>
    </cfRule>
    <cfRule type="cellIs" dxfId="451" priority="3654" operator="equal">
      <formula>"PTO"</formula>
    </cfRule>
  </conditionalFormatting>
  <conditionalFormatting sqref="C20:C32">
    <cfRule type="cellIs" dxfId="450" priority="3651" operator="equal">
      <formula>"OFF"</formula>
    </cfRule>
    <cfRule type="cellIs" dxfId="449" priority="3652" operator="equal">
      <formula>"PTO"</formula>
    </cfRule>
  </conditionalFormatting>
  <conditionalFormatting sqref="C20:C32">
    <cfRule type="cellIs" dxfId="448" priority="3649" operator="equal">
      <formula>"OFF"</formula>
    </cfRule>
    <cfRule type="cellIs" dxfId="447" priority="3650" operator="equal">
      <formula>"PTO"</formula>
    </cfRule>
  </conditionalFormatting>
  <conditionalFormatting sqref="C20:C32">
    <cfRule type="cellIs" dxfId="446" priority="3647" operator="equal">
      <formula>"OFF"</formula>
    </cfRule>
    <cfRule type="cellIs" dxfId="445" priority="3648" operator="equal">
      <formula>"PTO"</formula>
    </cfRule>
  </conditionalFormatting>
  <conditionalFormatting sqref="C20:C32">
    <cfRule type="cellIs" dxfId="444" priority="3645" operator="equal">
      <formula>"OFF"</formula>
    </cfRule>
    <cfRule type="cellIs" dxfId="443" priority="3646" operator="equal">
      <formula>"PTO"</formula>
    </cfRule>
  </conditionalFormatting>
  <conditionalFormatting sqref="C20:C32">
    <cfRule type="cellIs" dxfId="442" priority="3643" operator="equal">
      <formula>"OFF"</formula>
    </cfRule>
    <cfRule type="cellIs" dxfId="441" priority="3644" operator="equal">
      <formula>"PTO"</formula>
    </cfRule>
  </conditionalFormatting>
  <conditionalFormatting sqref="C20:C32">
    <cfRule type="cellIs" dxfId="440" priority="3641" operator="equal">
      <formula>"OFF"</formula>
    </cfRule>
    <cfRule type="cellIs" dxfId="439" priority="3642" operator="equal">
      <formula>"PTO"</formula>
    </cfRule>
  </conditionalFormatting>
  <conditionalFormatting sqref="C21">
    <cfRule type="cellIs" dxfId="438" priority="3639" operator="equal">
      <formula>"OFF"</formula>
    </cfRule>
    <cfRule type="cellIs" dxfId="437" priority="3640" operator="equal">
      <formula>"PTO"</formula>
    </cfRule>
  </conditionalFormatting>
  <conditionalFormatting sqref="C21">
    <cfRule type="cellIs" dxfId="436" priority="3637" operator="equal">
      <formula>"OFF"</formula>
    </cfRule>
    <cfRule type="cellIs" dxfId="435" priority="3638" operator="equal">
      <formula>"PTO"</formula>
    </cfRule>
  </conditionalFormatting>
  <conditionalFormatting sqref="C20:C32">
    <cfRule type="cellIs" dxfId="434" priority="3635" operator="equal">
      <formula>"OFF"</formula>
    </cfRule>
    <cfRule type="cellIs" dxfId="433" priority="3636" operator="equal">
      <formula>"PTO"</formula>
    </cfRule>
  </conditionalFormatting>
  <conditionalFormatting sqref="C20:C32">
    <cfRule type="cellIs" dxfId="432" priority="3633" operator="equal">
      <formula>"OFF"</formula>
    </cfRule>
    <cfRule type="cellIs" dxfId="431" priority="3634" operator="equal">
      <formula>"PTO"</formula>
    </cfRule>
  </conditionalFormatting>
  <conditionalFormatting sqref="C20:C32">
    <cfRule type="cellIs" dxfId="430" priority="3631" operator="equal">
      <formula>"OFF"</formula>
    </cfRule>
    <cfRule type="cellIs" dxfId="429" priority="3632" operator="equal">
      <formula>"PTO"</formula>
    </cfRule>
  </conditionalFormatting>
  <conditionalFormatting sqref="C20:C32">
    <cfRule type="cellIs" dxfId="428" priority="3629" operator="equal">
      <formula>"OFF"</formula>
    </cfRule>
    <cfRule type="cellIs" dxfId="427" priority="3630" operator="equal">
      <formula>"PTO"</formula>
    </cfRule>
  </conditionalFormatting>
  <conditionalFormatting sqref="C20:C32">
    <cfRule type="cellIs" dxfId="426" priority="3627" operator="equal">
      <formula>"OFF"</formula>
    </cfRule>
    <cfRule type="cellIs" dxfId="425" priority="3628" operator="equal">
      <formula>"PTO"</formula>
    </cfRule>
  </conditionalFormatting>
  <conditionalFormatting sqref="C20:C32">
    <cfRule type="cellIs" dxfId="424" priority="3625" operator="equal">
      <formula>"OFF"</formula>
    </cfRule>
    <cfRule type="cellIs" dxfId="423" priority="3626" operator="equal">
      <formula>"PTO"</formula>
    </cfRule>
  </conditionalFormatting>
  <conditionalFormatting sqref="C20:C32">
    <cfRule type="cellIs" dxfId="422" priority="3623" operator="equal">
      <formula>"OFF"</formula>
    </cfRule>
    <cfRule type="cellIs" dxfId="421" priority="3624" operator="equal">
      <formula>"PTO"</formula>
    </cfRule>
  </conditionalFormatting>
  <conditionalFormatting sqref="C20:C32">
    <cfRule type="cellIs" dxfId="420" priority="3621" operator="equal">
      <formula>"OFF"</formula>
    </cfRule>
    <cfRule type="cellIs" dxfId="419" priority="3622" operator="equal">
      <formula>"PTO"</formula>
    </cfRule>
  </conditionalFormatting>
  <conditionalFormatting sqref="C20:C32">
    <cfRule type="cellIs" dxfId="418" priority="3619" operator="equal">
      <formula>"OFF"</formula>
    </cfRule>
    <cfRule type="cellIs" dxfId="417" priority="3620" operator="equal">
      <formula>"PTO"</formula>
    </cfRule>
  </conditionalFormatting>
  <conditionalFormatting sqref="C20:C32">
    <cfRule type="cellIs" dxfId="416" priority="3617" operator="equal">
      <formula>"OFF"</formula>
    </cfRule>
    <cfRule type="cellIs" dxfId="415" priority="3618" operator="equal">
      <formula>"PTO"</formula>
    </cfRule>
  </conditionalFormatting>
  <conditionalFormatting sqref="C20:C32">
    <cfRule type="cellIs" dxfId="414" priority="3615" operator="equal">
      <formula>"OFF"</formula>
    </cfRule>
    <cfRule type="cellIs" dxfId="413" priority="3616" operator="equal">
      <formula>"PTO"</formula>
    </cfRule>
  </conditionalFormatting>
  <conditionalFormatting sqref="C20:C32">
    <cfRule type="cellIs" dxfId="412" priority="3613" operator="equal">
      <formula>"OFF"</formula>
    </cfRule>
    <cfRule type="cellIs" dxfId="411" priority="3614" operator="equal">
      <formula>"PTO"</formula>
    </cfRule>
  </conditionalFormatting>
  <conditionalFormatting sqref="C20:C32">
    <cfRule type="cellIs" dxfId="410" priority="3611" operator="equal">
      <formula>"OFF"</formula>
    </cfRule>
    <cfRule type="cellIs" dxfId="409" priority="3612" operator="equal">
      <formula>"PTO"</formula>
    </cfRule>
  </conditionalFormatting>
  <conditionalFormatting sqref="C20:C32">
    <cfRule type="cellIs" dxfId="408" priority="3609" operator="equal">
      <formula>"OFF"</formula>
    </cfRule>
    <cfRule type="cellIs" dxfId="407" priority="3610" operator="equal">
      <formula>"PTO"</formula>
    </cfRule>
  </conditionalFormatting>
  <conditionalFormatting sqref="C20:C32">
    <cfRule type="cellIs" dxfId="406" priority="3607" operator="equal">
      <formula>"OFF"</formula>
    </cfRule>
    <cfRule type="cellIs" dxfId="405" priority="3608" operator="equal">
      <formula>"PTO"</formula>
    </cfRule>
  </conditionalFormatting>
  <conditionalFormatting sqref="C20:C32">
    <cfRule type="cellIs" dxfId="404" priority="3605" operator="equal">
      <formula>"OFF"</formula>
    </cfRule>
    <cfRule type="cellIs" dxfId="403" priority="3606" operator="equal">
      <formula>"PTO"</formula>
    </cfRule>
  </conditionalFormatting>
  <conditionalFormatting sqref="C20:C32">
    <cfRule type="cellIs" dxfId="402" priority="3603" operator="equal">
      <formula>"OFF"</formula>
    </cfRule>
    <cfRule type="cellIs" dxfId="401" priority="3604" operator="equal">
      <formula>"PTO"</formula>
    </cfRule>
  </conditionalFormatting>
  <conditionalFormatting sqref="C20:C32">
    <cfRule type="cellIs" dxfId="400" priority="3601" operator="equal">
      <formula>"OFF"</formula>
    </cfRule>
    <cfRule type="cellIs" dxfId="399" priority="3602" operator="equal">
      <formula>"PTO"</formula>
    </cfRule>
  </conditionalFormatting>
  <conditionalFormatting sqref="C20:C32">
    <cfRule type="cellIs" dxfId="398" priority="3599" operator="equal">
      <formula>"OFF"</formula>
    </cfRule>
    <cfRule type="cellIs" dxfId="397" priority="3600" operator="equal">
      <formula>"PTO"</formula>
    </cfRule>
  </conditionalFormatting>
  <conditionalFormatting sqref="C20:C32">
    <cfRule type="cellIs" dxfId="396" priority="3597" operator="equal">
      <formula>"OFF"</formula>
    </cfRule>
    <cfRule type="cellIs" dxfId="395" priority="3598" operator="equal">
      <formula>"PTO"</formula>
    </cfRule>
  </conditionalFormatting>
  <conditionalFormatting sqref="C20:C32">
    <cfRule type="cellIs" dxfId="394" priority="3595" operator="equal">
      <formula>"OFF"</formula>
    </cfRule>
    <cfRule type="cellIs" dxfId="393" priority="3596" operator="equal">
      <formula>"PTO"</formula>
    </cfRule>
  </conditionalFormatting>
  <conditionalFormatting sqref="C20:C32">
    <cfRule type="cellIs" dxfId="392" priority="3593" operator="equal">
      <formula>"OFF"</formula>
    </cfRule>
    <cfRule type="cellIs" dxfId="391" priority="3594" operator="equal">
      <formula>"PTO"</formula>
    </cfRule>
  </conditionalFormatting>
  <conditionalFormatting sqref="C20:C32">
    <cfRule type="cellIs" dxfId="390" priority="3591" operator="equal">
      <formula>"OFF"</formula>
    </cfRule>
    <cfRule type="cellIs" dxfId="389" priority="3592" operator="equal">
      <formula>"PTO"</formula>
    </cfRule>
  </conditionalFormatting>
  <conditionalFormatting sqref="C20:C32">
    <cfRule type="cellIs" dxfId="388" priority="3589" operator="equal">
      <formula>"OFF"</formula>
    </cfRule>
    <cfRule type="cellIs" dxfId="387" priority="3590" operator="equal">
      <formula>"PTO"</formula>
    </cfRule>
  </conditionalFormatting>
  <conditionalFormatting sqref="C20:C32">
    <cfRule type="cellIs" dxfId="386" priority="3587" operator="equal">
      <formula>"OFF"</formula>
    </cfRule>
    <cfRule type="cellIs" dxfId="385" priority="3588" operator="equal">
      <formula>"PTO"</formula>
    </cfRule>
  </conditionalFormatting>
  <conditionalFormatting sqref="C14:C32">
    <cfRule type="cellIs" dxfId="384" priority="3585" operator="equal">
      <formula>"OFF"</formula>
    </cfRule>
    <cfRule type="cellIs" dxfId="383" priority="3586" operator="equal">
      <formula>"PTO"</formula>
    </cfRule>
  </conditionalFormatting>
  <conditionalFormatting sqref="C14:C32">
    <cfRule type="cellIs" dxfId="382" priority="3581" operator="equal">
      <formula>"OFF"</formula>
    </cfRule>
    <cfRule type="cellIs" dxfId="381" priority="3582" operator="equal">
      <formula>"PTO"</formula>
    </cfRule>
  </conditionalFormatting>
  <conditionalFormatting sqref="C14:C32">
    <cfRule type="cellIs" dxfId="380" priority="3579" operator="equal">
      <formula>"OFF"</formula>
    </cfRule>
    <cfRule type="cellIs" dxfId="379" priority="3580" operator="equal">
      <formula>"PTO"</formula>
    </cfRule>
  </conditionalFormatting>
  <conditionalFormatting sqref="C14:C32">
    <cfRule type="cellIs" dxfId="378" priority="3575" operator="equal">
      <formula>"OFF"</formula>
    </cfRule>
    <cfRule type="cellIs" dxfId="377" priority="3576" operator="equal">
      <formula>"PTO"</formula>
    </cfRule>
  </conditionalFormatting>
  <conditionalFormatting sqref="C14:C32">
    <cfRule type="cellIs" dxfId="376" priority="3573" operator="equal">
      <formula>"OFF"</formula>
    </cfRule>
    <cfRule type="cellIs" dxfId="375" priority="3574" operator="equal">
      <formula>"PTO"</formula>
    </cfRule>
  </conditionalFormatting>
  <conditionalFormatting sqref="C14:C32">
    <cfRule type="cellIs" dxfId="374" priority="3571" operator="equal">
      <formula>"OFF"</formula>
    </cfRule>
    <cfRule type="cellIs" dxfId="373" priority="3572" operator="equal">
      <formula>"PTO"</formula>
    </cfRule>
  </conditionalFormatting>
  <conditionalFormatting sqref="C14:C32">
    <cfRule type="cellIs" dxfId="372" priority="3567" operator="equal">
      <formula>"OFF"</formula>
    </cfRule>
    <cfRule type="cellIs" dxfId="371" priority="3568" operator="equal">
      <formula>"PTO"</formula>
    </cfRule>
  </conditionalFormatting>
  <conditionalFormatting sqref="C14:C32">
    <cfRule type="cellIs" dxfId="370" priority="3565" operator="equal">
      <formula>"OFF"</formula>
    </cfRule>
    <cfRule type="cellIs" dxfId="369" priority="3566" operator="equal">
      <formula>"PTO"</formula>
    </cfRule>
  </conditionalFormatting>
  <conditionalFormatting sqref="C14:C32">
    <cfRule type="cellIs" dxfId="368" priority="3563" operator="equal">
      <formula>"OFF"</formula>
    </cfRule>
    <cfRule type="cellIs" dxfId="367" priority="3564" operator="equal">
      <formula>"PTO"</formula>
    </cfRule>
  </conditionalFormatting>
  <conditionalFormatting sqref="C14:C32">
    <cfRule type="cellIs" dxfId="366" priority="3561" operator="equal">
      <formula>"OFF"</formula>
    </cfRule>
    <cfRule type="cellIs" dxfId="365" priority="3562" operator="equal">
      <formula>"PTO"</formula>
    </cfRule>
  </conditionalFormatting>
  <conditionalFormatting sqref="C14:C32">
    <cfRule type="cellIs" dxfId="364" priority="3559" operator="equal">
      <formula>"OFF"</formula>
    </cfRule>
    <cfRule type="cellIs" dxfId="363" priority="3560" operator="equal">
      <formula>"PTO"</formula>
    </cfRule>
  </conditionalFormatting>
  <conditionalFormatting sqref="C14:C32">
    <cfRule type="cellIs" dxfId="362" priority="3557" operator="equal">
      <formula>"OFF"</formula>
    </cfRule>
    <cfRule type="cellIs" dxfId="361" priority="3558" operator="equal">
      <formula>"PTO"</formula>
    </cfRule>
  </conditionalFormatting>
  <conditionalFormatting sqref="C14:C32">
    <cfRule type="cellIs" dxfId="360" priority="3555" operator="equal">
      <formula>"OFF"</formula>
    </cfRule>
    <cfRule type="cellIs" dxfId="359" priority="3556" operator="equal">
      <formula>"PTO"</formula>
    </cfRule>
  </conditionalFormatting>
  <conditionalFormatting sqref="C14:C32">
    <cfRule type="cellIs" dxfId="358" priority="3549" operator="equal">
      <formula>"OFF"</formula>
    </cfRule>
    <cfRule type="cellIs" dxfId="357" priority="3550" operator="equal">
      <formula>"PTO"</formula>
    </cfRule>
  </conditionalFormatting>
  <conditionalFormatting sqref="C14:C32">
    <cfRule type="cellIs" dxfId="356" priority="3547" operator="equal">
      <formula>"OFF"</formula>
    </cfRule>
    <cfRule type="cellIs" dxfId="355" priority="3548" operator="equal">
      <formula>"PTO"</formula>
    </cfRule>
  </conditionalFormatting>
  <conditionalFormatting sqref="C14:C32">
    <cfRule type="cellIs" dxfId="354" priority="3545" operator="equal">
      <formula>"OFF"</formula>
    </cfRule>
    <cfRule type="cellIs" dxfId="353" priority="3546" operator="equal">
      <formula>"PTO"</formula>
    </cfRule>
  </conditionalFormatting>
  <conditionalFormatting sqref="C14:C32">
    <cfRule type="cellIs" dxfId="352" priority="3543" operator="equal">
      <formula>"OFF"</formula>
    </cfRule>
    <cfRule type="cellIs" dxfId="351" priority="3544" operator="equal">
      <formula>"PTO"</formula>
    </cfRule>
  </conditionalFormatting>
  <conditionalFormatting sqref="C14:C32">
    <cfRule type="cellIs" dxfId="350" priority="3541" operator="equal">
      <formula>"OFF"</formula>
    </cfRule>
    <cfRule type="cellIs" dxfId="349" priority="3542" operator="equal">
      <formula>"PTO"</formula>
    </cfRule>
  </conditionalFormatting>
  <conditionalFormatting sqref="C14:C32">
    <cfRule type="cellIs" dxfId="348" priority="3539" operator="equal">
      <formula>"OFF"</formula>
    </cfRule>
    <cfRule type="cellIs" dxfId="347" priority="3540" operator="equal">
      <formula>"PTO"</formula>
    </cfRule>
  </conditionalFormatting>
  <conditionalFormatting sqref="C14:C32">
    <cfRule type="cellIs" dxfId="346" priority="3537" operator="equal">
      <formula>"OFF"</formula>
    </cfRule>
    <cfRule type="cellIs" dxfId="345" priority="3538" operator="equal">
      <formula>"PTO"</formula>
    </cfRule>
  </conditionalFormatting>
  <conditionalFormatting sqref="C14:C32">
    <cfRule type="cellIs" dxfId="344" priority="3535" operator="equal">
      <formula>"OFF"</formula>
    </cfRule>
    <cfRule type="cellIs" dxfId="343" priority="3536" operator="equal">
      <formula>"PTO"</formula>
    </cfRule>
  </conditionalFormatting>
  <conditionalFormatting sqref="C14:C32">
    <cfRule type="cellIs" dxfId="342" priority="3533" operator="equal">
      <formula>"OFF"</formula>
    </cfRule>
    <cfRule type="cellIs" dxfId="341" priority="3534" operator="equal">
      <formula>"PTO"</formula>
    </cfRule>
  </conditionalFormatting>
  <conditionalFormatting sqref="C14:C32">
    <cfRule type="cellIs" dxfId="340" priority="3531" operator="equal">
      <formula>"OFF"</formula>
    </cfRule>
    <cfRule type="cellIs" dxfId="339" priority="3532" operator="equal">
      <formula>"PTO"</formula>
    </cfRule>
  </conditionalFormatting>
  <conditionalFormatting sqref="C14:C32">
    <cfRule type="cellIs" dxfId="338" priority="3529" operator="equal">
      <formula>"OFF"</formula>
    </cfRule>
    <cfRule type="cellIs" dxfId="337" priority="3530" operator="equal">
      <formula>"PTO"</formula>
    </cfRule>
  </conditionalFormatting>
  <conditionalFormatting sqref="C14:C32">
    <cfRule type="cellIs" dxfId="336" priority="3527" operator="equal">
      <formula>"OFF"</formula>
    </cfRule>
    <cfRule type="cellIs" dxfId="335" priority="3528" operator="equal">
      <formula>"PTO"</formula>
    </cfRule>
  </conditionalFormatting>
  <conditionalFormatting sqref="C14:C32">
    <cfRule type="cellIs" dxfId="334" priority="3525" operator="equal">
      <formula>"OFF"</formula>
    </cfRule>
    <cfRule type="cellIs" dxfId="333" priority="3526" operator="equal">
      <formula>"PTO"</formula>
    </cfRule>
  </conditionalFormatting>
  <conditionalFormatting sqref="C14:C32">
    <cfRule type="cellIs" dxfId="332" priority="3523" operator="equal">
      <formula>"OFF"</formula>
    </cfRule>
    <cfRule type="cellIs" dxfId="331" priority="3524" operator="equal">
      <formula>"PTO"</formula>
    </cfRule>
  </conditionalFormatting>
  <conditionalFormatting sqref="C14:C32">
    <cfRule type="cellIs" dxfId="330" priority="3521" operator="equal">
      <formula>"OFF"</formula>
    </cfRule>
    <cfRule type="cellIs" dxfId="329" priority="3522" operator="equal">
      <formula>"PTO"</formula>
    </cfRule>
  </conditionalFormatting>
  <conditionalFormatting sqref="C14:C32">
    <cfRule type="cellIs" dxfId="328" priority="3519" operator="equal">
      <formula>"OFF"</formula>
    </cfRule>
    <cfRule type="cellIs" dxfId="327" priority="3520" operator="equal">
      <formula>"PTO"</formula>
    </cfRule>
  </conditionalFormatting>
  <conditionalFormatting sqref="C14:C32">
    <cfRule type="cellIs" dxfId="326" priority="3517" operator="equal">
      <formula>"OFF"</formula>
    </cfRule>
    <cfRule type="cellIs" dxfId="325" priority="3518" operator="equal">
      <formula>"PTO"</formula>
    </cfRule>
  </conditionalFormatting>
  <conditionalFormatting sqref="C14:C32">
    <cfRule type="cellIs" dxfId="324" priority="3515" operator="equal">
      <formula>"OFF"</formula>
    </cfRule>
    <cfRule type="cellIs" dxfId="323" priority="3516" operator="equal">
      <formula>"PTO"</formula>
    </cfRule>
  </conditionalFormatting>
  <conditionalFormatting sqref="C14:C32">
    <cfRule type="cellIs" dxfId="322" priority="3513" operator="equal">
      <formula>"OFF"</formula>
    </cfRule>
    <cfRule type="cellIs" dxfId="321" priority="3514" operator="equal">
      <formula>"PTO"</formula>
    </cfRule>
  </conditionalFormatting>
  <conditionalFormatting sqref="C14:C32">
    <cfRule type="cellIs" dxfId="320" priority="3511" operator="equal">
      <formula>"OFF"</formula>
    </cfRule>
    <cfRule type="cellIs" dxfId="319" priority="3512" operator="equal">
      <formula>"PTO"</formula>
    </cfRule>
  </conditionalFormatting>
  <conditionalFormatting sqref="C14:C32">
    <cfRule type="cellIs" dxfId="318" priority="3509" operator="equal">
      <formula>"OFF"</formula>
    </cfRule>
    <cfRule type="cellIs" dxfId="317" priority="3510" operator="equal">
      <formula>"PTO"</formula>
    </cfRule>
  </conditionalFormatting>
  <conditionalFormatting sqref="C14:C32">
    <cfRule type="cellIs" dxfId="316" priority="3507" operator="equal">
      <formula>"OFF"</formula>
    </cfRule>
    <cfRule type="cellIs" dxfId="315" priority="3508" operator="equal">
      <formula>"PTO"</formula>
    </cfRule>
  </conditionalFormatting>
  <conditionalFormatting sqref="C14:C32">
    <cfRule type="cellIs" dxfId="314" priority="3505" operator="equal">
      <formula>"OFF"</formula>
    </cfRule>
    <cfRule type="cellIs" dxfId="313" priority="3506" operator="equal">
      <formula>"PTO"</formula>
    </cfRule>
  </conditionalFormatting>
  <conditionalFormatting sqref="C14:C32">
    <cfRule type="cellIs" dxfId="312" priority="3503" operator="equal">
      <formula>"OFF"</formula>
    </cfRule>
    <cfRule type="cellIs" dxfId="311" priority="3504" operator="equal">
      <formula>"PTO"</formula>
    </cfRule>
  </conditionalFormatting>
  <conditionalFormatting sqref="C14:C32">
    <cfRule type="cellIs" dxfId="310" priority="3501" operator="equal">
      <formula>"OFF"</formula>
    </cfRule>
    <cfRule type="cellIs" dxfId="309" priority="3502" operator="equal">
      <formula>"PTO"</formula>
    </cfRule>
  </conditionalFormatting>
  <conditionalFormatting sqref="C14:C32">
    <cfRule type="cellIs" dxfId="308" priority="3499" operator="equal">
      <formula>"OFF"</formula>
    </cfRule>
    <cfRule type="cellIs" dxfId="307" priority="3500" operator="equal">
      <formula>"PTO"</formula>
    </cfRule>
  </conditionalFormatting>
  <conditionalFormatting sqref="D34:D42">
    <cfRule type="cellIs" dxfId="306" priority="3497" operator="equal">
      <formula>"OFF"</formula>
    </cfRule>
    <cfRule type="cellIs" dxfId="305" priority="3498" operator="equal">
      <formula>"PTO"</formula>
    </cfRule>
  </conditionalFormatting>
  <conditionalFormatting sqref="D34:D42">
    <cfRule type="cellIs" dxfId="304" priority="3495" operator="equal">
      <formula>"OFF"</formula>
    </cfRule>
    <cfRule type="cellIs" dxfId="303" priority="3496" operator="equal">
      <formula>"PTO"</formula>
    </cfRule>
  </conditionalFormatting>
  <conditionalFormatting sqref="D34:D42">
    <cfRule type="cellIs" dxfId="302" priority="3493" operator="equal">
      <formula>"OFF"</formula>
    </cfRule>
    <cfRule type="cellIs" dxfId="301" priority="3494" operator="equal">
      <formula>"PTO"</formula>
    </cfRule>
  </conditionalFormatting>
  <conditionalFormatting sqref="D34:D42">
    <cfRule type="cellIs" dxfId="300" priority="3491" operator="equal">
      <formula>"OFF"</formula>
    </cfRule>
    <cfRule type="cellIs" dxfId="299" priority="3492" operator="equal">
      <formula>"PTO"</formula>
    </cfRule>
  </conditionalFormatting>
  <conditionalFormatting sqref="D34:D42">
    <cfRule type="cellIs" dxfId="298" priority="3489" operator="equal">
      <formula>"OFF"</formula>
    </cfRule>
    <cfRule type="cellIs" dxfId="297" priority="3490" operator="equal">
      <formula>"PTO"</formula>
    </cfRule>
  </conditionalFormatting>
  <conditionalFormatting sqref="D34:D42">
    <cfRule type="cellIs" dxfId="296" priority="3487" operator="equal">
      <formula>"OFF"</formula>
    </cfRule>
    <cfRule type="cellIs" dxfId="295" priority="3488" operator="equal">
      <formula>"PTO"</formula>
    </cfRule>
  </conditionalFormatting>
  <conditionalFormatting sqref="D34:D42">
    <cfRule type="cellIs" dxfId="294" priority="3485" operator="equal">
      <formula>"OFF"</formula>
    </cfRule>
    <cfRule type="cellIs" dxfId="293" priority="3486" operator="equal">
      <formula>"PTO"</formula>
    </cfRule>
  </conditionalFormatting>
  <conditionalFormatting sqref="D34:D42">
    <cfRule type="cellIs" dxfId="292" priority="3483" operator="equal">
      <formula>"OFF"</formula>
    </cfRule>
    <cfRule type="cellIs" dxfId="291" priority="3484" operator="equal">
      <formula>"PTO"</formula>
    </cfRule>
  </conditionalFormatting>
  <conditionalFormatting sqref="D34:D42">
    <cfRule type="cellIs" dxfId="290" priority="3481" operator="equal">
      <formula>"OFF"</formula>
    </cfRule>
    <cfRule type="cellIs" dxfId="289" priority="3482" operator="equal">
      <formula>"PTO"</formula>
    </cfRule>
  </conditionalFormatting>
  <conditionalFormatting sqref="D34:D42">
    <cfRule type="cellIs" dxfId="288" priority="3479" operator="equal">
      <formula>"OFF"</formula>
    </cfRule>
    <cfRule type="cellIs" dxfId="287" priority="3480" operator="equal">
      <formula>"PTO"</formula>
    </cfRule>
  </conditionalFormatting>
  <conditionalFormatting sqref="D34:D42">
    <cfRule type="cellIs" dxfId="286" priority="3477" operator="equal">
      <formula>"OFF"</formula>
    </cfRule>
    <cfRule type="cellIs" dxfId="285" priority="3478" operator="equal">
      <formula>"PTO"</formula>
    </cfRule>
  </conditionalFormatting>
  <conditionalFormatting sqref="D34:D42">
    <cfRule type="cellIs" dxfId="284" priority="3475" operator="equal">
      <formula>"OFF"</formula>
    </cfRule>
    <cfRule type="cellIs" dxfId="283" priority="3476" operator="equal">
      <formula>"PTO"</formula>
    </cfRule>
  </conditionalFormatting>
  <conditionalFormatting sqref="D34:D42">
    <cfRule type="cellIs" dxfId="282" priority="3473" operator="equal">
      <formula>"OFF"</formula>
    </cfRule>
    <cfRule type="cellIs" dxfId="281" priority="3474" operator="equal">
      <formula>"PTO"</formula>
    </cfRule>
  </conditionalFormatting>
  <conditionalFormatting sqref="D34:D42">
    <cfRule type="cellIs" dxfId="280" priority="3471" operator="equal">
      <formula>"OFF"</formula>
    </cfRule>
    <cfRule type="cellIs" dxfId="279" priority="3472" operator="equal">
      <formula>"PTO"</formula>
    </cfRule>
  </conditionalFormatting>
  <conditionalFormatting sqref="D34:D42">
    <cfRule type="cellIs" dxfId="278" priority="3469" operator="equal">
      <formula>"OFF"</formula>
    </cfRule>
    <cfRule type="cellIs" dxfId="277" priority="3470" operator="equal">
      <formula>"PTO"</formula>
    </cfRule>
  </conditionalFormatting>
  <conditionalFormatting sqref="D34:D42">
    <cfRule type="cellIs" dxfId="276" priority="3467" operator="equal">
      <formula>"OFF"</formula>
    </cfRule>
    <cfRule type="cellIs" dxfId="275" priority="3468" operator="equal">
      <formula>"PTO"</formula>
    </cfRule>
  </conditionalFormatting>
  <conditionalFormatting sqref="D34:D42">
    <cfRule type="cellIs" dxfId="274" priority="3465" operator="equal">
      <formula>"OFF"</formula>
    </cfRule>
    <cfRule type="cellIs" dxfId="273" priority="3466" operator="equal">
      <formula>"PTO"</formula>
    </cfRule>
  </conditionalFormatting>
  <conditionalFormatting sqref="D34:D42">
    <cfRule type="cellIs" dxfId="272" priority="3463" operator="equal">
      <formula>"OFF"</formula>
    </cfRule>
    <cfRule type="cellIs" dxfId="271" priority="3464" operator="equal">
      <formula>"PTO"</formula>
    </cfRule>
  </conditionalFormatting>
  <conditionalFormatting sqref="D34:D42">
    <cfRule type="cellIs" dxfId="270" priority="3461" operator="equal">
      <formula>"OFF"</formula>
    </cfRule>
    <cfRule type="cellIs" dxfId="269" priority="3462" operator="equal">
      <formula>"PTO"</formula>
    </cfRule>
  </conditionalFormatting>
  <conditionalFormatting sqref="D34:D42">
    <cfRule type="cellIs" dxfId="268" priority="3459" operator="equal">
      <formula>"OFF"</formula>
    </cfRule>
    <cfRule type="cellIs" dxfId="267" priority="3460" operator="equal">
      <formula>"PTO"</formula>
    </cfRule>
  </conditionalFormatting>
  <conditionalFormatting sqref="D34:D42">
    <cfRule type="cellIs" dxfId="266" priority="3457" operator="equal">
      <formula>"OFF"</formula>
    </cfRule>
    <cfRule type="cellIs" dxfId="265" priority="3458" operator="equal">
      <formula>"PTO"</formula>
    </cfRule>
  </conditionalFormatting>
  <conditionalFormatting sqref="D34">
    <cfRule type="cellIs" dxfId="264" priority="3455" operator="equal">
      <formula>"OFF"</formula>
    </cfRule>
    <cfRule type="cellIs" dxfId="263" priority="3456" operator="equal">
      <formula>"PTO"</formula>
    </cfRule>
  </conditionalFormatting>
  <conditionalFormatting sqref="D34">
    <cfRule type="cellIs" dxfId="262" priority="3453" operator="equal">
      <formula>"OFF"</formula>
    </cfRule>
    <cfRule type="cellIs" dxfId="261" priority="3454" operator="equal">
      <formula>"PTO"</formula>
    </cfRule>
  </conditionalFormatting>
  <conditionalFormatting sqref="D34">
    <cfRule type="cellIs" dxfId="260" priority="3451" operator="equal">
      <formula>"OFF"</formula>
    </cfRule>
    <cfRule type="cellIs" dxfId="259" priority="3452" operator="equal">
      <formula>"PTO"</formula>
    </cfRule>
  </conditionalFormatting>
  <conditionalFormatting sqref="D34">
    <cfRule type="cellIs" dxfId="258" priority="3449" operator="equal">
      <formula>"OFF"</formula>
    </cfRule>
    <cfRule type="cellIs" dxfId="257" priority="3450" operator="equal">
      <formula>"PTO"</formula>
    </cfRule>
  </conditionalFormatting>
  <conditionalFormatting sqref="D34">
    <cfRule type="cellIs" dxfId="256" priority="3447" operator="equal">
      <formula>"OFF"</formula>
    </cfRule>
    <cfRule type="cellIs" dxfId="255" priority="3448" operator="equal">
      <formula>"PTO"</formula>
    </cfRule>
  </conditionalFormatting>
  <conditionalFormatting sqref="D34">
    <cfRule type="cellIs" dxfId="254" priority="3445" operator="equal">
      <formula>"OFF"</formula>
    </cfRule>
    <cfRule type="cellIs" dxfId="253" priority="3446" operator="equal">
      <formula>"PTO"</formula>
    </cfRule>
  </conditionalFormatting>
  <conditionalFormatting sqref="D34">
    <cfRule type="cellIs" dxfId="252" priority="3443" operator="equal">
      <formula>"OFF"</formula>
    </cfRule>
    <cfRule type="cellIs" dxfId="251" priority="3444" operator="equal">
      <formula>"PTO"</formula>
    </cfRule>
  </conditionalFormatting>
  <conditionalFormatting sqref="D34">
    <cfRule type="cellIs" dxfId="250" priority="3441" operator="equal">
      <formula>"OFF"</formula>
    </cfRule>
    <cfRule type="cellIs" dxfId="249" priority="3442" operator="equal">
      <formula>"PTO"</formula>
    </cfRule>
  </conditionalFormatting>
  <conditionalFormatting sqref="D34">
    <cfRule type="cellIs" dxfId="248" priority="3439" operator="equal">
      <formula>"OFF"</formula>
    </cfRule>
    <cfRule type="cellIs" dxfId="247" priority="3440" operator="equal">
      <formula>"PTO"</formula>
    </cfRule>
  </conditionalFormatting>
  <conditionalFormatting sqref="D34">
    <cfRule type="cellIs" dxfId="246" priority="3437" operator="equal">
      <formula>"OFF"</formula>
    </cfRule>
    <cfRule type="cellIs" dxfId="245" priority="3438" operator="equal">
      <formula>"PTO"</formula>
    </cfRule>
  </conditionalFormatting>
  <conditionalFormatting sqref="D34">
    <cfRule type="cellIs" dxfId="244" priority="3435" operator="equal">
      <formula>"OFF"</formula>
    </cfRule>
    <cfRule type="cellIs" dxfId="243" priority="3436" operator="equal">
      <formula>"PTO"</formula>
    </cfRule>
  </conditionalFormatting>
  <conditionalFormatting sqref="D34">
    <cfRule type="cellIs" dxfId="242" priority="3433" operator="equal">
      <formula>"OFF"</formula>
    </cfRule>
    <cfRule type="cellIs" dxfId="241" priority="3434" operator="equal">
      <formula>"PTO"</formula>
    </cfRule>
  </conditionalFormatting>
  <conditionalFormatting sqref="D34">
    <cfRule type="cellIs" dxfId="240" priority="3431" operator="equal">
      <formula>"OFF"</formula>
    </cfRule>
    <cfRule type="cellIs" dxfId="239" priority="3432" operator="equal">
      <formula>"PTO"</formula>
    </cfRule>
  </conditionalFormatting>
  <conditionalFormatting sqref="D34">
    <cfRule type="cellIs" dxfId="238" priority="3429" operator="equal">
      <formula>"OFF"</formula>
    </cfRule>
    <cfRule type="cellIs" dxfId="237" priority="3430" operator="equal">
      <formula>"PTO"</formula>
    </cfRule>
  </conditionalFormatting>
  <conditionalFormatting sqref="D34">
    <cfRule type="cellIs" dxfId="236" priority="3427" operator="equal">
      <formula>"OFF"</formula>
    </cfRule>
    <cfRule type="cellIs" dxfId="235" priority="3428" operator="equal">
      <formula>"PTO"</formula>
    </cfRule>
  </conditionalFormatting>
  <conditionalFormatting sqref="D34">
    <cfRule type="cellIs" dxfId="234" priority="3425" operator="equal">
      <formula>"OFF"</formula>
    </cfRule>
    <cfRule type="cellIs" dxfId="233" priority="3426" operator="equal">
      <formula>"PTO"</formula>
    </cfRule>
  </conditionalFormatting>
  <conditionalFormatting sqref="D34">
    <cfRule type="cellIs" dxfId="232" priority="3423" operator="equal">
      <formula>"OFF"</formula>
    </cfRule>
    <cfRule type="cellIs" dxfId="231" priority="3424" operator="equal">
      <formula>"PTO"</formula>
    </cfRule>
  </conditionalFormatting>
  <conditionalFormatting sqref="D34">
    <cfRule type="cellIs" dxfId="230" priority="3421" operator="equal">
      <formula>"OFF"</formula>
    </cfRule>
    <cfRule type="cellIs" dxfId="229" priority="3422" operator="equal">
      <formula>"PTO"</formula>
    </cfRule>
  </conditionalFormatting>
  <conditionalFormatting sqref="D34">
    <cfRule type="cellIs" dxfId="228" priority="3419" operator="equal">
      <formula>"OFF"</formula>
    </cfRule>
    <cfRule type="cellIs" dxfId="227" priority="3420" operator="equal">
      <formula>"PTO"</formula>
    </cfRule>
  </conditionalFormatting>
  <conditionalFormatting sqref="D34">
    <cfRule type="cellIs" dxfId="226" priority="3417" operator="equal">
      <formula>"OFF"</formula>
    </cfRule>
    <cfRule type="cellIs" dxfId="225" priority="3418" operator="equal">
      <formula>"PTO"</formula>
    </cfRule>
  </conditionalFormatting>
  <conditionalFormatting sqref="D34">
    <cfRule type="cellIs" dxfId="224" priority="3415" operator="equal">
      <formula>"OFF"</formula>
    </cfRule>
    <cfRule type="cellIs" dxfId="223" priority="3416" operator="equal">
      <formula>"PTO"</formula>
    </cfRule>
  </conditionalFormatting>
  <conditionalFormatting sqref="D34">
    <cfRule type="cellIs" dxfId="222" priority="3413" operator="equal">
      <formula>"OFF"</formula>
    </cfRule>
    <cfRule type="cellIs" dxfId="221" priority="3414" operator="equal">
      <formula>"PTO"</formula>
    </cfRule>
  </conditionalFormatting>
  <conditionalFormatting sqref="D34">
    <cfRule type="cellIs" dxfId="220" priority="3411" operator="equal">
      <formula>"OFF"</formula>
    </cfRule>
    <cfRule type="cellIs" dxfId="219" priority="3412" operator="equal">
      <formula>"PTO"</formula>
    </cfRule>
  </conditionalFormatting>
  <conditionalFormatting sqref="D34">
    <cfRule type="cellIs" dxfId="218" priority="3409" operator="equal">
      <formula>"OFF"</formula>
    </cfRule>
    <cfRule type="cellIs" dxfId="217" priority="3410" operator="equal">
      <formula>"PTO"</formula>
    </cfRule>
  </conditionalFormatting>
  <conditionalFormatting sqref="D34">
    <cfRule type="cellIs" dxfId="216" priority="3407" operator="equal">
      <formula>"OFF"</formula>
    </cfRule>
    <cfRule type="cellIs" dxfId="215" priority="3408" operator="equal">
      <formula>"PTO"</formula>
    </cfRule>
  </conditionalFormatting>
  <conditionalFormatting sqref="D34">
    <cfRule type="cellIs" dxfId="214" priority="3405" operator="equal">
      <formula>"OFF"</formula>
    </cfRule>
    <cfRule type="cellIs" dxfId="213" priority="3406" operator="equal">
      <formula>"PTO"</formula>
    </cfRule>
  </conditionalFormatting>
  <conditionalFormatting sqref="D34">
    <cfRule type="cellIs" dxfId="212" priority="3403" operator="equal">
      <formula>"OFF"</formula>
    </cfRule>
    <cfRule type="cellIs" dxfId="211" priority="3404" operator="equal">
      <formula>"PTO"</formula>
    </cfRule>
  </conditionalFormatting>
  <conditionalFormatting sqref="D34">
    <cfRule type="cellIs" dxfId="210" priority="3401" operator="equal">
      <formula>"OFF"</formula>
    </cfRule>
    <cfRule type="cellIs" dxfId="209" priority="3402" operator="equal">
      <formula>"PTO"</formula>
    </cfRule>
  </conditionalFormatting>
  <conditionalFormatting sqref="D34">
    <cfRule type="cellIs" dxfId="208" priority="3399" operator="equal">
      <formula>"OFF"</formula>
    </cfRule>
    <cfRule type="cellIs" dxfId="207" priority="3400" operator="equal">
      <formula>"PTO"</formula>
    </cfRule>
  </conditionalFormatting>
  <conditionalFormatting sqref="D34">
    <cfRule type="cellIs" dxfId="206" priority="3397" operator="equal">
      <formula>"OFF"</formula>
    </cfRule>
    <cfRule type="cellIs" dxfId="205" priority="3398" operator="equal">
      <formula>"PTO"</formula>
    </cfRule>
  </conditionalFormatting>
  <conditionalFormatting sqref="D34">
    <cfRule type="cellIs" dxfId="204" priority="3395" operator="equal">
      <formula>"OFF"</formula>
    </cfRule>
    <cfRule type="cellIs" dxfId="203" priority="3396" operator="equal">
      <formula>"PTO"</formula>
    </cfRule>
  </conditionalFormatting>
  <conditionalFormatting sqref="D34">
    <cfRule type="cellIs" dxfId="202" priority="3393" operator="equal">
      <formula>"OFF"</formula>
    </cfRule>
    <cfRule type="cellIs" dxfId="201" priority="3394" operator="equal">
      <formula>"PTO"</formula>
    </cfRule>
  </conditionalFormatting>
  <conditionalFormatting sqref="D34">
    <cfRule type="cellIs" dxfId="200" priority="3391" operator="equal">
      <formula>"OFF"</formula>
    </cfRule>
    <cfRule type="cellIs" dxfId="199" priority="3392" operator="equal">
      <formula>"PTO"</formula>
    </cfRule>
  </conditionalFormatting>
  <conditionalFormatting sqref="D34">
    <cfRule type="cellIs" dxfId="198" priority="3389" operator="equal">
      <formula>"OFF"</formula>
    </cfRule>
    <cfRule type="cellIs" dxfId="197" priority="3390" operator="equal">
      <formula>"PTO"</formula>
    </cfRule>
  </conditionalFormatting>
  <conditionalFormatting sqref="D34">
    <cfRule type="cellIs" dxfId="196" priority="3387" operator="equal">
      <formula>"OFF"</formula>
    </cfRule>
    <cfRule type="cellIs" dxfId="195" priority="3388" operator="equal">
      <formula>"PTO"</formula>
    </cfRule>
  </conditionalFormatting>
  <conditionalFormatting sqref="D34">
    <cfRule type="cellIs" dxfId="194" priority="3385" operator="equal">
      <formula>"OFF"</formula>
    </cfRule>
    <cfRule type="cellIs" dxfId="193" priority="3386" operator="equal">
      <formula>"PTO"</formula>
    </cfRule>
  </conditionalFormatting>
  <conditionalFormatting sqref="D34">
    <cfRule type="cellIs" dxfId="192" priority="3383" operator="equal">
      <formula>"OFF"</formula>
    </cfRule>
    <cfRule type="cellIs" dxfId="191" priority="3384" operator="equal">
      <formula>"PTO"</formula>
    </cfRule>
  </conditionalFormatting>
  <conditionalFormatting sqref="D34">
    <cfRule type="cellIs" dxfId="190" priority="3381" operator="equal">
      <formula>"OFF"</formula>
    </cfRule>
    <cfRule type="cellIs" dxfId="189" priority="3382" operator="equal">
      <formula>"PTO"</formula>
    </cfRule>
  </conditionalFormatting>
  <conditionalFormatting sqref="D34">
    <cfRule type="cellIs" dxfId="188" priority="3379" operator="equal">
      <formula>"OFF"</formula>
    </cfRule>
    <cfRule type="cellIs" dxfId="187" priority="3380" operator="equal">
      <formula>"PTO"</formula>
    </cfRule>
  </conditionalFormatting>
  <conditionalFormatting sqref="D34">
    <cfRule type="cellIs" dxfId="186" priority="3377" operator="equal">
      <formula>"OFF"</formula>
    </cfRule>
    <cfRule type="cellIs" dxfId="185" priority="3378" operator="equal">
      <formula>"PTO"</formula>
    </cfRule>
  </conditionalFormatting>
  <conditionalFormatting sqref="D34">
    <cfRule type="cellIs" dxfId="184" priority="3375" operator="equal">
      <formula>"OFF"</formula>
    </cfRule>
    <cfRule type="cellIs" dxfId="183" priority="3376" operator="equal">
      <formula>"PTO"</formula>
    </cfRule>
  </conditionalFormatting>
  <conditionalFormatting sqref="D34">
    <cfRule type="cellIs" dxfId="182" priority="3373" operator="equal">
      <formula>"OFF"</formula>
    </cfRule>
    <cfRule type="cellIs" dxfId="181" priority="3374" operator="equal">
      <formula>"PTO"</formula>
    </cfRule>
  </conditionalFormatting>
  <conditionalFormatting sqref="D34">
    <cfRule type="cellIs" dxfId="180" priority="3371" operator="equal">
      <formula>"OFF"</formula>
    </cfRule>
    <cfRule type="cellIs" dxfId="179" priority="3372" operator="equal">
      <formula>"PTO"</formula>
    </cfRule>
  </conditionalFormatting>
  <conditionalFormatting sqref="D34">
    <cfRule type="cellIs" dxfId="178" priority="3369" operator="equal">
      <formula>"OFF"</formula>
    </cfRule>
    <cfRule type="cellIs" dxfId="177" priority="3370" operator="equal">
      <formula>"PTO"</formula>
    </cfRule>
  </conditionalFormatting>
  <conditionalFormatting sqref="D33:D42">
    <cfRule type="cellIs" dxfId="176" priority="3367" operator="equal">
      <formula>"OFF"</formula>
    </cfRule>
    <cfRule type="cellIs" dxfId="175" priority="3368" operator="equal">
      <formula>"PTO"</formula>
    </cfRule>
  </conditionalFormatting>
  <conditionalFormatting sqref="D33:D42">
    <cfRule type="cellIs" dxfId="174" priority="3361" operator="equal">
      <formula>"OFF"</formula>
    </cfRule>
    <cfRule type="cellIs" dxfId="173" priority="3362" operator="equal">
      <formula>"PTO"</formula>
    </cfRule>
  </conditionalFormatting>
  <conditionalFormatting sqref="D33:D42">
    <cfRule type="cellIs" dxfId="172" priority="3345" operator="equal">
      <formula>"OFF"</formula>
    </cfRule>
    <cfRule type="cellIs" dxfId="171" priority="3346" operator="equal">
      <formula>"PTO"</formula>
    </cfRule>
  </conditionalFormatting>
  <conditionalFormatting sqref="D33:D42">
    <cfRule type="cellIs" dxfId="170" priority="3313" operator="equal">
      <formula>"OFF"</formula>
    </cfRule>
    <cfRule type="cellIs" dxfId="169" priority="3314" operator="equal">
      <formula>"PTO"</formula>
    </cfRule>
  </conditionalFormatting>
  <conditionalFormatting sqref="D33:D42">
    <cfRule type="cellIs" dxfId="168" priority="3311" operator="equal">
      <formula>"OFF"</formula>
    </cfRule>
    <cfRule type="cellIs" dxfId="167" priority="3312" operator="equal">
      <formula>"PTO"</formula>
    </cfRule>
  </conditionalFormatting>
  <conditionalFormatting sqref="D33:D42">
    <cfRule type="cellIs" dxfId="166" priority="3365" operator="equal">
      <formula>"OFF"</formula>
    </cfRule>
    <cfRule type="cellIs" dxfId="165" priority="3366" operator="equal">
      <formula>"PTO"</formula>
    </cfRule>
  </conditionalFormatting>
  <conditionalFormatting sqref="D33:D42">
    <cfRule type="cellIs" dxfId="164" priority="3363" operator="equal">
      <formula>"OFF"</formula>
    </cfRule>
    <cfRule type="cellIs" dxfId="163" priority="3364" operator="equal">
      <formula>"PTO"</formula>
    </cfRule>
  </conditionalFormatting>
  <conditionalFormatting sqref="D33:D42">
    <cfRule type="cellIs" dxfId="162" priority="3359" operator="equal">
      <formula>"OFF"</formula>
    </cfRule>
    <cfRule type="cellIs" dxfId="161" priority="3360" operator="equal">
      <formula>"PTO"</formula>
    </cfRule>
  </conditionalFormatting>
  <conditionalFormatting sqref="D33:D42">
    <cfRule type="cellIs" dxfId="160" priority="3357" operator="equal">
      <formula>"OFF"</formula>
    </cfRule>
    <cfRule type="cellIs" dxfId="159" priority="3358" operator="equal">
      <formula>"PTO"</formula>
    </cfRule>
  </conditionalFormatting>
  <conditionalFormatting sqref="D33:D42">
    <cfRule type="cellIs" dxfId="158" priority="3355" operator="equal">
      <formula>"OFF"</formula>
    </cfRule>
    <cfRule type="cellIs" dxfId="157" priority="3356" operator="equal">
      <formula>"PTO"</formula>
    </cfRule>
  </conditionalFormatting>
  <conditionalFormatting sqref="D33:D42">
    <cfRule type="cellIs" dxfId="156" priority="3353" operator="equal">
      <formula>"OFF"</formula>
    </cfRule>
    <cfRule type="cellIs" dxfId="155" priority="3354" operator="equal">
      <formula>"PTO"</formula>
    </cfRule>
  </conditionalFormatting>
  <conditionalFormatting sqref="D33:D42">
    <cfRule type="cellIs" dxfId="154" priority="3351" operator="equal">
      <formula>"OFF"</formula>
    </cfRule>
    <cfRule type="cellIs" dxfId="153" priority="3352" operator="equal">
      <formula>"PTO"</formula>
    </cfRule>
  </conditionalFormatting>
  <conditionalFormatting sqref="D33:D42">
    <cfRule type="cellIs" dxfId="152" priority="3349" operator="equal">
      <formula>"OFF"</formula>
    </cfRule>
    <cfRule type="cellIs" dxfId="151" priority="3350" operator="equal">
      <formula>"PTO"</formula>
    </cfRule>
  </conditionalFormatting>
  <conditionalFormatting sqref="D33:D42">
    <cfRule type="cellIs" dxfId="150" priority="3347" operator="equal">
      <formula>"OFF"</formula>
    </cfRule>
    <cfRule type="cellIs" dxfId="149" priority="3348" operator="equal">
      <formula>"PTO"</formula>
    </cfRule>
  </conditionalFormatting>
  <conditionalFormatting sqref="D33:D42">
    <cfRule type="cellIs" dxfId="148" priority="3343" operator="equal">
      <formula>"OFF"</formula>
    </cfRule>
    <cfRule type="cellIs" dxfId="147" priority="3344" operator="equal">
      <formula>"PTO"</formula>
    </cfRule>
  </conditionalFormatting>
  <conditionalFormatting sqref="D33:D42">
    <cfRule type="cellIs" dxfId="146" priority="3341" operator="equal">
      <formula>"OFF"</formula>
    </cfRule>
    <cfRule type="cellIs" dxfId="145" priority="3342" operator="equal">
      <formula>"PTO"</formula>
    </cfRule>
  </conditionalFormatting>
  <conditionalFormatting sqref="D33:D42">
    <cfRule type="cellIs" dxfId="144" priority="3339" operator="equal">
      <formula>"OFF"</formula>
    </cfRule>
    <cfRule type="cellIs" dxfId="143" priority="3340" operator="equal">
      <formula>"PTO"</formula>
    </cfRule>
  </conditionalFormatting>
  <conditionalFormatting sqref="D33:D42">
    <cfRule type="cellIs" dxfId="142" priority="3337" operator="equal">
      <formula>"OFF"</formula>
    </cfRule>
    <cfRule type="cellIs" dxfId="141" priority="3338" operator="equal">
      <formula>"PTO"</formula>
    </cfRule>
  </conditionalFormatting>
  <conditionalFormatting sqref="D33:D42">
    <cfRule type="cellIs" dxfId="140" priority="3335" operator="equal">
      <formula>"OFF"</formula>
    </cfRule>
    <cfRule type="cellIs" dxfId="139" priority="3336" operator="equal">
      <formula>"PTO"</formula>
    </cfRule>
  </conditionalFormatting>
  <conditionalFormatting sqref="D33:D42">
    <cfRule type="cellIs" dxfId="138" priority="3333" operator="equal">
      <formula>"OFF"</formula>
    </cfRule>
    <cfRule type="cellIs" dxfId="137" priority="3334" operator="equal">
      <formula>"PTO"</formula>
    </cfRule>
  </conditionalFormatting>
  <conditionalFormatting sqref="D33:D42">
    <cfRule type="cellIs" dxfId="136" priority="3331" operator="equal">
      <formula>"OFF"</formula>
    </cfRule>
    <cfRule type="cellIs" dxfId="135" priority="3332" operator="equal">
      <formula>"PTO"</formula>
    </cfRule>
  </conditionalFormatting>
  <conditionalFormatting sqref="D33:D42">
    <cfRule type="cellIs" dxfId="134" priority="3329" operator="equal">
      <formula>"OFF"</formula>
    </cfRule>
    <cfRule type="cellIs" dxfId="133" priority="3330" operator="equal">
      <formula>"PTO"</formula>
    </cfRule>
  </conditionalFormatting>
  <conditionalFormatting sqref="D33:D42">
    <cfRule type="cellIs" dxfId="132" priority="3327" operator="equal">
      <formula>"OFF"</formula>
    </cfRule>
    <cfRule type="cellIs" dxfId="131" priority="3328" operator="equal">
      <formula>"PTO"</formula>
    </cfRule>
  </conditionalFormatting>
  <conditionalFormatting sqref="D33:D42">
    <cfRule type="cellIs" dxfId="130" priority="3325" operator="equal">
      <formula>"OFF"</formula>
    </cfRule>
    <cfRule type="cellIs" dxfId="129" priority="3326" operator="equal">
      <formula>"PTO"</formula>
    </cfRule>
  </conditionalFormatting>
  <conditionalFormatting sqref="D33:D42">
    <cfRule type="cellIs" dxfId="128" priority="3323" operator="equal">
      <formula>"OFF"</formula>
    </cfRule>
    <cfRule type="cellIs" dxfId="127" priority="3324" operator="equal">
      <formula>"PTO"</formula>
    </cfRule>
  </conditionalFormatting>
  <conditionalFormatting sqref="D33:D42">
    <cfRule type="cellIs" dxfId="126" priority="3321" operator="equal">
      <formula>"OFF"</formula>
    </cfRule>
    <cfRule type="cellIs" dxfId="125" priority="3322" operator="equal">
      <formula>"PTO"</formula>
    </cfRule>
  </conditionalFormatting>
  <conditionalFormatting sqref="D33:D42">
    <cfRule type="cellIs" dxfId="124" priority="3319" operator="equal">
      <formula>"OFF"</formula>
    </cfRule>
    <cfRule type="cellIs" dxfId="123" priority="3320" operator="equal">
      <formula>"PTO"</formula>
    </cfRule>
  </conditionalFormatting>
  <conditionalFormatting sqref="D33:D42">
    <cfRule type="cellIs" dxfId="122" priority="3317" operator="equal">
      <formula>"OFF"</formula>
    </cfRule>
    <cfRule type="cellIs" dxfId="121" priority="3318" operator="equal">
      <formula>"PTO"</formula>
    </cfRule>
  </conditionalFormatting>
  <conditionalFormatting sqref="D33:D42">
    <cfRule type="cellIs" dxfId="120" priority="3315" operator="equal">
      <formula>"OFF"</formula>
    </cfRule>
    <cfRule type="cellIs" dxfId="119" priority="3316" operator="equal">
      <formula>"PTO"</formula>
    </cfRule>
  </conditionalFormatting>
  <conditionalFormatting sqref="D33:D42">
    <cfRule type="cellIs" dxfId="118" priority="3309" operator="equal">
      <formula>"OFF"</formula>
    </cfRule>
    <cfRule type="cellIs" dxfId="117" priority="3310" operator="equal">
      <formula>"PTO"</formula>
    </cfRule>
  </conditionalFormatting>
  <conditionalFormatting sqref="D33:D42">
    <cfRule type="cellIs" dxfId="116" priority="3307" operator="equal">
      <formula>"OFF"</formula>
    </cfRule>
    <cfRule type="cellIs" dxfId="115" priority="3308" operator="equal">
      <formula>"PTO"</formula>
    </cfRule>
  </conditionalFormatting>
  <conditionalFormatting sqref="D33:D42">
    <cfRule type="cellIs" dxfId="114" priority="3305" operator="equal">
      <formula>"OFF"</formula>
    </cfRule>
    <cfRule type="cellIs" dxfId="113" priority="3306" operator="equal">
      <formula>"PTO"</formula>
    </cfRule>
  </conditionalFormatting>
  <conditionalFormatting sqref="D33:D42">
    <cfRule type="cellIs" dxfId="112" priority="3303" operator="equal">
      <formula>"OFF"</formula>
    </cfRule>
    <cfRule type="cellIs" dxfId="111" priority="3304" operator="equal">
      <formula>"PTO"</formula>
    </cfRule>
  </conditionalFormatting>
  <conditionalFormatting sqref="D33:D42">
    <cfRule type="cellIs" dxfId="110" priority="3301" operator="equal">
      <formula>"OFF"</formula>
    </cfRule>
    <cfRule type="cellIs" dxfId="109" priority="3302" operator="equal">
      <formula>"PTO"</formula>
    </cfRule>
  </conditionalFormatting>
  <conditionalFormatting sqref="D33:D42">
    <cfRule type="cellIs" dxfId="108" priority="3299" operator="equal">
      <formula>"OFF"</formula>
    </cfRule>
    <cfRule type="cellIs" dxfId="107" priority="3300" operator="equal">
      <formula>"PTO"</formula>
    </cfRule>
  </conditionalFormatting>
  <conditionalFormatting sqref="D33:D42">
    <cfRule type="cellIs" dxfId="106" priority="3297" operator="equal">
      <formula>"OFF"</formula>
    </cfRule>
    <cfRule type="cellIs" dxfId="105" priority="3298" operator="equal">
      <formula>"PTO"</formula>
    </cfRule>
  </conditionalFormatting>
  <conditionalFormatting sqref="D33:D42">
    <cfRule type="cellIs" dxfId="104" priority="3295" operator="equal">
      <formula>"OFF"</formula>
    </cfRule>
    <cfRule type="cellIs" dxfId="103" priority="3296" operator="equal">
      <formula>"PTO"</formula>
    </cfRule>
  </conditionalFormatting>
  <conditionalFormatting sqref="D33:D42">
    <cfRule type="cellIs" dxfId="102" priority="3293" operator="equal">
      <formula>"OFF"</formula>
    </cfRule>
    <cfRule type="cellIs" dxfId="101" priority="3294" operator="equal">
      <formula>"PTO"</formula>
    </cfRule>
  </conditionalFormatting>
  <conditionalFormatting sqref="D33:D42">
    <cfRule type="cellIs" dxfId="100" priority="3291" operator="equal">
      <formula>"OFF"</formula>
    </cfRule>
    <cfRule type="cellIs" dxfId="99" priority="3292" operator="equal">
      <formula>"PTO"</formula>
    </cfRule>
  </conditionalFormatting>
  <conditionalFormatting sqref="D33:D42">
    <cfRule type="cellIs" dxfId="98" priority="3289" operator="equal">
      <formula>"OFF"</formula>
    </cfRule>
    <cfRule type="cellIs" dxfId="97" priority="3290" operator="equal">
      <formula>"PTO"</formula>
    </cfRule>
  </conditionalFormatting>
  <conditionalFormatting sqref="D33:D42">
    <cfRule type="cellIs" dxfId="96" priority="3287" operator="equal">
      <formula>"OFF"</formula>
    </cfRule>
    <cfRule type="cellIs" dxfId="95" priority="3288" operator="equal">
      <formula>"PTO"</formula>
    </cfRule>
  </conditionalFormatting>
  <conditionalFormatting sqref="D33:D42">
    <cfRule type="cellIs" dxfId="94" priority="3285" operator="equal">
      <formula>"OFF"</formula>
    </cfRule>
    <cfRule type="cellIs" dxfId="93" priority="3286" operator="equal">
      <formula>"PTO"</formula>
    </cfRule>
  </conditionalFormatting>
  <conditionalFormatting sqref="D33:D42">
    <cfRule type="cellIs" dxfId="92" priority="3283" operator="equal">
      <formula>"OFF"</formula>
    </cfRule>
    <cfRule type="cellIs" dxfId="91" priority="3284" operator="equal">
      <formula>"PTO"</formula>
    </cfRule>
  </conditionalFormatting>
  <conditionalFormatting sqref="D33:D42">
    <cfRule type="cellIs" dxfId="90" priority="3281" operator="equal">
      <formula>"OFF"</formula>
    </cfRule>
    <cfRule type="cellIs" dxfId="89" priority="3282" operator="equal">
      <formula>"PTO"</formula>
    </cfRule>
  </conditionalFormatting>
  <conditionalFormatting sqref="D33:D42">
    <cfRule type="cellIs" dxfId="88" priority="3279" operator="equal">
      <formula>"OFF"</formula>
    </cfRule>
    <cfRule type="cellIs" dxfId="87" priority="3280" operator="equal">
      <formula>"PTO"</formula>
    </cfRule>
  </conditionalFormatting>
  <conditionalFormatting sqref="D33:D42">
    <cfRule type="cellIs" dxfId="86" priority="3277" operator="equal">
      <formula>"OFF"</formula>
    </cfRule>
    <cfRule type="cellIs" dxfId="85" priority="3278" operator="equal">
      <formula>"PTO"</formula>
    </cfRule>
  </conditionalFormatting>
  <conditionalFormatting sqref="D33:D42">
    <cfRule type="cellIs" dxfId="84" priority="3275" operator="equal">
      <formula>"OFF"</formula>
    </cfRule>
    <cfRule type="cellIs" dxfId="83" priority="3276" operator="equal">
      <formula>"PTO"</formula>
    </cfRule>
  </conditionalFormatting>
  <conditionalFormatting sqref="D33:D42">
    <cfRule type="cellIs" dxfId="82" priority="3273" operator="equal">
      <formula>"OFF"</formula>
    </cfRule>
    <cfRule type="cellIs" dxfId="81" priority="3274" operator="equal">
      <formula>"PTO"</formula>
    </cfRule>
  </conditionalFormatting>
  <conditionalFormatting sqref="D33:D42">
    <cfRule type="cellIs" dxfId="80" priority="3271" operator="equal">
      <formula>"OFF"</formula>
    </cfRule>
    <cfRule type="cellIs" dxfId="79" priority="3272" operator="equal">
      <formula>"PTO"</formula>
    </cfRule>
  </conditionalFormatting>
  <conditionalFormatting sqref="D33:D42">
    <cfRule type="cellIs" dxfId="78" priority="3269" operator="equal">
      <formula>"OFF"</formula>
    </cfRule>
    <cfRule type="cellIs" dxfId="77" priority="3270" operator="equal">
      <formula>"PTO"</formula>
    </cfRule>
  </conditionalFormatting>
  <conditionalFormatting sqref="D33:D42">
    <cfRule type="cellIs" dxfId="76" priority="3267" operator="equal">
      <formula>"OFF"</formula>
    </cfRule>
    <cfRule type="cellIs" dxfId="75" priority="3268" operator="equal">
      <formula>"PTO"</formula>
    </cfRule>
  </conditionalFormatting>
  <conditionalFormatting sqref="D33:D42">
    <cfRule type="cellIs" dxfId="74" priority="3265" operator="equal">
      <formula>"OFF"</formula>
    </cfRule>
    <cfRule type="cellIs" dxfId="73" priority="3266" operator="equal">
      <formula>"PTO"</formula>
    </cfRule>
  </conditionalFormatting>
  <conditionalFormatting sqref="D33:D42">
    <cfRule type="cellIs" dxfId="72" priority="3263" operator="equal">
      <formula>"OFF"</formula>
    </cfRule>
    <cfRule type="cellIs" dxfId="71" priority="3264" operator="equal">
      <formula>"PTO"</formula>
    </cfRule>
  </conditionalFormatting>
  <conditionalFormatting sqref="D33:D42">
    <cfRule type="cellIs" dxfId="70" priority="3261" operator="equal">
      <formula>"OFF"</formula>
    </cfRule>
    <cfRule type="cellIs" dxfId="69" priority="3262" operator="equal">
      <formula>"PTO"</formula>
    </cfRule>
  </conditionalFormatting>
  <conditionalFormatting sqref="D33:D42">
    <cfRule type="cellIs" dxfId="68" priority="3259" operator="equal">
      <formula>"OFF"</formula>
    </cfRule>
    <cfRule type="cellIs" dxfId="67" priority="3260" operator="equal">
      <formula>"PTO"</formula>
    </cfRule>
  </conditionalFormatting>
  <conditionalFormatting sqref="D33:D42">
    <cfRule type="cellIs" dxfId="66" priority="3257" operator="equal">
      <formula>"OFF"</formula>
    </cfRule>
    <cfRule type="cellIs" dxfId="65" priority="3258" operator="equal">
      <formula>"PTO"</formula>
    </cfRule>
  </conditionalFormatting>
  <conditionalFormatting sqref="D33:D42">
    <cfRule type="cellIs" dxfId="64" priority="3255" operator="equal">
      <formula>"OFF"</formula>
    </cfRule>
    <cfRule type="cellIs" dxfId="63" priority="3256" operator="equal">
      <formula>"PTO"</formula>
    </cfRule>
  </conditionalFormatting>
  <conditionalFormatting sqref="D33:D42">
    <cfRule type="cellIs" dxfId="62" priority="3253" operator="equal">
      <formula>"OFF"</formula>
    </cfRule>
    <cfRule type="cellIs" dxfId="61" priority="3254" operator="equal">
      <formula>"PTO"</formula>
    </cfRule>
  </conditionalFormatting>
  <conditionalFormatting sqref="D33:D42">
    <cfRule type="cellIs" dxfId="60" priority="3251" operator="equal">
      <formula>"OFF"</formula>
    </cfRule>
    <cfRule type="cellIs" dxfId="59" priority="3252" operator="equal">
      <formula>"PTO"</formula>
    </cfRule>
  </conditionalFormatting>
  <conditionalFormatting sqref="D33:D42">
    <cfRule type="cellIs" dxfId="58" priority="3249" operator="equal">
      <formula>"OFF"</formula>
    </cfRule>
    <cfRule type="cellIs" dxfId="57" priority="3250" operator="equal">
      <formula>"PTO"</formula>
    </cfRule>
  </conditionalFormatting>
  <conditionalFormatting sqref="D33:D42">
    <cfRule type="cellIs" dxfId="56" priority="3247" operator="equal">
      <formula>"OFF"</formula>
    </cfRule>
    <cfRule type="cellIs" dxfId="55" priority="3248" operator="equal">
      <formula>"PTO"</formula>
    </cfRule>
  </conditionalFormatting>
  <conditionalFormatting sqref="D33:D42">
    <cfRule type="cellIs" dxfId="54" priority="3245" operator="equal">
      <formula>"OFF"</formula>
    </cfRule>
    <cfRule type="cellIs" dxfId="53" priority="3246" operator="equal">
      <formula>"PTO"</formula>
    </cfRule>
  </conditionalFormatting>
  <conditionalFormatting sqref="D33:D42">
    <cfRule type="cellIs" dxfId="52" priority="3243" operator="equal">
      <formula>"OFF"</formula>
    </cfRule>
    <cfRule type="cellIs" dxfId="51" priority="3244" operator="equal">
      <formula>"PTO"</formula>
    </cfRule>
  </conditionalFormatting>
  <conditionalFormatting sqref="D33:D42">
    <cfRule type="cellIs" dxfId="50" priority="3241" operator="equal">
      <formula>"OFF"</formula>
    </cfRule>
    <cfRule type="cellIs" dxfId="49" priority="3242" operator="equal">
      <formula>"PTO"</formula>
    </cfRule>
  </conditionalFormatting>
  <conditionalFormatting sqref="D33:D42">
    <cfRule type="cellIs" dxfId="48" priority="3239" operator="equal">
      <formula>"OFF"</formula>
    </cfRule>
    <cfRule type="cellIs" dxfId="47" priority="3240" operator="equal">
      <formula>"PTO"</formula>
    </cfRule>
  </conditionalFormatting>
  <conditionalFormatting sqref="D33:D42">
    <cfRule type="cellIs" dxfId="46" priority="3237" operator="equal">
      <formula>"OFF"</formula>
    </cfRule>
    <cfRule type="cellIs" dxfId="45" priority="3238" operator="equal">
      <formula>"PTO"</formula>
    </cfRule>
  </conditionalFormatting>
  <conditionalFormatting sqref="D33:D42">
    <cfRule type="cellIs" dxfId="44" priority="3235" operator="equal">
      <formula>"OFF"</formula>
    </cfRule>
    <cfRule type="cellIs" dxfId="43" priority="3236" operator="equal">
      <formula>"PTO"</formula>
    </cfRule>
  </conditionalFormatting>
  <conditionalFormatting sqref="D33:D42">
    <cfRule type="cellIs" dxfId="42" priority="3233" operator="equal">
      <formula>"OFF"</formula>
    </cfRule>
    <cfRule type="cellIs" dxfId="41" priority="3234" operator="equal">
      <formula>"PTO"</formula>
    </cfRule>
  </conditionalFormatting>
  <conditionalFormatting sqref="D33:D42">
    <cfRule type="cellIs" dxfId="40" priority="3231" operator="equal">
      <formula>"OFF"</formula>
    </cfRule>
    <cfRule type="cellIs" dxfId="39" priority="3232" operator="equal">
      <formula>"PTO"</formula>
    </cfRule>
  </conditionalFormatting>
  <conditionalFormatting sqref="D33:D42">
    <cfRule type="cellIs" dxfId="38" priority="3229" operator="equal">
      <formula>"OFF"</formula>
    </cfRule>
    <cfRule type="cellIs" dxfId="37" priority="3230" operator="equal">
      <formula>"PTO"</formula>
    </cfRule>
  </conditionalFormatting>
  <conditionalFormatting sqref="D33:D42">
    <cfRule type="cellIs" dxfId="36" priority="3227" operator="equal">
      <formula>"OFF"</formula>
    </cfRule>
    <cfRule type="cellIs" dxfId="35" priority="3228" operator="equal">
      <formula>"PTO"</formula>
    </cfRule>
  </conditionalFormatting>
  <conditionalFormatting sqref="D33:D42">
    <cfRule type="cellIs" dxfId="34" priority="3225" operator="equal">
      <formula>"OFF"</formula>
    </cfRule>
    <cfRule type="cellIs" dxfId="33" priority="3226" operator="equal">
      <formula>"PTO"</formula>
    </cfRule>
  </conditionalFormatting>
  <conditionalFormatting sqref="D33:D42">
    <cfRule type="cellIs" dxfId="32" priority="3223" operator="equal">
      <formula>"OFF"</formula>
    </cfRule>
    <cfRule type="cellIs" dxfId="31" priority="3224" operator="equal">
      <formula>"PTO"</formula>
    </cfRule>
  </conditionalFormatting>
  <conditionalFormatting sqref="D33:D42">
    <cfRule type="cellIs" dxfId="30" priority="3221" operator="equal">
      <formula>"OFF"</formula>
    </cfRule>
    <cfRule type="cellIs" dxfId="29" priority="3222" operator="equal">
      <formula>"PTO"</formula>
    </cfRule>
  </conditionalFormatting>
  <conditionalFormatting sqref="D33:D42">
    <cfRule type="cellIs" dxfId="28" priority="3219" operator="equal">
      <formula>"OFF"</formula>
    </cfRule>
    <cfRule type="cellIs" dxfId="27" priority="3220" operator="equal">
      <formula>"PTO"</formula>
    </cfRule>
  </conditionalFormatting>
  <conditionalFormatting sqref="D33:D42">
    <cfRule type="cellIs" dxfId="26" priority="3217" operator="equal">
      <formula>"OFF"</formula>
    </cfRule>
    <cfRule type="cellIs" dxfId="25" priority="3218" operator="equal">
      <formula>"PTO"</formula>
    </cfRule>
  </conditionalFormatting>
  <conditionalFormatting sqref="D33:D42">
    <cfRule type="cellIs" dxfId="24" priority="3215" operator="equal">
      <formula>"OFF"</formula>
    </cfRule>
    <cfRule type="cellIs" dxfId="23" priority="3216" operator="equal">
      <formula>"PTO"</formula>
    </cfRule>
  </conditionalFormatting>
  <conditionalFormatting sqref="D33:D42">
    <cfRule type="cellIs" dxfId="22" priority="3213" operator="equal">
      <formula>"OFF"</formula>
    </cfRule>
    <cfRule type="cellIs" dxfId="21" priority="3214" operator="equal">
      <formula>"PTO"</formula>
    </cfRule>
  </conditionalFormatting>
  <conditionalFormatting sqref="D33:D42">
    <cfRule type="cellIs" dxfId="20" priority="3211" operator="equal">
      <formula>"OFF"</formula>
    </cfRule>
    <cfRule type="cellIs" dxfId="19" priority="3212" operator="equal">
      <formula>"PTO"</formula>
    </cfRule>
  </conditionalFormatting>
  <conditionalFormatting sqref="D33:D42">
    <cfRule type="cellIs" dxfId="18" priority="3209" operator="equal">
      <formula>"OFF"</formula>
    </cfRule>
    <cfRule type="cellIs" dxfId="17" priority="3210" operator="equal">
      <formula>"PTO"</formula>
    </cfRule>
  </conditionalFormatting>
  <conditionalFormatting sqref="D33:D42">
    <cfRule type="cellIs" dxfId="16" priority="3207" operator="equal">
      <formula>"OFF"</formula>
    </cfRule>
    <cfRule type="cellIs" dxfId="15" priority="3208" operator="equal">
      <formula>"PTO"</formula>
    </cfRule>
  </conditionalFormatting>
  <conditionalFormatting sqref="D33:D42">
    <cfRule type="cellIs" dxfId="14" priority="3205" operator="equal">
      <formula>"OFF"</formula>
    </cfRule>
    <cfRule type="cellIs" dxfId="13" priority="3206" operator="equal">
      <formula>"PTO"</formula>
    </cfRule>
  </conditionalFormatting>
  <conditionalFormatting sqref="D33:D42">
    <cfRule type="cellIs" dxfId="12" priority="3203" operator="equal">
      <formula>"OFF"</formula>
    </cfRule>
    <cfRule type="cellIs" dxfId="11" priority="3204" operator="equal">
      <formula>"PTO"</formula>
    </cfRule>
  </conditionalFormatting>
  <conditionalFormatting sqref="D33:D42">
    <cfRule type="cellIs" dxfId="10" priority="3201" operator="equal">
      <formula>"OFF"</formula>
    </cfRule>
    <cfRule type="cellIs" dxfId="9" priority="3202" operator="equal">
      <formula>"PTO"</formula>
    </cfRule>
  </conditionalFormatting>
  <conditionalFormatting sqref="D33:D42">
    <cfRule type="cellIs" dxfId="8" priority="3199" operator="equal">
      <formula>"OFF"</formula>
    </cfRule>
    <cfRule type="cellIs" dxfId="7" priority="3200" operator="equal">
      <formula>"PTO"</formula>
    </cfRule>
  </conditionalFormatting>
  <conditionalFormatting sqref="B4:B5 B7:B13">
    <cfRule type="duplicateValues" dxfId="6" priority="3198"/>
  </conditionalFormatting>
  <conditionalFormatting sqref="B6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0000"/>
  </sheetPr>
  <dimension ref="A1:CS145"/>
  <sheetViews>
    <sheetView topLeftCell="AW1" zoomScale="70" zoomScaleNormal="70" workbookViewId="0">
      <selection activeCell="AW1" sqref="AW1"/>
    </sheetView>
  </sheetViews>
  <sheetFormatPr defaultColWidth="9.28515625" defaultRowHeight="15" outlineLevelCol="1" x14ac:dyDescent="0.25"/>
  <cols>
    <col min="1" max="1" width="33.42578125" hidden="1" customWidth="1" outlineLevel="1"/>
    <col min="2" max="2" width="13" hidden="1" customWidth="1" outlineLevel="1"/>
    <col min="3" max="12" width="9.140625" hidden="1" customWidth="1" outlineLevel="1"/>
    <col min="13" max="13" width="11.42578125" hidden="1" customWidth="1" outlineLevel="1"/>
    <col min="14" max="14" width="9.140625" hidden="1" customWidth="1" outlineLevel="1"/>
    <col min="15" max="15" width="11.42578125" hidden="1" customWidth="1" outlineLevel="1"/>
    <col min="16" max="16" width="9.28515625" hidden="1" customWidth="1" outlineLevel="1"/>
    <col min="17" max="17" width="9.140625" hidden="1" customWidth="1" outlineLevel="1"/>
    <col min="18" max="18" width="10" hidden="1" customWidth="1" outlineLevel="1"/>
    <col min="19" max="19" width="9.28515625" hidden="1" customWidth="1" outlineLevel="1"/>
    <col min="20" max="33" width="9.140625" hidden="1" customWidth="1" outlineLevel="1"/>
    <col min="34" max="34" width="9.28515625" hidden="1" customWidth="1" outlineLevel="1"/>
    <col min="35" max="45" width="9.140625" hidden="1" customWidth="1" outlineLevel="1"/>
    <col min="46" max="46" width="10.85546875" hidden="1" customWidth="1" outlineLevel="1"/>
    <col min="47" max="47" width="9.140625" hidden="1" customWidth="1" outlineLevel="1"/>
    <col min="48" max="48" width="11" hidden="1" customWidth="1" outlineLevel="1"/>
    <col min="49" max="49" width="9.28515625" customWidth="1" collapsed="1"/>
    <col min="50" max="50" width="9.42578125" style="9" customWidth="1"/>
    <col min="51" max="51" width="11" style="9" hidden="1" customWidth="1"/>
    <col min="52" max="52" width="5.42578125" style="9" customWidth="1"/>
    <col min="53" max="53" width="4.5703125" style="9" bestFit="1" customWidth="1"/>
    <col min="54" max="54" width="5" style="9" bestFit="1" customWidth="1"/>
    <col min="55" max="55" width="4.5703125" style="9" bestFit="1" customWidth="1"/>
    <col min="56" max="56" width="3.5703125" style="9" customWidth="1"/>
    <col min="57" max="57" width="4.28515625" style="9" bestFit="1" customWidth="1"/>
    <col min="58" max="58" width="4.5703125" style="9" customWidth="1"/>
    <col min="59" max="59" width="10.7109375" style="9" customWidth="1"/>
    <col min="60" max="60" width="10" style="9" customWidth="1"/>
    <col min="61" max="61" width="11" style="9" hidden="1" customWidth="1"/>
    <col min="62" max="62" width="5.42578125" style="9" customWidth="1"/>
    <col min="63" max="63" width="4.5703125" style="9" bestFit="1" customWidth="1"/>
    <col min="64" max="64" width="5" style="9" bestFit="1" customWidth="1"/>
    <col min="65" max="65" width="4.5703125" style="9" bestFit="1" customWidth="1"/>
    <col min="66" max="66" width="3.5703125" style="9" customWidth="1"/>
    <col min="67" max="67" width="4.28515625" style="9" bestFit="1" customWidth="1"/>
    <col min="68" max="68" width="4.5703125" style="9" bestFit="1" customWidth="1"/>
    <col min="69" max="70" width="9.28515625" style="9" customWidth="1"/>
    <col min="71" max="71" width="11.7109375" style="9" customWidth="1"/>
    <col min="72" max="72" width="11.5703125" style="9" hidden="1" customWidth="1"/>
    <col min="73" max="73" width="5.42578125" style="9" bestFit="1" customWidth="1"/>
    <col min="74" max="80" width="5.7109375" style="9" customWidth="1"/>
    <col min="81" max="81" width="5" style="9" customWidth="1"/>
    <col min="82" max="93" width="5.7109375" style="9" customWidth="1"/>
    <col min="97" max="97" width="2.5703125" bestFit="1" customWidth="1"/>
  </cols>
  <sheetData>
    <row r="1" spans="1:97" ht="15.75" thickBot="1" x14ac:dyDescent="0.3">
      <c r="B1" s="328" t="s">
        <v>54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T1" s="331" t="s">
        <v>55</v>
      </c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2"/>
      <c r="AI1" s="331" t="s">
        <v>56</v>
      </c>
      <c r="AJ1" s="331"/>
      <c r="AK1" s="331"/>
      <c r="AL1" s="331"/>
      <c r="AM1" s="331"/>
      <c r="AN1" s="331"/>
      <c r="AO1" s="331"/>
      <c r="AP1" s="331"/>
      <c r="AQ1" s="331"/>
      <c r="AR1" s="331"/>
      <c r="AS1" s="331"/>
      <c r="AT1" s="331"/>
      <c r="AU1" s="331"/>
      <c r="AV1" s="332"/>
      <c r="AX1" s="336" t="s">
        <v>11</v>
      </c>
      <c r="AY1" s="337"/>
      <c r="AZ1" s="337"/>
      <c r="BA1" s="337"/>
      <c r="BB1" s="337"/>
      <c r="BC1" s="337"/>
      <c r="BD1" s="337"/>
      <c r="BE1" s="337"/>
      <c r="BF1" s="338"/>
      <c r="BG1" s="105" t="s">
        <v>54</v>
      </c>
      <c r="BH1" s="339" t="s">
        <v>12</v>
      </c>
      <c r="BI1" s="340"/>
      <c r="BJ1" s="340"/>
      <c r="BK1" s="340"/>
      <c r="BL1" s="340"/>
      <c r="BM1" s="340"/>
      <c r="BN1" s="340"/>
      <c r="BO1" s="340"/>
      <c r="BP1" s="341"/>
      <c r="BQ1" s="11"/>
      <c r="BS1" s="42"/>
      <c r="BT1" s="42"/>
      <c r="BU1" s="342" t="str">
        <f>'Nesting Phone time'!C1</f>
        <v>WEEK BEGINNING 0427</v>
      </c>
      <c r="BV1" s="343"/>
      <c r="BW1" s="343"/>
      <c r="BX1" s="343"/>
      <c r="BY1" s="343"/>
      <c r="BZ1" s="343"/>
      <c r="CA1" s="344"/>
      <c r="CB1" s="311" t="str">
        <f>'Agent Sched'!J1</f>
        <v>WEEK BEGINNING 0504</v>
      </c>
      <c r="CC1" s="312"/>
      <c r="CD1" s="312"/>
      <c r="CE1" s="312"/>
      <c r="CF1" s="312"/>
      <c r="CG1" s="312"/>
      <c r="CH1" s="313"/>
      <c r="CI1" s="311" t="str">
        <f>'Agent Sched'!Q1</f>
        <v>WEEK BEGINNING 0511</v>
      </c>
      <c r="CJ1" s="312"/>
      <c r="CK1" s="312"/>
      <c r="CL1" s="312"/>
      <c r="CM1" s="312"/>
      <c r="CN1" s="312"/>
      <c r="CO1" s="313"/>
      <c r="CS1" s="27">
        <v>6</v>
      </c>
    </row>
    <row r="2" spans="1:97" ht="15.75" thickBot="1" x14ac:dyDescent="0.3">
      <c r="A2" s="16" t="s">
        <v>10</v>
      </c>
      <c r="B2" s="17" t="s">
        <v>52</v>
      </c>
      <c r="C2" s="17" t="s">
        <v>0</v>
      </c>
      <c r="D2" s="17" t="s">
        <v>1</v>
      </c>
      <c r="E2" s="17" t="s">
        <v>1</v>
      </c>
      <c r="F2" s="17" t="s">
        <v>2</v>
      </c>
      <c r="G2" s="18" t="s">
        <v>2</v>
      </c>
      <c r="H2" s="17" t="s">
        <v>51</v>
      </c>
      <c r="I2" s="17" t="s">
        <v>51</v>
      </c>
      <c r="J2" s="17" t="s">
        <v>4</v>
      </c>
      <c r="K2" s="17" t="s">
        <v>4</v>
      </c>
      <c r="L2" s="17" t="s">
        <v>5</v>
      </c>
      <c r="M2" s="17" t="s">
        <v>5</v>
      </c>
      <c r="N2" s="19" t="s">
        <v>6</v>
      </c>
      <c r="O2" s="15" t="s">
        <v>6</v>
      </c>
      <c r="Q2" s="14" t="s">
        <v>37</v>
      </c>
      <c r="R2" t="s">
        <v>37</v>
      </c>
      <c r="T2" s="16" t="s">
        <v>52</v>
      </c>
      <c r="U2" s="17" t="s">
        <v>0</v>
      </c>
      <c r="V2" s="17" t="s">
        <v>1</v>
      </c>
      <c r="W2" s="17" t="s">
        <v>1</v>
      </c>
      <c r="X2" s="17" t="s">
        <v>2</v>
      </c>
      <c r="Y2" s="18" t="s">
        <v>2</v>
      </c>
      <c r="Z2" s="17" t="s">
        <v>51</v>
      </c>
      <c r="AA2" s="17" t="s">
        <v>51</v>
      </c>
      <c r="AB2" s="17" t="s">
        <v>4</v>
      </c>
      <c r="AC2" s="17" t="s">
        <v>4</v>
      </c>
      <c r="AD2" s="17" t="s">
        <v>5</v>
      </c>
      <c r="AE2" s="17" t="s">
        <v>5</v>
      </c>
      <c r="AF2" s="19" t="s">
        <v>6</v>
      </c>
      <c r="AG2" s="15" t="s">
        <v>6</v>
      </c>
      <c r="AI2" s="16" t="s">
        <v>52</v>
      </c>
      <c r="AJ2" s="17" t="s">
        <v>0</v>
      </c>
      <c r="AK2" s="17" t="s">
        <v>1</v>
      </c>
      <c r="AL2" s="17" t="s">
        <v>1</v>
      </c>
      <c r="AM2" s="17" t="s">
        <v>2</v>
      </c>
      <c r="AN2" s="18" t="s">
        <v>2</v>
      </c>
      <c r="AO2" s="17" t="s">
        <v>51</v>
      </c>
      <c r="AP2" s="17" t="s">
        <v>51</v>
      </c>
      <c r="AQ2" s="17" t="s">
        <v>4</v>
      </c>
      <c r="AR2" s="17" t="s">
        <v>4</v>
      </c>
      <c r="AS2" s="17" t="s">
        <v>5</v>
      </c>
      <c r="AT2" s="17" t="s">
        <v>5</v>
      </c>
      <c r="AU2" s="19" t="s">
        <v>6</v>
      </c>
      <c r="AV2" s="15" t="s">
        <v>6</v>
      </c>
      <c r="AX2" s="61" t="s">
        <v>8</v>
      </c>
      <c r="AY2" s="59" t="s">
        <v>57</v>
      </c>
      <c r="AZ2" s="60" t="s">
        <v>0</v>
      </c>
      <c r="BA2" s="60" t="s">
        <v>1</v>
      </c>
      <c r="BB2" s="60" t="s">
        <v>2</v>
      </c>
      <c r="BC2" s="60" t="s">
        <v>3</v>
      </c>
      <c r="BD2" s="60" t="s">
        <v>4</v>
      </c>
      <c r="BE2" s="60" t="s">
        <v>5</v>
      </c>
      <c r="BF2" s="62" t="s">
        <v>6</v>
      </c>
      <c r="BH2" s="63" t="s">
        <v>8</v>
      </c>
      <c r="BI2" s="64" t="s">
        <v>57</v>
      </c>
      <c r="BJ2" s="65" t="s">
        <v>0</v>
      </c>
      <c r="BK2" s="65" t="s">
        <v>1</v>
      </c>
      <c r="BL2" s="65" t="s">
        <v>2</v>
      </c>
      <c r="BM2" s="65" t="s">
        <v>3</v>
      </c>
      <c r="BN2" s="65" t="s">
        <v>4</v>
      </c>
      <c r="BO2" s="65" t="s">
        <v>5</v>
      </c>
      <c r="BP2" s="66" t="s">
        <v>6</v>
      </c>
      <c r="BS2" s="43" t="s">
        <v>8</v>
      </c>
      <c r="BT2" s="44" t="s">
        <v>53</v>
      </c>
      <c r="BU2" s="47" t="s">
        <v>0</v>
      </c>
      <c r="BV2" s="45" t="s">
        <v>1</v>
      </c>
      <c r="BW2" s="45" t="s">
        <v>2</v>
      </c>
      <c r="BX2" s="45" t="s">
        <v>3</v>
      </c>
      <c r="BY2" s="45" t="s">
        <v>4</v>
      </c>
      <c r="BZ2" s="45" t="s">
        <v>5</v>
      </c>
      <c r="CA2" s="46" t="s">
        <v>6</v>
      </c>
      <c r="CB2" s="47" t="s">
        <v>0</v>
      </c>
      <c r="CC2" s="45" t="s">
        <v>1</v>
      </c>
      <c r="CD2" s="45" t="s">
        <v>2</v>
      </c>
      <c r="CE2" s="45" t="s">
        <v>3</v>
      </c>
      <c r="CF2" s="45" t="s">
        <v>4</v>
      </c>
      <c r="CG2" s="45" t="s">
        <v>5</v>
      </c>
      <c r="CH2" s="46" t="s">
        <v>6</v>
      </c>
      <c r="CI2" s="47" t="s">
        <v>0</v>
      </c>
      <c r="CJ2" s="45" t="s">
        <v>1</v>
      </c>
      <c r="CK2" s="45" t="s">
        <v>2</v>
      </c>
      <c r="CL2" s="45" t="s">
        <v>3</v>
      </c>
      <c r="CM2" s="45" t="s">
        <v>4</v>
      </c>
      <c r="CN2" s="45" t="s">
        <v>5</v>
      </c>
      <c r="CO2" s="46" t="s">
        <v>6</v>
      </c>
    </row>
    <row r="3" spans="1:97" x14ac:dyDescent="0.25">
      <c r="A3" s="20" t="str">
        <f>IFERROR('Agent Sched'!B4,"-")</f>
        <v>Shenna Mae Pudadera</v>
      </c>
      <c r="B3" s="12">
        <f>IFERROR(VLOOKUP(A3,'Agent Sched'!$B:$C,2,),"-")</f>
        <v>0.375</v>
      </c>
      <c r="C3" s="13">
        <f>IFERROR(IF(B3="PTO","PTO",IF(B3="OFF","OFF", B3 + TIME(9,0,0))),"-")</f>
        <v>0.75</v>
      </c>
      <c r="D3" s="12">
        <f>IFERROR(VLOOKUP(A3,'Agent Sched'!B:D,3,),"-")</f>
        <v>0.375</v>
      </c>
      <c r="E3" s="13">
        <f>IFERROR(IF(D3="PTO","PTO",IF(D3="OFF","OFF", D3 + TIME(9,0,0))),"-")</f>
        <v>0.75</v>
      </c>
      <c r="F3" s="12">
        <f>IFERROR(VLOOKUP(A3,'Agent Sched'!B:E,4,),"-")</f>
        <v>0.375</v>
      </c>
      <c r="G3" s="13">
        <f>IFERROR(IF(F3="PTO","PTO",IF(F3="OFF","OFF", F3 + TIME(9,0,0))),"-")</f>
        <v>0.75</v>
      </c>
      <c r="H3" s="12" t="str">
        <f>IFERROR(VLOOKUP(A3,'Agent Sched'!B:F,5,),"-")</f>
        <v>OFF</v>
      </c>
      <c r="I3" s="13" t="str">
        <f>IFERROR(IF(H3="PTO","PTO",IF(H3="OFF","OFF", H3 + TIME(9,0,0))),"-")</f>
        <v>OFF</v>
      </c>
      <c r="J3" s="12" t="str">
        <f>IFERROR(VLOOKUP(A3,'Agent Sched'!B:G,6,),"-")</f>
        <v>OFF</v>
      </c>
      <c r="K3" s="13" t="str">
        <f>IFERROR(IF(J3="PTO","PTO",IF(J3="OFF","OFF", J3 + TIME(9,0,0))),"-")</f>
        <v>OFF</v>
      </c>
      <c r="L3" s="12">
        <f>IFERROR(VLOOKUP(A3,'Agent Sched'!B:H,7,),"-")</f>
        <v>0.375</v>
      </c>
      <c r="M3" s="13">
        <f>IFERROR(IF(L3="PTO","PTO",IF(L3="OFF","OFF", L3 + TIME(9,0,0))),"-")</f>
        <v>0.75</v>
      </c>
      <c r="N3" s="21">
        <f>IFERROR(VLOOKUP(A3,'Agent Sched'!B:I,8,),"-")</f>
        <v>0.375</v>
      </c>
      <c r="O3" s="13">
        <f>IFERROR(IF(N3="PTO","PTO",IF(N3="OFF","OFF", N3 + TIME(9,0,0))),"-")</f>
        <v>0.75</v>
      </c>
      <c r="Q3" s="12">
        <f>VLOOKUP(A3,'Agent Sched'!B:Y,24,)</f>
        <v>0.375</v>
      </c>
      <c r="R3" s="13">
        <f>IFERROR(IF(Q3="PTO","PTO",IF(Q3="OFF","OFF", Q3 + TIME(9,0,0))),"-")</f>
        <v>0.75</v>
      </c>
      <c r="T3" s="25" t="str">
        <f>VLOOKUP(A3,'Agent Sched'!$B:$J,9,)</f>
        <v>OFF</v>
      </c>
      <c r="U3" s="13" t="str">
        <f>IFERROR(IF(T3="PTO","PTO",IF(T3="OFF","OFF", T3 + TIME(9,0,0))),"-")</f>
        <v>OFF</v>
      </c>
      <c r="V3" s="12">
        <f>VLOOKUP(A3,'Agent Sched'!B:K,10,)</f>
        <v>0.375</v>
      </c>
      <c r="W3" s="13">
        <f>IFERROR(IF(V3="PTO","PTO",IF(V3="OFF","OFF", V3 + TIME(9,0,0))),"-")</f>
        <v>0.75</v>
      </c>
      <c r="X3" s="12">
        <f>VLOOKUP(A3,'Agent Sched'!B:L,11,)</f>
        <v>0.375</v>
      </c>
      <c r="Y3" s="13">
        <f>IFERROR(IF(X3="PTO","PTO",IF(X3="OFF","OFF", X3 + TIME(9,0,0))),"-")</f>
        <v>0.75</v>
      </c>
      <c r="Z3" s="12">
        <f>VLOOKUP(A3,'Agent Sched'!B:M,12,)</f>
        <v>0.375</v>
      </c>
      <c r="AA3" s="13">
        <f>IFERROR(IF(Z3="PTO","PTO",IF(Z3="OFF","OFF", Z3 + TIME(9,0,0))),"-")</f>
        <v>0.75</v>
      </c>
      <c r="AB3" s="12">
        <f>VLOOKUP(A3,'Agent Sched'!B:N,13,)</f>
        <v>0.375</v>
      </c>
      <c r="AC3" s="13">
        <f>IFERROR(IF(AB3="PTO","PTO",IF(AB3="OFF","OFF", AB3 + TIME(9,0,0))),"-")</f>
        <v>0.75</v>
      </c>
      <c r="AD3" s="12">
        <f>VLOOKUP(A3,'Agent Sched'!B:O,14,)</f>
        <v>0.375</v>
      </c>
      <c r="AE3" s="13">
        <f>IFERROR(IF(AD3="PTO","PTO",IF(AD3="OFF","OFF", AD3 + TIME(9,0,0))),"-")</f>
        <v>0.75</v>
      </c>
      <c r="AF3" s="21" t="str">
        <f>VLOOKUP(A3,'Agent Sched'!B:P,15,)</f>
        <v>OFF</v>
      </c>
      <c r="AG3" s="13" t="str">
        <f>IFERROR(IF(AF3="PTO","PTO",IF(AF3="OFF","OFF", AF3 + TIME(9,0,0))),"-")</f>
        <v>OFF</v>
      </c>
      <c r="AI3" s="25" t="str">
        <f>VLOOKUP(A3,'Agent Sched'!$B:$Q,16,)</f>
        <v>OFF</v>
      </c>
      <c r="AJ3" s="13" t="str">
        <f>IFERROR(IF(AI3="PTO","PTO",IF(AI3="OFF","OFF", AI3 + TIME(9,0,0))),"-")</f>
        <v>OFF</v>
      </c>
      <c r="AK3" s="12">
        <f>VLOOKUP(A3,'Agent Sched'!B:R,17,)</f>
        <v>0.375</v>
      </c>
      <c r="AL3" s="13">
        <f>IFERROR(IF(AK3="PTO","PTO",IF(AK3="OFF","OFF", AK3 + TIME(9,0,0))),"-")</f>
        <v>0.75</v>
      </c>
      <c r="AM3" s="12">
        <f>VLOOKUP(A3,'Agent Sched'!B:S,18,)</f>
        <v>0.375</v>
      </c>
      <c r="AN3" s="13">
        <f>IFERROR(IF(AM3="PTO","PTO",IF(AM3="OFF","OFF", AM3 + TIME(9,0,0))),"-")</f>
        <v>0.75</v>
      </c>
      <c r="AO3" s="12">
        <f>VLOOKUP(A3,'Agent Sched'!B:T,19,)</f>
        <v>0.375</v>
      </c>
      <c r="AP3" s="13">
        <f>IFERROR(IF(AO3="PTO","PTO",IF(AO3="OFF","OFF", AO3 + TIME(9,0,0))),"-")</f>
        <v>0.75</v>
      </c>
      <c r="AQ3" s="12">
        <f>VLOOKUP(A3,'Agent Sched'!B:U,20,)</f>
        <v>0.375</v>
      </c>
      <c r="AR3" s="13">
        <f>IFERROR(IF(AQ3="PTO","PTO",IF(AQ3="OFF","OFF", AQ3 + TIME(9,0,0))),"-")</f>
        <v>0.75</v>
      </c>
      <c r="AS3" s="12">
        <f>VLOOKUP(A3,'Agent Sched'!B:V,21,)</f>
        <v>0.375</v>
      </c>
      <c r="AT3" s="13">
        <f>IFERROR(IF(AS3="PTO","PTO",IF(AS3="OFF","OFF", AS3 + TIME(9,0,0))),"-")</f>
        <v>0.75</v>
      </c>
      <c r="AU3" s="21" t="str">
        <f>VLOOKUP(A3,'Agent Sched'!B:W,22,)</f>
        <v>OFF</v>
      </c>
      <c r="AV3" s="13" t="str">
        <f>IFERROR(IF(AU3="PTO","PTO",IF(AU3="OFF","OFF", AU3 + TIME(9,0,0))),"-")</f>
        <v>OFF</v>
      </c>
      <c r="AX3" s="30">
        <v>0</v>
      </c>
      <c r="AY3" s="10">
        <v>1</v>
      </c>
      <c r="AZ3" s="31">
        <f>(COUNTIFS($B$13:$B$22, "&lt;=" &amp; AX3, $C$13:$C$22, "&gt;" &amp; AX3))+COUNTIFS($Q$13:$Q$22, "&lt;=" &amp; AY3, $R$13:$R$22, "&gt;" &amp; AY3)</f>
        <v>0</v>
      </c>
      <c r="BA3" s="31">
        <f>(COUNTIFS($D$13:$D$22, "&lt;=" &amp; AX3, $E$13:$E$22, "&gt;" &amp; AX3))+COUNTIFS($B$13:$B$22, "&lt;=" &amp; AY3, $C$13:$C$22, "&gt;" &amp; AY3)</f>
        <v>0</v>
      </c>
      <c r="BB3" s="31">
        <f>(COUNTIFS($F$13:$F$22, "&lt;=" &amp; AX3, $G$13:$G$22, "&gt;" &amp; AX3))+COUNTIFS($D$13:$D$22, "&lt;=" &amp; AY3, $E$13:$E$22, "&gt;" &amp; AY3)</f>
        <v>0</v>
      </c>
      <c r="BC3" s="31">
        <f>(COUNTIFS($H$13:$H$22, "&lt;=" &amp; AX3, $I$13:$I$22, "&gt;" &amp; AX3))+COUNTIFS($F$13:$F$22, "&lt;=" &amp; AY3, $G$13:$G$22, "&gt;" &amp; AY3)</f>
        <v>0</v>
      </c>
      <c r="BD3" s="31">
        <f>(COUNTIFS($J$13:$J$22, "&lt;=" &amp; AX3, $K$13:$K$22, "&gt;" &amp; AX3))+COUNTIFS($H$13:$H$22, "&lt;=" &amp; AY3, $I$13:$I$22, "&gt;" &amp; AY3)</f>
        <v>0</v>
      </c>
      <c r="BE3" s="31">
        <f>(COUNTIFS($L$13:$L$22, "&lt;=" &amp; AX3, $M$13:$M$22, "&gt;" &amp; AX3))+COUNTIFS($J$13:$J$22, "&lt;=" &amp; AY3, $K$13:$K$22, "&gt;" &amp; AY3)</f>
        <v>0</v>
      </c>
      <c r="BF3" s="32">
        <f>(COUNTIFS($N$13:$N$22, "&lt;=" &amp; AX3, $O$13:$O$22, "&gt;" &amp; AX3))+COUNTIFS($L$13:$L$22, "&lt;=" &amp; AY3, $M$13:$M$22, "&gt;" &amp; AY3)</f>
        <v>0</v>
      </c>
      <c r="BH3" s="30">
        <v>0</v>
      </c>
      <c r="BI3" s="10">
        <v>1</v>
      </c>
      <c r="BJ3" s="31">
        <f t="shared" ref="BJ3:BJ26" si="0">(COUNTIFS($B$23:$B$35, "&lt;=" &amp; BH3, $C$23:$C$35, "&gt;" &amp; BH3))+COUNTIFS($Q$23:$Q$35, "&lt;=" &amp; BI3, $R$23:$R$35, "&gt;" &amp; BI3)</f>
        <v>0</v>
      </c>
      <c r="BK3" s="31">
        <f t="shared" ref="BK3:BK26" si="1">(COUNTIFS($D$23:$D$35, "&lt;=" &amp; BH3, $E$23:$E$35, "&gt;" &amp; BH3))+COUNTIFS($B$23:$B$35, "&lt;=" &amp; BI3, $C$23:$C$35, "&gt;" &amp; BI3)</f>
        <v>0</v>
      </c>
      <c r="BL3" s="31">
        <f t="shared" ref="BL3:BL26" si="2">(COUNTIFS($F$23:$F$35, "&lt;=" &amp; BH3, $G$23:$G$35, "&gt;" &amp; BH3))+COUNTIFS($D$23:$D$35, "&lt;=" &amp; BI3, $E$23:$E$35, "&gt;" &amp; BI3)</f>
        <v>0</v>
      </c>
      <c r="BM3" s="31">
        <f t="shared" ref="BM3:BM26" si="3">(COUNTIFS($H$23:$H$35, "&lt;=" &amp; BH3, $I$23:$I$35, "&gt;" &amp; BH3))+COUNTIFS($F$23:$F$35, "&lt;=" &amp; BI3, $G$23:$G$35, "&gt;" &amp; BI3)</f>
        <v>0</v>
      </c>
      <c r="BN3" s="31">
        <f t="shared" ref="BN3:BN26" si="4">(COUNTIFS($J$23:$J$35, "&lt;=" &amp; BH3, $K$23:$K$35, "&gt;" &amp; BH3))+COUNTIFS($H$23:$H$35, "&lt;=" &amp; BI3, $I$23:$I$35, "&gt;" &amp; BI3)</f>
        <v>0</v>
      </c>
      <c r="BO3" s="31">
        <f t="shared" ref="BO3:BO26" si="5">(COUNTIFS($L$23:$L$35, "&lt;=" &amp; BH3, $M$23:$M$35, "&gt;" &amp; BH3))+COUNTIFS($J$23:$J$35, "&lt;=" &amp; BI3, $K$23:$K$35, "&gt;" &amp; BI3)</f>
        <v>0</v>
      </c>
      <c r="BP3" s="32">
        <f t="shared" ref="BP3:BP26" si="6">(COUNTIFS($N$23:$N$35, "&lt;=" &amp; BH3, $O$23:$O$35, "&gt;" &amp; BH3))+COUNTIFS($L$23:$L$35, "&lt;=" &amp; BI3, $M$23:$M$35, "&gt;" &amp; BI3)</f>
        <v>0</v>
      </c>
      <c r="BS3" s="38">
        <v>0</v>
      </c>
      <c r="BT3" s="39">
        <v>1</v>
      </c>
      <c r="BU3" s="53">
        <f>COUNTIFS(Q:Q, "&lt;=" &amp; BT3, R:R, "&gt;" &amp; BT3)+COUNTIFS(B:B, "&lt;=" &amp; BS3, C:C, "&gt;" &amp; BS3)+'Nesting Staffing'!BU3+'Pavia Staffing'!BU3</f>
        <v>23</v>
      </c>
      <c r="BV3" s="139">
        <f>COUNTIFS(B:B, "&lt;=" &amp; BT3, C:C, "&gt;" &amp; BT3)+COUNTIFS(D:D, "&lt;=" &amp; BS3, E:E, "&gt;" &amp; BS3)+'Nesting Staffing'!BV3+'Pavia Staffing'!BV3</f>
        <v>35</v>
      </c>
      <c r="BW3" s="139">
        <f>COUNTIFS(D:D, "&lt;=" &amp; BT3, E:E, "&gt;" &amp; BT3)+COUNTIFS(F:F, "&lt;=" &amp; BS3, G:G, "&gt;" &amp; BS3)+'Nesting Staffing'!BW3+'Pavia Staffing'!BW3</f>
        <v>36</v>
      </c>
      <c r="BX3" s="139">
        <f>COUNTIFS(F:F, "&lt;=" &amp; BT3, G:G, "&gt;" &amp; BT3)+COUNTIFS(H:H, "&lt;=" &amp; BS3, I:I, "&gt;" &amp; BS3)+'Nesting Staffing'!BX3+'Pavia Staffing'!BX3</f>
        <v>24</v>
      </c>
      <c r="BY3" s="139">
        <f>COUNTIFS(H:H, "&lt;=" &amp; BT3, I:I, "&gt;" &amp; BT3)+COUNTIFS(J:J, "&lt;=" &amp; BS3, K:K, "&gt;" &amp; BS3)+'Nesting Staffing'!BY3+'Pavia Staffing'!BY3</f>
        <v>20</v>
      </c>
      <c r="BZ3" s="139">
        <f>COUNTIFS(J:J, "&lt;=" &amp; BT3, K:K, "&gt;" &amp; BT3)+COUNTIFS(L:L, "&lt;=" &amp; BS3, M:M, "&gt;" &amp; BS3)+'Nesting Staffing'!BZ3+'Pavia Staffing'!BZ3</f>
        <v>29</v>
      </c>
      <c r="CA3" s="52">
        <f>COUNTIFS(N:N, "&lt;=" &amp; BS3, O:O, "&gt;" &amp; BS3)+COUNTIFS(L:L, "&lt;=" &amp; BT3, M:M, "&gt;" &amp; BT3)+'Nesting Staffing'!CA3+'Pavia Staffing'!CA3</f>
        <v>10</v>
      </c>
      <c r="CB3" s="53">
        <f>COUNTIFS(T:T, "&lt;=" &amp; BS3, U:U, "&gt;" &amp; BS3)+COUNTIFS(N:N, "&lt;=" &amp; BT3, O:O, "&gt;" &amp; BT3)+'Nesting Staffing'!CB3+'Pavia Staffing'!CB3</f>
        <v>34</v>
      </c>
      <c r="CC3" s="139">
        <f>COUNTIFS(V:V, "&lt;=" &amp; BS3, W:W, "&gt;" &amp; BS3)+COUNTIFS(T:T, "&lt;=" &amp; BT3, U:U, "&gt;" &amp; BT3)+'Nesting Staffing'!CC3+'Pavia Staffing'!CC3</f>
        <v>35</v>
      </c>
      <c r="CD3" s="139">
        <f>COUNTIFS(X:X, "&lt;=" &amp; BS3, Y:Y, "&gt;" &amp; BS3)+COUNTIFS(V:V, "&lt;=" &amp; BT3, W:W, "&gt;" &amp; BT3)+'Nesting Staffing'!CD3+'Pavia Staffing'!CD3</f>
        <v>38</v>
      </c>
      <c r="CE3" s="139">
        <f>COUNTIFS(Z:Z, "&lt;=" &amp; BS3, AA:AA, "&gt;" &amp; BS3)+COUNTIFS(X:X, "&lt;=" &amp; BT3, Y:Y, "&gt;" &amp; BT3)+'Nesting Staffing'!CE3+'Pavia Staffing'!CE3</f>
        <v>35</v>
      </c>
      <c r="CF3" s="139">
        <f>COUNTIFS(AB:AB, "&lt;=" &amp; BS3, AC:AC, "&gt;" &amp; BS3)+COUNTIFS(Z:Z, "&lt;=" &amp; BT3, AA:AA, "&gt;" &amp; BT3)+'Nesting Staffing'!CF3+'Pavia Staffing'!CF3</f>
        <v>31</v>
      </c>
      <c r="CG3" s="139">
        <f>COUNTIFS(AD:AD, "&lt;=" &amp; BS3, AE:AE, "&gt;" &amp; BS3)+COUNTIFS(AB:AB, "&lt;=" &amp; BT3, AC:AC, "&gt;" &amp; BT3)+'Nesting Staffing'!CG3+'Pavia Staffing'!CG3</f>
        <v>7</v>
      </c>
      <c r="CH3" s="52">
        <f>COUNTIFS(AF:AF, "&lt;=" &amp; BS3, AG:AG, "&gt;" &amp; BS3)+COUNTIFS(AD:AD, "&lt;=" &amp; BT3, AE:AE, "&gt;" &amp; BT3)+'Nesting Staffing'!CH3+'Pavia Staffing'!CH3</f>
        <v>10</v>
      </c>
      <c r="CI3" s="53">
        <f>COUNTIFS(AI:AI, "&lt;=" &amp; BS3, AJ:AJ, "&gt;" &amp; BS3)+COUNTIFS(AF:AF, "&lt;=" &amp; BT3, AG:AG, "&gt;" &amp; BT3)+'Nesting Staffing'!CI3+'Pavia Staffing'!CI3</f>
        <v>34</v>
      </c>
      <c r="CJ3" s="139">
        <f>COUNTIFS(AK:AK, "&lt;=" &amp; BS3, AL:AL, "&gt;" &amp; BS3)+COUNTIFS(AI:AI, "&lt;=" &amp; BT3, AJ:AJ, "&gt;" &amp; BT3)+'Nesting Staffing'!CJ3+'Pavia Staffing'!CJ3</f>
        <v>35</v>
      </c>
      <c r="CK3" s="139">
        <f>COUNTIFS(AM:AM, "&lt;=" &amp; BS3, AN:AN, "&gt;" &amp; BS3)+COUNTIFS(AK:AK, "&lt;=" &amp; BT3, AL:AL, "&gt;" &amp; BT3)+'Nesting Staffing'!CK3+'Pavia Staffing'!CK3</f>
        <v>38</v>
      </c>
      <c r="CL3" s="139">
        <f>COUNTIFS(AO:AO, "&lt;=" &amp; BS3, AP:AP, "&gt;" &amp; BS3)+COUNTIFS(AM:AM, "&lt;=" &amp; BT3, AN:AN, "&gt;" &amp; BT3)+'Nesting Staffing'!CL3+'Pavia Staffing'!CL3</f>
        <v>35</v>
      </c>
      <c r="CM3" s="139">
        <f>COUNTIFS(AQ:AQ, "&lt;=" &amp; BS3, AR:AR, "&gt;" &amp; BS3)+COUNTIFS(AO:AO, "&lt;=" &amp; BT3, AP:AP, "&gt;" &amp; BT3)+'Nesting Staffing'!CM3+'Pavia Staffing'!CM3</f>
        <v>31</v>
      </c>
      <c r="CN3" s="139">
        <f>COUNTIFS(AS:AS, "&lt;=" &amp; BS3, AT:AT, "&gt;" &amp; BS3)+COUNTIFS(AQ:AQ, "&lt;=" &amp; BT3, AR:AR, "&gt;" &amp; BT3)+'Nesting Staffing'!CN3+'Pavia Staffing'!CN3</f>
        <v>7</v>
      </c>
      <c r="CO3" s="52">
        <f>COUNTIFS(AU:AU, "&lt;=" &amp; BS3, AV:AV, "&gt;" &amp; BS3)+COUNTIFS(AS:AS, "&lt;=" &amp; BT3, AT:AT, "&gt;" &amp; BT3)+'Nesting Staffing'!CO3+'Pavia Staffing'!CO3</f>
        <v>10</v>
      </c>
    </row>
    <row r="4" spans="1:97" x14ac:dyDescent="0.25">
      <c r="A4" s="20" t="str">
        <f>IFERROR('Agent Sched'!B5,"-")</f>
        <v>Riva Joy Orario</v>
      </c>
      <c r="B4" s="12">
        <f>IFERROR(VLOOKUP(A4,'Agent Sched'!$B:$C,2,),"-")</f>
        <v>0.375</v>
      </c>
      <c r="C4" s="13">
        <f t="shared" ref="C4:C67" si="7">IFERROR(IF(B4="PTO","PTO",IF(B4="OFF","OFF", B4 + TIME(9,0,0))),"-")</f>
        <v>0.75</v>
      </c>
      <c r="D4" s="12">
        <f>IFERROR(VLOOKUP(A4,'Agent Sched'!B:D,3,),"-")</f>
        <v>0.375</v>
      </c>
      <c r="E4" s="13">
        <f t="shared" ref="E4:E67" si="8">IFERROR(IF(D4="PTO","PTO",IF(D4="OFF","OFF", D4 + TIME(9,0,0))),"-")</f>
        <v>0.75</v>
      </c>
      <c r="F4" s="12">
        <f>IFERROR(VLOOKUP(A4,'Agent Sched'!B:E,4,),"-")</f>
        <v>0.375</v>
      </c>
      <c r="G4" s="13">
        <f t="shared" ref="G4:G67" si="9">IFERROR(IF(F4="PTO","PTO",IF(F4="OFF","OFF", F4 + TIME(9,0,0))),"-")</f>
        <v>0.75</v>
      </c>
      <c r="H4" s="12" t="str">
        <f>IFERROR(VLOOKUP(A4,'Agent Sched'!B:F,5,),"-")</f>
        <v>OFF</v>
      </c>
      <c r="I4" s="13" t="str">
        <f t="shared" ref="I4:I67" si="10">IFERROR(IF(H4="PTO","PTO",IF(H4="OFF","OFF", H4 + TIME(9,0,0))),"-")</f>
        <v>OFF</v>
      </c>
      <c r="J4" s="12" t="str">
        <f>IFERROR(VLOOKUP(A4,'Agent Sched'!B:G,6,),"-")</f>
        <v>OFF</v>
      </c>
      <c r="K4" s="13" t="str">
        <f t="shared" ref="K4:K67" si="11">IFERROR(IF(J4="PTO","PTO",IF(J4="OFF","OFF", J4 + TIME(9,0,0))),"-")</f>
        <v>OFF</v>
      </c>
      <c r="L4" s="12">
        <f>IFERROR(VLOOKUP(A4,'Agent Sched'!B:H,7,),"-")</f>
        <v>0.375</v>
      </c>
      <c r="M4" s="13">
        <f t="shared" ref="M4:M67" si="12">IFERROR(IF(L4="PTO","PTO",IF(L4="OFF","OFF", L4 + TIME(9,0,0))),"-")</f>
        <v>0.75</v>
      </c>
      <c r="N4" s="21">
        <f>IFERROR(VLOOKUP(A4,'Agent Sched'!B:I,8,),"-")</f>
        <v>0.375</v>
      </c>
      <c r="O4" s="13">
        <f t="shared" ref="O4:O67" si="13">IFERROR(IF(N4="PTO","PTO",IF(N4="OFF","OFF", N4 + TIME(9,0,0))),"-")</f>
        <v>0.75</v>
      </c>
      <c r="Q4" s="12">
        <f>VLOOKUP(A4,'Agent Sched'!B:Y,24,)</f>
        <v>0.375</v>
      </c>
      <c r="R4" s="13">
        <f t="shared" ref="R4:R67" si="14">IFERROR(IF(Q4="PTO","PTO",IF(Q4="OFF","OFF", Q4 + TIME(9,0,0))),"-")</f>
        <v>0.75</v>
      </c>
      <c r="T4" s="25" t="str">
        <f>VLOOKUP(A4,'Agent Sched'!$B:$J,9,)</f>
        <v>OFF</v>
      </c>
      <c r="U4" s="13" t="str">
        <f t="shared" ref="U4:U67" si="15">IFERROR(IF(T4="PTO","PTO",IF(T4="OFF","OFF", T4 + TIME(9,0,0))),"-")</f>
        <v>OFF</v>
      </c>
      <c r="V4" s="12">
        <f>VLOOKUP(A4,'Agent Sched'!B:K,10,)</f>
        <v>0.375</v>
      </c>
      <c r="W4" s="13">
        <f t="shared" ref="W4:W67" si="16">IFERROR(IF(V4="PTO","PTO",IF(V4="OFF","OFF", V4 + TIME(9,0,0))),"-")</f>
        <v>0.75</v>
      </c>
      <c r="X4" s="12">
        <f>VLOOKUP(A4,'Agent Sched'!B:L,11,)</f>
        <v>0.375</v>
      </c>
      <c r="Y4" s="13">
        <f t="shared" ref="Y4:Y67" si="17">IFERROR(IF(X4="PTO","PTO",IF(X4="OFF","OFF", X4 + TIME(9,0,0))),"-")</f>
        <v>0.75</v>
      </c>
      <c r="Z4" s="12">
        <f>VLOOKUP(A4,'Agent Sched'!B:M,12,)</f>
        <v>0.375</v>
      </c>
      <c r="AA4" s="13">
        <f t="shared" ref="AA4:AA67" si="18">IFERROR(IF(Z4="PTO","PTO",IF(Z4="OFF","OFF", Z4 + TIME(9,0,0))),"-")</f>
        <v>0.75</v>
      </c>
      <c r="AB4" s="12">
        <f>VLOOKUP(A4,'Agent Sched'!B:N,13,)</f>
        <v>0.375</v>
      </c>
      <c r="AC4" s="13">
        <f t="shared" ref="AC4:AC67" si="19">IFERROR(IF(AB4="PTO","PTO",IF(AB4="OFF","OFF", AB4 + TIME(9,0,0))),"-")</f>
        <v>0.75</v>
      </c>
      <c r="AD4" s="12">
        <f>VLOOKUP(A4,'Agent Sched'!B:O,14,)</f>
        <v>0.375</v>
      </c>
      <c r="AE4" s="13">
        <f t="shared" ref="AE4:AE67" si="20">IFERROR(IF(AD4="PTO","PTO",IF(AD4="OFF","OFF", AD4 + TIME(9,0,0))),"-")</f>
        <v>0.75</v>
      </c>
      <c r="AF4" s="21" t="str">
        <f>VLOOKUP(A4,'Agent Sched'!B:P,15,)</f>
        <v>OFF</v>
      </c>
      <c r="AG4" s="13" t="str">
        <f t="shared" ref="AG4:AG67" si="21">IFERROR(IF(AF4="PTO","PTO",IF(AF4="OFF","OFF", AF4 + TIME(9,0,0))),"-")</f>
        <v>OFF</v>
      </c>
      <c r="AI4" s="25" t="str">
        <f>VLOOKUP(A4,'Agent Sched'!$B:$Q,16,)</f>
        <v>OFF</v>
      </c>
      <c r="AJ4" s="13" t="str">
        <f t="shared" ref="AJ4:AJ67" si="22">IFERROR(IF(AI4="PTO","PTO",IF(AI4="OFF","OFF", AI4 + TIME(9,0,0))),"-")</f>
        <v>OFF</v>
      </c>
      <c r="AK4" s="12">
        <f>VLOOKUP(A4,'Agent Sched'!B:R,17,)</f>
        <v>0.375</v>
      </c>
      <c r="AL4" s="13">
        <f t="shared" ref="AL4:AL67" si="23">IFERROR(IF(AK4="PTO","PTO",IF(AK4="OFF","OFF", AK4 + TIME(9,0,0))),"-")</f>
        <v>0.75</v>
      </c>
      <c r="AM4" s="12">
        <f>VLOOKUP(A4,'Agent Sched'!B:S,18,)</f>
        <v>0.375</v>
      </c>
      <c r="AN4" s="13">
        <f t="shared" ref="AN4:AN67" si="24">IFERROR(IF(AM4="PTO","PTO",IF(AM4="OFF","OFF", AM4 + TIME(9,0,0))),"-")</f>
        <v>0.75</v>
      </c>
      <c r="AO4" s="12">
        <f>VLOOKUP(A4,'Agent Sched'!B:T,19,)</f>
        <v>0.375</v>
      </c>
      <c r="AP4" s="13">
        <f t="shared" ref="AP4:AP67" si="25">IFERROR(IF(AO4="PTO","PTO",IF(AO4="OFF","OFF", AO4 + TIME(9,0,0))),"-")</f>
        <v>0.75</v>
      </c>
      <c r="AQ4" s="12">
        <f>VLOOKUP(A4,'Agent Sched'!B:U,20,)</f>
        <v>0.375</v>
      </c>
      <c r="AR4" s="13">
        <f t="shared" ref="AR4:AR67" si="26">IFERROR(IF(AQ4="PTO","PTO",IF(AQ4="OFF","OFF", AQ4 + TIME(9,0,0))),"-")</f>
        <v>0.75</v>
      </c>
      <c r="AS4" s="12">
        <f>VLOOKUP(A4,'Agent Sched'!B:V,21,)</f>
        <v>0.375</v>
      </c>
      <c r="AT4" s="13">
        <f t="shared" ref="AT4:AT67" si="27">IFERROR(IF(AS4="PTO","PTO",IF(AS4="OFF","OFF", AS4 + TIME(9,0,0))),"-")</f>
        <v>0.75</v>
      </c>
      <c r="AU4" s="21" t="str">
        <f>VLOOKUP(A4,'Agent Sched'!B:W,22,)</f>
        <v>OFF</v>
      </c>
      <c r="AV4" s="13" t="str">
        <f t="shared" ref="AV4:AV67" si="28">IFERROR(IF(AU4="PTO","PTO",IF(AU4="OFF","OFF", AU4 + TIME(9,0,0))),"-")</f>
        <v>OFF</v>
      </c>
      <c r="AX4" s="30">
        <v>4.1666666666666664E-2</v>
      </c>
      <c r="AY4" s="10">
        <v>1.0416666666666701</v>
      </c>
      <c r="AZ4" s="31">
        <f t="shared" ref="AZ4:AZ26" si="29">(COUNTIFS($B$13:$B$22, "&lt;=" &amp; AX4, $C$13:$C$22, "&gt;" &amp; AX4))+COUNTIFS($Q$13:$Q$22, "&lt;=" &amp; AY4, $R$13:$R$22, "&gt;" &amp; AY4)</f>
        <v>0</v>
      </c>
      <c r="BA4" s="31">
        <f t="shared" ref="BA4:BA26" si="30">(COUNTIFS($D$3:$D$12, "&lt;=" &amp; AX4, $E$3:$E$12, "&gt;" &amp; AX4))+COUNTIFS($B$3:$B$12, "&lt;=" &amp; AY4, $C$3:$C$12, "&gt;" &amp; AY4)</f>
        <v>0</v>
      </c>
      <c r="BB4" s="31">
        <f t="shared" ref="BB4:BB26" si="31">(COUNTIFS($F$13:$F$22, "&lt;=" &amp; AX4, $G$13:$G$22, "&gt;" &amp; AX4))+COUNTIFS($D$13:$D$22, "&lt;=" &amp; AY4, $E$13:$E$22, "&gt;" &amp; AY4)</f>
        <v>0</v>
      </c>
      <c r="BC4" s="31">
        <f t="shared" ref="BC4:BC26" si="32">(COUNTIFS($H$13:$H$22, "&lt;=" &amp; AX4, $I$13:$I$22, "&gt;" &amp; AX4))+COUNTIFS($F$13:$F$22, "&lt;=" &amp; AY4, $G$13:$G$22, "&gt;" &amp; AY4)</f>
        <v>0</v>
      </c>
      <c r="BD4" s="31">
        <f t="shared" ref="BD4:BD26" si="33">(COUNTIFS($J$13:$J$22, "&lt;=" &amp; AX4, $K$13:$K$22, "&gt;" &amp; AX4))+COUNTIFS($H$13:$H$22, "&lt;=" &amp; AY4, $I$13:$I$22, "&gt;" &amp; AY4)</f>
        <v>0</v>
      </c>
      <c r="BE4" s="31">
        <f t="shared" ref="BE4:BE26" si="34">(COUNTIFS($L$13:$L$22, "&lt;=" &amp; AX4, $M$13:$M$22, "&gt;" &amp; AX4))+COUNTIFS($J$13:$J$22, "&lt;=" &amp; AY4, $K$13:$K$22, "&gt;" &amp; AY4)</f>
        <v>0</v>
      </c>
      <c r="BF4" s="32">
        <f t="shared" ref="BF4:BF26" si="35">(COUNTIFS($N$13:$N$22, "&lt;=" &amp; AX4, $O$13:$O$22, "&gt;" &amp; AX4))+COUNTIFS($L$13:$L$22, "&lt;=" &amp; AY4, $M$13:$M$22, "&gt;" &amp; AY4)</f>
        <v>0</v>
      </c>
      <c r="BH4" s="30">
        <v>4.1666666666666664E-2</v>
      </c>
      <c r="BI4" s="10">
        <v>1.0416666666666701</v>
      </c>
      <c r="BJ4" s="31">
        <f t="shared" si="0"/>
        <v>0</v>
      </c>
      <c r="BK4" s="31">
        <f t="shared" si="1"/>
        <v>0</v>
      </c>
      <c r="BL4" s="31">
        <f t="shared" si="2"/>
        <v>0</v>
      </c>
      <c r="BM4" s="31">
        <f t="shared" si="3"/>
        <v>0</v>
      </c>
      <c r="BN4" s="31">
        <f t="shared" si="4"/>
        <v>0</v>
      </c>
      <c r="BO4" s="31">
        <f t="shared" si="5"/>
        <v>0</v>
      </c>
      <c r="BP4" s="32">
        <f t="shared" si="6"/>
        <v>0</v>
      </c>
      <c r="BS4" s="38">
        <v>4.1666666666666664E-2</v>
      </c>
      <c r="BT4" s="39">
        <v>1.0416666666666701</v>
      </c>
      <c r="BU4" s="53">
        <f>COUNTIFS(Q:Q, "&lt;=" &amp; BT4, R:R, "&gt;" &amp; BT4)+COUNTIFS(B:B, "&lt;=" &amp; BS4, C:C, "&gt;" &amp; BS4)+'Nesting Staffing'!BU4+'Pavia Staffing'!BU4</f>
        <v>11</v>
      </c>
      <c r="BV4" s="139">
        <f>COUNTIFS(B:B, "&lt;=" &amp; BT4, C:C, "&gt;" &amp; BT4)+COUNTIFS(D:D, "&lt;=" &amp; BS4, E:E, "&gt;" &amp; BS4)+'Nesting Staffing'!BV4+'Pavia Staffing'!BV4</f>
        <v>13</v>
      </c>
      <c r="BW4" s="139">
        <f>COUNTIFS(D:D, "&lt;=" &amp; BT4, E:E, "&gt;" &amp; BT4)+COUNTIFS(F:F, "&lt;=" &amp; BS4, G:G, "&gt;" &amp; BS4)+'Nesting Staffing'!BW4+'Pavia Staffing'!BW4</f>
        <v>14</v>
      </c>
      <c r="BX4" s="139">
        <f>COUNTIFS(F:F, "&lt;=" &amp; BT4, G:G, "&gt;" &amp; BT4)+COUNTIFS(H:H, "&lt;=" &amp; BS4, I:I, "&gt;" &amp; BS4)+'Nesting Staffing'!BX4+'Pavia Staffing'!BX4</f>
        <v>11</v>
      </c>
      <c r="BY4" s="139">
        <f>COUNTIFS(H:H, "&lt;=" &amp; BT4, I:I, "&gt;" &amp; BT4)+COUNTIFS(J:J, "&lt;=" &amp; BS4, K:K, "&gt;" &amp; BS4)+'Nesting Staffing'!BY4+'Pavia Staffing'!BY4</f>
        <v>10</v>
      </c>
      <c r="BZ4" s="139">
        <f>COUNTIFS(J:J, "&lt;=" &amp; BT4, K:K, "&gt;" &amp; BT4)+COUNTIFS(L:L, "&lt;=" &amp; BS4, M:M, "&gt;" &amp; BS4)+'Nesting Staffing'!BZ4+'Pavia Staffing'!BZ4</f>
        <v>8</v>
      </c>
      <c r="CA4" s="52">
        <f>COUNTIFS(N:N, "&lt;=" &amp; BS4, O:O, "&gt;" &amp; BS4)+COUNTIFS(L:L, "&lt;=" &amp; BT4, M:M, "&gt;" &amp; BT4)+'Nesting Staffing'!CA4+'Pavia Staffing'!CA4</f>
        <v>8</v>
      </c>
      <c r="CB4" s="53">
        <f>COUNTIFS(T:T, "&lt;=" &amp; BS4, U:U, "&gt;" &amp; BS4)+COUNTIFS(N:N, "&lt;=" &amp; BT4, O:O, "&gt;" &amp; BT4)+'Nesting Staffing'!CB4+'Pavia Staffing'!CB4</f>
        <v>11</v>
      </c>
      <c r="CC4" s="139">
        <f>COUNTIFS(V:V, "&lt;=" &amp; BS4, W:W, "&gt;" &amp; BS4)+COUNTIFS(T:T, "&lt;=" &amp; BT4, U:U, "&gt;" &amp; BT4)+'Nesting Staffing'!CC4+'Pavia Staffing'!CC4</f>
        <v>13</v>
      </c>
      <c r="CD4" s="139">
        <f>COUNTIFS(X:X, "&lt;=" &amp; BS4, Y:Y, "&gt;" &amp; BS4)+COUNTIFS(V:V, "&lt;=" &amp; BT4, W:W, "&gt;" &amp; BT4)+'Nesting Staffing'!CD4+'Pavia Staffing'!CD4</f>
        <v>15</v>
      </c>
      <c r="CE4" s="139">
        <f>COUNTIFS(Z:Z, "&lt;=" &amp; BS4, AA:AA, "&gt;" &amp; BS4)+COUNTIFS(X:X, "&lt;=" &amp; BT4, Y:Y, "&gt;" &amp; BT4)+'Nesting Staffing'!CE4+'Pavia Staffing'!CE4</f>
        <v>12</v>
      </c>
      <c r="CF4" s="139">
        <f>COUNTIFS(AB:AB, "&lt;=" &amp; BS4, AC:AC, "&gt;" &amp; BS4)+COUNTIFS(Z:Z, "&lt;=" &amp; BT4, AA:AA, "&gt;" &amp; BT4)+'Nesting Staffing'!CF4+'Pavia Staffing'!CF4</f>
        <v>9</v>
      </c>
      <c r="CG4" s="139">
        <f>COUNTIFS(AD:AD, "&lt;=" &amp; BS4, AE:AE, "&gt;" &amp; BS4)+COUNTIFS(AB:AB, "&lt;=" &amp; BT4, AC:AC, "&gt;" &amp; BT4)+'Nesting Staffing'!CG4+'Pavia Staffing'!CG4</f>
        <v>7</v>
      </c>
      <c r="CH4" s="52">
        <f>COUNTIFS(AF:AF, "&lt;=" &amp; BS4, AG:AG, "&gt;" &amp; BS4)+COUNTIFS(AD:AD, "&lt;=" &amp; BT4, AE:AE, "&gt;" &amp; BT4)+'Nesting Staffing'!CH4+'Pavia Staffing'!CH4</f>
        <v>8</v>
      </c>
      <c r="CI4" s="53">
        <f>COUNTIFS(AI:AI, "&lt;=" &amp; BS4, AJ:AJ, "&gt;" &amp; BS4)+COUNTIFS(AF:AF, "&lt;=" &amp; BT4, AG:AG, "&gt;" &amp; BT4)+'Nesting Staffing'!CI4+'Pavia Staffing'!CI4</f>
        <v>11</v>
      </c>
      <c r="CJ4" s="139">
        <f>COUNTIFS(AK:AK, "&lt;=" &amp; BS4, AL:AL, "&gt;" &amp; BS4)+COUNTIFS(AI:AI, "&lt;=" &amp; BT4, AJ:AJ, "&gt;" &amp; BT4)+'Nesting Staffing'!CJ4+'Pavia Staffing'!CJ4</f>
        <v>13</v>
      </c>
      <c r="CK4" s="139">
        <f>COUNTIFS(AM:AM, "&lt;=" &amp; BS4, AN:AN, "&gt;" &amp; BS4)+COUNTIFS(AK:AK, "&lt;=" &amp; BT4, AL:AL, "&gt;" &amp; BT4)+'Nesting Staffing'!CK4+'Pavia Staffing'!CK4</f>
        <v>15</v>
      </c>
      <c r="CL4" s="139">
        <f>COUNTIFS(AO:AO, "&lt;=" &amp; BS4, AP:AP, "&gt;" &amp; BS4)+COUNTIFS(AM:AM, "&lt;=" &amp; BT4, AN:AN, "&gt;" &amp; BT4)+'Nesting Staffing'!CL4+'Pavia Staffing'!CL4</f>
        <v>12</v>
      </c>
      <c r="CM4" s="139">
        <f>COUNTIFS(AQ:AQ, "&lt;=" &amp; BS4, AR:AR, "&gt;" &amp; BS4)+COUNTIFS(AO:AO, "&lt;=" &amp; BT4, AP:AP, "&gt;" &amp; BT4)+'Nesting Staffing'!CM4+'Pavia Staffing'!CM4</f>
        <v>9</v>
      </c>
      <c r="CN4" s="139">
        <f>COUNTIFS(AS:AS, "&lt;=" &amp; BS4, AT:AT, "&gt;" &amp; BS4)+COUNTIFS(AQ:AQ, "&lt;=" &amp; BT4, AR:AR, "&gt;" &amp; BT4)+'Nesting Staffing'!CN4+'Pavia Staffing'!CN4</f>
        <v>7</v>
      </c>
      <c r="CO4" s="52">
        <f>COUNTIFS(AU:AU, "&lt;=" &amp; BS4, AV:AV, "&gt;" &amp; BS4)+COUNTIFS(AS:AS, "&lt;=" &amp; BT4, AT:AT, "&gt;" &amp; BT4)+'Nesting Staffing'!CO4+'Pavia Staffing'!CO4</f>
        <v>8</v>
      </c>
    </row>
    <row r="5" spans="1:97" x14ac:dyDescent="0.25">
      <c r="A5" s="20" t="str">
        <f>IFERROR('Agent Sched'!B6,"-")</f>
        <v>Eliza Grace Cortez</v>
      </c>
      <c r="B5" s="12">
        <f>IFERROR(VLOOKUP(A5,'Agent Sched'!$B:$C,2,),"-")</f>
        <v>0.375</v>
      </c>
      <c r="C5" s="13">
        <f t="shared" si="7"/>
        <v>0.75</v>
      </c>
      <c r="D5" s="12">
        <f>IFERROR(VLOOKUP(A5,'Agent Sched'!B:D,3,),"-")</f>
        <v>0.375</v>
      </c>
      <c r="E5" s="13">
        <f t="shared" si="8"/>
        <v>0.75</v>
      </c>
      <c r="F5" s="12">
        <f>IFERROR(VLOOKUP(A5,'Agent Sched'!B:E,4,),"-")</f>
        <v>0.375</v>
      </c>
      <c r="G5" s="13">
        <f t="shared" si="9"/>
        <v>0.75</v>
      </c>
      <c r="H5" s="12" t="str">
        <f>IFERROR(VLOOKUP(A5,'Agent Sched'!B:F,5,),"-")</f>
        <v>OFF</v>
      </c>
      <c r="I5" s="13" t="str">
        <f t="shared" si="10"/>
        <v>OFF</v>
      </c>
      <c r="J5" s="12" t="str">
        <f>IFERROR(VLOOKUP(A5,'Agent Sched'!B:G,6,),"-")</f>
        <v>OFF</v>
      </c>
      <c r="K5" s="13" t="str">
        <f t="shared" si="11"/>
        <v>OFF</v>
      </c>
      <c r="L5" s="12">
        <f>IFERROR(VLOOKUP(A5,'Agent Sched'!B:H,7,),"-")</f>
        <v>0.375</v>
      </c>
      <c r="M5" s="13">
        <f t="shared" si="12"/>
        <v>0.75</v>
      </c>
      <c r="N5" s="21">
        <f>IFERROR(VLOOKUP(A5,'Agent Sched'!B:I,8,),"-")</f>
        <v>0.375</v>
      </c>
      <c r="O5" s="13">
        <f t="shared" si="13"/>
        <v>0.75</v>
      </c>
      <c r="Q5" s="12">
        <f>VLOOKUP(A5,'Agent Sched'!B:Y,24,)</f>
        <v>0.375</v>
      </c>
      <c r="R5" s="13">
        <f t="shared" si="14"/>
        <v>0.75</v>
      </c>
      <c r="T5" s="25" t="str">
        <f>VLOOKUP(A5,'Agent Sched'!$B:$J,9,)</f>
        <v>OFF</v>
      </c>
      <c r="U5" s="13" t="str">
        <f t="shared" si="15"/>
        <v>OFF</v>
      </c>
      <c r="V5" s="12">
        <f>VLOOKUP(A5,'Agent Sched'!B:K,10,)</f>
        <v>0.375</v>
      </c>
      <c r="W5" s="13">
        <f t="shared" si="16"/>
        <v>0.75</v>
      </c>
      <c r="X5" s="12">
        <f>VLOOKUP(A5,'Agent Sched'!B:L,11,)</f>
        <v>0.375</v>
      </c>
      <c r="Y5" s="13">
        <f t="shared" si="17"/>
        <v>0.75</v>
      </c>
      <c r="Z5" s="12">
        <f>VLOOKUP(A5,'Agent Sched'!B:M,12,)</f>
        <v>0.375</v>
      </c>
      <c r="AA5" s="13">
        <f t="shared" si="18"/>
        <v>0.75</v>
      </c>
      <c r="AB5" s="12">
        <f>VLOOKUP(A5,'Agent Sched'!B:N,13,)</f>
        <v>0.375</v>
      </c>
      <c r="AC5" s="13">
        <f t="shared" si="19"/>
        <v>0.75</v>
      </c>
      <c r="AD5" s="12">
        <f>VLOOKUP(A5,'Agent Sched'!B:O,14,)</f>
        <v>0.375</v>
      </c>
      <c r="AE5" s="13">
        <f t="shared" si="20"/>
        <v>0.75</v>
      </c>
      <c r="AF5" s="21" t="str">
        <f>VLOOKUP(A5,'Agent Sched'!B:P,15,)</f>
        <v>OFF</v>
      </c>
      <c r="AG5" s="13" t="str">
        <f t="shared" si="21"/>
        <v>OFF</v>
      </c>
      <c r="AI5" s="25" t="str">
        <f>VLOOKUP(A5,'Agent Sched'!$B:$Q,16,)</f>
        <v>OFF</v>
      </c>
      <c r="AJ5" s="13" t="str">
        <f t="shared" si="22"/>
        <v>OFF</v>
      </c>
      <c r="AK5" s="12">
        <f>VLOOKUP(A5,'Agent Sched'!B:R,17,)</f>
        <v>0.375</v>
      </c>
      <c r="AL5" s="13">
        <f t="shared" si="23"/>
        <v>0.75</v>
      </c>
      <c r="AM5" s="12">
        <f>VLOOKUP(A5,'Agent Sched'!B:S,18,)</f>
        <v>0.375</v>
      </c>
      <c r="AN5" s="13">
        <f t="shared" si="24"/>
        <v>0.75</v>
      </c>
      <c r="AO5" s="12">
        <f>VLOOKUP(A5,'Agent Sched'!B:T,19,)</f>
        <v>0.375</v>
      </c>
      <c r="AP5" s="13">
        <f t="shared" si="25"/>
        <v>0.75</v>
      </c>
      <c r="AQ5" s="12">
        <f>VLOOKUP(A5,'Agent Sched'!B:U,20,)</f>
        <v>0.375</v>
      </c>
      <c r="AR5" s="13">
        <f t="shared" si="26"/>
        <v>0.75</v>
      </c>
      <c r="AS5" s="12">
        <f>VLOOKUP(A5,'Agent Sched'!B:V,21,)</f>
        <v>0.375</v>
      </c>
      <c r="AT5" s="13">
        <f t="shared" si="27"/>
        <v>0.75</v>
      </c>
      <c r="AU5" s="21" t="str">
        <f>VLOOKUP(A5,'Agent Sched'!B:W,22,)</f>
        <v>OFF</v>
      </c>
      <c r="AV5" s="13" t="str">
        <f t="shared" si="28"/>
        <v>OFF</v>
      </c>
      <c r="AX5" s="30">
        <v>8.3333333333333301E-2</v>
      </c>
      <c r="AY5" s="10">
        <v>1.0833333333333299</v>
      </c>
      <c r="AZ5" s="31">
        <f t="shared" si="29"/>
        <v>0</v>
      </c>
      <c r="BA5" s="31">
        <f t="shared" si="30"/>
        <v>0</v>
      </c>
      <c r="BB5" s="31">
        <f t="shared" si="31"/>
        <v>0</v>
      </c>
      <c r="BC5" s="31">
        <f t="shared" si="32"/>
        <v>0</v>
      </c>
      <c r="BD5" s="31">
        <f t="shared" si="33"/>
        <v>0</v>
      </c>
      <c r="BE5" s="31">
        <f t="shared" si="34"/>
        <v>0</v>
      </c>
      <c r="BF5" s="32">
        <f t="shared" si="35"/>
        <v>0</v>
      </c>
      <c r="BH5" s="30">
        <v>8.3333333333333301E-2</v>
      </c>
      <c r="BI5" s="10">
        <v>1.0833333333333299</v>
      </c>
      <c r="BJ5" s="31">
        <f t="shared" si="0"/>
        <v>0</v>
      </c>
      <c r="BK5" s="31">
        <f t="shared" si="1"/>
        <v>0</v>
      </c>
      <c r="BL5" s="31">
        <f t="shared" si="2"/>
        <v>0</v>
      </c>
      <c r="BM5" s="31">
        <f t="shared" si="3"/>
        <v>0</v>
      </c>
      <c r="BN5" s="31">
        <f t="shared" si="4"/>
        <v>0</v>
      </c>
      <c r="BO5" s="31">
        <f t="shared" si="5"/>
        <v>0</v>
      </c>
      <c r="BP5" s="32">
        <f t="shared" si="6"/>
        <v>0</v>
      </c>
      <c r="BS5" s="38">
        <v>8.3333333333333301E-2</v>
      </c>
      <c r="BT5" s="39">
        <v>1.0833333333333299</v>
      </c>
      <c r="BU5" s="53">
        <f>COUNTIFS(Q:Q, "&lt;=" &amp; BT5, R:R, "&gt;" &amp; BT5)+COUNTIFS(B:B, "&lt;=" &amp; BS5, C:C, "&gt;" &amp; BS5)+'Nesting Staffing'!BU5+'Pavia Staffing'!BU5</f>
        <v>11</v>
      </c>
      <c r="BV5" s="139">
        <f>COUNTIFS(B:B, "&lt;=" &amp; BT5, C:C, "&gt;" &amp; BT5)+COUNTIFS(D:D, "&lt;=" &amp; BS5, E:E, "&gt;" &amp; BS5)+'Nesting Staffing'!BV5+'Pavia Staffing'!BV5</f>
        <v>13</v>
      </c>
      <c r="BW5" s="139">
        <f>COUNTIFS(D:D, "&lt;=" &amp; BT5, E:E, "&gt;" &amp; BT5)+COUNTIFS(F:F, "&lt;=" &amp; BS5, G:G, "&gt;" &amp; BS5)+'Nesting Staffing'!BW5+'Pavia Staffing'!BW5</f>
        <v>14</v>
      </c>
      <c r="BX5" s="139">
        <f>COUNTIFS(F:F, "&lt;=" &amp; BT5, G:G, "&gt;" &amp; BT5)+COUNTIFS(H:H, "&lt;=" &amp; BS5, I:I, "&gt;" &amp; BS5)+'Nesting Staffing'!BX5+'Pavia Staffing'!BX5</f>
        <v>11</v>
      </c>
      <c r="BY5" s="139">
        <f>COUNTIFS(H:H, "&lt;=" &amp; BT5, I:I, "&gt;" &amp; BT5)+COUNTIFS(J:J, "&lt;=" &amp; BS5, K:K, "&gt;" &amp; BS5)+'Nesting Staffing'!BY5+'Pavia Staffing'!BY5</f>
        <v>10</v>
      </c>
      <c r="BZ5" s="139">
        <f>COUNTIFS(J:J, "&lt;=" &amp; BT5, K:K, "&gt;" &amp; BT5)+COUNTIFS(L:L, "&lt;=" &amp; BS5, M:M, "&gt;" &amp; BS5)+'Nesting Staffing'!BZ5+'Pavia Staffing'!BZ5</f>
        <v>8</v>
      </c>
      <c r="CA5" s="52">
        <f>COUNTIFS(N:N, "&lt;=" &amp; BS5, O:O, "&gt;" &amp; BS5)+COUNTIFS(L:L, "&lt;=" &amp; BT5, M:M, "&gt;" &amp; BT5)+'Nesting Staffing'!CA5+'Pavia Staffing'!CA5</f>
        <v>8</v>
      </c>
      <c r="CB5" s="53">
        <f>COUNTIFS(T:T, "&lt;=" &amp; BS5, U:U, "&gt;" &amp; BS5)+COUNTIFS(N:N, "&lt;=" &amp; BT5, O:O, "&gt;" &amp; BT5)+'Nesting Staffing'!CB5+'Pavia Staffing'!CB5</f>
        <v>11</v>
      </c>
      <c r="CC5" s="139">
        <f>COUNTIFS(V:V, "&lt;=" &amp; BS5, W:W, "&gt;" &amp; BS5)+COUNTIFS(T:T, "&lt;=" &amp; BT5, U:U, "&gt;" &amp; BT5)+'Nesting Staffing'!CC5+'Pavia Staffing'!CC5</f>
        <v>13</v>
      </c>
      <c r="CD5" s="139">
        <f>COUNTIFS(X:X, "&lt;=" &amp; BS5, Y:Y, "&gt;" &amp; BS5)+COUNTIFS(V:V, "&lt;=" &amp; BT5, W:W, "&gt;" &amp; BT5)+'Nesting Staffing'!CD5+'Pavia Staffing'!CD5</f>
        <v>15</v>
      </c>
      <c r="CE5" s="139">
        <f>COUNTIFS(Z:Z, "&lt;=" &amp; BS5, AA:AA, "&gt;" &amp; BS5)+COUNTIFS(X:X, "&lt;=" &amp; BT5, Y:Y, "&gt;" &amp; BT5)+'Nesting Staffing'!CE5+'Pavia Staffing'!CE5</f>
        <v>12</v>
      </c>
      <c r="CF5" s="139">
        <f>COUNTIFS(AB:AB, "&lt;=" &amp; BS5, AC:AC, "&gt;" &amp; BS5)+COUNTIFS(Z:Z, "&lt;=" &amp; BT5, AA:AA, "&gt;" &amp; BT5)+'Nesting Staffing'!CF5+'Pavia Staffing'!CF5</f>
        <v>9</v>
      </c>
      <c r="CG5" s="139">
        <f>COUNTIFS(AD:AD, "&lt;=" &amp; BS5, AE:AE, "&gt;" &amp; BS5)+COUNTIFS(AB:AB, "&lt;=" &amp; BT5, AC:AC, "&gt;" &amp; BT5)+'Nesting Staffing'!CG5+'Pavia Staffing'!CG5</f>
        <v>7</v>
      </c>
      <c r="CH5" s="52">
        <f>COUNTIFS(AF:AF, "&lt;=" &amp; BS5, AG:AG, "&gt;" &amp; BS5)+COUNTIFS(AD:AD, "&lt;=" &amp; BT5, AE:AE, "&gt;" &amp; BT5)+'Nesting Staffing'!CH5+'Pavia Staffing'!CH5</f>
        <v>8</v>
      </c>
      <c r="CI5" s="53">
        <f>COUNTIFS(AI:AI, "&lt;=" &amp; BS5, AJ:AJ, "&gt;" &amp; BS5)+COUNTIFS(AF:AF, "&lt;=" &amp; BT5, AG:AG, "&gt;" &amp; BT5)+'Nesting Staffing'!CI5+'Pavia Staffing'!CI5</f>
        <v>11</v>
      </c>
      <c r="CJ5" s="139">
        <f>COUNTIFS(AK:AK, "&lt;=" &amp; BS5, AL:AL, "&gt;" &amp; BS5)+COUNTIFS(AI:AI, "&lt;=" &amp; BT5, AJ:AJ, "&gt;" &amp; BT5)+'Nesting Staffing'!CJ5+'Pavia Staffing'!CJ5</f>
        <v>13</v>
      </c>
      <c r="CK5" s="139">
        <f>COUNTIFS(AM:AM, "&lt;=" &amp; BS5, AN:AN, "&gt;" &amp; BS5)+COUNTIFS(AK:AK, "&lt;=" &amp; BT5, AL:AL, "&gt;" &amp; BT5)+'Nesting Staffing'!CK5+'Pavia Staffing'!CK5</f>
        <v>15</v>
      </c>
      <c r="CL5" s="139">
        <f>COUNTIFS(AO:AO, "&lt;=" &amp; BS5, AP:AP, "&gt;" &amp; BS5)+COUNTIFS(AM:AM, "&lt;=" &amp; BT5, AN:AN, "&gt;" &amp; BT5)+'Nesting Staffing'!CL5+'Pavia Staffing'!CL5</f>
        <v>12</v>
      </c>
      <c r="CM5" s="139">
        <f>COUNTIFS(AQ:AQ, "&lt;=" &amp; BS5, AR:AR, "&gt;" &amp; BS5)+COUNTIFS(AO:AO, "&lt;=" &amp; BT5, AP:AP, "&gt;" &amp; BT5)+'Nesting Staffing'!CM5+'Pavia Staffing'!CM5</f>
        <v>9</v>
      </c>
      <c r="CN5" s="139">
        <f>COUNTIFS(AS:AS, "&lt;=" &amp; BS5, AT:AT, "&gt;" &amp; BS5)+COUNTIFS(AQ:AQ, "&lt;=" &amp; BT5, AR:AR, "&gt;" &amp; BT5)+'Nesting Staffing'!CN5+'Pavia Staffing'!CN5</f>
        <v>7</v>
      </c>
      <c r="CO5" s="52">
        <f>COUNTIFS(AU:AU, "&lt;=" &amp; BS5, AV:AV, "&gt;" &amp; BS5)+COUNTIFS(AS:AS, "&lt;=" &amp; BT5, AT:AT, "&gt;" &amp; BT5)+'Nesting Staffing'!CO5+'Pavia Staffing'!CO5</f>
        <v>8</v>
      </c>
    </row>
    <row r="6" spans="1:97" x14ac:dyDescent="0.25">
      <c r="A6" s="20" t="str">
        <f>IFERROR('Agent Sched'!B7,"-")</f>
        <v>Emmanuel Togle</v>
      </c>
      <c r="B6" s="12">
        <f>IFERROR(VLOOKUP(A6,'Agent Sched'!$B:$C,2,),"-")</f>
        <v>0.375</v>
      </c>
      <c r="C6" s="13">
        <f t="shared" si="7"/>
        <v>0.75</v>
      </c>
      <c r="D6" s="12">
        <f>IFERROR(VLOOKUP(A6,'Agent Sched'!B:D,3,),"-")</f>
        <v>0.375</v>
      </c>
      <c r="E6" s="13">
        <f t="shared" si="8"/>
        <v>0.75</v>
      </c>
      <c r="F6" s="12">
        <f>IFERROR(VLOOKUP(A6,'Agent Sched'!B:E,4,),"-")</f>
        <v>0.375</v>
      </c>
      <c r="G6" s="13">
        <f t="shared" si="9"/>
        <v>0.75</v>
      </c>
      <c r="H6" s="12" t="str">
        <f>IFERROR(VLOOKUP(A6,'Agent Sched'!B:F,5,),"-")</f>
        <v>OFF</v>
      </c>
      <c r="I6" s="13" t="str">
        <f t="shared" si="10"/>
        <v>OFF</v>
      </c>
      <c r="J6" s="12" t="str">
        <f>IFERROR(VLOOKUP(A6,'Agent Sched'!B:G,6,),"-")</f>
        <v>OFF</v>
      </c>
      <c r="K6" s="13" t="str">
        <f t="shared" si="11"/>
        <v>OFF</v>
      </c>
      <c r="L6" s="12">
        <f>IFERROR(VLOOKUP(A6,'Agent Sched'!B:H,7,),"-")</f>
        <v>0.375</v>
      </c>
      <c r="M6" s="13">
        <f t="shared" si="12"/>
        <v>0.75</v>
      </c>
      <c r="N6" s="21">
        <f>IFERROR(VLOOKUP(A6,'Agent Sched'!B:I,8,),"-")</f>
        <v>0.375</v>
      </c>
      <c r="O6" s="13">
        <f t="shared" si="13"/>
        <v>0.75</v>
      </c>
      <c r="Q6" s="12">
        <f>VLOOKUP(A6,'Agent Sched'!B:Y,24,)</f>
        <v>0.375</v>
      </c>
      <c r="R6" s="13">
        <f t="shared" si="14"/>
        <v>0.75</v>
      </c>
      <c r="T6" s="25" t="str">
        <f>VLOOKUP(A6,'Agent Sched'!$B:$J,9,)</f>
        <v>OFF</v>
      </c>
      <c r="U6" s="13" t="str">
        <f t="shared" si="15"/>
        <v>OFF</v>
      </c>
      <c r="V6" s="12">
        <f>VLOOKUP(A6,'Agent Sched'!B:K,10,)</f>
        <v>0.375</v>
      </c>
      <c r="W6" s="13">
        <f t="shared" si="16"/>
        <v>0.75</v>
      </c>
      <c r="X6" s="12">
        <f>VLOOKUP(A6,'Agent Sched'!B:L,11,)</f>
        <v>0.375</v>
      </c>
      <c r="Y6" s="13">
        <f t="shared" si="17"/>
        <v>0.75</v>
      </c>
      <c r="Z6" s="12">
        <f>VLOOKUP(A6,'Agent Sched'!B:M,12,)</f>
        <v>0.375</v>
      </c>
      <c r="AA6" s="13">
        <f t="shared" si="18"/>
        <v>0.75</v>
      </c>
      <c r="AB6" s="12">
        <f>VLOOKUP(A6,'Agent Sched'!B:N,13,)</f>
        <v>0.375</v>
      </c>
      <c r="AC6" s="13">
        <f t="shared" si="19"/>
        <v>0.75</v>
      </c>
      <c r="AD6" s="12">
        <f>VLOOKUP(A6,'Agent Sched'!B:O,14,)</f>
        <v>0.375</v>
      </c>
      <c r="AE6" s="13">
        <f t="shared" si="20"/>
        <v>0.75</v>
      </c>
      <c r="AF6" s="21" t="str">
        <f>VLOOKUP(A6,'Agent Sched'!B:P,15,)</f>
        <v>OFF</v>
      </c>
      <c r="AG6" s="13" t="str">
        <f t="shared" si="21"/>
        <v>OFF</v>
      </c>
      <c r="AI6" s="25" t="str">
        <f>VLOOKUP(A6,'Agent Sched'!$B:$Q,16,)</f>
        <v>OFF</v>
      </c>
      <c r="AJ6" s="13" t="str">
        <f t="shared" si="22"/>
        <v>OFF</v>
      </c>
      <c r="AK6" s="12">
        <f>VLOOKUP(A6,'Agent Sched'!B:R,17,)</f>
        <v>0.375</v>
      </c>
      <c r="AL6" s="13">
        <f t="shared" si="23"/>
        <v>0.75</v>
      </c>
      <c r="AM6" s="12">
        <f>VLOOKUP(A6,'Agent Sched'!B:S,18,)</f>
        <v>0.375</v>
      </c>
      <c r="AN6" s="13">
        <f t="shared" si="24"/>
        <v>0.75</v>
      </c>
      <c r="AO6" s="12">
        <f>VLOOKUP(A6,'Agent Sched'!B:T,19,)</f>
        <v>0.375</v>
      </c>
      <c r="AP6" s="13">
        <f t="shared" si="25"/>
        <v>0.75</v>
      </c>
      <c r="AQ6" s="12">
        <f>VLOOKUP(A6,'Agent Sched'!B:U,20,)</f>
        <v>0.375</v>
      </c>
      <c r="AR6" s="13">
        <f t="shared" si="26"/>
        <v>0.75</v>
      </c>
      <c r="AS6" s="12">
        <f>VLOOKUP(A6,'Agent Sched'!B:V,21,)</f>
        <v>0.375</v>
      </c>
      <c r="AT6" s="13">
        <f t="shared" si="27"/>
        <v>0.75</v>
      </c>
      <c r="AU6" s="21" t="str">
        <f>VLOOKUP(A6,'Agent Sched'!B:W,22,)</f>
        <v>OFF</v>
      </c>
      <c r="AV6" s="13" t="str">
        <f t="shared" si="28"/>
        <v>OFF</v>
      </c>
      <c r="AX6" s="30">
        <v>0.125</v>
      </c>
      <c r="AY6" s="10">
        <v>1.125</v>
      </c>
      <c r="AZ6" s="31">
        <f t="shared" si="29"/>
        <v>0</v>
      </c>
      <c r="BA6" s="31">
        <f t="shared" si="30"/>
        <v>0</v>
      </c>
      <c r="BB6" s="31">
        <f t="shared" si="31"/>
        <v>0</v>
      </c>
      <c r="BC6" s="31">
        <f t="shared" si="32"/>
        <v>0</v>
      </c>
      <c r="BD6" s="31">
        <f t="shared" si="33"/>
        <v>0</v>
      </c>
      <c r="BE6" s="31">
        <f t="shared" si="34"/>
        <v>0</v>
      </c>
      <c r="BF6" s="32">
        <f t="shared" si="35"/>
        <v>0</v>
      </c>
      <c r="BH6" s="30">
        <v>0.125</v>
      </c>
      <c r="BI6" s="10">
        <v>1.125</v>
      </c>
      <c r="BJ6" s="31">
        <f t="shared" si="0"/>
        <v>0</v>
      </c>
      <c r="BK6" s="31">
        <f t="shared" si="1"/>
        <v>0</v>
      </c>
      <c r="BL6" s="31">
        <f t="shared" si="2"/>
        <v>0</v>
      </c>
      <c r="BM6" s="31">
        <f t="shared" si="3"/>
        <v>0</v>
      </c>
      <c r="BN6" s="31">
        <f t="shared" si="4"/>
        <v>0</v>
      </c>
      <c r="BO6" s="31">
        <f t="shared" si="5"/>
        <v>0</v>
      </c>
      <c r="BP6" s="32">
        <f t="shared" si="6"/>
        <v>0</v>
      </c>
      <c r="BS6" s="38">
        <v>0.125</v>
      </c>
      <c r="BT6" s="39">
        <v>1.125</v>
      </c>
      <c r="BU6" s="53">
        <f>COUNTIFS(Q:Q, "&lt;=" &amp; BT6, R:R, "&gt;" &amp; BT6)+COUNTIFS(B:B, "&lt;=" &amp; BS6, C:C, "&gt;" &amp; BS6)+'Nesting Staffing'!BU6+'Pavia Staffing'!BU6</f>
        <v>11</v>
      </c>
      <c r="BV6" s="139">
        <f>COUNTIFS(B:B, "&lt;=" &amp; BT6, C:C, "&gt;" &amp; BT6)+COUNTIFS(D:D, "&lt;=" &amp; BS6, E:E, "&gt;" &amp; BS6)+'Nesting Staffing'!BV6+'Pavia Staffing'!BV6</f>
        <v>13</v>
      </c>
      <c r="BW6" s="139">
        <f>COUNTIFS(D:D, "&lt;=" &amp; BT6, E:E, "&gt;" &amp; BT6)+COUNTIFS(F:F, "&lt;=" &amp; BS6, G:G, "&gt;" &amp; BS6)+'Nesting Staffing'!BW6+'Pavia Staffing'!BW6</f>
        <v>14</v>
      </c>
      <c r="BX6" s="139">
        <f>COUNTIFS(F:F, "&lt;=" &amp; BT6, G:G, "&gt;" &amp; BT6)+COUNTIFS(H:H, "&lt;=" &amp; BS6, I:I, "&gt;" &amp; BS6)+'Nesting Staffing'!BX6+'Pavia Staffing'!BX6</f>
        <v>11</v>
      </c>
      <c r="BY6" s="139">
        <f>COUNTIFS(H:H, "&lt;=" &amp; BT6, I:I, "&gt;" &amp; BT6)+COUNTIFS(J:J, "&lt;=" &amp; BS6, K:K, "&gt;" &amp; BS6)+'Nesting Staffing'!BY6+'Pavia Staffing'!BY6</f>
        <v>10</v>
      </c>
      <c r="BZ6" s="139">
        <f>COUNTIFS(J:J, "&lt;=" &amp; BT6, K:K, "&gt;" &amp; BT6)+COUNTIFS(L:L, "&lt;=" &amp; BS6, M:M, "&gt;" &amp; BS6)+'Nesting Staffing'!BZ6+'Pavia Staffing'!BZ6</f>
        <v>8</v>
      </c>
      <c r="CA6" s="52">
        <f>COUNTIFS(N:N, "&lt;=" &amp; BS6, O:O, "&gt;" &amp; BS6)+COUNTIFS(L:L, "&lt;=" &amp; BT6, M:M, "&gt;" &amp; BT6)+'Nesting Staffing'!CA6+'Pavia Staffing'!CA6</f>
        <v>8</v>
      </c>
      <c r="CB6" s="53">
        <f>COUNTIFS(T:T, "&lt;=" &amp; BS6, U:U, "&gt;" &amp; BS6)+COUNTIFS(N:N, "&lt;=" &amp; BT6, O:O, "&gt;" &amp; BT6)+'Nesting Staffing'!CB6+'Pavia Staffing'!CB6</f>
        <v>11</v>
      </c>
      <c r="CC6" s="139">
        <f>COUNTIFS(V:V, "&lt;=" &amp; BS6, W:W, "&gt;" &amp; BS6)+COUNTIFS(T:T, "&lt;=" &amp; BT6, U:U, "&gt;" &amp; BT6)+'Nesting Staffing'!CC6+'Pavia Staffing'!CC6</f>
        <v>13</v>
      </c>
      <c r="CD6" s="139">
        <f>COUNTIFS(X:X, "&lt;=" &amp; BS6, Y:Y, "&gt;" &amp; BS6)+COUNTIFS(V:V, "&lt;=" &amp; BT6, W:W, "&gt;" &amp; BT6)+'Nesting Staffing'!CD6+'Pavia Staffing'!CD6</f>
        <v>15</v>
      </c>
      <c r="CE6" s="139">
        <f>COUNTIFS(Z:Z, "&lt;=" &amp; BS6, AA:AA, "&gt;" &amp; BS6)+COUNTIFS(X:X, "&lt;=" &amp; BT6, Y:Y, "&gt;" &amp; BT6)+'Nesting Staffing'!CE6+'Pavia Staffing'!CE6</f>
        <v>12</v>
      </c>
      <c r="CF6" s="139">
        <f>COUNTIFS(AB:AB, "&lt;=" &amp; BS6, AC:AC, "&gt;" &amp; BS6)+COUNTIFS(Z:Z, "&lt;=" &amp; BT6, AA:AA, "&gt;" &amp; BT6)+'Nesting Staffing'!CF6+'Pavia Staffing'!CF6</f>
        <v>9</v>
      </c>
      <c r="CG6" s="139">
        <f>COUNTIFS(AD:AD, "&lt;=" &amp; BS6, AE:AE, "&gt;" &amp; BS6)+COUNTIFS(AB:AB, "&lt;=" &amp; BT6, AC:AC, "&gt;" &amp; BT6)+'Nesting Staffing'!CG6+'Pavia Staffing'!CG6</f>
        <v>7</v>
      </c>
      <c r="CH6" s="52">
        <f>COUNTIFS(AF:AF, "&lt;=" &amp; BS6, AG:AG, "&gt;" &amp; BS6)+COUNTIFS(AD:AD, "&lt;=" &amp; BT6, AE:AE, "&gt;" &amp; BT6)+'Nesting Staffing'!CH6+'Pavia Staffing'!CH6</f>
        <v>8</v>
      </c>
      <c r="CI6" s="53">
        <f>COUNTIFS(AI:AI, "&lt;=" &amp; BS6, AJ:AJ, "&gt;" &amp; BS6)+COUNTIFS(AF:AF, "&lt;=" &amp; BT6, AG:AG, "&gt;" &amp; BT6)+'Nesting Staffing'!CI6+'Pavia Staffing'!CI6</f>
        <v>11</v>
      </c>
      <c r="CJ6" s="139">
        <f>COUNTIFS(AK:AK, "&lt;=" &amp; BS6, AL:AL, "&gt;" &amp; BS6)+COUNTIFS(AI:AI, "&lt;=" &amp; BT6, AJ:AJ, "&gt;" &amp; BT6)+'Nesting Staffing'!CJ6+'Pavia Staffing'!CJ6</f>
        <v>13</v>
      </c>
      <c r="CK6" s="139">
        <f>COUNTIFS(AM:AM, "&lt;=" &amp; BS6, AN:AN, "&gt;" &amp; BS6)+COUNTIFS(AK:AK, "&lt;=" &amp; BT6, AL:AL, "&gt;" &amp; BT6)+'Nesting Staffing'!CK6+'Pavia Staffing'!CK6</f>
        <v>15</v>
      </c>
      <c r="CL6" s="139">
        <f>COUNTIFS(AO:AO, "&lt;=" &amp; BS6, AP:AP, "&gt;" &amp; BS6)+COUNTIFS(AM:AM, "&lt;=" &amp; BT6, AN:AN, "&gt;" &amp; BT6)+'Nesting Staffing'!CL6+'Pavia Staffing'!CL6</f>
        <v>12</v>
      </c>
      <c r="CM6" s="139">
        <f>COUNTIFS(AQ:AQ, "&lt;=" &amp; BS6, AR:AR, "&gt;" &amp; BS6)+COUNTIFS(AO:AO, "&lt;=" &amp; BT6, AP:AP, "&gt;" &amp; BT6)+'Nesting Staffing'!CM6+'Pavia Staffing'!CM6</f>
        <v>9</v>
      </c>
      <c r="CN6" s="139">
        <f>COUNTIFS(AS:AS, "&lt;=" &amp; BS6, AT:AT, "&gt;" &amp; BS6)+COUNTIFS(AQ:AQ, "&lt;=" &amp; BT6, AR:AR, "&gt;" &amp; BT6)+'Nesting Staffing'!CN6+'Pavia Staffing'!CN6</f>
        <v>7</v>
      </c>
      <c r="CO6" s="52">
        <f>COUNTIFS(AU:AU, "&lt;=" &amp; BS6, AV:AV, "&gt;" &amp; BS6)+COUNTIFS(AS:AS, "&lt;=" &amp; BT6, AT:AT, "&gt;" &amp; BT6)+'Nesting Staffing'!CO6+'Pavia Staffing'!CO6</f>
        <v>8</v>
      </c>
    </row>
    <row r="7" spans="1:97" x14ac:dyDescent="0.25">
      <c r="A7" s="20" t="str">
        <f>IFERROR('Agent Sched'!B8,"-")</f>
        <v>Tommy Harold Jamandron</v>
      </c>
      <c r="B7" s="12">
        <f>IFERROR(VLOOKUP(A7,'Agent Sched'!$B:$C,2,),"-")</f>
        <v>0.375</v>
      </c>
      <c r="C7" s="13">
        <f t="shared" si="7"/>
        <v>0.75</v>
      </c>
      <c r="D7" s="12">
        <f>IFERROR(VLOOKUP(A7,'Agent Sched'!B:D,3,),"-")</f>
        <v>0.375</v>
      </c>
      <c r="E7" s="13">
        <f t="shared" si="8"/>
        <v>0.75</v>
      </c>
      <c r="F7" s="12">
        <f>IFERROR(VLOOKUP(A7,'Agent Sched'!B:E,4,),"-")</f>
        <v>0.375</v>
      </c>
      <c r="G7" s="13">
        <f t="shared" si="9"/>
        <v>0.75</v>
      </c>
      <c r="H7" s="12" t="str">
        <f>IFERROR(VLOOKUP(A7,'Agent Sched'!B:F,5,),"-")</f>
        <v>OFF</v>
      </c>
      <c r="I7" s="13" t="str">
        <f t="shared" si="10"/>
        <v>OFF</v>
      </c>
      <c r="J7" s="12" t="str">
        <f>IFERROR(VLOOKUP(A7,'Agent Sched'!B:G,6,),"-")</f>
        <v>OFF</v>
      </c>
      <c r="K7" s="13" t="str">
        <f t="shared" si="11"/>
        <v>OFF</v>
      </c>
      <c r="L7" s="12">
        <f>IFERROR(VLOOKUP(A7,'Agent Sched'!B:H,7,),"-")</f>
        <v>0.375</v>
      </c>
      <c r="M7" s="13">
        <f t="shared" si="12"/>
        <v>0.75</v>
      </c>
      <c r="N7" s="21">
        <f>IFERROR(VLOOKUP(A7,'Agent Sched'!B:I,8,),"-")</f>
        <v>0.375</v>
      </c>
      <c r="O7" s="13">
        <f t="shared" si="13"/>
        <v>0.75</v>
      </c>
      <c r="Q7" s="12">
        <f>VLOOKUP(A7,'Agent Sched'!B:Y,24,)</f>
        <v>0.375</v>
      </c>
      <c r="R7" s="13">
        <f t="shared" si="14"/>
        <v>0.75</v>
      </c>
      <c r="T7" s="25" t="str">
        <f>VLOOKUP(A7,'Agent Sched'!$B:$J,9,)</f>
        <v>OFF</v>
      </c>
      <c r="U7" s="13" t="str">
        <f t="shared" si="15"/>
        <v>OFF</v>
      </c>
      <c r="V7" s="12">
        <f>VLOOKUP(A7,'Agent Sched'!B:K,10,)</f>
        <v>0.375</v>
      </c>
      <c r="W7" s="13">
        <f t="shared" si="16"/>
        <v>0.75</v>
      </c>
      <c r="X7" s="12">
        <f>VLOOKUP(A7,'Agent Sched'!B:L,11,)</f>
        <v>0.375</v>
      </c>
      <c r="Y7" s="13">
        <f t="shared" si="17"/>
        <v>0.75</v>
      </c>
      <c r="Z7" s="12">
        <f>VLOOKUP(A7,'Agent Sched'!B:M,12,)</f>
        <v>0.375</v>
      </c>
      <c r="AA7" s="13">
        <f t="shared" si="18"/>
        <v>0.75</v>
      </c>
      <c r="AB7" s="12">
        <f>VLOOKUP(A7,'Agent Sched'!B:N,13,)</f>
        <v>0.375</v>
      </c>
      <c r="AC7" s="13">
        <f t="shared" si="19"/>
        <v>0.75</v>
      </c>
      <c r="AD7" s="12">
        <f>VLOOKUP(A7,'Agent Sched'!B:O,14,)</f>
        <v>0.375</v>
      </c>
      <c r="AE7" s="13">
        <f t="shared" si="20"/>
        <v>0.75</v>
      </c>
      <c r="AF7" s="21" t="str">
        <f>VLOOKUP(A7,'Agent Sched'!B:P,15,)</f>
        <v>OFF</v>
      </c>
      <c r="AG7" s="13" t="str">
        <f t="shared" si="21"/>
        <v>OFF</v>
      </c>
      <c r="AI7" s="25" t="str">
        <f>VLOOKUP(A7,'Agent Sched'!$B:$Q,16,)</f>
        <v>OFF</v>
      </c>
      <c r="AJ7" s="13" t="str">
        <f t="shared" si="22"/>
        <v>OFF</v>
      </c>
      <c r="AK7" s="12">
        <f>VLOOKUP(A7,'Agent Sched'!B:R,17,)</f>
        <v>0.375</v>
      </c>
      <c r="AL7" s="13">
        <f t="shared" si="23"/>
        <v>0.75</v>
      </c>
      <c r="AM7" s="12">
        <f>VLOOKUP(A7,'Agent Sched'!B:S,18,)</f>
        <v>0.375</v>
      </c>
      <c r="AN7" s="13">
        <f t="shared" si="24"/>
        <v>0.75</v>
      </c>
      <c r="AO7" s="12">
        <f>VLOOKUP(A7,'Agent Sched'!B:T,19,)</f>
        <v>0.375</v>
      </c>
      <c r="AP7" s="13">
        <f t="shared" si="25"/>
        <v>0.75</v>
      </c>
      <c r="AQ7" s="12">
        <f>VLOOKUP(A7,'Agent Sched'!B:U,20,)</f>
        <v>0.375</v>
      </c>
      <c r="AR7" s="13">
        <f t="shared" si="26"/>
        <v>0.75</v>
      </c>
      <c r="AS7" s="12">
        <f>VLOOKUP(A7,'Agent Sched'!B:V,21,)</f>
        <v>0.375</v>
      </c>
      <c r="AT7" s="13">
        <f t="shared" si="27"/>
        <v>0.75</v>
      </c>
      <c r="AU7" s="21" t="str">
        <f>VLOOKUP(A7,'Agent Sched'!B:W,22,)</f>
        <v>OFF</v>
      </c>
      <c r="AV7" s="13" t="str">
        <f t="shared" si="28"/>
        <v>OFF</v>
      </c>
      <c r="AX7" s="30">
        <v>0.16666666666666699</v>
      </c>
      <c r="AY7" s="10">
        <v>1.1666666666666701</v>
      </c>
      <c r="AZ7" s="31">
        <f t="shared" si="29"/>
        <v>0</v>
      </c>
      <c r="BA7" s="31">
        <f t="shared" si="30"/>
        <v>0</v>
      </c>
      <c r="BB7" s="31">
        <f t="shared" si="31"/>
        <v>0</v>
      </c>
      <c r="BC7" s="31">
        <f t="shared" si="32"/>
        <v>0</v>
      </c>
      <c r="BD7" s="31">
        <f t="shared" si="33"/>
        <v>0</v>
      </c>
      <c r="BE7" s="31">
        <f t="shared" si="34"/>
        <v>0</v>
      </c>
      <c r="BF7" s="32">
        <f t="shared" si="35"/>
        <v>0</v>
      </c>
      <c r="BH7" s="30">
        <v>0.16666666666666699</v>
      </c>
      <c r="BI7" s="10">
        <v>1.1666666666666601</v>
      </c>
      <c r="BJ7" s="31">
        <f t="shared" si="0"/>
        <v>0</v>
      </c>
      <c r="BK7" s="31">
        <f t="shared" si="1"/>
        <v>0</v>
      </c>
      <c r="BL7" s="31">
        <f t="shared" si="2"/>
        <v>0</v>
      </c>
      <c r="BM7" s="31">
        <f t="shared" si="3"/>
        <v>0</v>
      </c>
      <c r="BN7" s="31">
        <f t="shared" si="4"/>
        <v>0</v>
      </c>
      <c r="BO7" s="31">
        <f t="shared" si="5"/>
        <v>0</v>
      </c>
      <c r="BP7" s="32">
        <f t="shared" si="6"/>
        <v>0</v>
      </c>
      <c r="BS7" s="38">
        <v>0.16666666666666699</v>
      </c>
      <c r="BT7" s="39">
        <v>1.1666666666666701</v>
      </c>
      <c r="BU7" s="53">
        <f>COUNTIFS(Q:Q, "&lt;=" &amp; BT7, R:R, "&gt;" &amp; BT7)+COUNTIFS(B:B, "&lt;=" &amp; BS7, C:C, "&gt;" &amp; BS7)+'Nesting Staffing'!BU7+'Pavia Staffing'!BU7</f>
        <v>11</v>
      </c>
      <c r="BV7" s="139">
        <f>COUNTIFS(B:B, "&lt;=" &amp; BT7, C:C, "&gt;" &amp; BT7)+COUNTIFS(D:D, "&lt;=" &amp; BS7, E:E, "&gt;" &amp; BS7)+'Nesting Staffing'!BV7+'Pavia Staffing'!BV7</f>
        <v>13</v>
      </c>
      <c r="BW7" s="139">
        <f>COUNTIFS(D:D, "&lt;=" &amp; BT7, E:E, "&gt;" &amp; BT7)+COUNTIFS(F:F, "&lt;=" &amp; BS7, G:G, "&gt;" &amp; BS7)+'Nesting Staffing'!BW7+'Pavia Staffing'!BW7</f>
        <v>14</v>
      </c>
      <c r="BX7" s="139">
        <f>COUNTIFS(F:F, "&lt;=" &amp; BT7, G:G, "&gt;" &amp; BT7)+COUNTIFS(H:H, "&lt;=" &amp; BS7, I:I, "&gt;" &amp; BS7)+'Nesting Staffing'!BX7+'Pavia Staffing'!BX7</f>
        <v>11</v>
      </c>
      <c r="BY7" s="139">
        <f>COUNTIFS(H:H, "&lt;=" &amp; BT7, I:I, "&gt;" &amp; BT7)+COUNTIFS(J:J, "&lt;=" &amp; BS7, K:K, "&gt;" &amp; BS7)+'Nesting Staffing'!BY7+'Pavia Staffing'!BY7</f>
        <v>10</v>
      </c>
      <c r="BZ7" s="139">
        <f>COUNTIFS(J:J, "&lt;=" &amp; BT7, K:K, "&gt;" &amp; BT7)+COUNTIFS(L:L, "&lt;=" &amp; BS7, M:M, "&gt;" &amp; BS7)+'Nesting Staffing'!BZ7+'Pavia Staffing'!BZ7</f>
        <v>8</v>
      </c>
      <c r="CA7" s="52">
        <f>COUNTIFS(N:N, "&lt;=" &amp; BS7, O:O, "&gt;" &amp; BS7)+COUNTIFS(L:L, "&lt;=" &amp; BT7, M:M, "&gt;" &amp; BT7)+'Nesting Staffing'!CA7+'Pavia Staffing'!CA7</f>
        <v>8</v>
      </c>
      <c r="CB7" s="53">
        <f>COUNTIFS(T:T, "&lt;=" &amp; BS7, U:U, "&gt;" &amp; BS7)+COUNTIFS(N:N, "&lt;=" &amp; BT7, O:O, "&gt;" &amp; BT7)+'Nesting Staffing'!CB7+'Pavia Staffing'!CB7</f>
        <v>11</v>
      </c>
      <c r="CC7" s="139">
        <f>COUNTIFS(V:V, "&lt;=" &amp; BS7, W:W, "&gt;" &amp; BS7)+COUNTIFS(T:T, "&lt;=" &amp; BT7, U:U, "&gt;" &amp; BT7)+'Nesting Staffing'!CC7+'Pavia Staffing'!CC7</f>
        <v>13</v>
      </c>
      <c r="CD7" s="139">
        <f>COUNTIFS(X:X, "&lt;=" &amp; BS7, Y:Y, "&gt;" &amp; BS7)+COUNTIFS(V:V, "&lt;=" &amp; BT7, W:W, "&gt;" &amp; BT7)+'Nesting Staffing'!CD7+'Pavia Staffing'!CD7</f>
        <v>15</v>
      </c>
      <c r="CE7" s="139">
        <f>COUNTIFS(Z:Z, "&lt;=" &amp; BS7, AA:AA, "&gt;" &amp; BS7)+COUNTIFS(X:X, "&lt;=" &amp; BT7, Y:Y, "&gt;" &amp; BT7)+'Nesting Staffing'!CE7+'Pavia Staffing'!CE7</f>
        <v>12</v>
      </c>
      <c r="CF7" s="139">
        <f>COUNTIFS(AB:AB, "&lt;=" &amp; BS7, AC:AC, "&gt;" &amp; BS7)+COUNTIFS(Z:Z, "&lt;=" &amp; BT7, AA:AA, "&gt;" &amp; BT7)+'Nesting Staffing'!CF7+'Pavia Staffing'!CF7</f>
        <v>9</v>
      </c>
      <c r="CG7" s="139">
        <f>COUNTIFS(AD:AD, "&lt;=" &amp; BS7, AE:AE, "&gt;" &amp; BS7)+COUNTIFS(AB:AB, "&lt;=" &amp; BT7, AC:AC, "&gt;" &amp; BT7)+'Nesting Staffing'!CG7+'Pavia Staffing'!CG7</f>
        <v>7</v>
      </c>
      <c r="CH7" s="52">
        <f>COUNTIFS(AF:AF, "&lt;=" &amp; BS7, AG:AG, "&gt;" &amp; BS7)+COUNTIFS(AD:AD, "&lt;=" &amp; BT7, AE:AE, "&gt;" &amp; BT7)+'Nesting Staffing'!CH7+'Pavia Staffing'!CH7</f>
        <v>8</v>
      </c>
      <c r="CI7" s="53">
        <f>COUNTIFS(AI:AI, "&lt;=" &amp; BS7, AJ:AJ, "&gt;" &amp; BS7)+COUNTIFS(AF:AF, "&lt;=" &amp; BT7, AG:AG, "&gt;" &amp; BT7)+'Nesting Staffing'!CI7+'Pavia Staffing'!CI7</f>
        <v>11</v>
      </c>
      <c r="CJ7" s="139">
        <f>COUNTIFS(AK:AK, "&lt;=" &amp; BS7, AL:AL, "&gt;" &amp; BS7)+COUNTIFS(AI:AI, "&lt;=" &amp; BT7, AJ:AJ, "&gt;" &amp; BT7)+'Nesting Staffing'!CJ7+'Pavia Staffing'!CJ7</f>
        <v>13</v>
      </c>
      <c r="CK7" s="139">
        <f>COUNTIFS(AM:AM, "&lt;=" &amp; BS7, AN:AN, "&gt;" &amp; BS7)+COUNTIFS(AK:AK, "&lt;=" &amp; BT7, AL:AL, "&gt;" &amp; BT7)+'Nesting Staffing'!CK7+'Pavia Staffing'!CK7</f>
        <v>15</v>
      </c>
      <c r="CL7" s="139">
        <f>COUNTIFS(AO:AO, "&lt;=" &amp; BS7, AP:AP, "&gt;" &amp; BS7)+COUNTIFS(AM:AM, "&lt;=" &amp; BT7, AN:AN, "&gt;" &amp; BT7)+'Nesting Staffing'!CL7+'Pavia Staffing'!CL7</f>
        <v>12</v>
      </c>
      <c r="CM7" s="139">
        <f>COUNTIFS(AQ:AQ, "&lt;=" &amp; BS7, AR:AR, "&gt;" &amp; BS7)+COUNTIFS(AO:AO, "&lt;=" &amp; BT7, AP:AP, "&gt;" &amp; BT7)+'Nesting Staffing'!CM7+'Pavia Staffing'!CM7</f>
        <v>9</v>
      </c>
      <c r="CN7" s="139">
        <f>COUNTIFS(AS:AS, "&lt;=" &amp; BS7, AT:AT, "&gt;" &amp; BS7)+COUNTIFS(AQ:AQ, "&lt;=" &amp; BT7, AR:AR, "&gt;" &amp; BT7)+'Nesting Staffing'!CN7+'Pavia Staffing'!CN7</f>
        <v>7</v>
      </c>
      <c r="CO7" s="52">
        <f>COUNTIFS(AU:AU, "&lt;=" &amp; BS7, AV:AV, "&gt;" &amp; BS7)+COUNTIFS(AS:AS, "&lt;=" &amp; BT7, AT:AT, "&gt;" &amp; BT7)+'Nesting Staffing'!CO7+'Pavia Staffing'!CO7</f>
        <v>8</v>
      </c>
    </row>
    <row r="8" spans="1:97" x14ac:dyDescent="0.25">
      <c r="A8" s="20" t="str">
        <f>IFERROR('Agent Sched'!B9,"-")</f>
        <v>Yron Angelo Llanda</v>
      </c>
      <c r="B8" s="12">
        <f>IFERROR(VLOOKUP(A8,'Agent Sched'!$B:$C,2,),"-")</f>
        <v>0.375</v>
      </c>
      <c r="C8" s="13">
        <f t="shared" si="7"/>
        <v>0.75</v>
      </c>
      <c r="D8" s="12">
        <f>IFERROR(VLOOKUP(A8,'Agent Sched'!B:D,3,),"-")</f>
        <v>0.375</v>
      </c>
      <c r="E8" s="13">
        <f t="shared" si="8"/>
        <v>0.75</v>
      </c>
      <c r="F8" s="12">
        <f>IFERROR(VLOOKUP(A8,'Agent Sched'!B:E,4,),"-")</f>
        <v>0.375</v>
      </c>
      <c r="G8" s="13">
        <f t="shared" si="9"/>
        <v>0.75</v>
      </c>
      <c r="H8" s="12" t="str">
        <f>IFERROR(VLOOKUP(A8,'Agent Sched'!B:F,5,),"-")</f>
        <v>OFF</v>
      </c>
      <c r="I8" s="13" t="str">
        <f t="shared" si="10"/>
        <v>OFF</v>
      </c>
      <c r="J8" s="12" t="str">
        <f>IFERROR(VLOOKUP(A8,'Agent Sched'!B:G,6,),"-")</f>
        <v>OFF</v>
      </c>
      <c r="K8" s="13" t="str">
        <f t="shared" si="11"/>
        <v>OFF</v>
      </c>
      <c r="L8" s="12">
        <f>IFERROR(VLOOKUP(A8,'Agent Sched'!B:H,7,),"-")</f>
        <v>0.375</v>
      </c>
      <c r="M8" s="13">
        <f t="shared" si="12"/>
        <v>0.75</v>
      </c>
      <c r="N8" s="21">
        <f>IFERROR(VLOOKUP(A8,'Agent Sched'!B:I,8,),"-")</f>
        <v>0.375</v>
      </c>
      <c r="O8" s="13">
        <f t="shared" si="13"/>
        <v>0.75</v>
      </c>
      <c r="Q8" s="12">
        <f>VLOOKUP(A8,'Agent Sched'!B:Y,24,)</f>
        <v>0.375</v>
      </c>
      <c r="R8" s="13">
        <f t="shared" si="14"/>
        <v>0.75</v>
      </c>
      <c r="T8" s="25" t="str">
        <f>VLOOKUP(A8,'Agent Sched'!$B:$J,9,)</f>
        <v>OFF</v>
      </c>
      <c r="U8" s="13" t="str">
        <f t="shared" si="15"/>
        <v>OFF</v>
      </c>
      <c r="V8" s="12">
        <f>VLOOKUP(A8,'Agent Sched'!B:K,10,)</f>
        <v>0.375</v>
      </c>
      <c r="W8" s="13">
        <f t="shared" si="16"/>
        <v>0.75</v>
      </c>
      <c r="X8" s="12">
        <f>VLOOKUP(A8,'Agent Sched'!B:L,11,)</f>
        <v>0.375</v>
      </c>
      <c r="Y8" s="13">
        <f t="shared" si="17"/>
        <v>0.75</v>
      </c>
      <c r="Z8" s="12">
        <f>VLOOKUP(A8,'Agent Sched'!B:M,12,)</f>
        <v>0.375</v>
      </c>
      <c r="AA8" s="13">
        <f t="shared" si="18"/>
        <v>0.75</v>
      </c>
      <c r="AB8" s="12">
        <f>VLOOKUP(A8,'Agent Sched'!B:N,13,)</f>
        <v>0.375</v>
      </c>
      <c r="AC8" s="13">
        <f t="shared" si="19"/>
        <v>0.75</v>
      </c>
      <c r="AD8" s="12">
        <f>VLOOKUP(A8,'Agent Sched'!B:O,14,)</f>
        <v>0.375</v>
      </c>
      <c r="AE8" s="13">
        <f t="shared" si="20"/>
        <v>0.75</v>
      </c>
      <c r="AF8" s="21" t="str">
        <f>VLOOKUP(A8,'Agent Sched'!B:P,15,)</f>
        <v>OFF</v>
      </c>
      <c r="AG8" s="13" t="str">
        <f t="shared" si="21"/>
        <v>OFF</v>
      </c>
      <c r="AI8" s="25" t="str">
        <f>VLOOKUP(A8,'Agent Sched'!$B:$Q,16,)</f>
        <v>OFF</v>
      </c>
      <c r="AJ8" s="13" t="str">
        <f t="shared" si="22"/>
        <v>OFF</v>
      </c>
      <c r="AK8" s="12">
        <f>VLOOKUP(A8,'Agent Sched'!B:R,17,)</f>
        <v>0.375</v>
      </c>
      <c r="AL8" s="13">
        <f t="shared" si="23"/>
        <v>0.75</v>
      </c>
      <c r="AM8" s="12">
        <f>VLOOKUP(A8,'Agent Sched'!B:S,18,)</f>
        <v>0.375</v>
      </c>
      <c r="AN8" s="13">
        <f t="shared" si="24"/>
        <v>0.75</v>
      </c>
      <c r="AO8" s="12">
        <f>VLOOKUP(A8,'Agent Sched'!B:T,19,)</f>
        <v>0.375</v>
      </c>
      <c r="AP8" s="13">
        <f t="shared" si="25"/>
        <v>0.75</v>
      </c>
      <c r="AQ8" s="12">
        <f>VLOOKUP(A8,'Agent Sched'!B:U,20,)</f>
        <v>0.375</v>
      </c>
      <c r="AR8" s="13">
        <f t="shared" si="26"/>
        <v>0.75</v>
      </c>
      <c r="AS8" s="12">
        <f>VLOOKUP(A8,'Agent Sched'!B:V,21,)</f>
        <v>0.375</v>
      </c>
      <c r="AT8" s="13">
        <f t="shared" si="27"/>
        <v>0.75</v>
      </c>
      <c r="AU8" s="21" t="str">
        <f>VLOOKUP(A8,'Agent Sched'!B:W,22,)</f>
        <v>OFF</v>
      </c>
      <c r="AV8" s="13" t="str">
        <f t="shared" si="28"/>
        <v>OFF</v>
      </c>
      <c r="AX8" s="30">
        <v>0.20833333333333301</v>
      </c>
      <c r="AY8" s="10">
        <v>1.2083333333333399</v>
      </c>
      <c r="AZ8" s="31">
        <f t="shared" si="29"/>
        <v>0</v>
      </c>
      <c r="BA8" s="31">
        <f t="shared" si="30"/>
        <v>0</v>
      </c>
      <c r="BB8" s="31">
        <f t="shared" si="31"/>
        <v>0</v>
      </c>
      <c r="BC8" s="31">
        <f t="shared" si="32"/>
        <v>0</v>
      </c>
      <c r="BD8" s="31">
        <f t="shared" si="33"/>
        <v>0</v>
      </c>
      <c r="BE8" s="31">
        <f t="shared" si="34"/>
        <v>0</v>
      </c>
      <c r="BF8" s="32">
        <f t="shared" si="35"/>
        <v>0</v>
      </c>
      <c r="BH8" s="30">
        <v>0.20833333333333301</v>
      </c>
      <c r="BI8" s="10">
        <v>1.2083333333333299</v>
      </c>
      <c r="BJ8" s="31">
        <f t="shared" si="0"/>
        <v>0</v>
      </c>
      <c r="BK8" s="31">
        <f t="shared" si="1"/>
        <v>0</v>
      </c>
      <c r="BL8" s="31">
        <f t="shared" si="2"/>
        <v>0</v>
      </c>
      <c r="BM8" s="31">
        <f t="shared" si="3"/>
        <v>0</v>
      </c>
      <c r="BN8" s="31">
        <f t="shared" si="4"/>
        <v>0</v>
      </c>
      <c r="BO8" s="31">
        <f t="shared" si="5"/>
        <v>0</v>
      </c>
      <c r="BP8" s="32">
        <f t="shared" si="6"/>
        <v>0</v>
      </c>
      <c r="BS8" s="38">
        <v>0.20833333333333301</v>
      </c>
      <c r="BT8" s="39">
        <v>1.2083333333333399</v>
      </c>
      <c r="BU8" s="53">
        <f>COUNTIFS(Q:Q, "&lt;=" &amp; BT8, R:R, "&gt;" &amp; BT8)+COUNTIFS(B:B, "&lt;=" &amp; BS8, C:C, "&gt;" &amp; BS8)+'Nesting Staffing'!BU8+'Pavia Staffing'!BU8</f>
        <v>11</v>
      </c>
      <c r="BV8" s="139">
        <f>COUNTIFS(B:B, "&lt;=" &amp; BT8, C:C, "&gt;" &amp; BT8)+COUNTIFS(D:D, "&lt;=" &amp; BS8, E:E, "&gt;" &amp; BS8)+'Nesting Staffing'!BV8+'Pavia Staffing'!BV8</f>
        <v>13</v>
      </c>
      <c r="BW8" s="139">
        <f>COUNTIFS(D:D, "&lt;=" &amp; BT8, E:E, "&gt;" &amp; BT8)+COUNTIFS(F:F, "&lt;=" &amp; BS8, G:G, "&gt;" &amp; BS8)+'Nesting Staffing'!BW8+'Pavia Staffing'!BW8</f>
        <v>14</v>
      </c>
      <c r="BX8" s="139">
        <f>COUNTIFS(F:F, "&lt;=" &amp; BT8, G:G, "&gt;" &amp; BT8)+COUNTIFS(H:H, "&lt;=" &amp; BS8, I:I, "&gt;" &amp; BS8)+'Nesting Staffing'!BX8+'Pavia Staffing'!BX8</f>
        <v>11</v>
      </c>
      <c r="BY8" s="139">
        <f>COUNTIFS(H:H, "&lt;=" &amp; BT8, I:I, "&gt;" &amp; BT8)+COUNTIFS(J:J, "&lt;=" &amp; BS8, K:K, "&gt;" &amp; BS8)+'Nesting Staffing'!BY8+'Pavia Staffing'!BY8</f>
        <v>10</v>
      </c>
      <c r="BZ8" s="139">
        <f>COUNTIFS(J:J, "&lt;=" &amp; BT8, K:K, "&gt;" &amp; BT8)+COUNTIFS(L:L, "&lt;=" &amp; BS8, M:M, "&gt;" &amp; BS8)+'Nesting Staffing'!BZ8+'Pavia Staffing'!BZ8</f>
        <v>8</v>
      </c>
      <c r="CA8" s="52">
        <f>COUNTIFS(N:N, "&lt;=" &amp; BS8, O:O, "&gt;" &amp; BS8)+COUNTIFS(L:L, "&lt;=" &amp; BT8, M:M, "&gt;" &amp; BT8)+'Nesting Staffing'!CA8+'Pavia Staffing'!CA8</f>
        <v>8</v>
      </c>
      <c r="CB8" s="53">
        <f>COUNTIFS(T:T, "&lt;=" &amp; BS8, U:U, "&gt;" &amp; BS8)+COUNTIFS(N:N, "&lt;=" &amp; BT8, O:O, "&gt;" &amp; BT8)+'Nesting Staffing'!CB8+'Pavia Staffing'!CB8</f>
        <v>11</v>
      </c>
      <c r="CC8" s="139">
        <f>COUNTIFS(V:V, "&lt;=" &amp; BS8, W:W, "&gt;" &amp; BS8)+COUNTIFS(T:T, "&lt;=" &amp; BT8, U:U, "&gt;" &amp; BT8)+'Nesting Staffing'!CC8+'Pavia Staffing'!CC8</f>
        <v>13</v>
      </c>
      <c r="CD8" s="139">
        <f>COUNTIFS(X:X, "&lt;=" &amp; BS8, Y:Y, "&gt;" &amp; BS8)+COUNTIFS(V:V, "&lt;=" &amp; BT8, W:W, "&gt;" &amp; BT8)+'Nesting Staffing'!CD8+'Pavia Staffing'!CD8</f>
        <v>15</v>
      </c>
      <c r="CE8" s="139">
        <f>COUNTIFS(Z:Z, "&lt;=" &amp; BS8, AA:AA, "&gt;" &amp; BS8)+COUNTIFS(X:X, "&lt;=" &amp; BT8, Y:Y, "&gt;" &amp; BT8)+'Nesting Staffing'!CE8+'Pavia Staffing'!CE8</f>
        <v>12</v>
      </c>
      <c r="CF8" s="139">
        <f>COUNTIFS(AB:AB, "&lt;=" &amp; BS8, AC:AC, "&gt;" &amp; BS8)+COUNTIFS(Z:Z, "&lt;=" &amp; BT8, AA:AA, "&gt;" &amp; BT8)+'Nesting Staffing'!CF8+'Pavia Staffing'!CF8</f>
        <v>9</v>
      </c>
      <c r="CG8" s="139">
        <f>COUNTIFS(AD:AD, "&lt;=" &amp; BS8, AE:AE, "&gt;" &amp; BS8)+COUNTIFS(AB:AB, "&lt;=" &amp; BT8, AC:AC, "&gt;" &amp; BT8)+'Nesting Staffing'!CG8+'Pavia Staffing'!CG8</f>
        <v>7</v>
      </c>
      <c r="CH8" s="52">
        <f>COUNTIFS(AF:AF, "&lt;=" &amp; BS8, AG:AG, "&gt;" &amp; BS8)+COUNTIFS(AD:AD, "&lt;=" &amp; BT8, AE:AE, "&gt;" &amp; BT8)+'Nesting Staffing'!CH8+'Pavia Staffing'!CH8</f>
        <v>8</v>
      </c>
      <c r="CI8" s="53">
        <f>COUNTIFS(AI:AI, "&lt;=" &amp; BS8, AJ:AJ, "&gt;" &amp; BS8)+COUNTIFS(AF:AF, "&lt;=" &amp; BT8, AG:AG, "&gt;" &amp; BT8)+'Nesting Staffing'!CI8+'Pavia Staffing'!CI8</f>
        <v>11</v>
      </c>
      <c r="CJ8" s="139">
        <f>COUNTIFS(AK:AK, "&lt;=" &amp; BS8, AL:AL, "&gt;" &amp; BS8)+COUNTIFS(AI:AI, "&lt;=" &amp; BT8, AJ:AJ, "&gt;" &amp; BT8)+'Nesting Staffing'!CJ8+'Pavia Staffing'!CJ8</f>
        <v>13</v>
      </c>
      <c r="CK8" s="139">
        <f>COUNTIFS(AM:AM, "&lt;=" &amp; BS8, AN:AN, "&gt;" &amp; BS8)+COUNTIFS(AK:AK, "&lt;=" &amp; BT8, AL:AL, "&gt;" &amp; BT8)+'Nesting Staffing'!CK8+'Pavia Staffing'!CK8</f>
        <v>15</v>
      </c>
      <c r="CL8" s="139">
        <f>COUNTIFS(AO:AO, "&lt;=" &amp; BS8, AP:AP, "&gt;" &amp; BS8)+COUNTIFS(AM:AM, "&lt;=" &amp; BT8, AN:AN, "&gt;" &amp; BT8)+'Nesting Staffing'!CL8+'Pavia Staffing'!CL8</f>
        <v>12</v>
      </c>
      <c r="CM8" s="139">
        <f>COUNTIFS(AQ:AQ, "&lt;=" &amp; BS8, AR:AR, "&gt;" &amp; BS8)+COUNTIFS(AO:AO, "&lt;=" &amp; BT8, AP:AP, "&gt;" &amp; BT8)+'Nesting Staffing'!CM8+'Pavia Staffing'!CM8</f>
        <v>9</v>
      </c>
      <c r="CN8" s="139">
        <f>COUNTIFS(AS:AS, "&lt;=" &amp; BS8, AT:AT, "&gt;" &amp; BS8)+COUNTIFS(AQ:AQ, "&lt;=" &amp; BT8, AR:AR, "&gt;" &amp; BT8)+'Nesting Staffing'!CN8+'Pavia Staffing'!CN8</f>
        <v>7</v>
      </c>
      <c r="CO8" s="52">
        <f>COUNTIFS(AU:AU, "&lt;=" &amp; BS8, AV:AV, "&gt;" &amp; BS8)+COUNTIFS(AS:AS, "&lt;=" &amp; BT8, AT:AT, "&gt;" &amp; BT8)+'Nesting Staffing'!CO8+'Pavia Staffing'!CO8</f>
        <v>8</v>
      </c>
    </row>
    <row r="9" spans="1:97" x14ac:dyDescent="0.25">
      <c r="A9" s="20" t="str">
        <f>IFERROR('Agent Sched'!B10,"-")</f>
        <v>Annje,Libo-on,Jardinaso</v>
      </c>
      <c r="B9" s="12">
        <f>IFERROR(VLOOKUP(A9,'Agent Sched'!$B:$C,2,),"-")</f>
        <v>0.375</v>
      </c>
      <c r="C9" s="13">
        <f t="shared" si="7"/>
        <v>0.75</v>
      </c>
      <c r="D9" s="12">
        <f>IFERROR(VLOOKUP(A9,'Agent Sched'!B:D,3,),"-")</f>
        <v>0.375</v>
      </c>
      <c r="E9" s="13">
        <f t="shared" si="8"/>
        <v>0.75</v>
      </c>
      <c r="F9" s="12">
        <f>IFERROR(VLOOKUP(A9,'Agent Sched'!B:E,4,),"-")</f>
        <v>0.375</v>
      </c>
      <c r="G9" s="13">
        <f t="shared" si="9"/>
        <v>0.75</v>
      </c>
      <c r="H9" s="12" t="str">
        <f>IFERROR(VLOOKUP(A9,'Agent Sched'!B:F,5,),"-")</f>
        <v>OFF</v>
      </c>
      <c r="I9" s="13" t="str">
        <f t="shared" si="10"/>
        <v>OFF</v>
      </c>
      <c r="J9" s="12" t="str">
        <f>IFERROR(VLOOKUP(A9,'Agent Sched'!B:G,6,),"-")</f>
        <v>OFF</v>
      </c>
      <c r="K9" s="13" t="str">
        <f t="shared" si="11"/>
        <v>OFF</v>
      </c>
      <c r="L9" s="12">
        <f>IFERROR(VLOOKUP(A9,'Agent Sched'!B:H,7,),"-")</f>
        <v>0.375</v>
      </c>
      <c r="M9" s="13">
        <f t="shared" si="12"/>
        <v>0.75</v>
      </c>
      <c r="N9" s="21">
        <f>IFERROR(VLOOKUP(A9,'Agent Sched'!B:I,8,),"-")</f>
        <v>0.375</v>
      </c>
      <c r="O9" s="13">
        <f t="shared" si="13"/>
        <v>0.75</v>
      </c>
      <c r="Q9" s="12">
        <f>VLOOKUP(A9,'Agent Sched'!B:Y,24,)</f>
        <v>0.375</v>
      </c>
      <c r="R9" s="13">
        <f t="shared" si="14"/>
        <v>0.75</v>
      </c>
      <c r="T9" s="25" t="str">
        <f>VLOOKUP(A9,'Agent Sched'!$B:$J,9,)</f>
        <v>OFF</v>
      </c>
      <c r="U9" s="13" t="str">
        <f t="shared" si="15"/>
        <v>OFF</v>
      </c>
      <c r="V9" s="12">
        <f>VLOOKUP(A9,'Agent Sched'!B:K,10,)</f>
        <v>0.375</v>
      </c>
      <c r="W9" s="13">
        <f t="shared" si="16"/>
        <v>0.75</v>
      </c>
      <c r="X9" s="12">
        <f>VLOOKUP(A9,'Agent Sched'!B:L,11,)</f>
        <v>0.375</v>
      </c>
      <c r="Y9" s="13">
        <f t="shared" si="17"/>
        <v>0.75</v>
      </c>
      <c r="Z9" s="12">
        <f>VLOOKUP(A9,'Agent Sched'!B:M,12,)</f>
        <v>0.375</v>
      </c>
      <c r="AA9" s="13">
        <f t="shared" si="18"/>
        <v>0.75</v>
      </c>
      <c r="AB9" s="12">
        <f>VLOOKUP(A9,'Agent Sched'!B:N,13,)</f>
        <v>0.375</v>
      </c>
      <c r="AC9" s="13">
        <f t="shared" si="19"/>
        <v>0.75</v>
      </c>
      <c r="AD9" s="12">
        <f>VLOOKUP(A9,'Agent Sched'!B:O,14,)</f>
        <v>0.375</v>
      </c>
      <c r="AE9" s="13">
        <f t="shared" si="20"/>
        <v>0.75</v>
      </c>
      <c r="AF9" s="21" t="str">
        <f>VLOOKUP(A9,'Agent Sched'!B:P,15,)</f>
        <v>OFF</v>
      </c>
      <c r="AG9" s="13" t="str">
        <f t="shared" si="21"/>
        <v>OFF</v>
      </c>
      <c r="AI9" s="25" t="str">
        <f>VLOOKUP(A9,'Agent Sched'!$B:$Q,16,)</f>
        <v>OFF</v>
      </c>
      <c r="AJ9" s="13" t="str">
        <f t="shared" si="22"/>
        <v>OFF</v>
      </c>
      <c r="AK9" s="12">
        <f>VLOOKUP(A9,'Agent Sched'!B:R,17,)</f>
        <v>0.375</v>
      </c>
      <c r="AL9" s="13">
        <f t="shared" si="23"/>
        <v>0.75</v>
      </c>
      <c r="AM9" s="12">
        <f>VLOOKUP(A9,'Agent Sched'!B:S,18,)</f>
        <v>0.375</v>
      </c>
      <c r="AN9" s="13">
        <f t="shared" si="24"/>
        <v>0.75</v>
      </c>
      <c r="AO9" s="12">
        <f>VLOOKUP(A9,'Agent Sched'!B:T,19,)</f>
        <v>0.375</v>
      </c>
      <c r="AP9" s="13">
        <f t="shared" si="25"/>
        <v>0.75</v>
      </c>
      <c r="AQ9" s="12">
        <f>VLOOKUP(A9,'Agent Sched'!B:U,20,)</f>
        <v>0.375</v>
      </c>
      <c r="AR9" s="13">
        <f t="shared" si="26"/>
        <v>0.75</v>
      </c>
      <c r="AS9" s="12">
        <f>VLOOKUP(A9,'Agent Sched'!B:V,21,)</f>
        <v>0.375</v>
      </c>
      <c r="AT9" s="13">
        <f t="shared" si="27"/>
        <v>0.75</v>
      </c>
      <c r="AU9" s="21" t="str">
        <f>VLOOKUP(A9,'Agent Sched'!B:W,22,)</f>
        <v>OFF</v>
      </c>
      <c r="AV9" s="13" t="str">
        <f t="shared" si="28"/>
        <v>OFF</v>
      </c>
      <c r="AX9" s="30">
        <v>0.25</v>
      </c>
      <c r="AY9" s="10">
        <v>1.25</v>
      </c>
      <c r="AZ9" s="31">
        <f t="shared" si="29"/>
        <v>0</v>
      </c>
      <c r="BA9" s="31">
        <f t="shared" si="30"/>
        <v>0</v>
      </c>
      <c r="BB9" s="31">
        <f t="shared" si="31"/>
        <v>0</v>
      </c>
      <c r="BC9" s="31">
        <f t="shared" si="32"/>
        <v>0</v>
      </c>
      <c r="BD9" s="31">
        <f t="shared" si="33"/>
        <v>0</v>
      </c>
      <c r="BE9" s="31">
        <f t="shared" si="34"/>
        <v>0</v>
      </c>
      <c r="BF9" s="32">
        <f t="shared" si="35"/>
        <v>0</v>
      </c>
      <c r="BH9" s="30">
        <v>0.25</v>
      </c>
      <c r="BI9" s="10">
        <v>1.25</v>
      </c>
      <c r="BJ9" s="31">
        <f t="shared" si="0"/>
        <v>0</v>
      </c>
      <c r="BK9" s="31">
        <f t="shared" si="1"/>
        <v>0</v>
      </c>
      <c r="BL9" s="31">
        <f t="shared" si="2"/>
        <v>0</v>
      </c>
      <c r="BM9" s="31">
        <f t="shared" si="3"/>
        <v>0</v>
      </c>
      <c r="BN9" s="31">
        <f t="shared" si="4"/>
        <v>0</v>
      </c>
      <c r="BO9" s="31">
        <f t="shared" si="5"/>
        <v>0</v>
      </c>
      <c r="BP9" s="32">
        <f t="shared" si="6"/>
        <v>0</v>
      </c>
      <c r="BS9" s="38">
        <v>0.25</v>
      </c>
      <c r="BT9" s="39">
        <v>1.25000000000001</v>
      </c>
      <c r="BU9" s="53">
        <f>COUNTIFS(Q:Q, "&lt;=" &amp; BT9, R:R, "&gt;" &amp; BT9)+COUNTIFS(B:B, "&lt;=" &amp; BS9, C:C, "&gt;" &amp; BS9)+'Nesting Staffing'!BU9+'Pavia Staffing'!BU9</f>
        <v>0</v>
      </c>
      <c r="BV9" s="139">
        <f>COUNTIFS(B:B, "&lt;=" &amp; BT9, C:C, "&gt;" &amp; BT9)+COUNTIFS(D:D, "&lt;=" &amp; BS9, E:E, "&gt;" &amp; BS9)+'Nesting Staffing'!BV9+'Pavia Staffing'!BV9</f>
        <v>0</v>
      </c>
      <c r="BW9" s="139">
        <f>COUNTIFS(D:D, "&lt;=" &amp; BT9, E:E, "&gt;" &amp; BT9)+COUNTIFS(F:F, "&lt;=" &amp; BS9, G:G, "&gt;" &amp; BS9)+'Nesting Staffing'!BW9+'Pavia Staffing'!BW9</f>
        <v>0</v>
      </c>
      <c r="BX9" s="139">
        <f>COUNTIFS(F:F, "&lt;=" &amp; BT9, G:G, "&gt;" &amp; BT9)+COUNTIFS(H:H, "&lt;=" &amp; BS9, I:I, "&gt;" &amp; BS9)+'Nesting Staffing'!BX9+'Pavia Staffing'!BX9</f>
        <v>0</v>
      </c>
      <c r="BY9" s="139">
        <f>COUNTIFS(H:H, "&lt;=" &amp; BT9, I:I, "&gt;" &amp; BT9)+COUNTIFS(J:J, "&lt;=" &amp; BS9, K:K, "&gt;" &amp; BS9)+'Nesting Staffing'!BY9+'Pavia Staffing'!BY9</f>
        <v>0</v>
      </c>
      <c r="BZ9" s="139">
        <f>COUNTIFS(J:J, "&lt;=" &amp; BT9, K:K, "&gt;" &amp; BT9)+COUNTIFS(L:L, "&lt;=" &amp; BS9, M:M, "&gt;" &amp; BS9)+'Nesting Staffing'!BZ9+'Pavia Staffing'!BZ9</f>
        <v>0</v>
      </c>
      <c r="CA9" s="52">
        <f>COUNTIFS(N:N, "&lt;=" &amp; BS9, O:O, "&gt;" &amp; BS9)+COUNTIFS(L:L, "&lt;=" &amp; BT9, M:M, "&gt;" &amp; BT9)+'Nesting Staffing'!CA9+'Pavia Staffing'!CA9</f>
        <v>0</v>
      </c>
      <c r="CB9" s="53">
        <f>COUNTIFS(T:T, "&lt;=" &amp; BS9, U:U, "&gt;" &amp; BS9)+COUNTIFS(N:N, "&lt;=" &amp; BT9, O:O, "&gt;" &amp; BT9)+'Nesting Staffing'!CB9+'Pavia Staffing'!CB9</f>
        <v>0</v>
      </c>
      <c r="CC9" s="139">
        <f>COUNTIFS(V:V, "&lt;=" &amp; BS9, W:W, "&gt;" &amp; BS9)+COUNTIFS(T:T, "&lt;=" &amp; BT9, U:U, "&gt;" &amp; BT9)+'Nesting Staffing'!CC9+'Pavia Staffing'!CC9</f>
        <v>0</v>
      </c>
      <c r="CD9" s="139">
        <f>COUNTIFS(X:X, "&lt;=" &amp; BS9, Y:Y, "&gt;" &amp; BS9)+COUNTIFS(V:V, "&lt;=" &amp; BT9, W:W, "&gt;" &amp; BT9)+'Nesting Staffing'!CD9+'Pavia Staffing'!CD9</f>
        <v>0</v>
      </c>
      <c r="CE9" s="139">
        <f>COUNTIFS(Z:Z, "&lt;=" &amp; BS9, AA:AA, "&gt;" &amp; BS9)+COUNTIFS(X:X, "&lt;=" &amp; BT9, Y:Y, "&gt;" &amp; BT9)+'Nesting Staffing'!CE9+'Pavia Staffing'!CE9</f>
        <v>0</v>
      </c>
      <c r="CF9" s="139">
        <f>COUNTIFS(AB:AB, "&lt;=" &amp; BS9, AC:AC, "&gt;" &amp; BS9)+COUNTIFS(Z:Z, "&lt;=" &amp; BT9, AA:AA, "&gt;" &amp; BT9)+'Nesting Staffing'!CF9+'Pavia Staffing'!CF9</f>
        <v>0</v>
      </c>
      <c r="CG9" s="139">
        <f>COUNTIFS(AD:AD, "&lt;=" &amp; BS9, AE:AE, "&gt;" &amp; BS9)+COUNTIFS(AB:AB, "&lt;=" &amp; BT9, AC:AC, "&gt;" &amp; BT9)+'Nesting Staffing'!CG9+'Pavia Staffing'!CG9</f>
        <v>0</v>
      </c>
      <c r="CH9" s="52">
        <f>COUNTIFS(AF:AF, "&lt;=" &amp; BS9, AG:AG, "&gt;" &amp; BS9)+COUNTIFS(AD:AD, "&lt;=" &amp; BT9, AE:AE, "&gt;" &amp; BT9)+'Nesting Staffing'!CH9+'Pavia Staffing'!CH9</f>
        <v>0</v>
      </c>
      <c r="CI9" s="53">
        <f>COUNTIFS(AI:AI, "&lt;=" &amp; BS9, AJ:AJ, "&gt;" &amp; BS9)+COUNTIFS(AF:AF, "&lt;=" &amp; BT9, AG:AG, "&gt;" &amp; BT9)+'Nesting Staffing'!CI9+'Pavia Staffing'!CI9</f>
        <v>0</v>
      </c>
      <c r="CJ9" s="139">
        <f>COUNTIFS(AK:AK, "&lt;=" &amp; BS9, AL:AL, "&gt;" &amp; BS9)+COUNTIFS(AI:AI, "&lt;=" &amp; BT9, AJ:AJ, "&gt;" &amp; BT9)+'Nesting Staffing'!CJ9+'Pavia Staffing'!CJ9</f>
        <v>0</v>
      </c>
      <c r="CK9" s="139">
        <f>COUNTIFS(AM:AM, "&lt;=" &amp; BS9, AN:AN, "&gt;" &amp; BS9)+COUNTIFS(AK:AK, "&lt;=" &amp; BT9, AL:AL, "&gt;" &amp; BT9)+'Nesting Staffing'!CK9+'Pavia Staffing'!CK9</f>
        <v>0</v>
      </c>
      <c r="CL9" s="139">
        <f>COUNTIFS(AO:AO, "&lt;=" &amp; BS9, AP:AP, "&gt;" &amp; BS9)+COUNTIFS(AM:AM, "&lt;=" &amp; BT9, AN:AN, "&gt;" &amp; BT9)+'Nesting Staffing'!CL9+'Pavia Staffing'!CL9</f>
        <v>0</v>
      </c>
      <c r="CM9" s="139">
        <f>COUNTIFS(AQ:AQ, "&lt;=" &amp; BS9, AR:AR, "&gt;" &amp; BS9)+COUNTIFS(AO:AO, "&lt;=" &amp; BT9, AP:AP, "&gt;" &amp; BT9)+'Nesting Staffing'!CM9+'Pavia Staffing'!CM9</f>
        <v>0</v>
      </c>
      <c r="CN9" s="139">
        <f>COUNTIFS(AS:AS, "&lt;=" &amp; BS9, AT:AT, "&gt;" &amp; BS9)+COUNTIFS(AQ:AQ, "&lt;=" &amp; BT9, AR:AR, "&gt;" &amp; BT9)+'Nesting Staffing'!CN9+'Pavia Staffing'!CN9</f>
        <v>0</v>
      </c>
      <c r="CO9" s="52">
        <f>COUNTIFS(AU:AU, "&lt;=" &amp; BS9, AV:AV, "&gt;" &amp; BS9)+COUNTIFS(AS:AS, "&lt;=" &amp; BT9, AT:AT, "&gt;" &amp; BT9)+'Nesting Staffing'!CO9+'Pavia Staffing'!CO9</f>
        <v>0</v>
      </c>
    </row>
    <row r="10" spans="1:97" x14ac:dyDescent="0.25">
      <c r="A10" s="20" t="str">
        <f>IFERROR('Agent Sched'!B11,"-")</f>
        <v>Jovito Gadian</v>
      </c>
      <c r="B10" s="12">
        <f>IFERROR(VLOOKUP(A10,'Agent Sched'!$B:$C,2,),"-")</f>
        <v>0.375</v>
      </c>
      <c r="C10" s="13">
        <f t="shared" si="7"/>
        <v>0.75</v>
      </c>
      <c r="D10" s="12">
        <f>IFERROR(VLOOKUP(A10,'Agent Sched'!B:D,3,),"-")</f>
        <v>0.375</v>
      </c>
      <c r="E10" s="13">
        <f t="shared" si="8"/>
        <v>0.75</v>
      </c>
      <c r="F10" s="12">
        <f>IFERROR(VLOOKUP(A10,'Agent Sched'!B:E,4,),"-")</f>
        <v>0.375</v>
      </c>
      <c r="G10" s="13">
        <f t="shared" si="9"/>
        <v>0.75</v>
      </c>
      <c r="H10" s="12" t="str">
        <f>IFERROR(VLOOKUP(A10,'Agent Sched'!B:F,5,),"-")</f>
        <v>OFF</v>
      </c>
      <c r="I10" s="13" t="str">
        <f t="shared" si="10"/>
        <v>OFF</v>
      </c>
      <c r="J10" s="12" t="str">
        <f>IFERROR(VLOOKUP(A10,'Agent Sched'!B:G,6,),"-")</f>
        <v>OFF</v>
      </c>
      <c r="K10" s="13" t="str">
        <f t="shared" si="11"/>
        <v>OFF</v>
      </c>
      <c r="L10" s="12">
        <f>IFERROR(VLOOKUP(A10,'Agent Sched'!B:H,7,),"-")</f>
        <v>0.375</v>
      </c>
      <c r="M10" s="13">
        <f t="shared" si="12"/>
        <v>0.75</v>
      </c>
      <c r="N10" s="21">
        <f>IFERROR(VLOOKUP(A10,'Agent Sched'!B:I,8,),"-")</f>
        <v>0.375</v>
      </c>
      <c r="O10" s="13">
        <f t="shared" si="13"/>
        <v>0.75</v>
      </c>
      <c r="Q10" s="12">
        <f>VLOOKUP(A10,'Agent Sched'!B:Y,24,)</f>
        <v>0.375</v>
      </c>
      <c r="R10" s="13">
        <f t="shared" si="14"/>
        <v>0.75</v>
      </c>
      <c r="T10" s="25" t="str">
        <f>VLOOKUP(A10,'Agent Sched'!$B:$J,9,)</f>
        <v>OFF</v>
      </c>
      <c r="U10" s="13" t="str">
        <f t="shared" si="15"/>
        <v>OFF</v>
      </c>
      <c r="V10" s="12">
        <f>VLOOKUP(A10,'Agent Sched'!B:K,10,)</f>
        <v>0.375</v>
      </c>
      <c r="W10" s="13">
        <f t="shared" si="16"/>
        <v>0.75</v>
      </c>
      <c r="X10" s="12">
        <f>VLOOKUP(A10,'Agent Sched'!B:L,11,)</f>
        <v>0.375</v>
      </c>
      <c r="Y10" s="13">
        <f t="shared" si="17"/>
        <v>0.75</v>
      </c>
      <c r="Z10" s="12">
        <f>VLOOKUP(A10,'Agent Sched'!B:M,12,)</f>
        <v>0.375</v>
      </c>
      <c r="AA10" s="13">
        <f t="shared" si="18"/>
        <v>0.75</v>
      </c>
      <c r="AB10" s="12">
        <f>VLOOKUP(A10,'Agent Sched'!B:N,13,)</f>
        <v>0.375</v>
      </c>
      <c r="AC10" s="13">
        <f t="shared" si="19"/>
        <v>0.75</v>
      </c>
      <c r="AD10" s="12">
        <f>VLOOKUP(A10,'Agent Sched'!B:O,14,)</f>
        <v>0.375</v>
      </c>
      <c r="AE10" s="13">
        <f t="shared" si="20"/>
        <v>0.75</v>
      </c>
      <c r="AF10" s="21" t="str">
        <f>VLOOKUP(A10,'Agent Sched'!B:P,15,)</f>
        <v>OFF</v>
      </c>
      <c r="AG10" s="13" t="str">
        <f t="shared" si="21"/>
        <v>OFF</v>
      </c>
      <c r="AI10" s="25" t="str">
        <f>VLOOKUP(A10,'Agent Sched'!$B:$Q,16,)</f>
        <v>OFF</v>
      </c>
      <c r="AJ10" s="13" t="str">
        <f t="shared" si="22"/>
        <v>OFF</v>
      </c>
      <c r="AK10" s="12">
        <f>VLOOKUP(A10,'Agent Sched'!B:R,17,)</f>
        <v>0.375</v>
      </c>
      <c r="AL10" s="13">
        <f t="shared" si="23"/>
        <v>0.75</v>
      </c>
      <c r="AM10" s="12">
        <f>VLOOKUP(A10,'Agent Sched'!B:S,18,)</f>
        <v>0.375</v>
      </c>
      <c r="AN10" s="13">
        <f t="shared" si="24"/>
        <v>0.75</v>
      </c>
      <c r="AO10" s="12">
        <f>VLOOKUP(A10,'Agent Sched'!B:T,19,)</f>
        <v>0.375</v>
      </c>
      <c r="AP10" s="13">
        <f t="shared" si="25"/>
        <v>0.75</v>
      </c>
      <c r="AQ10" s="12">
        <f>VLOOKUP(A10,'Agent Sched'!B:U,20,)</f>
        <v>0.375</v>
      </c>
      <c r="AR10" s="13">
        <f t="shared" si="26"/>
        <v>0.75</v>
      </c>
      <c r="AS10" s="12">
        <f>VLOOKUP(A10,'Agent Sched'!B:V,21,)</f>
        <v>0.375</v>
      </c>
      <c r="AT10" s="13">
        <f t="shared" si="27"/>
        <v>0.75</v>
      </c>
      <c r="AU10" s="21" t="str">
        <f>VLOOKUP(A10,'Agent Sched'!B:W,22,)</f>
        <v>OFF</v>
      </c>
      <c r="AV10" s="13" t="str">
        <f t="shared" si="28"/>
        <v>OFF</v>
      </c>
      <c r="AX10" s="30">
        <v>0.29166666666666702</v>
      </c>
      <c r="AY10" s="10">
        <v>1.2916666666666701</v>
      </c>
      <c r="AZ10" s="31">
        <f t="shared" si="29"/>
        <v>0</v>
      </c>
      <c r="BA10" s="31">
        <f t="shared" si="30"/>
        <v>0</v>
      </c>
      <c r="BB10" s="31">
        <f t="shared" si="31"/>
        <v>0</v>
      </c>
      <c r="BC10" s="31">
        <f t="shared" si="32"/>
        <v>0</v>
      </c>
      <c r="BD10" s="31">
        <f t="shared" si="33"/>
        <v>0</v>
      </c>
      <c r="BE10" s="31">
        <f t="shared" si="34"/>
        <v>0</v>
      </c>
      <c r="BF10" s="32">
        <f t="shared" si="35"/>
        <v>0</v>
      </c>
      <c r="BH10" s="30">
        <v>0.29166666666666702</v>
      </c>
      <c r="BI10" s="10">
        <v>1.2916666666666601</v>
      </c>
      <c r="BJ10" s="31">
        <f t="shared" si="0"/>
        <v>0</v>
      </c>
      <c r="BK10" s="31">
        <f t="shared" si="1"/>
        <v>0</v>
      </c>
      <c r="BL10" s="31">
        <f t="shared" si="2"/>
        <v>0</v>
      </c>
      <c r="BM10" s="31">
        <f t="shared" si="3"/>
        <v>0</v>
      </c>
      <c r="BN10" s="31">
        <f t="shared" si="4"/>
        <v>0</v>
      </c>
      <c r="BO10" s="31">
        <f t="shared" si="5"/>
        <v>0</v>
      </c>
      <c r="BP10" s="32">
        <f t="shared" si="6"/>
        <v>0</v>
      </c>
      <c r="BS10" s="38">
        <v>0.29166666666666702</v>
      </c>
      <c r="BT10" s="39">
        <v>1.2916666666666701</v>
      </c>
      <c r="BU10" s="53">
        <f>COUNTIFS(Q:Q, "&lt;=" &amp; BT10, R:R, "&gt;" &amp; BT10)+COUNTIFS(B:B, "&lt;=" &amp; BS10, C:C, "&gt;" &amp; BS10)+'Nesting Staffing'!BU10+'Pavia Staffing'!BU10</f>
        <v>0</v>
      </c>
      <c r="BV10" s="139">
        <f>COUNTIFS(B:B, "&lt;=" &amp; BT10, C:C, "&gt;" &amp; BT10)+COUNTIFS(D:D, "&lt;=" &amp; BS10, E:E, "&gt;" &amp; BS10)+'Nesting Staffing'!BV10+'Pavia Staffing'!BV10</f>
        <v>0</v>
      </c>
      <c r="BW10" s="139">
        <f>COUNTIFS(D:D, "&lt;=" &amp; BT10, E:E, "&gt;" &amp; BT10)+COUNTIFS(F:F, "&lt;=" &amp; BS10, G:G, "&gt;" &amp; BS10)+'Nesting Staffing'!BW10+'Pavia Staffing'!BW10</f>
        <v>0</v>
      </c>
      <c r="BX10" s="139">
        <f>COUNTIFS(F:F, "&lt;=" &amp; BT10, G:G, "&gt;" &amp; BT10)+COUNTIFS(H:H, "&lt;=" &amp; BS10, I:I, "&gt;" &amp; BS10)+'Nesting Staffing'!BX10+'Pavia Staffing'!BX10</f>
        <v>0</v>
      </c>
      <c r="BY10" s="139">
        <f>COUNTIFS(H:H, "&lt;=" &amp; BT10, I:I, "&gt;" &amp; BT10)+COUNTIFS(J:J, "&lt;=" &amp; BS10, K:K, "&gt;" &amp; BS10)+'Nesting Staffing'!BY10+'Pavia Staffing'!BY10</f>
        <v>0</v>
      </c>
      <c r="BZ10" s="139">
        <f>COUNTIFS(J:J, "&lt;=" &amp; BT10, K:K, "&gt;" &amp; BT10)+COUNTIFS(L:L, "&lt;=" &amp; BS10, M:M, "&gt;" &amp; BS10)+'Nesting Staffing'!BZ10+'Pavia Staffing'!BZ10</f>
        <v>0</v>
      </c>
      <c r="CA10" s="52">
        <f>COUNTIFS(N:N, "&lt;=" &amp; BS10, O:O, "&gt;" &amp; BS10)+COUNTIFS(L:L, "&lt;=" &amp; BT10, M:M, "&gt;" &amp; BT10)+'Nesting Staffing'!CA10+'Pavia Staffing'!CA10</f>
        <v>0</v>
      </c>
      <c r="CB10" s="53">
        <f>COUNTIFS(T:T, "&lt;=" &amp; BS10, U:U, "&gt;" &amp; BS10)+COUNTIFS(N:N, "&lt;=" &amp; BT10, O:O, "&gt;" &amp; BT10)+'Nesting Staffing'!CB10+'Pavia Staffing'!CB10</f>
        <v>0</v>
      </c>
      <c r="CC10" s="139">
        <f>COUNTIFS(V:V, "&lt;=" &amp; BS10, W:W, "&gt;" &amp; BS10)+COUNTIFS(T:T, "&lt;=" &amp; BT10, U:U, "&gt;" &amp; BT10)+'Nesting Staffing'!CC10+'Pavia Staffing'!CC10</f>
        <v>0</v>
      </c>
      <c r="CD10" s="139">
        <f>COUNTIFS(X:X, "&lt;=" &amp; BS10, Y:Y, "&gt;" &amp; BS10)+COUNTIFS(V:V, "&lt;=" &amp; BT10, W:W, "&gt;" &amp; BT10)+'Nesting Staffing'!CD10+'Pavia Staffing'!CD10</f>
        <v>0</v>
      </c>
      <c r="CE10" s="139">
        <f>COUNTIFS(Z:Z, "&lt;=" &amp; BS10, AA:AA, "&gt;" &amp; BS10)+COUNTIFS(X:X, "&lt;=" &amp; BT10, Y:Y, "&gt;" &amp; BT10)+'Nesting Staffing'!CE10+'Pavia Staffing'!CE10</f>
        <v>0</v>
      </c>
      <c r="CF10" s="139">
        <f>COUNTIFS(AB:AB, "&lt;=" &amp; BS10, AC:AC, "&gt;" &amp; BS10)+COUNTIFS(Z:Z, "&lt;=" &amp; BT10, AA:AA, "&gt;" &amp; BT10)+'Nesting Staffing'!CF10+'Pavia Staffing'!CF10</f>
        <v>0</v>
      </c>
      <c r="CG10" s="139">
        <f>COUNTIFS(AD:AD, "&lt;=" &amp; BS10, AE:AE, "&gt;" &amp; BS10)+COUNTIFS(AB:AB, "&lt;=" &amp; BT10, AC:AC, "&gt;" &amp; BT10)+'Nesting Staffing'!CG10+'Pavia Staffing'!CG10</f>
        <v>0</v>
      </c>
      <c r="CH10" s="52">
        <f>COUNTIFS(AF:AF, "&lt;=" &amp; BS10, AG:AG, "&gt;" &amp; BS10)+COUNTIFS(AD:AD, "&lt;=" &amp; BT10, AE:AE, "&gt;" &amp; BT10)+'Nesting Staffing'!CH10+'Pavia Staffing'!CH10</f>
        <v>0</v>
      </c>
      <c r="CI10" s="53">
        <f>COUNTIFS(AI:AI, "&lt;=" &amp; BS10, AJ:AJ, "&gt;" &amp; BS10)+COUNTIFS(AF:AF, "&lt;=" &amp; BT10, AG:AG, "&gt;" &amp; BT10)+'Nesting Staffing'!CI10+'Pavia Staffing'!CI10</f>
        <v>0</v>
      </c>
      <c r="CJ10" s="139">
        <f>COUNTIFS(AK:AK, "&lt;=" &amp; BS10, AL:AL, "&gt;" &amp; BS10)+COUNTIFS(AI:AI, "&lt;=" &amp; BT10, AJ:AJ, "&gt;" &amp; BT10)+'Nesting Staffing'!CJ10+'Pavia Staffing'!CJ10</f>
        <v>0</v>
      </c>
      <c r="CK10" s="139">
        <f>COUNTIFS(AM:AM, "&lt;=" &amp; BS10, AN:AN, "&gt;" &amp; BS10)+COUNTIFS(AK:AK, "&lt;=" &amp; BT10, AL:AL, "&gt;" &amp; BT10)+'Nesting Staffing'!CK10+'Pavia Staffing'!CK10</f>
        <v>0</v>
      </c>
      <c r="CL10" s="139">
        <f>COUNTIFS(AO:AO, "&lt;=" &amp; BS10, AP:AP, "&gt;" &amp; BS10)+COUNTIFS(AM:AM, "&lt;=" &amp; BT10, AN:AN, "&gt;" &amp; BT10)+'Nesting Staffing'!CL10+'Pavia Staffing'!CL10</f>
        <v>0</v>
      </c>
      <c r="CM10" s="139">
        <f>COUNTIFS(AQ:AQ, "&lt;=" &amp; BS10, AR:AR, "&gt;" &amp; BS10)+COUNTIFS(AO:AO, "&lt;=" &amp; BT10, AP:AP, "&gt;" &amp; BT10)+'Nesting Staffing'!CM10+'Pavia Staffing'!CM10</f>
        <v>0</v>
      </c>
      <c r="CN10" s="139">
        <f>COUNTIFS(AS:AS, "&lt;=" &amp; BS10, AT:AT, "&gt;" &amp; BS10)+COUNTIFS(AQ:AQ, "&lt;=" &amp; BT10, AR:AR, "&gt;" &amp; BT10)+'Nesting Staffing'!CN10+'Pavia Staffing'!CN10</f>
        <v>0</v>
      </c>
      <c r="CO10" s="52">
        <f>COUNTIFS(AU:AU, "&lt;=" &amp; BS10, AV:AV, "&gt;" &amp; BS10)+COUNTIFS(AS:AS, "&lt;=" &amp; BT10, AT:AT, "&gt;" &amp; BT10)+'Nesting Staffing'!CO10+'Pavia Staffing'!CO10</f>
        <v>0</v>
      </c>
    </row>
    <row r="11" spans="1:97" x14ac:dyDescent="0.25">
      <c r="A11" s="20" t="str">
        <f>IFERROR('Agent Sched'!B12,"-")</f>
        <v>Trisha Ann Japitana</v>
      </c>
      <c r="B11" s="12">
        <f>IFERROR(VLOOKUP(A11,'Agent Sched'!$B:$C,2,),"-")</f>
        <v>0.375</v>
      </c>
      <c r="C11" s="13">
        <f t="shared" si="7"/>
        <v>0.75</v>
      </c>
      <c r="D11" s="12">
        <f>IFERROR(VLOOKUP(A11,'Agent Sched'!B:D,3,),"-")</f>
        <v>0.375</v>
      </c>
      <c r="E11" s="13">
        <f t="shared" si="8"/>
        <v>0.75</v>
      </c>
      <c r="F11" s="12">
        <f>IFERROR(VLOOKUP(A11,'Agent Sched'!B:E,4,),"-")</f>
        <v>0.375</v>
      </c>
      <c r="G11" s="13">
        <f t="shared" si="9"/>
        <v>0.75</v>
      </c>
      <c r="H11" s="12" t="str">
        <f>IFERROR(VLOOKUP(A11,'Agent Sched'!B:F,5,),"-")</f>
        <v>OFF</v>
      </c>
      <c r="I11" s="13" t="str">
        <f t="shared" si="10"/>
        <v>OFF</v>
      </c>
      <c r="J11" s="12" t="str">
        <f>IFERROR(VLOOKUP(A11,'Agent Sched'!B:G,6,),"-")</f>
        <v>OFF</v>
      </c>
      <c r="K11" s="13" t="str">
        <f t="shared" si="11"/>
        <v>OFF</v>
      </c>
      <c r="L11" s="12">
        <f>IFERROR(VLOOKUP(A11,'Agent Sched'!B:H,7,),"-")</f>
        <v>0.375</v>
      </c>
      <c r="M11" s="13">
        <f t="shared" si="12"/>
        <v>0.75</v>
      </c>
      <c r="N11" s="21">
        <f>IFERROR(VLOOKUP(A11,'Agent Sched'!B:I,8,),"-")</f>
        <v>0.375</v>
      </c>
      <c r="O11" s="13">
        <f t="shared" si="13"/>
        <v>0.75</v>
      </c>
      <c r="Q11" s="12">
        <f>VLOOKUP(A11,'Agent Sched'!B:Y,24,)</f>
        <v>0.375</v>
      </c>
      <c r="R11" s="13">
        <f t="shared" si="14"/>
        <v>0.75</v>
      </c>
      <c r="T11" s="25" t="str">
        <f>VLOOKUP(A11,'Agent Sched'!$B:$J,9,)</f>
        <v>OFF</v>
      </c>
      <c r="U11" s="13" t="str">
        <f t="shared" si="15"/>
        <v>OFF</v>
      </c>
      <c r="V11" s="12">
        <f>VLOOKUP(A11,'Agent Sched'!B:K,10,)</f>
        <v>0.375</v>
      </c>
      <c r="W11" s="13">
        <f t="shared" si="16"/>
        <v>0.75</v>
      </c>
      <c r="X11" s="12">
        <f>VLOOKUP(A11,'Agent Sched'!B:L,11,)</f>
        <v>0.375</v>
      </c>
      <c r="Y11" s="13">
        <f t="shared" si="17"/>
        <v>0.75</v>
      </c>
      <c r="Z11" s="12">
        <f>VLOOKUP(A11,'Agent Sched'!B:M,12,)</f>
        <v>0.375</v>
      </c>
      <c r="AA11" s="13">
        <f t="shared" si="18"/>
        <v>0.75</v>
      </c>
      <c r="AB11" s="12">
        <f>VLOOKUP(A11,'Agent Sched'!B:N,13,)</f>
        <v>0.375</v>
      </c>
      <c r="AC11" s="13">
        <f t="shared" si="19"/>
        <v>0.75</v>
      </c>
      <c r="AD11" s="12">
        <f>VLOOKUP(A11,'Agent Sched'!B:O,14,)</f>
        <v>0.375</v>
      </c>
      <c r="AE11" s="13">
        <f t="shared" si="20"/>
        <v>0.75</v>
      </c>
      <c r="AF11" s="21" t="str">
        <f>VLOOKUP(A11,'Agent Sched'!B:P,15,)</f>
        <v>OFF</v>
      </c>
      <c r="AG11" s="13" t="str">
        <f t="shared" si="21"/>
        <v>OFF</v>
      </c>
      <c r="AI11" s="25" t="str">
        <f>VLOOKUP(A11,'Agent Sched'!$B:$Q,16,)</f>
        <v>OFF</v>
      </c>
      <c r="AJ11" s="13" t="str">
        <f t="shared" si="22"/>
        <v>OFF</v>
      </c>
      <c r="AK11" s="12">
        <f>VLOOKUP(A11,'Agent Sched'!B:R,17,)</f>
        <v>0.375</v>
      </c>
      <c r="AL11" s="13">
        <f t="shared" si="23"/>
        <v>0.75</v>
      </c>
      <c r="AM11" s="12">
        <f>VLOOKUP(A11,'Agent Sched'!B:S,18,)</f>
        <v>0.375</v>
      </c>
      <c r="AN11" s="13">
        <f t="shared" si="24"/>
        <v>0.75</v>
      </c>
      <c r="AO11" s="12">
        <f>VLOOKUP(A11,'Agent Sched'!B:T,19,)</f>
        <v>0.375</v>
      </c>
      <c r="AP11" s="13">
        <f t="shared" si="25"/>
        <v>0.75</v>
      </c>
      <c r="AQ11" s="12">
        <f>VLOOKUP(A11,'Agent Sched'!B:U,20,)</f>
        <v>0.375</v>
      </c>
      <c r="AR11" s="13">
        <f t="shared" si="26"/>
        <v>0.75</v>
      </c>
      <c r="AS11" s="12">
        <f>VLOOKUP(A11,'Agent Sched'!B:V,21,)</f>
        <v>0.375</v>
      </c>
      <c r="AT11" s="13">
        <f t="shared" si="27"/>
        <v>0.75</v>
      </c>
      <c r="AU11" s="21" t="str">
        <f>VLOOKUP(A11,'Agent Sched'!B:W,22,)</f>
        <v>OFF</v>
      </c>
      <c r="AV11" s="13" t="str">
        <f t="shared" si="28"/>
        <v>OFF</v>
      </c>
      <c r="AX11" s="30">
        <v>0.33333333333333298</v>
      </c>
      <c r="AY11" s="10">
        <v>1.3333333333333399</v>
      </c>
      <c r="AZ11" s="31">
        <f t="shared" si="29"/>
        <v>0</v>
      </c>
      <c r="BA11" s="31">
        <f t="shared" si="30"/>
        <v>0</v>
      </c>
      <c r="BB11" s="31">
        <f t="shared" si="31"/>
        <v>0</v>
      </c>
      <c r="BC11" s="31">
        <f t="shared" si="32"/>
        <v>0</v>
      </c>
      <c r="BD11" s="31">
        <f t="shared" si="33"/>
        <v>0</v>
      </c>
      <c r="BE11" s="31">
        <f t="shared" si="34"/>
        <v>0</v>
      </c>
      <c r="BF11" s="32">
        <f t="shared" si="35"/>
        <v>0</v>
      </c>
      <c r="BH11" s="30">
        <v>0.33333333333333298</v>
      </c>
      <c r="BI11" s="10">
        <v>1.3333333333333299</v>
      </c>
      <c r="BJ11" s="31">
        <f t="shared" si="0"/>
        <v>0</v>
      </c>
      <c r="BK11" s="31">
        <f t="shared" si="1"/>
        <v>0</v>
      </c>
      <c r="BL11" s="31">
        <f t="shared" si="2"/>
        <v>0</v>
      </c>
      <c r="BM11" s="31">
        <f t="shared" si="3"/>
        <v>0</v>
      </c>
      <c r="BN11" s="31">
        <f t="shared" si="4"/>
        <v>0</v>
      </c>
      <c r="BO11" s="31">
        <f t="shared" si="5"/>
        <v>0</v>
      </c>
      <c r="BP11" s="32">
        <f t="shared" si="6"/>
        <v>0</v>
      </c>
      <c r="BS11" s="38">
        <v>0.33333333333333298</v>
      </c>
      <c r="BT11" s="39">
        <v>1.3333333333333399</v>
      </c>
      <c r="BU11" s="53">
        <f>COUNTIFS(Q:Q, "&lt;=" &amp; BT11, R:R, "&gt;" &amp; BT11)+COUNTIFS(B:B, "&lt;=" &amp; BS11, C:C, "&gt;" &amp; BS11)+'Nesting Staffing'!BU11+'Pavia Staffing'!BU11</f>
        <v>0</v>
      </c>
      <c r="BV11" s="139">
        <f>COUNTIFS(B:B, "&lt;=" &amp; BT11, C:C, "&gt;" &amp; BT11)+COUNTIFS(D:D, "&lt;=" &amp; BS11, E:E, "&gt;" &amp; BS11)+'Nesting Staffing'!BV11+'Pavia Staffing'!BV11</f>
        <v>0</v>
      </c>
      <c r="BW11" s="139">
        <f>COUNTIFS(D:D, "&lt;=" &amp; BT11, E:E, "&gt;" &amp; BT11)+COUNTIFS(F:F, "&lt;=" &amp; BS11, G:G, "&gt;" &amp; BS11)+'Nesting Staffing'!BW11+'Pavia Staffing'!BW11</f>
        <v>0</v>
      </c>
      <c r="BX11" s="139">
        <f>COUNTIFS(F:F, "&lt;=" &amp; BT11, G:G, "&gt;" &amp; BT11)+COUNTIFS(H:H, "&lt;=" &amp; BS11, I:I, "&gt;" &amp; BS11)+'Nesting Staffing'!BX11+'Pavia Staffing'!BX11</f>
        <v>0</v>
      </c>
      <c r="BY11" s="139">
        <f>COUNTIFS(H:H, "&lt;=" &amp; BT11, I:I, "&gt;" &amp; BT11)+COUNTIFS(J:J, "&lt;=" &amp; BS11, K:K, "&gt;" &amp; BS11)+'Nesting Staffing'!BY11+'Pavia Staffing'!BY11</f>
        <v>0</v>
      </c>
      <c r="BZ11" s="139">
        <f>COUNTIFS(J:J, "&lt;=" &amp; BT11, K:K, "&gt;" &amp; BT11)+COUNTIFS(L:L, "&lt;=" &amp; BS11, M:M, "&gt;" &amp; BS11)+'Nesting Staffing'!BZ11+'Pavia Staffing'!BZ11</f>
        <v>0</v>
      </c>
      <c r="CA11" s="52">
        <f>COUNTIFS(N:N, "&lt;=" &amp; BS11, O:O, "&gt;" &amp; BS11)+COUNTIFS(L:L, "&lt;=" &amp; BT11, M:M, "&gt;" &amp; BT11)+'Nesting Staffing'!CA11+'Pavia Staffing'!CA11</f>
        <v>0</v>
      </c>
      <c r="CB11" s="53">
        <f>COUNTIFS(T:T, "&lt;=" &amp; BS11, U:U, "&gt;" &amp; BS11)+COUNTIFS(N:N, "&lt;=" &amp; BT11, O:O, "&gt;" &amp; BT11)+'Nesting Staffing'!CB11+'Pavia Staffing'!CB11</f>
        <v>0</v>
      </c>
      <c r="CC11" s="139">
        <f>COUNTIFS(V:V, "&lt;=" &amp; BS11, W:W, "&gt;" &amp; BS11)+COUNTIFS(T:T, "&lt;=" &amp; BT11, U:U, "&gt;" &amp; BT11)+'Nesting Staffing'!CC11+'Pavia Staffing'!CC11</f>
        <v>0</v>
      </c>
      <c r="CD11" s="139">
        <f>COUNTIFS(X:X, "&lt;=" &amp; BS11, Y:Y, "&gt;" &amp; BS11)+COUNTIFS(V:V, "&lt;=" &amp; BT11, W:W, "&gt;" &amp; BT11)+'Nesting Staffing'!CD11+'Pavia Staffing'!CD11</f>
        <v>0</v>
      </c>
      <c r="CE11" s="139">
        <f>COUNTIFS(Z:Z, "&lt;=" &amp; BS11, AA:AA, "&gt;" &amp; BS11)+COUNTIFS(X:X, "&lt;=" &amp; BT11, Y:Y, "&gt;" &amp; BT11)+'Nesting Staffing'!CE11+'Pavia Staffing'!CE11</f>
        <v>0</v>
      </c>
      <c r="CF11" s="139">
        <f>COUNTIFS(AB:AB, "&lt;=" &amp; BS11, AC:AC, "&gt;" &amp; BS11)+COUNTIFS(Z:Z, "&lt;=" &amp; BT11, AA:AA, "&gt;" &amp; BT11)+'Nesting Staffing'!CF11+'Pavia Staffing'!CF11</f>
        <v>0</v>
      </c>
      <c r="CG11" s="139">
        <f>COUNTIFS(AD:AD, "&lt;=" &amp; BS11, AE:AE, "&gt;" &amp; BS11)+COUNTIFS(AB:AB, "&lt;=" &amp; BT11, AC:AC, "&gt;" &amp; BT11)+'Nesting Staffing'!CG11+'Pavia Staffing'!CG11</f>
        <v>0</v>
      </c>
      <c r="CH11" s="52">
        <f>COUNTIFS(AF:AF, "&lt;=" &amp; BS11, AG:AG, "&gt;" &amp; BS11)+COUNTIFS(AD:AD, "&lt;=" &amp; BT11, AE:AE, "&gt;" &amp; BT11)+'Nesting Staffing'!CH11+'Pavia Staffing'!CH11</f>
        <v>0</v>
      </c>
      <c r="CI11" s="53">
        <f>COUNTIFS(AI:AI, "&lt;=" &amp; BS11, AJ:AJ, "&gt;" &amp; BS11)+COUNTIFS(AF:AF, "&lt;=" &amp; BT11, AG:AG, "&gt;" &amp; BT11)+'Nesting Staffing'!CI11+'Pavia Staffing'!CI11</f>
        <v>0</v>
      </c>
      <c r="CJ11" s="139">
        <f>COUNTIFS(AK:AK, "&lt;=" &amp; BS11, AL:AL, "&gt;" &amp; BS11)+COUNTIFS(AI:AI, "&lt;=" &amp; BT11, AJ:AJ, "&gt;" &amp; BT11)+'Nesting Staffing'!CJ11+'Pavia Staffing'!CJ11</f>
        <v>0</v>
      </c>
      <c r="CK11" s="139">
        <f>COUNTIFS(AM:AM, "&lt;=" &amp; BS11, AN:AN, "&gt;" &amp; BS11)+COUNTIFS(AK:AK, "&lt;=" &amp; BT11, AL:AL, "&gt;" &amp; BT11)+'Nesting Staffing'!CK11+'Pavia Staffing'!CK11</f>
        <v>0</v>
      </c>
      <c r="CL11" s="139">
        <f>COUNTIFS(AO:AO, "&lt;=" &amp; BS11, AP:AP, "&gt;" &amp; BS11)+COUNTIFS(AM:AM, "&lt;=" &amp; BT11, AN:AN, "&gt;" &amp; BT11)+'Nesting Staffing'!CL11+'Pavia Staffing'!CL11</f>
        <v>0</v>
      </c>
      <c r="CM11" s="139">
        <f>COUNTIFS(AQ:AQ, "&lt;=" &amp; BS11, AR:AR, "&gt;" &amp; BS11)+COUNTIFS(AO:AO, "&lt;=" &amp; BT11, AP:AP, "&gt;" &amp; BT11)+'Nesting Staffing'!CM11+'Pavia Staffing'!CM11</f>
        <v>0</v>
      </c>
      <c r="CN11" s="139">
        <f>COUNTIFS(AS:AS, "&lt;=" &amp; BS11, AT:AT, "&gt;" &amp; BS11)+COUNTIFS(AQ:AQ, "&lt;=" &amp; BT11, AR:AR, "&gt;" &amp; BT11)+'Nesting Staffing'!CN11+'Pavia Staffing'!CN11</f>
        <v>0</v>
      </c>
      <c r="CO11" s="52">
        <f>COUNTIFS(AU:AU, "&lt;=" &amp; BS11, AV:AV, "&gt;" &amp; BS11)+COUNTIFS(AS:AS, "&lt;=" &amp; BT11, AT:AT, "&gt;" &amp; BT11)+'Nesting Staffing'!CO11+'Pavia Staffing'!CO11</f>
        <v>0</v>
      </c>
    </row>
    <row r="12" spans="1:97" x14ac:dyDescent="0.25">
      <c r="A12" s="20" t="str">
        <f>IFERROR('Agent Sched'!B13,"-")</f>
        <v>Reslyn Candao</v>
      </c>
      <c r="B12" s="12">
        <f>IFERROR(VLOOKUP(A12,'Agent Sched'!$B:$C,2,),"-")</f>
        <v>0.375</v>
      </c>
      <c r="C12" s="13">
        <f t="shared" si="7"/>
        <v>0.75</v>
      </c>
      <c r="D12" s="12">
        <f>IFERROR(VLOOKUP(A12,'Agent Sched'!B:D,3,),"-")</f>
        <v>0.375</v>
      </c>
      <c r="E12" s="13">
        <f t="shared" si="8"/>
        <v>0.75</v>
      </c>
      <c r="F12" s="12">
        <f>IFERROR(VLOOKUP(A12,'Agent Sched'!B:E,4,),"-")</f>
        <v>0.375</v>
      </c>
      <c r="G12" s="13">
        <f t="shared" si="9"/>
        <v>0.75</v>
      </c>
      <c r="H12" s="12" t="str">
        <f>IFERROR(VLOOKUP(A12,'Agent Sched'!B:F,5,),"-")</f>
        <v>OFF</v>
      </c>
      <c r="I12" s="13" t="str">
        <f t="shared" si="10"/>
        <v>OFF</v>
      </c>
      <c r="J12" s="12" t="str">
        <f>IFERROR(VLOOKUP(A12,'Agent Sched'!B:G,6,),"-")</f>
        <v>OFF</v>
      </c>
      <c r="K12" s="13" t="str">
        <f t="shared" si="11"/>
        <v>OFF</v>
      </c>
      <c r="L12" s="12">
        <f>IFERROR(VLOOKUP(A12,'Agent Sched'!B:H,7,),"-")</f>
        <v>0.375</v>
      </c>
      <c r="M12" s="13">
        <f t="shared" si="12"/>
        <v>0.75</v>
      </c>
      <c r="N12" s="21">
        <f>IFERROR(VLOOKUP(A12,'Agent Sched'!B:I,8,),"-")</f>
        <v>0.375</v>
      </c>
      <c r="O12" s="13">
        <f t="shared" si="13"/>
        <v>0.75</v>
      </c>
      <c r="Q12" s="12">
        <f>VLOOKUP(A12,'Agent Sched'!B:Y,24,)</f>
        <v>0.375</v>
      </c>
      <c r="R12" s="13">
        <f t="shared" si="14"/>
        <v>0.75</v>
      </c>
      <c r="T12" s="25" t="str">
        <f>VLOOKUP(A12,'Agent Sched'!$B:$J,9,)</f>
        <v>OFF</v>
      </c>
      <c r="U12" s="13" t="str">
        <f t="shared" si="15"/>
        <v>OFF</v>
      </c>
      <c r="V12" s="12">
        <f>VLOOKUP(A12,'Agent Sched'!B:K,10,)</f>
        <v>0.375</v>
      </c>
      <c r="W12" s="13">
        <f t="shared" si="16"/>
        <v>0.75</v>
      </c>
      <c r="X12" s="12">
        <f>VLOOKUP(A12,'Agent Sched'!B:L,11,)</f>
        <v>0.375</v>
      </c>
      <c r="Y12" s="13">
        <f t="shared" si="17"/>
        <v>0.75</v>
      </c>
      <c r="Z12" s="12">
        <f>VLOOKUP(A12,'Agent Sched'!B:M,12,)</f>
        <v>0.375</v>
      </c>
      <c r="AA12" s="13">
        <f t="shared" si="18"/>
        <v>0.75</v>
      </c>
      <c r="AB12" s="12">
        <f>VLOOKUP(A12,'Agent Sched'!B:N,13,)</f>
        <v>0.375</v>
      </c>
      <c r="AC12" s="13">
        <f t="shared" si="19"/>
        <v>0.75</v>
      </c>
      <c r="AD12" s="12">
        <f>VLOOKUP(A12,'Agent Sched'!B:O,14,)</f>
        <v>0.375</v>
      </c>
      <c r="AE12" s="13">
        <f t="shared" si="20"/>
        <v>0.75</v>
      </c>
      <c r="AF12" s="21" t="str">
        <f>VLOOKUP(A12,'Agent Sched'!B:P,15,)</f>
        <v>OFF</v>
      </c>
      <c r="AG12" s="13" t="str">
        <f t="shared" si="21"/>
        <v>OFF</v>
      </c>
      <c r="AI12" s="25" t="str">
        <f>VLOOKUP(A12,'Agent Sched'!$B:$Q,16,)</f>
        <v>OFF</v>
      </c>
      <c r="AJ12" s="13" t="str">
        <f t="shared" si="22"/>
        <v>OFF</v>
      </c>
      <c r="AK12" s="12">
        <f>VLOOKUP(A12,'Agent Sched'!B:R,17,)</f>
        <v>0.375</v>
      </c>
      <c r="AL12" s="13">
        <f t="shared" si="23"/>
        <v>0.75</v>
      </c>
      <c r="AM12" s="12">
        <f>VLOOKUP(A12,'Agent Sched'!B:S,18,)</f>
        <v>0.375</v>
      </c>
      <c r="AN12" s="13">
        <f t="shared" si="24"/>
        <v>0.75</v>
      </c>
      <c r="AO12" s="12">
        <f>VLOOKUP(A12,'Agent Sched'!B:T,19,)</f>
        <v>0.375</v>
      </c>
      <c r="AP12" s="13">
        <f t="shared" si="25"/>
        <v>0.75</v>
      </c>
      <c r="AQ12" s="12">
        <f>VLOOKUP(A12,'Agent Sched'!B:U,20,)</f>
        <v>0.375</v>
      </c>
      <c r="AR12" s="13">
        <f t="shared" si="26"/>
        <v>0.75</v>
      </c>
      <c r="AS12" s="12">
        <f>VLOOKUP(A12,'Agent Sched'!B:V,21,)</f>
        <v>0.375</v>
      </c>
      <c r="AT12" s="13">
        <f t="shared" si="27"/>
        <v>0.75</v>
      </c>
      <c r="AU12" s="21" t="str">
        <f>VLOOKUP(A12,'Agent Sched'!B:W,22,)</f>
        <v>OFF</v>
      </c>
      <c r="AV12" s="13" t="str">
        <f t="shared" si="28"/>
        <v>OFF</v>
      </c>
      <c r="AX12" s="30">
        <v>0.375</v>
      </c>
      <c r="AY12" s="10">
        <v>1.375</v>
      </c>
      <c r="AZ12" s="31">
        <f>(COUNTIFS($B$13:$B$22, "&lt;=" &amp; AX12, $C$13:$C$22, "&gt;" &amp; AX12))+COUNTIFS($Q$13:$Q$22, "&lt;=" &amp; AY12, $R$13:$R$22, "&gt;" &amp; AY12)</f>
        <v>10</v>
      </c>
      <c r="BA12" s="31">
        <f t="shared" si="30"/>
        <v>10</v>
      </c>
      <c r="BB12" s="31">
        <f t="shared" si="31"/>
        <v>10</v>
      </c>
      <c r="BC12" s="31">
        <f t="shared" si="32"/>
        <v>2</v>
      </c>
      <c r="BD12" s="31">
        <f t="shared" si="33"/>
        <v>2</v>
      </c>
      <c r="BE12" s="31">
        <f t="shared" si="34"/>
        <v>8</v>
      </c>
      <c r="BF12" s="32">
        <f t="shared" si="35"/>
        <v>8</v>
      </c>
      <c r="BH12" s="30">
        <v>0.375</v>
      </c>
      <c r="BI12" s="10">
        <v>1.375</v>
      </c>
      <c r="BJ12" s="31">
        <f t="shared" si="0"/>
        <v>13</v>
      </c>
      <c r="BK12" s="31">
        <f t="shared" si="1"/>
        <v>13</v>
      </c>
      <c r="BL12" s="31">
        <f t="shared" si="2"/>
        <v>13</v>
      </c>
      <c r="BM12" s="31">
        <f t="shared" si="3"/>
        <v>13</v>
      </c>
      <c r="BN12" s="31">
        <f t="shared" si="4"/>
        <v>13</v>
      </c>
      <c r="BO12" s="31">
        <f t="shared" si="5"/>
        <v>0</v>
      </c>
      <c r="BP12" s="32">
        <f t="shared" si="6"/>
        <v>0</v>
      </c>
      <c r="BS12" s="38">
        <v>0.375</v>
      </c>
      <c r="BT12" s="39">
        <v>1.37500000000001</v>
      </c>
      <c r="BU12" s="53">
        <f>COUNTIFS(Q:Q, "&lt;=" &amp; BT12, R:R, "&gt;" &amp; BT12)+COUNTIFS(B:B, "&lt;=" &amp; BS12, C:C, "&gt;" &amp; BS12)+'Nesting Staffing'!BU12+'Pavia Staffing'!BU12</f>
        <v>60</v>
      </c>
      <c r="BV12" s="139">
        <f>COUNTIFS(B:B, "&lt;=" &amp; BT12, C:C, "&gt;" &amp; BT12)+COUNTIFS(D:D, "&lt;=" &amp; BS12, E:E, "&gt;" &amp; BS12)+'Nesting Staffing'!BV12+'Pavia Staffing'!BV12</f>
        <v>39</v>
      </c>
      <c r="BW12" s="139">
        <f>COUNTIFS(D:D, "&lt;=" &amp; BT12, E:E, "&gt;" &amp; BT12)+COUNTIFS(F:F, "&lt;=" &amp; BS12, G:G, "&gt;" &amp; BS12)+'Nesting Staffing'!BW12+'Pavia Staffing'!BW12</f>
        <v>39</v>
      </c>
      <c r="BX12" s="139">
        <f>COUNTIFS(F:F, "&lt;=" &amp; BT12, G:G, "&gt;" &amp; BT12)+COUNTIFS(H:H, "&lt;=" &amp; BS12, I:I, "&gt;" &amp; BS12)+'Nesting Staffing'!BX12+'Pavia Staffing'!BX12</f>
        <v>42</v>
      </c>
      <c r="BY12" s="139">
        <f>COUNTIFS(H:H, "&lt;=" &amp; BT12, I:I, "&gt;" &amp; BT12)+COUNTIFS(J:J, "&lt;=" &amp; BS12, K:K, "&gt;" &amp; BS12)+'Nesting Staffing'!BY12+'Pavia Staffing'!BY12</f>
        <v>42</v>
      </c>
      <c r="BZ12" s="139">
        <f>COUNTIFS(J:J, "&lt;=" &amp; BT12, K:K, "&gt;" &amp; BT12)+COUNTIFS(L:L, "&lt;=" &amp; BS12, M:M, "&gt;" &amp; BS12)+'Nesting Staffing'!BZ12+'Pavia Staffing'!BZ12</f>
        <v>39</v>
      </c>
      <c r="CA12" s="52">
        <f>COUNTIFS(N:N, "&lt;=" &amp; BS12, O:O, "&gt;" &amp; BS12)+COUNTIFS(L:L, "&lt;=" &amp; BT12, M:M, "&gt;" &amp; BT12)+'Nesting Staffing'!CA12+'Pavia Staffing'!CA12</f>
        <v>39</v>
      </c>
      <c r="CB12" s="53">
        <f>COUNTIFS(T:T, "&lt;=" &amp; BS12, U:U, "&gt;" &amp; BS12)+COUNTIFS(N:N, "&lt;=" &amp; BT12, O:O, "&gt;" &amp; BT12)+'Nesting Staffing'!CB12+'Pavia Staffing'!CB12</f>
        <v>42</v>
      </c>
      <c r="CC12" s="139">
        <f>COUNTIFS(V:V, "&lt;=" &amp; BS12, W:W, "&gt;" &amp; BS12)+COUNTIFS(T:T, "&lt;=" &amp; BT12, U:U, "&gt;" &amp; BT12)+'Nesting Staffing'!CC12+'Pavia Staffing'!CC12</f>
        <v>39</v>
      </c>
      <c r="CD12" s="139">
        <f>COUNTIFS(X:X, "&lt;=" &amp; BS12, Y:Y, "&gt;" &amp; BS12)+COUNTIFS(V:V, "&lt;=" &amp; BT12, W:W, "&gt;" &amp; BT12)+'Nesting Staffing'!CD12+'Pavia Staffing'!CD12</f>
        <v>39</v>
      </c>
      <c r="CE12" s="139">
        <f>COUNTIFS(Z:Z, "&lt;=" &amp; BS12, AA:AA, "&gt;" &amp; BS12)+COUNTIFS(X:X, "&lt;=" &amp; BT12, Y:Y, "&gt;" &amp; BT12)+'Nesting Staffing'!CE12+'Pavia Staffing'!CE12</f>
        <v>60</v>
      </c>
      <c r="CF12" s="139">
        <f>COUNTIFS(AB:AB, "&lt;=" &amp; BS12, AC:AC, "&gt;" &amp; BS12)+COUNTIFS(Z:Z, "&lt;=" &amp; BT12, AA:AA, "&gt;" &amp; BT12)+'Nesting Staffing'!CF12+'Pavia Staffing'!CF12</f>
        <v>60</v>
      </c>
      <c r="CG12" s="139">
        <f>COUNTIFS(AD:AD, "&lt;=" &amp; BS12, AE:AE, "&gt;" &amp; BS12)+COUNTIFS(AB:AB, "&lt;=" &amp; BT12, AC:AC, "&gt;" &amp; BT12)+'Nesting Staffing'!CG12+'Pavia Staffing'!CG12</f>
        <v>39</v>
      </c>
      <c r="CH12" s="52">
        <f>COUNTIFS(AF:AF, "&lt;=" &amp; BS12, AG:AG, "&gt;" &amp; BS12)+COUNTIFS(AD:AD, "&lt;=" &amp; BT12, AE:AE, "&gt;" &amp; BT12)+'Nesting Staffing'!CH12+'Pavia Staffing'!CH12</f>
        <v>21</v>
      </c>
      <c r="CI12" s="53">
        <f>COUNTIFS(AI:AI, "&lt;=" &amp; BS12, AJ:AJ, "&gt;" &amp; BS12)+COUNTIFS(AF:AF, "&lt;=" &amp; BT12, AG:AG, "&gt;" &amp; BT12)+'Nesting Staffing'!CI12+'Pavia Staffing'!CI12</f>
        <v>42</v>
      </c>
      <c r="CJ12" s="139">
        <f>COUNTIFS(AK:AK, "&lt;=" &amp; BS12, AL:AL, "&gt;" &amp; BS12)+COUNTIFS(AI:AI, "&lt;=" &amp; BT12, AJ:AJ, "&gt;" &amp; BT12)+'Nesting Staffing'!CJ12+'Pavia Staffing'!CJ12</f>
        <v>39</v>
      </c>
      <c r="CK12" s="139">
        <f>COUNTIFS(AM:AM, "&lt;=" &amp; BS12, AN:AN, "&gt;" &amp; BS12)+COUNTIFS(AK:AK, "&lt;=" &amp; BT12, AL:AL, "&gt;" &amp; BT12)+'Nesting Staffing'!CK12+'Pavia Staffing'!CK12</f>
        <v>39</v>
      </c>
      <c r="CL12" s="139">
        <f>COUNTIFS(AO:AO, "&lt;=" &amp; BS12, AP:AP, "&gt;" &amp; BS12)+COUNTIFS(AM:AM, "&lt;=" &amp; BT12, AN:AN, "&gt;" &amp; BT12)+'Nesting Staffing'!CL12+'Pavia Staffing'!CL12</f>
        <v>60</v>
      </c>
      <c r="CM12" s="139">
        <f>COUNTIFS(AQ:AQ, "&lt;=" &amp; BS12, AR:AR, "&gt;" &amp; BS12)+COUNTIFS(AO:AO, "&lt;=" &amp; BT12, AP:AP, "&gt;" &amp; BT12)+'Nesting Staffing'!CM12+'Pavia Staffing'!CM12</f>
        <v>60</v>
      </c>
      <c r="CN12" s="139">
        <f>COUNTIFS(AS:AS, "&lt;=" &amp; BS12, AT:AT, "&gt;" &amp; BS12)+COUNTIFS(AQ:AQ, "&lt;=" &amp; BT12, AR:AR, "&gt;" &amp; BT12)+'Nesting Staffing'!CN12+'Pavia Staffing'!CN12</f>
        <v>39</v>
      </c>
      <c r="CO12" s="52">
        <f>COUNTIFS(AU:AU, "&lt;=" &amp; BS12, AV:AV, "&gt;" &amp; BS12)+COUNTIFS(AS:AS, "&lt;=" &amp; BT12, AT:AT, "&gt;" &amp; BT12)+'Nesting Staffing'!CO12+'Pavia Staffing'!CO12</f>
        <v>21</v>
      </c>
    </row>
    <row r="13" spans="1:97" x14ac:dyDescent="0.25">
      <c r="A13" s="20" t="str">
        <f>IFERROR('Agent Sched'!B14,"-")</f>
        <v>Rosally Maquirang Poblacion</v>
      </c>
      <c r="B13" s="12">
        <f>IFERROR(VLOOKUP(A13,'Agent Sched'!$B:$C,2,),"-")</f>
        <v>0.375</v>
      </c>
      <c r="C13" s="13">
        <f t="shared" si="7"/>
        <v>0.75</v>
      </c>
      <c r="D13" s="12">
        <f>IFERROR(VLOOKUP(A13,'Agent Sched'!B:D,3,),"-")</f>
        <v>0.375</v>
      </c>
      <c r="E13" s="13">
        <f t="shared" si="8"/>
        <v>0.75</v>
      </c>
      <c r="F13" s="12">
        <f>IFERROR(VLOOKUP(A13,'Agent Sched'!B:E,4,),"-")</f>
        <v>0.375</v>
      </c>
      <c r="G13" s="13">
        <f t="shared" si="9"/>
        <v>0.75</v>
      </c>
      <c r="H13" s="12" t="str">
        <f>IFERROR(VLOOKUP(A13,'Agent Sched'!B:F,5,),"-")</f>
        <v>OFF</v>
      </c>
      <c r="I13" s="13" t="str">
        <f t="shared" si="10"/>
        <v>OFF</v>
      </c>
      <c r="J13" s="12" t="str">
        <f>IFERROR(VLOOKUP(A13,'Agent Sched'!B:G,6,),"-")</f>
        <v>OFF</v>
      </c>
      <c r="K13" s="13" t="str">
        <f t="shared" si="11"/>
        <v>OFF</v>
      </c>
      <c r="L13" s="12">
        <f>IFERROR(VLOOKUP(A13,'Agent Sched'!B:H,7,),"-")</f>
        <v>0.375</v>
      </c>
      <c r="M13" s="13">
        <f t="shared" si="12"/>
        <v>0.75</v>
      </c>
      <c r="N13" s="21">
        <f>IFERROR(VLOOKUP(A13,'Agent Sched'!B:I,8,),"-")</f>
        <v>0.375</v>
      </c>
      <c r="O13" s="13">
        <f t="shared" si="13"/>
        <v>0.75</v>
      </c>
      <c r="Q13" s="12">
        <f>VLOOKUP(A13,'Agent Sched'!B:Y,24,)</f>
        <v>0.375</v>
      </c>
      <c r="R13" s="13">
        <f t="shared" si="14"/>
        <v>0.75</v>
      </c>
      <c r="T13" s="25" t="str">
        <f>VLOOKUP(A13,'Agent Sched'!$B:$J,9,)</f>
        <v>OFF</v>
      </c>
      <c r="U13" s="13" t="str">
        <f t="shared" si="15"/>
        <v>OFF</v>
      </c>
      <c r="V13" s="12">
        <f>VLOOKUP(A13,'Agent Sched'!B:K,10,)</f>
        <v>0.375</v>
      </c>
      <c r="W13" s="13">
        <f t="shared" si="16"/>
        <v>0.75</v>
      </c>
      <c r="X13" s="12">
        <f>VLOOKUP(A13,'Agent Sched'!B:L,11,)</f>
        <v>0.375</v>
      </c>
      <c r="Y13" s="13">
        <f t="shared" si="17"/>
        <v>0.75</v>
      </c>
      <c r="Z13" s="12">
        <f>VLOOKUP(A13,'Agent Sched'!B:M,12,)</f>
        <v>0.375</v>
      </c>
      <c r="AA13" s="13">
        <f t="shared" si="18"/>
        <v>0.75</v>
      </c>
      <c r="AB13" s="12">
        <f>VLOOKUP(A13,'Agent Sched'!B:N,13,)</f>
        <v>0.375</v>
      </c>
      <c r="AC13" s="13">
        <f t="shared" si="19"/>
        <v>0.75</v>
      </c>
      <c r="AD13" s="12">
        <f>VLOOKUP(A13,'Agent Sched'!B:O,14,)</f>
        <v>0.375</v>
      </c>
      <c r="AE13" s="13">
        <f t="shared" si="20"/>
        <v>0.75</v>
      </c>
      <c r="AF13" s="21" t="str">
        <f>VLOOKUP(A13,'Agent Sched'!B:P,15,)</f>
        <v>OFF</v>
      </c>
      <c r="AG13" s="13" t="str">
        <f t="shared" si="21"/>
        <v>OFF</v>
      </c>
      <c r="AI13" s="25" t="str">
        <f>VLOOKUP(A13,'Agent Sched'!$B:$Q,16,)</f>
        <v>OFF</v>
      </c>
      <c r="AJ13" s="13" t="str">
        <f t="shared" si="22"/>
        <v>OFF</v>
      </c>
      <c r="AK13" s="12">
        <f>VLOOKUP(A13,'Agent Sched'!B:R,17,)</f>
        <v>0.375</v>
      </c>
      <c r="AL13" s="13">
        <f t="shared" si="23"/>
        <v>0.75</v>
      </c>
      <c r="AM13" s="12">
        <f>VLOOKUP(A13,'Agent Sched'!B:S,18,)</f>
        <v>0.375</v>
      </c>
      <c r="AN13" s="13">
        <f t="shared" si="24"/>
        <v>0.75</v>
      </c>
      <c r="AO13" s="12">
        <f>VLOOKUP(A13,'Agent Sched'!B:T,19,)</f>
        <v>0.375</v>
      </c>
      <c r="AP13" s="13">
        <f t="shared" si="25"/>
        <v>0.75</v>
      </c>
      <c r="AQ13" s="12">
        <f>VLOOKUP(A13,'Agent Sched'!B:U,20,)</f>
        <v>0.375</v>
      </c>
      <c r="AR13" s="13">
        <f t="shared" si="26"/>
        <v>0.75</v>
      </c>
      <c r="AS13" s="12">
        <f>VLOOKUP(A13,'Agent Sched'!B:V,21,)</f>
        <v>0.375</v>
      </c>
      <c r="AT13" s="13">
        <f t="shared" si="27"/>
        <v>0.75</v>
      </c>
      <c r="AU13" s="21" t="str">
        <f>VLOOKUP(A13,'Agent Sched'!B:W,22,)</f>
        <v>OFF</v>
      </c>
      <c r="AV13" s="13" t="str">
        <f t="shared" si="28"/>
        <v>OFF</v>
      </c>
      <c r="AX13" s="30">
        <v>0.41666666666666702</v>
      </c>
      <c r="AY13" s="10">
        <v>1.4166666666666701</v>
      </c>
      <c r="AZ13" s="31">
        <f t="shared" si="29"/>
        <v>10</v>
      </c>
      <c r="BA13" s="31">
        <f t="shared" si="30"/>
        <v>10</v>
      </c>
      <c r="BB13" s="31">
        <f t="shared" si="31"/>
        <v>10</v>
      </c>
      <c r="BC13" s="31">
        <f t="shared" si="32"/>
        <v>2</v>
      </c>
      <c r="BD13" s="31">
        <f t="shared" si="33"/>
        <v>2</v>
      </c>
      <c r="BE13" s="31">
        <f t="shared" si="34"/>
        <v>8</v>
      </c>
      <c r="BF13" s="32">
        <f t="shared" si="35"/>
        <v>8</v>
      </c>
      <c r="BH13" s="30">
        <v>0.41666666666666702</v>
      </c>
      <c r="BI13" s="10">
        <v>1.4166666666666601</v>
      </c>
      <c r="BJ13" s="31">
        <f t="shared" si="0"/>
        <v>13</v>
      </c>
      <c r="BK13" s="31">
        <f t="shared" si="1"/>
        <v>13</v>
      </c>
      <c r="BL13" s="31">
        <f t="shared" si="2"/>
        <v>13</v>
      </c>
      <c r="BM13" s="31">
        <f t="shared" si="3"/>
        <v>13</v>
      </c>
      <c r="BN13" s="31">
        <f t="shared" si="4"/>
        <v>13</v>
      </c>
      <c r="BO13" s="31">
        <f t="shared" si="5"/>
        <v>0</v>
      </c>
      <c r="BP13" s="32">
        <f t="shared" si="6"/>
        <v>0</v>
      </c>
      <c r="BS13" s="38">
        <v>0.41666666666666702</v>
      </c>
      <c r="BT13" s="39">
        <v>1.4166666666666701</v>
      </c>
      <c r="BU13" s="53">
        <f>COUNTIFS(Q:Q, "&lt;=" &amp; BT13, R:R, "&gt;" &amp; BT13)+COUNTIFS(B:B, "&lt;=" &amp; BS13, C:C, "&gt;" &amp; BS13)+'Nesting Staffing'!BU13+'Pavia Staffing'!BU13</f>
        <v>97</v>
      </c>
      <c r="BV13" s="139">
        <f>COUNTIFS(B:B, "&lt;=" &amp; BT13, C:C, "&gt;" &amp; BT13)+COUNTIFS(D:D, "&lt;=" &amp; BS13, E:E, "&gt;" &amp; BS13)+'Nesting Staffing'!BV13+'Pavia Staffing'!BV13</f>
        <v>39</v>
      </c>
      <c r="BW13" s="139">
        <f>COUNTIFS(D:D, "&lt;=" &amp; BT13, E:E, "&gt;" &amp; BT13)+COUNTIFS(F:F, "&lt;=" &amp; BS13, G:G, "&gt;" &amp; BS13)+'Nesting Staffing'!BW13+'Pavia Staffing'!BW13</f>
        <v>39</v>
      </c>
      <c r="BX13" s="139">
        <f>COUNTIFS(F:F, "&lt;=" &amp; BT13, G:G, "&gt;" &amp; BT13)+COUNTIFS(H:H, "&lt;=" &amp; BS13, I:I, "&gt;" &amp; BS13)+'Nesting Staffing'!BX13+'Pavia Staffing'!BX13</f>
        <v>79</v>
      </c>
      <c r="BY13" s="139">
        <f>COUNTIFS(H:H, "&lt;=" &amp; BT13, I:I, "&gt;" &amp; BT13)+COUNTIFS(J:J, "&lt;=" &amp; BS13, K:K, "&gt;" &amp; BS13)+'Nesting Staffing'!BY13+'Pavia Staffing'!BY13</f>
        <v>79</v>
      </c>
      <c r="BZ13" s="139">
        <f>COUNTIFS(J:J, "&lt;=" &amp; BT13, K:K, "&gt;" &amp; BT13)+COUNTIFS(L:L, "&lt;=" &amp; BS13, M:M, "&gt;" &amp; BS13)+'Nesting Staffing'!BZ13+'Pavia Staffing'!BZ13</f>
        <v>76</v>
      </c>
      <c r="CA13" s="52">
        <f>COUNTIFS(N:N, "&lt;=" &amp; BS13, O:O, "&gt;" &amp; BS13)+COUNTIFS(L:L, "&lt;=" &amp; BT13, M:M, "&gt;" &amp; BT13)+'Nesting Staffing'!CA13+'Pavia Staffing'!CA13</f>
        <v>76</v>
      </c>
      <c r="CB13" s="53">
        <f>COUNTIFS(T:T, "&lt;=" &amp; BS13, U:U, "&gt;" &amp; BS13)+COUNTIFS(N:N, "&lt;=" &amp; BT13, O:O, "&gt;" &amp; BT13)+'Nesting Staffing'!CB13+'Pavia Staffing'!CB13</f>
        <v>79</v>
      </c>
      <c r="CC13" s="139">
        <f>COUNTIFS(V:V, "&lt;=" &amp; BS13, W:W, "&gt;" &amp; BS13)+COUNTIFS(T:T, "&lt;=" &amp; BT13, U:U, "&gt;" &amp; BT13)+'Nesting Staffing'!CC13+'Pavia Staffing'!CC13</f>
        <v>39</v>
      </c>
      <c r="CD13" s="139">
        <f>COUNTIFS(X:X, "&lt;=" &amp; BS13, Y:Y, "&gt;" &amp; BS13)+COUNTIFS(V:V, "&lt;=" &amp; BT13, W:W, "&gt;" &amp; BT13)+'Nesting Staffing'!CD13+'Pavia Staffing'!CD13</f>
        <v>39</v>
      </c>
      <c r="CE13" s="139">
        <f>COUNTIFS(Z:Z, "&lt;=" &amp; BS13, AA:AA, "&gt;" &amp; BS13)+COUNTIFS(X:X, "&lt;=" &amp; BT13, Y:Y, "&gt;" &amp; BT13)+'Nesting Staffing'!CE13+'Pavia Staffing'!CE13</f>
        <v>97</v>
      </c>
      <c r="CF13" s="139">
        <f>COUNTIFS(AB:AB, "&lt;=" &amp; BS13, AC:AC, "&gt;" &amp; BS13)+COUNTIFS(Z:Z, "&lt;=" &amp; BT13, AA:AA, "&gt;" &amp; BT13)+'Nesting Staffing'!CF13+'Pavia Staffing'!CF13</f>
        <v>97</v>
      </c>
      <c r="CG13" s="139">
        <f>COUNTIFS(AD:AD, "&lt;=" &amp; BS13, AE:AE, "&gt;" &amp; BS13)+COUNTIFS(AB:AB, "&lt;=" &amp; BT13, AC:AC, "&gt;" &amp; BT13)+'Nesting Staffing'!CG13+'Pavia Staffing'!CG13</f>
        <v>76</v>
      </c>
      <c r="CH13" s="52">
        <f>COUNTIFS(AF:AF, "&lt;=" &amp; BS13, AG:AG, "&gt;" &amp; BS13)+COUNTIFS(AD:AD, "&lt;=" &amp; BT13, AE:AE, "&gt;" &amp; BT13)+'Nesting Staffing'!CH13+'Pavia Staffing'!CH13</f>
        <v>58</v>
      </c>
      <c r="CI13" s="53">
        <f>COUNTIFS(AI:AI, "&lt;=" &amp; BS13, AJ:AJ, "&gt;" &amp; BS13)+COUNTIFS(AF:AF, "&lt;=" &amp; BT13, AG:AG, "&gt;" &amp; BT13)+'Nesting Staffing'!CI13+'Pavia Staffing'!CI13</f>
        <v>79</v>
      </c>
      <c r="CJ13" s="139">
        <f>COUNTIFS(AK:AK, "&lt;=" &amp; BS13, AL:AL, "&gt;" &amp; BS13)+COUNTIFS(AI:AI, "&lt;=" &amp; BT13, AJ:AJ, "&gt;" &amp; BT13)+'Nesting Staffing'!CJ13+'Pavia Staffing'!CJ13</f>
        <v>39</v>
      </c>
      <c r="CK13" s="139">
        <f>COUNTIFS(AM:AM, "&lt;=" &amp; BS13, AN:AN, "&gt;" &amp; BS13)+COUNTIFS(AK:AK, "&lt;=" &amp; BT13, AL:AL, "&gt;" &amp; BT13)+'Nesting Staffing'!CK13+'Pavia Staffing'!CK13</f>
        <v>39</v>
      </c>
      <c r="CL13" s="139">
        <f>COUNTIFS(AO:AO, "&lt;=" &amp; BS13, AP:AP, "&gt;" &amp; BS13)+COUNTIFS(AM:AM, "&lt;=" &amp; BT13, AN:AN, "&gt;" &amp; BT13)+'Nesting Staffing'!CL13+'Pavia Staffing'!CL13</f>
        <v>97</v>
      </c>
      <c r="CM13" s="139">
        <f>COUNTIFS(AQ:AQ, "&lt;=" &amp; BS13, AR:AR, "&gt;" &amp; BS13)+COUNTIFS(AO:AO, "&lt;=" &amp; BT13, AP:AP, "&gt;" &amp; BT13)+'Nesting Staffing'!CM13+'Pavia Staffing'!CM13</f>
        <v>97</v>
      </c>
      <c r="CN13" s="139">
        <f>COUNTIFS(AS:AS, "&lt;=" &amp; BS13, AT:AT, "&gt;" &amp; BS13)+COUNTIFS(AQ:AQ, "&lt;=" &amp; BT13, AR:AR, "&gt;" &amp; BT13)+'Nesting Staffing'!CN13+'Pavia Staffing'!CN13</f>
        <v>76</v>
      </c>
      <c r="CO13" s="52">
        <f>COUNTIFS(AU:AU, "&lt;=" &amp; BS13, AV:AV, "&gt;" &amp; BS13)+COUNTIFS(AS:AS, "&lt;=" &amp; BT13, AT:AT, "&gt;" &amp; BT13)+'Nesting Staffing'!CO13+'Pavia Staffing'!CO13</f>
        <v>58</v>
      </c>
    </row>
    <row r="14" spans="1:97" x14ac:dyDescent="0.25">
      <c r="A14" s="20" t="str">
        <f>IFERROR('Agent Sched'!B15,"-")</f>
        <v>Mary Jay Canag Cantomayor</v>
      </c>
      <c r="B14" s="12">
        <f>IFERROR(VLOOKUP(A14,'Agent Sched'!$B:$C,2,),"-")</f>
        <v>0.375</v>
      </c>
      <c r="C14" s="13">
        <f t="shared" si="7"/>
        <v>0.75</v>
      </c>
      <c r="D14" s="12">
        <f>IFERROR(VLOOKUP(A14,'Agent Sched'!B:D,3,),"-")</f>
        <v>0.375</v>
      </c>
      <c r="E14" s="13">
        <f t="shared" si="8"/>
        <v>0.75</v>
      </c>
      <c r="F14" s="12">
        <f>IFERROR(VLOOKUP(A14,'Agent Sched'!B:E,4,),"-")</f>
        <v>0.375</v>
      </c>
      <c r="G14" s="13">
        <f t="shared" si="9"/>
        <v>0.75</v>
      </c>
      <c r="H14" s="12" t="str">
        <f>IFERROR(VLOOKUP(A14,'Agent Sched'!B:F,5,),"-")</f>
        <v>OFF</v>
      </c>
      <c r="I14" s="13" t="str">
        <f t="shared" si="10"/>
        <v>OFF</v>
      </c>
      <c r="J14" s="12" t="str">
        <f>IFERROR(VLOOKUP(A14,'Agent Sched'!B:G,6,),"-")</f>
        <v>OFF</v>
      </c>
      <c r="K14" s="13" t="str">
        <f t="shared" si="11"/>
        <v>OFF</v>
      </c>
      <c r="L14" s="12">
        <f>IFERROR(VLOOKUP(A14,'Agent Sched'!B:H,7,),"-")</f>
        <v>0.375</v>
      </c>
      <c r="M14" s="13">
        <f t="shared" si="12"/>
        <v>0.75</v>
      </c>
      <c r="N14" s="21">
        <f>IFERROR(VLOOKUP(A14,'Agent Sched'!B:I,8,),"-")</f>
        <v>0.375</v>
      </c>
      <c r="O14" s="13">
        <f t="shared" si="13"/>
        <v>0.75</v>
      </c>
      <c r="Q14" s="12">
        <f>VLOOKUP(A14,'Agent Sched'!B:Y,24,)</f>
        <v>0.375</v>
      </c>
      <c r="R14" s="13">
        <f t="shared" si="14"/>
        <v>0.75</v>
      </c>
      <c r="T14" s="25" t="str">
        <f>VLOOKUP(A14,'Agent Sched'!$B:$J,9,)</f>
        <v>OFF</v>
      </c>
      <c r="U14" s="13" t="str">
        <f t="shared" si="15"/>
        <v>OFF</v>
      </c>
      <c r="V14" s="12">
        <f>VLOOKUP(A14,'Agent Sched'!B:K,10,)</f>
        <v>0.375</v>
      </c>
      <c r="W14" s="13">
        <f t="shared" si="16"/>
        <v>0.75</v>
      </c>
      <c r="X14" s="12">
        <f>VLOOKUP(A14,'Agent Sched'!B:L,11,)</f>
        <v>0.375</v>
      </c>
      <c r="Y14" s="13">
        <f t="shared" si="17"/>
        <v>0.75</v>
      </c>
      <c r="Z14" s="12">
        <f>VLOOKUP(A14,'Agent Sched'!B:M,12,)</f>
        <v>0.375</v>
      </c>
      <c r="AA14" s="13">
        <f t="shared" si="18"/>
        <v>0.75</v>
      </c>
      <c r="AB14" s="12">
        <f>VLOOKUP(A14,'Agent Sched'!B:N,13,)</f>
        <v>0.375</v>
      </c>
      <c r="AC14" s="13">
        <f t="shared" si="19"/>
        <v>0.75</v>
      </c>
      <c r="AD14" s="12">
        <f>VLOOKUP(A14,'Agent Sched'!B:O,14,)</f>
        <v>0.375</v>
      </c>
      <c r="AE14" s="13">
        <f t="shared" si="20"/>
        <v>0.75</v>
      </c>
      <c r="AF14" s="21" t="str">
        <f>VLOOKUP(A14,'Agent Sched'!B:P,15,)</f>
        <v>OFF</v>
      </c>
      <c r="AG14" s="13" t="str">
        <f t="shared" si="21"/>
        <v>OFF</v>
      </c>
      <c r="AI14" s="25" t="str">
        <f>VLOOKUP(A14,'Agent Sched'!$B:$Q,16,)</f>
        <v>OFF</v>
      </c>
      <c r="AJ14" s="13" t="str">
        <f t="shared" si="22"/>
        <v>OFF</v>
      </c>
      <c r="AK14" s="12">
        <f>VLOOKUP(A14,'Agent Sched'!B:R,17,)</f>
        <v>0.375</v>
      </c>
      <c r="AL14" s="13">
        <f t="shared" si="23"/>
        <v>0.75</v>
      </c>
      <c r="AM14" s="12">
        <f>VLOOKUP(A14,'Agent Sched'!B:S,18,)</f>
        <v>0.375</v>
      </c>
      <c r="AN14" s="13">
        <f t="shared" si="24"/>
        <v>0.75</v>
      </c>
      <c r="AO14" s="12">
        <f>VLOOKUP(A14,'Agent Sched'!B:T,19,)</f>
        <v>0.375</v>
      </c>
      <c r="AP14" s="13">
        <f t="shared" si="25"/>
        <v>0.75</v>
      </c>
      <c r="AQ14" s="12">
        <f>VLOOKUP(A14,'Agent Sched'!B:U,20,)</f>
        <v>0.375</v>
      </c>
      <c r="AR14" s="13">
        <f t="shared" si="26"/>
        <v>0.75</v>
      </c>
      <c r="AS14" s="12">
        <f>VLOOKUP(A14,'Agent Sched'!B:V,21,)</f>
        <v>0.375</v>
      </c>
      <c r="AT14" s="13">
        <f t="shared" si="27"/>
        <v>0.75</v>
      </c>
      <c r="AU14" s="21" t="str">
        <f>VLOOKUP(A14,'Agent Sched'!B:W,22,)</f>
        <v>OFF</v>
      </c>
      <c r="AV14" s="13" t="str">
        <f t="shared" si="28"/>
        <v>OFF</v>
      </c>
      <c r="AX14" s="30">
        <v>0.45833333333333298</v>
      </c>
      <c r="AY14" s="10">
        <v>1.4583333333333399</v>
      </c>
      <c r="AZ14" s="31">
        <f t="shared" si="29"/>
        <v>10</v>
      </c>
      <c r="BA14" s="31">
        <f t="shared" si="30"/>
        <v>10</v>
      </c>
      <c r="BB14" s="31">
        <f t="shared" si="31"/>
        <v>10</v>
      </c>
      <c r="BC14" s="31">
        <f t="shared" si="32"/>
        <v>2</v>
      </c>
      <c r="BD14" s="31">
        <f t="shared" si="33"/>
        <v>2</v>
      </c>
      <c r="BE14" s="31">
        <f t="shared" si="34"/>
        <v>8</v>
      </c>
      <c r="BF14" s="32">
        <f t="shared" si="35"/>
        <v>8</v>
      </c>
      <c r="BH14" s="30">
        <v>0.45833333333333298</v>
      </c>
      <c r="BI14" s="10">
        <v>1.4583333333333299</v>
      </c>
      <c r="BJ14" s="31">
        <f t="shared" si="0"/>
        <v>13</v>
      </c>
      <c r="BK14" s="31">
        <f t="shared" si="1"/>
        <v>13</v>
      </c>
      <c r="BL14" s="31">
        <f t="shared" si="2"/>
        <v>13</v>
      </c>
      <c r="BM14" s="31">
        <f t="shared" si="3"/>
        <v>13</v>
      </c>
      <c r="BN14" s="31">
        <f t="shared" si="4"/>
        <v>13</v>
      </c>
      <c r="BO14" s="31">
        <f t="shared" si="5"/>
        <v>0</v>
      </c>
      <c r="BP14" s="32">
        <f t="shared" si="6"/>
        <v>0</v>
      </c>
      <c r="BS14" s="38">
        <v>0.45833333333333298</v>
      </c>
      <c r="BT14" s="39">
        <v>1.4583333333333399</v>
      </c>
      <c r="BU14" s="53">
        <f>COUNTIFS(Q:Q, "&lt;=" &amp; BT14, R:R, "&gt;" &amp; BT14)+COUNTIFS(B:B, "&lt;=" &amp; BS14, C:C, "&gt;" &amp; BS14)+'Nesting Staffing'!BU14+'Pavia Staffing'!BU14</f>
        <v>97</v>
      </c>
      <c r="BV14" s="139">
        <f>COUNTIFS(B:B, "&lt;=" &amp; BT14, C:C, "&gt;" &amp; BT14)+COUNTIFS(D:D, "&lt;=" &amp; BS14, E:E, "&gt;" &amp; BS14)+'Nesting Staffing'!BV14+'Pavia Staffing'!BV14</f>
        <v>39</v>
      </c>
      <c r="BW14" s="139">
        <f>COUNTIFS(D:D, "&lt;=" &amp; BT14, E:E, "&gt;" &amp; BT14)+COUNTIFS(F:F, "&lt;=" &amp; BS14, G:G, "&gt;" &amp; BS14)+'Nesting Staffing'!BW14+'Pavia Staffing'!BW14</f>
        <v>39</v>
      </c>
      <c r="BX14" s="139">
        <f>COUNTIFS(F:F, "&lt;=" &amp; BT14, G:G, "&gt;" &amp; BT14)+COUNTIFS(H:H, "&lt;=" &amp; BS14, I:I, "&gt;" &amp; BS14)+'Nesting Staffing'!BX14+'Pavia Staffing'!BX14</f>
        <v>79</v>
      </c>
      <c r="BY14" s="139">
        <f>COUNTIFS(H:H, "&lt;=" &amp; BT14, I:I, "&gt;" &amp; BT14)+COUNTIFS(J:J, "&lt;=" &amp; BS14, K:K, "&gt;" &amp; BS14)+'Nesting Staffing'!BY14+'Pavia Staffing'!BY14</f>
        <v>79</v>
      </c>
      <c r="BZ14" s="139">
        <f>COUNTIFS(J:J, "&lt;=" &amp; BT14, K:K, "&gt;" &amp; BT14)+COUNTIFS(L:L, "&lt;=" &amp; BS14, M:M, "&gt;" &amp; BS14)+'Nesting Staffing'!BZ14+'Pavia Staffing'!BZ14</f>
        <v>76</v>
      </c>
      <c r="CA14" s="52">
        <f>COUNTIFS(N:N, "&lt;=" &amp; BS14, O:O, "&gt;" &amp; BS14)+COUNTIFS(L:L, "&lt;=" &amp; BT14, M:M, "&gt;" &amp; BT14)+'Nesting Staffing'!CA14+'Pavia Staffing'!CA14</f>
        <v>76</v>
      </c>
      <c r="CB14" s="53">
        <f>COUNTIFS(T:T, "&lt;=" &amp; BS14, U:U, "&gt;" &amp; BS14)+COUNTIFS(N:N, "&lt;=" &amp; BT14, O:O, "&gt;" &amp; BT14)+'Nesting Staffing'!CB14+'Pavia Staffing'!CB14</f>
        <v>79</v>
      </c>
      <c r="CC14" s="139">
        <f>COUNTIFS(V:V, "&lt;=" &amp; BS14, W:W, "&gt;" &amp; BS14)+COUNTIFS(T:T, "&lt;=" &amp; BT14, U:U, "&gt;" &amp; BT14)+'Nesting Staffing'!CC14+'Pavia Staffing'!CC14</f>
        <v>39</v>
      </c>
      <c r="CD14" s="139">
        <f>COUNTIFS(X:X, "&lt;=" &amp; BS14, Y:Y, "&gt;" &amp; BS14)+COUNTIFS(V:V, "&lt;=" &amp; BT14, W:W, "&gt;" &amp; BT14)+'Nesting Staffing'!CD14+'Pavia Staffing'!CD14</f>
        <v>39</v>
      </c>
      <c r="CE14" s="139">
        <f>COUNTIFS(Z:Z, "&lt;=" &amp; BS14, AA:AA, "&gt;" &amp; BS14)+COUNTIFS(X:X, "&lt;=" &amp; BT14, Y:Y, "&gt;" &amp; BT14)+'Nesting Staffing'!CE14+'Pavia Staffing'!CE14</f>
        <v>97</v>
      </c>
      <c r="CF14" s="139">
        <f>COUNTIFS(AB:AB, "&lt;=" &amp; BS14, AC:AC, "&gt;" &amp; BS14)+COUNTIFS(Z:Z, "&lt;=" &amp; BT14, AA:AA, "&gt;" &amp; BT14)+'Nesting Staffing'!CF14+'Pavia Staffing'!CF14</f>
        <v>97</v>
      </c>
      <c r="CG14" s="139">
        <f>COUNTIFS(AD:AD, "&lt;=" &amp; BS14, AE:AE, "&gt;" &amp; BS14)+COUNTIFS(AB:AB, "&lt;=" &amp; BT14, AC:AC, "&gt;" &amp; BT14)+'Nesting Staffing'!CG14+'Pavia Staffing'!CG14</f>
        <v>76</v>
      </c>
      <c r="CH14" s="52">
        <f>COUNTIFS(AF:AF, "&lt;=" &amp; BS14, AG:AG, "&gt;" &amp; BS14)+COUNTIFS(AD:AD, "&lt;=" &amp; BT14, AE:AE, "&gt;" &amp; BT14)+'Nesting Staffing'!CH14+'Pavia Staffing'!CH14</f>
        <v>58</v>
      </c>
      <c r="CI14" s="53">
        <f>COUNTIFS(AI:AI, "&lt;=" &amp; BS14, AJ:AJ, "&gt;" &amp; BS14)+COUNTIFS(AF:AF, "&lt;=" &amp; BT14, AG:AG, "&gt;" &amp; BT14)+'Nesting Staffing'!CI14+'Pavia Staffing'!CI14</f>
        <v>79</v>
      </c>
      <c r="CJ14" s="139">
        <f>COUNTIFS(AK:AK, "&lt;=" &amp; BS14, AL:AL, "&gt;" &amp; BS14)+COUNTIFS(AI:AI, "&lt;=" &amp; BT14, AJ:AJ, "&gt;" &amp; BT14)+'Nesting Staffing'!CJ14+'Pavia Staffing'!CJ14</f>
        <v>39</v>
      </c>
      <c r="CK14" s="139">
        <f>COUNTIFS(AM:AM, "&lt;=" &amp; BS14, AN:AN, "&gt;" &amp; BS14)+COUNTIFS(AK:AK, "&lt;=" &amp; BT14, AL:AL, "&gt;" &amp; BT14)+'Nesting Staffing'!CK14+'Pavia Staffing'!CK14</f>
        <v>39</v>
      </c>
      <c r="CL14" s="139">
        <f>COUNTIFS(AO:AO, "&lt;=" &amp; BS14, AP:AP, "&gt;" &amp; BS14)+COUNTIFS(AM:AM, "&lt;=" &amp; BT14, AN:AN, "&gt;" &amp; BT14)+'Nesting Staffing'!CL14+'Pavia Staffing'!CL14</f>
        <v>97</v>
      </c>
      <c r="CM14" s="139">
        <f>COUNTIFS(AQ:AQ, "&lt;=" &amp; BS14, AR:AR, "&gt;" &amp; BS14)+COUNTIFS(AO:AO, "&lt;=" &amp; BT14, AP:AP, "&gt;" &amp; BT14)+'Nesting Staffing'!CM14+'Pavia Staffing'!CM14</f>
        <v>97</v>
      </c>
      <c r="CN14" s="139">
        <f>COUNTIFS(AS:AS, "&lt;=" &amp; BS14, AT:AT, "&gt;" &amp; BS14)+COUNTIFS(AQ:AQ, "&lt;=" &amp; BT14, AR:AR, "&gt;" &amp; BT14)+'Nesting Staffing'!CN14+'Pavia Staffing'!CN14</f>
        <v>76</v>
      </c>
      <c r="CO14" s="52">
        <f>COUNTIFS(AU:AU, "&lt;=" &amp; BS14, AV:AV, "&gt;" &amp; BS14)+COUNTIFS(AS:AS, "&lt;=" &amp; BT14, AT:AT, "&gt;" &amp; BT14)+'Nesting Staffing'!CO14+'Pavia Staffing'!CO14</f>
        <v>58</v>
      </c>
    </row>
    <row r="15" spans="1:97" x14ac:dyDescent="0.25">
      <c r="A15" s="20" t="str">
        <f>IFERROR('Agent Sched'!B16,"-")</f>
        <v>Jackielyn,Cabanas,Faro</v>
      </c>
      <c r="B15" s="12">
        <f>IFERROR(VLOOKUP(A15,'Agent Sched'!$B:$C,2,),"-")</f>
        <v>0.375</v>
      </c>
      <c r="C15" s="13">
        <f t="shared" si="7"/>
        <v>0.75</v>
      </c>
      <c r="D15" s="12">
        <f>IFERROR(VLOOKUP(A15,'Agent Sched'!B:D,3,),"-")</f>
        <v>0.375</v>
      </c>
      <c r="E15" s="13">
        <f t="shared" si="8"/>
        <v>0.75</v>
      </c>
      <c r="F15" s="12">
        <f>IFERROR(VLOOKUP(A15,'Agent Sched'!B:E,4,),"-")</f>
        <v>0.375</v>
      </c>
      <c r="G15" s="13">
        <f t="shared" si="9"/>
        <v>0.75</v>
      </c>
      <c r="H15" s="12" t="str">
        <f>IFERROR(VLOOKUP(A15,'Agent Sched'!B:F,5,),"-")</f>
        <v>OFF</v>
      </c>
      <c r="I15" s="13" t="str">
        <f t="shared" si="10"/>
        <v>OFF</v>
      </c>
      <c r="J15" s="12" t="str">
        <f>IFERROR(VLOOKUP(A15,'Agent Sched'!B:G,6,),"-")</f>
        <v>OFF</v>
      </c>
      <c r="K15" s="13" t="str">
        <f t="shared" si="11"/>
        <v>OFF</v>
      </c>
      <c r="L15" s="12">
        <f>IFERROR(VLOOKUP(A15,'Agent Sched'!B:H,7,),"-")</f>
        <v>0.375</v>
      </c>
      <c r="M15" s="13">
        <f t="shared" si="12"/>
        <v>0.75</v>
      </c>
      <c r="N15" s="21">
        <f>IFERROR(VLOOKUP(A15,'Agent Sched'!B:I,8,),"-")</f>
        <v>0.375</v>
      </c>
      <c r="O15" s="13">
        <f t="shared" si="13"/>
        <v>0.75</v>
      </c>
      <c r="Q15" s="12">
        <f>VLOOKUP(A15,'Agent Sched'!B:Y,24,)</f>
        <v>0.375</v>
      </c>
      <c r="R15" s="13">
        <f t="shared" si="14"/>
        <v>0.75</v>
      </c>
      <c r="T15" s="25" t="str">
        <f>VLOOKUP(A15,'Agent Sched'!$B:$J,9,)</f>
        <v>OFF</v>
      </c>
      <c r="U15" s="13" t="str">
        <f t="shared" si="15"/>
        <v>OFF</v>
      </c>
      <c r="V15" s="12">
        <f>VLOOKUP(A15,'Agent Sched'!B:K,10,)</f>
        <v>0.375</v>
      </c>
      <c r="W15" s="13">
        <f t="shared" si="16"/>
        <v>0.75</v>
      </c>
      <c r="X15" s="12">
        <f>VLOOKUP(A15,'Agent Sched'!B:L,11,)</f>
        <v>0.375</v>
      </c>
      <c r="Y15" s="13">
        <f t="shared" si="17"/>
        <v>0.75</v>
      </c>
      <c r="Z15" s="12">
        <f>VLOOKUP(A15,'Agent Sched'!B:M,12,)</f>
        <v>0.375</v>
      </c>
      <c r="AA15" s="13">
        <f t="shared" si="18"/>
        <v>0.75</v>
      </c>
      <c r="AB15" s="12">
        <f>VLOOKUP(A15,'Agent Sched'!B:N,13,)</f>
        <v>0.375</v>
      </c>
      <c r="AC15" s="13">
        <f t="shared" si="19"/>
        <v>0.75</v>
      </c>
      <c r="AD15" s="12">
        <f>VLOOKUP(A15,'Agent Sched'!B:O,14,)</f>
        <v>0.375</v>
      </c>
      <c r="AE15" s="13">
        <f t="shared" si="20"/>
        <v>0.75</v>
      </c>
      <c r="AF15" s="21" t="str">
        <f>VLOOKUP(A15,'Agent Sched'!B:P,15,)</f>
        <v>OFF</v>
      </c>
      <c r="AG15" s="13" t="str">
        <f t="shared" si="21"/>
        <v>OFF</v>
      </c>
      <c r="AI15" s="25" t="str">
        <f>VLOOKUP(A15,'Agent Sched'!$B:$Q,16,)</f>
        <v>OFF</v>
      </c>
      <c r="AJ15" s="13" t="str">
        <f t="shared" si="22"/>
        <v>OFF</v>
      </c>
      <c r="AK15" s="12">
        <f>VLOOKUP(A15,'Agent Sched'!B:R,17,)</f>
        <v>0.375</v>
      </c>
      <c r="AL15" s="13">
        <f t="shared" si="23"/>
        <v>0.75</v>
      </c>
      <c r="AM15" s="12">
        <f>VLOOKUP(A15,'Agent Sched'!B:S,18,)</f>
        <v>0.375</v>
      </c>
      <c r="AN15" s="13">
        <f t="shared" si="24"/>
        <v>0.75</v>
      </c>
      <c r="AO15" s="12">
        <f>VLOOKUP(A15,'Agent Sched'!B:T,19,)</f>
        <v>0.375</v>
      </c>
      <c r="AP15" s="13">
        <f t="shared" si="25"/>
        <v>0.75</v>
      </c>
      <c r="AQ15" s="12">
        <f>VLOOKUP(A15,'Agent Sched'!B:U,20,)</f>
        <v>0.375</v>
      </c>
      <c r="AR15" s="13">
        <f t="shared" si="26"/>
        <v>0.75</v>
      </c>
      <c r="AS15" s="12">
        <f>VLOOKUP(A15,'Agent Sched'!B:V,21,)</f>
        <v>0.375</v>
      </c>
      <c r="AT15" s="13">
        <f t="shared" si="27"/>
        <v>0.75</v>
      </c>
      <c r="AU15" s="21" t="str">
        <f>VLOOKUP(A15,'Agent Sched'!B:W,22,)</f>
        <v>OFF</v>
      </c>
      <c r="AV15" s="13" t="str">
        <f t="shared" si="28"/>
        <v>OFF</v>
      </c>
      <c r="AX15" s="30">
        <v>0.5</v>
      </c>
      <c r="AY15" s="10">
        <v>1.5</v>
      </c>
      <c r="AZ15" s="31">
        <f t="shared" si="29"/>
        <v>10</v>
      </c>
      <c r="BA15" s="31">
        <f t="shared" si="30"/>
        <v>10</v>
      </c>
      <c r="BB15" s="31">
        <f t="shared" si="31"/>
        <v>10</v>
      </c>
      <c r="BC15" s="31">
        <f t="shared" si="32"/>
        <v>2</v>
      </c>
      <c r="BD15" s="31">
        <f t="shared" si="33"/>
        <v>2</v>
      </c>
      <c r="BE15" s="31">
        <f t="shared" si="34"/>
        <v>8</v>
      </c>
      <c r="BF15" s="32">
        <f t="shared" si="35"/>
        <v>8</v>
      </c>
      <c r="BH15" s="30">
        <v>0.5</v>
      </c>
      <c r="BI15" s="10">
        <v>1.5</v>
      </c>
      <c r="BJ15" s="31">
        <f t="shared" si="0"/>
        <v>13</v>
      </c>
      <c r="BK15" s="31">
        <f t="shared" si="1"/>
        <v>13</v>
      </c>
      <c r="BL15" s="31">
        <f t="shared" si="2"/>
        <v>13</v>
      </c>
      <c r="BM15" s="31">
        <f t="shared" si="3"/>
        <v>13</v>
      </c>
      <c r="BN15" s="31">
        <f t="shared" si="4"/>
        <v>13</v>
      </c>
      <c r="BO15" s="31">
        <f t="shared" si="5"/>
        <v>0</v>
      </c>
      <c r="BP15" s="32">
        <f t="shared" si="6"/>
        <v>0</v>
      </c>
      <c r="BS15" s="38">
        <v>0.5</v>
      </c>
      <c r="BT15" s="39">
        <v>1.50000000000001</v>
      </c>
      <c r="BU15" s="53">
        <f>COUNTIFS(Q:Q, "&lt;=" &amp; BT15, R:R, "&gt;" &amp; BT15)+COUNTIFS(B:B, "&lt;=" &amp; BS15, C:C, "&gt;" &amp; BS15)+'Nesting Staffing'!BU15+'Pavia Staffing'!BU15</f>
        <v>113</v>
      </c>
      <c r="BV15" s="139">
        <f>COUNTIFS(B:B, "&lt;=" &amp; BT15, C:C, "&gt;" &amp; BT15)+COUNTIFS(D:D, "&lt;=" &amp; BS15, E:E, "&gt;" &amp; BS15)+'Nesting Staffing'!BV15+'Pavia Staffing'!BV15</f>
        <v>43</v>
      </c>
      <c r="BW15" s="139">
        <f>COUNTIFS(D:D, "&lt;=" &amp; BT15, E:E, "&gt;" &amp; BT15)+COUNTIFS(F:F, "&lt;=" &amp; BS15, G:G, "&gt;" &amp; BS15)+'Nesting Staffing'!BW15+'Pavia Staffing'!BW15</f>
        <v>51</v>
      </c>
      <c r="BX15" s="139">
        <f>COUNTIFS(F:F, "&lt;=" &amp; BT15, G:G, "&gt;" &amp; BT15)+COUNTIFS(H:H, "&lt;=" &amp; BS15, I:I, "&gt;" &amp; BS15)+'Nesting Staffing'!BX15+'Pavia Staffing'!BX15</f>
        <v>95</v>
      </c>
      <c r="BY15" s="139">
        <f>COUNTIFS(H:H, "&lt;=" &amp; BT15, I:I, "&gt;" &amp; BT15)+COUNTIFS(J:J, "&lt;=" &amp; BS15, K:K, "&gt;" &amp; BS15)+'Nesting Staffing'!BY15+'Pavia Staffing'!BY15</f>
        <v>83</v>
      </c>
      <c r="BZ15" s="139">
        <f>COUNTIFS(J:J, "&lt;=" &amp; BT15, K:K, "&gt;" &amp; BT15)+COUNTIFS(L:L, "&lt;=" &amp; BS15, M:M, "&gt;" &amp; BS15)+'Nesting Staffing'!BZ15+'Pavia Staffing'!BZ15</f>
        <v>88</v>
      </c>
      <c r="CA15" s="52">
        <f>COUNTIFS(N:N, "&lt;=" &amp; BS15, O:O, "&gt;" &amp; BS15)+COUNTIFS(L:L, "&lt;=" &amp; BT15, M:M, "&gt;" &amp; BT15)+'Nesting Staffing'!CA15+'Pavia Staffing'!CA15</f>
        <v>92</v>
      </c>
      <c r="CB15" s="53">
        <f>COUNTIFS(T:T, "&lt;=" &amp; BS15, U:U, "&gt;" &amp; BS15)+COUNTIFS(N:N, "&lt;=" &amp; BT15, O:O, "&gt;" &amp; BT15)+'Nesting Staffing'!CB15+'Pavia Staffing'!CB15</f>
        <v>95</v>
      </c>
      <c r="CC15" s="139">
        <f>COUNTIFS(V:V, "&lt;=" &amp; BS15, W:W, "&gt;" &amp; BS15)+COUNTIFS(T:T, "&lt;=" &amp; BT15, U:U, "&gt;" &amp; BT15)+'Nesting Staffing'!CC15+'Pavia Staffing'!CC15</f>
        <v>55</v>
      </c>
      <c r="CD15" s="139">
        <f>COUNTIFS(X:X, "&lt;=" &amp; BS15, Y:Y, "&gt;" &amp; BS15)+COUNTIFS(V:V, "&lt;=" &amp; BT15, W:W, "&gt;" &amp; BT15)+'Nesting Staffing'!CD15+'Pavia Staffing'!CD15</f>
        <v>55</v>
      </c>
      <c r="CE15" s="139">
        <f>COUNTIFS(Z:Z, "&lt;=" &amp; BS15, AA:AA, "&gt;" &amp; BS15)+COUNTIFS(X:X, "&lt;=" &amp; BT15, Y:Y, "&gt;" &amp; BT15)+'Nesting Staffing'!CE15+'Pavia Staffing'!CE15</f>
        <v>101</v>
      </c>
      <c r="CF15" s="139">
        <f>COUNTIFS(AB:AB, "&lt;=" &amp; BS15, AC:AC, "&gt;" &amp; BS15)+COUNTIFS(Z:Z, "&lt;=" &amp; BT15, AA:AA, "&gt;" &amp; BT15)+'Nesting Staffing'!CF15+'Pavia Staffing'!CF15</f>
        <v>97</v>
      </c>
      <c r="CG15" s="139">
        <f>COUNTIFS(AD:AD, "&lt;=" &amp; BS15, AE:AE, "&gt;" &amp; BS15)+COUNTIFS(AB:AB, "&lt;=" &amp; BT15, AC:AC, "&gt;" &amp; BT15)+'Nesting Staffing'!CG15+'Pavia Staffing'!CG15</f>
        <v>88</v>
      </c>
      <c r="CH15" s="52">
        <f>COUNTIFS(AF:AF, "&lt;=" &amp; BS15, AG:AG, "&gt;" &amp; BS15)+COUNTIFS(AD:AD, "&lt;=" &amp; BT15, AE:AE, "&gt;" &amp; BT15)+'Nesting Staffing'!CH15+'Pavia Staffing'!CH15</f>
        <v>74</v>
      </c>
      <c r="CI15" s="53">
        <f>COUNTIFS(AI:AI, "&lt;=" &amp; BS15, AJ:AJ, "&gt;" &amp; BS15)+COUNTIFS(AF:AF, "&lt;=" &amp; BT15, AG:AG, "&gt;" &amp; BT15)+'Nesting Staffing'!CI15+'Pavia Staffing'!CI15</f>
        <v>95</v>
      </c>
      <c r="CJ15" s="139">
        <f>COUNTIFS(AK:AK, "&lt;=" &amp; BS15, AL:AL, "&gt;" &amp; BS15)+COUNTIFS(AI:AI, "&lt;=" &amp; BT15, AJ:AJ, "&gt;" &amp; BT15)+'Nesting Staffing'!CJ15+'Pavia Staffing'!CJ15</f>
        <v>55</v>
      </c>
      <c r="CK15" s="139">
        <f>COUNTIFS(AM:AM, "&lt;=" &amp; BS15, AN:AN, "&gt;" &amp; BS15)+COUNTIFS(AK:AK, "&lt;=" &amp; BT15, AL:AL, "&gt;" &amp; BT15)+'Nesting Staffing'!CK15+'Pavia Staffing'!CK15</f>
        <v>55</v>
      </c>
      <c r="CL15" s="139">
        <f>COUNTIFS(AO:AO, "&lt;=" &amp; BS15, AP:AP, "&gt;" &amp; BS15)+COUNTIFS(AM:AM, "&lt;=" &amp; BT15, AN:AN, "&gt;" &amp; BT15)+'Nesting Staffing'!CL15+'Pavia Staffing'!CL15</f>
        <v>101</v>
      </c>
      <c r="CM15" s="139">
        <f>COUNTIFS(AQ:AQ, "&lt;=" &amp; BS15, AR:AR, "&gt;" &amp; BS15)+COUNTIFS(AO:AO, "&lt;=" &amp; BT15, AP:AP, "&gt;" &amp; BT15)+'Nesting Staffing'!CM15+'Pavia Staffing'!CM15</f>
        <v>97</v>
      </c>
      <c r="CN15" s="139">
        <f>COUNTIFS(AS:AS, "&lt;=" &amp; BS15, AT:AT, "&gt;" &amp; BS15)+COUNTIFS(AQ:AQ, "&lt;=" &amp; BT15, AR:AR, "&gt;" &amp; BT15)+'Nesting Staffing'!CN15+'Pavia Staffing'!CN15</f>
        <v>88</v>
      </c>
      <c r="CO15" s="52">
        <f>COUNTIFS(AU:AU, "&lt;=" &amp; BS15, AV:AV, "&gt;" &amp; BS15)+COUNTIFS(AS:AS, "&lt;=" &amp; BT15, AT:AT, "&gt;" &amp; BT15)+'Nesting Staffing'!CO15+'Pavia Staffing'!CO15</f>
        <v>74</v>
      </c>
    </row>
    <row r="16" spans="1:97" x14ac:dyDescent="0.25">
      <c r="A16" s="20" t="str">
        <f>IFERROR('Agent Sched'!B17,"-")</f>
        <v>Perey Joy  Torino</v>
      </c>
      <c r="B16" s="12">
        <f>IFERROR(VLOOKUP(A16,'Agent Sched'!$B:$C,2,),"-")</f>
        <v>0.375</v>
      </c>
      <c r="C16" s="13">
        <f t="shared" si="7"/>
        <v>0.75</v>
      </c>
      <c r="D16" s="12">
        <f>IFERROR(VLOOKUP(A16,'Agent Sched'!B:D,3,),"-")</f>
        <v>0.375</v>
      </c>
      <c r="E16" s="13">
        <f t="shared" si="8"/>
        <v>0.75</v>
      </c>
      <c r="F16" s="12">
        <f>IFERROR(VLOOKUP(A16,'Agent Sched'!B:E,4,),"-")</f>
        <v>0.375</v>
      </c>
      <c r="G16" s="13">
        <f t="shared" si="9"/>
        <v>0.75</v>
      </c>
      <c r="H16" s="12" t="str">
        <f>IFERROR(VLOOKUP(A16,'Agent Sched'!B:F,5,),"-")</f>
        <v>OFF</v>
      </c>
      <c r="I16" s="13" t="str">
        <f t="shared" si="10"/>
        <v>OFF</v>
      </c>
      <c r="J16" s="12" t="str">
        <f>IFERROR(VLOOKUP(A16,'Agent Sched'!B:G,6,),"-")</f>
        <v>OFF</v>
      </c>
      <c r="K16" s="13" t="str">
        <f t="shared" si="11"/>
        <v>OFF</v>
      </c>
      <c r="L16" s="12">
        <f>IFERROR(VLOOKUP(A16,'Agent Sched'!B:H,7,),"-")</f>
        <v>0.375</v>
      </c>
      <c r="M16" s="13">
        <f t="shared" si="12"/>
        <v>0.75</v>
      </c>
      <c r="N16" s="21">
        <f>IFERROR(VLOOKUP(A16,'Agent Sched'!B:I,8,),"-")</f>
        <v>0.375</v>
      </c>
      <c r="O16" s="13">
        <f t="shared" si="13"/>
        <v>0.75</v>
      </c>
      <c r="Q16" s="12">
        <f>VLOOKUP(A16,'Agent Sched'!B:Y,24,)</f>
        <v>0.375</v>
      </c>
      <c r="R16" s="13">
        <f t="shared" si="14"/>
        <v>0.75</v>
      </c>
      <c r="T16" s="25" t="str">
        <f>VLOOKUP(A16,'Agent Sched'!$B:$J,9,)</f>
        <v>OFF</v>
      </c>
      <c r="U16" s="13" t="str">
        <f t="shared" si="15"/>
        <v>OFF</v>
      </c>
      <c r="V16" s="12">
        <f>VLOOKUP(A16,'Agent Sched'!B:K,10,)</f>
        <v>0.375</v>
      </c>
      <c r="W16" s="13">
        <f t="shared" si="16"/>
        <v>0.75</v>
      </c>
      <c r="X16" s="12">
        <f>VLOOKUP(A16,'Agent Sched'!B:L,11,)</f>
        <v>0.375</v>
      </c>
      <c r="Y16" s="13">
        <f t="shared" si="17"/>
        <v>0.75</v>
      </c>
      <c r="Z16" s="12">
        <f>VLOOKUP(A16,'Agent Sched'!B:M,12,)</f>
        <v>0.375</v>
      </c>
      <c r="AA16" s="13">
        <f t="shared" si="18"/>
        <v>0.75</v>
      </c>
      <c r="AB16" s="12">
        <f>VLOOKUP(A16,'Agent Sched'!B:N,13,)</f>
        <v>0.375</v>
      </c>
      <c r="AC16" s="13">
        <f t="shared" si="19"/>
        <v>0.75</v>
      </c>
      <c r="AD16" s="12">
        <f>VLOOKUP(A16,'Agent Sched'!B:O,14,)</f>
        <v>0.375</v>
      </c>
      <c r="AE16" s="13">
        <f t="shared" si="20"/>
        <v>0.75</v>
      </c>
      <c r="AF16" s="21" t="str">
        <f>VLOOKUP(A16,'Agent Sched'!B:P,15,)</f>
        <v>OFF</v>
      </c>
      <c r="AG16" s="13" t="str">
        <f t="shared" si="21"/>
        <v>OFF</v>
      </c>
      <c r="AI16" s="25" t="str">
        <f>VLOOKUP(A16,'Agent Sched'!$B:$Q,16,)</f>
        <v>OFF</v>
      </c>
      <c r="AJ16" s="13" t="str">
        <f t="shared" si="22"/>
        <v>OFF</v>
      </c>
      <c r="AK16" s="12">
        <f>VLOOKUP(A16,'Agent Sched'!B:R,17,)</f>
        <v>0.375</v>
      </c>
      <c r="AL16" s="13">
        <f t="shared" si="23"/>
        <v>0.75</v>
      </c>
      <c r="AM16" s="12">
        <f>VLOOKUP(A16,'Agent Sched'!B:S,18,)</f>
        <v>0.375</v>
      </c>
      <c r="AN16" s="13">
        <f t="shared" si="24"/>
        <v>0.75</v>
      </c>
      <c r="AO16" s="12">
        <f>VLOOKUP(A16,'Agent Sched'!B:T,19,)</f>
        <v>0.375</v>
      </c>
      <c r="AP16" s="13">
        <f t="shared" si="25"/>
        <v>0.75</v>
      </c>
      <c r="AQ16" s="12">
        <f>VLOOKUP(A16,'Agent Sched'!B:U,20,)</f>
        <v>0.375</v>
      </c>
      <c r="AR16" s="13">
        <f t="shared" si="26"/>
        <v>0.75</v>
      </c>
      <c r="AS16" s="12">
        <f>VLOOKUP(A16,'Agent Sched'!B:V,21,)</f>
        <v>0.375</v>
      </c>
      <c r="AT16" s="13">
        <f t="shared" si="27"/>
        <v>0.75</v>
      </c>
      <c r="AU16" s="21" t="str">
        <f>VLOOKUP(A16,'Agent Sched'!B:W,22,)</f>
        <v>OFF</v>
      </c>
      <c r="AV16" s="13" t="str">
        <f t="shared" si="28"/>
        <v>OFF</v>
      </c>
      <c r="AX16" s="30">
        <v>0.54166666666666696</v>
      </c>
      <c r="AY16" s="10">
        <v>1.5416666666666701</v>
      </c>
      <c r="AZ16" s="31">
        <f t="shared" si="29"/>
        <v>10</v>
      </c>
      <c r="BA16" s="31">
        <f t="shared" si="30"/>
        <v>10</v>
      </c>
      <c r="BB16" s="31">
        <f t="shared" si="31"/>
        <v>10</v>
      </c>
      <c r="BC16" s="31">
        <f t="shared" si="32"/>
        <v>2</v>
      </c>
      <c r="BD16" s="31">
        <f t="shared" si="33"/>
        <v>2</v>
      </c>
      <c r="BE16" s="31">
        <f t="shared" si="34"/>
        <v>8</v>
      </c>
      <c r="BF16" s="32">
        <f t="shared" si="35"/>
        <v>8</v>
      </c>
      <c r="BH16" s="30">
        <v>0.54166666666666696</v>
      </c>
      <c r="BI16" s="10">
        <v>1.5416666666666601</v>
      </c>
      <c r="BJ16" s="31">
        <f t="shared" si="0"/>
        <v>13</v>
      </c>
      <c r="BK16" s="31">
        <f t="shared" si="1"/>
        <v>13</v>
      </c>
      <c r="BL16" s="31">
        <f t="shared" si="2"/>
        <v>13</v>
      </c>
      <c r="BM16" s="31">
        <f t="shared" si="3"/>
        <v>13</v>
      </c>
      <c r="BN16" s="31">
        <f t="shared" si="4"/>
        <v>13</v>
      </c>
      <c r="BO16" s="31">
        <f t="shared" si="5"/>
        <v>0</v>
      </c>
      <c r="BP16" s="32">
        <f t="shared" si="6"/>
        <v>0</v>
      </c>
      <c r="BS16" s="38">
        <v>0.54166666666666696</v>
      </c>
      <c r="BT16" s="39">
        <v>1.5416666666666701</v>
      </c>
      <c r="BU16" s="53">
        <f>COUNTIFS(Q:Q, "&lt;=" &amp; BT16, R:R, "&gt;" &amp; BT16)+COUNTIFS(B:B, "&lt;=" &amp; BS16, C:C, "&gt;" &amp; BS16)+'Nesting Staffing'!BU16+'Pavia Staffing'!BU16</f>
        <v>113</v>
      </c>
      <c r="BV16" s="139">
        <f>COUNTIFS(B:B, "&lt;=" &amp; BT16, C:C, "&gt;" &amp; BT16)+COUNTIFS(D:D, "&lt;=" &amp; BS16, E:E, "&gt;" &amp; BS16)+'Nesting Staffing'!BV16+'Pavia Staffing'!BV16</f>
        <v>43</v>
      </c>
      <c r="BW16" s="139">
        <f>COUNTIFS(D:D, "&lt;=" &amp; BT16, E:E, "&gt;" &amp; BT16)+COUNTIFS(F:F, "&lt;=" &amp; BS16, G:G, "&gt;" &amp; BS16)+'Nesting Staffing'!BW16+'Pavia Staffing'!BW16</f>
        <v>51</v>
      </c>
      <c r="BX16" s="139">
        <f>COUNTIFS(F:F, "&lt;=" &amp; BT16, G:G, "&gt;" &amp; BT16)+COUNTIFS(H:H, "&lt;=" &amp; BS16, I:I, "&gt;" &amp; BS16)+'Nesting Staffing'!BX16+'Pavia Staffing'!BX16</f>
        <v>95</v>
      </c>
      <c r="BY16" s="139">
        <f>COUNTIFS(H:H, "&lt;=" &amp; BT16, I:I, "&gt;" &amp; BT16)+COUNTIFS(J:J, "&lt;=" &amp; BS16, K:K, "&gt;" &amp; BS16)+'Nesting Staffing'!BY16+'Pavia Staffing'!BY16</f>
        <v>83</v>
      </c>
      <c r="BZ16" s="139">
        <f>COUNTIFS(J:J, "&lt;=" &amp; BT16, K:K, "&gt;" &amp; BT16)+COUNTIFS(L:L, "&lt;=" &amp; BS16, M:M, "&gt;" &amp; BS16)+'Nesting Staffing'!BZ16+'Pavia Staffing'!BZ16</f>
        <v>88</v>
      </c>
      <c r="CA16" s="52">
        <f>COUNTIFS(N:N, "&lt;=" &amp; BS16, O:O, "&gt;" &amp; BS16)+COUNTIFS(L:L, "&lt;=" &amp; BT16, M:M, "&gt;" &amp; BT16)+'Nesting Staffing'!CA16+'Pavia Staffing'!CA16</f>
        <v>92</v>
      </c>
      <c r="CB16" s="53">
        <f>COUNTIFS(T:T, "&lt;=" &amp; BS16, U:U, "&gt;" &amp; BS16)+COUNTIFS(N:N, "&lt;=" &amp; BT16, O:O, "&gt;" &amp; BT16)+'Nesting Staffing'!CB16+'Pavia Staffing'!CB16</f>
        <v>95</v>
      </c>
      <c r="CC16" s="139">
        <f>COUNTIFS(V:V, "&lt;=" &amp; BS16, W:W, "&gt;" &amp; BS16)+COUNTIFS(T:T, "&lt;=" &amp; BT16, U:U, "&gt;" &amp; BT16)+'Nesting Staffing'!CC16+'Pavia Staffing'!CC16</f>
        <v>55</v>
      </c>
      <c r="CD16" s="139">
        <f>COUNTIFS(X:X, "&lt;=" &amp; BS16, Y:Y, "&gt;" &amp; BS16)+COUNTIFS(V:V, "&lt;=" &amp; BT16, W:W, "&gt;" &amp; BT16)+'Nesting Staffing'!CD16+'Pavia Staffing'!CD16</f>
        <v>55</v>
      </c>
      <c r="CE16" s="139">
        <f>COUNTIFS(Z:Z, "&lt;=" &amp; BS16, AA:AA, "&gt;" &amp; BS16)+COUNTIFS(X:X, "&lt;=" &amp; BT16, Y:Y, "&gt;" &amp; BT16)+'Nesting Staffing'!CE16+'Pavia Staffing'!CE16</f>
        <v>101</v>
      </c>
      <c r="CF16" s="139">
        <f>COUNTIFS(AB:AB, "&lt;=" &amp; BS16, AC:AC, "&gt;" &amp; BS16)+COUNTIFS(Z:Z, "&lt;=" &amp; BT16, AA:AA, "&gt;" &amp; BT16)+'Nesting Staffing'!CF16+'Pavia Staffing'!CF16</f>
        <v>97</v>
      </c>
      <c r="CG16" s="139">
        <f>COUNTIFS(AD:AD, "&lt;=" &amp; BS16, AE:AE, "&gt;" &amp; BS16)+COUNTIFS(AB:AB, "&lt;=" &amp; BT16, AC:AC, "&gt;" &amp; BT16)+'Nesting Staffing'!CG16+'Pavia Staffing'!CG16</f>
        <v>88</v>
      </c>
      <c r="CH16" s="52">
        <f>COUNTIFS(AF:AF, "&lt;=" &amp; BS16, AG:AG, "&gt;" &amp; BS16)+COUNTIFS(AD:AD, "&lt;=" &amp; BT16, AE:AE, "&gt;" &amp; BT16)+'Nesting Staffing'!CH16+'Pavia Staffing'!CH16</f>
        <v>74</v>
      </c>
      <c r="CI16" s="53">
        <f>COUNTIFS(AI:AI, "&lt;=" &amp; BS16, AJ:AJ, "&gt;" &amp; BS16)+COUNTIFS(AF:AF, "&lt;=" &amp; BT16, AG:AG, "&gt;" &amp; BT16)+'Nesting Staffing'!CI16+'Pavia Staffing'!CI16</f>
        <v>95</v>
      </c>
      <c r="CJ16" s="139">
        <f>COUNTIFS(AK:AK, "&lt;=" &amp; BS16, AL:AL, "&gt;" &amp; BS16)+COUNTIFS(AI:AI, "&lt;=" &amp; BT16, AJ:AJ, "&gt;" &amp; BT16)+'Nesting Staffing'!CJ16+'Pavia Staffing'!CJ16</f>
        <v>55</v>
      </c>
      <c r="CK16" s="139">
        <f>COUNTIFS(AM:AM, "&lt;=" &amp; BS16, AN:AN, "&gt;" &amp; BS16)+COUNTIFS(AK:AK, "&lt;=" &amp; BT16, AL:AL, "&gt;" &amp; BT16)+'Nesting Staffing'!CK16+'Pavia Staffing'!CK16</f>
        <v>55</v>
      </c>
      <c r="CL16" s="139">
        <f>COUNTIFS(AO:AO, "&lt;=" &amp; BS16, AP:AP, "&gt;" &amp; BS16)+COUNTIFS(AM:AM, "&lt;=" &amp; BT16, AN:AN, "&gt;" &amp; BT16)+'Nesting Staffing'!CL16+'Pavia Staffing'!CL16</f>
        <v>101</v>
      </c>
      <c r="CM16" s="139">
        <f>COUNTIFS(AQ:AQ, "&lt;=" &amp; BS16, AR:AR, "&gt;" &amp; BS16)+COUNTIFS(AO:AO, "&lt;=" &amp; BT16, AP:AP, "&gt;" &amp; BT16)+'Nesting Staffing'!CM16+'Pavia Staffing'!CM16</f>
        <v>97</v>
      </c>
      <c r="CN16" s="139">
        <f>COUNTIFS(AS:AS, "&lt;=" &amp; BS16, AT:AT, "&gt;" &amp; BS16)+COUNTIFS(AQ:AQ, "&lt;=" &amp; BT16, AR:AR, "&gt;" &amp; BT16)+'Nesting Staffing'!CN16+'Pavia Staffing'!CN16</f>
        <v>88</v>
      </c>
      <c r="CO16" s="52">
        <f>COUNTIFS(AU:AU, "&lt;=" &amp; BS16, AV:AV, "&gt;" &amp; BS16)+COUNTIFS(AS:AS, "&lt;=" &amp; BT16, AT:AT, "&gt;" &amp; BT16)+'Nesting Staffing'!CO16+'Pavia Staffing'!CO16</f>
        <v>74</v>
      </c>
    </row>
    <row r="17" spans="1:93" x14ac:dyDescent="0.25">
      <c r="A17" s="20" t="str">
        <f>IFERROR('Agent Sched'!B18,"-")</f>
        <v>Ma. Lobell Trestiza</v>
      </c>
      <c r="B17" s="12">
        <f>IFERROR(VLOOKUP(A17,'Agent Sched'!$B:$C,2,),"-")</f>
        <v>0.375</v>
      </c>
      <c r="C17" s="13">
        <f t="shared" si="7"/>
        <v>0.75</v>
      </c>
      <c r="D17" s="12">
        <f>IFERROR(VLOOKUP(A17,'Agent Sched'!B:D,3,),"-")</f>
        <v>0.375</v>
      </c>
      <c r="E17" s="13">
        <f t="shared" si="8"/>
        <v>0.75</v>
      </c>
      <c r="F17" s="12">
        <f>IFERROR(VLOOKUP(A17,'Agent Sched'!B:E,4,),"-")</f>
        <v>0.375</v>
      </c>
      <c r="G17" s="13">
        <f t="shared" si="9"/>
        <v>0.75</v>
      </c>
      <c r="H17" s="12" t="str">
        <f>IFERROR(VLOOKUP(A17,'Agent Sched'!B:F,5,),"-")</f>
        <v>OFF</v>
      </c>
      <c r="I17" s="13" t="str">
        <f t="shared" si="10"/>
        <v>OFF</v>
      </c>
      <c r="J17" s="12" t="str">
        <f>IFERROR(VLOOKUP(A17,'Agent Sched'!B:G,6,),"-")</f>
        <v>OFF</v>
      </c>
      <c r="K17" s="13" t="str">
        <f t="shared" si="11"/>
        <v>OFF</v>
      </c>
      <c r="L17" s="12">
        <f>IFERROR(VLOOKUP(A17,'Agent Sched'!B:H,7,),"-")</f>
        <v>0.375</v>
      </c>
      <c r="M17" s="13">
        <f t="shared" si="12"/>
        <v>0.75</v>
      </c>
      <c r="N17" s="21">
        <f>IFERROR(VLOOKUP(A17,'Agent Sched'!B:I,8,),"-")</f>
        <v>0.375</v>
      </c>
      <c r="O17" s="13">
        <f t="shared" si="13"/>
        <v>0.75</v>
      </c>
      <c r="Q17" s="12">
        <f>VLOOKUP(A17,'Agent Sched'!B:Y,24,)</f>
        <v>0.375</v>
      </c>
      <c r="R17" s="13">
        <f t="shared" si="14"/>
        <v>0.75</v>
      </c>
      <c r="T17" s="25" t="str">
        <f>VLOOKUP(A17,'Agent Sched'!$B:$J,9,)</f>
        <v>OFF</v>
      </c>
      <c r="U17" s="13" t="str">
        <f t="shared" si="15"/>
        <v>OFF</v>
      </c>
      <c r="V17" s="12">
        <f>VLOOKUP(A17,'Agent Sched'!B:K,10,)</f>
        <v>0.375</v>
      </c>
      <c r="W17" s="13">
        <f t="shared" si="16"/>
        <v>0.75</v>
      </c>
      <c r="X17" s="12">
        <f>VLOOKUP(A17,'Agent Sched'!B:L,11,)</f>
        <v>0.375</v>
      </c>
      <c r="Y17" s="13">
        <f t="shared" si="17"/>
        <v>0.75</v>
      </c>
      <c r="Z17" s="12">
        <f>VLOOKUP(A17,'Agent Sched'!B:M,12,)</f>
        <v>0.375</v>
      </c>
      <c r="AA17" s="13">
        <f t="shared" si="18"/>
        <v>0.75</v>
      </c>
      <c r="AB17" s="12">
        <f>VLOOKUP(A17,'Agent Sched'!B:N,13,)</f>
        <v>0.375</v>
      </c>
      <c r="AC17" s="13">
        <f t="shared" si="19"/>
        <v>0.75</v>
      </c>
      <c r="AD17" s="12">
        <f>VLOOKUP(A17,'Agent Sched'!B:O,14,)</f>
        <v>0.375</v>
      </c>
      <c r="AE17" s="13">
        <f t="shared" si="20"/>
        <v>0.75</v>
      </c>
      <c r="AF17" s="21" t="str">
        <f>VLOOKUP(A17,'Agent Sched'!B:P,15,)</f>
        <v>OFF</v>
      </c>
      <c r="AG17" s="13" t="str">
        <f t="shared" si="21"/>
        <v>OFF</v>
      </c>
      <c r="AI17" s="25" t="str">
        <f>VLOOKUP(A17,'Agent Sched'!$B:$Q,16,)</f>
        <v>OFF</v>
      </c>
      <c r="AJ17" s="13" t="str">
        <f t="shared" si="22"/>
        <v>OFF</v>
      </c>
      <c r="AK17" s="12">
        <f>VLOOKUP(A17,'Agent Sched'!B:R,17,)</f>
        <v>0.375</v>
      </c>
      <c r="AL17" s="13">
        <f t="shared" si="23"/>
        <v>0.75</v>
      </c>
      <c r="AM17" s="12">
        <f>VLOOKUP(A17,'Agent Sched'!B:S,18,)</f>
        <v>0.375</v>
      </c>
      <c r="AN17" s="13">
        <f t="shared" si="24"/>
        <v>0.75</v>
      </c>
      <c r="AO17" s="12">
        <f>VLOOKUP(A17,'Agent Sched'!B:T,19,)</f>
        <v>0.375</v>
      </c>
      <c r="AP17" s="13">
        <f t="shared" si="25"/>
        <v>0.75</v>
      </c>
      <c r="AQ17" s="12">
        <f>VLOOKUP(A17,'Agent Sched'!B:U,20,)</f>
        <v>0.375</v>
      </c>
      <c r="AR17" s="13">
        <f t="shared" si="26"/>
        <v>0.75</v>
      </c>
      <c r="AS17" s="12">
        <f>VLOOKUP(A17,'Agent Sched'!B:V,21,)</f>
        <v>0.375</v>
      </c>
      <c r="AT17" s="13">
        <f t="shared" si="27"/>
        <v>0.75</v>
      </c>
      <c r="AU17" s="21" t="str">
        <f>VLOOKUP(A17,'Agent Sched'!B:W,22,)</f>
        <v>OFF</v>
      </c>
      <c r="AV17" s="13" t="str">
        <f t="shared" si="28"/>
        <v>OFF</v>
      </c>
      <c r="AX17" s="30">
        <v>0.58333333333333304</v>
      </c>
      <c r="AY17" s="10">
        <v>1.5833333333333399</v>
      </c>
      <c r="AZ17" s="31">
        <f t="shared" si="29"/>
        <v>10</v>
      </c>
      <c r="BA17" s="31">
        <f t="shared" si="30"/>
        <v>10</v>
      </c>
      <c r="BB17" s="31">
        <f t="shared" si="31"/>
        <v>10</v>
      </c>
      <c r="BC17" s="31">
        <f t="shared" si="32"/>
        <v>2</v>
      </c>
      <c r="BD17" s="31">
        <f t="shared" si="33"/>
        <v>2</v>
      </c>
      <c r="BE17" s="31">
        <f t="shared" si="34"/>
        <v>8</v>
      </c>
      <c r="BF17" s="32">
        <f t="shared" si="35"/>
        <v>8</v>
      </c>
      <c r="BH17" s="30">
        <v>0.58333333333333304</v>
      </c>
      <c r="BI17" s="10">
        <v>1.5833333333333299</v>
      </c>
      <c r="BJ17" s="31">
        <f t="shared" si="0"/>
        <v>13</v>
      </c>
      <c r="BK17" s="31">
        <f t="shared" si="1"/>
        <v>13</v>
      </c>
      <c r="BL17" s="31">
        <f t="shared" si="2"/>
        <v>13</v>
      </c>
      <c r="BM17" s="31">
        <f t="shared" si="3"/>
        <v>13</v>
      </c>
      <c r="BN17" s="31">
        <f t="shared" si="4"/>
        <v>13</v>
      </c>
      <c r="BO17" s="31">
        <f t="shared" si="5"/>
        <v>0</v>
      </c>
      <c r="BP17" s="32">
        <f t="shared" si="6"/>
        <v>0</v>
      </c>
      <c r="BS17" s="38">
        <v>0.58333333333333304</v>
      </c>
      <c r="BT17" s="39">
        <v>1.5833333333333399</v>
      </c>
      <c r="BU17" s="53">
        <f>COUNTIFS(Q:Q, "&lt;=" &amp; BT17, R:R, "&gt;" &amp; BT17)+COUNTIFS(B:B, "&lt;=" &amp; BS17, C:C, "&gt;" &amp; BS17)+'Nesting Staffing'!BU17+'Pavia Staffing'!BU17</f>
        <v>134</v>
      </c>
      <c r="BV17" s="139">
        <f>COUNTIFS(B:B, "&lt;=" &amp; BT17, C:C, "&gt;" &amp; BT17)+COUNTIFS(D:D, "&lt;=" &amp; BS17, E:E, "&gt;" &amp; BS17)+'Nesting Staffing'!BV17+'Pavia Staffing'!BV17</f>
        <v>55</v>
      </c>
      <c r="BW17" s="139">
        <f>COUNTIFS(D:D, "&lt;=" &amp; BT17, E:E, "&gt;" &amp; BT17)+COUNTIFS(F:F, "&lt;=" &amp; BS17, G:G, "&gt;" &amp; BS17)+'Nesting Staffing'!BW17+'Pavia Staffing'!BW17</f>
        <v>72</v>
      </c>
      <c r="BX17" s="139">
        <f>COUNTIFS(F:F, "&lt;=" &amp; BT17, G:G, "&gt;" &amp; BT17)+COUNTIFS(H:H, "&lt;=" &amp; BS17, I:I, "&gt;" &amp; BS17)+'Nesting Staffing'!BX17+'Pavia Staffing'!BX17</f>
        <v>116</v>
      </c>
      <c r="BY17" s="139">
        <f>COUNTIFS(H:H, "&lt;=" &amp; BT17, I:I, "&gt;" &amp; BT17)+COUNTIFS(J:J, "&lt;=" &amp; BS17, K:K, "&gt;" &amp; BS17)+'Nesting Staffing'!BY17+'Pavia Staffing'!BY17</f>
        <v>104</v>
      </c>
      <c r="BZ17" s="139">
        <f>COUNTIFS(J:J, "&lt;=" &amp; BT17, K:K, "&gt;" &amp; BT17)+COUNTIFS(L:L, "&lt;=" &amp; BS17, M:M, "&gt;" &amp; BS17)+'Nesting Staffing'!BZ17+'Pavia Staffing'!BZ17</f>
        <v>88</v>
      </c>
      <c r="CA17" s="52">
        <f>COUNTIFS(N:N, "&lt;=" &amp; BS17, O:O, "&gt;" &amp; BS17)+COUNTIFS(L:L, "&lt;=" &amp; BT17, M:M, "&gt;" &amp; BT17)+'Nesting Staffing'!CA17+'Pavia Staffing'!CA17</f>
        <v>101</v>
      </c>
      <c r="CB17" s="53">
        <f>COUNTIFS(T:T, "&lt;=" &amp; BS17, U:U, "&gt;" &amp; BS17)+COUNTIFS(N:N, "&lt;=" &amp; BT17, O:O, "&gt;" &amp; BT17)+'Nesting Staffing'!CB17+'Pavia Staffing'!CB17</f>
        <v>116</v>
      </c>
      <c r="CC17" s="139">
        <f>COUNTIFS(V:V, "&lt;=" &amp; BS17, W:W, "&gt;" &amp; BS17)+COUNTIFS(T:T, "&lt;=" &amp; BT17, U:U, "&gt;" &amp; BT17)+'Nesting Staffing'!CC17+'Pavia Staffing'!CC17</f>
        <v>76</v>
      </c>
      <c r="CD17" s="139">
        <f>COUNTIFS(X:X, "&lt;=" &amp; BS17, Y:Y, "&gt;" &amp; BS17)+COUNTIFS(V:V, "&lt;=" &amp; BT17, W:W, "&gt;" &amp; BT17)+'Nesting Staffing'!CD17+'Pavia Staffing'!CD17</f>
        <v>76</v>
      </c>
      <c r="CE17" s="139">
        <f>COUNTIFS(Z:Z, "&lt;=" &amp; BS17, AA:AA, "&gt;" &amp; BS17)+COUNTIFS(X:X, "&lt;=" &amp; BT17, Y:Y, "&gt;" &amp; BT17)+'Nesting Staffing'!CE17+'Pavia Staffing'!CE17</f>
        <v>122</v>
      </c>
      <c r="CF17" s="139">
        <f>COUNTIFS(AB:AB, "&lt;=" &amp; BS17, AC:AC, "&gt;" &amp; BS17)+COUNTIFS(Z:Z, "&lt;=" &amp; BT17, AA:AA, "&gt;" &amp; BT17)+'Nesting Staffing'!CF17+'Pavia Staffing'!CF17</f>
        <v>109</v>
      </c>
      <c r="CG17" s="139">
        <f>COUNTIFS(AD:AD, "&lt;=" &amp; BS17, AE:AE, "&gt;" &amp; BS17)+COUNTIFS(AB:AB, "&lt;=" &amp; BT17, AC:AC, "&gt;" &amp; BT17)+'Nesting Staffing'!CG17+'Pavia Staffing'!CG17</f>
        <v>88</v>
      </c>
      <c r="CH17" s="52">
        <f>COUNTIFS(AF:AF, "&lt;=" &amp; BS17, AG:AG, "&gt;" &amp; BS17)+COUNTIFS(AD:AD, "&lt;=" &amp; BT17, AE:AE, "&gt;" &amp; BT17)+'Nesting Staffing'!CH17+'Pavia Staffing'!CH17</f>
        <v>83</v>
      </c>
      <c r="CI17" s="53">
        <f>COUNTIFS(AI:AI, "&lt;=" &amp; BS17, AJ:AJ, "&gt;" &amp; BS17)+COUNTIFS(AF:AF, "&lt;=" &amp; BT17, AG:AG, "&gt;" &amp; BT17)+'Nesting Staffing'!CI17+'Pavia Staffing'!CI17</f>
        <v>116</v>
      </c>
      <c r="CJ17" s="139">
        <f>COUNTIFS(AK:AK, "&lt;=" &amp; BS17, AL:AL, "&gt;" &amp; BS17)+COUNTIFS(AI:AI, "&lt;=" &amp; BT17, AJ:AJ, "&gt;" &amp; BT17)+'Nesting Staffing'!CJ17+'Pavia Staffing'!CJ17</f>
        <v>76</v>
      </c>
      <c r="CK17" s="139">
        <f>COUNTIFS(AM:AM, "&lt;=" &amp; BS17, AN:AN, "&gt;" &amp; BS17)+COUNTIFS(AK:AK, "&lt;=" &amp; BT17, AL:AL, "&gt;" &amp; BT17)+'Nesting Staffing'!CK17+'Pavia Staffing'!CK17</f>
        <v>76</v>
      </c>
      <c r="CL17" s="139">
        <f>COUNTIFS(AO:AO, "&lt;=" &amp; BS17, AP:AP, "&gt;" &amp; BS17)+COUNTIFS(AM:AM, "&lt;=" &amp; BT17, AN:AN, "&gt;" &amp; BT17)+'Nesting Staffing'!CL17+'Pavia Staffing'!CL17</f>
        <v>122</v>
      </c>
      <c r="CM17" s="139">
        <f>COUNTIFS(AQ:AQ, "&lt;=" &amp; BS17, AR:AR, "&gt;" &amp; BS17)+COUNTIFS(AO:AO, "&lt;=" &amp; BT17, AP:AP, "&gt;" &amp; BT17)+'Nesting Staffing'!CM17+'Pavia Staffing'!CM17</f>
        <v>109</v>
      </c>
      <c r="CN17" s="139">
        <f>COUNTIFS(AS:AS, "&lt;=" &amp; BS17, AT:AT, "&gt;" &amp; BS17)+COUNTIFS(AQ:AQ, "&lt;=" &amp; BT17, AR:AR, "&gt;" &amp; BT17)+'Nesting Staffing'!CN17+'Pavia Staffing'!CN17</f>
        <v>88</v>
      </c>
      <c r="CO17" s="52">
        <f>COUNTIFS(AU:AU, "&lt;=" &amp; BS17, AV:AV, "&gt;" &amp; BS17)+COUNTIFS(AS:AS, "&lt;=" &amp; BT17, AT:AT, "&gt;" &amp; BT17)+'Nesting Staffing'!CO17+'Pavia Staffing'!CO17</f>
        <v>83</v>
      </c>
    </row>
    <row r="18" spans="1:93" x14ac:dyDescent="0.25">
      <c r="A18" s="20" t="str">
        <f>IFERROR('Agent Sched'!B19,"-")</f>
        <v>Rosevel Nagales</v>
      </c>
      <c r="B18" s="12">
        <f>IFERROR(VLOOKUP(A18,'Agent Sched'!$B:$C,2,),"-")</f>
        <v>0.375</v>
      </c>
      <c r="C18" s="13">
        <f t="shared" si="7"/>
        <v>0.75</v>
      </c>
      <c r="D18" s="12">
        <f>IFERROR(VLOOKUP(A18,'Agent Sched'!B:D,3,),"-")</f>
        <v>0.375</v>
      </c>
      <c r="E18" s="13">
        <f t="shared" si="8"/>
        <v>0.75</v>
      </c>
      <c r="F18" s="12">
        <f>IFERROR(VLOOKUP(A18,'Agent Sched'!B:E,4,),"-")</f>
        <v>0.375</v>
      </c>
      <c r="G18" s="13">
        <f t="shared" si="9"/>
        <v>0.75</v>
      </c>
      <c r="H18" s="12" t="str">
        <f>IFERROR(VLOOKUP(A18,'Agent Sched'!B:F,5,),"-")</f>
        <v>OFF</v>
      </c>
      <c r="I18" s="13" t="str">
        <f t="shared" si="10"/>
        <v>OFF</v>
      </c>
      <c r="J18" s="12" t="str">
        <f>IFERROR(VLOOKUP(A18,'Agent Sched'!B:G,6,),"-")</f>
        <v>OFF</v>
      </c>
      <c r="K18" s="13" t="str">
        <f t="shared" si="11"/>
        <v>OFF</v>
      </c>
      <c r="L18" s="12">
        <f>IFERROR(VLOOKUP(A18,'Agent Sched'!B:H,7,),"-")</f>
        <v>0.375</v>
      </c>
      <c r="M18" s="13">
        <f t="shared" si="12"/>
        <v>0.75</v>
      </c>
      <c r="N18" s="21">
        <f>IFERROR(VLOOKUP(A18,'Agent Sched'!B:I,8,),"-")</f>
        <v>0.375</v>
      </c>
      <c r="O18" s="13">
        <f t="shared" si="13"/>
        <v>0.75</v>
      </c>
      <c r="Q18" s="12">
        <f>VLOOKUP(A18,'Agent Sched'!B:Y,24,)</f>
        <v>0.375</v>
      </c>
      <c r="R18" s="13">
        <f t="shared" si="14"/>
        <v>0.75</v>
      </c>
      <c r="T18" s="25" t="str">
        <f>VLOOKUP(A18,'Agent Sched'!$B:$J,9,)</f>
        <v>OFF</v>
      </c>
      <c r="U18" s="13" t="str">
        <f t="shared" si="15"/>
        <v>OFF</v>
      </c>
      <c r="V18" s="12">
        <f>VLOOKUP(A18,'Agent Sched'!B:K,10,)</f>
        <v>0.375</v>
      </c>
      <c r="W18" s="13">
        <f t="shared" si="16"/>
        <v>0.75</v>
      </c>
      <c r="X18" s="12">
        <f>VLOOKUP(A18,'Agent Sched'!B:L,11,)</f>
        <v>0.375</v>
      </c>
      <c r="Y18" s="13">
        <f t="shared" si="17"/>
        <v>0.75</v>
      </c>
      <c r="Z18" s="12">
        <f>VLOOKUP(A18,'Agent Sched'!B:M,12,)</f>
        <v>0.375</v>
      </c>
      <c r="AA18" s="13">
        <f t="shared" si="18"/>
        <v>0.75</v>
      </c>
      <c r="AB18" s="12">
        <f>VLOOKUP(A18,'Agent Sched'!B:N,13,)</f>
        <v>0.375</v>
      </c>
      <c r="AC18" s="13">
        <f t="shared" si="19"/>
        <v>0.75</v>
      </c>
      <c r="AD18" s="12">
        <f>VLOOKUP(A18,'Agent Sched'!B:O,14,)</f>
        <v>0.375</v>
      </c>
      <c r="AE18" s="13">
        <f t="shared" si="20"/>
        <v>0.75</v>
      </c>
      <c r="AF18" s="21" t="str">
        <f>VLOOKUP(A18,'Agent Sched'!B:P,15,)</f>
        <v>OFF</v>
      </c>
      <c r="AG18" s="13" t="str">
        <f t="shared" si="21"/>
        <v>OFF</v>
      </c>
      <c r="AI18" s="25" t="str">
        <f>VLOOKUP(A18,'Agent Sched'!$B:$Q,16,)</f>
        <v>OFF</v>
      </c>
      <c r="AJ18" s="13" t="str">
        <f t="shared" si="22"/>
        <v>OFF</v>
      </c>
      <c r="AK18" s="12">
        <f>VLOOKUP(A18,'Agent Sched'!B:R,17,)</f>
        <v>0.375</v>
      </c>
      <c r="AL18" s="13">
        <f t="shared" si="23"/>
        <v>0.75</v>
      </c>
      <c r="AM18" s="12">
        <f>VLOOKUP(A18,'Agent Sched'!B:S,18,)</f>
        <v>0.375</v>
      </c>
      <c r="AN18" s="13">
        <f t="shared" si="24"/>
        <v>0.75</v>
      </c>
      <c r="AO18" s="12">
        <f>VLOOKUP(A18,'Agent Sched'!B:T,19,)</f>
        <v>0.375</v>
      </c>
      <c r="AP18" s="13">
        <f t="shared" si="25"/>
        <v>0.75</v>
      </c>
      <c r="AQ18" s="12">
        <f>VLOOKUP(A18,'Agent Sched'!B:U,20,)</f>
        <v>0.375</v>
      </c>
      <c r="AR18" s="13">
        <f t="shared" si="26"/>
        <v>0.75</v>
      </c>
      <c r="AS18" s="12">
        <f>VLOOKUP(A18,'Agent Sched'!B:V,21,)</f>
        <v>0.375</v>
      </c>
      <c r="AT18" s="13">
        <f t="shared" si="27"/>
        <v>0.75</v>
      </c>
      <c r="AU18" s="21" t="str">
        <f>VLOOKUP(A18,'Agent Sched'!B:W,22,)</f>
        <v>OFF</v>
      </c>
      <c r="AV18" s="13" t="str">
        <f t="shared" si="28"/>
        <v>OFF</v>
      </c>
      <c r="AX18" s="30">
        <v>0.625</v>
      </c>
      <c r="AY18" s="10">
        <v>1.625</v>
      </c>
      <c r="AZ18" s="31">
        <f t="shared" si="29"/>
        <v>10</v>
      </c>
      <c r="BA18" s="31">
        <f t="shared" si="30"/>
        <v>10</v>
      </c>
      <c r="BB18" s="31">
        <f t="shared" si="31"/>
        <v>10</v>
      </c>
      <c r="BC18" s="31">
        <f t="shared" si="32"/>
        <v>2</v>
      </c>
      <c r="BD18" s="31">
        <f t="shared" si="33"/>
        <v>2</v>
      </c>
      <c r="BE18" s="31">
        <f t="shared" si="34"/>
        <v>8</v>
      </c>
      <c r="BF18" s="32">
        <f t="shared" si="35"/>
        <v>8</v>
      </c>
      <c r="BH18" s="30">
        <v>0.625</v>
      </c>
      <c r="BI18" s="10">
        <v>1.625</v>
      </c>
      <c r="BJ18" s="31">
        <f t="shared" si="0"/>
        <v>13</v>
      </c>
      <c r="BK18" s="31">
        <f t="shared" si="1"/>
        <v>13</v>
      </c>
      <c r="BL18" s="31">
        <f t="shared" si="2"/>
        <v>13</v>
      </c>
      <c r="BM18" s="31">
        <f t="shared" si="3"/>
        <v>13</v>
      </c>
      <c r="BN18" s="31">
        <f t="shared" si="4"/>
        <v>13</v>
      </c>
      <c r="BO18" s="31">
        <f t="shared" si="5"/>
        <v>0</v>
      </c>
      <c r="BP18" s="32">
        <f t="shared" si="6"/>
        <v>0</v>
      </c>
      <c r="BS18" s="38">
        <v>0.625</v>
      </c>
      <c r="BT18" s="39">
        <v>1.62500000000001</v>
      </c>
      <c r="BU18" s="53">
        <f>COUNTIFS(Q:Q, "&lt;=" &amp; BT18, R:R, "&gt;" &amp; BT18)+COUNTIFS(B:B, "&lt;=" &amp; BS18, C:C, "&gt;" &amp; BS18)+'Nesting Staffing'!BU18+'Pavia Staffing'!BU18</f>
        <v>148</v>
      </c>
      <c r="BV18" s="139">
        <f>COUNTIFS(B:B, "&lt;=" &amp; BT18, C:C, "&gt;" &amp; BT18)+COUNTIFS(D:D, "&lt;=" &amp; BS18, E:E, "&gt;" &amp; BS18)+'Nesting Staffing'!BV18+'Pavia Staffing'!BV18</f>
        <v>69</v>
      </c>
      <c r="BW18" s="139">
        <f>COUNTIFS(D:D, "&lt;=" &amp; BT18, E:E, "&gt;" &amp; BT18)+COUNTIFS(F:F, "&lt;=" &amp; BS18, G:G, "&gt;" &amp; BS18)+'Nesting Staffing'!BW18+'Pavia Staffing'!BW18</f>
        <v>72</v>
      </c>
      <c r="BX18" s="139">
        <f>COUNTIFS(F:F, "&lt;=" &amp; BT18, G:G, "&gt;" &amp; BT18)+COUNTIFS(H:H, "&lt;=" &amp; BS18, I:I, "&gt;" &amp; BS18)+'Nesting Staffing'!BX18+'Pavia Staffing'!BX18</f>
        <v>130</v>
      </c>
      <c r="BY18" s="139">
        <f>COUNTIFS(H:H, "&lt;=" &amp; BT18, I:I, "&gt;" &amp; BT18)+COUNTIFS(J:J, "&lt;=" &amp; BS18, K:K, "&gt;" &amp; BS18)+'Nesting Staffing'!BY18+'Pavia Staffing'!BY18</f>
        <v>118</v>
      </c>
      <c r="BZ18" s="139">
        <f>COUNTIFS(J:J, "&lt;=" &amp; BT18, K:K, "&gt;" &amp; BT18)+COUNTIFS(L:L, "&lt;=" &amp; BS18, M:M, "&gt;" &amp; BS18)+'Nesting Staffing'!BZ18+'Pavia Staffing'!BZ18</f>
        <v>102</v>
      </c>
      <c r="CA18" s="52">
        <f>COUNTIFS(N:N, "&lt;=" &amp; BS18, O:O, "&gt;" &amp; BS18)+COUNTIFS(L:L, "&lt;=" &amp; BT18, M:M, "&gt;" &amp; BT18)+'Nesting Staffing'!CA18+'Pavia Staffing'!CA18</f>
        <v>101</v>
      </c>
      <c r="CB18" s="53">
        <f>COUNTIFS(T:T, "&lt;=" &amp; BS18, U:U, "&gt;" &amp; BS18)+COUNTIFS(N:N, "&lt;=" &amp; BT18, O:O, "&gt;" &amp; BT18)+'Nesting Staffing'!CB18+'Pavia Staffing'!CB18</f>
        <v>116</v>
      </c>
      <c r="CC18" s="139">
        <f>COUNTIFS(V:V, "&lt;=" &amp; BS18, W:W, "&gt;" &amp; BS18)+COUNTIFS(T:T, "&lt;=" &amp; BT18, U:U, "&gt;" &amp; BT18)+'Nesting Staffing'!CC18+'Pavia Staffing'!CC18</f>
        <v>90</v>
      </c>
      <c r="CD18" s="139">
        <f>COUNTIFS(X:X, "&lt;=" &amp; BS18, Y:Y, "&gt;" &amp; BS18)+COUNTIFS(V:V, "&lt;=" &amp; BT18, W:W, "&gt;" &amp; BT18)+'Nesting Staffing'!CD18+'Pavia Staffing'!CD18</f>
        <v>90</v>
      </c>
      <c r="CE18" s="139">
        <f>COUNTIFS(Z:Z, "&lt;=" &amp; BS18, AA:AA, "&gt;" &amp; BS18)+COUNTIFS(X:X, "&lt;=" &amp; BT18, Y:Y, "&gt;" &amp; BT18)+'Nesting Staffing'!CE18+'Pavia Staffing'!CE18</f>
        <v>136</v>
      </c>
      <c r="CF18" s="139">
        <f>COUNTIFS(AB:AB, "&lt;=" &amp; BS18, AC:AC, "&gt;" &amp; BS18)+COUNTIFS(Z:Z, "&lt;=" &amp; BT18, AA:AA, "&gt;" &amp; BT18)+'Nesting Staffing'!CF18+'Pavia Staffing'!CF18</f>
        <v>123</v>
      </c>
      <c r="CG18" s="139">
        <f>COUNTIFS(AD:AD, "&lt;=" &amp; BS18, AE:AE, "&gt;" &amp; BS18)+COUNTIFS(AB:AB, "&lt;=" &amp; BT18, AC:AC, "&gt;" &amp; BT18)+'Nesting Staffing'!CG18+'Pavia Staffing'!CG18</f>
        <v>102</v>
      </c>
      <c r="CH18" s="52">
        <f>COUNTIFS(AF:AF, "&lt;=" &amp; BS18, AG:AG, "&gt;" &amp; BS18)+COUNTIFS(AD:AD, "&lt;=" &amp; BT18, AE:AE, "&gt;" &amp; BT18)+'Nesting Staffing'!CH18+'Pavia Staffing'!CH18</f>
        <v>83</v>
      </c>
      <c r="CI18" s="53">
        <f>COUNTIFS(AI:AI, "&lt;=" &amp; BS18, AJ:AJ, "&gt;" &amp; BS18)+COUNTIFS(AF:AF, "&lt;=" &amp; BT18, AG:AG, "&gt;" &amp; BT18)+'Nesting Staffing'!CI18+'Pavia Staffing'!CI18</f>
        <v>116</v>
      </c>
      <c r="CJ18" s="139">
        <f>COUNTIFS(AK:AK, "&lt;=" &amp; BS18, AL:AL, "&gt;" &amp; BS18)+COUNTIFS(AI:AI, "&lt;=" &amp; BT18, AJ:AJ, "&gt;" &amp; BT18)+'Nesting Staffing'!CJ18+'Pavia Staffing'!CJ18</f>
        <v>90</v>
      </c>
      <c r="CK18" s="139">
        <f>COUNTIFS(AM:AM, "&lt;=" &amp; BS18, AN:AN, "&gt;" &amp; BS18)+COUNTIFS(AK:AK, "&lt;=" &amp; BT18, AL:AL, "&gt;" &amp; BT18)+'Nesting Staffing'!CK18+'Pavia Staffing'!CK18</f>
        <v>90</v>
      </c>
      <c r="CL18" s="139">
        <f>COUNTIFS(AO:AO, "&lt;=" &amp; BS18, AP:AP, "&gt;" &amp; BS18)+COUNTIFS(AM:AM, "&lt;=" &amp; BT18, AN:AN, "&gt;" &amp; BT18)+'Nesting Staffing'!CL18+'Pavia Staffing'!CL18</f>
        <v>136</v>
      </c>
      <c r="CM18" s="139">
        <f>COUNTIFS(AQ:AQ, "&lt;=" &amp; BS18, AR:AR, "&gt;" &amp; BS18)+COUNTIFS(AO:AO, "&lt;=" &amp; BT18, AP:AP, "&gt;" &amp; BT18)+'Nesting Staffing'!CM18+'Pavia Staffing'!CM18</f>
        <v>123</v>
      </c>
      <c r="CN18" s="139">
        <f>COUNTIFS(AS:AS, "&lt;=" &amp; BS18, AT:AT, "&gt;" &amp; BS18)+COUNTIFS(AQ:AQ, "&lt;=" &amp; BT18, AR:AR, "&gt;" &amp; BT18)+'Nesting Staffing'!CN18+'Pavia Staffing'!CN18</f>
        <v>102</v>
      </c>
      <c r="CO18" s="52">
        <f>COUNTIFS(AU:AU, "&lt;=" &amp; BS18, AV:AV, "&gt;" &amp; BS18)+COUNTIFS(AS:AS, "&lt;=" &amp; BT18, AT:AT, "&gt;" &amp; BT18)+'Nesting Staffing'!CO18+'Pavia Staffing'!CO18</f>
        <v>83</v>
      </c>
    </row>
    <row r="19" spans="1:93" x14ac:dyDescent="0.25">
      <c r="A19" s="20" t="str">
        <f>IFERROR('Agent Sched'!B20,"-")</f>
        <v>Johannah Salay</v>
      </c>
      <c r="B19" s="12">
        <f>IFERROR(VLOOKUP(A19,'Agent Sched'!$B:$C,2,),"-")</f>
        <v>0.375</v>
      </c>
      <c r="C19" s="13">
        <f t="shared" si="7"/>
        <v>0.75</v>
      </c>
      <c r="D19" s="12">
        <f>IFERROR(VLOOKUP(A19,'Agent Sched'!B:D,3,),"-")</f>
        <v>0.375</v>
      </c>
      <c r="E19" s="13">
        <f t="shared" si="8"/>
        <v>0.75</v>
      </c>
      <c r="F19" s="12">
        <f>IFERROR(VLOOKUP(A19,'Agent Sched'!B:E,4,),"-")</f>
        <v>0.375</v>
      </c>
      <c r="G19" s="13">
        <f t="shared" si="9"/>
        <v>0.75</v>
      </c>
      <c r="H19" s="12" t="str">
        <f>IFERROR(VLOOKUP(A19,'Agent Sched'!B:F,5,),"-")</f>
        <v>OFF</v>
      </c>
      <c r="I19" s="13" t="str">
        <f t="shared" si="10"/>
        <v>OFF</v>
      </c>
      <c r="J19" s="12" t="str">
        <f>IFERROR(VLOOKUP(A19,'Agent Sched'!B:G,6,),"-")</f>
        <v>OFF</v>
      </c>
      <c r="K19" s="13" t="str">
        <f t="shared" si="11"/>
        <v>OFF</v>
      </c>
      <c r="L19" s="12">
        <f>IFERROR(VLOOKUP(A19,'Agent Sched'!B:H,7,),"-")</f>
        <v>0.375</v>
      </c>
      <c r="M19" s="13">
        <f t="shared" si="12"/>
        <v>0.75</v>
      </c>
      <c r="N19" s="21">
        <f>IFERROR(VLOOKUP(A19,'Agent Sched'!B:I,8,),"-")</f>
        <v>0.375</v>
      </c>
      <c r="O19" s="13">
        <f t="shared" si="13"/>
        <v>0.75</v>
      </c>
      <c r="Q19" s="12">
        <f>VLOOKUP(A19,'Agent Sched'!B:Y,24,)</f>
        <v>0.375</v>
      </c>
      <c r="R19" s="13">
        <f t="shared" si="14"/>
        <v>0.75</v>
      </c>
      <c r="T19" s="25" t="str">
        <f>VLOOKUP(A19,'Agent Sched'!$B:$J,9,)</f>
        <v>OFF</v>
      </c>
      <c r="U19" s="13" t="str">
        <f t="shared" si="15"/>
        <v>OFF</v>
      </c>
      <c r="V19" s="12">
        <f>VLOOKUP(A19,'Agent Sched'!B:K,10,)</f>
        <v>0.375</v>
      </c>
      <c r="W19" s="13">
        <f t="shared" si="16"/>
        <v>0.75</v>
      </c>
      <c r="X19" s="12">
        <f>VLOOKUP(A19,'Agent Sched'!B:L,11,)</f>
        <v>0.375</v>
      </c>
      <c r="Y19" s="13">
        <f t="shared" si="17"/>
        <v>0.75</v>
      </c>
      <c r="Z19" s="12">
        <f>VLOOKUP(A19,'Agent Sched'!B:M,12,)</f>
        <v>0.375</v>
      </c>
      <c r="AA19" s="13">
        <f t="shared" si="18"/>
        <v>0.75</v>
      </c>
      <c r="AB19" s="12">
        <f>VLOOKUP(A19,'Agent Sched'!B:N,13,)</f>
        <v>0.375</v>
      </c>
      <c r="AC19" s="13">
        <f t="shared" si="19"/>
        <v>0.75</v>
      </c>
      <c r="AD19" s="12">
        <f>VLOOKUP(A19,'Agent Sched'!B:O,14,)</f>
        <v>0.375</v>
      </c>
      <c r="AE19" s="13">
        <f t="shared" si="20"/>
        <v>0.75</v>
      </c>
      <c r="AF19" s="21" t="str">
        <f>VLOOKUP(A19,'Agent Sched'!B:P,15,)</f>
        <v>OFF</v>
      </c>
      <c r="AG19" s="13" t="str">
        <f t="shared" si="21"/>
        <v>OFF</v>
      </c>
      <c r="AI19" s="25" t="str">
        <f>VLOOKUP(A19,'Agent Sched'!$B:$Q,16,)</f>
        <v>OFF</v>
      </c>
      <c r="AJ19" s="13" t="str">
        <f t="shared" si="22"/>
        <v>OFF</v>
      </c>
      <c r="AK19" s="12">
        <f>VLOOKUP(A19,'Agent Sched'!B:R,17,)</f>
        <v>0.375</v>
      </c>
      <c r="AL19" s="13">
        <f t="shared" si="23"/>
        <v>0.75</v>
      </c>
      <c r="AM19" s="12">
        <f>VLOOKUP(A19,'Agent Sched'!B:S,18,)</f>
        <v>0.375</v>
      </c>
      <c r="AN19" s="13">
        <f t="shared" si="24"/>
        <v>0.75</v>
      </c>
      <c r="AO19" s="12">
        <f>VLOOKUP(A19,'Agent Sched'!B:T,19,)</f>
        <v>0.375</v>
      </c>
      <c r="AP19" s="13">
        <f t="shared" si="25"/>
        <v>0.75</v>
      </c>
      <c r="AQ19" s="12">
        <f>VLOOKUP(A19,'Agent Sched'!B:U,20,)</f>
        <v>0.375</v>
      </c>
      <c r="AR19" s="13">
        <f t="shared" si="26"/>
        <v>0.75</v>
      </c>
      <c r="AS19" s="12">
        <f>VLOOKUP(A19,'Agent Sched'!B:V,21,)</f>
        <v>0.375</v>
      </c>
      <c r="AT19" s="13">
        <f t="shared" si="27"/>
        <v>0.75</v>
      </c>
      <c r="AU19" s="21" t="str">
        <f>VLOOKUP(A19,'Agent Sched'!B:W,22,)</f>
        <v>OFF</v>
      </c>
      <c r="AV19" s="13" t="str">
        <f t="shared" si="28"/>
        <v>OFF</v>
      </c>
      <c r="AX19" s="30">
        <v>0.66666666666666696</v>
      </c>
      <c r="AY19" s="10">
        <v>1.6666666666666701</v>
      </c>
      <c r="AZ19" s="31">
        <f t="shared" si="29"/>
        <v>10</v>
      </c>
      <c r="BA19" s="31">
        <f t="shared" si="30"/>
        <v>10</v>
      </c>
      <c r="BB19" s="31">
        <f t="shared" si="31"/>
        <v>10</v>
      </c>
      <c r="BC19" s="31">
        <f t="shared" si="32"/>
        <v>2</v>
      </c>
      <c r="BD19" s="31">
        <f t="shared" si="33"/>
        <v>2</v>
      </c>
      <c r="BE19" s="31">
        <f t="shared" si="34"/>
        <v>8</v>
      </c>
      <c r="BF19" s="32">
        <f t="shared" si="35"/>
        <v>8</v>
      </c>
      <c r="BH19" s="30">
        <v>0.66666666666666696</v>
      </c>
      <c r="BI19" s="10">
        <v>1.6666666666666601</v>
      </c>
      <c r="BJ19" s="31">
        <f t="shared" si="0"/>
        <v>13</v>
      </c>
      <c r="BK19" s="31">
        <f t="shared" si="1"/>
        <v>13</v>
      </c>
      <c r="BL19" s="31">
        <f t="shared" si="2"/>
        <v>13</v>
      </c>
      <c r="BM19" s="31">
        <f t="shared" si="3"/>
        <v>13</v>
      </c>
      <c r="BN19" s="31">
        <f t="shared" si="4"/>
        <v>13</v>
      </c>
      <c r="BO19" s="31">
        <f t="shared" si="5"/>
        <v>0</v>
      </c>
      <c r="BP19" s="32">
        <f t="shared" si="6"/>
        <v>0</v>
      </c>
      <c r="BS19" s="38">
        <v>0.66666666666666696</v>
      </c>
      <c r="BT19" s="39">
        <v>1.6666666666666701</v>
      </c>
      <c r="BU19" s="53">
        <f>COUNTIFS(Q:Q, "&lt;=" &amp; BT19, R:R, "&gt;" &amp; BT19)+COUNTIFS(B:B, "&lt;=" &amp; BS19, C:C, "&gt;" &amp; BS19)+'Nesting Staffing'!BU19+'Pavia Staffing'!BU19</f>
        <v>170</v>
      </c>
      <c r="BV19" s="139">
        <f>COUNTIFS(B:B, "&lt;=" &amp; BT19, C:C, "&gt;" &amp; BT19)+COUNTIFS(D:D, "&lt;=" &amp; BS19, E:E, "&gt;" &amp; BS19)+'Nesting Staffing'!BV19+'Pavia Staffing'!BV19</f>
        <v>91</v>
      </c>
      <c r="BW19" s="139">
        <f>COUNTIFS(D:D, "&lt;=" &amp; BT19, E:E, "&gt;" &amp; BT19)+COUNTIFS(F:F, "&lt;=" &amp; BS19, G:G, "&gt;" &amp; BS19)+'Nesting Staffing'!BW19+'Pavia Staffing'!BW19</f>
        <v>85</v>
      </c>
      <c r="BX19" s="139">
        <f>COUNTIFS(F:F, "&lt;=" &amp; BT19, G:G, "&gt;" &amp; BT19)+COUNTIFS(H:H, "&lt;=" &amp; BS19, I:I, "&gt;" &amp; BS19)+'Nesting Staffing'!BX19+'Pavia Staffing'!BX19</f>
        <v>140</v>
      </c>
      <c r="BY19" s="139">
        <f>COUNTIFS(H:H, "&lt;=" &amp; BT19, I:I, "&gt;" &amp; BT19)+COUNTIFS(J:J, "&lt;=" &amp; BS19, K:K, "&gt;" &amp; BS19)+'Nesting Staffing'!BY19+'Pavia Staffing'!BY19</f>
        <v>139</v>
      </c>
      <c r="BZ19" s="139">
        <f>COUNTIFS(J:J, "&lt;=" &amp; BT19, K:K, "&gt;" &amp; BT19)+COUNTIFS(L:L, "&lt;=" &amp; BS19, M:M, "&gt;" &amp; BS19)+'Nesting Staffing'!BZ19+'Pavia Staffing'!BZ19</f>
        <v>104</v>
      </c>
      <c r="CA19" s="52">
        <f>COUNTIFS(N:N, "&lt;=" &amp; BS19, O:O, "&gt;" &amp; BS19)+COUNTIFS(L:L, "&lt;=" &amp; BT19, M:M, "&gt;" &amp; BT19)+'Nesting Staffing'!CA19+'Pavia Staffing'!CA19</f>
        <v>124</v>
      </c>
      <c r="CB19" s="53">
        <f>COUNTIFS(T:T, "&lt;=" &amp; BS19, U:U, "&gt;" &amp; BS19)+COUNTIFS(N:N, "&lt;=" &amp; BT19, O:O, "&gt;" &amp; BT19)+'Nesting Staffing'!CB19+'Pavia Staffing'!CB19</f>
        <v>138</v>
      </c>
      <c r="CC19" s="139">
        <f>COUNTIFS(V:V, "&lt;=" &amp; BS19, W:W, "&gt;" &amp; BS19)+COUNTIFS(T:T, "&lt;=" &amp; BT19, U:U, "&gt;" &amp; BT19)+'Nesting Staffing'!CC19+'Pavia Staffing'!CC19</f>
        <v>113</v>
      </c>
      <c r="CD19" s="139">
        <f>COUNTIFS(X:X, "&lt;=" &amp; BS19, Y:Y, "&gt;" &amp; BS19)+COUNTIFS(V:V, "&lt;=" &amp; BT19, W:W, "&gt;" &amp; BT19)+'Nesting Staffing'!CD19+'Pavia Staffing'!CD19</f>
        <v>113</v>
      </c>
      <c r="CE19" s="139">
        <f>COUNTIFS(Z:Z, "&lt;=" &amp; BS19, AA:AA, "&gt;" &amp; BS19)+COUNTIFS(X:X, "&lt;=" &amp; BT19, Y:Y, "&gt;" &amp; BT19)+'Nesting Staffing'!CE19+'Pavia Staffing'!CE19</f>
        <v>158</v>
      </c>
      <c r="CF19" s="139">
        <f>COUNTIFS(AB:AB, "&lt;=" &amp; BS19, AC:AC, "&gt;" &amp; BS19)+COUNTIFS(Z:Z, "&lt;=" &amp; BT19, AA:AA, "&gt;" &amp; BT19)+'Nesting Staffing'!CF19+'Pavia Staffing'!CF19</f>
        <v>123</v>
      </c>
      <c r="CG19" s="139">
        <f>COUNTIFS(AD:AD, "&lt;=" &amp; BS19, AE:AE, "&gt;" &amp; BS19)+COUNTIFS(AB:AB, "&lt;=" &amp; BT19, AC:AC, "&gt;" &amp; BT19)+'Nesting Staffing'!CG19+'Pavia Staffing'!CG19</f>
        <v>104</v>
      </c>
      <c r="CH19" s="52">
        <f>COUNTIFS(AF:AF, "&lt;=" &amp; BS19, AG:AG, "&gt;" &amp; BS19)+COUNTIFS(AD:AD, "&lt;=" &amp; BT19, AE:AE, "&gt;" &amp; BT19)+'Nesting Staffing'!CH19+'Pavia Staffing'!CH19</f>
        <v>106</v>
      </c>
      <c r="CI19" s="53">
        <f>COUNTIFS(AI:AI, "&lt;=" &amp; BS19, AJ:AJ, "&gt;" &amp; BS19)+COUNTIFS(AF:AF, "&lt;=" &amp; BT19, AG:AG, "&gt;" &amp; BT19)+'Nesting Staffing'!CI19+'Pavia Staffing'!CI19</f>
        <v>138</v>
      </c>
      <c r="CJ19" s="139">
        <f>COUNTIFS(AK:AK, "&lt;=" &amp; BS19, AL:AL, "&gt;" &amp; BS19)+COUNTIFS(AI:AI, "&lt;=" &amp; BT19, AJ:AJ, "&gt;" &amp; BT19)+'Nesting Staffing'!CJ19+'Pavia Staffing'!CJ19</f>
        <v>113</v>
      </c>
      <c r="CK19" s="139">
        <f>COUNTIFS(AM:AM, "&lt;=" &amp; BS19, AN:AN, "&gt;" &amp; BS19)+COUNTIFS(AK:AK, "&lt;=" &amp; BT19, AL:AL, "&gt;" &amp; BT19)+'Nesting Staffing'!CK19+'Pavia Staffing'!CK19</f>
        <v>113</v>
      </c>
      <c r="CL19" s="139">
        <f>COUNTIFS(AO:AO, "&lt;=" &amp; BS19, AP:AP, "&gt;" &amp; BS19)+COUNTIFS(AM:AM, "&lt;=" &amp; BT19, AN:AN, "&gt;" &amp; BT19)+'Nesting Staffing'!CL19+'Pavia Staffing'!CL19</f>
        <v>158</v>
      </c>
      <c r="CM19" s="139">
        <f>COUNTIFS(AQ:AQ, "&lt;=" &amp; BS19, AR:AR, "&gt;" &amp; BS19)+COUNTIFS(AO:AO, "&lt;=" &amp; BT19, AP:AP, "&gt;" &amp; BT19)+'Nesting Staffing'!CM19+'Pavia Staffing'!CM19</f>
        <v>123</v>
      </c>
      <c r="CN19" s="139">
        <f>COUNTIFS(AS:AS, "&lt;=" &amp; BS19, AT:AT, "&gt;" &amp; BS19)+COUNTIFS(AQ:AQ, "&lt;=" &amp; BT19, AR:AR, "&gt;" &amp; BT19)+'Nesting Staffing'!CN19+'Pavia Staffing'!CN19</f>
        <v>104</v>
      </c>
      <c r="CO19" s="52">
        <f>COUNTIFS(AU:AU, "&lt;=" &amp; BS19, AV:AV, "&gt;" &amp; BS19)+COUNTIFS(AS:AS, "&lt;=" &amp; BT19, AT:AT, "&gt;" &amp; BT19)+'Nesting Staffing'!CO19+'Pavia Staffing'!CO19</f>
        <v>106</v>
      </c>
    </row>
    <row r="20" spans="1:93" x14ac:dyDescent="0.25">
      <c r="A20" s="20" t="str">
        <f>IFERROR('Agent Sched'!B21,"-")</f>
        <v>Emilie Cabaluna Gentroles</v>
      </c>
      <c r="B20" s="12">
        <f>IFERROR(VLOOKUP(A20,'Agent Sched'!$B:$C,2,),"-")</f>
        <v>0.375</v>
      </c>
      <c r="C20" s="13">
        <f t="shared" si="7"/>
        <v>0.75</v>
      </c>
      <c r="D20" s="12">
        <f>IFERROR(VLOOKUP(A20,'Agent Sched'!B:D,3,),"-")</f>
        <v>0.375</v>
      </c>
      <c r="E20" s="13">
        <f t="shared" si="8"/>
        <v>0.75</v>
      </c>
      <c r="F20" s="12">
        <f>IFERROR(VLOOKUP(A20,'Agent Sched'!B:E,4,),"-")</f>
        <v>0.375</v>
      </c>
      <c r="G20" s="13">
        <f t="shared" si="9"/>
        <v>0.75</v>
      </c>
      <c r="H20" s="12" t="str">
        <f>IFERROR(VLOOKUP(A20,'Agent Sched'!B:F,5,),"-")</f>
        <v>OFF</v>
      </c>
      <c r="I20" s="13" t="str">
        <f t="shared" si="10"/>
        <v>OFF</v>
      </c>
      <c r="J20" s="12" t="str">
        <f>IFERROR(VLOOKUP(A20,'Agent Sched'!B:G,6,),"-")</f>
        <v>OFF</v>
      </c>
      <c r="K20" s="13" t="str">
        <f t="shared" si="11"/>
        <v>OFF</v>
      </c>
      <c r="L20" s="12">
        <f>IFERROR(VLOOKUP(A20,'Agent Sched'!B:H,7,),"-")</f>
        <v>0.375</v>
      </c>
      <c r="M20" s="13">
        <f t="shared" si="12"/>
        <v>0.75</v>
      </c>
      <c r="N20" s="21">
        <f>IFERROR(VLOOKUP(A20,'Agent Sched'!B:I,8,),"-")</f>
        <v>0.375</v>
      </c>
      <c r="O20" s="13">
        <f t="shared" si="13"/>
        <v>0.75</v>
      </c>
      <c r="Q20" s="12">
        <f>VLOOKUP(A20,'Agent Sched'!B:Y,24,)</f>
        <v>0.375</v>
      </c>
      <c r="R20" s="13">
        <f t="shared" si="14"/>
        <v>0.75</v>
      </c>
      <c r="T20" s="25" t="str">
        <f>VLOOKUP(A20,'Agent Sched'!$B:$J,9,)</f>
        <v>OFF</v>
      </c>
      <c r="U20" s="13" t="str">
        <f t="shared" si="15"/>
        <v>OFF</v>
      </c>
      <c r="V20" s="12">
        <f>VLOOKUP(A20,'Agent Sched'!B:K,10,)</f>
        <v>0.375</v>
      </c>
      <c r="W20" s="13">
        <f t="shared" si="16"/>
        <v>0.75</v>
      </c>
      <c r="X20" s="12">
        <f>VLOOKUP(A20,'Agent Sched'!B:L,11,)</f>
        <v>0.375</v>
      </c>
      <c r="Y20" s="13">
        <f t="shared" si="17"/>
        <v>0.75</v>
      </c>
      <c r="Z20" s="12">
        <f>VLOOKUP(A20,'Agent Sched'!B:M,12,)</f>
        <v>0.375</v>
      </c>
      <c r="AA20" s="13">
        <f t="shared" si="18"/>
        <v>0.75</v>
      </c>
      <c r="AB20" s="12">
        <f>VLOOKUP(A20,'Agent Sched'!B:N,13,)</f>
        <v>0.375</v>
      </c>
      <c r="AC20" s="13">
        <f t="shared" si="19"/>
        <v>0.75</v>
      </c>
      <c r="AD20" s="12">
        <f>VLOOKUP(A20,'Agent Sched'!B:O,14,)</f>
        <v>0.375</v>
      </c>
      <c r="AE20" s="13">
        <f t="shared" si="20"/>
        <v>0.75</v>
      </c>
      <c r="AF20" s="21" t="str">
        <f>VLOOKUP(A20,'Agent Sched'!B:P,15,)</f>
        <v>OFF</v>
      </c>
      <c r="AG20" s="13" t="str">
        <f t="shared" si="21"/>
        <v>OFF</v>
      </c>
      <c r="AI20" s="25" t="str">
        <f>VLOOKUP(A20,'Agent Sched'!$B:$Q,16,)</f>
        <v>OFF</v>
      </c>
      <c r="AJ20" s="13" t="str">
        <f t="shared" si="22"/>
        <v>OFF</v>
      </c>
      <c r="AK20" s="12">
        <f>VLOOKUP(A20,'Agent Sched'!B:R,17,)</f>
        <v>0.375</v>
      </c>
      <c r="AL20" s="13">
        <f t="shared" si="23"/>
        <v>0.75</v>
      </c>
      <c r="AM20" s="12">
        <f>VLOOKUP(A20,'Agent Sched'!B:S,18,)</f>
        <v>0.375</v>
      </c>
      <c r="AN20" s="13">
        <f t="shared" si="24"/>
        <v>0.75</v>
      </c>
      <c r="AO20" s="12">
        <f>VLOOKUP(A20,'Agent Sched'!B:T,19,)</f>
        <v>0.375</v>
      </c>
      <c r="AP20" s="13">
        <f t="shared" si="25"/>
        <v>0.75</v>
      </c>
      <c r="AQ20" s="12">
        <f>VLOOKUP(A20,'Agent Sched'!B:U,20,)</f>
        <v>0.375</v>
      </c>
      <c r="AR20" s="13">
        <f t="shared" si="26"/>
        <v>0.75</v>
      </c>
      <c r="AS20" s="12">
        <f>VLOOKUP(A20,'Agent Sched'!B:V,21,)</f>
        <v>0.375</v>
      </c>
      <c r="AT20" s="13">
        <f t="shared" si="27"/>
        <v>0.75</v>
      </c>
      <c r="AU20" s="21" t="str">
        <f>VLOOKUP(A20,'Agent Sched'!B:W,22,)</f>
        <v>OFF</v>
      </c>
      <c r="AV20" s="13" t="str">
        <f t="shared" si="28"/>
        <v>OFF</v>
      </c>
      <c r="AX20" s="30">
        <v>0.70833333333333304</v>
      </c>
      <c r="AY20" s="10">
        <v>1.7083333333333399</v>
      </c>
      <c r="AZ20" s="31">
        <f t="shared" si="29"/>
        <v>10</v>
      </c>
      <c r="BA20" s="31">
        <f t="shared" si="30"/>
        <v>10</v>
      </c>
      <c r="BB20" s="31">
        <f t="shared" si="31"/>
        <v>10</v>
      </c>
      <c r="BC20" s="31">
        <f t="shared" si="32"/>
        <v>2</v>
      </c>
      <c r="BD20" s="31">
        <f t="shared" si="33"/>
        <v>2</v>
      </c>
      <c r="BE20" s="31">
        <f t="shared" si="34"/>
        <v>8</v>
      </c>
      <c r="BF20" s="32">
        <f t="shared" si="35"/>
        <v>8</v>
      </c>
      <c r="BH20" s="30">
        <v>0.70833333333333304</v>
      </c>
      <c r="BI20" s="10">
        <v>1.7083333333333299</v>
      </c>
      <c r="BJ20" s="31">
        <f t="shared" si="0"/>
        <v>13</v>
      </c>
      <c r="BK20" s="31">
        <f t="shared" si="1"/>
        <v>13</v>
      </c>
      <c r="BL20" s="31">
        <f t="shared" si="2"/>
        <v>13</v>
      </c>
      <c r="BM20" s="31">
        <f t="shared" si="3"/>
        <v>13</v>
      </c>
      <c r="BN20" s="31">
        <f t="shared" si="4"/>
        <v>13</v>
      </c>
      <c r="BO20" s="31">
        <f t="shared" si="5"/>
        <v>0</v>
      </c>
      <c r="BP20" s="32">
        <f t="shared" si="6"/>
        <v>0</v>
      </c>
      <c r="BS20" s="38">
        <v>0.70833333333333304</v>
      </c>
      <c r="BT20" s="39">
        <v>1.7083333333333399</v>
      </c>
      <c r="BU20" s="53">
        <f>COUNTIFS(Q:Q, "&lt;=" &amp; BT20, R:R, "&gt;" &amp; BT20)+COUNTIFS(B:B, "&lt;=" &amp; BS20, C:C, "&gt;" &amp; BS20)+'Nesting Staffing'!BU20+'Pavia Staffing'!BU20</f>
        <v>170</v>
      </c>
      <c r="BV20" s="139">
        <f>COUNTIFS(B:B, "&lt;=" &amp; BT20, C:C, "&gt;" &amp; BT20)+COUNTIFS(D:D, "&lt;=" &amp; BS20, E:E, "&gt;" &amp; BS20)+'Nesting Staffing'!BV20+'Pavia Staffing'!BV20</f>
        <v>91</v>
      </c>
      <c r="BW20" s="139">
        <f>COUNTIFS(D:D, "&lt;=" &amp; BT20, E:E, "&gt;" &amp; BT20)+COUNTIFS(F:F, "&lt;=" &amp; BS20, G:G, "&gt;" &amp; BS20)+'Nesting Staffing'!BW20+'Pavia Staffing'!BW20</f>
        <v>85</v>
      </c>
      <c r="BX20" s="139">
        <f>COUNTIFS(F:F, "&lt;=" &amp; BT20, G:G, "&gt;" &amp; BT20)+COUNTIFS(H:H, "&lt;=" &amp; BS20, I:I, "&gt;" &amp; BS20)+'Nesting Staffing'!BX20+'Pavia Staffing'!BX20</f>
        <v>140</v>
      </c>
      <c r="BY20" s="139">
        <f>COUNTIFS(H:H, "&lt;=" &amp; BT20, I:I, "&gt;" &amp; BT20)+COUNTIFS(J:J, "&lt;=" &amp; BS20, K:K, "&gt;" &amp; BS20)+'Nesting Staffing'!BY20+'Pavia Staffing'!BY20</f>
        <v>139</v>
      </c>
      <c r="BZ20" s="139">
        <f>COUNTIFS(J:J, "&lt;=" &amp; BT20, K:K, "&gt;" &amp; BT20)+COUNTIFS(L:L, "&lt;=" &amp; BS20, M:M, "&gt;" &amp; BS20)+'Nesting Staffing'!BZ20+'Pavia Staffing'!BZ20</f>
        <v>104</v>
      </c>
      <c r="CA20" s="52">
        <f>COUNTIFS(N:N, "&lt;=" &amp; BS20, O:O, "&gt;" &amp; BS20)+COUNTIFS(L:L, "&lt;=" &amp; BT20, M:M, "&gt;" &amp; BT20)+'Nesting Staffing'!CA20+'Pavia Staffing'!CA20</f>
        <v>124</v>
      </c>
      <c r="CB20" s="53">
        <f>COUNTIFS(T:T, "&lt;=" &amp; BS20, U:U, "&gt;" &amp; BS20)+COUNTIFS(N:N, "&lt;=" &amp; BT20, O:O, "&gt;" &amp; BT20)+'Nesting Staffing'!CB20+'Pavia Staffing'!CB20</f>
        <v>138</v>
      </c>
      <c r="CC20" s="139">
        <f>COUNTIFS(V:V, "&lt;=" &amp; BS20, W:W, "&gt;" &amp; BS20)+COUNTIFS(T:T, "&lt;=" &amp; BT20, U:U, "&gt;" &amp; BT20)+'Nesting Staffing'!CC20+'Pavia Staffing'!CC20</f>
        <v>113</v>
      </c>
      <c r="CD20" s="139">
        <f>COUNTIFS(X:X, "&lt;=" &amp; BS20, Y:Y, "&gt;" &amp; BS20)+COUNTIFS(V:V, "&lt;=" &amp; BT20, W:W, "&gt;" &amp; BT20)+'Nesting Staffing'!CD20+'Pavia Staffing'!CD20</f>
        <v>113</v>
      </c>
      <c r="CE20" s="139">
        <f>COUNTIFS(Z:Z, "&lt;=" &amp; BS20, AA:AA, "&gt;" &amp; BS20)+COUNTIFS(X:X, "&lt;=" &amp; BT20, Y:Y, "&gt;" &amp; BT20)+'Nesting Staffing'!CE20+'Pavia Staffing'!CE20</f>
        <v>158</v>
      </c>
      <c r="CF20" s="139">
        <f>COUNTIFS(AB:AB, "&lt;=" &amp; BS20, AC:AC, "&gt;" &amp; BS20)+COUNTIFS(Z:Z, "&lt;=" &amp; BT20, AA:AA, "&gt;" &amp; BT20)+'Nesting Staffing'!CF20+'Pavia Staffing'!CF20</f>
        <v>123</v>
      </c>
      <c r="CG20" s="139">
        <f>COUNTIFS(AD:AD, "&lt;=" &amp; BS20, AE:AE, "&gt;" &amp; BS20)+COUNTIFS(AB:AB, "&lt;=" &amp; BT20, AC:AC, "&gt;" &amp; BT20)+'Nesting Staffing'!CG20+'Pavia Staffing'!CG20</f>
        <v>104</v>
      </c>
      <c r="CH20" s="52">
        <f>COUNTIFS(AF:AF, "&lt;=" &amp; BS20, AG:AG, "&gt;" &amp; BS20)+COUNTIFS(AD:AD, "&lt;=" &amp; BT20, AE:AE, "&gt;" &amp; BT20)+'Nesting Staffing'!CH20+'Pavia Staffing'!CH20</f>
        <v>106</v>
      </c>
      <c r="CI20" s="53">
        <f>COUNTIFS(AI:AI, "&lt;=" &amp; BS20, AJ:AJ, "&gt;" &amp; BS20)+COUNTIFS(AF:AF, "&lt;=" &amp; BT20, AG:AG, "&gt;" &amp; BT20)+'Nesting Staffing'!CI20+'Pavia Staffing'!CI20</f>
        <v>138</v>
      </c>
      <c r="CJ20" s="139">
        <f>COUNTIFS(AK:AK, "&lt;=" &amp; BS20, AL:AL, "&gt;" &amp; BS20)+COUNTIFS(AI:AI, "&lt;=" &amp; BT20, AJ:AJ, "&gt;" &amp; BT20)+'Nesting Staffing'!CJ20+'Pavia Staffing'!CJ20</f>
        <v>113</v>
      </c>
      <c r="CK20" s="139">
        <f>COUNTIFS(AM:AM, "&lt;=" &amp; BS20, AN:AN, "&gt;" &amp; BS20)+COUNTIFS(AK:AK, "&lt;=" &amp; BT20, AL:AL, "&gt;" &amp; BT20)+'Nesting Staffing'!CK20+'Pavia Staffing'!CK20</f>
        <v>113</v>
      </c>
      <c r="CL20" s="139">
        <f>COUNTIFS(AO:AO, "&lt;=" &amp; BS20, AP:AP, "&gt;" &amp; BS20)+COUNTIFS(AM:AM, "&lt;=" &amp; BT20, AN:AN, "&gt;" &amp; BT20)+'Nesting Staffing'!CL20+'Pavia Staffing'!CL20</f>
        <v>158</v>
      </c>
      <c r="CM20" s="139">
        <f>COUNTIFS(AQ:AQ, "&lt;=" &amp; BS20, AR:AR, "&gt;" &amp; BS20)+COUNTIFS(AO:AO, "&lt;=" &amp; BT20, AP:AP, "&gt;" &amp; BT20)+'Nesting Staffing'!CM20+'Pavia Staffing'!CM20</f>
        <v>123</v>
      </c>
      <c r="CN20" s="139">
        <f>COUNTIFS(AS:AS, "&lt;=" &amp; BS20, AT:AT, "&gt;" &amp; BS20)+COUNTIFS(AQ:AQ, "&lt;=" &amp; BT20, AR:AR, "&gt;" &amp; BT20)+'Nesting Staffing'!CN20+'Pavia Staffing'!CN20</f>
        <v>104</v>
      </c>
      <c r="CO20" s="52">
        <f>COUNTIFS(AU:AU, "&lt;=" &amp; BS20, AV:AV, "&gt;" &amp; BS20)+COUNTIFS(AS:AS, "&lt;=" &amp; BT20, AT:AT, "&gt;" &amp; BT20)+'Nesting Staffing'!CO20+'Pavia Staffing'!CO20</f>
        <v>106</v>
      </c>
    </row>
    <row r="21" spans="1:93" x14ac:dyDescent="0.25">
      <c r="A21" s="20" t="str">
        <f>IFERROR('Agent Sched'!B22,"-")</f>
        <v>Romel,Concepcion,Resente</v>
      </c>
      <c r="B21" s="12">
        <f>IFERROR(VLOOKUP(A21,'Agent Sched'!$B:$C,2,),"-")</f>
        <v>0.375</v>
      </c>
      <c r="C21" s="13">
        <f t="shared" si="7"/>
        <v>0.75</v>
      </c>
      <c r="D21" s="12">
        <f>IFERROR(VLOOKUP(A21,'Agent Sched'!B:D,3,),"-")</f>
        <v>0.375</v>
      </c>
      <c r="E21" s="13">
        <f t="shared" si="8"/>
        <v>0.75</v>
      </c>
      <c r="F21" s="12">
        <f>IFERROR(VLOOKUP(A21,'Agent Sched'!B:E,4,),"-")</f>
        <v>0.375</v>
      </c>
      <c r="G21" s="13">
        <f t="shared" si="9"/>
        <v>0.75</v>
      </c>
      <c r="H21" s="12">
        <f>IFERROR(VLOOKUP(A21,'Agent Sched'!B:F,5,),"-")</f>
        <v>0.375</v>
      </c>
      <c r="I21" s="13">
        <f t="shared" si="10"/>
        <v>0.75</v>
      </c>
      <c r="J21" s="12">
        <f>IFERROR(VLOOKUP(A21,'Agent Sched'!B:G,6,),"-")</f>
        <v>0.375</v>
      </c>
      <c r="K21" s="13">
        <f t="shared" si="11"/>
        <v>0.75</v>
      </c>
      <c r="L21" s="12" t="str">
        <f>IFERROR(VLOOKUP(A21,'Agent Sched'!B:H,7,),"-")</f>
        <v>OFF</v>
      </c>
      <c r="M21" s="13" t="str">
        <f t="shared" si="12"/>
        <v>OFF</v>
      </c>
      <c r="N21" s="21" t="str">
        <f>IFERROR(VLOOKUP(A21,'Agent Sched'!B:I,8,),"-")</f>
        <v>OFF</v>
      </c>
      <c r="O21" s="13" t="str">
        <f t="shared" si="13"/>
        <v>OFF</v>
      </c>
      <c r="Q21" s="12" t="str">
        <f>VLOOKUP(A21,'Agent Sched'!B:Y,24,)</f>
        <v>OFF</v>
      </c>
      <c r="R21" s="13" t="str">
        <f t="shared" si="14"/>
        <v>OFF</v>
      </c>
      <c r="T21" s="25">
        <f>VLOOKUP(A21,'Agent Sched'!$B:$J,9,)</f>
        <v>0.375</v>
      </c>
      <c r="U21" s="13">
        <f t="shared" si="15"/>
        <v>0.75</v>
      </c>
      <c r="V21" s="12">
        <f>VLOOKUP(A21,'Agent Sched'!B:K,10,)</f>
        <v>0.375</v>
      </c>
      <c r="W21" s="13">
        <f t="shared" si="16"/>
        <v>0.75</v>
      </c>
      <c r="X21" s="12">
        <f>VLOOKUP(A21,'Agent Sched'!B:L,11,)</f>
        <v>0.375</v>
      </c>
      <c r="Y21" s="13">
        <f t="shared" si="17"/>
        <v>0.75</v>
      </c>
      <c r="Z21" s="12">
        <f>VLOOKUP(A21,'Agent Sched'!B:M,12,)</f>
        <v>0.375</v>
      </c>
      <c r="AA21" s="13">
        <f t="shared" si="18"/>
        <v>0.75</v>
      </c>
      <c r="AB21" s="12">
        <f>VLOOKUP(A21,'Agent Sched'!B:N,13,)</f>
        <v>0.375</v>
      </c>
      <c r="AC21" s="13">
        <f t="shared" si="19"/>
        <v>0.75</v>
      </c>
      <c r="AD21" s="12" t="str">
        <f>VLOOKUP(A21,'Agent Sched'!B:O,14,)</f>
        <v>OFF</v>
      </c>
      <c r="AE21" s="13" t="str">
        <f t="shared" si="20"/>
        <v>OFF</v>
      </c>
      <c r="AF21" s="21" t="str">
        <f>VLOOKUP(A21,'Agent Sched'!B:P,15,)</f>
        <v>OFF</v>
      </c>
      <c r="AG21" s="13" t="str">
        <f t="shared" si="21"/>
        <v>OFF</v>
      </c>
      <c r="AI21" s="25">
        <f>VLOOKUP(A21,'Agent Sched'!$B:$Q,16,)</f>
        <v>0.375</v>
      </c>
      <c r="AJ21" s="13">
        <f t="shared" si="22"/>
        <v>0.75</v>
      </c>
      <c r="AK21" s="12">
        <f>VLOOKUP(A21,'Agent Sched'!B:R,17,)</f>
        <v>0.375</v>
      </c>
      <c r="AL21" s="13">
        <f t="shared" si="23"/>
        <v>0.75</v>
      </c>
      <c r="AM21" s="12">
        <f>VLOOKUP(A21,'Agent Sched'!B:S,18,)</f>
        <v>0.375</v>
      </c>
      <c r="AN21" s="13">
        <f t="shared" si="24"/>
        <v>0.75</v>
      </c>
      <c r="AO21" s="12">
        <f>VLOOKUP(A21,'Agent Sched'!B:T,19,)</f>
        <v>0.375</v>
      </c>
      <c r="AP21" s="13">
        <f t="shared" si="25"/>
        <v>0.75</v>
      </c>
      <c r="AQ21" s="12">
        <f>VLOOKUP(A21,'Agent Sched'!B:U,20,)</f>
        <v>0.375</v>
      </c>
      <c r="AR21" s="13">
        <f t="shared" si="26"/>
        <v>0.75</v>
      </c>
      <c r="AS21" s="12" t="str">
        <f>VLOOKUP(A21,'Agent Sched'!B:V,21,)</f>
        <v>OFF</v>
      </c>
      <c r="AT21" s="13" t="str">
        <f t="shared" si="27"/>
        <v>OFF</v>
      </c>
      <c r="AU21" s="21" t="str">
        <f>VLOOKUP(A21,'Agent Sched'!B:W,22,)</f>
        <v>OFF</v>
      </c>
      <c r="AV21" s="13" t="str">
        <f t="shared" si="28"/>
        <v>OFF</v>
      </c>
      <c r="AX21" s="30">
        <v>0.75</v>
      </c>
      <c r="AY21" s="10">
        <v>1.75</v>
      </c>
      <c r="AZ21" s="31">
        <f t="shared" si="29"/>
        <v>0</v>
      </c>
      <c r="BA21" s="31">
        <f t="shared" si="30"/>
        <v>0</v>
      </c>
      <c r="BB21" s="31">
        <f t="shared" si="31"/>
        <v>0</v>
      </c>
      <c r="BC21" s="31">
        <f t="shared" si="32"/>
        <v>0</v>
      </c>
      <c r="BD21" s="31">
        <f t="shared" si="33"/>
        <v>0</v>
      </c>
      <c r="BE21" s="31">
        <f t="shared" si="34"/>
        <v>0</v>
      </c>
      <c r="BF21" s="32">
        <f t="shared" si="35"/>
        <v>0</v>
      </c>
      <c r="BH21" s="30">
        <v>0.75</v>
      </c>
      <c r="BI21" s="10">
        <v>1.75</v>
      </c>
      <c r="BJ21" s="31">
        <f t="shared" si="0"/>
        <v>0</v>
      </c>
      <c r="BK21" s="31">
        <f t="shared" si="1"/>
        <v>0</v>
      </c>
      <c r="BL21" s="31">
        <f t="shared" si="2"/>
        <v>0</v>
      </c>
      <c r="BM21" s="31">
        <f t="shared" si="3"/>
        <v>0</v>
      </c>
      <c r="BN21" s="31">
        <f t="shared" si="4"/>
        <v>0</v>
      </c>
      <c r="BO21" s="31">
        <f t="shared" si="5"/>
        <v>0</v>
      </c>
      <c r="BP21" s="32">
        <f t="shared" si="6"/>
        <v>0</v>
      </c>
      <c r="BS21" s="38">
        <v>0.75</v>
      </c>
      <c r="BT21" s="39">
        <v>1.75000000000001</v>
      </c>
      <c r="BU21" s="53">
        <f>COUNTIFS(Q:Q, "&lt;=" &amp; BT21, R:R, "&gt;" &amp; BT21)+COUNTIFS(B:B, "&lt;=" &amp; BS21, C:C, "&gt;" &amp; BS21)+'Nesting Staffing'!BU21+'Pavia Staffing'!BU21</f>
        <v>110</v>
      </c>
      <c r="BV21" s="139">
        <f>COUNTIFS(B:B, "&lt;=" &amp; BT21, C:C, "&gt;" &amp; BT21)+COUNTIFS(D:D, "&lt;=" &amp; BS21, E:E, "&gt;" &amp; BS21)+'Nesting Staffing'!BV21+'Pavia Staffing'!BV21</f>
        <v>52</v>
      </c>
      <c r="BW21" s="139">
        <f>COUNTIFS(D:D, "&lt;=" &amp; BT21, E:E, "&gt;" &amp; BT21)+COUNTIFS(F:F, "&lt;=" &amp; BS21, G:G, "&gt;" &amp; BS21)+'Nesting Staffing'!BW21+'Pavia Staffing'!BW21</f>
        <v>46</v>
      </c>
      <c r="BX21" s="139">
        <f>COUNTIFS(F:F, "&lt;=" &amp; BT21, G:G, "&gt;" &amp; BT21)+COUNTIFS(H:H, "&lt;=" &amp; BS21, I:I, "&gt;" &amp; BS21)+'Nesting Staffing'!BX21+'Pavia Staffing'!BX21</f>
        <v>98</v>
      </c>
      <c r="BY21" s="139">
        <f>COUNTIFS(H:H, "&lt;=" &amp; BT21, I:I, "&gt;" &amp; BT21)+COUNTIFS(J:J, "&lt;=" &amp; BS21, K:K, "&gt;" &amp; BS21)+'Nesting Staffing'!BY21+'Pavia Staffing'!BY21</f>
        <v>97</v>
      </c>
      <c r="BZ21" s="139">
        <f>COUNTIFS(J:J, "&lt;=" &amp; BT21, K:K, "&gt;" &amp; BT21)+COUNTIFS(L:L, "&lt;=" &amp; BS21, M:M, "&gt;" &amp; BS21)+'Nesting Staffing'!BZ21+'Pavia Staffing'!BZ21</f>
        <v>65</v>
      </c>
      <c r="CA21" s="52">
        <f>COUNTIFS(N:N, "&lt;=" &amp; BS21, O:O, "&gt;" &amp; BS21)+COUNTIFS(L:L, "&lt;=" &amp; BT21, M:M, "&gt;" &amp; BT21)+'Nesting Staffing'!CA21+'Pavia Staffing'!CA21</f>
        <v>85</v>
      </c>
      <c r="CB21" s="53">
        <f>COUNTIFS(T:T, "&lt;=" &amp; BS21, U:U, "&gt;" &amp; BS21)+COUNTIFS(N:N, "&lt;=" &amp; BT21, O:O, "&gt;" &amp; BT21)+'Nesting Staffing'!CB21+'Pavia Staffing'!CB21</f>
        <v>96</v>
      </c>
      <c r="CC21" s="139">
        <f>COUNTIFS(V:V, "&lt;=" &amp; BS21, W:W, "&gt;" &amp; BS21)+COUNTIFS(T:T, "&lt;=" &amp; BT21, U:U, "&gt;" &amp; BT21)+'Nesting Staffing'!CC21+'Pavia Staffing'!CC21</f>
        <v>74</v>
      </c>
      <c r="CD21" s="139">
        <f>COUNTIFS(X:X, "&lt;=" &amp; BS21, Y:Y, "&gt;" &amp; BS21)+COUNTIFS(V:V, "&lt;=" &amp; BT21, W:W, "&gt;" &amp; BT21)+'Nesting Staffing'!CD21+'Pavia Staffing'!CD21</f>
        <v>74</v>
      </c>
      <c r="CE21" s="139">
        <f>COUNTIFS(Z:Z, "&lt;=" &amp; BS21, AA:AA, "&gt;" &amp; BS21)+COUNTIFS(X:X, "&lt;=" &amp; BT21, Y:Y, "&gt;" &amp; BT21)+'Nesting Staffing'!CE21+'Pavia Staffing'!CE21</f>
        <v>98</v>
      </c>
      <c r="CF21" s="139">
        <f>COUNTIFS(AB:AB, "&lt;=" &amp; BS21, AC:AC, "&gt;" &amp; BS21)+COUNTIFS(Z:Z, "&lt;=" &amp; BT21, AA:AA, "&gt;" &amp; BT21)+'Nesting Staffing'!CF21+'Pavia Staffing'!CF21</f>
        <v>63</v>
      </c>
      <c r="CG21" s="139">
        <f>COUNTIFS(AD:AD, "&lt;=" &amp; BS21, AE:AE, "&gt;" &amp; BS21)+COUNTIFS(AB:AB, "&lt;=" &amp; BT21, AC:AC, "&gt;" &amp; BT21)+'Nesting Staffing'!CG21+'Pavia Staffing'!CG21</f>
        <v>65</v>
      </c>
      <c r="CH21" s="52">
        <f>COUNTIFS(AF:AF, "&lt;=" &amp; BS21, AG:AG, "&gt;" &amp; BS21)+COUNTIFS(AD:AD, "&lt;=" &amp; BT21, AE:AE, "&gt;" &amp; BT21)+'Nesting Staffing'!CH21+'Pavia Staffing'!CH21</f>
        <v>85</v>
      </c>
      <c r="CI21" s="53">
        <f>COUNTIFS(AI:AI, "&lt;=" &amp; BS21, AJ:AJ, "&gt;" &amp; BS21)+COUNTIFS(AF:AF, "&lt;=" &amp; BT21, AG:AG, "&gt;" &amp; BT21)+'Nesting Staffing'!CI21+'Pavia Staffing'!CI21</f>
        <v>96</v>
      </c>
      <c r="CJ21" s="139">
        <f>COUNTIFS(AK:AK, "&lt;=" &amp; BS21, AL:AL, "&gt;" &amp; BS21)+COUNTIFS(AI:AI, "&lt;=" &amp; BT21, AJ:AJ, "&gt;" &amp; BT21)+'Nesting Staffing'!CJ21+'Pavia Staffing'!CJ21</f>
        <v>74</v>
      </c>
      <c r="CK21" s="139">
        <f>COUNTIFS(AM:AM, "&lt;=" &amp; BS21, AN:AN, "&gt;" &amp; BS21)+COUNTIFS(AK:AK, "&lt;=" &amp; BT21, AL:AL, "&gt;" &amp; BT21)+'Nesting Staffing'!CK21+'Pavia Staffing'!CK21</f>
        <v>74</v>
      </c>
      <c r="CL21" s="139">
        <f>COUNTIFS(AO:AO, "&lt;=" &amp; BS21, AP:AP, "&gt;" &amp; BS21)+COUNTIFS(AM:AM, "&lt;=" &amp; BT21, AN:AN, "&gt;" &amp; BT21)+'Nesting Staffing'!CL21+'Pavia Staffing'!CL21</f>
        <v>98</v>
      </c>
      <c r="CM21" s="139">
        <f>COUNTIFS(AQ:AQ, "&lt;=" &amp; BS21, AR:AR, "&gt;" &amp; BS21)+COUNTIFS(AO:AO, "&lt;=" &amp; BT21, AP:AP, "&gt;" &amp; BT21)+'Nesting Staffing'!CM21+'Pavia Staffing'!CM21</f>
        <v>63</v>
      </c>
      <c r="CN21" s="139">
        <f>COUNTIFS(AS:AS, "&lt;=" &amp; BS21, AT:AT, "&gt;" &amp; BS21)+COUNTIFS(AQ:AQ, "&lt;=" &amp; BT21, AR:AR, "&gt;" &amp; BT21)+'Nesting Staffing'!CN21+'Pavia Staffing'!CN21</f>
        <v>65</v>
      </c>
      <c r="CO21" s="52">
        <f>COUNTIFS(AU:AU, "&lt;=" &amp; BS21, AV:AV, "&gt;" &amp; BS21)+COUNTIFS(AS:AS, "&lt;=" &amp; BT21, AT:AT, "&gt;" &amp; BT21)+'Nesting Staffing'!CO21+'Pavia Staffing'!CO21</f>
        <v>85</v>
      </c>
    </row>
    <row r="22" spans="1:93" x14ac:dyDescent="0.25">
      <c r="A22" s="20" t="str">
        <f>IFERROR('Agent Sched'!B23,"-")</f>
        <v>Irene,Vasquez,Sarabia</v>
      </c>
      <c r="B22" s="12">
        <f>IFERROR(VLOOKUP(A22,'Agent Sched'!$B:$C,2,),"-")</f>
        <v>0.375</v>
      </c>
      <c r="C22" s="13">
        <f t="shared" si="7"/>
        <v>0.75</v>
      </c>
      <c r="D22" s="12">
        <f>IFERROR(VLOOKUP(A22,'Agent Sched'!B:D,3,),"-")</f>
        <v>0.375</v>
      </c>
      <c r="E22" s="13">
        <f t="shared" si="8"/>
        <v>0.75</v>
      </c>
      <c r="F22" s="12">
        <f>IFERROR(VLOOKUP(A22,'Agent Sched'!B:E,4,),"-")</f>
        <v>0.375</v>
      </c>
      <c r="G22" s="13">
        <f t="shared" si="9"/>
        <v>0.75</v>
      </c>
      <c r="H22" s="12">
        <f>IFERROR(VLOOKUP(A22,'Agent Sched'!B:F,5,),"-")</f>
        <v>0.375</v>
      </c>
      <c r="I22" s="13">
        <f t="shared" si="10"/>
        <v>0.75</v>
      </c>
      <c r="J22" s="12">
        <f>IFERROR(VLOOKUP(A22,'Agent Sched'!B:G,6,),"-")</f>
        <v>0.375</v>
      </c>
      <c r="K22" s="13">
        <f t="shared" si="11"/>
        <v>0.75</v>
      </c>
      <c r="L22" s="12" t="str">
        <f>IFERROR(VLOOKUP(A22,'Agent Sched'!B:H,7,),"-")</f>
        <v>OFF</v>
      </c>
      <c r="M22" s="13" t="str">
        <f t="shared" si="12"/>
        <v>OFF</v>
      </c>
      <c r="N22" s="21" t="str">
        <f>IFERROR(VLOOKUP(A22,'Agent Sched'!B:I,8,),"-")</f>
        <v>OFF</v>
      </c>
      <c r="O22" s="13" t="str">
        <f t="shared" si="13"/>
        <v>OFF</v>
      </c>
      <c r="Q22" s="12" t="str">
        <f>VLOOKUP(A22,'Agent Sched'!B:Y,24,)</f>
        <v>OFF</v>
      </c>
      <c r="R22" s="13" t="str">
        <f t="shared" si="14"/>
        <v>OFF</v>
      </c>
      <c r="T22" s="25">
        <f>VLOOKUP(A22,'Agent Sched'!$B:$J,9,)</f>
        <v>0.375</v>
      </c>
      <c r="U22" s="13">
        <f t="shared" si="15"/>
        <v>0.75</v>
      </c>
      <c r="V22" s="12">
        <f>VLOOKUP(A22,'Agent Sched'!B:K,10,)</f>
        <v>0.375</v>
      </c>
      <c r="W22" s="13">
        <f t="shared" si="16"/>
        <v>0.75</v>
      </c>
      <c r="X22" s="12">
        <f>VLOOKUP(A22,'Agent Sched'!B:L,11,)</f>
        <v>0.375</v>
      </c>
      <c r="Y22" s="13">
        <f t="shared" si="17"/>
        <v>0.75</v>
      </c>
      <c r="Z22" s="12">
        <f>VLOOKUP(A22,'Agent Sched'!B:M,12,)</f>
        <v>0.375</v>
      </c>
      <c r="AA22" s="13">
        <f t="shared" si="18"/>
        <v>0.75</v>
      </c>
      <c r="AB22" s="12">
        <f>VLOOKUP(A22,'Agent Sched'!B:N,13,)</f>
        <v>0.375</v>
      </c>
      <c r="AC22" s="13">
        <f t="shared" si="19"/>
        <v>0.75</v>
      </c>
      <c r="AD22" s="12" t="str">
        <f>VLOOKUP(A22,'Agent Sched'!B:O,14,)</f>
        <v>OFF</v>
      </c>
      <c r="AE22" s="13" t="str">
        <f t="shared" si="20"/>
        <v>OFF</v>
      </c>
      <c r="AF22" s="21" t="str">
        <f>VLOOKUP(A22,'Agent Sched'!B:P,15,)</f>
        <v>OFF</v>
      </c>
      <c r="AG22" s="13" t="str">
        <f t="shared" si="21"/>
        <v>OFF</v>
      </c>
      <c r="AI22" s="25">
        <f>VLOOKUP(A22,'Agent Sched'!$B:$Q,16,)</f>
        <v>0.375</v>
      </c>
      <c r="AJ22" s="13">
        <f t="shared" si="22"/>
        <v>0.75</v>
      </c>
      <c r="AK22" s="12">
        <f>VLOOKUP(A22,'Agent Sched'!B:R,17,)</f>
        <v>0.375</v>
      </c>
      <c r="AL22" s="13">
        <f t="shared" si="23"/>
        <v>0.75</v>
      </c>
      <c r="AM22" s="12">
        <f>VLOOKUP(A22,'Agent Sched'!B:S,18,)</f>
        <v>0.375</v>
      </c>
      <c r="AN22" s="13">
        <f t="shared" si="24"/>
        <v>0.75</v>
      </c>
      <c r="AO22" s="12">
        <f>VLOOKUP(A22,'Agent Sched'!B:T,19,)</f>
        <v>0.375</v>
      </c>
      <c r="AP22" s="13">
        <f t="shared" si="25"/>
        <v>0.75</v>
      </c>
      <c r="AQ22" s="12">
        <f>VLOOKUP(A22,'Agent Sched'!B:U,20,)</f>
        <v>0.375</v>
      </c>
      <c r="AR22" s="13">
        <f t="shared" si="26"/>
        <v>0.75</v>
      </c>
      <c r="AS22" s="12" t="str">
        <f>VLOOKUP(A22,'Agent Sched'!B:V,21,)</f>
        <v>OFF</v>
      </c>
      <c r="AT22" s="13" t="str">
        <f t="shared" si="27"/>
        <v>OFF</v>
      </c>
      <c r="AU22" s="21" t="str">
        <f>VLOOKUP(A22,'Agent Sched'!B:W,22,)</f>
        <v>OFF</v>
      </c>
      <c r="AV22" s="13" t="str">
        <f t="shared" si="28"/>
        <v>OFF</v>
      </c>
      <c r="AX22" s="30">
        <v>0.79166666666666696</v>
      </c>
      <c r="AY22" s="10">
        <v>1.7916666666666701</v>
      </c>
      <c r="AZ22" s="31">
        <f t="shared" si="29"/>
        <v>0</v>
      </c>
      <c r="BA22" s="31">
        <f t="shared" si="30"/>
        <v>0</v>
      </c>
      <c r="BB22" s="31">
        <f t="shared" si="31"/>
        <v>0</v>
      </c>
      <c r="BC22" s="31">
        <f t="shared" si="32"/>
        <v>0</v>
      </c>
      <c r="BD22" s="31">
        <f t="shared" si="33"/>
        <v>0</v>
      </c>
      <c r="BE22" s="31">
        <f t="shared" si="34"/>
        <v>0</v>
      </c>
      <c r="BF22" s="32">
        <f t="shared" si="35"/>
        <v>0</v>
      </c>
      <c r="BH22" s="30">
        <v>0.79166666666666696</v>
      </c>
      <c r="BI22" s="10">
        <v>1.7916666666666601</v>
      </c>
      <c r="BJ22" s="31">
        <f t="shared" si="0"/>
        <v>0</v>
      </c>
      <c r="BK22" s="31">
        <f t="shared" si="1"/>
        <v>0</v>
      </c>
      <c r="BL22" s="31">
        <f t="shared" si="2"/>
        <v>0</v>
      </c>
      <c r="BM22" s="31">
        <f t="shared" si="3"/>
        <v>0</v>
      </c>
      <c r="BN22" s="31">
        <f t="shared" si="4"/>
        <v>0</v>
      </c>
      <c r="BO22" s="31">
        <f t="shared" si="5"/>
        <v>0</v>
      </c>
      <c r="BP22" s="32">
        <f t="shared" si="6"/>
        <v>0</v>
      </c>
      <c r="BS22" s="38">
        <v>0.79166666666666696</v>
      </c>
      <c r="BT22" s="39">
        <v>1.7916666666666701</v>
      </c>
      <c r="BU22" s="53">
        <f>COUNTIFS(Q:Q, "&lt;=" &amp; BT22, R:R, "&gt;" &amp; BT22)+COUNTIFS(B:B, "&lt;=" &amp; BS22, C:C, "&gt;" &amp; BS22)+'Nesting Staffing'!BU22+'Pavia Staffing'!BU22</f>
        <v>73</v>
      </c>
      <c r="BV22" s="139">
        <f>COUNTIFS(B:B, "&lt;=" &amp; BT22, C:C, "&gt;" &amp; BT22)+COUNTIFS(D:D, "&lt;=" &amp; BS22, E:E, "&gt;" &amp; BS22)+'Nesting Staffing'!BV22+'Pavia Staffing'!BV22</f>
        <v>52</v>
      </c>
      <c r="BW22" s="139">
        <f>COUNTIFS(D:D, "&lt;=" &amp; BT22, E:E, "&gt;" &amp; BT22)+COUNTIFS(F:F, "&lt;=" &amp; BS22, G:G, "&gt;" &amp; BS22)+'Nesting Staffing'!BW22+'Pavia Staffing'!BW22</f>
        <v>46</v>
      </c>
      <c r="BX22" s="139">
        <f>COUNTIFS(F:F, "&lt;=" &amp; BT22, G:G, "&gt;" &amp; BT22)+COUNTIFS(H:H, "&lt;=" &amp; BS22, I:I, "&gt;" &amp; BS22)+'Nesting Staffing'!BX22+'Pavia Staffing'!BX22</f>
        <v>61</v>
      </c>
      <c r="BY22" s="139">
        <f>COUNTIFS(H:H, "&lt;=" &amp; BT22, I:I, "&gt;" &amp; BT22)+COUNTIFS(J:J, "&lt;=" &amp; BS22, K:K, "&gt;" &amp; BS22)+'Nesting Staffing'!BY22+'Pavia Staffing'!BY22</f>
        <v>60</v>
      </c>
      <c r="BZ22" s="139">
        <f>COUNTIFS(J:J, "&lt;=" &amp; BT22, K:K, "&gt;" &amp; BT22)+COUNTIFS(L:L, "&lt;=" &amp; BS22, M:M, "&gt;" &amp; BS22)+'Nesting Staffing'!BZ22+'Pavia Staffing'!BZ22</f>
        <v>28</v>
      </c>
      <c r="CA22" s="52">
        <f>COUNTIFS(N:N, "&lt;=" &amp; BS22, O:O, "&gt;" &amp; BS22)+COUNTIFS(L:L, "&lt;=" &amp; BT22, M:M, "&gt;" &amp; BT22)+'Nesting Staffing'!CA22+'Pavia Staffing'!CA22</f>
        <v>48</v>
      </c>
      <c r="CB22" s="53">
        <f>COUNTIFS(T:T, "&lt;=" &amp; BS22, U:U, "&gt;" &amp; BS22)+COUNTIFS(N:N, "&lt;=" &amp; BT22, O:O, "&gt;" &amp; BT22)+'Nesting Staffing'!CB22+'Pavia Staffing'!CB22</f>
        <v>59</v>
      </c>
      <c r="CC22" s="139">
        <f>COUNTIFS(V:V, "&lt;=" &amp; BS22, W:W, "&gt;" &amp; BS22)+COUNTIFS(T:T, "&lt;=" &amp; BT22, U:U, "&gt;" &amp; BT22)+'Nesting Staffing'!CC22+'Pavia Staffing'!CC22</f>
        <v>74</v>
      </c>
      <c r="CD22" s="139">
        <f>COUNTIFS(X:X, "&lt;=" &amp; BS22, Y:Y, "&gt;" &amp; BS22)+COUNTIFS(V:V, "&lt;=" &amp; BT22, W:W, "&gt;" &amp; BT22)+'Nesting Staffing'!CD22+'Pavia Staffing'!CD22</f>
        <v>74</v>
      </c>
      <c r="CE22" s="139">
        <f>COUNTIFS(Z:Z, "&lt;=" &amp; BS22, AA:AA, "&gt;" &amp; BS22)+COUNTIFS(X:X, "&lt;=" &amp; BT22, Y:Y, "&gt;" &amp; BT22)+'Nesting Staffing'!CE22+'Pavia Staffing'!CE22</f>
        <v>61</v>
      </c>
      <c r="CF22" s="139">
        <f>COUNTIFS(AB:AB, "&lt;=" &amp; BS22, AC:AC, "&gt;" &amp; BS22)+COUNTIFS(Z:Z, "&lt;=" &amp; BT22, AA:AA, "&gt;" &amp; BT22)+'Nesting Staffing'!CF22+'Pavia Staffing'!CF22</f>
        <v>26</v>
      </c>
      <c r="CG22" s="139">
        <f>COUNTIFS(AD:AD, "&lt;=" &amp; BS22, AE:AE, "&gt;" &amp; BS22)+COUNTIFS(AB:AB, "&lt;=" &amp; BT22, AC:AC, "&gt;" &amp; BT22)+'Nesting Staffing'!CG22+'Pavia Staffing'!CG22</f>
        <v>28</v>
      </c>
      <c r="CH22" s="52">
        <f>COUNTIFS(AF:AF, "&lt;=" &amp; BS22, AG:AG, "&gt;" &amp; BS22)+COUNTIFS(AD:AD, "&lt;=" &amp; BT22, AE:AE, "&gt;" &amp; BT22)+'Nesting Staffing'!CH22+'Pavia Staffing'!CH22</f>
        <v>48</v>
      </c>
      <c r="CI22" s="53">
        <f>COUNTIFS(AI:AI, "&lt;=" &amp; BS22, AJ:AJ, "&gt;" &amp; BS22)+COUNTIFS(AF:AF, "&lt;=" &amp; BT22, AG:AG, "&gt;" &amp; BT22)+'Nesting Staffing'!CI22+'Pavia Staffing'!CI22</f>
        <v>59</v>
      </c>
      <c r="CJ22" s="139">
        <f>COUNTIFS(AK:AK, "&lt;=" &amp; BS22, AL:AL, "&gt;" &amp; BS22)+COUNTIFS(AI:AI, "&lt;=" &amp; BT22, AJ:AJ, "&gt;" &amp; BT22)+'Nesting Staffing'!CJ22+'Pavia Staffing'!CJ22</f>
        <v>74</v>
      </c>
      <c r="CK22" s="139">
        <f>COUNTIFS(AM:AM, "&lt;=" &amp; BS22, AN:AN, "&gt;" &amp; BS22)+COUNTIFS(AK:AK, "&lt;=" &amp; BT22, AL:AL, "&gt;" &amp; BT22)+'Nesting Staffing'!CK22+'Pavia Staffing'!CK22</f>
        <v>74</v>
      </c>
      <c r="CL22" s="139">
        <f>COUNTIFS(AO:AO, "&lt;=" &amp; BS22, AP:AP, "&gt;" &amp; BS22)+COUNTIFS(AM:AM, "&lt;=" &amp; BT22, AN:AN, "&gt;" &amp; BT22)+'Nesting Staffing'!CL22+'Pavia Staffing'!CL22</f>
        <v>61</v>
      </c>
      <c r="CM22" s="139">
        <f>COUNTIFS(AQ:AQ, "&lt;=" &amp; BS22, AR:AR, "&gt;" &amp; BS22)+COUNTIFS(AO:AO, "&lt;=" &amp; BT22, AP:AP, "&gt;" &amp; BT22)+'Nesting Staffing'!CM22+'Pavia Staffing'!CM22</f>
        <v>26</v>
      </c>
      <c r="CN22" s="139">
        <f>COUNTIFS(AS:AS, "&lt;=" &amp; BS22, AT:AT, "&gt;" &amp; BS22)+COUNTIFS(AQ:AQ, "&lt;=" &amp; BT22, AR:AR, "&gt;" &amp; BT22)+'Nesting Staffing'!CN22+'Pavia Staffing'!CN22</f>
        <v>28</v>
      </c>
      <c r="CO22" s="52">
        <f>COUNTIFS(AU:AU, "&lt;=" &amp; BS22, AV:AV, "&gt;" &amp; BS22)+COUNTIFS(AS:AS, "&lt;=" &amp; BT22, AT:AT, "&gt;" &amp; BT22)+'Nesting Staffing'!CO22+'Pavia Staffing'!CO22</f>
        <v>48</v>
      </c>
    </row>
    <row r="23" spans="1:93" x14ac:dyDescent="0.25">
      <c r="A23" s="20" t="str">
        <f>IFERROR('Agent Sched'!B24,"-")</f>
        <v>Mark Gil Apil Villagracia</v>
      </c>
      <c r="B23" s="12">
        <f>IFERROR(VLOOKUP(A23,'Agent Sched'!$B:$C,2,),"-")</f>
        <v>0.375</v>
      </c>
      <c r="C23" s="13">
        <f t="shared" si="7"/>
        <v>0.75</v>
      </c>
      <c r="D23" s="12">
        <f>IFERROR(VLOOKUP(A23,'Agent Sched'!B:D,3,),"-")</f>
        <v>0.375</v>
      </c>
      <c r="E23" s="13">
        <f t="shared" si="8"/>
        <v>0.75</v>
      </c>
      <c r="F23" s="12">
        <f>IFERROR(VLOOKUP(A23,'Agent Sched'!B:E,4,),"-")</f>
        <v>0.375</v>
      </c>
      <c r="G23" s="13">
        <f t="shared" si="9"/>
        <v>0.75</v>
      </c>
      <c r="H23" s="12">
        <f>IFERROR(VLOOKUP(A23,'Agent Sched'!B:F,5,),"-")</f>
        <v>0.375</v>
      </c>
      <c r="I23" s="13">
        <f t="shared" si="10"/>
        <v>0.75</v>
      </c>
      <c r="J23" s="12">
        <f>IFERROR(VLOOKUP(A23,'Agent Sched'!B:G,6,),"-")</f>
        <v>0.375</v>
      </c>
      <c r="K23" s="13">
        <f t="shared" si="11"/>
        <v>0.75</v>
      </c>
      <c r="L23" s="12" t="str">
        <f>IFERROR(VLOOKUP(A23,'Agent Sched'!B:H,7,),"-")</f>
        <v>OFF</v>
      </c>
      <c r="M23" s="13" t="str">
        <f t="shared" si="12"/>
        <v>OFF</v>
      </c>
      <c r="N23" s="21" t="str">
        <f>IFERROR(VLOOKUP(A23,'Agent Sched'!B:I,8,),"-")</f>
        <v>OFF</v>
      </c>
      <c r="O23" s="13" t="str">
        <f t="shared" si="13"/>
        <v>OFF</v>
      </c>
      <c r="Q23" s="12" t="str">
        <f>VLOOKUP(A23,'Agent Sched'!B:Y,24,)</f>
        <v>OFF</v>
      </c>
      <c r="R23" s="13" t="str">
        <f t="shared" si="14"/>
        <v>OFF</v>
      </c>
      <c r="T23" s="25">
        <f>VLOOKUP(A23,'Agent Sched'!$B:$J,9,)</f>
        <v>0.375</v>
      </c>
      <c r="U23" s="13">
        <f t="shared" si="15"/>
        <v>0.75</v>
      </c>
      <c r="V23" s="12">
        <f>VLOOKUP(A23,'Agent Sched'!B:K,10,)</f>
        <v>0.375</v>
      </c>
      <c r="W23" s="13">
        <f t="shared" si="16"/>
        <v>0.75</v>
      </c>
      <c r="X23" s="12">
        <f>VLOOKUP(A23,'Agent Sched'!B:L,11,)</f>
        <v>0.375</v>
      </c>
      <c r="Y23" s="13">
        <f t="shared" si="17"/>
        <v>0.75</v>
      </c>
      <c r="Z23" s="12">
        <f>VLOOKUP(A23,'Agent Sched'!B:M,12,)</f>
        <v>0.375</v>
      </c>
      <c r="AA23" s="13">
        <f t="shared" si="18"/>
        <v>0.75</v>
      </c>
      <c r="AB23" s="12">
        <f>VLOOKUP(A23,'Agent Sched'!B:N,13,)</f>
        <v>0.375</v>
      </c>
      <c r="AC23" s="13">
        <f t="shared" si="19"/>
        <v>0.75</v>
      </c>
      <c r="AD23" s="12" t="str">
        <f>VLOOKUP(A23,'Agent Sched'!B:O,14,)</f>
        <v>OFF</v>
      </c>
      <c r="AE23" s="13" t="str">
        <f t="shared" si="20"/>
        <v>OFF</v>
      </c>
      <c r="AF23" s="21" t="str">
        <f>VLOOKUP(A23,'Agent Sched'!B:P,15,)</f>
        <v>OFF</v>
      </c>
      <c r="AG23" s="13" t="str">
        <f t="shared" si="21"/>
        <v>OFF</v>
      </c>
      <c r="AI23" s="25">
        <f>VLOOKUP(A23,'Agent Sched'!$B:$Q,16,)</f>
        <v>0.375</v>
      </c>
      <c r="AJ23" s="13">
        <f t="shared" si="22"/>
        <v>0.75</v>
      </c>
      <c r="AK23" s="12">
        <f>VLOOKUP(A23,'Agent Sched'!B:R,17,)</f>
        <v>0.375</v>
      </c>
      <c r="AL23" s="13">
        <f t="shared" si="23"/>
        <v>0.75</v>
      </c>
      <c r="AM23" s="12">
        <f>VLOOKUP(A23,'Agent Sched'!B:S,18,)</f>
        <v>0.375</v>
      </c>
      <c r="AN23" s="13">
        <f t="shared" si="24"/>
        <v>0.75</v>
      </c>
      <c r="AO23" s="12">
        <f>VLOOKUP(A23,'Agent Sched'!B:T,19,)</f>
        <v>0.375</v>
      </c>
      <c r="AP23" s="13">
        <f t="shared" si="25"/>
        <v>0.75</v>
      </c>
      <c r="AQ23" s="12">
        <f>VLOOKUP(A23,'Agent Sched'!B:U,20,)</f>
        <v>0.375</v>
      </c>
      <c r="AR23" s="13">
        <f t="shared" si="26"/>
        <v>0.75</v>
      </c>
      <c r="AS23" s="12" t="str">
        <f>VLOOKUP(A23,'Agent Sched'!B:V,21,)</f>
        <v>OFF</v>
      </c>
      <c r="AT23" s="13" t="str">
        <f t="shared" si="27"/>
        <v>OFF</v>
      </c>
      <c r="AU23" s="21" t="str">
        <f>VLOOKUP(A23,'Agent Sched'!B:W,22,)</f>
        <v>OFF</v>
      </c>
      <c r="AV23" s="13" t="str">
        <f t="shared" si="28"/>
        <v>OFF</v>
      </c>
      <c r="AX23" s="30">
        <v>0.83333333333333304</v>
      </c>
      <c r="AY23" s="10">
        <v>1.8333333333333399</v>
      </c>
      <c r="AZ23" s="31">
        <f t="shared" si="29"/>
        <v>0</v>
      </c>
      <c r="BA23" s="31">
        <f t="shared" si="30"/>
        <v>0</v>
      </c>
      <c r="BB23" s="31">
        <f t="shared" si="31"/>
        <v>0</v>
      </c>
      <c r="BC23" s="31">
        <f t="shared" si="32"/>
        <v>0</v>
      </c>
      <c r="BD23" s="31">
        <f t="shared" si="33"/>
        <v>0</v>
      </c>
      <c r="BE23" s="31">
        <f t="shared" si="34"/>
        <v>0</v>
      </c>
      <c r="BF23" s="32">
        <f t="shared" si="35"/>
        <v>0</v>
      </c>
      <c r="BH23" s="30">
        <v>0.83333333333333304</v>
      </c>
      <c r="BI23" s="10">
        <v>1.8333333333333299</v>
      </c>
      <c r="BJ23" s="31">
        <f t="shared" si="0"/>
        <v>0</v>
      </c>
      <c r="BK23" s="31">
        <f t="shared" si="1"/>
        <v>0</v>
      </c>
      <c r="BL23" s="31">
        <f t="shared" si="2"/>
        <v>0</v>
      </c>
      <c r="BM23" s="31">
        <f t="shared" si="3"/>
        <v>0</v>
      </c>
      <c r="BN23" s="31">
        <f t="shared" si="4"/>
        <v>0</v>
      </c>
      <c r="BO23" s="31">
        <f t="shared" si="5"/>
        <v>0</v>
      </c>
      <c r="BP23" s="32">
        <f t="shared" si="6"/>
        <v>0</v>
      </c>
      <c r="BS23" s="38">
        <v>0.83333333333333304</v>
      </c>
      <c r="BT23" s="39">
        <v>1.8333333333333399</v>
      </c>
      <c r="BU23" s="53">
        <f>COUNTIFS(Q:Q, "&lt;=" &amp; BT23, R:R, "&gt;" &amp; BT23)+COUNTIFS(B:B, "&lt;=" &amp; BS23, C:C, "&gt;" &amp; BS23)+'Nesting Staffing'!BU23+'Pavia Staffing'!BU23</f>
        <v>73</v>
      </c>
      <c r="BV23" s="139">
        <f>COUNTIFS(B:B, "&lt;=" &amp; BT23, C:C, "&gt;" &amp; BT23)+COUNTIFS(D:D, "&lt;=" &amp; BS23, E:E, "&gt;" &amp; BS23)+'Nesting Staffing'!BV23+'Pavia Staffing'!BV23</f>
        <v>52</v>
      </c>
      <c r="BW23" s="139">
        <f>COUNTIFS(D:D, "&lt;=" &amp; BT23, E:E, "&gt;" &amp; BT23)+COUNTIFS(F:F, "&lt;=" &amp; BS23, G:G, "&gt;" &amp; BS23)+'Nesting Staffing'!BW23+'Pavia Staffing'!BW23</f>
        <v>46</v>
      </c>
      <c r="BX23" s="139">
        <f>COUNTIFS(F:F, "&lt;=" &amp; BT23, G:G, "&gt;" &amp; BT23)+COUNTIFS(H:H, "&lt;=" &amp; BS23, I:I, "&gt;" &amp; BS23)+'Nesting Staffing'!BX23+'Pavia Staffing'!BX23</f>
        <v>61</v>
      </c>
      <c r="BY23" s="139">
        <f>COUNTIFS(H:H, "&lt;=" &amp; BT23, I:I, "&gt;" &amp; BT23)+COUNTIFS(J:J, "&lt;=" &amp; BS23, K:K, "&gt;" &amp; BS23)+'Nesting Staffing'!BY23+'Pavia Staffing'!BY23</f>
        <v>60</v>
      </c>
      <c r="BZ23" s="139">
        <f>COUNTIFS(J:J, "&lt;=" &amp; BT23, K:K, "&gt;" &amp; BT23)+COUNTIFS(L:L, "&lt;=" &amp; BS23, M:M, "&gt;" &amp; BS23)+'Nesting Staffing'!BZ23+'Pavia Staffing'!BZ23</f>
        <v>28</v>
      </c>
      <c r="CA23" s="52">
        <f>COUNTIFS(N:N, "&lt;=" &amp; BS23, O:O, "&gt;" &amp; BS23)+COUNTIFS(L:L, "&lt;=" &amp; BT23, M:M, "&gt;" &amp; BT23)+'Nesting Staffing'!CA23+'Pavia Staffing'!CA23</f>
        <v>48</v>
      </c>
      <c r="CB23" s="53">
        <f>COUNTIFS(T:T, "&lt;=" &amp; BS23, U:U, "&gt;" &amp; BS23)+COUNTIFS(N:N, "&lt;=" &amp; BT23, O:O, "&gt;" &amp; BT23)+'Nesting Staffing'!CB23+'Pavia Staffing'!CB23</f>
        <v>59</v>
      </c>
      <c r="CC23" s="139">
        <f>COUNTIFS(V:V, "&lt;=" &amp; BS23, W:W, "&gt;" &amp; BS23)+COUNTIFS(T:T, "&lt;=" &amp; BT23, U:U, "&gt;" &amp; BT23)+'Nesting Staffing'!CC23+'Pavia Staffing'!CC23</f>
        <v>74</v>
      </c>
      <c r="CD23" s="139">
        <f>COUNTIFS(X:X, "&lt;=" &amp; BS23, Y:Y, "&gt;" &amp; BS23)+COUNTIFS(V:V, "&lt;=" &amp; BT23, W:W, "&gt;" &amp; BT23)+'Nesting Staffing'!CD23+'Pavia Staffing'!CD23</f>
        <v>74</v>
      </c>
      <c r="CE23" s="139">
        <f>COUNTIFS(Z:Z, "&lt;=" &amp; BS23, AA:AA, "&gt;" &amp; BS23)+COUNTIFS(X:X, "&lt;=" &amp; BT23, Y:Y, "&gt;" &amp; BT23)+'Nesting Staffing'!CE23+'Pavia Staffing'!CE23</f>
        <v>61</v>
      </c>
      <c r="CF23" s="139">
        <f>COUNTIFS(AB:AB, "&lt;=" &amp; BS23, AC:AC, "&gt;" &amp; BS23)+COUNTIFS(Z:Z, "&lt;=" &amp; BT23, AA:AA, "&gt;" &amp; BT23)+'Nesting Staffing'!CF23+'Pavia Staffing'!CF23</f>
        <v>26</v>
      </c>
      <c r="CG23" s="139">
        <f>COUNTIFS(AD:AD, "&lt;=" &amp; BS23, AE:AE, "&gt;" &amp; BS23)+COUNTIFS(AB:AB, "&lt;=" &amp; BT23, AC:AC, "&gt;" &amp; BT23)+'Nesting Staffing'!CG23+'Pavia Staffing'!CG23</f>
        <v>28</v>
      </c>
      <c r="CH23" s="52">
        <f>COUNTIFS(AF:AF, "&lt;=" &amp; BS23, AG:AG, "&gt;" &amp; BS23)+COUNTIFS(AD:AD, "&lt;=" &amp; BT23, AE:AE, "&gt;" &amp; BT23)+'Nesting Staffing'!CH23+'Pavia Staffing'!CH23</f>
        <v>48</v>
      </c>
      <c r="CI23" s="53">
        <f>COUNTIFS(AI:AI, "&lt;=" &amp; BS23, AJ:AJ, "&gt;" &amp; BS23)+COUNTIFS(AF:AF, "&lt;=" &amp; BT23, AG:AG, "&gt;" &amp; BT23)+'Nesting Staffing'!CI23+'Pavia Staffing'!CI23</f>
        <v>59</v>
      </c>
      <c r="CJ23" s="139">
        <f>COUNTIFS(AK:AK, "&lt;=" &amp; BS23, AL:AL, "&gt;" &amp; BS23)+COUNTIFS(AI:AI, "&lt;=" &amp; BT23, AJ:AJ, "&gt;" &amp; BT23)+'Nesting Staffing'!CJ23+'Pavia Staffing'!CJ23</f>
        <v>74</v>
      </c>
      <c r="CK23" s="139">
        <f>COUNTIFS(AM:AM, "&lt;=" &amp; BS23, AN:AN, "&gt;" &amp; BS23)+COUNTIFS(AK:AK, "&lt;=" &amp; BT23, AL:AL, "&gt;" &amp; BT23)+'Nesting Staffing'!CK23+'Pavia Staffing'!CK23</f>
        <v>74</v>
      </c>
      <c r="CL23" s="139">
        <f>COUNTIFS(AO:AO, "&lt;=" &amp; BS23, AP:AP, "&gt;" &amp; BS23)+COUNTIFS(AM:AM, "&lt;=" &amp; BT23, AN:AN, "&gt;" &amp; BT23)+'Nesting Staffing'!CL23+'Pavia Staffing'!CL23</f>
        <v>61</v>
      </c>
      <c r="CM23" s="139">
        <f>COUNTIFS(AQ:AQ, "&lt;=" &amp; BS23, AR:AR, "&gt;" &amp; BS23)+COUNTIFS(AO:AO, "&lt;=" &amp; BT23, AP:AP, "&gt;" &amp; BT23)+'Nesting Staffing'!CM23+'Pavia Staffing'!CM23</f>
        <v>26</v>
      </c>
      <c r="CN23" s="139">
        <f>COUNTIFS(AS:AS, "&lt;=" &amp; BS23, AT:AT, "&gt;" &amp; BS23)+COUNTIFS(AQ:AQ, "&lt;=" &amp; BT23, AR:AR, "&gt;" &amp; BT23)+'Nesting Staffing'!CN23+'Pavia Staffing'!CN23</f>
        <v>28</v>
      </c>
      <c r="CO23" s="52">
        <f>COUNTIFS(AU:AU, "&lt;=" &amp; BS23, AV:AV, "&gt;" &amp; BS23)+COUNTIFS(AS:AS, "&lt;=" &amp; BT23, AT:AT, "&gt;" &amp; BT23)+'Nesting Staffing'!CO23+'Pavia Staffing'!CO23</f>
        <v>48</v>
      </c>
    </row>
    <row r="24" spans="1:93" x14ac:dyDescent="0.25">
      <c r="A24" s="20" t="str">
        <f>IFERROR('Agent Sched'!B25,"-")</f>
        <v>Ma Reslie,Estrellanes,Begaso</v>
      </c>
      <c r="B24" s="12">
        <f>IFERROR(VLOOKUP(A24,'Agent Sched'!$B:$C,2,),"-")</f>
        <v>0.375</v>
      </c>
      <c r="C24" s="13">
        <f t="shared" si="7"/>
        <v>0.75</v>
      </c>
      <c r="D24" s="12">
        <f>IFERROR(VLOOKUP(A24,'Agent Sched'!B:D,3,),"-")</f>
        <v>0.375</v>
      </c>
      <c r="E24" s="13">
        <f t="shared" si="8"/>
        <v>0.75</v>
      </c>
      <c r="F24" s="12">
        <f>IFERROR(VLOOKUP(A24,'Agent Sched'!B:E,4,),"-")</f>
        <v>0.375</v>
      </c>
      <c r="G24" s="13">
        <f t="shared" si="9"/>
        <v>0.75</v>
      </c>
      <c r="H24" s="12">
        <f>IFERROR(VLOOKUP(A24,'Agent Sched'!B:F,5,),"-")</f>
        <v>0.375</v>
      </c>
      <c r="I24" s="13">
        <f t="shared" si="10"/>
        <v>0.75</v>
      </c>
      <c r="J24" s="12">
        <f>IFERROR(VLOOKUP(A24,'Agent Sched'!B:G,6,),"-")</f>
        <v>0.375</v>
      </c>
      <c r="K24" s="13">
        <f t="shared" si="11"/>
        <v>0.75</v>
      </c>
      <c r="L24" s="12" t="str">
        <f>IFERROR(VLOOKUP(A24,'Agent Sched'!B:H,7,),"-")</f>
        <v>OFF</v>
      </c>
      <c r="M24" s="13" t="str">
        <f t="shared" si="12"/>
        <v>OFF</v>
      </c>
      <c r="N24" s="21" t="str">
        <f>IFERROR(VLOOKUP(A24,'Agent Sched'!B:I,8,),"-")</f>
        <v>OFF</v>
      </c>
      <c r="O24" s="13" t="str">
        <f t="shared" si="13"/>
        <v>OFF</v>
      </c>
      <c r="Q24" s="12" t="str">
        <f>VLOOKUP(A24,'Agent Sched'!B:Y,24,)</f>
        <v>OFF</v>
      </c>
      <c r="R24" s="13" t="str">
        <f t="shared" si="14"/>
        <v>OFF</v>
      </c>
      <c r="T24" s="25">
        <f>VLOOKUP(A24,'Agent Sched'!$B:$J,9,)</f>
        <v>0.375</v>
      </c>
      <c r="U24" s="13">
        <f t="shared" si="15"/>
        <v>0.75</v>
      </c>
      <c r="V24" s="12">
        <f>VLOOKUP(A24,'Agent Sched'!B:K,10,)</f>
        <v>0.375</v>
      </c>
      <c r="W24" s="13">
        <f t="shared" si="16"/>
        <v>0.75</v>
      </c>
      <c r="X24" s="12">
        <f>VLOOKUP(A24,'Agent Sched'!B:L,11,)</f>
        <v>0.375</v>
      </c>
      <c r="Y24" s="13">
        <f t="shared" si="17"/>
        <v>0.75</v>
      </c>
      <c r="Z24" s="12">
        <f>VLOOKUP(A24,'Agent Sched'!B:M,12,)</f>
        <v>0.375</v>
      </c>
      <c r="AA24" s="13">
        <f t="shared" si="18"/>
        <v>0.75</v>
      </c>
      <c r="AB24" s="12">
        <f>VLOOKUP(A24,'Agent Sched'!B:N,13,)</f>
        <v>0.375</v>
      </c>
      <c r="AC24" s="13">
        <f t="shared" si="19"/>
        <v>0.75</v>
      </c>
      <c r="AD24" s="12" t="str">
        <f>VLOOKUP(A24,'Agent Sched'!B:O,14,)</f>
        <v>OFF</v>
      </c>
      <c r="AE24" s="13" t="str">
        <f t="shared" si="20"/>
        <v>OFF</v>
      </c>
      <c r="AF24" s="21" t="str">
        <f>VLOOKUP(A24,'Agent Sched'!B:P,15,)</f>
        <v>OFF</v>
      </c>
      <c r="AG24" s="13" t="str">
        <f t="shared" si="21"/>
        <v>OFF</v>
      </c>
      <c r="AI24" s="25">
        <f>VLOOKUP(A24,'Agent Sched'!$B:$Q,16,)</f>
        <v>0.375</v>
      </c>
      <c r="AJ24" s="13">
        <f t="shared" si="22"/>
        <v>0.75</v>
      </c>
      <c r="AK24" s="12">
        <f>VLOOKUP(A24,'Agent Sched'!B:R,17,)</f>
        <v>0.375</v>
      </c>
      <c r="AL24" s="13">
        <f t="shared" si="23"/>
        <v>0.75</v>
      </c>
      <c r="AM24" s="12">
        <f>VLOOKUP(A24,'Agent Sched'!B:S,18,)</f>
        <v>0.375</v>
      </c>
      <c r="AN24" s="13">
        <f t="shared" si="24"/>
        <v>0.75</v>
      </c>
      <c r="AO24" s="12">
        <f>VLOOKUP(A24,'Agent Sched'!B:T,19,)</f>
        <v>0.375</v>
      </c>
      <c r="AP24" s="13">
        <f t="shared" si="25"/>
        <v>0.75</v>
      </c>
      <c r="AQ24" s="12">
        <f>VLOOKUP(A24,'Agent Sched'!B:U,20,)</f>
        <v>0.375</v>
      </c>
      <c r="AR24" s="13">
        <f t="shared" si="26"/>
        <v>0.75</v>
      </c>
      <c r="AS24" s="12" t="str">
        <f>VLOOKUP(A24,'Agent Sched'!B:V,21,)</f>
        <v>OFF</v>
      </c>
      <c r="AT24" s="13" t="str">
        <f t="shared" si="27"/>
        <v>OFF</v>
      </c>
      <c r="AU24" s="21" t="str">
        <f>VLOOKUP(A24,'Agent Sched'!B:W,22,)</f>
        <v>OFF</v>
      </c>
      <c r="AV24" s="13" t="str">
        <f t="shared" si="28"/>
        <v>OFF</v>
      </c>
      <c r="AX24" s="30">
        <v>0.875</v>
      </c>
      <c r="AY24" s="10">
        <v>1.875</v>
      </c>
      <c r="AZ24" s="31">
        <f t="shared" si="29"/>
        <v>0</v>
      </c>
      <c r="BA24" s="31">
        <f t="shared" si="30"/>
        <v>0</v>
      </c>
      <c r="BB24" s="31">
        <f t="shared" si="31"/>
        <v>0</v>
      </c>
      <c r="BC24" s="31">
        <f t="shared" si="32"/>
        <v>0</v>
      </c>
      <c r="BD24" s="31">
        <f t="shared" si="33"/>
        <v>0</v>
      </c>
      <c r="BE24" s="31">
        <f t="shared" si="34"/>
        <v>0</v>
      </c>
      <c r="BF24" s="32">
        <f t="shared" si="35"/>
        <v>0</v>
      </c>
      <c r="BH24" s="30">
        <v>0.875</v>
      </c>
      <c r="BI24" s="10">
        <v>1.875</v>
      </c>
      <c r="BJ24" s="31">
        <f t="shared" si="0"/>
        <v>0</v>
      </c>
      <c r="BK24" s="31">
        <f t="shared" si="1"/>
        <v>0</v>
      </c>
      <c r="BL24" s="31">
        <f t="shared" si="2"/>
        <v>0</v>
      </c>
      <c r="BM24" s="31">
        <f t="shared" si="3"/>
        <v>0</v>
      </c>
      <c r="BN24" s="31">
        <f t="shared" si="4"/>
        <v>0</v>
      </c>
      <c r="BO24" s="31">
        <f t="shared" si="5"/>
        <v>0</v>
      </c>
      <c r="BP24" s="32">
        <f t="shared" si="6"/>
        <v>0</v>
      </c>
      <c r="BS24" s="38">
        <v>0.875</v>
      </c>
      <c r="BT24" s="39">
        <v>1.87500000000001</v>
      </c>
      <c r="BU24" s="53">
        <f>COUNTIFS(Q:Q, "&lt;=" &amp; BT24, R:R, "&gt;" &amp; BT24)+COUNTIFS(B:B, "&lt;=" &amp; BS24, C:C, "&gt;" &amp; BS24)+'Nesting Staffing'!BU24+'Pavia Staffing'!BU24</f>
        <v>70</v>
      </c>
      <c r="BV24" s="139">
        <f>COUNTIFS(B:B, "&lt;=" &amp; BT24, C:C, "&gt;" &amp; BT24)+COUNTIFS(D:D, "&lt;=" &amp; BS24, E:E, "&gt;" &amp; BS24)+'Nesting Staffing'!BV24+'Pavia Staffing'!BV24</f>
        <v>62</v>
      </c>
      <c r="BW24" s="139">
        <f>COUNTIFS(D:D, "&lt;=" &amp; BT24, E:E, "&gt;" &amp; BT24)+COUNTIFS(F:F, "&lt;=" &amp; BS24, G:G, "&gt;" &amp; BS24)+'Nesting Staffing'!BW24+'Pavia Staffing'!BW24</f>
        <v>45</v>
      </c>
      <c r="BX24" s="139">
        <f>COUNTIFS(F:F, "&lt;=" &amp; BT24, G:G, "&gt;" &amp; BT24)+COUNTIFS(H:H, "&lt;=" &amp; BS24, I:I, "&gt;" &amp; BS24)+'Nesting Staffing'!BX24+'Pavia Staffing'!BX24</f>
        <v>55</v>
      </c>
      <c r="BY24" s="139">
        <f>COUNTIFS(H:H, "&lt;=" &amp; BT24, I:I, "&gt;" &amp; BT24)+COUNTIFS(J:J, "&lt;=" &amp; BS24, K:K, "&gt;" &amp; BS24)+'Nesting Staffing'!BY24+'Pavia Staffing'!BY24</f>
        <v>64</v>
      </c>
      <c r="BZ24" s="139">
        <f>COUNTIFS(J:J, "&lt;=" &amp; BT24, K:K, "&gt;" &amp; BT24)+COUNTIFS(L:L, "&lt;=" &amp; BS24, M:M, "&gt;" &amp; BS24)+'Nesting Staffing'!BZ24+'Pavia Staffing'!BZ24</f>
        <v>24</v>
      </c>
      <c r="CA24" s="52">
        <f>COUNTIFS(N:N, "&lt;=" &amp; BS24, O:O, "&gt;" &amp; BS24)+COUNTIFS(L:L, "&lt;=" &amp; BT24, M:M, "&gt;" &amp; BT24)+'Nesting Staffing'!CA24+'Pavia Staffing'!CA24</f>
        <v>43</v>
      </c>
      <c r="CB24" s="53">
        <f>COUNTIFS(T:T, "&lt;=" &amp; BS24, U:U, "&gt;" &amp; BS24)+COUNTIFS(N:N, "&lt;=" &amp; BT24, O:O, "&gt;" &amp; BT24)+'Nesting Staffing'!CB24+'Pavia Staffing'!CB24</f>
        <v>56</v>
      </c>
      <c r="CC24" s="139">
        <f>COUNTIFS(V:V, "&lt;=" &amp; BS24, W:W, "&gt;" &amp; BS24)+COUNTIFS(T:T, "&lt;=" &amp; BT24, U:U, "&gt;" &amp; BT24)+'Nesting Staffing'!CC24+'Pavia Staffing'!CC24</f>
        <v>73</v>
      </c>
      <c r="CD24" s="139">
        <f>COUNTIFS(X:X, "&lt;=" &amp; BS24, Y:Y, "&gt;" &amp; BS24)+COUNTIFS(V:V, "&lt;=" &amp; BT24, W:W, "&gt;" &amp; BT24)+'Nesting Staffing'!CD24+'Pavia Staffing'!CD24</f>
        <v>70</v>
      </c>
      <c r="CE24" s="139">
        <f>COUNTIFS(Z:Z, "&lt;=" &amp; BS24, AA:AA, "&gt;" &amp; BS24)+COUNTIFS(X:X, "&lt;=" &amp; BT24, Y:Y, "&gt;" &amp; BT24)+'Nesting Staffing'!CE24+'Pavia Staffing'!CE24</f>
        <v>66</v>
      </c>
      <c r="CF24" s="139">
        <f>COUNTIFS(AB:AB, "&lt;=" &amp; BS24, AC:AC, "&gt;" &amp; BS24)+COUNTIFS(Z:Z, "&lt;=" &amp; BT24, AA:AA, "&gt;" &amp; BT24)+'Nesting Staffing'!CF24+'Pavia Staffing'!CF24</f>
        <v>33</v>
      </c>
      <c r="CG24" s="139">
        <f>COUNTIFS(AD:AD, "&lt;=" &amp; BS24, AE:AE, "&gt;" &amp; BS24)+COUNTIFS(AB:AB, "&lt;=" &amp; BT24, AC:AC, "&gt;" &amp; BT24)+'Nesting Staffing'!CG24+'Pavia Staffing'!CG24</f>
        <v>24</v>
      </c>
      <c r="CH24" s="52">
        <f>COUNTIFS(AF:AF, "&lt;=" &amp; BS24, AG:AG, "&gt;" &amp; BS24)+COUNTIFS(AD:AD, "&lt;=" &amp; BT24, AE:AE, "&gt;" &amp; BT24)+'Nesting Staffing'!CH24+'Pavia Staffing'!CH24</f>
        <v>43</v>
      </c>
      <c r="CI24" s="53">
        <f>COUNTIFS(AI:AI, "&lt;=" &amp; BS24, AJ:AJ, "&gt;" &amp; BS24)+COUNTIFS(AF:AF, "&lt;=" &amp; BT24, AG:AG, "&gt;" &amp; BT24)+'Nesting Staffing'!CI24+'Pavia Staffing'!CI24</f>
        <v>56</v>
      </c>
      <c r="CJ24" s="139">
        <f>COUNTIFS(AK:AK, "&lt;=" &amp; BS24, AL:AL, "&gt;" &amp; BS24)+COUNTIFS(AI:AI, "&lt;=" &amp; BT24, AJ:AJ, "&gt;" &amp; BT24)+'Nesting Staffing'!CJ24+'Pavia Staffing'!CJ24</f>
        <v>73</v>
      </c>
      <c r="CK24" s="139">
        <f>COUNTIFS(AM:AM, "&lt;=" &amp; BS24, AN:AN, "&gt;" &amp; BS24)+COUNTIFS(AK:AK, "&lt;=" &amp; BT24, AL:AL, "&gt;" &amp; BT24)+'Nesting Staffing'!CK24+'Pavia Staffing'!CK24</f>
        <v>70</v>
      </c>
      <c r="CL24" s="139">
        <f>COUNTIFS(AO:AO, "&lt;=" &amp; BS24, AP:AP, "&gt;" &amp; BS24)+COUNTIFS(AM:AM, "&lt;=" &amp; BT24, AN:AN, "&gt;" &amp; BT24)+'Nesting Staffing'!CL24+'Pavia Staffing'!CL24</f>
        <v>66</v>
      </c>
      <c r="CM24" s="139">
        <f>COUNTIFS(AQ:AQ, "&lt;=" &amp; BS24, AR:AR, "&gt;" &amp; BS24)+COUNTIFS(AO:AO, "&lt;=" &amp; BT24, AP:AP, "&gt;" &amp; BT24)+'Nesting Staffing'!CM24+'Pavia Staffing'!CM24</f>
        <v>33</v>
      </c>
      <c r="CN24" s="139">
        <f>COUNTIFS(AS:AS, "&lt;=" &amp; BS24, AT:AT, "&gt;" &amp; BS24)+COUNTIFS(AQ:AQ, "&lt;=" &amp; BT24, AR:AR, "&gt;" &amp; BT24)+'Nesting Staffing'!CN24+'Pavia Staffing'!CN24</f>
        <v>24</v>
      </c>
      <c r="CO24" s="52">
        <f>COUNTIFS(AU:AU, "&lt;=" &amp; BS24, AV:AV, "&gt;" &amp; BS24)+COUNTIFS(AS:AS, "&lt;=" &amp; BT24, AT:AT, "&gt;" &amp; BT24)+'Nesting Staffing'!CO24+'Pavia Staffing'!CO24</f>
        <v>43</v>
      </c>
    </row>
    <row r="25" spans="1:93" x14ac:dyDescent="0.25">
      <c r="A25" s="20" t="str">
        <f>IFERROR('Agent Sched'!B26,"-")</f>
        <v>Verlyn Rose,Aurora,Villaram</v>
      </c>
      <c r="B25" s="12">
        <f>IFERROR(VLOOKUP(A25,'Agent Sched'!$B:$C,2,),"-")</f>
        <v>0.375</v>
      </c>
      <c r="C25" s="13">
        <f t="shared" si="7"/>
        <v>0.75</v>
      </c>
      <c r="D25" s="12">
        <f>IFERROR(VLOOKUP(A25,'Agent Sched'!B:D,3,),"-")</f>
        <v>0.375</v>
      </c>
      <c r="E25" s="13">
        <f t="shared" si="8"/>
        <v>0.75</v>
      </c>
      <c r="F25" s="12">
        <f>IFERROR(VLOOKUP(A25,'Agent Sched'!B:E,4,),"-")</f>
        <v>0.375</v>
      </c>
      <c r="G25" s="13">
        <f t="shared" si="9"/>
        <v>0.75</v>
      </c>
      <c r="H25" s="12">
        <f>IFERROR(VLOOKUP(A25,'Agent Sched'!B:F,5,),"-")</f>
        <v>0.375</v>
      </c>
      <c r="I25" s="13">
        <f t="shared" si="10"/>
        <v>0.75</v>
      </c>
      <c r="J25" s="12">
        <f>IFERROR(VLOOKUP(A25,'Agent Sched'!B:G,6,),"-")</f>
        <v>0.375</v>
      </c>
      <c r="K25" s="13">
        <f t="shared" si="11"/>
        <v>0.75</v>
      </c>
      <c r="L25" s="12" t="str">
        <f>IFERROR(VLOOKUP(A25,'Agent Sched'!B:H,7,),"-")</f>
        <v>OFF</v>
      </c>
      <c r="M25" s="13" t="str">
        <f t="shared" si="12"/>
        <v>OFF</v>
      </c>
      <c r="N25" s="21" t="str">
        <f>IFERROR(VLOOKUP(A25,'Agent Sched'!B:I,8,),"-")</f>
        <v>OFF</v>
      </c>
      <c r="O25" s="13" t="str">
        <f t="shared" si="13"/>
        <v>OFF</v>
      </c>
      <c r="Q25" s="12" t="str">
        <f>VLOOKUP(A25,'Agent Sched'!B:Y,24,)</f>
        <v>OFF</v>
      </c>
      <c r="R25" s="13" t="str">
        <f t="shared" si="14"/>
        <v>OFF</v>
      </c>
      <c r="T25" s="25">
        <f>VLOOKUP(A25,'Agent Sched'!$B:$J,9,)</f>
        <v>0.375</v>
      </c>
      <c r="U25" s="13">
        <f t="shared" si="15"/>
        <v>0.75</v>
      </c>
      <c r="V25" s="12">
        <f>VLOOKUP(A25,'Agent Sched'!B:K,10,)</f>
        <v>0.375</v>
      </c>
      <c r="W25" s="13">
        <f t="shared" si="16"/>
        <v>0.75</v>
      </c>
      <c r="X25" s="12">
        <f>VLOOKUP(A25,'Agent Sched'!B:L,11,)</f>
        <v>0.375</v>
      </c>
      <c r="Y25" s="13">
        <f t="shared" si="17"/>
        <v>0.75</v>
      </c>
      <c r="Z25" s="12">
        <f>VLOOKUP(A25,'Agent Sched'!B:M,12,)</f>
        <v>0.375</v>
      </c>
      <c r="AA25" s="13">
        <f t="shared" si="18"/>
        <v>0.75</v>
      </c>
      <c r="AB25" s="12">
        <f>VLOOKUP(A25,'Agent Sched'!B:N,13,)</f>
        <v>0.375</v>
      </c>
      <c r="AC25" s="13">
        <f t="shared" si="19"/>
        <v>0.75</v>
      </c>
      <c r="AD25" s="12" t="str">
        <f>VLOOKUP(A25,'Agent Sched'!B:O,14,)</f>
        <v>OFF</v>
      </c>
      <c r="AE25" s="13" t="str">
        <f t="shared" si="20"/>
        <v>OFF</v>
      </c>
      <c r="AF25" s="21" t="str">
        <f>VLOOKUP(A25,'Agent Sched'!B:P,15,)</f>
        <v>OFF</v>
      </c>
      <c r="AG25" s="13" t="str">
        <f t="shared" si="21"/>
        <v>OFF</v>
      </c>
      <c r="AI25" s="25">
        <f>VLOOKUP(A25,'Agent Sched'!$B:$Q,16,)</f>
        <v>0.375</v>
      </c>
      <c r="AJ25" s="13">
        <f t="shared" si="22"/>
        <v>0.75</v>
      </c>
      <c r="AK25" s="12">
        <f>VLOOKUP(A25,'Agent Sched'!B:R,17,)</f>
        <v>0.375</v>
      </c>
      <c r="AL25" s="13">
        <f t="shared" si="23"/>
        <v>0.75</v>
      </c>
      <c r="AM25" s="12">
        <f>VLOOKUP(A25,'Agent Sched'!B:S,18,)</f>
        <v>0.375</v>
      </c>
      <c r="AN25" s="13">
        <f t="shared" si="24"/>
        <v>0.75</v>
      </c>
      <c r="AO25" s="12">
        <f>VLOOKUP(A25,'Agent Sched'!B:T,19,)</f>
        <v>0.375</v>
      </c>
      <c r="AP25" s="13">
        <f t="shared" si="25"/>
        <v>0.75</v>
      </c>
      <c r="AQ25" s="12">
        <f>VLOOKUP(A25,'Agent Sched'!B:U,20,)</f>
        <v>0.375</v>
      </c>
      <c r="AR25" s="13">
        <f t="shared" si="26"/>
        <v>0.75</v>
      </c>
      <c r="AS25" s="12" t="str">
        <f>VLOOKUP(A25,'Agent Sched'!B:V,21,)</f>
        <v>OFF</v>
      </c>
      <c r="AT25" s="13" t="str">
        <f t="shared" si="27"/>
        <v>OFF</v>
      </c>
      <c r="AU25" s="21" t="str">
        <f>VLOOKUP(A25,'Agent Sched'!B:W,22,)</f>
        <v>OFF</v>
      </c>
      <c r="AV25" s="13" t="str">
        <f t="shared" si="28"/>
        <v>OFF</v>
      </c>
      <c r="AX25" s="30">
        <v>0.91666666666666696</v>
      </c>
      <c r="AY25" s="10">
        <v>1.9166666666666701</v>
      </c>
      <c r="AZ25" s="31">
        <f t="shared" si="29"/>
        <v>0</v>
      </c>
      <c r="BA25" s="31">
        <f t="shared" si="30"/>
        <v>0</v>
      </c>
      <c r="BB25" s="31">
        <f t="shared" si="31"/>
        <v>0</v>
      </c>
      <c r="BC25" s="31">
        <f t="shared" si="32"/>
        <v>0</v>
      </c>
      <c r="BD25" s="31">
        <f t="shared" si="33"/>
        <v>0</v>
      </c>
      <c r="BE25" s="31">
        <f t="shared" si="34"/>
        <v>0</v>
      </c>
      <c r="BF25" s="32">
        <f t="shared" si="35"/>
        <v>0</v>
      </c>
      <c r="BH25" s="30">
        <v>0.91666666666666696</v>
      </c>
      <c r="BI25" s="10">
        <v>1.9166666666666601</v>
      </c>
      <c r="BJ25" s="31">
        <f t="shared" si="0"/>
        <v>0</v>
      </c>
      <c r="BK25" s="31">
        <f t="shared" si="1"/>
        <v>0</v>
      </c>
      <c r="BL25" s="31">
        <f t="shared" si="2"/>
        <v>0</v>
      </c>
      <c r="BM25" s="31">
        <f t="shared" si="3"/>
        <v>0</v>
      </c>
      <c r="BN25" s="31">
        <f t="shared" si="4"/>
        <v>0</v>
      </c>
      <c r="BO25" s="31">
        <f t="shared" si="5"/>
        <v>0</v>
      </c>
      <c r="BP25" s="32">
        <f t="shared" si="6"/>
        <v>0</v>
      </c>
      <c r="BS25" s="38">
        <v>0.91666666666666696</v>
      </c>
      <c r="BT25" s="39">
        <v>1.9166666666666701</v>
      </c>
      <c r="BU25" s="53">
        <f>COUNTIFS(Q:Q, "&lt;=" &amp; BT25, R:R, "&gt;" &amp; BT25)+COUNTIFS(B:B, "&lt;=" &amp; BS25, C:C, "&gt;" &amp; BS25)+'Nesting Staffing'!BU25+'Pavia Staffing'!BU25</f>
        <v>70</v>
      </c>
      <c r="BV25" s="139">
        <f>COUNTIFS(B:B, "&lt;=" &amp; BT25, C:C, "&gt;" &amp; BT25)+COUNTIFS(D:D, "&lt;=" &amp; BS25, E:E, "&gt;" &amp; BS25)+'Nesting Staffing'!BV25+'Pavia Staffing'!BV25</f>
        <v>62</v>
      </c>
      <c r="BW25" s="139">
        <f>COUNTIFS(D:D, "&lt;=" &amp; BT25, E:E, "&gt;" &amp; BT25)+COUNTIFS(F:F, "&lt;=" &amp; BS25, G:G, "&gt;" &amp; BS25)+'Nesting Staffing'!BW25+'Pavia Staffing'!BW25</f>
        <v>45</v>
      </c>
      <c r="BX25" s="139">
        <f>COUNTIFS(F:F, "&lt;=" &amp; BT25, G:G, "&gt;" &amp; BT25)+COUNTIFS(H:H, "&lt;=" &amp; BS25, I:I, "&gt;" &amp; BS25)+'Nesting Staffing'!BX25+'Pavia Staffing'!BX25</f>
        <v>55</v>
      </c>
      <c r="BY25" s="139">
        <f>COUNTIFS(H:H, "&lt;=" &amp; BT25, I:I, "&gt;" &amp; BT25)+COUNTIFS(J:J, "&lt;=" &amp; BS25, K:K, "&gt;" &amp; BS25)+'Nesting Staffing'!BY25+'Pavia Staffing'!BY25</f>
        <v>64</v>
      </c>
      <c r="BZ25" s="139">
        <f>COUNTIFS(J:J, "&lt;=" &amp; BT25, K:K, "&gt;" &amp; BT25)+COUNTIFS(L:L, "&lt;=" &amp; BS25, M:M, "&gt;" &amp; BS25)+'Nesting Staffing'!BZ25+'Pavia Staffing'!BZ25</f>
        <v>24</v>
      </c>
      <c r="CA25" s="52">
        <f>COUNTIFS(N:N, "&lt;=" &amp; BS25, O:O, "&gt;" &amp; BS25)+COUNTIFS(L:L, "&lt;=" &amp; BT25, M:M, "&gt;" &amp; BT25)+'Nesting Staffing'!CA25+'Pavia Staffing'!CA25</f>
        <v>43</v>
      </c>
      <c r="CB25" s="53">
        <f>COUNTIFS(T:T, "&lt;=" &amp; BS25, U:U, "&gt;" &amp; BS25)+COUNTIFS(N:N, "&lt;=" &amp; BT25, O:O, "&gt;" &amp; BT25)+'Nesting Staffing'!CB25+'Pavia Staffing'!CB25</f>
        <v>56</v>
      </c>
      <c r="CC25" s="139">
        <f>COUNTIFS(V:V, "&lt;=" &amp; BS25, W:W, "&gt;" &amp; BS25)+COUNTIFS(T:T, "&lt;=" &amp; BT25, U:U, "&gt;" &amp; BT25)+'Nesting Staffing'!CC25+'Pavia Staffing'!CC25</f>
        <v>73</v>
      </c>
      <c r="CD25" s="139">
        <f>COUNTIFS(X:X, "&lt;=" &amp; BS25, Y:Y, "&gt;" &amp; BS25)+COUNTIFS(V:V, "&lt;=" &amp; BT25, W:W, "&gt;" &amp; BT25)+'Nesting Staffing'!CD25+'Pavia Staffing'!CD25</f>
        <v>70</v>
      </c>
      <c r="CE25" s="139">
        <f>COUNTIFS(Z:Z, "&lt;=" &amp; BS25, AA:AA, "&gt;" &amp; BS25)+COUNTIFS(X:X, "&lt;=" &amp; BT25, Y:Y, "&gt;" &amp; BT25)+'Nesting Staffing'!CE25+'Pavia Staffing'!CE25</f>
        <v>66</v>
      </c>
      <c r="CF25" s="139">
        <f>COUNTIFS(AB:AB, "&lt;=" &amp; BS25, AC:AC, "&gt;" &amp; BS25)+COUNTIFS(Z:Z, "&lt;=" &amp; BT25, AA:AA, "&gt;" &amp; BT25)+'Nesting Staffing'!CF25+'Pavia Staffing'!CF25</f>
        <v>33</v>
      </c>
      <c r="CG25" s="139">
        <f>COUNTIFS(AD:AD, "&lt;=" &amp; BS25, AE:AE, "&gt;" &amp; BS25)+COUNTIFS(AB:AB, "&lt;=" &amp; BT25, AC:AC, "&gt;" &amp; BT25)+'Nesting Staffing'!CG25+'Pavia Staffing'!CG25</f>
        <v>24</v>
      </c>
      <c r="CH25" s="52">
        <f>COUNTIFS(AF:AF, "&lt;=" &amp; BS25, AG:AG, "&gt;" &amp; BS25)+COUNTIFS(AD:AD, "&lt;=" &amp; BT25, AE:AE, "&gt;" &amp; BT25)+'Nesting Staffing'!CH25+'Pavia Staffing'!CH25</f>
        <v>43</v>
      </c>
      <c r="CI25" s="53">
        <f>COUNTIFS(AI:AI, "&lt;=" &amp; BS25, AJ:AJ, "&gt;" &amp; BS25)+COUNTIFS(AF:AF, "&lt;=" &amp; BT25, AG:AG, "&gt;" &amp; BT25)+'Nesting Staffing'!CI25+'Pavia Staffing'!CI25</f>
        <v>56</v>
      </c>
      <c r="CJ25" s="139">
        <f>COUNTIFS(AK:AK, "&lt;=" &amp; BS25, AL:AL, "&gt;" &amp; BS25)+COUNTIFS(AI:AI, "&lt;=" &amp; BT25, AJ:AJ, "&gt;" &amp; BT25)+'Nesting Staffing'!CJ25+'Pavia Staffing'!CJ25</f>
        <v>73</v>
      </c>
      <c r="CK25" s="139">
        <f>COUNTIFS(AM:AM, "&lt;=" &amp; BS25, AN:AN, "&gt;" &amp; BS25)+COUNTIFS(AK:AK, "&lt;=" &amp; BT25, AL:AL, "&gt;" &amp; BT25)+'Nesting Staffing'!CK25+'Pavia Staffing'!CK25</f>
        <v>70</v>
      </c>
      <c r="CL25" s="139">
        <f>COUNTIFS(AO:AO, "&lt;=" &amp; BS25, AP:AP, "&gt;" &amp; BS25)+COUNTIFS(AM:AM, "&lt;=" &amp; BT25, AN:AN, "&gt;" &amp; BT25)+'Nesting Staffing'!CL25+'Pavia Staffing'!CL25</f>
        <v>66</v>
      </c>
      <c r="CM25" s="139">
        <f>COUNTIFS(AQ:AQ, "&lt;=" &amp; BS25, AR:AR, "&gt;" &amp; BS25)+COUNTIFS(AO:AO, "&lt;=" &amp; BT25, AP:AP, "&gt;" &amp; BT25)+'Nesting Staffing'!CM25+'Pavia Staffing'!CM25</f>
        <v>33</v>
      </c>
      <c r="CN25" s="139">
        <f>COUNTIFS(AS:AS, "&lt;=" &amp; BS25, AT:AT, "&gt;" &amp; BS25)+COUNTIFS(AQ:AQ, "&lt;=" &amp; BT25, AR:AR, "&gt;" &amp; BT25)+'Nesting Staffing'!CN25+'Pavia Staffing'!CN25</f>
        <v>24</v>
      </c>
      <c r="CO25" s="52">
        <f>COUNTIFS(AU:AU, "&lt;=" &amp; BS25, AV:AV, "&gt;" &amp; BS25)+COUNTIFS(AS:AS, "&lt;=" &amp; BT25, AT:AT, "&gt;" &amp; BT25)+'Nesting Staffing'!CO25+'Pavia Staffing'!CO25</f>
        <v>43</v>
      </c>
    </row>
    <row r="26" spans="1:93" ht="15.75" thickBot="1" x14ac:dyDescent="0.3">
      <c r="A26" s="20" t="str">
        <f>IFERROR('Agent Sched'!B27,"-")</f>
        <v>Jelyn Zarate</v>
      </c>
      <c r="B26" s="12">
        <f>IFERROR(VLOOKUP(A26,'Agent Sched'!$B:$C,2,),"-")</f>
        <v>0.375</v>
      </c>
      <c r="C26" s="13">
        <f t="shared" si="7"/>
        <v>0.75</v>
      </c>
      <c r="D26" s="12">
        <f>IFERROR(VLOOKUP(A26,'Agent Sched'!B:D,3,),"-")</f>
        <v>0.375</v>
      </c>
      <c r="E26" s="13">
        <f t="shared" si="8"/>
        <v>0.75</v>
      </c>
      <c r="F26" s="12">
        <f>IFERROR(VLOOKUP(A26,'Agent Sched'!B:E,4,),"-")</f>
        <v>0.375</v>
      </c>
      <c r="G26" s="13">
        <f t="shared" si="9"/>
        <v>0.75</v>
      </c>
      <c r="H26" s="12">
        <f>IFERROR(VLOOKUP(A26,'Agent Sched'!B:F,5,),"-")</f>
        <v>0.375</v>
      </c>
      <c r="I26" s="13">
        <f t="shared" si="10"/>
        <v>0.75</v>
      </c>
      <c r="J26" s="12">
        <f>IFERROR(VLOOKUP(A26,'Agent Sched'!B:G,6,),"-")</f>
        <v>0.375</v>
      </c>
      <c r="K26" s="13">
        <f t="shared" si="11"/>
        <v>0.75</v>
      </c>
      <c r="L26" s="12" t="str">
        <f>IFERROR(VLOOKUP(A26,'Agent Sched'!B:H,7,),"-")</f>
        <v>OFF</v>
      </c>
      <c r="M26" s="13" t="str">
        <f t="shared" si="12"/>
        <v>OFF</v>
      </c>
      <c r="N26" s="21" t="str">
        <f>IFERROR(VLOOKUP(A26,'Agent Sched'!B:I,8,),"-")</f>
        <v>OFF</v>
      </c>
      <c r="O26" s="13" t="str">
        <f t="shared" si="13"/>
        <v>OFF</v>
      </c>
      <c r="Q26" s="12" t="str">
        <f>VLOOKUP(A26,'Agent Sched'!B:Y,24,)</f>
        <v>OFF</v>
      </c>
      <c r="R26" s="13" t="str">
        <f t="shared" si="14"/>
        <v>OFF</v>
      </c>
      <c r="T26" s="25">
        <f>VLOOKUP(A26,'Agent Sched'!$B:$J,9,)</f>
        <v>0.375</v>
      </c>
      <c r="U26" s="13">
        <f t="shared" si="15"/>
        <v>0.75</v>
      </c>
      <c r="V26" s="12">
        <f>VLOOKUP(A26,'Agent Sched'!B:K,10,)</f>
        <v>0.375</v>
      </c>
      <c r="W26" s="13">
        <f t="shared" si="16"/>
        <v>0.75</v>
      </c>
      <c r="X26" s="12">
        <f>VLOOKUP(A26,'Agent Sched'!B:L,11,)</f>
        <v>0.375</v>
      </c>
      <c r="Y26" s="13">
        <f t="shared" si="17"/>
        <v>0.75</v>
      </c>
      <c r="Z26" s="12">
        <f>VLOOKUP(A26,'Agent Sched'!B:M,12,)</f>
        <v>0.375</v>
      </c>
      <c r="AA26" s="13">
        <f t="shared" si="18"/>
        <v>0.75</v>
      </c>
      <c r="AB26" s="12">
        <f>VLOOKUP(A26,'Agent Sched'!B:N,13,)</f>
        <v>0.375</v>
      </c>
      <c r="AC26" s="13">
        <f t="shared" si="19"/>
        <v>0.75</v>
      </c>
      <c r="AD26" s="12" t="str">
        <f>VLOOKUP(A26,'Agent Sched'!B:O,14,)</f>
        <v>OFF</v>
      </c>
      <c r="AE26" s="13" t="str">
        <f t="shared" si="20"/>
        <v>OFF</v>
      </c>
      <c r="AF26" s="21" t="str">
        <f>VLOOKUP(A26,'Agent Sched'!B:P,15,)</f>
        <v>OFF</v>
      </c>
      <c r="AG26" s="13" t="str">
        <f t="shared" si="21"/>
        <v>OFF</v>
      </c>
      <c r="AI26" s="25">
        <f>VLOOKUP(A26,'Agent Sched'!$B:$Q,16,)</f>
        <v>0.375</v>
      </c>
      <c r="AJ26" s="13">
        <f t="shared" si="22"/>
        <v>0.75</v>
      </c>
      <c r="AK26" s="12">
        <f>VLOOKUP(A26,'Agent Sched'!B:R,17,)</f>
        <v>0.375</v>
      </c>
      <c r="AL26" s="13">
        <f t="shared" si="23"/>
        <v>0.75</v>
      </c>
      <c r="AM26" s="12">
        <f>VLOOKUP(A26,'Agent Sched'!B:S,18,)</f>
        <v>0.375</v>
      </c>
      <c r="AN26" s="13">
        <f t="shared" si="24"/>
        <v>0.75</v>
      </c>
      <c r="AO26" s="12">
        <f>VLOOKUP(A26,'Agent Sched'!B:T,19,)</f>
        <v>0.375</v>
      </c>
      <c r="AP26" s="13">
        <f t="shared" si="25"/>
        <v>0.75</v>
      </c>
      <c r="AQ26" s="12">
        <f>VLOOKUP(A26,'Agent Sched'!B:U,20,)</f>
        <v>0.375</v>
      </c>
      <c r="AR26" s="13">
        <f t="shared" si="26"/>
        <v>0.75</v>
      </c>
      <c r="AS26" s="12" t="str">
        <f>VLOOKUP(A26,'Agent Sched'!B:V,21,)</f>
        <v>OFF</v>
      </c>
      <c r="AT26" s="13" t="str">
        <f t="shared" si="27"/>
        <v>OFF</v>
      </c>
      <c r="AU26" s="21" t="str">
        <f>VLOOKUP(A26,'Agent Sched'!B:W,22,)</f>
        <v>OFF</v>
      </c>
      <c r="AV26" s="13" t="str">
        <f t="shared" si="28"/>
        <v>OFF</v>
      </c>
      <c r="AX26" s="33">
        <v>0.95833333333333304</v>
      </c>
      <c r="AY26" s="34">
        <v>1.9583333333333399</v>
      </c>
      <c r="AZ26" s="35">
        <f t="shared" si="29"/>
        <v>0</v>
      </c>
      <c r="BA26" s="35">
        <f t="shared" si="30"/>
        <v>0</v>
      </c>
      <c r="BB26" s="35">
        <f t="shared" si="31"/>
        <v>0</v>
      </c>
      <c r="BC26" s="35">
        <f t="shared" si="32"/>
        <v>0</v>
      </c>
      <c r="BD26" s="35">
        <f t="shared" si="33"/>
        <v>0</v>
      </c>
      <c r="BE26" s="35">
        <f t="shared" si="34"/>
        <v>0</v>
      </c>
      <c r="BF26" s="36">
        <f t="shared" si="35"/>
        <v>0</v>
      </c>
      <c r="BH26" s="33">
        <v>0.95833333333333304</v>
      </c>
      <c r="BI26" s="34">
        <v>1.9583333333333299</v>
      </c>
      <c r="BJ26" s="35">
        <f t="shared" si="0"/>
        <v>0</v>
      </c>
      <c r="BK26" s="35">
        <f t="shared" si="1"/>
        <v>0</v>
      </c>
      <c r="BL26" s="35">
        <f t="shared" si="2"/>
        <v>0</v>
      </c>
      <c r="BM26" s="35">
        <f t="shared" si="3"/>
        <v>0</v>
      </c>
      <c r="BN26" s="35">
        <f t="shared" si="4"/>
        <v>0</v>
      </c>
      <c r="BO26" s="35">
        <f t="shared" si="5"/>
        <v>0</v>
      </c>
      <c r="BP26" s="36">
        <f t="shared" si="6"/>
        <v>0</v>
      </c>
      <c r="BS26" s="40">
        <v>0.95833333333333304</v>
      </c>
      <c r="BT26" s="41">
        <v>1.9583333333333399</v>
      </c>
      <c r="BU26" s="56">
        <f>COUNTIFS(Q:Q, "&lt;=" &amp; BT26, R:R, "&gt;" &amp; BT26)+COUNTIFS(B:B, "&lt;=" &amp; BS26, C:C, "&gt;" &amp; BS26)+'Nesting Staffing'!BU26+'Pavia Staffing'!BU26</f>
        <v>49</v>
      </c>
      <c r="BV26" s="54">
        <f>COUNTIFS(B:B, "&lt;=" &amp; BT26, C:C, "&gt;" &amp; BT26)+COUNTIFS(D:D, "&lt;=" &amp; BS26, E:E, "&gt;" &amp; BS26)+'Nesting Staffing'!BV26+'Pavia Staffing'!BV26</f>
        <v>50</v>
      </c>
      <c r="BW26" s="54">
        <f>COUNTIFS(D:D, "&lt;=" &amp; BT26, E:E, "&gt;" &amp; BT26)+COUNTIFS(F:F, "&lt;=" &amp; BS26, G:G, "&gt;" &amp; BS26)+'Nesting Staffing'!BW26+'Pavia Staffing'!BW26</f>
        <v>24</v>
      </c>
      <c r="BX26" s="54">
        <f>COUNTIFS(F:F, "&lt;=" &amp; BT26, G:G, "&gt;" &amp; BT26)+COUNTIFS(H:H, "&lt;=" &amp; BS26, I:I, "&gt;" &amp; BS26)+'Nesting Staffing'!BX26+'Pavia Staffing'!BX26</f>
        <v>34</v>
      </c>
      <c r="BY26" s="54">
        <f>COUNTIFS(H:H, "&lt;=" &amp; BT26, I:I, "&gt;" &amp; BT26)+COUNTIFS(J:J, "&lt;=" &amp; BS26, K:K, "&gt;" &amp; BS26)+'Nesting Staffing'!BY26+'Pavia Staffing'!BY26</f>
        <v>43</v>
      </c>
      <c r="BZ26" s="54">
        <f>COUNTIFS(J:J, "&lt;=" &amp; BT26, K:K, "&gt;" &amp; BT26)+COUNTIFS(L:L, "&lt;=" &amp; BS26, M:M, "&gt;" &amp; BS26)+'Nesting Staffing'!BZ26+'Pavia Staffing'!BZ26</f>
        <v>24</v>
      </c>
      <c r="CA26" s="55">
        <f>COUNTIFS(N:N, "&lt;=" &amp; BS26, O:O, "&gt;" &amp; BS26)+COUNTIFS(L:L, "&lt;=" &amp; BT26, M:M, "&gt;" &amp; BT26)+'Nesting Staffing'!CA26+'Pavia Staffing'!CA26</f>
        <v>34</v>
      </c>
      <c r="CB26" s="56">
        <f>COUNTIFS(T:T, "&lt;=" &amp; BS26, U:U, "&gt;" &amp; BS26)+COUNTIFS(N:N, "&lt;=" &amp; BT26, O:O, "&gt;" &amp; BT26)+'Nesting Staffing'!CB26+'Pavia Staffing'!CB26</f>
        <v>35</v>
      </c>
      <c r="CC26" s="54">
        <f>COUNTIFS(V:V, "&lt;=" &amp; BS26, W:W, "&gt;" &amp; BS26)+COUNTIFS(T:T, "&lt;=" &amp; BT26, U:U, "&gt;" &amp; BT26)+'Nesting Staffing'!CC26+'Pavia Staffing'!CC26</f>
        <v>52</v>
      </c>
      <c r="CD26" s="54">
        <f>COUNTIFS(X:X, "&lt;=" &amp; BS26, Y:Y, "&gt;" &amp; BS26)+COUNTIFS(V:V, "&lt;=" &amp; BT26, W:W, "&gt;" &amp; BT26)+'Nesting Staffing'!CD26+'Pavia Staffing'!CD26</f>
        <v>49</v>
      </c>
      <c r="CE26" s="54">
        <f>COUNTIFS(Z:Z, "&lt;=" &amp; BS26, AA:AA, "&gt;" &amp; BS26)+COUNTIFS(X:X, "&lt;=" &amp; BT26, Y:Y, "&gt;" &amp; BT26)+'Nesting Staffing'!CE26+'Pavia Staffing'!CE26</f>
        <v>45</v>
      </c>
      <c r="CF26" s="54">
        <f>COUNTIFS(AB:AB, "&lt;=" &amp; BS26, AC:AC, "&gt;" &amp; BS26)+COUNTIFS(Z:Z, "&lt;=" &amp; BT26, AA:AA, "&gt;" &amp; BT26)+'Nesting Staffing'!CF26+'Pavia Staffing'!CF26</f>
        <v>21</v>
      </c>
      <c r="CG26" s="54">
        <f>COUNTIFS(AD:AD, "&lt;=" &amp; BS26, AE:AE, "&gt;" &amp; BS26)+COUNTIFS(AB:AB, "&lt;=" &amp; BT26, AC:AC, "&gt;" &amp; BT26)+'Nesting Staffing'!CG26+'Pavia Staffing'!CG26</f>
        <v>24</v>
      </c>
      <c r="CH26" s="55">
        <f>COUNTIFS(AF:AF, "&lt;=" &amp; BS26, AG:AG, "&gt;" &amp; BS26)+COUNTIFS(AD:AD, "&lt;=" &amp; BT26, AE:AE, "&gt;" &amp; BT26)+'Nesting Staffing'!CH26+'Pavia Staffing'!CH26</f>
        <v>34</v>
      </c>
      <c r="CI26" s="56">
        <f>COUNTIFS(AI:AI, "&lt;=" &amp; BS26, AJ:AJ, "&gt;" &amp; BS26)+COUNTIFS(AF:AF, "&lt;=" &amp; BT26, AG:AG, "&gt;" &amp; BT26)+'Nesting Staffing'!CI26+'Pavia Staffing'!CI26</f>
        <v>35</v>
      </c>
      <c r="CJ26" s="54">
        <f>COUNTIFS(AK:AK, "&lt;=" &amp; BS26, AL:AL, "&gt;" &amp; BS26)+COUNTIFS(AI:AI, "&lt;=" &amp; BT26, AJ:AJ, "&gt;" &amp; BT26)+'Nesting Staffing'!CJ26+'Pavia Staffing'!CJ26</f>
        <v>52</v>
      </c>
      <c r="CK26" s="54">
        <f>COUNTIFS(AM:AM, "&lt;=" &amp; BS26, AN:AN, "&gt;" &amp; BS26)+COUNTIFS(AK:AK, "&lt;=" &amp; BT26, AL:AL, "&gt;" &amp; BT26)+'Nesting Staffing'!CK26+'Pavia Staffing'!CK26</f>
        <v>49</v>
      </c>
      <c r="CL26" s="54">
        <f>COUNTIFS(AO:AO, "&lt;=" &amp; BS26, AP:AP, "&gt;" &amp; BS26)+COUNTIFS(AM:AM, "&lt;=" &amp; BT26, AN:AN, "&gt;" &amp; BT26)+'Nesting Staffing'!CL26+'Pavia Staffing'!CL26</f>
        <v>45</v>
      </c>
      <c r="CM26" s="54">
        <f>COUNTIFS(AQ:AQ, "&lt;=" &amp; BS26, AR:AR, "&gt;" &amp; BS26)+COUNTIFS(AO:AO, "&lt;=" &amp; BT26, AP:AP, "&gt;" &amp; BT26)+'Nesting Staffing'!CM26+'Pavia Staffing'!CM26</f>
        <v>21</v>
      </c>
      <c r="CN26" s="54">
        <f>COUNTIFS(AS:AS, "&lt;=" &amp; BS26, AT:AT, "&gt;" &amp; BS26)+COUNTIFS(AQ:AQ, "&lt;=" &amp; BT26, AR:AR, "&gt;" &amp; BT26)+'Nesting Staffing'!CN26+'Pavia Staffing'!CN26</f>
        <v>24</v>
      </c>
      <c r="CO26" s="55">
        <f>COUNTIFS(AU:AU, "&lt;=" &amp; BS26, AV:AV, "&gt;" &amp; BS26)+COUNTIFS(AS:AS, "&lt;=" &amp; BT26, AT:AT, "&gt;" &amp; BT26)+'Nesting Staffing'!CO26+'Pavia Staffing'!CO26</f>
        <v>34</v>
      </c>
    </row>
    <row r="27" spans="1:93" ht="15.75" thickBot="1" x14ac:dyDescent="0.3">
      <c r="A27" s="20" t="str">
        <f>IFERROR('Agent Sched'!B28,"-")</f>
        <v>Gabriel Philip Delfin</v>
      </c>
      <c r="B27" s="12">
        <f>IFERROR(VLOOKUP(A27,'Agent Sched'!$B:$C,2,),"-")</f>
        <v>0.375</v>
      </c>
      <c r="C27" s="13">
        <f t="shared" si="7"/>
        <v>0.75</v>
      </c>
      <c r="D27" s="12">
        <f>IFERROR(VLOOKUP(A27,'Agent Sched'!B:D,3,),"-")</f>
        <v>0.375</v>
      </c>
      <c r="E27" s="13">
        <f t="shared" si="8"/>
        <v>0.75</v>
      </c>
      <c r="F27" s="12">
        <f>IFERROR(VLOOKUP(A27,'Agent Sched'!B:E,4,),"-")</f>
        <v>0.375</v>
      </c>
      <c r="G27" s="13">
        <f t="shared" si="9"/>
        <v>0.75</v>
      </c>
      <c r="H27" s="12">
        <f>IFERROR(VLOOKUP(A27,'Agent Sched'!B:F,5,),"-")</f>
        <v>0.375</v>
      </c>
      <c r="I27" s="13">
        <f t="shared" si="10"/>
        <v>0.75</v>
      </c>
      <c r="J27" s="12">
        <f>IFERROR(VLOOKUP(A27,'Agent Sched'!B:G,6,),"-")</f>
        <v>0.375</v>
      </c>
      <c r="K27" s="13">
        <f t="shared" si="11"/>
        <v>0.75</v>
      </c>
      <c r="L27" s="12" t="str">
        <f>IFERROR(VLOOKUP(A27,'Agent Sched'!B:H,7,),"-")</f>
        <v>OFF</v>
      </c>
      <c r="M27" s="13" t="str">
        <f t="shared" si="12"/>
        <v>OFF</v>
      </c>
      <c r="N27" s="21" t="str">
        <f>IFERROR(VLOOKUP(A27,'Agent Sched'!B:I,8,),"-")</f>
        <v>OFF</v>
      </c>
      <c r="O27" s="13" t="str">
        <f t="shared" si="13"/>
        <v>OFF</v>
      </c>
      <c r="Q27" s="12" t="str">
        <f>VLOOKUP(A27,'Agent Sched'!B:Y,24,)</f>
        <v>OFF</v>
      </c>
      <c r="R27" s="13" t="str">
        <f t="shared" si="14"/>
        <v>OFF</v>
      </c>
      <c r="T27" s="26">
        <f>VLOOKUP(A27,'Agent Sched'!$B:$J,9,)</f>
        <v>0.375</v>
      </c>
      <c r="U27" s="13">
        <f t="shared" si="15"/>
        <v>0.75</v>
      </c>
      <c r="V27" s="22">
        <f>VLOOKUP(A27,'Agent Sched'!B:K,10,)</f>
        <v>0.375</v>
      </c>
      <c r="W27" s="13">
        <f t="shared" si="16"/>
        <v>0.75</v>
      </c>
      <c r="X27" s="22">
        <f>VLOOKUP(A27,'Agent Sched'!B:L,11,)</f>
        <v>0.375</v>
      </c>
      <c r="Y27" s="13">
        <f t="shared" si="17"/>
        <v>0.75</v>
      </c>
      <c r="Z27" s="22">
        <f>VLOOKUP(A27,'Agent Sched'!B:M,12,)</f>
        <v>0.375</v>
      </c>
      <c r="AA27" s="13">
        <f t="shared" si="18"/>
        <v>0.75</v>
      </c>
      <c r="AB27" s="22">
        <f>VLOOKUP(A27,'Agent Sched'!B:N,13,)</f>
        <v>0.375</v>
      </c>
      <c r="AC27" s="13">
        <f t="shared" si="19"/>
        <v>0.75</v>
      </c>
      <c r="AD27" s="22" t="str">
        <f>VLOOKUP(A27,'Agent Sched'!B:O,14,)</f>
        <v>OFF</v>
      </c>
      <c r="AE27" s="13" t="str">
        <f t="shared" si="20"/>
        <v>OFF</v>
      </c>
      <c r="AF27" s="24" t="str">
        <f>VLOOKUP(A27,'Agent Sched'!B:P,15,)</f>
        <v>OFF</v>
      </c>
      <c r="AG27" s="13" t="str">
        <f t="shared" si="21"/>
        <v>OFF</v>
      </c>
      <c r="AI27" s="26">
        <f>VLOOKUP(A27,'Agent Sched'!$B:$Q,16,)</f>
        <v>0.375</v>
      </c>
      <c r="AJ27" s="13">
        <f t="shared" si="22"/>
        <v>0.75</v>
      </c>
      <c r="AK27" s="22">
        <f>VLOOKUP(A27,'Agent Sched'!B:R,17,)</f>
        <v>0.375</v>
      </c>
      <c r="AL27" s="13">
        <f t="shared" si="23"/>
        <v>0.75</v>
      </c>
      <c r="AM27" s="22">
        <f>VLOOKUP(A27,'Agent Sched'!B:S,18,)</f>
        <v>0.375</v>
      </c>
      <c r="AN27" s="13">
        <f t="shared" si="24"/>
        <v>0.75</v>
      </c>
      <c r="AO27" s="22">
        <f>VLOOKUP(A27,'Agent Sched'!B:T,19,)</f>
        <v>0.375</v>
      </c>
      <c r="AP27" s="13">
        <f t="shared" si="25"/>
        <v>0.75</v>
      </c>
      <c r="AQ27" s="22">
        <f>VLOOKUP(A27,'Agent Sched'!B:U,20,)</f>
        <v>0.375</v>
      </c>
      <c r="AR27" s="13">
        <f t="shared" si="26"/>
        <v>0.75</v>
      </c>
      <c r="AS27" s="22" t="str">
        <f>VLOOKUP(A27,'Agent Sched'!B:V,21,)</f>
        <v>OFF</v>
      </c>
      <c r="AT27" s="13" t="str">
        <f t="shared" si="27"/>
        <v>OFF</v>
      </c>
      <c r="AU27" s="24" t="str">
        <f>VLOOKUP(A27,'Agent Sched'!B:W,22,)</f>
        <v>OFF</v>
      </c>
      <c r="AV27" s="13" t="str">
        <f t="shared" si="28"/>
        <v>OFF</v>
      </c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</row>
    <row r="28" spans="1:93" ht="15.75" thickBot="1" x14ac:dyDescent="0.3">
      <c r="A28" s="20" t="str">
        <f>IFERROR('Agent Sched'!B29,"-")</f>
        <v>Charlotte,Selirio,Escalona</v>
      </c>
      <c r="B28" s="12">
        <f>IFERROR(VLOOKUP(A28,'Agent Sched'!$B:$C,2,),"-")</f>
        <v>0.375</v>
      </c>
      <c r="C28" s="13">
        <f t="shared" si="7"/>
        <v>0.75</v>
      </c>
      <c r="D28" s="12">
        <f>IFERROR(VLOOKUP(A28,'Agent Sched'!B:D,3,),"-")</f>
        <v>0.375</v>
      </c>
      <c r="E28" s="13">
        <f t="shared" si="8"/>
        <v>0.75</v>
      </c>
      <c r="F28" s="12">
        <f>IFERROR(VLOOKUP(A28,'Agent Sched'!B:E,4,),"-")</f>
        <v>0.375</v>
      </c>
      <c r="G28" s="13">
        <f t="shared" si="9"/>
        <v>0.75</v>
      </c>
      <c r="H28" s="12">
        <f>IFERROR(VLOOKUP(A28,'Agent Sched'!B:F,5,),"-")</f>
        <v>0.375</v>
      </c>
      <c r="I28" s="13">
        <f t="shared" si="10"/>
        <v>0.75</v>
      </c>
      <c r="J28" s="12">
        <f>IFERROR(VLOOKUP(A28,'Agent Sched'!B:G,6,),"-")</f>
        <v>0.375</v>
      </c>
      <c r="K28" s="13">
        <f t="shared" si="11"/>
        <v>0.75</v>
      </c>
      <c r="L28" s="12" t="str">
        <f>IFERROR(VLOOKUP(A28,'Agent Sched'!B:H,7,),"-")</f>
        <v>OFF</v>
      </c>
      <c r="M28" s="13" t="str">
        <f t="shared" si="12"/>
        <v>OFF</v>
      </c>
      <c r="N28" s="21" t="str">
        <f>IFERROR(VLOOKUP(A28,'Agent Sched'!B:I,8,),"-")</f>
        <v>OFF</v>
      </c>
      <c r="O28" s="13" t="str">
        <f t="shared" si="13"/>
        <v>OFF</v>
      </c>
      <c r="Q28" s="12" t="str">
        <f>VLOOKUP(A28,'Agent Sched'!B:Y,24,)</f>
        <v>OFF</v>
      </c>
      <c r="R28" s="13" t="str">
        <f t="shared" si="14"/>
        <v>OFF</v>
      </c>
      <c r="T28" s="26">
        <f>VLOOKUP(A28,'Agent Sched'!$B:$J,9,)</f>
        <v>0.375</v>
      </c>
      <c r="U28" s="13">
        <f t="shared" si="15"/>
        <v>0.75</v>
      </c>
      <c r="V28" s="22">
        <f>VLOOKUP(A28,'Agent Sched'!B:K,10,)</f>
        <v>0.375</v>
      </c>
      <c r="W28" s="13">
        <f t="shared" si="16"/>
        <v>0.75</v>
      </c>
      <c r="X28" s="22">
        <f>VLOOKUP(A28,'Agent Sched'!B:L,11,)</f>
        <v>0.375</v>
      </c>
      <c r="Y28" s="13">
        <f t="shared" si="17"/>
        <v>0.75</v>
      </c>
      <c r="Z28" s="22">
        <f>VLOOKUP(A28,'Agent Sched'!B:M,12,)</f>
        <v>0.375</v>
      </c>
      <c r="AA28" s="13">
        <f t="shared" si="18"/>
        <v>0.75</v>
      </c>
      <c r="AB28" s="22">
        <f>VLOOKUP(A28,'Agent Sched'!B:N,13,)</f>
        <v>0.375</v>
      </c>
      <c r="AC28" s="13">
        <f t="shared" si="19"/>
        <v>0.75</v>
      </c>
      <c r="AD28" s="22" t="str">
        <f>VLOOKUP(A28,'Agent Sched'!B:O,14,)</f>
        <v>OFF</v>
      </c>
      <c r="AE28" s="13" t="str">
        <f t="shared" si="20"/>
        <v>OFF</v>
      </c>
      <c r="AF28" s="24" t="str">
        <f>VLOOKUP(A28,'Agent Sched'!B:P,15,)</f>
        <v>OFF</v>
      </c>
      <c r="AG28" s="13" t="str">
        <f t="shared" si="21"/>
        <v>OFF</v>
      </c>
      <c r="AI28" s="26">
        <f>VLOOKUP(A28,'Agent Sched'!$B:$Q,16,)</f>
        <v>0.375</v>
      </c>
      <c r="AJ28" s="13">
        <f t="shared" si="22"/>
        <v>0.75</v>
      </c>
      <c r="AK28" s="22">
        <f>VLOOKUP(A28,'Agent Sched'!B:R,17,)</f>
        <v>0.375</v>
      </c>
      <c r="AL28" s="13">
        <f t="shared" si="23"/>
        <v>0.75</v>
      </c>
      <c r="AM28" s="22">
        <f>VLOOKUP(A28,'Agent Sched'!B:S,18,)</f>
        <v>0.375</v>
      </c>
      <c r="AN28" s="13">
        <f t="shared" si="24"/>
        <v>0.75</v>
      </c>
      <c r="AO28" s="22">
        <f>VLOOKUP(A28,'Agent Sched'!B:T,19,)</f>
        <v>0.375</v>
      </c>
      <c r="AP28" s="13">
        <f t="shared" si="25"/>
        <v>0.75</v>
      </c>
      <c r="AQ28" s="22">
        <f>VLOOKUP(A28,'Agent Sched'!B:U,20,)</f>
        <v>0.375</v>
      </c>
      <c r="AR28" s="13">
        <f t="shared" si="26"/>
        <v>0.75</v>
      </c>
      <c r="AS28" s="22" t="str">
        <f>VLOOKUP(A28,'Agent Sched'!B:V,21,)</f>
        <v>OFF</v>
      </c>
      <c r="AT28" s="13" t="str">
        <f t="shared" si="27"/>
        <v>OFF</v>
      </c>
      <c r="AU28" s="24" t="str">
        <f>VLOOKUP(A28,'Agent Sched'!B:W,22,)</f>
        <v>OFF</v>
      </c>
      <c r="AV28" s="13" t="str">
        <f t="shared" si="28"/>
        <v>OFF</v>
      </c>
    </row>
    <row r="29" spans="1:93" ht="15.75" thickBot="1" x14ac:dyDescent="0.3">
      <c r="A29" s="20" t="str">
        <f>IFERROR('Agent Sched'!B30,"-")</f>
        <v>Frank Lina,Sey,Ituriaga</v>
      </c>
      <c r="B29" s="12">
        <f>IFERROR(VLOOKUP(A29,'Agent Sched'!$B:$C,2,),"-")</f>
        <v>0.375</v>
      </c>
      <c r="C29" s="13">
        <f t="shared" si="7"/>
        <v>0.75</v>
      </c>
      <c r="D29" s="12">
        <f>IFERROR(VLOOKUP(A29,'Agent Sched'!B:D,3,),"-")</f>
        <v>0.375</v>
      </c>
      <c r="E29" s="13">
        <f t="shared" si="8"/>
        <v>0.75</v>
      </c>
      <c r="F29" s="12">
        <f>IFERROR(VLOOKUP(A29,'Agent Sched'!B:E,4,),"-")</f>
        <v>0.375</v>
      </c>
      <c r="G29" s="13">
        <f t="shared" si="9"/>
        <v>0.75</v>
      </c>
      <c r="H29" s="12">
        <f>IFERROR(VLOOKUP(A29,'Agent Sched'!B:F,5,),"-")</f>
        <v>0.375</v>
      </c>
      <c r="I29" s="13">
        <f t="shared" si="10"/>
        <v>0.75</v>
      </c>
      <c r="J29" s="12">
        <f>IFERROR(VLOOKUP(A29,'Agent Sched'!B:G,6,),"-")</f>
        <v>0.375</v>
      </c>
      <c r="K29" s="13">
        <f t="shared" si="11"/>
        <v>0.75</v>
      </c>
      <c r="L29" s="12" t="str">
        <f>IFERROR(VLOOKUP(A29,'Agent Sched'!B:H,7,),"-")</f>
        <v>OFF</v>
      </c>
      <c r="M29" s="13" t="str">
        <f t="shared" si="12"/>
        <v>OFF</v>
      </c>
      <c r="N29" s="21" t="str">
        <f>IFERROR(VLOOKUP(A29,'Agent Sched'!B:I,8,),"-")</f>
        <v>OFF</v>
      </c>
      <c r="O29" s="13" t="str">
        <f t="shared" si="13"/>
        <v>OFF</v>
      </c>
      <c r="Q29" s="12" t="str">
        <f>VLOOKUP(A29,'Agent Sched'!B:Y,24,)</f>
        <v>OFF</v>
      </c>
      <c r="R29" s="13" t="str">
        <f t="shared" si="14"/>
        <v>OFF</v>
      </c>
      <c r="T29" s="26">
        <f>VLOOKUP(A29,'Agent Sched'!$B:$J,9,)</f>
        <v>0.375</v>
      </c>
      <c r="U29" s="13">
        <f t="shared" si="15"/>
        <v>0.75</v>
      </c>
      <c r="V29" s="22">
        <f>VLOOKUP(A29,'Agent Sched'!B:K,10,)</f>
        <v>0.375</v>
      </c>
      <c r="W29" s="13">
        <f t="shared" si="16"/>
        <v>0.75</v>
      </c>
      <c r="X29" s="22">
        <f>VLOOKUP(A29,'Agent Sched'!B:L,11,)</f>
        <v>0.375</v>
      </c>
      <c r="Y29" s="13">
        <f t="shared" si="17"/>
        <v>0.75</v>
      </c>
      <c r="Z29" s="22">
        <f>VLOOKUP(A29,'Agent Sched'!B:M,12,)</f>
        <v>0.375</v>
      </c>
      <c r="AA29" s="13">
        <f t="shared" si="18"/>
        <v>0.75</v>
      </c>
      <c r="AB29" s="22">
        <f>VLOOKUP(A29,'Agent Sched'!B:N,13,)</f>
        <v>0.375</v>
      </c>
      <c r="AC29" s="13">
        <f t="shared" si="19"/>
        <v>0.75</v>
      </c>
      <c r="AD29" s="22" t="str">
        <f>VLOOKUP(A29,'Agent Sched'!B:O,14,)</f>
        <v>OFF</v>
      </c>
      <c r="AE29" s="13" t="str">
        <f t="shared" si="20"/>
        <v>OFF</v>
      </c>
      <c r="AF29" s="24" t="str">
        <f>VLOOKUP(A29,'Agent Sched'!B:P,15,)</f>
        <v>OFF</v>
      </c>
      <c r="AG29" s="13" t="str">
        <f t="shared" si="21"/>
        <v>OFF</v>
      </c>
      <c r="AI29" s="26">
        <f>VLOOKUP(A29,'Agent Sched'!$B:$Q,16,)</f>
        <v>0.375</v>
      </c>
      <c r="AJ29" s="13">
        <f t="shared" si="22"/>
        <v>0.75</v>
      </c>
      <c r="AK29" s="22">
        <f>VLOOKUP(A29,'Agent Sched'!B:R,17,)</f>
        <v>0.375</v>
      </c>
      <c r="AL29" s="13">
        <f t="shared" si="23"/>
        <v>0.75</v>
      </c>
      <c r="AM29" s="22">
        <f>VLOOKUP(A29,'Agent Sched'!B:S,18,)</f>
        <v>0.375</v>
      </c>
      <c r="AN29" s="13">
        <f t="shared" si="24"/>
        <v>0.75</v>
      </c>
      <c r="AO29" s="22">
        <f>VLOOKUP(A29,'Agent Sched'!B:T,19,)</f>
        <v>0.375</v>
      </c>
      <c r="AP29" s="13">
        <f t="shared" si="25"/>
        <v>0.75</v>
      </c>
      <c r="AQ29" s="22">
        <f>VLOOKUP(A29,'Agent Sched'!B:U,20,)</f>
        <v>0.375</v>
      </c>
      <c r="AR29" s="13">
        <f t="shared" si="26"/>
        <v>0.75</v>
      </c>
      <c r="AS29" s="22" t="str">
        <f>VLOOKUP(A29,'Agent Sched'!B:V,21,)</f>
        <v>OFF</v>
      </c>
      <c r="AT29" s="13" t="str">
        <f t="shared" si="27"/>
        <v>OFF</v>
      </c>
      <c r="AU29" s="24" t="str">
        <f>VLOOKUP(A29,'Agent Sched'!B:W,22,)</f>
        <v>OFF</v>
      </c>
      <c r="AV29" s="13" t="str">
        <f t="shared" si="28"/>
        <v>OFF</v>
      </c>
    </row>
    <row r="30" spans="1:93" ht="15.75" thickBot="1" x14ac:dyDescent="0.3">
      <c r="A30" s="20" t="str">
        <f>IFERROR('Agent Sched'!B31,"-")</f>
        <v>Ma. Eva Karina Remandaban</v>
      </c>
      <c r="B30" s="12">
        <f>IFERROR(VLOOKUP(A30,'Agent Sched'!$B:$C,2,),"-")</f>
        <v>0.375</v>
      </c>
      <c r="C30" s="13">
        <f t="shared" si="7"/>
        <v>0.75</v>
      </c>
      <c r="D30" s="12">
        <f>IFERROR(VLOOKUP(A30,'Agent Sched'!B:D,3,),"-")</f>
        <v>0.375</v>
      </c>
      <c r="E30" s="13">
        <f t="shared" si="8"/>
        <v>0.75</v>
      </c>
      <c r="F30" s="12">
        <f>IFERROR(VLOOKUP(A30,'Agent Sched'!B:E,4,),"-")</f>
        <v>0.375</v>
      </c>
      <c r="G30" s="13">
        <f t="shared" si="9"/>
        <v>0.75</v>
      </c>
      <c r="H30" s="12">
        <f>IFERROR(VLOOKUP(A30,'Agent Sched'!B:F,5,),"-")</f>
        <v>0.375</v>
      </c>
      <c r="I30" s="13">
        <f t="shared" si="10"/>
        <v>0.75</v>
      </c>
      <c r="J30" s="12">
        <f>IFERROR(VLOOKUP(A30,'Agent Sched'!B:G,6,),"-")</f>
        <v>0.375</v>
      </c>
      <c r="K30" s="13">
        <f t="shared" si="11"/>
        <v>0.75</v>
      </c>
      <c r="L30" s="12" t="str">
        <f>IFERROR(VLOOKUP(A30,'Agent Sched'!B:H,7,),"-")</f>
        <v>OFF</v>
      </c>
      <c r="M30" s="13" t="str">
        <f t="shared" si="12"/>
        <v>OFF</v>
      </c>
      <c r="N30" s="21" t="str">
        <f>IFERROR(VLOOKUP(A30,'Agent Sched'!B:I,8,),"-")</f>
        <v>OFF</v>
      </c>
      <c r="O30" s="13" t="str">
        <f t="shared" si="13"/>
        <v>OFF</v>
      </c>
      <c r="Q30" s="12" t="str">
        <f>VLOOKUP(A30,'Agent Sched'!B:Y,24,)</f>
        <v>OFF</v>
      </c>
      <c r="R30" s="13" t="str">
        <f t="shared" si="14"/>
        <v>OFF</v>
      </c>
      <c r="T30" s="26">
        <f>VLOOKUP(A30,'Agent Sched'!$B:$J,9,)</f>
        <v>0.375</v>
      </c>
      <c r="U30" s="13">
        <f t="shared" si="15"/>
        <v>0.75</v>
      </c>
      <c r="V30" s="22">
        <f>VLOOKUP(A30,'Agent Sched'!B:K,10,)</f>
        <v>0.375</v>
      </c>
      <c r="W30" s="13">
        <f t="shared" si="16"/>
        <v>0.75</v>
      </c>
      <c r="X30" s="22">
        <f>VLOOKUP(A30,'Agent Sched'!B:L,11,)</f>
        <v>0.375</v>
      </c>
      <c r="Y30" s="13">
        <f t="shared" si="17"/>
        <v>0.75</v>
      </c>
      <c r="Z30" s="22">
        <f>VLOOKUP(A30,'Agent Sched'!B:M,12,)</f>
        <v>0.375</v>
      </c>
      <c r="AA30" s="13">
        <f t="shared" si="18"/>
        <v>0.75</v>
      </c>
      <c r="AB30" s="22">
        <f>VLOOKUP(A30,'Agent Sched'!B:N,13,)</f>
        <v>0.375</v>
      </c>
      <c r="AC30" s="13">
        <f t="shared" si="19"/>
        <v>0.75</v>
      </c>
      <c r="AD30" s="22" t="str">
        <f>VLOOKUP(A30,'Agent Sched'!B:O,14,)</f>
        <v>OFF</v>
      </c>
      <c r="AE30" s="13" t="str">
        <f t="shared" si="20"/>
        <v>OFF</v>
      </c>
      <c r="AF30" s="24" t="str">
        <f>VLOOKUP(A30,'Agent Sched'!B:P,15,)</f>
        <v>OFF</v>
      </c>
      <c r="AG30" s="13" t="str">
        <f t="shared" si="21"/>
        <v>OFF</v>
      </c>
      <c r="AI30" s="26">
        <f>VLOOKUP(A30,'Agent Sched'!$B:$Q,16,)</f>
        <v>0.375</v>
      </c>
      <c r="AJ30" s="13">
        <f t="shared" si="22"/>
        <v>0.75</v>
      </c>
      <c r="AK30" s="22">
        <f>VLOOKUP(A30,'Agent Sched'!B:R,17,)</f>
        <v>0.375</v>
      </c>
      <c r="AL30" s="13">
        <f t="shared" si="23"/>
        <v>0.75</v>
      </c>
      <c r="AM30" s="22">
        <f>VLOOKUP(A30,'Agent Sched'!B:S,18,)</f>
        <v>0.375</v>
      </c>
      <c r="AN30" s="13">
        <f t="shared" si="24"/>
        <v>0.75</v>
      </c>
      <c r="AO30" s="22">
        <f>VLOOKUP(A30,'Agent Sched'!B:T,19,)</f>
        <v>0.375</v>
      </c>
      <c r="AP30" s="13">
        <f t="shared" si="25"/>
        <v>0.75</v>
      </c>
      <c r="AQ30" s="22">
        <f>VLOOKUP(A30,'Agent Sched'!B:U,20,)</f>
        <v>0.375</v>
      </c>
      <c r="AR30" s="13">
        <f t="shared" si="26"/>
        <v>0.75</v>
      </c>
      <c r="AS30" s="22" t="str">
        <f>VLOOKUP(A30,'Agent Sched'!B:V,21,)</f>
        <v>OFF</v>
      </c>
      <c r="AT30" s="13" t="str">
        <f t="shared" si="27"/>
        <v>OFF</v>
      </c>
      <c r="AU30" s="24" t="str">
        <f>VLOOKUP(A30,'Agent Sched'!B:W,22,)</f>
        <v>OFF</v>
      </c>
      <c r="AV30" s="13" t="str">
        <f t="shared" si="28"/>
        <v>OFF</v>
      </c>
    </row>
    <row r="31" spans="1:93" ht="15.75" thickBot="1" x14ac:dyDescent="0.3">
      <c r="A31" s="20" t="str">
        <f>IFERROR('Agent Sched'!B32,"-")</f>
        <v>Carmen Mae Huyong</v>
      </c>
      <c r="B31" s="12">
        <f>IFERROR(VLOOKUP(A31,'Agent Sched'!$B:$C,2,),"-")</f>
        <v>0.375</v>
      </c>
      <c r="C31" s="13">
        <f t="shared" si="7"/>
        <v>0.75</v>
      </c>
      <c r="D31" s="12">
        <f>IFERROR(VLOOKUP(A31,'Agent Sched'!B:D,3,),"-")</f>
        <v>0.375</v>
      </c>
      <c r="E31" s="13">
        <f t="shared" si="8"/>
        <v>0.75</v>
      </c>
      <c r="F31" s="12">
        <f>IFERROR(VLOOKUP(A31,'Agent Sched'!B:E,4,),"-")</f>
        <v>0.375</v>
      </c>
      <c r="G31" s="13">
        <f t="shared" si="9"/>
        <v>0.75</v>
      </c>
      <c r="H31" s="12">
        <f>IFERROR(VLOOKUP(A31,'Agent Sched'!B:F,5,),"-")</f>
        <v>0.375</v>
      </c>
      <c r="I31" s="13">
        <f t="shared" si="10"/>
        <v>0.75</v>
      </c>
      <c r="J31" s="12">
        <f>IFERROR(VLOOKUP(A31,'Agent Sched'!B:G,6,),"-")</f>
        <v>0.375</v>
      </c>
      <c r="K31" s="13">
        <f t="shared" si="11"/>
        <v>0.75</v>
      </c>
      <c r="L31" s="12" t="str">
        <f>IFERROR(VLOOKUP(A31,'Agent Sched'!B:H,7,),"-")</f>
        <v>OFF</v>
      </c>
      <c r="M31" s="13" t="str">
        <f t="shared" si="12"/>
        <v>OFF</v>
      </c>
      <c r="N31" s="21" t="str">
        <f>IFERROR(VLOOKUP(A31,'Agent Sched'!B:I,8,),"-")</f>
        <v>OFF</v>
      </c>
      <c r="O31" s="13" t="str">
        <f t="shared" si="13"/>
        <v>OFF</v>
      </c>
      <c r="Q31" s="12" t="str">
        <f>VLOOKUP(A31,'Agent Sched'!B:Y,24,)</f>
        <v>OFF</v>
      </c>
      <c r="R31" s="13" t="str">
        <f t="shared" si="14"/>
        <v>OFF</v>
      </c>
      <c r="T31" s="26">
        <f>VLOOKUP(A31,'Agent Sched'!$B:$J,9,)</f>
        <v>0.375</v>
      </c>
      <c r="U31" s="13">
        <f t="shared" si="15"/>
        <v>0.75</v>
      </c>
      <c r="V31" s="22">
        <f>VLOOKUP(A31,'Agent Sched'!B:K,10,)</f>
        <v>0.375</v>
      </c>
      <c r="W31" s="13">
        <f t="shared" si="16"/>
        <v>0.75</v>
      </c>
      <c r="X31" s="22">
        <f>VLOOKUP(A31,'Agent Sched'!B:L,11,)</f>
        <v>0.375</v>
      </c>
      <c r="Y31" s="13">
        <f t="shared" si="17"/>
        <v>0.75</v>
      </c>
      <c r="Z31" s="22">
        <f>VLOOKUP(A31,'Agent Sched'!B:M,12,)</f>
        <v>0.375</v>
      </c>
      <c r="AA31" s="13">
        <f t="shared" si="18"/>
        <v>0.75</v>
      </c>
      <c r="AB31" s="22">
        <f>VLOOKUP(A31,'Agent Sched'!B:N,13,)</f>
        <v>0.375</v>
      </c>
      <c r="AC31" s="13">
        <f t="shared" si="19"/>
        <v>0.75</v>
      </c>
      <c r="AD31" s="22" t="str">
        <f>VLOOKUP(A31,'Agent Sched'!B:O,14,)</f>
        <v>OFF</v>
      </c>
      <c r="AE31" s="13" t="str">
        <f t="shared" si="20"/>
        <v>OFF</v>
      </c>
      <c r="AF31" s="24" t="str">
        <f>VLOOKUP(A31,'Agent Sched'!B:P,15,)</f>
        <v>OFF</v>
      </c>
      <c r="AG31" s="13" t="str">
        <f t="shared" si="21"/>
        <v>OFF</v>
      </c>
      <c r="AI31" s="26">
        <f>VLOOKUP(A31,'Agent Sched'!$B:$Q,16,)</f>
        <v>0.375</v>
      </c>
      <c r="AJ31" s="13">
        <f t="shared" si="22"/>
        <v>0.75</v>
      </c>
      <c r="AK31" s="22">
        <f>VLOOKUP(A31,'Agent Sched'!B:R,17,)</f>
        <v>0.375</v>
      </c>
      <c r="AL31" s="13">
        <f t="shared" si="23"/>
        <v>0.75</v>
      </c>
      <c r="AM31" s="22">
        <f>VLOOKUP(A31,'Agent Sched'!B:S,18,)</f>
        <v>0.375</v>
      </c>
      <c r="AN31" s="13">
        <f t="shared" si="24"/>
        <v>0.75</v>
      </c>
      <c r="AO31" s="22">
        <f>VLOOKUP(A31,'Agent Sched'!B:T,19,)</f>
        <v>0.375</v>
      </c>
      <c r="AP31" s="13">
        <f t="shared" si="25"/>
        <v>0.75</v>
      </c>
      <c r="AQ31" s="22">
        <f>VLOOKUP(A31,'Agent Sched'!B:U,20,)</f>
        <v>0.375</v>
      </c>
      <c r="AR31" s="13">
        <f t="shared" si="26"/>
        <v>0.75</v>
      </c>
      <c r="AS31" s="22" t="str">
        <f>VLOOKUP(A31,'Agent Sched'!B:V,21,)</f>
        <v>OFF</v>
      </c>
      <c r="AT31" s="13" t="str">
        <f t="shared" si="27"/>
        <v>OFF</v>
      </c>
      <c r="AU31" s="24" t="str">
        <f>VLOOKUP(A31,'Agent Sched'!B:W,22,)</f>
        <v>OFF</v>
      </c>
      <c r="AV31" s="13" t="str">
        <f t="shared" si="28"/>
        <v>OFF</v>
      </c>
    </row>
    <row r="32" spans="1:93" ht="15.75" thickBot="1" x14ac:dyDescent="0.3">
      <c r="A32" s="20" t="str">
        <f>IFERROR('Agent Sched'!B33,"-")</f>
        <v>Ednel Alagon</v>
      </c>
      <c r="B32" s="12">
        <f>IFERROR(VLOOKUP(A32,'Agent Sched'!$B:$C,2,),"-")</f>
        <v>0.375</v>
      </c>
      <c r="C32" s="13">
        <f t="shared" si="7"/>
        <v>0.75</v>
      </c>
      <c r="D32" s="12">
        <f>IFERROR(VLOOKUP(A32,'Agent Sched'!B:D,3,),"-")</f>
        <v>0.375</v>
      </c>
      <c r="E32" s="13">
        <f t="shared" si="8"/>
        <v>0.75</v>
      </c>
      <c r="F32" s="12">
        <f>IFERROR(VLOOKUP(A32,'Agent Sched'!B:E,4,),"-")</f>
        <v>0.375</v>
      </c>
      <c r="G32" s="13">
        <f t="shared" si="9"/>
        <v>0.75</v>
      </c>
      <c r="H32" s="12">
        <f>IFERROR(VLOOKUP(A32,'Agent Sched'!B:F,5,),"-")</f>
        <v>0.375</v>
      </c>
      <c r="I32" s="13">
        <f t="shared" si="10"/>
        <v>0.75</v>
      </c>
      <c r="J32" s="12">
        <f>IFERROR(VLOOKUP(A32,'Agent Sched'!B:G,6,),"-")</f>
        <v>0.375</v>
      </c>
      <c r="K32" s="13">
        <f t="shared" si="11"/>
        <v>0.75</v>
      </c>
      <c r="L32" s="12" t="str">
        <f>IFERROR(VLOOKUP(A32,'Agent Sched'!B:H,7,),"-")</f>
        <v>OFF</v>
      </c>
      <c r="M32" s="13" t="str">
        <f t="shared" si="12"/>
        <v>OFF</v>
      </c>
      <c r="N32" s="21" t="str">
        <f>IFERROR(VLOOKUP(A32,'Agent Sched'!B:I,8,),"-")</f>
        <v>OFF</v>
      </c>
      <c r="O32" s="13" t="str">
        <f t="shared" si="13"/>
        <v>OFF</v>
      </c>
      <c r="Q32" s="12" t="str">
        <f>VLOOKUP(A32,'Agent Sched'!B:Y,24,)</f>
        <v>OFF</v>
      </c>
      <c r="R32" s="13" t="str">
        <f t="shared" si="14"/>
        <v>OFF</v>
      </c>
      <c r="T32" s="26">
        <f>VLOOKUP(A32,'Agent Sched'!$B:$J,9,)</f>
        <v>0.375</v>
      </c>
      <c r="U32" s="13">
        <f t="shared" si="15"/>
        <v>0.75</v>
      </c>
      <c r="V32" s="22">
        <f>VLOOKUP(A32,'Agent Sched'!B:K,10,)</f>
        <v>0.375</v>
      </c>
      <c r="W32" s="13">
        <f t="shared" si="16"/>
        <v>0.75</v>
      </c>
      <c r="X32" s="22">
        <f>VLOOKUP(A32,'Agent Sched'!B:L,11,)</f>
        <v>0.375</v>
      </c>
      <c r="Y32" s="13">
        <f t="shared" si="17"/>
        <v>0.75</v>
      </c>
      <c r="Z32" s="22">
        <f>VLOOKUP(A32,'Agent Sched'!B:M,12,)</f>
        <v>0.375</v>
      </c>
      <c r="AA32" s="13">
        <f t="shared" si="18"/>
        <v>0.75</v>
      </c>
      <c r="AB32" s="22">
        <f>VLOOKUP(A32,'Agent Sched'!B:N,13,)</f>
        <v>0.375</v>
      </c>
      <c r="AC32" s="13">
        <f t="shared" si="19"/>
        <v>0.75</v>
      </c>
      <c r="AD32" s="22" t="str">
        <f>VLOOKUP(A32,'Agent Sched'!B:O,14,)</f>
        <v>OFF</v>
      </c>
      <c r="AE32" s="13" t="str">
        <f t="shared" si="20"/>
        <v>OFF</v>
      </c>
      <c r="AF32" s="24" t="str">
        <f>VLOOKUP(A32,'Agent Sched'!B:P,15,)</f>
        <v>OFF</v>
      </c>
      <c r="AG32" s="13" t="str">
        <f t="shared" si="21"/>
        <v>OFF</v>
      </c>
      <c r="AI32" s="26">
        <f>VLOOKUP(A32,'Agent Sched'!$B:$Q,16,)</f>
        <v>0.375</v>
      </c>
      <c r="AJ32" s="13">
        <f t="shared" si="22"/>
        <v>0.75</v>
      </c>
      <c r="AK32" s="22">
        <f>VLOOKUP(A32,'Agent Sched'!B:R,17,)</f>
        <v>0.375</v>
      </c>
      <c r="AL32" s="13">
        <f t="shared" si="23"/>
        <v>0.75</v>
      </c>
      <c r="AM32" s="22">
        <f>VLOOKUP(A32,'Agent Sched'!B:S,18,)</f>
        <v>0.375</v>
      </c>
      <c r="AN32" s="13">
        <f t="shared" si="24"/>
        <v>0.75</v>
      </c>
      <c r="AO32" s="22">
        <f>VLOOKUP(A32,'Agent Sched'!B:T,19,)</f>
        <v>0.375</v>
      </c>
      <c r="AP32" s="13">
        <f t="shared" si="25"/>
        <v>0.75</v>
      </c>
      <c r="AQ32" s="22">
        <f>VLOOKUP(A32,'Agent Sched'!B:U,20,)</f>
        <v>0.375</v>
      </c>
      <c r="AR32" s="13">
        <f t="shared" si="26"/>
        <v>0.75</v>
      </c>
      <c r="AS32" s="22" t="str">
        <f>VLOOKUP(A32,'Agent Sched'!B:V,21,)</f>
        <v>OFF</v>
      </c>
      <c r="AT32" s="13" t="str">
        <f t="shared" si="27"/>
        <v>OFF</v>
      </c>
      <c r="AU32" s="24" t="str">
        <f>VLOOKUP(A32,'Agent Sched'!B:W,22,)</f>
        <v>OFF</v>
      </c>
      <c r="AV32" s="13" t="str">
        <f t="shared" si="28"/>
        <v>OFF</v>
      </c>
    </row>
    <row r="33" spans="1:93" ht="15.75" thickBot="1" x14ac:dyDescent="0.3">
      <c r="A33" s="20" t="str">
        <f>IFERROR('Agent Sched'!B34,"-")</f>
        <v>Bryll Malones</v>
      </c>
      <c r="B33" s="12">
        <f>IFERROR(VLOOKUP(A33,'Agent Sched'!$B:$C,2,),"-")</f>
        <v>0.375</v>
      </c>
      <c r="C33" s="13">
        <f t="shared" si="7"/>
        <v>0.75</v>
      </c>
      <c r="D33" s="12">
        <f>IFERROR(VLOOKUP(A33,'Agent Sched'!B:D,3,),"-")</f>
        <v>0.375</v>
      </c>
      <c r="E33" s="13">
        <f t="shared" si="8"/>
        <v>0.75</v>
      </c>
      <c r="F33" s="12">
        <f>IFERROR(VLOOKUP(A33,'Agent Sched'!B:E,4,),"-")</f>
        <v>0.375</v>
      </c>
      <c r="G33" s="13">
        <f t="shared" si="9"/>
        <v>0.75</v>
      </c>
      <c r="H33" s="12">
        <f>IFERROR(VLOOKUP(A33,'Agent Sched'!B:F,5,),"-")</f>
        <v>0.375</v>
      </c>
      <c r="I33" s="13">
        <f t="shared" si="10"/>
        <v>0.75</v>
      </c>
      <c r="J33" s="12">
        <f>IFERROR(VLOOKUP(A33,'Agent Sched'!B:G,6,),"-")</f>
        <v>0.375</v>
      </c>
      <c r="K33" s="13">
        <f t="shared" si="11"/>
        <v>0.75</v>
      </c>
      <c r="L33" s="12" t="str">
        <f>IFERROR(VLOOKUP(A33,'Agent Sched'!B:H,7,),"-")</f>
        <v>OFF</v>
      </c>
      <c r="M33" s="13" t="str">
        <f t="shared" si="12"/>
        <v>OFF</v>
      </c>
      <c r="N33" s="21" t="str">
        <f>IFERROR(VLOOKUP(A33,'Agent Sched'!B:I,8,),"-")</f>
        <v>OFF</v>
      </c>
      <c r="O33" s="13" t="str">
        <f t="shared" si="13"/>
        <v>OFF</v>
      </c>
      <c r="Q33" s="12" t="str">
        <f>VLOOKUP(A33,'Agent Sched'!B:Y,24,)</f>
        <v>OFF</v>
      </c>
      <c r="R33" s="13" t="str">
        <f t="shared" si="14"/>
        <v>OFF</v>
      </c>
      <c r="T33" s="26">
        <f>VLOOKUP(A33,'Agent Sched'!$B:$J,9,)</f>
        <v>0.375</v>
      </c>
      <c r="U33" s="13">
        <f t="shared" si="15"/>
        <v>0.75</v>
      </c>
      <c r="V33" s="22">
        <f>VLOOKUP(A33,'Agent Sched'!B:K,10,)</f>
        <v>0.375</v>
      </c>
      <c r="W33" s="13">
        <f t="shared" si="16"/>
        <v>0.75</v>
      </c>
      <c r="X33" s="22">
        <f>VLOOKUP(A33,'Agent Sched'!B:L,11,)</f>
        <v>0.375</v>
      </c>
      <c r="Y33" s="13">
        <f t="shared" si="17"/>
        <v>0.75</v>
      </c>
      <c r="Z33" s="22">
        <f>VLOOKUP(A33,'Agent Sched'!B:M,12,)</f>
        <v>0.375</v>
      </c>
      <c r="AA33" s="13">
        <f t="shared" si="18"/>
        <v>0.75</v>
      </c>
      <c r="AB33" s="22">
        <f>VLOOKUP(A33,'Agent Sched'!B:N,13,)</f>
        <v>0.375</v>
      </c>
      <c r="AC33" s="13">
        <f t="shared" si="19"/>
        <v>0.75</v>
      </c>
      <c r="AD33" s="22" t="str">
        <f>VLOOKUP(A33,'Agent Sched'!B:O,14,)</f>
        <v>OFF</v>
      </c>
      <c r="AE33" s="13" t="str">
        <f t="shared" si="20"/>
        <v>OFF</v>
      </c>
      <c r="AF33" s="24" t="str">
        <f>VLOOKUP(A33,'Agent Sched'!B:P,15,)</f>
        <v>OFF</v>
      </c>
      <c r="AG33" s="13" t="str">
        <f t="shared" si="21"/>
        <v>OFF</v>
      </c>
      <c r="AI33" s="26">
        <f>VLOOKUP(A33,'Agent Sched'!$B:$Q,16,)</f>
        <v>0.375</v>
      </c>
      <c r="AJ33" s="13">
        <f t="shared" si="22"/>
        <v>0.75</v>
      </c>
      <c r="AK33" s="22">
        <f>VLOOKUP(A33,'Agent Sched'!B:R,17,)</f>
        <v>0.375</v>
      </c>
      <c r="AL33" s="13">
        <f t="shared" si="23"/>
        <v>0.75</v>
      </c>
      <c r="AM33" s="22">
        <f>VLOOKUP(A33,'Agent Sched'!B:S,18,)</f>
        <v>0.375</v>
      </c>
      <c r="AN33" s="13">
        <f t="shared" si="24"/>
        <v>0.75</v>
      </c>
      <c r="AO33" s="22">
        <f>VLOOKUP(A33,'Agent Sched'!B:T,19,)</f>
        <v>0.375</v>
      </c>
      <c r="AP33" s="13">
        <f t="shared" si="25"/>
        <v>0.75</v>
      </c>
      <c r="AQ33" s="22">
        <f>VLOOKUP(A33,'Agent Sched'!B:U,20,)</f>
        <v>0.375</v>
      </c>
      <c r="AR33" s="13">
        <f t="shared" si="26"/>
        <v>0.75</v>
      </c>
      <c r="AS33" s="22" t="str">
        <f>VLOOKUP(A33,'Agent Sched'!B:V,21,)</f>
        <v>OFF</v>
      </c>
      <c r="AT33" s="13" t="str">
        <f t="shared" si="27"/>
        <v>OFF</v>
      </c>
      <c r="AU33" s="24" t="str">
        <f>VLOOKUP(A33,'Agent Sched'!B:W,22,)</f>
        <v>OFF</v>
      </c>
      <c r="AV33" s="13" t="str">
        <f t="shared" si="28"/>
        <v>OFF</v>
      </c>
    </row>
    <row r="34" spans="1:93" ht="15.75" thickBot="1" x14ac:dyDescent="0.3">
      <c r="A34" s="20" t="str">
        <f>IFERROR('Agent Sched'!B35,"-")</f>
        <v>Lea May Orense</v>
      </c>
      <c r="B34" s="12">
        <f>IFERROR(VLOOKUP(A34,'Agent Sched'!$B:$C,2,),"-")</f>
        <v>0.375</v>
      </c>
      <c r="C34" s="13">
        <f t="shared" si="7"/>
        <v>0.75</v>
      </c>
      <c r="D34" s="12">
        <f>IFERROR(VLOOKUP(A34,'Agent Sched'!B:D,3,),"-")</f>
        <v>0.375</v>
      </c>
      <c r="E34" s="13">
        <f t="shared" si="8"/>
        <v>0.75</v>
      </c>
      <c r="F34" s="12">
        <f>IFERROR(VLOOKUP(A34,'Agent Sched'!B:E,4,),"-")</f>
        <v>0.375</v>
      </c>
      <c r="G34" s="13">
        <f t="shared" si="9"/>
        <v>0.75</v>
      </c>
      <c r="H34" s="12">
        <f>IFERROR(VLOOKUP(A34,'Agent Sched'!B:F,5,),"-")</f>
        <v>0.375</v>
      </c>
      <c r="I34" s="13">
        <f t="shared" si="10"/>
        <v>0.75</v>
      </c>
      <c r="J34" s="12">
        <f>IFERROR(VLOOKUP(A34,'Agent Sched'!B:G,6,),"-")</f>
        <v>0.375</v>
      </c>
      <c r="K34" s="13">
        <f t="shared" si="11"/>
        <v>0.75</v>
      </c>
      <c r="L34" s="12" t="str">
        <f>IFERROR(VLOOKUP(A34,'Agent Sched'!B:H,7,),"-")</f>
        <v>OFF</v>
      </c>
      <c r="M34" s="13" t="str">
        <f t="shared" si="12"/>
        <v>OFF</v>
      </c>
      <c r="N34" s="21" t="str">
        <f>IFERROR(VLOOKUP(A34,'Agent Sched'!B:I,8,),"-")</f>
        <v>OFF</v>
      </c>
      <c r="O34" s="13" t="str">
        <f t="shared" si="13"/>
        <v>OFF</v>
      </c>
      <c r="Q34" s="12" t="str">
        <f>VLOOKUP(A34,'Agent Sched'!B:Y,24,)</f>
        <v>OFF</v>
      </c>
      <c r="R34" s="13" t="str">
        <f t="shared" si="14"/>
        <v>OFF</v>
      </c>
      <c r="T34" s="26">
        <f>VLOOKUP(A34,'Agent Sched'!$B:$J,9,)</f>
        <v>0.375</v>
      </c>
      <c r="U34" s="13">
        <f t="shared" si="15"/>
        <v>0.75</v>
      </c>
      <c r="V34" s="22">
        <f>VLOOKUP(A34,'Agent Sched'!B:K,10,)</f>
        <v>0.375</v>
      </c>
      <c r="W34" s="13">
        <f t="shared" si="16"/>
        <v>0.75</v>
      </c>
      <c r="X34" s="22">
        <f>VLOOKUP(A34,'Agent Sched'!B:L,11,)</f>
        <v>0.375</v>
      </c>
      <c r="Y34" s="13">
        <f t="shared" si="17"/>
        <v>0.75</v>
      </c>
      <c r="Z34" s="22">
        <f>VLOOKUP(A34,'Agent Sched'!B:M,12,)</f>
        <v>0.375</v>
      </c>
      <c r="AA34" s="13">
        <f t="shared" si="18"/>
        <v>0.75</v>
      </c>
      <c r="AB34" s="22">
        <f>VLOOKUP(A34,'Agent Sched'!B:N,13,)</f>
        <v>0.375</v>
      </c>
      <c r="AC34" s="13">
        <f t="shared" si="19"/>
        <v>0.75</v>
      </c>
      <c r="AD34" s="22" t="str">
        <f>VLOOKUP(A34,'Agent Sched'!B:O,14,)</f>
        <v>OFF</v>
      </c>
      <c r="AE34" s="13" t="str">
        <f t="shared" si="20"/>
        <v>OFF</v>
      </c>
      <c r="AF34" s="24" t="str">
        <f>VLOOKUP(A34,'Agent Sched'!B:P,15,)</f>
        <v>OFF</v>
      </c>
      <c r="AG34" s="13" t="str">
        <f t="shared" si="21"/>
        <v>OFF</v>
      </c>
      <c r="AI34" s="26">
        <f>VLOOKUP(A34,'Agent Sched'!$B:$Q,16,)</f>
        <v>0.375</v>
      </c>
      <c r="AJ34" s="13">
        <f t="shared" si="22"/>
        <v>0.75</v>
      </c>
      <c r="AK34" s="22">
        <f>VLOOKUP(A34,'Agent Sched'!B:R,17,)</f>
        <v>0.375</v>
      </c>
      <c r="AL34" s="13">
        <f t="shared" si="23"/>
        <v>0.75</v>
      </c>
      <c r="AM34" s="22">
        <f>VLOOKUP(A34,'Agent Sched'!B:S,18,)</f>
        <v>0.375</v>
      </c>
      <c r="AN34" s="13">
        <f t="shared" si="24"/>
        <v>0.75</v>
      </c>
      <c r="AO34" s="22">
        <f>VLOOKUP(A34,'Agent Sched'!B:T,19,)</f>
        <v>0.375</v>
      </c>
      <c r="AP34" s="13">
        <f t="shared" si="25"/>
        <v>0.75</v>
      </c>
      <c r="AQ34" s="22">
        <f>VLOOKUP(A34,'Agent Sched'!B:U,20,)</f>
        <v>0.375</v>
      </c>
      <c r="AR34" s="13">
        <f t="shared" si="26"/>
        <v>0.75</v>
      </c>
      <c r="AS34" s="22" t="str">
        <f>VLOOKUP(A34,'Agent Sched'!B:V,21,)</f>
        <v>OFF</v>
      </c>
      <c r="AT34" s="13" t="str">
        <f t="shared" si="27"/>
        <v>OFF</v>
      </c>
      <c r="AU34" s="24" t="str">
        <f>VLOOKUP(A34,'Agent Sched'!B:W,22,)</f>
        <v>OFF</v>
      </c>
      <c r="AV34" s="13" t="str">
        <f t="shared" si="28"/>
        <v>OFF</v>
      </c>
      <c r="BQ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</row>
    <row r="35" spans="1:93" ht="15.75" thickBot="1" x14ac:dyDescent="0.3">
      <c r="A35" s="20" t="str">
        <f>IFERROR('Agent Sched'!B36,"-")</f>
        <v>Karen kay Grijalvo</v>
      </c>
      <c r="B35" s="12">
        <f>IFERROR(VLOOKUP(A35,'Agent Sched'!$B:$C,2,),"-")</f>
        <v>0.375</v>
      </c>
      <c r="C35" s="13">
        <f t="shared" si="7"/>
        <v>0.75</v>
      </c>
      <c r="D35" s="12">
        <f>IFERROR(VLOOKUP(A35,'Agent Sched'!B:D,3,),"-")</f>
        <v>0.375</v>
      </c>
      <c r="E35" s="13">
        <f t="shared" si="8"/>
        <v>0.75</v>
      </c>
      <c r="F35" s="12">
        <f>IFERROR(VLOOKUP(A35,'Agent Sched'!B:E,4,),"-")</f>
        <v>0.375</v>
      </c>
      <c r="G35" s="13">
        <f t="shared" si="9"/>
        <v>0.75</v>
      </c>
      <c r="H35" s="12">
        <f>IFERROR(VLOOKUP(A35,'Agent Sched'!B:F,5,),"-")</f>
        <v>0.375</v>
      </c>
      <c r="I35" s="13">
        <f t="shared" si="10"/>
        <v>0.75</v>
      </c>
      <c r="J35" s="12">
        <f>IFERROR(VLOOKUP(A35,'Agent Sched'!B:G,6,),"-")</f>
        <v>0.375</v>
      </c>
      <c r="K35" s="13">
        <f t="shared" si="11"/>
        <v>0.75</v>
      </c>
      <c r="L35" s="12" t="str">
        <f>IFERROR(VLOOKUP(A35,'Agent Sched'!B:H,7,),"-")</f>
        <v>OFF</v>
      </c>
      <c r="M35" s="13" t="str">
        <f t="shared" si="12"/>
        <v>OFF</v>
      </c>
      <c r="N35" s="21" t="str">
        <f>IFERROR(VLOOKUP(A35,'Agent Sched'!B:I,8,),"-")</f>
        <v>OFF</v>
      </c>
      <c r="O35" s="13" t="str">
        <f t="shared" si="13"/>
        <v>OFF</v>
      </c>
      <c r="Q35" s="12" t="str">
        <f>VLOOKUP(A35,'Agent Sched'!B:Y,24,)</f>
        <v>OFF</v>
      </c>
      <c r="R35" s="13" t="str">
        <f t="shared" si="14"/>
        <v>OFF</v>
      </c>
      <c r="T35" s="26">
        <f>VLOOKUP(A35,'Agent Sched'!$B:$J,9,)</f>
        <v>0.375</v>
      </c>
      <c r="U35" s="13">
        <f t="shared" si="15"/>
        <v>0.75</v>
      </c>
      <c r="V35" s="22">
        <f>VLOOKUP(A35,'Agent Sched'!B:K,10,)</f>
        <v>0.375</v>
      </c>
      <c r="W35" s="13">
        <f t="shared" si="16"/>
        <v>0.75</v>
      </c>
      <c r="X35" s="22">
        <f>VLOOKUP(A35,'Agent Sched'!B:L,11,)</f>
        <v>0.375</v>
      </c>
      <c r="Y35" s="13">
        <f t="shared" si="17"/>
        <v>0.75</v>
      </c>
      <c r="Z35" s="22">
        <f>VLOOKUP(A35,'Agent Sched'!B:M,12,)</f>
        <v>0.375</v>
      </c>
      <c r="AA35" s="13">
        <f t="shared" si="18"/>
        <v>0.75</v>
      </c>
      <c r="AB35" s="22">
        <f>VLOOKUP(A35,'Agent Sched'!B:N,13,)</f>
        <v>0.375</v>
      </c>
      <c r="AC35" s="13">
        <f t="shared" si="19"/>
        <v>0.75</v>
      </c>
      <c r="AD35" s="22" t="str">
        <f>VLOOKUP(A35,'Agent Sched'!B:O,14,)</f>
        <v>OFF</v>
      </c>
      <c r="AE35" s="13" t="str">
        <f t="shared" si="20"/>
        <v>OFF</v>
      </c>
      <c r="AF35" s="24" t="str">
        <f>VLOOKUP(A35,'Agent Sched'!B:P,15,)</f>
        <v>OFF</v>
      </c>
      <c r="AG35" s="13" t="str">
        <f t="shared" si="21"/>
        <v>OFF</v>
      </c>
      <c r="AI35" s="26">
        <f>VLOOKUP(A35,'Agent Sched'!$B:$Q,16,)</f>
        <v>0.375</v>
      </c>
      <c r="AJ35" s="13">
        <f t="shared" si="22"/>
        <v>0.75</v>
      </c>
      <c r="AK35" s="22">
        <f>VLOOKUP(A35,'Agent Sched'!B:R,17,)</f>
        <v>0.375</v>
      </c>
      <c r="AL35" s="13">
        <f t="shared" si="23"/>
        <v>0.75</v>
      </c>
      <c r="AM35" s="22">
        <f>VLOOKUP(A35,'Agent Sched'!B:S,18,)</f>
        <v>0.375</v>
      </c>
      <c r="AN35" s="13">
        <f t="shared" si="24"/>
        <v>0.75</v>
      </c>
      <c r="AO35" s="22">
        <f>VLOOKUP(A35,'Agent Sched'!B:T,19,)</f>
        <v>0.375</v>
      </c>
      <c r="AP35" s="13">
        <f t="shared" si="25"/>
        <v>0.75</v>
      </c>
      <c r="AQ35" s="22">
        <f>VLOOKUP(A35,'Agent Sched'!B:U,20,)</f>
        <v>0.375</v>
      </c>
      <c r="AR35" s="13">
        <f t="shared" si="26"/>
        <v>0.75</v>
      </c>
      <c r="AS35" s="22" t="str">
        <f>VLOOKUP(A35,'Agent Sched'!B:V,21,)</f>
        <v>OFF</v>
      </c>
      <c r="AT35" s="13" t="str">
        <f t="shared" si="27"/>
        <v>OFF</v>
      </c>
      <c r="AU35" s="24" t="str">
        <f>VLOOKUP(A35,'Agent Sched'!B:W,22,)</f>
        <v>OFF</v>
      </c>
      <c r="AV35" s="13" t="str">
        <f t="shared" si="28"/>
        <v>OFF</v>
      </c>
    </row>
    <row r="36" spans="1:93" ht="15.75" thickBot="1" x14ac:dyDescent="0.3">
      <c r="A36" s="20" t="str">
        <f>IFERROR('Agent Sched'!B37,"-")</f>
        <v>Glennes Tolato</v>
      </c>
      <c r="B36" s="12">
        <f>IFERROR(VLOOKUP(A36,'Agent Sched'!$B:$C,2,),"-")</f>
        <v>0.375</v>
      </c>
      <c r="C36" s="13">
        <f t="shared" si="7"/>
        <v>0.75</v>
      </c>
      <c r="D36" s="12">
        <f>IFERROR(VLOOKUP(A36,'Agent Sched'!B:D,3,),"-")</f>
        <v>0.375</v>
      </c>
      <c r="E36" s="13">
        <f t="shared" si="8"/>
        <v>0.75</v>
      </c>
      <c r="F36" s="12">
        <f>IFERROR(VLOOKUP(A36,'Agent Sched'!B:E,4,),"-")</f>
        <v>0.375</v>
      </c>
      <c r="G36" s="13">
        <f t="shared" si="9"/>
        <v>0.75</v>
      </c>
      <c r="H36" s="12">
        <f>IFERROR(VLOOKUP(A36,'Agent Sched'!B:F,5,),"-")</f>
        <v>0.375</v>
      </c>
      <c r="I36" s="13">
        <f t="shared" si="10"/>
        <v>0.75</v>
      </c>
      <c r="J36" s="12">
        <f>IFERROR(VLOOKUP(A36,'Agent Sched'!B:G,6,),"-")</f>
        <v>0.375</v>
      </c>
      <c r="K36" s="13">
        <f t="shared" si="11"/>
        <v>0.75</v>
      </c>
      <c r="L36" s="12" t="str">
        <f>IFERROR(VLOOKUP(A36,'Agent Sched'!B:H,7,),"-")</f>
        <v>OFF</v>
      </c>
      <c r="M36" s="13" t="str">
        <f t="shared" si="12"/>
        <v>OFF</v>
      </c>
      <c r="N36" s="21" t="str">
        <f>IFERROR(VLOOKUP(A36,'Agent Sched'!B:I,8,),"-")</f>
        <v>OFF</v>
      </c>
      <c r="O36" s="13" t="str">
        <f t="shared" si="13"/>
        <v>OFF</v>
      </c>
      <c r="Q36" s="12" t="str">
        <f>VLOOKUP(A36,'Agent Sched'!B:Y,24,)</f>
        <v>OFF</v>
      </c>
      <c r="R36" s="13" t="str">
        <f t="shared" si="14"/>
        <v>OFF</v>
      </c>
      <c r="T36" s="26">
        <f>VLOOKUP(A36,'Agent Sched'!$B:$J,9,)</f>
        <v>0.375</v>
      </c>
      <c r="U36" s="13">
        <f t="shared" si="15"/>
        <v>0.75</v>
      </c>
      <c r="V36" s="22">
        <f>VLOOKUP(A36,'Agent Sched'!B:K,10,)</f>
        <v>0.375</v>
      </c>
      <c r="W36" s="13">
        <f t="shared" si="16"/>
        <v>0.75</v>
      </c>
      <c r="X36" s="22">
        <f>VLOOKUP(A36,'Agent Sched'!B:L,11,)</f>
        <v>0.375</v>
      </c>
      <c r="Y36" s="13">
        <f t="shared" si="17"/>
        <v>0.75</v>
      </c>
      <c r="Z36" s="22">
        <f>VLOOKUP(A36,'Agent Sched'!B:M,12,)</f>
        <v>0.375</v>
      </c>
      <c r="AA36" s="13">
        <f t="shared" si="18"/>
        <v>0.75</v>
      </c>
      <c r="AB36" s="22">
        <f>VLOOKUP(A36,'Agent Sched'!B:N,13,)</f>
        <v>0.375</v>
      </c>
      <c r="AC36" s="13">
        <f t="shared" si="19"/>
        <v>0.75</v>
      </c>
      <c r="AD36" s="22" t="str">
        <f>VLOOKUP(A36,'Agent Sched'!B:O,14,)</f>
        <v>OFF</v>
      </c>
      <c r="AE36" s="13" t="str">
        <f t="shared" si="20"/>
        <v>OFF</v>
      </c>
      <c r="AF36" s="24" t="str">
        <f>VLOOKUP(A36,'Agent Sched'!B:P,15,)</f>
        <v>OFF</v>
      </c>
      <c r="AG36" s="13" t="str">
        <f t="shared" si="21"/>
        <v>OFF</v>
      </c>
      <c r="AI36" s="26">
        <f>VLOOKUP(A36,'Agent Sched'!$B:$Q,16,)</f>
        <v>0.375</v>
      </c>
      <c r="AJ36" s="13">
        <f t="shared" si="22"/>
        <v>0.75</v>
      </c>
      <c r="AK36" s="22">
        <f>VLOOKUP(A36,'Agent Sched'!B:R,17,)</f>
        <v>0.375</v>
      </c>
      <c r="AL36" s="13">
        <f t="shared" si="23"/>
        <v>0.75</v>
      </c>
      <c r="AM36" s="22">
        <f>VLOOKUP(A36,'Agent Sched'!B:S,18,)</f>
        <v>0.375</v>
      </c>
      <c r="AN36" s="13">
        <f t="shared" si="24"/>
        <v>0.75</v>
      </c>
      <c r="AO36" s="22">
        <f>VLOOKUP(A36,'Agent Sched'!B:T,19,)</f>
        <v>0.375</v>
      </c>
      <c r="AP36" s="13">
        <f t="shared" si="25"/>
        <v>0.75</v>
      </c>
      <c r="AQ36" s="22">
        <f>VLOOKUP(A36,'Agent Sched'!B:U,20,)</f>
        <v>0.375</v>
      </c>
      <c r="AR36" s="13">
        <f t="shared" si="26"/>
        <v>0.75</v>
      </c>
      <c r="AS36" s="22" t="str">
        <f>VLOOKUP(A36,'Agent Sched'!B:V,21,)</f>
        <v>OFF</v>
      </c>
      <c r="AT36" s="13" t="str">
        <f t="shared" si="27"/>
        <v>OFF</v>
      </c>
      <c r="AU36" s="24" t="str">
        <f>VLOOKUP(A36,'Agent Sched'!B:W,22,)</f>
        <v>OFF</v>
      </c>
      <c r="AV36" s="13" t="str">
        <f t="shared" si="28"/>
        <v>OFF</v>
      </c>
    </row>
    <row r="37" spans="1:93" ht="15.75" thickBot="1" x14ac:dyDescent="0.3">
      <c r="A37" s="20" t="str">
        <f>IFERROR('Agent Sched'!B38,"-")</f>
        <v>Michael Launio</v>
      </c>
      <c r="B37" s="12">
        <f>IFERROR(VLOOKUP(A37,'Agent Sched'!$B:$C,2,),"-")</f>
        <v>0.375</v>
      </c>
      <c r="C37" s="13">
        <f t="shared" si="7"/>
        <v>0.75</v>
      </c>
      <c r="D37" s="12">
        <f>IFERROR(VLOOKUP(A37,'Agent Sched'!B:D,3,),"-")</f>
        <v>0.375</v>
      </c>
      <c r="E37" s="13">
        <f t="shared" si="8"/>
        <v>0.75</v>
      </c>
      <c r="F37" s="12">
        <f>IFERROR(VLOOKUP(A37,'Agent Sched'!B:E,4,),"-")</f>
        <v>0.375</v>
      </c>
      <c r="G37" s="13">
        <f t="shared" si="9"/>
        <v>0.75</v>
      </c>
      <c r="H37" s="12">
        <f>IFERROR(VLOOKUP(A37,'Agent Sched'!B:F,5,),"-")</f>
        <v>0.375</v>
      </c>
      <c r="I37" s="13">
        <f t="shared" si="10"/>
        <v>0.75</v>
      </c>
      <c r="J37" s="12">
        <f>IFERROR(VLOOKUP(A37,'Agent Sched'!B:G,6,),"-")</f>
        <v>0.375</v>
      </c>
      <c r="K37" s="13">
        <f t="shared" si="11"/>
        <v>0.75</v>
      </c>
      <c r="L37" s="12" t="str">
        <f>IFERROR(VLOOKUP(A37,'Agent Sched'!B:H,7,),"-")</f>
        <v>OFF</v>
      </c>
      <c r="M37" s="13" t="str">
        <f t="shared" si="12"/>
        <v>OFF</v>
      </c>
      <c r="N37" s="21" t="str">
        <f>IFERROR(VLOOKUP(A37,'Agent Sched'!B:I,8,),"-")</f>
        <v>OFF</v>
      </c>
      <c r="O37" s="13" t="str">
        <f t="shared" si="13"/>
        <v>OFF</v>
      </c>
      <c r="Q37" s="12" t="str">
        <f>VLOOKUP(A37,'Agent Sched'!B:Y,24,)</f>
        <v>OFF</v>
      </c>
      <c r="R37" s="13" t="str">
        <f t="shared" si="14"/>
        <v>OFF</v>
      </c>
      <c r="T37" s="26">
        <f>VLOOKUP(A37,'Agent Sched'!$B:$J,9,)</f>
        <v>0.375</v>
      </c>
      <c r="U37" s="13">
        <f t="shared" si="15"/>
        <v>0.75</v>
      </c>
      <c r="V37" s="22">
        <f>VLOOKUP(A37,'Agent Sched'!B:K,10,)</f>
        <v>0.375</v>
      </c>
      <c r="W37" s="13">
        <f t="shared" si="16"/>
        <v>0.75</v>
      </c>
      <c r="X37" s="22">
        <f>VLOOKUP(A37,'Agent Sched'!B:L,11,)</f>
        <v>0.375</v>
      </c>
      <c r="Y37" s="13">
        <f t="shared" si="17"/>
        <v>0.75</v>
      </c>
      <c r="Z37" s="22">
        <f>VLOOKUP(A37,'Agent Sched'!B:M,12,)</f>
        <v>0.375</v>
      </c>
      <c r="AA37" s="13">
        <f t="shared" si="18"/>
        <v>0.75</v>
      </c>
      <c r="AB37" s="22">
        <f>VLOOKUP(A37,'Agent Sched'!B:N,13,)</f>
        <v>0.375</v>
      </c>
      <c r="AC37" s="13">
        <f t="shared" si="19"/>
        <v>0.75</v>
      </c>
      <c r="AD37" s="22" t="str">
        <f>VLOOKUP(A37,'Agent Sched'!B:O,14,)</f>
        <v>OFF</v>
      </c>
      <c r="AE37" s="13" t="str">
        <f t="shared" si="20"/>
        <v>OFF</v>
      </c>
      <c r="AF37" s="24" t="str">
        <f>VLOOKUP(A37,'Agent Sched'!B:P,15,)</f>
        <v>OFF</v>
      </c>
      <c r="AG37" s="13" t="str">
        <f t="shared" si="21"/>
        <v>OFF</v>
      </c>
      <c r="AI37" s="26">
        <f>VLOOKUP(A37,'Agent Sched'!$B:$Q,16,)</f>
        <v>0.375</v>
      </c>
      <c r="AJ37" s="13">
        <f t="shared" si="22"/>
        <v>0.75</v>
      </c>
      <c r="AK37" s="22">
        <f>VLOOKUP(A37,'Agent Sched'!B:R,17,)</f>
        <v>0.375</v>
      </c>
      <c r="AL37" s="13">
        <f t="shared" si="23"/>
        <v>0.75</v>
      </c>
      <c r="AM37" s="22">
        <f>VLOOKUP(A37,'Agent Sched'!B:S,18,)</f>
        <v>0.375</v>
      </c>
      <c r="AN37" s="13">
        <f t="shared" si="24"/>
        <v>0.75</v>
      </c>
      <c r="AO37" s="22">
        <f>VLOOKUP(A37,'Agent Sched'!B:T,19,)</f>
        <v>0.375</v>
      </c>
      <c r="AP37" s="13">
        <f t="shared" si="25"/>
        <v>0.75</v>
      </c>
      <c r="AQ37" s="22">
        <f>VLOOKUP(A37,'Agent Sched'!B:U,20,)</f>
        <v>0.375</v>
      </c>
      <c r="AR37" s="13">
        <f t="shared" si="26"/>
        <v>0.75</v>
      </c>
      <c r="AS37" s="22" t="str">
        <f>VLOOKUP(A37,'Agent Sched'!B:V,21,)</f>
        <v>OFF</v>
      </c>
      <c r="AT37" s="13" t="str">
        <f t="shared" si="27"/>
        <v>OFF</v>
      </c>
      <c r="AU37" s="24" t="str">
        <f>VLOOKUP(A37,'Agent Sched'!B:W,22,)</f>
        <v>OFF</v>
      </c>
      <c r="AV37" s="13" t="str">
        <f t="shared" si="28"/>
        <v>OFF</v>
      </c>
    </row>
    <row r="38" spans="1:93" ht="15.75" thickBot="1" x14ac:dyDescent="0.3">
      <c r="A38" s="20" t="str">
        <f>IFERROR('Agent Sched'!B39,"-")</f>
        <v>Ma Joanne Girado Garcia</v>
      </c>
      <c r="B38" s="12">
        <f>IFERROR(VLOOKUP(A38,'Agent Sched'!$B:$C,2,),"-")</f>
        <v>0.375</v>
      </c>
      <c r="C38" s="13">
        <f t="shared" si="7"/>
        <v>0.75</v>
      </c>
      <c r="D38" s="12">
        <f>IFERROR(VLOOKUP(A38,'Agent Sched'!B:D,3,),"-")</f>
        <v>0.375</v>
      </c>
      <c r="E38" s="13">
        <f t="shared" si="8"/>
        <v>0.75</v>
      </c>
      <c r="F38" s="12">
        <f>IFERROR(VLOOKUP(A38,'Agent Sched'!B:E,4,),"-")</f>
        <v>0.375</v>
      </c>
      <c r="G38" s="13">
        <f t="shared" si="9"/>
        <v>0.75</v>
      </c>
      <c r="H38" s="12">
        <f>IFERROR(VLOOKUP(A38,'Agent Sched'!B:F,5,),"-")</f>
        <v>0.375</v>
      </c>
      <c r="I38" s="13">
        <f t="shared" si="10"/>
        <v>0.75</v>
      </c>
      <c r="J38" s="12">
        <f>IFERROR(VLOOKUP(A38,'Agent Sched'!B:G,6,),"-")</f>
        <v>0.375</v>
      </c>
      <c r="K38" s="13">
        <f t="shared" si="11"/>
        <v>0.75</v>
      </c>
      <c r="L38" s="12" t="str">
        <f>IFERROR(VLOOKUP(A38,'Agent Sched'!B:H,7,),"-")</f>
        <v>OFF</v>
      </c>
      <c r="M38" s="13" t="str">
        <f t="shared" si="12"/>
        <v>OFF</v>
      </c>
      <c r="N38" s="21" t="str">
        <f>IFERROR(VLOOKUP(A38,'Agent Sched'!B:I,8,),"-")</f>
        <v>OFF</v>
      </c>
      <c r="O38" s="13" t="str">
        <f t="shared" si="13"/>
        <v>OFF</v>
      </c>
      <c r="Q38" s="12" t="str">
        <f>VLOOKUP(A38,'Agent Sched'!B:Y,24,)</f>
        <v>OFF</v>
      </c>
      <c r="R38" s="13" t="str">
        <f t="shared" si="14"/>
        <v>OFF</v>
      </c>
      <c r="T38" s="26">
        <f>VLOOKUP(A38,'Agent Sched'!$B:$J,9,)</f>
        <v>0.375</v>
      </c>
      <c r="U38" s="13">
        <f t="shared" si="15"/>
        <v>0.75</v>
      </c>
      <c r="V38" s="22">
        <f>VLOOKUP(A38,'Agent Sched'!B:K,10,)</f>
        <v>0.375</v>
      </c>
      <c r="W38" s="13">
        <f t="shared" si="16"/>
        <v>0.75</v>
      </c>
      <c r="X38" s="22">
        <f>VLOOKUP(A38,'Agent Sched'!B:L,11,)</f>
        <v>0.375</v>
      </c>
      <c r="Y38" s="13">
        <f t="shared" si="17"/>
        <v>0.75</v>
      </c>
      <c r="Z38" s="22">
        <f>VLOOKUP(A38,'Agent Sched'!B:M,12,)</f>
        <v>0.375</v>
      </c>
      <c r="AA38" s="13">
        <f t="shared" si="18"/>
        <v>0.75</v>
      </c>
      <c r="AB38" s="22">
        <f>VLOOKUP(A38,'Agent Sched'!B:N,13,)</f>
        <v>0.375</v>
      </c>
      <c r="AC38" s="13">
        <f t="shared" si="19"/>
        <v>0.75</v>
      </c>
      <c r="AD38" s="22" t="str">
        <f>VLOOKUP(A38,'Agent Sched'!B:O,14,)</f>
        <v>OFF</v>
      </c>
      <c r="AE38" s="13" t="str">
        <f t="shared" si="20"/>
        <v>OFF</v>
      </c>
      <c r="AF38" s="24" t="str">
        <f>VLOOKUP(A38,'Agent Sched'!B:P,15,)</f>
        <v>OFF</v>
      </c>
      <c r="AG38" s="13" t="str">
        <f t="shared" si="21"/>
        <v>OFF</v>
      </c>
      <c r="AI38" s="26">
        <f>VLOOKUP(A38,'Agent Sched'!$B:$Q,16,)</f>
        <v>0.375</v>
      </c>
      <c r="AJ38" s="13">
        <f t="shared" si="22"/>
        <v>0.75</v>
      </c>
      <c r="AK38" s="22">
        <f>VLOOKUP(A38,'Agent Sched'!B:R,17,)</f>
        <v>0.375</v>
      </c>
      <c r="AL38" s="13">
        <f t="shared" si="23"/>
        <v>0.75</v>
      </c>
      <c r="AM38" s="22">
        <f>VLOOKUP(A38,'Agent Sched'!B:S,18,)</f>
        <v>0.375</v>
      </c>
      <c r="AN38" s="13">
        <f t="shared" si="24"/>
        <v>0.75</v>
      </c>
      <c r="AO38" s="22">
        <f>VLOOKUP(A38,'Agent Sched'!B:T,19,)</f>
        <v>0.375</v>
      </c>
      <c r="AP38" s="13">
        <f t="shared" si="25"/>
        <v>0.75</v>
      </c>
      <c r="AQ38" s="22">
        <f>VLOOKUP(A38,'Agent Sched'!B:U,20,)</f>
        <v>0.375</v>
      </c>
      <c r="AR38" s="13">
        <f t="shared" si="26"/>
        <v>0.75</v>
      </c>
      <c r="AS38" s="22" t="str">
        <f>VLOOKUP(A38,'Agent Sched'!B:V,21,)</f>
        <v>OFF</v>
      </c>
      <c r="AT38" s="13" t="str">
        <f t="shared" si="27"/>
        <v>OFF</v>
      </c>
      <c r="AU38" s="24" t="str">
        <f>VLOOKUP(A38,'Agent Sched'!B:W,22,)</f>
        <v>OFF</v>
      </c>
      <c r="AV38" s="13" t="str">
        <f t="shared" si="28"/>
        <v>OFF</v>
      </c>
    </row>
    <row r="39" spans="1:93" ht="15.75" thickBot="1" x14ac:dyDescent="0.3">
      <c r="A39" s="20">
        <f>IFERROR('Agent Sched'!B40,"-")</f>
        <v>0</v>
      </c>
      <c r="B39" s="12" t="str">
        <f>IFERROR(VLOOKUP(A39,'Agent Sched'!$B:$C,2,),"-")</f>
        <v>-</v>
      </c>
      <c r="C39" s="13" t="str">
        <f t="shared" ref="C39" si="36">IFERROR(IF(B39="PTO","PTO",IF(B39="OFF","OFF", B39 + TIME(9,0,0))),"-")</f>
        <v>-</v>
      </c>
      <c r="D39" s="12" t="str">
        <f>IFERROR(VLOOKUP(A39,'Agent Sched'!B:D,3,),"-")</f>
        <v>-</v>
      </c>
      <c r="E39" s="13" t="str">
        <f t="shared" ref="E39" si="37">IFERROR(IF(D39="PTO","PTO",IF(D39="OFF","OFF", D39 + TIME(9,0,0))),"-")</f>
        <v>-</v>
      </c>
      <c r="F39" s="12" t="str">
        <f>IFERROR(VLOOKUP(A39,'Agent Sched'!B:E,4,),"-")</f>
        <v>-</v>
      </c>
      <c r="G39" s="13" t="str">
        <f t="shared" ref="G39" si="38">IFERROR(IF(F39="PTO","PTO",IF(F39="OFF","OFF", F39 + TIME(9,0,0))),"-")</f>
        <v>-</v>
      </c>
      <c r="H39" s="12" t="str">
        <f>IFERROR(VLOOKUP(A39,'Agent Sched'!B:F,5,),"-")</f>
        <v>-</v>
      </c>
      <c r="I39" s="13" t="str">
        <f t="shared" ref="I39" si="39">IFERROR(IF(H39="PTO","PTO",IF(H39="OFF","OFF", H39 + TIME(9,0,0))),"-")</f>
        <v>-</v>
      </c>
      <c r="J39" s="12" t="str">
        <f>IFERROR(VLOOKUP(A39,'Agent Sched'!B:G,6,),"-")</f>
        <v>-</v>
      </c>
      <c r="K39" s="13" t="str">
        <f t="shared" ref="K39" si="40">IFERROR(IF(J39="PTO","PTO",IF(J39="OFF","OFF", J39 + TIME(9,0,0))),"-")</f>
        <v>-</v>
      </c>
      <c r="L39" s="12" t="str">
        <f>IFERROR(VLOOKUP(A39,'Agent Sched'!B:H,7,),"-")</f>
        <v>-</v>
      </c>
      <c r="M39" s="13" t="str">
        <f t="shared" ref="M39" si="41">IFERROR(IF(L39="PTO","PTO",IF(L39="OFF","OFF", L39 + TIME(9,0,0))),"-")</f>
        <v>-</v>
      </c>
      <c r="N39" s="21" t="str">
        <f>IFERROR(VLOOKUP(A39,'Agent Sched'!B:I,8,),"-")</f>
        <v>-</v>
      </c>
      <c r="O39" s="13" t="str">
        <f t="shared" ref="O39" si="42">IFERROR(IF(N39="PTO","PTO",IF(N39="OFF","OFF", N39 + TIME(9,0,0))),"-")</f>
        <v>-</v>
      </c>
      <c r="Q39" s="12" t="e">
        <f>VLOOKUP(A39,'Agent Sched'!B:Y,24,)</f>
        <v>#N/A</v>
      </c>
      <c r="R39" s="13" t="str">
        <f t="shared" ref="R39" si="43">IFERROR(IF(Q39="PTO","PTO",IF(Q39="OFF","OFF", Q39 + TIME(9,0,0))),"-")</f>
        <v>-</v>
      </c>
      <c r="T39" s="26" t="e">
        <f>VLOOKUP(A39,'Agent Sched'!$B:$J,9,)</f>
        <v>#N/A</v>
      </c>
      <c r="U39" s="13" t="str">
        <f t="shared" ref="U39" si="44">IFERROR(IF(T39="PTO","PTO",IF(T39="OFF","OFF", T39 + TIME(9,0,0))),"-")</f>
        <v>-</v>
      </c>
      <c r="V39" s="22" t="e">
        <f>VLOOKUP(A39,'Agent Sched'!B:K,10,)</f>
        <v>#N/A</v>
      </c>
      <c r="W39" s="13" t="str">
        <f t="shared" ref="W39" si="45">IFERROR(IF(V39="PTO","PTO",IF(V39="OFF","OFF", V39 + TIME(9,0,0))),"-")</f>
        <v>-</v>
      </c>
      <c r="X39" s="22" t="e">
        <f>VLOOKUP(A39,'Agent Sched'!B:L,11,)</f>
        <v>#N/A</v>
      </c>
      <c r="Y39" s="13" t="str">
        <f t="shared" ref="Y39" si="46">IFERROR(IF(X39="PTO","PTO",IF(X39="OFF","OFF", X39 + TIME(9,0,0))),"-")</f>
        <v>-</v>
      </c>
      <c r="Z39" s="22" t="e">
        <f>VLOOKUP(A39,'Agent Sched'!B:M,12,)</f>
        <v>#N/A</v>
      </c>
      <c r="AA39" s="13" t="str">
        <f t="shared" ref="AA39" si="47">IFERROR(IF(Z39="PTO","PTO",IF(Z39="OFF","OFF", Z39 + TIME(9,0,0))),"-")</f>
        <v>-</v>
      </c>
      <c r="AB39" s="22" t="e">
        <f>VLOOKUP(A39,'Agent Sched'!B:N,13,)</f>
        <v>#N/A</v>
      </c>
      <c r="AC39" s="13" t="str">
        <f t="shared" ref="AC39" si="48">IFERROR(IF(AB39="PTO","PTO",IF(AB39="OFF","OFF", AB39 + TIME(9,0,0))),"-")</f>
        <v>-</v>
      </c>
      <c r="AD39" s="22" t="e">
        <f>VLOOKUP(A39,'Agent Sched'!B:O,14,)</f>
        <v>#N/A</v>
      </c>
      <c r="AE39" s="13" t="str">
        <f t="shared" ref="AE39" si="49">IFERROR(IF(AD39="PTO","PTO",IF(AD39="OFF","OFF", AD39 + TIME(9,0,0))),"-")</f>
        <v>-</v>
      </c>
      <c r="AF39" s="24" t="e">
        <f>VLOOKUP(A39,'Agent Sched'!B:P,15,)</f>
        <v>#N/A</v>
      </c>
      <c r="AG39" s="13" t="str">
        <f t="shared" ref="AG39" si="50">IFERROR(IF(AF39="PTO","PTO",IF(AF39="OFF","OFF", AF39 + TIME(9,0,0))),"-")</f>
        <v>-</v>
      </c>
      <c r="AI39" s="26" t="e">
        <f>VLOOKUP(A39,'Agent Sched'!$B:$Q,16,)</f>
        <v>#N/A</v>
      </c>
      <c r="AJ39" s="13" t="str">
        <f t="shared" ref="AJ39" si="51">IFERROR(IF(AI39="PTO","PTO",IF(AI39="OFF","OFF", AI39 + TIME(9,0,0))),"-")</f>
        <v>-</v>
      </c>
      <c r="AK39" s="22" t="e">
        <f>VLOOKUP(A39,'Agent Sched'!B:R,17,)</f>
        <v>#N/A</v>
      </c>
      <c r="AL39" s="13" t="str">
        <f t="shared" ref="AL39" si="52">IFERROR(IF(AK39="PTO","PTO",IF(AK39="OFF","OFF", AK39 + TIME(9,0,0))),"-")</f>
        <v>-</v>
      </c>
      <c r="AM39" s="22" t="e">
        <f>VLOOKUP(A39,'Agent Sched'!B:S,18,)</f>
        <v>#N/A</v>
      </c>
      <c r="AN39" s="13" t="str">
        <f t="shared" ref="AN39" si="53">IFERROR(IF(AM39="PTO","PTO",IF(AM39="OFF","OFF", AM39 + TIME(9,0,0))),"-")</f>
        <v>-</v>
      </c>
      <c r="AO39" s="22" t="e">
        <f>VLOOKUP(A39,'Agent Sched'!B:T,19,)</f>
        <v>#N/A</v>
      </c>
      <c r="AP39" s="13" t="str">
        <f t="shared" ref="AP39" si="54">IFERROR(IF(AO39="PTO","PTO",IF(AO39="OFF","OFF", AO39 + TIME(9,0,0))),"-")</f>
        <v>-</v>
      </c>
      <c r="AQ39" s="22" t="e">
        <f>VLOOKUP(A39,'Agent Sched'!B:U,20,)</f>
        <v>#N/A</v>
      </c>
      <c r="AR39" s="13" t="str">
        <f t="shared" ref="AR39" si="55">IFERROR(IF(AQ39="PTO","PTO",IF(AQ39="OFF","OFF", AQ39 + TIME(9,0,0))),"-")</f>
        <v>-</v>
      </c>
      <c r="AS39" s="22" t="e">
        <f>VLOOKUP(A39,'Agent Sched'!B:V,21,)</f>
        <v>#N/A</v>
      </c>
      <c r="AT39" s="13" t="str">
        <f t="shared" ref="AT39" si="56">IFERROR(IF(AS39="PTO","PTO",IF(AS39="OFF","OFF", AS39 + TIME(9,0,0))),"-")</f>
        <v>-</v>
      </c>
      <c r="AU39" s="24" t="e">
        <f>VLOOKUP(A39,'Agent Sched'!B:W,22,)</f>
        <v>#N/A</v>
      </c>
      <c r="AV39" s="13" t="str">
        <f t="shared" ref="AV39" si="57">IFERROR(IF(AU39="PTO","PTO",IF(AU39="OFF","OFF", AU39 + TIME(9,0,0))),"-")</f>
        <v>-</v>
      </c>
    </row>
    <row r="40" spans="1:93" ht="15.75" thickBot="1" x14ac:dyDescent="0.3">
      <c r="A40" s="20" t="str">
        <f>IFERROR('Agent Sched'!B41,"-")</f>
        <v>Lemarie Garcia  Aldaba</v>
      </c>
      <c r="B40" s="12">
        <f>IFERROR(VLOOKUP(A40,'Agent Sched'!$B:$C,2,),"-")</f>
        <v>0.5</v>
      </c>
      <c r="C40" s="13">
        <f t="shared" si="7"/>
        <v>0.875</v>
      </c>
      <c r="D40" s="12" t="str">
        <f>IFERROR(VLOOKUP(A40,'Agent Sched'!B:D,3,),"-")</f>
        <v>OFF</v>
      </c>
      <c r="E40" s="13" t="str">
        <f t="shared" si="8"/>
        <v>OFF</v>
      </c>
      <c r="F40" s="12">
        <f>IFERROR(VLOOKUP(A40,'Agent Sched'!B:E,4,),"-")</f>
        <v>0.5</v>
      </c>
      <c r="G40" s="13">
        <f t="shared" si="9"/>
        <v>0.875</v>
      </c>
      <c r="H40" s="12">
        <f>IFERROR(VLOOKUP(A40,'Agent Sched'!B:F,5,),"-")</f>
        <v>0.5</v>
      </c>
      <c r="I40" s="13">
        <f t="shared" si="10"/>
        <v>0.875</v>
      </c>
      <c r="J40" s="12" t="str">
        <f>IFERROR(VLOOKUP(A40,'Agent Sched'!B:G,6,),"-")</f>
        <v>OFF</v>
      </c>
      <c r="K40" s="13" t="str">
        <f t="shared" si="11"/>
        <v>OFF</v>
      </c>
      <c r="L40" s="12">
        <f>IFERROR(VLOOKUP(A40,'Agent Sched'!B:H,7,),"-")</f>
        <v>0.5</v>
      </c>
      <c r="M40" s="13">
        <f t="shared" si="12"/>
        <v>0.875</v>
      </c>
      <c r="N40" s="21">
        <f>IFERROR(VLOOKUP(A40,'Agent Sched'!B:I,8,),"-")</f>
        <v>0.5</v>
      </c>
      <c r="O40" s="13">
        <f t="shared" si="13"/>
        <v>0.875</v>
      </c>
      <c r="Q40" s="12">
        <f>VLOOKUP(A40,'Agent Sched'!B:Y,24,)</f>
        <v>0.5</v>
      </c>
      <c r="R40" s="13">
        <f t="shared" si="14"/>
        <v>0.875</v>
      </c>
      <c r="T40" s="26">
        <f>VLOOKUP(A40,'Agent Sched'!$B:$J,9,)</f>
        <v>0.5</v>
      </c>
      <c r="U40" s="13">
        <f t="shared" si="15"/>
        <v>0.875</v>
      </c>
      <c r="V40" s="22">
        <f>VLOOKUP(A40,'Agent Sched'!B:K,10,)</f>
        <v>0.5</v>
      </c>
      <c r="W40" s="13">
        <f t="shared" si="16"/>
        <v>0.875</v>
      </c>
      <c r="X40" s="22">
        <f>VLOOKUP(A40,'Agent Sched'!B:L,11,)</f>
        <v>0.5</v>
      </c>
      <c r="Y40" s="13">
        <f t="shared" si="17"/>
        <v>0.875</v>
      </c>
      <c r="Z40" s="22" t="str">
        <f>VLOOKUP(A40,'Agent Sched'!B:M,12,)</f>
        <v>OFF</v>
      </c>
      <c r="AA40" s="13" t="str">
        <f t="shared" si="18"/>
        <v>OFF</v>
      </c>
      <c r="AB40" s="22" t="str">
        <f>VLOOKUP(A40,'Agent Sched'!B:N,13,)</f>
        <v>OFF</v>
      </c>
      <c r="AC40" s="13" t="str">
        <f t="shared" si="19"/>
        <v>OFF</v>
      </c>
      <c r="AD40" s="22">
        <f>VLOOKUP(A40,'Agent Sched'!B:O,14,)</f>
        <v>0.5</v>
      </c>
      <c r="AE40" s="13">
        <f t="shared" si="20"/>
        <v>0.875</v>
      </c>
      <c r="AF40" s="24">
        <f>VLOOKUP(A40,'Agent Sched'!B:P,15,)</f>
        <v>0.5</v>
      </c>
      <c r="AG40" s="13">
        <f t="shared" si="21"/>
        <v>0.875</v>
      </c>
      <c r="AI40" s="26">
        <f>VLOOKUP(A40,'Agent Sched'!$B:$Q,16,)</f>
        <v>0.5</v>
      </c>
      <c r="AJ40" s="13">
        <f t="shared" si="22"/>
        <v>0.875</v>
      </c>
      <c r="AK40" s="22">
        <f>VLOOKUP(A40,'Agent Sched'!B:R,17,)</f>
        <v>0.5</v>
      </c>
      <c r="AL40" s="13">
        <f t="shared" si="23"/>
        <v>0.875</v>
      </c>
      <c r="AM40" s="22">
        <f>VLOOKUP(A40,'Agent Sched'!B:S,18,)</f>
        <v>0.5</v>
      </c>
      <c r="AN40" s="13">
        <f t="shared" si="24"/>
        <v>0.875</v>
      </c>
      <c r="AO40" s="22" t="str">
        <f>VLOOKUP(A40,'Agent Sched'!B:T,19,)</f>
        <v>OFF</v>
      </c>
      <c r="AP40" s="13" t="str">
        <f t="shared" si="25"/>
        <v>OFF</v>
      </c>
      <c r="AQ40" s="22" t="str">
        <f>VLOOKUP(A40,'Agent Sched'!B:U,20,)</f>
        <v>OFF</v>
      </c>
      <c r="AR40" s="13" t="str">
        <f t="shared" si="26"/>
        <v>OFF</v>
      </c>
      <c r="AS40" s="22">
        <f>VLOOKUP(A40,'Agent Sched'!B:V,21,)</f>
        <v>0.5</v>
      </c>
      <c r="AT40" s="13">
        <f t="shared" si="27"/>
        <v>0.875</v>
      </c>
      <c r="AU40" s="24">
        <f>VLOOKUP(A40,'Agent Sched'!B:W,22,)</f>
        <v>0.5</v>
      </c>
      <c r="AV40" s="13">
        <f t="shared" si="28"/>
        <v>0.875</v>
      </c>
    </row>
    <row r="41" spans="1:93" ht="15.75" thickBot="1" x14ac:dyDescent="0.3">
      <c r="A41" s="20" t="str">
        <f>IFERROR('Agent Sched'!B42,"-")</f>
        <v>John Casper Villegas</v>
      </c>
      <c r="B41" s="12" t="str">
        <f>IFERROR(VLOOKUP(A41,'Agent Sched'!$B:$C,2,),"-")</f>
        <v>OFF</v>
      </c>
      <c r="C41" s="13" t="str">
        <f t="shared" si="7"/>
        <v>OFF</v>
      </c>
      <c r="D41" s="12" t="str">
        <f>IFERROR(VLOOKUP(A41,'Agent Sched'!B:D,3,),"-")</f>
        <v>OFF</v>
      </c>
      <c r="E41" s="13" t="str">
        <f t="shared" si="8"/>
        <v>OFF</v>
      </c>
      <c r="F41" s="12" t="str">
        <f>IFERROR(VLOOKUP(A41,'Agent Sched'!B:E,4,),"-")</f>
        <v>OFF</v>
      </c>
      <c r="G41" s="13" t="str">
        <f t="shared" si="9"/>
        <v>OFF</v>
      </c>
      <c r="H41" s="12" t="str">
        <f>IFERROR(VLOOKUP(A41,'Agent Sched'!B:F,5,),"-")</f>
        <v>OFF</v>
      </c>
      <c r="I41" s="13" t="str">
        <f t="shared" si="10"/>
        <v>OFF</v>
      </c>
      <c r="J41" s="12" t="str">
        <f>IFERROR(VLOOKUP(A41,'Agent Sched'!B:G,6,),"-")</f>
        <v>OFF</v>
      </c>
      <c r="K41" s="13" t="str">
        <f t="shared" si="11"/>
        <v>OFF</v>
      </c>
      <c r="L41" s="12" t="str">
        <f>IFERROR(VLOOKUP(A41,'Agent Sched'!B:H,7,),"-")</f>
        <v>OFF</v>
      </c>
      <c r="M41" s="13" t="str">
        <f t="shared" si="12"/>
        <v>OFF</v>
      </c>
      <c r="N41" s="21" t="str">
        <f>IFERROR(VLOOKUP(A41,'Agent Sched'!B:I,8,),"-")</f>
        <v>OFF</v>
      </c>
      <c r="O41" s="13" t="str">
        <f t="shared" si="13"/>
        <v>OFF</v>
      </c>
      <c r="Q41" s="12" t="str">
        <f>VLOOKUP(A41,'Agent Sched'!B:Y,24,)</f>
        <v>OFF</v>
      </c>
      <c r="R41" s="13" t="str">
        <f t="shared" si="14"/>
        <v>OFF</v>
      </c>
      <c r="T41" s="26" t="str">
        <f>VLOOKUP(A41,'Agent Sched'!$B:$J,9,)</f>
        <v>OFF</v>
      </c>
      <c r="U41" s="13" t="str">
        <f t="shared" si="15"/>
        <v>OFF</v>
      </c>
      <c r="V41" s="22" t="str">
        <f>VLOOKUP(A41,'Agent Sched'!B:K,10,)</f>
        <v>OFF</v>
      </c>
      <c r="W41" s="13" t="str">
        <f t="shared" si="16"/>
        <v>OFF</v>
      </c>
      <c r="X41" s="22" t="str">
        <f>VLOOKUP(A41,'Agent Sched'!B:L,11,)</f>
        <v>OFF</v>
      </c>
      <c r="Y41" s="13" t="str">
        <f t="shared" si="17"/>
        <v>OFF</v>
      </c>
      <c r="Z41" s="22" t="str">
        <f>VLOOKUP(A41,'Agent Sched'!B:M,12,)</f>
        <v>OFF</v>
      </c>
      <c r="AA41" s="13" t="str">
        <f t="shared" si="18"/>
        <v>OFF</v>
      </c>
      <c r="AB41" s="22" t="str">
        <f>VLOOKUP(A41,'Agent Sched'!B:N,13,)</f>
        <v>OFF</v>
      </c>
      <c r="AC41" s="13" t="str">
        <f t="shared" si="19"/>
        <v>OFF</v>
      </c>
      <c r="AD41" s="22" t="str">
        <f>VLOOKUP(A41,'Agent Sched'!B:O,14,)</f>
        <v>OFF</v>
      </c>
      <c r="AE41" s="13" t="str">
        <f t="shared" si="20"/>
        <v>OFF</v>
      </c>
      <c r="AF41" s="24" t="str">
        <f>VLOOKUP(A41,'Agent Sched'!B:P,15,)</f>
        <v>OFF</v>
      </c>
      <c r="AG41" s="13" t="str">
        <f t="shared" si="21"/>
        <v>OFF</v>
      </c>
      <c r="AI41" s="26" t="str">
        <f>VLOOKUP(A41,'Agent Sched'!$B:$Q,16,)</f>
        <v>OFF</v>
      </c>
      <c r="AJ41" s="13" t="str">
        <f t="shared" si="22"/>
        <v>OFF</v>
      </c>
      <c r="AK41" s="22" t="str">
        <f>VLOOKUP(A41,'Agent Sched'!B:R,17,)</f>
        <v>OFF</v>
      </c>
      <c r="AL41" s="13" t="str">
        <f t="shared" si="23"/>
        <v>OFF</v>
      </c>
      <c r="AM41" s="22" t="str">
        <f>VLOOKUP(A41,'Agent Sched'!B:S,18,)</f>
        <v>OFF</v>
      </c>
      <c r="AN41" s="13" t="str">
        <f t="shared" si="24"/>
        <v>OFF</v>
      </c>
      <c r="AO41" s="22" t="str">
        <f>VLOOKUP(A41,'Agent Sched'!B:T,19,)</f>
        <v>OFF</v>
      </c>
      <c r="AP41" s="13" t="str">
        <f t="shared" si="25"/>
        <v>OFF</v>
      </c>
      <c r="AQ41" s="22" t="str">
        <f>VLOOKUP(A41,'Agent Sched'!B:U,20,)</f>
        <v>OFF</v>
      </c>
      <c r="AR41" s="13" t="str">
        <f t="shared" si="26"/>
        <v>OFF</v>
      </c>
      <c r="AS41" s="22" t="str">
        <f>VLOOKUP(A41,'Agent Sched'!B:V,21,)</f>
        <v>OFF</v>
      </c>
      <c r="AT41" s="13" t="str">
        <f t="shared" si="27"/>
        <v>OFF</v>
      </c>
      <c r="AU41" s="24" t="str">
        <f>VLOOKUP(A41,'Agent Sched'!B:W,22,)</f>
        <v>OFF</v>
      </c>
      <c r="AV41" s="13" t="str">
        <f t="shared" si="28"/>
        <v>OFF</v>
      </c>
    </row>
    <row r="42" spans="1:93" ht="15.75" thickBot="1" x14ac:dyDescent="0.3">
      <c r="A42" s="20" t="str">
        <f>IFERROR('Agent Sched'!B43,"-")</f>
        <v>Kyla Tacuyan</v>
      </c>
      <c r="B42" s="12">
        <f>IFERROR(VLOOKUP(A42,'Agent Sched'!$B:$C,2,),"-")</f>
        <v>0.5</v>
      </c>
      <c r="C42" s="13">
        <f t="shared" si="7"/>
        <v>0.875</v>
      </c>
      <c r="D42" s="12" t="str">
        <f>IFERROR(VLOOKUP(A42,'Agent Sched'!B:D,3,),"-")</f>
        <v>OFF</v>
      </c>
      <c r="E42" s="13" t="str">
        <f t="shared" si="8"/>
        <v>OFF</v>
      </c>
      <c r="F42" s="12">
        <f>IFERROR(VLOOKUP(A42,'Agent Sched'!B:E,4,),"-")</f>
        <v>0.5</v>
      </c>
      <c r="G42" s="13">
        <f t="shared" si="9"/>
        <v>0.875</v>
      </c>
      <c r="H42" s="12">
        <f>IFERROR(VLOOKUP(A42,'Agent Sched'!B:F,5,),"-")</f>
        <v>0.5</v>
      </c>
      <c r="I42" s="13">
        <f t="shared" si="10"/>
        <v>0.875</v>
      </c>
      <c r="J42" s="12" t="str">
        <f>IFERROR(VLOOKUP(A42,'Agent Sched'!B:G,6,),"-")</f>
        <v>OFF</v>
      </c>
      <c r="K42" s="13" t="str">
        <f t="shared" si="11"/>
        <v>OFF</v>
      </c>
      <c r="L42" s="12">
        <f>IFERROR(VLOOKUP(A42,'Agent Sched'!B:H,7,),"-")</f>
        <v>0.5</v>
      </c>
      <c r="M42" s="13">
        <f t="shared" si="12"/>
        <v>0.875</v>
      </c>
      <c r="N42" s="21">
        <f>IFERROR(VLOOKUP(A42,'Agent Sched'!B:I,8,),"-")</f>
        <v>0.5</v>
      </c>
      <c r="O42" s="13">
        <f t="shared" si="13"/>
        <v>0.875</v>
      </c>
      <c r="Q42" s="12">
        <f>VLOOKUP(A42,'Agent Sched'!B:Y,24,)</f>
        <v>0.5</v>
      </c>
      <c r="R42" s="13">
        <f t="shared" si="14"/>
        <v>0.875</v>
      </c>
      <c r="T42" s="26">
        <f>VLOOKUP(A42,'Agent Sched'!$B:$J,9,)</f>
        <v>0.5</v>
      </c>
      <c r="U42" s="13">
        <f t="shared" si="15"/>
        <v>0.875</v>
      </c>
      <c r="V42" s="22">
        <f>VLOOKUP(A42,'Agent Sched'!B:K,10,)</f>
        <v>0.5</v>
      </c>
      <c r="W42" s="13">
        <f t="shared" si="16"/>
        <v>0.875</v>
      </c>
      <c r="X42" s="22">
        <f>VLOOKUP(A42,'Agent Sched'!B:L,11,)</f>
        <v>0.5</v>
      </c>
      <c r="Y42" s="13">
        <f t="shared" si="17"/>
        <v>0.875</v>
      </c>
      <c r="Z42" s="22" t="str">
        <f>VLOOKUP(A42,'Agent Sched'!B:M,12,)</f>
        <v>OFF</v>
      </c>
      <c r="AA42" s="13" t="str">
        <f t="shared" si="18"/>
        <v>OFF</v>
      </c>
      <c r="AB42" s="22" t="str">
        <f>VLOOKUP(A42,'Agent Sched'!B:N,13,)</f>
        <v>OFF</v>
      </c>
      <c r="AC42" s="13" t="str">
        <f t="shared" si="19"/>
        <v>OFF</v>
      </c>
      <c r="AD42" s="22">
        <f>VLOOKUP(A42,'Agent Sched'!B:O,14,)</f>
        <v>0.5</v>
      </c>
      <c r="AE42" s="13">
        <f t="shared" si="20"/>
        <v>0.875</v>
      </c>
      <c r="AF42" s="24">
        <f>VLOOKUP(A42,'Agent Sched'!B:P,15,)</f>
        <v>0.5</v>
      </c>
      <c r="AG42" s="13">
        <f t="shared" si="21"/>
        <v>0.875</v>
      </c>
      <c r="AI42" s="26">
        <f>VLOOKUP(A42,'Agent Sched'!$B:$Q,16,)</f>
        <v>0.5</v>
      </c>
      <c r="AJ42" s="13">
        <f t="shared" si="22"/>
        <v>0.875</v>
      </c>
      <c r="AK42" s="22">
        <f>VLOOKUP(A42,'Agent Sched'!B:R,17,)</f>
        <v>0.5</v>
      </c>
      <c r="AL42" s="13">
        <f t="shared" si="23"/>
        <v>0.875</v>
      </c>
      <c r="AM42" s="22">
        <f>VLOOKUP(A42,'Agent Sched'!B:S,18,)</f>
        <v>0.5</v>
      </c>
      <c r="AN42" s="13">
        <f t="shared" si="24"/>
        <v>0.875</v>
      </c>
      <c r="AO42" s="22" t="str">
        <f>VLOOKUP(A42,'Agent Sched'!B:T,19,)</f>
        <v>OFF</v>
      </c>
      <c r="AP42" s="13" t="str">
        <f t="shared" si="25"/>
        <v>OFF</v>
      </c>
      <c r="AQ42" s="22" t="str">
        <f>VLOOKUP(A42,'Agent Sched'!B:U,20,)</f>
        <v>OFF</v>
      </c>
      <c r="AR42" s="13" t="str">
        <f t="shared" si="26"/>
        <v>OFF</v>
      </c>
      <c r="AS42" s="22">
        <f>VLOOKUP(A42,'Agent Sched'!B:V,21,)</f>
        <v>0.5</v>
      </c>
      <c r="AT42" s="13">
        <f t="shared" si="27"/>
        <v>0.875</v>
      </c>
      <c r="AU42" s="24">
        <f>VLOOKUP(A42,'Agent Sched'!B:W,22,)</f>
        <v>0.5</v>
      </c>
      <c r="AV42" s="13">
        <f t="shared" si="28"/>
        <v>0.875</v>
      </c>
    </row>
    <row r="43" spans="1:93" ht="15.75" thickBot="1" x14ac:dyDescent="0.3">
      <c r="A43" s="20" t="str">
        <f>IFERROR('Agent Sched'!B44,"-")</f>
        <v>Albert Cerdaña</v>
      </c>
      <c r="B43" s="12" t="str">
        <f>IFERROR(VLOOKUP(A43,'Agent Sched'!$B:$C,2,),"-")</f>
        <v>OFF</v>
      </c>
      <c r="C43" s="13" t="str">
        <f t="shared" si="7"/>
        <v>OFF</v>
      </c>
      <c r="D43" s="12" t="str">
        <f>IFERROR(VLOOKUP(A43,'Agent Sched'!B:D,3,),"-")</f>
        <v>OFF</v>
      </c>
      <c r="E43" s="13" t="str">
        <f t="shared" si="8"/>
        <v>OFF</v>
      </c>
      <c r="F43" s="12" t="str">
        <f>IFERROR(VLOOKUP(A43,'Agent Sched'!B:E,4,),"-")</f>
        <v>OFF</v>
      </c>
      <c r="G43" s="13" t="str">
        <f t="shared" si="9"/>
        <v>OFF</v>
      </c>
      <c r="H43" s="12" t="str">
        <f>IFERROR(VLOOKUP(A43,'Agent Sched'!B:F,5,),"-")</f>
        <v>OFF</v>
      </c>
      <c r="I43" s="13" t="str">
        <f t="shared" si="10"/>
        <v>OFF</v>
      </c>
      <c r="J43" s="12" t="str">
        <f>IFERROR(VLOOKUP(A43,'Agent Sched'!B:G,6,),"-")</f>
        <v>OFF</v>
      </c>
      <c r="K43" s="13" t="str">
        <f t="shared" si="11"/>
        <v>OFF</v>
      </c>
      <c r="L43" s="12" t="str">
        <f>IFERROR(VLOOKUP(A43,'Agent Sched'!B:H,7,),"-")</f>
        <v>OFF</v>
      </c>
      <c r="M43" s="13" t="str">
        <f t="shared" si="12"/>
        <v>OFF</v>
      </c>
      <c r="N43" s="21" t="str">
        <f>IFERROR(VLOOKUP(A43,'Agent Sched'!B:I,8,),"-")</f>
        <v>OFF</v>
      </c>
      <c r="O43" s="13" t="str">
        <f t="shared" si="13"/>
        <v>OFF</v>
      </c>
      <c r="Q43" s="12" t="str">
        <f>VLOOKUP(A43,'Agent Sched'!B:Y,24,)</f>
        <v>OFF</v>
      </c>
      <c r="R43" s="13" t="str">
        <f t="shared" si="14"/>
        <v>OFF</v>
      </c>
      <c r="T43" s="26" t="str">
        <f>VLOOKUP(A43,'Agent Sched'!$B:$J,9,)</f>
        <v>OFF</v>
      </c>
      <c r="U43" s="13" t="str">
        <f t="shared" si="15"/>
        <v>OFF</v>
      </c>
      <c r="V43" s="22" t="str">
        <f>VLOOKUP(A43,'Agent Sched'!B:K,10,)</f>
        <v>OFF</v>
      </c>
      <c r="W43" s="13" t="str">
        <f t="shared" si="16"/>
        <v>OFF</v>
      </c>
      <c r="X43" s="22" t="str">
        <f>VLOOKUP(A43,'Agent Sched'!B:L,11,)</f>
        <v>OFF</v>
      </c>
      <c r="Y43" s="13" t="str">
        <f t="shared" si="17"/>
        <v>OFF</v>
      </c>
      <c r="Z43" s="22" t="str">
        <f>VLOOKUP(A43,'Agent Sched'!B:M,12,)</f>
        <v>OFF</v>
      </c>
      <c r="AA43" s="13" t="str">
        <f t="shared" si="18"/>
        <v>OFF</v>
      </c>
      <c r="AB43" s="22" t="str">
        <f>VLOOKUP(A43,'Agent Sched'!B:N,13,)</f>
        <v>OFF</v>
      </c>
      <c r="AC43" s="13" t="str">
        <f t="shared" si="19"/>
        <v>OFF</v>
      </c>
      <c r="AD43" s="22" t="str">
        <f>VLOOKUP(A43,'Agent Sched'!B:O,14,)</f>
        <v>OFF</v>
      </c>
      <c r="AE43" s="13" t="str">
        <f t="shared" si="20"/>
        <v>OFF</v>
      </c>
      <c r="AF43" s="24" t="str">
        <f>VLOOKUP(A43,'Agent Sched'!B:P,15,)</f>
        <v>OFF</v>
      </c>
      <c r="AG43" s="13" t="str">
        <f t="shared" si="21"/>
        <v>OFF</v>
      </c>
      <c r="AI43" s="26" t="str">
        <f>VLOOKUP(A43,'Agent Sched'!$B:$Q,16,)</f>
        <v>OFF</v>
      </c>
      <c r="AJ43" s="13" t="str">
        <f t="shared" si="22"/>
        <v>OFF</v>
      </c>
      <c r="AK43" s="22" t="str">
        <f>VLOOKUP(A43,'Agent Sched'!B:R,17,)</f>
        <v>OFF</v>
      </c>
      <c r="AL43" s="13" t="str">
        <f t="shared" si="23"/>
        <v>OFF</v>
      </c>
      <c r="AM43" s="22" t="str">
        <f>VLOOKUP(A43,'Agent Sched'!B:S,18,)</f>
        <v>OFF</v>
      </c>
      <c r="AN43" s="13" t="str">
        <f t="shared" si="24"/>
        <v>OFF</v>
      </c>
      <c r="AO43" s="22" t="str">
        <f>VLOOKUP(A43,'Agent Sched'!B:T,19,)</f>
        <v>OFF</v>
      </c>
      <c r="AP43" s="13" t="str">
        <f t="shared" si="25"/>
        <v>OFF</v>
      </c>
      <c r="AQ43" s="22" t="str">
        <f>VLOOKUP(A43,'Agent Sched'!B:U,20,)</f>
        <v>OFF</v>
      </c>
      <c r="AR43" s="13" t="str">
        <f t="shared" si="26"/>
        <v>OFF</v>
      </c>
      <c r="AS43" s="22" t="str">
        <f>VLOOKUP(A43,'Agent Sched'!B:V,21,)</f>
        <v>OFF</v>
      </c>
      <c r="AT43" s="13" t="str">
        <f t="shared" si="27"/>
        <v>OFF</v>
      </c>
      <c r="AU43" s="24" t="str">
        <f>VLOOKUP(A43,'Agent Sched'!B:W,22,)</f>
        <v>OFF</v>
      </c>
      <c r="AV43" s="13" t="str">
        <f t="shared" si="28"/>
        <v>OFF</v>
      </c>
    </row>
    <row r="44" spans="1:93" ht="15.75" thickBot="1" x14ac:dyDescent="0.3">
      <c r="A44" s="20" t="str">
        <f>IFERROR('Agent Sched'!B45,"-")</f>
        <v>Cassey Mhae Aniversario</v>
      </c>
      <c r="B44" s="12">
        <f>IFERROR(VLOOKUP(A44,'Agent Sched'!$B:$C,2,),"-")</f>
        <v>0.5</v>
      </c>
      <c r="C44" s="13">
        <f t="shared" si="7"/>
        <v>0.875</v>
      </c>
      <c r="D44" s="12" t="str">
        <f>IFERROR(VLOOKUP(A44,'Agent Sched'!B:D,3,),"-")</f>
        <v>OFF</v>
      </c>
      <c r="E44" s="13" t="str">
        <f t="shared" si="8"/>
        <v>OFF</v>
      </c>
      <c r="F44" s="12">
        <f>IFERROR(VLOOKUP(A44,'Agent Sched'!B:E,4,),"-")</f>
        <v>0.5</v>
      </c>
      <c r="G44" s="13">
        <f t="shared" si="9"/>
        <v>0.875</v>
      </c>
      <c r="H44" s="12">
        <f>IFERROR(VLOOKUP(A44,'Agent Sched'!B:F,5,),"-")</f>
        <v>0.5</v>
      </c>
      <c r="I44" s="13">
        <f t="shared" si="10"/>
        <v>0.875</v>
      </c>
      <c r="J44" s="12" t="str">
        <f>IFERROR(VLOOKUP(A44,'Agent Sched'!B:G,6,),"-")</f>
        <v>OFF</v>
      </c>
      <c r="K44" s="13" t="str">
        <f t="shared" si="11"/>
        <v>OFF</v>
      </c>
      <c r="L44" s="12">
        <f>IFERROR(VLOOKUP(A44,'Agent Sched'!B:H,7,),"-")</f>
        <v>0.5</v>
      </c>
      <c r="M44" s="13">
        <f t="shared" si="12"/>
        <v>0.875</v>
      </c>
      <c r="N44" s="21">
        <f>IFERROR(VLOOKUP(A44,'Agent Sched'!B:I,8,),"-")</f>
        <v>0.5</v>
      </c>
      <c r="O44" s="13">
        <f t="shared" si="13"/>
        <v>0.875</v>
      </c>
      <c r="Q44" s="12">
        <f>VLOOKUP(A44,'Agent Sched'!B:Y,24,)</f>
        <v>0.5</v>
      </c>
      <c r="R44" s="13">
        <f t="shared" si="14"/>
        <v>0.875</v>
      </c>
      <c r="T44" s="26">
        <f>VLOOKUP(A44,'Agent Sched'!$B:$J,9,)</f>
        <v>0.5</v>
      </c>
      <c r="U44" s="13">
        <f t="shared" si="15"/>
        <v>0.875</v>
      </c>
      <c r="V44" s="22">
        <f>VLOOKUP(A44,'Agent Sched'!B:K,10,)</f>
        <v>0.5</v>
      </c>
      <c r="W44" s="13">
        <f t="shared" si="16"/>
        <v>0.875</v>
      </c>
      <c r="X44" s="22">
        <f>VLOOKUP(A44,'Agent Sched'!B:L,11,)</f>
        <v>0.5</v>
      </c>
      <c r="Y44" s="13">
        <f t="shared" si="17"/>
        <v>0.875</v>
      </c>
      <c r="Z44" s="22" t="str">
        <f>VLOOKUP(A44,'Agent Sched'!B:M,12,)</f>
        <v>OFF</v>
      </c>
      <c r="AA44" s="13" t="str">
        <f t="shared" si="18"/>
        <v>OFF</v>
      </c>
      <c r="AB44" s="22" t="str">
        <f>VLOOKUP(A44,'Agent Sched'!B:N,13,)</f>
        <v>OFF</v>
      </c>
      <c r="AC44" s="13" t="str">
        <f t="shared" si="19"/>
        <v>OFF</v>
      </c>
      <c r="AD44" s="22">
        <f>VLOOKUP(A44,'Agent Sched'!B:O,14,)</f>
        <v>0.5</v>
      </c>
      <c r="AE44" s="13">
        <f t="shared" si="20"/>
        <v>0.875</v>
      </c>
      <c r="AF44" s="24">
        <f>VLOOKUP(A44,'Agent Sched'!B:P,15,)</f>
        <v>0.5</v>
      </c>
      <c r="AG44" s="13">
        <f t="shared" si="21"/>
        <v>0.875</v>
      </c>
      <c r="AI44" s="26">
        <f>VLOOKUP(A44,'Agent Sched'!$B:$Q,16,)</f>
        <v>0.5</v>
      </c>
      <c r="AJ44" s="13">
        <f t="shared" si="22"/>
        <v>0.875</v>
      </c>
      <c r="AK44" s="22">
        <f>VLOOKUP(A44,'Agent Sched'!B:R,17,)</f>
        <v>0.5</v>
      </c>
      <c r="AL44" s="13">
        <f t="shared" si="23"/>
        <v>0.875</v>
      </c>
      <c r="AM44" s="22">
        <f>VLOOKUP(A44,'Agent Sched'!B:S,18,)</f>
        <v>0.5</v>
      </c>
      <c r="AN44" s="13">
        <f t="shared" si="24"/>
        <v>0.875</v>
      </c>
      <c r="AO44" s="22" t="str">
        <f>VLOOKUP(A44,'Agent Sched'!B:T,19,)</f>
        <v>OFF</v>
      </c>
      <c r="AP44" s="13" t="str">
        <f t="shared" si="25"/>
        <v>OFF</v>
      </c>
      <c r="AQ44" s="22" t="str">
        <f>VLOOKUP(A44,'Agent Sched'!B:U,20,)</f>
        <v>OFF</v>
      </c>
      <c r="AR44" s="13" t="str">
        <f t="shared" si="26"/>
        <v>OFF</v>
      </c>
      <c r="AS44" s="22">
        <f>VLOOKUP(A44,'Agent Sched'!B:V,21,)</f>
        <v>0.5</v>
      </c>
      <c r="AT44" s="13">
        <f t="shared" si="27"/>
        <v>0.875</v>
      </c>
      <c r="AU44" s="24">
        <f>VLOOKUP(A44,'Agent Sched'!B:W,22,)</f>
        <v>0.5</v>
      </c>
      <c r="AV44" s="13">
        <f t="shared" si="28"/>
        <v>0.875</v>
      </c>
    </row>
    <row r="45" spans="1:93" ht="15.75" thickBot="1" x14ac:dyDescent="0.3">
      <c r="A45" s="20" t="str">
        <f>IFERROR('Agent Sched'!B46,"-")</f>
        <v>Ruby Ann Besin</v>
      </c>
      <c r="B45" s="12">
        <f>IFERROR(VLOOKUP(A45,'Agent Sched'!$B:$C,2,),"-")</f>
        <v>0.5</v>
      </c>
      <c r="C45" s="13">
        <f t="shared" si="7"/>
        <v>0.875</v>
      </c>
      <c r="D45" s="12" t="str">
        <f>IFERROR(VLOOKUP(A45,'Agent Sched'!B:D,3,),"-")</f>
        <v>OFF</v>
      </c>
      <c r="E45" s="13" t="str">
        <f t="shared" si="8"/>
        <v>OFF</v>
      </c>
      <c r="F45" s="12">
        <f>IFERROR(VLOOKUP(A45,'Agent Sched'!B:E,4,),"-")</f>
        <v>0.5</v>
      </c>
      <c r="G45" s="13">
        <f t="shared" si="9"/>
        <v>0.875</v>
      </c>
      <c r="H45" s="12">
        <f>IFERROR(VLOOKUP(A45,'Agent Sched'!B:F,5,),"-")</f>
        <v>0.5</v>
      </c>
      <c r="I45" s="13">
        <f t="shared" si="10"/>
        <v>0.875</v>
      </c>
      <c r="J45" s="12" t="str">
        <f>IFERROR(VLOOKUP(A45,'Agent Sched'!B:G,6,),"-")</f>
        <v>OFF</v>
      </c>
      <c r="K45" s="13" t="str">
        <f t="shared" si="11"/>
        <v>OFF</v>
      </c>
      <c r="L45" s="12">
        <f>IFERROR(VLOOKUP(A45,'Agent Sched'!B:H,7,),"-")</f>
        <v>0.5</v>
      </c>
      <c r="M45" s="13">
        <f t="shared" si="12"/>
        <v>0.875</v>
      </c>
      <c r="N45" s="21">
        <f>IFERROR(VLOOKUP(A45,'Agent Sched'!B:I,8,),"-")</f>
        <v>0.5</v>
      </c>
      <c r="O45" s="13">
        <f t="shared" si="13"/>
        <v>0.875</v>
      </c>
      <c r="Q45" s="12">
        <f>VLOOKUP(A45,'Agent Sched'!B:Y,24,)</f>
        <v>0.5</v>
      </c>
      <c r="R45" s="13">
        <f t="shared" si="14"/>
        <v>0.875</v>
      </c>
      <c r="T45" s="26">
        <f>VLOOKUP(A45,'Agent Sched'!$B:$J,9,)</f>
        <v>0.5</v>
      </c>
      <c r="U45" s="13">
        <f t="shared" si="15"/>
        <v>0.875</v>
      </c>
      <c r="V45" s="22">
        <f>VLOOKUP(A45,'Agent Sched'!B:K,10,)</f>
        <v>0.5</v>
      </c>
      <c r="W45" s="13">
        <f t="shared" si="16"/>
        <v>0.875</v>
      </c>
      <c r="X45" s="22">
        <f>VLOOKUP(A45,'Agent Sched'!B:L,11,)</f>
        <v>0.5</v>
      </c>
      <c r="Y45" s="13">
        <f t="shared" si="17"/>
        <v>0.875</v>
      </c>
      <c r="Z45" s="22" t="str">
        <f>VLOOKUP(A45,'Agent Sched'!B:M,12,)</f>
        <v>OFF</v>
      </c>
      <c r="AA45" s="13" t="str">
        <f t="shared" si="18"/>
        <v>OFF</v>
      </c>
      <c r="AB45" s="22" t="str">
        <f>VLOOKUP(A45,'Agent Sched'!B:N,13,)</f>
        <v>OFF</v>
      </c>
      <c r="AC45" s="13" t="str">
        <f t="shared" si="19"/>
        <v>OFF</v>
      </c>
      <c r="AD45" s="22">
        <f>VLOOKUP(A45,'Agent Sched'!B:O,14,)</f>
        <v>0.5</v>
      </c>
      <c r="AE45" s="13">
        <f t="shared" si="20"/>
        <v>0.875</v>
      </c>
      <c r="AF45" s="24">
        <f>VLOOKUP(A45,'Agent Sched'!B:P,15,)</f>
        <v>0.5</v>
      </c>
      <c r="AG45" s="13">
        <f t="shared" si="21"/>
        <v>0.875</v>
      </c>
      <c r="AI45" s="26">
        <f>VLOOKUP(A45,'Agent Sched'!$B:$Q,16,)</f>
        <v>0.5</v>
      </c>
      <c r="AJ45" s="13">
        <f t="shared" si="22"/>
        <v>0.875</v>
      </c>
      <c r="AK45" s="22">
        <f>VLOOKUP(A45,'Agent Sched'!B:R,17,)</f>
        <v>0.5</v>
      </c>
      <c r="AL45" s="13">
        <f t="shared" si="23"/>
        <v>0.875</v>
      </c>
      <c r="AM45" s="22">
        <f>VLOOKUP(A45,'Agent Sched'!B:S,18,)</f>
        <v>0.5</v>
      </c>
      <c r="AN45" s="13">
        <f t="shared" si="24"/>
        <v>0.875</v>
      </c>
      <c r="AO45" s="22" t="str">
        <f>VLOOKUP(A45,'Agent Sched'!B:T,19,)</f>
        <v>OFF</v>
      </c>
      <c r="AP45" s="13" t="str">
        <f t="shared" si="25"/>
        <v>OFF</v>
      </c>
      <c r="AQ45" s="22" t="str">
        <f>VLOOKUP(A45,'Agent Sched'!B:U,20,)</f>
        <v>OFF</v>
      </c>
      <c r="AR45" s="13" t="str">
        <f t="shared" si="26"/>
        <v>OFF</v>
      </c>
      <c r="AS45" s="22">
        <f>VLOOKUP(A45,'Agent Sched'!B:V,21,)</f>
        <v>0.5</v>
      </c>
      <c r="AT45" s="13">
        <f t="shared" si="27"/>
        <v>0.875</v>
      </c>
      <c r="AU45" s="24">
        <f>VLOOKUP(A45,'Agent Sched'!B:W,22,)</f>
        <v>0.5</v>
      </c>
      <c r="AV45" s="13">
        <f t="shared" si="28"/>
        <v>0.875</v>
      </c>
    </row>
    <row r="46" spans="1:93" ht="15.75" thickBot="1" x14ac:dyDescent="0.3">
      <c r="A46" s="20" t="str">
        <f>IFERROR('Agent Sched'!B47,"-")</f>
        <v>Yunus Ali Sangki</v>
      </c>
      <c r="B46" s="12">
        <f>IFERROR(VLOOKUP(A46,'Agent Sched'!$B:$C,2,),"-")</f>
        <v>0.5</v>
      </c>
      <c r="C46" s="13">
        <f t="shared" si="7"/>
        <v>0.875</v>
      </c>
      <c r="D46" s="12" t="str">
        <f>IFERROR(VLOOKUP(A46,'Agent Sched'!B:D,3,),"-")</f>
        <v>OFF</v>
      </c>
      <c r="E46" s="13" t="str">
        <f t="shared" si="8"/>
        <v>OFF</v>
      </c>
      <c r="F46" s="12">
        <f>IFERROR(VLOOKUP(A46,'Agent Sched'!B:E,4,),"-")</f>
        <v>0.5</v>
      </c>
      <c r="G46" s="13">
        <f t="shared" si="9"/>
        <v>0.875</v>
      </c>
      <c r="H46" s="12">
        <f>IFERROR(VLOOKUP(A46,'Agent Sched'!B:F,5,),"-")</f>
        <v>0.5</v>
      </c>
      <c r="I46" s="13">
        <f t="shared" si="10"/>
        <v>0.875</v>
      </c>
      <c r="J46" s="12" t="str">
        <f>IFERROR(VLOOKUP(A46,'Agent Sched'!B:G,6,),"-")</f>
        <v>OFF</v>
      </c>
      <c r="K46" s="13" t="str">
        <f t="shared" si="11"/>
        <v>OFF</v>
      </c>
      <c r="L46" s="12">
        <f>IFERROR(VLOOKUP(A46,'Agent Sched'!B:H,7,),"-")</f>
        <v>0.5</v>
      </c>
      <c r="M46" s="13">
        <f t="shared" si="12"/>
        <v>0.875</v>
      </c>
      <c r="N46" s="21">
        <f>IFERROR(VLOOKUP(A46,'Agent Sched'!B:I,8,),"-")</f>
        <v>0.5</v>
      </c>
      <c r="O46" s="13">
        <f t="shared" si="13"/>
        <v>0.875</v>
      </c>
      <c r="Q46" s="12">
        <f>VLOOKUP(A46,'Agent Sched'!B:Y,24,)</f>
        <v>0.5</v>
      </c>
      <c r="R46" s="13">
        <f t="shared" si="14"/>
        <v>0.875</v>
      </c>
      <c r="T46" s="26">
        <f>VLOOKUP(A46,'Agent Sched'!$B:$J,9,)</f>
        <v>0.5</v>
      </c>
      <c r="U46" s="13">
        <f t="shared" si="15"/>
        <v>0.875</v>
      </c>
      <c r="V46" s="22">
        <f>VLOOKUP(A46,'Agent Sched'!B:K,10,)</f>
        <v>0.5</v>
      </c>
      <c r="W46" s="13">
        <f t="shared" si="16"/>
        <v>0.875</v>
      </c>
      <c r="X46" s="22">
        <f>VLOOKUP(A46,'Agent Sched'!B:L,11,)</f>
        <v>0.5</v>
      </c>
      <c r="Y46" s="13">
        <f t="shared" si="17"/>
        <v>0.875</v>
      </c>
      <c r="Z46" s="22" t="str">
        <f>VLOOKUP(A46,'Agent Sched'!B:M,12,)</f>
        <v>OFF</v>
      </c>
      <c r="AA46" s="13" t="str">
        <f t="shared" si="18"/>
        <v>OFF</v>
      </c>
      <c r="AB46" s="22" t="str">
        <f>VLOOKUP(A46,'Agent Sched'!B:N,13,)</f>
        <v>OFF</v>
      </c>
      <c r="AC46" s="13" t="str">
        <f t="shared" si="19"/>
        <v>OFF</v>
      </c>
      <c r="AD46" s="22">
        <f>VLOOKUP(A46,'Agent Sched'!B:O,14,)</f>
        <v>0.5</v>
      </c>
      <c r="AE46" s="13">
        <f t="shared" si="20"/>
        <v>0.875</v>
      </c>
      <c r="AF46" s="24">
        <f>VLOOKUP(A46,'Agent Sched'!B:P,15,)</f>
        <v>0.5</v>
      </c>
      <c r="AG46" s="13">
        <f t="shared" si="21"/>
        <v>0.875</v>
      </c>
      <c r="AI46" s="26">
        <f>VLOOKUP(A46,'Agent Sched'!$B:$Q,16,)</f>
        <v>0.5</v>
      </c>
      <c r="AJ46" s="13">
        <f t="shared" si="22"/>
        <v>0.875</v>
      </c>
      <c r="AK46" s="22">
        <f>VLOOKUP(A46,'Agent Sched'!B:R,17,)</f>
        <v>0.5</v>
      </c>
      <c r="AL46" s="13">
        <f t="shared" si="23"/>
        <v>0.875</v>
      </c>
      <c r="AM46" s="22">
        <f>VLOOKUP(A46,'Agent Sched'!B:S,18,)</f>
        <v>0.5</v>
      </c>
      <c r="AN46" s="13">
        <f t="shared" si="24"/>
        <v>0.875</v>
      </c>
      <c r="AO46" s="22" t="str">
        <f>VLOOKUP(A46,'Agent Sched'!B:T,19,)</f>
        <v>OFF</v>
      </c>
      <c r="AP46" s="13" t="str">
        <f t="shared" si="25"/>
        <v>OFF</v>
      </c>
      <c r="AQ46" s="22" t="str">
        <f>VLOOKUP(A46,'Agent Sched'!B:U,20,)</f>
        <v>OFF</v>
      </c>
      <c r="AR46" s="13" t="str">
        <f t="shared" si="26"/>
        <v>OFF</v>
      </c>
      <c r="AS46" s="22">
        <f>VLOOKUP(A46,'Agent Sched'!B:V,21,)</f>
        <v>0.5</v>
      </c>
      <c r="AT46" s="13">
        <f t="shared" si="27"/>
        <v>0.875</v>
      </c>
      <c r="AU46" s="24">
        <f>VLOOKUP(A46,'Agent Sched'!B:W,22,)</f>
        <v>0.5</v>
      </c>
      <c r="AV46" s="13">
        <f t="shared" si="28"/>
        <v>0.875</v>
      </c>
    </row>
    <row r="47" spans="1:93" ht="15.75" thickBot="1" x14ac:dyDescent="0.3">
      <c r="A47" s="20" t="str">
        <f>IFERROR('Agent Sched'!B48,"-")</f>
        <v>Khervin Campos</v>
      </c>
      <c r="B47" s="12">
        <f>IFERROR(VLOOKUP(A47,'Agent Sched'!$B:$C,2,),"-")</f>
        <v>0.5</v>
      </c>
      <c r="C47" s="13">
        <f t="shared" si="7"/>
        <v>0.875</v>
      </c>
      <c r="D47" s="12" t="str">
        <f>IFERROR(VLOOKUP(A47,'Agent Sched'!B:D,3,),"-")</f>
        <v>OFF</v>
      </c>
      <c r="E47" s="13" t="str">
        <f t="shared" si="8"/>
        <v>OFF</v>
      </c>
      <c r="F47" s="12">
        <f>IFERROR(VLOOKUP(A47,'Agent Sched'!B:E,4,),"-")</f>
        <v>0.5</v>
      </c>
      <c r="G47" s="13">
        <f t="shared" si="9"/>
        <v>0.875</v>
      </c>
      <c r="H47" s="12">
        <f>IFERROR(VLOOKUP(A47,'Agent Sched'!B:F,5,),"-")</f>
        <v>0.5</v>
      </c>
      <c r="I47" s="13">
        <f t="shared" si="10"/>
        <v>0.875</v>
      </c>
      <c r="J47" s="12" t="str">
        <f>IFERROR(VLOOKUP(A47,'Agent Sched'!B:G,6,),"-")</f>
        <v>OFF</v>
      </c>
      <c r="K47" s="13" t="str">
        <f t="shared" si="11"/>
        <v>OFF</v>
      </c>
      <c r="L47" s="12">
        <f>IFERROR(VLOOKUP(A47,'Agent Sched'!B:H,7,),"-")</f>
        <v>0.5</v>
      </c>
      <c r="M47" s="13">
        <f t="shared" si="12"/>
        <v>0.875</v>
      </c>
      <c r="N47" s="21">
        <f>IFERROR(VLOOKUP(A47,'Agent Sched'!B:I,8,),"-")</f>
        <v>0.5</v>
      </c>
      <c r="O47" s="13">
        <f t="shared" si="13"/>
        <v>0.875</v>
      </c>
      <c r="Q47" s="12">
        <f>VLOOKUP(A47,'Agent Sched'!B:Y,24,)</f>
        <v>0.5</v>
      </c>
      <c r="R47" s="13">
        <f t="shared" si="14"/>
        <v>0.875</v>
      </c>
      <c r="T47" s="26">
        <f>VLOOKUP(A47,'Agent Sched'!$B:$J,9,)</f>
        <v>0.5</v>
      </c>
      <c r="U47" s="13">
        <f t="shared" si="15"/>
        <v>0.875</v>
      </c>
      <c r="V47" s="22">
        <f>VLOOKUP(A47,'Agent Sched'!B:K,10,)</f>
        <v>0.5</v>
      </c>
      <c r="W47" s="13">
        <f t="shared" si="16"/>
        <v>0.875</v>
      </c>
      <c r="X47" s="22">
        <f>VLOOKUP(A47,'Agent Sched'!B:L,11,)</f>
        <v>0.5</v>
      </c>
      <c r="Y47" s="13">
        <f t="shared" si="17"/>
        <v>0.875</v>
      </c>
      <c r="Z47" s="22" t="str">
        <f>VLOOKUP(A47,'Agent Sched'!B:M,12,)</f>
        <v>OFF</v>
      </c>
      <c r="AA47" s="13" t="str">
        <f t="shared" si="18"/>
        <v>OFF</v>
      </c>
      <c r="AB47" s="22" t="str">
        <f>VLOOKUP(A47,'Agent Sched'!B:N,13,)</f>
        <v>OFF</v>
      </c>
      <c r="AC47" s="13" t="str">
        <f t="shared" si="19"/>
        <v>OFF</v>
      </c>
      <c r="AD47" s="22">
        <f>VLOOKUP(A47,'Agent Sched'!B:O,14,)</f>
        <v>0.5</v>
      </c>
      <c r="AE47" s="13">
        <f t="shared" si="20"/>
        <v>0.875</v>
      </c>
      <c r="AF47" s="24">
        <f>VLOOKUP(A47,'Agent Sched'!B:P,15,)</f>
        <v>0.5</v>
      </c>
      <c r="AG47" s="13">
        <f t="shared" si="21"/>
        <v>0.875</v>
      </c>
      <c r="AI47" s="26">
        <f>VLOOKUP(A47,'Agent Sched'!$B:$Q,16,)</f>
        <v>0.5</v>
      </c>
      <c r="AJ47" s="13">
        <f t="shared" si="22"/>
        <v>0.875</v>
      </c>
      <c r="AK47" s="22">
        <f>VLOOKUP(A47,'Agent Sched'!B:R,17,)</f>
        <v>0.5</v>
      </c>
      <c r="AL47" s="13">
        <f t="shared" si="23"/>
        <v>0.875</v>
      </c>
      <c r="AM47" s="22">
        <f>VLOOKUP(A47,'Agent Sched'!B:S,18,)</f>
        <v>0.5</v>
      </c>
      <c r="AN47" s="13">
        <f t="shared" si="24"/>
        <v>0.875</v>
      </c>
      <c r="AO47" s="22" t="str">
        <f>VLOOKUP(A47,'Agent Sched'!B:T,19,)</f>
        <v>OFF</v>
      </c>
      <c r="AP47" s="13" t="str">
        <f t="shared" si="25"/>
        <v>OFF</v>
      </c>
      <c r="AQ47" s="22" t="str">
        <f>VLOOKUP(A47,'Agent Sched'!B:U,20,)</f>
        <v>OFF</v>
      </c>
      <c r="AR47" s="13" t="str">
        <f t="shared" si="26"/>
        <v>OFF</v>
      </c>
      <c r="AS47" s="22">
        <f>VLOOKUP(A47,'Agent Sched'!B:V,21,)</f>
        <v>0.5</v>
      </c>
      <c r="AT47" s="13">
        <f t="shared" si="27"/>
        <v>0.875</v>
      </c>
      <c r="AU47" s="24">
        <f>VLOOKUP(A47,'Agent Sched'!B:W,22,)</f>
        <v>0.5</v>
      </c>
      <c r="AV47" s="13">
        <f t="shared" si="28"/>
        <v>0.875</v>
      </c>
    </row>
    <row r="48" spans="1:93" ht="15.75" thickBot="1" x14ac:dyDescent="0.3">
      <c r="A48" s="20" t="str">
        <f>IFERROR('Agent Sched'!B49,"-")</f>
        <v>Catherine Mae Alingasa</v>
      </c>
      <c r="B48" s="12">
        <f>IFERROR(VLOOKUP(A48,'Agent Sched'!$B:$C,2,),"-")</f>
        <v>0.5</v>
      </c>
      <c r="C48" s="13">
        <f t="shared" si="7"/>
        <v>0.875</v>
      </c>
      <c r="D48" s="12" t="str">
        <f>IFERROR(VLOOKUP(A48,'Agent Sched'!B:D,3,),"-")</f>
        <v>OFF</v>
      </c>
      <c r="E48" s="13" t="str">
        <f t="shared" si="8"/>
        <v>OFF</v>
      </c>
      <c r="F48" s="12">
        <f>IFERROR(VLOOKUP(A48,'Agent Sched'!B:E,4,),"-")</f>
        <v>0.5</v>
      </c>
      <c r="G48" s="13">
        <f t="shared" si="9"/>
        <v>0.875</v>
      </c>
      <c r="H48" s="12">
        <f>IFERROR(VLOOKUP(A48,'Agent Sched'!B:F,5,),"-")</f>
        <v>0.5</v>
      </c>
      <c r="I48" s="13">
        <f t="shared" si="10"/>
        <v>0.875</v>
      </c>
      <c r="J48" s="12" t="str">
        <f>IFERROR(VLOOKUP(A48,'Agent Sched'!B:G,6,),"-")</f>
        <v>OFF</v>
      </c>
      <c r="K48" s="13" t="str">
        <f t="shared" si="11"/>
        <v>OFF</v>
      </c>
      <c r="L48" s="12">
        <f>IFERROR(VLOOKUP(A48,'Agent Sched'!B:H,7,),"-")</f>
        <v>0.5</v>
      </c>
      <c r="M48" s="13">
        <f t="shared" si="12"/>
        <v>0.875</v>
      </c>
      <c r="N48" s="21">
        <f>IFERROR(VLOOKUP(A48,'Agent Sched'!B:I,8,),"-")</f>
        <v>0.5</v>
      </c>
      <c r="O48" s="13">
        <f t="shared" si="13"/>
        <v>0.875</v>
      </c>
      <c r="Q48" s="12">
        <f>VLOOKUP(A48,'Agent Sched'!B:Y,24,)</f>
        <v>0.5</v>
      </c>
      <c r="R48" s="13">
        <f t="shared" si="14"/>
        <v>0.875</v>
      </c>
      <c r="T48" s="26">
        <f>VLOOKUP(A48,'Agent Sched'!$B:$J,9,)</f>
        <v>0.5</v>
      </c>
      <c r="U48" s="13">
        <f t="shared" si="15"/>
        <v>0.875</v>
      </c>
      <c r="V48" s="22">
        <f>VLOOKUP(A48,'Agent Sched'!B:K,10,)</f>
        <v>0.5</v>
      </c>
      <c r="W48" s="13">
        <f t="shared" si="16"/>
        <v>0.875</v>
      </c>
      <c r="X48" s="22">
        <f>VLOOKUP(A48,'Agent Sched'!B:L,11,)</f>
        <v>0.5</v>
      </c>
      <c r="Y48" s="13">
        <f t="shared" si="17"/>
        <v>0.875</v>
      </c>
      <c r="Z48" s="22" t="str">
        <f>VLOOKUP(A48,'Agent Sched'!B:M,12,)</f>
        <v>OFF</v>
      </c>
      <c r="AA48" s="13" t="str">
        <f t="shared" si="18"/>
        <v>OFF</v>
      </c>
      <c r="AB48" s="22" t="str">
        <f>VLOOKUP(A48,'Agent Sched'!B:N,13,)</f>
        <v>OFF</v>
      </c>
      <c r="AC48" s="13" t="str">
        <f t="shared" si="19"/>
        <v>OFF</v>
      </c>
      <c r="AD48" s="22">
        <f>VLOOKUP(A48,'Agent Sched'!B:O,14,)</f>
        <v>0.5</v>
      </c>
      <c r="AE48" s="13">
        <f t="shared" si="20"/>
        <v>0.875</v>
      </c>
      <c r="AF48" s="24">
        <f>VLOOKUP(A48,'Agent Sched'!B:P,15,)</f>
        <v>0.5</v>
      </c>
      <c r="AG48" s="13">
        <f t="shared" si="21"/>
        <v>0.875</v>
      </c>
      <c r="AI48" s="26">
        <f>VLOOKUP(A48,'Agent Sched'!$B:$Q,16,)</f>
        <v>0.5</v>
      </c>
      <c r="AJ48" s="13">
        <f t="shared" si="22"/>
        <v>0.875</v>
      </c>
      <c r="AK48" s="22">
        <f>VLOOKUP(A48,'Agent Sched'!B:R,17,)</f>
        <v>0.5</v>
      </c>
      <c r="AL48" s="13">
        <f t="shared" si="23"/>
        <v>0.875</v>
      </c>
      <c r="AM48" s="22">
        <f>VLOOKUP(A48,'Agent Sched'!B:S,18,)</f>
        <v>0.5</v>
      </c>
      <c r="AN48" s="13">
        <f t="shared" si="24"/>
        <v>0.875</v>
      </c>
      <c r="AO48" s="22" t="str">
        <f>VLOOKUP(A48,'Agent Sched'!B:T,19,)</f>
        <v>OFF</v>
      </c>
      <c r="AP48" s="13" t="str">
        <f t="shared" si="25"/>
        <v>OFF</v>
      </c>
      <c r="AQ48" s="22" t="str">
        <f>VLOOKUP(A48,'Agent Sched'!B:U,20,)</f>
        <v>OFF</v>
      </c>
      <c r="AR48" s="13" t="str">
        <f t="shared" si="26"/>
        <v>OFF</v>
      </c>
      <c r="AS48" s="22">
        <f>VLOOKUP(A48,'Agent Sched'!B:V,21,)</f>
        <v>0.5</v>
      </c>
      <c r="AT48" s="13">
        <f t="shared" si="27"/>
        <v>0.875</v>
      </c>
      <c r="AU48" s="24">
        <f>VLOOKUP(A48,'Agent Sched'!B:W,22,)</f>
        <v>0.5</v>
      </c>
      <c r="AV48" s="13">
        <f t="shared" si="28"/>
        <v>0.875</v>
      </c>
    </row>
    <row r="49" spans="1:48" ht="15.75" thickBot="1" x14ac:dyDescent="0.3">
      <c r="A49" s="20" t="str">
        <f>IFERROR('Agent Sched'!B50,"-")</f>
        <v>Anna Marie Netura</v>
      </c>
      <c r="B49" s="12">
        <f>IFERROR(VLOOKUP(A49,'Agent Sched'!$B:$C,2,),"-")</f>
        <v>0.5</v>
      </c>
      <c r="C49" s="13">
        <f t="shared" si="7"/>
        <v>0.875</v>
      </c>
      <c r="D49" s="12" t="str">
        <f>IFERROR(VLOOKUP(A49,'Agent Sched'!B:D,3,),"-")</f>
        <v>OFF</v>
      </c>
      <c r="E49" s="13" t="str">
        <f t="shared" si="8"/>
        <v>OFF</v>
      </c>
      <c r="F49" s="12">
        <f>IFERROR(VLOOKUP(A49,'Agent Sched'!B:E,4,),"-")</f>
        <v>0.5</v>
      </c>
      <c r="G49" s="13">
        <f t="shared" si="9"/>
        <v>0.875</v>
      </c>
      <c r="H49" s="12">
        <f>IFERROR(VLOOKUP(A49,'Agent Sched'!B:F,5,),"-")</f>
        <v>0.5</v>
      </c>
      <c r="I49" s="13">
        <f t="shared" si="10"/>
        <v>0.875</v>
      </c>
      <c r="J49" s="12" t="str">
        <f>IFERROR(VLOOKUP(A49,'Agent Sched'!B:G,6,),"-")</f>
        <v>OFF</v>
      </c>
      <c r="K49" s="13" t="str">
        <f t="shared" si="11"/>
        <v>OFF</v>
      </c>
      <c r="L49" s="12">
        <f>IFERROR(VLOOKUP(A49,'Agent Sched'!B:H,7,),"-")</f>
        <v>0.5</v>
      </c>
      <c r="M49" s="13">
        <f t="shared" si="12"/>
        <v>0.875</v>
      </c>
      <c r="N49" s="21">
        <f>IFERROR(VLOOKUP(A49,'Agent Sched'!B:I,8,),"-")</f>
        <v>0.5</v>
      </c>
      <c r="O49" s="13">
        <f t="shared" si="13"/>
        <v>0.875</v>
      </c>
      <c r="Q49" s="12">
        <f>VLOOKUP(A49,'Agent Sched'!B:Y,24,)</f>
        <v>0.5</v>
      </c>
      <c r="R49" s="13">
        <f t="shared" si="14"/>
        <v>0.875</v>
      </c>
      <c r="T49" s="26">
        <f>VLOOKUP(A49,'Agent Sched'!$B:$J,9,)</f>
        <v>0.5</v>
      </c>
      <c r="U49" s="13">
        <f t="shared" si="15"/>
        <v>0.875</v>
      </c>
      <c r="V49" s="22">
        <f>VLOOKUP(A49,'Agent Sched'!B:K,10,)</f>
        <v>0.5</v>
      </c>
      <c r="W49" s="13">
        <f t="shared" si="16"/>
        <v>0.875</v>
      </c>
      <c r="X49" s="22">
        <f>VLOOKUP(A49,'Agent Sched'!B:L,11,)</f>
        <v>0.5</v>
      </c>
      <c r="Y49" s="13">
        <f t="shared" si="17"/>
        <v>0.875</v>
      </c>
      <c r="Z49" s="22" t="str">
        <f>VLOOKUP(A49,'Agent Sched'!B:M,12,)</f>
        <v>OFF</v>
      </c>
      <c r="AA49" s="13" t="str">
        <f t="shared" si="18"/>
        <v>OFF</v>
      </c>
      <c r="AB49" s="22" t="str">
        <f>VLOOKUP(A49,'Agent Sched'!B:N,13,)</f>
        <v>OFF</v>
      </c>
      <c r="AC49" s="13" t="str">
        <f t="shared" si="19"/>
        <v>OFF</v>
      </c>
      <c r="AD49" s="22">
        <f>VLOOKUP(A49,'Agent Sched'!B:O,14,)</f>
        <v>0.5</v>
      </c>
      <c r="AE49" s="13">
        <f t="shared" si="20"/>
        <v>0.875</v>
      </c>
      <c r="AF49" s="24">
        <f>VLOOKUP(A49,'Agent Sched'!B:P,15,)</f>
        <v>0.5</v>
      </c>
      <c r="AG49" s="13">
        <f t="shared" si="21"/>
        <v>0.875</v>
      </c>
      <c r="AI49" s="26">
        <f>VLOOKUP(A49,'Agent Sched'!$B:$Q,16,)</f>
        <v>0.5</v>
      </c>
      <c r="AJ49" s="13">
        <f t="shared" si="22"/>
        <v>0.875</v>
      </c>
      <c r="AK49" s="22">
        <f>VLOOKUP(A49,'Agent Sched'!B:R,17,)</f>
        <v>0.5</v>
      </c>
      <c r="AL49" s="13">
        <f t="shared" si="23"/>
        <v>0.875</v>
      </c>
      <c r="AM49" s="22">
        <f>VLOOKUP(A49,'Agent Sched'!B:S,18,)</f>
        <v>0.5</v>
      </c>
      <c r="AN49" s="13">
        <f t="shared" si="24"/>
        <v>0.875</v>
      </c>
      <c r="AO49" s="22" t="str">
        <f>VLOOKUP(A49,'Agent Sched'!B:T,19,)</f>
        <v>OFF</v>
      </c>
      <c r="AP49" s="13" t="str">
        <f t="shared" si="25"/>
        <v>OFF</v>
      </c>
      <c r="AQ49" s="22" t="str">
        <f>VLOOKUP(A49,'Agent Sched'!B:U,20,)</f>
        <v>OFF</v>
      </c>
      <c r="AR49" s="13" t="str">
        <f t="shared" si="26"/>
        <v>OFF</v>
      </c>
      <c r="AS49" s="22">
        <f>VLOOKUP(A49,'Agent Sched'!B:V,21,)</f>
        <v>0.5</v>
      </c>
      <c r="AT49" s="13">
        <f t="shared" si="27"/>
        <v>0.875</v>
      </c>
      <c r="AU49" s="24">
        <f>VLOOKUP(A49,'Agent Sched'!B:W,22,)</f>
        <v>0.5</v>
      </c>
      <c r="AV49" s="13">
        <f t="shared" si="28"/>
        <v>0.875</v>
      </c>
    </row>
    <row r="50" spans="1:48" ht="15.75" thickBot="1" x14ac:dyDescent="0.3">
      <c r="A50" s="20" t="str">
        <f>IFERROR('Agent Sched'!B51,"-")</f>
        <v>Mary Joy Posadas</v>
      </c>
      <c r="B50" s="12">
        <f>IFERROR(VLOOKUP(A50,'Agent Sched'!$B:$C,2,),"-")</f>
        <v>0.5</v>
      </c>
      <c r="C50" s="13">
        <f t="shared" si="7"/>
        <v>0.875</v>
      </c>
      <c r="D50" s="12" t="str">
        <f>IFERROR(VLOOKUP(A50,'Agent Sched'!B:D,3,),"-")</f>
        <v>OFF</v>
      </c>
      <c r="E50" s="13" t="str">
        <f t="shared" si="8"/>
        <v>OFF</v>
      </c>
      <c r="F50" s="12">
        <f>IFERROR(VLOOKUP(A50,'Agent Sched'!B:E,4,),"-")</f>
        <v>0.5</v>
      </c>
      <c r="G50" s="13">
        <f t="shared" si="9"/>
        <v>0.875</v>
      </c>
      <c r="H50" s="12">
        <f>IFERROR(VLOOKUP(A50,'Agent Sched'!B:F,5,),"-")</f>
        <v>0.5</v>
      </c>
      <c r="I50" s="13">
        <f t="shared" si="10"/>
        <v>0.875</v>
      </c>
      <c r="J50" s="12" t="str">
        <f>IFERROR(VLOOKUP(A50,'Agent Sched'!B:G,6,),"-")</f>
        <v>OFF</v>
      </c>
      <c r="K50" s="13" t="str">
        <f t="shared" si="11"/>
        <v>OFF</v>
      </c>
      <c r="L50" s="12">
        <f>IFERROR(VLOOKUP(A50,'Agent Sched'!B:H,7,),"-")</f>
        <v>0.5</v>
      </c>
      <c r="M50" s="13">
        <f t="shared" si="12"/>
        <v>0.875</v>
      </c>
      <c r="N50" s="21">
        <f>IFERROR(VLOOKUP(A50,'Agent Sched'!B:I,8,),"-")</f>
        <v>0.5</v>
      </c>
      <c r="O50" s="13">
        <f t="shared" si="13"/>
        <v>0.875</v>
      </c>
      <c r="Q50" s="12">
        <f>VLOOKUP(A50,'Agent Sched'!B:Y,24,)</f>
        <v>0.5</v>
      </c>
      <c r="R50" s="13">
        <f t="shared" si="14"/>
        <v>0.875</v>
      </c>
      <c r="T50" s="26">
        <f>VLOOKUP(A50,'Agent Sched'!$B:$J,9,)</f>
        <v>0.5</v>
      </c>
      <c r="U50" s="13">
        <f t="shared" si="15"/>
        <v>0.875</v>
      </c>
      <c r="V50" s="22">
        <f>VLOOKUP(A50,'Agent Sched'!B:K,10,)</f>
        <v>0.5</v>
      </c>
      <c r="W50" s="13">
        <f t="shared" si="16"/>
        <v>0.875</v>
      </c>
      <c r="X50" s="22">
        <f>VLOOKUP(A50,'Agent Sched'!B:L,11,)</f>
        <v>0.5</v>
      </c>
      <c r="Y50" s="13">
        <f t="shared" si="17"/>
        <v>0.875</v>
      </c>
      <c r="Z50" s="22" t="str">
        <f>VLOOKUP(A50,'Agent Sched'!B:M,12,)</f>
        <v>OFF</v>
      </c>
      <c r="AA50" s="13" t="str">
        <f t="shared" si="18"/>
        <v>OFF</v>
      </c>
      <c r="AB50" s="22" t="str">
        <f>VLOOKUP(A50,'Agent Sched'!B:N,13,)</f>
        <v>OFF</v>
      </c>
      <c r="AC50" s="13" t="str">
        <f t="shared" si="19"/>
        <v>OFF</v>
      </c>
      <c r="AD50" s="22">
        <f>VLOOKUP(A50,'Agent Sched'!B:O,14,)</f>
        <v>0.5</v>
      </c>
      <c r="AE50" s="13">
        <f t="shared" si="20"/>
        <v>0.875</v>
      </c>
      <c r="AF50" s="24">
        <f>VLOOKUP(A50,'Agent Sched'!B:P,15,)</f>
        <v>0.5</v>
      </c>
      <c r="AG50" s="13">
        <f t="shared" si="21"/>
        <v>0.875</v>
      </c>
      <c r="AI50" s="26">
        <f>VLOOKUP(A50,'Agent Sched'!$B:$Q,16,)</f>
        <v>0.5</v>
      </c>
      <c r="AJ50" s="13">
        <f t="shared" si="22"/>
        <v>0.875</v>
      </c>
      <c r="AK50" s="22">
        <f>VLOOKUP(A50,'Agent Sched'!B:R,17,)</f>
        <v>0.5</v>
      </c>
      <c r="AL50" s="13">
        <f t="shared" si="23"/>
        <v>0.875</v>
      </c>
      <c r="AM50" s="22">
        <f>VLOOKUP(A50,'Agent Sched'!B:S,18,)</f>
        <v>0.5</v>
      </c>
      <c r="AN50" s="13">
        <f t="shared" si="24"/>
        <v>0.875</v>
      </c>
      <c r="AO50" s="22" t="str">
        <f>VLOOKUP(A50,'Agent Sched'!B:T,19,)</f>
        <v>OFF</v>
      </c>
      <c r="AP50" s="13" t="str">
        <f t="shared" si="25"/>
        <v>OFF</v>
      </c>
      <c r="AQ50" s="22" t="str">
        <f>VLOOKUP(A50,'Agent Sched'!B:U,20,)</f>
        <v>OFF</v>
      </c>
      <c r="AR50" s="13" t="str">
        <f t="shared" si="26"/>
        <v>OFF</v>
      </c>
      <c r="AS50" s="22">
        <f>VLOOKUP(A50,'Agent Sched'!B:V,21,)</f>
        <v>0.5</v>
      </c>
      <c r="AT50" s="13">
        <f t="shared" si="27"/>
        <v>0.875</v>
      </c>
      <c r="AU50" s="24">
        <f>VLOOKUP(A50,'Agent Sched'!B:W,22,)</f>
        <v>0.5</v>
      </c>
      <c r="AV50" s="13">
        <f t="shared" si="28"/>
        <v>0.875</v>
      </c>
    </row>
    <row r="51" spans="1:48" ht="15.75" thickBot="1" x14ac:dyDescent="0.3">
      <c r="A51" s="20" t="str">
        <f>IFERROR('Agent Sched'!B52,"-")</f>
        <v>Earl Jesri Siva</v>
      </c>
      <c r="B51" s="12">
        <f>IFERROR(VLOOKUP(A51,'Agent Sched'!$B:$C,2,),"-")</f>
        <v>0.5</v>
      </c>
      <c r="C51" s="13">
        <f t="shared" si="7"/>
        <v>0.875</v>
      </c>
      <c r="D51" s="12" t="str">
        <f>IFERROR(VLOOKUP(A51,'Agent Sched'!B:D,3,),"-")</f>
        <v>OFF</v>
      </c>
      <c r="E51" s="13" t="str">
        <f t="shared" si="8"/>
        <v>OFF</v>
      </c>
      <c r="F51" s="12">
        <f>IFERROR(VLOOKUP(A51,'Agent Sched'!B:E,4,),"-")</f>
        <v>0.5</v>
      </c>
      <c r="G51" s="13">
        <f t="shared" si="9"/>
        <v>0.875</v>
      </c>
      <c r="H51" s="12">
        <f>IFERROR(VLOOKUP(A51,'Agent Sched'!B:F,5,),"-")</f>
        <v>0.5</v>
      </c>
      <c r="I51" s="13">
        <f t="shared" si="10"/>
        <v>0.875</v>
      </c>
      <c r="J51" s="12" t="str">
        <f>IFERROR(VLOOKUP(A51,'Agent Sched'!B:G,6,),"-")</f>
        <v>OFF</v>
      </c>
      <c r="K51" s="13" t="str">
        <f t="shared" si="11"/>
        <v>OFF</v>
      </c>
      <c r="L51" s="12">
        <f>IFERROR(VLOOKUP(A51,'Agent Sched'!B:H,7,),"-")</f>
        <v>0.5</v>
      </c>
      <c r="M51" s="13">
        <f t="shared" si="12"/>
        <v>0.875</v>
      </c>
      <c r="N51" s="21">
        <f>IFERROR(VLOOKUP(A51,'Agent Sched'!B:I,8,),"-")</f>
        <v>0.5</v>
      </c>
      <c r="O51" s="13">
        <f t="shared" si="13"/>
        <v>0.875</v>
      </c>
      <c r="Q51" s="12">
        <f>VLOOKUP(A51,'Agent Sched'!B:Y,24,)</f>
        <v>0.5</v>
      </c>
      <c r="R51" s="13">
        <f t="shared" si="14"/>
        <v>0.875</v>
      </c>
      <c r="T51" s="26">
        <f>VLOOKUP(A51,'Agent Sched'!$B:$J,9,)</f>
        <v>0.5</v>
      </c>
      <c r="U51" s="13">
        <f t="shared" si="15"/>
        <v>0.875</v>
      </c>
      <c r="V51" s="22">
        <f>VLOOKUP(A51,'Agent Sched'!B:K,10,)</f>
        <v>0.5</v>
      </c>
      <c r="W51" s="13">
        <f t="shared" si="16"/>
        <v>0.875</v>
      </c>
      <c r="X51" s="22">
        <f>VLOOKUP(A51,'Agent Sched'!B:L,11,)</f>
        <v>0.5</v>
      </c>
      <c r="Y51" s="13">
        <f t="shared" si="17"/>
        <v>0.875</v>
      </c>
      <c r="Z51" s="22" t="str">
        <f>VLOOKUP(A51,'Agent Sched'!B:M,12,)</f>
        <v>OFF</v>
      </c>
      <c r="AA51" s="13" t="str">
        <f t="shared" si="18"/>
        <v>OFF</v>
      </c>
      <c r="AB51" s="22" t="str">
        <f>VLOOKUP(A51,'Agent Sched'!B:N,13,)</f>
        <v>OFF</v>
      </c>
      <c r="AC51" s="13" t="str">
        <f t="shared" si="19"/>
        <v>OFF</v>
      </c>
      <c r="AD51" s="22">
        <f>VLOOKUP(A51,'Agent Sched'!B:O,14,)</f>
        <v>0.5</v>
      </c>
      <c r="AE51" s="13">
        <f t="shared" si="20"/>
        <v>0.875</v>
      </c>
      <c r="AF51" s="24">
        <f>VLOOKUP(A51,'Agent Sched'!B:P,15,)</f>
        <v>0.5</v>
      </c>
      <c r="AG51" s="13">
        <f t="shared" si="21"/>
        <v>0.875</v>
      </c>
      <c r="AI51" s="26">
        <f>VLOOKUP(A51,'Agent Sched'!$B:$Q,16,)</f>
        <v>0.5</v>
      </c>
      <c r="AJ51" s="13">
        <f t="shared" si="22"/>
        <v>0.875</v>
      </c>
      <c r="AK51" s="22">
        <f>VLOOKUP(A51,'Agent Sched'!B:R,17,)</f>
        <v>0.5</v>
      </c>
      <c r="AL51" s="13">
        <f t="shared" si="23"/>
        <v>0.875</v>
      </c>
      <c r="AM51" s="22">
        <f>VLOOKUP(A51,'Agent Sched'!B:S,18,)</f>
        <v>0.5</v>
      </c>
      <c r="AN51" s="13">
        <f t="shared" si="24"/>
        <v>0.875</v>
      </c>
      <c r="AO51" s="22" t="str">
        <f>VLOOKUP(A51,'Agent Sched'!B:T,19,)</f>
        <v>OFF</v>
      </c>
      <c r="AP51" s="13" t="str">
        <f t="shared" si="25"/>
        <v>OFF</v>
      </c>
      <c r="AQ51" s="22" t="str">
        <f>VLOOKUP(A51,'Agent Sched'!B:U,20,)</f>
        <v>OFF</v>
      </c>
      <c r="AR51" s="13" t="str">
        <f t="shared" si="26"/>
        <v>OFF</v>
      </c>
      <c r="AS51" s="22">
        <f>VLOOKUP(A51,'Agent Sched'!B:V,21,)</f>
        <v>0.5</v>
      </c>
      <c r="AT51" s="13">
        <f t="shared" si="27"/>
        <v>0.875</v>
      </c>
      <c r="AU51" s="24">
        <f>VLOOKUP(A51,'Agent Sched'!B:W,22,)</f>
        <v>0.5</v>
      </c>
      <c r="AV51" s="13">
        <f t="shared" si="28"/>
        <v>0.875</v>
      </c>
    </row>
    <row r="52" spans="1:48" ht="15.75" thickBot="1" x14ac:dyDescent="0.3">
      <c r="A52" s="20" t="str">
        <f>IFERROR('Agent Sched'!B53,"-")</f>
        <v>John Risky Fundal</v>
      </c>
      <c r="B52" s="12">
        <f>IFERROR(VLOOKUP(A52,'Agent Sched'!$B:$C,2,),"-")</f>
        <v>0.5</v>
      </c>
      <c r="C52" s="13">
        <f t="shared" si="7"/>
        <v>0.875</v>
      </c>
      <c r="D52" s="12" t="str">
        <f>IFERROR(VLOOKUP(A52,'Agent Sched'!B:D,3,),"-")</f>
        <v>OFF</v>
      </c>
      <c r="E52" s="13" t="str">
        <f t="shared" si="8"/>
        <v>OFF</v>
      </c>
      <c r="F52" s="12">
        <f>IFERROR(VLOOKUP(A52,'Agent Sched'!B:E,4,),"-")</f>
        <v>0.5</v>
      </c>
      <c r="G52" s="13">
        <f t="shared" si="9"/>
        <v>0.875</v>
      </c>
      <c r="H52" s="12">
        <f>IFERROR(VLOOKUP(A52,'Agent Sched'!B:F,5,),"-")</f>
        <v>0.5</v>
      </c>
      <c r="I52" s="13">
        <f t="shared" si="10"/>
        <v>0.875</v>
      </c>
      <c r="J52" s="12" t="str">
        <f>IFERROR(VLOOKUP(A52,'Agent Sched'!B:G,6,),"-")</f>
        <v>OFF</v>
      </c>
      <c r="K52" s="13" t="str">
        <f t="shared" si="11"/>
        <v>OFF</v>
      </c>
      <c r="L52" s="12">
        <f>IFERROR(VLOOKUP(A52,'Agent Sched'!B:H,7,),"-")</f>
        <v>0.5</v>
      </c>
      <c r="M52" s="13">
        <f t="shared" si="12"/>
        <v>0.875</v>
      </c>
      <c r="N52" s="21">
        <f>IFERROR(VLOOKUP(A52,'Agent Sched'!B:I,8,),"-")</f>
        <v>0.5</v>
      </c>
      <c r="O52" s="13">
        <f t="shared" si="13"/>
        <v>0.875</v>
      </c>
      <c r="Q52" s="12">
        <f>VLOOKUP(A52,'Agent Sched'!B:Y,24,)</f>
        <v>0.5</v>
      </c>
      <c r="R52" s="13">
        <f t="shared" si="14"/>
        <v>0.875</v>
      </c>
      <c r="T52" s="26">
        <f>VLOOKUP(A52,'Agent Sched'!$B:$J,9,)</f>
        <v>0.5</v>
      </c>
      <c r="U52" s="13">
        <f t="shared" si="15"/>
        <v>0.875</v>
      </c>
      <c r="V52" s="22">
        <f>VLOOKUP(A52,'Agent Sched'!B:K,10,)</f>
        <v>0.5</v>
      </c>
      <c r="W52" s="13">
        <f t="shared" si="16"/>
        <v>0.875</v>
      </c>
      <c r="X52" s="22">
        <f>VLOOKUP(A52,'Agent Sched'!B:L,11,)</f>
        <v>0.5</v>
      </c>
      <c r="Y52" s="13">
        <f t="shared" si="17"/>
        <v>0.875</v>
      </c>
      <c r="Z52" s="22" t="str">
        <f>VLOOKUP(A52,'Agent Sched'!B:M,12,)</f>
        <v>OFF</v>
      </c>
      <c r="AA52" s="13" t="str">
        <f t="shared" si="18"/>
        <v>OFF</v>
      </c>
      <c r="AB52" s="22" t="str">
        <f>VLOOKUP(A52,'Agent Sched'!B:N,13,)</f>
        <v>OFF</v>
      </c>
      <c r="AC52" s="13" t="str">
        <f t="shared" si="19"/>
        <v>OFF</v>
      </c>
      <c r="AD52" s="22">
        <f>VLOOKUP(A52,'Agent Sched'!B:O,14,)</f>
        <v>0.5</v>
      </c>
      <c r="AE52" s="13">
        <f t="shared" si="20"/>
        <v>0.875</v>
      </c>
      <c r="AF52" s="24">
        <f>VLOOKUP(A52,'Agent Sched'!B:P,15,)</f>
        <v>0.5</v>
      </c>
      <c r="AG52" s="13">
        <f t="shared" si="21"/>
        <v>0.875</v>
      </c>
      <c r="AI52" s="26">
        <f>VLOOKUP(A52,'Agent Sched'!$B:$Q,16,)</f>
        <v>0.5</v>
      </c>
      <c r="AJ52" s="13">
        <f t="shared" si="22"/>
        <v>0.875</v>
      </c>
      <c r="AK52" s="22">
        <f>VLOOKUP(A52,'Agent Sched'!B:R,17,)</f>
        <v>0.5</v>
      </c>
      <c r="AL52" s="13">
        <f t="shared" si="23"/>
        <v>0.875</v>
      </c>
      <c r="AM52" s="22">
        <f>VLOOKUP(A52,'Agent Sched'!B:S,18,)</f>
        <v>0.5</v>
      </c>
      <c r="AN52" s="13">
        <f t="shared" si="24"/>
        <v>0.875</v>
      </c>
      <c r="AO52" s="22" t="str">
        <f>VLOOKUP(A52,'Agent Sched'!B:T,19,)</f>
        <v>OFF</v>
      </c>
      <c r="AP52" s="13" t="str">
        <f t="shared" si="25"/>
        <v>OFF</v>
      </c>
      <c r="AQ52" s="22" t="str">
        <f>VLOOKUP(A52,'Agent Sched'!B:U,20,)</f>
        <v>OFF</v>
      </c>
      <c r="AR52" s="13" t="str">
        <f t="shared" si="26"/>
        <v>OFF</v>
      </c>
      <c r="AS52" s="22">
        <f>VLOOKUP(A52,'Agent Sched'!B:V,21,)</f>
        <v>0.5</v>
      </c>
      <c r="AT52" s="13">
        <f t="shared" si="27"/>
        <v>0.875</v>
      </c>
      <c r="AU52" s="24">
        <f>VLOOKUP(A52,'Agent Sched'!B:W,22,)</f>
        <v>0.5</v>
      </c>
      <c r="AV52" s="13">
        <f t="shared" si="28"/>
        <v>0.875</v>
      </c>
    </row>
    <row r="53" spans="1:48" ht="15.75" thickBot="1" x14ac:dyDescent="0.3">
      <c r="A53" s="20" t="str">
        <f>IFERROR('Agent Sched'!B54,"-")</f>
        <v>Hecel Isaac</v>
      </c>
      <c r="B53" s="12">
        <f>IFERROR(VLOOKUP(A53,'Agent Sched'!$B:$C,2,),"-")</f>
        <v>0.5</v>
      </c>
      <c r="C53" s="13">
        <f t="shared" si="7"/>
        <v>0.875</v>
      </c>
      <c r="D53" s="12" t="str">
        <f>IFERROR(VLOOKUP(A53,'Agent Sched'!B:D,3,),"-")</f>
        <v>OFF</v>
      </c>
      <c r="E53" s="13" t="str">
        <f t="shared" si="8"/>
        <v>OFF</v>
      </c>
      <c r="F53" s="12">
        <f>IFERROR(VLOOKUP(A53,'Agent Sched'!B:E,4,),"-")</f>
        <v>0.5</v>
      </c>
      <c r="G53" s="13">
        <f t="shared" si="9"/>
        <v>0.875</v>
      </c>
      <c r="H53" s="12">
        <f>IFERROR(VLOOKUP(A53,'Agent Sched'!B:F,5,),"-")</f>
        <v>0.5</v>
      </c>
      <c r="I53" s="13">
        <f t="shared" si="10"/>
        <v>0.875</v>
      </c>
      <c r="J53" s="12" t="str">
        <f>IFERROR(VLOOKUP(A53,'Agent Sched'!B:G,6,),"-")</f>
        <v>OFF</v>
      </c>
      <c r="K53" s="13" t="str">
        <f t="shared" si="11"/>
        <v>OFF</v>
      </c>
      <c r="L53" s="12">
        <f>IFERROR(VLOOKUP(A53,'Agent Sched'!B:H,7,),"-")</f>
        <v>0.5</v>
      </c>
      <c r="M53" s="13">
        <f t="shared" si="12"/>
        <v>0.875</v>
      </c>
      <c r="N53" s="21">
        <f>IFERROR(VLOOKUP(A53,'Agent Sched'!B:I,8,),"-")</f>
        <v>0.5</v>
      </c>
      <c r="O53" s="13">
        <f t="shared" si="13"/>
        <v>0.875</v>
      </c>
      <c r="Q53" s="12">
        <f>VLOOKUP(A53,'Agent Sched'!B:Y,24,)</f>
        <v>0.5</v>
      </c>
      <c r="R53" s="13">
        <f t="shared" si="14"/>
        <v>0.875</v>
      </c>
      <c r="T53" s="26">
        <f>VLOOKUP(A53,'Agent Sched'!$B:$J,9,)</f>
        <v>0.5</v>
      </c>
      <c r="U53" s="13">
        <f t="shared" si="15"/>
        <v>0.875</v>
      </c>
      <c r="V53" s="22">
        <f>VLOOKUP(A53,'Agent Sched'!B:K,10,)</f>
        <v>0.5</v>
      </c>
      <c r="W53" s="13">
        <f t="shared" si="16"/>
        <v>0.875</v>
      </c>
      <c r="X53" s="22">
        <f>VLOOKUP(A53,'Agent Sched'!B:L,11,)</f>
        <v>0.5</v>
      </c>
      <c r="Y53" s="13">
        <f t="shared" si="17"/>
        <v>0.875</v>
      </c>
      <c r="Z53" s="22" t="str">
        <f>VLOOKUP(A53,'Agent Sched'!B:M,12,)</f>
        <v>OFF</v>
      </c>
      <c r="AA53" s="13" t="str">
        <f t="shared" si="18"/>
        <v>OFF</v>
      </c>
      <c r="AB53" s="22" t="str">
        <f>VLOOKUP(A53,'Agent Sched'!B:N,13,)</f>
        <v>OFF</v>
      </c>
      <c r="AC53" s="13" t="str">
        <f t="shared" si="19"/>
        <v>OFF</v>
      </c>
      <c r="AD53" s="22">
        <f>VLOOKUP(A53,'Agent Sched'!B:O,14,)</f>
        <v>0.5</v>
      </c>
      <c r="AE53" s="13">
        <f t="shared" si="20"/>
        <v>0.875</v>
      </c>
      <c r="AF53" s="24">
        <f>VLOOKUP(A53,'Agent Sched'!B:P,15,)</f>
        <v>0.5</v>
      </c>
      <c r="AG53" s="13">
        <f t="shared" si="21"/>
        <v>0.875</v>
      </c>
      <c r="AI53" s="26">
        <f>VLOOKUP(A53,'Agent Sched'!$B:$Q,16,)</f>
        <v>0.5</v>
      </c>
      <c r="AJ53" s="13">
        <f t="shared" si="22"/>
        <v>0.875</v>
      </c>
      <c r="AK53" s="22">
        <f>VLOOKUP(A53,'Agent Sched'!B:R,17,)</f>
        <v>0.5</v>
      </c>
      <c r="AL53" s="13">
        <f t="shared" si="23"/>
        <v>0.875</v>
      </c>
      <c r="AM53" s="22">
        <f>VLOOKUP(A53,'Agent Sched'!B:S,18,)</f>
        <v>0.5</v>
      </c>
      <c r="AN53" s="13">
        <f t="shared" si="24"/>
        <v>0.875</v>
      </c>
      <c r="AO53" s="22" t="str">
        <f>VLOOKUP(A53,'Agent Sched'!B:T,19,)</f>
        <v>OFF</v>
      </c>
      <c r="AP53" s="13" t="str">
        <f t="shared" si="25"/>
        <v>OFF</v>
      </c>
      <c r="AQ53" s="22" t="str">
        <f>VLOOKUP(A53,'Agent Sched'!B:U,20,)</f>
        <v>OFF</v>
      </c>
      <c r="AR53" s="13" t="str">
        <f t="shared" si="26"/>
        <v>OFF</v>
      </c>
      <c r="AS53" s="22">
        <f>VLOOKUP(A53,'Agent Sched'!B:V,21,)</f>
        <v>0.5</v>
      </c>
      <c r="AT53" s="13">
        <f t="shared" si="27"/>
        <v>0.875</v>
      </c>
      <c r="AU53" s="24">
        <f>VLOOKUP(A53,'Agent Sched'!B:W,22,)</f>
        <v>0.5</v>
      </c>
      <c r="AV53" s="13">
        <f t="shared" si="28"/>
        <v>0.875</v>
      </c>
    </row>
    <row r="54" spans="1:48" ht="15.75" thickBot="1" x14ac:dyDescent="0.3">
      <c r="A54" s="20" t="str">
        <f>IFERROR('Agent Sched'!B55,"-")</f>
        <v>Mark Gofher,Tumamao,Estanes</v>
      </c>
      <c r="B54" s="12">
        <f>IFERROR(VLOOKUP(A54,'Agent Sched'!$B:$C,2,),"-")</f>
        <v>0.41666666666666669</v>
      </c>
      <c r="C54" s="13">
        <f t="shared" si="7"/>
        <v>0.79166666666666674</v>
      </c>
      <c r="D54" s="12" t="str">
        <f>IFERROR(VLOOKUP(A54,'Agent Sched'!B:D,3,),"-")</f>
        <v>OFF</v>
      </c>
      <c r="E54" s="13" t="str">
        <f t="shared" si="8"/>
        <v>OFF</v>
      </c>
      <c r="F54" s="12" t="str">
        <f>IFERROR(VLOOKUP(A54,'Agent Sched'!B:E,4,),"-")</f>
        <v>OFF</v>
      </c>
      <c r="G54" s="13" t="str">
        <f t="shared" si="9"/>
        <v>OFF</v>
      </c>
      <c r="H54" s="12">
        <f>IFERROR(VLOOKUP(A54,'Agent Sched'!B:F,5,),"-")</f>
        <v>0.41666666666666669</v>
      </c>
      <c r="I54" s="13">
        <f t="shared" si="10"/>
        <v>0.79166666666666674</v>
      </c>
      <c r="J54" s="12">
        <f>IFERROR(VLOOKUP(A54,'Agent Sched'!B:G,6,),"-")</f>
        <v>0.41666666666666669</v>
      </c>
      <c r="K54" s="13">
        <f t="shared" si="11"/>
        <v>0.79166666666666674</v>
      </c>
      <c r="L54" s="12">
        <f>IFERROR(VLOOKUP(A54,'Agent Sched'!B:H,7,),"-")</f>
        <v>0.41666666666666669</v>
      </c>
      <c r="M54" s="13">
        <f t="shared" si="12"/>
        <v>0.79166666666666674</v>
      </c>
      <c r="N54" s="21">
        <f>IFERROR(VLOOKUP(A54,'Agent Sched'!B:I,8,),"-")</f>
        <v>0.41666666666666669</v>
      </c>
      <c r="O54" s="13">
        <f t="shared" si="13"/>
        <v>0.79166666666666674</v>
      </c>
      <c r="Q54" s="12">
        <f>VLOOKUP(A54,'Agent Sched'!B:Y,24,)</f>
        <v>0.41666666666666669</v>
      </c>
      <c r="R54" s="13">
        <f t="shared" si="14"/>
        <v>0.79166666666666674</v>
      </c>
      <c r="T54" s="26">
        <f>VLOOKUP(A54,'Agent Sched'!$B:$J,9,)</f>
        <v>0.41666666666666669</v>
      </c>
      <c r="U54" s="13">
        <f t="shared" si="15"/>
        <v>0.79166666666666674</v>
      </c>
      <c r="V54" s="22" t="str">
        <f>VLOOKUP(A54,'Agent Sched'!B:K,10,)</f>
        <v>OFF</v>
      </c>
      <c r="W54" s="13" t="str">
        <f t="shared" si="16"/>
        <v>OFF</v>
      </c>
      <c r="X54" s="22" t="str">
        <f>VLOOKUP(A54,'Agent Sched'!B:L,11,)</f>
        <v>OFF</v>
      </c>
      <c r="Y54" s="13" t="str">
        <f t="shared" si="17"/>
        <v>OFF</v>
      </c>
      <c r="Z54" s="22">
        <f>VLOOKUP(A54,'Agent Sched'!B:M,12,)</f>
        <v>0.41666666666666669</v>
      </c>
      <c r="AA54" s="13">
        <f t="shared" si="18"/>
        <v>0.79166666666666674</v>
      </c>
      <c r="AB54" s="22">
        <f>VLOOKUP(A54,'Agent Sched'!B:N,13,)</f>
        <v>0.41666666666666669</v>
      </c>
      <c r="AC54" s="13">
        <f t="shared" si="19"/>
        <v>0.79166666666666674</v>
      </c>
      <c r="AD54" s="22">
        <f>VLOOKUP(A54,'Agent Sched'!B:O,14,)</f>
        <v>0.41666666666666669</v>
      </c>
      <c r="AE54" s="13">
        <f t="shared" si="20"/>
        <v>0.79166666666666674</v>
      </c>
      <c r="AF54" s="24">
        <f>VLOOKUP(A54,'Agent Sched'!B:P,15,)</f>
        <v>0.41666666666666669</v>
      </c>
      <c r="AG54" s="13">
        <f t="shared" si="21"/>
        <v>0.79166666666666674</v>
      </c>
      <c r="AI54" s="26">
        <f>VLOOKUP(A54,'Agent Sched'!$B:$Q,16,)</f>
        <v>0.41666666666666669</v>
      </c>
      <c r="AJ54" s="13">
        <f t="shared" si="22"/>
        <v>0.79166666666666674</v>
      </c>
      <c r="AK54" s="22" t="str">
        <f>VLOOKUP(A54,'Agent Sched'!B:R,17,)</f>
        <v>OFF</v>
      </c>
      <c r="AL54" s="13" t="str">
        <f t="shared" si="23"/>
        <v>OFF</v>
      </c>
      <c r="AM54" s="22" t="str">
        <f>VLOOKUP(A54,'Agent Sched'!B:S,18,)</f>
        <v>OFF</v>
      </c>
      <c r="AN54" s="13" t="str">
        <f t="shared" si="24"/>
        <v>OFF</v>
      </c>
      <c r="AO54" s="22">
        <f>VLOOKUP(A54,'Agent Sched'!B:T,19,)</f>
        <v>0.41666666666666669</v>
      </c>
      <c r="AP54" s="13">
        <f t="shared" si="25"/>
        <v>0.79166666666666674</v>
      </c>
      <c r="AQ54" s="22">
        <f>VLOOKUP(A54,'Agent Sched'!B:U,20,)</f>
        <v>0.41666666666666669</v>
      </c>
      <c r="AR54" s="13">
        <f t="shared" si="26"/>
        <v>0.79166666666666674</v>
      </c>
      <c r="AS54" s="22">
        <f>VLOOKUP(A54,'Agent Sched'!B:V,21,)</f>
        <v>0.41666666666666669</v>
      </c>
      <c r="AT54" s="13">
        <f t="shared" si="27"/>
        <v>0.79166666666666674</v>
      </c>
      <c r="AU54" s="24">
        <f>VLOOKUP(A54,'Agent Sched'!B:W,22,)</f>
        <v>0.41666666666666669</v>
      </c>
      <c r="AV54" s="13">
        <f t="shared" si="28"/>
        <v>0.79166666666666674</v>
      </c>
    </row>
    <row r="55" spans="1:48" ht="15.75" thickBot="1" x14ac:dyDescent="0.3">
      <c r="A55" s="20" t="str">
        <f>IFERROR('Agent Sched'!B56,"-")</f>
        <v>Ariel,Marquez,Ulgado</v>
      </c>
      <c r="B55" s="12">
        <f>IFERROR(VLOOKUP(A55,'Agent Sched'!$B:$C,2,),"-")</f>
        <v>0.41666666666666669</v>
      </c>
      <c r="C55" s="13">
        <f t="shared" si="7"/>
        <v>0.79166666666666674</v>
      </c>
      <c r="D55" s="12" t="str">
        <f>IFERROR(VLOOKUP(A55,'Agent Sched'!B:D,3,),"-")</f>
        <v>OFF</v>
      </c>
      <c r="E55" s="13" t="str">
        <f t="shared" si="8"/>
        <v>OFF</v>
      </c>
      <c r="F55" s="12" t="str">
        <f>IFERROR(VLOOKUP(A55,'Agent Sched'!B:E,4,),"-")</f>
        <v>OFF</v>
      </c>
      <c r="G55" s="13" t="str">
        <f t="shared" si="9"/>
        <v>OFF</v>
      </c>
      <c r="H55" s="12">
        <f>IFERROR(VLOOKUP(A55,'Agent Sched'!B:F,5,),"-")</f>
        <v>0.41666666666666669</v>
      </c>
      <c r="I55" s="13">
        <f t="shared" si="10"/>
        <v>0.79166666666666674</v>
      </c>
      <c r="J55" s="12">
        <f>IFERROR(VLOOKUP(A55,'Agent Sched'!B:G,6,),"-")</f>
        <v>0.41666666666666669</v>
      </c>
      <c r="K55" s="13">
        <f t="shared" si="11"/>
        <v>0.79166666666666674</v>
      </c>
      <c r="L55" s="12">
        <f>IFERROR(VLOOKUP(A55,'Agent Sched'!B:H,7,),"-")</f>
        <v>0.41666666666666669</v>
      </c>
      <c r="M55" s="13">
        <f t="shared" si="12"/>
        <v>0.79166666666666674</v>
      </c>
      <c r="N55" s="21">
        <f>IFERROR(VLOOKUP(A55,'Agent Sched'!B:I,8,),"-")</f>
        <v>0.41666666666666669</v>
      </c>
      <c r="O55" s="13">
        <f t="shared" si="13"/>
        <v>0.79166666666666674</v>
      </c>
      <c r="Q55" s="12">
        <f>VLOOKUP(A55,'Agent Sched'!B:Y,24,)</f>
        <v>0.41666666666666669</v>
      </c>
      <c r="R55" s="13">
        <f t="shared" si="14"/>
        <v>0.79166666666666674</v>
      </c>
      <c r="T55" s="26">
        <f>VLOOKUP(A55,'Agent Sched'!$B:$J,9,)</f>
        <v>0.41666666666666669</v>
      </c>
      <c r="U55" s="13">
        <f t="shared" si="15"/>
        <v>0.79166666666666674</v>
      </c>
      <c r="V55" s="22" t="str">
        <f>VLOOKUP(A55,'Agent Sched'!B:K,10,)</f>
        <v>OFF</v>
      </c>
      <c r="W55" s="13" t="str">
        <f t="shared" si="16"/>
        <v>OFF</v>
      </c>
      <c r="X55" s="22" t="str">
        <f>VLOOKUP(A55,'Agent Sched'!B:L,11,)</f>
        <v>OFF</v>
      </c>
      <c r="Y55" s="13" t="str">
        <f t="shared" si="17"/>
        <v>OFF</v>
      </c>
      <c r="Z55" s="22">
        <f>VLOOKUP(A55,'Agent Sched'!B:M,12,)</f>
        <v>0.41666666666666669</v>
      </c>
      <c r="AA55" s="13">
        <f t="shared" si="18"/>
        <v>0.79166666666666674</v>
      </c>
      <c r="AB55" s="22">
        <f>VLOOKUP(A55,'Agent Sched'!B:N,13,)</f>
        <v>0.41666666666666669</v>
      </c>
      <c r="AC55" s="13">
        <f t="shared" si="19"/>
        <v>0.79166666666666674</v>
      </c>
      <c r="AD55" s="22">
        <f>VLOOKUP(A55,'Agent Sched'!B:O,14,)</f>
        <v>0.41666666666666669</v>
      </c>
      <c r="AE55" s="13">
        <f t="shared" si="20"/>
        <v>0.79166666666666674</v>
      </c>
      <c r="AF55" s="24">
        <f>VLOOKUP(A55,'Agent Sched'!B:P,15,)</f>
        <v>0.41666666666666669</v>
      </c>
      <c r="AG55" s="13">
        <f t="shared" si="21"/>
        <v>0.79166666666666674</v>
      </c>
      <c r="AI55" s="26">
        <f>VLOOKUP(A55,'Agent Sched'!$B:$Q,16,)</f>
        <v>0.41666666666666669</v>
      </c>
      <c r="AJ55" s="13">
        <f t="shared" si="22"/>
        <v>0.79166666666666674</v>
      </c>
      <c r="AK55" s="22" t="str">
        <f>VLOOKUP(A55,'Agent Sched'!B:R,17,)</f>
        <v>OFF</v>
      </c>
      <c r="AL55" s="13" t="str">
        <f t="shared" si="23"/>
        <v>OFF</v>
      </c>
      <c r="AM55" s="22" t="str">
        <f>VLOOKUP(A55,'Agent Sched'!B:S,18,)</f>
        <v>OFF</v>
      </c>
      <c r="AN55" s="13" t="str">
        <f t="shared" si="24"/>
        <v>OFF</v>
      </c>
      <c r="AO55" s="22">
        <f>VLOOKUP(A55,'Agent Sched'!B:T,19,)</f>
        <v>0.41666666666666669</v>
      </c>
      <c r="AP55" s="13">
        <f t="shared" si="25"/>
        <v>0.79166666666666674</v>
      </c>
      <c r="AQ55" s="22">
        <f>VLOOKUP(A55,'Agent Sched'!B:U,20,)</f>
        <v>0.41666666666666669</v>
      </c>
      <c r="AR55" s="13">
        <f t="shared" si="26"/>
        <v>0.79166666666666674</v>
      </c>
      <c r="AS55" s="22">
        <f>VLOOKUP(A55,'Agent Sched'!B:V,21,)</f>
        <v>0.41666666666666669</v>
      </c>
      <c r="AT55" s="13">
        <f t="shared" si="27"/>
        <v>0.79166666666666674</v>
      </c>
      <c r="AU55" s="24">
        <f>VLOOKUP(A55,'Agent Sched'!B:W,22,)</f>
        <v>0.41666666666666669</v>
      </c>
      <c r="AV55" s="13">
        <f t="shared" si="28"/>
        <v>0.79166666666666674</v>
      </c>
    </row>
    <row r="56" spans="1:48" ht="15.75" thickBot="1" x14ac:dyDescent="0.3">
      <c r="A56" s="20" t="str">
        <f>IFERROR('Agent Sched'!B57,"-")</f>
        <v>Marilyn De Mesa</v>
      </c>
      <c r="B56" s="12">
        <f>IFERROR(VLOOKUP(A56,'Agent Sched'!$B:$C,2,),"-")</f>
        <v>0.41666666666666669</v>
      </c>
      <c r="C56" s="13">
        <f t="shared" si="7"/>
        <v>0.79166666666666674</v>
      </c>
      <c r="D56" s="12" t="str">
        <f>IFERROR(VLOOKUP(A56,'Agent Sched'!B:D,3,),"-")</f>
        <v>OFF</v>
      </c>
      <c r="E56" s="13" t="str">
        <f t="shared" si="8"/>
        <v>OFF</v>
      </c>
      <c r="F56" s="12" t="str">
        <f>IFERROR(VLOOKUP(A56,'Agent Sched'!B:E,4,),"-")</f>
        <v>OFF</v>
      </c>
      <c r="G56" s="13" t="str">
        <f t="shared" si="9"/>
        <v>OFF</v>
      </c>
      <c r="H56" s="12">
        <f>IFERROR(VLOOKUP(A56,'Agent Sched'!B:F,5,),"-")</f>
        <v>0.41666666666666669</v>
      </c>
      <c r="I56" s="13">
        <f t="shared" si="10"/>
        <v>0.79166666666666674</v>
      </c>
      <c r="J56" s="12">
        <f>IFERROR(VLOOKUP(A56,'Agent Sched'!B:G,6,),"-")</f>
        <v>0.41666666666666669</v>
      </c>
      <c r="K56" s="13">
        <f t="shared" si="11"/>
        <v>0.79166666666666674</v>
      </c>
      <c r="L56" s="12">
        <f>IFERROR(VLOOKUP(A56,'Agent Sched'!B:H,7,),"-")</f>
        <v>0.41666666666666669</v>
      </c>
      <c r="M56" s="13">
        <f t="shared" si="12"/>
        <v>0.79166666666666674</v>
      </c>
      <c r="N56" s="21">
        <f>IFERROR(VLOOKUP(A56,'Agent Sched'!B:I,8,),"-")</f>
        <v>0.41666666666666669</v>
      </c>
      <c r="O56" s="13">
        <f t="shared" si="13"/>
        <v>0.79166666666666674</v>
      </c>
      <c r="Q56" s="12">
        <f>VLOOKUP(A56,'Agent Sched'!B:Y,24,)</f>
        <v>0.41666666666666669</v>
      </c>
      <c r="R56" s="13">
        <f t="shared" si="14"/>
        <v>0.79166666666666674</v>
      </c>
      <c r="T56" s="26">
        <f>VLOOKUP(A56,'Agent Sched'!$B:$J,9,)</f>
        <v>0.41666666666666669</v>
      </c>
      <c r="U56" s="13">
        <f t="shared" si="15"/>
        <v>0.79166666666666674</v>
      </c>
      <c r="V56" s="22" t="str">
        <f>VLOOKUP(A56,'Agent Sched'!B:K,10,)</f>
        <v>OFF</v>
      </c>
      <c r="W56" s="13" t="str">
        <f t="shared" si="16"/>
        <v>OFF</v>
      </c>
      <c r="X56" s="22" t="str">
        <f>VLOOKUP(A56,'Agent Sched'!B:L,11,)</f>
        <v>OFF</v>
      </c>
      <c r="Y56" s="13" t="str">
        <f t="shared" si="17"/>
        <v>OFF</v>
      </c>
      <c r="Z56" s="22">
        <f>VLOOKUP(A56,'Agent Sched'!B:M,12,)</f>
        <v>0.41666666666666669</v>
      </c>
      <c r="AA56" s="13">
        <f t="shared" si="18"/>
        <v>0.79166666666666674</v>
      </c>
      <c r="AB56" s="22">
        <f>VLOOKUP(A56,'Agent Sched'!B:N,13,)</f>
        <v>0.41666666666666669</v>
      </c>
      <c r="AC56" s="13">
        <f t="shared" si="19"/>
        <v>0.79166666666666674</v>
      </c>
      <c r="AD56" s="22">
        <f>VLOOKUP(A56,'Agent Sched'!B:O,14,)</f>
        <v>0.41666666666666669</v>
      </c>
      <c r="AE56" s="13">
        <f t="shared" si="20"/>
        <v>0.79166666666666674</v>
      </c>
      <c r="AF56" s="24">
        <f>VLOOKUP(A56,'Agent Sched'!B:P,15,)</f>
        <v>0.41666666666666669</v>
      </c>
      <c r="AG56" s="13">
        <f t="shared" si="21"/>
        <v>0.79166666666666674</v>
      </c>
      <c r="AI56" s="26">
        <f>VLOOKUP(A56,'Agent Sched'!$B:$Q,16,)</f>
        <v>0.41666666666666669</v>
      </c>
      <c r="AJ56" s="13">
        <f t="shared" si="22"/>
        <v>0.79166666666666674</v>
      </c>
      <c r="AK56" s="22" t="str">
        <f>VLOOKUP(A56,'Agent Sched'!B:R,17,)</f>
        <v>OFF</v>
      </c>
      <c r="AL56" s="13" t="str">
        <f t="shared" si="23"/>
        <v>OFF</v>
      </c>
      <c r="AM56" s="22" t="str">
        <f>VLOOKUP(A56,'Agent Sched'!B:S,18,)</f>
        <v>OFF</v>
      </c>
      <c r="AN56" s="13" t="str">
        <f t="shared" si="24"/>
        <v>OFF</v>
      </c>
      <c r="AO56" s="22">
        <f>VLOOKUP(A56,'Agent Sched'!B:T,19,)</f>
        <v>0.41666666666666669</v>
      </c>
      <c r="AP56" s="13">
        <f t="shared" si="25"/>
        <v>0.79166666666666674</v>
      </c>
      <c r="AQ56" s="22">
        <f>VLOOKUP(A56,'Agent Sched'!B:U,20,)</f>
        <v>0.41666666666666669</v>
      </c>
      <c r="AR56" s="13">
        <f t="shared" si="26"/>
        <v>0.79166666666666674</v>
      </c>
      <c r="AS56" s="22">
        <f>VLOOKUP(A56,'Agent Sched'!B:V,21,)</f>
        <v>0.41666666666666669</v>
      </c>
      <c r="AT56" s="13">
        <f t="shared" si="27"/>
        <v>0.79166666666666674</v>
      </c>
      <c r="AU56" s="24">
        <f>VLOOKUP(A56,'Agent Sched'!B:W,22,)</f>
        <v>0.41666666666666669</v>
      </c>
      <c r="AV56" s="13">
        <f t="shared" si="28"/>
        <v>0.79166666666666674</v>
      </c>
    </row>
    <row r="57" spans="1:48" ht="15.75" thickBot="1" x14ac:dyDescent="0.3">
      <c r="A57" s="20" t="str">
        <f>IFERROR('Agent Sched'!B58,"-")</f>
        <v>Marilyn Gargar</v>
      </c>
      <c r="B57" s="12">
        <f>IFERROR(VLOOKUP(A57,'Agent Sched'!$B:$C,2,),"-")</f>
        <v>0.41666666666666669</v>
      </c>
      <c r="C57" s="13">
        <f t="shared" si="7"/>
        <v>0.79166666666666674</v>
      </c>
      <c r="D57" s="12" t="str">
        <f>IFERROR(VLOOKUP(A57,'Agent Sched'!B:D,3,),"-")</f>
        <v>OFF</v>
      </c>
      <c r="E57" s="13" t="str">
        <f t="shared" si="8"/>
        <v>OFF</v>
      </c>
      <c r="F57" s="12" t="str">
        <f>IFERROR(VLOOKUP(A57,'Agent Sched'!B:E,4,),"-")</f>
        <v>OFF</v>
      </c>
      <c r="G57" s="13" t="str">
        <f t="shared" si="9"/>
        <v>OFF</v>
      </c>
      <c r="H57" s="12">
        <f>IFERROR(VLOOKUP(A57,'Agent Sched'!B:F,5,),"-")</f>
        <v>0.41666666666666669</v>
      </c>
      <c r="I57" s="13">
        <f t="shared" si="10"/>
        <v>0.79166666666666674</v>
      </c>
      <c r="J57" s="12">
        <f>IFERROR(VLOOKUP(A57,'Agent Sched'!B:G,6,),"-")</f>
        <v>0.41666666666666669</v>
      </c>
      <c r="K57" s="13">
        <f t="shared" si="11"/>
        <v>0.79166666666666674</v>
      </c>
      <c r="L57" s="12">
        <f>IFERROR(VLOOKUP(A57,'Agent Sched'!B:H,7,),"-")</f>
        <v>0.41666666666666669</v>
      </c>
      <c r="M57" s="13">
        <f t="shared" si="12"/>
        <v>0.79166666666666674</v>
      </c>
      <c r="N57" s="21">
        <f>IFERROR(VLOOKUP(A57,'Agent Sched'!B:I,8,),"-")</f>
        <v>0.41666666666666669</v>
      </c>
      <c r="O57" s="13">
        <f t="shared" si="13"/>
        <v>0.79166666666666674</v>
      </c>
      <c r="Q57" s="12">
        <f>VLOOKUP(A57,'Agent Sched'!B:Y,24,)</f>
        <v>0.41666666666666669</v>
      </c>
      <c r="R57" s="13">
        <f t="shared" si="14"/>
        <v>0.79166666666666674</v>
      </c>
      <c r="T57" s="26">
        <f>VLOOKUP(A57,'Agent Sched'!$B:$J,9,)</f>
        <v>0.41666666666666669</v>
      </c>
      <c r="U57" s="13">
        <f t="shared" si="15"/>
        <v>0.79166666666666674</v>
      </c>
      <c r="V57" s="22" t="str">
        <f>VLOOKUP(A57,'Agent Sched'!B:K,10,)</f>
        <v>OFF</v>
      </c>
      <c r="W57" s="13" t="str">
        <f t="shared" si="16"/>
        <v>OFF</v>
      </c>
      <c r="X57" s="22" t="str">
        <f>VLOOKUP(A57,'Agent Sched'!B:L,11,)</f>
        <v>OFF</v>
      </c>
      <c r="Y57" s="13" t="str">
        <f t="shared" si="17"/>
        <v>OFF</v>
      </c>
      <c r="Z57" s="22">
        <f>VLOOKUP(A57,'Agent Sched'!B:M,12,)</f>
        <v>0.41666666666666669</v>
      </c>
      <c r="AA57" s="13">
        <f t="shared" si="18"/>
        <v>0.79166666666666674</v>
      </c>
      <c r="AB57" s="22">
        <f>VLOOKUP(A57,'Agent Sched'!B:N,13,)</f>
        <v>0.41666666666666669</v>
      </c>
      <c r="AC57" s="13">
        <f t="shared" si="19"/>
        <v>0.79166666666666674</v>
      </c>
      <c r="AD57" s="22">
        <f>VLOOKUP(A57,'Agent Sched'!B:O,14,)</f>
        <v>0.41666666666666669</v>
      </c>
      <c r="AE57" s="13">
        <f t="shared" si="20"/>
        <v>0.79166666666666674</v>
      </c>
      <c r="AF57" s="24">
        <f>VLOOKUP(A57,'Agent Sched'!B:P,15,)</f>
        <v>0.41666666666666669</v>
      </c>
      <c r="AG57" s="13">
        <f t="shared" si="21"/>
        <v>0.79166666666666674</v>
      </c>
      <c r="AI57" s="26">
        <f>VLOOKUP(A57,'Agent Sched'!$B:$Q,16,)</f>
        <v>0.41666666666666669</v>
      </c>
      <c r="AJ57" s="13">
        <f t="shared" si="22"/>
        <v>0.79166666666666674</v>
      </c>
      <c r="AK57" s="22" t="str">
        <f>VLOOKUP(A57,'Agent Sched'!B:R,17,)</f>
        <v>OFF</v>
      </c>
      <c r="AL57" s="13" t="str">
        <f t="shared" si="23"/>
        <v>OFF</v>
      </c>
      <c r="AM57" s="22" t="str">
        <f>VLOOKUP(A57,'Agent Sched'!B:S,18,)</f>
        <v>OFF</v>
      </c>
      <c r="AN57" s="13" t="str">
        <f t="shared" si="24"/>
        <v>OFF</v>
      </c>
      <c r="AO57" s="22">
        <f>VLOOKUP(A57,'Agent Sched'!B:T,19,)</f>
        <v>0.41666666666666669</v>
      </c>
      <c r="AP57" s="13">
        <f t="shared" si="25"/>
        <v>0.79166666666666674</v>
      </c>
      <c r="AQ57" s="22">
        <f>VLOOKUP(A57,'Agent Sched'!B:U,20,)</f>
        <v>0.41666666666666669</v>
      </c>
      <c r="AR57" s="13">
        <f t="shared" si="26"/>
        <v>0.79166666666666674</v>
      </c>
      <c r="AS57" s="22">
        <f>VLOOKUP(A57,'Agent Sched'!B:V,21,)</f>
        <v>0.41666666666666669</v>
      </c>
      <c r="AT57" s="13">
        <f t="shared" si="27"/>
        <v>0.79166666666666674</v>
      </c>
      <c r="AU57" s="24">
        <f>VLOOKUP(A57,'Agent Sched'!B:W,22,)</f>
        <v>0.41666666666666669</v>
      </c>
      <c r="AV57" s="13">
        <f t="shared" si="28"/>
        <v>0.79166666666666674</v>
      </c>
    </row>
    <row r="58" spans="1:48" ht="15.75" thickBot="1" x14ac:dyDescent="0.3">
      <c r="A58" s="20" t="str">
        <f>IFERROR('Agent Sched'!B59,"-")</f>
        <v>Marc Arthur Torres</v>
      </c>
      <c r="B58" s="12">
        <f>IFERROR(VLOOKUP(A58,'Agent Sched'!$B:$C,2,),"-")</f>
        <v>0.41666666666666669</v>
      </c>
      <c r="C58" s="13">
        <f t="shared" si="7"/>
        <v>0.79166666666666674</v>
      </c>
      <c r="D58" s="12" t="str">
        <f>IFERROR(VLOOKUP(A58,'Agent Sched'!B:D,3,),"-")</f>
        <v>OFF</v>
      </c>
      <c r="E58" s="13" t="str">
        <f t="shared" si="8"/>
        <v>OFF</v>
      </c>
      <c r="F58" s="12" t="str">
        <f>IFERROR(VLOOKUP(A58,'Agent Sched'!B:E,4,),"-")</f>
        <v>OFF</v>
      </c>
      <c r="G58" s="13" t="str">
        <f t="shared" si="9"/>
        <v>OFF</v>
      </c>
      <c r="H58" s="12">
        <f>IFERROR(VLOOKUP(A58,'Agent Sched'!B:F,5,),"-")</f>
        <v>0.41666666666666669</v>
      </c>
      <c r="I58" s="13">
        <f t="shared" si="10"/>
        <v>0.79166666666666674</v>
      </c>
      <c r="J58" s="12">
        <f>IFERROR(VLOOKUP(A58,'Agent Sched'!B:G,6,),"-")</f>
        <v>0.41666666666666669</v>
      </c>
      <c r="K58" s="13">
        <f t="shared" si="11"/>
        <v>0.79166666666666674</v>
      </c>
      <c r="L58" s="12">
        <f>IFERROR(VLOOKUP(A58,'Agent Sched'!B:H,7,),"-")</f>
        <v>0.41666666666666669</v>
      </c>
      <c r="M58" s="13">
        <f t="shared" si="12"/>
        <v>0.79166666666666674</v>
      </c>
      <c r="N58" s="21">
        <f>IFERROR(VLOOKUP(A58,'Agent Sched'!B:I,8,),"-")</f>
        <v>0.41666666666666669</v>
      </c>
      <c r="O58" s="13">
        <f t="shared" si="13"/>
        <v>0.79166666666666674</v>
      </c>
      <c r="Q58" s="12">
        <f>VLOOKUP(A58,'Agent Sched'!B:Y,24,)</f>
        <v>0.41666666666666669</v>
      </c>
      <c r="R58" s="13">
        <f t="shared" si="14"/>
        <v>0.79166666666666674</v>
      </c>
      <c r="T58" s="26">
        <f>VLOOKUP(A58,'Agent Sched'!$B:$J,9,)</f>
        <v>0.41666666666666669</v>
      </c>
      <c r="U58" s="13">
        <f t="shared" si="15"/>
        <v>0.79166666666666674</v>
      </c>
      <c r="V58" s="22" t="str">
        <f>VLOOKUP(A58,'Agent Sched'!B:K,10,)</f>
        <v>OFF</v>
      </c>
      <c r="W58" s="13" t="str">
        <f t="shared" si="16"/>
        <v>OFF</v>
      </c>
      <c r="X58" s="22" t="str">
        <f>VLOOKUP(A58,'Agent Sched'!B:L,11,)</f>
        <v>OFF</v>
      </c>
      <c r="Y58" s="13" t="str">
        <f t="shared" si="17"/>
        <v>OFF</v>
      </c>
      <c r="Z58" s="22">
        <f>VLOOKUP(A58,'Agent Sched'!B:M,12,)</f>
        <v>0.41666666666666669</v>
      </c>
      <c r="AA58" s="13">
        <f t="shared" si="18"/>
        <v>0.79166666666666674</v>
      </c>
      <c r="AB58" s="22">
        <f>VLOOKUP(A58,'Agent Sched'!B:N,13,)</f>
        <v>0.41666666666666669</v>
      </c>
      <c r="AC58" s="13">
        <f t="shared" si="19"/>
        <v>0.79166666666666674</v>
      </c>
      <c r="AD58" s="22">
        <f>VLOOKUP(A58,'Agent Sched'!B:O,14,)</f>
        <v>0.41666666666666669</v>
      </c>
      <c r="AE58" s="13">
        <f t="shared" si="20"/>
        <v>0.79166666666666674</v>
      </c>
      <c r="AF58" s="24">
        <f>VLOOKUP(A58,'Agent Sched'!B:P,15,)</f>
        <v>0.41666666666666669</v>
      </c>
      <c r="AG58" s="13">
        <f t="shared" si="21"/>
        <v>0.79166666666666674</v>
      </c>
      <c r="AI58" s="26">
        <f>VLOOKUP(A58,'Agent Sched'!$B:$Q,16,)</f>
        <v>0.41666666666666669</v>
      </c>
      <c r="AJ58" s="13">
        <f t="shared" si="22"/>
        <v>0.79166666666666674</v>
      </c>
      <c r="AK58" s="22" t="str">
        <f>VLOOKUP(A58,'Agent Sched'!B:R,17,)</f>
        <v>OFF</v>
      </c>
      <c r="AL58" s="13" t="str">
        <f t="shared" si="23"/>
        <v>OFF</v>
      </c>
      <c r="AM58" s="22" t="str">
        <f>VLOOKUP(A58,'Agent Sched'!B:S,18,)</f>
        <v>OFF</v>
      </c>
      <c r="AN58" s="13" t="str">
        <f t="shared" si="24"/>
        <v>OFF</v>
      </c>
      <c r="AO58" s="22">
        <f>VLOOKUP(A58,'Agent Sched'!B:T,19,)</f>
        <v>0.41666666666666669</v>
      </c>
      <c r="AP58" s="13">
        <f t="shared" si="25"/>
        <v>0.79166666666666674</v>
      </c>
      <c r="AQ58" s="22">
        <f>VLOOKUP(A58,'Agent Sched'!B:U,20,)</f>
        <v>0.41666666666666669</v>
      </c>
      <c r="AR58" s="13">
        <f t="shared" si="26"/>
        <v>0.79166666666666674</v>
      </c>
      <c r="AS58" s="22">
        <f>VLOOKUP(A58,'Agent Sched'!B:V,21,)</f>
        <v>0.41666666666666669</v>
      </c>
      <c r="AT58" s="13">
        <f t="shared" si="27"/>
        <v>0.79166666666666674</v>
      </c>
      <c r="AU58" s="24">
        <f>VLOOKUP(A58,'Agent Sched'!B:W,22,)</f>
        <v>0.41666666666666669</v>
      </c>
      <c r="AV58" s="13">
        <f t="shared" si="28"/>
        <v>0.79166666666666674</v>
      </c>
    </row>
    <row r="59" spans="1:48" ht="15.75" thickBot="1" x14ac:dyDescent="0.3">
      <c r="A59" s="20" t="str">
        <f>IFERROR('Agent Sched'!B60,"-")</f>
        <v>Mary Jane Vea</v>
      </c>
      <c r="B59" s="12">
        <f>IFERROR(VLOOKUP(A59,'Agent Sched'!$B:$C,2,),"-")</f>
        <v>0.41666666666666669</v>
      </c>
      <c r="C59" s="13">
        <f t="shared" si="7"/>
        <v>0.79166666666666674</v>
      </c>
      <c r="D59" s="12" t="str">
        <f>IFERROR(VLOOKUP(A59,'Agent Sched'!B:D,3,),"-")</f>
        <v>OFF</v>
      </c>
      <c r="E59" s="13" t="str">
        <f t="shared" si="8"/>
        <v>OFF</v>
      </c>
      <c r="F59" s="12" t="str">
        <f>IFERROR(VLOOKUP(A59,'Agent Sched'!B:E,4,),"-")</f>
        <v>OFF</v>
      </c>
      <c r="G59" s="13" t="str">
        <f t="shared" si="9"/>
        <v>OFF</v>
      </c>
      <c r="H59" s="12">
        <f>IFERROR(VLOOKUP(A59,'Agent Sched'!B:F,5,),"-")</f>
        <v>0.41666666666666669</v>
      </c>
      <c r="I59" s="13">
        <f t="shared" si="10"/>
        <v>0.79166666666666674</v>
      </c>
      <c r="J59" s="12">
        <f>IFERROR(VLOOKUP(A59,'Agent Sched'!B:G,6,),"-")</f>
        <v>0.41666666666666669</v>
      </c>
      <c r="K59" s="13">
        <f t="shared" si="11"/>
        <v>0.79166666666666674</v>
      </c>
      <c r="L59" s="12">
        <f>IFERROR(VLOOKUP(A59,'Agent Sched'!B:H,7,),"-")</f>
        <v>0.41666666666666669</v>
      </c>
      <c r="M59" s="13">
        <f t="shared" si="12"/>
        <v>0.79166666666666674</v>
      </c>
      <c r="N59" s="21">
        <f>IFERROR(VLOOKUP(A59,'Agent Sched'!B:I,8,),"-")</f>
        <v>0.41666666666666669</v>
      </c>
      <c r="O59" s="13">
        <f t="shared" si="13"/>
        <v>0.79166666666666674</v>
      </c>
      <c r="Q59" s="12">
        <f>VLOOKUP(A59,'Agent Sched'!B:Y,24,)</f>
        <v>0.41666666666666669</v>
      </c>
      <c r="R59" s="13">
        <f t="shared" si="14"/>
        <v>0.79166666666666674</v>
      </c>
      <c r="T59" s="26">
        <f>VLOOKUP(A59,'Agent Sched'!$B:$J,9,)</f>
        <v>0.41666666666666669</v>
      </c>
      <c r="U59" s="13">
        <f t="shared" si="15"/>
        <v>0.79166666666666674</v>
      </c>
      <c r="V59" s="22" t="str">
        <f>VLOOKUP(A59,'Agent Sched'!B:K,10,)</f>
        <v>OFF</v>
      </c>
      <c r="W59" s="13" t="str">
        <f t="shared" si="16"/>
        <v>OFF</v>
      </c>
      <c r="X59" s="22" t="str">
        <f>VLOOKUP(A59,'Agent Sched'!B:L,11,)</f>
        <v>OFF</v>
      </c>
      <c r="Y59" s="13" t="str">
        <f t="shared" si="17"/>
        <v>OFF</v>
      </c>
      <c r="Z59" s="22">
        <f>VLOOKUP(A59,'Agent Sched'!B:M,12,)</f>
        <v>0.41666666666666669</v>
      </c>
      <c r="AA59" s="13">
        <f t="shared" si="18"/>
        <v>0.79166666666666674</v>
      </c>
      <c r="AB59" s="22">
        <f>VLOOKUP(A59,'Agent Sched'!B:N,13,)</f>
        <v>0.41666666666666669</v>
      </c>
      <c r="AC59" s="13">
        <f t="shared" si="19"/>
        <v>0.79166666666666674</v>
      </c>
      <c r="AD59" s="22">
        <f>VLOOKUP(A59,'Agent Sched'!B:O,14,)</f>
        <v>0.41666666666666669</v>
      </c>
      <c r="AE59" s="13">
        <f t="shared" si="20"/>
        <v>0.79166666666666674</v>
      </c>
      <c r="AF59" s="24">
        <f>VLOOKUP(A59,'Agent Sched'!B:P,15,)</f>
        <v>0.41666666666666669</v>
      </c>
      <c r="AG59" s="13">
        <f t="shared" si="21"/>
        <v>0.79166666666666674</v>
      </c>
      <c r="AI59" s="26">
        <f>VLOOKUP(A59,'Agent Sched'!$B:$Q,16,)</f>
        <v>0.41666666666666669</v>
      </c>
      <c r="AJ59" s="13">
        <f t="shared" si="22"/>
        <v>0.79166666666666674</v>
      </c>
      <c r="AK59" s="22" t="str">
        <f>VLOOKUP(A59,'Agent Sched'!B:R,17,)</f>
        <v>OFF</v>
      </c>
      <c r="AL59" s="13" t="str">
        <f t="shared" si="23"/>
        <v>OFF</v>
      </c>
      <c r="AM59" s="22" t="str">
        <f>VLOOKUP(A59,'Agent Sched'!B:S,18,)</f>
        <v>OFF</v>
      </c>
      <c r="AN59" s="13" t="str">
        <f t="shared" si="24"/>
        <v>OFF</v>
      </c>
      <c r="AO59" s="22">
        <f>VLOOKUP(A59,'Agent Sched'!B:T,19,)</f>
        <v>0.41666666666666669</v>
      </c>
      <c r="AP59" s="13">
        <f t="shared" si="25"/>
        <v>0.79166666666666674</v>
      </c>
      <c r="AQ59" s="22">
        <f>VLOOKUP(A59,'Agent Sched'!B:U,20,)</f>
        <v>0.41666666666666669</v>
      </c>
      <c r="AR59" s="13">
        <f t="shared" si="26"/>
        <v>0.79166666666666674</v>
      </c>
      <c r="AS59" s="22">
        <f>VLOOKUP(A59,'Agent Sched'!B:V,21,)</f>
        <v>0.41666666666666669</v>
      </c>
      <c r="AT59" s="13">
        <f t="shared" si="27"/>
        <v>0.79166666666666674</v>
      </c>
      <c r="AU59" s="24">
        <f>VLOOKUP(A59,'Agent Sched'!B:W,22,)</f>
        <v>0.41666666666666669</v>
      </c>
      <c r="AV59" s="13">
        <f t="shared" si="28"/>
        <v>0.79166666666666674</v>
      </c>
    </row>
    <row r="60" spans="1:48" ht="15.75" thickBot="1" x14ac:dyDescent="0.3">
      <c r="A60" s="20" t="str">
        <f>IFERROR('Agent Sched'!B61,"-")</f>
        <v>Mary Chris Demafiles</v>
      </c>
      <c r="B60" s="12">
        <f>IFERROR(VLOOKUP(A60,'Agent Sched'!$B:$C,2,),"-")</f>
        <v>0.41666666666666669</v>
      </c>
      <c r="C60" s="13">
        <f t="shared" si="7"/>
        <v>0.79166666666666674</v>
      </c>
      <c r="D60" s="12" t="str">
        <f>IFERROR(VLOOKUP(A60,'Agent Sched'!B:D,3,),"-")</f>
        <v>OFF</v>
      </c>
      <c r="E60" s="13" t="str">
        <f t="shared" si="8"/>
        <v>OFF</v>
      </c>
      <c r="F60" s="12" t="str">
        <f>IFERROR(VLOOKUP(A60,'Agent Sched'!B:E,4,),"-")</f>
        <v>OFF</v>
      </c>
      <c r="G60" s="13" t="str">
        <f t="shared" si="9"/>
        <v>OFF</v>
      </c>
      <c r="H60" s="12">
        <f>IFERROR(VLOOKUP(A60,'Agent Sched'!B:F,5,),"-")</f>
        <v>0.41666666666666669</v>
      </c>
      <c r="I60" s="13">
        <f t="shared" si="10"/>
        <v>0.79166666666666674</v>
      </c>
      <c r="J60" s="12">
        <f>IFERROR(VLOOKUP(A60,'Agent Sched'!B:G,6,),"-")</f>
        <v>0.41666666666666669</v>
      </c>
      <c r="K60" s="13">
        <f t="shared" si="11"/>
        <v>0.79166666666666674</v>
      </c>
      <c r="L60" s="12">
        <f>IFERROR(VLOOKUP(A60,'Agent Sched'!B:H,7,),"-")</f>
        <v>0.41666666666666669</v>
      </c>
      <c r="M60" s="13">
        <f t="shared" si="12"/>
        <v>0.79166666666666674</v>
      </c>
      <c r="N60" s="21">
        <f>IFERROR(VLOOKUP(A60,'Agent Sched'!B:I,8,),"-")</f>
        <v>0.41666666666666669</v>
      </c>
      <c r="O60" s="13">
        <f t="shared" si="13"/>
        <v>0.79166666666666674</v>
      </c>
      <c r="Q60" s="12">
        <f>VLOOKUP(A60,'Agent Sched'!B:Y,24,)</f>
        <v>0.41666666666666669</v>
      </c>
      <c r="R60" s="13">
        <f t="shared" si="14"/>
        <v>0.79166666666666674</v>
      </c>
      <c r="T60" s="26">
        <f>VLOOKUP(A60,'Agent Sched'!$B:$J,9,)</f>
        <v>0.41666666666666669</v>
      </c>
      <c r="U60" s="13">
        <f t="shared" si="15"/>
        <v>0.79166666666666674</v>
      </c>
      <c r="V60" s="22" t="str">
        <f>VLOOKUP(A60,'Agent Sched'!B:K,10,)</f>
        <v>OFF</v>
      </c>
      <c r="W60" s="13" t="str">
        <f t="shared" si="16"/>
        <v>OFF</v>
      </c>
      <c r="X60" s="22" t="str">
        <f>VLOOKUP(A60,'Agent Sched'!B:L,11,)</f>
        <v>OFF</v>
      </c>
      <c r="Y60" s="13" t="str">
        <f t="shared" si="17"/>
        <v>OFF</v>
      </c>
      <c r="Z60" s="22">
        <f>VLOOKUP(A60,'Agent Sched'!B:M,12,)</f>
        <v>0.41666666666666669</v>
      </c>
      <c r="AA60" s="13">
        <f t="shared" si="18"/>
        <v>0.79166666666666674</v>
      </c>
      <c r="AB60" s="22">
        <f>VLOOKUP(A60,'Agent Sched'!B:N,13,)</f>
        <v>0.41666666666666669</v>
      </c>
      <c r="AC60" s="13">
        <f t="shared" si="19"/>
        <v>0.79166666666666674</v>
      </c>
      <c r="AD60" s="22">
        <f>VLOOKUP(A60,'Agent Sched'!B:O,14,)</f>
        <v>0.41666666666666669</v>
      </c>
      <c r="AE60" s="13">
        <f t="shared" si="20"/>
        <v>0.79166666666666674</v>
      </c>
      <c r="AF60" s="24">
        <f>VLOOKUP(A60,'Agent Sched'!B:P,15,)</f>
        <v>0.41666666666666669</v>
      </c>
      <c r="AG60" s="13">
        <f t="shared" si="21"/>
        <v>0.79166666666666674</v>
      </c>
      <c r="AI60" s="26">
        <f>VLOOKUP(A60,'Agent Sched'!$B:$Q,16,)</f>
        <v>0.41666666666666669</v>
      </c>
      <c r="AJ60" s="13">
        <f t="shared" si="22"/>
        <v>0.79166666666666674</v>
      </c>
      <c r="AK60" s="22" t="str">
        <f>VLOOKUP(A60,'Agent Sched'!B:R,17,)</f>
        <v>OFF</v>
      </c>
      <c r="AL60" s="13" t="str">
        <f t="shared" si="23"/>
        <v>OFF</v>
      </c>
      <c r="AM60" s="22" t="str">
        <f>VLOOKUP(A60,'Agent Sched'!B:S,18,)</f>
        <v>OFF</v>
      </c>
      <c r="AN60" s="13" t="str">
        <f t="shared" si="24"/>
        <v>OFF</v>
      </c>
      <c r="AO60" s="22">
        <f>VLOOKUP(A60,'Agent Sched'!B:T,19,)</f>
        <v>0.41666666666666669</v>
      </c>
      <c r="AP60" s="13">
        <f t="shared" si="25"/>
        <v>0.79166666666666674</v>
      </c>
      <c r="AQ60" s="22">
        <f>VLOOKUP(A60,'Agent Sched'!B:U,20,)</f>
        <v>0.41666666666666669</v>
      </c>
      <c r="AR60" s="13">
        <f t="shared" si="26"/>
        <v>0.79166666666666674</v>
      </c>
      <c r="AS60" s="22">
        <f>VLOOKUP(A60,'Agent Sched'!B:V,21,)</f>
        <v>0.41666666666666669</v>
      </c>
      <c r="AT60" s="13">
        <f t="shared" si="27"/>
        <v>0.79166666666666674</v>
      </c>
      <c r="AU60" s="24">
        <f>VLOOKUP(A60,'Agent Sched'!B:W,22,)</f>
        <v>0.41666666666666669</v>
      </c>
      <c r="AV60" s="13">
        <f t="shared" si="28"/>
        <v>0.79166666666666674</v>
      </c>
    </row>
    <row r="61" spans="1:48" ht="15.75" thickBot="1" x14ac:dyDescent="0.3">
      <c r="A61" s="20" t="str">
        <f>IFERROR('Agent Sched'!B62,"-")</f>
        <v>Stephanie Ancheta</v>
      </c>
      <c r="B61" s="12">
        <f>IFERROR(VLOOKUP(A61,'Agent Sched'!$B:$C,2,),"-")</f>
        <v>0.41666666666666669</v>
      </c>
      <c r="C61" s="13">
        <f t="shared" si="7"/>
        <v>0.79166666666666674</v>
      </c>
      <c r="D61" s="12" t="str">
        <f>IFERROR(VLOOKUP(A61,'Agent Sched'!B:D,3,),"-")</f>
        <v>OFF</v>
      </c>
      <c r="E61" s="13" t="str">
        <f t="shared" si="8"/>
        <v>OFF</v>
      </c>
      <c r="F61" s="12" t="str">
        <f>IFERROR(VLOOKUP(A61,'Agent Sched'!B:E,4,),"-")</f>
        <v>OFF</v>
      </c>
      <c r="G61" s="13" t="str">
        <f t="shared" si="9"/>
        <v>OFF</v>
      </c>
      <c r="H61" s="12">
        <f>IFERROR(VLOOKUP(A61,'Agent Sched'!B:F,5,),"-")</f>
        <v>0.41666666666666669</v>
      </c>
      <c r="I61" s="13">
        <f t="shared" si="10"/>
        <v>0.79166666666666674</v>
      </c>
      <c r="J61" s="12">
        <f>IFERROR(VLOOKUP(A61,'Agent Sched'!B:G,6,),"-")</f>
        <v>0.41666666666666669</v>
      </c>
      <c r="K61" s="13">
        <f t="shared" si="11"/>
        <v>0.79166666666666674</v>
      </c>
      <c r="L61" s="12">
        <f>IFERROR(VLOOKUP(A61,'Agent Sched'!B:H,7,),"-")</f>
        <v>0.41666666666666669</v>
      </c>
      <c r="M61" s="13">
        <f t="shared" si="12"/>
        <v>0.79166666666666674</v>
      </c>
      <c r="N61" s="21">
        <f>IFERROR(VLOOKUP(A61,'Agent Sched'!B:I,8,),"-")</f>
        <v>0.41666666666666669</v>
      </c>
      <c r="O61" s="13">
        <f t="shared" si="13"/>
        <v>0.79166666666666674</v>
      </c>
      <c r="Q61" s="12">
        <f>VLOOKUP(A61,'Agent Sched'!B:Y,24,)</f>
        <v>0.41666666666666669</v>
      </c>
      <c r="R61" s="13">
        <f t="shared" si="14"/>
        <v>0.79166666666666674</v>
      </c>
      <c r="T61" s="26">
        <f>VLOOKUP(A61,'Agent Sched'!$B:$J,9,)</f>
        <v>0.41666666666666669</v>
      </c>
      <c r="U61" s="13">
        <f t="shared" si="15"/>
        <v>0.79166666666666674</v>
      </c>
      <c r="V61" s="22" t="str">
        <f>VLOOKUP(A61,'Agent Sched'!B:K,10,)</f>
        <v>OFF</v>
      </c>
      <c r="W61" s="13" t="str">
        <f t="shared" si="16"/>
        <v>OFF</v>
      </c>
      <c r="X61" s="22" t="str">
        <f>VLOOKUP(A61,'Agent Sched'!B:L,11,)</f>
        <v>OFF</v>
      </c>
      <c r="Y61" s="13" t="str">
        <f t="shared" si="17"/>
        <v>OFF</v>
      </c>
      <c r="Z61" s="22">
        <f>VLOOKUP(A61,'Agent Sched'!B:M,12,)</f>
        <v>0.41666666666666669</v>
      </c>
      <c r="AA61" s="13">
        <f t="shared" si="18"/>
        <v>0.79166666666666674</v>
      </c>
      <c r="AB61" s="22">
        <f>VLOOKUP(A61,'Agent Sched'!B:N,13,)</f>
        <v>0.41666666666666669</v>
      </c>
      <c r="AC61" s="13">
        <f t="shared" si="19"/>
        <v>0.79166666666666674</v>
      </c>
      <c r="AD61" s="22">
        <f>VLOOKUP(A61,'Agent Sched'!B:O,14,)</f>
        <v>0.41666666666666669</v>
      </c>
      <c r="AE61" s="13">
        <f t="shared" si="20"/>
        <v>0.79166666666666674</v>
      </c>
      <c r="AF61" s="24">
        <f>VLOOKUP(A61,'Agent Sched'!B:P,15,)</f>
        <v>0.41666666666666669</v>
      </c>
      <c r="AG61" s="13">
        <f t="shared" si="21"/>
        <v>0.79166666666666674</v>
      </c>
      <c r="AI61" s="26">
        <f>VLOOKUP(A61,'Agent Sched'!$B:$Q,16,)</f>
        <v>0.41666666666666669</v>
      </c>
      <c r="AJ61" s="13">
        <f t="shared" si="22"/>
        <v>0.79166666666666674</v>
      </c>
      <c r="AK61" s="22" t="str">
        <f>VLOOKUP(A61,'Agent Sched'!B:R,17,)</f>
        <v>OFF</v>
      </c>
      <c r="AL61" s="13" t="str">
        <f t="shared" si="23"/>
        <v>OFF</v>
      </c>
      <c r="AM61" s="22" t="str">
        <f>VLOOKUP(A61,'Agent Sched'!B:S,18,)</f>
        <v>OFF</v>
      </c>
      <c r="AN61" s="13" t="str">
        <f t="shared" si="24"/>
        <v>OFF</v>
      </c>
      <c r="AO61" s="22">
        <f>VLOOKUP(A61,'Agent Sched'!B:T,19,)</f>
        <v>0.41666666666666669</v>
      </c>
      <c r="AP61" s="13">
        <f t="shared" si="25"/>
        <v>0.79166666666666674</v>
      </c>
      <c r="AQ61" s="22">
        <f>VLOOKUP(A61,'Agent Sched'!B:U,20,)</f>
        <v>0.41666666666666669</v>
      </c>
      <c r="AR61" s="13">
        <f t="shared" si="26"/>
        <v>0.79166666666666674</v>
      </c>
      <c r="AS61" s="22">
        <f>VLOOKUP(A61,'Agent Sched'!B:V,21,)</f>
        <v>0.41666666666666669</v>
      </c>
      <c r="AT61" s="13">
        <f t="shared" si="27"/>
        <v>0.79166666666666674</v>
      </c>
      <c r="AU61" s="24">
        <f>VLOOKUP(A61,'Agent Sched'!B:W,22,)</f>
        <v>0.41666666666666669</v>
      </c>
      <c r="AV61" s="13">
        <f t="shared" si="28"/>
        <v>0.79166666666666674</v>
      </c>
    </row>
    <row r="62" spans="1:48" ht="15.75" thickBot="1" x14ac:dyDescent="0.3">
      <c r="A62" s="20" t="str">
        <f>IFERROR('Agent Sched'!B63,"-")</f>
        <v>Eunice Jael Ruedas</v>
      </c>
      <c r="B62" s="12">
        <f>IFERROR(VLOOKUP(A62,'Agent Sched'!$B:$C,2,),"-")</f>
        <v>0.41666666666666669</v>
      </c>
      <c r="C62" s="13">
        <f t="shared" si="7"/>
        <v>0.79166666666666674</v>
      </c>
      <c r="D62" s="12" t="str">
        <f>IFERROR(VLOOKUP(A62,'Agent Sched'!B:D,3,),"-")</f>
        <v>OFF</v>
      </c>
      <c r="E62" s="13" t="str">
        <f t="shared" si="8"/>
        <v>OFF</v>
      </c>
      <c r="F62" s="12" t="str">
        <f>IFERROR(VLOOKUP(A62,'Agent Sched'!B:E,4,),"-")</f>
        <v>OFF</v>
      </c>
      <c r="G62" s="13" t="str">
        <f t="shared" si="9"/>
        <v>OFF</v>
      </c>
      <c r="H62" s="12">
        <f>IFERROR(VLOOKUP(A62,'Agent Sched'!B:F,5,),"-")</f>
        <v>0.41666666666666669</v>
      </c>
      <c r="I62" s="13">
        <f t="shared" si="10"/>
        <v>0.79166666666666674</v>
      </c>
      <c r="J62" s="12">
        <f>IFERROR(VLOOKUP(A62,'Agent Sched'!B:G,6,),"-")</f>
        <v>0.41666666666666669</v>
      </c>
      <c r="K62" s="13">
        <f t="shared" si="11"/>
        <v>0.79166666666666674</v>
      </c>
      <c r="L62" s="12">
        <f>IFERROR(VLOOKUP(A62,'Agent Sched'!B:H,7,),"-")</f>
        <v>0.41666666666666669</v>
      </c>
      <c r="M62" s="13">
        <f t="shared" si="12"/>
        <v>0.79166666666666674</v>
      </c>
      <c r="N62" s="21">
        <f>IFERROR(VLOOKUP(A62,'Agent Sched'!B:I,8,),"-")</f>
        <v>0.41666666666666669</v>
      </c>
      <c r="O62" s="13">
        <f t="shared" si="13"/>
        <v>0.79166666666666674</v>
      </c>
      <c r="Q62" s="12">
        <f>VLOOKUP(A62,'Agent Sched'!B:Y,24,)</f>
        <v>0.41666666666666669</v>
      </c>
      <c r="R62" s="13">
        <f t="shared" si="14"/>
        <v>0.79166666666666674</v>
      </c>
      <c r="T62" s="26">
        <f>VLOOKUP(A62,'Agent Sched'!$B:$J,9,)</f>
        <v>0.41666666666666669</v>
      </c>
      <c r="U62" s="13">
        <f t="shared" si="15"/>
        <v>0.79166666666666674</v>
      </c>
      <c r="V62" s="22" t="str">
        <f>VLOOKUP(A62,'Agent Sched'!B:K,10,)</f>
        <v>OFF</v>
      </c>
      <c r="W62" s="13" t="str">
        <f t="shared" si="16"/>
        <v>OFF</v>
      </c>
      <c r="X62" s="22" t="str">
        <f>VLOOKUP(A62,'Agent Sched'!B:L,11,)</f>
        <v>OFF</v>
      </c>
      <c r="Y62" s="13" t="str">
        <f t="shared" si="17"/>
        <v>OFF</v>
      </c>
      <c r="Z62" s="22">
        <f>VLOOKUP(A62,'Agent Sched'!B:M,12,)</f>
        <v>0.41666666666666669</v>
      </c>
      <c r="AA62" s="13">
        <f t="shared" si="18"/>
        <v>0.79166666666666674</v>
      </c>
      <c r="AB62" s="22">
        <f>VLOOKUP(A62,'Agent Sched'!B:N,13,)</f>
        <v>0.41666666666666669</v>
      </c>
      <c r="AC62" s="13">
        <f t="shared" si="19"/>
        <v>0.79166666666666674</v>
      </c>
      <c r="AD62" s="22">
        <f>VLOOKUP(A62,'Agent Sched'!B:O,14,)</f>
        <v>0.41666666666666669</v>
      </c>
      <c r="AE62" s="13">
        <f t="shared" si="20"/>
        <v>0.79166666666666674</v>
      </c>
      <c r="AF62" s="24">
        <f>VLOOKUP(A62,'Agent Sched'!B:P,15,)</f>
        <v>0.41666666666666669</v>
      </c>
      <c r="AG62" s="13">
        <f t="shared" si="21"/>
        <v>0.79166666666666674</v>
      </c>
      <c r="AI62" s="26">
        <f>VLOOKUP(A62,'Agent Sched'!$B:$Q,16,)</f>
        <v>0.41666666666666669</v>
      </c>
      <c r="AJ62" s="13">
        <f t="shared" si="22"/>
        <v>0.79166666666666674</v>
      </c>
      <c r="AK62" s="22" t="str">
        <f>VLOOKUP(A62,'Agent Sched'!B:R,17,)</f>
        <v>OFF</v>
      </c>
      <c r="AL62" s="13" t="str">
        <f t="shared" si="23"/>
        <v>OFF</v>
      </c>
      <c r="AM62" s="22" t="str">
        <f>VLOOKUP(A62,'Agent Sched'!B:S,18,)</f>
        <v>OFF</v>
      </c>
      <c r="AN62" s="13" t="str">
        <f t="shared" si="24"/>
        <v>OFF</v>
      </c>
      <c r="AO62" s="22">
        <f>VLOOKUP(A62,'Agent Sched'!B:T,19,)</f>
        <v>0.41666666666666669</v>
      </c>
      <c r="AP62" s="13">
        <f t="shared" si="25"/>
        <v>0.79166666666666674</v>
      </c>
      <c r="AQ62" s="22">
        <f>VLOOKUP(A62,'Agent Sched'!B:U,20,)</f>
        <v>0.41666666666666669</v>
      </c>
      <c r="AR62" s="13">
        <f t="shared" si="26"/>
        <v>0.79166666666666674</v>
      </c>
      <c r="AS62" s="22">
        <f>VLOOKUP(A62,'Agent Sched'!B:V,21,)</f>
        <v>0.41666666666666669</v>
      </c>
      <c r="AT62" s="13">
        <f t="shared" si="27"/>
        <v>0.79166666666666674</v>
      </c>
      <c r="AU62" s="24">
        <f>VLOOKUP(A62,'Agent Sched'!B:W,22,)</f>
        <v>0.41666666666666669</v>
      </c>
      <c r="AV62" s="13">
        <f t="shared" si="28"/>
        <v>0.79166666666666674</v>
      </c>
    </row>
    <row r="63" spans="1:48" ht="15.75" thickBot="1" x14ac:dyDescent="0.3">
      <c r="A63" s="20" t="str">
        <f>IFERROR('Agent Sched'!B64,"-")</f>
        <v>Marnie David</v>
      </c>
      <c r="B63" s="12">
        <f>IFERROR(VLOOKUP(A63,'Agent Sched'!$B:$C,2,),"-")</f>
        <v>0.41666666666666669</v>
      </c>
      <c r="C63" s="13">
        <f t="shared" si="7"/>
        <v>0.79166666666666674</v>
      </c>
      <c r="D63" s="12" t="str">
        <f>IFERROR(VLOOKUP(A63,'Agent Sched'!B:D,3,),"-")</f>
        <v>OFF</v>
      </c>
      <c r="E63" s="13" t="str">
        <f t="shared" si="8"/>
        <v>OFF</v>
      </c>
      <c r="F63" s="12" t="str">
        <f>IFERROR(VLOOKUP(A63,'Agent Sched'!B:E,4,),"-")</f>
        <v>OFF</v>
      </c>
      <c r="G63" s="13" t="str">
        <f t="shared" si="9"/>
        <v>OFF</v>
      </c>
      <c r="H63" s="12">
        <f>IFERROR(VLOOKUP(A63,'Agent Sched'!B:F,5,),"-")</f>
        <v>0.41666666666666669</v>
      </c>
      <c r="I63" s="13">
        <f t="shared" si="10"/>
        <v>0.79166666666666674</v>
      </c>
      <c r="J63" s="12">
        <f>IFERROR(VLOOKUP(A63,'Agent Sched'!B:G,6,),"-")</f>
        <v>0.41666666666666669</v>
      </c>
      <c r="K63" s="13">
        <f t="shared" si="11"/>
        <v>0.79166666666666674</v>
      </c>
      <c r="L63" s="12">
        <f>IFERROR(VLOOKUP(A63,'Agent Sched'!B:H,7,),"-")</f>
        <v>0.41666666666666669</v>
      </c>
      <c r="M63" s="13">
        <f t="shared" si="12"/>
        <v>0.79166666666666674</v>
      </c>
      <c r="N63" s="21">
        <f>IFERROR(VLOOKUP(A63,'Agent Sched'!B:I,8,),"-")</f>
        <v>0.41666666666666669</v>
      </c>
      <c r="O63" s="13">
        <f t="shared" si="13"/>
        <v>0.79166666666666674</v>
      </c>
      <c r="Q63" s="12">
        <f>VLOOKUP(A63,'Agent Sched'!B:Y,24,)</f>
        <v>0.41666666666666669</v>
      </c>
      <c r="R63" s="13">
        <f t="shared" si="14"/>
        <v>0.79166666666666674</v>
      </c>
      <c r="T63" s="26">
        <f>VLOOKUP(A63,'Agent Sched'!$B:$J,9,)</f>
        <v>0.41666666666666669</v>
      </c>
      <c r="U63" s="13">
        <f t="shared" si="15"/>
        <v>0.79166666666666674</v>
      </c>
      <c r="V63" s="22" t="str">
        <f>VLOOKUP(A63,'Agent Sched'!B:K,10,)</f>
        <v>OFF</v>
      </c>
      <c r="W63" s="13" t="str">
        <f t="shared" si="16"/>
        <v>OFF</v>
      </c>
      <c r="X63" s="22" t="str">
        <f>VLOOKUP(A63,'Agent Sched'!B:L,11,)</f>
        <v>OFF</v>
      </c>
      <c r="Y63" s="13" t="str">
        <f t="shared" si="17"/>
        <v>OFF</v>
      </c>
      <c r="Z63" s="22">
        <f>VLOOKUP(A63,'Agent Sched'!B:M,12,)</f>
        <v>0.41666666666666669</v>
      </c>
      <c r="AA63" s="13">
        <f t="shared" si="18"/>
        <v>0.79166666666666674</v>
      </c>
      <c r="AB63" s="22">
        <f>VLOOKUP(A63,'Agent Sched'!B:N,13,)</f>
        <v>0.41666666666666669</v>
      </c>
      <c r="AC63" s="13">
        <f t="shared" si="19"/>
        <v>0.79166666666666674</v>
      </c>
      <c r="AD63" s="22">
        <f>VLOOKUP(A63,'Agent Sched'!B:O,14,)</f>
        <v>0.41666666666666669</v>
      </c>
      <c r="AE63" s="13">
        <f t="shared" si="20"/>
        <v>0.79166666666666674</v>
      </c>
      <c r="AF63" s="24">
        <f>VLOOKUP(A63,'Agent Sched'!B:P,15,)</f>
        <v>0.41666666666666669</v>
      </c>
      <c r="AG63" s="13">
        <f t="shared" si="21"/>
        <v>0.79166666666666674</v>
      </c>
      <c r="AI63" s="26">
        <f>VLOOKUP(A63,'Agent Sched'!$B:$Q,16,)</f>
        <v>0.41666666666666669</v>
      </c>
      <c r="AJ63" s="13">
        <f t="shared" si="22"/>
        <v>0.79166666666666674</v>
      </c>
      <c r="AK63" s="22" t="str">
        <f>VLOOKUP(A63,'Agent Sched'!B:R,17,)</f>
        <v>OFF</v>
      </c>
      <c r="AL63" s="13" t="str">
        <f t="shared" si="23"/>
        <v>OFF</v>
      </c>
      <c r="AM63" s="22" t="str">
        <f>VLOOKUP(A63,'Agent Sched'!B:S,18,)</f>
        <v>OFF</v>
      </c>
      <c r="AN63" s="13" t="str">
        <f t="shared" si="24"/>
        <v>OFF</v>
      </c>
      <c r="AO63" s="22">
        <f>VLOOKUP(A63,'Agent Sched'!B:T,19,)</f>
        <v>0.41666666666666669</v>
      </c>
      <c r="AP63" s="13">
        <f t="shared" si="25"/>
        <v>0.79166666666666674</v>
      </c>
      <c r="AQ63" s="22">
        <f>VLOOKUP(A63,'Agent Sched'!B:U,20,)</f>
        <v>0.41666666666666669</v>
      </c>
      <c r="AR63" s="13">
        <f t="shared" si="26"/>
        <v>0.79166666666666674</v>
      </c>
      <c r="AS63" s="22">
        <f>VLOOKUP(A63,'Agent Sched'!B:V,21,)</f>
        <v>0.41666666666666669</v>
      </c>
      <c r="AT63" s="13">
        <f t="shared" si="27"/>
        <v>0.79166666666666674</v>
      </c>
      <c r="AU63" s="24">
        <f>VLOOKUP(A63,'Agent Sched'!B:W,22,)</f>
        <v>0.41666666666666669</v>
      </c>
      <c r="AV63" s="13">
        <f t="shared" si="28"/>
        <v>0.79166666666666674</v>
      </c>
    </row>
    <row r="64" spans="1:48" ht="15.75" thickBot="1" x14ac:dyDescent="0.3">
      <c r="A64" s="20" t="str">
        <f>IFERROR('Agent Sched'!B65,"-")</f>
        <v>Marilyn Victorino</v>
      </c>
      <c r="B64" s="12">
        <f>IFERROR(VLOOKUP(A64,'Agent Sched'!$B:$C,2,),"-")</f>
        <v>0.41666666666666669</v>
      </c>
      <c r="C64" s="13">
        <f t="shared" si="7"/>
        <v>0.79166666666666674</v>
      </c>
      <c r="D64" s="12" t="str">
        <f>IFERROR(VLOOKUP(A64,'Agent Sched'!B:D,3,),"-")</f>
        <v>OFF</v>
      </c>
      <c r="E64" s="13" t="str">
        <f t="shared" si="8"/>
        <v>OFF</v>
      </c>
      <c r="F64" s="12" t="str">
        <f>IFERROR(VLOOKUP(A64,'Agent Sched'!B:E,4,),"-")</f>
        <v>OFF</v>
      </c>
      <c r="G64" s="13" t="str">
        <f t="shared" si="9"/>
        <v>OFF</v>
      </c>
      <c r="H64" s="12">
        <f>IFERROR(VLOOKUP(A64,'Agent Sched'!B:F,5,),"-")</f>
        <v>0.41666666666666669</v>
      </c>
      <c r="I64" s="13">
        <f t="shared" si="10"/>
        <v>0.79166666666666674</v>
      </c>
      <c r="J64" s="12">
        <f>IFERROR(VLOOKUP(A64,'Agent Sched'!B:G,6,),"-")</f>
        <v>0.41666666666666669</v>
      </c>
      <c r="K64" s="13">
        <f t="shared" si="11"/>
        <v>0.79166666666666674</v>
      </c>
      <c r="L64" s="12">
        <f>IFERROR(VLOOKUP(A64,'Agent Sched'!B:H,7,),"-")</f>
        <v>0.41666666666666669</v>
      </c>
      <c r="M64" s="13">
        <f t="shared" si="12"/>
        <v>0.79166666666666674</v>
      </c>
      <c r="N64" s="21">
        <f>IFERROR(VLOOKUP(A64,'Agent Sched'!B:I,8,),"-")</f>
        <v>0.41666666666666669</v>
      </c>
      <c r="O64" s="13">
        <f t="shared" si="13"/>
        <v>0.79166666666666674</v>
      </c>
      <c r="Q64" s="12">
        <f>VLOOKUP(A64,'Agent Sched'!B:Y,24,)</f>
        <v>0.41666666666666669</v>
      </c>
      <c r="R64" s="13">
        <f t="shared" si="14"/>
        <v>0.79166666666666674</v>
      </c>
      <c r="T64" s="26">
        <f>VLOOKUP(A64,'Agent Sched'!$B:$J,9,)</f>
        <v>0.41666666666666669</v>
      </c>
      <c r="U64" s="13">
        <f t="shared" si="15"/>
        <v>0.79166666666666674</v>
      </c>
      <c r="V64" s="22" t="str">
        <f>VLOOKUP(A64,'Agent Sched'!B:K,10,)</f>
        <v>OFF</v>
      </c>
      <c r="W64" s="13" t="str">
        <f t="shared" si="16"/>
        <v>OFF</v>
      </c>
      <c r="X64" s="22" t="str">
        <f>VLOOKUP(A64,'Agent Sched'!B:L,11,)</f>
        <v>OFF</v>
      </c>
      <c r="Y64" s="13" t="str">
        <f t="shared" si="17"/>
        <v>OFF</v>
      </c>
      <c r="Z64" s="22">
        <f>VLOOKUP(A64,'Agent Sched'!B:M,12,)</f>
        <v>0.41666666666666669</v>
      </c>
      <c r="AA64" s="13">
        <f t="shared" si="18"/>
        <v>0.79166666666666674</v>
      </c>
      <c r="AB64" s="22">
        <f>VLOOKUP(A64,'Agent Sched'!B:N,13,)</f>
        <v>0.41666666666666669</v>
      </c>
      <c r="AC64" s="13">
        <f t="shared" si="19"/>
        <v>0.79166666666666674</v>
      </c>
      <c r="AD64" s="22">
        <f>VLOOKUP(A64,'Agent Sched'!B:O,14,)</f>
        <v>0.41666666666666669</v>
      </c>
      <c r="AE64" s="13">
        <f t="shared" si="20"/>
        <v>0.79166666666666674</v>
      </c>
      <c r="AF64" s="24">
        <f>VLOOKUP(A64,'Agent Sched'!B:P,15,)</f>
        <v>0.41666666666666669</v>
      </c>
      <c r="AG64" s="13">
        <f t="shared" si="21"/>
        <v>0.79166666666666674</v>
      </c>
      <c r="AI64" s="26">
        <f>VLOOKUP(A64,'Agent Sched'!$B:$Q,16,)</f>
        <v>0.41666666666666669</v>
      </c>
      <c r="AJ64" s="13">
        <f t="shared" si="22"/>
        <v>0.79166666666666674</v>
      </c>
      <c r="AK64" s="22" t="str">
        <f>VLOOKUP(A64,'Agent Sched'!B:R,17,)</f>
        <v>OFF</v>
      </c>
      <c r="AL64" s="13" t="str">
        <f t="shared" si="23"/>
        <v>OFF</v>
      </c>
      <c r="AM64" s="22" t="str">
        <f>VLOOKUP(A64,'Agent Sched'!B:S,18,)</f>
        <v>OFF</v>
      </c>
      <c r="AN64" s="13" t="str">
        <f t="shared" si="24"/>
        <v>OFF</v>
      </c>
      <c r="AO64" s="22">
        <f>VLOOKUP(A64,'Agent Sched'!B:T,19,)</f>
        <v>0.41666666666666669</v>
      </c>
      <c r="AP64" s="13">
        <f t="shared" si="25"/>
        <v>0.79166666666666674</v>
      </c>
      <c r="AQ64" s="22">
        <f>VLOOKUP(A64,'Agent Sched'!B:U,20,)</f>
        <v>0.41666666666666669</v>
      </c>
      <c r="AR64" s="13">
        <f t="shared" si="26"/>
        <v>0.79166666666666674</v>
      </c>
      <c r="AS64" s="22">
        <f>VLOOKUP(A64,'Agent Sched'!B:V,21,)</f>
        <v>0.41666666666666669</v>
      </c>
      <c r="AT64" s="13">
        <f t="shared" si="27"/>
        <v>0.79166666666666674</v>
      </c>
      <c r="AU64" s="24">
        <f>VLOOKUP(A64,'Agent Sched'!B:W,22,)</f>
        <v>0.41666666666666669</v>
      </c>
      <c r="AV64" s="13">
        <f t="shared" si="28"/>
        <v>0.79166666666666674</v>
      </c>
    </row>
    <row r="65" spans="1:48" ht="15.75" thickBot="1" x14ac:dyDescent="0.3">
      <c r="A65" s="20" t="str">
        <f>IFERROR('Agent Sched'!B66,"-")</f>
        <v>Rufino Cateron</v>
      </c>
      <c r="B65" s="12">
        <f>IFERROR(VLOOKUP(A65,'Agent Sched'!$B:$C,2,),"-")</f>
        <v>0.41666666666666669</v>
      </c>
      <c r="C65" s="13">
        <f t="shared" si="7"/>
        <v>0.79166666666666674</v>
      </c>
      <c r="D65" s="12" t="str">
        <f>IFERROR(VLOOKUP(A65,'Agent Sched'!B:D,3,),"-")</f>
        <v>OFF</v>
      </c>
      <c r="E65" s="13" t="str">
        <f t="shared" si="8"/>
        <v>OFF</v>
      </c>
      <c r="F65" s="12" t="str">
        <f>IFERROR(VLOOKUP(A65,'Agent Sched'!B:E,4,),"-")</f>
        <v>OFF</v>
      </c>
      <c r="G65" s="13" t="str">
        <f t="shared" si="9"/>
        <v>OFF</v>
      </c>
      <c r="H65" s="12">
        <f>IFERROR(VLOOKUP(A65,'Agent Sched'!B:F,5,),"-")</f>
        <v>0.41666666666666669</v>
      </c>
      <c r="I65" s="13">
        <f t="shared" si="10"/>
        <v>0.79166666666666674</v>
      </c>
      <c r="J65" s="12">
        <f>IFERROR(VLOOKUP(A65,'Agent Sched'!B:G,6,),"-")</f>
        <v>0.41666666666666669</v>
      </c>
      <c r="K65" s="13">
        <f t="shared" si="11"/>
        <v>0.79166666666666674</v>
      </c>
      <c r="L65" s="12">
        <f>IFERROR(VLOOKUP(A65,'Agent Sched'!B:H,7,),"-")</f>
        <v>0.41666666666666669</v>
      </c>
      <c r="M65" s="13">
        <f t="shared" si="12"/>
        <v>0.79166666666666674</v>
      </c>
      <c r="N65" s="21">
        <f>IFERROR(VLOOKUP(A65,'Agent Sched'!B:I,8,),"-")</f>
        <v>0.41666666666666669</v>
      </c>
      <c r="O65" s="13">
        <f t="shared" si="13"/>
        <v>0.79166666666666674</v>
      </c>
      <c r="Q65" s="12">
        <f>VLOOKUP(A65,'Agent Sched'!B:Y,24,)</f>
        <v>0.41666666666666669</v>
      </c>
      <c r="R65" s="13">
        <f t="shared" si="14"/>
        <v>0.79166666666666674</v>
      </c>
      <c r="T65" s="26">
        <f>VLOOKUP(A65,'Agent Sched'!$B:$J,9,)</f>
        <v>0.41666666666666669</v>
      </c>
      <c r="U65" s="13">
        <f t="shared" si="15"/>
        <v>0.79166666666666674</v>
      </c>
      <c r="V65" s="22" t="str">
        <f>VLOOKUP(A65,'Agent Sched'!B:K,10,)</f>
        <v>OFF</v>
      </c>
      <c r="W65" s="13" t="str">
        <f t="shared" si="16"/>
        <v>OFF</v>
      </c>
      <c r="X65" s="22" t="str">
        <f>VLOOKUP(A65,'Agent Sched'!B:L,11,)</f>
        <v>OFF</v>
      </c>
      <c r="Y65" s="13" t="str">
        <f t="shared" si="17"/>
        <v>OFF</v>
      </c>
      <c r="Z65" s="22">
        <f>VLOOKUP(A65,'Agent Sched'!B:M,12,)</f>
        <v>0.41666666666666669</v>
      </c>
      <c r="AA65" s="13">
        <f t="shared" si="18"/>
        <v>0.79166666666666674</v>
      </c>
      <c r="AB65" s="22">
        <f>VLOOKUP(A65,'Agent Sched'!B:N,13,)</f>
        <v>0.41666666666666669</v>
      </c>
      <c r="AC65" s="13">
        <f t="shared" si="19"/>
        <v>0.79166666666666674</v>
      </c>
      <c r="AD65" s="22">
        <f>VLOOKUP(A65,'Agent Sched'!B:O,14,)</f>
        <v>0.41666666666666669</v>
      </c>
      <c r="AE65" s="13">
        <f t="shared" si="20"/>
        <v>0.79166666666666674</v>
      </c>
      <c r="AF65" s="24">
        <f>VLOOKUP(A65,'Agent Sched'!B:P,15,)</f>
        <v>0.41666666666666669</v>
      </c>
      <c r="AG65" s="13">
        <f t="shared" si="21"/>
        <v>0.79166666666666674</v>
      </c>
      <c r="AI65" s="26">
        <f>VLOOKUP(A65,'Agent Sched'!$B:$Q,16,)</f>
        <v>0.41666666666666669</v>
      </c>
      <c r="AJ65" s="13">
        <f t="shared" si="22"/>
        <v>0.79166666666666674</v>
      </c>
      <c r="AK65" s="22" t="str">
        <f>VLOOKUP(A65,'Agent Sched'!B:R,17,)</f>
        <v>OFF</v>
      </c>
      <c r="AL65" s="13" t="str">
        <f t="shared" si="23"/>
        <v>OFF</v>
      </c>
      <c r="AM65" s="22" t="str">
        <f>VLOOKUP(A65,'Agent Sched'!B:S,18,)</f>
        <v>OFF</v>
      </c>
      <c r="AN65" s="13" t="str">
        <f t="shared" si="24"/>
        <v>OFF</v>
      </c>
      <c r="AO65" s="22">
        <f>VLOOKUP(A65,'Agent Sched'!B:T,19,)</f>
        <v>0.41666666666666669</v>
      </c>
      <c r="AP65" s="13">
        <f t="shared" si="25"/>
        <v>0.79166666666666674</v>
      </c>
      <c r="AQ65" s="22">
        <f>VLOOKUP(A65,'Agent Sched'!B:U,20,)</f>
        <v>0.41666666666666669</v>
      </c>
      <c r="AR65" s="13">
        <f t="shared" si="26"/>
        <v>0.79166666666666674</v>
      </c>
      <c r="AS65" s="22">
        <f>VLOOKUP(A65,'Agent Sched'!B:V,21,)</f>
        <v>0.41666666666666669</v>
      </c>
      <c r="AT65" s="13">
        <f t="shared" si="27"/>
        <v>0.79166666666666674</v>
      </c>
      <c r="AU65" s="24">
        <f>VLOOKUP(A65,'Agent Sched'!B:W,22,)</f>
        <v>0.41666666666666669</v>
      </c>
      <c r="AV65" s="13">
        <f t="shared" si="28"/>
        <v>0.79166666666666674</v>
      </c>
    </row>
    <row r="66" spans="1:48" ht="15.75" thickBot="1" x14ac:dyDescent="0.3">
      <c r="A66" s="20" t="str">
        <f>IFERROR('Agent Sched'!B67,"-")</f>
        <v>Valerie San Vicente</v>
      </c>
      <c r="B66" s="12">
        <f>IFERROR(VLOOKUP(A66,'Agent Sched'!$B:$C,2,),"-")</f>
        <v>0.41666666666666669</v>
      </c>
      <c r="C66" s="13">
        <f t="shared" si="7"/>
        <v>0.79166666666666674</v>
      </c>
      <c r="D66" s="12" t="str">
        <f>IFERROR(VLOOKUP(A66,'Agent Sched'!B:D,3,),"-")</f>
        <v>OFF</v>
      </c>
      <c r="E66" s="13" t="str">
        <f t="shared" si="8"/>
        <v>OFF</v>
      </c>
      <c r="F66" s="12" t="str">
        <f>IFERROR(VLOOKUP(A66,'Agent Sched'!B:E,4,),"-")</f>
        <v>OFF</v>
      </c>
      <c r="G66" s="13" t="str">
        <f t="shared" si="9"/>
        <v>OFF</v>
      </c>
      <c r="H66" s="12">
        <f>IFERROR(VLOOKUP(A66,'Agent Sched'!B:F,5,),"-")</f>
        <v>0.41666666666666669</v>
      </c>
      <c r="I66" s="13">
        <f t="shared" si="10"/>
        <v>0.79166666666666674</v>
      </c>
      <c r="J66" s="12">
        <f>IFERROR(VLOOKUP(A66,'Agent Sched'!B:G,6,),"-")</f>
        <v>0.41666666666666669</v>
      </c>
      <c r="K66" s="13">
        <f t="shared" si="11"/>
        <v>0.79166666666666674</v>
      </c>
      <c r="L66" s="12">
        <f>IFERROR(VLOOKUP(A66,'Agent Sched'!B:H,7,),"-")</f>
        <v>0.41666666666666669</v>
      </c>
      <c r="M66" s="13">
        <f t="shared" si="12"/>
        <v>0.79166666666666674</v>
      </c>
      <c r="N66" s="21">
        <f>IFERROR(VLOOKUP(A66,'Agent Sched'!B:I,8,),"-")</f>
        <v>0.41666666666666669</v>
      </c>
      <c r="O66" s="13">
        <f t="shared" si="13"/>
        <v>0.79166666666666674</v>
      </c>
      <c r="Q66" s="12">
        <f>VLOOKUP(A66,'Agent Sched'!B:Y,24,)</f>
        <v>0.41666666666666669</v>
      </c>
      <c r="R66" s="13">
        <f t="shared" si="14"/>
        <v>0.79166666666666674</v>
      </c>
      <c r="T66" s="26">
        <f>VLOOKUP(A66,'Agent Sched'!$B:$J,9,)</f>
        <v>0.41666666666666669</v>
      </c>
      <c r="U66" s="13">
        <f t="shared" si="15"/>
        <v>0.79166666666666674</v>
      </c>
      <c r="V66" s="22" t="str">
        <f>VLOOKUP(A66,'Agent Sched'!B:K,10,)</f>
        <v>OFF</v>
      </c>
      <c r="W66" s="13" t="str">
        <f t="shared" si="16"/>
        <v>OFF</v>
      </c>
      <c r="X66" s="22" t="str">
        <f>VLOOKUP(A66,'Agent Sched'!B:L,11,)</f>
        <v>OFF</v>
      </c>
      <c r="Y66" s="13" t="str">
        <f t="shared" si="17"/>
        <v>OFF</v>
      </c>
      <c r="Z66" s="22">
        <f>VLOOKUP(A66,'Agent Sched'!B:M,12,)</f>
        <v>0.41666666666666669</v>
      </c>
      <c r="AA66" s="13">
        <f t="shared" si="18"/>
        <v>0.79166666666666674</v>
      </c>
      <c r="AB66" s="22">
        <f>VLOOKUP(A66,'Agent Sched'!B:N,13,)</f>
        <v>0.41666666666666669</v>
      </c>
      <c r="AC66" s="13">
        <f t="shared" si="19"/>
        <v>0.79166666666666674</v>
      </c>
      <c r="AD66" s="22">
        <f>VLOOKUP(A66,'Agent Sched'!B:O,14,)</f>
        <v>0.41666666666666669</v>
      </c>
      <c r="AE66" s="13">
        <f t="shared" si="20"/>
        <v>0.79166666666666674</v>
      </c>
      <c r="AF66" s="24">
        <f>VLOOKUP(A66,'Agent Sched'!B:P,15,)</f>
        <v>0.41666666666666669</v>
      </c>
      <c r="AG66" s="13">
        <f t="shared" si="21"/>
        <v>0.79166666666666674</v>
      </c>
      <c r="AI66" s="26">
        <f>VLOOKUP(A66,'Agent Sched'!$B:$Q,16,)</f>
        <v>0.41666666666666669</v>
      </c>
      <c r="AJ66" s="13">
        <f t="shared" si="22"/>
        <v>0.79166666666666674</v>
      </c>
      <c r="AK66" s="22" t="str">
        <f>VLOOKUP(A66,'Agent Sched'!B:R,17,)</f>
        <v>OFF</v>
      </c>
      <c r="AL66" s="13" t="str">
        <f t="shared" si="23"/>
        <v>OFF</v>
      </c>
      <c r="AM66" s="22" t="str">
        <f>VLOOKUP(A66,'Agent Sched'!B:S,18,)</f>
        <v>OFF</v>
      </c>
      <c r="AN66" s="13" t="str">
        <f t="shared" si="24"/>
        <v>OFF</v>
      </c>
      <c r="AO66" s="22">
        <f>VLOOKUP(A66,'Agent Sched'!B:T,19,)</f>
        <v>0.41666666666666669</v>
      </c>
      <c r="AP66" s="13">
        <f t="shared" si="25"/>
        <v>0.79166666666666674</v>
      </c>
      <c r="AQ66" s="22">
        <f>VLOOKUP(A66,'Agent Sched'!B:U,20,)</f>
        <v>0.41666666666666669</v>
      </c>
      <c r="AR66" s="13">
        <f t="shared" si="26"/>
        <v>0.79166666666666674</v>
      </c>
      <c r="AS66" s="22">
        <f>VLOOKUP(A66,'Agent Sched'!B:V,21,)</f>
        <v>0.41666666666666669</v>
      </c>
      <c r="AT66" s="13">
        <f t="shared" si="27"/>
        <v>0.79166666666666674</v>
      </c>
      <c r="AU66" s="24">
        <f>VLOOKUP(A66,'Agent Sched'!B:W,22,)</f>
        <v>0.41666666666666669</v>
      </c>
      <c r="AV66" s="13">
        <f t="shared" si="28"/>
        <v>0.79166666666666674</v>
      </c>
    </row>
    <row r="67" spans="1:48" ht="15.75" thickBot="1" x14ac:dyDescent="0.3">
      <c r="A67" s="20" t="str">
        <f>IFERROR('Agent Sched'!B68,"-")</f>
        <v>Mary Anne Sermonia</v>
      </c>
      <c r="B67" s="12">
        <f>IFERROR(VLOOKUP(A67,'Agent Sched'!$B:$C,2,),"-")</f>
        <v>0.41666666666666669</v>
      </c>
      <c r="C67" s="13">
        <f t="shared" si="7"/>
        <v>0.79166666666666674</v>
      </c>
      <c r="D67" s="12" t="str">
        <f>IFERROR(VLOOKUP(A67,'Agent Sched'!B:D,3,),"-")</f>
        <v>OFF</v>
      </c>
      <c r="E67" s="13" t="str">
        <f t="shared" si="8"/>
        <v>OFF</v>
      </c>
      <c r="F67" s="12" t="str">
        <f>IFERROR(VLOOKUP(A67,'Agent Sched'!B:E,4,),"-")</f>
        <v>OFF</v>
      </c>
      <c r="G67" s="13" t="str">
        <f t="shared" si="9"/>
        <v>OFF</v>
      </c>
      <c r="H67" s="12">
        <f>IFERROR(VLOOKUP(A67,'Agent Sched'!B:F,5,),"-")</f>
        <v>0.41666666666666669</v>
      </c>
      <c r="I67" s="13">
        <f t="shared" si="10"/>
        <v>0.79166666666666674</v>
      </c>
      <c r="J67" s="12">
        <f>IFERROR(VLOOKUP(A67,'Agent Sched'!B:G,6,),"-")</f>
        <v>0.41666666666666669</v>
      </c>
      <c r="K67" s="13">
        <f t="shared" si="11"/>
        <v>0.79166666666666674</v>
      </c>
      <c r="L67" s="12">
        <f>IFERROR(VLOOKUP(A67,'Agent Sched'!B:H,7,),"-")</f>
        <v>0.41666666666666669</v>
      </c>
      <c r="M67" s="13">
        <f t="shared" si="12"/>
        <v>0.79166666666666674</v>
      </c>
      <c r="N67" s="21">
        <f>IFERROR(VLOOKUP(A67,'Agent Sched'!B:I,8,),"-")</f>
        <v>0.41666666666666669</v>
      </c>
      <c r="O67" s="13">
        <f t="shared" si="13"/>
        <v>0.79166666666666674</v>
      </c>
      <c r="Q67" s="12">
        <f>VLOOKUP(A67,'Agent Sched'!B:Y,24,)</f>
        <v>0.41666666666666669</v>
      </c>
      <c r="R67" s="13">
        <f t="shared" si="14"/>
        <v>0.79166666666666674</v>
      </c>
      <c r="T67" s="26">
        <f>VLOOKUP(A67,'Agent Sched'!$B:$J,9,)</f>
        <v>0.41666666666666669</v>
      </c>
      <c r="U67" s="13">
        <f t="shared" si="15"/>
        <v>0.79166666666666674</v>
      </c>
      <c r="V67" s="22" t="str">
        <f>VLOOKUP(A67,'Agent Sched'!B:K,10,)</f>
        <v>OFF</v>
      </c>
      <c r="W67" s="13" t="str">
        <f t="shared" si="16"/>
        <v>OFF</v>
      </c>
      <c r="X67" s="22" t="str">
        <f>VLOOKUP(A67,'Agent Sched'!B:L,11,)</f>
        <v>OFF</v>
      </c>
      <c r="Y67" s="13" t="str">
        <f t="shared" si="17"/>
        <v>OFF</v>
      </c>
      <c r="Z67" s="22">
        <f>VLOOKUP(A67,'Agent Sched'!B:M,12,)</f>
        <v>0.41666666666666669</v>
      </c>
      <c r="AA67" s="13">
        <f t="shared" si="18"/>
        <v>0.79166666666666674</v>
      </c>
      <c r="AB67" s="22">
        <f>VLOOKUP(A67,'Agent Sched'!B:N,13,)</f>
        <v>0.41666666666666669</v>
      </c>
      <c r="AC67" s="13">
        <f t="shared" si="19"/>
        <v>0.79166666666666674</v>
      </c>
      <c r="AD67" s="22">
        <f>VLOOKUP(A67,'Agent Sched'!B:O,14,)</f>
        <v>0.41666666666666669</v>
      </c>
      <c r="AE67" s="13">
        <f t="shared" si="20"/>
        <v>0.79166666666666674</v>
      </c>
      <c r="AF67" s="24">
        <f>VLOOKUP(A67,'Agent Sched'!B:P,15,)</f>
        <v>0.41666666666666669</v>
      </c>
      <c r="AG67" s="13">
        <f t="shared" si="21"/>
        <v>0.79166666666666674</v>
      </c>
      <c r="AI67" s="26">
        <f>VLOOKUP(A67,'Agent Sched'!$B:$Q,16,)</f>
        <v>0.41666666666666669</v>
      </c>
      <c r="AJ67" s="13">
        <f t="shared" si="22"/>
        <v>0.79166666666666674</v>
      </c>
      <c r="AK67" s="22" t="str">
        <f>VLOOKUP(A67,'Agent Sched'!B:R,17,)</f>
        <v>OFF</v>
      </c>
      <c r="AL67" s="13" t="str">
        <f t="shared" si="23"/>
        <v>OFF</v>
      </c>
      <c r="AM67" s="22" t="str">
        <f>VLOOKUP(A67,'Agent Sched'!B:S,18,)</f>
        <v>OFF</v>
      </c>
      <c r="AN67" s="13" t="str">
        <f t="shared" si="24"/>
        <v>OFF</v>
      </c>
      <c r="AO67" s="22">
        <f>VLOOKUP(A67,'Agent Sched'!B:T,19,)</f>
        <v>0.41666666666666669</v>
      </c>
      <c r="AP67" s="13">
        <f t="shared" si="25"/>
        <v>0.79166666666666674</v>
      </c>
      <c r="AQ67" s="22">
        <f>VLOOKUP(A67,'Agent Sched'!B:U,20,)</f>
        <v>0.41666666666666669</v>
      </c>
      <c r="AR67" s="13">
        <f t="shared" si="26"/>
        <v>0.79166666666666674</v>
      </c>
      <c r="AS67" s="22">
        <f>VLOOKUP(A67,'Agent Sched'!B:V,21,)</f>
        <v>0.41666666666666669</v>
      </c>
      <c r="AT67" s="13">
        <f t="shared" si="27"/>
        <v>0.79166666666666674</v>
      </c>
      <c r="AU67" s="24">
        <f>VLOOKUP(A67,'Agent Sched'!B:W,22,)</f>
        <v>0.41666666666666669</v>
      </c>
      <c r="AV67" s="13">
        <f t="shared" si="28"/>
        <v>0.79166666666666674</v>
      </c>
    </row>
    <row r="68" spans="1:48" ht="15.75" thickBot="1" x14ac:dyDescent="0.3">
      <c r="A68" s="20" t="str">
        <f>IFERROR('Agent Sched'!B69,"-")</f>
        <v>Vhart Galagnao</v>
      </c>
      <c r="B68" s="12">
        <f>IFERROR(VLOOKUP(A68,'Agent Sched'!$B:$C,2,),"-")</f>
        <v>0.41666666666666669</v>
      </c>
      <c r="C68" s="13">
        <f t="shared" ref="C68:C99" si="58">IFERROR(IF(B68="PTO","PTO",IF(B68="OFF","OFF", B68 + TIME(9,0,0))),"-")</f>
        <v>0.79166666666666674</v>
      </c>
      <c r="D68" s="12" t="str">
        <f>IFERROR(VLOOKUP(A68,'Agent Sched'!B:D,3,),"-")</f>
        <v>OFF</v>
      </c>
      <c r="E68" s="13" t="str">
        <f t="shared" ref="E68:E99" si="59">IFERROR(IF(D68="PTO","PTO",IF(D68="OFF","OFF", D68 + TIME(9,0,0))),"-")</f>
        <v>OFF</v>
      </c>
      <c r="F68" s="12" t="str">
        <f>IFERROR(VLOOKUP(A68,'Agent Sched'!B:E,4,),"-")</f>
        <v>OFF</v>
      </c>
      <c r="G68" s="13" t="str">
        <f t="shared" ref="G68:G99" si="60">IFERROR(IF(F68="PTO","PTO",IF(F68="OFF","OFF", F68 + TIME(9,0,0))),"-")</f>
        <v>OFF</v>
      </c>
      <c r="H68" s="12">
        <f>IFERROR(VLOOKUP(A68,'Agent Sched'!B:F,5,),"-")</f>
        <v>0.41666666666666669</v>
      </c>
      <c r="I68" s="13">
        <f t="shared" ref="I68:I99" si="61">IFERROR(IF(H68="PTO","PTO",IF(H68="OFF","OFF", H68 + TIME(9,0,0))),"-")</f>
        <v>0.79166666666666674</v>
      </c>
      <c r="J68" s="12">
        <f>IFERROR(VLOOKUP(A68,'Agent Sched'!B:G,6,),"-")</f>
        <v>0.41666666666666669</v>
      </c>
      <c r="K68" s="13">
        <f t="shared" ref="K68:K99" si="62">IFERROR(IF(J68="PTO","PTO",IF(J68="OFF","OFF", J68 + TIME(9,0,0))),"-")</f>
        <v>0.79166666666666674</v>
      </c>
      <c r="L68" s="12">
        <f>IFERROR(VLOOKUP(A68,'Agent Sched'!B:H,7,),"-")</f>
        <v>0.41666666666666669</v>
      </c>
      <c r="M68" s="13">
        <f t="shared" ref="M68:M99" si="63">IFERROR(IF(L68="PTO","PTO",IF(L68="OFF","OFF", L68 + TIME(9,0,0))),"-")</f>
        <v>0.79166666666666674</v>
      </c>
      <c r="N68" s="21">
        <f>IFERROR(VLOOKUP(A68,'Agent Sched'!B:I,8,),"-")</f>
        <v>0.41666666666666669</v>
      </c>
      <c r="O68" s="13">
        <f t="shared" ref="O68:O99" si="64">IFERROR(IF(N68="PTO","PTO",IF(N68="OFF","OFF", N68 + TIME(9,0,0))),"-")</f>
        <v>0.79166666666666674</v>
      </c>
      <c r="Q68" s="12">
        <f>VLOOKUP(A68,'Agent Sched'!B:Y,24,)</f>
        <v>0.41666666666666669</v>
      </c>
      <c r="R68" s="13">
        <f t="shared" ref="R68:R99" si="65">IFERROR(IF(Q68="PTO","PTO",IF(Q68="OFF","OFF", Q68 + TIME(9,0,0))),"-")</f>
        <v>0.79166666666666674</v>
      </c>
      <c r="T68" s="26">
        <f>VLOOKUP(A68,'Agent Sched'!$B:$J,9,)</f>
        <v>0.41666666666666669</v>
      </c>
      <c r="U68" s="13">
        <f t="shared" ref="U68:U99" si="66">IFERROR(IF(T68="PTO","PTO",IF(T68="OFF","OFF", T68 + TIME(9,0,0))),"-")</f>
        <v>0.79166666666666674</v>
      </c>
      <c r="V68" s="22" t="str">
        <f>VLOOKUP(A68,'Agent Sched'!B:K,10,)</f>
        <v>OFF</v>
      </c>
      <c r="W68" s="13" t="str">
        <f t="shared" ref="W68:W99" si="67">IFERROR(IF(V68="PTO","PTO",IF(V68="OFF","OFF", V68 + TIME(9,0,0))),"-")</f>
        <v>OFF</v>
      </c>
      <c r="X68" s="22" t="str">
        <f>VLOOKUP(A68,'Agent Sched'!B:L,11,)</f>
        <v>OFF</v>
      </c>
      <c r="Y68" s="13" t="str">
        <f t="shared" ref="Y68:Y99" si="68">IFERROR(IF(X68="PTO","PTO",IF(X68="OFF","OFF", X68 + TIME(9,0,0))),"-")</f>
        <v>OFF</v>
      </c>
      <c r="Z68" s="22">
        <f>VLOOKUP(A68,'Agent Sched'!B:M,12,)</f>
        <v>0.41666666666666669</v>
      </c>
      <c r="AA68" s="13">
        <f t="shared" ref="AA68:AA99" si="69">IFERROR(IF(Z68="PTO","PTO",IF(Z68="OFF","OFF", Z68 + TIME(9,0,0))),"-")</f>
        <v>0.79166666666666674</v>
      </c>
      <c r="AB68" s="22">
        <f>VLOOKUP(A68,'Agent Sched'!B:N,13,)</f>
        <v>0.41666666666666669</v>
      </c>
      <c r="AC68" s="13">
        <f t="shared" ref="AC68:AC99" si="70">IFERROR(IF(AB68="PTO","PTO",IF(AB68="OFF","OFF", AB68 + TIME(9,0,0))),"-")</f>
        <v>0.79166666666666674</v>
      </c>
      <c r="AD68" s="22">
        <f>VLOOKUP(A68,'Agent Sched'!B:O,14,)</f>
        <v>0.41666666666666669</v>
      </c>
      <c r="AE68" s="13">
        <f t="shared" ref="AE68:AE99" si="71">IFERROR(IF(AD68="PTO","PTO",IF(AD68="OFF","OFF", AD68 + TIME(9,0,0))),"-")</f>
        <v>0.79166666666666674</v>
      </c>
      <c r="AF68" s="24">
        <f>VLOOKUP(A68,'Agent Sched'!B:P,15,)</f>
        <v>0.41666666666666669</v>
      </c>
      <c r="AG68" s="13">
        <f t="shared" ref="AG68:AG99" si="72">IFERROR(IF(AF68="PTO","PTO",IF(AF68="OFF","OFF", AF68 + TIME(9,0,0))),"-")</f>
        <v>0.79166666666666674</v>
      </c>
      <c r="AI68" s="26">
        <f>VLOOKUP(A68,'Agent Sched'!$B:$Q,16,)</f>
        <v>0.41666666666666669</v>
      </c>
      <c r="AJ68" s="13">
        <f t="shared" ref="AJ68:AJ99" si="73">IFERROR(IF(AI68="PTO","PTO",IF(AI68="OFF","OFF", AI68 + TIME(9,0,0))),"-")</f>
        <v>0.79166666666666674</v>
      </c>
      <c r="AK68" s="22" t="str">
        <f>VLOOKUP(A68,'Agent Sched'!B:R,17,)</f>
        <v>OFF</v>
      </c>
      <c r="AL68" s="13" t="str">
        <f t="shared" ref="AL68:AL99" si="74">IFERROR(IF(AK68="PTO","PTO",IF(AK68="OFF","OFF", AK68 + TIME(9,0,0))),"-")</f>
        <v>OFF</v>
      </c>
      <c r="AM68" s="22" t="str">
        <f>VLOOKUP(A68,'Agent Sched'!B:S,18,)</f>
        <v>OFF</v>
      </c>
      <c r="AN68" s="13" t="str">
        <f t="shared" ref="AN68:AN99" si="75">IFERROR(IF(AM68="PTO","PTO",IF(AM68="OFF","OFF", AM68 + TIME(9,0,0))),"-")</f>
        <v>OFF</v>
      </c>
      <c r="AO68" s="22">
        <f>VLOOKUP(A68,'Agent Sched'!B:T,19,)</f>
        <v>0.41666666666666669</v>
      </c>
      <c r="AP68" s="13">
        <f t="shared" ref="AP68:AP99" si="76">IFERROR(IF(AO68="PTO","PTO",IF(AO68="OFF","OFF", AO68 + TIME(9,0,0))),"-")</f>
        <v>0.79166666666666674</v>
      </c>
      <c r="AQ68" s="22">
        <f>VLOOKUP(A68,'Agent Sched'!B:U,20,)</f>
        <v>0.41666666666666669</v>
      </c>
      <c r="AR68" s="13">
        <f t="shared" ref="AR68:AR99" si="77">IFERROR(IF(AQ68="PTO","PTO",IF(AQ68="OFF","OFF", AQ68 + TIME(9,0,0))),"-")</f>
        <v>0.79166666666666674</v>
      </c>
      <c r="AS68" s="22">
        <f>VLOOKUP(A68,'Agent Sched'!B:V,21,)</f>
        <v>0.41666666666666669</v>
      </c>
      <c r="AT68" s="13">
        <f t="shared" ref="AT68:AT99" si="78">IFERROR(IF(AS68="PTO","PTO",IF(AS68="OFF","OFF", AS68 + TIME(9,0,0))),"-")</f>
        <v>0.79166666666666674</v>
      </c>
      <c r="AU68" s="24">
        <f>VLOOKUP(A68,'Agent Sched'!B:W,22,)</f>
        <v>0.41666666666666669</v>
      </c>
      <c r="AV68" s="13">
        <f t="shared" ref="AV68:AV99" si="79">IFERROR(IF(AU68="PTO","PTO",IF(AU68="OFF","OFF", AU68 + TIME(9,0,0))),"-")</f>
        <v>0.79166666666666674</v>
      </c>
    </row>
    <row r="69" spans="1:48" ht="15.75" thickBot="1" x14ac:dyDescent="0.3">
      <c r="A69" s="20" t="str">
        <f>IFERROR('Agent Sched'!B70,"-")</f>
        <v>Rizel De Guzman</v>
      </c>
      <c r="B69" s="12">
        <f>IFERROR(VLOOKUP(A69,'Agent Sched'!$B:$C,2,),"-")</f>
        <v>0.41666666666666669</v>
      </c>
      <c r="C69" s="13">
        <f t="shared" si="58"/>
        <v>0.79166666666666674</v>
      </c>
      <c r="D69" s="12" t="str">
        <f>IFERROR(VLOOKUP(A69,'Agent Sched'!B:D,3,),"-")</f>
        <v>OFF</v>
      </c>
      <c r="E69" s="13" t="str">
        <f t="shared" si="59"/>
        <v>OFF</v>
      </c>
      <c r="F69" s="12" t="str">
        <f>IFERROR(VLOOKUP(A69,'Agent Sched'!B:E,4,),"-")</f>
        <v>OFF</v>
      </c>
      <c r="G69" s="13" t="str">
        <f t="shared" si="60"/>
        <v>OFF</v>
      </c>
      <c r="H69" s="12">
        <f>IFERROR(VLOOKUP(A69,'Agent Sched'!B:F,5,),"-")</f>
        <v>0.41666666666666669</v>
      </c>
      <c r="I69" s="13">
        <f t="shared" si="61"/>
        <v>0.79166666666666674</v>
      </c>
      <c r="J69" s="12">
        <f>IFERROR(VLOOKUP(A69,'Agent Sched'!B:G,6,),"-")</f>
        <v>0.41666666666666669</v>
      </c>
      <c r="K69" s="13">
        <f t="shared" si="62"/>
        <v>0.79166666666666674</v>
      </c>
      <c r="L69" s="12">
        <f>IFERROR(VLOOKUP(A69,'Agent Sched'!B:H,7,),"-")</f>
        <v>0.41666666666666669</v>
      </c>
      <c r="M69" s="13">
        <f t="shared" si="63"/>
        <v>0.79166666666666674</v>
      </c>
      <c r="N69" s="21">
        <f>IFERROR(VLOOKUP(A69,'Agent Sched'!B:I,8,),"-")</f>
        <v>0.41666666666666669</v>
      </c>
      <c r="O69" s="13">
        <f t="shared" si="64"/>
        <v>0.79166666666666674</v>
      </c>
      <c r="Q69" s="12">
        <f>VLOOKUP(A69,'Agent Sched'!B:Y,24,)</f>
        <v>0.41666666666666669</v>
      </c>
      <c r="R69" s="13">
        <f t="shared" si="65"/>
        <v>0.79166666666666674</v>
      </c>
      <c r="T69" s="26">
        <f>VLOOKUP(A69,'Agent Sched'!$B:$J,9,)</f>
        <v>0.41666666666666669</v>
      </c>
      <c r="U69" s="13">
        <f t="shared" si="66"/>
        <v>0.79166666666666674</v>
      </c>
      <c r="V69" s="22" t="str">
        <f>VLOOKUP(A69,'Agent Sched'!B:K,10,)</f>
        <v>OFF</v>
      </c>
      <c r="W69" s="13" t="str">
        <f t="shared" si="67"/>
        <v>OFF</v>
      </c>
      <c r="X69" s="22" t="str">
        <f>VLOOKUP(A69,'Agent Sched'!B:L,11,)</f>
        <v>OFF</v>
      </c>
      <c r="Y69" s="13" t="str">
        <f t="shared" si="68"/>
        <v>OFF</v>
      </c>
      <c r="Z69" s="22">
        <f>VLOOKUP(A69,'Agent Sched'!B:M,12,)</f>
        <v>0.41666666666666669</v>
      </c>
      <c r="AA69" s="13">
        <f t="shared" si="69"/>
        <v>0.79166666666666674</v>
      </c>
      <c r="AB69" s="22">
        <f>VLOOKUP(A69,'Agent Sched'!B:N,13,)</f>
        <v>0.41666666666666669</v>
      </c>
      <c r="AC69" s="13">
        <f t="shared" si="70"/>
        <v>0.79166666666666674</v>
      </c>
      <c r="AD69" s="22">
        <f>VLOOKUP(A69,'Agent Sched'!B:O,14,)</f>
        <v>0.41666666666666669</v>
      </c>
      <c r="AE69" s="13">
        <f t="shared" si="71"/>
        <v>0.79166666666666674</v>
      </c>
      <c r="AF69" s="24">
        <f>VLOOKUP(A69,'Agent Sched'!B:P,15,)</f>
        <v>0.41666666666666669</v>
      </c>
      <c r="AG69" s="13">
        <f t="shared" si="72"/>
        <v>0.79166666666666674</v>
      </c>
      <c r="AI69" s="26">
        <f>VLOOKUP(A69,'Agent Sched'!$B:$Q,16,)</f>
        <v>0.41666666666666669</v>
      </c>
      <c r="AJ69" s="13">
        <f t="shared" si="73"/>
        <v>0.79166666666666674</v>
      </c>
      <c r="AK69" s="22" t="str">
        <f>VLOOKUP(A69,'Agent Sched'!B:R,17,)</f>
        <v>OFF</v>
      </c>
      <c r="AL69" s="13" t="str">
        <f t="shared" si="74"/>
        <v>OFF</v>
      </c>
      <c r="AM69" s="22" t="str">
        <f>VLOOKUP(A69,'Agent Sched'!B:S,18,)</f>
        <v>OFF</v>
      </c>
      <c r="AN69" s="13" t="str">
        <f t="shared" si="75"/>
        <v>OFF</v>
      </c>
      <c r="AO69" s="22">
        <f>VLOOKUP(A69,'Agent Sched'!B:T,19,)</f>
        <v>0.41666666666666669</v>
      </c>
      <c r="AP69" s="13">
        <f t="shared" si="76"/>
        <v>0.79166666666666674</v>
      </c>
      <c r="AQ69" s="22">
        <f>VLOOKUP(A69,'Agent Sched'!B:U,20,)</f>
        <v>0.41666666666666669</v>
      </c>
      <c r="AR69" s="13">
        <f t="shared" si="77"/>
        <v>0.79166666666666674</v>
      </c>
      <c r="AS69" s="22">
        <f>VLOOKUP(A69,'Agent Sched'!B:V,21,)</f>
        <v>0.41666666666666669</v>
      </c>
      <c r="AT69" s="13">
        <f t="shared" si="78"/>
        <v>0.79166666666666674</v>
      </c>
      <c r="AU69" s="24">
        <f>VLOOKUP(A69,'Agent Sched'!B:W,22,)</f>
        <v>0.41666666666666669</v>
      </c>
      <c r="AV69" s="13">
        <f t="shared" si="79"/>
        <v>0.79166666666666674</v>
      </c>
    </row>
    <row r="70" spans="1:48" ht="15.75" thickBot="1" x14ac:dyDescent="0.3">
      <c r="A70" s="20" t="str">
        <f>IFERROR('Agent Sched'!B71,"-")</f>
        <v>Christopher Tolentino</v>
      </c>
      <c r="B70" s="12">
        <f>IFERROR(VLOOKUP(A70,'Agent Sched'!$B:$C,2,),"-")</f>
        <v>0.41666666666666669</v>
      </c>
      <c r="C70" s="13">
        <f t="shared" si="58"/>
        <v>0.79166666666666674</v>
      </c>
      <c r="D70" s="12" t="str">
        <f>IFERROR(VLOOKUP(A70,'Agent Sched'!B:D,3,),"-")</f>
        <v>OFF</v>
      </c>
      <c r="E70" s="13" t="str">
        <f t="shared" si="59"/>
        <v>OFF</v>
      </c>
      <c r="F70" s="12" t="str">
        <f>IFERROR(VLOOKUP(A70,'Agent Sched'!B:E,4,),"-")</f>
        <v>OFF</v>
      </c>
      <c r="G70" s="13" t="str">
        <f t="shared" si="60"/>
        <v>OFF</v>
      </c>
      <c r="H70" s="12">
        <f>IFERROR(VLOOKUP(A70,'Agent Sched'!B:F,5,),"-")</f>
        <v>0.41666666666666669</v>
      </c>
      <c r="I70" s="13">
        <f t="shared" si="61"/>
        <v>0.79166666666666674</v>
      </c>
      <c r="J70" s="12">
        <f>IFERROR(VLOOKUP(A70,'Agent Sched'!B:G,6,),"-")</f>
        <v>0.41666666666666669</v>
      </c>
      <c r="K70" s="13">
        <f t="shared" si="62"/>
        <v>0.79166666666666674</v>
      </c>
      <c r="L70" s="12">
        <f>IFERROR(VLOOKUP(A70,'Agent Sched'!B:H,7,),"-")</f>
        <v>0.41666666666666669</v>
      </c>
      <c r="M70" s="13">
        <f t="shared" si="63"/>
        <v>0.79166666666666674</v>
      </c>
      <c r="N70" s="21">
        <f>IFERROR(VLOOKUP(A70,'Agent Sched'!B:I,8,),"-")</f>
        <v>0.41666666666666669</v>
      </c>
      <c r="O70" s="13">
        <f t="shared" si="64"/>
        <v>0.79166666666666674</v>
      </c>
      <c r="Q70" s="12">
        <f>VLOOKUP(A70,'Agent Sched'!B:Y,24,)</f>
        <v>0.41666666666666669</v>
      </c>
      <c r="R70" s="13">
        <f t="shared" si="65"/>
        <v>0.79166666666666674</v>
      </c>
      <c r="T70" s="26">
        <f>VLOOKUP(A70,'Agent Sched'!$B:$J,9,)</f>
        <v>0.41666666666666669</v>
      </c>
      <c r="U70" s="13">
        <f t="shared" si="66"/>
        <v>0.79166666666666674</v>
      </c>
      <c r="V70" s="22" t="str">
        <f>VLOOKUP(A70,'Agent Sched'!B:K,10,)</f>
        <v>OFF</v>
      </c>
      <c r="W70" s="13" t="str">
        <f t="shared" si="67"/>
        <v>OFF</v>
      </c>
      <c r="X70" s="22" t="str">
        <f>VLOOKUP(A70,'Agent Sched'!B:L,11,)</f>
        <v>OFF</v>
      </c>
      <c r="Y70" s="13" t="str">
        <f t="shared" si="68"/>
        <v>OFF</v>
      </c>
      <c r="Z70" s="22">
        <f>VLOOKUP(A70,'Agent Sched'!B:M,12,)</f>
        <v>0.41666666666666669</v>
      </c>
      <c r="AA70" s="13">
        <f t="shared" si="69"/>
        <v>0.79166666666666674</v>
      </c>
      <c r="AB70" s="22">
        <f>VLOOKUP(A70,'Agent Sched'!B:N,13,)</f>
        <v>0.41666666666666669</v>
      </c>
      <c r="AC70" s="13">
        <f t="shared" si="70"/>
        <v>0.79166666666666674</v>
      </c>
      <c r="AD70" s="22">
        <f>VLOOKUP(A70,'Agent Sched'!B:O,14,)</f>
        <v>0.41666666666666669</v>
      </c>
      <c r="AE70" s="13">
        <f t="shared" si="71"/>
        <v>0.79166666666666674</v>
      </c>
      <c r="AF70" s="24">
        <f>VLOOKUP(A70,'Agent Sched'!B:P,15,)</f>
        <v>0.41666666666666669</v>
      </c>
      <c r="AG70" s="13">
        <f t="shared" si="72"/>
        <v>0.79166666666666674</v>
      </c>
      <c r="AI70" s="26">
        <f>VLOOKUP(A70,'Agent Sched'!$B:$Q,16,)</f>
        <v>0.41666666666666669</v>
      </c>
      <c r="AJ70" s="13">
        <f t="shared" si="73"/>
        <v>0.79166666666666674</v>
      </c>
      <c r="AK70" s="22" t="str">
        <f>VLOOKUP(A70,'Agent Sched'!B:R,17,)</f>
        <v>OFF</v>
      </c>
      <c r="AL70" s="13" t="str">
        <f t="shared" si="74"/>
        <v>OFF</v>
      </c>
      <c r="AM70" s="22" t="str">
        <f>VLOOKUP(A70,'Agent Sched'!B:S,18,)</f>
        <v>OFF</v>
      </c>
      <c r="AN70" s="13" t="str">
        <f t="shared" si="75"/>
        <v>OFF</v>
      </c>
      <c r="AO70" s="22">
        <f>VLOOKUP(A70,'Agent Sched'!B:T,19,)</f>
        <v>0.41666666666666669</v>
      </c>
      <c r="AP70" s="13">
        <f t="shared" si="76"/>
        <v>0.79166666666666674</v>
      </c>
      <c r="AQ70" s="22">
        <f>VLOOKUP(A70,'Agent Sched'!B:U,20,)</f>
        <v>0.41666666666666669</v>
      </c>
      <c r="AR70" s="13">
        <f t="shared" si="77"/>
        <v>0.79166666666666674</v>
      </c>
      <c r="AS70" s="22">
        <f>VLOOKUP(A70,'Agent Sched'!B:V,21,)</f>
        <v>0.41666666666666669</v>
      </c>
      <c r="AT70" s="13">
        <f t="shared" si="78"/>
        <v>0.79166666666666674</v>
      </c>
      <c r="AU70" s="24">
        <f>VLOOKUP(A70,'Agent Sched'!B:W,22,)</f>
        <v>0.41666666666666669</v>
      </c>
      <c r="AV70" s="13">
        <f t="shared" si="79"/>
        <v>0.79166666666666674</v>
      </c>
    </row>
    <row r="71" spans="1:48" ht="15.75" thickBot="1" x14ac:dyDescent="0.3">
      <c r="A71" s="20" t="str">
        <f>IFERROR('Agent Sched'!B72,"-")</f>
        <v>Conrado Abricanan</v>
      </c>
      <c r="B71" s="12" t="str">
        <f>IFERROR(VLOOKUP(A71,'Agent Sched'!$B:$C,2,),"-")</f>
        <v>OFF</v>
      </c>
      <c r="C71" s="13" t="str">
        <f t="shared" si="58"/>
        <v>OFF</v>
      </c>
      <c r="D71" s="12" t="str">
        <f>IFERROR(VLOOKUP(A71,'Agent Sched'!B:D,3,),"-")</f>
        <v>OFF</v>
      </c>
      <c r="E71" s="13" t="str">
        <f t="shared" si="59"/>
        <v>OFF</v>
      </c>
      <c r="F71" s="12" t="str">
        <f>IFERROR(VLOOKUP(A71,'Agent Sched'!B:E,4,),"-")</f>
        <v>OFF</v>
      </c>
      <c r="G71" s="13" t="str">
        <f t="shared" si="60"/>
        <v>OFF</v>
      </c>
      <c r="H71" s="12" t="str">
        <f>IFERROR(VLOOKUP(A71,'Agent Sched'!B:F,5,),"-")</f>
        <v>OFF</v>
      </c>
      <c r="I71" s="13" t="str">
        <f t="shared" si="61"/>
        <v>OFF</v>
      </c>
      <c r="J71" s="12" t="str">
        <f>IFERROR(VLOOKUP(A71,'Agent Sched'!B:G,6,),"-")</f>
        <v>OFF</v>
      </c>
      <c r="K71" s="13" t="str">
        <f t="shared" si="62"/>
        <v>OFF</v>
      </c>
      <c r="L71" s="12" t="str">
        <f>IFERROR(VLOOKUP(A71,'Agent Sched'!B:H,7,),"-")</f>
        <v>OFF</v>
      </c>
      <c r="M71" s="13" t="str">
        <f t="shared" si="63"/>
        <v>OFF</v>
      </c>
      <c r="N71" s="21" t="str">
        <f>IFERROR(VLOOKUP(A71,'Agent Sched'!B:I,8,),"-")</f>
        <v>OFF</v>
      </c>
      <c r="O71" s="13" t="str">
        <f t="shared" si="64"/>
        <v>OFF</v>
      </c>
      <c r="Q71" s="12" t="str">
        <f>VLOOKUP(A71,'Agent Sched'!B:Y,24,)</f>
        <v>OFF</v>
      </c>
      <c r="R71" s="13" t="str">
        <f t="shared" si="65"/>
        <v>OFF</v>
      </c>
      <c r="T71" s="26" t="str">
        <f>VLOOKUP(A71,'Agent Sched'!$B:$J,9,)</f>
        <v>OFF</v>
      </c>
      <c r="U71" s="13" t="str">
        <f t="shared" si="66"/>
        <v>OFF</v>
      </c>
      <c r="V71" s="22" t="str">
        <f>VLOOKUP(A71,'Agent Sched'!B:K,10,)</f>
        <v>OFF</v>
      </c>
      <c r="W71" s="13" t="str">
        <f t="shared" si="67"/>
        <v>OFF</v>
      </c>
      <c r="X71" s="22" t="str">
        <f>VLOOKUP(A71,'Agent Sched'!B:L,11,)</f>
        <v>OFF</v>
      </c>
      <c r="Y71" s="13" t="str">
        <f t="shared" si="68"/>
        <v>OFF</v>
      </c>
      <c r="Z71" s="22" t="str">
        <f>VLOOKUP(A71,'Agent Sched'!B:M,12,)</f>
        <v>OFF</v>
      </c>
      <c r="AA71" s="13" t="str">
        <f t="shared" si="69"/>
        <v>OFF</v>
      </c>
      <c r="AB71" s="22" t="str">
        <f>VLOOKUP(A71,'Agent Sched'!B:N,13,)</f>
        <v>OFF</v>
      </c>
      <c r="AC71" s="13" t="str">
        <f t="shared" si="70"/>
        <v>OFF</v>
      </c>
      <c r="AD71" s="22" t="str">
        <f>VLOOKUP(A71,'Agent Sched'!B:O,14,)</f>
        <v>OFF</v>
      </c>
      <c r="AE71" s="13" t="str">
        <f t="shared" si="71"/>
        <v>OFF</v>
      </c>
      <c r="AF71" s="24" t="str">
        <f>VLOOKUP(A71,'Agent Sched'!B:P,15,)</f>
        <v>OFF</v>
      </c>
      <c r="AG71" s="13" t="str">
        <f t="shared" si="72"/>
        <v>OFF</v>
      </c>
      <c r="AI71" s="26" t="str">
        <f>VLOOKUP(A71,'Agent Sched'!$B:$Q,16,)</f>
        <v>OFF</v>
      </c>
      <c r="AJ71" s="13" t="str">
        <f t="shared" si="73"/>
        <v>OFF</v>
      </c>
      <c r="AK71" s="22" t="str">
        <f>VLOOKUP(A71,'Agent Sched'!B:R,17,)</f>
        <v>OFF</v>
      </c>
      <c r="AL71" s="13" t="str">
        <f t="shared" si="74"/>
        <v>OFF</v>
      </c>
      <c r="AM71" s="22" t="str">
        <f>VLOOKUP(A71,'Agent Sched'!B:S,18,)</f>
        <v>OFF</v>
      </c>
      <c r="AN71" s="13" t="str">
        <f t="shared" si="75"/>
        <v>OFF</v>
      </c>
      <c r="AO71" s="22" t="str">
        <f>VLOOKUP(A71,'Agent Sched'!B:T,19,)</f>
        <v>OFF</v>
      </c>
      <c r="AP71" s="13" t="str">
        <f t="shared" si="76"/>
        <v>OFF</v>
      </c>
      <c r="AQ71" s="22" t="str">
        <f>VLOOKUP(A71,'Agent Sched'!B:U,20,)</f>
        <v>OFF</v>
      </c>
      <c r="AR71" s="13" t="str">
        <f t="shared" si="77"/>
        <v>OFF</v>
      </c>
      <c r="AS71" s="22" t="str">
        <f>VLOOKUP(A71,'Agent Sched'!B:V,21,)</f>
        <v>OFF</v>
      </c>
      <c r="AT71" s="13" t="str">
        <f t="shared" si="78"/>
        <v>OFF</v>
      </c>
      <c r="AU71" s="24" t="str">
        <f>VLOOKUP(A71,'Agent Sched'!B:W,22,)</f>
        <v>OFF</v>
      </c>
      <c r="AV71" s="13" t="str">
        <f t="shared" si="79"/>
        <v>OFF</v>
      </c>
    </row>
    <row r="72" spans="1:48" ht="15.75" thickBot="1" x14ac:dyDescent="0.3">
      <c r="A72" s="20" t="str">
        <f>IFERROR('Agent Sched'!B73,"-")</f>
        <v>Camalludin Mikunug</v>
      </c>
      <c r="B72" s="12">
        <f>IFERROR(VLOOKUP(A72,'Agent Sched'!$B:$C,2,),"-")</f>
        <v>0.41666666666666669</v>
      </c>
      <c r="C72" s="13">
        <f t="shared" si="58"/>
        <v>0.79166666666666674</v>
      </c>
      <c r="D72" s="12" t="str">
        <f>IFERROR(VLOOKUP(A72,'Agent Sched'!B:D,3,),"-")</f>
        <v>OFF</v>
      </c>
      <c r="E72" s="13" t="str">
        <f t="shared" si="59"/>
        <v>OFF</v>
      </c>
      <c r="F72" s="12" t="str">
        <f>IFERROR(VLOOKUP(A72,'Agent Sched'!B:E,4,),"-")</f>
        <v>OFF</v>
      </c>
      <c r="G72" s="13" t="str">
        <f t="shared" si="60"/>
        <v>OFF</v>
      </c>
      <c r="H72" s="12">
        <f>IFERROR(VLOOKUP(A72,'Agent Sched'!B:F,5,),"-")</f>
        <v>0.41666666666666669</v>
      </c>
      <c r="I72" s="13">
        <f t="shared" si="61"/>
        <v>0.79166666666666674</v>
      </c>
      <c r="J72" s="12">
        <f>IFERROR(VLOOKUP(A72,'Agent Sched'!B:G,6,),"-")</f>
        <v>0.41666666666666669</v>
      </c>
      <c r="K72" s="13">
        <f t="shared" si="62"/>
        <v>0.79166666666666674</v>
      </c>
      <c r="L72" s="12">
        <f>IFERROR(VLOOKUP(A72,'Agent Sched'!B:H,7,),"-")</f>
        <v>0.41666666666666669</v>
      </c>
      <c r="M72" s="13">
        <f t="shared" si="63"/>
        <v>0.79166666666666674</v>
      </c>
      <c r="N72" s="21">
        <f>IFERROR(VLOOKUP(A72,'Agent Sched'!B:I,8,),"-")</f>
        <v>0.41666666666666669</v>
      </c>
      <c r="O72" s="13">
        <f t="shared" si="64"/>
        <v>0.79166666666666674</v>
      </c>
      <c r="Q72" s="12">
        <f>VLOOKUP(A72,'Agent Sched'!B:Y,24,)</f>
        <v>0.41666666666666669</v>
      </c>
      <c r="R72" s="13">
        <f t="shared" si="65"/>
        <v>0.79166666666666674</v>
      </c>
      <c r="T72" s="26">
        <f>VLOOKUP(A72,'Agent Sched'!$B:$J,9,)</f>
        <v>0.41666666666666669</v>
      </c>
      <c r="U72" s="13">
        <f t="shared" si="66"/>
        <v>0.79166666666666674</v>
      </c>
      <c r="V72" s="22" t="str">
        <f>VLOOKUP(A72,'Agent Sched'!B:K,10,)</f>
        <v>OFF</v>
      </c>
      <c r="W72" s="13" t="str">
        <f t="shared" si="67"/>
        <v>OFF</v>
      </c>
      <c r="X72" s="22" t="str">
        <f>VLOOKUP(A72,'Agent Sched'!B:L,11,)</f>
        <v>OFF</v>
      </c>
      <c r="Y72" s="13" t="str">
        <f t="shared" si="68"/>
        <v>OFF</v>
      </c>
      <c r="Z72" s="22">
        <f>VLOOKUP(A72,'Agent Sched'!B:M,12,)</f>
        <v>0.41666666666666669</v>
      </c>
      <c r="AA72" s="13">
        <f t="shared" si="69"/>
        <v>0.79166666666666674</v>
      </c>
      <c r="AB72" s="22">
        <f>VLOOKUP(A72,'Agent Sched'!B:N,13,)</f>
        <v>0.41666666666666669</v>
      </c>
      <c r="AC72" s="13">
        <f t="shared" si="70"/>
        <v>0.79166666666666674</v>
      </c>
      <c r="AD72" s="22">
        <f>VLOOKUP(A72,'Agent Sched'!B:O,14,)</f>
        <v>0.41666666666666669</v>
      </c>
      <c r="AE72" s="13">
        <f t="shared" si="71"/>
        <v>0.79166666666666674</v>
      </c>
      <c r="AF72" s="24">
        <f>VLOOKUP(A72,'Agent Sched'!B:P,15,)</f>
        <v>0.41666666666666669</v>
      </c>
      <c r="AG72" s="13">
        <f t="shared" si="72"/>
        <v>0.79166666666666674</v>
      </c>
      <c r="AI72" s="26">
        <f>VLOOKUP(A72,'Agent Sched'!$B:$Q,16,)</f>
        <v>0.41666666666666669</v>
      </c>
      <c r="AJ72" s="13">
        <f t="shared" si="73"/>
        <v>0.79166666666666674</v>
      </c>
      <c r="AK72" s="22" t="str">
        <f>VLOOKUP(A72,'Agent Sched'!B:R,17,)</f>
        <v>OFF</v>
      </c>
      <c r="AL72" s="13" t="str">
        <f t="shared" si="74"/>
        <v>OFF</v>
      </c>
      <c r="AM72" s="22" t="str">
        <f>VLOOKUP(A72,'Agent Sched'!B:S,18,)</f>
        <v>OFF</v>
      </c>
      <c r="AN72" s="13" t="str">
        <f t="shared" si="75"/>
        <v>OFF</v>
      </c>
      <c r="AO72" s="22">
        <f>VLOOKUP(A72,'Agent Sched'!B:T,19,)</f>
        <v>0.41666666666666669</v>
      </c>
      <c r="AP72" s="13">
        <f t="shared" si="76"/>
        <v>0.79166666666666674</v>
      </c>
      <c r="AQ72" s="22">
        <f>VLOOKUP(A72,'Agent Sched'!B:U,20,)</f>
        <v>0.41666666666666669</v>
      </c>
      <c r="AR72" s="13">
        <f t="shared" si="77"/>
        <v>0.79166666666666674</v>
      </c>
      <c r="AS72" s="22">
        <f>VLOOKUP(A72,'Agent Sched'!B:V,21,)</f>
        <v>0.41666666666666669</v>
      </c>
      <c r="AT72" s="13">
        <f t="shared" si="78"/>
        <v>0.79166666666666674</v>
      </c>
      <c r="AU72" s="24">
        <f>VLOOKUP(A72,'Agent Sched'!B:W,22,)</f>
        <v>0.41666666666666669</v>
      </c>
      <c r="AV72" s="13">
        <f t="shared" si="79"/>
        <v>0.79166666666666674</v>
      </c>
    </row>
    <row r="73" spans="1:48" ht="15.75" thickBot="1" x14ac:dyDescent="0.3">
      <c r="A73" s="20" t="str">
        <f>IFERROR('Agent Sched'!B74,"-")</f>
        <v>Marjorie Naval</v>
      </c>
      <c r="B73" s="12">
        <f>IFERROR(VLOOKUP(A73,'Agent Sched'!$B:$C,2,),"-")</f>
        <v>0.41666666666666669</v>
      </c>
      <c r="C73" s="13">
        <f t="shared" si="58"/>
        <v>0.79166666666666674</v>
      </c>
      <c r="D73" s="12" t="str">
        <f>IFERROR(VLOOKUP(A73,'Agent Sched'!B:D,3,),"-")</f>
        <v>OFF</v>
      </c>
      <c r="E73" s="13" t="str">
        <f t="shared" si="59"/>
        <v>OFF</v>
      </c>
      <c r="F73" s="12" t="str">
        <f>IFERROR(VLOOKUP(A73,'Agent Sched'!B:E,4,),"-")</f>
        <v>OFF</v>
      </c>
      <c r="G73" s="13" t="str">
        <f t="shared" si="60"/>
        <v>OFF</v>
      </c>
      <c r="H73" s="12">
        <f>IFERROR(VLOOKUP(A73,'Agent Sched'!B:F,5,),"-")</f>
        <v>0.41666666666666669</v>
      </c>
      <c r="I73" s="13">
        <f t="shared" si="61"/>
        <v>0.79166666666666674</v>
      </c>
      <c r="J73" s="12">
        <f>IFERROR(VLOOKUP(A73,'Agent Sched'!B:G,6,),"-")</f>
        <v>0.41666666666666669</v>
      </c>
      <c r="K73" s="13">
        <f t="shared" si="62"/>
        <v>0.79166666666666674</v>
      </c>
      <c r="L73" s="12">
        <f>IFERROR(VLOOKUP(A73,'Agent Sched'!B:H,7,),"-")</f>
        <v>0.41666666666666669</v>
      </c>
      <c r="M73" s="13">
        <f t="shared" si="63"/>
        <v>0.79166666666666674</v>
      </c>
      <c r="N73" s="21">
        <f>IFERROR(VLOOKUP(A73,'Agent Sched'!B:I,8,),"-")</f>
        <v>0.41666666666666669</v>
      </c>
      <c r="O73" s="13">
        <f t="shared" si="64"/>
        <v>0.79166666666666674</v>
      </c>
      <c r="Q73" s="12">
        <f>VLOOKUP(A73,'Agent Sched'!B:Y,24,)</f>
        <v>0.41666666666666669</v>
      </c>
      <c r="R73" s="13">
        <f t="shared" si="65"/>
        <v>0.79166666666666674</v>
      </c>
      <c r="T73" s="26">
        <f>VLOOKUP(A73,'Agent Sched'!$B:$J,9,)</f>
        <v>0.41666666666666669</v>
      </c>
      <c r="U73" s="13">
        <f t="shared" si="66"/>
        <v>0.79166666666666674</v>
      </c>
      <c r="V73" s="22" t="str">
        <f>VLOOKUP(A73,'Agent Sched'!B:K,10,)</f>
        <v>OFF</v>
      </c>
      <c r="W73" s="13" t="str">
        <f t="shared" si="67"/>
        <v>OFF</v>
      </c>
      <c r="X73" s="22" t="str">
        <f>VLOOKUP(A73,'Agent Sched'!B:L,11,)</f>
        <v>OFF</v>
      </c>
      <c r="Y73" s="13" t="str">
        <f t="shared" si="68"/>
        <v>OFF</v>
      </c>
      <c r="Z73" s="22">
        <f>VLOOKUP(A73,'Agent Sched'!B:M,12,)</f>
        <v>0.41666666666666669</v>
      </c>
      <c r="AA73" s="13">
        <f t="shared" si="69"/>
        <v>0.79166666666666674</v>
      </c>
      <c r="AB73" s="22">
        <f>VLOOKUP(A73,'Agent Sched'!B:N,13,)</f>
        <v>0.41666666666666669</v>
      </c>
      <c r="AC73" s="13">
        <f t="shared" si="70"/>
        <v>0.79166666666666674</v>
      </c>
      <c r="AD73" s="22">
        <f>VLOOKUP(A73,'Agent Sched'!B:O,14,)</f>
        <v>0.41666666666666669</v>
      </c>
      <c r="AE73" s="13">
        <f t="shared" si="71"/>
        <v>0.79166666666666674</v>
      </c>
      <c r="AF73" s="24">
        <f>VLOOKUP(A73,'Agent Sched'!B:P,15,)</f>
        <v>0.41666666666666669</v>
      </c>
      <c r="AG73" s="13">
        <f t="shared" si="72"/>
        <v>0.79166666666666674</v>
      </c>
      <c r="AI73" s="26">
        <f>VLOOKUP(A73,'Agent Sched'!$B:$Q,16,)</f>
        <v>0.41666666666666669</v>
      </c>
      <c r="AJ73" s="13">
        <f t="shared" si="73"/>
        <v>0.79166666666666674</v>
      </c>
      <c r="AK73" s="22" t="str">
        <f>VLOOKUP(A73,'Agent Sched'!B:R,17,)</f>
        <v>OFF</v>
      </c>
      <c r="AL73" s="13" t="str">
        <f t="shared" si="74"/>
        <v>OFF</v>
      </c>
      <c r="AM73" s="22" t="str">
        <f>VLOOKUP(A73,'Agent Sched'!B:S,18,)</f>
        <v>OFF</v>
      </c>
      <c r="AN73" s="13" t="str">
        <f t="shared" si="75"/>
        <v>OFF</v>
      </c>
      <c r="AO73" s="22">
        <f>VLOOKUP(A73,'Agent Sched'!B:T,19,)</f>
        <v>0.41666666666666669</v>
      </c>
      <c r="AP73" s="13">
        <f t="shared" si="76"/>
        <v>0.79166666666666674</v>
      </c>
      <c r="AQ73" s="22">
        <f>VLOOKUP(A73,'Agent Sched'!B:U,20,)</f>
        <v>0.41666666666666669</v>
      </c>
      <c r="AR73" s="13">
        <f t="shared" si="77"/>
        <v>0.79166666666666674</v>
      </c>
      <c r="AS73" s="22">
        <f>VLOOKUP(A73,'Agent Sched'!B:V,21,)</f>
        <v>0.41666666666666669</v>
      </c>
      <c r="AT73" s="13">
        <f t="shared" si="78"/>
        <v>0.79166666666666674</v>
      </c>
      <c r="AU73" s="24">
        <f>VLOOKUP(A73,'Agent Sched'!B:W,22,)</f>
        <v>0.41666666666666669</v>
      </c>
      <c r="AV73" s="13">
        <f t="shared" si="79"/>
        <v>0.79166666666666674</v>
      </c>
    </row>
    <row r="74" spans="1:48" ht="15.75" thickBot="1" x14ac:dyDescent="0.3">
      <c r="A74" s="20" t="str">
        <f>IFERROR('Agent Sched'!B75,"-")</f>
        <v>Winchell Ann Galotera</v>
      </c>
      <c r="B74" s="12">
        <f>IFERROR(VLOOKUP(A74,'Agent Sched'!$B:$C,2,),"-")</f>
        <v>0.41666666666666669</v>
      </c>
      <c r="C74" s="13">
        <f t="shared" si="58"/>
        <v>0.79166666666666674</v>
      </c>
      <c r="D74" s="12" t="str">
        <f>IFERROR(VLOOKUP(A74,'Agent Sched'!B:D,3,),"-")</f>
        <v>OFF</v>
      </c>
      <c r="E74" s="13" t="str">
        <f t="shared" si="59"/>
        <v>OFF</v>
      </c>
      <c r="F74" s="12" t="str">
        <f>IFERROR(VLOOKUP(A74,'Agent Sched'!B:E,4,),"-")</f>
        <v>OFF</v>
      </c>
      <c r="G74" s="13" t="str">
        <f t="shared" si="60"/>
        <v>OFF</v>
      </c>
      <c r="H74" s="12">
        <f>IFERROR(VLOOKUP(A74,'Agent Sched'!B:F,5,),"-")</f>
        <v>0.41666666666666669</v>
      </c>
      <c r="I74" s="13">
        <f t="shared" si="61"/>
        <v>0.79166666666666674</v>
      </c>
      <c r="J74" s="12">
        <f>IFERROR(VLOOKUP(A74,'Agent Sched'!B:G,6,),"-")</f>
        <v>0.41666666666666669</v>
      </c>
      <c r="K74" s="13">
        <f t="shared" si="62"/>
        <v>0.79166666666666674</v>
      </c>
      <c r="L74" s="12">
        <f>IFERROR(VLOOKUP(A74,'Agent Sched'!B:H,7,),"-")</f>
        <v>0.41666666666666669</v>
      </c>
      <c r="M74" s="13">
        <f t="shared" si="63"/>
        <v>0.79166666666666674</v>
      </c>
      <c r="N74" s="21">
        <f>IFERROR(VLOOKUP(A74,'Agent Sched'!B:I,8,),"-")</f>
        <v>0.41666666666666669</v>
      </c>
      <c r="O74" s="13">
        <f t="shared" si="64"/>
        <v>0.79166666666666674</v>
      </c>
      <c r="Q74" s="12">
        <f>VLOOKUP(A74,'Agent Sched'!B:Y,24,)</f>
        <v>0.41666666666666669</v>
      </c>
      <c r="R74" s="13">
        <f t="shared" si="65"/>
        <v>0.79166666666666674</v>
      </c>
      <c r="T74" s="26">
        <f>VLOOKUP(A74,'Agent Sched'!$B:$J,9,)</f>
        <v>0.41666666666666669</v>
      </c>
      <c r="U74" s="13">
        <f t="shared" si="66"/>
        <v>0.79166666666666674</v>
      </c>
      <c r="V74" s="22" t="str">
        <f>VLOOKUP(A74,'Agent Sched'!B:K,10,)</f>
        <v>OFF</v>
      </c>
      <c r="W74" s="13" t="str">
        <f t="shared" si="67"/>
        <v>OFF</v>
      </c>
      <c r="X74" s="22" t="str">
        <f>VLOOKUP(A74,'Agent Sched'!B:L,11,)</f>
        <v>OFF</v>
      </c>
      <c r="Y74" s="13" t="str">
        <f t="shared" si="68"/>
        <v>OFF</v>
      </c>
      <c r="Z74" s="22">
        <f>VLOOKUP(A74,'Agent Sched'!B:M,12,)</f>
        <v>0.41666666666666669</v>
      </c>
      <c r="AA74" s="13">
        <f t="shared" si="69"/>
        <v>0.79166666666666674</v>
      </c>
      <c r="AB74" s="22">
        <f>VLOOKUP(A74,'Agent Sched'!B:N,13,)</f>
        <v>0.41666666666666669</v>
      </c>
      <c r="AC74" s="13">
        <f t="shared" si="70"/>
        <v>0.79166666666666674</v>
      </c>
      <c r="AD74" s="22">
        <f>VLOOKUP(A74,'Agent Sched'!B:O,14,)</f>
        <v>0.41666666666666669</v>
      </c>
      <c r="AE74" s="13">
        <f t="shared" si="71"/>
        <v>0.79166666666666674</v>
      </c>
      <c r="AF74" s="24">
        <f>VLOOKUP(A74,'Agent Sched'!B:P,15,)</f>
        <v>0.41666666666666669</v>
      </c>
      <c r="AG74" s="13">
        <f t="shared" si="72"/>
        <v>0.79166666666666674</v>
      </c>
      <c r="AI74" s="26">
        <f>VLOOKUP(A74,'Agent Sched'!$B:$Q,16,)</f>
        <v>0.41666666666666669</v>
      </c>
      <c r="AJ74" s="13">
        <f t="shared" si="73"/>
        <v>0.79166666666666674</v>
      </c>
      <c r="AK74" s="22" t="str">
        <f>VLOOKUP(A74,'Agent Sched'!B:R,17,)</f>
        <v>OFF</v>
      </c>
      <c r="AL74" s="13" t="str">
        <f t="shared" si="74"/>
        <v>OFF</v>
      </c>
      <c r="AM74" s="22" t="str">
        <f>VLOOKUP(A74,'Agent Sched'!B:S,18,)</f>
        <v>OFF</v>
      </c>
      <c r="AN74" s="13" t="str">
        <f t="shared" si="75"/>
        <v>OFF</v>
      </c>
      <c r="AO74" s="22">
        <f>VLOOKUP(A74,'Agent Sched'!B:T,19,)</f>
        <v>0.41666666666666669</v>
      </c>
      <c r="AP74" s="13">
        <f t="shared" si="76"/>
        <v>0.79166666666666674</v>
      </c>
      <c r="AQ74" s="22">
        <f>VLOOKUP(A74,'Agent Sched'!B:U,20,)</f>
        <v>0.41666666666666669</v>
      </c>
      <c r="AR74" s="13">
        <f t="shared" si="77"/>
        <v>0.79166666666666674</v>
      </c>
      <c r="AS74" s="22">
        <f>VLOOKUP(A74,'Agent Sched'!B:V,21,)</f>
        <v>0.41666666666666669</v>
      </c>
      <c r="AT74" s="13">
        <f t="shared" si="78"/>
        <v>0.79166666666666674</v>
      </c>
      <c r="AU74" s="24">
        <f>VLOOKUP(A74,'Agent Sched'!B:W,22,)</f>
        <v>0.41666666666666669</v>
      </c>
      <c r="AV74" s="13">
        <f t="shared" si="79"/>
        <v>0.79166666666666674</v>
      </c>
    </row>
    <row r="75" spans="1:48" ht="15.75" thickBot="1" x14ac:dyDescent="0.3">
      <c r="A75" s="20" t="str">
        <f>IFERROR('Agent Sched'!B76,"-")</f>
        <v>Ma Lourdes Logronio</v>
      </c>
      <c r="B75" s="12">
        <f>IFERROR(VLOOKUP(A75,'Agent Sched'!$B:$C,2,),"-")</f>
        <v>0.41666666666666669</v>
      </c>
      <c r="C75" s="13">
        <f t="shared" si="58"/>
        <v>0.79166666666666674</v>
      </c>
      <c r="D75" s="12" t="str">
        <f>IFERROR(VLOOKUP(A75,'Agent Sched'!B:D,3,),"-")</f>
        <v>OFF</v>
      </c>
      <c r="E75" s="13" t="str">
        <f t="shared" si="59"/>
        <v>OFF</v>
      </c>
      <c r="F75" s="12" t="str">
        <f>IFERROR(VLOOKUP(A75,'Agent Sched'!B:E,4,),"-")</f>
        <v>OFF</v>
      </c>
      <c r="G75" s="13" t="str">
        <f t="shared" si="60"/>
        <v>OFF</v>
      </c>
      <c r="H75" s="12">
        <f>IFERROR(VLOOKUP(A75,'Agent Sched'!B:F,5,),"-")</f>
        <v>0.41666666666666669</v>
      </c>
      <c r="I75" s="13">
        <f t="shared" si="61"/>
        <v>0.79166666666666674</v>
      </c>
      <c r="J75" s="12">
        <f>IFERROR(VLOOKUP(A75,'Agent Sched'!B:G,6,),"-")</f>
        <v>0.41666666666666669</v>
      </c>
      <c r="K75" s="13">
        <f t="shared" si="62"/>
        <v>0.79166666666666674</v>
      </c>
      <c r="L75" s="12">
        <f>IFERROR(VLOOKUP(A75,'Agent Sched'!B:H,7,),"-")</f>
        <v>0.41666666666666669</v>
      </c>
      <c r="M75" s="13">
        <f t="shared" si="63"/>
        <v>0.79166666666666674</v>
      </c>
      <c r="N75" s="21">
        <f>IFERROR(VLOOKUP(A75,'Agent Sched'!B:I,8,),"-")</f>
        <v>0.41666666666666669</v>
      </c>
      <c r="O75" s="13">
        <f t="shared" si="64"/>
        <v>0.79166666666666674</v>
      </c>
      <c r="Q75" s="12">
        <f>VLOOKUP(A75,'Agent Sched'!B:Y,24,)</f>
        <v>0.41666666666666669</v>
      </c>
      <c r="R75" s="13">
        <f t="shared" si="65"/>
        <v>0.79166666666666674</v>
      </c>
      <c r="T75" s="26">
        <f>VLOOKUP(A75,'Agent Sched'!$B:$J,9,)</f>
        <v>0.41666666666666669</v>
      </c>
      <c r="U75" s="13">
        <f t="shared" si="66"/>
        <v>0.79166666666666674</v>
      </c>
      <c r="V75" s="22" t="str">
        <f>VLOOKUP(A75,'Agent Sched'!B:K,10,)</f>
        <v>OFF</v>
      </c>
      <c r="W75" s="13" t="str">
        <f t="shared" si="67"/>
        <v>OFF</v>
      </c>
      <c r="X75" s="22" t="str">
        <f>VLOOKUP(A75,'Agent Sched'!B:L,11,)</f>
        <v>OFF</v>
      </c>
      <c r="Y75" s="13" t="str">
        <f t="shared" si="68"/>
        <v>OFF</v>
      </c>
      <c r="Z75" s="22">
        <f>VLOOKUP(A75,'Agent Sched'!B:M,12,)</f>
        <v>0.41666666666666669</v>
      </c>
      <c r="AA75" s="13">
        <f t="shared" si="69"/>
        <v>0.79166666666666674</v>
      </c>
      <c r="AB75" s="22">
        <f>VLOOKUP(A75,'Agent Sched'!B:N,13,)</f>
        <v>0.41666666666666669</v>
      </c>
      <c r="AC75" s="13">
        <f t="shared" si="70"/>
        <v>0.79166666666666674</v>
      </c>
      <c r="AD75" s="22">
        <f>VLOOKUP(A75,'Agent Sched'!B:O,14,)</f>
        <v>0.41666666666666669</v>
      </c>
      <c r="AE75" s="13">
        <f t="shared" si="71"/>
        <v>0.79166666666666674</v>
      </c>
      <c r="AF75" s="24">
        <f>VLOOKUP(A75,'Agent Sched'!B:P,15,)</f>
        <v>0.41666666666666669</v>
      </c>
      <c r="AG75" s="13">
        <f t="shared" si="72"/>
        <v>0.79166666666666674</v>
      </c>
      <c r="AI75" s="26">
        <f>VLOOKUP(A75,'Agent Sched'!$B:$Q,16,)</f>
        <v>0.41666666666666669</v>
      </c>
      <c r="AJ75" s="13">
        <f t="shared" si="73"/>
        <v>0.79166666666666674</v>
      </c>
      <c r="AK75" s="22" t="str">
        <f>VLOOKUP(A75,'Agent Sched'!B:R,17,)</f>
        <v>OFF</v>
      </c>
      <c r="AL75" s="13" t="str">
        <f t="shared" si="74"/>
        <v>OFF</v>
      </c>
      <c r="AM75" s="22" t="str">
        <f>VLOOKUP(A75,'Agent Sched'!B:S,18,)</f>
        <v>OFF</v>
      </c>
      <c r="AN75" s="13" t="str">
        <f t="shared" si="75"/>
        <v>OFF</v>
      </c>
      <c r="AO75" s="22">
        <f>VLOOKUP(A75,'Agent Sched'!B:T,19,)</f>
        <v>0.41666666666666669</v>
      </c>
      <c r="AP75" s="13">
        <f t="shared" si="76"/>
        <v>0.79166666666666674</v>
      </c>
      <c r="AQ75" s="22">
        <f>VLOOKUP(A75,'Agent Sched'!B:U,20,)</f>
        <v>0.41666666666666669</v>
      </c>
      <c r="AR75" s="13">
        <f t="shared" si="77"/>
        <v>0.79166666666666674</v>
      </c>
      <c r="AS75" s="22">
        <f>VLOOKUP(A75,'Agent Sched'!B:V,21,)</f>
        <v>0.41666666666666669</v>
      </c>
      <c r="AT75" s="13">
        <f t="shared" si="78"/>
        <v>0.79166666666666674</v>
      </c>
      <c r="AU75" s="24">
        <f>VLOOKUP(A75,'Agent Sched'!B:W,22,)</f>
        <v>0.41666666666666669</v>
      </c>
      <c r="AV75" s="13">
        <f t="shared" si="79"/>
        <v>0.79166666666666674</v>
      </c>
    </row>
    <row r="76" spans="1:48" ht="15.75" thickBot="1" x14ac:dyDescent="0.3">
      <c r="A76" s="20" t="str">
        <f>IFERROR('Agent Sched'!B77,"-")</f>
        <v>Guilliane Lee Cantillas</v>
      </c>
      <c r="B76" s="12">
        <f>IFERROR(VLOOKUP(A76,'Agent Sched'!$B:$C,2,),"-")</f>
        <v>0.41666666666666669</v>
      </c>
      <c r="C76" s="13">
        <f t="shared" si="58"/>
        <v>0.79166666666666674</v>
      </c>
      <c r="D76" s="12" t="str">
        <f>IFERROR(VLOOKUP(A76,'Agent Sched'!B:D,3,),"-")</f>
        <v>OFF</v>
      </c>
      <c r="E76" s="13" t="str">
        <f t="shared" si="59"/>
        <v>OFF</v>
      </c>
      <c r="F76" s="12" t="str">
        <f>IFERROR(VLOOKUP(A76,'Agent Sched'!B:E,4,),"-")</f>
        <v>OFF</v>
      </c>
      <c r="G76" s="13" t="str">
        <f t="shared" si="60"/>
        <v>OFF</v>
      </c>
      <c r="H76" s="12">
        <f>IFERROR(VLOOKUP(A76,'Agent Sched'!B:F,5,),"-")</f>
        <v>0.41666666666666669</v>
      </c>
      <c r="I76" s="13">
        <f t="shared" si="61"/>
        <v>0.79166666666666674</v>
      </c>
      <c r="J76" s="12">
        <f>IFERROR(VLOOKUP(A76,'Agent Sched'!B:G,6,),"-")</f>
        <v>0.41666666666666669</v>
      </c>
      <c r="K76" s="13">
        <f t="shared" si="62"/>
        <v>0.79166666666666674</v>
      </c>
      <c r="L76" s="12">
        <f>IFERROR(VLOOKUP(A76,'Agent Sched'!B:H,7,),"-")</f>
        <v>0.41666666666666669</v>
      </c>
      <c r="M76" s="13">
        <f t="shared" si="63"/>
        <v>0.79166666666666674</v>
      </c>
      <c r="N76" s="21">
        <f>IFERROR(VLOOKUP(A76,'Agent Sched'!B:I,8,),"-")</f>
        <v>0.41666666666666669</v>
      </c>
      <c r="O76" s="13">
        <f t="shared" si="64"/>
        <v>0.79166666666666674</v>
      </c>
      <c r="Q76" s="12">
        <f>VLOOKUP(A76,'Agent Sched'!B:Y,24,)</f>
        <v>0.41666666666666669</v>
      </c>
      <c r="R76" s="13">
        <f t="shared" si="65"/>
        <v>0.79166666666666674</v>
      </c>
      <c r="T76" s="26">
        <f>VLOOKUP(A76,'Agent Sched'!$B:$J,9,)</f>
        <v>0.41666666666666669</v>
      </c>
      <c r="U76" s="13">
        <f t="shared" si="66"/>
        <v>0.79166666666666674</v>
      </c>
      <c r="V76" s="22" t="str">
        <f>VLOOKUP(A76,'Agent Sched'!B:K,10,)</f>
        <v>OFF</v>
      </c>
      <c r="W76" s="13" t="str">
        <f t="shared" si="67"/>
        <v>OFF</v>
      </c>
      <c r="X76" s="22" t="str">
        <f>VLOOKUP(A76,'Agent Sched'!B:L,11,)</f>
        <v>OFF</v>
      </c>
      <c r="Y76" s="13" t="str">
        <f t="shared" si="68"/>
        <v>OFF</v>
      </c>
      <c r="Z76" s="22">
        <f>VLOOKUP(A76,'Agent Sched'!B:M,12,)</f>
        <v>0.41666666666666669</v>
      </c>
      <c r="AA76" s="13">
        <f t="shared" si="69"/>
        <v>0.79166666666666674</v>
      </c>
      <c r="AB76" s="22">
        <f>VLOOKUP(A76,'Agent Sched'!B:N,13,)</f>
        <v>0.41666666666666669</v>
      </c>
      <c r="AC76" s="13">
        <f t="shared" si="70"/>
        <v>0.79166666666666674</v>
      </c>
      <c r="AD76" s="22">
        <f>VLOOKUP(A76,'Agent Sched'!B:O,14,)</f>
        <v>0.41666666666666669</v>
      </c>
      <c r="AE76" s="13">
        <f t="shared" si="71"/>
        <v>0.79166666666666674</v>
      </c>
      <c r="AF76" s="24">
        <f>VLOOKUP(A76,'Agent Sched'!B:P,15,)</f>
        <v>0.41666666666666669</v>
      </c>
      <c r="AG76" s="13">
        <f t="shared" si="72"/>
        <v>0.79166666666666674</v>
      </c>
      <c r="AI76" s="26">
        <f>VLOOKUP(A76,'Agent Sched'!$B:$Q,16,)</f>
        <v>0.41666666666666669</v>
      </c>
      <c r="AJ76" s="13">
        <f t="shared" si="73"/>
        <v>0.79166666666666674</v>
      </c>
      <c r="AK76" s="22" t="str">
        <f>VLOOKUP(A76,'Agent Sched'!B:R,17,)</f>
        <v>OFF</v>
      </c>
      <c r="AL76" s="13" t="str">
        <f t="shared" si="74"/>
        <v>OFF</v>
      </c>
      <c r="AM76" s="22" t="str">
        <f>VLOOKUP(A76,'Agent Sched'!B:S,18,)</f>
        <v>OFF</v>
      </c>
      <c r="AN76" s="13" t="str">
        <f t="shared" si="75"/>
        <v>OFF</v>
      </c>
      <c r="AO76" s="22">
        <f>VLOOKUP(A76,'Agent Sched'!B:T,19,)</f>
        <v>0.41666666666666669</v>
      </c>
      <c r="AP76" s="13">
        <f t="shared" si="76"/>
        <v>0.79166666666666674</v>
      </c>
      <c r="AQ76" s="22">
        <f>VLOOKUP(A76,'Agent Sched'!B:U,20,)</f>
        <v>0.41666666666666669</v>
      </c>
      <c r="AR76" s="13">
        <f t="shared" si="77"/>
        <v>0.79166666666666674</v>
      </c>
      <c r="AS76" s="22">
        <f>VLOOKUP(A76,'Agent Sched'!B:V,21,)</f>
        <v>0.41666666666666669</v>
      </c>
      <c r="AT76" s="13">
        <f t="shared" si="78"/>
        <v>0.79166666666666674</v>
      </c>
      <c r="AU76" s="24">
        <f>VLOOKUP(A76,'Agent Sched'!B:W,22,)</f>
        <v>0.41666666666666669</v>
      </c>
      <c r="AV76" s="13">
        <f t="shared" si="79"/>
        <v>0.79166666666666674</v>
      </c>
    </row>
    <row r="77" spans="1:48" ht="15.75" thickBot="1" x14ac:dyDescent="0.3">
      <c r="A77" s="20" t="str">
        <f>IFERROR('Agent Sched'!B78,"-")</f>
        <v>Angelo Llobrera</v>
      </c>
      <c r="B77" s="12">
        <f>IFERROR(VLOOKUP(A77,'Agent Sched'!$B:$C,2,),"-")</f>
        <v>0.41666666666666669</v>
      </c>
      <c r="C77" s="13">
        <f t="shared" si="58"/>
        <v>0.79166666666666674</v>
      </c>
      <c r="D77" s="12" t="str">
        <f>IFERROR(VLOOKUP(A77,'Agent Sched'!B:D,3,),"-")</f>
        <v>OFF</v>
      </c>
      <c r="E77" s="13" t="str">
        <f t="shared" si="59"/>
        <v>OFF</v>
      </c>
      <c r="F77" s="12" t="str">
        <f>IFERROR(VLOOKUP(A77,'Agent Sched'!B:E,4,),"-")</f>
        <v>OFF</v>
      </c>
      <c r="G77" s="13" t="str">
        <f t="shared" si="60"/>
        <v>OFF</v>
      </c>
      <c r="H77" s="12">
        <f>IFERROR(VLOOKUP(A77,'Agent Sched'!B:F,5,),"-")</f>
        <v>0.41666666666666669</v>
      </c>
      <c r="I77" s="13">
        <f t="shared" si="61"/>
        <v>0.79166666666666674</v>
      </c>
      <c r="J77" s="12">
        <f>IFERROR(VLOOKUP(A77,'Agent Sched'!B:G,6,),"-")</f>
        <v>0.41666666666666669</v>
      </c>
      <c r="K77" s="13">
        <f t="shared" si="62"/>
        <v>0.79166666666666674</v>
      </c>
      <c r="L77" s="12">
        <f>IFERROR(VLOOKUP(A77,'Agent Sched'!B:H,7,),"-")</f>
        <v>0.41666666666666669</v>
      </c>
      <c r="M77" s="13">
        <f t="shared" si="63"/>
        <v>0.79166666666666674</v>
      </c>
      <c r="N77" s="21">
        <f>IFERROR(VLOOKUP(A77,'Agent Sched'!B:I,8,),"-")</f>
        <v>0.41666666666666669</v>
      </c>
      <c r="O77" s="13">
        <f t="shared" si="64"/>
        <v>0.79166666666666674</v>
      </c>
      <c r="Q77" s="12">
        <f>VLOOKUP(A77,'Agent Sched'!B:Y,24,)</f>
        <v>0.41666666666666669</v>
      </c>
      <c r="R77" s="13">
        <f t="shared" si="65"/>
        <v>0.79166666666666674</v>
      </c>
      <c r="T77" s="26">
        <f>VLOOKUP(A77,'Agent Sched'!$B:$J,9,)</f>
        <v>0.41666666666666669</v>
      </c>
      <c r="U77" s="13">
        <f t="shared" si="66"/>
        <v>0.79166666666666674</v>
      </c>
      <c r="V77" s="22" t="str">
        <f>VLOOKUP(A77,'Agent Sched'!B:K,10,)</f>
        <v>OFF</v>
      </c>
      <c r="W77" s="13" t="str">
        <f t="shared" si="67"/>
        <v>OFF</v>
      </c>
      <c r="X77" s="22" t="str">
        <f>VLOOKUP(A77,'Agent Sched'!B:L,11,)</f>
        <v>OFF</v>
      </c>
      <c r="Y77" s="13" t="str">
        <f t="shared" si="68"/>
        <v>OFF</v>
      </c>
      <c r="Z77" s="22">
        <f>VLOOKUP(A77,'Agent Sched'!B:M,12,)</f>
        <v>0.41666666666666669</v>
      </c>
      <c r="AA77" s="13">
        <f t="shared" si="69"/>
        <v>0.79166666666666674</v>
      </c>
      <c r="AB77" s="22">
        <f>VLOOKUP(A77,'Agent Sched'!B:N,13,)</f>
        <v>0.41666666666666669</v>
      </c>
      <c r="AC77" s="13">
        <f t="shared" si="70"/>
        <v>0.79166666666666674</v>
      </c>
      <c r="AD77" s="22">
        <f>VLOOKUP(A77,'Agent Sched'!B:O,14,)</f>
        <v>0.41666666666666669</v>
      </c>
      <c r="AE77" s="13">
        <f t="shared" si="71"/>
        <v>0.79166666666666674</v>
      </c>
      <c r="AF77" s="24">
        <f>VLOOKUP(A77,'Agent Sched'!B:P,15,)</f>
        <v>0.41666666666666669</v>
      </c>
      <c r="AG77" s="13">
        <f t="shared" si="72"/>
        <v>0.79166666666666674</v>
      </c>
      <c r="AI77" s="26">
        <f>VLOOKUP(A77,'Agent Sched'!$B:$Q,16,)</f>
        <v>0.41666666666666669</v>
      </c>
      <c r="AJ77" s="13">
        <f t="shared" si="73"/>
        <v>0.79166666666666674</v>
      </c>
      <c r="AK77" s="22" t="str">
        <f>VLOOKUP(A77,'Agent Sched'!B:R,17,)</f>
        <v>OFF</v>
      </c>
      <c r="AL77" s="13" t="str">
        <f t="shared" si="74"/>
        <v>OFF</v>
      </c>
      <c r="AM77" s="22" t="str">
        <f>VLOOKUP(A77,'Agent Sched'!B:S,18,)</f>
        <v>OFF</v>
      </c>
      <c r="AN77" s="13" t="str">
        <f t="shared" si="75"/>
        <v>OFF</v>
      </c>
      <c r="AO77" s="22">
        <f>VLOOKUP(A77,'Agent Sched'!B:T,19,)</f>
        <v>0.41666666666666669</v>
      </c>
      <c r="AP77" s="13">
        <f t="shared" si="76"/>
        <v>0.79166666666666674</v>
      </c>
      <c r="AQ77" s="22">
        <f>VLOOKUP(A77,'Agent Sched'!B:U,20,)</f>
        <v>0.41666666666666669</v>
      </c>
      <c r="AR77" s="13">
        <f t="shared" si="77"/>
        <v>0.79166666666666674</v>
      </c>
      <c r="AS77" s="22">
        <f>VLOOKUP(A77,'Agent Sched'!B:V,21,)</f>
        <v>0.41666666666666669</v>
      </c>
      <c r="AT77" s="13">
        <f t="shared" si="78"/>
        <v>0.79166666666666674</v>
      </c>
      <c r="AU77" s="24">
        <f>VLOOKUP(A77,'Agent Sched'!B:W,22,)</f>
        <v>0.41666666666666669</v>
      </c>
      <c r="AV77" s="13">
        <f t="shared" si="79"/>
        <v>0.79166666666666674</v>
      </c>
    </row>
    <row r="78" spans="1:48" ht="15.75" thickBot="1" x14ac:dyDescent="0.3">
      <c r="A78" s="20" t="str">
        <f>IFERROR('Agent Sched'!B79,"-")</f>
        <v>Darryl Mitzi Subong</v>
      </c>
      <c r="B78" s="12">
        <f>IFERROR(VLOOKUP(A78,'Agent Sched'!$B:$C,2,),"-")</f>
        <v>0.41666666666666669</v>
      </c>
      <c r="C78" s="13">
        <f t="shared" si="58"/>
        <v>0.79166666666666674</v>
      </c>
      <c r="D78" s="12" t="str">
        <f>IFERROR(VLOOKUP(A78,'Agent Sched'!B:D,3,),"-")</f>
        <v>OFF</v>
      </c>
      <c r="E78" s="13" t="str">
        <f t="shared" si="59"/>
        <v>OFF</v>
      </c>
      <c r="F78" s="12" t="str">
        <f>IFERROR(VLOOKUP(A78,'Agent Sched'!B:E,4,),"-")</f>
        <v>OFF</v>
      </c>
      <c r="G78" s="13" t="str">
        <f t="shared" si="60"/>
        <v>OFF</v>
      </c>
      <c r="H78" s="12">
        <f>IFERROR(VLOOKUP(A78,'Agent Sched'!B:F,5,),"-")</f>
        <v>0.41666666666666669</v>
      </c>
      <c r="I78" s="13">
        <f t="shared" si="61"/>
        <v>0.79166666666666674</v>
      </c>
      <c r="J78" s="12">
        <f>IFERROR(VLOOKUP(A78,'Agent Sched'!B:G,6,),"-")</f>
        <v>0.41666666666666669</v>
      </c>
      <c r="K78" s="13">
        <f t="shared" si="62"/>
        <v>0.79166666666666674</v>
      </c>
      <c r="L78" s="12">
        <f>IFERROR(VLOOKUP(A78,'Agent Sched'!B:H,7,),"-")</f>
        <v>0.41666666666666669</v>
      </c>
      <c r="M78" s="13">
        <f t="shared" si="63"/>
        <v>0.79166666666666674</v>
      </c>
      <c r="N78" s="21">
        <f>IFERROR(VLOOKUP(A78,'Agent Sched'!B:I,8,),"-")</f>
        <v>0.41666666666666669</v>
      </c>
      <c r="O78" s="13">
        <f t="shared" si="64"/>
        <v>0.79166666666666674</v>
      </c>
      <c r="Q78" s="12">
        <f>VLOOKUP(A78,'Agent Sched'!B:Y,24,)</f>
        <v>0.41666666666666669</v>
      </c>
      <c r="R78" s="13">
        <f t="shared" si="65"/>
        <v>0.79166666666666674</v>
      </c>
      <c r="T78" s="26">
        <f>VLOOKUP(A78,'Agent Sched'!$B:$J,9,)</f>
        <v>0.41666666666666669</v>
      </c>
      <c r="U78" s="13">
        <f t="shared" si="66"/>
        <v>0.79166666666666674</v>
      </c>
      <c r="V78" s="22" t="str">
        <f>VLOOKUP(A78,'Agent Sched'!B:K,10,)</f>
        <v>OFF</v>
      </c>
      <c r="W78" s="13" t="str">
        <f t="shared" si="67"/>
        <v>OFF</v>
      </c>
      <c r="X78" s="22" t="str">
        <f>VLOOKUP(A78,'Agent Sched'!B:L,11,)</f>
        <v>OFF</v>
      </c>
      <c r="Y78" s="13" t="str">
        <f t="shared" si="68"/>
        <v>OFF</v>
      </c>
      <c r="Z78" s="22">
        <f>VLOOKUP(A78,'Agent Sched'!B:M,12,)</f>
        <v>0.41666666666666669</v>
      </c>
      <c r="AA78" s="13">
        <f t="shared" si="69"/>
        <v>0.79166666666666674</v>
      </c>
      <c r="AB78" s="22">
        <f>VLOOKUP(A78,'Agent Sched'!B:N,13,)</f>
        <v>0.41666666666666669</v>
      </c>
      <c r="AC78" s="13">
        <f t="shared" si="70"/>
        <v>0.79166666666666674</v>
      </c>
      <c r="AD78" s="22">
        <f>VLOOKUP(A78,'Agent Sched'!B:O,14,)</f>
        <v>0.41666666666666669</v>
      </c>
      <c r="AE78" s="13">
        <f t="shared" si="71"/>
        <v>0.79166666666666674</v>
      </c>
      <c r="AF78" s="24">
        <f>VLOOKUP(A78,'Agent Sched'!B:P,15,)</f>
        <v>0.41666666666666669</v>
      </c>
      <c r="AG78" s="13">
        <f t="shared" si="72"/>
        <v>0.79166666666666674</v>
      </c>
      <c r="AI78" s="26">
        <f>VLOOKUP(A78,'Agent Sched'!$B:$Q,16,)</f>
        <v>0.41666666666666669</v>
      </c>
      <c r="AJ78" s="13">
        <f t="shared" si="73"/>
        <v>0.79166666666666674</v>
      </c>
      <c r="AK78" s="22" t="str">
        <f>VLOOKUP(A78,'Agent Sched'!B:R,17,)</f>
        <v>OFF</v>
      </c>
      <c r="AL78" s="13" t="str">
        <f t="shared" si="74"/>
        <v>OFF</v>
      </c>
      <c r="AM78" s="22" t="str">
        <f>VLOOKUP(A78,'Agent Sched'!B:S,18,)</f>
        <v>OFF</v>
      </c>
      <c r="AN78" s="13" t="str">
        <f t="shared" si="75"/>
        <v>OFF</v>
      </c>
      <c r="AO78" s="22">
        <f>VLOOKUP(A78,'Agent Sched'!B:T,19,)</f>
        <v>0.41666666666666669</v>
      </c>
      <c r="AP78" s="13">
        <f t="shared" si="76"/>
        <v>0.79166666666666674</v>
      </c>
      <c r="AQ78" s="22">
        <f>VLOOKUP(A78,'Agent Sched'!B:U,20,)</f>
        <v>0.41666666666666669</v>
      </c>
      <c r="AR78" s="13">
        <f t="shared" si="77"/>
        <v>0.79166666666666674</v>
      </c>
      <c r="AS78" s="22">
        <f>VLOOKUP(A78,'Agent Sched'!B:V,21,)</f>
        <v>0.41666666666666669</v>
      </c>
      <c r="AT78" s="13">
        <f t="shared" si="78"/>
        <v>0.79166666666666674</v>
      </c>
      <c r="AU78" s="24">
        <f>VLOOKUP(A78,'Agent Sched'!B:W,22,)</f>
        <v>0.41666666666666669</v>
      </c>
      <c r="AV78" s="13">
        <f t="shared" si="79"/>
        <v>0.79166666666666674</v>
      </c>
    </row>
    <row r="79" spans="1:48" ht="15.75" thickBot="1" x14ac:dyDescent="0.3">
      <c r="A79" s="20" t="str">
        <f>IFERROR('Agent Sched'!B80,"-")</f>
        <v>Glen Kenedy Samson</v>
      </c>
      <c r="B79" s="12">
        <f>IFERROR(VLOOKUP(A79,'Agent Sched'!$B:$C,2,),"-")</f>
        <v>0.41666666666666669</v>
      </c>
      <c r="C79" s="13">
        <f t="shared" si="58"/>
        <v>0.79166666666666674</v>
      </c>
      <c r="D79" s="12" t="str">
        <f>IFERROR(VLOOKUP(A79,'Agent Sched'!B:D,3,),"-")</f>
        <v>OFF</v>
      </c>
      <c r="E79" s="13" t="str">
        <f t="shared" si="59"/>
        <v>OFF</v>
      </c>
      <c r="F79" s="12" t="str">
        <f>IFERROR(VLOOKUP(A79,'Agent Sched'!B:E,4,),"-")</f>
        <v>OFF</v>
      </c>
      <c r="G79" s="13" t="str">
        <f t="shared" si="60"/>
        <v>OFF</v>
      </c>
      <c r="H79" s="12">
        <f>IFERROR(VLOOKUP(A79,'Agent Sched'!B:F,5,),"-")</f>
        <v>0.41666666666666669</v>
      </c>
      <c r="I79" s="13">
        <f t="shared" si="61"/>
        <v>0.79166666666666674</v>
      </c>
      <c r="J79" s="12">
        <f>IFERROR(VLOOKUP(A79,'Agent Sched'!B:G,6,),"-")</f>
        <v>0.41666666666666669</v>
      </c>
      <c r="K79" s="13">
        <f t="shared" si="62"/>
        <v>0.79166666666666674</v>
      </c>
      <c r="L79" s="12">
        <f>IFERROR(VLOOKUP(A79,'Agent Sched'!B:H,7,),"-")</f>
        <v>0.41666666666666669</v>
      </c>
      <c r="M79" s="13">
        <f t="shared" si="63"/>
        <v>0.79166666666666674</v>
      </c>
      <c r="N79" s="21">
        <f>IFERROR(VLOOKUP(A79,'Agent Sched'!B:I,8,),"-")</f>
        <v>0.41666666666666669</v>
      </c>
      <c r="O79" s="13">
        <f t="shared" si="64"/>
        <v>0.79166666666666674</v>
      </c>
      <c r="Q79" s="12">
        <f>VLOOKUP(A79,'Agent Sched'!B:Y,24,)</f>
        <v>0.41666666666666669</v>
      </c>
      <c r="R79" s="13">
        <f t="shared" si="65"/>
        <v>0.79166666666666674</v>
      </c>
      <c r="T79" s="26">
        <f>VLOOKUP(A79,'Agent Sched'!$B:$J,9,)</f>
        <v>0.41666666666666669</v>
      </c>
      <c r="U79" s="13">
        <f t="shared" si="66"/>
        <v>0.79166666666666674</v>
      </c>
      <c r="V79" s="22" t="str">
        <f>VLOOKUP(A79,'Agent Sched'!B:K,10,)</f>
        <v>OFF</v>
      </c>
      <c r="W79" s="13" t="str">
        <f t="shared" si="67"/>
        <v>OFF</v>
      </c>
      <c r="X79" s="22" t="str">
        <f>VLOOKUP(A79,'Agent Sched'!B:L,11,)</f>
        <v>OFF</v>
      </c>
      <c r="Y79" s="13" t="str">
        <f t="shared" si="68"/>
        <v>OFF</v>
      </c>
      <c r="Z79" s="22">
        <f>VLOOKUP(A79,'Agent Sched'!B:M,12,)</f>
        <v>0.41666666666666669</v>
      </c>
      <c r="AA79" s="13">
        <f t="shared" si="69"/>
        <v>0.79166666666666674</v>
      </c>
      <c r="AB79" s="22">
        <f>VLOOKUP(A79,'Agent Sched'!B:N,13,)</f>
        <v>0.41666666666666669</v>
      </c>
      <c r="AC79" s="13">
        <f t="shared" si="70"/>
        <v>0.79166666666666674</v>
      </c>
      <c r="AD79" s="22">
        <f>VLOOKUP(A79,'Agent Sched'!B:O,14,)</f>
        <v>0.41666666666666669</v>
      </c>
      <c r="AE79" s="13">
        <f t="shared" si="71"/>
        <v>0.79166666666666674</v>
      </c>
      <c r="AF79" s="24">
        <f>VLOOKUP(A79,'Agent Sched'!B:P,15,)</f>
        <v>0.41666666666666669</v>
      </c>
      <c r="AG79" s="13">
        <f t="shared" si="72"/>
        <v>0.79166666666666674</v>
      </c>
      <c r="AI79" s="26">
        <f>VLOOKUP(A79,'Agent Sched'!$B:$Q,16,)</f>
        <v>0.41666666666666669</v>
      </c>
      <c r="AJ79" s="13">
        <f t="shared" si="73"/>
        <v>0.79166666666666674</v>
      </c>
      <c r="AK79" s="22" t="str">
        <f>VLOOKUP(A79,'Agent Sched'!B:R,17,)</f>
        <v>OFF</v>
      </c>
      <c r="AL79" s="13" t="str">
        <f t="shared" si="74"/>
        <v>OFF</v>
      </c>
      <c r="AM79" s="22" t="str">
        <f>VLOOKUP(A79,'Agent Sched'!B:S,18,)</f>
        <v>OFF</v>
      </c>
      <c r="AN79" s="13" t="str">
        <f t="shared" si="75"/>
        <v>OFF</v>
      </c>
      <c r="AO79" s="22">
        <f>VLOOKUP(A79,'Agent Sched'!B:T,19,)</f>
        <v>0.41666666666666669</v>
      </c>
      <c r="AP79" s="13">
        <f t="shared" si="76"/>
        <v>0.79166666666666674</v>
      </c>
      <c r="AQ79" s="22">
        <f>VLOOKUP(A79,'Agent Sched'!B:U,20,)</f>
        <v>0.41666666666666669</v>
      </c>
      <c r="AR79" s="13">
        <f t="shared" si="77"/>
        <v>0.79166666666666674</v>
      </c>
      <c r="AS79" s="22">
        <f>VLOOKUP(A79,'Agent Sched'!B:V,21,)</f>
        <v>0.41666666666666669</v>
      </c>
      <c r="AT79" s="13">
        <f t="shared" si="78"/>
        <v>0.79166666666666674</v>
      </c>
      <c r="AU79" s="24">
        <f>VLOOKUP(A79,'Agent Sched'!B:W,22,)</f>
        <v>0.41666666666666669</v>
      </c>
      <c r="AV79" s="13">
        <f t="shared" si="79"/>
        <v>0.79166666666666674</v>
      </c>
    </row>
    <row r="80" spans="1:48" ht="15.75" thickBot="1" x14ac:dyDescent="0.3">
      <c r="A80" s="20" t="str">
        <f>IFERROR('Agent Sched'!B81,"-")</f>
        <v>Jacqueline Valdez</v>
      </c>
      <c r="B80" s="12">
        <f>IFERROR(VLOOKUP(A80,'Agent Sched'!$B:$C,2,),"-")</f>
        <v>0.41666666666666669</v>
      </c>
      <c r="C80" s="13">
        <f t="shared" si="58"/>
        <v>0.79166666666666674</v>
      </c>
      <c r="D80" s="12" t="str">
        <f>IFERROR(VLOOKUP(A80,'Agent Sched'!B:D,3,),"-")</f>
        <v>OFF</v>
      </c>
      <c r="E80" s="13" t="str">
        <f t="shared" si="59"/>
        <v>OFF</v>
      </c>
      <c r="F80" s="12" t="str">
        <f>IFERROR(VLOOKUP(A80,'Agent Sched'!B:E,4,),"-")</f>
        <v>OFF</v>
      </c>
      <c r="G80" s="13" t="str">
        <f t="shared" si="60"/>
        <v>OFF</v>
      </c>
      <c r="H80" s="12">
        <f>IFERROR(VLOOKUP(A80,'Agent Sched'!B:F,5,),"-")</f>
        <v>0.41666666666666669</v>
      </c>
      <c r="I80" s="13">
        <f t="shared" si="61"/>
        <v>0.79166666666666674</v>
      </c>
      <c r="J80" s="12">
        <f>IFERROR(VLOOKUP(A80,'Agent Sched'!B:G,6,),"-")</f>
        <v>0.41666666666666669</v>
      </c>
      <c r="K80" s="13">
        <f t="shared" si="62"/>
        <v>0.79166666666666674</v>
      </c>
      <c r="L80" s="12">
        <f>IFERROR(VLOOKUP(A80,'Agent Sched'!B:H,7,),"-")</f>
        <v>0.41666666666666669</v>
      </c>
      <c r="M80" s="13">
        <f t="shared" si="63"/>
        <v>0.79166666666666674</v>
      </c>
      <c r="N80" s="21">
        <f>IFERROR(VLOOKUP(A80,'Agent Sched'!B:I,8,),"-")</f>
        <v>0.41666666666666669</v>
      </c>
      <c r="O80" s="13">
        <f t="shared" si="64"/>
        <v>0.79166666666666674</v>
      </c>
      <c r="Q80" s="12">
        <f>VLOOKUP(A80,'Agent Sched'!B:Y,24,)</f>
        <v>0.41666666666666669</v>
      </c>
      <c r="R80" s="13">
        <f t="shared" si="65"/>
        <v>0.79166666666666674</v>
      </c>
      <c r="T80" s="26">
        <f>VLOOKUP(A80,'Agent Sched'!$B:$J,9,)</f>
        <v>0.41666666666666669</v>
      </c>
      <c r="U80" s="13">
        <f t="shared" si="66"/>
        <v>0.79166666666666674</v>
      </c>
      <c r="V80" s="22" t="str">
        <f>VLOOKUP(A80,'Agent Sched'!B:K,10,)</f>
        <v>OFF</v>
      </c>
      <c r="W80" s="13" t="str">
        <f t="shared" si="67"/>
        <v>OFF</v>
      </c>
      <c r="X80" s="22" t="str">
        <f>VLOOKUP(A80,'Agent Sched'!B:L,11,)</f>
        <v>OFF</v>
      </c>
      <c r="Y80" s="13" t="str">
        <f t="shared" si="68"/>
        <v>OFF</v>
      </c>
      <c r="Z80" s="22">
        <f>VLOOKUP(A80,'Agent Sched'!B:M,12,)</f>
        <v>0.41666666666666669</v>
      </c>
      <c r="AA80" s="13">
        <f t="shared" si="69"/>
        <v>0.79166666666666674</v>
      </c>
      <c r="AB80" s="22">
        <f>VLOOKUP(A80,'Agent Sched'!B:N,13,)</f>
        <v>0.41666666666666669</v>
      </c>
      <c r="AC80" s="13">
        <f t="shared" si="70"/>
        <v>0.79166666666666674</v>
      </c>
      <c r="AD80" s="22">
        <f>VLOOKUP(A80,'Agent Sched'!B:O,14,)</f>
        <v>0.41666666666666669</v>
      </c>
      <c r="AE80" s="13">
        <f t="shared" si="71"/>
        <v>0.79166666666666674</v>
      </c>
      <c r="AF80" s="24">
        <f>VLOOKUP(A80,'Agent Sched'!B:P,15,)</f>
        <v>0.41666666666666669</v>
      </c>
      <c r="AG80" s="13">
        <f t="shared" si="72"/>
        <v>0.79166666666666674</v>
      </c>
      <c r="AI80" s="26">
        <f>VLOOKUP(A80,'Agent Sched'!$B:$Q,16,)</f>
        <v>0.41666666666666669</v>
      </c>
      <c r="AJ80" s="13">
        <f t="shared" si="73"/>
        <v>0.79166666666666674</v>
      </c>
      <c r="AK80" s="22" t="str">
        <f>VLOOKUP(A80,'Agent Sched'!B:R,17,)</f>
        <v>OFF</v>
      </c>
      <c r="AL80" s="13" t="str">
        <f t="shared" si="74"/>
        <v>OFF</v>
      </c>
      <c r="AM80" s="22" t="str">
        <f>VLOOKUP(A80,'Agent Sched'!B:S,18,)</f>
        <v>OFF</v>
      </c>
      <c r="AN80" s="13" t="str">
        <f t="shared" si="75"/>
        <v>OFF</v>
      </c>
      <c r="AO80" s="22">
        <f>VLOOKUP(A80,'Agent Sched'!B:T,19,)</f>
        <v>0.41666666666666669</v>
      </c>
      <c r="AP80" s="13">
        <f t="shared" si="76"/>
        <v>0.79166666666666674</v>
      </c>
      <c r="AQ80" s="22">
        <f>VLOOKUP(A80,'Agent Sched'!B:U,20,)</f>
        <v>0.41666666666666669</v>
      </c>
      <c r="AR80" s="13">
        <f t="shared" si="77"/>
        <v>0.79166666666666674</v>
      </c>
      <c r="AS80" s="22">
        <f>VLOOKUP(A80,'Agent Sched'!B:V,21,)</f>
        <v>0.41666666666666669</v>
      </c>
      <c r="AT80" s="13">
        <f t="shared" si="78"/>
        <v>0.79166666666666674</v>
      </c>
      <c r="AU80" s="24">
        <f>VLOOKUP(A80,'Agent Sched'!B:W,22,)</f>
        <v>0.41666666666666669</v>
      </c>
      <c r="AV80" s="13">
        <f t="shared" si="79"/>
        <v>0.79166666666666674</v>
      </c>
    </row>
    <row r="81" spans="1:48" ht="15.75" thickBot="1" x14ac:dyDescent="0.3">
      <c r="A81" s="20" t="str">
        <f>IFERROR('Agent Sched'!B82,"-")</f>
        <v>Joshua Catipunan</v>
      </c>
      <c r="B81" s="12">
        <f>IFERROR(VLOOKUP(A81,'Agent Sched'!$B:$C,2,),"-")</f>
        <v>0.41666666666666669</v>
      </c>
      <c r="C81" s="13">
        <f t="shared" si="58"/>
        <v>0.79166666666666674</v>
      </c>
      <c r="D81" s="12" t="str">
        <f>IFERROR(VLOOKUP(A81,'Agent Sched'!B:D,3,),"-")</f>
        <v>OFF</v>
      </c>
      <c r="E81" s="13" t="str">
        <f t="shared" si="59"/>
        <v>OFF</v>
      </c>
      <c r="F81" s="12" t="str">
        <f>IFERROR(VLOOKUP(A81,'Agent Sched'!B:E,4,),"-")</f>
        <v>OFF</v>
      </c>
      <c r="G81" s="13" t="str">
        <f t="shared" si="60"/>
        <v>OFF</v>
      </c>
      <c r="H81" s="12">
        <f>IFERROR(VLOOKUP(A81,'Agent Sched'!B:F,5,),"-")</f>
        <v>0.41666666666666669</v>
      </c>
      <c r="I81" s="13">
        <f t="shared" si="61"/>
        <v>0.79166666666666674</v>
      </c>
      <c r="J81" s="12">
        <f>IFERROR(VLOOKUP(A81,'Agent Sched'!B:G,6,),"-")</f>
        <v>0.41666666666666669</v>
      </c>
      <c r="K81" s="13">
        <f t="shared" si="62"/>
        <v>0.79166666666666674</v>
      </c>
      <c r="L81" s="12">
        <f>IFERROR(VLOOKUP(A81,'Agent Sched'!B:H,7,),"-")</f>
        <v>0.41666666666666669</v>
      </c>
      <c r="M81" s="13">
        <f t="shared" si="63"/>
        <v>0.79166666666666674</v>
      </c>
      <c r="N81" s="21">
        <f>IFERROR(VLOOKUP(A81,'Agent Sched'!B:I,8,),"-")</f>
        <v>0.41666666666666669</v>
      </c>
      <c r="O81" s="13">
        <f t="shared" si="64"/>
        <v>0.79166666666666674</v>
      </c>
      <c r="Q81" s="12">
        <f>VLOOKUP(A81,'Agent Sched'!B:Y,24,)</f>
        <v>0.41666666666666669</v>
      </c>
      <c r="R81" s="13">
        <f t="shared" si="65"/>
        <v>0.79166666666666674</v>
      </c>
      <c r="T81" s="26">
        <f>VLOOKUP(A81,'Agent Sched'!$B:$J,9,)</f>
        <v>0.41666666666666669</v>
      </c>
      <c r="U81" s="13">
        <f t="shared" si="66"/>
        <v>0.79166666666666674</v>
      </c>
      <c r="V81" s="22" t="str">
        <f>VLOOKUP(A81,'Agent Sched'!B:K,10,)</f>
        <v>OFF</v>
      </c>
      <c r="W81" s="13" t="str">
        <f t="shared" si="67"/>
        <v>OFF</v>
      </c>
      <c r="X81" s="22" t="str">
        <f>VLOOKUP(A81,'Agent Sched'!B:L,11,)</f>
        <v>OFF</v>
      </c>
      <c r="Y81" s="13" t="str">
        <f t="shared" si="68"/>
        <v>OFF</v>
      </c>
      <c r="Z81" s="22">
        <f>VLOOKUP(A81,'Agent Sched'!B:M,12,)</f>
        <v>0.41666666666666669</v>
      </c>
      <c r="AA81" s="13">
        <f t="shared" si="69"/>
        <v>0.79166666666666674</v>
      </c>
      <c r="AB81" s="22">
        <f>VLOOKUP(A81,'Agent Sched'!B:N,13,)</f>
        <v>0.41666666666666669</v>
      </c>
      <c r="AC81" s="13">
        <f t="shared" si="70"/>
        <v>0.79166666666666674</v>
      </c>
      <c r="AD81" s="22">
        <f>VLOOKUP(A81,'Agent Sched'!B:O,14,)</f>
        <v>0.41666666666666669</v>
      </c>
      <c r="AE81" s="13">
        <f t="shared" si="71"/>
        <v>0.79166666666666674</v>
      </c>
      <c r="AF81" s="24">
        <f>VLOOKUP(A81,'Agent Sched'!B:P,15,)</f>
        <v>0.41666666666666669</v>
      </c>
      <c r="AG81" s="13">
        <f t="shared" si="72"/>
        <v>0.79166666666666674</v>
      </c>
      <c r="AI81" s="26">
        <f>VLOOKUP(A81,'Agent Sched'!$B:$Q,16,)</f>
        <v>0.41666666666666669</v>
      </c>
      <c r="AJ81" s="13">
        <f t="shared" si="73"/>
        <v>0.79166666666666674</v>
      </c>
      <c r="AK81" s="22" t="str">
        <f>VLOOKUP(A81,'Agent Sched'!B:R,17,)</f>
        <v>OFF</v>
      </c>
      <c r="AL81" s="13" t="str">
        <f t="shared" si="74"/>
        <v>OFF</v>
      </c>
      <c r="AM81" s="22" t="str">
        <f>VLOOKUP(A81,'Agent Sched'!B:S,18,)</f>
        <v>OFF</v>
      </c>
      <c r="AN81" s="13" t="str">
        <f t="shared" si="75"/>
        <v>OFF</v>
      </c>
      <c r="AO81" s="22">
        <f>VLOOKUP(A81,'Agent Sched'!B:T,19,)</f>
        <v>0.41666666666666669</v>
      </c>
      <c r="AP81" s="13">
        <f t="shared" si="76"/>
        <v>0.79166666666666674</v>
      </c>
      <c r="AQ81" s="22">
        <f>VLOOKUP(A81,'Agent Sched'!B:U,20,)</f>
        <v>0.41666666666666669</v>
      </c>
      <c r="AR81" s="13">
        <f t="shared" si="77"/>
        <v>0.79166666666666674</v>
      </c>
      <c r="AS81" s="22">
        <f>VLOOKUP(A81,'Agent Sched'!B:V,21,)</f>
        <v>0.41666666666666669</v>
      </c>
      <c r="AT81" s="13">
        <f t="shared" si="78"/>
        <v>0.79166666666666674</v>
      </c>
      <c r="AU81" s="24">
        <f>VLOOKUP(A81,'Agent Sched'!B:W,22,)</f>
        <v>0.41666666666666669</v>
      </c>
      <c r="AV81" s="13">
        <f t="shared" si="79"/>
        <v>0.79166666666666674</v>
      </c>
    </row>
    <row r="82" spans="1:48" ht="15.75" thickBot="1" x14ac:dyDescent="0.3">
      <c r="A82" s="20" t="str">
        <f>IFERROR('Agent Sched'!B83,"-")</f>
        <v>William Vinluan</v>
      </c>
      <c r="B82" s="12">
        <f>IFERROR(VLOOKUP(A82,'Agent Sched'!$B:$C,2,),"-")</f>
        <v>0.41666666666666669</v>
      </c>
      <c r="C82" s="13">
        <f t="shared" si="58"/>
        <v>0.79166666666666674</v>
      </c>
      <c r="D82" s="12" t="str">
        <f>IFERROR(VLOOKUP(A82,'Agent Sched'!B:D,3,),"-")</f>
        <v>OFF</v>
      </c>
      <c r="E82" s="13" t="str">
        <f t="shared" si="59"/>
        <v>OFF</v>
      </c>
      <c r="F82" s="12" t="str">
        <f>IFERROR(VLOOKUP(A82,'Agent Sched'!B:E,4,),"-")</f>
        <v>OFF</v>
      </c>
      <c r="G82" s="13" t="str">
        <f t="shared" si="60"/>
        <v>OFF</v>
      </c>
      <c r="H82" s="12">
        <f>IFERROR(VLOOKUP(A82,'Agent Sched'!B:F,5,),"-")</f>
        <v>0.41666666666666669</v>
      </c>
      <c r="I82" s="13">
        <f t="shared" si="61"/>
        <v>0.79166666666666674</v>
      </c>
      <c r="J82" s="12">
        <f>IFERROR(VLOOKUP(A82,'Agent Sched'!B:G,6,),"-")</f>
        <v>0.41666666666666669</v>
      </c>
      <c r="K82" s="13">
        <f t="shared" si="62"/>
        <v>0.79166666666666674</v>
      </c>
      <c r="L82" s="12">
        <f>IFERROR(VLOOKUP(A82,'Agent Sched'!B:H,7,),"-")</f>
        <v>0.41666666666666669</v>
      </c>
      <c r="M82" s="13">
        <f t="shared" si="63"/>
        <v>0.79166666666666674</v>
      </c>
      <c r="N82" s="21">
        <f>IFERROR(VLOOKUP(A82,'Agent Sched'!B:I,8,),"-")</f>
        <v>0.41666666666666669</v>
      </c>
      <c r="O82" s="13">
        <f t="shared" si="64"/>
        <v>0.79166666666666674</v>
      </c>
      <c r="Q82" s="12">
        <f>VLOOKUP(A82,'Agent Sched'!B:Y,24,)</f>
        <v>0.41666666666666669</v>
      </c>
      <c r="R82" s="13">
        <f t="shared" si="65"/>
        <v>0.79166666666666674</v>
      </c>
      <c r="T82" s="26">
        <f>VLOOKUP(A82,'Agent Sched'!$B:$J,9,)</f>
        <v>0.41666666666666669</v>
      </c>
      <c r="U82" s="13">
        <f t="shared" si="66"/>
        <v>0.79166666666666674</v>
      </c>
      <c r="V82" s="22" t="str">
        <f>VLOOKUP(A82,'Agent Sched'!B:K,10,)</f>
        <v>OFF</v>
      </c>
      <c r="W82" s="13" t="str">
        <f t="shared" si="67"/>
        <v>OFF</v>
      </c>
      <c r="X82" s="22" t="str">
        <f>VLOOKUP(A82,'Agent Sched'!B:L,11,)</f>
        <v>OFF</v>
      </c>
      <c r="Y82" s="13" t="str">
        <f t="shared" si="68"/>
        <v>OFF</v>
      </c>
      <c r="Z82" s="22">
        <f>VLOOKUP(A82,'Agent Sched'!B:M,12,)</f>
        <v>0.41666666666666669</v>
      </c>
      <c r="AA82" s="13">
        <f t="shared" si="69"/>
        <v>0.79166666666666674</v>
      </c>
      <c r="AB82" s="22">
        <f>VLOOKUP(A82,'Agent Sched'!B:N,13,)</f>
        <v>0.41666666666666669</v>
      </c>
      <c r="AC82" s="13">
        <f t="shared" si="70"/>
        <v>0.79166666666666674</v>
      </c>
      <c r="AD82" s="22">
        <f>VLOOKUP(A82,'Agent Sched'!B:O,14,)</f>
        <v>0.41666666666666669</v>
      </c>
      <c r="AE82" s="13">
        <f t="shared" si="71"/>
        <v>0.79166666666666674</v>
      </c>
      <c r="AF82" s="24">
        <f>VLOOKUP(A82,'Agent Sched'!B:P,15,)</f>
        <v>0.41666666666666669</v>
      </c>
      <c r="AG82" s="13">
        <f t="shared" si="72"/>
        <v>0.79166666666666674</v>
      </c>
      <c r="AI82" s="26">
        <f>VLOOKUP(A82,'Agent Sched'!$B:$Q,16,)</f>
        <v>0.41666666666666669</v>
      </c>
      <c r="AJ82" s="13">
        <f t="shared" si="73"/>
        <v>0.79166666666666674</v>
      </c>
      <c r="AK82" s="22" t="str">
        <f>VLOOKUP(A82,'Agent Sched'!B:R,17,)</f>
        <v>OFF</v>
      </c>
      <c r="AL82" s="13" t="str">
        <f t="shared" si="74"/>
        <v>OFF</v>
      </c>
      <c r="AM82" s="22" t="str">
        <f>VLOOKUP(A82,'Agent Sched'!B:S,18,)</f>
        <v>OFF</v>
      </c>
      <c r="AN82" s="13" t="str">
        <f t="shared" si="75"/>
        <v>OFF</v>
      </c>
      <c r="AO82" s="22">
        <f>VLOOKUP(A82,'Agent Sched'!B:T,19,)</f>
        <v>0.41666666666666669</v>
      </c>
      <c r="AP82" s="13">
        <f t="shared" si="76"/>
        <v>0.79166666666666674</v>
      </c>
      <c r="AQ82" s="22">
        <f>VLOOKUP(A82,'Agent Sched'!B:U,20,)</f>
        <v>0.41666666666666669</v>
      </c>
      <c r="AR82" s="13">
        <f t="shared" si="77"/>
        <v>0.79166666666666674</v>
      </c>
      <c r="AS82" s="22">
        <f>VLOOKUP(A82,'Agent Sched'!B:V,21,)</f>
        <v>0.41666666666666669</v>
      </c>
      <c r="AT82" s="13">
        <f t="shared" si="78"/>
        <v>0.79166666666666674</v>
      </c>
      <c r="AU82" s="24">
        <f>VLOOKUP(A82,'Agent Sched'!B:W,22,)</f>
        <v>0.41666666666666669</v>
      </c>
      <c r="AV82" s="13">
        <f t="shared" si="79"/>
        <v>0.79166666666666674</v>
      </c>
    </row>
    <row r="83" spans="1:48" ht="15.75" thickBot="1" x14ac:dyDescent="0.3">
      <c r="A83" s="20" t="str">
        <f>IFERROR('Agent Sched'!B84,"-")</f>
        <v>Jovie Cervano</v>
      </c>
      <c r="B83" s="12">
        <f>IFERROR(VLOOKUP(A83,'Agent Sched'!$B:$C,2,),"-")</f>
        <v>0.41666666666666669</v>
      </c>
      <c r="C83" s="13">
        <f t="shared" si="58"/>
        <v>0.79166666666666674</v>
      </c>
      <c r="D83" s="12" t="str">
        <f>IFERROR(VLOOKUP(A83,'Agent Sched'!B:D,3,),"-")</f>
        <v>OFF</v>
      </c>
      <c r="E83" s="13" t="str">
        <f t="shared" si="59"/>
        <v>OFF</v>
      </c>
      <c r="F83" s="12" t="str">
        <f>IFERROR(VLOOKUP(A83,'Agent Sched'!B:E,4,),"-")</f>
        <v>OFF</v>
      </c>
      <c r="G83" s="13" t="str">
        <f t="shared" si="60"/>
        <v>OFF</v>
      </c>
      <c r="H83" s="12">
        <f>IFERROR(VLOOKUP(A83,'Agent Sched'!B:F,5,),"-")</f>
        <v>0.41666666666666669</v>
      </c>
      <c r="I83" s="13">
        <f t="shared" si="61"/>
        <v>0.79166666666666674</v>
      </c>
      <c r="J83" s="12">
        <f>IFERROR(VLOOKUP(A83,'Agent Sched'!B:G,6,),"-")</f>
        <v>0.41666666666666669</v>
      </c>
      <c r="K83" s="13">
        <f t="shared" si="62"/>
        <v>0.79166666666666674</v>
      </c>
      <c r="L83" s="12">
        <f>IFERROR(VLOOKUP(A83,'Agent Sched'!B:H,7,),"-")</f>
        <v>0.41666666666666669</v>
      </c>
      <c r="M83" s="13">
        <f t="shared" si="63"/>
        <v>0.79166666666666674</v>
      </c>
      <c r="N83" s="21">
        <f>IFERROR(VLOOKUP(A83,'Agent Sched'!B:I,8,),"-")</f>
        <v>0.41666666666666669</v>
      </c>
      <c r="O83" s="13">
        <f t="shared" si="64"/>
        <v>0.79166666666666674</v>
      </c>
      <c r="Q83" s="12">
        <f>VLOOKUP(A83,'Agent Sched'!B:Y,24,)</f>
        <v>0.41666666666666669</v>
      </c>
      <c r="R83" s="13">
        <f t="shared" si="65"/>
        <v>0.79166666666666674</v>
      </c>
      <c r="T83" s="26">
        <f>VLOOKUP(A83,'Agent Sched'!$B:$J,9,)</f>
        <v>0.41666666666666669</v>
      </c>
      <c r="U83" s="13">
        <f t="shared" si="66"/>
        <v>0.79166666666666674</v>
      </c>
      <c r="V83" s="22" t="str">
        <f>VLOOKUP(A83,'Agent Sched'!B:K,10,)</f>
        <v>OFF</v>
      </c>
      <c r="W83" s="13" t="str">
        <f t="shared" si="67"/>
        <v>OFF</v>
      </c>
      <c r="X83" s="22" t="str">
        <f>VLOOKUP(A83,'Agent Sched'!B:L,11,)</f>
        <v>OFF</v>
      </c>
      <c r="Y83" s="13" t="str">
        <f t="shared" si="68"/>
        <v>OFF</v>
      </c>
      <c r="Z83" s="22">
        <f>VLOOKUP(A83,'Agent Sched'!B:M,12,)</f>
        <v>0.41666666666666669</v>
      </c>
      <c r="AA83" s="13">
        <f t="shared" si="69"/>
        <v>0.79166666666666674</v>
      </c>
      <c r="AB83" s="22">
        <f>VLOOKUP(A83,'Agent Sched'!B:N,13,)</f>
        <v>0.41666666666666669</v>
      </c>
      <c r="AC83" s="13">
        <f t="shared" si="70"/>
        <v>0.79166666666666674</v>
      </c>
      <c r="AD83" s="22">
        <f>VLOOKUP(A83,'Agent Sched'!B:O,14,)</f>
        <v>0.41666666666666669</v>
      </c>
      <c r="AE83" s="13">
        <f t="shared" si="71"/>
        <v>0.79166666666666674</v>
      </c>
      <c r="AF83" s="24">
        <f>VLOOKUP(A83,'Agent Sched'!B:P,15,)</f>
        <v>0.41666666666666669</v>
      </c>
      <c r="AG83" s="13">
        <f t="shared" si="72"/>
        <v>0.79166666666666674</v>
      </c>
      <c r="AI83" s="26">
        <f>VLOOKUP(A83,'Agent Sched'!$B:$Q,16,)</f>
        <v>0.41666666666666669</v>
      </c>
      <c r="AJ83" s="13">
        <f t="shared" si="73"/>
        <v>0.79166666666666674</v>
      </c>
      <c r="AK83" s="22" t="str">
        <f>VLOOKUP(A83,'Agent Sched'!B:R,17,)</f>
        <v>OFF</v>
      </c>
      <c r="AL83" s="13" t="str">
        <f t="shared" si="74"/>
        <v>OFF</v>
      </c>
      <c r="AM83" s="22" t="str">
        <f>VLOOKUP(A83,'Agent Sched'!B:S,18,)</f>
        <v>OFF</v>
      </c>
      <c r="AN83" s="13" t="str">
        <f t="shared" si="75"/>
        <v>OFF</v>
      </c>
      <c r="AO83" s="22">
        <f>VLOOKUP(A83,'Agent Sched'!B:T,19,)</f>
        <v>0.41666666666666669</v>
      </c>
      <c r="AP83" s="13">
        <f t="shared" si="76"/>
        <v>0.79166666666666674</v>
      </c>
      <c r="AQ83" s="22">
        <f>VLOOKUP(A83,'Agent Sched'!B:U,20,)</f>
        <v>0.41666666666666669</v>
      </c>
      <c r="AR83" s="13">
        <f t="shared" si="77"/>
        <v>0.79166666666666674</v>
      </c>
      <c r="AS83" s="22">
        <f>VLOOKUP(A83,'Agent Sched'!B:V,21,)</f>
        <v>0.41666666666666669</v>
      </c>
      <c r="AT83" s="13">
        <f t="shared" si="78"/>
        <v>0.79166666666666674</v>
      </c>
      <c r="AU83" s="24">
        <f>VLOOKUP(A83,'Agent Sched'!B:W,22,)</f>
        <v>0.41666666666666669</v>
      </c>
      <c r="AV83" s="13">
        <f t="shared" si="79"/>
        <v>0.79166666666666674</v>
      </c>
    </row>
    <row r="84" spans="1:48" ht="15.75" thickBot="1" x14ac:dyDescent="0.3">
      <c r="A84" s="20" t="str">
        <f>IFERROR('Agent Sched'!B85,"-")</f>
        <v>Karren Rafallo</v>
      </c>
      <c r="B84" s="12">
        <f>IFERROR(VLOOKUP(A84,'Agent Sched'!$B:$C,2,),"-")</f>
        <v>0.41666666666666669</v>
      </c>
      <c r="C84" s="13">
        <f t="shared" si="58"/>
        <v>0.79166666666666674</v>
      </c>
      <c r="D84" s="12" t="str">
        <f>IFERROR(VLOOKUP(A84,'Agent Sched'!B:D,3,),"-")</f>
        <v>OFF</v>
      </c>
      <c r="E84" s="13" t="str">
        <f t="shared" si="59"/>
        <v>OFF</v>
      </c>
      <c r="F84" s="12" t="str">
        <f>IFERROR(VLOOKUP(A84,'Agent Sched'!B:E,4,),"-")</f>
        <v>OFF</v>
      </c>
      <c r="G84" s="13" t="str">
        <f t="shared" si="60"/>
        <v>OFF</v>
      </c>
      <c r="H84" s="12">
        <f>IFERROR(VLOOKUP(A84,'Agent Sched'!B:F,5,),"-")</f>
        <v>0.41666666666666669</v>
      </c>
      <c r="I84" s="13">
        <f t="shared" si="61"/>
        <v>0.79166666666666674</v>
      </c>
      <c r="J84" s="12">
        <f>IFERROR(VLOOKUP(A84,'Agent Sched'!B:G,6,),"-")</f>
        <v>0.41666666666666669</v>
      </c>
      <c r="K84" s="13">
        <f t="shared" si="62"/>
        <v>0.79166666666666674</v>
      </c>
      <c r="L84" s="12">
        <f>IFERROR(VLOOKUP(A84,'Agent Sched'!B:H,7,),"-")</f>
        <v>0.41666666666666669</v>
      </c>
      <c r="M84" s="13">
        <f t="shared" si="63"/>
        <v>0.79166666666666674</v>
      </c>
      <c r="N84" s="21">
        <f>IFERROR(VLOOKUP(A84,'Agent Sched'!B:I,8,),"-")</f>
        <v>0.41666666666666669</v>
      </c>
      <c r="O84" s="13">
        <f t="shared" si="64"/>
        <v>0.79166666666666674</v>
      </c>
      <c r="Q84" s="12">
        <f>VLOOKUP(A84,'Agent Sched'!B:Y,24,)</f>
        <v>0.41666666666666669</v>
      </c>
      <c r="R84" s="13">
        <f t="shared" si="65"/>
        <v>0.79166666666666674</v>
      </c>
      <c r="T84" s="26">
        <f>VLOOKUP(A84,'Agent Sched'!$B:$J,9,)</f>
        <v>0.41666666666666669</v>
      </c>
      <c r="U84" s="13">
        <f t="shared" si="66"/>
        <v>0.79166666666666674</v>
      </c>
      <c r="V84" s="22" t="str">
        <f>VLOOKUP(A84,'Agent Sched'!B:K,10,)</f>
        <v>OFF</v>
      </c>
      <c r="W84" s="13" t="str">
        <f t="shared" si="67"/>
        <v>OFF</v>
      </c>
      <c r="X84" s="22" t="str">
        <f>VLOOKUP(A84,'Agent Sched'!B:L,11,)</f>
        <v>OFF</v>
      </c>
      <c r="Y84" s="13" t="str">
        <f t="shared" si="68"/>
        <v>OFF</v>
      </c>
      <c r="Z84" s="22">
        <f>VLOOKUP(A84,'Agent Sched'!B:M,12,)</f>
        <v>0.41666666666666669</v>
      </c>
      <c r="AA84" s="13">
        <f t="shared" si="69"/>
        <v>0.79166666666666674</v>
      </c>
      <c r="AB84" s="22">
        <f>VLOOKUP(A84,'Agent Sched'!B:N,13,)</f>
        <v>0.41666666666666669</v>
      </c>
      <c r="AC84" s="13">
        <f t="shared" si="70"/>
        <v>0.79166666666666674</v>
      </c>
      <c r="AD84" s="22">
        <f>VLOOKUP(A84,'Agent Sched'!B:O,14,)</f>
        <v>0.41666666666666669</v>
      </c>
      <c r="AE84" s="13">
        <f t="shared" si="71"/>
        <v>0.79166666666666674</v>
      </c>
      <c r="AF84" s="24">
        <f>VLOOKUP(A84,'Agent Sched'!B:P,15,)</f>
        <v>0.41666666666666669</v>
      </c>
      <c r="AG84" s="13">
        <f t="shared" si="72"/>
        <v>0.79166666666666674</v>
      </c>
      <c r="AI84" s="26">
        <f>VLOOKUP(A84,'Agent Sched'!$B:$Q,16,)</f>
        <v>0.41666666666666669</v>
      </c>
      <c r="AJ84" s="13">
        <f t="shared" si="73"/>
        <v>0.79166666666666674</v>
      </c>
      <c r="AK84" s="22" t="str">
        <f>VLOOKUP(A84,'Agent Sched'!B:R,17,)</f>
        <v>OFF</v>
      </c>
      <c r="AL84" s="13" t="str">
        <f t="shared" si="74"/>
        <v>OFF</v>
      </c>
      <c r="AM84" s="22" t="str">
        <f>VLOOKUP(A84,'Agent Sched'!B:S,18,)</f>
        <v>OFF</v>
      </c>
      <c r="AN84" s="13" t="str">
        <f t="shared" si="75"/>
        <v>OFF</v>
      </c>
      <c r="AO84" s="22">
        <f>VLOOKUP(A84,'Agent Sched'!B:T,19,)</f>
        <v>0.41666666666666669</v>
      </c>
      <c r="AP84" s="13">
        <f t="shared" si="76"/>
        <v>0.79166666666666674</v>
      </c>
      <c r="AQ84" s="22">
        <f>VLOOKUP(A84,'Agent Sched'!B:U,20,)</f>
        <v>0.41666666666666669</v>
      </c>
      <c r="AR84" s="13">
        <f t="shared" si="77"/>
        <v>0.79166666666666674</v>
      </c>
      <c r="AS84" s="22">
        <f>VLOOKUP(A84,'Agent Sched'!B:V,21,)</f>
        <v>0.41666666666666669</v>
      </c>
      <c r="AT84" s="13">
        <f t="shared" si="78"/>
        <v>0.79166666666666674</v>
      </c>
      <c r="AU84" s="24">
        <f>VLOOKUP(A84,'Agent Sched'!B:W,22,)</f>
        <v>0.41666666666666669</v>
      </c>
      <c r="AV84" s="13">
        <f t="shared" si="79"/>
        <v>0.79166666666666674</v>
      </c>
    </row>
    <row r="85" spans="1:48" ht="15.75" thickBot="1" x14ac:dyDescent="0.3">
      <c r="A85" s="20" t="str">
        <f>IFERROR('Agent Sched'!B86,"-")</f>
        <v>Abigail Zyra Lorzano</v>
      </c>
      <c r="B85" s="12">
        <f>IFERROR(VLOOKUP(A85,'Agent Sched'!$B:$C,2,),"-")</f>
        <v>0.41666666666666669</v>
      </c>
      <c r="C85" s="13">
        <f t="shared" si="58"/>
        <v>0.79166666666666674</v>
      </c>
      <c r="D85" s="12" t="str">
        <f>IFERROR(VLOOKUP(A85,'Agent Sched'!B:D,3,),"-")</f>
        <v>OFF</v>
      </c>
      <c r="E85" s="13" t="str">
        <f t="shared" si="59"/>
        <v>OFF</v>
      </c>
      <c r="F85" s="12" t="str">
        <f>IFERROR(VLOOKUP(A85,'Agent Sched'!B:E,4,),"-")</f>
        <v>OFF</v>
      </c>
      <c r="G85" s="13" t="str">
        <f t="shared" si="60"/>
        <v>OFF</v>
      </c>
      <c r="H85" s="12">
        <f>IFERROR(VLOOKUP(A85,'Agent Sched'!B:F,5,),"-")</f>
        <v>0.41666666666666669</v>
      </c>
      <c r="I85" s="13">
        <f t="shared" si="61"/>
        <v>0.79166666666666674</v>
      </c>
      <c r="J85" s="12">
        <f>IFERROR(VLOOKUP(A85,'Agent Sched'!B:G,6,),"-")</f>
        <v>0.41666666666666669</v>
      </c>
      <c r="K85" s="13">
        <f t="shared" si="62"/>
        <v>0.79166666666666674</v>
      </c>
      <c r="L85" s="12">
        <f>IFERROR(VLOOKUP(A85,'Agent Sched'!B:H,7,),"-")</f>
        <v>0.41666666666666669</v>
      </c>
      <c r="M85" s="13">
        <f t="shared" si="63"/>
        <v>0.79166666666666674</v>
      </c>
      <c r="N85" s="21">
        <f>IFERROR(VLOOKUP(A85,'Agent Sched'!B:I,8,),"-")</f>
        <v>0.41666666666666669</v>
      </c>
      <c r="O85" s="13">
        <f t="shared" si="64"/>
        <v>0.79166666666666674</v>
      </c>
      <c r="Q85" s="12">
        <f>VLOOKUP(A85,'Agent Sched'!B:Y,24,)</f>
        <v>0.41666666666666669</v>
      </c>
      <c r="R85" s="13">
        <f t="shared" si="65"/>
        <v>0.79166666666666674</v>
      </c>
      <c r="T85" s="26">
        <f>VLOOKUP(A85,'Agent Sched'!$B:$J,9,)</f>
        <v>0.41666666666666669</v>
      </c>
      <c r="U85" s="13">
        <f t="shared" si="66"/>
        <v>0.79166666666666674</v>
      </c>
      <c r="V85" s="22" t="str">
        <f>VLOOKUP(A85,'Agent Sched'!B:K,10,)</f>
        <v>OFF</v>
      </c>
      <c r="W85" s="13" t="str">
        <f t="shared" si="67"/>
        <v>OFF</v>
      </c>
      <c r="X85" s="22" t="str">
        <f>VLOOKUP(A85,'Agent Sched'!B:L,11,)</f>
        <v>OFF</v>
      </c>
      <c r="Y85" s="13" t="str">
        <f t="shared" si="68"/>
        <v>OFF</v>
      </c>
      <c r="Z85" s="22">
        <f>VLOOKUP(A85,'Agent Sched'!B:M,12,)</f>
        <v>0.41666666666666669</v>
      </c>
      <c r="AA85" s="13">
        <f t="shared" si="69"/>
        <v>0.79166666666666674</v>
      </c>
      <c r="AB85" s="22">
        <f>VLOOKUP(A85,'Agent Sched'!B:N,13,)</f>
        <v>0.41666666666666669</v>
      </c>
      <c r="AC85" s="13">
        <f t="shared" si="70"/>
        <v>0.79166666666666674</v>
      </c>
      <c r="AD85" s="22">
        <f>VLOOKUP(A85,'Agent Sched'!B:O,14,)</f>
        <v>0.41666666666666669</v>
      </c>
      <c r="AE85" s="13">
        <f t="shared" si="71"/>
        <v>0.79166666666666674</v>
      </c>
      <c r="AF85" s="24">
        <f>VLOOKUP(A85,'Agent Sched'!B:P,15,)</f>
        <v>0.41666666666666669</v>
      </c>
      <c r="AG85" s="13">
        <f t="shared" si="72"/>
        <v>0.79166666666666674</v>
      </c>
      <c r="AI85" s="26">
        <f>VLOOKUP(A85,'Agent Sched'!$B:$Q,16,)</f>
        <v>0.41666666666666669</v>
      </c>
      <c r="AJ85" s="13">
        <f t="shared" si="73"/>
        <v>0.79166666666666674</v>
      </c>
      <c r="AK85" s="22" t="str">
        <f>VLOOKUP(A85,'Agent Sched'!B:R,17,)</f>
        <v>OFF</v>
      </c>
      <c r="AL85" s="13" t="str">
        <f t="shared" si="74"/>
        <v>OFF</v>
      </c>
      <c r="AM85" s="22" t="str">
        <f>VLOOKUP(A85,'Agent Sched'!B:S,18,)</f>
        <v>OFF</v>
      </c>
      <c r="AN85" s="13" t="str">
        <f t="shared" si="75"/>
        <v>OFF</v>
      </c>
      <c r="AO85" s="22">
        <f>VLOOKUP(A85,'Agent Sched'!B:T,19,)</f>
        <v>0.41666666666666669</v>
      </c>
      <c r="AP85" s="13">
        <f t="shared" si="76"/>
        <v>0.79166666666666674</v>
      </c>
      <c r="AQ85" s="22">
        <f>VLOOKUP(A85,'Agent Sched'!B:U,20,)</f>
        <v>0.41666666666666669</v>
      </c>
      <c r="AR85" s="13">
        <f t="shared" si="77"/>
        <v>0.79166666666666674</v>
      </c>
      <c r="AS85" s="22">
        <f>VLOOKUP(A85,'Agent Sched'!B:V,21,)</f>
        <v>0.41666666666666669</v>
      </c>
      <c r="AT85" s="13">
        <f t="shared" si="78"/>
        <v>0.79166666666666674</v>
      </c>
      <c r="AU85" s="24">
        <f>VLOOKUP(A85,'Agent Sched'!B:W,22,)</f>
        <v>0.41666666666666669</v>
      </c>
      <c r="AV85" s="13">
        <f t="shared" si="79"/>
        <v>0.79166666666666674</v>
      </c>
    </row>
    <row r="86" spans="1:48" ht="15.75" thickBot="1" x14ac:dyDescent="0.3">
      <c r="A86" s="20" t="str">
        <f>IFERROR('Agent Sched'!B87,"-")</f>
        <v>Angel Lacanaria</v>
      </c>
      <c r="B86" s="12">
        <f>IFERROR(VLOOKUP(A86,'Agent Sched'!$B:$C,2,),"-")</f>
        <v>0.41666666666666669</v>
      </c>
      <c r="C86" s="13">
        <f t="shared" si="58"/>
        <v>0.79166666666666674</v>
      </c>
      <c r="D86" s="12" t="str">
        <f>IFERROR(VLOOKUP(A86,'Agent Sched'!B:D,3,),"-")</f>
        <v>OFF</v>
      </c>
      <c r="E86" s="13" t="str">
        <f t="shared" si="59"/>
        <v>OFF</v>
      </c>
      <c r="F86" s="12" t="str">
        <f>IFERROR(VLOOKUP(A86,'Agent Sched'!B:E,4,),"-")</f>
        <v>OFF</v>
      </c>
      <c r="G86" s="13" t="str">
        <f t="shared" si="60"/>
        <v>OFF</v>
      </c>
      <c r="H86" s="12">
        <f>IFERROR(VLOOKUP(A86,'Agent Sched'!B:F,5,),"-")</f>
        <v>0.41666666666666669</v>
      </c>
      <c r="I86" s="13">
        <f t="shared" si="61"/>
        <v>0.79166666666666674</v>
      </c>
      <c r="J86" s="12">
        <f>IFERROR(VLOOKUP(A86,'Agent Sched'!B:G,6,),"-")</f>
        <v>0.41666666666666669</v>
      </c>
      <c r="K86" s="13">
        <f t="shared" si="62"/>
        <v>0.79166666666666674</v>
      </c>
      <c r="L86" s="12">
        <f>IFERROR(VLOOKUP(A86,'Agent Sched'!B:H,7,),"-")</f>
        <v>0.41666666666666669</v>
      </c>
      <c r="M86" s="13">
        <f t="shared" si="63"/>
        <v>0.79166666666666674</v>
      </c>
      <c r="N86" s="21">
        <f>IFERROR(VLOOKUP(A86,'Agent Sched'!B:I,8,),"-")</f>
        <v>0.41666666666666669</v>
      </c>
      <c r="O86" s="13">
        <f t="shared" si="64"/>
        <v>0.79166666666666674</v>
      </c>
      <c r="Q86" s="12">
        <f>VLOOKUP(A86,'Agent Sched'!B:Y,24,)</f>
        <v>0.41666666666666669</v>
      </c>
      <c r="R86" s="13">
        <f t="shared" si="65"/>
        <v>0.79166666666666674</v>
      </c>
      <c r="T86" s="26">
        <f>VLOOKUP(A86,'Agent Sched'!$B:$J,9,)</f>
        <v>0.41666666666666669</v>
      </c>
      <c r="U86" s="13">
        <f t="shared" si="66"/>
        <v>0.79166666666666674</v>
      </c>
      <c r="V86" s="22" t="str">
        <f>VLOOKUP(A86,'Agent Sched'!B:K,10,)</f>
        <v>OFF</v>
      </c>
      <c r="W86" s="13" t="str">
        <f t="shared" si="67"/>
        <v>OFF</v>
      </c>
      <c r="X86" s="22" t="str">
        <f>VLOOKUP(A86,'Agent Sched'!B:L,11,)</f>
        <v>OFF</v>
      </c>
      <c r="Y86" s="13" t="str">
        <f t="shared" si="68"/>
        <v>OFF</v>
      </c>
      <c r="Z86" s="22">
        <f>VLOOKUP(A86,'Agent Sched'!B:M,12,)</f>
        <v>0.41666666666666669</v>
      </c>
      <c r="AA86" s="13">
        <f t="shared" si="69"/>
        <v>0.79166666666666674</v>
      </c>
      <c r="AB86" s="22">
        <f>VLOOKUP(A86,'Agent Sched'!B:N,13,)</f>
        <v>0.41666666666666669</v>
      </c>
      <c r="AC86" s="13">
        <f t="shared" si="70"/>
        <v>0.79166666666666674</v>
      </c>
      <c r="AD86" s="22">
        <f>VLOOKUP(A86,'Agent Sched'!B:O,14,)</f>
        <v>0.41666666666666669</v>
      </c>
      <c r="AE86" s="13">
        <f t="shared" si="71"/>
        <v>0.79166666666666674</v>
      </c>
      <c r="AF86" s="24">
        <f>VLOOKUP(A86,'Agent Sched'!B:P,15,)</f>
        <v>0.41666666666666669</v>
      </c>
      <c r="AG86" s="13">
        <f t="shared" si="72"/>
        <v>0.79166666666666674</v>
      </c>
      <c r="AI86" s="26">
        <f>VLOOKUP(A86,'Agent Sched'!$B:$Q,16,)</f>
        <v>0.41666666666666669</v>
      </c>
      <c r="AJ86" s="13">
        <f t="shared" si="73"/>
        <v>0.79166666666666674</v>
      </c>
      <c r="AK86" s="22" t="str">
        <f>VLOOKUP(A86,'Agent Sched'!B:R,17,)</f>
        <v>OFF</v>
      </c>
      <c r="AL86" s="13" t="str">
        <f t="shared" si="74"/>
        <v>OFF</v>
      </c>
      <c r="AM86" s="22" t="str">
        <f>VLOOKUP(A86,'Agent Sched'!B:S,18,)</f>
        <v>OFF</v>
      </c>
      <c r="AN86" s="13" t="str">
        <f t="shared" si="75"/>
        <v>OFF</v>
      </c>
      <c r="AO86" s="22">
        <f>VLOOKUP(A86,'Agent Sched'!B:T,19,)</f>
        <v>0.41666666666666669</v>
      </c>
      <c r="AP86" s="13">
        <f t="shared" si="76"/>
        <v>0.79166666666666674</v>
      </c>
      <c r="AQ86" s="22">
        <f>VLOOKUP(A86,'Agent Sched'!B:U,20,)</f>
        <v>0.41666666666666669</v>
      </c>
      <c r="AR86" s="13">
        <f t="shared" si="77"/>
        <v>0.79166666666666674</v>
      </c>
      <c r="AS86" s="22">
        <f>VLOOKUP(A86,'Agent Sched'!B:V,21,)</f>
        <v>0.41666666666666669</v>
      </c>
      <c r="AT86" s="13">
        <f t="shared" si="78"/>
        <v>0.79166666666666674</v>
      </c>
      <c r="AU86" s="24">
        <f>VLOOKUP(A86,'Agent Sched'!B:W,22,)</f>
        <v>0.41666666666666669</v>
      </c>
      <c r="AV86" s="13">
        <f t="shared" si="79"/>
        <v>0.79166666666666674</v>
      </c>
    </row>
    <row r="87" spans="1:48" ht="15.75" thickBot="1" x14ac:dyDescent="0.3">
      <c r="A87" s="20" t="str">
        <f>IFERROR('Agent Sched'!B88,"-")</f>
        <v>Rochel Cortez</v>
      </c>
      <c r="B87" s="12">
        <f>IFERROR(VLOOKUP(A87,'Agent Sched'!$B:$C,2,),"-")</f>
        <v>0.41666666666666669</v>
      </c>
      <c r="C87" s="13">
        <f t="shared" si="58"/>
        <v>0.79166666666666674</v>
      </c>
      <c r="D87" s="12" t="str">
        <f>IFERROR(VLOOKUP(A87,'Agent Sched'!B:D,3,),"-")</f>
        <v>OFF</v>
      </c>
      <c r="E87" s="13" t="str">
        <f t="shared" si="59"/>
        <v>OFF</v>
      </c>
      <c r="F87" s="12" t="str">
        <f>IFERROR(VLOOKUP(A87,'Agent Sched'!B:E,4,),"-")</f>
        <v>OFF</v>
      </c>
      <c r="G87" s="13" t="str">
        <f t="shared" si="60"/>
        <v>OFF</v>
      </c>
      <c r="H87" s="12">
        <f>IFERROR(VLOOKUP(A87,'Agent Sched'!B:F,5,),"-")</f>
        <v>0.41666666666666669</v>
      </c>
      <c r="I87" s="13">
        <f t="shared" si="61"/>
        <v>0.79166666666666674</v>
      </c>
      <c r="J87" s="12">
        <f>IFERROR(VLOOKUP(A87,'Agent Sched'!B:G,6,),"-")</f>
        <v>0.41666666666666669</v>
      </c>
      <c r="K87" s="13">
        <f t="shared" si="62"/>
        <v>0.79166666666666674</v>
      </c>
      <c r="L87" s="12">
        <f>IFERROR(VLOOKUP(A87,'Agent Sched'!B:H,7,),"-")</f>
        <v>0.41666666666666669</v>
      </c>
      <c r="M87" s="13">
        <f t="shared" si="63"/>
        <v>0.79166666666666674</v>
      </c>
      <c r="N87" s="21">
        <f>IFERROR(VLOOKUP(A87,'Agent Sched'!B:I,8,),"-")</f>
        <v>0.41666666666666669</v>
      </c>
      <c r="O87" s="13">
        <f t="shared" si="64"/>
        <v>0.79166666666666674</v>
      </c>
      <c r="Q87" s="12">
        <f>VLOOKUP(A87,'Agent Sched'!B:Y,24,)</f>
        <v>0.41666666666666669</v>
      </c>
      <c r="R87" s="13">
        <f t="shared" si="65"/>
        <v>0.79166666666666674</v>
      </c>
      <c r="T87" s="26">
        <f>VLOOKUP(A87,'Agent Sched'!$B:$J,9,)</f>
        <v>0.41666666666666669</v>
      </c>
      <c r="U87" s="13">
        <f t="shared" si="66"/>
        <v>0.79166666666666674</v>
      </c>
      <c r="V87" s="22" t="str">
        <f>VLOOKUP(A87,'Agent Sched'!B:K,10,)</f>
        <v>OFF</v>
      </c>
      <c r="W87" s="13" t="str">
        <f t="shared" si="67"/>
        <v>OFF</v>
      </c>
      <c r="X87" s="22" t="str">
        <f>VLOOKUP(A87,'Agent Sched'!B:L,11,)</f>
        <v>OFF</v>
      </c>
      <c r="Y87" s="13" t="str">
        <f t="shared" si="68"/>
        <v>OFF</v>
      </c>
      <c r="Z87" s="22">
        <f>VLOOKUP(A87,'Agent Sched'!B:M,12,)</f>
        <v>0.41666666666666669</v>
      </c>
      <c r="AA87" s="13">
        <f t="shared" si="69"/>
        <v>0.79166666666666674</v>
      </c>
      <c r="AB87" s="22">
        <f>VLOOKUP(A87,'Agent Sched'!B:N,13,)</f>
        <v>0.41666666666666669</v>
      </c>
      <c r="AC87" s="13">
        <f t="shared" si="70"/>
        <v>0.79166666666666674</v>
      </c>
      <c r="AD87" s="22">
        <f>VLOOKUP(A87,'Agent Sched'!B:O,14,)</f>
        <v>0.41666666666666669</v>
      </c>
      <c r="AE87" s="13">
        <f t="shared" si="71"/>
        <v>0.79166666666666674</v>
      </c>
      <c r="AF87" s="24">
        <f>VLOOKUP(A87,'Agent Sched'!B:P,15,)</f>
        <v>0.41666666666666669</v>
      </c>
      <c r="AG87" s="13">
        <f t="shared" si="72"/>
        <v>0.79166666666666674</v>
      </c>
      <c r="AI87" s="26">
        <f>VLOOKUP(A87,'Agent Sched'!$B:$Q,16,)</f>
        <v>0.41666666666666669</v>
      </c>
      <c r="AJ87" s="13">
        <f t="shared" si="73"/>
        <v>0.79166666666666674</v>
      </c>
      <c r="AK87" s="22" t="str">
        <f>VLOOKUP(A87,'Agent Sched'!B:R,17,)</f>
        <v>OFF</v>
      </c>
      <c r="AL87" s="13" t="str">
        <f t="shared" si="74"/>
        <v>OFF</v>
      </c>
      <c r="AM87" s="22" t="str">
        <f>VLOOKUP(A87,'Agent Sched'!B:S,18,)</f>
        <v>OFF</v>
      </c>
      <c r="AN87" s="13" t="str">
        <f t="shared" si="75"/>
        <v>OFF</v>
      </c>
      <c r="AO87" s="22">
        <f>VLOOKUP(A87,'Agent Sched'!B:T,19,)</f>
        <v>0.41666666666666669</v>
      </c>
      <c r="AP87" s="13">
        <f t="shared" si="76"/>
        <v>0.79166666666666674</v>
      </c>
      <c r="AQ87" s="22">
        <f>VLOOKUP(A87,'Agent Sched'!B:U,20,)</f>
        <v>0.41666666666666669</v>
      </c>
      <c r="AR87" s="13">
        <f t="shared" si="77"/>
        <v>0.79166666666666674</v>
      </c>
      <c r="AS87" s="22">
        <f>VLOOKUP(A87,'Agent Sched'!B:V,21,)</f>
        <v>0.41666666666666669</v>
      </c>
      <c r="AT87" s="13">
        <f t="shared" si="78"/>
        <v>0.79166666666666674</v>
      </c>
      <c r="AU87" s="24">
        <f>VLOOKUP(A87,'Agent Sched'!B:W,22,)</f>
        <v>0.41666666666666669</v>
      </c>
      <c r="AV87" s="13">
        <f t="shared" si="79"/>
        <v>0.79166666666666674</v>
      </c>
    </row>
    <row r="88" spans="1:48" ht="15.75" thickBot="1" x14ac:dyDescent="0.3">
      <c r="A88" s="20" t="str">
        <f>IFERROR('Agent Sched'!B89,"-")</f>
        <v>Rodney Marzan</v>
      </c>
      <c r="B88" s="12">
        <f>IFERROR(VLOOKUP(A88,'Agent Sched'!$B:$C,2,),"-")</f>
        <v>0.41666666666666669</v>
      </c>
      <c r="C88" s="13">
        <f t="shared" si="58"/>
        <v>0.79166666666666674</v>
      </c>
      <c r="D88" s="12" t="str">
        <f>IFERROR(VLOOKUP(A88,'Agent Sched'!B:D,3,),"-")</f>
        <v>OFF</v>
      </c>
      <c r="E88" s="13" t="str">
        <f t="shared" si="59"/>
        <v>OFF</v>
      </c>
      <c r="F88" s="12" t="str">
        <f>IFERROR(VLOOKUP(A88,'Agent Sched'!B:E,4,),"-")</f>
        <v>OFF</v>
      </c>
      <c r="G88" s="13" t="str">
        <f t="shared" si="60"/>
        <v>OFF</v>
      </c>
      <c r="H88" s="12">
        <f>IFERROR(VLOOKUP(A88,'Agent Sched'!B:F,5,),"-")</f>
        <v>0.41666666666666669</v>
      </c>
      <c r="I88" s="13">
        <f t="shared" si="61"/>
        <v>0.79166666666666674</v>
      </c>
      <c r="J88" s="12">
        <f>IFERROR(VLOOKUP(A88,'Agent Sched'!B:G,6,),"-")</f>
        <v>0.41666666666666669</v>
      </c>
      <c r="K88" s="13">
        <f t="shared" si="62"/>
        <v>0.79166666666666674</v>
      </c>
      <c r="L88" s="12">
        <f>IFERROR(VLOOKUP(A88,'Agent Sched'!B:H,7,),"-")</f>
        <v>0.41666666666666669</v>
      </c>
      <c r="M88" s="13">
        <f t="shared" si="63"/>
        <v>0.79166666666666674</v>
      </c>
      <c r="N88" s="21">
        <f>IFERROR(VLOOKUP(A88,'Agent Sched'!B:I,8,),"-")</f>
        <v>0.41666666666666669</v>
      </c>
      <c r="O88" s="13">
        <f t="shared" si="64"/>
        <v>0.79166666666666674</v>
      </c>
      <c r="Q88" s="12">
        <f>VLOOKUP(A88,'Agent Sched'!B:Y,24,)</f>
        <v>0.41666666666666669</v>
      </c>
      <c r="R88" s="13">
        <f t="shared" si="65"/>
        <v>0.79166666666666674</v>
      </c>
      <c r="T88" s="26">
        <f>VLOOKUP(A88,'Agent Sched'!$B:$J,9,)</f>
        <v>0.41666666666666669</v>
      </c>
      <c r="U88" s="13">
        <f t="shared" si="66"/>
        <v>0.79166666666666674</v>
      </c>
      <c r="V88" s="22" t="str">
        <f>VLOOKUP(A88,'Agent Sched'!B:K,10,)</f>
        <v>OFF</v>
      </c>
      <c r="W88" s="13" t="str">
        <f t="shared" si="67"/>
        <v>OFF</v>
      </c>
      <c r="X88" s="22" t="str">
        <f>VLOOKUP(A88,'Agent Sched'!B:L,11,)</f>
        <v>OFF</v>
      </c>
      <c r="Y88" s="13" t="str">
        <f t="shared" si="68"/>
        <v>OFF</v>
      </c>
      <c r="Z88" s="22">
        <f>VLOOKUP(A88,'Agent Sched'!B:M,12,)</f>
        <v>0.41666666666666669</v>
      </c>
      <c r="AA88" s="13">
        <f t="shared" si="69"/>
        <v>0.79166666666666674</v>
      </c>
      <c r="AB88" s="22">
        <f>VLOOKUP(A88,'Agent Sched'!B:N,13,)</f>
        <v>0.41666666666666669</v>
      </c>
      <c r="AC88" s="13">
        <f t="shared" si="70"/>
        <v>0.79166666666666674</v>
      </c>
      <c r="AD88" s="22">
        <f>VLOOKUP(A88,'Agent Sched'!B:O,14,)</f>
        <v>0.41666666666666669</v>
      </c>
      <c r="AE88" s="13">
        <f t="shared" si="71"/>
        <v>0.79166666666666674</v>
      </c>
      <c r="AF88" s="24">
        <f>VLOOKUP(A88,'Agent Sched'!B:P,15,)</f>
        <v>0.41666666666666669</v>
      </c>
      <c r="AG88" s="13">
        <f t="shared" si="72"/>
        <v>0.79166666666666674</v>
      </c>
      <c r="AI88" s="26">
        <f>VLOOKUP(A88,'Agent Sched'!$B:$Q,16,)</f>
        <v>0.41666666666666669</v>
      </c>
      <c r="AJ88" s="13">
        <f t="shared" si="73"/>
        <v>0.79166666666666674</v>
      </c>
      <c r="AK88" s="22" t="str">
        <f>VLOOKUP(A88,'Agent Sched'!B:R,17,)</f>
        <v>OFF</v>
      </c>
      <c r="AL88" s="13" t="str">
        <f t="shared" si="74"/>
        <v>OFF</v>
      </c>
      <c r="AM88" s="22" t="str">
        <f>VLOOKUP(A88,'Agent Sched'!B:S,18,)</f>
        <v>OFF</v>
      </c>
      <c r="AN88" s="13" t="str">
        <f t="shared" si="75"/>
        <v>OFF</v>
      </c>
      <c r="AO88" s="22">
        <f>VLOOKUP(A88,'Agent Sched'!B:T,19,)</f>
        <v>0.41666666666666669</v>
      </c>
      <c r="AP88" s="13">
        <f t="shared" si="76"/>
        <v>0.79166666666666674</v>
      </c>
      <c r="AQ88" s="22">
        <f>VLOOKUP(A88,'Agent Sched'!B:U,20,)</f>
        <v>0.41666666666666669</v>
      </c>
      <c r="AR88" s="13">
        <f t="shared" si="77"/>
        <v>0.79166666666666674</v>
      </c>
      <c r="AS88" s="22">
        <f>VLOOKUP(A88,'Agent Sched'!B:V,21,)</f>
        <v>0.41666666666666669</v>
      </c>
      <c r="AT88" s="13">
        <f t="shared" si="78"/>
        <v>0.79166666666666674</v>
      </c>
      <c r="AU88" s="24">
        <f>VLOOKUP(A88,'Agent Sched'!B:W,22,)</f>
        <v>0.41666666666666669</v>
      </c>
      <c r="AV88" s="13">
        <f t="shared" si="79"/>
        <v>0.79166666666666674</v>
      </c>
    </row>
    <row r="89" spans="1:48" ht="15.75" thickBot="1" x14ac:dyDescent="0.3">
      <c r="A89" s="20" t="str">
        <f>IFERROR('Agent Sched'!B90,"-")</f>
        <v>Wallen Simbahan</v>
      </c>
      <c r="B89" s="12">
        <f>IFERROR(VLOOKUP(A89,'Agent Sched'!$B:$C,2,),"-")</f>
        <v>0.41666666666666669</v>
      </c>
      <c r="C89" s="13">
        <f t="shared" si="58"/>
        <v>0.79166666666666674</v>
      </c>
      <c r="D89" s="12" t="str">
        <f>IFERROR(VLOOKUP(A89,'Agent Sched'!B:D,3,),"-")</f>
        <v>OFF</v>
      </c>
      <c r="E89" s="13" t="str">
        <f t="shared" si="59"/>
        <v>OFF</v>
      </c>
      <c r="F89" s="12" t="str">
        <f>IFERROR(VLOOKUP(A89,'Agent Sched'!B:E,4,),"-")</f>
        <v>OFF</v>
      </c>
      <c r="G89" s="13" t="str">
        <f t="shared" si="60"/>
        <v>OFF</v>
      </c>
      <c r="H89" s="12">
        <f>IFERROR(VLOOKUP(A89,'Agent Sched'!B:F,5,),"-")</f>
        <v>0.41666666666666669</v>
      </c>
      <c r="I89" s="13">
        <f t="shared" si="61"/>
        <v>0.79166666666666674</v>
      </c>
      <c r="J89" s="12">
        <f>IFERROR(VLOOKUP(A89,'Agent Sched'!B:G,6,),"-")</f>
        <v>0.41666666666666669</v>
      </c>
      <c r="K89" s="13">
        <f t="shared" si="62"/>
        <v>0.79166666666666674</v>
      </c>
      <c r="L89" s="12">
        <f>IFERROR(VLOOKUP(A89,'Agent Sched'!B:H,7,),"-")</f>
        <v>0.41666666666666669</v>
      </c>
      <c r="M89" s="13">
        <f t="shared" si="63"/>
        <v>0.79166666666666674</v>
      </c>
      <c r="N89" s="21">
        <f>IFERROR(VLOOKUP(A89,'Agent Sched'!B:I,8,),"-")</f>
        <v>0.41666666666666669</v>
      </c>
      <c r="O89" s="13">
        <f t="shared" si="64"/>
        <v>0.79166666666666674</v>
      </c>
      <c r="Q89" s="12">
        <f>VLOOKUP(A89,'Agent Sched'!B:Y,24,)</f>
        <v>0.41666666666666669</v>
      </c>
      <c r="R89" s="13">
        <f t="shared" si="65"/>
        <v>0.79166666666666674</v>
      </c>
      <c r="T89" s="26">
        <f>VLOOKUP(A89,'Agent Sched'!$B:$J,9,)</f>
        <v>0.41666666666666669</v>
      </c>
      <c r="U89" s="13">
        <f t="shared" si="66"/>
        <v>0.79166666666666674</v>
      </c>
      <c r="V89" s="22" t="str">
        <f>VLOOKUP(A89,'Agent Sched'!B:K,10,)</f>
        <v>OFF</v>
      </c>
      <c r="W89" s="13" t="str">
        <f t="shared" si="67"/>
        <v>OFF</v>
      </c>
      <c r="X89" s="22" t="str">
        <f>VLOOKUP(A89,'Agent Sched'!B:L,11,)</f>
        <v>OFF</v>
      </c>
      <c r="Y89" s="13" t="str">
        <f t="shared" si="68"/>
        <v>OFF</v>
      </c>
      <c r="Z89" s="22">
        <f>VLOOKUP(A89,'Agent Sched'!B:M,12,)</f>
        <v>0.41666666666666669</v>
      </c>
      <c r="AA89" s="13">
        <f t="shared" si="69"/>
        <v>0.79166666666666674</v>
      </c>
      <c r="AB89" s="22">
        <f>VLOOKUP(A89,'Agent Sched'!B:N,13,)</f>
        <v>0.41666666666666669</v>
      </c>
      <c r="AC89" s="13">
        <f t="shared" si="70"/>
        <v>0.79166666666666674</v>
      </c>
      <c r="AD89" s="22">
        <f>VLOOKUP(A89,'Agent Sched'!B:O,14,)</f>
        <v>0.41666666666666669</v>
      </c>
      <c r="AE89" s="13">
        <f t="shared" si="71"/>
        <v>0.79166666666666674</v>
      </c>
      <c r="AF89" s="24">
        <f>VLOOKUP(A89,'Agent Sched'!B:P,15,)</f>
        <v>0.41666666666666669</v>
      </c>
      <c r="AG89" s="13">
        <f t="shared" si="72"/>
        <v>0.79166666666666674</v>
      </c>
      <c r="AI89" s="26">
        <f>VLOOKUP(A89,'Agent Sched'!$B:$Q,16,)</f>
        <v>0.41666666666666669</v>
      </c>
      <c r="AJ89" s="13">
        <f t="shared" si="73"/>
        <v>0.79166666666666674</v>
      </c>
      <c r="AK89" s="22" t="str">
        <f>VLOOKUP(A89,'Agent Sched'!B:R,17,)</f>
        <v>OFF</v>
      </c>
      <c r="AL89" s="13" t="str">
        <f t="shared" si="74"/>
        <v>OFF</v>
      </c>
      <c r="AM89" s="22" t="str">
        <f>VLOOKUP(A89,'Agent Sched'!B:S,18,)</f>
        <v>OFF</v>
      </c>
      <c r="AN89" s="13" t="str">
        <f t="shared" si="75"/>
        <v>OFF</v>
      </c>
      <c r="AO89" s="22">
        <f>VLOOKUP(A89,'Agent Sched'!B:T,19,)</f>
        <v>0.41666666666666669</v>
      </c>
      <c r="AP89" s="13">
        <f t="shared" si="76"/>
        <v>0.79166666666666674</v>
      </c>
      <c r="AQ89" s="22">
        <f>VLOOKUP(A89,'Agent Sched'!B:U,20,)</f>
        <v>0.41666666666666669</v>
      </c>
      <c r="AR89" s="13">
        <f t="shared" si="77"/>
        <v>0.79166666666666674</v>
      </c>
      <c r="AS89" s="22">
        <f>VLOOKUP(A89,'Agent Sched'!B:V,21,)</f>
        <v>0.41666666666666669</v>
      </c>
      <c r="AT89" s="13">
        <f t="shared" si="78"/>
        <v>0.79166666666666674</v>
      </c>
      <c r="AU89" s="24">
        <f>VLOOKUP(A89,'Agent Sched'!B:W,22,)</f>
        <v>0.41666666666666669</v>
      </c>
      <c r="AV89" s="13">
        <f t="shared" si="79"/>
        <v>0.79166666666666674</v>
      </c>
    </row>
    <row r="90" spans="1:48" ht="15.75" thickBot="1" x14ac:dyDescent="0.3">
      <c r="A90" s="20" t="str">
        <f>IFERROR('Agent Sched'!B91,"-")</f>
        <v>Kathleene Faye Villarin</v>
      </c>
      <c r="B90" s="12">
        <f>IFERROR(VLOOKUP(A90,'Agent Sched'!$B:$C,2,),"-")</f>
        <v>0.66666666666666663</v>
      </c>
      <c r="C90" s="13">
        <f t="shared" si="58"/>
        <v>1.0416666666666665</v>
      </c>
      <c r="D90" s="12">
        <f>IFERROR(VLOOKUP(A90,'Agent Sched'!B:D,3,),"-")</f>
        <v>0.66666666666666663</v>
      </c>
      <c r="E90" s="13">
        <f t="shared" si="59"/>
        <v>1.0416666666666665</v>
      </c>
      <c r="F90" s="12">
        <f>IFERROR(VLOOKUP(A90,'Agent Sched'!B:E,4,),"-")</f>
        <v>0.66666666666666663</v>
      </c>
      <c r="G90" s="13">
        <f t="shared" si="60"/>
        <v>1.0416666666666665</v>
      </c>
      <c r="H90" s="12" t="str">
        <f>IFERROR(VLOOKUP(A90,'Agent Sched'!B:F,5,),"-")</f>
        <v>OFF</v>
      </c>
      <c r="I90" s="13" t="str">
        <f t="shared" si="61"/>
        <v>OFF</v>
      </c>
      <c r="J90" s="12">
        <f>IFERROR(VLOOKUP(A90,'Agent Sched'!B:G,6,),"-")</f>
        <v>0.66666666666666663</v>
      </c>
      <c r="K90" s="13">
        <f t="shared" si="62"/>
        <v>1.0416666666666665</v>
      </c>
      <c r="L90" s="12" t="str">
        <f>IFERROR(VLOOKUP(A90,'Agent Sched'!B:H,7,),"-")</f>
        <v>OFF</v>
      </c>
      <c r="M90" s="13" t="str">
        <f t="shared" si="63"/>
        <v>OFF</v>
      </c>
      <c r="N90" s="21">
        <f>IFERROR(VLOOKUP(A90,'Agent Sched'!B:I,8,),"-")</f>
        <v>0.66666666666666663</v>
      </c>
      <c r="O90" s="13">
        <f t="shared" si="64"/>
        <v>1.0416666666666665</v>
      </c>
      <c r="Q90" s="12">
        <f>VLOOKUP(A90,'Agent Sched'!B:Y,24,)</f>
        <v>0.66666666666666663</v>
      </c>
      <c r="R90" s="13">
        <f t="shared" si="65"/>
        <v>1.0416666666666665</v>
      </c>
      <c r="T90" s="26">
        <f>VLOOKUP(A90,'Agent Sched'!$B:$J,9,)</f>
        <v>0.66666666666666663</v>
      </c>
      <c r="U90" s="13">
        <f t="shared" si="66"/>
        <v>1.0416666666666665</v>
      </c>
      <c r="V90" s="22">
        <f>VLOOKUP(A90,'Agent Sched'!B:K,10,)</f>
        <v>0.66666666666666663</v>
      </c>
      <c r="W90" s="13">
        <f t="shared" si="67"/>
        <v>1.0416666666666665</v>
      </c>
      <c r="X90" s="22">
        <f>VLOOKUP(A90,'Agent Sched'!B:L,11,)</f>
        <v>0.66666666666666663</v>
      </c>
      <c r="Y90" s="13">
        <f t="shared" si="68"/>
        <v>1.0416666666666665</v>
      </c>
      <c r="Z90" s="22">
        <f>VLOOKUP(A90,'Agent Sched'!B:M,12,)</f>
        <v>0.66666666666666663</v>
      </c>
      <c r="AA90" s="13">
        <f t="shared" si="69"/>
        <v>1.0416666666666665</v>
      </c>
      <c r="AB90" s="22" t="str">
        <f>VLOOKUP(A90,'Agent Sched'!B:N,13,)</f>
        <v>OFF</v>
      </c>
      <c r="AC90" s="13" t="str">
        <f t="shared" si="70"/>
        <v>OFF</v>
      </c>
      <c r="AD90" s="22" t="str">
        <f>VLOOKUP(A90,'Agent Sched'!B:O,14,)</f>
        <v>OFF</v>
      </c>
      <c r="AE90" s="13" t="str">
        <f t="shared" si="71"/>
        <v>OFF</v>
      </c>
      <c r="AF90" s="24">
        <f>VLOOKUP(A90,'Agent Sched'!B:P,15,)</f>
        <v>0.66666666666666663</v>
      </c>
      <c r="AG90" s="13">
        <f t="shared" si="72"/>
        <v>1.0416666666666665</v>
      </c>
      <c r="AI90" s="26">
        <f>VLOOKUP(A90,'Agent Sched'!$B:$Q,16,)</f>
        <v>0.66666666666666663</v>
      </c>
      <c r="AJ90" s="13">
        <f t="shared" si="73"/>
        <v>1.0416666666666665</v>
      </c>
      <c r="AK90" s="22">
        <f>VLOOKUP(A90,'Agent Sched'!B:R,17,)</f>
        <v>0.66666666666666663</v>
      </c>
      <c r="AL90" s="13">
        <f t="shared" si="74"/>
        <v>1.0416666666666665</v>
      </c>
      <c r="AM90" s="22">
        <f>VLOOKUP(A90,'Agent Sched'!B:S,18,)</f>
        <v>0.66666666666666663</v>
      </c>
      <c r="AN90" s="13">
        <f t="shared" si="75"/>
        <v>1.0416666666666665</v>
      </c>
      <c r="AO90" s="22">
        <f>VLOOKUP(A90,'Agent Sched'!B:T,19,)</f>
        <v>0.66666666666666663</v>
      </c>
      <c r="AP90" s="13">
        <f t="shared" si="76"/>
        <v>1.0416666666666665</v>
      </c>
      <c r="AQ90" s="22" t="str">
        <f>VLOOKUP(A90,'Agent Sched'!B:U,20,)</f>
        <v>OFF</v>
      </c>
      <c r="AR90" s="13" t="str">
        <f t="shared" si="77"/>
        <v>OFF</v>
      </c>
      <c r="AS90" s="22" t="str">
        <f>VLOOKUP(A90,'Agent Sched'!B:V,21,)</f>
        <v>OFF</v>
      </c>
      <c r="AT90" s="13" t="str">
        <f t="shared" si="78"/>
        <v>OFF</v>
      </c>
      <c r="AU90" s="24">
        <f>VLOOKUP(A90,'Agent Sched'!B:W,22,)</f>
        <v>0.66666666666666663</v>
      </c>
      <c r="AV90" s="13">
        <f t="shared" si="79"/>
        <v>1.0416666666666665</v>
      </c>
    </row>
    <row r="91" spans="1:48" ht="15.75" thickBot="1" x14ac:dyDescent="0.3">
      <c r="A91" s="20" t="str">
        <f>IFERROR('Agent Sched'!B92,"-")</f>
        <v>Rencel Jan Hortillosa</v>
      </c>
      <c r="B91" s="12">
        <f>IFERROR(VLOOKUP(A91,'Agent Sched'!$B:$C,2,),"-")</f>
        <v>0.66666666666666663</v>
      </c>
      <c r="C91" s="13">
        <f t="shared" si="58"/>
        <v>1.0416666666666665</v>
      </c>
      <c r="D91" s="12">
        <f>IFERROR(VLOOKUP(A91,'Agent Sched'!B:D,3,),"-")</f>
        <v>0.66666666666666663</v>
      </c>
      <c r="E91" s="13">
        <f t="shared" si="59"/>
        <v>1.0416666666666665</v>
      </c>
      <c r="F91" s="12">
        <f>IFERROR(VLOOKUP(A91,'Agent Sched'!B:E,4,),"-")</f>
        <v>0.66666666666666663</v>
      </c>
      <c r="G91" s="13">
        <f t="shared" si="60"/>
        <v>1.0416666666666665</v>
      </c>
      <c r="H91" s="12" t="str">
        <f>IFERROR(VLOOKUP(A91,'Agent Sched'!B:F,5,),"-")</f>
        <v>OFF</v>
      </c>
      <c r="I91" s="13" t="str">
        <f t="shared" si="61"/>
        <v>OFF</v>
      </c>
      <c r="J91" s="12">
        <f>IFERROR(VLOOKUP(A91,'Agent Sched'!B:G,6,),"-")</f>
        <v>0.66666666666666663</v>
      </c>
      <c r="K91" s="13">
        <f t="shared" si="62"/>
        <v>1.0416666666666665</v>
      </c>
      <c r="L91" s="12" t="str">
        <f>IFERROR(VLOOKUP(A91,'Agent Sched'!B:H,7,),"-")</f>
        <v>OFF</v>
      </c>
      <c r="M91" s="13" t="str">
        <f t="shared" si="63"/>
        <v>OFF</v>
      </c>
      <c r="N91" s="21">
        <f>IFERROR(VLOOKUP(A91,'Agent Sched'!B:I,8,),"-")</f>
        <v>0.66666666666666663</v>
      </c>
      <c r="O91" s="13">
        <f t="shared" si="64"/>
        <v>1.0416666666666665</v>
      </c>
      <c r="Q91" s="12">
        <f>VLOOKUP(A91,'Agent Sched'!B:Y,24,)</f>
        <v>0.66666666666666663</v>
      </c>
      <c r="R91" s="13">
        <f t="shared" si="65"/>
        <v>1.0416666666666665</v>
      </c>
      <c r="T91" s="26">
        <f>VLOOKUP(A91,'Agent Sched'!$B:$J,9,)</f>
        <v>0.66666666666666663</v>
      </c>
      <c r="U91" s="13">
        <f t="shared" si="66"/>
        <v>1.0416666666666665</v>
      </c>
      <c r="V91" s="22">
        <f>VLOOKUP(A91,'Agent Sched'!B:K,10,)</f>
        <v>0.66666666666666663</v>
      </c>
      <c r="W91" s="13">
        <f t="shared" si="67"/>
        <v>1.0416666666666665</v>
      </c>
      <c r="X91" s="22">
        <f>VLOOKUP(A91,'Agent Sched'!B:L,11,)</f>
        <v>0.66666666666666663</v>
      </c>
      <c r="Y91" s="13">
        <f t="shared" si="68"/>
        <v>1.0416666666666665</v>
      </c>
      <c r="Z91" s="22">
        <f>VLOOKUP(A91,'Agent Sched'!B:M,12,)</f>
        <v>0.66666666666666663</v>
      </c>
      <c r="AA91" s="13">
        <f t="shared" si="69"/>
        <v>1.0416666666666665</v>
      </c>
      <c r="AB91" s="22" t="str">
        <f>VLOOKUP(A91,'Agent Sched'!B:N,13,)</f>
        <v>OFF</v>
      </c>
      <c r="AC91" s="13" t="str">
        <f t="shared" si="70"/>
        <v>OFF</v>
      </c>
      <c r="AD91" s="22" t="str">
        <f>VLOOKUP(A91,'Agent Sched'!B:O,14,)</f>
        <v>OFF</v>
      </c>
      <c r="AE91" s="13" t="str">
        <f t="shared" si="71"/>
        <v>OFF</v>
      </c>
      <c r="AF91" s="24">
        <f>VLOOKUP(A91,'Agent Sched'!B:P,15,)</f>
        <v>0.66666666666666663</v>
      </c>
      <c r="AG91" s="13">
        <f t="shared" si="72"/>
        <v>1.0416666666666665</v>
      </c>
      <c r="AI91" s="26">
        <f>VLOOKUP(A91,'Agent Sched'!$B:$Q,16,)</f>
        <v>0.66666666666666663</v>
      </c>
      <c r="AJ91" s="13">
        <f t="shared" si="73"/>
        <v>1.0416666666666665</v>
      </c>
      <c r="AK91" s="22">
        <f>VLOOKUP(A91,'Agent Sched'!B:R,17,)</f>
        <v>0.66666666666666663</v>
      </c>
      <c r="AL91" s="13">
        <f t="shared" si="74"/>
        <v>1.0416666666666665</v>
      </c>
      <c r="AM91" s="22">
        <f>VLOOKUP(A91,'Agent Sched'!B:S,18,)</f>
        <v>0.66666666666666663</v>
      </c>
      <c r="AN91" s="13">
        <f t="shared" si="75"/>
        <v>1.0416666666666665</v>
      </c>
      <c r="AO91" s="22">
        <f>VLOOKUP(A91,'Agent Sched'!B:T,19,)</f>
        <v>0.66666666666666663</v>
      </c>
      <c r="AP91" s="13">
        <f t="shared" si="76"/>
        <v>1.0416666666666665</v>
      </c>
      <c r="AQ91" s="22" t="str">
        <f>VLOOKUP(A91,'Agent Sched'!B:U,20,)</f>
        <v>OFF</v>
      </c>
      <c r="AR91" s="13" t="str">
        <f t="shared" si="77"/>
        <v>OFF</v>
      </c>
      <c r="AS91" s="22" t="str">
        <f>VLOOKUP(A91,'Agent Sched'!B:V,21,)</f>
        <v>OFF</v>
      </c>
      <c r="AT91" s="13" t="str">
        <f t="shared" si="78"/>
        <v>OFF</v>
      </c>
      <c r="AU91" s="24">
        <f>VLOOKUP(A91,'Agent Sched'!B:W,22,)</f>
        <v>0.66666666666666663</v>
      </c>
      <c r="AV91" s="13">
        <f t="shared" si="79"/>
        <v>1.0416666666666665</v>
      </c>
    </row>
    <row r="92" spans="1:48" ht="15.75" thickBot="1" x14ac:dyDescent="0.3">
      <c r="A92" s="20" t="str">
        <f>IFERROR('Agent Sched'!B93,"-")</f>
        <v>Fiona Joice Padilla</v>
      </c>
      <c r="B92" s="12">
        <f>IFERROR(VLOOKUP(A92,'Agent Sched'!$B:$C,2,),"-")</f>
        <v>0.66666666666666663</v>
      </c>
      <c r="C92" s="13">
        <f t="shared" si="58"/>
        <v>1.0416666666666665</v>
      </c>
      <c r="D92" s="12">
        <f>IFERROR(VLOOKUP(A92,'Agent Sched'!B:D,3,),"-")</f>
        <v>0.66666666666666663</v>
      </c>
      <c r="E92" s="13">
        <f t="shared" si="59"/>
        <v>1.0416666666666665</v>
      </c>
      <c r="F92" s="12">
        <f>IFERROR(VLOOKUP(A92,'Agent Sched'!B:E,4,),"-")</f>
        <v>0.66666666666666663</v>
      </c>
      <c r="G92" s="13">
        <f t="shared" si="60"/>
        <v>1.0416666666666665</v>
      </c>
      <c r="H92" s="12" t="str">
        <f>IFERROR(VLOOKUP(A92,'Agent Sched'!B:F,5,),"-")</f>
        <v>OFF</v>
      </c>
      <c r="I92" s="13" t="str">
        <f t="shared" si="61"/>
        <v>OFF</v>
      </c>
      <c r="J92" s="12">
        <f>IFERROR(VLOOKUP(A92,'Agent Sched'!B:G,6,),"-")</f>
        <v>0.66666666666666663</v>
      </c>
      <c r="K92" s="13">
        <f t="shared" si="62"/>
        <v>1.0416666666666665</v>
      </c>
      <c r="L92" s="12" t="str">
        <f>IFERROR(VLOOKUP(A92,'Agent Sched'!B:H,7,),"-")</f>
        <v>OFF</v>
      </c>
      <c r="M92" s="13" t="str">
        <f t="shared" si="63"/>
        <v>OFF</v>
      </c>
      <c r="N92" s="21">
        <f>IFERROR(VLOOKUP(A92,'Agent Sched'!B:I,8,),"-")</f>
        <v>0.66666666666666663</v>
      </c>
      <c r="O92" s="13">
        <f t="shared" si="64"/>
        <v>1.0416666666666665</v>
      </c>
      <c r="Q92" s="12">
        <f>VLOOKUP(A92,'Agent Sched'!B:Y,24,)</f>
        <v>0.66666666666666663</v>
      </c>
      <c r="R92" s="13">
        <f t="shared" si="65"/>
        <v>1.0416666666666665</v>
      </c>
      <c r="T92" s="26">
        <f>VLOOKUP(A92,'Agent Sched'!$B:$J,9,)</f>
        <v>0.66666666666666663</v>
      </c>
      <c r="U92" s="13">
        <f t="shared" si="66"/>
        <v>1.0416666666666665</v>
      </c>
      <c r="V92" s="22">
        <f>VLOOKUP(A92,'Agent Sched'!B:K,10,)</f>
        <v>0.66666666666666663</v>
      </c>
      <c r="W92" s="13">
        <f t="shared" si="67"/>
        <v>1.0416666666666665</v>
      </c>
      <c r="X92" s="22">
        <f>VLOOKUP(A92,'Agent Sched'!B:L,11,)</f>
        <v>0.66666666666666663</v>
      </c>
      <c r="Y92" s="13">
        <f t="shared" si="68"/>
        <v>1.0416666666666665</v>
      </c>
      <c r="Z92" s="22">
        <f>VLOOKUP(A92,'Agent Sched'!B:M,12,)</f>
        <v>0.66666666666666663</v>
      </c>
      <c r="AA92" s="13">
        <f t="shared" si="69"/>
        <v>1.0416666666666665</v>
      </c>
      <c r="AB92" s="22" t="str">
        <f>VLOOKUP(A92,'Agent Sched'!B:N,13,)</f>
        <v>OFF</v>
      </c>
      <c r="AC92" s="13" t="str">
        <f t="shared" si="70"/>
        <v>OFF</v>
      </c>
      <c r="AD92" s="22" t="str">
        <f>VLOOKUP(A92,'Agent Sched'!B:O,14,)</f>
        <v>OFF</v>
      </c>
      <c r="AE92" s="13" t="str">
        <f t="shared" si="71"/>
        <v>OFF</v>
      </c>
      <c r="AF92" s="24">
        <f>VLOOKUP(A92,'Agent Sched'!B:P,15,)</f>
        <v>0.66666666666666663</v>
      </c>
      <c r="AG92" s="13">
        <f t="shared" si="72"/>
        <v>1.0416666666666665</v>
      </c>
      <c r="AI92" s="26">
        <f>VLOOKUP(A92,'Agent Sched'!$B:$Q,16,)</f>
        <v>0.66666666666666663</v>
      </c>
      <c r="AJ92" s="13">
        <f t="shared" si="73"/>
        <v>1.0416666666666665</v>
      </c>
      <c r="AK92" s="22">
        <f>VLOOKUP(A92,'Agent Sched'!B:R,17,)</f>
        <v>0.66666666666666663</v>
      </c>
      <c r="AL92" s="13">
        <f t="shared" si="74"/>
        <v>1.0416666666666665</v>
      </c>
      <c r="AM92" s="22">
        <f>VLOOKUP(A92,'Agent Sched'!B:S,18,)</f>
        <v>0.66666666666666663</v>
      </c>
      <c r="AN92" s="13">
        <f t="shared" si="75"/>
        <v>1.0416666666666665</v>
      </c>
      <c r="AO92" s="22">
        <f>VLOOKUP(A92,'Agent Sched'!B:T,19,)</f>
        <v>0.66666666666666663</v>
      </c>
      <c r="AP92" s="13">
        <f t="shared" si="76"/>
        <v>1.0416666666666665</v>
      </c>
      <c r="AQ92" s="22" t="str">
        <f>VLOOKUP(A92,'Agent Sched'!B:U,20,)</f>
        <v>OFF</v>
      </c>
      <c r="AR92" s="13" t="str">
        <f t="shared" si="77"/>
        <v>OFF</v>
      </c>
      <c r="AS92" s="22" t="str">
        <f>VLOOKUP(A92,'Agent Sched'!B:V,21,)</f>
        <v>OFF</v>
      </c>
      <c r="AT92" s="13" t="str">
        <f t="shared" si="78"/>
        <v>OFF</v>
      </c>
      <c r="AU92" s="24">
        <f>VLOOKUP(A92,'Agent Sched'!B:W,22,)</f>
        <v>0.66666666666666663</v>
      </c>
      <c r="AV92" s="13">
        <f t="shared" si="79"/>
        <v>1.0416666666666665</v>
      </c>
    </row>
    <row r="93" spans="1:48" ht="15.75" thickBot="1" x14ac:dyDescent="0.3">
      <c r="A93" s="20" t="str">
        <f>IFERROR('Agent Sched'!B94,"-")</f>
        <v>John Vincent Tio</v>
      </c>
      <c r="B93" s="12">
        <f>IFERROR(VLOOKUP(A93,'Agent Sched'!$B:$C,2,),"-")</f>
        <v>0.66666666666666663</v>
      </c>
      <c r="C93" s="13">
        <f t="shared" si="58"/>
        <v>1.0416666666666665</v>
      </c>
      <c r="D93" s="12">
        <f>IFERROR(VLOOKUP(A93,'Agent Sched'!B:D,3,),"-")</f>
        <v>0.66666666666666663</v>
      </c>
      <c r="E93" s="13">
        <f t="shared" si="59"/>
        <v>1.0416666666666665</v>
      </c>
      <c r="F93" s="12">
        <f>IFERROR(VLOOKUP(A93,'Agent Sched'!B:E,4,),"-")</f>
        <v>0.66666666666666663</v>
      </c>
      <c r="G93" s="13">
        <f t="shared" si="60"/>
        <v>1.0416666666666665</v>
      </c>
      <c r="H93" s="12" t="str">
        <f>IFERROR(VLOOKUP(A93,'Agent Sched'!B:F,5,),"-")</f>
        <v>OFF</v>
      </c>
      <c r="I93" s="13" t="str">
        <f t="shared" si="61"/>
        <v>OFF</v>
      </c>
      <c r="J93" s="12">
        <f>IFERROR(VLOOKUP(A93,'Agent Sched'!B:G,6,),"-")</f>
        <v>0.66666666666666663</v>
      </c>
      <c r="K93" s="13">
        <f t="shared" si="62"/>
        <v>1.0416666666666665</v>
      </c>
      <c r="L93" s="12" t="str">
        <f>IFERROR(VLOOKUP(A93,'Agent Sched'!B:H,7,),"-")</f>
        <v>OFF</v>
      </c>
      <c r="M93" s="13" t="str">
        <f t="shared" si="63"/>
        <v>OFF</v>
      </c>
      <c r="N93" s="21">
        <f>IFERROR(VLOOKUP(A93,'Agent Sched'!B:I,8,),"-")</f>
        <v>0.66666666666666663</v>
      </c>
      <c r="O93" s="13">
        <f t="shared" si="64"/>
        <v>1.0416666666666665</v>
      </c>
      <c r="Q93" s="12">
        <f>VLOOKUP(A93,'Agent Sched'!B:Y,24,)</f>
        <v>0.66666666666666663</v>
      </c>
      <c r="R93" s="13">
        <f t="shared" si="65"/>
        <v>1.0416666666666665</v>
      </c>
      <c r="T93" s="26">
        <f>VLOOKUP(A93,'Agent Sched'!$B:$J,9,)</f>
        <v>0.66666666666666663</v>
      </c>
      <c r="U93" s="13">
        <f t="shared" si="66"/>
        <v>1.0416666666666665</v>
      </c>
      <c r="V93" s="22">
        <f>VLOOKUP(A93,'Agent Sched'!B:K,10,)</f>
        <v>0.66666666666666663</v>
      </c>
      <c r="W93" s="13">
        <f t="shared" si="67"/>
        <v>1.0416666666666665</v>
      </c>
      <c r="X93" s="22">
        <f>VLOOKUP(A93,'Agent Sched'!B:L,11,)</f>
        <v>0.66666666666666663</v>
      </c>
      <c r="Y93" s="13">
        <f t="shared" si="68"/>
        <v>1.0416666666666665</v>
      </c>
      <c r="Z93" s="22">
        <f>VLOOKUP(A93,'Agent Sched'!B:M,12,)</f>
        <v>0.66666666666666663</v>
      </c>
      <c r="AA93" s="13">
        <f t="shared" si="69"/>
        <v>1.0416666666666665</v>
      </c>
      <c r="AB93" s="22" t="str">
        <f>VLOOKUP(A93,'Agent Sched'!B:N,13,)</f>
        <v>OFF</v>
      </c>
      <c r="AC93" s="13" t="str">
        <f t="shared" si="70"/>
        <v>OFF</v>
      </c>
      <c r="AD93" s="22" t="str">
        <f>VLOOKUP(A93,'Agent Sched'!B:O,14,)</f>
        <v>OFF</v>
      </c>
      <c r="AE93" s="13" t="str">
        <f t="shared" si="71"/>
        <v>OFF</v>
      </c>
      <c r="AF93" s="24">
        <f>VLOOKUP(A93,'Agent Sched'!B:P,15,)</f>
        <v>0.66666666666666663</v>
      </c>
      <c r="AG93" s="13">
        <f t="shared" si="72"/>
        <v>1.0416666666666665</v>
      </c>
      <c r="AI93" s="26">
        <f>VLOOKUP(A93,'Agent Sched'!$B:$Q,16,)</f>
        <v>0.66666666666666663</v>
      </c>
      <c r="AJ93" s="13">
        <f t="shared" si="73"/>
        <v>1.0416666666666665</v>
      </c>
      <c r="AK93" s="22">
        <f>VLOOKUP(A93,'Agent Sched'!B:R,17,)</f>
        <v>0.66666666666666663</v>
      </c>
      <c r="AL93" s="13">
        <f t="shared" si="74"/>
        <v>1.0416666666666665</v>
      </c>
      <c r="AM93" s="22">
        <f>VLOOKUP(A93,'Agent Sched'!B:S,18,)</f>
        <v>0.66666666666666663</v>
      </c>
      <c r="AN93" s="13">
        <f t="shared" si="75"/>
        <v>1.0416666666666665</v>
      </c>
      <c r="AO93" s="22">
        <f>VLOOKUP(A93,'Agent Sched'!B:T,19,)</f>
        <v>0.66666666666666663</v>
      </c>
      <c r="AP93" s="13">
        <f t="shared" si="76"/>
        <v>1.0416666666666665</v>
      </c>
      <c r="AQ93" s="22" t="str">
        <f>VLOOKUP(A93,'Agent Sched'!B:U,20,)</f>
        <v>OFF</v>
      </c>
      <c r="AR93" s="13" t="str">
        <f t="shared" si="77"/>
        <v>OFF</v>
      </c>
      <c r="AS93" s="22" t="str">
        <f>VLOOKUP(A93,'Agent Sched'!B:V,21,)</f>
        <v>OFF</v>
      </c>
      <c r="AT93" s="13" t="str">
        <f t="shared" si="78"/>
        <v>OFF</v>
      </c>
      <c r="AU93" s="24">
        <f>VLOOKUP(A93,'Agent Sched'!B:W,22,)</f>
        <v>0.66666666666666663</v>
      </c>
      <c r="AV93" s="13">
        <f t="shared" si="79"/>
        <v>1.0416666666666665</v>
      </c>
    </row>
    <row r="94" spans="1:48" ht="15.75" thickBot="1" x14ac:dyDescent="0.3">
      <c r="A94" s="20" t="str">
        <f>IFERROR('Agent Sched'!B95,"-")</f>
        <v>Christine Jessa Barillo</v>
      </c>
      <c r="B94" s="12">
        <f>IFERROR(VLOOKUP(A94,'Agent Sched'!$B:$C,2,),"-")</f>
        <v>0.66666666666666663</v>
      </c>
      <c r="C94" s="13">
        <f t="shared" si="58"/>
        <v>1.0416666666666665</v>
      </c>
      <c r="D94" s="12">
        <f>IFERROR(VLOOKUP(A94,'Agent Sched'!B:D,3,),"-")</f>
        <v>0.66666666666666663</v>
      </c>
      <c r="E94" s="13">
        <f t="shared" si="59"/>
        <v>1.0416666666666665</v>
      </c>
      <c r="F94" s="12">
        <f>IFERROR(VLOOKUP(A94,'Agent Sched'!B:E,4,),"-")</f>
        <v>0.66666666666666663</v>
      </c>
      <c r="G94" s="13">
        <f t="shared" si="60"/>
        <v>1.0416666666666665</v>
      </c>
      <c r="H94" s="12" t="str">
        <f>IFERROR(VLOOKUP(A94,'Agent Sched'!B:F,5,),"-")</f>
        <v>OFF</v>
      </c>
      <c r="I94" s="13" t="str">
        <f t="shared" si="61"/>
        <v>OFF</v>
      </c>
      <c r="J94" s="12">
        <f>IFERROR(VLOOKUP(A94,'Agent Sched'!B:G,6,),"-")</f>
        <v>0.66666666666666663</v>
      </c>
      <c r="K94" s="13">
        <f t="shared" si="62"/>
        <v>1.0416666666666665</v>
      </c>
      <c r="L94" s="12" t="str">
        <f>IFERROR(VLOOKUP(A94,'Agent Sched'!B:H,7,),"-")</f>
        <v>OFF</v>
      </c>
      <c r="M94" s="13" t="str">
        <f t="shared" si="63"/>
        <v>OFF</v>
      </c>
      <c r="N94" s="21">
        <f>IFERROR(VLOOKUP(A94,'Agent Sched'!B:I,8,),"-")</f>
        <v>0.66666666666666663</v>
      </c>
      <c r="O94" s="13">
        <f t="shared" si="64"/>
        <v>1.0416666666666665</v>
      </c>
      <c r="Q94" s="12">
        <f>VLOOKUP(A94,'Agent Sched'!B:Y,24,)</f>
        <v>0.66666666666666663</v>
      </c>
      <c r="R94" s="13">
        <f t="shared" si="65"/>
        <v>1.0416666666666665</v>
      </c>
      <c r="T94" s="26">
        <f>VLOOKUP(A94,'Agent Sched'!$B:$J,9,)</f>
        <v>0.66666666666666663</v>
      </c>
      <c r="U94" s="13">
        <f t="shared" si="66"/>
        <v>1.0416666666666665</v>
      </c>
      <c r="V94" s="22">
        <f>VLOOKUP(A94,'Agent Sched'!B:K,10,)</f>
        <v>0.66666666666666663</v>
      </c>
      <c r="W94" s="13">
        <f t="shared" si="67"/>
        <v>1.0416666666666665</v>
      </c>
      <c r="X94" s="22">
        <f>VLOOKUP(A94,'Agent Sched'!B:L,11,)</f>
        <v>0.66666666666666663</v>
      </c>
      <c r="Y94" s="13">
        <f t="shared" si="68"/>
        <v>1.0416666666666665</v>
      </c>
      <c r="Z94" s="22">
        <f>VLOOKUP(A94,'Agent Sched'!B:M,12,)</f>
        <v>0.66666666666666663</v>
      </c>
      <c r="AA94" s="13">
        <f t="shared" si="69"/>
        <v>1.0416666666666665</v>
      </c>
      <c r="AB94" s="22" t="str">
        <f>VLOOKUP(A94,'Agent Sched'!B:N,13,)</f>
        <v>OFF</v>
      </c>
      <c r="AC94" s="13" t="str">
        <f t="shared" si="70"/>
        <v>OFF</v>
      </c>
      <c r="AD94" s="22" t="str">
        <f>VLOOKUP(A94,'Agent Sched'!B:O,14,)</f>
        <v>OFF</v>
      </c>
      <c r="AE94" s="13" t="str">
        <f t="shared" si="71"/>
        <v>OFF</v>
      </c>
      <c r="AF94" s="24">
        <f>VLOOKUP(A94,'Agent Sched'!B:P,15,)</f>
        <v>0.66666666666666663</v>
      </c>
      <c r="AG94" s="13">
        <f t="shared" si="72"/>
        <v>1.0416666666666665</v>
      </c>
      <c r="AI94" s="26">
        <f>VLOOKUP(A94,'Agent Sched'!$B:$Q,16,)</f>
        <v>0.66666666666666663</v>
      </c>
      <c r="AJ94" s="13">
        <f t="shared" si="73"/>
        <v>1.0416666666666665</v>
      </c>
      <c r="AK94" s="22">
        <f>VLOOKUP(A94,'Agent Sched'!B:R,17,)</f>
        <v>0.66666666666666663</v>
      </c>
      <c r="AL94" s="13">
        <f t="shared" si="74"/>
        <v>1.0416666666666665</v>
      </c>
      <c r="AM94" s="22">
        <f>VLOOKUP(A94,'Agent Sched'!B:S,18,)</f>
        <v>0.66666666666666663</v>
      </c>
      <c r="AN94" s="13">
        <f t="shared" si="75"/>
        <v>1.0416666666666665</v>
      </c>
      <c r="AO94" s="22">
        <f>VLOOKUP(A94,'Agent Sched'!B:T,19,)</f>
        <v>0.66666666666666663</v>
      </c>
      <c r="AP94" s="13">
        <f t="shared" si="76"/>
        <v>1.0416666666666665</v>
      </c>
      <c r="AQ94" s="22" t="str">
        <f>VLOOKUP(A94,'Agent Sched'!B:U,20,)</f>
        <v>OFF</v>
      </c>
      <c r="AR94" s="13" t="str">
        <f t="shared" si="77"/>
        <v>OFF</v>
      </c>
      <c r="AS94" s="22" t="str">
        <f>VLOOKUP(A94,'Agent Sched'!B:V,21,)</f>
        <v>OFF</v>
      </c>
      <c r="AT94" s="13" t="str">
        <f t="shared" si="78"/>
        <v>OFF</v>
      </c>
      <c r="AU94" s="24">
        <f>VLOOKUP(A94,'Agent Sched'!B:W,22,)</f>
        <v>0.66666666666666663</v>
      </c>
      <c r="AV94" s="13">
        <f t="shared" si="79"/>
        <v>1.0416666666666665</v>
      </c>
    </row>
    <row r="95" spans="1:48" ht="15.75" thickBot="1" x14ac:dyDescent="0.3">
      <c r="A95" s="20" t="str">
        <f>IFERROR('Agent Sched'!B96,"-")</f>
        <v>Erika Teodore</v>
      </c>
      <c r="B95" s="12">
        <f>IFERROR(VLOOKUP(A95,'Agent Sched'!$B:$C,2,),"-")</f>
        <v>0.66666666666666663</v>
      </c>
      <c r="C95" s="13">
        <f t="shared" si="58"/>
        <v>1.0416666666666665</v>
      </c>
      <c r="D95" s="12">
        <f>IFERROR(VLOOKUP(A95,'Agent Sched'!B:D,3,),"-")</f>
        <v>0.66666666666666663</v>
      </c>
      <c r="E95" s="13">
        <f t="shared" si="59"/>
        <v>1.0416666666666665</v>
      </c>
      <c r="F95" s="12">
        <f>IFERROR(VLOOKUP(A95,'Agent Sched'!B:E,4,),"-")</f>
        <v>0.66666666666666663</v>
      </c>
      <c r="G95" s="13">
        <f t="shared" si="60"/>
        <v>1.0416666666666665</v>
      </c>
      <c r="H95" s="12" t="str">
        <f>IFERROR(VLOOKUP(A95,'Agent Sched'!B:F,5,),"-")</f>
        <v>OFF</v>
      </c>
      <c r="I95" s="13" t="str">
        <f t="shared" si="61"/>
        <v>OFF</v>
      </c>
      <c r="J95" s="12">
        <f>IFERROR(VLOOKUP(A95,'Agent Sched'!B:G,6,),"-")</f>
        <v>0.66666666666666663</v>
      </c>
      <c r="K95" s="13">
        <f t="shared" si="62"/>
        <v>1.0416666666666665</v>
      </c>
      <c r="L95" s="12" t="str">
        <f>IFERROR(VLOOKUP(A95,'Agent Sched'!B:H,7,),"-")</f>
        <v>OFF</v>
      </c>
      <c r="M95" s="13" t="str">
        <f t="shared" si="63"/>
        <v>OFF</v>
      </c>
      <c r="N95" s="21">
        <f>IFERROR(VLOOKUP(A95,'Agent Sched'!B:I,8,),"-")</f>
        <v>0.66666666666666663</v>
      </c>
      <c r="O95" s="13">
        <f t="shared" si="64"/>
        <v>1.0416666666666665</v>
      </c>
      <c r="Q95" s="12">
        <f>VLOOKUP(A95,'Agent Sched'!B:Y,24,)</f>
        <v>0.66666666666666663</v>
      </c>
      <c r="R95" s="13">
        <f t="shared" si="65"/>
        <v>1.0416666666666665</v>
      </c>
      <c r="T95" s="26">
        <f>VLOOKUP(A95,'Agent Sched'!$B:$J,9,)</f>
        <v>0.66666666666666663</v>
      </c>
      <c r="U95" s="13">
        <f t="shared" si="66"/>
        <v>1.0416666666666665</v>
      </c>
      <c r="V95" s="22">
        <f>VLOOKUP(A95,'Agent Sched'!B:K,10,)</f>
        <v>0.66666666666666663</v>
      </c>
      <c r="W95" s="13">
        <f t="shared" si="67"/>
        <v>1.0416666666666665</v>
      </c>
      <c r="X95" s="22">
        <f>VLOOKUP(A95,'Agent Sched'!B:L,11,)</f>
        <v>0.66666666666666663</v>
      </c>
      <c r="Y95" s="13">
        <f t="shared" si="68"/>
        <v>1.0416666666666665</v>
      </c>
      <c r="Z95" s="22">
        <f>VLOOKUP(A95,'Agent Sched'!B:M,12,)</f>
        <v>0.66666666666666663</v>
      </c>
      <c r="AA95" s="13">
        <f t="shared" si="69"/>
        <v>1.0416666666666665</v>
      </c>
      <c r="AB95" s="22" t="str">
        <f>VLOOKUP(A95,'Agent Sched'!B:N,13,)</f>
        <v>OFF</v>
      </c>
      <c r="AC95" s="13" t="str">
        <f t="shared" si="70"/>
        <v>OFF</v>
      </c>
      <c r="AD95" s="22" t="str">
        <f>VLOOKUP(A95,'Agent Sched'!B:O,14,)</f>
        <v>OFF</v>
      </c>
      <c r="AE95" s="13" t="str">
        <f t="shared" si="71"/>
        <v>OFF</v>
      </c>
      <c r="AF95" s="24">
        <f>VLOOKUP(A95,'Agent Sched'!B:P,15,)</f>
        <v>0.66666666666666663</v>
      </c>
      <c r="AG95" s="13">
        <f t="shared" si="72"/>
        <v>1.0416666666666665</v>
      </c>
      <c r="AI95" s="26">
        <f>VLOOKUP(A95,'Agent Sched'!$B:$Q,16,)</f>
        <v>0.66666666666666663</v>
      </c>
      <c r="AJ95" s="13">
        <f t="shared" si="73"/>
        <v>1.0416666666666665</v>
      </c>
      <c r="AK95" s="22">
        <f>VLOOKUP(A95,'Agent Sched'!B:R,17,)</f>
        <v>0.66666666666666663</v>
      </c>
      <c r="AL95" s="13">
        <f t="shared" si="74"/>
        <v>1.0416666666666665</v>
      </c>
      <c r="AM95" s="22">
        <f>VLOOKUP(A95,'Agent Sched'!B:S,18,)</f>
        <v>0.66666666666666663</v>
      </c>
      <c r="AN95" s="13">
        <f t="shared" si="75"/>
        <v>1.0416666666666665</v>
      </c>
      <c r="AO95" s="22">
        <f>VLOOKUP(A95,'Agent Sched'!B:T,19,)</f>
        <v>0.66666666666666663</v>
      </c>
      <c r="AP95" s="13">
        <f t="shared" si="76"/>
        <v>1.0416666666666665</v>
      </c>
      <c r="AQ95" s="22" t="str">
        <f>VLOOKUP(A95,'Agent Sched'!B:U,20,)</f>
        <v>OFF</v>
      </c>
      <c r="AR95" s="13" t="str">
        <f t="shared" si="77"/>
        <v>OFF</v>
      </c>
      <c r="AS95" s="22" t="str">
        <f>VLOOKUP(A95,'Agent Sched'!B:V,21,)</f>
        <v>OFF</v>
      </c>
      <c r="AT95" s="13" t="str">
        <f t="shared" si="78"/>
        <v>OFF</v>
      </c>
      <c r="AU95" s="24">
        <f>VLOOKUP(A95,'Agent Sched'!B:W,22,)</f>
        <v>0.66666666666666663</v>
      </c>
      <c r="AV95" s="13">
        <f t="shared" si="79"/>
        <v>1.0416666666666665</v>
      </c>
    </row>
    <row r="96" spans="1:48" ht="15.75" thickBot="1" x14ac:dyDescent="0.3">
      <c r="A96" s="20" t="str">
        <f>IFERROR('Agent Sched'!B97,"-")</f>
        <v>Ella Mae Alvarez</v>
      </c>
      <c r="B96" s="12">
        <f>IFERROR(VLOOKUP(A96,'Agent Sched'!$B:$C,2,),"-")</f>
        <v>0.66666666666666663</v>
      </c>
      <c r="C96" s="13">
        <f t="shared" si="58"/>
        <v>1.0416666666666665</v>
      </c>
      <c r="D96" s="12">
        <f>IFERROR(VLOOKUP(A96,'Agent Sched'!B:D,3,),"-")</f>
        <v>0.66666666666666663</v>
      </c>
      <c r="E96" s="13">
        <f t="shared" si="59"/>
        <v>1.0416666666666665</v>
      </c>
      <c r="F96" s="12">
        <f>IFERROR(VLOOKUP(A96,'Agent Sched'!B:E,4,),"-")</f>
        <v>0.66666666666666663</v>
      </c>
      <c r="G96" s="13">
        <f t="shared" si="60"/>
        <v>1.0416666666666665</v>
      </c>
      <c r="H96" s="12" t="str">
        <f>IFERROR(VLOOKUP(A96,'Agent Sched'!B:F,5,),"-")</f>
        <v>OFF</v>
      </c>
      <c r="I96" s="13" t="str">
        <f t="shared" si="61"/>
        <v>OFF</v>
      </c>
      <c r="J96" s="12">
        <f>IFERROR(VLOOKUP(A96,'Agent Sched'!B:G,6,),"-")</f>
        <v>0.66666666666666663</v>
      </c>
      <c r="K96" s="13">
        <f t="shared" si="62"/>
        <v>1.0416666666666665</v>
      </c>
      <c r="L96" s="12" t="str">
        <f>IFERROR(VLOOKUP(A96,'Agent Sched'!B:H,7,),"-")</f>
        <v>OFF</v>
      </c>
      <c r="M96" s="13" t="str">
        <f t="shared" si="63"/>
        <v>OFF</v>
      </c>
      <c r="N96" s="21">
        <f>IFERROR(VLOOKUP(A96,'Agent Sched'!B:I,8,),"-")</f>
        <v>0.66666666666666663</v>
      </c>
      <c r="O96" s="13">
        <f t="shared" si="64"/>
        <v>1.0416666666666665</v>
      </c>
      <c r="Q96" s="12">
        <f>VLOOKUP(A96,'Agent Sched'!B:Y,24,)</f>
        <v>0.66666666666666663</v>
      </c>
      <c r="R96" s="13">
        <f t="shared" si="65"/>
        <v>1.0416666666666665</v>
      </c>
      <c r="T96" s="26">
        <f>VLOOKUP(A96,'Agent Sched'!$B:$J,9,)</f>
        <v>0.66666666666666663</v>
      </c>
      <c r="U96" s="13">
        <f t="shared" si="66"/>
        <v>1.0416666666666665</v>
      </c>
      <c r="V96" s="22">
        <f>VLOOKUP(A96,'Agent Sched'!B:K,10,)</f>
        <v>0.66666666666666663</v>
      </c>
      <c r="W96" s="13">
        <f t="shared" si="67"/>
        <v>1.0416666666666665</v>
      </c>
      <c r="X96" s="22">
        <f>VLOOKUP(A96,'Agent Sched'!B:L,11,)</f>
        <v>0.66666666666666663</v>
      </c>
      <c r="Y96" s="13">
        <f t="shared" si="68"/>
        <v>1.0416666666666665</v>
      </c>
      <c r="Z96" s="22">
        <f>VLOOKUP(A96,'Agent Sched'!B:M,12,)</f>
        <v>0.66666666666666663</v>
      </c>
      <c r="AA96" s="13">
        <f t="shared" si="69"/>
        <v>1.0416666666666665</v>
      </c>
      <c r="AB96" s="22" t="str">
        <f>VLOOKUP(A96,'Agent Sched'!B:N,13,)</f>
        <v>OFF</v>
      </c>
      <c r="AC96" s="13" t="str">
        <f t="shared" si="70"/>
        <v>OFF</v>
      </c>
      <c r="AD96" s="22" t="str">
        <f>VLOOKUP(A96,'Agent Sched'!B:O,14,)</f>
        <v>OFF</v>
      </c>
      <c r="AE96" s="13" t="str">
        <f t="shared" si="71"/>
        <v>OFF</v>
      </c>
      <c r="AF96" s="24">
        <f>VLOOKUP(A96,'Agent Sched'!B:P,15,)</f>
        <v>0.66666666666666663</v>
      </c>
      <c r="AG96" s="13">
        <f t="shared" si="72"/>
        <v>1.0416666666666665</v>
      </c>
      <c r="AI96" s="26">
        <f>VLOOKUP(A96,'Agent Sched'!$B:$Q,16,)</f>
        <v>0.66666666666666663</v>
      </c>
      <c r="AJ96" s="13">
        <f t="shared" si="73"/>
        <v>1.0416666666666665</v>
      </c>
      <c r="AK96" s="22">
        <f>VLOOKUP(A96,'Agent Sched'!B:R,17,)</f>
        <v>0.66666666666666663</v>
      </c>
      <c r="AL96" s="13">
        <f t="shared" si="74"/>
        <v>1.0416666666666665</v>
      </c>
      <c r="AM96" s="22">
        <f>VLOOKUP(A96,'Agent Sched'!B:S,18,)</f>
        <v>0.66666666666666663</v>
      </c>
      <c r="AN96" s="13">
        <f t="shared" si="75"/>
        <v>1.0416666666666665</v>
      </c>
      <c r="AO96" s="22">
        <f>VLOOKUP(A96,'Agent Sched'!B:T,19,)</f>
        <v>0.66666666666666663</v>
      </c>
      <c r="AP96" s="13">
        <f t="shared" si="76"/>
        <v>1.0416666666666665</v>
      </c>
      <c r="AQ96" s="22" t="str">
        <f>VLOOKUP(A96,'Agent Sched'!B:U,20,)</f>
        <v>OFF</v>
      </c>
      <c r="AR96" s="13" t="str">
        <f t="shared" si="77"/>
        <v>OFF</v>
      </c>
      <c r="AS96" s="22" t="str">
        <f>VLOOKUP(A96,'Agent Sched'!B:V,21,)</f>
        <v>OFF</v>
      </c>
      <c r="AT96" s="13" t="str">
        <f t="shared" si="78"/>
        <v>OFF</v>
      </c>
      <c r="AU96" s="24">
        <f>VLOOKUP(A96,'Agent Sched'!B:W,22,)</f>
        <v>0.66666666666666663</v>
      </c>
      <c r="AV96" s="13">
        <f t="shared" si="79"/>
        <v>1.0416666666666665</v>
      </c>
    </row>
    <row r="97" spans="1:48" ht="15.75" thickBot="1" x14ac:dyDescent="0.3">
      <c r="A97" s="20" t="str">
        <f>IFERROR('Agent Sched'!B98,"-")</f>
        <v>Jared  Geduspan</v>
      </c>
      <c r="B97" s="12">
        <f>IFERROR(VLOOKUP(A97,'Agent Sched'!$B:$C,2,),"-")</f>
        <v>0.66666666666666663</v>
      </c>
      <c r="C97" s="13">
        <f t="shared" si="58"/>
        <v>1.0416666666666665</v>
      </c>
      <c r="D97" s="12">
        <f>IFERROR(VLOOKUP(A97,'Agent Sched'!B:D,3,),"-")</f>
        <v>0.66666666666666663</v>
      </c>
      <c r="E97" s="13">
        <f t="shared" si="59"/>
        <v>1.0416666666666665</v>
      </c>
      <c r="F97" s="12">
        <f>IFERROR(VLOOKUP(A97,'Agent Sched'!B:E,4,),"-")</f>
        <v>0.66666666666666663</v>
      </c>
      <c r="G97" s="13">
        <f t="shared" si="60"/>
        <v>1.0416666666666665</v>
      </c>
      <c r="H97" s="12" t="str">
        <f>IFERROR(VLOOKUP(A97,'Agent Sched'!B:F,5,),"-")</f>
        <v>OFF</v>
      </c>
      <c r="I97" s="13" t="str">
        <f t="shared" si="61"/>
        <v>OFF</v>
      </c>
      <c r="J97" s="12">
        <f>IFERROR(VLOOKUP(A97,'Agent Sched'!B:G,6,),"-")</f>
        <v>0.66666666666666663</v>
      </c>
      <c r="K97" s="13">
        <f t="shared" si="62"/>
        <v>1.0416666666666665</v>
      </c>
      <c r="L97" s="12" t="str">
        <f>IFERROR(VLOOKUP(A97,'Agent Sched'!B:H,7,),"-")</f>
        <v>OFF</v>
      </c>
      <c r="M97" s="13" t="str">
        <f t="shared" si="63"/>
        <v>OFF</v>
      </c>
      <c r="N97" s="21">
        <f>IFERROR(VLOOKUP(A97,'Agent Sched'!B:I,8,),"-")</f>
        <v>0.66666666666666663</v>
      </c>
      <c r="O97" s="13">
        <f t="shared" si="64"/>
        <v>1.0416666666666665</v>
      </c>
      <c r="Q97" s="12">
        <f>VLOOKUP(A97,'Agent Sched'!B:Y,24,)</f>
        <v>0.66666666666666663</v>
      </c>
      <c r="R97" s="13">
        <f t="shared" si="65"/>
        <v>1.0416666666666665</v>
      </c>
      <c r="T97" s="26">
        <f>VLOOKUP(A97,'Agent Sched'!$B:$J,9,)</f>
        <v>0.66666666666666663</v>
      </c>
      <c r="U97" s="13">
        <f t="shared" si="66"/>
        <v>1.0416666666666665</v>
      </c>
      <c r="V97" s="22">
        <f>VLOOKUP(A97,'Agent Sched'!B:K,10,)</f>
        <v>0.66666666666666663</v>
      </c>
      <c r="W97" s="13">
        <f t="shared" si="67"/>
        <v>1.0416666666666665</v>
      </c>
      <c r="X97" s="22">
        <f>VLOOKUP(A97,'Agent Sched'!B:L,11,)</f>
        <v>0.66666666666666663</v>
      </c>
      <c r="Y97" s="13">
        <f t="shared" si="68"/>
        <v>1.0416666666666665</v>
      </c>
      <c r="Z97" s="22">
        <f>VLOOKUP(A97,'Agent Sched'!B:M,12,)</f>
        <v>0.66666666666666663</v>
      </c>
      <c r="AA97" s="13">
        <f t="shared" si="69"/>
        <v>1.0416666666666665</v>
      </c>
      <c r="AB97" s="22" t="str">
        <f>VLOOKUP(A97,'Agent Sched'!B:N,13,)</f>
        <v>OFF</v>
      </c>
      <c r="AC97" s="13" t="str">
        <f t="shared" si="70"/>
        <v>OFF</v>
      </c>
      <c r="AD97" s="22" t="str">
        <f>VLOOKUP(A97,'Agent Sched'!B:O,14,)</f>
        <v>OFF</v>
      </c>
      <c r="AE97" s="13" t="str">
        <f t="shared" si="71"/>
        <v>OFF</v>
      </c>
      <c r="AF97" s="24">
        <f>VLOOKUP(A97,'Agent Sched'!B:P,15,)</f>
        <v>0.66666666666666663</v>
      </c>
      <c r="AG97" s="13">
        <f t="shared" si="72"/>
        <v>1.0416666666666665</v>
      </c>
      <c r="AI97" s="26">
        <f>VLOOKUP(A97,'Agent Sched'!$B:$Q,16,)</f>
        <v>0.66666666666666663</v>
      </c>
      <c r="AJ97" s="13">
        <f t="shared" si="73"/>
        <v>1.0416666666666665</v>
      </c>
      <c r="AK97" s="22">
        <f>VLOOKUP(A97,'Agent Sched'!B:R,17,)</f>
        <v>0.66666666666666663</v>
      </c>
      <c r="AL97" s="13">
        <f t="shared" si="74"/>
        <v>1.0416666666666665</v>
      </c>
      <c r="AM97" s="22">
        <f>VLOOKUP(A97,'Agent Sched'!B:S,18,)</f>
        <v>0.66666666666666663</v>
      </c>
      <c r="AN97" s="13">
        <f t="shared" si="75"/>
        <v>1.0416666666666665</v>
      </c>
      <c r="AO97" s="22">
        <f>VLOOKUP(A97,'Agent Sched'!B:T,19,)</f>
        <v>0.66666666666666663</v>
      </c>
      <c r="AP97" s="13">
        <f t="shared" si="76"/>
        <v>1.0416666666666665</v>
      </c>
      <c r="AQ97" s="22" t="str">
        <f>VLOOKUP(A97,'Agent Sched'!B:U,20,)</f>
        <v>OFF</v>
      </c>
      <c r="AR97" s="13" t="str">
        <f t="shared" si="77"/>
        <v>OFF</v>
      </c>
      <c r="AS97" s="22" t="str">
        <f>VLOOKUP(A97,'Agent Sched'!B:V,21,)</f>
        <v>OFF</v>
      </c>
      <c r="AT97" s="13" t="str">
        <f t="shared" si="78"/>
        <v>OFF</v>
      </c>
      <c r="AU97" s="24">
        <f>VLOOKUP(A97,'Agent Sched'!B:W,22,)</f>
        <v>0.66666666666666663</v>
      </c>
      <c r="AV97" s="13">
        <f t="shared" si="79"/>
        <v>1.0416666666666665</v>
      </c>
    </row>
    <row r="98" spans="1:48" ht="15.75" thickBot="1" x14ac:dyDescent="0.3">
      <c r="A98" s="20" t="str">
        <f>IFERROR('Agent Sched'!B99,"-")</f>
        <v>Jaudian Kenneth Ian</v>
      </c>
      <c r="B98" s="12">
        <f>IFERROR(VLOOKUP(A98,'Agent Sched'!$B:$C,2,),"-")</f>
        <v>0.66666666666666663</v>
      </c>
      <c r="C98" s="13">
        <f t="shared" si="58"/>
        <v>1.0416666666666665</v>
      </c>
      <c r="D98" s="12">
        <f>IFERROR(VLOOKUP(A98,'Agent Sched'!B:D,3,),"-")</f>
        <v>0.66666666666666663</v>
      </c>
      <c r="E98" s="13">
        <f t="shared" si="59"/>
        <v>1.0416666666666665</v>
      </c>
      <c r="F98" s="12">
        <f>IFERROR(VLOOKUP(A98,'Agent Sched'!B:E,4,),"-")</f>
        <v>0.66666666666666663</v>
      </c>
      <c r="G98" s="13">
        <f t="shared" si="60"/>
        <v>1.0416666666666665</v>
      </c>
      <c r="H98" s="12" t="str">
        <f>IFERROR(VLOOKUP(A98,'Agent Sched'!B:F,5,),"-")</f>
        <v>OFF</v>
      </c>
      <c r="I98" s="13" t="str">
        <f t="shared" si="61"/>
        <v>OFF</v>
      </c>
      <c r="J98" s="12">
        <f>IFERROR(VLOOKUP(A98,'Agent Sched'!B:G,6,),"-")</f>
        <v>0.66666666666666663</v>
      </c>
      <c r="K98" s="13">
        <f t="shared" si="62"/>
        <v>1.0416666666666665</v>
      </c>
      <c r="L98" s="12" t="str">
        <f>IFERROR(VLOOKUP(A98,'Agent Sched'!B:H,7,),"-")</f>
        <v>OFF</v>
      </c>
      <c r="M98" s="13" t="str">
        <f t="shared" si="63"/>
        <v>OFF</v>
      </c>
      <c r="N98" s="21">
        <f>IFERROR(VLOOKUP(A98,'Agent Sched'!B:I,8,),"-")</f>
        <v>0.66666666666666663</v>
      </c>
      <c r="O98" s="13">
        <f t="shared" si="64"/>
        <v>1.0416666666666665</v>
      </c>
      <c r="Q98" s="12">
        <f>VLOOKUP(A98,'Agent Sched'!B:Y,24,)</f>
        <v>0.66666666666666663</v>
      </c>
      <c r="R98" s="13">
        <f t="shared" si="65"/>
        <v>1.0416666666666665</v>
      </c>
      <c r="T98" s="26">
        <f>VLOOKUP(A98,'Agent Sched'!$B:$J,9,)</f>
        <v>0.66666666666666663</v>
      </c>
      <c r="U98" s="13">
        <f t="shared" si="66"/>
        <v>1.0416666666666665</v>
      </c>
      <c r="V98" s="22">
        <f>VLOOKUP(A98,'Agent Sched'!B:K,10,)</f>
        <v>0.66666666666666663</v>
      </c>
      <c r="W98" s="13">
        <f t="shared" si="67"/>
        <v>1.0416666666666665</v>
      </c>
      <c r="X98" s="22">
        <f>VLOOKUP(A98,'Agent Sched'!B:L,11,)</f>
        <v>0.66666666666666663</v>
      </c>
      <c r="Y98" s="13">
        <f t="shared" si="68"/>
        <v>1.0416666666666665</v>
      </c>
      <c r="Z98" s="22">
        <f>VLOOKUP(A98,'Agent Sched'!B:M,12,)</f>
        <v>0.66666666666666663</v>
      </c>
      <c r="AA98" s="13">
        <f t="shared" si="69"/>
        <v>1.0416666666666665</v>
      </c>
      <c r="AB98" s="22" t="str">
        <f>VLOOKUP(A98,'Agent Sched'!B:N,13,)</f>
        <v>OFF</v>
      </c>
      <c r="AC98" s="13" t="str">
        <f t="shared" si="70"/>
        <v>OFF</v>
      </c>
      <c r="AD98" s="22" t="str">
        <f>VLOOKUP(A98,'Agent Sched'!B:O,14,)</f>
        <v>OFF</v>
      </c>
      <c r="AE98" s="13" t="str">
        <f t="shared" si="71"/>
        <v>OFF</v>
      </c>
      <c r="AF98" s="24">
        <f>VLOOKUP(A98,'Agent Sched'!B:P,15,)</f>
        <v>0.66666666666666663</v>
      </c>
      <c r="AG98" s="13">
        <f t="shared" si="72"/>
        <v>1.0416666666666665</v>
      </c>
      <c r="AI98" s="26">
        <f>VLOOKUP(A98,'Agent Sched'!$B:$Q,16,)</f>
        <v>0.66666666666666663</v>
      </c>
      <c r="AJ98" s="13">
        <f t="shared" si="73"/>
        <v>1.0416666666666665</v>
      </c>
      <c r="AK98" s="22">
        <f>VLOOKUP(A98,'Agent Sched'!B:R,17,)</f>
        <v>0.66666666666666663</v>
      </c>
      <c r="AL98" s="13">
        <f t="shared" si="74"/>
        <v>1.0416666666666665</v>
      </c>
      <c r="AM98" s="22">
        <f>VLOOKUP(A98,'Agent Sched'!B:S,18,)</f>
        <v>0.66666666666666663</v>
      </c>
      <c r="AN98" s="13">
        <f t="shared" si="75"/>
        <v>1.0416666666666665</v>
      </c>
      <c r="AO98" s="22">
        <f>VLOOKUP(A98,'Agent Sched'!B:T,19,)</f>
        <v>0.66666666666666663</v>
      </c>
      <c r="AP98" s="13">
        <f t="shared" si="76"/>
        <v>1.0416666666666665</v>
      </c>
      <c r="AQ98" s="22" t="str">
        <f>VLOOKUP(A98,'Agent Sched'!B:U,20,)</f>
        <v>OFF</v>
      </c>
      <c r="AR98" s="13" t="str">
        <f t="shared" si="77"/>
        <v>OFF</v>
      </c>
      <c r="AS98" s="22" t="str">
        <f>VLOOKUP(A98,'Agent Sched'!B:V,21,)</f>
        <v>OFF</v>
      </c>
      <c r="AT98" s="13" t="str">
        <f t="shared" si="78"/>
        <v>OFF</v>
      </c>
      <c r="AU98" s="24">
        <f>VLOOKUP(A98,'Agent Sched'!B:W,22,)</f>
        <v>0.66666666666666663</v>
      </c>
      <c r="AV98" s="13">
        <f t="shared" si="79"/>
        <v>1.0416666666666665</v>
      </c>
    </row>
    <row r="99" spans="1:48" ht="15.75" thickBot="1" x14ac:dyDescent="0.3">
      <c r="A99" s="20" t="str">
        <f>IFERROR('Agent Sched'!B100,"-")</f>
        <v>Regina Angelica Duguran</v>
      </c>
      <c r="B99" s="12">
        <f>IFERROR(VLOOKUP(A99,'Agent Sched'!$B:$C,2,),"-")</f>
        <v>0.66666666666666663</v>
      </c>
      <c r="C99" s="13">
        <f t="shared" si="58"/>
        <v>1.0416666666666665</v>
      </c>
      <c r="D99" s="12">
        <f>IFERROR(VLOOKUP(A99,'Agent Sched'!B:D,3,),"-")</f>
        <v>0.66666666666666663</v>
      </c>
      <c r="E99" s="13">
        <f t="shared" si="59"/>
        <v>1.0416666666666665</v>
      </c>
      <c r="F99" s="12">
        <f>IFERROR(VLOOKUP(A99,'Agent Sched'!B:E,4,),"-")</f>
        <v>0.66666666666666663</v>
      </c>
      <c r="G99" s="13">
        <f t="shared" si="60"/>
        <v>1.0416666666666665</v>
      </c>
      <c r="H99" s="12" t="str">
        <f>IFERROR(VLOOKUP(A99,'Agent Sched'!B:F,5,),"-")</f>
        <v>OFF</v>
      </c>
      <c r="I99" s="13" t="str">
        <f t="shared" si="61"/>
        <v>OFF</v>
      </c>
      <c r="J99" s="12">
        <f>IFERROR(VLOOKUP(A99,'Agent Sched'!B:G,6,),"-")</f>
        <v>0.66666666666666663</v>
      </c>
      <c r="K99" s="13">
        <f t="shared" si="62"/>
        <v>1.0416666666666665</v>
      </c>
      <c r="L99" s="12" t="str">
        <f>IFERROR(VLOOKUP(A99,'Agent Sched'!B:H,7,),"-")</f>
        <v>OFF</v>
      </c>
      <c r="M99" s="13" t="str">
        <f t="shared" si="63"/>
        <v>OFF</v>
      </c>
      <c r="N99" s="21">
        <f>IFERROR(VLOOKUP(A99,'Agent Sched'!B:I,8,),"-")</f>
        <v>0.66666666666666663</v>
      </c>
      <c r="O99" s="13">
        <f t="shared" si="64"/>
        <v>1.0416666666666665</v>
      </c>
      <c r="Q99" s="12">
        <f>VLOOKUP(A99,'Agent Sched'!B:Y,24,)</f>
        <v>0.66666666666666663</v>
      </c>
      <c r="R99" s="13">
        <f t="shared" si="65"/>
        <v>1.0416666666666665</v>
      </c>
      <c r="T99" s="26">
        <f>VLOOKUP(A99,'Agent Sched'!$B:$J,9,)</f>
        <v>0.66666666666666663</v>
      </c>
      <c r="U99" s="13">
        <f t="shared" si="66"/>
        <v>1.0416666666666665</v>
      </c>
      <c r="V99" s="22">
        <f>VLOOKUP(A99,'Agent Sched'!B:K,10,)</f>
        <v>0.66666666666666663</v>
      </c>
      <c r="W99" s="13">
        <f t="shared" si="67"/>
        <v>1.0416666666666665</v>
      </c>
      <c r="X99" s="22">
        <f>VLOOKUP(A99,'Agent Sched'!B:L,11,)</f>
        <v>0.66666666666666663</v>
      </c>
      <c r="Y99" s="13">
        <f t="shared" si="68"/>
        <v>1.0416666666666665</v>
      </c>
      <c r="Z99" s="22">
        <f>VLOOKUP(A99,'Agent Sched'!B:M,12,)</f>
        <v>0.66666666666666663</v>
      </c>
      <c r="AA99" s="13">
        <f t="shared" si="69"/>
        <v>1.0416666666666665</v>
      </c>
      <c r="AB99" s="22" t="str">
        <f>VLOOKUP(A99,'Agent Sched'!B:N,13,)</f>
        <v>OFF</v>
      </c>
      <c r="AC99" s="13" t="str">
        <f t="shared" si="70"/>
        <v>OFF</v>
      </c>
      <c r="AD99" s="22" t="str">
        <f>VLOOKUP(A99,'Agent Sched'!B:O,14,)</f>
        <v>OFF</v>
      </c>
      <c r="AE99" s="13" t="str">
        <f t="shared" si="71"/>
        <v>OFF</v>
      </c>
      <c r="AF99" s="24">
        <f>VLOOKUP(A99,'Agent Sched'!B:P,15,)</f>
        <v>0.66666666666666663</v>
      </c>
      <c r="AG99" s="13">
        <f t="shared" si="72"/>
        <v>1.0416666666666665</v>
      </c>
      <c r="AI99" s="26">
        <f>VLOOKUP(A99,'Agent Sched'!$B:$Q,16,)</f>
        <v>0.66666666666666663</v>
      </c>
      <c r="AJ99" s="13">
        <f t="shared" si="73"/>
        <v>1.0416666666666665</v>
      </c>
      <c r="AK99" s="22">
        <f>VLOOKUP(A99,'Agent Sched'!B:R,17,)</f>
        <v>0.66666666666666663</v>
      </c>
      <c r="AL99" s="13">
        <f t="shared" si="74"/>
        <v>1.0416666666666665</v>
      </c>
      <c r="AM99" s="22">
        <f>VLOOKUP(A99,'Agent Sched'!B:S,18,)</f>
        <v>0.66666666666666663</v>
      </c>
      <c r="AN99" s="13">
        <f t="shared" si="75"/>
        <v>1.0416666666666665</v>
      </c>
      <c r="AO99" s="22">
        <f>VLOOKUP(A99,'Agent Sched'!B:T,19,)</f>
        <v>0.66666666666666663</v>
      </c>
      <c r="AP99" s="13">
        <f t="shared" si="76"/>
        <v>1.0416666666666665</v>
      </c>
      <c r="AQ99" s="22" t="str">
        <f>VLOOKUP(A99,'Agent Sched'!B:U,20,)</f>
        <v>OFF</v>
      </c>
      <c r="AR99" s="13" t="str">
        <f t="shared" si="77"/>
        <v>OFF</v>
      </c>
      <c r="AS99" s="22" t="str">
        <f>VLOOKUP(A99,'Agent Sched'!B:V,21,)</f>
        <v>OFF</v>
      </c>
      <c r="AT99" s="13" t="str">
        <f t="shared" si="78"/>
        <v>OFF</v>
      </c>
      <c r="AU99" s="24">
        <f>VLOOKUP(A99,'Agent Sched'!B:W,22,)</f>
        <v>0.66666666666666663</v>
      </c>
      <c r="AV99" s="13">
        <f t="shared" si="79"/>
        <v>1.0416666666666665</v>
      </c>
    </row>
    <row r="100" spans="1:48" ht="15.75" thickBot="1" x14ac:dyDescent="0.3">
      <c r="A100" s="20" t="str">
        <f>IFERROR('Agent Sched'!B101,"-")</f>
        <v>Annie Lyn  Dormido</v>
      </c>
      <c r="B100" s="12" t="str">
        <f>IFERROR(VLOOKUP(A100,'Agent Sched'!$B:$C,2,),"-")</f>
        <v>OFF</v>
      </c>
      <c r="C100" s="13" t="str">
        <f t="shared" ref="C100:C121" si="80">IFERROR(IF(B100="PTO","PTO",IF(B100="OFF","OFF", B100 + TIME(9,0,0))),"-")</f>
        <v>OFF</v>
      </c>
      <c r="D100" s="12" t="str">
        <f>IFERROR(VLOOKUP(A100,'Agent Sched'!B:D,3,),"-")</f>
        <v>OFF</v>
      </c>
      <c r="E100" s="13" t="str">
        <f t="shared" ref="E100:E121" si="81">IFERROR(IF(D100="PTO","PTO",IF(D100="OFF","OFF", D100 + TIME(9,0,0))),"-")</f>
        <v>OFF</v>
      </c>
      <c r="F100" s="12" t="str">
        <f>IFERROR(VLOOKUP(A100,'Agent Sched'!B:E,4,),"-")</f>
        <v>OFF</v>
      </c>
      <c r="G100" s="13" t="str">
        <f t="shared" ref="G100:G121" si="82">IFERROR(IF(F100="PTO","PTO",IF(F100="OFF","OFF", F100 + TIME(9,0,0))),"-")</f>
        <v>OFF</v>
      </c>
      <c r="H100" s="12">
        <f>IFERROR(VLOOKUP(A100,'Agent Sched'!B:F,5,),"-")</f>
        <v>0.66666666666666663</v>
      </c>
      <c r="I100" s="13">
        <f t="shared" ref="I100:I121" si="83">IFERROR(IF(H100="PTO","PTO",IF(H100="OFF","OFF", H100 + TIME(9,0,0))),"-")</f>
        <v>1.0416666666666665</v>
      </c>
      <c r="J100" s="12" t="str">
        <f>IFERROR(VLOOKUP(A100,'Agent Sched'!B:G,6,),"-")</f>
        <v>OFF</v>
      </c>
      <c r="K100" s="13" t="str">
        <f t="shared" ref="K100:K121" si="84">IFERROR(IF(J100="PTO","PTO",IF(J100="OFF","OFF", J100 + TIME(9,0,0))),"-")</f>
        <v>OFF</v>
      </c>
      <c r="L100" s="12">
        <f>IFERROR(VLOOKUP(A100,'Agent Sched'!B:H,7,),"-")</f>
        <v>0.66666666666666663</v>
      </c>
      <c r="M100" s="13">
        <f t="shared" ref="M100:M121" si="85">IFERROR(IF(L100="PTO","PTO",IF(L100="OFF","OFF", L100 + TIME(9,0,0))),"-")</f>
        <v>1.0416666666666665</v>
      </c>
      <c r="N100" s="21">
        <f>IFERROR(VLOOKUP(A100,'Agent Sched'!B:I,8,),"-")</f>
        <v>0.66666666666666663</v>
      </c>
      <c r="O100" s="13">
        <f t="shared" ref="O100:O121" si="86">IFERROR(IF(N100="PTO","PTO",IF(N100="OFF","OFF", N100 + TIME(9,0,0))),"-")</f>
        <v>1.0416666666666665</v>
      </c>
      <c r="Q100" s="12" t="str">
        <f>VLOOKUP(A100,'Agent Sched'!B:Y,24,)</f>
        <v>OFF</v>
      </c>
      <c r="R100" s="13" t="str">
        <f t="shared" ref="R100:R121" si="87">IFERROR(IF(Q100="PTO","PTO",IF(Q100="OFF","OFF", Q100 + TIME(9,0,0))),"-")</f>
        <v>OFF</v>
      </c>
      <c r="T100" s="26" t="str">
        <f>VLOOKUP(A100,'Agent Sched'!$B:$J,9,)</f>
        <v>OFF</v>
      </c>
      <c r="U100" s="13" t="str">
        <f t="shared" ref="U100:U121" si="88">IFERROR(IF(T100="PTO","PTO",IF(T100="OFF","OFF", T100 + TIME(9,0,0))),"-")</f>
        <v>OFF</v>
      </c>
      <c r="V100" s="22">
        <f>VLOOKUP(A100,'Agent Sched'!B:K,10,)</f>
        <v>0.66666666666666663</v>
      </c>
      <c r="W100" s="13">
        <f t="shared" ref="W100:W121" si="89">IFERROR(IF(V100="PTO","PTO",IF(V100="OFF","OFF", V100 + TIME(9,0,0))),"-")</f>
        <v>1.0416666666666665</v>
      </c>
      <c r="X100" s="22">
        <f>VLOOKUP(A100,'Agent Sched'!B:L,11,)</f>
        <v>0.66666666666666663</v>
      </c>
      <c r="Y100" s="13">
        <f t="shared" ref="Y100:Y121" si="90">IFERROR(IF(X100="PTO","PTO",IF(X100="OFF","OFF", X100 + TIME(9,0,0))),"-")</f>
        <v>1.0416666666666665</v>
      </c>
      <c r="Z100" s="22">
        <f>VLOOKUP(A100,'Agent Sched'!B:M,12,)</f>
        <v>0.66666666666666663</v>
      </c>
      <c r="AA100" s="13">
        <f t="shared" ref="AA100:AA121" si="91">IFERROR(IF(Z100="PTO","PTO",IF(Z100="OFF","OFF", Z100 + TIME(9,0,0))),"-")</f>
        <v>1.0416666666666665</v>
      </c>
      <c r="AB100" s="22" t="str">
        <f>VLOOKUP(A100,'Agent Sched'!B:N,13,)</f>
        <v>OFF</v>
      </c>
      <c r="AC100" s="13" t="str">
        <f t="shared" ref="AC100:AC121" si="92">IFERROR(IF(AB100="PTO","PTO",IF(AB100="OFF","OFF", AB100 + TIME(9,0,0))),"-")</f>
        <v>OFF</v>
      </c>
      <c r="AD100" s="22">
        <f>VLOOKUP(A100,'Agent Sched'!B:O,14,)</f>
        <v>0.66666666666666663</v>
      </c>
      <c r="AE100" s="13">
        <f t="shared" ref="AE100:AE121" si="93">IFERROR(IF(AD100="PTO","PTO",IF(AD100="OFF","OFF", AD100 + TIME(9,0,0))),"-")</f>
        <v>1.0416666666666665</v>
      </c>
      <c r="AF100" s="24">
        <f>VLOOKUP(A100,'Agent Sched'!B:P,15,)</f>
        <v>0.66666666666666663</v>
      </c>
      <c r="AG100" s="13">
        <f t="shared" ref="AG100:AG121" si="94">IFERROR(IF(AF100="PTO","PTO",IF(AF100="OFF","OFF", AF100 + TIME(9,0,0))),"-")</f>
        <v>1.0416666666666665</v>
      </c>
      <c r="AI100" s="26" t="str">
        <f>VLOOKUP(A100,'Agent Sched'!$B:$Q,16,)</f>
        <v>OFF</v>
      </c>
      <c r="AJ100" s="13" t="str">
        <f t="shared" ref="AJ100:AJ121" si="95">IFERROR(IF(AI100="PTO","PTO",IF(AI100="OFF","OFF", AI100 + TIME(9,0,0))),"-")</f>
        <v>OFF</v>
      </c>
      <c r="AK100" s="22">
        <f>VLOOKUP(A100,'Agent Sched'!B:R,17,)</f>
        <v>0.66666666666666663</v>
      </c>
      <c r="AL100" s="13">
        <f t="shared" ref="AL100:AL121" si="96">IFERROR(IF(AK100="PTO","PTO",IF(AK100="OFF","OFF", AK100 + TIME(9,0,0))),"-")</f>
        <v>1.0416666666666665</v>
      </c>
      <c r="AM100" s="22">
        <f>VLOOKUP(A100,'Agent Sched'!B:S,18,)</f>
        <v>0.66666666666666663</v>
      </c>
      <c r="AN100" s="13">
        <f t="shared" ref="AN100:AN121" si="97">IFERROR(IF(AM100="PTO","PTO",IF(AM100="OFF","OFF", AM100 + TIME(9,0,0))),"-")</f>
        <v>1.0416666666666665</v>
      </c>
      <c r="AO100" s="22">
        <f>VLOOKUP(A100,'Agent Sched'!B:T,19,)</f>
        <v>0.66666666666666663</v>
      </c>
      <c r="AP100" s="13">
        <f t="shared" ref="AP100:AP121" si="98">IFERROR(IF(AO100="PTO","PTO",IF(AO100="OFF","OFF", AO100 + TIME(9,0,0))),"-")</f>
        <v>1.0416666666666665</v>
      </c>
      <c r="AQ100" s="22" t="str">
        <f>VLOOKUP(A100,'Agent Sched'!B:U,20,)</f>
        <v>OFF</v>
      </c>
      <c r="AR100" s="13" t="str">
        <f t="shared" ref="AR100:AR121" si="99">IFERROR(IF(AQ100="PTO","PTO",IF(AQ100="OFF","OFF", AQ100 + TIME(9,0,0))),"-")</f>
        <v>OFF</v>
      </c>
      <c r="AS100" s="22">
        <f>VLOOKUP(A100,'Agent Sched'!B:V,21,)</f>
        <v>0.66666666666666663</v>
      </c>
      <c r="AT100" s="13">
        <f t="shared" ref="AT100:AT121" si="100">IFERROR(IF(AS100="PTO","PTO",IF(AS100="OFF","OFF", AS100 + TIME(9,0,0))),"-")</f>
        <v>1.0416666666666665</v>
      </c>
      <c r="AU100" s="24">
        <f>VLOOKUP(A100,'Agent Sched'!B:W,22,)</f>
        <v>0.66666666666666663</v>
      </c>
      <c r="AV100" s="13">
        <f t="shared" ref="AV100:AV121" si="101">IFERROR(IF(AU100="PTO","PTO",IF(AU100="OFF","OFF", AU100 + TIME(9,0,0))),"-")</f>
        <v>1.0416666666666665</v>
      </c>
    </row>
    <row r="101" spans="1:48" ht="15.75" thickBot="1" x14ac:dyDescent="0.3">
      <c r="A101" s="20" t="str">
        <f>IFERROR('Agent Sched'!B102,"-")</f>
        <v>Lolette Annie Escobido</v>
      </c>
      <c r="B101" s="12">
        <f>IFERROR(VLOOKUP(A101,'Agent Sched'!$B:$C,2,),"-")</f>
        <v>0.66666666666666663</v>
      </c>
      <c r="C101" s="13">
        <f t="shared" si="80"/>
        <v>1.0416666666666665</v>
      </c>
      <c r="D101" s="12">
        <f>IFERROR(VLOOKUP(A101,'Agent Sched'!B:D,3,),"-")</f>
        <v>0.66666666666666663</v>
      </c>
      <c r="E101" s="13">
        <f t="shared" si="81"/>
        <v>1.0416666666666665</v>
      </c>
      <c r="F101" s="12">
        <f>IFERROR(VLOOKUP(A101,'Agent Sched'!B:E,4,),"-")</f>
        <v>0.66666666666666663</v>
      </c>
      <c r="G101" s="13">
        <f t="shared" si="82"/>
        <v>1.0416666666666665</v>
      </c>
      <c r="H101" s="12" t="str">
        <f>IFERROR(VLOOKUP(A101,'Agent Sched'!B:F,5,),"-")</f>
        <v>OFF</v>
      </c>
      <c r="I101" s="13" t="str">
        <f t="shared" si="83"/>
        <v>OFF</v>
      </c>
      <c r="J101" s="12">
        <f>IFERROR(VLOOKUP(A101,'Agent Sched'!B:G,6,),"-")</f>
        <v>0.66666666666666663</v>
      </c>
      <c r="K101" s="13">
        <f t="shared" si="84"/>
        <v>1.0416666666666665</v>
      </c>
      <c r="L101" s="12" t="str">
        <f>IFERROR(VLOOKUP(A101,'Agent Sched'!B:H,7,),"-")</f>
        <v>OFF</v>
      </c>
      <c r="M101" s="13" t="str">
        <f t="shared" si="85"/>
        <v>OFF</v>
      </c>
      <c r="N101" s="21">
        <f>IFERROR(VLOOKUP(A101,'Agent Sched'!B:I,8,),"-")</f>
        <v>0.66666666666666663</v>
      </c>
      <c r="O101" s="13">
        <f t="shared" si="86"/>
        <v>1.0416666666666665</v>
      </c>
      <c r="Q101" s="12">
        <f>VLOOKUP(A101,'Agent Sched'!B:Y,24,)</f>
        <v>0.66666666666666663</v>
      </c>
      <c r="R101" s="13">
        <f t="shared" si="87"/>
        <v>1.0416666666666665</v>
      </c>
      <c r="T101" s="26">
        <f>VLOOKUP(A101,'Agent Sched'!$B:$J,9,)</f>
        <v>0.66666666666666663</v>
      </c>
      <c r="U101" s="13">
        <f t="shared" si="88"/>
        <v>1.0416666666666665</v>
      </c>
      <c r="V101" s="22">
        <f>VLOOKUP(A101,'Agent Sched'!B:K,10,)</f>
        <v>0.66666666666666663</v>
      </c>
      <c r="W101" s="13">
        <f t="shared" si="89"/>
        <v>1.0416666666666665</v>
      </c>
      <c r="X101" s="22">
        <f>VLOOKUP(A101,'Agent Sched'!B:L,11,)</f>
        <v>0.66666666666666663</v>
      </c>
      <c r="Y101" s="13">
        <f t="shared" si="90"/>
        <v>1.0416666666666665</v>
      </c>
      <c r="Z101" s="22">
        <f>VLOOKUP(A101,'Agent Sched'!B:M,12,)</f>
        <v>0.66666666666666663</v>
      </c>
      <c r="AA101" s="13">
        <f t="shared" si="91"/>
        <v>1.0416666666666665</v>
      </c>
      <c r="AB101" s="22" t="str">
        <f>VLOOKUP(A101,'Agent Sched'!B:N,13,)</f>
        <v>OFF</v>
      </c>
      <c r="AC101" s="13" t="str">
        <f t="shared" si="92"/>
        <v>OFF</v>
      </c>
      <c r="AD101" s="22" t="str">
        <f>VLOOKUP(A101,'Agent Sched'!B:O,14,)</f>
        <v>OFF</v>
      </c>
      <c r="AE101" s="13" t="str">
        <f t="shared" si="93"/>
        <v>OFF</v>
      </c>
      <c r="AF101" s="24">
        <f>VLOOKUP(A101,'Agent Sched'!B:P,15,)</f>
        <v>0.66666666666666663</v>
      </c>
      <c r="AG101" s="13">
        <f t="shared" si="94"/>
        <v>1.0416666666666665</v>
      </c>
      <c r="AI101" s="26">
        <f>VLOOKUP(A101,'Agent Sched'!$B:$Q,16,)</f>
        <v>0.66666666666666663</v>
      </c>
      <c r="AJ101" s="13">
        <f t="shared" si="95"/>
        <v>1.0416666666666665</v>
      </c>
      <c r="AK101" s="22">
        <f>VLOOKUP(A101,'Agent Sched'!B:R,17,)</f>
        <v>0.66666666666666663</v>
      </c>
      <c r="AL101" s="13">
        <f t="shared" si="96"/>
        <v>1.0416666666666665</v>
      </c>
      <c r="AM101" s="22">
        <f>VLOOKUP(A101,'Agent Sched'!B:S,18,)</f>
        <v>0.66666666666666663</v>
      </c>
      <c r="AN101" s="13">
        <f t="shared" si="97"/>
        <v>1.0416666666666665</v>
      </c>
      <c r="AO101" s="22">
        <f>VLOOKUP(A101,'Agent Sched'!B:T,19,)</f>
        <v>0.66666666666666663</v>
      </c>
      <c r="AP101" s="13">
        <f t="shared" si="98"/>
        <v>1.0416666666666665</v>
      </c>
      <c r="AQ101" s="22" t="str">
        <f>VLOOKUP(A101,'Agent Sched'!B:U,20,)</f>
        <v>OFF</v>
      </c>
      <c r="AR101" s="13" t="str">
        <f t="shared" si="99"/>
        <v>OFF</v>
      </c>
      <c r="AS101" s="22" t="str">
        <f>VLOOKUP(A101,'Agent Sched'!B:V,21,)</f>
        <v>OFF</v>
      </c>
      <c r="AT101" s="13" t="str">
        <f t="shared" si="100"/>
        <v>OFF</v>
      </c>
      <c r="AU101" s="24">
        <f>VLOOKUP(A101,'Agent Sched'!B:W,22,)</f>
        <v>0.66666666666666663</v>
      </c>
      <c r="AV101" s="13">
        <f t="shared" si="101"/>
        <v>1.0416666666666665</v>
      </c>
    </row>
    <row r="102" spans="1:48" ht="15.75" thickBot="1" x14ac:dyDescent="0.3">
      <c r="A102" s="20" t="str">
        <f>IFERROR('Agent Sched'!B103,"-")</f>
        <v>Delia de la Torre</v>
      </c>
      <c r="B102" s="12">
        <f>IFERROR(VLOOKUP(A102,'Agent Sched'!$B:$C,2,),"-")</f>
        <v>0.66666666666666663</v>
      </c>
      <c r="C102" s="13">
        <f t="shared" si="80"/>
        <v>1.0416666666666665</v>
      </c>
      <c r="D102" s="12">
        <f>IFERROR(VLOOKUP(A102,'Agent Sched'!B:D,3,),"-")</f>
        <v>0.66666666666666663</v>
      </c>
      <c r="E102" s="13">
        <f t="shared" si="81"/>
        <v>1.0416666666666665</v>
      </c>
      <c r="F102" s="12">
        <f>IFERROR(VLOOKUP(A102,'Agent Sched'!B:E,4,),"-")</f>
        <v>0.66666666666666663</v>
      </c>
      <c r="G102" s="13">
        <f t="shared" si="82"/>
        <v>1.0416666666666665</v>
      </c>
      <c r="H102" s="12" t="str">
        <f>IFERROR(VLOOKUP(A102,'Agent Sched'!B:F,5,),"-")</f>
        <v>OFF</v>
      </c>
      <c r="I102" s="13" t="str">
        <f t="shared" si="83"/>
        <v>OFF</v>
      </c>
      <c r="J102" s="12">
        <f>IFERROR(VLOOKUP(A102,'Agent Sched'!B:G,6,),"-")</f>
        <v>0.66666666666666663</v>
      </c>
      <c r="K102" s="13">
        <f t="shared" si="84"/>
        <v>1.0416666666666665</v>
      </c>
      <c r="L102" s="12" t="str">
        <f>IFERROR(VLOOKUP(A102,'Agent Sched'!B:H,7,),"-")</f>
        <v>OFF</v>
      </c>
      <c r="M102" s="13" t="str">
        <f t="shared" si="85"/>
        <v>OFF</v>
      </c>
      <c r="N102" s="21">
        <f>IFERROR(VLOOKUP(A102,'Agent Sched'!B:I,8,),"-")</f>
        <v>0.66666666666666663</v>
      </c>
      <c r="O102" s="13">
        <f t="shared" si="86"/>
        <v>1.0416666666666665</v>
      </c>
      <c r="Q102" s="12">
        <f>VLOOKUP(A102,'Agent Sched'!B:Y,24,)</f>
        <v>0.66666666666666663</v>
      </c>
      <c r="R102" s="13">
        <f t="shared" si="87"/>
        <v>1.0416666666666665</v>
      </c>
      <c r="T102" s="26">
        <f>VLOOKUP(A102,'Agent Sched'!$B:$J,9,)</f>
        <v>0.66666666666666663</v>
      </c>
      <c r="U102" s="13">
        <f t="shared" si="88"/>
        <v>1.0416666666666665</v>
      </c>
      <c r="V102" s="22">
        <f>VLOOKUP(A102,'Agent Sched'!B:K,10,)</f>
        <v>0.66666666666666663</v>
      </c>
      <c r="W102" s="13">
        <f t="shared" si="89"/>
        <v>1.0416666666666665</v>
      </c>
      <c r="X102" s="22">
        <f>VLOOKUP(A102,'Agent Sched'!B:L,11,)</f>
        <v>0.66666666666666663</v>
      </c>
      <c r="Y102" s="13">
        <f t="shared" si="90"/>
        <v>1.0416666666666665</v>
      </c>
      <c r="Z102" s="22">
        <f>VLOOKUP(A102,'Agent Sched'!B:M,12,)</f>
        <v>0.66666666666666663</v>
      </c>
      <c r="AA102" s="13">
        <f t="shared" si="91"/>
        <v>1.0416666666666665</v>
      </c>
      <c r="AB102" s="22" t="str">
        <f>VLOOKUP(A102,'Agent Sched'!B:N,13,)</f>
        <v>OFF</v>
      </c>
      <c r="AC102" s="13" t="str">
        <f t="shared" si="92"/>
        <v>OFF</v>
      </c>
      <c r="AD102" s="22" t="str">
        <f>VLOOKUP(A102,'Agent Sched'!B:O,14,)</f>
        <v>OFF</v>
      </c>
      <c r="AE102" s="13" t="str">
        <f t="shared" si="93"/>
        <v>OFF</v>
      </c>
      <c r="AF102" s="24">
        <f>VLOOKUP(A102,'Agent Sched'!B:P,15,)</f>
        <v>0.66666666666666663</v>
      </c>
      <c r="AG102" s="13">
        <f t="shared" si="94"/>
        <v>1.0416666666666665</v>
      </c>
      <c r="AI102" s="26">
        <f>VLOOKUP(A102,'Agent Sched'!$B:$Q,16,)</f>
        <v>0.66666666666666663</v>
      </c>
      <c r="AJ102" s="13">
        <f t="shared" si="95"/>
        <v>1.0416666666666665</v>
      </c>
      <c r="AK102" s="22">
        <f>VLOOKUP(A102,'Agent Sched'!B:R,17,)</f>
        <v>0.66666666666666663</v>
      </c>
      <c r="AL102" s="13">
        <f t="shared" si="96"/>
        <v>1.0416666666666665</v>
      </c>
      <c r="AM102" s="22">
        <f>VLOOKUP(A102,'Agent Sched'!B:S,18,)</f>
        <v>0.66666666666666663</v>
      </c>
      <c r="AN102" s="13">
        <f t="shared" si="97"/>
        <v>1.0416666666666665</v>
      </c>
      <c r="AO102" s="22">
        <f>VLOOKUP(A102,'Agent Sched'!B:T,19,)</f>
        <v>0.66666666666666663</v>
      </c>
      <c r="AP102" s="13">
        <f t="shared" si="98"/>
        <v>1.0416666666666665</v>
      </c>
      <c r="AQ102" s="22" t="str">
        <f>VLOOKUP(A102,'Agent Sched'!B:U,20,)</f>
        <v>OFF</v>
      </c>
      <c r="AR102" s="13" t="str">
        <f t="shared" si="99"/>
        <v>OFF</v>
      </c>
      <c r="AS102" s="22" t="str">
        <f>VLOOKUP(A102,'Agent Sched'!B:V,21,)</f>
        <v>OFF</v>
      </c>
      <c r="AT102" s="13" t="str">
        <f t="shared" si="100"/>
        <v>OFF</v>
      </c>
      <c r="AU102" s="24">
        <f>VLOOKUP(A102,'Agent Sched'!B:W,22,)</f>
        <v>0.66666666666666663</v>
      </c>
      <c r="AV102" s="13">
        <f t="shared" si="101"/>
        <v>1.0416666666666665</v>
      </c>
    </row>
    <row r="103" spans="1:48" ht="15.75" thickBot="1" x14ac:dyDescent="0.3">
      <c r="A103" s="20" t="str">
        <f>IFERROR('Agent Sched'!B104,"-")</f>
        <v>Giline Javellana</v>
      </c>
      <c r="B103" s="12">
        <f>IFERROR(VLOOKUP(A103,'Agent Sched'!$B:$C,2,),"-")</f>
        <v>0.625</v>
      </c>
      <c r="C103" s="13">
        <f t="shared" si="80"/>
        <v>1</v>
      </c>
      <c r="D103" s="12">
        <f>IFERROR(VLOOKUP(A103,'Agent Sched'!B:D,3,),"-")</f>
        <v>0.625</v>
      </c>
      <c r="E103" s="13">
        <f t="shared" si="81"/>
        <v>1</v>
      </c>
      <c r="F103" s="12" t="str">
        <f>IFERROR(VLOOKUP(A103,'Agent Sched'!B:E,4,),"-")</f>
        <v>OFF</v>
      </c>
      <c r="G103" s="13" t="str">
        <f t="shared" si="82"/>
        <v>OFF</v>
      </c>
      <c r="H103" s="12">
        <f>IFERROR(VLOOKUP(A103,'Agent Sched'!B:F,5,),"-")</f>
        <v>0.625</v>
      </c>
      <c r="I103" s="13">
        <f t="shared" si="83"/>
        <v>1</v>
      </c>
      <c r="J103" s="12">
        <f>IFERROR(VLOOKUP(A103,'Agent Sched'!B:G,6,),"-")</f>
        <v>0.625</v>
      </c>
      <c r="K103" s="13">
        <f t="shared" si="84"/>
        <v>1</v>
      </c>
      <c r="L103" s="12">
        <f>IFERROR(VLOOKUP(A103,'Agent Sched'!B:H,7,),"-")</f>
        <v>0.625</v>
      </c>
      <c r="M103" s="13">
        <f t="shared" si="85"/>
        <v>1</v>
      </c>
      <c r="N103" s="21" t="str">
        <f>IFERROR(VLOOKUP(A103,'Agent Sched'!B:I,8,),"-")</f>
        <v>OFF</v>
      </c>
      <c r="O103" s="13" t="str">
        <f t="shared" si="86"/>
        <v>OFF</v>
      </c>
      <c r="Q103" s="12">
        <f>VLOOKUP(A103,'Agent Sched'!B:Y,24,)</f>
        <v>0.625</v>
      </c>
      <c r="R103" s="13">
        <f t="shared" si="87"/>
        <v>1</v>
      </c>
      <c r="T103" s="26" t="str">
        <f>VLOOKUP(A103,'Agent Sched'!$B:$J,9,)</f>
        <v>OFF</v>
      </c>
      <c r="U103" s="13" t="str">
        <f t="shared" si="88"/>
        <v>OFF</v>
      </c>
      <c r="V103" s="22">
        <f>VLOOKUP(A103,'Agent Sched'!B:K,10,)</f>
        <v>0.625</v>
      </c>
      <c r="W103" s="13">
        <f t="shared" si="89"/>
        <v>1</v>
      </c>
      <c r="X103" s="22">
        <f>VLOOKUP(A103,'Agent Sched'!B:L,11,)</f>
        <v>0.625</v>
      </c>
      <c r="Y103" s="13">
        <f t="shared" si="90"/>
        <v>1</v>
      </c>
      <c r="Z103" s="22">
        <f>VLOOKUP(A103,'Agent Sched'!B:M,12,)</f>
        <v>0.625</v>
      </c>
      <c r="AA103" s="13">
        <f t="shared" si="91"/>
        <v>1</v>
      </c>
      <c r="AB103" s="22">
        <f>VLOOKUP(A103,'Agent Sched'!B:N,13,)</f>
        <v>0.625</v>
      </c>
      <c r="AC103" s="13">
        <f t="shared" si="92"/>
        <v>1</v>
      </c>
      <c r="AD103" s="22">
        <f>VLOOKUP(A103,'Agent Sched'!B:O,14,)</f>
        <v>0.625</v>
      </c>
      <c r="AE103" s="13">
        <f t="shared" si="93"/>
        <v>1</v>
      </c>
      <c r="AF103" s="24" t="str">
        <f>VLOOKUP(A103,'Agent Sched'!B:P,15,)</f>
        <v>OFF</v>
      </c>
      <c r="AG103" s="13" t="str">
        <f t="shared" si="94"/>
        <v>OFF</v>
      </c>
      <c r="AI103" s="26" t="str">
        <f>VLOOKUP(A103,'Agent Sched'!$B:$Q,16,)</f>
        <v>OFF</v>
      </c>
      <c r="AJ103" s="13" t="str">
        <f t="shared" si="95"/>
        <v>OFF</v>
      </c>
      <c r="AK103" s="22">
        <f>VLOOKUP(A103,'Agent Sched'!B:R,17,)</f>
        <v>0.625</v>
      </c>
      <c r="AL103" s="13">
        <f t="shared" si="96"/>
        <v>1</v>
      </c>
      <c r="AM103" s="22">
        <f>VLOOKUP(A103,'Agent Sched'!B:S,18,)</f>
        <v>0.625</v>
      </c>
      <c r="AN103" s="13">
        <f t="shared" si="97"/>
        <v>1</v>
      </c>
      <c r="AO103" s="22">
        <f>VLOOKUP(A103,'Agent Sched'!B:T,19,)</f>
        <v>0.625</v>
      </c>
      <c r="AP103" s="13">
        <f t="shared" si="98"/>
        <v>1</v>
      </c>
      <c r="AQ103" s="22">
        <f>VLOOKUP(A103,'Agent Sched'!B:U,20,)</f>
        <v>0.625</v>
      </c>
      <c r="AR103" s="13">
        <f t="shared" si="99"/>
        <v>1</v>
      </c>
      <c r="AS103" s="22">
        <f>VLOOKUP(A103,'Agent Sched'!B:V,21,)</f>
        <v>0.625</v>
      </c>
      <c r="AT103" s="13">
        <f t="shared" si="100"/>
        <v>1</v>
      </c>
      <c r="AU103" s="24" t="str">
        <f>VLOOKUP(A103,'Agent Sched'!B:W,22,)</f>
        <v>OFF</v>
      </c>
      <c r="AV103" s="13" t="str">
        <f t="shared" si="101"/>
        <v>OFF</v>
      </c>
    </row>
    <row r="104" spans="1:48" ht="15.75" thickBot="1" x14ac:dyDescent="0.3">
      <c r="A104" s="20" t="str">
        <f>IFERROR('Agent Sched'!B105,"-")</f>
        <v>Hygeia Fides Mariae Pedalino</v>
      </c>
      <c r="B104" s="12">
        <f>IFERROR(VLOOKUP(A104,'Agent Sched'!$B:$C,2,),"-")</f>
        <v>0.625</v>
      </c>
      <c r="C104" s="13">
        <f t="shared" si="80"/>
        <v>1</v>
      </c>
      <c r="D104" s="12">
        <f>IFERROR(VLOOKUP(A104,'Agent Sched'!B:D,3,),"-")</f>
        <v>0.625</v>
      </c>
      <c r="E104" s="13">
        <f t="shared" si="81"/>
        <v>1</v>
      </c>
      <c r="F104" s="12" t="str">
        <f>IFERROR(VLOOKUP(A104,'Agent Sched'!B:E,4,),"-")</f>
        <v>OFF</v>
      </c>
      <c r="G104" s="13" t="str">
        <f t="shared" si="82"/>
        <v>OFF</v>
      </c>
      <c r="H104" s="12">
        <f>IFERROR(VLOOKUP(A104,'Agent Sched'!B:F,5,),"-")</f>
        <v>0.625</v>
      </c>
      <c r="I104" s="13">
        <f t="shared" si="83"/>
        <v>1</v>
      </c>
      <c r="J104" s="12">
        <f>IFERROR(VLOOKUP(A104,'Agent Sched'!B:G,6,),"-")</f>
        <v>0.625</v>
      </c>
      <c r="K104" s="13">
        <f t="shared" si="84"/>
        <v>1</v>
      </c>
      <c r="L104" s="12">
        <f>IFERROR(VLOOKUP(A104,'Agent Sched'!B:H,7,),"-")</f>
        <v>0.625</v>
      </c>
      <c r="M104" s="13">
        <f t="shared" si="85"/>
        <v>1</v>
      </c>
      <c r="N104" s="21" t="str">
        <f>IFERROR(VLOOKUP(A104,'Agent Sched'!B:I,8,),"-")</f>
        <v>OFF</v>
      </c>
      <c r="O104" s="13" t="str">
        <f t="shared" si="86"/>
        <v>OFF</v>
      </c>
      <c r="Q104" s="12">
        <f>VLOOKUP(A104,'Agent Sched'!B:Y,24,)</f>
        <v>0.625</v>
      </c>
      <c r="R104" s="13">
        <f t="shared" si="87"/>
        <v>1</v>
      </c>
      <c r="T104" s="26" t="str">
        <f>VLOOKUP(A104,'Agent Sched'!$B:$J,9,)</f>
        <v>OFF</v>
      </c>
      <c r="U104" s="13" t="str">
        <f t="shared" si="88"/>
        <v>OFF</v>
      </c>
      <c r="V104" s="22">
        <f>VLOOKUP(A104,'Agent Sched'!B:K,10,)</f>
        <v>0.625</v>
      </c>
      <c r="W104" s="13">
        <f t="shared" si="89"/>
        <v>1</v>
      </c>
      <c r="X104" s="22">
        <f>VLOOKUP(A104,'Agent Sched'!B:L,11,)</f>
        <v>0.625</v>
      </c>
      <c r="Y104" s="13">
        <f t="shared" si="90"/>
        <v>1</v>
      </c>
      <c r="Z104" s="22">
        <f>VLOOKUP(A104,'Agent Sched'!B:M,12,)</f>
        <v>0.625</v>
      </c>
      <c r="AA104" s="13">
        <f t="shared" si="91"/>
        <v>1</v>
      </c>
      <c r="AB104" s="22">
        <f>VLOOKUP(A104,'Agent Sched'!B:N,13,)</f>
        <v>0.625</v>
      </c>
      <c r="AC104" s="13">
        <f t="shared" si="92"/>
        <v>1</v>
      </c>
      <c r="AD104" s="22">
        <f>VLOOKUP(A104,'Agent Sched'!B:O,14,)</f>
        <v>0.625</v>
      </c>
      <c r="AE104" s="13">
        <f t="shared" si="93"/>
        <v>1</v>
      </c>
      <c r="AF104" s="24" t="str">
        <f>VLOOKUP(A104,'Agent Sched'!B:P,15,)</f>
        <v>OFF</v>
      </c>
      <c r="AG104" s="13" t="str">
        <f t="shared" si="94"/>
        <v>OFF</v>
      </c>
      <c r="AI104" s="26" t="str">
        <f>VLOOKUP(A104,'Agent Sched'!$B:$Q,16,)</f>
        <v>OFF</v>
      </c>
      <c r="AJ104" s="13" t="str">
        <f t="shared" si="95"/>
        <v>OFF</v>
      </c>
      <c r="AK104" s="22">
        <f>VLOOKUP(A104,'Agent Sched'!B:R,17,)</f>
        <v>0.625</v>
      </c>
      <c r="AL104" s="13">
        <f t="shared" si="96"/>
        <v>1</v>
      </c>
      <c r="AM104" s="22">
        <f>VLOOKUP(A104,'Agent Sched'!B:S,18,)</f>
        <v>0.625</v>
      </c>
      <c r="AN104" s="13">
        <f t="shared" si="97"/>
        <v>1</v>
      </c>
      <c r="AO104" s="22">
        <f>VLOOKUP(A104,'Agent Sched'!B:T,19,)</f>
        <v>0.625</v>
      </c>
      <c r="AP104" s="13">
        <f t="shared" si="98"/>
        <v>1</v>
      </c>
      <c r="AQ104" s="22">
        <f>VLOOKUP(A104,'Agent Sched'!B:U,20,)</f>
        <v>0.625</v>
      </c>
      <c r="AR104" s="13">
        <f t="shared" si="99"/>
        <v>1</v>
      </c>
      <c r="AS104" s="22">
        <f>VLOOKUP(A104,'Agent Sched'!B:V,21,)</f>
        <v>0.625</v>
      </c>
      <c r="AT104" s="13">
        <f t="shared" si="100"/>
        <v>1</v>
      </c>
      <c r="AU104" s="24" t="str">
        <f>VLOOKUP(A104,'Agent Sched'!B:W,22,)</f>
        <v>OFF</v>
      </c>
      <c r="AV104" s="13" t="str">
        <f t="shared" si="101"/>
        <v>OFF</v>
      </c>
    </row>
    <row r="105" spans="1:48" ht="15.75" thickBot="1" x14ac:dyDescent="0.3">
      <c r="A105" s="20" t="str">
        <f>IFERROR('Agent Sched'!B106,"-")</f>
        <v>Allen Grace De Juan</v>
      </c>
      <c r="B105" s="12">
        <f>IFERROR(VLOOKUP(A105,'Agent Sched'!$B:$C,2,),"-")</f>
        <v>0.625</v>
      </c>
      <c r="C105" s="13">
        <f t="shared" si="80"/>
        <v>1</v>
      </c>
      <c r="D105" s="12">
        <f>IFERROR(VLOOKUP(A105,'Agent Sched'!B:D,3,),"-")</f>
        <v>0.625</v>
      </c>
      <c r="E105" s="13">
        <f t="shared" si="81"/>
        <v>1</v>
      </c>
      <c r="F105" s="12" t="str">
        <f>IFERROR(VLOOKUP(A105,'Agent Sched'!B:E,4,),"-")</f>
        <v>OFF</v>
      </c>
      <c r="G105" s="13" t="str">
        <f t="shared" si="82"/>
        <v>OFF</v>
      </c>
      <c r="H105" s="12">
        <f>IFERROR(VLOOKUP(A105,'Agent Sched'!B:F,5,),"-")</f>
        <v>0.625</v>
      </c>
      <c r="I105" s="13">
        <f t="shared" si="83"/>
        <v>1</v>
      </c>
      <c r="J105" s="12">
        <f>IFERROR(VLOOKUP(A105,'Agent Sched'!B:G,6,),"-")</f>
        <v>0.625</v>
      </c>
      <c r="K105" s="13">
        <f t="shared" si="84"/>
        <v>1</v>
      </c>
      <c r="L105" s="12">
        <f>IFERROR(VLOOKUP(A105,'Agent Sched'!B:H,7,),"-")</f>
        <v>0.625</v>
      </c>
      <c r="M105" s="13">
        <f t="shared" si="85"/>
        <v>1</v>
      </c>
      <c r="N105" s="21" t="str">
        <f>IFERROR(VLOOKUP(A105,'Agent Sched'!B:I,8,),"-")</f>
        <v>OFF</v>
      </c>
      <c r="O105" s="13" t="str">
        <f t="shared" si="86"/>
        <v>OFF</v>
      </c>
      <c r="Q105" s="12">
        <f>VLOOKUP(A105,'Agent Sched'!B:Y,24,)</f>
        <v>0.625</v>
      </c>
      <c r="R105" s="13">
        <f t="shared" si="87"/>
        <v>1</v>
      </c>
      <c r="T105" s="26" t="str">
        <f>VLOOKUP(A105,'Agent Sched'!$B:$J,9,)</f>
        <v>OFF</v>
      </c>
      <c r="U105" s="13" t="str">
        <f t="shared" si="88"/>
        <v>OFF</v>
      </c>
      <c r="V105" s="22">
        <f>VLOOKUP(A105,'Agent Sched'!B:K,10,)</f>
        <v>0.625</v>
      </c>
      <c r="W105" s="13">
        <f t="shared" si="89"/>
        <v>1</v>
      </c>
      <c r="X105" s="22">
        <f>VLOOKUP(A105,'Agent Sched'!B:L,11,)</f>
        <v>0.625</v>
      </c>
      <c r="Y105" s="13">
        <f t="shared" si="90"/>
        <v>1</v>
      </c>
      <c r="Z105" s="22">
        <f>VLOOKUP(A105,'Agent Sched'!B:M,12,)</f>
        <v>0.625</v>
      </c>
      <c r="AA105" s="13">
        <f t="shared" si="91"/>
        <v>1</v>
      </c>
      <c r="AB105" s="22">
        <f>VLOOKUP(A105,'Agent Sched'!B:N,13,)</f>
        <v>0.625</v>
      </c>
      <c r="AC105" s="13">
        <f t="shared" si="92"/>
        <v>1</v>
      </c>
      <c r="AD105" s="22">
        <f>VLOOKUP(A105,'Agent Sched'!B:O,14,)</f>
        <v>0.625</v>
      </c>
      <c r="AE105" s="13">
        <f t="shared" si="93"/>
        <v>1</v>
      </c>
      <c r="AF105" s="24" t="str">
        <f>VLOOKUP(A105,'Agent Sched'!B:P,15,)</f>
        <v>OFF</v>
      </c>
      <c r="AG105" s="13" t="str">
        <f t="shared" si="94"/>
        <v>OFF</v>
      </c>
      <c r="AI105" s="26" t="str">
        <f>VLOOKUP(A105,'Agent Sched'!$B:$Q,16,)</f>
        <v>OFF</v>
      </c>
      <c r="AJ105" s="13" t="str">
        <f t="shared" si="95"/>
        <v>OFF</v>
      </c>
      <c r="AK105" s="22">
        <f>VLOOKUP(A105,'Agent Sched'!B:R,17,)</f>
        <v>0.625</v>
      </c>
      <c r="AL105" s="13">
        <f t="shared" si="96"/>
        <v>1</v>
      </c>
      <c r="AM105" s="22">
        <f>VLOOKUP(A105,'Agent Sched'!B:S,18,)</f>
        <v>0.625</v>
      </c>
      <c r="AN105" s="13">
        <f t="shared" si="97"/>
        <v>1</v>
      </c>
      <c r="AO105" s="22">
        <f>VLOOKUP(A105,'Agent Sched'!B:T,19,)</f>
        <v>0.625</v>
      </c>
      <c r="AP105" s="13">
        <f t="shared" si="98"/>
        <v>1</v>
      </c>
      <c r="AQ105" s="22">
        <f>VLOOKUP(A105,'Agent Sched'!B:U,20,)</f>
        <v>0.625</v>
      </c>
      <c r="AR105" s="13">
        <f t="shared" si="99"/>
        <v>1</v>
      </c>
      <c r="AS105" s="22">
        <f>VLOOKUP(A105,'Agent Sched'!B:V,21,)</f>
        <v>0.625</v>
      </c>
      <c r="AT105" s="13">
        <f t="shared" si="100"/>
        <v>1</v>
      </c>
      <c r="AU105" s="24" t="str">
        <f>VLOOKUP(A105,'Agent Sched'!B:W,22,)</f>
        <v>OFF</v>
      </c>
      <c r="AV105" s="13" t="str">
        <f t="shared" si="101"/>
        <v>OFF</v>
      </c>
    </row>
    <row r="106" spans="1:48" ht="15.75" thickBot="1" x14ac:dyDescent="0.3">
      <c r="A106" s="20" t="str">
        <f>IFERROR('Agent Sched'!B107,"-")</f>
        <v>Ma. Fatima Camposano</v>
      </c>
      <c r="B106" s="12">
        <f>IFERROR(VLOOKUP(A106,'Agent Sched'!$B:$C,2,),"-")</f>
        <v>0.625</v>
      </c>
      <c r="C106" s="13">
        <f t="shared" si="80"/>
        <v>1</v>
      </c>
      <c r="D106" s="12">
        <f>IFERROR(VLOOKUP(A106,'Agent Sched'!B:D,3,),"-")</f>
        <v>0.625</v>
      </c>
      <c r="E106" s="13">
        <f t="shared" si="81"/>
        <v>1</v>
      </c>
      <c r="F106" s="12" t="str">
        <f>IFERROR(VLOOKUP(A106,'Agent Sched'!B:E,4,),"-")</f>
        <v>OFF</v>
      </c>
      <c r="G106" s="13" t="str">
        <f t="shared" si="82"/>
        <v>OFF</v>
      </c>
      <c r="H106" s="12">
        <f>IFERROR(VLOOKUP(A106,'Agent Sched'!B:F,5,),"-")</f>
        <v>0.625</v>
      </c>
      <c r="I106" s="13">
        <f t="shared" si="83"/>
        <v>1</v>
      </c>
      <c r="J106" s="12">
        <f>IFERROR(VLOOKUP(A106,'Agent Sched'!B:G,6,),"-")</f>
        <v>0.625</v>
      </c>
      <c r="K106" s="13">
        <f t="shared" si="84"/>
        <v>1</v>
      </c>
      <c r="L106" s="12">
        <f>IFERROR(VLOOKUP(A106,'Agent Sched'!B:H,7,),"-")</f>
        <v>0.625</v>
      </c>
      <c r="M106" s="13">
        <f t="shared" si="85"/>
        <v>1</v>
      </c>
      <c r="N106" s="21" t="str">
        <f>IFERROR(VLOOKUP(A106,'Agent Sched'!B:I,8,),"-")</f>
        <v>OFF</v>
      </c>
      <c r="O106" s="13" t="str">
        <f t="shared" si="86"/>
        <v>OFF</v>
      </c>
      <c r="Q106" s="12">
        <f>VLOOKUP(A106,'Agent Sched'!B:Y,24,)</f>
        <v>0.625</v>
      </c>
      <c r="R106" s="13">
        <f t="shared" si="87"/>
        <v>1</v>
      </c>
      <c r="T106" s="26" t="str">
        <f>VLOOKUP(A106,'Agent Sched'!$B:$J,9,)</f>
        <v>OFF</v>
      </c>
      <c r="U106" s="13" t="str">
        <f t="shared" si="88"/>
        <v>OFF</v>
      </c>
      <c r="V106" s="22">
        <f>VLOOKUP(A106,'Agent Sched'!B:K,10,)</f>
        <v>0.625</v>
      </c>
      <c r="W106" s="13">
        <f t="shared" si="89"/>
        <v>1</v>
      </c>
      <c r="X106" s="22">
        <f>VLOOKUP(A106,'Agent Sched'!B:L,11,)</f>
        <v>0.625</v>
      </c>
      <c r="Y106" s="13">
        <f t="shared" si="90"/>
        <v>1</v>
      </c>
      <c r="Z106" s="22">
        <f>VLOOKUP(A106,'Agent Sched'!B:M,12,)</f>
        <v>0.625</v>
      </c>
      <c r="AA106" s="13">
        <f t="shared" si="91"/>
        <v>1</v>
      </c>
      <c r="AB106" s="22">
        <f>VLOOKUP(A106,'Agent Sched'!B:N,13,)</f>
        <v>0.625</v>
      </c>
      <c r="AC106" s="13">
        <f t="shared" si="92"/>
        <v>1</v>
      </c>
      <c r="AD106" s="22">
        <f>VLOOKUP(A106,'Agent Sched'!B:O,14,)</f>
        <v>0.625</v>
      </c>
      <c r="AE106" s="13">
        <f t="shared" si="93"/>
        <v>1</v>
      </c>
      <c r="AF106" s="24" t="str">
        <f>VLOOKUP(A106,'Agent Sched'!B:P,15,)</f>
        <v>OFF</v>
      </c>
      <c r="AG106" s="13" t="str">
        <f t="shared" si="94"/>
        <v>OFF</v>
      </c>
      <c r="AI106" s="26" t="str">
        <f>VLOOKUP(A106,'Agent Sched'!$B:$Q,16,)</f>
        <v>OFF</v>
      </c>
      <c r="AJ106" s="13" t="str">
        <f t="shared" si="95"/>
        <v>OFF</v>
      </c>
      <c r="AK106" s="22">
        <f>VLOOKUP(A106,'Agent Sched'!B:R,17,)</f>
        <v>0.625</v>
      </c>
      <c r="AL106" s="13">
        <f t="shared" si="96"/>
        <v>1</v>
      </c>
      <c r="AM106" s="22">
        <f>VLOOKUP(A106,'Agent Sched'!B:S,18,)</f>
        <v>0.625</v>
      </c>
      <c r="AN106" s="13">
        <f t="shared" si="97"/>
        <v>1</v>
      </c>
      <c r="AO106" s="22">
        <f>VLOOKUP(A106,'Agent Sched'!B:T,19,)</f>
        <v>0.625</v>
      </c>
      <c r="AP106" s="13">
        <f t="shared" si="98"/>
        <v>1</v>
      </c>
      <c r="AQ106" s="22">
        <f>VLOOKUP(A106,'Agent Sched'!B:U,20,)</f>
        <v>0.625</v>
      </c>
      <c r="AR106" s="13">
        <f t="shared" si="99"/>
        <v>1</v>
      </c>
      <c r="AS106" s="22">
        <f>VLOOKUP(A106,'Agent Sched'!B:V,21,)</f>
        <v>0.625</v>
      </c>
      <c r="AT106" s="13">
        <f t="shared" si="100"/>
        <v>1</v>
      </c>
      <c r="AU106" s="24" t="str">
        <f>VLOOKUP(A106,'Agent Sched'!B:W,22,)</f>
        <v>OFF</v>
      </c>
      <c r="AV106" s="13" t="str">
        <f t="shared" si="101"/>
        <v>OFF</v>
      </c>
    </row>
    <row r="107" spans="1:48" ht="15.75" thickBot="1" x14ac:dyDescent="0.3">
      <c r="A107" s="20" t="str">
        <f>IFERROR('Agent Sched'!B108,"-")</f>
        <v>Mavel Batisla-ong</v>
      </c>
      <c r="B107" s="12">
        <f>IFERROR(VLOOKUP(A107,'Agent Sched'!$B:$C,2,),"-")</f>
        <v>0.625</v>
      </c>
      <c r="C107" s="13">
        <f t="shared" si="80"/>
        <v>1</v>
      </c>
      <c r="D107" s="12">
        <f>IFERROR(VLOOKUP(A107,'Agent Sched'!B:D,3,),"-")</f>
        <v>0.625</v>
      </c>
      <c r="E107" s="13">
        <f t="shared" si="81"/>
        <v>1</v>
      </c>
      <c r="F107" s="12" t="str">
        <f>IFERROR(VLOOKUP(A107,'Agent Sched'!B:E,4,),"-")</f>
        <v>OFF</v>
      </c>
      <c r="G107" s="13" t="str">
        <f t="shared" si="82"/>
        <v>OFF</v>
      </c>
      <c r="H107" s="12">
        <f>IFERROR(VLOOKUP(A107,'Agent Sched'!B:F,5,),"-")</f>
        <v>0.625</v>
      </c>
      <c r="I107" s="13">
        <f t="shared" si="83"/>
        <v>1</v>
      </c>
      <c r="J107" s="12">
        <f>IFERROR(VLOOKUP(A107,'Agent Sched'!B:G,6,),"-")</f>
        <v>0.625</v>
      </c>
      <c r="K107" s="13">
        <f t="shared" si="84"/>
        <v>1</v>
      </c>
      <c r="L107" s="12">
        <f>IFERROR(VLOOKUP(A107,'Agent Sched'!B:H,7,),"-")</f>
        <v>0.625</v>
      </c>
      <c r="M107" s="13">
        <f t="shared" si="85"/>
        <v>1</v>
      </c>
      <c r="N107" s="21" t="str">
        <f>IFERROR(VLOOKUP(A107,'Agent Sched'!B:I,8,),"-")</f>
        <v>OFF</v>
      </c>
      <c r="O107" s="13" t="str">
        <f t="shared" si="86"/>
        <v>OFF</v>
      </c>
      <c r="Q107" s="12">
        <f>VLOOKUP(A107,'Agent Sched'!B:Y,24,)</f>
        <v>0.625</v>
      </c>
      <c r="R107" s="13">
        <f t="shared" si="87"/>
        <v>1</v>
      </c>
      <c r="T107" s="26" t="str">
        <f>VLOOKUP(A107,'Agent Sched'!$B:$J,9,)</f>
        <v>OFF</v>
      </c>
      <c r="U107" s="13" t="str">
        <f t="shared" si="88"/>
        <v>OFF</v>
      </c>
      <c r="V107" s="22">
        <f>VLOOKUP(A107,'Agent Sched'!B:K,10,)</f>
        <v>0.625</v>
      </c>
      <c r="W107" s="13">
        <f t="shared" si="89"/>
        <v>1</v>
      </c>
      <c r="X107" s="22">
        <f>VLOOKUP(A107,'Agent Sched'!B:L,11,)</f>
        <v>0.625</v>
      </c>
      <c r="Y107" s="13">
        <f t="shared" si="90"/>
        <v>1</v>
      </c>
      <c r="Z107" s="22">
        <f>VLOOKUP(A107,'Agent Sched'!B:M,12,)</f>
        <v>0.625</v>
      </c>
      <c r="AA107" s="13">
        <f t="shared" si="91"/>
        <v>1</v>
      </c>
      <c r="AB107" s="22">
        <f>VLOOKUP(A107,'Agent Sched'!B:N,13,)</f>
        <v>0.625</v>
      </c>
      <c r="AC107" s="13">
        <f t="shared" si="92"/>
        <v>1</v>
      </c>
      <c r="AD107" s="22">
        <f>VLOOKUP(A107,'Agent Sched'!B:O,14,)</f>
        <v>0.625</v>
      </c>
      <c r="AE107" s="13">
        <f t="shared" si="93"/>
        <v>1</v>
      </c>
      <c r="AF107" s="24" t="str">
        <f>VLOOKUP(A107,'Agent Sched'!B:P,15,)</f>
        <v>OFF</v>
      </c>
      <c r="AG107" s="13" t="str">
        <f t="shared" si="94"/>
        <v>OFF</v>
      </c>
      <c r="AI107" s="26" t="str">
        <f>VLOOKUP(A107,'Agent Sched'!$B:$Q,16,)</f>
        <v>OFF</v>
      </c>
      <c r="AJ107" s="13" t="str">
        <f t="shared" si="95"/>
        <v>OFF</v>
      </c>
      <c r="AK107" s="22">
        <f>VLOOKUP(A107,'Agent Sched'!B:R,17,)</f>
        <v>0.625</v>
      </c>
      <c r="AL107" s="13">
        <f t="shared" si="96"/>
        <v>1</v>
      </c>
      <c r="AM107" s="22">
        <f>VLOOKUP(A107,'Agent Sched'!B:S,18,)</f>
        <v>0.625</v>
      </c>
      <c r="AN107" s="13">
        <f t="shared" si="97"/>
        <v>1</v>
      </c>
      <c r="AO107" s="22">
        <f>VLOOKUP(A107,'Agent Sched'!B:T,19,)</f>
        <v>0.625</v>
      </c>
      <c r="AP107" s="13">
        <f t="shared" si="98"/>
        <v>1</v>
      </c>
      <c r="AQ107" s="22">
        <f>VLOOKUP(A107,'Agent Sched'!B:U,20,)</f>
        <v>0.625</v>
      </c>
      <c r="AR107" s="13">
        <f t="shared" si="99"/>
        <v>1</v>
      </c>
      <c r="AS107" s="22">
        <f>VLOOKUP(A107,'Agent Sched'!B:V,21,)</f>
        <v>0.625</v>
      </c>
      <c r="AT107" s="13">
        <f t="shared" si="100"/>
        <v>1</v>
      </c>
      <c r="AU107" s="24" t="str">
        <f>VLOOKUP(A107,'Agent Sched'!B:W,22,)</f>
        <v>OFF</v>
      </c>
      <c r="AV107" s="13" t="str">
        <f t="shared" si="101"/>
        <v>OFF</v>
      </c>
    </row>
    <row r="108" spans="1:48" ht="15.75" thickBot="1" x14ac:dyDescent="0.3">
      <c r="A108" s="20" t="str">
        <f>IFERROR('Agent Sched'!B109,"-")</f>
        <v>Merson Lemuel Teofi Nazareno</v>
      </c>
      <c r="B108" s="12">
        <f>IFERROR(VLOOKUP(A108,'Agent Sched'!$B:$C,2,),"-")</f>
        <v>0.625</v>
      </c>
      <c r="C108" s="13">
        <f t="shared" si="80"/>
        <v>1</v>
      </c>
      <c r="D108" s="12">
        <f>IFERROR(VLOOKUP(A108,'Agent Sched'!B:D,3,),"-")</f>
        <v>0.625</v>
      </c>
      <c r="E108" s="13">
        <f t="shared" si="81"/>
        <v>1</v>
      </c>
      <c r="F108" s="12" t="str">
        <f>IFERROR(VLOOKUP(A108,'Agent Sched'!B:E,4,),"-")</f>
        <v>OFF</v>
      </c>
      <c r="G108" s="13" t="str">
        <f t="shared" si="82"/>
        <v>OFF</v>
      </c>
      <c r="H108" s="12">
        <f>IFERROR(VLOOKUP(A108,'Agent Sched'!B:F,5,),"-")</f>
        <v>0.625</v>
      </c>
      <c r="I108" s="13">
        <f t="shared" si="83"/>
        <v>1</v>
      </c>
      <c r="J108" s="12">
        <f>IFERROR(VLOOKUP(A108,'Agent Sched'!B:G,6,),"-")</f>
        <v>0.625</v>
      </c>
      <c r="K108" s="13">
        <f t="shared" si="84"/>
        <v>1</v>
      </c>
      <c r="L108" s="12">
        <f>IFERROR(VLOOKUP(A108,'Agent Sched'!B:H,7,),"-")</f>
        <v>0.625</v>
      </c>
      <c r="M108" s="13">
        <f t="shared" si="85"/>
        <v>1</v>
      </c>
      <c r="N108" s="21" t="str">
        <f>IFERROR(VLOOKUP(A108,'Agent Sched'!B:I,8,),"-")</f>
        <v>OFF</v>
      </c>
      <c r="O108" s="13" t="str">
        <f t="shared" si="86"/>
        <v>OFF</v>
      </c>
      <c r="Q108" s="12">
        <f>VLOOKUP(A108,'Agent Sched'!B:Y,24,)</f>
        <v>0.625</v>
      </c>
      <c r="R108" s="13">
        <f t="shared" si="87"/>
        <v>1</v>
      </c>
      <c r="T108" s="26" t="str">
        <f>VLOOKUP(A108,'Agent Sched'!$B:$J,9,)</f>
        <v>OFF</v>
      </c>
      <c r="U108" s="13" t="str">
        <f t="shared" si="88"/>
        <v>OFF</v>
      </c>
      <c r="V108" s="22">
        <f>VLOOKUP(A108,'Agent Sched'!B:K,10,)</f>
        <v>0.625</v>
      </c>
      <c r="W108" s="13">
        <f t="shared" si="89"/>
        <v>1</v>
      </c>
      <c r="X108" s="22">
        <f>VLOOKUP(A108,'Agent Sched'!B:L,11,)</f>
        <v>0.625</v>
      </c>
      <c r="Y108" s="13">
        <f t="shared" si="90"/>
        <v>1</v>
      </c>
      <c r="Z108" s="22">
        <f>VLOOKUP(A108,'Agent Sched'!B:M,12,)</f>
        <v>0.625</v>
      </c>
      <c r="AA108" s="13">
        <f t="shared" si="91"/>
        <v>1</v>
      </c>
      <c r="AB108" s="22">
        <f>VLOOKUP(A108,'Agent Sched'!B:N,13,)</f>
        <v>0.625</v>
      </c>
      <c r="AC108" s="13">
        <f t="shared" si="92"/>
        <v>1</v>
      </c>
      <c r="AD108" s="22">
        <f>VLOOKUP(A108,'Agent Sched'!B:O,14,)</f>
        <v>0.625</v>
      </c>
      <c r="AE108" s="13">
        <f t="shared" si="93"/>
        <v>1</v>
      </c>
      <c r="AF108" s="24" t="str">
        <f>VLOOKUP(A108,'Agent Sched'!B:P,15,)</f>
        <v>OFF</v>
      </c>
      <c r="AG108" s="13" t="str">
        <f t="shared" si="94"/>
        <v>OFF</v>
      </c>
      <c r="AI108" s="26" t="str">
        <f>VLOOKUP(A108,'Agent Sched'!$B:$Q,16,)</f>
        <v>OFF</v>
      </c>
      <c r="AJ108" s="13" t="str">
        <f t="shared" si="95"/>
        <v>OFF</v>
      </c>
      <c r="AK108" s="22">
        <f>VLOOKUP(A108,'Agent Sched'!B:R,17,)</f>
        <v>0.625</v>
      </c>
      <c r="AL108" s="13">
        <f t="shared" si="96"/>
        <v>1</v>
      </c>
      <c r="AM108" s="22">
        <f>VLOOKUP(A108,'Agent Sched'!B:S,18,)</f>
        <v>0.625</v>
      </c>
      <c r="AN108" s="13">
        <f t="shared" si="97"/>
        <v>1</v>
      </c>
      <c r="AO108" s="22">
        <f>VLOOKUP(A108,'Agent Sched'!B:T,19,)</f>
        <v>0.625</v>
      </c>
      <c r="AP108" s="13">
        <f t="shared" si="98"/>
        <v>1</v>
      </c>
      <c r="AQ108" s="22">
        <f>VLOOKUP(A108,'Agent Sched'!B:U,20,)</f>
        <v>0.625</v>
      </c>
      <c r="AR108" s="13">
        <f t="shared" si="99"/>
        <v>1</v>
      </c>
      <c r="AS108" s="22">
        <f>VLOOKUP(A108,'Agent Sched'!B:V,21,)</f>
        <v>0.625</v>
      </c>
      <c r="AT108" s="13">
        <f t="shared" si="100"/>
        <v>1</v>
      </c>
      <c r="AU108" s="24" t="str">
        <f>VLOOKUP(A108,'Agent Sched'!B:W,22,)</f>
        <v>OFF</v>
      </c>
      <c r="AV108" s="13" t="str">
        <f t="shared" si="101"/>
        <v>OFF</v>
      </c>
    </row>
    <row r="109" spans="1:48" ht="15.75" thickBot="1" x14ac:dyDescent="0.3">
      <c r="A109" s="20" t="str">
        <f>IFERROR('Agent Sched'!B110,"-")</f>
        <v>King Mel Saromines</v>
      </c>
      <c r="B109" s="12">
        <f>IFERROR(VLOOKUP(A109,'Agent Sched'!$B:$C,2,),"-")</f>
        <v>0.625</v>
      </c>
      <c r="C109" s="13">
        <f t="shared" si="80"/>
        <v>1</v>
      </c>
      <c r="D109" s="12">
        <f>IFERROR(VLOOKUP(A109,'Agent Sched'!B:D,3,),"-")</f>
        <v>0.625</v>
      </c>
      <c r="E109" s="13">
        <f t="shared" si="81"/>
        <v>1</v>
      </c>
      <c r="F109" s="12" t="str">
        <f>IFERROR(VLOOKUP(A109,'Agent Sched'!B:E,4,),"-")</f>
        <v>OFF</v>
      </c>
      <c r="G109" s="13" t="str">
        <f t="shared" si="82"/>
        <v>OFF</v>
      </c>
      <c r="H109" s="12">
        <f>IFERROR(VLOOKUP(A109,'Agent Sched'!B:F,5,),"-")</f>
        <v>0.625</v>
      </c>
      <c r="I109" s="13">
        <f t="shared" si="83"/>
        <v>1</v>
      </c>
      <c r="J109" s="12">
        <f>IFERROR(VLOOKUP(A109,'Agent Sched'!B:G,6,),"-")</f>
        <v>0.625</v>
      </c>
      <c r="K109" s="13">
        <f t="shared" si="84"/>
        <v>1</v>
      </c>
      <c r="L109" s="12">
        <f>IFERROR(VLOOKUP(A109,'Agent Sched'!B:H,7,),"-")</f>
        <v>0.625</v>
      </c>
      <c r="M109" s="13">
        <f t="shared" si="85"/>
        <v>1</v>
      </c>
      <c r="N109" s="21" t="str">
        <f>IFERROR(VLOOKUP(A109,'Agent Sched'!B:I,8,),"-")</f>
        <v>OFF</v>
      </c>
      <c r="O109" s="13" t="str">
        <f t="shared" si="86"/>
        <v>OFF</v>
      </c>
      <c r="Q109" s="12">
        <f>VLOOKUP(A109,'Agent Sched'!B:Y,24,)</f>
        <v>0.625</v>
      </c>
      <c r="R109" s="13">
        <f t="shared" si="87"/>
        <v>1</v>
      </c>
      <c r="T109" s="26" t="str">
        <f>VLOOKUP(A109,'Agent Sched'!$B:$J,9,)</f>
        <v>OFF</v>
      </c>
      <c r="U109" s="13" t="str">
        <f t="shared" si="88"/>
        <v>OFF</v>
      </c>
      <c r="V109" s="22">
        <f>VLOOKUP(A109,'Agent Sched'!B:K,10,)</f>
        <v>0.625</v>
      </c>
      <c r="W109" s="13">
        <f t="shared" si="89"/>
        <v>1</v>
      </c>
      <c r="X109" s="22">
        <f>VLOOKUP(A109,'Agent Sched'!B:L,11,)</f>
        <v>0.625</v>
      </c>
      <c r="Y109" s="13">
        <f t="shared" si="90"/>
        <v>1</v>
      </c>
      <c r="Z109" s="22">
        <f>VLOOKUP(A109,'Agent Sched'!B:M,12,)</f>
        <v>0.625</v>
      </c>
      <c r="AA109" s="13">
        <f t="shared" si="91"/>
        <v>1</v>
      </c>
      <c r="AB109" s="22">
        <f>VLOOKUP(A109,'Agent Sched'!B:N,13,)</f>
        <v>0.625</v>
      </c>
      <c r="AC109" s="13">
        <f t="shared" si="92"/>
        <v>1</v>
      </c>
      <c r="AD109" s="22">
        <f>VLOOKUP(A109,'Agent Sched'!B:O,14,)</f>
        <v>0.625</v>
      </c>
      <c r="AE109" s="13">
        <f t="shared" si="93"/>
        <v>1</v>
      </c>
      <c r="AF109" s="24" t="str">
        <f>VLOOKUP(A109,'Agent Sched'!B:P,15,)</f>
        <v>OFF</v>
      </c>
      <c r="AG109" s="13" t="str">
        <f t="shared" si="94"/>
        <v>OFF</v>
      </c>
      <c r="AI109" s="26" t="str">
        <f>VLOOKUP(A109,'Agent Sched'!$B:$Q,16,)</f>
        <v>OFF</v>
      </c>
      <c r="AJ109" s="13" t="str">
        <f t="shared" si="95"/>
        <v>OFF</v>
      </c>
      <c r="AK109" s="22">
        <f>VLOOKUP(A109,'Agent Sched'!B:R,17,)</f>
        <v>0.625</v>
      </c>
      <c r="AL109" s="13">
        <f t="shared" si="96"/>
        <v>1</v>
      </c>
      <c r="AM109" s="22">
        <f>VLOOKUP(A109,'Agent Sched'!B:S,18,)</f>
        <v>0.625</v>
      </c>
      <c r="AN109" s="13">
        <f t="shared" si="97"/>
        <v>1</v>
      </c>
      <c r="AO109" s="22">
        <f>VLOOKUP(A109,'Agent Sched'!B:T,19,)</f>
        <v>0.625</v>
      </c>
      <c r="AP109" s="13">
        <f t="shared" si="98"/>
        <v>1</v>
      </c>
      <c r="AQ109" s="22">
        <f>VLOOKUP(A109,'Agent Sched'!B:U,20,)</f>
        <v>0.625</v>
      </c>
      <c r="AR109" s="13">
        <f t="shared" si="99"/>
        <v>1</v>
      </c>
      <c r="AS109" s="22">
        <f>VLOOKUP(A109,'Agent Sched'!B:V,21,)</f>
        <v>0.625</v>
      </c>
      <c r="AT109" s="13">
        <f t="shared" si="100"/>
        <v>1</v>
      </c>
      <c r="AU109" s="24" t="str">
        <f>VLOOKUP(A109,'Agent Sched'!B:W,22,)</f>
        <v>OFF</v>
      </c>
      <c r="AV109" s="13" t="str">
        <f t="shared" si="101"/>
        <v>OFF</v>
      </c>
    </row>
    <row r="110" spans="1:48" ht="15.75" thickBot="1" x14ac:dyDescent="0.3">
      <c r="A110" s="20" t="str">
        <f>IFERROR('Agent Sched'!B111,"-")</f>
        <v>Darlene Joy Lizada</v>
      </c>
      <c r="B110" s="12">
        <f>IFERROR(VLOOKUP(A110,'Agent Sched'!$B:$C,2,),"-")</f>
        <v>0.625</v>
      </c>
      <c r="C110" s="13">
        <f t="shared" si="80"/>
        <v>1</v>
      </c>
      <c r="D110" s="12">
        <f>IFERROR(VLOOKUP(A110,'Agent Sched'!B:D,3,),"-")</f>
        <v>0.625</v>
      </c>
      <c r="E110" s="13">
        <f t="shared" si="81"/>
        <v>1</v>
      </c>
      <c r="F110" s="12" t="str">
        <f>IFERROR(VLOOKUP(A110,'Agent Sched'!B:E,4,),"-")</f>
        <v>OFF</v>
      </c>
      <c r="G110" s="13" t="str">
        <f t="shared" si="82"/>
        <v>OFF</v>
      </c>
      <c r="H110" s="12">
        <f>IFERROR(VLOOKUP(A110,'Agent Sched'!B:F,5,),"-")</f>
        <v>0.625</v>
      </c>
      <c r="I110" s="13">
        <f t="shared" si="83"/>
        <v>1</v>
      </c>
      <c r="J110" s="12">
        <f>IFERROR(VLOOKUP(A110,'Agent Sched'!B:G,6,),"-")</f>
        <v>0.625</v>
      </c>
      <c r="K110" s="13">
        <f t="shared" si="84"/>
        <v>1</v>
      </c>
      <c r="L110" s="12">
        <f>IFERROR(VLOOKUP(A110,'Agent Sched'!B:H,7,),"-")</f>
        <v>0.625</v>
      </c>
      <c r="M110" s="13">
        <f t="shared" si="85"/>
        <v>1</v>
      </c>
      <c r="N110" s="21" t="str">
        <f>IFERROR(VLOOKUP(A110,'Agent Sched'!B:I,8,),"-")</f>
        <v>OFF</v>
      </c>
      <c r="O110" s="13" t="str">
        <f t="shared" si="86"/>
        <v>OFF</v>
      </c>
      <c r="Q110" s="12">
        <f>VLOOKUP(A110,'Agent Sched'!B:Y,24,)</f>
        <v>0.625</v>
      </c>
      <c r="R110" s="13">
        <f t="shared" si="87"/>
        <v>1</v>
      </c>
      <c r="T110" s="26" t="str">
        <f>VLOOKUP(A110,'Agent Sched'!$B:$J,9,)</f>
        <v>OFF</v>
      </c>
      <c r="U110" s="13" t="str">
        <f t="shared" si="88"/>
        <v>OFF</v>
      </c>
      <c r="V110" s="22">
        <f>VLOOKUP(A110,'Agent Sched'!B:K,10,)</f>
        <v>0.625</v>
      </c>
      <c r="W110" s="13">
        <f t="shared" si="89"/>
        <v>1</v>
      </c>
      <c r="X110" s="22">
        <f>VLOOKUP(A110,'Agent Sched'!B:L,11,)</f>
        <v>0.625</v>
      </c>
      <c r="Y110" s="13">
        <f t="shared" si="90"/>
        <v>1</v>
      </c>
      <c r="Z110" s="22">
        <f>VLOOKUP(A110,'Agent Sched'!B:M,12,)</f>
        <v>0.625</v>
      </c>
      <c r="AA110" s="13">
        <f t="shared" si="91"/>
        <v>1</v>
      </c>
      <c r="AB110" s="22">
        <f>VLOOKUP(A110,'Agent Sched'!B:N,13,)</f>
        <v>0.625</v>
      </c>
      <c r="AC110" s="13">
        <f t="shared" si="92"/>
        <v>1</v>
      </c>
      <c r="AD110" s="22">
        <f>VLOOKUP(A110,'Agent Sched'!B:O,14,)</f>
        <v>0.625</v>
      </c>
      <c r="AE110" s="13">
        <f t="shared" si="93"/>
        <v>1</v>
      </c>
      <c r="AF110" s="24" t="str">
        <f>VLOOKUP(A110,'Agent Sched'!B:P,15,)</f>
        <v>OFF</v>
      </c>
      <c r="AG110" s="13" t="str">
        <f t="shared" si="94"/>
        <v>OFF</v>
      </c>
      <c r="AI110" s="26" t="str">
        <f>VLOOKUP(A110,'Agent Sched'!$B:$Q,16,)</f>
        <v>OFF</v>
      </c>
      <c r="AJ110" s="13" t="str">
        <f t="shared" si="95"/>
        <v>OFF</v>
      </c>
      <c r="AK110" s="22">
        <f>VLOOKUP(A110,'Agent Sched'!B:R,17,)</f>
        <v>0.625</v>
      </c>
      <c r="AL110" s="13">
        <f t="shared" si="96"/>
        <v>1</v>
      </c>
      <c r="AM110" s="22">
        <f>VLOOKUP(A110,'Agent Sched'!B:S,18,)</f>
        <v>0.625</v>
      </c>
      <c r="AN110" s="13">
        <f t="shared" si="97"/>
        <v>1</v>
      </c>
      <c r="AO110" s="22">
        <f>VLOOKUP(A110,'Agent Sched'!B:T,19,)</f>
        <v>0.625</v>
      </c>
      <c r="AP110" s="13">
        <f t="shared" si="98"/>
        <v>1</v>
      </c>
      <c r="AQ110" s="22">
        <f>VLOOKUP(A110,'Agent Sched'!B:U,20,)</f>
        <v>0.625</v>
      </c>
      <c r="AR110" s="13">
        <f t="shared" si="99"/>
        <v>1</v>
      </c>
      <c r="AS110" s="22">
        <f>VLOOKUP(A110,'Agent Sched'!B:V,21,)</f>
        <v>0.625</v>
      </c>
      <c r="AT110" s="13">
        <f t="shared" si="100"/>
        <v>1</v>
      </c>
      <c r="AU110" s="24" t="str">
        <f>VLOOKUP(A110,'Agent Sched'!B:W,22,)</f>
        <v>OFF</v>
      </c>
      <c r="AV110" s="13" t="str">
        <f t="shared" si="101"/>
        <v>OFF</v>
      </c>
    </row>
    <row r="111" spans="1:48" ht="15.75" thickBot="1" x14ac:dyDescent="0.3">
      <c r="A111" s="20" t="str">
        <f>IFERROR('Agent Sched'!B112,"-")</f>
        <v>Archie Plete</v>
      </c>
      <c r="B111" s="12">
        <f>IFERROR(VLOOKUP(A111,'Agent Sched'!$B:$C,2,),"-")</f>
        <v>0.625</v>
      </c>
      <c r="C111" s="13">
        <f t="shared" si="80"/>
        <v>1</v>
      </c>
      <c r="D111" s="12">
        <f>IFERROR(VLOOKUP(A111,'Agent Sched'!B:D,3,),"-")</f>
        <v>0.625</v>
      </c>
      <c r="E111" s="13">
        <f t="shared" si="81"/>
        <v>1</v>
      </c>
      <c r="F111" s="12" t="str">
        <f>IFERROR(VLOOKUP(A111,'Agent Sched'!B:E,4,),"-")</f>
        <v>OFF</v>
      </c>
      <c r="G111" s="13" t="str">
        <f t="shared" si="82"/>
        <v>OFF</v>
      </c>
      <c r="H111" s="12">
        <f>IFERROR(VLOOKUP(A111,'Agent Sched'!B:F,5,),"-")</f>
        <v>0.625</v>
      </c>
      <c r="I111" s="13">
        <f t="shared" si="83"/>
        <v>1</v>
      </c>
      <c r="J111" s="12">
        <f>IFERROR(VLOOKUP(A111,'Agent Sched'!B:G,6,),"-")</f>
        <v>0.625</v>
      </c>
      <c r="K111" s="13">
        <f t="shared" si="84"/>
        <v>1</v>
      </c>
      <c r="L111" s="12">
        <f>IFERROR(VLOOKUP(A111,'Agent Sched'!B:H,7,),"-")</f>
        <v>0.625</v>
      </c>
      <c r="M111" s="13">
        <f t="shared" si="85"/>
        <v>1</v>
      </c>
      <c r="N111" s="21" t="str">
        <f>IFERROR(VLOOKUP(A111,'Agent Sched'!B:I,8,),"-")</f>
        <v>OFF</v>
      </c>
      <c r="O111" s="13" t="str">
        <f t="shared" si="86"/>
        <v>OFF</v>
      </c>
      <c r="Q111" s="12">
        <f>VLOOKUP(A111,'Agent Sched'!B:Y,24,)</f>
        <v>0.625</v>
      </c>
      <c r="R111" s="13">
        <f t="shared" si="87"/>
        <v>1</v>
      </c>
      <c r="T111" s="26" t="str">
        <f>VLOOKUP(A111,'Agent Sched'!$B:$J,9,)</f>
        <v>OFF</v>
      </c>
      <c r="U111" s="13" t="str">
        <f t="shared" si="88"/>
        <v>OFF</v>
      </c>
      <c r="V111" s="22">
        <f>VLOOKUP(A111,'Agent Sched'!B:K,10,)</f>
        <v>0.625</v>
      </c>
      <c r="W111" s="13">
        <f t="shared" si="89"/>
        <v>1</v>
      </c>
      <c r="X111" s="22">
        <f>VLOOKUP(A111,'Agent Sched'!B:L,11,)</f>
        <v>0.625</v>
      </c>
      <c r="Y111" s="13">
        <f t="shared" si="90"/>
        <v>1</v>
      </c>
      <c r="Z111" s="22">
        <f>VLOOKUP(A111,'Agent Sched'!B:M,12,)</f>
        <v>0.625</v>
      </c>
      <c r="AA111" s="13">
        <f t="shared" si="91"/>
        <v>1</v>
      </c>
      <c r="AB111" s="22">
        <f>VLOOKUP(A111,'Agent Sched'!B:N,13,)</f>
        <v>0.625</v>
      </c>
      <c r="AC111" s="13">
        <f t="shared" si="92"/>
        <v>1</v>
      </c>
      <c r="AD111" s="22">
        <f>VLOOKUP(A111,'Agent Sched'!B:O,14,)</f>
        <v>0.625</v>
      </c>
      <c r="AE111" s="13">
        <f t="shared" si="93"/>
        <v>1</v>
      </c>
      <c r="AF111" s="24" t="str">
        <f>VLOOKUP(A111,'Agent Sched'!B:P,15,)</f>
        <v>OFF</v>
      </c>
      <c r="AG111" s="13" t="str">
        <f t="shared" si="94"/>
        <v>OFF</v>
      </c>
      <c r="AI111" s="26" t="str">
        <f>VLOOKUP(A111,'Agent Sched'!$B:$Q,16,)</f>
        <v>OFF</v>
      </c>
      <c r="AJ111" s="13" t="str">
        <f t="shared" si="95"/>
        <v>OFF</v>
      </c>
      <c r="AK111" s="22">
        <f>VLOOKUP(A111,'Agent Sched'!B:R,17,)</f>
        <v>0.625</v>
      </c>
      <c r="AL111" s="13">
        <f t="shared" si="96"/>
        <v>1</v>
      </c>
      <c r="AM111" s="22">
        <f>VLOOKUP(A111,'Agent Sched'!B:S,18,)</f>
        <v>0.625</v>
      </c>
      <c r="AN111" s="13">
        <f t="shared" si="97"/>
        <v>1</v>
      </c>
      <c r="AO111" s="22">
        <f>VLOOKUP(A111,'Agent Sched'!B:T,19,)</f>
        <v>0.625</v>
      </c>
      <c r="AP111" s="13">
        <f t="shared" si="98"/>
        <v>1</v>
      </c>
      <c r="AQ111" s="22">
        <f>VLOOKUP(A111,'Agent Sched'!B:U,20,)</f>
        <v>0.625</v>
      </c>
      <c r="AR111" s="13">
        <f t="shared" si="99"/>
        <v>1</v>
      </c>
      <c r="AS111" s="22">
        <f>VLOOKUP(A111,'Agent Sched'!B:V,21,)</f>
        <v>0.625</v>
      </c>
      <c r="AT111" s="13">
        <f t="shared" si="100"/>
        <v>1</v>
      </c>
      <c r="AU111" s="24" t="str">
        <f>VLOOKUP(A111,'Agent Sched'!B:W,22,)</f>
        <v>OFF</v>
      </c>
      <c r="AV111" s="13" t="str">
        <f t="shared" si="101"/>
        <v>OFF</v>
      </c>
    </row>
    <row r="112" spans="1:48" ht="15.75" thickBot="1" x14ac:dyDescent="0.3">
      <c r="A112" s="20" t="str">
        <f>IFERROR('Agent Sched'!B113,"-")</f>
        <v>John Lord Divinagracia</v>
      </c>
      <c r="B112" s="12">
        <f>IFERROR(VLOOKUP(A112,'Agent Sched'!$B:$C,2,),"-")</f>
        <v>0.625</v>
      </c>
      <c r="C112" s="13">
        <f t="shared" si="80"/>
        <v>1</v>
      </c>
      <c r="D112" s="12">
        <f>IFERROR(VLOOKUP(A112,'Agent Sched'!B:D,3,),"-")</f>
        <v>0.625</v>
      </c>
      <c r="E112" s="13">
        <f t="shared" si="81"/>
        <v>1</v>
      </c>
      <c r="F112" s="12" t="str">
        <f>IFERROR(VLOOKUP(A112,'Agent Sched'!B:E,4,),"-")</f>
        <v>OFF</v>
      </c>
      <c r="G112" s="13" t="str">
        <f t="shared" si="82"/>
        <v>OFF</v>
      </c>
      <c r="H112" s="12">
        <f>IFERROR(VLOOKUP(A112,'Agent Sched'!B:F,5,),"-")</f>
        <v>0.625</v>
      </c>
      <c r="I112" s="13">
        <f t="shared" si="83"/>
        <v>1</v>
      </c>
      <c r="J112" s="12">
        <f>IFERROR(VLOOKUP(A112,'Agent Sched'!B:G,6,),"-")</f>
        <v>0.625</v>
      </c>
      <c r="K112" s="13">
        <f t="shared" si="84"/>
        <v>1</v>
      </c>
      <c r="L112" s="12">
        <f>IFERROR(VLOOKUP(A112,'Agent Sched'!B:H,7,),"-")</f>
        <v>0.625</v>
      </c>
      <c r="M112" s="13">
        <f t="shared" si="85"/>
        <v>1</v>
      </c>
      <c r="N112" s="21" t="str">
        <f>IFERROR(VLOOKUP(A112,'Agent Sched'!B:I,8,),"-")</f>
        <v>OFF</v>
      </c>
      <c r="O112" s="13" t="str">
        <f t="shared" si="86"/>
        <v>OFF</v>
      </c>
      <c r="Q112" s="12">
        <f>VLOOKUP(A112,'Agent Sched'!B:Y,24,)</f>
        <v>0.625</v>
      </c>
      <c r="R112" s="13">
        <f t="shared" si="87"/>
        <v>1</v>
      </c>
      <c r="T112" s="26" t="str">
        <f>VLOOKUP(A112,'Agent Sched'!$B:$J,9,)</f>
        <v>OFF</v>
      </c>
      <c r="U112" s="13" t="str">
        <f t="shared" si="88"/>
        <v>OFF</v>
      </c>
      <c r="V112" s="22">
        <f>VLOOKUP(A112,'Agent Sched'!B:K,10,)</f>
        <v>0.625</v>
      </c>
      <c r="W112" s="13">
        <f t="shared" si="89"/>
        <v>1</v>
      </c>
      <c r="X112" s="22">
        <f>VLOOKUP(A112,'Agent Sched'!B:L,11,)</f>
        <v>0.625</v>
      </c>
      <c r="Y112" s="13">
        <f t="shared" si="90"/>
        <v>1</v>
      </c>
      <c r="Z112" s="22">
        <f>VLOOKUP(A112,'Agent Sched'!B:M,12,)</f>
        <v>0.625</v>
      </c>
      <c r="AA112" s="13">
        <f t="shared" si="91"/>
        <v>1</v>
      </c>
      <c r="AB112" s="22">
        <f>VLOOKUP(A112,'Agent Sched'!B:N,13,)</f>
        <v>0.625</v>
      </c>
      <c r="AC112" s="13">
        <f t="shared" si="92"/>
        <v>1</v>
      </c>
      <c r="AD112" s="22">
        <f>VLOOKUP(A112,'Agent Sched'!B:O,14,)</f>
        <v>0.625</v>
      </c>
      <c r="AE112" s="13">
        <f t="shared" si="93"/>
        <v>1</v>
      </c>
      <c r="AF112" s="24" t="str">
        <f>VLOOKUP(A112,'Agent Sched'!B:P,15,)</f>
        <v>OFF</v>
      </c>
      <c r="AG112" s="13" t="str">
        <f t="shared" si="94"/>
        <v>OFF</v>
      </c>
      <c r="AI112" s="26" t="str">
        <f>VLOOKUP(A112,'Agent Sched'!$B:$Q,16,)</f>
        <v>OFF</v>
      </c>
      <c r="AJ112" s="13" t="str">
        <f t="shared" si="95"/>
        <v>OFF</v>
      </c>
      <c r="AK112" s="22">
        <f>VLOOKUP(A112,'Agent Sched'!B:R,17,)</f>
        <v>0.625</v>
      </c>
      <c r="AL112" s="13">
        <f t="shared" si="96"/>
        <v>1</v>
      </c>
      <c r="AM112" s="22">
        <f>VLOOKUP(A112,'Agent Sched'!B:S,18,)</f>
        <v>0.625</v>
      </c>
      <c r="AN112" s="13">
        <f t="shared" si="97"/>
        <v>1</v>
      </c>
      <c r="AO112" s="22">
        <f>VLOOKUP(A112,'Agent Sched'!B:T,19,)</f>
        <v>0.625</v>
      </c>
      <c r="AP112" s="13">
        <f t="shared" si="98"/>
        <v>1</v>
      </c>
      <c r="AQ112" s="22">
        <f>VLOOKUP(A112,'Agent Sched'!B:U,20,)</f>
        <v>0.625</v>
      </c>
      <c r="AR112" s="13">
        <f t="shared" si="99"/>
        <v>1</v>
      </c>
      <c r="AS112" s="22">
        <f>VLOOKUP(A112,'Agent Sched'!B:V,21,)</f>
        <v>0.625</v>
      </c>
      <c r="AT112" s="13">
        <f t="shared" si="100"/>
        <v>1</v>
      </c>
      <c r="AU112" s="24" t="str">
        <f>VLOOKUP(A112,'Agent Sched'!B:W,22,)</f>
        <v>OFF</v>
      </c>
      <c r="AV112" s="13" t="str">
        <f t="shared" si="101"/>
        <v>OFF</v>
      </c>
    </row>
    <row r="113" spans="1:48" ht="15.75" thickBot="1" x14ac:dyDescent="0.3">
      <c r="A113" s="20" t="str">
        <f>IFERROR('Agent Sched'!B114,"-")</f>
        <v>Karen Jay Villardar</v>
      </c>
      <c r="B113" s="12">
        <f>IFERROR(VLOOKUP(A113,'Agent Sched'!$B:$C,2,),"-")</f>
        <v>0.625</v>
      </c>
      <c r="C113" s="13">
        <f t="shared" si="80"/>
        <v>1</v>
      </c>
      <c r="D113" s="12">
        <f>IFERROR(VLOOKUP(A113,'Agent Sched'!B:D,3,),"-")</f>
        <v>0.625</v>
      </c>
      <c r="E113" s="13">
        <f t="shared" si="81"/>
        <v>1</v>
      </c>
      <c r="F113" s="12" t="str">
        <f>IFERROR(VLOOKUP(A113,'Agent Sched'!B:E,4,),"-")</f>
        <v>OFF</v>
      </c>
      <c r="G113" s="13" t="str">
        <f t="shared" si="82"/>
        <v>OFF</v>
      </c>
      <c r="H113" s="12">
        <f>IFERROR(VLOOKUP(A113,'Agent Sched'!B:F,5,),"-")</f>
        <v>0.625</v>
      </c>
      <c r="I113" s="13">
        <f t="shared" si="83"/>
        <v>1</v>
      </c>
      <c r="J113" s="12">
        <f>IFERROR(VLOOKUP(A113,'Agent Sched'!B:G,6,),"-")</f>
        <v>0.625</v>
      </c>
      <c r="K113" s="13">
        <f t="shared" si="84"/>
        <v>1</v>
      </c>
      <c r="L113" s="12">
        <f>IFERROR(VLOOKUP(A113,'Agent Sched'!B:H,7,),"-")</f>
        <v>0.625</v>
      </c>
      <c r="M113" s="13">
        <f t="shared" si="85"/>
        <v>1</v>
      </c>
      <c r="N113" s="21" t="str">
        <f>IFERROR(VLOOKUP(A113,'Agent Sched'!B:I,8,),"-")</f>
        <v>OFF</v>
      </c>
      <c r="O113" s="13" t="str">
        <f t="shared" si="86"/>
        <v>OFF</v>
      </c>
      <c r="Q113" s="12">
        <f>VLOOKUP(A113,'Agent Sched'!B:Y,24,)</f>
        <v>0.625</v>
      </c>
      <c r="R113" s="13">
        <f t="shared" si="87"/>
        <v>1</v>
      </c>
      <c r="T113" s="26" t="str">
        <f>VLOOKUP(A113,'Agent Sched'!$B:$J,9,)</f>
        <v>OFF</v>
      </c>
      <c r="U113" s="13" t="str">
        <f t="shared" si="88"/>
        <v>OFF</v>
      </c>
      <c r="V113" s="22">
        <f>VLOOKUP(A113,'Agent Sched'!B:K,10,)</f>
        <v>0.625</v>
      </c>
      <c r="W113" s="13">
        <f t="shared" si="89"/>
        <v>1</v>
      </c>
      <c r="X113" s="22">
        <f>VLOOKUP(A113,'Agent Sched'!B:L,11,)</f>
        <v>0.625</v>
      </c>
      <c r="Y113" s="13">
        <f t="shared" si="90"/>
        <v>1</v>
      </c>
      <c r="Z113" s="22">
        <f>VLOOKUP(A113,'Agent Sched'!B:M,12,)</f>
        <v>0.625</v>
      </c>
      <c r="AA113" s="13">
        <f t="shared" si="91"/>
        <v>1</v>
      </c>
      <c r="AB113" s="22">
        <f>VLOOKUP(A113,'Agent Sched'!B:N,13,)</f>
        <v>0.625</v>
      </c>
      <c r="AC113" s="13">
        <f t="shared" si="92"/>
        <v>1</v>
      </c>
      <c r="AD113" s="22">
        <f>VLOOKUP(A113,'Agent Sched'!B:O,14,)</f>
        <v>0.625</v>
      </c>
      <c r="AE113" s="13">
        <f t="shared" si="93"/>
        <v>1</v>
      </c>
      <c r="AF113" s="24" t="str">
        <f>VLOOKUP(A113,'Agent Sched'!B:P,15,)</f>
        <v>OFF</v>
      </c>
      <c r="AG113" s="13" t="str">
        <f t="shared" si="94"/>
        <v>OFF</v>
      </c>
      <c r="AI113" s="26" t="str">
        <f>VLOOKUP(A113,'Agent Sched'!$B:$Q,16,)</f>
        <v>OFF</v>
      </c>
      <c r="AJ113" s="13" t="str">
        <f t="shared" si="95"/>
        <v>OFF</v>
      </c>
      <c r="AK113" s="22">
        <f>VLOOKUP(A113,'Agent Sched'!B:R,17,)</f>
        <v>0.625</v>
      </c>
      <c r="AL113" s="13">
        <f t="shared" si="96"/>
        <v>1</v>
      </c>
      <c r="AM113" s="22">
        <f>VLOOKUP(A113,'Agent Sched'!B:S,18,)</f>
        <v>0.625</v>
      </c>
      <c r="AN113" s="13">
        <f t="shared" si="97"/>
        <v>1</v>
      </c>
      <c r="AO113" s="22">
        <f>VLOOKUP(A113,'Agent Sched'!B:T,19,)</f>
        <v>0.625</v>
      </c>
      <c r="AP113" s="13">
        <f t="shared" si="98"/>
        <v>1</v>
      </c>
      <c r="AQ113" s="22">
        <f>VLOOKUP(A113,'Agent Sched'!B:U,20,)</f>
        <v>0.625</v>
      </c>
      <c r="AR113" s="13">
        <f t="shared" si="99"/>
        <v>1</v>
      </c>
      <c r="AS113" s="22">
        <f>VLOOKUP(A113,'Agent Sched'!B:V,21,)</f>
        <v>0.625</v>
      </c>
      <c r="AT113" s="13">
        <f t="shared" si="100"/>
        <v>1</v>
      </c>
      <c r="AU113" s="24" t="str">
        <f>VLOOKUP(A113,'Agent Sched'!B:W,22,)</f>
        <v>OFF</v>
      </c>
      <c r="AV113" s="13" t="str">
        <f t="shared" si="101"/>
        <v>OFF</v>
      </c>
    </row>
    <row r="114" spans="1:48" ht="15.75" thickBot="1" x14ac:dyDescent="0.3">
      <c r="A114" s="20" t="str">
        <f>IFERROR('Agent Sched'!B115,"-")</f>
        <v>Glenn Peñaflorida</v>
      </c>
      <c r="B114" s="12">
        <f>IFERROR(VLOOKUP(A114,'Agent Sched'!$B:$C,2,),"-")</f>
        <v>0.625</v>
      </c>
      <c r="C114" s="13">
        <f t="shared" si="80"/>
        <v>1</v>
      </c>
      <c r="D114" s="12">
        <f>IFERROR(VLOOKUP(A114,'Agent Sched'!B:D,3,),"-")</f>
        <v>0.625</v>
      </c>
      <c r="E114" s="13">
        <f t="shared" si="81"/>
        <v>1</v>
      </c>
      <c r="F114" s="12" t="str">
        <f>IFERROR(VLOOKUP(A114,'Agent Sched'!B:E,4,),"-")</f>
        <v>OFF</v>
      </c>
      <c r="G114" s="13" t="str">
        <f t="shared" si="82"/>
        <v>OFF</v>
      </c>
      <c r="H114" s="12">
        <f>IFERROR(VLOOKUP(A114,'Agent Sched'!B:F,5,),"-")</f>
        <v>0.625</v>
      </c>
      <c r="I114" s="13">
        <f t="shared" si="83"/>
        <v>1</v>
      </c>
      <c r="J114" s="12">
        <f>IFERROR(VLOOKUP(A114,'Agent Sched'!B:G,6,),"-")</f>
        <v>0.625</v>
      </c>
      <c r="K114" s="13">
        <f t="shared" si="84"/>
        <v>1</v>
      </c>
      <c r="L114" s="12">
        <f>IFERROR(VLOOKUP(A114,'Agent Sched'!B:H,7,),"-")</f>
        <v>0.625</v>
      </c>
      <c r="M114" s="13">
        <f t="shared" si="85"/>
        <v>1</v>
      </c>
      <c r="N114" s="21" t="str">
        <f>IFERROR(VLOOKUP(A114,'Agent Sched'!B:I,8,),"-")</f>
        <v>OFF</v>
      </c>
      <c r="O114" s="13" t="str">
        <f t="shared" si="86"/>
        <v>OFF</v>
      </c>
      <c r="Q114" s="12">
        <f>VLOOKUP(A114,'Agent Sched'!B:Y,24,)</f>
        <v>0.625</v>
      </c>
      <c r="R114" s="13">
        <f t="shared" si="87"/>
        <v>1</v>
      </c>
      <c r="T114" s="26" t="str">
        <f>VLOOKUP(A114,'Agent Sched'!$B:$J,9,)</f>
        <v>OFF</v>
      </c>
      <c r="U114" s="13" t="str">
        <f t="shared" si="88"/>
        <v>OFF</v>
      </c>
      <c r="V114" s="22">
        <f>VLOOKUP(A114,'Agent Sched'!B:K,10,)</f>
        <v>0.625</v>
      </c>
      <c r="W114" s="13">
        <f t="shared" si="89"/>
        <v>1</v>
      </c>
      <c r="X114" s="22">
        <f>VLOOKUP(A114,'Agent Sched'!B:L,11,)</f>
        <v>0.625</v>
      </c>
      <c r="Y114" s="13">
        <f t="shared" si="90"/>
        <v>1</v>
      </c>
      <c r="Z114" s="22">
        <f>VLOOKUP(A114,'Agent Sched'!B:M,12,)</f>
        <v>0.625</v>
      </c>
      <c r="AA114" s="13">
        <f t="shared" si="91"/>
        <v>1</v>
      </c>
      <c r="AB114" s="22">
        <f>VLOOKUP(A114,'Agent Sched'!B:N,13,)</f>
        <v>0.625</v>
      </c>
      <c r="AC114" s="13">
        <f t="shared" si="92"/>
        <v>1</v>
      </c>
      <c r="AD114" s="22">
        <f>VLOOKUP(A114,'Agent Sched'!B:O,14,)</f>
        <v>0.625</v>
      </c>
      <c r="AE114" s="13">
        <f t="shared" si="93"/>
        <v>1</v>
      </c>
      <c r="AF114" s="24" t="str">
        <f>VLOOKUP(A114,'Agent Sched'!B:P,15,)</f>
        <v>OFF</v>
      </c>
      <c r="AG114" s="13" t="str">
        <f t="shared" si="94"/>
        <v>OFF</v>
      </c>
      <c r="AI114" s="26" t="str">
        <f>VLOOKUP(A114,'Agent Sched'!$B:$Q,16,)</f>
        <v>OFF</v>
      </c>
      <c r="AJ114" s="13" t="str">
        <f t="shared" si="95"/>
        <v>OFF</v>
      </c>
      <c r="AK114" s="22">
        <f>VLOOKUP(A114,'Agent Sched'!B:R,17,)</f>
        <v>0.625</v>
      </c>
      <c r="AL114" s="13">
        <f t="shared" si="96"/>
        <v>1</v>
      </c>
      <c r="AM114" s="22">
        <f>VLOOKUP(A114,'Agent Sched'!B:S,18,)</f>
        <v>0.625</v>
      </c>
      <c r="AN114" s="13">
        <f t="shared" si="97"/>
        <v>1</v>
      </c>
      <c r="AO114" s="22">
        <f>VLOOKUP(A114,'Agent Sched'!B:T,19,)</f>
        <v>0.625</v>
      </c>
      <c r="AP114" s="13">
        <f t="shared" si="98"/>
        <v>1</v>
      </c>
      <c r="AQ114" s="22">
        <f>VLOOKUP(A114,'Agent Sched'!B:U,20,)</f>
        <v>0.625</v>
      </c>
      <c r="AR114" s="13">
        <f t="shared" si="99"/>
        <v>1</v>
      </c>
      <c r="AS114" s="22">
        <f>VLOOKUP(A114,'Agent Sched'!B:V,21,)</f>
        <v>0.625</v>
      </c>
      <c r="AT114" s="13">
        <f t="shared" si="100"/>
        <v>1</v>
      </c>
      <c r="AU114" s="24" t="str">
        <f>VLOOKUP(A114,'Agent Sched'!B:W,22,)</f>
        <v>OFF</v>
      </c>
      <c r="AV114" s="13" t="str">
        <f t="shared" si="101"/>
        <v>OFF</v>
      </c>
    </row>
    <row r="115" spans="1:48" ht="15.75" thickBot="1" x14ac:dyDescent="0.3">
      <c r="A115" s="20" t="str">
        <f>IFERROR('Agent Sched'!B116,"-")</f>
        <v>Nadine Amaguin</v>
      </c>
      <c r="B115" s="12">
        <f>IFERROR(VLOOKUP(A115,'Agent Sched'!$B:$C,2,),"-")</f>
        <v>0.625</v>
      </c>
      <c r="C115" s="13">
        <f t="shared" si="80"/>
        <v>1</v>
      </c>
      <c r="D115" s="12">
        <f>IFERROR(VLOOKUP(A115,'Agent Sched'!B:D,3,),"-")</f>
        <v>0.625</v>
      </c>
      <c r="E115" s="13">
        <f t="shared" si="81"/>
        <v>1</v>
      </c>
      <c r="F115" s="12" t="str">
        <f>IFERROR(VLOOKUP(A115,'Agent Sched'!B:E,4,),"-")</f>
        <v>OFF</v>
      </c>
      <c r="G115" s="13" t="str">
        <f t="shared" si="82"/>
        <v>OFF</v>
      </c>
      <c r="H115" s="12">
        <f>IFERROR(VLOOKUP(A115,'Agent Sched'!B:F,5,),"-")</f>
        <v>0.625</v>
      </c>
      <c r="I115" s="13">
        <f t="shared" si="83"/>
        <v>1</v>
      </c>
      <c r="J115" s="12">
        <f>IFERROR(VLOOKUP(A115,'Agent Sched'!B:G,6,),"-")</f>
        <v>0.625</v>
      </c>
      <c r="K115" s="13">
        <f t="shared" si="84"/>
        <v>1</v>
      </c>
      <c r="L115" s="12">
        <f>IFERROR(VLOOKUP(A115,'Agent Sched'!B:H,7,),"-")</f>
        <v>0.625</v>
      </c>
      <c r="M115" s="13">
        <f t="shared" si="85"/>
        <v>1</v>
      </c>
      <c r="N115" s="21" t="str">
        <f>IFERROR(VLOOKUP(A115,'Agent Sched'!B:I,8,),"-")</f>
        <v>OFF</v>
      </c>
      <c r="O115" s="13" t="str">
        <f t="shared" si="86"/>
        <v>OFF</v>
      </c>
      <c r="Q115" s="12">
        <f>VLOOKUP(A115,'Agent Sched'!B:Y,24,)</f>
        <v>0.625</v>
      </c>
      <c r="R115" s="13">
        <f t="shared" si="87"/>
        <v>1</v>
      </c>
      <c r="T115" s="26" t="str">
        <f>VLOOKUP(A115,'Agent Sched'!$B:$J,9,)</f>
        <v>OFF</v>
      </c>
      <c r="U115" s="13" t="str">
        <f t="shared" si="88"/>
        <v>OFF</v>
      </c>
      <c r="V115" s="22">
        <f>VLOOKUP(A115,'Agent Sched'!B:K,10,)</f>
        <v>0.625</v>
      </c>
      <c r="W115" s="13">
        <f t="shared" si="89"/>
        <v>1</v>
      </c>
      <c r="X115" s="22">
        <f>VLOOKUP(A115,'Agent Sched'!B:L,11,)</f>
        <v>0.625</v>
      </c>
      <c r="Y115" s="13">
        <f t="shared" si="90"/>
        <v>1</v>
      </c>
      <c r="Z115" s="22">
        <f>VLOOKUP(A115,'Agent Sched'!B:M,12,)</f>
        <v>0.625</v>
      </c>
      <c r="AA115" s="13">
        <f t="shared" si="91"/>
        <v>1</v>
      </c>
      <c r="AB115" s="22">
        <f>VLOOKUP(A115,'Agent Sched'!B:N,13,)</f>
        <v>0.625</v>
      </c>
      <c r="AC115" s="13">
        <f t="shared" si="92"/>
        <v>1</v>
      </c>
      <c r="AD115" s="22">
        <f>VLOOKUP(A115,'Agent Sched'!B:O,14,)</f>
        <v>0.625</v>
      </c>
      <c r="AE115" s="13">
        <f t="shared" si="93"/>
        <v>1</v>
      </c>
      <c r="AF115" s="24" t="str">
        <f>VLOOKUP(A115,'Agent Sched'!B:P,15,)</f>
        <v>OFF</v>
      </c>
      <c r="AG115" s="13" t="str">
        <f t="shared" si="94"/>
        <v>OFF</v>
      </c>
      <c r="AI115" s="26" t="str">
        <f>VLOOKUP(A115,'Agent Sched'!$B:$Q,16,)</f>
        <v>OFF</v>
      </c>
      <c r="AJ115" s="13" t="str">
        <f t="shared" si="95"/>
        <v>OFF</v>
      </c>
      <c r="AK115" s="22">
        <f>VLOOKUP(A115,'Agent Sched'!B:R,17,)</f>
        <v>0.625</v>
      </c>
      <c r="AL115" s="13">
        <f t="shared" si="96"/>
        <v>1</v>
      </c>
      <c r="AM115" s="22">
        <f>VLOOKUP(A115,'Agent Sched'!B:S,18,)</f>
        <v>0.625</v>
      </c>
      <c r="AN115" s="13">
        <f t="shared" si="97"/>
        <v>1</v>
      </c>
      <c r="AO115" s="22">
        <f>VLOOKUP(A115,'Agent Sched'!B:T,19,)</f>
        <v>0.625</v>
      </c>
      <c r="AP115" s="13">
        <f t="shared" si="98"/>
        <v>1</v>
      </c>
      <c r="AQ115" s="22">
        <f>VLOOKUP(A115,'Agent Sched'!B:U,20,)</f>
        <v>0.625</v>
      </c>
      <c r="AR115" s="13">
        <f t="shared" si="99"/>
        <v>1</v>
      </c>
      <c r="AS115" s="22">
        <f>VLOOKUP(A115,'Agent Sched'!B:V,21,)</f>
        <v>0.625</v>
      </c>
      <c r="AT115" s="13">
        <f t="shared" si="100"/>
        <v>1</v>
      </c>
      <c r="AU115" s="24" t="str">
        <f>VLOOKUP(A115,'Agent Sched'!B:W,22,)</f>
        <v>OFF</v>
      </c>
      <c r="AV115" s="13" t="str">
        <f t="shared" si="101"/>
        <v>OFF</v>
      </c>
    </row>
    <row r="116" spans="1:48" ht="15.75" thickBot="1" x14ac:dyDescent="0.3">
      <c r="A116" s="20" t="str">
        <f>IFERROR('Agent Sched'!B117,"-")</f>
        <v>Lyka Mhaey Cosalan</v>
      </c>
      <c r="B116" s="12">
        <f>IFERROR(VLOOKUP(A116,'Agent Sched'!$B:$C,2,),"-")</f>
        <v>0.625</v>
      </c>
      <c r="C116" s="13">
        <f t="shared" si="80"/>
        <v>1</v>
      </c>
      <c r="D116" s="12">
        <f>IFERROR(VLOOKUP(A116,'Agent Sched'!B:D,3,),"-")</f>
        <v>0.625</v>
      </c>
      <c r="E116" s="13">
        <f t="shared" si="81"/>
        <v>1</v>
      </c>
      <c r="F116" s="12" t="str">
        <f>IFERROR(VLOOKUP(A116,'Agent Sched'!B:E,4,),"-")</f>
        <v>OFF</v>
      </c>
      <c r="G116" s="13" t="str">
        <f t="shared" si="82"/>
        <v>OFF</v>
      </c>
      <c r="H116" s="12">
        <f>IFERROR(VLOOKUP(A116,'Agent Sched'!B:F,5,),"-")</f>
        <v>0.625</v>
      </c>
      <c r="I116" s="13">
        <f t="shared" si="83"/>
        <v>1</v>
      </c>
      <c r="J116" s="12">
        <f>IFERROR(VLOOKUP(A116,'Agent Sched'!B:G,6,),"-")</f>
        <v>0.625</v>
      </c>
      <c r="K116" s="13">
        <f t="shared" si="84"/>
        <v>1</v>
      </c>
      <c r="L116" s="12">
        <f>IFERROR(VLOOKUP(A116,'Agent Sched'!B:H,7,),"-")</f>
        <v>0.625</v>
      </c>
      <c r="M116" s="13">
        <f t="shared" si="85"/>
        <v>1</v>
      </c>
      <c r="N116" s="21" t="str">
        <f>IFERROR(VLOOKUP(A116,'Agent Sched'!B:I,8,),"-")</f>
        <v>OFF</v>
      </c>
      <c r="O116" s="13" t="str">
        <f t="shared" si="86"/>
        <v>OFF</v>
      </c>
      <c r="Q116" s="12">
        <f>VLOOKUP(A116,'Agent Sched'!B:Y,24,)</f>
        <v>0.625</v>
      </c>
      <c r="R116" s="13">
        <f t="shared" si="87"/>
        <v>1</v>
      </c>
      <c r="T116" s="26" t="str">
        <f>VLOOKUP(A116,'Agent Sched'!$B:$J,9,)</f>
        <v>OFF</v>
      </c>
      <c r="U116" s="13" t="str">
        <f t="shared" si="88"/>
        <v>OFF</v>
      </c>
      <c r="V116" s="22">
        <f>VLOOKUP(A116,'Agent Sched'!B:K,10,)</f>
        <v>0.625</v>
      </c>
      <c r="W116" s="13">
        <f t="shared" si="89"/>
        <v>1</v>
      </c>
      <c r="X116" s="22">
        <f>VLOOKUP(A116,'Agent Sched'!B:L,11,)</f>
        <v>0.625</v>
      </c>
      <c r="Y116" s="13">
        <f t="shared" si="90"/>
        <v>1</v>
      </c>
      <c r="Z116" s="22">
        <f>VLOOKUP(A116,'Agent Sched'!B:M,12,)</f>
        <v>0.625</v>
      </c>
      <c r="AA116" s="13">
        <f t="shared" si="91"/>
        <v>1</v>
      </c>
      <c r="AB116" s="22">
        <f>VLOOKUP(A116,'Agent Sched'!B:N,13,)</f>
        <v>0.625</v>
      </c>
      <c r="AC116" s="13">
        <f t="shared" si="92"/>
        <v>1</v>
      </c>
      <c r="AD116" s="22">
        <f>VLOOKUP(A116,'Agent Sched'!B:O,14,)</f>
        <v>0.625</v>
      </c>
      <c r="AE116" s="13">
        <f t="shared" si="93"/>
        <v>1</v>
      </c>
      <c r="AF116" s="24" t="str">
        <f>VLOOKUP(A116,'Agent Sched'!B:P,15,)</f>
        <v>OFF</v>
      </c>
      <c r="AG116" s="13" t="str">
        <f t="shared" si="94"/>
        <v>OFF</v>
      </c>
      <c r="AI116" s="26" t="str">
        <f>VLOOKUP(A116,'Agent Sched'!$B:$Q,16,)</f>
        <v>OFF</v>
      </c>
      <c r="AJ116" s="13" t="str">
        <f t="shared" si="95"/>
        <v>OFF</v>
      </c>
      <c r="AK116" s="22">
        <f>VLOOKUP(A116,'Agent Sched'!B:R,17,)</f>
        <v>0.625</v>
      </c>
      <c r="AL116" s="13">
        <f t="shared" si="96"/>
        <v>1</v>
      </c>
      <c r="AM116" s="22">
        <f>VLOOKUP(A116,'Agent Sched'!B:S,18,)</f>
        <v>0.625</v>
      </c>
      <c r="AN116" s="13">
        <f t="shared" si="97"/>
        <v>1</v>
      </c>
      <c r="AO116" s="22">
        <f>VLOOKUP(A116,'Agent Sched'!B:T,19,)</f>
        <v>0.625</v>
      </c>
      <c r="AP116" s="13">
        <f t="shared" si="98"/>
        <v>1</v>
      </c>
      <c r="AQ116" s="22">
        <f>VLOOKUP(A116,'Agent Sched'!B:U,20,)</f>
        <v>0.625</v>
      </c>
      <c r="AR116" s="13">
        <f t="shared" si="99"/>
        <v>1</v>
      </c>
      <c r="AS116" s="22">
        <f>VLOOKUP(A116,'Agent Sched'!B:V,21,)</f>
        <v>0.625</v>
      </c>
      <c r="AT116" s="13">
        <f t="shared" si="100"/>
        <v>1</v>
      </c>
      <c r="AU116" s="24" t="str">
        <f>VLOOKUP(A116,'Agent Sched'!B:W,22,)</f>
        <v>OFF</v>
      </c>
      <c r="AV116" s="13" t="str">
        <f t="shared" si="101"/>
        <v>OFF</v>
      </c>
    </row>
    <row r="117" spans="1:48" ht="15.75" thickBot="1" x14ac:dyDescent="0.3">
      <c r="A117" s="20" t="str">
        <f>IFERROR('Agent Sched'!B118,"-")</f>
        <v>Jane Sairah Mae,Camingay,Arac</v>
      </c>
      <c r="B117" s="12">
        <f>IFERROR(VLOOKUP(A117,'Agent Sched'!$B:$C,2,),"-")</f>
        <v>0.58333333333333337</v>
      </c>
      <c r="C117" s="13">
        <f t="shared" si="80"/>
        <v>0.95833333333333337</v>
      </c>
      <c r="D117" s="12">
        <f>IFERROR(VLOOKUP(A117,'Agent Sched'!B:D,3,),"-")</f>
        <v>0.58333333333333337</v>
      </c>
      <c r="E117" s="13">
        <f t="shared" si="81"/>
        <v>0.95833333333333337</v>
      </c>
      <c r="F117" s="12">
        <f>IFERROR(VLOOKUP(A117,'Agent Sched'!B:E,4,),"-")</f>
        <v>0.58333333333333337</v>
      </c>
      <c r="G117" s="13">
        <f t="shared" si="82"/>
        <v>0.95833333333333337</v>
      </c>
      <c r="H117" s="12">
        <f>IFERROR(VLOOKUP(A117,'Agent Sched'!B:F,5,),"-")</f>
        <v>0.58333333333333337</v>
      </c>
      <c r="I117" s="13">
        <f t="shared" si="83"/>
        <v>0.95833333333333337</v>
      </c>
      <c r="J117" s="12">
        <f>IFERROR(VLOOKUP(A117,'Agent Sched'!B:G,6,),"-")</f>
        <v>0.58333333333333337</v>
      </c>
      <c r="K117" s="13">
        <f t="shared" si="84"/>
        <v>0.95833333333333337</v>
      </c>
      <c r="L117" s="12" t="str">
        <f>IFERROR(VLOOKUP(A117,'Agent Sched'!B:H,7,),"-")</f>
        <v>OFF</v>
      </c>
      <c r="M117" s="13" t="str">
        <f t="shared" si="85"/>
        <v>OFF</v>
      </c>
      <c r="N117" s="21" t="str">
        <f>IFERROR(VLOOKUP(A117,'Agent Sched'!B:I,8,),"-")</f>
        <v>OFF</v>
      </c>
      <c r="O117" s="13" t="str">
        <f t="shared" si="86"/>
        <v>OFF</v>
      </c>
      <c r="Q117" s="12" t="str">
        <f>VLOOKUP(A117,'Agent Sched'!B:Y,24,)</f>
        <v>OFF</v>
      </c>
      <c r="R117" s="13" t="str">
        <f t="shared" si="87"/>
        <v>OFF</v>
      </c>
      <c r="T117" s="26">
        <f>VLOOKUP(A117,'Agent Sched'!$B:$J,9,)</f>
        <v>0.58333333333333337</v>
      </c>
      <c r="U117" s="13">
        <f t="shared" si="88"/>
        <v>0.95833333333333337</v>
      </c>
      <c r="V117" s="22">
        <f>VLOOKUP(A117,'Agent Sched'!B:K,10,)</f>
        <v>0.58333333333333337</v>
      </c>
      <c r="W117" s="13">
        <f t="shared" si="89"/>
        <v>0.95833333333333337</v>
      </c>
      <c r="X117" s="22">
        <f>VLOOKUP(A117,'Agent Sched'!B:L,11,)</f>
        <v>0.58333333333333337</v>
      </c>
      <c r="Y117" s="13">
        <f t="shared" si="90"/>
        <v>0.95833333333333337</v>
      </c>
      <c r="Z117" s="22">
        <f>VLOOKUP(A117,'Agent Sched'!B:M,12,)</f>
        <v>0.58333333333333337</v>
      </c>
      <c r="AA117" s="13">
        <f t="shared" si="91"/>
        <v>0.95833333333333337</v>
      </c>
      <c r="AB117" s="22">
        <f>VLOOKUP(A117,'Agent Sched'!B:N,13,)</f>
        <v>0.58333333333333337</v>
      </c>
      <c r="AC117" s="13">
        <f t="shared" si="92"/>
        <v>0.95833333333333337</v>
      </c>
      <c r="AD117" s="22" t="str">
        <f>VLOOKUP(A117,'Agent Sched'!B:O,14,)</f>
        <v>OFF</v>
      </c>
      <c r="AE117" s="13" t="str">
        <f t="shared" si="93"/>
        <v>OFF</v>
      </c>
      <c r="AF117" s="24" t="str">
        <f>VLOOKUP(A117,'Agent Sched'!B:P,15,)</f>
        <v>OFF</v>
      </c>
      <c r="AG117" s="13" t="str">
        <f t="shared" si="94"/>
        <v>OFF</v>
      </c>
      <c r="AI117" s="26">
        <f>VLOOKUP(A117,'Agent Sched'!$B:$Q,16,)</f>
        <v>0.58333333333333337</v>
      </c>
      <c r="AJ117" s="13">
        <f t="shared" si="95"/>
        <v>0.95833333333333337</v>
      </c>
      <c r="AK117" s="22">
        <f>VLOOKUP(A117,'Agent Sched'!B:R,17,)</f>
        <v>0.58333333333333337</v>
      </c>
      <c r="AL117" s="13">
        <f t="shared" si="96"/>
        <v>0.95833333333333337</v>
      </c>
      <c r="AM117" s="22">
        <f>VLOOKUP(A117,'Agent Sched'!B:S,18,)</f>
        <v>0.58333333333333337</v>
      </c>
      <c r="AN117" s="13">
        <f t="shared" si="97"/>
        <v>0.95833333333333337</v>
      </c>
      <c r="AO117" s="22">
        <f>VLOOKUP(A117,'Agent Sched'!B:T,19,)</f>
        <v>0.58333333333333337</v>
      </c>
      <c r="AP117" s="13">
        <f t="shared" si="98"/>
        <v>0.95833333333333337</v>
      </c>
      <c r="AQ117" s="22">
        <f>VLOOKUP(A117,'Agent Sched'!B:U,20,)</f>
        <v>0.58333333333333337</v>
      </c>
      <c r="AR117" s="13">
        <f t="shared" si="99"/>
        <v>0.95833333333333337</v>
      </c>
      <c r="AS117" s="22" t="str">
        <f>VLOOKUP(A117,'Agent Sched'!B:V,21,)</f>
        <v>OFF</v>
      </c>
      <c r="AT117" s="13" t="str">
        <f t="shared" si="100"/>
        <v>OFF</v>
      </c>
      <c r="AU117" s="24" t="str">
        <f>VLOOKUP(A117,'Agent Sched'!B:W,22,)</f>
        <v>OFF</v>
      </c>
      <c r="AV117" s="13" t="str">
        <f t="shared" si="101"/>
        <v>OFF</v>
      </c>
    </row>
    <row r="118" spans="1:48" ht="15.75" thickBot="1" x14ac:dyDescent="0.3">
      <c r="A118" s="20" t="str">
        <f>IFERROR('Agent Sched'!B119,"-")</f>
        <v>Aileen Tumanon</v>
      </c>
      <c r="B118" s="12">
        <f>IFERROR(VLOOKUP(A118,'Agent Sched'!$B:$C,2,),"-")</f>
        <v>0.375</v>
      </c>
      <c r="C118" s="13">
        <f t="shared" si="80"/>
        <v>0.75</v>
      </c>
      <c r="D118" s="12" t="str">
        <f>IFERROR(VLOOKUP(A118,'Agent Sched'!B:D,3,),"-")</f>
        <v>OFF</v>
      </c>
      <c r="E118" s="13" t="str">
        <f t="shared" si="81"/>
        <v>OFF</v>
      </c>
      <c r="F118" s="12" t="str">
        <f>IFERROR(VLOOKUP(A118,'Agent Sched'!B:E,4,),"-")</f>
        <v>OFF</v>
      </c>
      <c r="G118" s="13" t="str">
        <f t="shared" si="82"/>
        <v>OFF</v>
      </c>
      <c r="H118" s="12">
        <f>IFERROR(VLOOKUP(A118,'Agent Sched'!B:F,5,),"-")</f>
        <v>0.375</v>
      </c>
      <c r="I118" s="13">
        <f t="shared" si="83"/>
        <v>0.75</v>
      </c>
      <c r="J118" s="12">
        <f>IFERROR(VLOOKUP(A118,'Agent Sched'!B:G,6,),"-")</f>
        <v>0.375</v>
      </c>
      <c r="K118" s="13">
        <f t="shared" si="84"/>
        <v>0.75</v>
      </c>
      <c r="L118" s="12">
        <f>IFERROR(VLOOKUP(A118,'Agent Sched'!B:H,7,),"-")</f>
        <v>0.375</v>
      </c>
      <c r="M118" s="13">
        <f t="shared" si="85"/>
        <v>0.75</v>
      </c>
      <c r="N118" s="21">
        <f>IFERROR(VLOOKUP(A118,'Agent Sched'!B:I,8,),"-")</f>
        <v>0.375</v>
      </c>
      <c r="O118" s="13">
        <f t="shared" si="86"/>
        <v>0.75</v>
      </c>
      <c r="Q118" s="12">
        <f>VLOOKUP(A118,'Agent Sched'!B:Y,24,)</f>
        <v>0.375</v>
      </c>
      <c r="R118" s="13">
        <f t="shared" si="87"/>
        <v>0.75</v>
      </c>
      <c r="T118" s="26">
        <f>VLOOKUP(A118,'Agent Sched'!$B:$J,9,)</f>
        <v>0.375</v>
      </c>
      <c r="U118" s="13">
        <f t="shared" si="88"/>
        <v>0.75</v>
      </c>
      <c r="V118" s="22" t="str">
        <f>VLOOKUP(A118,'Agent Sched'!B:K,10,)</f>
        <v>OFF</v>
      </c>
      <c r="W118" s="13" t="str">
        <f t="shared" si="89"/>
        <v>OFF</v>
      </c>
      <c r="X118" s="22" t="str">
        <f>VLOOKUP(A118,'Agent Sched'!B:L,11,)</f>
        <v>OFF</v>
      </c>
      <c r="Y118" s="13" t="str">
        <f t="shared" si="90"/>
        <v>OFF</v>
      </c>
      <c r="Z118" s="22">
        <f>VLOOKUP(A118,'Agent Sched'!B:M,12,)</f>
        <v>0.375</v>
      </c>
      <c r="AA118" s="13">
        <f t="shared" si="91"/>
        <v>0.75</v>
      </c>
      <c r="AB118" s="22">
        <f>VLOOKUP(A118,'Agent Sched'!B:N,13,)</f>
        <v>0.375</v>
      </c>
      <c r="AC118" s="13">
        <f t="shared" si="92"/>
        <v>0.75</v>
      </c>
      <c r="AD118" s="22">
        <f>VLOOKUP(A118,'Agent Sched'!B:O,14,)</f>
        <v>0.375</v>
      </c>
      <c r="AE118" s="13">
        <f t="shared" si="93"/>
        <v>0.75</v>
      </c>
      <c r="AF118" s="24">
        <f>VLOOKUP(A118,'Agent Sched'!B:P,15,)</f>
        <v>0.375</v>
      </c>
      <c r="AG118" s="13">
        <f t="shared" si="94"/>
        <v>0.75</v>
      </c>
      <c r="AI118" s="26">
        <f>VLOOKUP(A118,'Agent Sched'!$B:$Q,16,)</f>
        <v>0.375</v>
      </c>
      <c r="AJ118" s="13">
        <f t="shared" si="95"/>
        <v>0.75</v>
      </c>
      <c r="AK118" s="22" t="str">
        <f>VLOOKUP(A118,'Agent Sched'!B:R,17,)</f>
        <v>OFF</v>
      </c>
      <c r="AL118" s="13" t="str">
        <f t="shared" si="96"/>
        <v>OFF</v>
      </c>
      <c r="AM118" s="22" t="str">
        <f>VLOOKUP(A118,'Agent Sched'!B:S,18,)</f>
        <v>OFF</v>
      </c>
      <c r="AN118" s="13" t="str">
        <f t="shared" si="97"/>
        <v>OFF</v>
      </c>
      <c r="AO118" s="22">
        <f>VLOOKUP(A118,'Agent Sched'!B:T,19,)</f>
        <v>0.375</v>
      </c>
      <c r="AP118" s="13">
        <f t="shared" si="98"/>
        <v>0.75</v>
      </c>
      <c r="AQ118" s="22">
        <f>VLOOKUP(A118,'Agent Sched'!B:U,20,)</f>
        <v>0.375</v>
      </c>
      <c r="AR118" s="13">
        <f t="shared" si="99"/>
        <v>0.75</v>
      </c>
      <c r="AS118" s="22">
        <f>VLOOKUP(A118,'Agent Sched'!B:V,21,)</f>
        <v>0.375</v>
      </c>
      <c r="AT118" s="13">
        <f t="shared" si="100"/>
        <v>0.75</v>
      </c>
      <c r="AU118" s="24">
        <f>VLOOKUP(A118,'Agent Sched'!B:W,22,)</f>
        <v>0.375</v>
      </c>
      <c r="AV118" s="13">
        <f t="shared" si="101"/>
        <v>0.75</v>
      </c>
    </row>
    <row r="119" spans="1:48" ht="15.75" thickBot="1" x14ac:dyDescent="0.3">
      <c r="A119" s="20" t="str">
        <f>IFERROR('Agent Sched'!B120,"-")</f>
        <v>Lyndon,Madulid,Pastorin</v>
      </c>
      <c r="B119" s="12">
        <f>IFERROR(VLOOKUP(A119,'Agent Sched'!$B:$C,2,),"-")</f>
        <v>0.41666666666666669</v>
      </c>
      <c r="C119" s="13">
        <f t="shared" si="80"/>
        <v>0.79166666666666674</v>
      </c>
      <c r="D119" s="12" t="str">
        <f>IFERROR(VLOOKUP(A119,'Agent Sched'!B:D,3,),"-")</f>
        <v>OFF</v>
      </c>
      <c r="E119" s="13" t="str">
        <f t="shared" si="81"/>
        <v>OFF</v>
      </c>
      <c r="F119" s="12" t="str">
        <f>IFERROR(VLOOKUP(A119,'Agent Sched'!B:E,4,),"-")</f>
        <v>OFF</v>
      </c>
      <c r="G119" s="13" t="str">
        <f t="shared" si="82"/>
        <v>OFF</v>
      </c>
      <c r="H119" s="12">
        <f>IFERROR(VLOOKUP(A119,'Agent Sched'!B:F,5,),"-")</f>
        <v>0.41666666666666669</v>
      </c>
      <c r="I119" s="13">
        <f t="shared" si="83"/>
        <v>0.79166666666666674</v>
      </c>
      <c r="J119" s="12">
        <f>IFERROR(VLOOKUP(A119,'Agent Sched'!B:G,6,),"-")</f>
        <v>0.41666666666666669</v>
      </c>
      <c r="K119" s="13">
        <f t="shared" si="84"/>
        <v>0.79166666666666674</v>
      </c>
      <c r="L119" s="12">
        <f>IFERROR(VLOOKUP(A119,'Agent Sched'!B:H,7,),"-")</f>
        <v>0.41666666666666669</v>
      </c>
      <c r="M119" s="13">
        <f t="shared" si="85"/>
        <v>0.79166666666666674</v>
      </c>
      <c r="N119" s="21">
        <f>IFERROR(VLOOKUP(A119,'Agent Sched'!B:I,8,),"-")</f>
        <v>0.41666666666666669</v>
      </c>
      <c r="O119" s="13">
        <f t="shared" si="86"/>
        <v>0.79166666666666674</v>
      </c>
      <c r="Q119" s="12">
        <f>VLOOKUP(A119,'Agent Sched'!B:Y,24,)</f>
        <v>0.41666666666666669</v>
      </c>
      <c r="R119" s="13">
        <f t="shared" si="87"/>
        <v>0.79166666666666674</v>
      </c>
      <c r="T119" s="26">
        <f>VLOOKUP(A119,'Agent Sched'!$B:$J,9,)</f>
        <v>0.41666666666666669</v>
      </c>
      <c r="U119" s="13">
        <f t="shared" si="88"/>
        <v>0.79166666666666674</v>
      </c>
      <c r="V119" s="22" t="str">
        <f>VLOOKUP(A119,'Agent Sched'!B:K,10,)</f>
        <v>OFF</v>
      </c>
      <c r="W119" s="13" t="str">
        <f t="shared" si="89"/>
        <v>OFF</v>
      </c>
      <c r="X119" s="22" t="str">
        <f>VLOOKUP(A119,'Agent Sched'!B:L,11,)</f>
        <v>OFF</v>
      </c>
      <c r="Y119" s="13" t="str">
        <f t="shared" si="90"/>
        <v>OFF</v>
      </c>
      <c r="Z119" s="22">
        <f>VLOOKUP(A119,'Agent Sched'!B:M,12,)</f>
        <v>0.41666666666666669</v>
      </c>
      <c r="AA119" s="13">
        <f t="shared" si="91"/>
        <v>0.79166666666666674</v>
      </c>
      <c r="AB119" s="22">
        <f>VLOOKUP(A119,'Agent Sched'!B:N,13,)</f>
        <v>0.41666666666666669</v>
      </c>
      <c r="AC119" s="13">
        <f t="shared" si="92"/>
        <v>0.79166666666666674</v>
      </c>
      <c r="AD119" s="22">
        <f>VLOOKUP(A119,'Agent Sched'!B:O,14,)</f>
        <v>0.41666666666666669</v>
      </c>
      <c r="AE119" s="13">
        <f t="shared" si="93"/>
        <v>0.79166666666666674</v>
      </c>
      <c r="AF119" s="24">
        <f>VLOOKUP(A119,'Agent Sched'!B:P,15,)</f>
        <v>0.41666666666666669</v>
      </c>
      <c r="AG119" s="13">
        <f t="shared" si="94"/>
        <v>0.79166666666666674</v>
      </c>
      <c r="AI119" s="26">
        <f>VLOOKUP(A119,'Agent Sched'!$B:$Q,16,)</f>
        <v>0.41666666666666669</v>
      </c>
      <c r="AJ119" s="13">
        <f t="shared" si="95"/>
        <v>0.79166666666666674</v>
      </c>
      <c r="AK119" s="22" t="str">
        <f>VLOOKUP(A119,'Agent Sched'!B:R,17,)</f>
        <v>OFF</v>
      </c>
      <c r="AL119" s="13" t="str">
        <f t="shared" si="96"/>
        <v>OFF</v>
      </c>
      <c r="AM119" s="22" t="str">
        <f>VLOOKUP(A119,'Agent Sched'!B:S,18,)</f>
        <v>OFF</v>
      </c>
      <c r="AN119" s="13" t="str">
        <f t="shared" si="97"/>
        <v>OFF</v>
      </c>
      <c r="AO119" s="22">
        <f>VLOOKUP(A119,'Agent Sched'!B:T,19,)</f>
        <v>0.41666666666666669</v>
      </c>
      <c r="AP119" s="13">
        <f t="shared" si="98"/>
        <v>0.79166666666666674</v>
      </c>
      <c r="AQ119" s="22">
        <f>VLOOKUP(A119,'Agent Sched'!B:U,20,)</f>
        <v>0.41666666666666669</v>
      </c>
      <c r="AR119" s="13">
        <f t="shared" si="99"/>
        <v>0.79166666666666674</v>
      </c>
      <c r="AS119" s="22">
        <f>VLOOKUP(A119,'Agent Sched'!B:V,21,)</f>
        <v>0.41666666666666669</v>
      </c>
      <c r="AT119" s="13">
        <f t="shared" si="100"/>
        <v>0.79166666666666674</v>
      </c>
      <c r="AU119" s="24">
        <f>VLOOKUP(A119,'Agent Sched'!B:W,22,)</f>
        <v>0.41666666666666669</v>
      </c>
      <c r="AV119" s="13">
        <f t="shared" si="101"/>
        <v>0.79166666666666674</v>
      </c>
    </row>
    <row r="120" spans="1:48" ht="15.75" thickBot="1" x14ac:dyDescent="0.3">
      <c r="A120" s="20" t="str">
        <f>IFERROR('Agent Sched'!B121,"-")</f>
        <v>Jelyn  Panaguiton</v>
      </c>
      <c r="B120" s="12">
        <f>IFERROR(VLOOKUP(A120,'Agent Sched'!$B:$C,2,),"-")</f>
        <v>0.375</v>
      </c>
      <c r="C120" s="13">
        <f t="shared" si="80"/>
        <v>0.75</v>
      </c>
      <c r="D120" s="12">
        <f>IFERROR(VLOOKUP(A120,'Agent Sched'!B:D,3,),"-")</f>
        <v>0.375</v>
      </c>
      <c r="E120" s="13">
        <f t="shared" si="81"/>
        <v>0.75</v>
      </c>
      <c r="F120" s="12">
        <f>IFERROR(VLOOKUP(A120,'Agent Sched'!B:E,4,),"-")</f>
        <v>0.375</v>
      </c>
      <c r="G120" s="13">
        <f t="shared" si="82"/>
        <v>0.75</v>
      </c>
      <c r="H120" s="12">
        <f>IFERROR(VLOOKUP(A120,'Agent Sched'!B:F,5,),"-")</f>
        <v>0.375</v>
      </c>
      <c r="I120" s="13">
        <f t="shared" si="83"/>
        <v>0.75</v>
      </c>
      <c r="J120" s="12">
        <f>IFERROR(VLOOKUP(A120,'Agent Sched'!B:G,6,),"-")</f>
        <v>0.375</v>
      </c>
      <c r="K120" s="13">
        <f t="shared" si="84"/>
        <v>0.75</v>
      </c>
      <c r="L120" s="12" t="str">
        <f>IFERROR(VLOOKUP(A120,'Agent Sched'!B:H,7,),"-")</f>
        <v>OFF</v>
      </c>
      <c r="M120" s="13" t="str">
        <f t="shared" si="85"/>
        <v>OFF</v>
      </c>
      <c r="N120" s="21" t="str">
        <f>IFERROR(VLOOKUP(A120,'Agent Sched'!B:I,8,),"-")</f>
        <v>OFF</v>
      </c>
      <c r="O120" s="13" t="str">
        <f t="shared" si="86"/>
        <v>OFF</v>
      </c>
      <c r="Q120" s="12" t="str">
        <f>VLOOKUP(A120,'Agent Sched'!B:Y,24,)</f>
        <v>OFF</v>
      </c>
      <c r="R120" s="13" t="str">
        <f t="shared" si="87"/>
        <v>OFF</v>
      </c>
      <c r="T120" s="26">
        <f>VLOOKUP(A120,'Agent Sched'!$B:$J,9,)</f>
        <v>0.375</v>
      </c>
      <c r="U120" s="13">
        <f t="shared" si="88"/>
        <v>0.75</v>
      </c>
      <c r="V120" s="22">
        <f>VLOOKUP(A120,'Agent Sched'!B:K,10,)</f>
        <v>0.375</v>
      </c>
      <c r="W120" s="13">
        <f t="shared" si="89"/>
        <v>0.75</v>
      </c>
      <c r="X120" s="22">
        <f>VLOOKUP(A120,'Agent Sched'!B:L,11,)</f>
        <v>0.375</v>
      </c>
      <c r="Y120" s="13">
        <f t="shared" si="90"/>
        <v>0.75</v>
      </c>
      <c r="Z120" s="22">
        <f>VLOOKUP(A120,'Agent Sched'!B:M,12,)</f>
        <v>0.375</v>
      </c>
      <c r="AA120" s="13">
        <f t="shared" si="91"/>
        <v>0.75</v>
      </c>
      <c r="AB120" s="22">
        <f>VLOOKUP(A120,'Agent Sched'!B:N,13,)</f>
        <v>0.375</v>
      </c>
      <c r="AC120" s="13">
        <f t="shared" si="92"/>
        <v>0.75</v>
      </c>
      <c r="AD120" s="22" t="str">
        <f>VLOOKUP(A120,'Agent Sched'!B:O,14,)</f>
        <v>OFF</v>
      </c>
      <c r="AE120" s="13" t="str">
        <f t="shared" si="93"/>
        <v>OFF</v>
      </c>
      <c r="AF120" s="24" t="str">
        <f>VLOOKUP(A120,'Agent Sched'!B:P,15,)</f>
        <v>OFF</v>
      </c>
      <c r="AG120" s="13" t="str">
        <f t="shared" si="94"/>
        <v>OFF</v>
      </c>
      <c r="AI120" s="26">
        <f>VLOOKUP(A120,'Agent Sched'!$B:$Q,16,)</f>
        <v>0.375</v>
      </c>
      <c r="AJ120" s="13">
        <f t="shared" si="95"/>
        <v>0.75</v>
      </c>
      <c r="AK120" s="22">
        <f>VLOOKUP(A120,'Agent Sched'!B:R,17,)</f>
        <v>0.375</v>
      </c>
      <c r="AL120" s="13">
        <f t="shared" si="96"/>
        <v>0.75</v>
      </c>
      <c r="AM120" s="22">
        <f>VLOOKUP(A120,'Agent Sched'!B:S,18,)</f>
        <v>0.375</v>
      </c>
      <c r="AN120" s="13">
        <f t="shared" si="97"/>
        <v>0.75</v>
      </c>
      <c r="AO120" s="22">
        <f>VLOOKUP(A120,'Agent Sched'!B:T,19,)</f>
        <v>0.375</v>
      </c>
      <c r="AP120" s="13">
        <f t="shared" si="98"/>
        <v>0.75</v>
      </c>
      <c r="AQ120" s="22">
        <f>VLOOKUP(A120,'Agent Sched'!B:U,20,)</f>
        <v>0.375</v>
      </c>
      <c r="AR120" s="13">
        <f t="shared" si="99"/>
        <v>0.75</v>
      </c>
      <c r="AS120" s="22" t="str">
        <f>VLOOKUP(A120,'Agent Sched'!B:V,21,)</f>
        <v>OFF</v>
      </c>
      <c r="AT120" s="13" t="str">
        <f t="shared" si="100"/>
        <v>OFF</v>
      </c>
      <c r="AU120" s="24" t="str">
        <f>VLOOKUP(A120,'Agent Sched'!B:W,22,)</f>
        <v>OFF</v>
      </c>
      <c r="AV120" s="13" t="str">
        <f t="shared" si="101"/>
        <v>OFF</v>
      </c>
    </row>
    <row r="121" spans="1:48" ht="15.75" thickBot="1" x14ac:dyDescent="0.3">
      <c r="A121" s="20" t="str">
        <f>IFERROR('Agent Sched'!B122,"-")</f>
        <v>Kriska Malfore Llamas</v>
      </c>
      <c r="B121" s="12">
        <f>IFERROR(VLOOKUP(A121,'Agent Sched'!$B:$C,2,),"-")</f>
        <v>0.41666666666666669</v>
      </c>
      <c r="C121" s="13">
        <f t="shared" si="80"/>
        <v>0.79166666666666674</v>
      </c>
      <c r="D121" s="12" t="str">
        <f>IFERROR(VLOOKUP(A121,'Agent Sched'!B:D,3,),"-")</f>
        <v>OFF</v>
      </c>
      <c r="E121" s="13" t="str">
        <f t="shared" si="81"/>
        <v>OFF</v>
      </c>
      <c r="F121" s="12" t="str">
        <f>IFERROR(VLOOKUP(A121,'Agent Sched'!B:E,4,),"-")</f>
        <v>OFF</v>
      </c>
      <c r="G121" s="13" t="str">
        <f t="shared" si="82"/>
        <v>OFF</v>
      </c>
      <c r="H121" s="12">
        <f>IFERROR(VLOOKUP(A121,'Agent Sched'!B:F,5,),"-")</f>
        <v>0.41666666666666669</v>
      </c>
      <c r="I121" s="13">
        <f t="shared" si="83"/>
        <v>0.79166666666666674</v>
      </c>
      <c r="J121" s="12">
        <f>IFERROR(VLOOKUP(A121,'Agent Sched'!B:G,6,),"-")</f>
        <v>0.41666666666666669</v>
      </c>
      <c r="K121" s="13">
        <f t="shared" si="84"/>
        <v>0.79166666666666674</v>
      </c>
      <c r="L121" s="12">
        <f>IFERROR(VLOOKUP(A121,'Agent Sched'!B:H,7,),"-")</f>
        <v>0.41666666666666669</v>
      </c>
      <c r="M121" s="13">
        <f t="shared" si="85"/>
        <v>0.79166666666666674</v>
      </c>
      <c r="N121" s="21">
        <f>IFERROR(VLOOKUP(A121,'Agent Sched'!B:I,8,),"-")</f>
        <v>0.41666666666666669</v>
      </c>
      <c r="O121" s="13">
        <f t="shared" si="86"/>
        <v>0.79166666666666674</v>
      </c>
      <c r="Q121" s="12">
        <f>VLOOKUP(A121,'Agent Sched'!B:Y,24,)</f>
        <v>0.41666666666666669</v>
      </c>
      <c r="R121" s="13">
        <f t="shared" si="87"/>
        <v>0.79166666666666674</v>
      </c>
      <c r="T121" s="26">
        <f>VLOOKUP(A121,'Agent Sched'!$B:$J,9,)</f>
        <v>0.41666666666666669</v>
      </c>
      <c r="U121" s="13">
        <f t="shared" si="88"/>
        <v>0.79166666666666674</v>
      </c>
      <c r="V121" s="22" t="str">
        <f>VLOOKUP(A121,'Agent Sched'!B:K,10,)</f>
        <v>OFF</v>
      </c>
      <c r="W121" s="13" t="str">
        <f t="shared" si="89"/>
        <v>OFF</v>
      </c>
      <c r="X121" s="22" t="str">
        <f>VLOOKUP(A121,'Agent Sched'!B:L,11,)</f>
        <v>OFF</v>
      </c>
      <c r="Y121" s="13" t="str">
        <f t="shared" si="90"/>
        <v>OFF</v>
      </c>
      <c r="Z121" s="22">
        <f>VLOOKUP(A121,'Agent Sched'!B:M,12,)</f>
        <v>0.41666666666666669</v>
      </c>
      <c r="AA121" s="13">
        <f t="shared" si="91"/>
        <v>0.79166666666666674</v>
      </c>
      <c r="AB121" s="22">
        <f>VLOOKUP(A121,'Agent Sched'!B:N,13,)</f>
        <v>0.41666666666666669</v>
      </c>
      <c r="AC121" s="13">
        <f t="shared" si="92"/>
        <v>0.79166666666666674</v>
      </c>
      <c r="AD121" s="22">
        <f>VLOOKUP(A121,'Agent Sched'!B:O,14,)</f>
        <v>0.41666666666666669</v>
      </c>
      <c r="AE121" s="13">
        <f t="shared" si="93"/>
        <v>0.79166666666666674</v>
      </c>
      <c r="AF121" s="24">
        <f>VLOOKUP(A121,'Agent Sched'!B:P,15,)</f>
        <v>0.41666666666666669</v>
      </c>
      <c r="AG121" s="13">
        <f t="shared" si="94"/>
        <v>0.79166666666666674</v>
      </c>
      <c r="AI121" s="26">
        <f>VLOOKUP(A121,'Agent Sched'!$B:$Q,16,)</f>
        <v>0.41666666666666669</v>
      </c>
      <c r="AJ121" s="13">
        <f t="shared" si="95"/>
        <v>0.79166666666666674</v>
      </c>
      <c r="AK121" s="22" t="str">
        <f>VLOOKUP(A121,'Agent Sched'!B:R,17,)</f>
        <v>OFF</v>
      </c>
      <c r="AL121" s="13" t="str">
        <f t="shared" si="96"/>
        <v>OFF</v>
      </c>
      <c r="AM121" s="22" t="str">
        <f>VLOOKUP(A121,'Agent Sched'!B:S,18,)</f>
        <v>OFF</v>
      </c>
      <c r="AN121" s="13" t="str">
        <f t="shared" si="97"/>
        <v>OFF</v>
      </c>
      <c r="AO121" s="22">
        <f>VLOOKUP(A121,'Agent Sched'!B:T,19,)</f>
        <v>0.41666666666666669</v>
      </c>
      <c r="AP121" s="13">
        <f t="shared" si="98"/>
        <v>0.79166666666666674</v>
      </c>
      <c r="AQ121" s="22">
        <f>VLOOKUP(A121,'Agent Sched'!B:U,20,)</f>
        <v>0.41666666666666669</v>
      </c>
      <c r="AR121" s="13">
        <f t="shared" si="99"/>
        <v>0.79166666666666674</v>
      </c>
      <c r="AS121" s="22">
        <f>VLOOKUP(A121,'Agent Sched'!B:V,21,)</f>
        <v>0.41666666666666669</v>
      </c>
      <c r="AT121" s="13">
        <f t="shared" si="100"/>
        <v>0.79166666666666674</v>
      </c>
      <c r="AU121" s="24">
        <f>VLOOKUP(A121,'Agent Sched'!B:W,22,)</f>
        <v>0.41666666666666669</v>
      </c>
      <c r="AV121" s="13">
        <f t="shared" si="101"/>
        <v>0.79166666666666674</v>
      </c>
    </row>
    <row r="122" spans="1:48" ht="15.75" thickBot="1" x14ac:dyDescent="0.3">
      <c r="A122" s="20"/>
      <c r="B122" s="12"/>
      <c r="C122" s="13"/>
      <c r="D122" s="12"/>
      <c r="E122" s="13"/>
      <c r="F122" s="12"/>
      <c r="G122" s="13"/>
      <c r="H122" s="12"/>
      <c r="I122" s="13"/>
      <c r="J122" s="12"/>
      <c r="K122" s="13"/>
      <c r="L122" s="12"/>
      <c r="M122" s="13"/>
      <c r="N122" s="21"/>
      <c r="O122" s="13"/>
      <c r="Q122" s="12"/>
      <c r="R122" s="13"/>
      <c r="T122" s="26"/>
      <c r="U122" s="13"/>
      <c r="V122" s="22"/>
      <c r="W122" s="13"/>
      <c r="X122" s="22"/>
      <c r="Y122" s="13"/>
      <c r="Z122" s="22"/>
      <c r="AA122" s="13"/>
      <c r="AB122" s="22"/>
      <c r="AC122" s="13"/>
      <c r="AD122" s="22"/>
      <c r="AE122" s="13"/>
      <c r="AF122" s="24"/>
      <c r="AG122" s="13"/>
      <c r="AI122" s="26"/>
      <c r="AJ122" s="13"/>
      <c r="AK122" s="22"/>
      <c r="AL122" s="13"/>
      <c r="AM122" s="22"/>
      <c r="AN122" s="13"/>
      <c r="AO122" s="22"/>
      <c r="AP122" s="13"/>
      <c r="AQ122" s="22"/>
      <c r="AR122" s="13"/>
      <c r="AS122" s="22"/>
      <c r="AT122" s="13"/>
      <c r="AU122" s="24"/>
      <c r="AV122" s="13"/>
    </row>
    <row r="123" spans="1:48" ht="15.75" thickBot="1" x14ac:dyDescent="0.3">
      <c r="A123" s="20"/>
      <c r="B123" s="12"/>
      <c r="C123" s="13"/>
      <c r="D123" s="12"/>
      <c r="E123" s="13"/>
      <c r="F123" s="12"/>
      <c r="G123" s="13"/>
      <c r="H123" s="12"/>
      <c r="I123" s="13"/>
      <c r="J123" s="12"/>
      <c r="K123" s="13"/>
      <c r="L123" s="12"/>
      <c r="M123" s="13"/>
      <c r="N123" s="21"/>
      <c r="O123" s="13"/>
      <c r="Q123" s="12"/>
      <c r="R123" s="13"/>
      <c r="T123" s="26"/>
      <c r="U123" s="13"/>
      <c r="V123" s="22"/>
      <c r="W123" s="13"/>
      <c r="X123" s="22"/>
      <c r="Y123" s="13"/>
      <c r="Z123" s="22"/>
      <c r="AA123" s="13"/>
      <c r="AB123" s="22"/>
      <c r="AC123" s="13"/>
      <c r="AD123" s="22"/>
      <c r="AE123" s="13"/>
      <c r="AF123" s="24"/>
      <c r="AG123" s="13"/>
      <c r="AI123" s="26"/>
      <c r="AJ123" s="13"/>
      <c r="AK123" s="22"/>
      <c r="AL123" s="13"/>
      <c r="AM123" s="22"/>
      <c r="AN123" s="13"/>
      <c r="AO123" s="22"/>
      <c r="AP123" s="13"/>
      <c r="AQ123" s="22"/>
      <c r="AR123" s="13"/>
      <c r="AS123" s="22"/>
      <c r="AT123" s="13"/>
      <c r="AU123" s="24"/>
      <c r="AV123" s="13"/>
    </row>
    <row r="124" spans="1:48" ht="15.75" thickBot="1" x14ac:dyDescent="0.3">
      <c r="A124" s="20"/>
      <c r="B124" s="12"/>
      <c r="C124" s="13"/>
      <c r="D124" s="12"/>
      <c r="E124" s="13"/>
      <c r="F124" s="12"/>
      <c r="G124" s="13"/>
      <c r="H124" s="12"/>
      <c r="I124" s="13"/>
      <c r="J124" s="12"/>
      <c r="K124" s="13"/>
      <c r="L124" s="12"/>
      <c r="M124" s="13"/>
      <c r="N124" s="21"/>
      <c r="O124" s="13"/>
      <c r="Q124" s="12"/>
      <c r="R124" s="13"/>
      <c r="T124" s="26"/>
      <c r="U124" s="13"/>
      <c r="V124" s="22"/>
      <c r="W124" s="13"/>
      <c r="X124" s="22"/>
      <c r="Y124" s="13"/>
      <c r="Z124" s="22"/>
      <c r="AA124" s="13"/>
      <c r="AB124" s="22"/>
      <c r="AC124" s="13"/>
      <c r="AD124" s="22"/>
      <c r="AE124" s="13"/>
      <c r="AF124" s="24"/>
      <c r="AG124" s="13"/>
      <c r="AI124" s="26"/>
      <c r="AJ124" s="13"/>
      <c r="AK124" s="22"/>
      <c r="AL124" s="13"/>
      <c r="AM124" s="22"/>
      <c r="AN124" s="13"/>
      <c r="AO124" s="22"/>
      <c r="AP124" s="13"/>
      <c r="AQ124" s="22"/>
      <c r="AR124" s="13"/>
      <c r="AS124" s="22"/>
      <c r="AT124" s="13"/>
      <c r="AU124" s="24"/>
      <c r="AV124" s="13"/>
    </row>
    <row r="125" spans="1:48" ht="15.75" thickBot="1" x14ac:dyDescent="0.3">
      <c r="A125" s="20"/>
      <c r="B125" s="12"/>
      <c r="C125" s="13"/>
      <c r="D125" s="12"/>
      <c r="E125" s="13"/>
      <c r="F125" s="12"/>
      <c r="G125" s="13"/>
      <c r="H125" s="12"/>
      <c r="I125" s="13"/>
      <c r="J125" s="12"/>
      <c r="K125" s="13"/>
      <c r="L125" s="12"/>
      <c r="M125" s="13"/>
      <c r="N125" s="21"/>
      <c r="O125" s="13"/>
      <c r="Q125" s="12"/>
      <c r="R125" s="13"/>
      <c r="T125" s="26"/>
      <c r="U125" s="13"/>
      <c r="V125" s="22"/>
      <c r="W125" s="13"/>
      <c r="X125" s="22"/>
      <c r="Y125" s="13"/>
      <c r="Z125" s="22"/>
      <c r="AA125" s="13"/>
      <c r="AB125" s="22"/>
      <c r="AC125" s="13"/>
      <c r="AD125" s="22"/>
      <c r="AE125" s="13"/>
      <c r="AF125" s="24"/>
      <c r="AG125" s="13"/>
      <c r="AI125" s="26"/>
      <c r="AJ125" s="13"/>
      <c r="AK125" s="22"/>
      <c r="AL125" s="13"/>
      <c r="AM125" s="22"/>
      <c r="AN125" s="13"/>
      <c r="AO125" s="22"/>
      <c r="AP125" s="13"/>
      <c r="AQ125" s="22"/>
      <c r="AR125" s="13"/>
      <c r="AS125" s="22"/>
      <c r="AT125" s="13"/>
      <c r="AU125" s="24"/>
      <c r="AV125" s="13"/>
    </row>
    <row r="126" spans="1:48" ht="15.75" thickBot="1" x14ac:dyDescent="0.3">
      <c r="A126" s="20"/>
      <c r="B126" s="12"/>
      <c r="C126" s="13"/>
      <c r="D126" s="12"/>
      <c r="E126" s="13"/>
      <c r="F126" s="12"/>
      <c r="G126" s="13"/>
      <c r="H126" s="12"/>
      <c r="I126" s="13"/>
      <c r="J126" s="12"/>
      <c r="K126" s="13"/>
      <c r="L126" s="12"/>
      <c r="M126" s="13"/>
      <c r="N126" s="21"/>
      <c r="O126" s="13"/>
      <c r="Q126" s="12"/>
      <c r="R126" s="13"/>
      <c r="T126" s="26"/>
      <c r="U126" s="13"/>
      <c r="V126" s="22"/>
      <c r="W126" s="13"/>
      <c r="X126" s="22"/>
      <c r="Y126" s="13"/>
      <c r="Z126" s="22"/>
      <c r="AA126" s="13"/>
      <c r="AB126" s="22"/>
      <c r="AC126" s="13"/>
      <c r="AD126" s="22"/>
      <c r="AE126" s="13"/>
      <c r="AF126" s="24"/>
      <c r="AG126" s="13"/>
      <c r="AI126" s="26"/>
      <c r="AJ126" s="13"/>
      <c r="AK126" s="22"/>
      <c r="AL126" s="13"/>
      <c r="AM126" s="22"/>
      <c r="AN126" s="13"/>
      <c r="AO126" s="22"/>
      <c r="AP126" s="13"/>
      <c r="AQ126" s="22"/>
      <c r="AR126" s="13"/>
      <c r="AS126" s="22"/>
      <c r="AT126" s="13"/>
      <c r="AU126" s="24"/>
      <c r="AV126" s="13"/>
    </row>
    <row r="127" spans="1:48" ht="15.75" thickBot="1" x14ac:dyDescent="0.3">
      <c r="A127" s="20"/>
      <c r="B127" s="12"/>
      <c r="C127" s="13"/>
      <c r="D127" s="12"/>
      <c r="E127" s="13"/>
      <c r="F127" s="12"/>
      <c r="G127" s="13"/>
      <c r="H127" s="12"/>
      <c r="I127" s="13"/>
      <c r="J127" s="12"/>
      <c r="K127" s="13"/>
      <c r="L127" s="12"/>
      <c r="M127" s="13"/>
      <c r="N127" s="21"/>
      <c r="O127" s="13"/>
      <c r="Q127" s="12"/>
      <c r="R127" s="13"/>
      <c r="T127" s="26"/>
      <c r="U127" s="13"/>
      <c r="V127" s="22"/>
      <c r="W127" s="13"/>
      <c r="X127" s="22"/>
      <c r="Y127" s="13"/>
      <c r="Z127" s="22"/>
      <c r="AA127" s="13"/>
      <c r="AB127" s="22"/>
      <c r="AC127" s="13"/>
      <c r="AD127" s="22"/>
      <c r="AE127" s="13"/>
      <c r="AF127" s="24"/>
      <c r="AG127" s="13"/>
      <c r="AI127" s="26"/>
      <c r="AJ127" s="13"/>
      <c r="AK127" s="22"/>
      <c r="AL127" s="13"/>
      <c r="AM127" s="22"/>
      <c r="AN127" s="13"/>
      <c r="AO127" s="22"/>
      <c r="AP127" s="13"/>
      <c r="AQ127" s="22"/>
      <c r="AR127" s="13"/>
      <c r="AS127" s="22"/>
      <c r="AT127" s="13"/>
      <c r="AU127" s="24"/>
      <c r="AV127" s="13"/>
    </row>
    <row r="128" spans="1:48" ht="15.75" thickBot="1" x14ac:dyDescent="0.3">
      <c r="A128" s="20"/>
      <c r="B128" s="12"/>
      <c r="C128" s="13"/>
      <c r="D128" s="12"/>
      <c r="E128" s="13"/>
      <c r="F128" s="12"/>
      <c r="G128" s="13"/>
      <c r="H128" s="12"/>
      <c r="I128" s="13"/>
      <c r="J128" s="12"/>
      <c r="K128" s="13"/>
      <c r="L128" s="12"/>
      <c r="M128" s="13"/>
      <c r="N128" s="21"/>
      <c r="O128" s="13"/>
      <c r="Q128" s="12"/>
      <c r="R128" s="13"/>
      <c r="T128" s="26"/>
      <c r="U128" s="13"/>
      <c r="V128" s="22"/>
      <c r="W128" s="13"/>
      <c r="X128" s="22"/>
      <c r="Y128" s="13"/>
      <c r="Z128" s="22"/>
      <c r="AA128" s="13"/>
      <c r="AB128" s="22"/>
      <c r="AC128" s="13"/>
      <c r="AD128" s="22"/>
      <c r="AE128" s="13"/>
      <c r="AF128" s="24"/>
      <c r="AG128" s="13"/>
      <c r="AI128" s="26"/>
      <c r="AJ128" s="13"/>
      <c r="AK128" s="22"/>
      <c r="AL128" s="13"/>
      <c r="AM128" s="22"/>
      <c r="AN128" s="13"/>
      <c r="AO128" s="22"/>
      <c r="AP128" s="13"/>
      <c r="AQ128" s="22"/>
      <c r="AR128" s="13"/>
      <c r="AS128" s="22"/>
      <c r="AT128" s="13"/>
      <c r="AU128" s="24"/>
      <c r="AV128" s="13"/>
    </row>
    <row r="129" spans="1:48" ht="15.75" thickBot="1" x14ac:dyDescent="0.3">
      <c r="A129" s="20"/>
      <c r="B129" s="12"/>
      <c r="C129" s="13"/>
      <c r="D129" s="12"/>
      <c r="E129" s="13"/>
      <c r="F129" s="12"/>
      <c r="G129" s="13"/>
      <c r="H129" s="12"/>
      <c r="I129" s="13"/>
      <c r="J129" s="12"/>
      <c r="K129" s="13"/>
      <c r="L129" s="12"/>
      <c r="M129" s="13"/>
      <c r="N129" s="21"/>
      <c r="O129" s="13"/>
      <c r="Q129" s="12"/>
      <c r="R129" s="13"/>
      <c r="T129" s="26"/>
      <c r="U129" s="13"/>
      <c r="V129" s="22"/>
      <c r="W129" s="13"/>
      <c r="X129" s="22"/>
      <c r="Y129" s="13"/>
      <c r="Z129" s="22"/>
      <c r="AA129" s="13"/>
      <c r="AB129" s="22"/>
      <c r="AC129" s="13"/>
      <c r="AD129" s="22"/>
      <c r="AE129" s="13"/>
      <c r="AF129" s="24"/>
      <c r="AG129" s="13"/>
      <c r="AI129" s="26"/>
      <c r="AJ129" s="13"/>
      <c r="AK129" s="22"/>
      <c r="AL129" s="13"/>
      <c r="AM129" s="22"/>
      <c r="AN129" s="13"/>
      <c r="AO129" s="22"/>
      <c r="AP129" s="13"/>
      <c r="AQ129" s="22"/>
      <c r="AR129" s="13"/>
      <c r="AS129" s="22"/>
      <c r="AT129" s="13"/>
      <c r="AU129" s="24"/>
      <c r="AV129" s="13"/>
    </row>
    <row r="130" spans="1:48" ht="15.75" thickBot="1" x14ac:dyDescent="0.3">
      <c r="A130" s="20"/>
      <c r="B130" s="12"/>
      <c r="C130" s="13"/>
      <c r="D130" s="12"/>
      <c r="E130" s="13"/>
      <c r="F130" s="12"/>
      <c r="G130" s="13"/>
      <c r="H130" s="12"/>
      <c r="I130" s="13"/>
      <c r="J130" s="12"/>
      <c r="K130" s="13"/>
      <c r="L130" s="12"/>
      <c r="M130" s="13"/>
      <c r="N130" s="21"/>
      <c r="O130" s="13"/>
      <c r="Q130" s="12"/>
      <c r="R130" s="13"/>
      <c r="T130" s="26"/>
      <c r="U130" s="13"/>
      <c r="V130" s="22"/>
      <c r="W130" s="13"/>
      <c r="X130" s="22"/>
      <c r="Y130" s="13"/>
      <c r="Z130" s="22"/>
      <c r="AA130" s="13"/>
      <c r="AB130" s="22"/>
      <c r="AC130" s="13"/>
      <c r="AD130" s="22"/>
      <c r="AE130" s="13"/>
      <c r="AF130" s="24"/>
      <c r="AG130" s="13"/>
      <c r="AI130" s="26"/>
      <c r="AJ130" s="13"/>
      <c r="AK130" s="22"/>
      <c r="AL130" s="13"/>
      <c r="AM130" s="22"/>
      <c r="AN130" s="13"/>
      <c r="AO130" s="22"/>
      <c r="AP130" s="13"/>
      <c r="AQ130" s="22"/>
      <c r="AR130" s="13"/>
      <c r="AS130" s="22"/>
      <c r="AT130" s="13"/>
      <c r="AU130" s="24"/>
      <c r="AV130" s="13"/>
    </row>
    <row r="131" spans="1:48" ht="15.75" thickBot="1" x14ac:dyDescent="0.3">
      <c r="A131" s="20"/>
      <c r="B131" s="12"/>
      <c r="C131" s="13"/>
      <c r="D131" s="12"/>
      <c r="E131" s="13"/>
      <c r="F131" s="12"/>
      <c r="G131" s="13"/>
      <c r="H131" s="12"/>
      <c r="I131" s="13"/>
      <c r="J131" s="12"/>
      <c r="K131" s="13"/>
      <c r="L131" s="12"/>
      <c r="M131" s="13"/>
      <c r="N131" s="21"/>
      <c r="O131" s="13"/>
      <c r="Q131" s="12"/>
      <c r="R131" s="13"/>
      <c r="T131" s="26"/>
      <c r="U131" s="13"/>
      <c r="V131" s="22"/>
      <c r="W131" s="13"/>
      <c r="X131" s="22"/>
      <c r="Y131" s="13"/>
      <c r="Z131" s="22"/>
      <c r="AA131" s="13"/>
      <c r="AB131" s="22"/>
      <c r="AC131" s="13"/>
      <c r="AD131" s="22"/>
      <c r="AE131" s="13"/>
      <c r="AF131" s="24"/>
      <c r="AG131" s="13"/>
      <c r="AI131" s="26"/>
      <c r="AJ131" s="13"/>
      <c r="AK131" s="22"/>
      <c r="AL131" s="13"/>
      <c r="AM131" s="22"/>
      <c r="AN131" s="13"/>
      <c r="AO131" s="22"/>
      <c r="AP131" s="13"/>
      <c r="AQ131" s="22"/>
      <c r="AR131" s="13"/>
      <c r="AS131" s="22"/>
      <c r="AT131" s="13"/>
      <c r="AU131" s="24"/>
      <c r="AV131" s="13"/>
    </row>
    <row r="132" spans="1:48" ht="15.75" thickBot="1" x14ac:dyDescent="0.3">
      <c r="A132" s="20"/>
      <c r="B132" s="12"/>
      <c r="C132" s="13"/>
      <c r="D132" s="12"/>
      <c r="E132" s="13"/>
      <c r="F132" s="12"/>
      <c r="G132" s="13"/>
      <c r="H132" s="12"/>
      <c r="I132" s="13"/>
      <c r="J132" s="12"/>
      <c r="K132" s="13"/>
      <c r="L132" s="12"/>
      <c r="M132" s="13"/>
      <c r="N132" s="21"/>
      <c r="O132" s="13"/>
      <c r="Q132" s="12"/>
      <c r="R132" s="13"/>
      <c r="T132" s="26"/>
      <c r="U132" s="13"/>
      <c r="V132" s="22"/>
      <c r="W132" s="13"/>
      <c r="X132" s="22"/>
      <c r="Y132" s="13"/>
      <c r="Z132" s="22"/>
      <c r="AA132" s="13"/>
      <c r="AB132" s="22"/>
      <c r="AC132" s="13"/>
      <c r="AD132" s="22"/>
      <c r="AE132" s="13"/>
      <c r="AF132" s="24"/>
      <c r="AG132" s="13"/>
      <c r="AI132" s="26"/>
      <c r="AJ132" s="13"/>
      <c r="AK132" s="22"/>
      <c r="AL132" s="13"/>
      <c r="AM132" s="22"/>
      <c r="AN132" s="13"/>
      <c r="AO132" s="22"/>
      <c r="AP132" s="13"/>
      <c r="AQ132" s="22"/>
      <c r="AR132" s="13"/>
      <c r="AS132" s="22"/>
      <c r="AT132" s="13"/>
      <c r="AU132" s="24"/>
      <c r="AV132" s="13"/>
    </row>
    <row r="133" spans="1:48" ht="15.75" thickBot="1" x14ac:dyDescent="0.3">
      <c r="A133" s="20"/>
      <c r="B133" s="12"/>
      <c r="C133" s="13"/>
      <c r="D133" s="12"/>
      <c r="E133" s="13"/>
      <c r="F133" s="12"/>
      <c r="G133" s="13"/>
      <c r="H133" s="12"/>
      <c r="I133" s="13"/>
      <c r="J133" s="12"/>
      <c r="K133" s="13"/>
      <c r="L133" s="12"/>
      <c r="M133" s="13"/>
      <c r="N133" s="21"/>
      <c r="O133" s="13"/>
      <c r="Q133" s="12"/>
      <c r="R133" s="13"/>
      <c r="T133" s="26"/>
      <c r="U133" s="13"/>
      <c r="V133" s="22"/>
      <c r="W133" s="13"/>
      <c r="X133" s="22"/>
      <c r="Y133" s="13"/>
      <c r="Z133" s="22"/>
      <c r="AA133" s="13"/>
      <c r="AB133" s="22"/>
      <c r="AC133" s="13"/>
      <c r="AD133" s="22"/>
      <c r="AE133" s="13"/>
      <c r="AF133" s="24"/>
      <c r="AG133" s="13"/>
      <c r="AI133" s="26"/>
      <c r="AJ133" s="13"/>
      <c r="AK133" s="22"/>
      <c r="AL133" s="13"/>
      <c r="AM133" s="22"/>
      <c r="AN133" s="13"/>
      <c r="AO133" s="22"/>
      <c r="AP133" s="13"/>
      <c r="AQ133" s="22"/>
      <c r="AR133" s="13"/>
      <c r="AS133" s="22"/>
      <c r="AT133" s="13"/>
      <c r="AU133" s="24"/>
      <c r="AV133" s="13"/>
    </row>
    <row r="134" spans="1:48" ht="15.75" thickBot="1" x14ac:dyDescent="0.3">
      <c r="A134" s="20"/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21"/>
      <c r="O134" s="13"/>
      <c r="Q134" s="12"/>
      <c r="R134" s="13"/>
      <c r="T134" s="26"/>
      <c r="U134" s="13"/>
      <c r="V134" s="22"/>
      <c r="W134" s="13"/>
      <c r="X134" s="22"/>
      <c r="Y134" s="13"/>
      <c r="Z134" s="22"/>
      <c r="AA134" s="13"/>
      <c r="AB134" s="22"/>
      <c r="AC134" s="13"/>
      <c r="AD134" s="22"/>
      <c r="AE134" s="13"/>
      <c r="AF134" s="24"/>
      <c r="AG134" s="13"/>
      <c r="AI134" s="26"/>
      <c r="AJ134" s="13"/>
      <c r="AK134" s="22"/>
      <c r="AL134" s="13"/>
      <c r="AM134" s="22"/>
      <c r="AN134" s="13"/>
      <c r="AO134" s="22"/>
      <c r="AP134" s="13"/>
      <c r="AQ134" s="22"/>
      <c r="AR134" s="13"/>
      <c r="AS134" s="22"/>
      <c r="AT134" s="13"/>
      <c r="AU134" s="24"/>
      <c r="AV134" s="13"/>
    </row>
    <row r="135" spans="1:48" ht="15.75" thickBot="1" x14ac:dyDescent="0.3">
      <c r="A135" s="20"/>
      <c r="B135" s="12"/>
      <c r="C135" s="13"/>
      <c r="D135" s="12"/>
      <c r="E135" s="13"/>
      <c r="F135" s="12"/>
      <c r="G135" s="13"/>
      <c r="H135" s="12"/>
      <c r="I135" s="13"/>
      <c r="J135" s="12"/>
      <c r="K135" s="13"/>
      <c r="L135" s="12"/>
      <c r="M135" s="13"/>
      <c r="N135" s="21"/>
      <c r="O135" s="13"/>
      <c r="Q135" s="12"/>
      <c r="R135" s="13"/>
      <c r="T135" s="26"/>
      <c r="U135" s="13"/>
      <c r="V135" s="22"/>
      <c r="W135" s="13"/>
      <c r="X135" s="22"/>
      <c r="Y135" s="13"/>
      <c r="Z135" s="22"/>
      <c r="AA135" s="13"/>
      <c r="AB135" s="22"/>
      <c r="AC135" s="13"/>
      <c r="AD135" s="22"/>
      <c r="AE135" s="13"/>
      <c r="AF135" s="24"/>
      <c r="AG135" s="13"/>
      <c r="AI135" s="26"/>
      <c r="AJ135" s="13"/>
      <c r="AK135" s="22"/>
      <c r="AL135" s="13"/>
      <c r="AM135" s="22"/>
      <c r="AN135" s="13"/>
      <c r="AO135" s="22"/>
      <c r="AP135" s="13"/>
      <c r="AQ135" s="22"/>
      <c r="AR135" s="13"/>
      <c r="AS135" s="22"/>
      <c r="AT135" s="13"/>
      <c r="AU135" s="24"/>
      <c r="AV135" s="13"/>
    </row>
    <row r="136" spans="1:48" ht="15.75" thickBot="1" x14ac:dyDescent="0.3">
      <c r="A136" s="20"/>
      <c r="B136" s="12"/>
      <c r="C136" s="13"/>
      <c r="D136" s="12"/>
      <c r="E136" s="13"/>
      <c r="F136" s="12"/>
      <c r="G136" s="13"/>
      <c r="H136" s="12"/>
      <c r="I136" s="13"/>
      <c r="J136" s="12"/>
      <c r="K136" s="13"/>
      <c r="L136" s="12"/>
      <c r="M136" s="13"/>
      <c r="N136" s="21"/>
      <c r="O136" s="13"/>
      <c r="Q136" s="12"/>
      <c r="R136" s="13"/>
      <c r="T136" s="26"/>
      <c r="U136" s="13"/>
      <c r="V136" s="22"/>
      <c r="W136" s="13"/>
      <c r="X136" s="22"/>
      <c r="Y136" s="13"/>
      <c r="Z136" s="22"/>
      <c r="AA136" s="13"/>
      <c r="AB136" s="22"/>
      <c r="AC136" s="13"/>
      <c r="AD136" s="22"/>
      <c r="AE136" s="13"/>
      <c r="AF136" s="24"/>
      <c r="AG136" s="13"/>
      <c r="AI136" s="26"/>
      <c r="AJ136" s="13"/>
      <c r="AK136" s="22"/>
      <c r="AL136" s="13"/>
      <c r="AM136" s="22"/>
      <c r="AN136" s="13"/>
      <c r="AO136" s="22"/>
      <c r="AP136" s="13"/>
      <c r="AQ136" s="22"/>
      <c r="AR136" s="13"/>
      <c r="AS136" s="22"/>
      <c r="AT136" s="13"/>
      <c r="AU136" s="24"/>
      <c r="AV136" s="13"/>
    </row>
    <row r="137" spans="1:48" ht="15.75" thickBot="1" x14ac:dyDescent="0.3">
      <c r="A137" s="20"/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21"/>
      <c r="O137" s="13"/>
      <c r="Q137" s="12"/>
      <c r="R137" s="13"/>
      <c r="T137" s="26"/>
      <c r="U137" s="13"/>
      <c r="V137" s="22"/>
      <c r="W137" s="13"/>
      <c r="X137" s="22"/>
      <c r="Y137" s="13"/>
      <c r="Z137" s="22"/>
      <c r="AA137" s="13"/>
      <c r="AB137" s="22"/>
      <c r="AC137" s="13"/>
      <c r="AD137" s="22"/>
      <c r="AE137" s="13"/>
      <c r="AF137" s="24"/>
      <c r="AG137" s="13"/>
      <c r="AI137" s="26"/>
      <c r="AJ137" s="13"/>
      <c r="AK137" s="22"/>
      <c r="AL137" s="13"/>
      <c r="AM137" s="22"/>
      <c r="AN137" s="13"/>
      <c r="AO137" s="22"/>
      <c r="AP137" s="13"/>
      <c r="AQ137" s="22"/>
      <c r="AR137" s="13"/>
      <c r="AS137" s="22"/>
      <c r="AT137" s="13"/>
      <c r="AU137" s="24"/>
      <c r="AV137" s="13"/>
    </row>
    <row r="138" spans="1:48" ht="15.75" thickBot="1" x14ac:dyDescent="0.3">
      <c r="A138" s="20"/>
      <c r="B138" s="12"/>
      <c r="C138" s="13"/>
      <c r="D138" s="12"/>
      <c r="E138" s="13"/>
      <c r="F138" s="12"/>
      <c r="G138" s="13"/>
      <c r="H138" s="12"/>
      <c r="I138" s="13"/>
      <c r="J138" s="12"/>
      <c r="K138" s="13"/>
      <c r="L138" s="12"/>
      <c r="M138" s="13"/>
      <c r="N138" s="21"/>
      <c r="O138" s="13"/>
      <c r="Q138" s="12"/>
      <c r="R138" s="13"/>
      <c r="T138" s="26"/>
      <c r="U138" s="13"/>
      <c r="V138" s="22"/>
      <c r="W138" s="13"/>
      <c r="X138" s="22"/>
      <c r="Y138" s="13"/>
      <c r="Z138" s="22"/>
      <c r="AA138" s="13"/>
      <c r="AB138" s="22"/>
      <c r="AC138" s="13"/>
      <c r="AD138" s="22"/>
      <c r="AE138" s="13"/>
      <c r="AF138" s="24"/>
      <c r="AG138" s="13"/>
      <c r="AI138" s="26"/>
      <c r="AJ138" s="13"/>
      <c r="AK138" s="22"/>
      <c r="AL138" s="13"/>
      <c r="AM138" s="22"/>
      <c r="AN138" s="13"/>
      <c r="AO138" s="22"/>
      <c r="AP138" s="13"/>
      <c r="AQ138" s="22"/>
      <c r="AR138" s="13"/>
      <c r="AS138" s="22"/>
      <c r="AT138" s="13"/>
      <c r="AU138" s="24"/>
      <c r="AV138" s="13"/>
    </row>
    <row r="139" spans="1:48" ht="15.75" thickBot="1" x14ac:dyDescent="0.3">
      <c r="A139" s="20"/>
      <c r="B139" s="12"/>
      <c r="C139" s="13"/>
      <c r="D139" s="12"/>
      <c r="E139" s="13"/>
      <c r="F139" s="12"/>
      <c r="G139" s="13"/>
      <c r="H139" s="12"/>
      <c r="I139" s="13"/>
      <c r="J139" s="12"/>
      <c r="K139" s="13"/>
      <c r="L139" s="12"/>
      <c r="M139" s="13"/>
      <c r="N139" s="21"/>
      <c r="O139" s="13"/>
      <c r="Q139" s="12"/>
      <c r="R139" s="13"/>
      <c r="T139" s="26"/>
      <c r="U139" s="13"/>
      <c r="V139" s="22"/>
      <c r="W139" s="13"/>
      <c r="X139" s="22"/>
      <c r="Y139" s="13"/>
      <c r="Z139" s="22"/>
      <c r="AA139" s="13"/>
      <c r="AB139" s="22"/>
      <c r="AC139" s="13"/>
      <c r="AD139" s="22"/>
      <c r="AE139" s="13"/>
      <c r="AF139" s="24"/>
      <c r="AG139" s="13"/>
      <c r="AI139" s="26"/>
      <c r="AJ139" s="13"/>
      <c r="AK139" s="22"/>
      <c r="AL139" s="13"/>
      <c r="AM139" s="22"/>
      <c r="AN139" s="13"/>
      <c r="AO139" s="22"/>
      <c r="AP139" s="13"/>
      <c r="AQ139" s="22"/>
      <c r="AR139" s="13"/>
      <c r="AS139" s="22"/>
      <c r="AT139" s="13"/>
      <c r="AU139" s="24"/>
      <c r="AV139" s="13"/>
    </row>
    <row r="140" spans="1:48" ht="15.75" thickBot="1" x14ac:dyDescent="0.3">
      <c r="A140" s="20"/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21"/>
      <c r="O140" s="13"/>
      <c r="Q140" s="12"/>
      <c r="R140" s="13"/>
      <c r="T140" s="26"/>
      <c r="U140" s="13"/>
      <c r="V140" s="22"/>
      <c r="W140" s="13"/>
      <c r="X140" s="22"/>
      <c r="Y140" s="13"/>
      <c r="Z140" s="22"/>
      <c r="AA140" s="13"/>
      <c r="AB140" s="22"/>
      <c r="AC140" s="13"/>
      <c r="AD140" s="22"/>
      <c r="AE140" s="13"/>
      <c r="AF140" s="24"/>
      <c r="AG140" s="13"/>
      <c r="AI140" s="26"/>
      <c r="AJ140" s="13"/>
      <c r="AK140" s="22"/>
      <c r="AL140" s="13"/>
      <c r="AM140" s="22"/>
      <c r="AN140" s="13"/>
      <c r="AO140" s="22"/>
      <c r="AP140" s="13"/>
      <c r="AQ140" s="22"/>
      <c r="AR140" s="13"/>
      <c r="AS140" s="22"/>
      <c r="AT140" s="13"/>
      <c r="AU140" s="24"/>
      <c r="AV140" s="13"/>
    </row>
    <row r="141" spans="1:48" ht="15.75" thickBot="1" x14ac:dyDescent="0.3">
      <c r="A141" s="20"/>
      <c r="B141" s="12"/>
      <c r="C141" s="13"/>
      <c r="D141" s="12"/>
      <c r="E141" s="13"/>
      <c r="F141" s="12"/>
      <c r="G141" s="13"/>
      <c r="H141" s="12"/>
      <c r="I141" s="13"/>
      <c r="J141" s="12"/>
      <c r="K141" s="13"/>
      <c r="L141" s="12"/>
      <c r="M141" s="13"/>
      <c r="N141" s="21"/>
      <c r="O141" s="13"/>
      <c r="Q141" s="12"/>
      <c r="R141" s="13"/>
      <c r="T141" s="26"/>
      <c r="U141" s="13"/>
      <c r="V141" s="22"/>
      <c r="W141" s="13"/>
      <c r="X141" s="22"/>
      <c r="Y141" s="13"/>
      <c r="Z141" s="22"/>
      <c r="AA141" s="13"/>
      <c r="AB141" s="22"/>
      <c r="AC141" s="13"/>
      <c r="AD141" s="22"/>
      <c r="AE141" s="13"/>
      <c r="AF141" s="24"/>
      <c r="AG141" s="13"/>
      <c r="AI141" s="26"/>
      <c r="AJ141" s="13"/>
      <c r="AK141" s="22"/>
      <c r="AL141" s="13"/>
      <c r="AM141" s="22"/>
      <c r="AN141" s="13"/>
      <c r="AO141" s="22"/>
      <c r="AP141" s="13"/>
      <c r="AQ141" s="22"/>
      <c r="AR141" s="13"/>
      <c r="AS141" s="22"/>
      <c r="AT141" s="13"/>
      <c r="AU141" s="24"/>
      <c r="AV141" s="13"/>
    </row>
    <row r="142" spans="1:48" ht="15.75" thickBot="1" x14ac:dyDescent="0.3">
      <c r="A142" s="20"/>
      <c r="B142" s="12"/>
      <c r="C142" s="13"/>
      <c r="D142" s="12"/>
      <c r="E142" s="13"/>
      <c r="F142" s="12"/>
      <c r="G142" s="13"/>
      <c r="H142" s="12"/>
      <c r="I142" s="13"/>
      <c r="J142" s="12"/>
      <c r="K142" s="13"/>
      <c r="L142" s="12"/>
      <c r="M142" s="13"/>
      <c r="N142" s="21"/>
      <c r="O142" s="13"/>
      <c r="Q142" s="12"/>
      <c r="R142" s="13"/>
      <c r="T142" s="26"/>
      <c r="U142" s="13"/>
      <c r="V142" s="22"/>
      <c r="W142" s="13"/>
      <c r="X142" s="22"/>
      <c r="Y142" s="13"/>
      <c r="Z142" s="22"/>
      <c r="AA142" s="13"/>
      <c r="AB142" s="22"/>
      <c r="AC142" s="13"/>
      <c r="AD142" s="22"/>
      <c r="AE142" s="13"/>
      <c r="AF142" s="24"/>
      <c r="AG142" s="13"/>
      <c r="AI142" s="26"/>
      <c r="AJ142" s="13"/>
      <c r="AK142" s="22"/>
      <c r="AL142" s="13"/>
      <c r="AM142" s="22"/>
      <c r="AN142" s="13"/>
      <c r="AO142" s="22"/>
      <c r="AP142" s="13"/>
      <c r="AQ142" s="22"/>
      <c r="AR142" s="13"/>
      <c r="AS142" s="22"/>
      <c r="AT142" s="13"/>
      <c r="AU142" s="24"/>
      <c r="AV142" s="13"/>
    </row>
    <row r="143" spans="1:48" ht="15.75" thickBot="1" x14ac:dyDescent="0.3">
      <c r="A143" s="20"/>
      <c r="B143" s="12"/>
      <c r="C143" s="13"/>
      <c r="D143" s="12"/>
      <c r="E143" s="13"/>
      <c r="F143" s="12"/>
      <c r="G143" s="13"/>
      <c r="H143" s="12"/>
      <c r="I143" s="13"/>
      <c r="J143" s="12"/>
      <c r="K143" s="13"/>
      <c r="L143" s="12"/>
      <c r="M143" s="13"/>
      <c r="N143" s="21"/>
      <c r="O143" s="13"/>
      <c r="Q143" s="12"/>
      <c r="R143" s="13"/>
      <c r="T143" s="26"/>
      <c r="U143" s="13"/>
      <c r="V143" s="22"/>
      <c r="W143" s="13"/>
      <c r="X143" s="22"/>
      <c r="Y143" s="13"/>
      <c r="Z143" s="22"/>
      <c r="AA143" s="13"/>
      <c r="AB143" s="22"/>
      <c r="AC143" s="13"/>
      <c r="AD143" s="22"/>
      <c r="AE143" s="13"/>
      <c r="AF143" s="24"/>
      <c r="AG143" s="13"/>
      <c r="AI143" s="26"/>
      <c r="AJ143" s="13"/>
      <c r="AK143" s="22"/>
      <c r="AL143" s="13"/>
      <c r="AM143" s="22"/>
      <c r="AN143" s="13"/>
      <c r="AO143" s="22"/>
      <c r="AP143" s="13"/>
      <c r="AQ143" s="22"/>
      <c r="AR143" s="13"/>
      <c r="AS143" s="22"/>
      <c r="AT143" s="13"/>
      <c r="AU143" s="24"/>
      <c r="AV143" s="13"/>
    </row>
    <row r="144" spans="1:48" ht="15.75" thickBot="1" x14ac:dyDescent="0.3">
      <c r="A144" s="20"/>
      <c r="B144" s="12"/>
      <c r="C144" s="13"/>
      <c r="D144" s="12"/>
      <c r="E144" s="13"/>
      <c r="F144" s="12"/>
      <c r="G144" s="13"/>
      <c r="H144" s="12"/>
      <c r="I144" s="13"/>
      <c r="J144" s="12"/>
      <c r="K144" s="13"/>
      <c r="L144" s="12"/>
      <c r="M144" s="13"/>
      <c r="N144" s="21"/>
      <c r="O144" s="13"/>
      <c r="Q144" s="12"/>
      <c r="R144" s="13"/>
      <c r="T144" s="26"/>
      <c r="U144" s="13"/>
      <c r="V144" s="22"/>
      <c r="W144" s="13"/>
      <c r="X144" s="22"/>
      <c r="Y144" s="13"/>
      <c r="Z144" s="22"/>
      <c r="AA144" s="13"/>
      <c r="AB144" s="22"/>
      <c r="AC144" s="13"/>
      <c r="AD144" s="22"/>
      <c r="AE144" s="13"/>
      <c r="AF144" s="24"/>
      <c r="AG144" s="13"/>
      <c r="AI144" s="26"/>
      <c r="AJ144" s="13"/>
      <c r="AK144" s="22"/>
      <c r="AL144" s="13"/>
      <c r="AM144" s="22"/>
      <c r="AN144" s="13"/>
      <c r="AO144" s="22"/>
      <c r="AP144" s="13"/>
      <c r="AQ144" s="22"/>
      <c r="AR144" s="13"/>
      <c r="AS144" s="22"/>
      <c r="AT144" s="13"/>
      <c r="AU144" s="24"/>
      <c r="AV144" s="13"/>
    </row>
    <row r="145" spans="1:48" ht="15.75" thickBot="1" x14ac:dyDescent="0.3">
      <c r="A145" s="20"/>
      <c r="B145" s="12"/>
      <c r="C145" s="13"/>
      <c r="D145" s="12"/>
      <c r="E145" s="13"/>
      <c r="F145" s="12"/>
      <c r="G145" s="13"/>
      <c r="H145" s="12"/>
      <c r="I145" s="13"/>
      <c r="J145" s="12"/>
      <c r="K145" s="13"/>
      <c r="L145" s="12"/>
      <c r="M145" s="13"/>
      <c r="N145" s="21"/>
      <c r="O145" s="13"/>
      <c r="Q145" s="12"/>
      <c r="R145" s="13"/>
      <c r="T145" s="26"/>
      <c r="U145" s="13"/>
      <c r="V145" s="22"/>
      <c r="W145" s="13"/>
      <c r="X145" s="22"/>
      <c r="Y145" s="13"/>
      <c r="Z145" s="22"/>
      <c r="AA145" s="13"/>
      <c r="AB145" s="22"/>
      <c r="AC145" s="13"/>
      <c r="AD145" s="22"/>
      <c r="AE145" s="13"/>
      <c r="AF145" s="24"/>
      <c r="AG145" s="13"/>
      <c r="AI145" s="26"/>
      <c r="AJ145" s="13"/>
      <c r="AK145" s="22"/>
      <c r="AL145" s="13"/>
      <c r="AM145" s="22"/>
      <c r="AN145" s="13"/>
      <c r="AO145" s="22"/>
      <c r="AP145" s="13"/>
      <c r="AQ145" s="22"/>
      <c r="AR145" s="13"/>
      <c r="AS145" s="22"/>
      <c r="AT145" s="13"/>
      <c r="AU145" s="24"/>
      <c r="AV145" s="13"/>
    </row>
  </sheetData>
  <mergeCells count="8">
    <mergeCell ref="CI1:CO1"/>
    <mergeCell ref="BU1:CA1"/>
    <mergeCell ref="CB1:CH1"/>
    <mergeCell ref="AX1:BF1"/>
    <mergeCell ref="BH1:BP1"/>
    <mergeCell ref="B1:O1"/>
    <mergeCell ref="T1:AG1"/>
    <mergeCell ref="AI1:AV1"/>
  </mergeCells>
  <conditionalFormatting sqref="Q3:R145 T3:AG145 AI3:AV145 B3:O145">
    <cfRule type="cellIs" dxfId="4" priority="50" operator="equal">
      <formula>"OFF"</formula>
    </cfRule>
    <cfRule type="cellIs" dxfId="3" priority="51" operator="equal">
      <formula>"PTO"</formula>
    </cfRule>
    <cfRule type="cellIs" dxfId="2" priority="52" operator="equal">
      <formula>"A"</formula>
    </cfRule>
  </conditionalFormatting>
  <conditionalFormatting sqref="BU3:CO26">
    <cfRule type="cellIs" dxfId="1" priority="83" operator="greaterThanOrEqual">
      <formula>5</formula>
    </cfRule>
    <cfRule type="cellIs" dxfId="0" priority="84" operator="lessThanOrEqual">
      <formula>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6"/>
  <sheetViews>
    <sheetView showGridLines="0" workbookViewId="0">
      <selection activeCell="C10" sqref="C10"/>
    </sheetView>
  </sheetViews>
  <sheetFormatPr defaultRowHeight="15" x14ac:dyDescent="0.25"/>
  <cols>
    <col min="2" max="2" width="11.140625" bestFit="1" customWidth="1"/>
    <col min="3" max="23" width="5.85546875" bestFit="1" customWidth="1"/>
  </cols>
  <sheetData>
    <row r="1" spans="2:23" ht="15.75" thickBot="1" x14ac:dyDescent="0.3">
      <c r="C1" s="311" t="str">
        <f>'Agent Sched'!C1:I1</f>
        <v>WEEK BEGINNING 0427</v>
      </c>
      <c r="D1" s="312"/>
      <c r="E1" s="312"/>
      <c r="F1" s="312"/>
      <c r="G1" s="312"/>
      <c r="H1" s="312"/>
      <c r="I1" s="312"/>
      <c r="J1" s="311" t="str">
        <f>'Agent Sched'!J1:P1</f>
        <v>WEEK BEGINNING 0504</v>
      </c>
      <c r="K1" s="312"/>
      <c r="L1" s="312"/>
      <c r="M1" s="312"/>
      <c r="N1" s="312"/>
      <c r="O1" s="312"/>
      <c r="P1" s="313"/>
      <c r="Q1" s="312" t="str">
        <f>'Agent Sched'!Q1:W1</f>
        <v>WEEK BEGINNING 0511</v>
      </c>
      <c r="R1" s="312"/>
      <c r="S1" s="312"/>
      <c r="T1" s="312"/>
      <c r="U1" s="312"/>
      <c r="V1" s="312"/>
      <c r="W1" s="313"/>
    </row>
    <row r="2" spans="2:23" ht="15.75" thickBot="1" x14ac:dyDescent="0.3">
      <c r="C2" s="118" t="s">
        <v>0</v>
      </c>
      <c r="D2" s="148" t="s">
        <v>1</v>
      </c>
      <c r="E2" s="148" t="s">
        <v>2</v>
      </c>
      <c r="F2" s="148" t="s">
        <v>3</v>
      </c>
      <c r="G2" s="148" t="s">
        <v>4</v>
      </c>
      <c r="H2" s="148" t="s">
        <v>5</v>
      </c>
      <c r="I2" s="148" t="s">
        <v>6</v>
      </c>
      <c r="J2" s="118" t="s">
        <v>0</v>
      </c>
      <c r="K2" s="148" t="s">
        <v>1</v>
      </c>
      <c r="L2" s="148" t="s">
        <v>2</v>
      </c>
      <c r="M2" s="148" t="s">
        <v>3</v>
      </c>
      <c r="N2" s="148" t="s">
        <v>4</v>
      </c>
      <c r="O2" s="148" t="s">
        <v>5</v>
      </c>
      <c r="P2" s="149" t="s">
        <v>6</v>
      </c>
      <c r="Q2" s="148" t="s">
        <v>0</v>
      </c>
      <c r="R2" s="148" t="s">
        <v>1</v>
      </c>
      <c r="S2" s="148" t="s">
        <v>2</v>
      </c>
      <c r="T2" s="148" t="s">
        <v>3</v>
      </c>
      <c r="U2" s="148" t="s">
        <v>4</v>
      </c>
      <c r="V2" s="148" t="s">
        <v>5</v>
      </c>
      <c r="W2" s="149" t="s">
        <v>6</v>
      </c>
    </row>
    <row r="3" spans="2:23" ht="15.75" thickBot="1" x14ac:dyDescent="0.3">
      <c r="B3" s="220" t="s">
        <v>294</v>
      </c>
      <c r="C3" s="214">
        <v>46062</v>
      </c>
      <c r="D3" s="214">
        <f t="shared" ref="D3:W3" si="0">C3+1</f>
        <v>46063</v>
      </c>
      <c r="E3" s="214">
        <f t="shared" si="0"/>
        <v>46064</v>
      </c>
      <c r="F3" s="214">
        <f t="shared" si="0"/>
        <v>46065</v>
      </c>
      <c r="G3" s="214">
        <f t="shared" si="0"/>
        <v>46066</v>
      </c>
      <c r="H3" s="214">
        <f t="shared" si="0"/>
        <v>46067</v>
      </c>
      <c r="I3" s="216">
        <f t="shared" si="0"/>
        <v>46068</v>
      </c>
      <c r="J3" s="213">
        <f t="shared" si="0"/>
        <v>46069</v>
      </c>
      <c r="K3" s="214">
        <f t="shared" si="0"/>
        <v>46070</v>
      </c>
      <c r="L3" s="214">
        <f t="shared" si="0"/>
        <v>46071</v>
      </c>
      <c r="M3" s="214">
        <f t="shared" si="0"/>
        <v>46072</v>
      </c>
      <c r="N3" s="214">
        <f t="shared" si="0"/>
        <v>46073</v>
      </c>
      <c r="O3" s="214">
        <f t="shared" si="0"/>
        <v>46074</v>
      </c>
      <c r="P3" s="215">
        <f t="shared" si="0"/>
        <v>46075</v>
      </c>
      <c r="Q3" s="218">
        <f t="shared" si="0"/>
        <v>46076</v>
      </c>
      <c r="R3" s="214">
        <f t="shared" si="0"/>
        <v>46077</v>
      </c>
      <c r="S3" s="214">
        <f t="shared" si="0"/>
        <v>46078</v>
      </c>
      <c r="T3" s="214">
        <f t="shared" si="0"/>
        <v>46079</v>
      </c>
      <c r="U3" s="214">
        <f t="shared" si="0"/>
        <v>46080</v>
      </c>
      <c r="V3" s="214">
        <f t="shared" si="0"/>
        <v>46081</v>
      </c>
      <c r="W3" s="215">
        <f t="shared" si="0"/>
        <v>46082</v>
      </c>
    </row>
    <row r="4" spans="2:23" ht="15.75" thickBot="1" x14ac:dyDescent="0.3">
      <c r="B4" s="103">
        <v>0.375</v>
      </c>
      <c r="C4" s="212">
        <f>COUNTIF('Agent Sched'!C4:C42,'Ticket DOD HC'!$B$4)</f>
        <v>36</v>
      </c>
      <c r="D4" s="212">
        <f>COUNTIF('Agent Sched'!D4:D42,'Ticket DOD HC'!$B$4)</f>
        <v>36</v>
      </c>
      <c r="E4" s="212">
        <f>COUNTIF('Agent Sched'!E4:E42,'Ticket DOD HC'!$B$4)</f>
        <v>36</v>
      </c>
      <c r="F4" s="212">
        <f>COUNTIF('Agent Sched'!F4:F42,'Ticket DOD HC'!$B$4)</f>
        <v>18</v>
      </c>
      <c r="G4" s="212">
        <f>COUNTIF('Agent Sched'!G4:G42,'Ticket DOD HC'!$B$4)</f>
        <v>18</v>
      </c>
      <c r="H4" s="212">
        <f>COUNTIF('Agent Sched'!H4:H42,'Ticket DOD HC'!$B$4)</f>
        <v>18</v>
      </c>
      <c r="I4" s="217">
        <f>COUNTIF('Agent Sched'!I4:I42,'Ticket DOD HC'!$B$4)</f>
        <v>18</v>
      </c>
      <c r="J4" s="212">
        <f>COUNTIF('Agent Sched'!J4:J42,'Ticket DOD HC'!$B$4)</f>
        <v>18</v>
      </c>
      <c r="K4" s="212">
        <f>COUNTIF('Agent Sched'!K4:K42,'Ticket DOD HC'!$B$4)</f>
        <v>36</v>
      </c>
      <c r="L4" s="212">
        <f>COUNTIF('Agent Sched'!L4:L42,'Ticket DOD HC'!$B$4)</f>
        <v>36</v>
      </c>
      <c r="M4" s="212">
        <f>COUNTIF('Agent Sched'!M4:M42,'Ticket DOD HC'!$B$4)</f>
        <v>36</v>
      </c>
      <c r="N4" s="212">
        <f>COUNTIF('Agent Sched'!N4:N42,'Ticket DOD HC'!$B$4)</f>
        <v>36</v>
      </c>
      <c r="O4" s="212">
        <f>COUNTIF('Agent Sched'!O4:O42,'Ticket DOD HC'!$B$4)</f>
        <v>18</v>
      </c>
      <c r="P4" s="212">
        <f>COUNTIF('Agent Sched'!P4:P42,'Ticket DOD HC'!$B$4)</f>
        <v>0</v>
      </c>
      <c r="Q4" s="219">
        <f>COUNTIF('Agent Sched'!Q4:Q42,'Ticket DOD HC'!$B$4)</f>
        <v>18</v>
      </c>
      <c r="R4" s="212">
        <f>COUNTIF('Agent Sched'!R4:R42,'Ticket DOD HC'!$B$4)</f>
        <v>36</v>
      </c>
      <c r="S4" s="212">
        <f>COUNTIF('Agent Sched'!S4:S42,'Ticket DOD HC'!$B$4)</f>
        <v>36</v>
      </c>
      <c r="T4" s="212">
        <f>COUNTIF('Agent Sched'!T4:T42,'Ticket DOD HC'!$B$4)</f>
        <v>36</v>
      </c>
      <c r="U4" s="212">
        <f>COUNTIF('Agent Sched'!U4:U42,'Ticket DOD HC'!$B$4)</f>
        <v>36</v>
      </c>
      <c r="V4" s="212">
        <f>COUNTIF('Agent Sched'!V4:V42,'Ticket DOD HC'!$B$4)</f>
        <v>18</v>
      </c>
      <c r="W4" s="212">
        <f>COUNTIF('Agent Sched'!W4:W42,'Ticket DOD HC'!$B$4)</f>
        <v>0</v>
      </c>
    </row>
    <row r="6" spans="2:23" ht="15.75" thickBot="1" x14ac:dyDescent="0.3"/>
    <row r="7" spans="2:23" ht="15.75" thickBot="1" x14ac:dyDescent="0.3">
      <c r="C7" s="342" t="str">
        <f>C1</f>
        <v>WEEK BEGINNING 0427</v>
      </c>
      <c r="D7" s="343"/>
      <c r="E7" s="343"/>
      <c r="F7" s="343"/>
      <c r="G7" s="343"/>
      <c r="H7" s="343"/>
      <c r="I7" s="344"/>
      <c r="J7" s="342" t="str">
        <f>J1</f>
        <v>WEEK BEGINNING 0504</v>
      </c>
      <c r="K7" s="343"/>
      <c r="L7" s="343"/>
      <c r="M7" s="343"/>
      <c r="N7" s="343"/>
      <c r="O7" s="343"/>
      <c r="P7" s="344"/>
      <c r="Q7" s="342" t="str">
        <f>Q1</f>
        <v>WEEK BEGINNING 0511</v>
      </c>
      <c r="R7" s="343"/>
      <c r="S7" s="343"/>
      <c r="T7" s="343"/>
      <c r="U7" s="343"/>
      <c r="V7" s="343"/>
      <c r="W7" s="344"/>
    </row>
    <row r="8" spans="2:23" ht="15.75" thickBot="1" x14ac:dyDescent="0.3">
      <c r="C8" s="118" t="s">
        <v>0</v>
      </c>
      <c r="D8" s="148" t="s">
        <v>1</v>
      </c>
      <c r="E8" s="148" t="s">
        <v>2</v>
      </c>
      <c r="F8" s="148" t="s">
        <v>3</v>
      </c>
      <c r="G8" s="148" t="s">
        <v>4</v>
      </c>
      <c r="H8" s="148" t="s">
        <v>5</v>
      </c>
      <c r="I8" s="149" t="s">
        <v>6</v>
      </c>
      <c r="J8" s="148" t="s">
        <v>0</v>
      </c>
      <c r="K8" s="148" t="s">
        <v>1</v>
      </c>
      <c r="L8" s="148" t="s">
        <v>2</v>
      </c>
      <c r="M8" s="148" t="s">
        <v>3</v>
      </c>
      <c r="N8" s="148" t="s">
        <v>4</v>
      </c>
      <c r="O8" s="148" t="s">
        <v>5</v>
      </c>
      <c r="P8" s="148" t="s">
        <v>6</v>
      </c>
      <c r="Q8" s="118" t="s">
        <v>0</v>
      </c>
      <c r="R8" s="148" t="s">
        <v>1</v>
      </c>
      <c r="S8" s="148" t="s">
        <v>2</v>
      </c>
      <c r="T8" s="148" t="s">
        <v>3</v>
      </c>
      <c r="U8" s="148" t="s">
        <v>4</v>
      </c>
      <c r="V8" s="148" t="s">
        <v>5</v>
      </c>
      <c r="W8" s="149" t="s">
        <v>6</v>
      </c>
    </row>
    <row r="9" spans="2:23" ht="15.75" thickBot="1" x14ac:dyDescent="0.3">
      <c r="B9" s="220" t="s">
        <v>295</v>
      </c>
      <c r="C9" s="214">
        <v>46062</v>
      </c>
      <c r="D9" s="214">
        <f t="shared" ref="D9:W9" si="1">C9+1</f>
        <v>46063</v>
      </c>
      <c r="E9" s="214">
        <f t="shared" si="1"/>
        <v>46064</v>
      </c>
      <c r="F9" s="214">
        <f t="shared" si="1"/>
        <v>46065</v>
      </c>
      <c r="G9" s="214">
        <f t="shared" si="1"/>
        <v>46066</v>
      </c>
      <c r="H9" s="214">
        <f t="shared" si="1"/>
        <v>46067</v>
      </c>
      <c r="I9" s="214">
        <f t="shared" si="1"/>
        <v>46068</v>
      </c>
      <c r="J9" s="214">
        <f t="shared" si="1"/>
        <v>46069</v>
      </c>
      <c r="K9" s="214">
        <f t="shared" si="1"/>
        <v>46070</v>
      </c>
      <c r="L9" s="214">
        <f t="shared" si="1"/>
        <v>46071</v>
      </c>
      <c r="M9" s="214">
        <f t="shared" si="1"/>
        <v>46072</v>
      </c>
      <c r="N9" s="214">
        <f t="shared" si="1"/>
        <v>46073</v>
      </c>
      <c r="O9" s="214">
        <f t="shared" si="1"/>
        <v>46074</v>
      </c>
      <c r="P9" s="214">
        <f t="shared" si="1"/>
        <v>46075</v>
      </c>
      <c r="Q9" s="214">
        <f t="shared" si="1"/>
        <v>46076</v>
      </c>
      <c r="R9" s="214">
        <f t="shared" si="1"/>
        <v>46077</v>
      </c>
      <c r="S9" s="214">
        <f t="shared" si="1"/>
        <v>46078</v>
      </c>
      <c r="T9" s="214">
        <f t="shared" si="1"/>
        <v>46079</v>
      </c>
      <c r="U9" s="214">
        <f t="shared" si="1"/>
        <v>46080</v>
      </c>
      <c r="V9" s="214">
        <f t="shared" si="1"/>
        <v>46081</v>
      </c>
      <c r="W9" s="215">
        <f t="shared" si="1"/>
        <v>46082</v>
      </c>
    </row>
    <row r="10" spans="2:23" ht="15.75" thickBot="1" x14ac:dyDescent="0.3">
      <c r="B10" s="103">
        <v>0.375</v>
      </c>
      <c r="C10" s="212">
        <f>COUNTIF(Pavia!C4:C25,'Ticket DOD HC'!$B$10)</f>
        <v>22</v>
      </c>
      <c r="D10" s="212">
        <f>COUNTIF(Pavia!D4:D25,'Ticket DOD HC'!$B$10)</f>
        <v>2</v>
      </c>
      <c r="E10" s="212">
        <f>COUNTIF(Pavia!E4:E25,'Ticket DOD HC'!$B$10)</f>
        <v>2</v>
      </c>
      <c r="F10" s="212">
        <f>COUNTIF(Pavia!F4:F25,'Ticket DOD HC'!$B$10)</f>
        <v>22</v>
      </c>
      <c r="G10" s="212">
        <f>COUNTIF(Pavia!G4:G25,'Ticket DOD HC'!$B$10)</f>
        <v>22</v>
      </c>
      <c r="H10" s="212">
        <f>COUNTIF(Pavia!H4:H25,'Ticket DOD HC'!$B$10)</f>
        <v>20</v>
      </c>
      <c r="I10" s="212">
        <f>COUNTIF(Pavia!I4:I25,'Ticket DOD HC'!$B$10)</f>
        <v>20</v>
      </c>
      <c r="J10" s="212">
        <f>COUNTIF(Pavia!J4:J25,'Ticket DOD HC'!$B$10)</f>
        <v>22</v>
      </c>
      <c r="K10" s="212">
        <f>COUNTIF(Pavia!K4:K25,'Ticket DOD HC'!$B$10)</f>
        <v>2</v>
      </c>
      <c r="L10" s="212">
        <f>COUNTIF(Pavia!L4:L25,'Ticket DOD HC'!$B$10)</f>
        <v>2</v>
      </c>
      <c r="M10" s="212">
        <f>COUNTIF(Pavia!M4:M25,'Ticket DOD HC'!$B$10)</f>
        <v>22</v>
      </c>
      <c r="N10" s="212">
        <f>COUNTIF(Pavia!N4:N25,'Ticket DOD HC'!$B$10)</f>
        <v>22</v>
      </c>
      <c r="O10" s="212">
        <f>COUNTIF(Pavia!O4:O25,'Ticket DOD HC'!$B$10)</f>
        <v>20</v>
      </c>
      <c r="P10" s="212">
        <f>COUNTIF(Pavia!P4:P25,'Ticket DOD HC'!$B$10)</f>
        <v>20</v>
      </c>
      <c r="Q10" s="212">
        <f>COUNTIF(Pavia!Q4:Q25,'Ticket DOD HC'!$B$10)</f>
        <v>22</v>
      </c>
      <c r="R10" s="212">
        <f>COUNTIF(Pavia!R4:R25,'Ticket DOD HC'!$B$10)</f>
        <v>2</v>
      </c>
      <c r="S10" s="212">
        <f>COUNTIF(Pavia!S4:S25,'Ticket DOD HC'!$B$10)</f>
        <v>2</v>
      </c>
      <c r="T10" s="212">
        <f>COUNTIF(Pavia!T4:T25,'Ticket DOD HC'!$B$10)</f>
        <v>22</v>
      </c>
      <c r="U10" s="212">
        <f>COUNTIF(Pavia!U4:U25,'Ticket DOD HC'!$B$10)</f>
        <v>22</v>
      </c>
      <c r="V10" s="212">
        <f>COUNTIF(Pavia!V4:V25,'Ticket DOD HC'!$B$10)</f>
        <v>20</v>
      </c>
      <c r="W10" s="212">
        <f>COUNTIF(Pavia!W4:W25,'Ticket DOD HC'!$B$10)</f>
        <v>20</v>
      </c>
    </row>
    <row r="12" spans="2:23" ht="15.75" thickBot="1" x14ac:dyDescent="0.3"/>
    <row r="13" spans="2:23" ht="15.75" thickBot="1" x14ac:dyDescent="0.3">
      <c r="C13" s="342" t="str">
        <f>C7</f>
        <v>WEEK BEGINNING 0427</v>
      </c>
      <c r="D13" s="343"/>
      <c r="E13" s="343"/>
      <c r="F13" s="343"/>
      <c r="G13" s="343"/>
      <c r="H13" s="343"/>
      <c r="I13" s="344"/>
      <c r="J13" s="342" t="str">
        <f>J7</f>
        <v>WEEK BEGINNING 0504</v>
      </c>
      <c r="K13" s="343"/>
      <c r="L13" s="343"/>
      <c r="M13" s="343"/>
      <c r="N13" s="343"/>
      <c r="O13" s="343"/>
      <c r="P13" s="344"/>
      <c r="Q13" s="342" t="str">
        <f>Q7</f>
        <v>WEEK BEGINNING 0511</v>
      </c>
      <c r="R13" s="343"/>
      <c r="S13" s="343"/>
      <c r="T13" s="343"/>
      <c r="U13" s="343"/>
      <c r="V13" s="343"/>
      <c r="W13" s="344"/>
    </row>
    <row r="14" spans="2:23" ht="15.75" thickBot="1" x14ac:dyDescent="0.3">
      <c r="C14" s="118" t="s">
        <v>0</v>
      </c>
      <c r="D14" s="148" t="s">
        <v>1</v>
      </c>
      <c r="E14" s="148" t="s">
        <v>2</v>
      </c>
      <c r="F14" s="148" t="s">
        <v>3</v>
      </c>
      <c r="G14" s="148" t="s">
        <v>4</v>
      </c>
      <c r="H14" s="148" t="s">
        <v>5</v>
      </c>
      <c r="I14" s="148" t="s">
        <v>6</v>
      </c>
      <c r="J14" s="118" t="s">
        <v>0</v>
      </c>
      <c r="K14" s="148" t="s">
        <v>1</v>
      </c>
      <c r="L14" s="148" t="s">
        <v>2</v>
      </c>
      <c r="M14" s="148" t="s">
        <v>3</v>
      </c>
      <c r="N14" s="148" t="s">
        <v>4</v>
      </c>
      <c r="O14" s="148" t="s">
        <v>5</v>
      </c>
      <c r="P14" s="149" t="s">
        <v>6</v>
      </c>
      <c r="Q14" s="148" t="s">
        <v>0</v>
      </c>
      <c r="R14" s="148" t="s">
        <v>1</v>
      </c>
      <c r="S14" s="148" t="s">
        <v>2</v>
      </c>
      <c r="T14" s="148" t="s">
        <v>3</v>
      </c>
      <c r="U14" s="148" t="s">
        <v>4</v>
      </c>
      <c r="V14" s="148" t="s">
        <v>5</v>
      </c>
      <c r="W14" s="149" t="s">
        <v>6</v>
      </c>
    </row>
    <row r="15" spans="2:23" ht="15.75" thickBot="1" x14ac:dyDescent="0.3">
      <c r="B15" s="220" t="s">
        <v>296</v>
      </c>
      <c r="C15" s="214">
        <v>46062</v>
      </c>
      <c r="D15" s="214">
        <f t="shared" ref="D15" si="2">C15+1</f>
        <v>46063</v>
      </c>
      <c r="E15" s="214">
        <f t="shared" ref="E15" si="3">D15+1</f>
        <v>46064</v>
      </c>
      <c r="F15" s="214">
        <f t="shared" ref="F15" si="4">E15+1</f>
        <v>46065</v>
      </c>
      <c r="G15" s="214">
        <f t="shared" ref="G15" si="5">F15+1</f>
        <v>46066</v>
      </c>
      <c r="H15" s="214">
        <f t="shared" ref="H15" si="6">G15+1</f>
        <v>46067</v>
      </c>
      <c r="I15" s="216">
        <f t="shared" ref="I15" si="7">H15+1</f>
        <v>46068</v>
      </c>
      <c r="J15" s="213">
        <f t="shared" ref="J15" si="8">I15+1</f>
        <v>46069</v>
      </c>
      <c r="K15" s="214">
        <f t="shared" ref="K15" si="9">J15+1</f>
        <v>46070</v>
      </c>
      <c r="L15" s="214">
        <f t="shared" ref="L15" si="10">K15+1</f>
        <v>46071</v>
      </c>
      <c r="M15" s="214">
        <f t="shared" ref="M15" si="11">L15+1</f>
        <v>46072</v>
      </c>
      <c r="N15" s="214">
        <f t="shared" ref="N15" si="12">M15+1</f>
        <v>46073</v>
      </c>
      <c r="O15" s="214">
        <f t="shared" ref="O15" si="13">N15+1</f>
        <v>46074</v>
      </c>
      <c r="P15" s="215">
        <f t="shared" ref="P15" si="14">O15+1</f>
        <v>46075</v>
      </c>
      <c r="Q15" s="218">
        <f t="shared" ref="Q15" si="15">P15+1</f>
        <v>46076</v>
      </c>
      <c r="R15" s="214">
        <f t="shared" ref="R15" si="16">Q15+1</f>
        <v>46077</v>
      </c>
      <c r="S15" s="214">
        <f t="shared" ref="S15" si="17">R15+1</f>
        <v>46078</v>
      </c>
      <c r="T15" s="214">
        <f t="shared" ref="T15" si="18">S15+1</f>
        <v>46079</v>
      </c>
      <c r="U15" s="214">
        <f t="shared" ref="U15" si="19">T15+1</f>
        <v>46080</v>
      </c>
      <c r="V15" s="214">
        <f t="shared" ref="V15" si="20">U15+1</f>
        <v>46081</v>
      </c>
      <c r="W15" s="215">
        <f t="shared" ref="W15" si="21">V15+1</f>
        <v>46082</v>
      </c>
    </row>
    <row r="16" spans="2:23" ht="15.75" thickBot="1" x14ac:dyDescent="0.3">
      <c r="B16" s="103">
        <v>0.375</v>
      </c>
      <c r="C16" s="212">
        <f t="shared" ref="C16:W16" si="22">SUM(C4+C10)</f>
        <v>58</v>
      </c>
      <c r="D16" s="212">
        <f t="shared" si="22"/>
        <v>38</v>
      </c>
      <c r="E16" s="212">
        <f t="shared" si="22"/>
        <v>38</v>
      </c>
      <c r="F16" s="212">
        <f t="shared" si="22"/>
        <v>40</v>
      </c>
      <c r="G16" s="212">
        <f t="shared" si="22"/>
        <v>40</v>
      </c>
      <c r="H16" s="212">
        <f t="shared" si="22"/>
        <v>38</v>
      </c>
      <c r="I16" s="217">
        <f t="shared" si="22"/>
        <v>38</v>
      </c>
      <c r="J16" s="212">
        <f t="shared" si="22"/>
        <v>40</v>
      </c>
      <c r="K16" s="212">
        <f t="shared" si="22"/>
        <v>38</v>
      </c>
      <c r="L16" s="212">
        <f t="shared" si="22"/>
        <v>38</v>
      </c>
      <c r="M16" s="212">
        <f t="shared" si="22"/>
        <v>58</v>
      </c>
      <c r="N16" s="212">
        <f t="shared" si="22"/>
        <v>58</v>
      </c>
      <c r="O16" s="212">
        <f t="shared" si="22"/>
        <v>38</v>
      </c>
      <c r="P16" s="212">
        <f t="shared" si="22"/>
        <v>20</v>
      </c>
      <c r="Q16" s="219">
        <f t="shared" si="22"/>
        <v>40</v>
      </c>
      <c r="R16" s="212">
        <f t="shared" si="22"/>
        <v>38</v>
      </c>
      <c r="S16" s="212">
        <f t="shared" si="22"/>
        <v>38</v>
      </c>
      <c r="T16" s="212">
        <f t="shared" si="22"/>
        <v>58</v>
      </c>
      <c r="U16" s="212">
        <f t="shared" si="22"/>
        <v>58</v>
      </c>
      <c r="V16" s="212">
        <f t="shared" si="22"/>
        <v>38</v>
      </c>
      <c r="W16" s="212">
        <f t="shared" si="22"/>
        <v>20</v>
      </c>
    </row>
  </sheetData>
  <mergeCells count="9">
    <mergeCell ref="C1:I1"/>
    <mergeCell ref="J1:P1"/>
    <mergeCell ref="Q1:W1"/>
    <mergeCell ref="C13:I13"/>
    <mergeCell ref="J13:P13"/>
    <mergeCell ref="Q13:W13"/>
    <mergeCell ref="Q7:W7"/>
    <mergeCell ref="J7:P7"/>
    <mergeCell ref="C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Masterlist</vt:lpstr>
      <vt:lpstr>Agent Sched</vt:lpstr>
      <vt:lpstr>Pavia</vt:lpstr>
      <vt:lpstr>Nesting Sched</vt:lpstr>
      <vt:lpstr>Nesting Staffing</vt:lpstr>
      <vt:lpstr>1G Staffing</vt:lpstr>
      <vt:lpstr>Pavia Staffing</vt:lpstr>
      <vt:lpstr>Nesting Phone time</vt:lpstr>
      <vt:lpstr>Total Staffing</vt:lpstr>
      <vt:lpstr>Ticket DOD HC</vt:lpstr>
    </vt:vector>
  </TitlesOfParts>
  <Company>WNS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Daisie May Osorio</dc:creator>
  <cp:lastModifiedBy>Christian Barcarse</cp:lastModifiedBy>
  <dcterms:created xsi:type="dcterms:W3CDTF">2023-08-09T22:26:52Z</dcterms:created>
  <dcterms:modified xsi:type="dcterms:W3CDTF">2026-04-27T13:40:20Z</dcterms:modified>
</cp:coreProperties>
</file>